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8_{3272B4C2-656B-49C2-8BEB-C004DD32FA77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Customer Names" sheetId="3" r:id="rId1"/>
    <sheet name="Medical Examinations" sheetId="2" r:id="rId2"/>
    <sheet name="Hospitalisation Details" sheetId="1" r:id="rId3"/>
    <sheet name="Healthcare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002" i="4"/>
  <c r="R2003" i="4"/>
  <c r="R2004" i="4"/>
  <c r="R2005" i="4"/>
  <c r="R2006" i="4"/>
  <c r="R2007" i="4"/>
  <c r="R2008" i="4"/>
  <c r="R2009" i="4"/>
  <c r="R2010" i="4"/>
  <c r="R2011" i="4"/>
  <c r="R2012" i="4"/>
  <c r="R2013" i="4"/>
  <c r="R2014" i="4"/>
  <c r="R2015" i="4"/>
  <c r="R2016" i="4"/>
  <c r="R2017" i="4"/>
  <c r="R2018" i="4"/>
  <c r="R2019" i="4"/>
  <c r="R2020" i="4"/>
  <c r="R2021" i="4"/>
  <c r="R2022" i="4"/>
  <c r="R2023" i="4"/>
  <c r="R2024" i="4"/>
  <c r="R2025" i="4"/>
  <c r="R2026" i="4"/>
  <c r="R2027" i="4"/>
  <c r="R2028" i="4"/>
  <c r="R2029" i="4"/>
  <c r="R2030" i="4"/>
  <c r="R2031" i="4"/>
  <c r="R2032" i="4"/>
  <c r="R2033" i="4"/>
  <c r="R2034" i="4"/>
  <c r="R2035" i="4"/>
  <c r="R2036" i="4"/>
  <c r="R2037" i="4"/>
  <c r="R2038" i="4"/>
  <c r="R2039" i="4"/>
  <c r="R2040" i="4"/>
  <c r="R2041" i="4"/>
  <c r="R2042" i="4"/>
  <c r="R2043" i="4"/>
  <c r="R2044" i="4"/>
  <c r="R2045" i="4"/>
  <c r="R2046" i="4"/>
  <c r="R2047" i="4"/>
  <c r="R2048" i="4"/>
  <c r="R2049" i="4"/>
  <c r="R2050" i="4"/>
  <c r="R2051" i="4"/>
  <c r="R2052" i="4"/>
  <c r="R2053" i="4"/>
  <c r="R2054" i="4"/>
  <c r="R2055" i="4"/>
  <c r="R2056" i="4"/>
  <c r="R2057" i="4"/>
  <c r="R2058" i="4"/>
  <c r="R2059" i="4"/>
  <c r="R2060" i="4"/>
  <c r="R2061" i="4"/>
  <c r="R2062" i="4"/>
  <c r="R2063" i="4"/>
  <c r="R2064" i="4"/>
  <c r="R2065" i="4"/>
  <c r="R2066" i="4"/>
  <c r="R2067" i="4"/>
  <c r="R2068" i="4"/>
  <c r="R2069" i="4"/>
  <c r="R2070" i="4"/>
  <c r="R2071" i="4"/>
  <c r="R2072" i="4"/>
  <c r="R2073" i="4"/>
  <c r="R2074" i="4"/>
  <c r="R2075" i="4"/>
  <c r="R2076" i="4"/>
  <c r="R2077" i="4"/>
  <c r="R2078" i="4"/>
  <c r="R2079" i="4"/>
  <c r="R2080" i="4"/>
  <c r="R2081" i="4"/>
  <c r="R2082" i="4"/>
  <c r="R2083" i="4"/>
  <c r="R2084" i="4"/>
  <c r="R2085" i="4"/>
  <c r="R2086" i="4"/>
  <c r="R2087" i="4"/>
  <c r="R2088" i="4"/>
  <c r="R2089" i="4"/>
  <c r="R2090" i="4"/>
  <c r="R2091" i="4"/>
  <c r="R2092" i="4"/>
  <c r="R2093" i="4"/>
  <c r="R2094" i="4"/>
  <c r="R2095" i="4"/>
  <c r="R2096" i="4"/>
  <c r="R2097" i="4"/>
  <c r="R2098" i="4"/>
  <c r="R2099" i="4"/>
  <c r="R2100" i="4"/>
  <c r="R2101" i="4"/>
  <c r="R2102" i="4"/>
  <c r="R2103" i="4"/>
  <c r="R2104" i="4"/>
  <c r="R2105" i="4"/>
  <c r="R2106" i="4"/>
  <c r="R2107" i="4"/>
  <c r="R2108" i="4"/>
  <c r="R2109" i="4"/>
  <c r="R2110" i="4"/>
  <c r="R2111" i="4"/>
  <c r="R2112" i="4"/>
  <c r="R2113" i="4"/>
  <c r="R2114" i="4"/>
  <c r="R2115" i="4"/>
  <c r="R2116" i="4"/>
  <c r="R2117" i="4"/>
  <c r="R2118" i="4"/>
  <c r="R2119" i="4"/>
  <c r="R2120" i="4"/>
  <c r="R2121" i="4"/>
  <c r="R2122" i="4"/>
  <c r="R2123" i="4"/>
  <c r="R2124" i="4"/>
  <c r="R2125" i="4"/>
  <c r="R2126" i="4"/>
  <c r="R2127" i="4"/>
  <c r="R2128" i="4"/>
  <c r="R2129" i="4"/>
  <c r="R2130" i="4"/>
  <c r="R2131" i="4"/>
  <c r="R2132" i="4"/>
  <c r="R2133" i="4"/>
  <c r="R2134" i="4"/>
  <c r="R2135" i="4"/>
  <c r="R2136" i="4"/>
  <c r="R2137" i="4"/>
  <c r="R2138" i="4"/>
  <c r="R2139" i="4"/>
  <c r="R2140" i="4"/>
  <c r="R2141" i="4"/>
  <c r="R2142" i="4"/>
  <c r="R2143" i="4"/>
  <c r="R2144" i="4"/>
  <c r="R2145" i="4"/>
  <c r="R2146" i="4"/>
  <c r="R2147" i="4"/>
  <c r="R2148" i="4"/>
  <c r="R2149" i="4"/>
  <c r="R2150" i="4"/>
  <c r="R2151" i="4"/>
  <c r="R2152" i="4"/>
  <c r="R2153" i="4"/>
  <c r="R2154" i="4"/>
  <c r="R2155" i="4"/>
  <c r="R2156" i="4"/>
  <c r="R2157" i="4"/>
  <c r="R2158" i="4"/>
  <c r="R2159" i="4"/>
  <c r="R2160" i="4"/>
  <c r="R2161" i="4"/>
  <c r="R2162" i="4"/>
  <c r="R2163" i="4"/>
  <c r="R2164" i="4"/>
  <c r="R2165" i="4"/>
  <c r="R2166" i="4"/>
  <c r="R2167" i="4"/>
  <c r="R2168" i="4"/>
  <c r="R2169" i="4"/>
  <c r="R2170" i="4"/>
  <c r="R2171" i="4"/>
  <c r="R2172" i="4"/>
  <c r="R2173" i="4"/>
  <c r="R2174" i="4"/>
  <c r="R2175" i="4"/>
  <c r="R2176" i="4"/>
  <c r="R2177" i="4"/>
  <c r="R2178" i="4"/>
  <c r="R2179" i="4"/>
  <c r="R2180" i="4"/>
  <c r="R2181" i="4"/>
  <c r="R2182" i="4"/>
  <c r="R2183" i="4"/>
  <c r="R2184" i="4"/>
  <c r="R2185" i="4"/>
  <c r="R2186" i="4"/>
  <c r="R2187" i="4"/>
  <c r="R2188" i="4"/>
  <c r="R2189" i="4"/>
  <c r="R2190" i="4"/>
  <c r="R2191" i="4"/>
  <c r="R2192" i="4"/>
  <c r="R2193" i="4"/>
  <c r="R2194" i="4"/>
  <c r="R2195" i="4"/>
  <c r="R2196" i="4"/>
  <c r="R2197" i="4"/>
  <c r="R2198" i="4"/>
  <c r="R2199" i="4"/>
  <c r="R2200" i="4"/>
  <c r="R2201" i="4"/>
  <c r="R2202" i="4"/>
  <c r="R2203" i="4"/>
  <c r="R2204" i="4"/>
  <c r="R2205" i="4"/>
  <c r="R2206" i="4"/>
  <c r="R2207" i="4"/>
  <c r="R2208" i="4"/>
  <c r="R2209" i="4"/>
  <c r="R2210" i="4"/>
  <c r="R2211" i="4"/>
  <c r="R2212" i="4"/>
  <c r="R2213" i="4"/>
  <c r="R2214" i="4"/>
  <c r="R2215" i="4"/>
  <c r="R2216" i="4"/>
  <c r="R2217" i="4"/>
  <c r="R2218" i="4"/>
  <c r="R2219" i="4"/>
  <c r="R2220" i="4"/>
  <c r="R2221" i="4"/>
  <c r="R2222" i="4"/>
  <c r="R2223" i="4"/>
  <c r="R2224" i="4"/>
  <c r="R2225" i="4"/>
  <c r="R2226" i="4"/>
  <c r="R2227" i="4"/>
  <c r="R2228" i="4"/>
  <c r="R2229" i="4"/>
  <c r="R2230" i="4"/>
  <c r="R2231" i="4"/>
  <c r="R2232" i="4"/>
  <c r="R2233" i="4"/>
  <c r="R2234" i="4"/>
  <c r="R2235" i="4"/>
  <c r="R2236" i="4"/>
  <c r="R2237" i="4"/>
  <c r="R2238" i="4"/>
  <c r="R2239" i="4"/>
  <c r="R2240" i="4"/>
  <c r="R2241" i="4"/>
  <c r="R2242" i="4"/>
  <c r="R2243" i="4"/>
  <c r="R2244" i="4"/>
  <c r="R2245" i="4"/>
  <c r="R2246" i="4"/>
  <c r="R2247" i="4"/>
  <c r="R2248" i="4"/>
  <c r="R2249" i="4"/>
  <c r="R2250" i="4"/>
  <c r="R2251" i="4"/>
  <c r="R2252" i="4"/>
  <c r="R2253" i="4"/>
  <c r="R2254" i="4"/>
  <c r="R2255" i="4"/>
  <c r="R2256" i="4"/>
  <c r="R2257" i="4"/>
  <c r="R2258" i="4"/>
  <c r="R2259" i="4"/>
  <c r="R2260" i="4"/>
  <c r="R2261" i="4"/>
  <c r="R2262" i="4"/>
  <c r="R2263" i="4"/>
  <c r="R2264" i="4"/>
  <c r="R2265" i="4"/>
  <c r="R2266" i="4"/>
  <c r="R2267" i="4"/>
  <c r="R2268" i="4"/>
  <c r="R2269" i="4"/>
  <c r="R2270" i="4"/>
  <c r="R2271" i="4"/>
  <c r="R2272" i="4"/>
  <c r="R2273" i="4"/>
  <c r="R2274" i="4"/>
  <c r="R2275" i="4"/>
  <c r="R2276" i="4"/>
  <c r="R2277" i="4"/>
  <c r="R2278" i="4"/>
  <c r="R2279" i="4"/>
  <c r="R2280" i="4"/>
  <c r="R2281" i="4"/>
  <c r="R2282" i="4"/>
  <c r="R2283" i="4"/>
  <c r="R2284" i="4"/>
  <c r="R2285" i="4"/>
  <c r="R2286" i="4"/>
  <c r="R2287" i="4"/>
  <c r="R2288" i="4"/>
  <c r="R2289" i="4"/>
  <c r="R2290" i="4"/>
  <c r="R2291" i="4"/>
  <c r="R2292" i="4"/>
  <c r="R2293" i="4"/>
  <c r="R2294" i="4"/>
  <c r="R2295" i="4"/>
  <c r="R2296" i="4"/>
  <c r="R2297" i="4"/>
  <c r="R2298" i="4"/>
  <c r="R2299" i="4"/>
  <c r="R2300" i="4"/>
  <c r="R2301" i="4"/>
  <c r="R2302" i="4"/>
  <c r="R2303" i="4"/>
  <c r="R2304" i="4"/>
  <c r="R2305" i="4"/>
  <c r="R2306" i="4"/>
  <c r="R2307" i="4"/>
  <c r="R2308" i="4"/>
  <c r="R2309" i="4"/>
  <c r="R2310" i="4"/>
  <c r="R2311" i="4"/>
  <c r="R2312" i="4"/>
  <c r="R2313" i="4"/>
  <c r="R2314" i="4"/>
  <c r="R2315" i="4"/>
  <c r="R2316" i="4"/>
  <c r="R2317" i="4"/>
  <c r="R2318" i="4"/>
  <c r="R2319" i="4"/>
  <c r="R2320" i="4"/>
  <c r="R2321" i="4"/>
  <c r="R2322" i="4"/>
  <c r="R2323" i="4"/>
  <c r="R2324" i="4"/>
  <c r="R2325" i="4"/>
  <c r="R2326" i="4"/>
  <c r="R2327" i="4"/>
  <c r="R2328" i="4"/>
  <c r="R2329" i="4"/>
  <c r="R2330" i="4"/>
  <c r="R2331" i="4"/>
  <c r="R2332" i="4"/>
  <c r="R2333" i="4"/>
  <c r="R2334" i="4"/>
  <c r="R2335" i="4"/>
  <c r="R2336" i="4"/>
  <c r="R2" i="4"/>
  <c r="N2" i="4" s="1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Q2005" i="4"/>
  <c r="Q2006" i="4"/>
  <c r="Q2007" i="4"/>
  <c r="Q2008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1" i="4"/>
  <c r="Q2052" i="4"/>
  <c r="Q2053" i="4"/>
  <c r="Q2054" i="4"/>
  <c r="Q2055" i="4"/>
  <c r="Q2056" i="4"/>
  <c r="Q2057" i="4"/>
  <c r="Q2058" i="4"/>
  <c r="Q2059" i="4"/>
  <c r="Q2060" i="4"/>
  <c r="Q2061" i="4"/>
  <c r="Q2062" i="4"/>
  <c r="Q2063" i="4"/>
  <c r="Q2064" i="4"/>
  <c r="Q2065" i="4"/>
  <c r="Q2066" i="4"/>
  <c r="Q2067" i="4"/>
  <c r="Q2068" i="4"/>
  <c r="Q2069" i="4"/>
  <c r="Q2070" i="4"/>
  <c r="Q2071" i="4"/>
  <c r="Q2072" i="4"/>
  <c r="Q2073" i="4"/>
  <c r="Q2074" i="4"/>
  <c r="Q2075" i="4"/>
  <c r="Q2076" i="4"/>
  <c r="Q2077" i="4"/>
  <c r="Q2078" i="4"/>
  <c r="Q2079" i="4"/>
  <c r="Q2080" i="4"/>
  <c r="Q2081" i="4"/>
  <c r="Q2082" i="4"/>
  <c r="Q2083" i="4"/>
  <c r="Q2084" i="4"/>
  <c r="Q2085" i="4"/>
  <c r="Q2086" i="4"/>
  <c r="Q2087" i="4"/>
  <c r="Q2088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6" i="4"/>
  <c r="Q2107" i="4"/>
  <c r="Q2108" i="4"/>
  <c r="Q2109" i="4"/>
  <c r="Q2110" i="4"/>
  <c r="Q2111" i="4"/>
  <c r="Q2112" i="4"/>
  <c r="Q2113" i="4"/>
  <c r="Q2114" i="4"/>
  <c r="Q2115" i="4"/>
  <c r="Q2116" i="4"/>
  <c r="Q2117" i="4"/>
  <c r="Q2118" i="4"/>
  <c r="Q2119" i="4"/>
  <c r="Q2120" i="4"/>
  <c r="Q2121" i="4"/>
  <c r="Q2122" i="4"/>
  <c r="Q2123" i="4"/>
  <c r="Q2124" i="4"/>
  <c r="Q2125" i="4"/>
  <c r="Q2126" i="4"/>
  <c r="Q2127" i="4"/>
  <c r="Q2128" i="4"/>
  <c r="Q2129" i="4"/>
  <c r="Q2130" i="4"/>
  <c r="Q2131" i="4"/>
  <c r="Q2132" i="4"/>
  <c r="Q2133" i="4"/>
  <c r="Q2134" i="4"/>
  <c r="Q2135" i="4"/>
  <c r="Q2136" i="4"/>
  <c r="Q2137" i="4"/>
  <c r="Q2138" i="4"/>
  <c r="Q2139" i="4"/>
  <c r="Q2140" i="4"/>
  <c r="Q2141" i="4"/>
  <c r="Q2142" i="4"/>
  <c r="Q2143" i="4"/>
  <c r="Q2144" i="4"/>
  <c r="Q2145" i="4"/>
  <c r="Q2146" i="4"/>
  <c r="Q2147" i="4"/>
  <c r="Q2148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4" i="4"/>
  <c r="Q2165" i="4"/>
  <c r="Q2166" i="4"/>
  <c r="Q2167" i="4"/>
  <c r="Q2168" i="4"/>
  <c r="Q2169" i="4"/>
  <c r="Q2170" i="4"/>
  <c r="Q2171" i="4"/>
  <c r="Q2172" i="4"/>
  <c r="Q2173" i="4"/>
  <c r="Q2174" i="4"/>
  <c r="Q2175" i="4"/>
  <c r="Q2176" i="4"/>
  <c r="Q2177" i="4"/>
  <c r="Q2178" i="4"/>
  <c r="Q2179" i="4"/>
  <c r="Q2180" i="4"/>
  <c r="Q2181" i="4"/>
  <c r="Q2182" i="4"/>
  <c r="Q2183" i="4"/>
  <c r="Q2184" i="4"/>
  <c r="Q2185" i="4"/>
  <c r="Q2186" i="4"/>
  <c r="Q2187" i="4"/>
  <c r="Q2188" i="4"/>
  <c r="Q2189" i="4"/>
  <c r="Q2190" i="4"/>
  <c r="Q2191" i="4"/>
  <c r="Q2192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8" i="4"/>
  <c r="Q2209" i="4"/>
  <c r="Q2210" i="4"/>
  <c r="Q2211" i="4"/>
  <c r="Q2212" i="4"/>
  <c r="Q2213" i="4"/>
  <c r="Q2214" i="4"/>
  <c r="Q2215" i="4"/>
  <c r="Q2216" i="4"/>
  <c r="Q2217" i="4"/>
  <c r="Q2218" i="4"/>
  <c r="Q2219" i="4"/>
  <c r="Q2220" i="4"/>
  <c r="Q2221" i="4"/>
  <c r="Q2222" i="4"/>
  <c r="Q2223" i="4"/>
  <c r="Q2224" i="4"/>
  <c r="Q2225" i="4"/>
  <c r="Q2226" i="4"/>
  <c r="Q2227" i="4"/>
  <c r="Q2228" i="4"/>
  <c r="Q2229" i="4"/>
  <c r="Q2230" i="4"/>
  <c r="Q2231" i="4"/>
  <c r="Q2232" i="4"/>
  <c r="Q2233" i="4"/>
  <c r="Q2234" i="4"/>
  <c r="Q2235" i="4"/>
  <c r="Q2236" i="4"/>
  <c r="Q2237" i="4"/>
  <c r="Q2238" i="4"/>
  <c r="Q2239" i="4"/>
  <c r="Q2240" i="4"/>
  <c r="Q2241" i="4"/>
  <c r="Q2242" i="4"/>
  <c r="Q2243" i="4"/>
  <c r="Q2244" i="4"/>
  <c r="Q2245" i="4"/>
  <c r="Q2246" i="4"/>
  <c r="Q2247" i="4"/>
  <c r="Q2248" i="4"/>
  <c r="Q2249" i="4"/>
  <c r="Q2250" i="4"/>
  <c r="Q2251" i="4"/>
  <c r="Q2252" i="4"/>
  <c r="Q2253" i="4"/>
  <c r="Q2254" i="4"/>
  <c r="Q2255" i="4"/>
  <c r="Q2256" i="4"/>
  <c r="Q2257" i="4"/>
  <c r="Q2258" i="4"/>
  <c r="Q2259" i="4"/>
  <c r="Q2260" i="4"/>
  <c r="Q2261" i="4"/>
  <c r="Q2262" i="4"/>
  <c r="Q2263" i="4"/>
  <c r="Q2264" i="4"/>
  <c r="Q2265" i="4"/>
  <c r="Q2266" i="4"/>
  <c r="Q2267" i="4"/>
  <c r="Q2268" i="4"/>
  <c r="Q2269" i="4"/>
  <c r="Q2270" i="4"/>
  <c r="Q2271" i="4"/>
  <c r="Q2272" i="4"/>
  <c r="Q2273" i="4"/>
  <c r="Q2274" i="4"/>
  <c r="Q2275" i="4"/>
  <c r="Q2276" i="4"/>
  <c r="Q2277" i="4"/>
  <c r="Q2278" i="4"/>
  <c r="Q2279" i="4"/>
  <c r="Q2280" i="4"/>
  <c r="Q2281" i="4"/>
  <c r="Q2282" i="4"/>
  <c r="Q2283" i="4"/>
  <c r="Q2284" i="4"/>
  <c r="Q2285" i="4"/>
  <c r="Q2286" i="4"/>
  <c r="Q2287" i="4"/>
  <c r="Q2288" i="4"/>
  <c r="Q2289" i="4"/>
  <c r="Q2290" i="4"/>
  <c r="Q2291" i="4"/>
  <c r="Q2292" i="4"/>
  <c r="Q2293" i="4"/>
  <c r="Q2294" i="4"/>
  <c r="Q2295" i="4"/>
  <c r="Q2296" i="4"/>
  <c r="Q2297" i="4"/>
  <c r="Q2298" i="4"/>
  <c r="Q2299" i="4"/>
  <c r="Q2300" i="4"/>
  <c r="Q2301" i="4"/>
  <c r="Q2302" i="4"/>
  <c r="Q2303" i="4"/>
  <c r="Q2304" i="4"/>
  <c r="Q2305" i="4"/>
  <c r="Q2306" i="4"/>
  <c r="Q2307" i="4"/>
  <c r="Q2308" i="4"/>
  <c r="Q2309" i="4"/>
  <c r="Q2310" i="4"/>
  <c r="Q2311" i="4"/>
  <c r="Q2312" i="4"/>
  <c r="Q2313" i="4"/>
  <c r="Q2314" i="4"/>
  <c r="Q2315" i="4"/>
  <c r="Q2316" i="4"/>
  <c r="Q2317" i="4"/>
  <c r="Q2318" i="4"/>
  <c r="Q2319" i="4"/>
  <c r="Q2320" i="4"/>
  <c r="Q2321" i="4"/>
  <c r="Q2322" i="4"/>
  <c r="Q2323" i="4"/>
  <c r="Q2324" i="4"/>
  <c r="Q2325" i="4"/>
  <c r="Q2326" i="4"/>
  <c r="Q2327" i="4"/>
  <c r="Q2328" i="4"/>
  <c r="Q2329" i="4"/>
  <c r="Q2330" i="4"/>
  <c r="Q2331" i="4"/>
  <c r="Q2332" i="4"/>
  <c r="Q2333" i="4"/>
  <c r="Q2334" i="4"/>
  <c r="Q2335" i="4"/>
  <c r="Q2336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" i="4"/>
  <c r="O2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N2336" i="4"/>
  <c r="N2335" i="4"/>
  <c r="N2334" i="4"/>
  <c r="N2333" i="4"/>
  <c r="N2332" i="4"/>
  <c r="N2331" i="4"/>
  <c r="N2330" i="4"/>
  <c r="N2329" i="4"/>
  <c r="N2328" i="4"/>
  <c r="N2327" i="4"/>
  <c r="N2326" i="4"/>
  <c r="N2325" i="4"/>
  <c r="N2324" i="4"/>
  <c r="N2323" i="4"/>
  <c r="N2322" i="4"/>
  <c r="N2321" i="4"/>
  <c r="N2320" i="4"/>
  <c r="N2319" i="4"/>
  <c r="N2318" i="4"/>
  <c r="N2317" i="4"/>
  <c r="N2316" i="4"/>
  <c r="N2315" i="4"/>
  <c r="N2314" i="4"/>
  <c r="N2313" i="4"/>
  <c r="N2312" i="4"/>
  <c r="N2311" i="4"/>
  <c r="N2310" i="4"/>
  <c r="N2309" i="4"/>
  <c r="N2308" i="4"/>
  <c r="N2307" i="4"/>
  <c r="N2306" i="4"/>
  <c r="N2305" i="4"/>
  <c r="N2304" i="4"/>
  <c r="N2303" i="4"/>
  <c r="N2302" i="4"/>
  <c r="N2301" i="4"/>
  <c r="N2300" i="4"/>
  <c r="N2299" i="4"/>
  <c r="N2298" i="4"/>
  <c r="N2297" i="4"/>
  <c r="N2296" i="4"/>
  <c r="N2295" i="4"/>
  <c r="N2294" i="4"/>
  <c r="N2293" i="4"/>
  <c r="N2292" i="4"/>
  <c r="N2291" i="4"/>
  <c r="N2290" i="4"/>
  <c r="N2289" i="4"/>
  <c r="N2288" i="4"/>
  <c r="N2287" i="4"/>
  <c r="N2286" i="4"/>
  <c r="N2285" i="4"/>
  <c r="N2284" i="4"/>
  <c r="N2283" i="4"/>
  <c r="N2282" i="4"/>
  <c r="N2281" i="4"/>
  <c r="N2280" i="4"/>
  <c r="N2279" i="4"/>
  <c r="N2278" i="4"/>
  <c r="N2277" i="4"/>
  <c r="N2276" i="4"/>
  <c r="N2275" i="4"/>
  <c r="N2274" i="4"/>
  <c r="N2273" i="4"/>
  <c r="N2272" i="4"/>
  <c r="N2271" i="4"/>
  <c r="N2270" i="4"/>
  <c r="N2269" i="4"/>
  <c r="N2268" i="4"/>
  <c r="N2267" i="4"/>
  <c r="N2266" i="4"/>
  <c r="N2265" i="4"/>
  <c r="N2264" i="4"/>
  <c r="N2263" i="4"/>
  <c r="N2262" i="4"/>
  <c r="N2261" i="4"/>
  <c r="N2260" i="4"/>
  <c r="N2259" i="4"/>
  <c r="N2258" i="4"/>
  <c r="N2257" i="4"/>
  <c r="N2256" i="4"/>
  <c r="N2255" i="4"/>
  <c r="N2254" i="4"/>
  <c r="N2253" i="4"/>
  <c r="N2252" i="4"/>
  <c r="N2251" i="4"/>
  <c r="N2250" i="4"/>
  <c r="N2249" i="4"/>
  <c r="N2248" i="4"/>
  <c r="N2247" i="4"/>
  <c r="N2246" i="4"/>
  <c r="N2245" i="4"/>
  <c r="N2244" i="4"/>
  <c r="N2243" i="4"/>
  <c r="N2242" i="4"/>
  <c r="N2241" i="4"/>
  <c r="N2240" i="4"/>
  <c r="N2239" i="4"/>
  <c r="N2238" i="4"/>
  <c r="N2237" i="4"/>
  <c r="N2236" i="4"/>
  <c r="N2235" i="4"/>
  <c r="N2234" i="4"/>
  <c r="N2233" i="4"/>
  <c r="N2232" i="4"/>
  <c r="N2231" i="4"/>
  <c r="N2230" i="4"/>
  <c r="N2229" i="4"/>
  <c r="N2228" i="4"/>
  <c r="N2227" i="4"/>
  <c r="N2226" i="4"/>
  <c r="N2225" i="4"/>
  <c r="N2224" i="4"/>
  <c r="N2223" i="4"/>
  <c r="N2222" i="4"/>
  <c r="N2221" i="4"/>
  <c r="N2220" i="4"/>
  <c r="N2219" i="4"/>
  <c r="N2218" i="4"/>
  <c r="N2217" i="4"/>
  <c r="N2216" i="4"/>
  <c r="N2215" i="4"/>
  <c r="N2214" i="4"/>
  <c r="N2213" i="4"/>
  <c r="N2212" i="4"/>
  <c r="N2211" i="4"/>
  <c r="N2210" i="4"/>
  <c r="N2209" i="4"/>
  <c r="N2208" i="4"/>
  <c r="N2207" i="4"/>
  <c r="N2206" i="4"/>
  <c r="N2205" i="4"/>
  <c r="N2204" i="4"/>
  <c r="N2203" i="4"/>
  <c r="N2202" i="4"/>
  <c r="N2201" i="4"/>
  <c r="N2200" i="4"/>
  <c r="N2199" i="4"/>
  <c r="N2198" i="4"/>
  <c r="N2197" i="4"/>
  <c r="N2196" i="4"/>
  <c r="N2195" i="4"/>
  <c r="N2194" i="4"/>
  <c r="N2193" i="4"/>
  <c r="N2192" i="4"/>
  <c r="N2191" i="4"/>
  <c r="N2190" i="4"/>
  <c r="N2189" i="4"/>
  <c r="N2188" i="4"/>
  <c r="N2187" i="4"/>
  <c r="N2186" i="4"/>
  <c r="N2185" i="4"/>
  <c r="N2184" i="4"/>
  <c r="N2183" i="4"/>
  <c r="N2182" i="4"/>
  <c r="N2181" i="4"/>
  <c r="N2180" i="4"/>
  <c r="N2179" i="4"/>
  <c r="N2178" i="4"/>
  <c r="N2177" i="4"/>
  <c r="N2176" i="4"/>
  <c r="N2175" i="4"/>
  <c r="N2174" i="4"/>
  <c r="N2173" i="4"/>
  <c r="N2172" i="4"/>
  <c r="N2171" i="4"/>
  <c r="N2170" i="4"/>
  <c r="N2169" i="4"/>
  <c r="N2168" i="4"/>
  <c r="N2167" i="4"/>
  <c r="N2166" i="4"/>
  <c r="N2165" i="4"/>
  <c r="N2164" i="4"/>
  <c r="N2163" i="4"/>
  <c r="N2162" i="4"/>
  <c r="N2161" i="4"/>
  <c r="N2160" i="4"/>
  <c r="N2159" i="4"/>
  <c r="N2158" i="4"/>
  <c r="N2157" i="4"/>
  <c r="N2156" i="4"/>
  <c r="N2155" i="4"/>
  <c r="N2154" i="4"/>
  <c r="N2153" i="4"/>
  <c r="N2152" i="4"/>
  <c r="N2151" i="4"/>
  <c r="N2150" i="4"/>
  <c r="N2149" i="4"/>
  <c r="N2148" i="4"/>
  <c r="N2147" i="4"/>
  <c r="N2146" i="4"/>
  <c r="N2145" i="4"/>
  <c r="N2144" i="4"/>
  <c r="N2143" i="4"/>
  <c r="N2142" i="4"/>
  <c r="N2141" i="4"/>
  <c r="N2140" i="4"/>
  <c r="N2139" i="4"/>
  <c r="N2138" i="4"/>
  <c r="N2137" i="4"/>
  <c r="N2136" i="4"/>
  <c r="N2135" i="4"/>
  <c r="N2134" i="4"/>
  <c r="N2133" i="4"/>
  <c r="N2132" i="4"/>
  <c r="N2131" i="4"/>
  <c r="N2130" i="4"/>
  <c r="N2129" i="4"/>
  <c r="N2128" i="4"/>
  <c r="N2127" i="4"/>
  <c r="N2126" i="4"/>
  <c r="N2125" i="4"/>
  <c r="N2124" i="4"/>
  <c r="N2123" i="4"/>
  <c r="N2122" i="4"/>
  <c r="N2121" i="4"/>
  <c r="N2120" i="4"/>
  <c r="N2119" i="4"/>
  <c r="N2118" i="4"/>
  <c r="N2117" i="4"/>
  <c r="N2116" i="4"/>
  <c r="N2115" i="4"/>
  <c r="N2114" i="4"/>
  <c r="N2113" i="4"/>
  <c r="N2112" i="4"/>
  <c r="N2111" i="4"/>
  <c r="N2110" i="4"/>
  <c r="N2109" i="4"/>
  <c r="N2108" i="4"/>
  <c r="N2107" i="4"/>
  <c r="N2106" i="4"/>
  <c r="N2105" i="4"/>
  <c r="N2104" i="4"/>
  <c r="N2103" i="4"/>
  <c r="N2102" i="4"/>
  <c r="N2101" i="4"/>
  <c r="N2100" i="4"/>
  <c r="N2099" i="4"/>
  <c r="N2098" i="4"/>
  <c r="N2097" i="4"/>
  <c r="N2096" i="4"/>
  <c r="N2095" i="4"/>
  <c r="N2094" i="4"/>
  <c r="N2093" i="4"/>
  <c r="N2092" i="4"/>
  <c r="N2091" i="4"/>
  <c r="N2090" i="4"/>
  <c r="N2089" i="4"/>
  <c r="N2088" i="4"/>
  <c r="N2087" i="4"/>
  <c r="N2086" i="4"/>
  <c r="N2085" i="4"/>
  <c r="N2084" i="4"/>
  <c r="N2083" i="4"/>
  <c r="N2082" i="4"/>
  <c r="N2081" i="4"/>
  <c r="N2080" i="4"/>
  <c r="N2079" i="4"/>
  <c r="N2078" i="4"/>
  <c r="N2077" i="4"/>
  <c r="N2076" i="4"/>
  <c r="N2075" i="4"/>
  <c r="N2074" i="4"/>
  <c r="N2073" i="4"/>
  <c r="N2072" i="4"/>
  <c r="N2071" i="4"/>
  <c r="N2070" i="4"/>
  <c r="N2069" i="4"/>
  <c r="N2068" i="4"/>
  <c r="N2067" i="4"/>
  <c r="N2066" i="4"/>
  <c r="N2065" i="4"/>
  <c r="N2064" i="4"/>
  <c r="N2063" i="4"/>
  <c r="N2062" i="4"/>
  <c r="N2061" i="4"/>
  <c r="N2060" i="4"/>
  <c r="N2059" i="4"/>
  <c r="N2058" i="4"/>
  <c r="N2057" i="4"/>
  <c r="N2056" i="4"/>
  <c r="N2055" i="4"/>
  <c r="N2054" i="4"/>
  <c r="N2053" i="4"/>
  <c r="N2052" i="4"/>
  <c r="N2051" i="4"/>
  <c r="N2050" i="4"/>
  <c r="N2049" i="4"/>
  <c r="N2048" i="4"/>
  <c r="N2047" i="4"/>
  <c r="N2046" i="4"/>
  <c r="N2045" i="4"/>
  <c r="N2044" i="4"/>
  <c r="N2043" i="4"/>
  <c r="N2042" i="4"/>
  <c r="N2041" i="4"/>
  <c r="N2040" i="4"/>
  <c r="N2039" i="4"/>
  <c r="N2038" i="4"/>
  <c r="N2037" i="4"/>
  <c r="N2036" i="4"/>
  <c r="N2035" i="4"/>
  <c r="N2034" i="4"/>
  <c r="N2033" i="4"/>
  <c r="N2032" i="4"/>
  <c r="N2031" i="4"/>
  <c r="N2030" i="4"/>
  <c r="N2029" i="4"/>
  <c r="N2028" i="4"/>
  <c r="N2027" i="4"/>
  <c r="N2026" i="4"/>
  <c r="N2025" i="4"/>
  <c r="N2024" i="4"/>
  <c r="N2023" i="4"/>
  <c r="N2022" i="4"/>
  <c r="N2021" i="4"/>
  <c r="N2020" i="4"/>
  <c r="N2019" i="4"/>
  <c r="N2018" i="4"/>
  <c r="N2017" i="4"/>
  <c r="N2016" i="4"/>
  <c r="N2015" i="4"/>
  <c r="N2014" i="4"/>
  <c r="N2013" i="4"/>
  <c r="N2012" i="4"/>
  <c r="N2011" i="4"/>
  <c r="N2010" i="4"/>
  <c r="N2009" i="4"/>
  <c r="N2008" i="4"/>
  <c r="N2007" i="4"/>
  <c r="N2006" i="4"/>
  <c r="N2005" i="4"/>
  <c r="N2004" i="4"/>
  <c r="N2003" i="4"/>
  <c r="N2002" i="4"/>
  <c r="N2001" i="4"/>
  <c r="N2000" i="4"/>
  <c r="N1999" i="4"/>
  <c r="N1998" i="4"/>
  <c r="N1997" i="4"/>
  <c r="N1996" i="4"/>
  <c r="N1995" i="4"/>
  <c r="N1994" i="4"/>
  <c r="N1993" i="4"/>
  <c r="N1992" i="4"/>
  <c r="N1991" i="4"/>
  <c r="N1990" i="4"/>
  <c r="N1989" i="4"/>
  <c r="N1988" i="4"/>
  <c r="N1987" i="4"/>
  <c r="N1986" i="4"/>
  <c r="N1985" i="4"/>
  <c r="N1984" i="4"/>
  <c r="N1983" i="4"/>
  <c r="N1982" i="4"/>
  <c r="N1981" i="4"/>
  <c r="N1980" i="4"/>
  <c r="N1979" i="4"/>
  <c r="N1978" i="4"/>
  <c r="N1977" i="4"/>
  <c r="N1976" i="4"/>
  <c r="N1975" i="4"/>
  <c r="N1974" i="4"/>
  <c r="N1973" i="4"/>
  <c r="N1972" i="4"/>
  <c r="N1971" i="4"/>
  <c r="N1970" i="4"/>
  <c r="N1969" i="4"/>
  <c r="N1968" i="4"/>
  <c r="N1967" i="4"/>
  <c r="N1966" i="4"/>
  <c r="N1965" i="4"/>
  <c r="N1964" i="4"/>
  <c r="N1963" i="4"/>
  <c r="N1962" i="4"/>
  <c r="N1961" i="4"/>
  <c r="N1960" i="4"/>
  <c r="N1959" i="4"/>
  <c r="N1958" i="4"/>
  <c r="N1957" i="4"/>
  <c r="N1956" i="4"/>
  <c r="N1955" i="4"/>
  <c r="N1954" i="4"/>
  <c r="N1953" i="4"/>
  <c r="N1952" i="4"/>
  <c r="N1951" i="4"/>
  <c r="N1950" i="4"/>
  <c r="N1949" i="4"/>
  <c r="N1948" i="4"/>
  <c r="N1947" i="4"/>
  <c r="N1946" i="4"/>
  <c r="N1945" i="4"/>
  <c r="N1944" i="4"/>
  <c r="N1943" i="4"/>
  <c r="N1942" i="4"/>
  <c r="N1941" i="4"/>
  <c r="N1940" i="4"/>
  <c r="N1939" i="4"/>
  <c r="N1938" i="4"/>
  <c r="N1937" i="4"/>
  <c r="N1936" i="4"/>
  <c r="N1935" i="4"/>
  <c r="N1934" i="4"/>
  <c r="N1933" i="4"/>
  <c r="N1932" i="4"/>
  <c r="N1931" i="4"/>
  <c r="N1930" i="4"/>
  <c r="N1929" i="4"/>
  <c r="N1928" i="4"/>
  <c r="N1927" i="4"/>
  <c r="N1926" i="4"/>
  <c r="N1925" i="4"/>
  <c r="N1924" i="4"/>
  <c r="N1923" i="4"/>
  <c r="N1922" i="4"/>
  <c r="N1921" i="4"/>
  <c r="N1920" i="4"/>
  <c r="N1919" i="4"/>
  <c r="N1918" i="4"/>
  <c r="N1917" i="4"/>
  <c r="N1916" i="4"/>
  <c r="N1915" i="4"/>
  <c r="N1914" i="4"/>
  <c r="N1913" i="4"/>
  <c r="N1912" i="4"/>
  <c r="N1911" i="4"/>
  <c r="N1910" i="4"/>
  <c r="N1909" i="4"/>
  <c r="N1908" i="4"/>
  <c r="N1907" i="4"/>
  <c r="N1906" i="4"/>
  <c r="N1905" i="4"/>
  <c r="N1904" i="4"/>
  <c r="N1903" i="4"/>
  <c r="N1902" i="4"/>
  <c r="N1901" i="4"/>
  <c r="N1900" i="4"/>
  <c r="N1899" i="4"/>
  <c r="N1898" i="4"/>
  <c r="N1897" i="4"/>
  <c r="N1896" i="4"/>
  <c r="N1895" i="4"/>
  <c r="N1894" i="4"/>
  <c r="N1893" i="4"/>
  <c r="N1892" i="4"/>
  <c r="N1891" i="4"/>
  <c r="N1890" i="4"/>
  <c r="N1889" i="4"/>
  <c r="N1888" i="4"/>
  <c r="N1887" i="4"/>
  <c r="N1886" i="4"/>
  <c r="N1885" i="4"/>
  <c r="N1884" i="4"/>
  <c r="N1883" i="4"/>
  <c r="N1882" i="4"/>
  <c r="N1881" i="4"/>
  <c r="N1880" i="4"/>
  <c r="N1879" i="4"/>
  <c r="N1878" i="4"/>
  <c r="N1877" i="4"/>
  <c r="N1876" i="4"/>
  <c r="N1875" i="4"/>
  <c r="N1874" i="4"/>
  <c r="N1873" i="4"/>
  <c r="N1872" i="4"/>
  <c r="N1871" i="4"/>
  <c r="N1870" i="4"/>
  <c r="N1869" i="4"/>
  <c r="N1868" i="4"/>
  <c r="N1867" i="4"/>
  <c r="N1866" i="4"/>
  <c r="N1865" i="4"/>
  <c r="N1864" i="4"/>
  <c r="N1863" i="4"/>
  <c r="N1862" i="4"/>
  <c r="N1861" i="4"/>
  <c r="N1860" i="4"/>
  <c r="N1859" i="4"/>
  <c r="N1858" i="4"/>
  <c r="N1857" i="4"/>
  <c r="N1856" i="4"/>
  <c r="N1855" i="4"/>
  <c r="N1854" i="4"/>
  <c r="N1853" i="4"/>
  <c r="N1852" i="4"/>
  <c r="N1851" i="4"/>
  <c r="N1850" i="4"/>
  <c r="N1849" i="4"/>
  <c r="N1848" i="4"/>
  <c r="N1847" i="4"/>
  <c r="N1846" i="4"/>
  <c r="N1845" i="4"/>
  <c r="N1844" i="4"/>
  <c r="N1843" i="4"/>
  <c r="N1842" i="4"/>
  <c r="N1841" i="4"/>
  <c r="N1840" i="4"/>
  <c r="N1839" i="4"/>
  <c r="N1838" i="4"/>
  <c r="N1837" i="4"/>
  <c r="N1836" i="4"/>
  <c r="N1835" i="4"/>
  <c r="N1834" i="4"/>
  <c r="N1833" i="4"/>
  <c r="N1832" i="4"/>
  <c r="N1831" i="4"/>
  <c r="N1830" i="4"/>
  <c r="N1829" i="4"/>
  <c r="N1828" i="4"/>
  <c r="N1827" i="4"/>
  <c r="N1826" i="4"/>
  <c r="N1825" i="4"/>
  <c r="N1824" i="4"/>
  <c r="N1823" i="4"/>
  <c r="N1822" i="4"/>
  <c r="N1821" i="4"/>
  <c r="N1820" i="4"/>
  <c r="N1819" i="4"/>
  <c r="N1818" i="4"/>
  <c r="N1817" i="4"/>
  <c r="N1816" i="4"/>
  <c r="N1815" i="4"/>
  <c r="N1814" i="4"/>
  <c r="N1813" i="4"/>
  <c r="N1812" i="4"/>
  <c r="N1811" i="4"/>
  <c r="N1810" i="4"/>
  <c r="N1809" i="4"/>
  <c r="N1808" i="4"/>
  <c r="N1807" i="4"/>
  <c r="N1806" i="4"/>
  <c r="N1805" i="4"/>
  <c r="N1804" i="4"/>
  <c r="N1803" i="4"/>
  <c r="N1802" i="4"/>
  <c r="N1801" i="4"/>
  <c r="N1800" i="4"/>
  <c r="N1799" i="4"/>
  <c r="N1798" i="4"/>
  <c r="N1797" i="4"/>
  <c r="N1796" i="4"/>
  <c r="N1795" i="4"/>
  <c r="N1794" i="4"/>
  <c r="N1793" i="4"/>
  <c r="N1792" i="4"/>
  <c r="N1791" i="4"/>
  <c r="N1790" i="4"/>
  <c r="N1789" i="4"/>
  <c r="N1788" i="4"/>
  <c r="N1787" i="4"/>
  <c r="N1786" i="4"/>
  <c r="N1785" i="4"/>
  <c r="N1784" i="4"/>
  <c r="N1783" i="4"/>
  <c r="N1782" i="4"/>
  <c r="N1781" i="4"/>
  <c r="N1780" i="4"/>
  <c r="N1779" i="4"/>
  <c r="N1778" i="4"/>
  <c r="N1777" i="4"/>
  <c r="N1776" i="4"/>
  <c r="N1775" i="4"/>
  <c r="N1774" i="4"/>
  <c r="N1773" i="4"/>
  <c r="N1772" i="4"/>
  <c r="N1771" i="4"/>
  <c r="N1770" i="4"/>
  <c r="N1769" i="4"/>
  <c r="N1768" i="4"/>
  <c r="N1767" i="4"/>
  <c r="N1766" i="4"/>
  <c r="N1765" i="4"/>
  <c r="N1764" i="4"/>
  <c r="N1763" i="4"/>
  <c r="N1762" i="4"/>
  <c r="N1761" i="4"/>
  <c r="N1760" i="4"/>
  <c r="N1759" i="4"/>
  <c r="N1758" i="4"/>
  <c r="N1757" i="4"/>
  <c r="N1756" i="4"/>
  <c r="N1755" i="4"/>
  <c r="N1754" i="4"/>
  <c r="N1753" i="4"/>
  <c r="N1752" i="4"/>
  <c r="N1751" i="4"/>
  <c r="N1750" i="4"/>
  <c r="N1749" i="4"/>
  <c r="N1748" i="4"/>
  <c r="N1747" i="4"/>
  <c r="N1746" i="4"/>
  <c r="N1745" i="4"/>
  <c r="N1744" i="4"/>
  <c r="N1743" i="4"/>
  <c r="N1742" i="4"/>
  <c r="N1741" i="4"/>
  <c r="N1740" i="4"/>
  <c r="N1739" i="4"/>
  <c r="N1738" i="4"/>
  <c r="N1737" i="4"/>
  <c r="N1736" i="4"/>
  <c r="N1735" i="4"/>
  <c r="N1734" i="4"/>
  <c r="N1733" i="4"/>
  <c r="N1732" i="4"/>
  <c r="N1731" i="4"/>
  <c r="N1730" i="4"/>
  <c r="N1729" i="4"/>
  <c r="N1728" i="4"/>
  <c r="N1727" i="4"/>
  <c r="N1726" i="4"/>
  <c r="N1725" i="4"/>
  <c r="N1724" i="4"/>
  <c r="N1723" i="4"/>
  <c r="N1722" i="4"/>
  <c r="N1721" i="4"/>
  <c r="N1720" i="4"/>
  <c r="N1719" i="4"/>
  <c r="N1718" i="4"/>
  <c r="N1717" i="4"/>
  <c r="N1716" i="4"/>
  <c r="N1715" i="4"/>
  <c r="N1714" i="4"/>
  <c r="N1713" i="4"/>
  <c r="N1712" i="4"/>
  <c r="N1711" i="4"/>
  <c r="N1710" i="4"/>
  <c r="N1709" i="4"/>
  <c r="N1708" i="4"/>
  <c r="N1707" i="4"/>
  <c r="N1706" i="4"/>
  <c r="N1705" i="4"/>
  <c r="N1704" i="4"/>
  <c r="N1703" i="4"/>
  <c r="N1702" i="4"/>
  <c r="N1701" i="4"/>
  <c r="N1700" i="4"/>
  <c r="N1699" i="4"/>
  <c r="N1698" i="4"/>
  <c r="N1697" i="4"/>
  <c r="N1696" i="4"/>
  <c r="N1695" i="4"/>
  <c r="N1694" i="4"/>
  <c r="N1693" i="4"/>
  <c r="N1692" i="4"/>
  <c r="N1691" i="4"/>
  <c r="N1690" i="4"/>
  <c r="N1689" i="4"/>
  <c r="N1688" i="4"/>
  <c r="N1687" i="4"/>
  <c r="N1686" i="4"/>
  <c r="N1685" i="4"/>
  <c r="N1684" i="4"/>
  <c r="N1683" i="4"/>
  <c r="N1682" i="4"/>
  <c r="N1681" i="4"/>
  <c r="N1680" i="4"/>
  <c r="N1679" i="4"/>
  <c r="N1678" i="4"/>
  <c r="N1677" i="4"/>
  <c r="N1676" i="4"/>
  <c r="N1675" i="4"/>
  <c r="N1674" i="4"/>
  <c r="N1673" i="4"/>
  <c r="N1672" i="4"/>
  <c r="N1671" i="4"/>
  <c r="N1670" i="4"/>
  <c r="N1669" i="4"/>
  <c r="N1668" i="4"/>
  <c r="N1667" i="4"/>
  <c r="N1666" i="4"/>
  <c r="N1665" i="4"/>
  <c r="N1664" i="4"/>
  <c r="N1663" i="4"/>
  <c r="N1662" i="4"/>
  <c r="N1661" i="4"/>
  <c r="N1660" i="4"/>
  <c r="N1659" i="4"/>
  <c r="N1658" i="4"/>
  <c r="N1657" i="4"/>
  <c r="N1656" i="4"/>
  <c r="N1655" i="4"/>
  <c r="N1654" i="4"/>
  <c r="N1653" i="4"/>
  <c r="N1652" i="4"/>
  <c r="N1651" i="4"/>
  <c r="N1650" i="4"/>
  <c r="N1649" i="4"/>
  <c r="N1648" i="4"/>
  <c r="N1647" i="4"/>
  <c r="N1646" i="4"/>
  <c r="N1645" i="4"/>
  <c r="N1644" i="4"/>
  <c r="N1643" i="4"/>
  <c r="N1642" i="4"/>
  <c r="N1641" i="4"/>
  <c r="N1640" i="4"/>
  <c r="N1639" i="4"/>
  <c r="N1638" i="4"/>
  <c r="N1637" i="4"/>
  <c r="N1636" i="4"/>
  <c r="N1635" i="4"/>
  <c r="N1634" i="4"/>
  <c r="N1633" i="4"/>
  <c r="N1632" i="4"/>
  <c r="N1631" i="4"/>
  <c r="N1630" i="4"/>
  <c r="N1629" i="4"/>
  <c r="N1628" i="4"/>
  <c r="N1627" i="4"/>
  <c r="N1626" i="4"/>
  <c r="N1625" i="4"/>
  <c r="N1624" i="4"/>
  <c r="N1623" i="4"/>
  <c r="N1622" i="4"/>
  <c r="N1621" i="4"/>
  <c r="N1620" i="4"/>
  <c r="N1619" i="4"/>
  <c r="N1618" i="4"/>
  <c r="N1617" i="4"/>
  <c r="N1616" i="4"/>
  <c r="N1615" i="4"/>
  <c r="N1614" i="4"/>
  <c r="N1613" i="4"/>
  <c r="N1612" i="4"/>
  <c r="N1611" i="4"/>
  <c r="N1610" i="4"/>
  <c r="N1609" i="4"/>
  <c r="N1608" i="4"/>
  <c r="N1607" i="4"/>
  <c r="N1606" i="4"/>
  <c r="N1605" i="4"/>
  <c r="N1604" i="4"/>
  <c r="N1603" i="4"/>
  <c r="N1602" i="4"/>
  <c r="N1601" i="4"/>
  <c r="N1600" i="4"/>
  <c r="N1599" i="4"/>
  <c r="N1598" i="4"/>
  <c r="N1597" i="4"/>
  <c r="N1596" i="4"/>
  <c r="N1595" i="4"/>
  <c r="N1594" i="4"/>
  <c r="N1593" i="4"/>
  <c r="N1592" i="4"/>
  <c r="N1591" i="4"/>
  <c r="N1590" i="4"/>
  <c r="N1589" i="4"/>
  <c r="N1588" i="4"/>
  <c r="N1587" i="4"/>
  <c r="N1586" i="4"/>
  <c r="N1585" i="4"/>
  <c r="N1584" i="4"/>
  <c r="N1583" i="4"/>
  <c r="N1582" i="4"/>
  <c r="N1581" i="4"/>
  <c r="N1580" i="4"/>
  <c r="N1579" i="4"/>
  <c r="N1578" i="4"/>
  <c r="N1577" i="4"/>
  <c r="N1576" i="4"/>
  <c r="N1575" i="4"/>
  <c r="N1574" i="4"/>
  <c r="N1573" i="4"/>
  <c r="N1572" i="4"/>
  <c r="N1571" i="4"/>
  <c r="N1570" i="4"/>
  <c r="N1569" i="4"/>
  <c r="N1568" i="4"/>
  <c r="N1567" i="4"/>
  <c r="N1566" i="4"/>
  <c r="N1565" i="4"/>
  <c r="N1564" i="4"/>
  <c r="N1563" i="4"/>
  <c r="N1562" i="4"/>
  <c r="N1561" i="4"/>
  <c r="N1560" i="4"/>
  <c r="N1559" i="4"/>
  <c r="N1558" i="4"/>
  <c r="N1557" i="4"/>
  <c r="N1556" i="4"/>
  <c r="N1555" i="4"/>
  <c r="N1554" i="4"/>
  <c r="N1553" i="4"/>
  <c r="N1552" i="4"/>
  <c r="N1551" i="4"/>
  <c r="N1550" i="4"/>
  <c r="N1549" i="4"/>
  <c r="N1548" i="4"/>
  <c r="N1547" i="4"/>
  <c r="N1546" i="4"/>
  <c r="N1545" i="4"/>
  <c r="N1544" i="4"/>
  <c r="N1543" i="4"/>
  <c r="N1542" i="4"/>
  <c r="N1541" i="4"/>
  <c r="N1540" i="4"/>
  <c r="N1539" i="4"/>
  <c r="N1538" i="4"/>
  <c r="N1537" i="4"/>
  <c r="N1536" i="4"/>
  <c r="N1535" i="4"/>
  <c r="N1534" i="4"/>
  <c r="N1533" i="4"/>
  <c r="N1532" i="4"/>
  <c r="N1531" i="4"/>
  <c r="N1530" i="4"/>
  <c r="N1529" i="4"/>
  <c r="N1528" i="4"/>
  <c r="N1527" i="4"/>
  <c r="N1526" i="4"/>
  <c r="N1525" i="4"/>
  <c r="N1524" i="4"/>
  <c r="N1523" i="4"/>
  <c r="N1522" i="4"/>
  <c r="N1521" i="4"/>
  <c r="N1520" i="4"/>
  <c r="N1519" i="4"/>
  <c r="N1518" i="4"/>
  <c r="N1517" i="4"/>
  <c r="N1516" i="4"/>
  <c r="N1515" i="4"/>
  <c r="N1514" i="4"/>
  <c r="N1513" i="4"/>
  <c r="N1512" i="4"/>
  <c r="N1511" i="4"/>
  <c r="N1510" i="4"/>
  <c r="N1509" i="4"/>
  <c r="N1508" i="4"/>
  <c r="N1507" i="4"/>
  <c r="N1506" i="4"/>
  <c r="N1505" i="4"/>
  <c r="N1504" i="4"/>
  <c r="N1503" i="4"/>
  <c r="N1502" i="4"/>
  <c r="N1501" i="4"/>
  <c r="N1500" i="4"/>
  <c r="N1499" i="4"/>
  <c r="N1498" i="4"/>
  <c r="N1497" i="4"/>
  <c r="N1496" i="4"/>
  <c r="N1495" i="4"/>
  <c r="N1494" i="4"/>
  <c r="N1493" i="4"/>
  <c r="N1492" i="4"/>
  <c r="N1491" i="4"/>
  <c r="N1490" i="4"/>
  <c r="N1489" i="4"/>
  <c r="N1488" i="4"/>
  <c r="N1487" i="4"/>
  <c r="N1486" i="4"/>
  <c r="N1485" i="4"/>
  <c r="N1484" i="4"/>
  <c r="N1483" i="4"/>
  <c r="N1482" i="4"/>
  <c r="N1481" i="4"/>
  <c r="N1480" i="4"/>
  <c r="N1479" i="4"/>
  <c r="N1478" i="4"/>
  <c r="N1477" i="4"/>
  <c r="N1476" i="4"/>
  <c r="N1475" i="4"/>
  <c r="N1474" i="4"/>
  <c r="N1473" i="4"/>
  <c r="N1472" i="4"/>
  <c r="N1471" i="4"/>
  <c r="N1470" i="4"/>
  <c r="N1469" i="4"/>
  <c r="N1468" i="4"/>
  <c r="N1467" i="4"/>
  <c r="N1466" i="4"/>
  <c r="N1465" i="4"/>
  <c r="N1464" i="4"/>
  <c r="N1463" i="4"/>
  <c r="N1462" i="4"/>
  <c r="N1461" i="4"/>
  <c r="N1460" i="4"/>
  <c r="N1459" i="4"/>
  <c r="N1458" i="4"/>
  <c r="N1457" i="4"/>
  <c r="N1456" i="4"/>
  <c r="N1455" i="4"/>
  <c r="N1454" i="4"/>
  <c r="N1453" i="4"/>
  <c r="N1452" i="4"/>
  <c r="N1451" i="4"/>
  <c r="N1450" i="4"/>
  <c r="N1449" i="4"/>
  <c r="N1448" i="4"/>
  <c r="N1447" i="4"/>
  <c r="N1446" i="4"/>
  <c r="N1445" i="4"/>
  <c r="N1444" i="4"/>
  <c r="N1443" i="4"/>
  <c r="N1442" i="4"/>
  <c r="N1441" i="4"/>
  <c r="N1440" i="4"/>
  <c r="N1439" i="4"/>
  <c r="N1438" i="4"/>
  <c r="N1437" i="4"/>
  <c r="N1436" i="4"/>
  <c r="N1435" i="4"/>
  <c r="N1434" i="4"/>
  <c r="N1433" i="4"/>
  <c r="N1432" i="4"/>
  <c r="N1431" i="4"/>
  <c r="N1430" i="4"/>
  <c r="N1429" i="4"/>
  <c r="N1428" i="4"/>
  <c r="N1427" i="4"/>
  <c r="N1426" i="4"/>
  <c r="N1425" i="4"/>
  <c r="N1424" i="4"/>
  <c r="N1423" i="4"/>
  <c r="N1422" i="4"/>
  <c r="N1421" i="4"/>
  <c r="N1420" i="4"/>
  <c r="N1419" i="4"/>
  <c r="N1418" i="4"/>
  <c r="N1417" i="4"/>
  <c r="N1416" i="4"/>
  <c r="N1415" i="4"/>
  <c r="N1414" i="4"/>
  <c r="N1413" i="4"/>
  <c r="N1412" i="4"/>
  <c r="N1411" i="4"/>
  <c r="N1410" i="4"/>
  <c r="N1409" i="4"/>
  <c r="N1408" i="4"/>
  <c r="N1407" i="4"/>
  <c r="N1406" i="4"/>
  <c r="N1405" i="4"/>
  <c r="N1404" i="4"/>
  <c r="N1403" i="4"/>
  <c r="N1402" i="4"/>
  <c r="N1401" i="4"/>
  <c r="N1400" i="4"/>
  <c r="N1399" i="4"/>
  <c r="N1398" i="4"/>
  <c r="N1397" i="4"/>
  <c r="N1396" i="4"/>
  <c r="N1395" i="4"/>
  <c r="N1394" i="4"/>
  <c r="N1393" i="4"/>
  <c r="N1392" i="4"/>
  <c r="N1391" i="4"/>
  <c r="N1390" i="4"/>
  <c r="N1389" i="4"/>
  <c r="N1388" i="4"/>
  <c r="N1387" i="4"/>
  <c r="N1386" i="4"/>
  <c r="N1385" i="4"/>
  <c r="N1384" i="4"/>
  <c r="N1383" i="4"/>
  <c r="N1382" i="4"/>
  <c r="N1381" i="4"/>
  <c r="N1380" i="4"/>
  <c r="N1379" i="4"/>
  <c r="N1378" i="4"/>
  <c r="N1377" i="4"/>
  <c r="N1376" i="4"/>
  <c r="N1375" i="4"/>
  <c r="N1374" i="4"/>
  <c r="N1373" i="4"/>
  <c r="N1372" i="4"/>
  <c r="N1371" i="4"/>
  <c r="N1370" i="4"/>
  <c r="N1369" i="4"/>
  <c r="N1368" i="4"/>
  <c r="N1367" i="4"/>
  <c r="N1366" i="4"/>
  <c r="N1365" i="4"/>
  <c r="N1364" i="4"/>
  <c r="N1363" i="4"/>
  <c r="N1362" i="4"/>
  <c r="N1361" i="4"/>
  <c r="N1360" i="4"/>
  <c r="N1359" i="4"/>
  <c r="N1358" i="4"/>
  <c r="N1357" i="4"/>
  <c r="N1356" i="4"/>
  <c r="N1355" i="4"/>
  <c r="N1354" i="4"/>
  <c r="N1353" i="4"/>
  <c r="N1352" i="4"/>
  <c r="N1351" i="4"/>
  <c r="N1350" i="4"/>
  <c r="N1349" i="4"/>
  <c r="N1348" i="4"/>
  <c r="N1347" i="4"/>
  <c r="N1346" i="4"/>
  <c r="N1345" i="4"/>
  <c r="N1344" i="4"/>
  <c r="N1343" i="4"/>
  <c r="N1342" i="4"/>
  <c r="N1341" i="4"/>
  <c r="N1340" i="4"/>
  <c r="N1339" i="4"/>
  <c r="N1338" i="4"/>
  <c r="N1337" i="4"/>
  <c r="N1336" i="4"/>
  <c r="N1335" i="4"/>
  <c r="N1334" i="4"/>
  <c r="N1333" i="4"/>
  <c r="N1332" i="4"/>
  <c r="N1331" i="4"/>
  <c r="N1330" i="4"/>
  <c r="N1329" i="4"/>
  <c r="N1328" i="4"/>
  <c r="N1327" i="4"/>
  <c r="N1326" i="4"/>
  <c r="N1325" i="4"/>
  <c r="N1324" i="4"/>
  <c r="N1323" i="4"/>
  <c r="N1322" i="4"/>
  <c r="N1321" i="4"/>
  <c r="N1320" i="4"/>
  <c r="N1319" i="4"/>
  <c r="N1318" i="4"/>
  <c r="N1317" i="4"/>
  <c r="N1316" i="4"/>
  <c r="N1315" i="4"/>
  <c r="N1314" i="4"/>
  <c r="N1313" i="4"/>
  <c r="N1312" i="4"/>
  <c r="N1311" i="4"/>
  <c r="N1310" i="4"/>
  <c r="N1309" i="4"/>
  <c r="N1308" i="4"/>
  <c r="N1307" i="4"/>
  <c r="N1306" i="4"/>
  <c r="N1305" i="4"/>
  <c r="N1304" i="4"/>
  <c r="N1303" i="4"/>
  <c r="N1302" i="4"/>
  <c r="N1301" i="4"/>
  <c r="N1300" i="4"/>
  <c r="N1299" i="4"/>
  <c r="N1298" i="4"/>
  <c r="N1297" i="4"/>
  <c r="N1296" i="4"/>
  <c r="N1295" i="4"/>
  <c r="N1294" i="4"/>
  <c r="N1293" i="4"/>
  <c r="N1292" i="4"/>
  <c r="N1291" i="4"/>
  <c r="N1290" i="4"/>
  <c r="N1289" i="4"/>
  <c r="N1288" i="4"/>
  <c r="N1287" i="4"/>
  <c r="N1286" i="4"/>
  <c r="N1285" i="4"/>
  <c r="N1284" i="4"/>
  <c r="N1283" i="4"/>
  <c r="N1282" i="4"/>
  <c r="N1281" i="4"/>
  <c r="N1280" i="4"/>
  <c r="N1279" i="4"/>
  <c r="N1278" i="4"/>
  <c r="N1277" i="4"/>
  <c r="N1276" i="4"/>
  <c r="N1275" i="4"/>
  <c r="N1274" i="4"/>
  <c r="N1273" i="4"/>
  <c r="N1272" i="4"/>
  <c r="N1271" i="4"/>
  <c r="N1270" i="4"/>
  <c r="N1269" i="4"/>
  <c r="N1268" i="4"/>
  <c r="N1267" i="4"/>
  <c r="N1266" i="4"/>
  <c r="N1265" i="4"/>
  <c r="N1264" i="4"/>
  <c r="N1263" i="4"/>
  <c r="N1262" i="4"/>
  <c r="N1261" i="4"/>
  <c r="N1260" i="4"/>
  <c r="N1259" i="4"/>
  <c r="N1258" i="4"/>
  <c r="N1257" i="4"/>
  <c r="N1256" i="4"/>
  <c r="N1255" i="4"/>
  <c r="N1254" i="4"/>
  <c r="N1253" i="4"/>
  <c r="N1252" i="4"/>
  <c r="N1251" i="4"/>
  <c r="N1250" i="4"/>
  <c r="N1249" i="4"/>
  <c r="N1248" i="4"/>
  <c r="N1247" i="4"/>
  <c r="N1246" i="4"/>
  <c r="N1245" i="4"/>
  <c r="N1244" i="4"/>
  <c r="N1243" i="4"/>
  <c r="N1242" i="4"/>
  <c r="N1241" i="4"/>
  <c r="N1240" i="4"/>
  <c r="N1239" i="4"/>
  <c r="N1238" i="4"/>
  <c r="N1237" i="4"/>
  <c r="N1236" i="4"/>
  <c r="N1235" i="4"/>
  <c r="N1234" i="4"/>
  <c r="N1233" i="4"/>
  <c r="N1232" i="4"/>
  <c r="N1231" i="4"/>
  <c r="N1230" i="4"/>
  <c r="N1229" i="4"/>
  <c r="N1228" i="4"/>
  <c r="N1227" i="4"/>
  <c r="N1226" i="4"/>
  <c r="N1225" i="4"/>
  <c r="N1224" i="4"/>
  <c r="N1223" i="4"/>
  <c r="N1222" i="4"/>
  <c r="N1221" i="4"/>
  <c r="N1220" i="4"/>
  <c r="N1219" i="4"/>
  <c r="N1218" i="4"/>
  <c r="N1217" i="4"/>
  <c r="N1216" i="4"/>
  <c r="N1215" i="4"/>
  <c r="N1214" i="4"/>
  <c r="N1213" i="4"/>
  <c r="N1212" i="4"/>
  <c r="N1211" i="4"/>
  <c r="N1210" i="4"/>
  <c r="N1209" i="4"/>
  <c r="N1208" i="4"/>
  <c r="N1207" i="4"/>
  <c r="N1206" i="4"/>
  <c r="N1205" i="4"/>
  <c r="N1204" i="4"/>
  <c r="N1203" i="4"/>
  <c r="N1202" i="4"/>
  <c r="N1201" i="4"/>
  <c r="N1200" i="4"/>
  <c r="N1199" i="4"/>
  <c r="N1198" i="4"/>
  <c r="N1197" i="4"/>
  <c r="N1196" i="4"/>
  <c r="N1195" i="4"/>
  <c r="N1194" i="4"/>
  <c r="N1193" i="4"/>
  <c r="N1192" i="4"/>
  <c r="N1191" i="4"/>
  <c r="N1190" i="4"/>
  <c r="N1189" i="4"/>
  <c r="N1188" i="4"/>
  <c r="N1187" i="4"/>
  <c r="N1186" i="4"/>
  <c r="N1185" i="4"/>
  <c r="N1184" i="4"/>
  <c r="N1183" i="4"/>
  <c r="N1182" i="4"/>
  <c r="N1181" i="4"/>
  <c r="N1180" i="4"/>
  <c r="N1179" i="4"/>
  <c r="N1178" i="4"/>
  <c r="N1177" i="4"/>
  <c r="N1176" i="4"/>
  <c r="N1175" i="4"/>
  <c r="N1174" i="4"/>
  <c r="N1173" i="4"/>
  <c r="N1172" i="4"/>
  <c r="N1171" i="4"/>
  <c r="N1170" i="4"/>
  <c r="N1169" i="4"/>
  <c r="N1168" i="4"/>
  <c r="N1167" i="4"/>
  <c r="N1166" i="4"/>
  <c r="N1165" i="4"/>
  <c r="N1164" i="4"/>
  <c r="N1163" i="4"/>
  <c r="N1162" i="4"/>
  <c r="N1161" i="4"/>
  <c r="N1160" i="4"/>
  <c r="N1159" i="4"/>
  <c r="N1158" i="4"/>
  <c r="N1157" i="4"/>
  <c r="N1156" i="4"/>
  <c r="N1155" i="4"/>
  <c r="N1154" i="4"/>
  <c r="N1153" i="4"/>
  <c r="N1152" i="4"/>
  <c r="N1151" i="4"/>
  <c r="N1150" i="4"/>
  <c r="N1149" i="4"/>
  <c r="N1148" i="4"/>
  <c r="N1147" i="4"/>
  <c r="N1146" i="4"/>
  <c r="N1145" i="4"/>
  <c r="N1144" i="4"/>
  <c r="N1143" i="4"/>
  <c r="N1142" i="4"/>
  <c r="N1141" i="4"/>
  <c r="N1140" i="4"/>
  <c r="N1139" i="4"/>
  <c r="N1138" i="4"/>
  <c r="N1137" i="4"/>
  <c r="N1136" i="4"/>
  <c r="N1135" i="4"/>
  <c r="N1134" i="4"/>
  <c r="N1133" i="4"/>
  <c r="N1132" i="4"/>
  <c r="N1131" i="4"/>
  <c r="N1130" i="4"/>
  <c r="N1129" i="4"/>
  <c r="N1128" i="4"/>
  <c r="N1127" i="4"/>
  <c r="N1126" i="4"/>
  <c r="N1125" i="4"/>
  <c r="N1124" i="4"/>
  <c r="N1123" i="4"/>
  <c r="N1122" i="4"/>
  <c r="N1121" i="4"/>
  <c r="N1120" i="4"/>
  <c r="N1119" i="4"/>
  <c r="N1118" i="4"/>
  <c r="N1117" i="4"/>
  <c r="N1116" i="4"/>
  <c r="N1115" i="4"/>
  <c r="N1114" i="4"/>
  <c r="N1113" i="4"/>
  <c r="N1112" i="4"/>
  <c r="N1111" i="4"/>
  <c r="N1110" i="4"/>
  <c r="N1109" i="4"/>
  <c r="N1108" i="4"/>
  <c r="N1107" i="4"/>
  <c r="N1106" i="4"/>
  <c r="N1105" i="4"/>
  <c r="N1104" i="4"/>
  <c r="N1103" i="4"/>
  <c r="N1102" i="4"/>
  <c r="N1101" i="4"/>
  <c r="N1100" i="4"/>
  <c r="N1099" i="4"/>
  <c r="N1098" i="4"/>
  <c r="N1097" i="4"/>
  <c r="N1096" i="4"/>
  <c r="N1095" i="4"/>
  <c r="N1094" i="4"/>
  <c r="N1093" i="4"/>
  <c r="N1092" i="4"/>
  <c r="N1091" i="4"/>
  <c r="N1090" i="4"/>
  <c r="N1089" i="4"/>
  <c r="N1088" i="4"/>
  <c r="N1087" i="4"/>
  <c r="N1086" i="4"/>
  <c r="N1085" i="4"/>
  <c r="N1084" i="4"/>
  <c r="N1083" i="4"/>
  <c r="N1082" i="4"/>
  <c r="N1081" i="4"/>
  <c r="N1080" i="4"/>
  <c r="N1079" i="4"/>
  <c r="N1078" i="4"/>
  <c r="N1077" i="4"/>
  <c r="N1076" i="4"/>
  <c r="N1075" i="4"/>
  <c r="N1074" i="4"/>
  <c r="N1073" i="4"/>
  <c r="N1072" i="4"/>
  <c r="N1071" i="4"/>
  <c r="N1070" i="4"/>
  <c r="N1069" i="4"/>
  <c r="N1068" i="4"/>
  <c r="N1067" i="4"/>
  <c r="N1066" i="4"/>
  <c r="N1065" i="4"/>
  <c r="N1064" i="4"/>
  <c r="N1063" i="4"/>
  <c r="N1062" i="4"/>
  <c r="N1061" i="4"/>
  <c r="N1060" i="4"/>
  <c r="N1059" i="4"/>
  <c r="N1058" i="4"/>
  <c r="N1057" i="4"/>
  <c r="N1056" i="4"/>
  <c r="N1055" i="4"/>
  <c r="N1054" i="4"/>
  <c r="N1053" i="4"/>
  <c r="N1052" i="4"/>
  <c r="N1051" i="4"/>
  <c r="N1050" i="4"/>
  <c r="N1049" i="4"/>
  <c r="N1048" i="4"/>
  <c r="N1047" i="4"/>
  <c r="N1046" i="4"/>
  <c r="N1045" i="4"/>
  <c r="N1044" i="4"/>
  <c r="N1043" i="4"/>
  <c r="N1042" i="4"/>
  <c r="N1041" i="4"/>
  <c r="N1040" i="4"/>
  <c r="N1039" i="4"/>
  <c r="N1038" i="4"/>
  <c r="N1037" i="4"/>
  <c r="N1036" i="4"/>
  <c r="N1035" i="4"/>
  <c r="N1034" i="4"/>
  <c r="N1033" i="4"/>
  <c r="N1032" i="4"/>
  <c r="N1031" i="4"/>
  <c r="N1030" i="4"/>
  <c r="N1029" i="4"/>
  <c r="N1028" i="4"/>
  <c r="N1027" i="4"/>
  <c r="N1026" i="4"/>
  <c r="N1025" i="4"/>
  <c r="N1024" i="4"/>
  <c r="N1023" i="4"/>
  <c r="N1022" i="4"/>
  <c r="N1021" i="4"/>
  <c r="N1020" i="4"/>
  <c r="N1019" i="4"/>
  <c r="N1018" i="4"/>
  <c r="N1017" i="4"/>
  <c r="N1016" i="4"/>
  <c r="N1015" i="4"/>
  <c r="N1014" i="4"/>
  <c r="N1013" i="4"/>
  <c r="N1012" i="4"/>
  <c r="N1011" i="4"/>
  <c r="N1010" i="4"/>
  <c r="N1009" i="4"/>
  <c r="N1008" i="4"/>
  <c r="N1007" i="4"/>
  <c r="N1006" i="4"/>
  <c r="N1005" i="4"/>
  <c r="N1004" i="4"/>
  <c r="N1003" i="4"/>
  <c r="N1002" i="4"/>
  <c r="N1001" i="4"/>
  <c r="N1000" i="4"/>
  <c r="N999" i="4"/>
  <c r="N998" i="4"/>
  <c r="N997" i="4"/>
  <c r="N996" i="4"/>
  <c r="N995" i="4"/>
  <c r="N994" i="4"/>
  <c r="N993" i="4"/>
  <c r="N992" i="4"/>
  <c r="N991" i="4"/>
  <c r="N990" i="4"/>
  <c r="N989" i="4"/>
  <c r="N988" i="4"/>
  <c r="N987" i="4"/>
  <c r="N986" i="4"/>
  <c r="N985" i="4"/>
  <c r="N984" i="4"/>
  <c r="N983" i="4"/>
  <c r="N982" i="4"/>
  <c r="N981" i="4"/>
  <c r="N980" i="4"/>
  <c r="N979" i="4"/>
  <c r="N978" i="4"/>
  <c r="N977" i="4"/>
  <c r="N976" i="4"/>
  <c r="N975" i="4"/>
  <c r="N974" i="4"/>
  <c r="N973" i="4"/>
  <c r="N972" i="4"/>
  <c r="N971" i="4"/>
  <c r="N970" i="4"/>
  <c r="N969" i="4"/>
  <c r="N968" i="4"/>
  <c r="N967" i="4"/>
  <c r="N966" i="4"/>
  <c r="N965" i="4"/>
  <c r="N964" i="4"/>
  <c r="N963" i="4"/>
  <c r="N962" i="4"/>
  <c r="N961" i="4"/>
  <c r="N960" i="4"/>
  <c r="N959" i="4"/>
  <c r="N958" i="4"/>
  <c r="N957" i="4"/>
  <c r="N956" i="4"/>
  <c r="N955" i="4"/>
  <c r="N954" i="4"/>
  <c r="N953" i="4"/>
  <c r="N952" i="4"/>
  <c r="N951" i="4"/>
  <c r="N950" i="4"/>
  <c r="N949" i="4"/>
  <c r="N948" i="4"/>
  <c r="N947" i="4"/>
  <c r="N946" i="4"/>
  <c r="N945" i="4"/>
  <c r="N944" i="4"/>
  <c r="N943" i="4"/>
  <c r="N942" i="4"/>
  <c r="N941" i="4"/>
  <c r="N940" i="4"/>
  <c r="N939" i="4"/>
  <c r="N938" i="4"/>
  <c r="N937" i="4"/>
  <c r="N936" i="4"/>
  <c r="N935" i="4"/>
  <c r="N934" i="4"/>
  <c r="N933" i="4"/>
  <c r="N932" i="4"/>
  <c r="N931" i="4"/>
  <c r="N930" i="4"/>
  <c r="N929" i="4"/>
  <c r="N928" i="4"/>
  <c r="N927" i="4"/>
  <c r="N926" i="4"/>
  <c r="N925" i="4"/>
  <c r="N924" i="4"/>
  <c r="N923" i="4"/>
  <c r="N922" i="4"/>
  <c r="N921" i="4"/>
  <c r="N920" i="4"/>
  <c r="N919" i="4"/>
  <c r="N918" i="4"/>
  <c r="N917" i="4"/>
  <c r="N916" i="4"/>
  <c r="N915" i="4"/>
  <c r="N914" i="4"/>
  <c r="N913" i="4"/>
  <c r="N912" i="4"/>
  <c r="N911" i="4"/>
  <c r="N910" i="4"/>
  <c r="N909" i="4"/>
  <c r="N908" i="4"/>
  <c r="N907" i="4"/>
  <c r="N906" i="4"/>
  <c r="N905" i="4"/>
  <c r="N904" i="4"/>
  <c r="N903" i="4"/>
  <c r="N902" i="4"/>
  <c r="N901" i="4"/>
  <c r="N900" i="4"/>
  <c r="N899" i="4"/>
  <c r="N898" i="4"/>
  <c r="N897" i="4"/>
  <c r="N896" i="4"/>
  <c r="N895" i="4"/>
  <c r="N894" i="4"/>
  <c r="N893" i="4"/>
  <c r="N892" i="4"/>
  <c r="N891" i="4"/>
  <c r="N890" i="4"/>
  <c r="N889" i="4"/>
  <c r="N888" i="4"/>
  <c r="N887" i="4"/>
  <c r="N886" i="4"/>
  <c r="N885" i="4"/>
  <c r="N884" i="4"/>
  <c r="N883" i="4"/>
  <c r="N882" i="4"/>
  <c r="N881" i="4"/>
  <c r="N880" i="4"/>
  <c r="N879" i="4"/>
  <c r="N878" i="4"/>
  <c r="N877" i="4"/>
  <c r="N876" i="4"/>
  <c r="N875" i="4"/>
  <c r="N874" i="4"/>
  <c r="N873" i="4"/>
  <c r="N872" i="4"/>
  <c r="N871" i="4"/>
  <c r="N870" i="4"/>
  <c r="N869" i="4"/>
  <c r="N868" i="4"/>
  <c r="N867" i="4"/>
  <c r="N866" i="4"/>
  <c r="N865" i="4"/>
  <c r="N864" i="4"/>
  <c r="N863" i="4"/>
  <c r="N862" i="4"/>
  <c r="N861" i="4"/>
  <c r="N860" i="4"/>
  <c r="N859" i="4"/>
  <c r="N858" i="4"/>
  <c r="N857" i="4"/>
  <c r="N856" i="4"/>
  <c r="N855" i="4"/>
  <c r="N854" i="4"/>
  <c r="N853" i="4"/>
  <c r="N852" i="4"/>
  <c r="N851" i="4"/>
  <c r="N850" i="4"/>
  <c r="N849" i="4"/>
  <c r="N848" i="4"/>
  <c r="N847" i="4"/>
  <c r="N846" i="4"/>
  <c r="N845" i="4"/>
  <c r="N844" i="4"/>
  <c r="N843" i="4"/>
  <c r="N842" i="4"/>
  <c r="N841" i="4"/>
  <c r="N840" i="4"/>
  <c r="N839" i="4"/>
  <c r="N838" i="4"/>
  <c r="N837" i="4"/>
  <c r="N836" i="4"/>
  <c r="N835" i="4"/>
  <c r="N834" i="4"/>
  <c r="N833" i="4"/>
  <c r="N832" i="4"/>
  <c r="N831" i="4"/>
  <c r="N830" i="4"/>
  <c r="N829" i="4"/>
  <c r="N828" i="4"/>
  <c r="N827" i="4"/>
  <c r="N826" i="4"/>
  <c r="N825" i="4"/>
  <c r="N824" i="4"/>
  <c r="N823" i="4"/>
  <c r="N822" i="4"/>
  <c r="N821" i="4"/>
  <c r="N820" i="4"/>
  <c r="N819" i="4"/>
  <c r="N818" i="4"/>
  <c r="N817" i="4"/>
  <c r="N816" i="4"/>
  <c r="N815" i="4"/>
  <c r="N814" i="4"/>
  <c r="N813" i="4"/>
  <c r="N812" i="4"/>
  <c r="N811" i="4"/>
  <c r="N810" i="4"/>
  <c r="N809" i="4"/>
  <c r="N808" i="4"/>
  <c r="N807" i="4"/>
  <c r="N806" i="4"/>
  <c r="N805" i="4"/>
  <c r="N804" i="4"/>
  <c r="N803" i="4"/>
  <c r="N802" i="4"/>
  <c r="N801" i="4"/>
  <c r="N800" i="4"/>
  <c r="N799" i="4"/>
  <c r="N798" i="4"/>
  <c r="N797" i="4"/>
  <c r="N796" i="4"/>
  <c r="N795" i="4"/>
  <c r="N794" i="4"/>
  <c r="N793" i="4"/>
  <c r="N792" i="4"/>
  <c r="N791" i="4"/>
  <c r="N790" i="4"/>
  <c r="N789" i="4"/>
  <c r="N788" i="4"/>
  <c r="N787" i="4"/>
  <c r="N786" i="4"/>
  <c r="N785" i="4"/>
  <c r="N784" i="4"/>
  <c r="N783" i="4"/>
  <c r="N782" i="4"/>
  <c r="N781" i="4"/>
  <c r="N780" i="4"/>
  <c r="N779" i="4"/>
  <c r="N778" i="4"/>
  <c r="N777" i="4"/>
  <c r="N776" i="4"/>
  <c r="N775" i="4"/>
  <c r="N774" i="4"/>
  <c r="N773" i="4"/>
  <c r="N772" i="4"/>
  <c r="N771" i="4"/>
  <c r="N770" i="4"/>
  <c r="N769" i="4"/>
  <c r="N768" i="4"/>
  <c r="N767" i="4"/>
  <c r="N766" i="4"/>
  <c r="N765" i="4"/>
  <c r="N764" i="4"/>
  <c r="N763" i="4"/>
  <c r="N762" i="4"/>
  <c r="N761" i="4"/>
  <c r="N760" i="4"/>
  <c r="N759" i="4"/>
  <c r="N758" i="4"/>
  <c r="N757" i="4"/>
  <c r="N756" i="4"/>
  <c r="N755" i="4"/>
  <c r="N754" i="4"/>
  <c r="N753" i="4"/>
  <c r="N752" i="4"/>
  <c r="N751" i="4"/>
  <c r="N750" i="4"/>
  <c r="N749" i="4"/>
  <c r="N748" i="4"/>
  <c r="N747" i="4"/>
  <c r="N746" i="4"/>
  <c r="N745" i="4"/>
  <c r="N744" i="4"/>
  <c r="N743" i="4"/>
  <c r="N742" i="4"/>
  <c r="N741" i="4"/>
  <c r="N740" i="4"/>
  <c r="N739" i="4"/>
  <c r="N738" i="4"/>
  <c r="N737" i="4"/>
  <c r="N736" i="4"/>
  <c r="N735" i="4"/>
  <c r="N734" i="4"/>
  <c r="N733" i="4"/>
  <c r="N732" i="4"/>
  <c r="N731" i="4"/>
  <c r="N730" i="4"/>
  <c r="N729" i="4"/>
  <c r="N728" i="4"/>
  <c r="N727" i="4"/>
  <c r="N726" i="4"/>
  <c r="N725" i="4"/>
  <c r="N724" i="4"/>
  <c r="N723" i="4"/>
  <c r="N722" i="4"/>
  <c r="N721" i="4"/>
  <c r="N720" i="4"/>
  <c r="N719" i="4"/>
  <c r="N718" i="4"/>
  <c r="N717" i="4"/>
  <c r="N716" i="4"/>
  <c r="N715" i="4"/>
  <c r="N714" i="4"/>
  <c r="N713" i="4"/>
  <c r="N712" i="4"/>
  <c r="N711" i="4"/>
  <c r="N710" i="4"/>
  <c r="N709" i="4"/>
  <c r="N708" i="4"/>
  <c r="N707" i="4"/>
  <c r="N706" i="4"/>
  <c r="N705" i="4"/>
  <c r="N704" i="4"/>
  <c r="N703" i="4"/>
  <c r="N702" i="4"/>
  <c r="N701" i="4"/>
  <c r="N700" i="4"/>
  <c r="N699" i="4"/>
  <c r="N698" i="4"/>
  <c r="N697" i="4"/>
  <c r="N696" i="4"/>
  <c r="N695" i="4"/>
  <c r="N694" i="4"/>
  <c r="N693" i="4"/>
  <c r="N692" i="4"/>
  <c r="N691" i="4"/>
  <c r="N690" i="4"/>
  <c r="N689" i="4"/>
  <c r="N688" i="4"/>
  <c r="N687" i="4"/>
  <c r="N686" i="4"/>
  <c r="N685" i="4"/>
  <c r="N684" i="4"/>
  <c r="N683" i="4"/>
  <c r="N682" i="4"/>
  <c r="N681" i="4"/>
  <c r="N680" i="4"/>
  <c r="N679" i="4"/>
  <c r="N678" i="4"/>
  <c r="N677" i="4"/>
  <c r="N676" i="4"/>
  <c r="N675" i="4"/>
  <c r="N674" i="4"/>
  <c r="N673" i="4"/>
  <c r="N672" i="4"/>
  <c r="N671" i="4"/>
  <c r="N670" i="4"/>
  <c r="N669" i="4"/>
  <c r="N668" i="4"/>
  <c r="N667" i="4"/>
  <c r="N666" i="4"/>
  <c r="N665" i="4"/>
  <c r="N664" i="4"/>
  <c r="N663" i="4"/>
  <c r="N662" i="4"/>
  <c r="N661" i="4"/>
  <c r="N660" i="4"/>
  <c r="N659" i="4"/>
  <c r="N658" i="4"/>
  <c r="N657" i="4"/>
  <c r="N656" i="4"/>
  <c r="N655" i="4"/>
  <c r="N654" i="4"/>
  <c r="N653" i="4"/>
  <c r="N652" i="4"/>
  <c r="N651" i="4"/>
  <c r="N650" i="4"/>
  <c r="N649" i="4"/>
  <c r="N648" i="4"/>
  <c r="N647" i="4"/>
  <c r="N646" i="4"/>
  <c r="N645" i="4"/>
  <c r="N644" i="4"/>
  <c r="N643" i="4"/>
  <c r="N642" i="4"/>
  <c r="N641" i="4"/>
  <c r="N640" i="4"/>
  <c r="N639" i="4"/>
  <c r="N638" i="4"/>
  <c r="N637" i="4"/>
  <c r="N636" i="4"/>
  <c r="N635" i="4"/>
  <c r="N634" i="4"/>
  <c r="N633" i="4"/>
  <c r="N632" i="4"/>
  <c r="N631" i="4"/>
  <c r="N630" i="4"/>
  <c r="N629" i="4"/>
  <c r="N628" i="4"/>
  <c r="N627" i="4"/>
  <c r="N626" i="4"/>
  <c r="N625" i="4"/>
  <c r="N624" i="4"/>
  <c r="N623" i="4"/>
  <c r="N622" i="4"/>
  <c r="N621" i="4"/>
  <c r="N620" i="4"/>
  <c r="N619" i="4"/>
  <c r="N618" i="4"/>
  <c r="N617" i="4"/>
  <c r="N616" i="4"/>
  <c r="N615" i="4"/>
  <c r="N614" i="4"/>
  <c r="N613" i="4"/>
  <c r="N612" i="4"/>
  <c r="N611" i="4"/>
  <c r="N610" i="4"/>
  <c r="N609" i="4"/>
  <c r="N608" i="4"/>
  <c r="N607" i="4"/>
  <c r="N606" i="4"/>
  <c r="N605" i="4"/>
  <c r="N604" i="4"/>
  <c r="N603" i="4"/>
  <c r="N602" i="4"/>
  <c r="N601" i="4"/>
  <c r="N600" i="4"/>
  <c r="N599" i="4"/>
  <c r="N598" i="4"/>
  <c r="N597" i="4"/>
  <c r="N596" i="4"/>
  <c r="N595" i="4"/>
  <c r="N594" i="4"/>
  <c r="N593" i="4"/>
  <c r="N592" i="4"/>
  <c r="N591" i="4"/>
  <c r="N590" i="4"/>
  <c r="N589" i="4"/>
  <c r="N588" i="4"/>
  <c r="N587" i="4"/>
  <c r="N586" i="4"/>
  <c r="N585" i="4"/>
  <c r="N584" i="4"/>
  <c r="N583" i="4"/>
  <c r="N582" i="4"/>
  <c r="N581" i="4"/>
  <c r="N580" i="4"/>
  <c r="N579" i="4"/>
  <c r="N578" i="4"/>
  <c r="N577" i="4"/>
  <c r="N576" i="4"/>
  <c r="N575" i="4"/>
  <c r="N574" i="4"/>
  <c r="N573" i="4"/>
  <c r="N572" i="4"/>
  <c r="N571" i="4"/>
  <c r="N570" i="4"/>
  <c r="N569" i="4"/>
  <c r="N568" i="4"/>
  <c r="N567" i="4"/>
  <c r="N566" i="4"/>
  <c r="N565" i="4"/>
  <c r="N564" i="4"/>
  <c r="N563" i="4"/>
  <c r="N562" i="4"/>
  <c r="N561" i="4"/>
  <c r="N560" i="4"/>
  <c r="N559" i="4"/>
  <c r="N558" i="4"/>
  <c r="N557" i="4"/>
  <c r="N556" i="4"/>
  <c r="N555" i="4"/>
  <c r="N554" i="4"/>
  <c r="N553" i="4"/>
  <c r="N552" i="4"/>
  <c r="N551" i="4"/>
  <c r="N550" i="4"/>
  <c r="N549" i="4"/>
  <c r="N548" i="4"/>
  <c r="N547" i="4"/>
  <c r="N546" i="4"/>
  <c r="N545" i="4"/>
  <c r="N544" i="4"/>
  <c r="N543" i="4"/>
  <c r="N542" i="4"/>
  <c r="N541" i="4"/>
  <c r="N540" i="4"/>
  <c r="N539" i="4"/>
  <c r="N538" i="4"/>
  <c r="N537" i="4"/>
  <c r="N536" i="4"/>
  <c r="N535" i="4"/>
  <c r="N534" i="4"/>
  <c r="N533" i="4"/>
  <c r="N532" i="4"/>
  <c r="N531" i="4"/>
  <c r="N530" i="4"/>
  <c r="N529" i="4"/>
  <c r="N528" i="4"/>
  <c r="N527" i="4"/>
  <c r="N526" i="4"/>
  <c r="N525" i="4"/>
  <c r="N524" i="4"/>
  <c r="N523" i="4"/>
  <c r="N522" i="4"/>
  <c r="N521" i="4"/>
  <c r="N520" i="4"/>
  <c r="N519" i="4"/>
  <c r="N518" i="4"/>
  <c r="N517" i="4"/>
  <c r="N516" i="4"/>
  <c r="N515" i="4"/>
  <c r="N514" i="4"/>
  <c r="N513" i="4"/>
  <c r="N512" i="4"/>
  <c r="N511" i="4"/>
  <c r="N510" i="4"/>
  <c r="N509" i="4"/>
  <c r="N508" i="4"/>
  <c r="N507" i="4"/>
  <c r="N506" i="4"/>
  <c r="N505" i="4"/>
  <c r="N504" i="4"/>
  <c r="N503" i="4"/>
  <c r="N502" i="4"/>
  <c r="N501" i="4"/>
  <c r="N500" i="4"/>
  <c r="N499" i="4"/>
  <c r="N498" i="4"/>
  <c r="N497" i="4"/>
  <c r="N496" i="4"/>
  <c r="N495" i="4"/>
  <c r="N494" i="4"/>
  <c r="N493" i="4"/>
  <c r="N492" i="4"/>
  <c r="N491" i="4"/>
  <c r="N490" i="4"/>
  <c r="N489" i="4"/>
  <c r="N488" i="4"/>
  <c r="N487" i="4"/>
  <c r="N486" i="4"/>
  <c r="N485" i="4"/>
  <c r="N484" i="4"/>
  <c r="N483" i="4"/>
  <c r="N482" i="4"/>
  <c r="N481" i="4"/>
  <c r="N480" i="4"/>
  <c r="N479" i="4"/>
  <c r="N478" i="4"/>
  <c r="N477" i="4"/>
  <c r="N476" i="4"/>
  <c r="N475" i="4"/>
  <c r="N474" i="4"/>
  <c r="N473" i="4"/>
  <c r="N472" i="4"/>
  <c r="N471" i="4"/>
  <c r="N470" i="4"/>
  <c r="N469" i="4"/>
  <c r="N468" i="4"/>
  <c r="N467" i="4"/>
  <c r="N466" i="4"/>
  <c r="N465" i="4"/>
  <c r="N464" i="4"/>
  <c r="N463" i="4"/>
  <c r="N462" i="4"/>
  <c r="N461" i="4"/>
  <c r="N460" i="4"/>
  <c r="N459" i="4"/>
  <c r="N458" i="4"/>
  <c r="N457" i="4"/>
  <c r="N456" i="4"/>
  <c r="N455" i="4"/>
  <c r="N454" i="4"/>
  <c r="N453" i="4"/>
  <c r="N452" i="4"/>
  <c r="N451" i="4"/>
  <c r="N450" i="4"/>
  <c r="N449" i="4"/>
  <c r="N448" i="4"/>
  <c r="N447" i="4"/>
  <c r="N446" i="4"/>
  <c r="N445" i="4"/>
  <c r="N444" i="4"/>
  <c r="N443" i="4"/>
  <c r="N442" i="4"/>
  <c r="N441" i="4"/>
  <c r="N440" i="4"/>
  <c r="N439" i="4"/>
  <c r="N438" i="4"/>
  <c r="N437" i="4"/>
  <c r="N436" i="4"/>
  <c r="N435" i="4"/>
  <c r="N434" i="4"/>
  <c r="N433" i="4"/>
  <c r="N432" i="4"/>
  <c r="N431" i="4"/>
  <c r="N430" i="4"/>
  <c r="N429" i="4"/>
  <c r="N428" i="4"/>
  <c r="N427" i="4"/>
  <c r="N426" i="4"/>
  <c r="N425" i="4"/>
  <c r="N424" i="4"/>
  <c r="N423" i="4"/>
  <c r="N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N402" i="4"/>
  <c r="N401" i="4"/>
  <c r="N400" i="4"/>
  <c r="N399" i="4"/>
  <c r="N398" i="4"/>
  <c r="N397" i="4"/>
  <c r="N396" i="4"/>
  <c r="N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74" i="4"/>
  <c r="N373" i="4"/>
  <c r="N372" i="4"/>
  <c r="N371" i="4"/>
  <c r="N370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B2345" i="4"/>
  <c r="H2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3" i="4"/>
  <c r="M4" i="4"/>
  <c r="M5" i="4"/>
  <c r="M6" i="4"/>
  <c r="M7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" i="4"/>
  <c r="K3" i="4"/>
  <c r="K2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4" i="4"/>
  <c r="I7" i="4"/>
  <c r="I9" i="4"/>
  <c r="I10" i="4"/>
  <c r="I13" i="4"/>
  <c r="I16" i="4"/>
  <c r="I18" i="4"/>
  <c r="I19" i="4"/>
  <c r="I20" i="4"/>
  <c r="I22" i="4"/>
  <c r="I23" i="4"/>
  <c r="I24" i="4"/>
  <c r="I25" i="4"/>
  <c r="I26" i="4"/>
  <c r="I27" i="4"/>
  <c r="I29" i="4"/>
  <c r="I30" i="4"/>
  <c r="I33" i="4"/>
  <c r="I35" i="4"/>
  <c r="I36" i="4"/>
  <c r="I39" i="4"/>
  <c r="I41" i="4"/>
  <c r="I42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F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E2" i="4"/>
  <c r="D2" i="4"/>
  <c r="C2" i="4"/>
  <c r="A2337" i="4"/>
  <c r="L2336" i="4" s="1"/>
  <c r="K15" i="1"/>
  <c r="K3" i="1"/>
  <c r="K4" i="1"/>
  <c r="K5" i="1"/>
  <c r="K6" i="1"/>
  <c r="K7" i="1"/>
  <c r="K8" i="1"/>
  <c r="K9" i="1"/>
  <c r="K10" i="1"/>
  <c r="K11" i="1"/>
  <c r="K12" i="1"/>
  <c r="K13" i="1"/>
  <c r="K14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" i="1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3" i="2"/>
  <c r="E4" i="2"/>
  <c r="E5" i="2"/>
  <c r="E6" i="2"/>
  <c r="E7" i="2"/>
  <c r="E8" i="2"/>
  <c r="E9" i="2"/>
  <c r="E10" i="2"/>
  <c r="E11" i="2"/>
  <c r="E12" i="2"/>
  <c r="E13" i="2"/>
  <c r="E14" i="2"/>
  <c r="E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" i="2"/>
  <c r="I39" i="2"/>
  <c r="I30" i="2"/>
  <c r="I35" i="2"/>
  <c r="I18" i="2"/>
  <c r="I19" i="2"/>
  <c r="I13" i="2"/>
  <c r="I7" i="2"/>
  <c r="I33" i="2" s="1"/>
  <c r="J2337" i="2"/>
  <c r="J2338" i="2" a="1"/>
  <c r="J2338" i="2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E2" i="3"/>
  <c r="D2" i="3"/>
  <c r="C2" i="3"/>
  <c r="I16" i="2" l="1"/>
  <c r="G2346" i="1" l="1" a="1"/>
  <c r="G2346" i="1" s="1"/>
  <c r="H2346" i="1" a="1"/>
  <c r="H2346" i="1" s="1"/>
  <c r="B2346" i="1"/>
  <c r="C2345" i="1"/>
  <c r="A2345" i="1"/>
  <c r="D2345" i="1"/>
  <c r="E2345" i="1"/>
  <c r="F2345" i="1"/>
  <c r="G2345" i="1"/>
  <c r="H2345" i="1"/>
  <c r="I2345" i="1"/>
  <c r="G2337" i="2"/>
  <c r="A2337" i="2"/>
  <c r="C2337" i="2"/>
  <c r="D2337" i="2"/>
  <c r="F2337" i="2"/>
  <c r="H2337" i="2"/>
  <c r="I28" i="4" l="1"/>
  <c r="I28" i="2"/>
  <c r="I15" i="4"/>
  <c r="I15" i="2"/>
  <c r="I43" i="4"/>
  <c r="I43" i="2"/>
  <c r="I38" i="4"/>
  <c r="I38" i="2"/>
  <c r="I44" i="4"/>
  <c r="I44" i="2"/>
  <c r="I17" i="4"/>
  <c r="I17" i="2"/>
  <c r="I37" i="4"/>
  <c r="I37" i="2"/>
  <c r="I14" i="4"/>
  <c r="I14" i="2"/>
  <c r="I11" i="4"/>
  <c r="I11" i="2"/>
  <c r="I8" i="4"/>
  <c r="I31" i="4"/>
  <c r="I31" i="2"/>
  <c r="I8" i="2"/>
  <c r="I34" i="2"/>
  <c r="I34" i="4"/>
  <c r="I5" i="4"/>
  <c r="I21" i="4"/>
  <c r="I21" i="2"/>
  <c r="I6" i="4"/>
  <c r="I5" i="2"/>
  <c r="I40" i="2"/>
  <c r="I40" i="4"/>
  <c r="I3" i="4"/>
  <c r="I2339" i="2"/>
  <c r="I2337" i="2"/>
  <c r="I2" i="2"/>
  <c r="I2" i="4"/>
  <c r="I6" i="2"/>
  <c r="I32" i="2"/>
  <c r="I32" i="4"/>
  <c r="I3" i="2"/>
  <c r="I12" i="2"/>
  <c r="I1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<sst xmlns="http://schemas.openxmlformats.org/spreadsheetml/2006/main" count="32785" uniqueCount="4735">
  <si>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</si>
  <si>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</si>
  <si>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</si>
  <si>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</si>
  <si>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</si>
  <si>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</si>
  <si>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</si>
  <si>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</si>
  <si>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</si>
  <si>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</si>
  <si>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</si>
  <si>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</si>
  <si>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</si>
  <si>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</si>
  <si>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</si>
  <si>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</si>
  <si>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</si>
  <si>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</si>
  <si>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</si>
  <si>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</si>
  <si>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</si>
  <si>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</si>
  <si>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</si>
  <si>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</si>
  <si>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</si>
  <si>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</si>
  <si>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</si>
  <si>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</si>
  <si>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</si>
  <si>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</si>
  <si>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</si>
  <si>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</si>
  <si>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</si>
  <si>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</si>
  <si>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</si>
  <si>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</si>
  <si>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</si>
  <si>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</si>
  <si>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</si>
  <si>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</si>
  <si>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</si>
  <si>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</si>
  <si>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</si>
  <si>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</si>
  <si>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</si>
  <si>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</si>
  <si>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</si>
  <si>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</si>
  <si>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</si>
  <si>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</si>
  <si>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</si>
  <si>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</si>
  <si>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</si>
  <si>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</si>
  <si>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</si>
  <si>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</si>
  <si>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</si>
  <si>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</si>
  <si>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</si>
  <si>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</si>
  <si>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</si>
  <si>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</si>
  <si>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</si>
  <si>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</si>
  <si>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</si>
  <si>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</si>
  <si>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</si>
  <si>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</si>
  <si>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</si>
  <si>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</si>
  <si>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</si>
  <si>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</si>
  <si>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</si>
  <si>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</si>
  <si>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</si>
  <si>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</si>
  <si>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</si>
  <si>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</si>
  <si>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</si>
  <si>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</si>
  <si>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</si>
  <si>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</si>
  <si>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</si>
  <si>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</si>
  <si>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</si>
  <si>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</si>
  <si>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</si>
  <si>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</si>
  <si>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</si>
  <si>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</si>
  <si>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</si>
  <si>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</si>
  <si>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</si>
  <si>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</si>
  <si>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</si>
  <si>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</si>
  <si>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</si>
  <si>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</si>
  <si>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</si>
  <si>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</si>
  <si>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</si>
  <si>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</si>
  <si>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</si>
  <si>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</si>
  <si>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</si>
  <si>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</si>
  <si>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</si>
  <si>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</si>
  <si>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</si>
  <si>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</si>
  <si>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</si>
  <si>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</si>
  <si>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</si>
  <si>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</si>
  <si>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</si>
  <si>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</si>
  <si>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</si>
  <si>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</si>
  <si>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</si>
  <si>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</si>
  <si>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</si>
  <si>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</si>
  <si>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</si>
  <si>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</si>
  <si>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</si>
  <si>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</si>
  <si>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</si>
  <si>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</si>
  <si>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</si>
  <si>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</si>
  <si>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</si>
  <si>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</si>
  <si>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</si>
  <si>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</si>
  <si>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</si>
  <si>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</si>
  <si>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</si>
  <si>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</si>
  <si>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</si>
  <si>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</si>
  <si>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</si>
  <si>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</si>
  <si>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</si>
  <si>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</si>
  <si>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</si>
  <si>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</si>
  <si>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</si>
  <si>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</si>
  <si>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</si>
  <si>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</si>
  <si>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</si>
  <si>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</si>
  <si>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</si>
  <si>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</si>
  <si>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</si>
  <si>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</si>
  <si>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</si>
  <si>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</si>
  <si>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</si>
  <si>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</si>
  <si>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</si>
  <si>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</si>
  <si>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</si>
  <si>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</si>
  <si>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</si>
  <si>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</si>
  <si>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</si>
  <si>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</si>
  <si>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</si>
  <si>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</si>
  <si>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</si>
  <si>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</si>
  <si>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</si>
  <si>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</si>
  <si>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</si>
  <si>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</si>
  <si>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</si>
  <si>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</si>
  <si>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</si>
  <si>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</si>
  <si>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</si>
  <si>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</si>
  <si>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</si>
  <si>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</si>
  <si>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</si>
  <si>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</si>
  <si>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</si>
  <si>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</si>
  <si>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</si>
  <si>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</si>
  <si>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</si>
  <si>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</si>
  <si>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</si>
  <si>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</si>
  <si>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</si>
  <si>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</si>
  <si>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</si>
  <si>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</si>
  <si>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</si>
  <si>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</si>
  <si>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</si>
  <si>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</si>
  <si>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</si>
  <si>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</si>
  <si>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</si>
  <si>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</si>
  <si>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</si>
  <si>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</si>
  <si>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</si>
  <si>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</si>
  <si>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</si>
  <si>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</si>
  <si>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</si>
  <si>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</si>
  <si>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</si>
  <si>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</si>
  <si>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</si>
  <si>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</si>
  <si>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</si>
  <si>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</si>
  <si>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</si>
  <si>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</si>
  <si>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</si>
  <si>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</si>
  <si>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</si>
  <si>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</si>
  <si>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</si>
  <si>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</si>
  <si>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</si>
  <si>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</si>
  <si>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</si>
  <si>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</si>
  <si>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</si>
  <si>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</si>
  <si>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</si>
  <si>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</si>
  <si>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</si>
  <si>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</si>
  <si>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</si>
  <si>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</si>
  <si>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</si>
  <si>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</si>
  <si>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</si>
  <si>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</si>
  <si>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</si>
  <si>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</si>
  <si>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</si>
  <si>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</si>
  <si>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</si>
  <si>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</si>
  <si>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</si>
  <si>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</si>
  <si>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</si>
  <si>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</si>
  <si>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</si>
  <si>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</si>
  <si>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</si>
  <si>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</si>
  <si>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</si>
  <si>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</si>
  <si>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</si>
  <si>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</si>
  <si>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</si>
  <si>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</si>
  <si>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</si>
  <si>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</si>
  <si>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</si>
  <si>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</si>
  <si>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</si>
  <si>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</si>
  <si>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</si>
  <si>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</si>
  <si>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</si>
  <si>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</si>
  <si>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</si>
  <si>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</si>
  <si>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</si>
  <si>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</si>
  <si>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</si>
  <si>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</si>
  <si>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</si>
  <si>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</si>
  <si>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</si>
  <si>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</si>
  <si>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</si>
  <si>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</si>
  <si>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</si>
  <si>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</si>
  <si>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</si>
  <si>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</si>
  <si>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</si>
  <si>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</si>
  <si>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</si>
  <si>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</si>
  <si>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</si>
  <si>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</si>
  <si>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</si>
  <si>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</si>
  <si>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</si>
  <si>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</si>
  <si>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</si>
  <si>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</si>
  <si>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</si>
  <si>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</si>
  <si>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</si>
  <si>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</si>
  <si>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</si>
  <si>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</si>
  <si>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</si>
  <si>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</si>
  <si>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</si>
  <si>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</si>
  <si>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</si>
  <si>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</si>
  <si>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</si>
  <si>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</si>
  <si>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</si>
  <si>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</si>
  <si>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</si>
  <si>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</si>
  <si>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</si>
  <si>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</si>
  <si>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</si>
  <si>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</si>
  <si>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</si>
  <si>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</si>
  <si>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</si>
  <si>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</si>
  <si>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</si>
  <si>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</si>
  <si>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</si>
  <si>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</si>
  <si>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</si>
  <si>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</si>
  <si>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</si>
  <si>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</si>
  <si>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</si>
  <si>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</si>
  <si>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</si>
  <si>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</si>
  <si>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</si>
  <si>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</si>
  <si>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</si>
  <si>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</si>
  <si>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</si>
  <si>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</si>
  <si>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</si>
  <si>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</si>
  <si>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</si>
  <si>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</si>
  <si>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</si>
  <si>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</si>
  <si>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</si>
  <si>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</si>
  <si>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</si>
  <si>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</si>
  <si>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</si>
  <si>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</si>
  <si>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</si>
  <si>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</si>
  <si>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</si>
  <si>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</si>
  <si>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</si>
  <si>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</si>
  <si>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</si>
  <si>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</si>
  <si>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</si>
  <si>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</si>
  <si>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</si>
  <si>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</si>
  <si>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</si>
  <si>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</si>
  <si>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</si>
  <si>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</si>
  <si>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</si>
  <si>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</si>
  <si>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</si>
  <si>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</si>
  <si>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</si>
  <si>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</si>
  <si>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</si>
  <si>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</si>
  <si>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</si>
  <si>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</si>
  <si>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</si>
  <si>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</si>
  <si>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</si>
  <si>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</si>
  <si>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</si>
  <si>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</si>
  <si>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</si>
  <si>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</si>
  <si>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</si>
  <si>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</si>
  <si>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</si>
  <si>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</si>
  <si>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</si>
  <si>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</si>
  <si>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</si>
  <si>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</si>
  <si>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</si>
  <si>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</si>
  <si>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</si>
  <si>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</si>
  <si>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</si>
  <si>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</si>
  <si>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</si>
  <si>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</si>
  <si>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</si>
  <si>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</si>
  <si>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</si>
  <si>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</si>
  <si>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</si>
  <si>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</si>
  <si>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</si>
  <si>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</si>
  <si>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</si>
  <si>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</si>
  <si>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</si>
  <si>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</si>
  <si>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</si>
  <si>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</si>
  <si>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</si>
  <si>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</si>
  <si>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</si>
  <si>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</si>
  <si>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</si>
  <si>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</si>
  <si>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</si>
  <si>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</si>
  <si>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</si>
  <si>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</si>
  <si>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</si>
  <si>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</si>
  <si>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</si>
  <si>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</si>
  <si>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</si>
  <si>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</si>
  <si>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</si>
  <si>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</si>
  <si>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</si>
  <si>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</si>
  <si>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</si>
  <si>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</si>
  <si>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</si>
  <si>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</si>
  <si>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</si>
  <si>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</si>
  <si>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</si>
  <si>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</si>
  <si>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</si>
  <si>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</si>
  <si>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</si>
  <si>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</si>
  <si>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</si>
  <si>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</si>
  <si>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</si>
  <si>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</si>
  <si>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</si>
  <si>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</si>
  <si>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</si>
  <si>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</si>
  <si>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</si>
  <si>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</si>
  <si>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</si>
  <si>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</si>
  <si>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</si>
  <si>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</si>
  <si>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</si>
  <si>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</si>
  <si>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</si>
  <si>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</si>
  <si>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</si>
  <si>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</si>
  <si>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</si>
  <si>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</si>
  <si>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</si>
  <si>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</si>
  <si>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</si>
  <si>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</si>
  <si>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</si>
  <si>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</si>
  <si>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</si>
  <si>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</si>
  <si>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</si>
  <si>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</si>
  <si>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</si>
  <si>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</si>
  <si>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</si>
  <si>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</si>
  <si>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</si>
  <si>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</si>
  <si>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</si>
  <si>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</si>
  <si>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</si>
  <si>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</si>
  <si>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</si>
  <si>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</si>
  <si>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</si>
  <si>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</si>
  <si>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</si>
  <si>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</si>
  <si>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</si>
  <si>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</si>
  <si>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</si>
  <si>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</si>
  <si>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</si>
  <si>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</si>
  <si>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</si>
  <si>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</si>
  <si>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</si>
  <si>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</si>
  <si>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</si>
  <si>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</si>
  <si>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</si>
  <si>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</si>
  <si>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</si>
  <si>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</si>
  <si>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</si>
  <si>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</si>
  <si>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</si>
  <si>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</si>
  <si>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</si>
  <si>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</si>
  <si>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</si>
  <si>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</si>
  <si>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</si>
  <si>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</si>
  <si>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</si>
  <si>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</si>
  <si>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</si>
  <si>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</si>
  <si>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</si>
  <si>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</si>
  <si>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</si>
  <si>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</si>
  <si>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</si>
  <si>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</si>
  <si>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</si>
  <si>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</si>
  <si>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</si>
  <si>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</si>
  <si>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</si>
  <si>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</si>
  <si>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</si>
  <si>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</si>
  <si>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</si>
  <si>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</si>
  <si>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</si>
  <si>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</si>
  <si>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</si>
  <si>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</si>
  <si>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</si>
  <si>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</si>
  <si>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</si>
  <si>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</si>
  <si>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</si>
  <si>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</si>
  <si>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</si>
  <si>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</si>
  <si>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</si>
  <si>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</si>
  <si>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</si>
  <si>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</si>
  <si>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</si>
  <si>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</si>
  <si>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</si>
  <si>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</si>
  <si>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</si>
  <si>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</si>
  <si>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</si>
  <si>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</si>
  <si>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</si>
  <si>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</si>
  <si>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</si>
  <si>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</si>
  <si>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</si>
  <si>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</si>
  <si>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</si>
  <si>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</si>
  <si>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</si>
  <si>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</si>
  <si>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</si>
  <si>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</si>
  <si>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</si>
  <si>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</si>
  <si>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</si>
  <si>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</si>
  <si>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</si>
  <si>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</si>
  <si>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</si>
  <si>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</si>
  <si>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</si>
  <si>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</si>
  <si>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</si>
  <si>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</si>
  <si>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</si>
  <si>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</si>
  <si>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</si>
  <si>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</si>
  <si>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</si>
  <si>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</si>
  <si>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</si>
  <si>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</si>
  <si>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</si>
  <si>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</si>
  <si>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</si>
  <si>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</si>
  <si>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</si>
  <si>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</si>
  <si>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</si>
  <si>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</si>
  <si>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</si>
  <si>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</si>
  <si>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</si>
  <si>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</si>
  <si>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</si>
  <si>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</si>
  <si>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</si>
  <si>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</si>
  <si>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</si>
  <si>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</si>
  <si>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</si>
  <si>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</si>
  <si>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</si>
  <si>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</si>
  <si>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</si>
  <si>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</si>
  <si>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</si>
  <si>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</si>
  <si>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</si>
  <si>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</si>
  <si>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</si>
  <si>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</si>
  <si>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</si>
  <si>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</si>
  <si>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</si>
  <si>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</si>
  <si>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</si>
  <si>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</si>
  <si>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</si>
  <si>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</si>
  <si>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</si>
  <si>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</si>
  <si>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</si>
  <si>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</si>
  <si>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</si>
  <si>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</si>
  <si>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</si>
  <si>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</si>
  <si>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</si>
  <si>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</si>
  <si>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</si>
  <si>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</si>
  <si>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</si>
  <si>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</si>
  <si>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</si>
  <si>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</si>
  <si>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</si>
  <si>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</si>
  <si>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</si>
  <si>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</si>
  <si>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</si>
  <si>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</si>
  <si>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</si>
  <si>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</si>
  <si>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</si>
  <si>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</si>
  <si>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</si>
  <si>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</si>
  <si>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</si>
  <si>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</si>
  <si>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</si>
  <si>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</si>
  <si>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</si>
  <si>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</si>
  <si>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</si>
  <si>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</si>
  <si>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</si>
  <si>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</si>
  <si>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</si>
  <si>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</si>
  <si>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</si>
  <si>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</si>
  <si>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</si>
  <si>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</si>
  <si>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</si>
  <si>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</si>
  <si>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</si>
  <si>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</si>
  <si>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</si>
  <si>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</si>
  <si>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</si>
  <si>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</si>
  <si>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</si>
  <si>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</si>
  <si>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</si>
  <si>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</si>
  <si>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</si>
  <si>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</si>
  <si>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</si>
  <si>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</si>
  <si>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</si>
  <si>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</si>
  <si>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</si>
  <si>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</si>
  <si>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</si>
  <si>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</si>
  <si>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</si>
  <si>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</si>
  <si>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</si>
  <si>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</si>
  <si>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</si>
  <si>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</si>
  <si>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</si>
  <si>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</si>
  <si>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</si>
  <si>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</si>
  <si>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</si>
  <si>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</si>
  <si>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</si>
  <si>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</si>
  <si>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</si>
  <si>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</si>
  <si>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</si>
  <si>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</si>
  <si>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</si>
  <si>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</si>
  <si>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</si>
  <si>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</si>
  <si>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</si>
  <si>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</si>
  <si>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</si>
  <si>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</si>
  <si>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</si>
  <si>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</si>
  <si>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</si>
  <si>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</si>
  <si>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</si>
  <si>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</si>
  <si>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</si>
  <si>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</si>
  <si>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</si>
  <si>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</si>
  <si>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</si>
  <si>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</si>
  <si>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</si>
  <si>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</si>
  <si>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</si>
  <si>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</si>
  <si>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</si>
  <si>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</si>
  <si>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</si>
  <si>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</si>
  <si>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</si>
  <si>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</si>
  <si>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</si>
  <si>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</si>
  <si>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</si>
  <si>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</si>
  <si>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</si>
  <si>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</si>
  <si>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</si>
  <si>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</si>
  <si>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</si>
  <si>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</si>
  <si>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</si>
  <si>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</si>
  <si>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</si>
  <si>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</si>
  <si>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</si>
  <si>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</si>
  <si>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</si>
  <si>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</si>
  <si>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</si>
  <si>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</si>
  <si>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</si>
  <si>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</si>
  <si>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</si>
  <si>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</si>
  <si>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</si>
  <si>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</si>
  <si>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</si>
  <si>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</si>
  <si>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</si>
  <si>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</si>
  <si>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</si>
  <si>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</si>
  <si>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</si>
  <si>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</si>
  <si>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</si>
  <si>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</si>
  <si>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</si>
  <si>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</si>
  <si>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</si>
  <si>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</si>
  <si>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</si>
  <si>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</si>
  <si>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</si>
  <si>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</si>
  <si>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</si>
  <si>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</si>
  <si>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</si>
  <si>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</si>
  <si>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</si>
  <si>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</si>
  <si>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</si>
  <si>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</si>
  <si>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</si>
  <si>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</si>
  <si>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</si>
  <si>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</si>
  <si>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</si>
  <si>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</si>
  <si>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</si>
  <si>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</si>
  <si>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</si>
  <si>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</si>
  <si>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</si>
  <si>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</si>
  <si>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</si>
  <si>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</si>
  <si>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</si>
  <si>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</si>
  <si>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</si>
  <si>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</si>
  <si>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</si>
  <si>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</si>
  <si>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</si>
  <si>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</si>
  <si>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</si>
  <si>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</si>
  <si>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</si>
  <si>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</si>
  <si>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</si>
  <si>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</si>
  <si>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</si>
  <si>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</si>
  <si>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</si>
  <si>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</si>
  <si>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</si>
  <si>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</si>
  <si>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</si>
  <si>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</si>
  <si>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</si>
  <si>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</si>
  <si>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</si>
  <si>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</si>
  <si>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</si>
  <si>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</si>
  <si>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</si>
  <si>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</si>
  <si>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</si>
  <si>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</si>
  <si>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</si>
  <si>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</si>
  <si>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</si>
  <si>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</si>
  <si>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</si>
  <si>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</si>
  <si>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</si>
  <si>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</si>
  <si>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</si>
  <si>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</si>
  <si>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</si>
  <si>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</si>
  <si>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</si>
  <si>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</si>
  <si>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</si>
  <si>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</si>
  <si>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</si>
  <si>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</si>
  <si>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</si>
  <si>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</si>
  <si>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</si>
  <si>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</si>
  <si>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</si>
  <si>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</si>
  <si>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</si>
  <si>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</si>
  <si>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</si>
  <si>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</si>
  <si>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</si>
  <si>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</si>
  <si>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</si>
  <si>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</si>
  <si>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</si>
  <si>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</si>
  <si>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</si>
  <si>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</si>
  <si>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</si>
  <si>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</si>
  <si>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</si>
  <si>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</si>
  <si>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</si>
  <si>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</si>
  <si>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</si>
  <si>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</si>
  <si>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</si>
  <si>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</si>
  <si>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</si>
  <si>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</si>
  <si>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</si>
  <si>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</si>
  <si>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</si>
  <si>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</si>
  <si>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</si>
  <si>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</si>
  <si>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</si>
  <si>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</si>
  <si>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</si>
  <si>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</si>
  <si>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</si>
  <si>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</si>
  <si>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</si>
  <si>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</si>
  <si>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</si>
  <si>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</si>
  <si>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</si>
  <si>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</si>
  <si>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</si>
  <si>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</si>
  <si>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</si>
  <si>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</si>
  <si>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</si>
  <si>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</si>
  <si>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</si>
  <si>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</si>
  <si>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</si>
  <si>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</si>
  <si>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</si>
  <si>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</si>
  <si>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</si>
  <si>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</si>
  <si>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</si>
  <si>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</si>
  <si>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</si>
  <si>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</si>
  <si>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</si>
  <si>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</si>
  <si>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</si>
  <si>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</si>
  <si>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</si>
  <si>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</si>
  <si>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</si>
  <si>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</si>
  <si>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</si>
  <si>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</si>
  <si>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</si>
  <si>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</si>
  <si>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</si>
  <si>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</si>
  <si>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</si>
  <si>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</si>
  <si>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</si>
  <si>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</si>
  <si>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</si>
  <si>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</si>
  <si>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</si>
  <si>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</si>
  <si>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</si>
  <si>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</si>
  <si>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</si>
  <si>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</si>
  <si>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</si>
  <si>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</si>
  <si>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</si>
  <si>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</si>
  <si>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</si>
  <si>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</si>
  <si>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</si>
  <si>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</si>
  <si>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</si>
  <si>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</si>
  <si>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</si>
  <si>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</si>
  <si>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</si>
  <si>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</si>
  <si>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</si>
  <si>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</si>
  <si>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</si>
  <si>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</si>
  <si>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</si>
  <si>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</si>
  <si>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</si>
  <si>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</si>
  <si>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</si>
  <si>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</si>
  <si>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</si>
  <si>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</si>
  <si>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</si>
  <si>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</si>
  <si>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</si>
  <si>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</si>
  <si>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</si>
  <si>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</si>
  <si>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</si>
  <si>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</si>
  <si>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</si>
  <si>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</si>
  <si>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</si>
  <si>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</si>
  <si>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</si>
  <si>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</si>
  <si>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</si>
  <si>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</si>
  <si>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</si>
  <si>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</si>
  <si>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</si>
  <si>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</si>
  <si>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</si>
  <si>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</si>
  <si>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</si>
  <si>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</si>
  <si>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</si>
  <si>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</si>
  <si>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</si>
  <si>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</si>
  <si>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</si>
  <si>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</si>
  <si>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</si>
  <si>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</si>
  <si>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</si>
  <si>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</si>
  <si>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</si>
  <si>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</si>
  <si>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</si>
  <si>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</si>
  <si>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</si>
  <si>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</si>
  <si>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</si>
  <si>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</si>
  <si>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</si>
  <si>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</si>
  <si>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</si>
  <si>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</si>
  <si>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</si>
  <si>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</si>
  <si>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</si>
  <si>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</si>
  <si>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</si>
  <si>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</si>
  <si>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</si>
  <si>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</si>
  <si>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</si>
  <si>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</si>
  <si>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</si>
  <si>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</si>
  <si>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</si>
  <si>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</si>
  <si>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</si>
  <si>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</si>
  <si>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</si>
  <si>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</si>
  <si>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</si>
  <si>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</si>
  <si>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</si>
  <si>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</si>
  <si>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</si>
  <si>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</si>
  <si>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</si>
  <si>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</si>
  <si>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</si>
  <si>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</si>
  <si>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</si>
  <si>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</si>
  <si>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</si>
  <si>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</si>
  <si>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</si>
  <si>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</si>
  <si>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</si>
  <si>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</si>
  <si>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</si>
  <si>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</si>
  <si>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</si>
  <si>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</si>
  <si>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</si>
  <si>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</si>
  <si>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</si>
  <si>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</si>
  <si>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</si>
  <si>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</si>
  <si>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</si>
  <si>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</si>
  <si>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</si>
  <si>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</si>
  <si>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</si>
  <si>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</si>
  <si>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</si>
  <si>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</si>
  <si>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</si>
  <si>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</si>
  <si>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</si>
  <si>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</si>
  <si>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</si>
  <si>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</si>
  <si>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</si>
  <si>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</si>
  <si>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</si>
  <si>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</si>
  <si>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</si>
  <si>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</si>
  <si>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</si>
  <si>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</si>
  <si>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</si>
  <si>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</si>
  <si>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</si>
  <si>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</si>
  <si>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</si>
  <si>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</si>
  <si>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</si>
  <si>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</si>
  <si>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</si>
  <si>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</si>
  <si>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</si>
  <si>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</si>
  <si>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</si>
  <si>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</si>
  <si>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</si>
  <si>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</si>
  <si>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</si>
  <si>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</si>
  <si>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</si>
  <si>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</si>
  <si>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</si>
  <si>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</si>
  <si>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</si>
  <si>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</si>
  <si>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</si>
  <si>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</si>
  <si>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</si>
  <si>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</si>
  <si>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</si>
  <si>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</si>
  <si>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</si>
  <si>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</si>
  <si>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</si>
  <si>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</si>
  <si>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</si>
  <si>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</si>
  <si>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</si>
  <si>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</si>
  <si>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</si>
  <si>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</si>
  <si>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</si>
  <si>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</si>
  <si>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</si>
  <si>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</si>
  <si>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</si>
  <si>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</si>
  <si>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</si>
  <si>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</si>
  <si>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</si>
  <si>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</si>
  <si>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</si>
  <si>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</si>
  <si>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</si>
  <si>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</si>
  <si>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</si>
  <si>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</si>
  <si>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</si>
  <si>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</si>
  <si>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</si>
  <si>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</si>
  <si>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</si>
  <si>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</si>
  <si>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</si>
  <si>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</si>
  <si>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</si>
  <si>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</si>
  <si>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</si>
  <si>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</si>
  <si>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</si>
  <si>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</si>
  <si>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</si>
  <si>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</si>
  <si>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</si>
  <si>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</si>
  <si>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</si>
  <si>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</si>
  <si>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</si>
  <si>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</si>
  <si>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</si>
  <si>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</si>
  <si>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</si>
  <si>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</si>
  <si>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</si>
  <si>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</si>
  <si>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</si>
  <si>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</si>
  <si>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</si>
  <si>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</si>
  <si>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</si>
  <si>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</si>
  <si>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</si>
  <si>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</si>
  <si>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</si>
  <si>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</si>
  <si>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</si>
  <si>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</si>
  <si>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</si>
  <si>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</si>
  <si>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</si>
  <si>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</si>
  <si>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</si>
  <si>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</si>
  <si>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</si>
  <si>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</si>
  <si>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</si>
  <si>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</si>
  <si>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</si>
  <si>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</si>
  <si>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</si>
  <si>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</si>
  <si>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</si>
  <si>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</si>
  <si>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</si>
  <si>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</si>
  <si>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</si>
  <si>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</si>
  <si>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</si>
  <si>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</si>
  <si>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</si>
  <si>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</si>
  <si>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</si>
  <si>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</si>
  <si>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</si>
  <si>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</si>
  <si>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</si>
  <si>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</si>
  <si>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</si>
  <si>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</si>
  <si>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</si>
  <si>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</si>
  <si>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</si>
  <si>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</si>
  <si>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</si>
  <si>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</si>
  <si>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</si>
  <si>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</si>
  <si>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</si>
  <si>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</si>
  <si>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</si>
  <si>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</si>
  <si>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</si>
  <si>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</si>
  <si>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</si>
  <si>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</si>
  <si>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</si>
  <si>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</si>
  <si>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</si>
  <si>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</si>
  <si>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</si>
  <si>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</si>
  <si>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</si>
  <si>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</si>
  <si>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</si>
  <si>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</si>
  <si>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</si>
  <si>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</si>
  <si>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</si>
  <si>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</si>
  <si>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</si>
  <si>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</si>
  <si>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</si>
  <si>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</si>
  <si>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</si>
  <si>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</si>
  <si>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</si>
  <si>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</si>
  <si>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</si>
  <si>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</si>
  <si>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</si>
  <si>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</si>
  <si>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</si>
  <si>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</si>
  <si>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</si>
  <si>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</si>
  <si>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</si>
  <si>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</si>
  <si>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</si>
  <si>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</si>
  <si>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</si>
  <si>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</si>
  <si>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</si>
  <si>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</si>
  <si>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</si>
  <si>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</si>
  <si>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</si>
  <si>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</si>
  <si>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</si>
  <si>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</si>
  <si>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</si>
  <si>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</si>
  <si>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</si>
  <si>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</si>
  <si>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</si>
  <si>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</si>
  <si>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</si>
  <si>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</si>
  <si>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</si>
  <si>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</si>
  <si>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</si>
  <si>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</si>
  <si>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</si>
  <si>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</si>
  <si>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</si>
  <si>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</si>
  <si>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</si>
  <si>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</si>
  <si>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</si>
  <si>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</si>
  <si>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</si>
  <si>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</si>
  <si>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</si>
  <si>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</si>
  <si>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</si>
  <si>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</si>
  <si>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</si>
  <si>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</si>
  <si>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</si>
  <si>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</si>
  <si>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</si>
  <si>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</si>
  <si>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</si>
  <si>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</si>
  <si>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</si>
  <si>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</si>
  <si>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</si>
  <si>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</si>
  <si>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</si>
  <si>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</si>
  <si>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</si>
  <si>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</si>
  <si>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</si>
  <si>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</si>
  <si>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</si>
  <si>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</si>
  <si>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</si>
  <si>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</si>
  <si>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</si>
  <si>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</si>
  <si>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</si>
  <si>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</si>
  <si>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</si>
  <si>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</si>
  <si>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</si>
  <si>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</si>
  <si>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</si>
  <si>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</si>
  <si>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</si>
  <si>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</si>
  <si>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</si>
  <si>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</si>
  <si>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</si>
  <si>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</si>
  <si>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</si>
  <si>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</si>
  <si>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</si>
  <si>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</si>
  <si>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</si>
  <si>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</si>
  <si>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</si>
  <si>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</si>
  <si>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</si>
  <si>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</si>
  <si>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</si>
  <si>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</si>
  <si>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</si>
  <si>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</si>
  <si>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</si>
  <si>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</si>
  <si>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</si>
  <si>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</si>
  <si>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</si>
  <si>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</si>
  <si>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</si>
  <si>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</si>
  <si>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</si>
  <si>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</si>
  <si>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</si>
  <si>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</si>
  <si>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</si>
  <si>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</si>
  <si>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</si>
  <si>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</si>
  <si>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</si>
  <si>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</si>
  <si>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</si>
  <si>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</si>
  <si>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</si>
  <si>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</si>
  <si>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</si>
  <si>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</si>
  <si>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</si>
  <si>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</si>
  <si>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</si>
  <si>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</si>
  <si>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</si>
  <si>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</si>
  <si>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</si>
  <si>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</si>
  <si>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</si>
  <si>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</si>
  <si>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</si>
  <si>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</si>
  <si>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</si>
  <si>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</si>
  <si>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</si>
  <si>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</si>
  <si>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</si>
  <si>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</si>
  <si>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</si>
  <si>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</si>
  <si>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</si>
  <si>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</si>
  <si>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</si>
  <si>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</si>
  <si>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</si>
  <si>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</si>
  <si>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</si>
  <si>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</si>
  <si>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</si>
  <si>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</si>
  <si>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</si>
  <si>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</si>
  <si>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</si>
  <si>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</si>
  <si>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</si>
  <si>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</si>
  <si>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</si>
  <si>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</si>
  <si>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</si>
  <si>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</si>
  <si>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</si>
  <si>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</si>
  <si>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</si>
  <si>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</si>
  <si>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</si>
  <si>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</si>
  <si>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</si>
  <si>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</si>
  <si>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</si>
  <si>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</si>
  <si>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</si>
  <si>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</si>
  <si>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</si>
  <si>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</si>
  <si>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</si>
  <si>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</si>
  <si>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</si>
  <si>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</si>
  <si>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</si>
  <si>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</si>
  <si>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</si>
  <si>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</si>
  <si>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</si>
  <si>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</si>
  <si>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</si>
  <si>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</si>
  <si>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</si>
  <si>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</si>
  <si>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</si>
  <si>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</si>
  <si>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</si>
  <si>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</si>
  <si>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</si>
  <si>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</si>
  <si>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</si>
  <si>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</si>
  <si>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</si>
  <si>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</si>
  <si>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</si>
  <si>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</si>
  <si>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</si>
  <si>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</si>
  <si>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</si>
  <si>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</si>
  <si>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</si>
  <si>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</si>
  <si>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</si>
  <si>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</si>
  <si>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</si>
  <si>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</si>
  <si>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</si>
  <si>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</si>
  <si>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</si>
  <si>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</si>
  <si>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</si>
  <si>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</si>
  <si>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</si>
  <si>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</si>
  <si>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</si>
  <si>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</si>
  <si>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</si>
  <si>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</si>
  <si>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</si>
  <si>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</si>
  <si>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</si>
  <si>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</si>
  <si>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</si>
  <si>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</si>
  <si>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</si>
  <si>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</si>
  <si>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</si>
  <si>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</si>
  <si>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</si>
  <si>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</si>
  <si>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</si>
  <si>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</si>
  <si>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</si>
  <si>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</si>
  <si>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</si>
  <si>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</si>
  <si>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</si>
  <si>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</si>
  <si>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</si>
  <si>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</si>
  <si>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</si>
  <si>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</si>
  <si>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</si>
  <si>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</si>
  <si>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</si>
  <si>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</si>
  <si>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</si>
  <si>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</si>
  <si>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</si>
  <si>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</si>
  <si>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</si>
  <si>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</si>
  <si>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</si>
  <si>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</si>
  <si>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</si>
  <si>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</si>
  <si>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</si>
  <si>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</si>
  <si>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</si>
  <si>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</si>
  <si>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</si>
  <si>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</si>
  <si>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</si>
  <si>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</si>
  <si>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</si>
  <si>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</si>
  <si>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</si>
  <si>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</si>
  <si>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</si>
  <si>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</si>
  <si>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</si>
  <si>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</si>
  <si>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</si>
  <si>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</si>
  <si>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</si>
  <si>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</si>
  <si>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</si>
  <si>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</si>
  <si>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</si>
  <si>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</si>
  <si>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</si>
  <si>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</si>
  <si>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</si>
  <si>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</si>
  <si>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</si>
  <si>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</si>
  <si>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</si>
  <si>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</si>
  <si>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</si>
  <si>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</si>
  <si>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</si>
  <si>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</si>
  <si>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</si>
  <si>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</si>
  <si>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</si>
  <si>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</si>
  <si>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</si>
  <si>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</si>
  <si>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</si>
  <si>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</si>
  <si>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</si>
  <si>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</si>
  <si>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</si>
  <si>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</si>
  <si>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</si>
  <si>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</si>
  <si>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</si>
  <si>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</si>
  <si>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</si>
  <si>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</si>
  <si>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</si>
  <si>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</si>
  <si>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</si>
  <si>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</si>
  <si>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</si>
  <si>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</si>
  <si>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</si>
  <si>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</si>
  <si>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</si>
  <si>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</si>
  <si>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</si>
  <si>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</si>
  <si>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</si>
  <si>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</si>
  <si>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</si>
  <si>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</si>
  <si>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</si>
  <si>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</si>
  <si>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</si>
  <si>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</si>
  <si>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</si>
  <si>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</si>
  <si>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</si>
  <si>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</si>
  <si>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</si>
  <si>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</si>
  <si>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</si>
  <si>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</si>
  <si>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</si>
  <si>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</si>
  <si>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</si>
  <si>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</si>
  <si>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</si>
  <si>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</si>
  <si>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</si>
  <si>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</si>
  <si>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</si>
  <si>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</si>
  <si>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</si>
  <si>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</si>
  <si>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</si>
  <si>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</si>
  <si>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</si>
  <si>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</si>
  <si>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</si>
  <si>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</si>
  <si>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</si>
  <si>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</si>
  <si>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</si>
  <si>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</si>
  <si>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</si>
  <si>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</si>
  <si>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</si>
  <si>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</si>
  <si>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</si>
  <si>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</si>
  <si>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</si>
  <si>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</si>
  <si>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</si>
  <si>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</si>
  <si>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</si>
  <si>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</si>
  <si>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</si>
  <si>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</si>
  <si>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</si>
  <si>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</si>
  <si>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</si>
  <si>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</si>
  <si>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</si>
  <si>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</si>
  <si>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</si>
  <si>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</si>
  <si>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</si>
  <si>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</si>
  <si>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</si>
  <si>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</si>
  <si>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</si>
  <si>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</si>
  <si>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</si>
  <si>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</si>
  <si>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</si>
  <si>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</si>
  <si>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</si>
  <si>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</si>
  <si>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</si>
  <si>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</si>
  <si>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</si>
  <si>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</si>
  <si>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</si>
  <si>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</si>
  <si>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</si>
  <si>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</si>
  <si>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</si>
  <si>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</si>
  <si>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</si>
  <si>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</si>
  <si>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</si>
  <si>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</si>
  <si>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</si>
  <si>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</si>
  <si>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</si>
  <si>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</si>
  <si>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</si>
  <si>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</si>
  <si>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</si>
  <si>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</si>
  <si>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</si>
  <si>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</si>
  <si>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</si>
  <si>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</si>
  <si>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</si>
  <si>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</si>
  <si>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</si>
  <si>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</si>
  <si>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</si>
  <si>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</si>
  <si>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</si>
  <si>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</si>
  <si>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</si>
  <si>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</si>
  <si>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</si>
  <si>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</si>
  <si>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</si>
  <si>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</si>
  <si>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</si>
  <si>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</si>
  <si>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</si>
  <si>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</si>
  <si>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</si>
  <si>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</si>
  <si>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</si>
  <si>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</si>
  <si>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</si>
  <si>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</si>
  <si>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</si>
  <si>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</si>
  <si>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</si>
  <si>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</si>
  <si>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</si>
  <si>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</si>
  <si>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</si>
  <si>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</si>
  <si>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</si>
  <si>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</si>
  <si>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</si>
  <si>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</si>
  <si>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</si>
  <si>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</si>
  <si>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</si>
  <si>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</si>
  <si>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</si>
  <si>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</si>
  <si>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</si>
  <si>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</si>
  <si>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</si>
  <si>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</si>
  <si>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</si>
  <si>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</si>
  <si>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</si>
  <si>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</si>
  <si>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</si>
  <si>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</si>
  <si>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</si>
  <si>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</si>
  <si>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</si>
  <si>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</si>
  <si>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</si>
  <si>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</si>
  <si>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</si>
  <si>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</si>
  <si>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</si>
  <si>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</si>
  <si>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</si>
  <si>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</si>
  <si>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</si>
  <si>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</si>
  <si>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</si>
  <si>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</si>
  <si>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</si>
  <si>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</si>
  <si>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</si>
  <si>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</si>
  <si>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</si>
  <si>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</si>
  <si>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</si>
  <si>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</si>
  <si>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</si>
  <si>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</si>
  <si>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</si>
  <si>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</si>
  <si>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</si>
  <si>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</si>
  <si>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</si>
  <si>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</si>
  <si>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</si>
  <si>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</si>
  <si>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</si>
  <si>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</si>
  <si>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</si>
  <si>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</si>
  <si>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</si>
  <si>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</si>
  <si>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</si>
  <si>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</si>
  <si>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</si>
  <si>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</si>
  <si>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</si>
  <si>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</si>
  <si>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</si>
  <si>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</si>
  <si>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</si>
  <si>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</si>
  <si>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</si>
  <si>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</si>
  <si>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</si>
  <si>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</si>
  <si>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</si>
  <si>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</si>
  <si>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</si>
  <si>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</si>
  <si>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</si>
  <si>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</si>
  <si>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</si>
  <si>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</si>
  <si>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</si>
  <si>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</si>
  <si>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</si>
  <si>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</si>
  <si>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</si>
  <si>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</si>
  <si>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</si>
  <si>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</si>
  <si>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</si>
  <si>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</si>
  <si>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</si>
  <si>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</si>
  <si>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</si>
  <si>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</si>
  <si>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</si>
  <si>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</si>
  <si>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</si>
  <si>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</si>
  <si>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</si>
  <si>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</si>
  <si>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</si>
  <si>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</si>
  <si>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</si>
  <si>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</si>
  <si>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</si>
  <si>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</si>
  <si>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</si>
  <si>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</si>
  <si>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</si>
  <si>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</si>
  <si>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</si>
  <si>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</si>
  <si>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</si>
  <si>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</si>
  <si>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</si>
  <si>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</si>
  <si>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</si>
  <si>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</si>
  <si>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</si>
  <si>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</si>
  <si>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</si>
  <si>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</si>
  <si>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</si>
  <si>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</si>
  <si>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</si>
  <si>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</si>
  <si>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</si>
  <si>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</si>
  <si>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</si>
  <si>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</si>
  <si>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</si>
  <si>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</si>
  <si>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</si>
  <si>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</si>
  <si>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</si>
  <si>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</si>
  <si>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</si>
  <si>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</si>
  <si>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</si>
  <si>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</si>
  <si>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</si>
  <si>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</si>
  <si>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</si>
  <si>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</si>
  <si>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</si>
  <si>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</si>
  <si>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</si>
  <si>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</si>
  <si>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</si>
  <si>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</si>
  <si>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</si>
  <si>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</si>
  <si>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</si>
  <si>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</si>
  <si>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</si>
  <si>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</si>
  <si>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</si>
  <si>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</si>
  <si>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</si>
  <si>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</si>
  <si>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</si>
  <si>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</si>
  <si>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</si>
  <si>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</si>
  <si>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</si>
  <si>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</si>
  <si>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</si>
  <si>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</si>
  <si>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</si>
  <si>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</si>
  <si>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</si>
  <si>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</si>
  <si>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</si>
  <si>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</si>
  <si>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</si>
  <si>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</si>
  <si>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</si>
  <si>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</si>
  <si>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</si>
  <si>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</si>
  <si>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</si>
  <si>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</si>
  <si>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</si>
  <si>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</si>
  <si>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</si>
  <si>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</si>
  <si>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</si>
  <si>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</si>
  <si>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</si>
  <si>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</si>
  <si>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</si>
  <si>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</si>
  <si>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</si>
  <si>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</si>
  <si>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</si>
  <si>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</si>
  <si>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</si>
  <si>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</si>
  <si>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</si>
  <si>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</si>
  <si>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</si>
  <si>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</si>
  <si>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</si>
  <si>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</si>
  <si>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</si>
  <si>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</si>
  <si>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</si>
  <si>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</si>
  <si>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</si>
  <si>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</si>
  <si>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</si>
  <si>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</si>
  <si>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</si>
  <si>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</si>
  <si>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</si>
  <si>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</si>
  <si>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</si>
  <si>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</si>
  <si>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</si>
  <si>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</si>
  <si>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</si>
  <si>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</si>
  <si>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</si>
  <si>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</si>
  <si>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</si>
  <si>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</si>
  <si>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</si>
  <si>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</si>
  <si>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</si>
  <si>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</si>
  <si>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</si>
  <si>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</si>
  <si>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</si>
  <si>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</si>
  <si>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</si>
  <si>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</si>
  <si>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</si>
  <si>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</si>
  <si>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</si>
  <si>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</si>
  <si>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</si>
  <si>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</si>
  <si>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</si>
  <si>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</si>
  <si>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</si>
  <si>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</si>
  <si>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</si>
  <si>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</si>
  <si>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</si>
  <si>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</si>
  <si>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</si>
  <si>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</si>
  <si>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</si>
  <si>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</si>
  <si>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</si>
  <si>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</si>
  <si>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</si>
  <si>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</si>
  <si>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</si>
  <si>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</si>
  <si>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</si>
  <si>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</si>
  <si>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</si>
  <si>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</si>
  <si>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</si>
  <si>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</si>
  <si>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</si>
  <si>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</si>
  <si>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</si>
  <si>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</si>
  <si>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</si>
  <si>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</si>
  <si>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</si>
  <si>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</si>
  <si>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</si>
  <si>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</si>
  <si>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</si>
  <si>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</si>
  <si>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</si>
  <si>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</si>
  <si>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</si>
  <si>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</si>
  <si>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</si>
  <si>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</si>
  <si>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</si>
  <si>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</si>
  <si>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</si>
  <si>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</si>
  <si>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</si>
  <si>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</si>
  <si>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</si>
  <si>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</si>
  <si>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</si>
  <si>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</si>
  <si>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</si>
  <si>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</si>
  <si>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</si>
  <si>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</si>
  <si>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</si>
  <si>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</si>
  <si>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</si>
  <si>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</si>
  <si>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</si>
  <si>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</si>
  <si>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</si>
  <si>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</si>
  <si>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</si>
  <si>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</si>
  <si>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</si>
  <si>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</si>
  <si>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</si>
  <si>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</si>
  <si>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</si>
  <si>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</si>
  <si>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</si>
  <si>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</si>
  <si>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</si>
  <si>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</si>
  <si>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</si>
  <si>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</si>
  <si>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</si>
  <si>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</si>
  <si>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</si>
  <si>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</si>
  <si>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</si>
  <si>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</si>
  <si>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</si>
  <si>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</si>
  <si>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</si>
  <si>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</si>
  <si>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</si>
  <si>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</si>
  <si>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</si>
  <si>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</si>
  <si>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</si>
  <si>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</si>
  <si>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</si>
  <si>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</si>
  <si>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</si>
  <si>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</si>
  <si>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</si>
  <si>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</si>
  <si>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</si>
  <si>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</si>
  <si>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</si>
  <si>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</si>
  <si>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</si>
  <si>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</si>
  <si>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</si>
  <si>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</si>
  <si>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</si>
  <si>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</si>
  <si>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</si>
  <si>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</si>
  <si>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</si>
  <si>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</si>
  <si>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</si>
  <si>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</si>
  <si>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</si>
  <si>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</si>
  <si>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</si>
  <si>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</si>
  <si>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</si>
  <si>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</si>
  <si>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</si>
  <si>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</si>
  <si>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</si>
  <si>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</si>
  <si>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</si>
  <si>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</si>
  <si>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</si>
  <si>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</si>
  <si>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</si>
  <si>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</si>
  <si>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</si>
  <si>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</si>
  <si>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</si>
  <si>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</si>
  <si>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</si>
  <si>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</si>
  <si>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</si>
  <si>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</si>
  <si>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</si>
  <si>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</si>
  <si>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</si>
  <si>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</si>
  <si>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</si>
  <si>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</si>
  <si>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</si>
  <si>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</si>
  <si>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</si>
  <si>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</si>
  <si>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</si>
  <si>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</si>
  <si>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</si>
  <si>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</si>
  <si>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</si>
  <si>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</si>
  <si>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</si>
  <si>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</si>
  <si>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</si>
  <si>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</si>
  <si>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</si>
  <si>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</si>
  <si>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</si>
  <si>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</si>
  <si>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</si>
  <si>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</si>
  <si>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</si>
  <si>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</si>
  <si>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</si>
  <si>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</si>
  <si>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</si>
  <si>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</si>
  <si>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</si>
  <si>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</si>
  <si>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</si>
  <si>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</si>
  <si>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</si>
  <si>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</si>
  <si>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</si>
  <si>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</si>
  <si>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</si>
  <si>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</si>
  <si>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</si>
  <si>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</si>
  <si>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</si>
  <si>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</si>
  <si>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</si>
  <si>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</si>
  <si>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</si>
  <si>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</si>
  <si>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</si>
  <si>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</si>
  <si>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</si>
  <si>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</si>
  <si>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</si>
  <si>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</si>
  <si>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</si>
  <si>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</si>
  <si>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</si>
  <si>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</si>
  <si>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</si>
  <si>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</si>
  <si>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</si>
  <si>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</si>
  <si>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</si>
  <si>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</si>
  <si>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</si>
  <si>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</si>
  <si>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</si>
  <si>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</si>
  <si>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</si>
  <si>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</si>
  <si>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</si>
  <si>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</si>
  <si>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</si>
  <si>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</si>
  <si>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</si>
  <si>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</si>
  <si>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</si>
  <si>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</si>
  <si>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</si>
  <si>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</si>
  <si>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</si>
  <si>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</si>
  <si>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</si>
  <si>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</si>
  <si>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</si>
  <si>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</si>
  <si>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</si>
  <si>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</si>
  <si>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</si>
  <si>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</si>
  <si>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</si>
  <si>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</si>
  <si>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</si>
  <si>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</si>
  <si>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</si>
  <si>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</si>
  <si>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</si>
  <si>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</si>
  <si>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</si>
  <si>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</si>
  <si>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</si>
  <si>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</si>
  <si>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</si>
  <si>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</si>
  <si>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</si>
  <si>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</si>
  <si>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</si>
  <si>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</si>
  <si>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</si>
  <si>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</si>
  <si>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</si>
  <si>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</si>
  <si>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</si>
  <si>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</si>
  <si>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</si>
  <si>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</si>
  <si>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</si>
  <si>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</si>
  <si>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</si>
  <si>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</si>
  <si>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</si>
  <si>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</si>
  <si>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</si>
  <si>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</si>
  <si>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</si>
  <si>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</si>
  <si>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</si>
  <si>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</si>
  <si>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</si>
  <si>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</si>
  <si>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</si>
  <si>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</si>
  <si>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</si>
  <si>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</si>
  <si>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</si>
  <si>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</si>
  <si>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</si>
  <si>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</si>
  <si>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</si>
  <si>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</si>
  <si>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</si>
  <si>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</si>
  <si>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</si>
  <si>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</si>
  <si>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</si>
  <si>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</si>
  <si>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</si>
  <si>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</si>
  <si>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</si>
  <si>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</si>
  <si>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</si>
  <si>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</si>
  <si>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</si>
  <si>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</si>
  <si>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</si>
  <si>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</si>
  <si>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</si>
  <si>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</si>
  <si>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</si>
  <si>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</si>
  <si>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</si>
  <si>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</si>
  <si>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</si>
  <si>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</si>
  <si>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</si>
  <si>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</si>
  <si>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</si>
  <si>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</si>
  <si>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</si>
  <si>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</si>
  <si>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</si>
  <si>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</si>
  <si>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</si>
  <si>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</si>
  <si>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</si>
  <si>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</si>
  <si>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</si>
  <si>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</si>
  <si>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</si>
  <si>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</si>
  <si>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</si>
  <si>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</si>
  <si>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</si>
  <si>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</si>
  <si>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</si>
  <si>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</si>
  <si>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</si>
  <si>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</si>
  <si>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</si>
  <si>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</si>
  <si>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</si>
  <si>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</si>
  <si>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</si>
  <si>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</si>
  <si>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</si>
  <si>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</si>
  <si>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</si>
  <si>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</si>
  <si>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</si>
  <si>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</si>
  <si>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</si>
  <si>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</si>
  <si>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</si>
  <si>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</si>
  <si>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</si>
  <si>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</si>
  <si>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</si>
  <si>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</si>
  <si>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</si>
  <si>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</si>
  <si>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</si>
  <si>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</si>
  <si>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</si>
  <si>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</si>
  <si>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</si>
  <si>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</si>
  <si>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</si>
  <si>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</si>
  <si>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</si>
  <si>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</si>
  <si>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</si>
  <si>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</si>
  <si>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</si>
  <si>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</si>
  <si>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</si>
  <si>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</si>
  <si>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</si>
  <si>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</si>
  <si>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</si>
  <si>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</si>
  <si>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</si>
  <si>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</si>
  <si>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</si>
  <si>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</si>
  <si>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</si>
  <si>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</si>
  <si>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</si>
  <si>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</si>
  <si>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</si>
  <si>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</si>
  <si>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</si>
  <si>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</si>
  <si>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</si>
  <si>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</si>
  <si>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</si>
  <si>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</si>
  <si>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</si>
  <si>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</si>
  <si>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</si>
  <si>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</si>
  <si>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</si>
  <si>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</si>
  <si>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</si>
  <si>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</si>
  <si>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</si>
  <si>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</si>
  <si>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</si>
  <si>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</si>
  <si>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</si>
  <si>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</si>
  <si>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</si>
  <si>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</si>
  <si>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</si>
  <si>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</si>
  <si>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</si>
  <si>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</si>
  <si>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</si>
  <si>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</si>
  <si>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</si>
  <si>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</si>
  <si>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</si>
  <si>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</si>
  <si>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</si>
  <si>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</si>
  <si>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</si>
  <si>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</si>
  <si>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</si>
  <si>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</si>
  <si>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</si>
  <si>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</si>
  <si>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</si>
  <si>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</si>
  <si>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</si>
  <si>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</si>
  <si>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</si>
  <si>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</si>
  <si>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</si>
  <si>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</si>
  <si>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</si>
  <si>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</si>
  <si>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</si>
  <si>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</si>
  <si>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</si>
  <si>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</si>
  <si>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</si>
  <si>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</si>
  <si>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</si>
  <si>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</si>
  <si>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</si>
  <si>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</si>
  <si>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</si>
  <si>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</si>
  <si>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</si>
  <si>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</si>
  <si>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</si>
  <si>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</si>
  <si>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</si>
  <si>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</si>
  <si>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</si>
  <si>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</si>
  <si>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</si>
  <si>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</si>
  <si>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</si>
  <si>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</si>
  <si>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</si>
  <si>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</si>
  <si>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</si>
  <si>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</si>
  <si>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</si>
  <si>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</si>
  <si>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</si>
  <si>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</si>
  <si>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</si>
  <si>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</si>
  <si>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</si>
  <si>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</si>
  <si>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</si>
  <si>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</si>
  <si>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</si>
  <si>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</si>
  <si>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</si>
  <si>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</si>
  <si>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</si>
  <si>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</si>
  <si>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</si>
  <si>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</si>
  <si>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</si>
  <si>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</si>
  <si>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</si>
  <si>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</si>
  <si>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</si>
  <si>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</si>
  <si>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</si>
  <si>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</si>
  <si>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</si>
  <si>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</si>
  <si>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</si>
  <si>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</si>
  <si>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</si>
  <si>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</si>
  <si>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</si>
  <si>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</si>
  <si>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</si>
  <si>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</si>
  <si>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</si>
  <si>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</si>
  <si>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</si>
  <si>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</si>
  <si>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</si>
  <si>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</si>
  <si>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</si>
  <si>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</si>
  <si>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</si>
  <si>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</si>
  <si>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</si>
  <si>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</si>
  <si>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</si>
  <si>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</si>
  <si>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</si>
  <si>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</si>
  <si>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</si>
  <si>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</si>
  <si>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</si>
  <si>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</si>
  <si>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</si>
  <si>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</si>
  <si>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</si>
  <si>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</si>
  <si>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</si>
  <si>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</si>
  <si>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</si>
  <si>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</si>
  <si>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</si>
  <si>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</si>
  <si>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</si>
  <si>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</si>
  <si>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</si>
  <si>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</si>
  <si>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</si>
  <si>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</si>
  <si>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</si>
  <si>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</si>
  <si>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</si>
  <si>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</si>
  <si>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</si>
  <si>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</si>
  <si>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</si>
  <si>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</si>
  <si>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</si>
  <si>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</si>
  <si>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</si>
  <si>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</si>
  <si>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</si>
  <si>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</si>
  <si>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</si>
  <si>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</si>
  <si>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</si>
  <si>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</si>
  <si>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</si>
  <si>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</si>
  <si>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</si>
  <si>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</si>
  <si>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</si>
  <si>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</si>
  <si>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</si>
  <si>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</si>
  <si>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</si>
  <si>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</si>
  <si>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</si>
  <si>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</si>
  <si>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</si>
  <si>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</si>
  <si>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</si>
  <si>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</si>
  <si>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</si>
  <si>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</si>
  <si>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</si>
  <si>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</si>
  <si>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</si>
  <si>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</si>
  <si>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</si>
  <si>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</si>
  <si>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</si>
  <si>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</si>
  <si>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</si>
  <si>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</si>
  <si>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</si>
  <si>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</si>
  <si>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</si>
  <si>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</si>
  <si>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</si>
  <si>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</si>
  <si>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</si>
  <si>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</si>
  <si>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</si>
  <si>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</si>
  <si>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</si>
  <si>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</si>
  <si>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</si>
  <si>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</si>
  <si>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</si>
  <si>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</si>
  <si>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</si>
  <si>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</si>
  <si>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</si>
  <si>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</si>
  <si>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</si>
  <si>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</si>
  <si>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</si>
  <si>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</si>
  <si>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</si>
  <si>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</si>
  <si>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</si>
  <si>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</si>
  <si>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</si>
  <si>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</si>
  <si>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</si>
  <si>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</si>
  <si>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</si>
  <si>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</si>
  <si>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</si>
  <si>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</si>
  <si>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</si>
  <si>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</si>
  <si>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</si>
  <si>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</si>
  <si>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</si>
  <si>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</si>
  <si>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</si>
  <si>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</si>
  <si>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</si>
  <si>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</si>
  <si>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</si>
  <si>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</si>
  <si>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</si>
  <si>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</si>
  <si>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</si>
  <si>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</si>
  <si>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</si>
  <si>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</si>
  <si>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</si>
  <si>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</si>
  <si>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</si>
  <si>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</si>
  <si>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</si>
  <si>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</si>
  <si>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</si>
  <si>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</si>
  <si>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</si>
  <si>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</si>
  <si>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</si>
  <si>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</si>
  <si>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</si>
  <si>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</si>
  <si>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</si>
  <si>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</si>
  <si>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</si>
  <si>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</si>
  <si>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</si>
  <si>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</si>
  <si>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</si>
  <si>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</si>
  <si>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</si>
  <si>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</si>
  <si>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</si>
  <si>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</si>
  <si>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</si>
  <si>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</si>
  <si>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</si>
  <si>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</si>
  <si>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</si>
  <si>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</si>
  <si>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</si>
  <si>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</si>
  <si>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</si>
  <si>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</si>
  <si>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</si>
  <si>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</si>
  <si>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</si>
  <si>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</si>
  <si>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</si>
  <si>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</si>
  <si>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</si>
  <si>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</si>
  <si>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</si>
  <si>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</si>
  <si>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</si>
  <si>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</si>
  <si>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</si>
  <si>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</si>
  <si>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</si>
  <si>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</si>
  <si>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</si>
  <si>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</si>
  <si>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</si>
  <si>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</si>
  <si>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</si>
  <si>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</si>
  <si>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</si>
  <si>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</si>
  <si>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</si>
  <si>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</si>
  <si>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</si>
  <si>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</si>
  <si>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</si>
  <si>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</si>
  <si>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</si>
  <si>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</si>
  <si>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</si>
  <si>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</si>
  <si>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</si>
  <si>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</si>
  <si>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</si>
  <si>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</si>
  <si>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</si>
  <si>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</si>
  <si>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</si>
  <si>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</si>
  <si>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</si>
  <si>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</si>
  <si>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</si>
  <si>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</si>
  <si>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</si>
  <si>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</si>
  <si>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</si>
  <si>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</si>
  <si>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</si>
  <si>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</si>
  <si>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</si>
  <si>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</si>
  <si>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</si>
  <si>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</si>
  <si>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</si>
  <si>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</si>
  <si>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</si>
  <si>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</si>
  <si>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</si>
  <si>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</si>
  <si>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</si>
  <si>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</si>
  <si>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</si>
  <si>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</si>
  <si>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</si>
  <si>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</si>
  <si>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</si>
  <si>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</si>
  <si>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</si>
  <si>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</si>
  <si>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</si>
  <si>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</si>
  <si>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</si>
  <si>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</si>
  <si>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</si>
  <si>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</si>
  <si>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</si>
  <si>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</si>
  <si>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</si>
  <si>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</si>
  <si>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</si>
  <si>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</si>
  <si>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</si>
  <si>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</si>
  <si>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</si>
  <si>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</si>
  <si>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</si>
  <si>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</si>
  <si>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</si>
  <si>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</si>
  <si>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</si>
  <si>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</si>
  <si>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</si>
  <si>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</si>
  <si>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</si>
  <si>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</si>
  <si>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</si>
  <si>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</si>
  <si>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</si>
  <si>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</si>
  <si>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</si>
  <si>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</si>
  <si>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</si>
  <si>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</si>
  <si>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</si>
  <si>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</si>
  <si>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</si>
  <si>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</si>
  <si>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</si>
  <si>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</si>
  <si>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</si>
  <si>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</si>
  <si>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</si>
  <si>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</si>
  <si>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</si>
  <si>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</si>
  <si>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</si>
  <si>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</si>
  <si>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</si>
  <si>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</si>
  <si>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</si>
  <si>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</si>
  <si>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</si>
  <si>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</si>
  <si>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</si>
  <si>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</si>
  <si>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</si>
  <si>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</si>
  <si>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</si>
  <si>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</si>
  <si>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</si>
  <si>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</si>
  <si>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</si>
  <si>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</si>
  <si>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</si>
  <si>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</si>
  <si>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</si>
  <si>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</si>
  <si>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</si>
  <si>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</si>
  <si>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</si>
  <si>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</si>
  <si>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</si>
  <si>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</si>
  <si>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</si>
  <si>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</si>
  <si>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</si>
  <si>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</si>
  <si>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</si>
  <si>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</si>
  <si>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</si>
  <si>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</si>
  <si>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</si>
  <si>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</si>
  <si>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</si>
  <si>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</si>
  <si>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</si>
  <si>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</si>
  <si>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</si>
  <si>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</si>
  <si>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</si>
  <si>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</si>
  <si>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</si>
  <si>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</si>
  <si>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</si>
  <si>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</si>
  <si>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</si>
  <si>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</si>
  <si>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</si>
  <si>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</si>
  <si>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</si>
  <si>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</si>
  <si>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</si>
  <si>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</si>
  <si>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</si>
  <si>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</si>
  <si>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</si>
  <si>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</si>
  <si>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</si>
  <si>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</si>
  <si>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</si>
  <si>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</si>
  <si>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</si>
  <si>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</si>
  <si>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</si>
  <si>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</si>
  <si>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</si>
  <si>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</si>
  <si>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</si>
  <si>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</si>
  <si>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</si>
  <si>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</si>
  <si>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</si>
  <si>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</si>
  <si>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</si>
  <si>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</si>
  <si>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</si>
  <si>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</si>
  <si>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</si>
  <si>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</si>
  <si>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</si>
  <si>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</si>
  <si>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</si>
  <si>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</si>
  <si>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</si>
  <si>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</si>
  <si>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</si>
  <si>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</si>
  <si>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</si>
  <si>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</si>
  <si>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</si>
  <si>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</si>
  <si>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</si>
  <si>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</si>
  <si>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</si>
  <si>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</si>
  <si>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</si>
  <si>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</si>
  <si>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</si>
  <si>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</si>
  <si>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</si>
  <si>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</si>
  <si>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</si>
  <si>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</si>
  <si>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</si>
  <si>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</si>
  <si>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</si>
  <si>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</si>
  <si>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</si>
  <si>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</si>
  <si>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</si>
  <si>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</si>
  <si>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</si>
  <si>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</si>
  <si>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</si>
  <si>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</si>
  <si>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</si>
  <si>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</si>
  <si>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</si>
  <si>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</si>
  <si>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</si>
  <si>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</si>
  <si>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</si>
  <si>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</si>
  <si>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</si>
  <si>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</si>
  <si>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</si>
  <si>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</si>
  <si>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</si>
  <si>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</si>
  <si>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</si>
  <si>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</si>
  <si>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</si>
  <si>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</si>
  <si>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</si>
  <si>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</si>
  <si>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</si>
  <si>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</si>
  <si>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</si>
  <si>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</si>
  <si>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</si>
  <si>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</si>
  <si>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</si>
  <si>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</si>
  <si>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</si>
  <si>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</si>
  <si>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</si>
  <si>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</si>
  <si>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</si>
  <si>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</si>
  <si>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</si>
  <si>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</si>
  <si>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</si>
  <si>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</si>
  <si>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</si>
  <si>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</si>
  <si>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</si>
  <si>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</si>
  <si>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</si>
  <si>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</si>
  <si>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</si>
  <si>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</si>
  <si>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</si>
  <si>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</si>
  <si>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</si>
  <si>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</si>
  <si>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</si>
  <si>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</si>
  <si>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</si>
  <si>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</si>
  <si>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</si>
  <si>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</si>
  <si>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</si>
  <si>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</si>
  <si>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</si>
  <si>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</si>
  <si>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</si>
  <si>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</si>
  <si>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</si>
  <si>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</si>
  <si>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</si>
  <si>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</si>
  <si>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</si>
  <si>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</si>
  <si>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</si>
  <si>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</si>
  <si>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</si>
  <si>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</si>
  <si>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</si>
  <si>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</si>
  <si>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</si>
  <si>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</si>
  <si>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</si>
  <si>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</si>
  <si>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</si>
  <si>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</si>
  <si>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</si>
  <si>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</si>
  <si>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</si>
  <si>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</si>
  <si>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</si>
  <si>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</si>
  <si>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</si>
  <si>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</si>
  <si>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</si>
  <si>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</si>
  <si>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</si>
  <si>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</si>
  <si>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</si>
  <si>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</si>
  <si>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</si>
  <si>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</si>
  <si>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</si>
  <si>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</si>
  <si>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</si>
  <si>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</si>
  <si>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</si>
  <si>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</si>
  <si>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</si>
  <si>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</si>
  <si>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</si>
  <si>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</si>
  <si>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</si>
  <si>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</si>
  <si>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</si>
  <si>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</si>
  <si>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</si>
  <si>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</si>
  <si>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</si>
  <si>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</si>
  <si>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</si>
  <si>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</si>
  <si>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</si>
  <si>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</si>
  <si>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</si>
  <si>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</si>
  <si>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</si>
  <si>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</si>
  <si>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</si>
  <si>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</si>
  <si>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</si>
  <si>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</si>
  <si>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</si>
  <si>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</si>
  <si>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</si>
  <si>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</si>
  <si>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</si>
  <si>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</si>
  <si>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</si>
  <si>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</si>
  <si>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</si>
  <si>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</si>
  <si>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</si>
  <si>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</si>
  <si>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</si>
  <si>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</si>
  <si>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</si>
  <si>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</si>
  <si>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</si>
  <si>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</si>
  <si>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</si>
  <si>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</si>
  <si>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</si>
  <si>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</si>
  <si>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</si>
  <si>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</si>
  <si>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</si>
  <si>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</si>
  <si>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</si>
  <si>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</si>
  <si>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</si>
  <si>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</si>
  <si>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</si>
  <si>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</si>
  <si>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</si>
  <si>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</si>
  <si>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</si>
  <si>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</si>
  <si>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</si>
  <si>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</si>
  <si>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</si>
  <si>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</si>
  <si>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</si>
  <si>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</si>
  <si>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</si>
  <si>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</si>
  <si>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</si>
  <si>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</si>
  <si>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</si>
  <si>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</si>
  <si>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</si>
  <si>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</si>
  <si>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</si>
  <si>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</si>
  <si>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</si>
  <si>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</si>
  <si>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</si>
  <si>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</si>
  <si>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</si>
  <si>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</si>
  <si>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</si>
  <si>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</si>
  <si>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</si>
  <si>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</si>
  <si>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</si>
  <si>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</si>
  <si>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</si>
  <si>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</si>
  <si>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</si>
  <si>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</si>
  <si>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</si>
  <si>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</si>
  <si>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</si>
  <si>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</si>
  <si>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</si>
  <si>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</si>
  <si>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</si>
  <si>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</si>
  <si>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</si>
  <si>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</si>
  <si>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</si>
  <si>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</si>
  <si>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</si>
  <si>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</si>
  <si>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</si>
  <si>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</si>
  <si>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</si>
  <si>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</si>
  <si>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</si>
  <si>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</si>
  <si>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</si>
  <si>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</si>
  <si>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</si>
  <si>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</si>
  <si>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</si>
  <si>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</si>
  <si>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</si>
  <si>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</si>
  <si>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</si>
  <si>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</si>
  <si>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</si>
  <si>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</si>
  <si>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</si>
  <si>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</si>
  <si>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</si>
  <si>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</si>
  <si>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</si>
  <si>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</si>
  <si>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</si>
  <si>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</si>
  <si>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</si>
  <si>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</si>
  <si>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</si>
  <si>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</si>
  <si>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</si>
  <si>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</si>
  <si>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</si>
  <si>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</si>
  <si>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</si>
  <si>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</si>
  <si>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</si>
  <si>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</si>
  <si>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</si>
  <si>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</si>
  <si>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</si>
  <si>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</si>
  <si>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</si>
  <si>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</si>
  <si>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</si>
  <si>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</si>
  <si>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</si>
  <si>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</si>
  <si>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</si>
  <si>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</si>
  <si>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</si>
  <si>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</si>
  <si>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</si>
  <si>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</si>
  <si>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</si>
  <si>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</si>
  <si>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</si>
  <si>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</si>
  <si>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</si>
  <si>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</si>
  <si>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</si>
  <si>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</si>
  <si>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</si>
  <si>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</si>
  <si>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</si>
  <si>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</si>
  <si>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</si>
  <si>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</si>
  <si>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</si>
  <si>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</si>
  <si>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</si>
  <si>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</si>
  <si>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</si>
  <si>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</si>
  <si>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</si>
  <si>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</si>
  <si>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</si>
  <si>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</si>
  <si>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</si>
  <si>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</si>
  <si>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</si>
  <si>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</si>
  <si>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</si>
  <si>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</si>
  <si>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</si>
  <si>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</si>
  <si>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</si>
  <si>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</si>
  <si>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</si>
  <si>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</si>
  <si>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</si>
  <si>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</si>
  <si>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</si>
  <si>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</si>
  <si>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</si>
  <si>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</si>
  <si>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</si>
  <si>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</si>
  <si>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</si>
  <si>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</si>
  <si>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</si>
  <si>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</si>
  <si>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</si>
  <si>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</si>
  <si>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</si>
  <si>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</si>
  <si>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</si>
  <si>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</si>
  <si>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</si>
  <si>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</si>
  <si>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</si>
  <si>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</si>
  <si>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</si>
  <si>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</si>
  <si>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</si>
  <si>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</si>
  <si>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</si>
  <si>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</si>
  <si>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</si>
  <si>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</si>
  <si>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</si>
  <si>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</si>
  <si>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</si>
  <si>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</si>
  <si>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</si>
  <si>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</si>
  <si>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</si>
  <si>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</si>
  <si>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</si>
  <si>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</si>
  <si>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</si>
  <si>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</si>
  <si>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</si>
  <si>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</si>
  <si>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</si>
  <si>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</si>
  <si>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</si>
  <si>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</si>
  <si>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</si>
  <si>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</si>
  <si>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</si>
  <si>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</si>
  <si>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</si>
  <si>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</si>
  <si>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</si>
  <si>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</si>
  <si>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</si>
  <si>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</si>
  <si>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</si>
  <si>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</si>
  <si>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</si>
  <si>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</si>
  <si>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</si>
  <si>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</si>
  <si>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</si>
  <si>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</si>
  <si>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</si>
  <si>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</si>
  <si>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</si>
  <si>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</si>
  <si>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</si>
  <si>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</si>
  <si>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</si>
  <si>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</si>
  <si>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</si>
  <si>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</si>
  <si>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</si>
  <si>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</si>
  <si>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</si>
  <si>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</si>
  <si>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</si>
  <si>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</si>
  <si>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</si>
  <si>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</si>
  <si>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</si>
  <si>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</si>
  <si>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</si>
  <si>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</si>
  <si>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</si>
  <si>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</si>
  <si>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</si>
  <si>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</si>
  <si>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</si>
  <si>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</si>
  <si>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</si>
  <si>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</si>
  <si>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</si>
  <si>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</si>
  <si>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</si>
  <si>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</si>
  <si>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</si>
  <si>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</si>
  <si>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</si>
  <si>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</si>
  <si>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</si>
  <si>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</si>
  <si>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</si>
  <si>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</si>
  <si>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</si>
  <si>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</si>
  <si>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</si>
  <si>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</si>
  <si>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</si>
  <si>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</si>
  <si>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</si>
  <si>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</si>
  <si>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</si>
  <si>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</si>
  <si>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</si>
  <si>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</si>
  <si>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</si>
  <si>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</si>
  <si>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</si>
  <si>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</si>
  <si>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</si>
  <si>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</si>
  <si>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</si>
  <si>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</si>
  <si>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</si>
  <si>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</si>
  <si>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</si>
  <si>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</si>
  <si>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</si>
  <si>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</si>
  <si>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</si>
  <si>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</si>
  <si>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</si>
  <si>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</si>
  <si>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</si>
  <si>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</si>
  <si>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</si>
  <si>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</si>
  <si>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</si>
  <si>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</si>
  <si>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</si>
  <si>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</si>
  <si>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</si>
  <si>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</si>
  <si>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</si>
  <si>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</si>
  <si>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</si>
  <si>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</si>
  <si>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</si>
  <si>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</si>
  <si>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</si>
  <si>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</si>
  <si>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</si>
  <si>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</si>
  <si>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</si>
  <si>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</si>
  <si>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</si>
  <si>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</si>
  <si>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</si>
  <si>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</si>
  <si>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</si>
  <si>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</si>
  <si>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</si>
  <si>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</si>
  <si>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</si>
  <si>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</si>
  <si>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</si>
  <si>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</si>
  <si>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</si>
  <si>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</si>
  <si>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</si>
  <si>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</si>
  <si>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</si>
  <si>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</si>
  <si>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</si>
  <si>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</si>
  <si>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</si>
  <si>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</si>
  <si>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</si>
  <si>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</si>
  <si>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</si>
  <si>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</si>
  <si>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</si>
  <si>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</si>
  <si>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</si>
  <si>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</si>
  <si>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</si>
  <si>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</si>
  <si>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</si>
  <si>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</si>
  <si>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</si>
  <si>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</si>
  <si>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</si>
  <si>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</si>
  <si>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</si>
  <si>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</si>
  <si>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</si>
  <si>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</si>
  <si>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</si>
  <si>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</si>
  <si>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</si>
  <si>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</si>
  <si>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</si>
  <si>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</si>
  <si>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</si>
  <si>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</si>
  <si>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</si>
  <si>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</si>
  <si>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</si>
  <si>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</si>
  <si>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</si>
  <si>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</si>
  <si>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</si>
  <si>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</si>
  <si>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</si>
  <si>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</si>
  <si>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</si>
  <si>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</si>
  <si>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</si>
  <si>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</si>
  <si>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</si>
  <si>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</si>
  <si>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</si>
  <si>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</si>
  <si>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</si>
  <si>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</si>
  <si>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</si>
  <si>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</si>
  <si>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</si>
  <si>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</si>
  <si>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</si>
  <si>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</si>
  <si>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</si>
  <si>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</si>
  <si>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</si>
  <si>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</si>
  <si>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</si>
  <si>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</si>
  <si>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</si>
  <si>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</si>
  <si>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</si>
  <si>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</si>
  <si>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</si>
  <si>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</si>
  <si>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</si>
  <si>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</si>
  <si>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</si>
  <si>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</si>
  <si>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</si>
  <si>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</si>
  <si>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</si>
  <si>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</si>
  <si>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</si>
  <si>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</si>
  <si>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</si>
  <si>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</si>
  <si>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</si>
  <si>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</si>
  <si>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</si>
  <si>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</si>
  <si>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</si>
  <si>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</si>
  <si>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</si>
  <si>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</si>
  <si>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</si>
  <si>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</si>
  <si>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</si>
  <si>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</si>
  <si>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</si>
  <si>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</si>
  <si>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</si>
  <si>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</si>
  <si>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</si>
  <si>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</si>
  <si>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</si>
  <si>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</si>
  <si>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</si>
  <si>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</si>
  <si>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</si>
  <si>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</si>
  <si>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</si>
  <si>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</si>
  <si>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</si>
  <si>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</si>
  <si>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</si>
  <si>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</si>
  <si>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</si>
  <si>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</si>
  <si>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</si>
  <si>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</si>
  <si>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</si>
  <si>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</si>
  <si>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</si>
  <si>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</si>
  <si>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</si>
  <si>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</si>
  <si>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</si>
  <si>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</si>
  <si>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</si>
  <si>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</si>
  <si>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</si>
  <si>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</si>
  <si>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</si>
  <si>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</si>
  <si>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</si>
  <si>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</si>
  <si>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</si>
  <si>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</si>
  <si>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</si>
  <si>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</si>
  <si>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</si>
  <si>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</si>
  <si>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</si>
  <si>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</si>
  <si>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</si>
  <si>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</si>
  <si>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</si>
  <si>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</si>
  <si>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</si>
  <si>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</si>
  <si>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</si>
  <si>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</si>
  <si>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</si>
  <si>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</si>
  <si>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</si>
  <si>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</si>
  <si>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</si>
  <si>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</si>
  <si>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</si>
  <si>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</si>
  <si>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</si>
  <si>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</si>
  <si>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</si>
  <si>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</si>
  <si>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</si>
  <si>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</si>
  <si>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</si>
  <si>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</si>
  <si>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</si>
  <si>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</si>
  <si>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</si>
  <si>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</si>
  <si>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</si>
  <si>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</si>
  <si>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</si>
  <si>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</si>
  <si>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</si>
  <si>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</si>
  <si>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</si>
  <si>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</si>
  <si>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</si>
  <si>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</si>
  <si>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</si>
  <si>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</si>
  <si>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</si>
  <si>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</si>
  <si>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</si>
  <si>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</si>
  <si>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</si>
  <si>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</si>
  <si>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</si>
  <si>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</si>
  <si>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</si>
  <si>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</si>
  <si>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</si>
  <si>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</si>
  <si>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</si>
  <si>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</si>
  <si>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</si>
  <si>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</si>
  <si>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</si>
  <si>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</si>
  <si>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</si>
  <si>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</si>
  <si>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</si>
  <si>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</si>
  <si>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</si>
  <si>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</si>
  <si>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</si>
  <si>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</si>
  <si>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</si>
  <si>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</si>
  <si>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</si>
  <si>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</si>
  <si>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</si>
  <si>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</si>
  <si>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</si>
  <si>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</si>
  <si>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</si>
  <si>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</si>
  <si>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</si>
  <si>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</si>
  <si>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</si>
  <si>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</si>
  <si>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</si>
  <si>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</si>
  <si>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</si>
  <si>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</si>
  <si>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</si>
  <si>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</si>
  <si>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</si>
  <si>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</si>
  <si>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</si>
  <si>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</si>
  <si>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</si>
  <si>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</si>
  <si>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</si>
  <si>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</si>
  <si>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</si>
  <si>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</si>
  <si>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</si>
  <si>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</si>
  <si>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</si>
  <si>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</si>
  <si>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</si>
  <si>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</si>
  <si>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</si>
  <si>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</si>
  <si>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</si>
  <si>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</si>
  <si>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</si>
  <si>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</si>
  <si>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</si>
  <si>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</si>
  <si>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</si>
  <si>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</si>
  <si>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</si>
  <si>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</si>
  <si>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</si>
  <si>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</si>
  <si>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</si>
  <si>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</si>
  <si>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</si>
  <si>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</si>
  <si>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</si>
  <si>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</si>
  <si>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</si>
  <si>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</si>
  <si>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</si>
  <si>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</si>
  <si>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</si>
  <si>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</si>
  <si>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</si>
  <si>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</si>
  <si>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</si>
  <si>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</si>
  <si>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</si>
  <si>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</si>
  <si>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</si>
  <si>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</si>
  <si>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</si>
  <si>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</si>
  <si>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</si>
  <si>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</si>
  <si>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</si>
  <si>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</si>
  <si>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</si>
  <si>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</si>
  <si>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</si>
  <si>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</si>
  <si>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</si>
  <si>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</si>
  <si>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</si>
  <si>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</si>
  <si>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</si>
  <si>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</si>
  <si>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</si>
  <si>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</si>
  <si>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</si>
  <si>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</si>
  <si>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</si>
  <si>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</si>
  <si>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</si>
  <si>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</si>
  <si>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</si>
  <si>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</si>
  <si>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</si>
  <si>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</si>
  <si>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</si>
  <si>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</si>
  <si>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</si>
  <si>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</si>
  <si>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</si>
  <si>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</si>
  <si>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</si>
  <si>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</si>
  <si>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</si>
  <si>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</si>
  <si>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</si>
  <si>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</si>
  <si>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</si>
  <si>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</si>
  <si>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</si>
  <si>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</si>
  <si>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</si>
  <si>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</si>
  <si>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</si>
  <si>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</si>
  <si>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</si>
  <si>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</si>
  <si>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</si>
  <si>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</si>
  <si>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</si>
  <si>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</si>
  <si>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</si>
  <si>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</si>
  <si>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</si>
  <si>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</si>
  <si>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</si>
  <si>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</si>
  <si>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</si>
  <si>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</si>
  <si>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</si>
  <si>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</si>
  <si>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</si>
  <si>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</si>
  <si>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</si>
  <si>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</si>
  <si>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</si>
  <si>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</si>
  <si>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</si>
  <si>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</si>
  <si>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</si>
  <si>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</si>
  <si>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</si>
  <si>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</si>
  <si>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</si>
  <si>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</si>
  <si>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</si>
  <si>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</si>
  <si>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</si>
  <si>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</si>
  <si>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</si>
  <si>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</si>
  <si>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</si>
  <si>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</si>
  <si>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</si>
  <si>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</si>
  <si>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</si>
  <si>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</si>
  <si>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</si>
  <si>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</si>
  <si>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</si>
  <si>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</si>
  <si>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</si>
  <si>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</si>
  <si>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</si>
  <si>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</si>
  <si>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</si>
  <si>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</si>
  <si>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</si>
  <si>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</si>
  <si>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</si>
  <si>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</si>
  <si>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</si>
  <si>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</si>
  <si>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</si>
  <si>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</si>
  <si>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</si>
  <si>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</si>
  <si>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</si>
  <si>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</si>
  <si>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</si>
  <si>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</si>
  <si>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</si>
  <si>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</si>
  <si>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</si>
  <si>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</si>
  <si>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</si>
  <si>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</si>
  <si>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</si>
  <si>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</si>
  <si>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</si>
  <si>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</si>
  <si>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</si>
  <si>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</si>
  <si>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</si>
  <si>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</si>
  <si>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</si>
  <si>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</si>
  <si>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</si>
  <si>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</si>
  <si>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</si>
  <si>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</si>
  <si>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</si>
  <si>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</si>
  <si>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</si>
  <si>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</si>
  <si>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</si>
  <si>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</si>
  <si>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</si>
  <si>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</si>
  <si>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</si>
  <si>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</si>
  <si>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</si>
  <si>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</si>
  <si>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</si>
  <si>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</si>
  <si>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</si>
  <si>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</si>
  <si>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</si>
  <si>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</si>
  <si>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</si>
  <si>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</si>
  <si>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</si>
  <si>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</si>
  <si>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</si>
  <si>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</si>
  <si>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</si>
  <si>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</si>
  <si>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</si>
  <si>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</si>
  <si>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</si>
  <si>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</si>
  <si>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</si>
  <si>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</si>
  <si>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</si>
  <si>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</si>
  <si>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</si>
  <si>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</si>
  <si>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</si>
  <si>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</si>
  <si>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</si>
  <si>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</si>
  <si>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</si>
  <si>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</si>
  <si>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</si>
  <si>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</si>
  <si>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</si>
  <si>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</si>
  <si>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</si>
  <si>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</si>
  <si>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</si>
  <si>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</si>
  <si>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</si>
  <si>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</si>
  <si>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</si>
  <si>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</si>
  <si>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</si>
  <si>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</si>
  <si>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</si>
  <si>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</si>
  <si>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</si>
  <si>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</si>
  <si>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</si>
  <si>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</si>
  <si>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</si>
  <si>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</si>
  <si>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</si>
  <si>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</si>
  <si>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</si>
  <si>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</si>
  <si>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</si>
  <si>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</si>
  <si>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</si>
  <si>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</si>
  <si>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</si>
  <si>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</si>
  <si>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</si>
  <si>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</si>
  <si>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</si>
  <si>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</si>
  <si>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</si>
  <si>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</si>
  <si>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</si>
  <si>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</si>
  <si>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</si>
  <si>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</si>
  <si>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</si>
  <si>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</si>
  <si>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</si>
  <si>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</si>
  <si>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</si>
  <si>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</si>
  <si>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</si>
  <si>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</si>
  <si>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</si>
  <si>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</si>
  <si>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</si>
  <si>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</si>
  <si>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</si>
  <si>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</si>
  <si>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</si>
  <si>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</si>
  <si>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</si>
  <si>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</si>
  <si>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</si>
  <si>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</si>
  <si>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</si>
  <si>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</si>
  <si>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</si>
  <si>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</si>
  <si>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</si>
  <si>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</si>
  <si>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</si>
  <si>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</si>
  <si>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</si>
  <si>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</si>
  <si>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</si>
  <si>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</si>
  <si>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</si>
  <si>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</si>
  <si>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</si>
  <si>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</si>
  <si>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</si>
  <si>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</si>
  <si>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</si>
  <si>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</si>
  <si>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</si>
  <si>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</si>
  <si>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</si>
  <si>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</si>
  <si>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</si>
  <si>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</si>
  <si>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</si>
  <si>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</si>
  <si>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</si>
  <si>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</si>
  <si>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</si>
  <si>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</si>
  <si>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</si>
  <si>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</si>
  <si>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</si>
  <si>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</si>
  <si>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</si>
  <si>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</si>
  <si>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</si>
  <si>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</si>
  <si>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</si>
  <si>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</si>
  <si>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</si>
  <si>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</si>
  <si>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</si>
  <si>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</si>
  <si>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</si>
  <si>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</si>
  <si>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</si>
  <si>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</si>
  <si>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</si>
  <si>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</si>
  <si>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</si>
  <si>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</si>
  <si>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</si>
  <si>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</si>
  <si>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</si>
  <si>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</si>
  <si>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</si>
  <si>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</si>
  <si>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</si>
  <si>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</si>
  <si>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</si>
  <si>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</si>
  <si>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</si>
  <si>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</si>
  <si>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</si>
  <si>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</si>
  <si>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</si>
  <si>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</si>
  <si>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</si>
  <si>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</si>
  <si>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</si>
  <si>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</si>
  <si>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</si>
  <si>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</si>
  <si>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</si>
  <si>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</si>
  <si>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</si>
  <si>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</si>
  <si>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</si>
  <si>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</si>
  <si>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</si>
  <si>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</si>
  <si>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</si>
  <si>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</si>
  <si>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</si>
  <si>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</si>
  <si>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</si>
  <si>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</si>
  <si>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</si>
  <si>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</si>
  <si>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</si>
  <si>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</si>
  <si>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</si>
  <si>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</si>
  <si>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</si>
  <si>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</si>
  <si>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</si>
  <si>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</si>
  <si>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</si>
  <si>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</si>
  <si>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</si>
  <si>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</si>
  <si>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</si>
  <si>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</si>
  <si>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</si>
  <si>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</si>
  <si>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</si>
  <si>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</si>
  <si>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</si>
  <si>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</si>
  <si>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</si>
  <si>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</si>
  <si>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</si>
  <si>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</si>
  <si>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</si>
  <si>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</si>
  <si>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</si>
  <si>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</si>
  <si>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</si>
  <si>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</si>
  <si>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</si>
  <si>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</si>
  <si>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</si>
  <si>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</si>
  <si>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</si>
  <si>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</si>
  <si>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</si>
  <si>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</si>
  <si>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</si>
  <si>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</si>
  <si>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</si>
  <si>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</si>
  <si>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</si>
  <si>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</si>
  <si>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</si>
  <si>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</si>
  <si>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</si>
  <si>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</si>
  <si>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</si>
  <si>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</si>
  <si>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</si>
  <si>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</si>
  <si>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</si>
  <si>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</si>
  <si>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</si>
  <si>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</si>
  <si>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</si>
  <si>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</si>
  <si>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</si>
  <si>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</si>
  <si>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</si>
  <si>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</si>
  <si>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</si>
  <si>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</si>
  <si>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</si>
  <si>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</si>
  <si>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</si>
  <si>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</si>
  <si>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</si>
  <si>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</si>
  <si>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</si>
  <si>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</si>
  <si>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</si>
  <si>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</si>
  <si>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</si>
  <si>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</si>
  <si>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</si>
  <si>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</si>
  <si>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</si>
  <si>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</si>
  <si>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</si>
  <si>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</si>
  <si>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</si>
  <si>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</si>
  <si>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</si>
  <si>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</si>
  <si>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</si>
  <si>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</si>
  <si>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</si>
  <si>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</si>
  <si>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</si>
  <si>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</si>
  <si>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</si>
  <si>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</si>
  <si>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</si>
  <si>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</si>
  <si>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</si>
  <si>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</si>
  <si>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</si>
  <si>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</si>
  <si>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</si>
  <si>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</si>
  <si>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</si>
  <si>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</si>
  <si>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</si>
  <si>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</si>
  <si>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</si>
  <si>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</si>
  <si>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</si>
  <si>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</si>
  <si>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</si>
  <si>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</si>
  <si>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</si>
  <si>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</si>
  <si>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</si>
  <si>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</si>
  <si>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</si>
  <si>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</si>
  <si>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</si>
  <si>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</si>
  <si>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</si>
  <si>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</si>
  <si>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</si>
  <si>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</si>
  <si>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</si>
  <si>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</si>
  <si>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</si>
  <si>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</si>
  <si>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</si>
  <si>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</si>
  <si>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</si>
  <si>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</si>
  <si>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</si>
  <si>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</si>
  <si>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</si>
  <si>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</si>
  <si>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</si>
  <si>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</si>
  <si>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</si>
  <si>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</si>
  <si>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</si>
  <si>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</si>
  <si>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</si>
  <si>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</si>
  <si>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</si>
  <si>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</si>
  <si>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</si>
  <si>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</si>
  <si>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</si>
  <si>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</si>
  <si>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</si>
  <si>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</si>
  <si>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</si>
  <si>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</si>
  <si>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</si>
  <si>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</si>
  <si>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</si>
  <si>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</si>
  <si>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</si>
  <si>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</si>
  <si>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</si>
  <si>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</si>
  <si>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</si>
  <si>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</si>
  <si>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</si>
  <si>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</si>
  <si>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</si>
  <si>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</si>
  <si>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</si>
  <si>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</si>
  <si>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</si>
  <si>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</si>
  <si>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</si>
  <si>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</si>
  <si>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</si>
  <si>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</si>
  <si>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</si>
  <si>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</si>
  <si>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</si>
  <si>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</si>
  <si>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</si>
  <si>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</si>
  <si>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</si>
  <si>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</si>
  <si>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</si>
  <si>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</si>
  <si>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</si>
  <si>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</si>
  <si>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</si>
  <si>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</si>
  <si>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</si>
  <si>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</si>
  <si>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</si>
  <si>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</si>
  <si>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</si>
  <si>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</si>
  <si>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</si>
  <si>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</si>
  <si>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</si>
  <si>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</si>
  <si>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</si>
  <si>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</si>
  <si>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</si>
  <si>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</si>
  <si>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</si>
  <si>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</si>
  <si>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</si>
  <si>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</si>
  <si>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</si>
  <si>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</si>
  <si>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</si>
  <si>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</si>
  <si>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</si>
  <si>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</si>
  <si>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</si>
  <si>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</si>
  <si>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</si>
  <si>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</si>
  <si>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</si>
  <si>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</si>
  <si>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</si>
  <si>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</si>
  <si>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</si>
  <si>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</si>
  <si>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</si>
  <si>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</si>
  <si>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</si>
  <si>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</si>
  <si>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</si>
  <si>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</si>
  <si>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</si>
  <si>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</si>
  <si>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</si>
  <si>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</si>
  <si>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</si>
  <si>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</si>
  <si>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</si>
  <si>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</si>
  <si>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</si>
  <si>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</si>
  <si>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</si>
  <si>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</si>
  <si>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</si>
  <si>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</si>
  <si>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</si>
  <si>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</si>
  <si>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</si>
  <si>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</si>
  <si>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</si>
  <si>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</si>
  <si>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</si>
  <si>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</si>
  <si>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</si>
  <si>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</si>
  <si>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</si>
  <si>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</si>
  <si>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</si>
  <si>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</si>
  <si>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</si>
  <si>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</si>
  <si>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</si>
  <si>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</si>
  <si>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</si>
  <si>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</si>
  <si>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</si>
  <si>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</si>
  <si>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</si>
  <si>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</si>
  <si>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</si>
  <si>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</si>
  <si>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</si>
  <si>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</si>
  <si>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</si>
  <si>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</si>
  <si>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</si>
  <si>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</si>
  <si>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</si>
  <si>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</si>
  <si>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</si>
  <si>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</si>
  <si>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</si>
  <si>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</si>
  <si>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</si>
  <si>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</si>
  <si>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</si>
  <si>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</si>
  <si>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</si>
  <si>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</si>
  <si>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</si>
  <si>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</si>
  <si>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</si>
  <si>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</si>
  <si>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</si>
  <si>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</si>
  <si>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</si>
  <si>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</si>
  <si>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</si>
  <si>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</si>
  <si>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</si>
  <si>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</si>
  <si>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</si>
  <si>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</si>
  <si>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</si>
  <si>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</si>
  <si>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</si>
  <si>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</si>
  <si>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</si>
  <si>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</si>
  <si>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</si>
  <si>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</si>
  <si>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</si>
  <si>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</si>
  <si>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</si>
  <si>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</si>
  <si>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</si>
  <si>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</si>
  <si>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</si>
  <si>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</si>
  <si>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</si>
  <si>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</si>
  <si>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</si>
  <si>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</si>
  <si>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</si>
  <si>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</si>
  <si>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</si>
  <si>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</si>
  <si>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</si>
  <si>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</si>
  <si>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</si>
  <si>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</si>
  <si>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</si>
  <si>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</si>
  <si>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</si>
  <si>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</si>
  <si>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</si>
  <si>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</si>
  <si>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</si>
  <si>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</si>
  <si>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</si>
  <si>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</si>
  <si>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</si>
  <si>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</si>
  <si>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</si>
  <si>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</si>
  <si>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</si>
  <si>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</si>
  <si>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</si>
  <si>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</si>
  <si>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</si>
  <si>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</si>
  <si>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</si>
  <si>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</si>
  <si>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</si>
  <si>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</si>
  <si>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</si>
  <si>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</si>
  <si>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</si>
  <si>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</si>
  <si>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</si>
  <si>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</si>
  <si>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</si>
  <si>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</si>
  <si>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</si>
  <si>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</si>
  <si>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</si>
  <si>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</si>
  <si>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</si>
  <si>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</si>
  <si>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</si>
  <si>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</si>
  <si>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</si>
  <si>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</si>
  <si>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</si>
  <si>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</si>
  <si>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</si>
  <si>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</si>
  <si>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</si>
  <si>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</si>
  <si>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</si>
  <si>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</si>
  <si>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</si>
  <si>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</si>
  <si>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</si>
  <si>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</si>
  <si>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</si>
  <si>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</si>
  <si>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</si>
  <si>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</si>
  <si>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</si>
  <si>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</si>
  <si>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</si>
  <si>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</si>
  <si>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</si>
  <si>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</si>
  <si>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</si>
  <si>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</si>
  <si>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</si>
  <si>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</si>
  <si>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</si>
  <si>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</si>
  <si>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</si>
  <si>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</si>
  <si>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</si>
  <si>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</si>
  <si>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</si>
  <si>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</si>
  <si>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</si>
  <si>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</si>
  <si>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</si>
  <si>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</si>
  <si>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</si>
  <si>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</si>
  <si>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</si>
  <si>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</si>
  <si>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</si>
  <si>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</si>
  <si>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</si>
  <si>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</si>
  <si>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</si>
  <si>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</si>
  <si>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</si>
  <si>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</si>
  <si>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</si>
  <si>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</si>
  <si>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</si>
  <si>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</si>
  <si>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</si>
  <si>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</si>
  <si>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</si>
  <si>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</si>
  <si>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</si>
  <si>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</si>
  <si>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</si>
  <si>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</si>
  <si>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</si>
  <si>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</si>
  <si>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</si>
  <si>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</si>
  <si>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</si>
  <si>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</si>
  <si>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</si>
  <si>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</si>
  <si>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</si>
  <si>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</si>
  <si>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</si>
  <si>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</si>
  <si>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</si>
  <si>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</si>
  <si>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</si>
  <si>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</si>
  <si>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</si>
  <si>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</si>
  <si>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</si>
  <si>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</si>
  <si>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</si>
  <si>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</si>
  <si>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</si>
  <si>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</si>
  <si>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</si>
  <si>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</si>
  <si>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</si>
  <si>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</si>
  <si>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</si>
  <si>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</si>
  <si>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</si>
  <si>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</si>
  <si>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</si>
  <si>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</si>
  <si>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</si>
  <si>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</si>
  <si>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</si>
  <si>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</si>
  <si>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</si>
  <si>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</si>
  <si>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</si>
  <si>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</si>
  <si>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</si>
  <si>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</si>
  <si>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</si>
  <si>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</si>
  <si>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</si>
  <si>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</si>
  <si>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</si>
  <si>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</si>
  <si>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</si>
  <si>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</si>
  <si>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</si>
  <si>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</si>
  <si>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</si>
  <si>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</si>
  <si>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</si>
  <si>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</si>
  <si>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</si>
  <si>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</si>
  <si>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</si>
  <si>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</si>
  <si>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</si>
  <si>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</si>
  <si>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</si>
  <si>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</si>
  <si>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</si>
  <si>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</si>
  <si>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</si>
  <si>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</si>
  <si>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</si>
  <si>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</si>
  <si>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</si>
  <si>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</si>
  <si>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</si>
  <si>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</si>
  <si>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</si>
  <si>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</si>
  <si>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</si>
  <si>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</si>
  <si>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</si>
  <si>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</si>
  <si>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</si>
  <si>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</si>
  <si>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</si>
  <si>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</si>
  <si>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</si>
  <si>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</si>
  <si>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</si>
  <si>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</si>
  <si>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</si>
  <si>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</si>
  <si>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</si>
  <si>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</si>
  <si>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</si>
  <si>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</si>
  <si>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</si>
  <si>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</si>
  <si>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</si>
  <si>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</si>
  <si>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</si>
  <si>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</si>
  <si>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</si>
  <si>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</si>
  <si>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</si>
  <si>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</si>
  <si>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</si>
  <si>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</si>
  <si>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</si>
  <si>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</si>
  <si>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</si>
  <si>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</si>
  <si>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</si>
  <si>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</si>
  <si>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</si>
  <si>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</si>
  <si>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</si>
  <si>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</si>
  <si>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</si>
  <si>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</si>
  <si>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</si>
  <si>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</si>
  <si>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</si>
  <si>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</si>
  <si>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</si>
  <si>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</si>
  <si>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</si>
  <si>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</si>
  <si>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</si>
  <si>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</si>
  <si>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</si>
  <si>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</si>
  <si>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</si>
  <si>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</si>
  <si>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</si>
  <si>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</si>
  <si>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</si>
  <si>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</si>
  <si>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</si>
  <si>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</si>
  <si>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</si>
  <si>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</si>
  <si>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</si>
  <si>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</si>
  <si>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</si>
  <si>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</si>
  <si>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</si>
  <si>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</si>
  <si>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</si>
  <si>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</si>
  <si>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</si>
  <si>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</si>
  <si>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</si>
  <si>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</si>
  <si>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</si>
  <si>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</si>
  <si>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</si>
  <si>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</si>
  <si>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</si>
  <si>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</si>
  <si>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</si>
  <si>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</si>
  <si>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</si>
  <si>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</si>
  <si>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</si>
  <si>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</si>
  <si>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</si>
  <si>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</si>
  <si>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</si>
  <si>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</si>
  <si>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</si>
  <si>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</si>
  <si>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</si>
  <si>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</si>
  <si>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</si>
  <si>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</si>
  <si>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</si>
  <si>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</si>
  <si>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</si>
  <si>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</si>
  <si>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</si>
  <si>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</si>
  <si>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</si>
  <si>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</si>
  <si>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</si>
  <si>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</si>
  <si>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</si>
  <si>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</si>
  <si>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</si>
  <si>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</si>
  <si>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</si>
  <si>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</si>
  <si>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</si>
  <si>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</si>
  <si>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</si>
  <si>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</si>
  <si>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</si>
  <si>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</si>
  <si>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</si>
  <si>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</si>
  <si>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</si>
  <si>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</si>
  <si>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</si>
  <si>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</si>
  <si>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</si>
  <si>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</si>
  <si>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</si>
  <si>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</si>
  <si>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</si>
  <si>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</si>
  <si>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</si>
  <si>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</si>
  <si>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</si>
  <si>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</si>
  <si>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</si>
  <si>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</si>
  <si>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</si>
  <si>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</si>
  <si>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</si>
  <si>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</si>
  <si>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</si>
  <si>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</si>
  <si>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</si>
  <si>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</si>
  <si>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</si>
  <si>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</si>
  <si>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</si>
  <si>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</si>
  <si>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</si>
  <si>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</si>
  <si>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</si>
  <si>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</si>
  <si>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</si>
  <si>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</si>
  <si>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</si>
  <si>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</si>
  <si>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</si>
  <si>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</si>
  <si>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</si>
  <si>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</si>
  <si>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</si>
  <si>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</si>
  <si>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</si>
  <si>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</si>
  <si>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</si>
  <si>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</si>
  <si>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</si>
  <si>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</si>
  <si>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</si>
  <si>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</si>
  <si>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</si>
  <si>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</si>
  <si>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</si>
  <si>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</si>
  <si>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</si>
  <si>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</si>
  <si>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</si>
  <si>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</si>
  <si>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</si>
  <si>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</si>
  <si>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</si>
  <si>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</si>
  <si>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</si>
  <si>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</si>
  <si>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</si>
  <si>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</si>
  <si>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</si>
  <si>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</si>
  <si>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</si>
  <si>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</si>
  <si>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</si>
  <si>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</si>
  <si>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</si>
  <si>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</si>
  <si>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</si>
  <si>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</si>
  <si>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</si>
  <si>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</si>
  <si>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</si>
  <si>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</si>
  <si>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</si>
  <si>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</si>
  <si>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</si>
  <si>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</si>
  <si>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</si>
  <si>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</si>
  <si>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</si>
  <si>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</si>
  <si>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</si>
  <si>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</si>
  <si>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</si>
  <si>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</si>
  <si>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</si>
  <si>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</si>
  <si>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</si>
  <si>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</si>
  <si>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</si>
  <si>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</si>
  <si>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</si>
  <si>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</si>
  <si>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</si>
  <si>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</si>
  <si>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</si>
  <si>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</si>
  <si>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</si>
  <si>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</si>
  <si>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</si>
  <si>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</si>
  <si>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</si>
  <si>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</si>
  <si>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</si>
  <si>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</si>
  <si>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</si>
  <si>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</si>
  <si>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</si>
  <si>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</si>
  <si>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</si>
  <si>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</si>
  <si>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</si>
  <si>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</si>
  <si>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</si>
  <si>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</si>
  <si>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</si>
  <si>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averge</t>
  </si>
  <si>
    <t>unknown</t>
  </si>
  <si>
    <t xml:space="preserve">Title </t>
  </si>
  <si>
    <t>First name</t>
  </si>
  <si>
    <t>LastName</t>
  </si>
  <si>
    <t>Weight status</t>
  </si>
  <si>
    <t>Diabetes status</t>
  </si>
  <si>
    <t>Date of birth</t>
  </si>
  <si>
    <t>Age</t>
  </si>
  <si>
    <t>collection date</t>
  </si>
  <si>
    <t>Heart issues</t>
  </si>
  <si>
    <t>Any transplants</t>
  </si>
  <si>
    <t>Weight Status</t>
  </si>
  <si>
    <t>D.O.B</t>
  </si>
  <si>
    <t xml:space="preserve"> charges</t>
  </si>
  <si>
    <t>Hospitaltier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</si>
</sst>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,\ yyyy"/>
    <numFmt numFmtId="165" formatCode="[$$-C09]#,##0.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5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5" fillId="4" borderId="0" xfId="0" applyFont="1" applyFill="1" applyAlignment="1">
      <alignment horizontal="center" vertical="center"/>
    </xf>
    <xf numFmtId="14" fontId="0" fillId="0" borderId="0" xfId="0" applyNumberFormat="1"/>
    <xf numFmtId="0" fontId="0" fillId="3" borderId="0" xfId="0" applyFill="1" applyAlignment="1">
      <alignment horizontal="center" vertical="center"/>
    </xf>
    <xf numFmtId="15" fontId="0" fillId="0" borderId="0" xfId="0" applyNumberFormat="1"/>
    <xf numFmtId="165" fontId="2" fillId="3" borderId="2" xfId="0" applyNumberFormat="1" applyFont="1" applyFill="1" applyBorder="1" applyAlignment="1">
      <alignment horizontal="center" vertical="center"/>
    </xf>
    <xf numFmtId="165" fontId="0" fillId="0" borderId="0" xfId="0" applyNumberFormat="1"/>
    <xf numFmtId="165" fontId="0" fillId="5" borderId="0" xfId="0" applyNumberFormat="1" applyFill="1"/>
    <xf numFmtId="0" fontId="0" fillId="8" borderId="0" xfId="0" applyFill="1"/>
    <xf numFmtId="0" fontId="3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wrapText="1"/>
    </xf>
    <xf numFmtId="0" fontId="0" fillId="2" borderId="2" xfId="0" applyFill="1" applyBorder="1"/>
    <xf numFmtId="14" fontId="0" fillId="2" borderId="2" xfId="0" applyNumberFormat="1" applyFill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6"/>
  <sheetViews>
    <sheetView workbookViewId="0">
      <selection activeCell="C1" sqref="C1:E1"/>
    </sheetView>
  </sheetViews>
  <sheetFormatPr defaultRowHeight="14.5" x14ac:dyDescent="0.35"/>
  <cols>
    <col min="1" max="1" width="15.54296875" customWidth="1"/>
    <col min="2" max="2" width="37.453125" bestFit="1" customWidth="1"/>
    <col min="3" max="3" width="17" customWidth="1"/>
    <col min="4" max="4" width="16.81640625" customWidth="1"/>
    <col min="5" max="5" width="20.7265625" customWidth="1"/>
  </cols>
  <sheetData>
    <row r="1" spans="1:5" s="2" customFormat="1" ht="19" customHeight="1" x14ac:dyDescent="0.35">
      <c r="A1" s="5" t="s">
        <v>0</v>
      </c>
      <c r="B1" s="6" t="s">
        <v>2383</v>
      </c>
      <c r="C1" s="10" t="s">
        <v>4721</v>
      </c>
      <c r="D1" s="10" t="s">
        <v>4722</v>
      </c>
      <c r="E1" s="10" t="s">
        <v>4723</v>
      </c>
    </row>
    <row r="2" spans="1:5" ht="15.5" x14ac:dyDescent="0.35">
      <c r="A2" s="1" t="s">
        <v>2372</v>
      </c>
      <c r="B2" s="1" t="s">
        <v>2384</v>
      </c>
      <c r="C2" t="str">
        <f>TRIM(MID(B2,FIND(",",B2)+1,FIND(".",B2)-FIND(",",B2)))</f>
        <v>Ms.</v>
      </c>
      <c r="D2" t="str">
        <f>TRIM(MID(B2,FIND(".",B2)+1,LEN(B2)))</f>
        <v>Kelly</v>
      </c>
      <c r="E2" t="str">
        <f>TRIM(LEFT(B2,FIND(",",B2)-1))</f>
        <v>Hawks</v>
      </c>
    </row>
    <row r="3" spans="1:5" ht="15.5" x14ac:dyDescent="0.35">
      <c r="A3" s="1" t="s">
        <v>2371</v>
      </c>
      <c r="B3" s="1" t="s">
        <v>2385</v>
      </c>
      <c r="C3" t="str">
        <f t="shared" ref="C3:C66" si="0">TRIM(MID(B3,FIND(",",B3)+1,FIND(".",B3)-FIND(",",B3)))</f>
        <v>Mr.</v>
      </c>
      <c r="D3" t="str">
        <f t="shared" ref="D3:D66" si="1">TRIM(MID(B3,FIND(".",B3)+1,LEN(B3)))</f>
        <v>Matthew D</v>
      </c>
      <c r="E3" t="str">
        <f t="shared" ref="E3:E66" si="2">TRIM(LEFT(B3,FIND(",",B3)-1))</f>
        <v>Lehner</v>
      </c>
    </row>
    <row r="4" spans="1:5" ht="15.5" x14ac:dyDescent="0.35">
      <c r="A4" s="1" t="s">
        <v>2370</v>
      </c>
      <c r="B4" s="1" t="s">
        <v>2386</v>
      </c>
      <c r="C4" t="str">
        <f t="shared" si="0"/>
        <v>Mr.</v>
      </c>
      <c r="D4" t="str">
        <f t="shared" si="1"/>
        <v>Phil</v>
      </c>
      <c r="E4" t="str">
        <f t="shared" si="2"/>
        <v>Lu</v>
      </c>
    </row>
    <row r="5" spans="1:5" ht="15.5" x14ac:dyDescent="0.35">
      <c r="A5" s="1" t="s">
        <v>2369</v>
      </c>
      <c r="B5" s="1" t="s">
        <v>2387</v>
      </c>
      <c r="C5" t="str">
        <f t="shared" si="0"/>
        <v>Ms.</v>
      </c>
      <c r="D5" t="str">
        <f t="shared" si="1"/>
        <v>Kelsey</v>
      </c>
      <c r="E5" t="str">
        <f t="shared" si="2"/>
        <v>Osborne</v>
      </c>
    </row>
    <row r="6" spans="1:5" ht="15.5" x14ac:dyDescent="0.35">
      <c r="A6" s="1" t="s">
        <v>2368</v>
      </c>
      <c r="B6" s="1" t="s">
        <v>2388</v>
      </c>
      <c r="C6" t="str">
        <f t="shared" si="0"/>
        <v>Ms.</v>
      </c>
      <c r="D6" t="str">
        <f t="shared" si="1"/>
        <v>Kristyn</v>
      </c>
      <c r="E6" t="str">
        <f t="shared" si="2"/>
        <v>Kadala</v>
      </c>
    </row>
    <row r="7" spans="1:5" ht="15.5" x14ac:dyDescent="0.35">
      <c r="A7" s="1" t="s">
        <v>2367</v>
      </c>
      <c r="B7" s="1" t="s">
        <v>2389</v>
      </c>
      <c r="C7" t="str">
        <f t="shared" si="0"/>
        <v>Mr.</v>
      </c>
      <c r="D7" t="str">
        <f t="shared" si="1"/>
        <v>Russell B.</v>
      </c>
      <c r="E7" t="str">
        <f t="shared" si="2"/>
        <v>Baker</v>
      </c>
    </row>
    <row r="8" spans="1:5" ht="15.5" x14ac:dyDescent="0.35">
      <c r="A8" s="1" t="s">
        <v>2366</v>
      </c>
      <c r="B8" s="1" t="s">
        <v>2390</v>
      </c>
      <c r="C8" t="str">
        <f t="shared" si="0"/>
        <v>Mr.</v>
      </c>
      <c r="D8" t="str">
        <f t="shared" si="1"/>
        <v>Scott</v>
      </c>
      <c r="E8" t="str">
        <f t="shared" si="2"/>
        <v>Macpherson</v>
      </c>
    </row>
    <row r="9" spans="1:5" ht="15.5" x14ac:dyDescent="0.35">
      <c r="A9" s="1" t="s">
        <v>2365</v>
      </c>
      <c r="B9" s="1" t="s">
        <v>2391</v>
      </c>
      <c r="C9" t="str">
        <f t="shared" si="0"/>
        <v>Mr.</v>
      </c>
      <c r="D9" t="str">
        <f t="shared" si="1"/>
        <v>Stephen</v>
      </c>
      <c r="E9" t="str">
        <f t="shared" si="2"/>
        <v>Hallman</v>
      </c>
    </row>
    <row r="10" spans="1:5" ht="15.5" x14ac:dyDescent="0.35">
      <c r="A10" s="1" t="s">
        <v>2364</v>
      </c>
      <c r="B10" s="1" t="s">
        <v>2392</v>
      </c>
      <c r="C10" t="str">
        <f t="shared" si="0"/>
        <v>Mr.</v>
      </c>
      <c r="D10" t="str">
        <f t="shared" si="1"/>
        <v>Patrick R.</v>
      </c>
      <c r="E10" t="str">
        <f t="shared" si="2"/>
        <v>Moran</v>
      </c>
    </row>
    <row r="11" spans="1:5" ht="15.5" x14ac:dyDescent="0.35">
      <c r="A11" s="1" t="s">
        <v>2363</v>
      </c>
      <c r="B11" s="1" t="s">
        <v>2393</v>
      </c>
      <c r="C11" t="str">
        <f t="shared" si="0"/>
        <v>Ms.</v>
      </c>
      <c r="D11" t="str">
        <f t="shared" si="1"/>
        <v>Brooke N.</v>
      </c>
      <c r="E11" t="str">
        <f t="shared" si="2"/>
        <v>Benner</v>
      </c>
    </row>
    <row r="12" spans="1:5" ht="15.5" x14ac:dyDescent="0.35">
      <c r="A12" s="1" t="s">
        <v>2362</v>
      </c>
      <c r="B12" s="1" t="s">
        <v>2394</v>
      </c>
      <c r="C12" t="str">
        <f t="shared" si="0"/>
        <v>Ms.</v>
      </c>
      <c r="D12" t="str">
        <f t="shared" si="1"/>
        <v>Paola Andrea</v>
      </c>
      <c r="E12" t="str">
        <f t="shared" si="2"/>
        <v>Fierro Vargas</v>
      </c>
    </row>
    <row r="13" spans="1:5" ht="15.5" x14ac:dyDescent="0.35">
      <c r="A13" s="1" t="s">
        <v>2361</v>
      </c>
      <c r="B13" s="1" t="s">
        <v>2395</v>
      </c>
      <c r="C13" t="str">
        <f t="shared" si="0"/>
        <v>Mr.</v>
      </c>
      <c r="D13" t="str">
        <f t="shared" si="1"/>
        <v>David</v>
      </c>
      <c r="E13" t="str">
        <f t="shared" si="2"/>
        <v>Franz</v>
      </c>
    </row>
    <row r="14" spans="1:5" ht="15.5" x14ac:dyDescent="0.35">
      <c r="A14" s="1" t="s">
        <v>2360</v>
      </c>
      <c r="B14" s="1" t="s">
        <v>2396</v>
      </c>
      <c r="C14" t="str">
        <f t="shared" si="0"/>
        <v>Mr.</v>
      </c>
      <c r="D14" t="str">
        <f t="shared" si="1"/>
        <v>Wade</v>
      </c>
      <c r="E14" t="str">
        <f t="shared" si="2"/>
        <v>Foster</v>
      </c>
    </row>
    <row r="15" spans="1:5" ht="15.5" x14ac:dyDescent="0.35">
      <c r="A15" s="1" t="s">
        <v>2359</v>
      </c>
      <c r="B15" s="1" t="s">
        <v>2397</v>
      </c>
      <c r="C15" t="str">
        <f t="shared" si="0"/>
        <v>Mr.</v>
      </c>
      <c r="D15" t="str">
        <f t="shared" si="1"/>
        <v>Franklin</v>
      </c>
      <c r="E15" t="str">
        <f t="shared" si="2"/>
        <v>Tenorio</v>
      </c>
    </row>
    <row r="16" spans="1:5" ht="15.5" x14ac:dyDescent="0.35">
      <c r="A16" s="1" t="s">
        <v>2358</v>
      </c>
      <c r="B16" s="1" t="s">
        <v>2398</v>
      </c>
      <c r="C16" t="str">
        <f t="shared" si="0"/>
        <v>Ms.</v>
      </c>
      <c r="D16" t="str">
        <f t="shared" si="1"/>
        <v>Leilani M.</v>
      </c>
      <c r="E16" t="str">
        <f t="shared" si="2"/>
        <v>Rios</v>
      </c>
    </row>
    <row r="17" spans="1:5" ht="15.5" x14ac:dyDescent="0.35">
      <c r="A17" s="1" t="s">
        <v>2357</v>
      </c>
      <c r="B17" s="1" t="s">
        <v>2399</v>
      </c>
      <c r="C17" t="str">
        <f t="shared" si="0"/>
        <v>Mr.</v>
      </c>
      <c r="D17" t="str">
        <f t="shared" si="1"/>
        <v>Philippe</v>
      </c>
      <c r="E17" t="str">
        <f t="shared" si="2"/>
        <v>Viau-Dupuis</v>
      </c>
    </row>
    <row r="18" spans="1:5" ht="15.5" x14ac:dyDescent="0.35">
      <c r="A18" s="1" t="s">
        <v>2356</v>
      </c>
      <c r="B18" s="1" t="s">
        <v>2400</v>
      </c>
      <c r="C18" t="str">
        <f t="shared" si="0"/>
        <v>Ms.</v>
      </c>
      <c r="D18" t="str">
        <f t="shared" si="1"/>
        <v>Jennifer A.</v>
      </c>
      <c r="E18" t="str">
        <f t="shared" si="2"/>
        <v>Cronin</v>
      </c>
    </row>
    <row r="19" spans="1:5" ht="15.5" x14ac:dyDescent="0.35">
      <c r="A19" s="1" t="s">
        <v>2355</v>
      </c>
      <c r="B19" s="1" t="s">
        <v>2401</v>
      </c>
      <c r="C19" t="str">
        <f t="shared" si="0"/>
        <v>Ms.</v>
      </c>
      <c r="D19" t="str">
        <f t="shared" si="1"/>
        <v>Christina M.</v>
      </c>
      <c r="E19" t="str">
        <f t="shared" si="2"/>
        <v>Noordstar</v>
      </c>
    </row>
    <row r="20" spans="1:5" ht="15.5" x14ac:dyDescent="0.35">
      <c r="A20" s="1" t="s">
        <v>2354</v>
      </c>
      <c r="B20" s="1" t="s">
        <v>2402</v>
      </c>
      <c r="C20" t="str">
        <f t="shared" si="0"/>
        <v>Mr.</v>
      </c>
      <c r="D20" t="str">
        <f t="shared" si="1"/>
        <v>Said Sr.</v>
      </c>
      <c r="E20" t="str">
        <f t="shared" si="2"/>
        <v>Boudalia</v>
      </c>
    </row>
    <row r="21" spans="1:5" ht="15.5" x14ac:dyDescent="0.35">
      <c r="A21" s="1" t="s">
        <v>2353</v>
      </c>
      <c r="B21" s="1" t="s">
        <v>2403</v>
      </c>
      <c r="C21" t="str">
        <f t="shared" si="0"/>
        <v>Mr.</v>
      </c>
      <c r="D21" t="str">
        <f t="shared" si="1"/>
        <v>John</v>
      </c>
      <c r="E21" t="str">
        <f t="shared" si="2"/>
        <v>Flor</v>
      </c>
    </row>
    <row r="22" spans="1:5" ht="15.5" x14ac:dyDescent="0.35">
      <c r="A22" s="1" t="s">
        <v>2352</v>
      </c>
      <c r="B22" s="1" t="s">
        <v>2404</v>
      </c>
      <c r="C22" t="str">
        <f t="shared" si="0"/>
        <v>Mr.</v>
      </c>
      <c r="D22" t="str">
        <f t="shared" si="1"/>
        <v>Myles</v>
      </c>
      <c r="E22" t="str">
        <f t="shared" si="2"/>
        <v>Fennon</v>
      </c>
    </row>
    <row r="23" spans="1:5" ht="15.5" x14ac:dyDescent="0.35">
      <c r="A23" s="1" t="s">
        <v>2351</v>
      </c>
      <c r="B23" s="1" t="s">
        <v>2405</v>
      </c>
      <c r="C23" t="str">
        <f t="shared" si="0"/>
        <v>Ms.</v>
      </c>
      <c r="D23" t="str">
        <f t="shared" si="1"/>
        <v>Madelyn C</v>
      </c>
      <c r="E23" t="str">
        <f t="shared" si="2"/>
        <v>Hribar</v>
      </c>
    </row>
    <row r="24" spans="1:5" ht="15.5" x14ac:dyDescent="0.35">
      <c r="A24" s="1" t="s">
        <v>2350</v>
      </c>
      <c r="B24" s="1" t="s">
        <v>2406</v>
      </c>
      <c r="C24" t="str">
        <f t="shared" si="0"/>
        <v>Ms.</v>
      </c>
      <c r="D24" t="str">
        <f t="shared" si="1"/>
        <v>Nicole</v>
      </c>
      <c r="E24" t="str">
        <f t="shared" si="2"/>
        <v>Tassello</v>
      </c>
    </row>
    <row r="25" spans="1:5" ht="15.5" x14ac:dyDescent="0.35">
      <c r="A25" s="1" t="s">
        <v>2349</v>
      </c>
      <c r="B25" s="1" t="s">
        <v>2407</v>
      </c>
      <c r="C25" t="str">
        <f t="shared" si="0"/>
        <v>Mr.</v>
      </c>
      <c r="D25" t="str">
        <f t="shared" si="1"/>
        <v>Eric A.</v>
      </c>
      <c r="E25" t="str">
        <f t="shared" si="2"/>
        <v>Mauricette</v>
      </c>
    </row>
    <row r="26" spans="1:5" ht="15.5" x14ac:dyDescent="0.35">
      <c r="A26" s="1" t="s">
        <v>2348</v>
      </c>
      <c r="B26" s="1" t="s">
        <v>2408</v>
      </c>
      <c r="C26" t="str">
        <f t="shared" si="0"/>
        <v>Mr.</v>
      </c>
      <c r="D26" t="str">
        <f t="shared" si="1"/>
        <v>Emiliano I.</v>
      </c>
      <c r="E26" t="str">
        <f t="shared" si="2"/>
        <v>Garcia</v>
      </c>
    </row>
    <row r="27" spans="1:5" ht="15.5" x14ac:dyDescent="0.35">
      <c r="A27" s="1" t="s">
        <v>2347</v>
      </c>
      <c r="B27" s="1" t="s">
        <v>2409</v>
      </c>
      <c r="C27" t="str">
        <f t="shared" si="0"/>
        <v>Mr.</v>
      </c>
      <c r="D27" t="str">
        <f t="shared" si="1"/>
        <v>Adam</v>
      </c>
      <c r="E27" t="str">
        <f t="shared" si="2"/>
        <v>Airoldi</v>
      </c>
    </row>
    <row r="28" spans="1:5" ht="15.5" x14ac:dyDescent="0.35">
      <c r="A28" s="1" t="s">
        <v>2346</v>
      </c>
      <c r="B28" s="1" t="s">
        <v>2410</v>
      </c>
      <c r="C28" t="str">
        <f t="shared" si="0"/>
        <v>Mr.</v>
      </c>
      <c r="D28" t="str">
        <f t="shared" si="1"/>
        <v>Zach</v>
      </c>
      <c r="E28" t="str">
        <f t="shared" si="2"/>
        <v>Cater-Cyker</v>
      </c>
    </row>
    <row r="29" spans="1:5" ht="15.5" x14ac:dyDescent="0.35">
      <c r="A29" s="1" t="s">
        <v>2345</v>
      </c>
      <c r="B29" s="1" t="s">
        <v>2411</v>
      </c>
      <c r="C29" t="str">
        <f t="shared" si="0"/>
        <v>Ms.</v>
      </c>
      <c r="D29" t="str">
        <f t="shared" si="1"/>
        <v>Stephanie W.</v>
      </c>
      <c r="E29" t="str">
        <f t="shared" si="2"/>
        <v>Hamm</v>
      </c>
    </row>
    <row r="30" spans="1:5" ht="15.5" x14ac:dyDescent="0.35">
      <c r="A30" s="1" t="s">
        <v>2344</v>
      </c>
      <c r="B30" s="1" t="s">
        <v>2412</v>
      </c>
      <c r="C30" t="str">
        <f t="shared" si="0"/>
        <v>Mr.</v>
      </c>
      <c r="D30" t="str">
        <f t="shared" si="1"/>
        <v>Stephen</v>
      </c>
      <c r="E30" t="str">
        <f t="shared" si="2"/>
        <v>Cox</v>
      </c>
    </row>
    <row r="31" spans="1:5" ht="15.5" x14ac:dyDescent="0.35">
      <c r="A31" s="1" t="s">
        <v>2343</v>
      </c>
      <c r="B31" s="1" t="s">
        <v>2413</v>
      </c>
      <c r="C31" t="str">
        <f t="shared" si="0"/>
        <v>Ms.</v>
      </c>
      <c r="D31" t="str">
        <f t="shared" si="1"/>
        <v>Natalie</v>
      </c>
      <c r="E31" t="str">
        <f t="shared" si="2"/>
        <v>Sachrajda</v>
      </c>
    </row>
    <row r="32" spans="1:5" ht="15.5" x14ac:dyDescent="0.35">
      <c r="A32" s="1" t="s">
        <v>2342</v>
      </c>
      <c r="B32" s="1" t="s">
        <v>2414</v>
      </c>
      <c r="C32" t="str">
        <f t="shared" si="0"/>
        <v>Ms.</v>
      </c>
      <c r="D32" t="str">
        <f t="shared" si="1"/>
        <v>Nicole J.</v>
      </c>
      <c r="E32" t="str">
        <f t="shared" si="2"/>
        <v>Gareri</v>
      </c>
    </row>
    <row r="33" spans="1:5" ht="15.5" x14ac:dyDescent="0.35">
      <c r="A33" s="1" t="s">
        <v>2341</v>
      </c>
      <c r="B33" s="1" t="s">
        <v>2415</v>
      </c>
      <c r="C33" t="str">
        <f t="shared" si="0"/>
        <v>Mr.</v>
      </c>
      <c r="D33" t="str">
        <f t="shared" si="1"/>
        <v>Jefferson D</v>
      </c>
      <c r="E33" t="str">
        <f t="shared" si="2"/>
        <v>Welch</v>
      </c>
    </row>
    <row r="34" spans="1:5" ht="15.5" x14ac:dyDescent="0.35">
      <c r="A34" s="1" t="s">
        <v>2340</v>
      </c>
      <c r="B34" s="1" t="s">
        <v>2416</v>
      </c>
      <c r="C34" t="str">
        <f t="shared" si="0"/>
        <v>Mr.</v>
      </c>
      <c r="D34" t="str">
        <f t="shared" si="1"/>
        <v>Brendan D.</v>
      </c>
      <c r="E34" t="str">
        <f t="shared" si="2"/>
        <v>Prindiville</v>
      </c>
    </row>
    <row r="35" spans="1:5" ht="15.5" x14ac:dyDescent="0.35">
      <c r="A35" s="1" t="s">
        <v>2339</v>
      </c>
      <c r="B35" s="1" t="s">
        <v>2417</v>
      </c>
      <c r="C35" t="str">
        <f t="shared" si="0"/>
        <v>Ms.</v>
      </c>
      <c r="D35" t="str">
        <f t="shared" si="1"/>
        <v>Courtney</v>
      </c>
      <c r="E35" t="str">
        <f t="shared" si="2"/>
        <v>Kincaid</v>
      </c>
    </row>
    <row r="36" spans="1:5" ht="15.5" x14ac:dyDescent="0.35">
      <c r="A36" s="1" t="s">
        <v>2338</v>
      </c>
      <c r="B36" s="1" t="s">
        <v>2418</v>
      </c>
      <c r="C36" t="str">
        <f t="shared" si="0"/>
        <v>Ms.</v>
      </c>
      <c r="D36" t="str">
        <f t="shared" si="1"/>
        <v>Sydney L.</v>
      </c>
      <c r="E36" t="str">
        <f t="shared" si="2"/>
        <v>Bruestle</v>
      </c>
    </row>
    <row r="37" spans="1:5" ht="15.5" x14ac:dyDescent="0.35">
      <c r="A37" s="1" t="s">
        <v>2337</v>
      </c>
      <c r="B37" s="1" t="s">
        <v>2419</v>
      </c>
      <c r="C37" t="str">
        <f t="shared" si="0"/>
        <v>Mr.</v>
      </c>
      <c r="D37" t="str">
        <f t="shared" si="1"/>
        <v>Julien</v>
      </c>
      <c r="E37" t="str">
        <f t="shared" si="2"/>
        <v>Lachance</v>
      </c>
    </row>
    <row r="38" spans="1:5" ht="15.5" x14ac:dyDescent="0.35">
      <c r="A38" s="1" t="s">
        <v>2336</v>
      </c>
      <c r="B38" s="1" t="s">
        <v>2420</v>
      </c>
      <c r="C38" t="str">
        <f t="shared" si="0"/>
        <v>Mr.</v>
      </c>
      <c r="D38" t="str">
        <f t="shared" si="1"/>
        <v>Ryan M</v>
      </c>
      <c r="E38" t="str">
        <f t="shared" si="2"/>
        <v>Eason</v>
      </c>
    </row>
    <row r="39" spans="1:5" ht="15.5" x14ac:dyDescent="0.35">
      <c r="A39" s="1" t="s">
        <v>2335</v>
      </c>
      <c r="B39" s="1" t="s">
        <v>2421</v>
      </c>
      <c r="C39" t="str">
        <f t="shared" si="0"/>
        <v>Ms.</v>
      </c>
      <c r="D39" t="str">
        <f t="shared" si="1"/>
        <v>Anna H.</v>
      </c>
      <c r="E39" t="str">
        <f t="shared" si="2"/>
        <v>Grummon</v>
      </c>
    </row>
    <row r="40" spans="1:5" ht="15.5" x14ac:dyDescent="0.35">
      <c r="A40" s="1" t="s">
        <v>2334</v>
      </c>
      <c r="B40" s="1" t="s">
        <v>2422</v>
      </c>
      <c r="C40" t="str">
        <f t="shared" si="0"/>
        <v>Ms.</v>
      </c>
      <c r="D40" t="str">
        <f t="shared" si="1"/>
        <v>Samantha</v>
      </c>
      <c r="E40" t="str">
        <f t="shared" si="2"/>
        <v>Vanwechel</v>
      </c>
    </row>
    <row r="41" spans="1:5" ht="15.5" x14ac:dyDescent="0.35">
      <c r="A41" s="1" t="s">
        <v>2333</v>
      </c>
      <c r="B41" s="1" t="s">
        <v>2423</v>
      </c>
      <c r="C41" t="str">
        <f t="shared" si="0"/>
        <v>Mr.</v>
      </c>
      <c r="D41" t="str">
        <f t="shared" si="1"/>
        <v>Robert</v>
      </c>
      <c r="E41" t="str">
        <f t="shared" si="2"/>
        <v>Fisher</v>
      </c>
    </row>
    <row r="42" spans="1:5" ht="15.5" x14ac:dyDescent="0.35">
      <c r="A42" s="1" t="s">
        <v>2332</v>
      </c>
      <c r="B42" s="1" t="s">
        <v>2424</v>
      </c>
      <c r="C42" t="str">
        <f t="shared" si="0"/>
        <v>Mr.</v>
      </c>
      <c r="D42" t="str">
        <f t="shared" si="1"/>
        <v>James R.</v>
      </c>
      <c r="E42" t="str">
        <f t="shared" si="2"/>
        <v>Jenkins</v>
      </c>
    </row>
    <row r="43" spans="1:5" ht="15.5" x14ac:dyDescent="0.35">
      <c r="A43" s="1" t="s">
        <v>2331</v>
      </c>
      <c r="B43" s="1" t="s">
        <v>2425</v>
      </c>
      <c r="C43" t="str">
        <f t="shared" si="0"/>
        <v>Ms.</v>
      </c>
      <c r="D43" t="str">
        <f t="shared" si="1"/>
        <v>Roseann</v>
      </c>
      <c r="E43" t="str">
        <f t="shared" si="2"/>
        <v>Peters</v>
      </c>
    </row>
    <row r="44" spans="1:5" ht="15.5" x14ac:dyDescent="0.35">
      <c r="A44" s="1" t="s">
        <v>2330</v>
      </c>
      <c r="B44" s="1" t="s">
        <v>2426</v>
      </c>
      <c r="C44" t="str">
        <f t="shared" si="0"/>
        <v>Ms.</v>
      </c>
      <c r="D44" t="str">
        <f t="shared" si="1"/>
        <v>Nicole</v>
      </c>
      <c r="E44" t="str">
        <f t="shared" si="2"/>
        <v>Aha</v>
      </c>
    </row>
    <row r="45" spans="1:5" ht="15.5" x14ac:dyDescent="0.35">
      <c r="A45" s="1" t="s">
        <v>2329</v>
      </c>
      <c r="B45" s="1" t="s">
        <v>2427</v>
      </c>
      <c r="C45" t="str">
        <f t="shared" si="0"/>
        <v>Mr.</v>
      </c>
      <c r="D45" t="str">
        <f t="shared" si="1"/>
        <v>Spencer</v>
      </c>
      <c r="E45" t="str">
        <f t="shared" si="2"/>
        <v>McElwain</v>
      </c>
    </row>
    <row r="46" spans="1:5" ht="15.5" x14ac:dyDescent="0.35">
      <c r="A46" s="1" t="s">
        <v>2328</v>
      </c>
      <c r="B46" s="1" t="s">
        <v>2428</v>
      </c>
      <c r="C46" t="str">
        <f t="shared" si="0"/>
        <v>Mr.</v>
      </c>
      <c r="D46" t="str">
        <f t="shared" si="1"/>
        <v>Eric W</v>
      </c>
      <c r="E46" t="str">
        <f t="shared" si="2"/>
        <v>Januszewski</v>
      </c>
    </row>
    <row r="47" spans="1:5" ht="15.5" x14ac:dyDescent="0.35">
      <c r="A47" s="1" t="s">
        <v>2327</v>
      </c>
      <c r="B47" s="1" t="s">
        <v>2429</v>
      </c>
      <c r="C47" t="str">
        <f t="shared" si="0"/>
        <v>Ms.</v>
      </c>
      <c r="D47" t="str">
        <f t="shared" si="1"/>
        <v>Brianna L</v>
      </c>
      <c r="E47" t="str">
        <f t="shared" si="2"/>
        <v>Rohne</v>
      </c>
    </row>
    <row r="48" spans="1:5" ht="15.5" x14ac:dyDescent="0.35">
      <c r="A48" s="1" t="s">
        <v>2326</v>
      </c>
      <c r="B48" s="1" t="s">
        <v>2430</v>
      </c>
      <c r="C48" t="str">
        <f t="shared" si="0"/>
        <v>Mr.</v>
      </c>
      <c r="D48" t="str">
        <f t="shared" si="1"/>
        <v>Thomas J.</v>
      </c>
      <c r="E48" t="str">
        <f t="shared" si="2"/>
        <v>O'Grady</v>
      </c>
    </row>
    <row r="49" spans="1:5" ht="15.5" x14ac:dyDescent="0.35">
      <c r="A49" s="1" t="s">
        <v>2325</v>
      </c>
      <c r="B49" s="1" t="s">
        <v>2431</v>
      </c>
      <c r="C49" t="str">
        <f t="shared" si="0"/>
        <v>Ms.</v>
      </c>
      <c r="D49" t="str">
        <f t="shared" si="1"/>
        <v>Melissa L</v>
      </c>
      <c r="E49" t="str">
        <f t="shared" si="2"/>
        <v>Peters</v>
      </c>
    </row>
    <row r="50" spans="1:5" ht="15.5" x14ac:dyDescent="0.35">
      <c r="A50" s="1" t="s">
        <v>2324</v>
      </c>
      <c r="B50" s="1" t="s">
        <v>2432</v>
      </c>
      <c r="C50" t="str">
        <f t="shared" si="0"/>
        <v>Mr.</v>
      </c>
      <c r="D50" t="str">
        <f t="shared" si="1"/>
        <v>Flavio</v>
      </c>
      <c r="E50" t="str">
        <f t="shared" si="2"/>
        <v>De Simone</v>
      </c>
    </row>
    <row r="51" spans="1:5" ht="15.5" x14ac:dyDescent="0.35">
      <c r="A51" s="1" t="s">
        <v>2323</v>
      </c>
      <c r="B51" s="1" t="s">
        <v>2433</v>
      </c>
      <c r="C51" t="str">
        <f t="shared" si="0"/>
        <v>Mr.</v>
      </c>
      <c r="D51" t="str">
        <f t="shared" si="1"/>
        <v>Ryan</v>
      </c>
      <c r="E51" t="str">
        <f t="shared" si="2"/>
        <v>Beckett</v>
      </c>
    </row>
    <row r="52" spans="1:5" ht="15.5" x14ac:dyDescent="0.35">
      <c r="A52" s="1" t="s">
        <v>2322</v>
      </c>
      <c r="B52" s="1" t="s">
        <v>2434</v>
      </c>
      <c r="C52" t="str">
        <f t="shared" si="0"/>
        <v>Mr.</v>
      </c>
      <c r="D52" t="str">
        <f t="shared" si="1"/>
        <v>Anthony J.</v>
      </c>
      <c r="E52" t="str">
        <f t="shared" si="2"/>
        <v>Sobrilsky</v>
      </c>
    </row>
    <row r="53" spans="1:5" ht="15.5" x14ac:dyDescent="0.35">
      <c r="A53" s="1" t="s">
        <v>2321</v>
      </c>
      <c r="B53" s="1" t="s">
        <v>2435</v>
      </c>
      <c r="C53" t="str">
        <f t="shared" si="0"/>
        <v>Ms.</v>
      </c>
      <c r="D53" t="str">
        <f t="shared" si="1"/>
        <v>Alex</v>
      </c>
      <c r="E53" t="str">
        <f t="shared" si="2"/>
        <v>Wang</v>
      </c>
    </row>
    <row r="54" spans="1:5" ht="15.5" x14ac:dyDescent="0.35">
      <c r="A54" s="1" t="s">
        <v>2320</v>
      </c>
      <c r="B54" s="1" t="s">
        <v>2436</v>
      </c>
      <c r="C54" t="str">
        <f t="shared" si="0"/>
        <v>Mr.</v>
      </c>
      <c r="D54" t="str">
        <f t="shared" si="1"/>
        <v>David</v>
      </c>
      <c r="E54" t="str">
        <f t="shared" si="2"/>
        <v>Campa</v>
      </c>
    </row>
    <row r="55" spans="1:5" ht="15.5" x14ac:dyDescent="0.35">
      <c r="A55" s="1" t="s">
        <v>2319</v>
      </c>
      <c r="B55" s="1" t="s">
        <v>2437</v>
      </c>
      <c r="C55" t="str">
        <f t="shared" si="0"/>
        <v>Mr.</v>
      </c>
      <c r="D55" t="str">
        <f t="shared" si="1"/>
        <v>Andrew B</v>
      </c>
      <c r="E55" t="str">
        <f t="shared" si="2"/>
        <v>Clifford</v>
      </c>
    </row>
    <row r="56" spans="1:5" ht="15.5" x14ac:dyDescent="0.35">
      <c r="A56" s="1" t="s">
        <v>2318</v>
      </c>
      <c r="B56" s="1" t="s">
        <v>2438</v>
      </c>
      <c r="C56" t="str">
        <f t="shared" si="0"/>
        <v>Ms.</v>
      </c>
      <c r="D56" t="str">
        <f t="shared" si="1"/>
        <v>Dara E</v>
      </c>
      <c r="E56" t="str">
        <f t="shared" si="2"/>
        <v>Dalmata</v>
      </c>
    </row>
    <row r="57" spans="1:5" ht="15.5" x14ac:dyDescent="0.35">
      <c r="A57" s="1" t="s">
        <v>2317</v>
      </c>
      <c r="B57" s="1" t="s">
        <v>2439</v>
      </c>
      <c r="C57" t="str">
        <f t="shared" si="0"/>
        <v>Ms.</v>
      </c>
      <c r="D57" t="str">
        <f t="shared" si="1"/>
        <v>Inna</v>
      </c>
      <c r="E57" t="str">
        <f t="shared" si="2"/>
        <v>Vishik</v>
      </c>
    </row>
    <row r="58" spans="1:5" ht="15.5" x14ac:dyDescent="0.35">
      <c r="A58" s="1" t="s">
        <v>2316</v>
      </c>
      <c r="B58" s="1" t="s">
        <v>2440</v>
      </c>
      <c r="C58" t="str">
        <f t="shared" si="0"/>
        <v>Mr.</v>
      </c>
      <c r="D58" t="str">
        <f t="shared" si="1"/>
        <v>Ari</v>
      </c>
      <c r="E58" t="str">
        <f t="shared" si="2"/>
        <v>Schorr</v>
      </c>
    </row>
    <row r="59" spans="1:5" ht="15.5" x14ac:dyDescent="0.35">
      <c r="A59" s="1" t="s">
        <v>2315</v>
      </c>
      <c r="B59" s="1" t="s">
        <v>2441</v>
      </c>
      <c r="C59" t="str">
        <f t="shared" si="0"/>
        <v>Ms.</v>
      </c>
      <c r="D59" t="str">
        <f t="shared" si="1"/>
        <v>Lindsey</v>
      </c>
      <c r="E59" t="str">
        <f t="shared" si="2"/>
        <v>Lusardi</v>
      </c>
    </row>
    <row r="60" spans="1:5" ht="15.5" x14ac:dyDescent="0.35">
      <c r="A60" s="1" t="s">
        <v>2314</v>
      </c>
      <c r="B60" s="1" t="s">
        <v>2442</v>
      </c>
      <c r="C60" t="str">
        <f t="shared" si="0"/>
        <v>Mr.</v>
      </c>
      <c r="D60" t="str">
        <f t="shared" si="1"/>
        <v>Kenny</v>
      </c>
      <c r="E60" t="str">
        <f t="shared" si="2"/>
        <v>Rayner</v>
      </c>
    </row>
    <row r="61" spans="1:5" ht="15.5" x14ac:dyDescent="0.35">
      <c r="A61" s="1" t="s">
        <v>2313</v>
      </c>
      <c r="B61" s="1" t="s">
        <v>2443</v>
      </c>
      <c r="C61" t="str">
        <f t="shared" si="0"/>
        <v>Ms.</v>
      </c>
      <c r="D61" t="str">
        <f t="shared" si="1"/>
        <v>Louise</v>
      </c>
      <c r="E61" t="str">
        <f t="shared" si="2"/>
        <v>Voghel</v>
      </c>
    </row>
    <row r="62" spans="1:5" ht="15.5" x14ac:dyDescent="0.35">
      <c r="A62" s="1" t="s">
        <v>2312</v>
      </c>
      <c r="B62" s="1" t="s">
        <v>2444</v>
      </c>
      <c r="C62" t="str">
        <f t="shared" si="0"/>
        <v>Mr.</v>
      </c>
      <c r="D62" t="str">
        <f t="shared" si="1"/>
        <v>Cameron</v>
      </c>
      <c r="E62" t="str">
        <f t="shared" si="2"/>
        <v>Rieth</v>
      </c>
    </row>
    <row r="63" spans="1:5" ht="15.5" x14ac:dyDescent="0.35">
      <c r="A63" s="1" t="s">
        <v>2311</v>
      </c>
      <c r="B63" s="1" t="s">
        <v>2445</v>
      </c>
      <c r="C63" t="str">
        <f t="shared" si="0"/>
        <v>Ms.</v>
      </c>
      <c r="D63" t="str">
        <f t="shared" si="1"/>
        <v>Katie T.</v>
      </c>
      <c r="E63" t="str">
        <f t="shared" si="2"/>
        <v>Gollotto</v>
      </c>
    </row>
    <row r="64" spans="1:5" ht="15.5" x14ac:dyDescent="0.35">
      <c r="A64" s="1" t="s">
        <v>2310</v>
      </c>
      <c r="B64" s="1" t="s">
        <v>2446</v>
      </c>
      <c r="C64" t="str">
        <f t="shared" si="0"/>
        <v>Ms.</v>
      </c>
      <c r="D64" t="str">
        <f t="shared" si="1"/>
        <v>Casey</v>
      </c>
      <c r="E64" t="str">
        <f t="shared" si="2"/>
        <v>Dunn</v>
      </c>
    </row>
    <row r="65" spans="1:5" ht="15.5" x14ac:dyDescent="0.35">
      <c r="A65" s="1" t="s">
        <v>2309</v>
      </c>
      <c r="B65" s="1" t="s">
        <v>2447</v>
      </c>
      <c r="C65" t="str">
        <f t="shared" si="0"/>
        <v>Mr.</v>
      </c>
      <c r="D65" t="str">
        <f t="shared" si="1"/>
        <v>David</v>
      </c>
      <c r="E65" t="str">
        <f t="shared" si="2"/>
        <v>Blitzer</v>
      </c>
    </row>
    <row r="66" spans="1:5" ht="15.5" x14ac:dyDescent="0.35">
      <c r="A66" s="1" t="s">
        <v>2308</v>
      </c>
      <c r="B66" s="1" t="s">
        <v>2448</v>
      </c>
      <c r="C66" t="str">
        <f t="shared" si="0"/>
        <v>Mr.</v>
      </c>
      <c r="D66" t="str">
        <f t="shared" si="1"/>
        <v>Bryson C.</v>
      </c>
      <c r="E66" t="str">
        <f t="shared" si="2"/>
        <v>Smith</v>
      </c>
    </row>
    <row r="67" spans="1:5" ht="15.5" x14ac:dyDescent="0.35">
      <c r="A67" s="1" t="s">
        <v>2307</v>
      </c>
      <c r="B67" s="1" t="s">
        <v>2449</v>
      </c>
      <c r="C67" t="str">
        <f t="shared" ref="C67:C130" si="3">TRIM(MID(B67,FIND(",",B67)+1,FIND(".",B67)-FIND(",",B67)))</f>
        <v>Ms.</v>
      </c>
      <c r="D67" t="str">
        <f t="shared" ref="D67:D130" si="4">TRIM(MID(B67,FIND(".",B67)+1,LEN(B67)))</f>
        <v>Megan</v>
      </c>
      <c r="E67" t="str">
        <f t="shared" ref="E67:E130" si="5">TRIM(LEFT(B67,FIND(",",B67)-1))</f>
        <v>Hyland</v>
      </c>
    </row>
    <row r="68" spans="1:5" ht="15.5" x14ac:dyDescent="0.35">
      <c r="A68" s="1" t="s">
        <v>2306</v>
      </c>
      <c r="B68" s="1" t="s">
        <v>2450</v>
      </c>
      <c r="C68" t="str">
        <f t="shared" si="3"/>
        <v>Mr.</v>
      </c>
      <c r="D68" t="str">
        <f t="shared" si="4"/>
        <v>Daniel</v>
      </c>
      <c r="E68" t="str">
        <f t="shared" si="5"/>
        <v>Ducharme</v>
      </c>
    </row>
    <row r="69" spans="1:5" ht="15.5" x14ac:dyDescent="0.35">
      <c r="A69" s="1" t="s">
        <v>2305</v>
      </c>
      <c r="B69" s="1" t="s">
        <v>2451</v>
      </c>
      <c r="C69" t="str">
        <f t="shared" si="3"/>
        <v>Mr.</v>
      </c>
      <c r="D69" t="str">
        <f t="shared" si="4"/>
        <v>Steven M.</v>
      </c>
      <c r="E69" t="str">
        <f t="shared" si="5"/>
        <v>Johnson</v>
      </c>
    </row>
    <row r="70" spans="1:5" ht="15.5" x14ac:dyDescent="0.35">
      <c r="A70" s="1" t="s">
        <v>2304</v>
      </c>
      <c r="B70" s="1" t="s">
        <v>2452</v>
      </c>
      <c r="C70" t="str">
        <f t="shared" si="3"/>
        <v>Ms.</v>
      </c>
      <c r="D70" t="str">
        <f t="shared" si="4"/>
        <v>Jenna L.</v>
      </c>
      <c r="E70" t="str">
        <f t="shared" si="5"/>
        <v>Mutz</v>
      </c>
    </row>
    <row r="71" spans="1:5" ht="15.5" x14ac:dyDescent="0.35">
      <c r="A71" s="1" t="s">
        <v>2303</v>
      </c>
      <c r="B71" s="1" t="s">
        <v>2453</v>
      </c>
      <c r="C71" t="str">
        <f t="shared" si="3"/>
        <v>Mr.</v>
      </c>
      <c r="D71" t="str">
        <f t="shared" si="4"/>
        <v>Freeman</v>
      </c>
      <c r="E71" t="str">
        <f t="shared" si="5"/>
        <v>Lee</v>
      </c>
    </row>
    <row r="72" spans="1:5" ht="15.5" x14ac:dyDescent="0.35">
      <c r="A72" s="1" t="s">
        <v>2302</v>
      </c>
      <c r="B72" s="1" t="s">
        <v>2454</v>
      </c>
      <c r="C72" t="str">
        <f t="shared" si="3"/>
        <v>Mr.</v>
      </c>
      <c r="D72" t="str">
        <f t="shared" si="4"/>
        <v>Jeff</v>
      </c>
      <c r="E72" t="str">
        <f t="shared" si="5"/>
        <v>Turner</v>
      </c>
    </row>
    <row r="73" spans="1:5" ht="15.5" x14ac:dyDescent="0.35">
      <c r="A73" s="1" t="s">
        <v>2301</v>
      </c>
      <c r="B73" s="1" t="s">
        <v>2455</v>
      </c>
      <c r="C73" t="str">
        <f t="shared" si="3"/>
        <v>Mr.</v>
      </c>
      <c r="D73" t="str">
        <f t="shared" si="4"/>
        <v>Elenilton V. Sr.</v>
      </c>
      <c r="E73" t="str">
        <f t="shared" si="5"/>
        <v>Rangel</v>
      </c>
    </row>
    <row r="74" spans="1:5" ht="15.5" x14ac:dyDescent="0.35">
      <c r="A74" s="1" t="s">
        <v>2300</v>
      </c>
      <c r="B74" s="1" t="s">
        <v>2456</v>
      </c>
      <c r="C74" t="str">
        <f t="shared" si="3"/>
        <v>Ms.</v>
      </c>
      <c r="D74" t="str">
        <f t="shared" si="4"/>
        <v>Maurya</v>
      </c>
      <c r="E74" t="str">
        <f t="shared" si="5"/>
        <v>Lacey</v>
      </c>
    </row>
    <row r="75" spans="1:5" ht="15.5" x14ac:dyDescent="0.35">
      <c r="A75" s="1" t="s">
        <v>2299</v>
      </c>
      <c r="B75" s="1" t="s">
        <v>2457</v>
      </c>
      <c r="C75" t="str">
        <f t="shared" si="3"/>
        <v>Ms.</v>
      </c>
      <c r="D75" t="str">
        <f t="shared" si="4"/>
        <v>Samantha C</v>
      </c>
      <c r="E75" t="str">
        <f t="shared" si="5"/>
        <v>Stiger</v>
      </c>
    </row>
    <row r="76" spans="1:5" ht="15.5" x14ac:dyDescent="0.35">
      <c r="A76" s="1" t="s">
        <v>2298</v>
      </c>
      <c r="B76" s="1" t="s">
        <v>2458</v>
      </c>
      <c r="C76" t="str">
        <f t="shared" si="3"/>
        <v>Ms.</v>
      </c>
      <c r="D76" t="str">
        <f t="shared" si="4"/>
        <v>Bethany A</v>
      </c>
      <c r="E76" t="str">
        <f t="shared" si="5"/>
        <v>Caldwell</v>
      </c>
    </row>
    <row r="77" spans="1:5" ht="15.5" x14ac:dyDescent="0.35">
      <c r="A77" s="1" t="s">
        <v>2297</v>
      </c>
      <c r="B77" s="1" t="s">
        <v>2459</v>
      </c>
      <c r="C77" t="str">
        <f t="shared" si="3"/>
        <v>Mr.</v>
      </c>
      <c r="D77" t="str">
        <f t="shared" si="4"/>
        <v>Yves</v>
      </c>
      <c r="E77" t="str">
        <f t="shared" si="5"/>
        <v>Marmillod</v>
      </c>
    </row>
    <row r="78" spans="1:5" ht="15.5" x14ac:dyDescent="0.35">
      <c r="A78" s="1" t="s">
        <v>2296</v>
      </c>
      <c r="B78" s="1" t="s">
        <v>2460</v>
      </c>
      <c r="C78" t="str">
        <f t="shared" si="3"/>
        <v>Ms.</v>
      </c>
      <c r="D78" t="str">
        <f t="shared" si="4"/>
        <v>Danielle</v>
      </c>
      <c r="E78" t="str">
        <f t="shared" si="5"/>
        <v>Cloutier-Simons</v>
      </c>
    </row>
    <row r="79" spans="1:5" ht="15.5" x14ac:dyDescent="0.35">
      <c r="A79" s="1" t="s">
        <v>2295</v>
      </c>
      <c r="B79" s="1" t="s">
        <v>2461</v>
      </c>
      <c r="C79" t="str">
        <f t="shared" si="3"/>
        <v>Ms.</v>
      </c>
      <c r="D79" t="str">
        <f t="shared" si="4"/>
        <v>Julia</v>
      </c>
      <c r="E79" t="str">
        <f t="shared" si="5"/>
        <v>Vegas</v>
      </c>
    </row>
    <row r="80" spans="1:5" ht="15.5" x14ac:dyDescent="0.35">
      <c r="A80" s="1" t="s">
        <v>2294</v>
      </c>
      <c r="B80" s="1" t="s">
        <v>2462</v>
      </c>
      <c r="C80" t="str">
        <f t="shared" si="3"/>
        <v>Mr.</v>
      </c>
      <c r="D80" t="str">
        <f t="shared" si="4"/>
        <v>Joshua</v>
      </c>
      <c r="E80" t="str">
        <f t="shared" si="5"/>
        <v>Cochran</v>
      </c>
    </row>
    <row r="81" spans="1:5" ht="15.5" x14ac:dyDescent="0.35">
      <c r="A81" s="1" t="s">
        <v>2293</v>
      </c>
      <c r="B81" s="1" t="s">
        <v>2463</v>
      </c>
      <c r="C81" t="str">
        <f t="shared" si="3"/>
        <v>Ms.</v>
      </c>
      <c r="D81" t="str">
        <f t="shared" si="4"/>
        <v>Jennifer</v>
      </c>
      <c r="E81" t="str">
        <f t="shared" si="5"/>
        <v>Holtzapple</v>
      </c>
    </row>
    <row r="82" spans="1:5" ht="15.5" x14ac:dyDescent="0.35">
      <c r="A82" s="1" t="s">
        <v>2292</v>
      </c>
      <c r="B82" s="1" t="s">
        <v>2464</v>
      </c>
      <c r="C82" t="str">
        <f t="shared" si="3"/>
        <v>Ms.</v>
      </c>
      <c r="D82" t="str">
        <f t="shared" si="4"/>
        <v>Gwen M.</v>
      </c>
      <c r="E82" t="str">
        <f t="shared" si="5"/>
        <v>Meyer</v>
      </c>
    </row>
    <row r="83" spans="1:5" ht="15.5" x14ac:dyDescent="0.35">
      <c r="A83" s="1" t="s">
        <v>2291</v>
      </c>
      <c r="B83" s="1" t="s">
        <v>2465</v>
      </c>
      <c r="C83" t="str">
        <f t="shared" si="3"/>
        <v>Mr.</v>
      </c>
      <c r="D83" t="str">
        <f t="shared" si="4"/>
        <v>Patrick</v>
      </c>
      <c r="E83" t="str">
        <f t="shared" si="5"/>
        <v>Brickley</v>
      </c>
    </row>
    <row r="84" spans="1:5" ht="15.5" x14ac:dyDescent="0.35">
      <c r="A84" s="1" t="s">
        <v>2290</v>
      </c>
      <c r="B84" s="1" t="s">
        <v>2466</v>
      </c>
      <c r="C84" t="str">
        <f t="shared" si="3"/>
        <v>Ms.</v>
      </c>
      <c r="D84" t="str">
        <f t="shared" si="4"/>
        <v>Kate</v>
      </c>
      <c r="E84" t="str">
        <f t="shared" si="5"/>
        <v>Magee</v>
      </c>
    </row>
    <row r="85" spans="1:5" ht="15.5" x14ac:dyDescent="0.35">
      <c r="A85" s="1" t="s">
        <v>2289</v>
      </c>
      <c r="B85" s="1" t="s">
        <v>2467</v>
      </c>
      <c r="C85" t="str">
        <f t="shared" si="3"/>
        <v>Mr.</v>
      </c>
      <c r="D85" t="str">
        <f t="shared" si="4"/>
        <v>Kevin</v>
      </c>
      <c r="E85" t="str">
        <f t="shared" si="5"/>
        <v>Thoma</v>
      </c>
    </row>
    <row r="86" spans="1:5" ht="15.5" x14ac:dyDescent="0.35">
      <c r="A86" s="1" t="s">
        <v>2288</v>
      </c>
      <c r="B86" s="1" t="s">
        <v>2468</v>
      </c>
      <c r="C86" t="str">
        <f t="shared" si="3"/>
        <v>Mr.</v>
      </c>
      <c r="D86" t="str">
        <f t="shared" si="4"/>
        <v>Stephen II</v>
      </c>
      <c r="E86" t="str">
        <f t="shared" si="5"/>
        <v>Heagy</v>
      </c>
    </row>
    <row r="87" spans="1:5" ht="15.5" x14ac:dyDescent="0.35">
      <c r="A87" s="1" t="s">
        <v>2287</v>
      </c>
      <c r="B87" s="1" t="s">
        <v>2469</v>
      </c>
      <c r="C87" t="str">
        <f t="shared" si="3"/>
        <v>Mr.</v>
      </c>
      <c r="D87" t="str">
        <f t="shared" si="4"/>
        <v>Philip</v>
      </c>
      <c r="E87" t="str">
        <f t="shared" si="5"/>
        <v>Regnier</v>
      </c>
    </row>
    <row r="88" spans="1:5" ht="15.5" x14ac:dyDescent="0.35">
      <c r="A88" s="1" t="s">
        <v>2286</v>
      </c>
      <c r="B88" s="1" t="s">
        <v>2470</v>
      </c>
      <c r="C88" t="str">
        <f t="shared" si="3"/>
        <v>Mr.</v>
      </c>
      <c r="D88" t="str">
        <f t="shared" si="4"/>
        <v>Brett A</v>
      </c>
      <c r="E88" t="str">
        <f t="shared" si="5"/>
        <v>Parendo</v>
      </c>
    </row>
    <row r="89" spans="1:5" ht="15.5" x14ac:dyDescent="0.35">
      <c r="A89" s="1" t="s">
        <v>2285</v>
      </c>
      <c r="B89" s="1" t="s">
        <v>2471</v>
      </c>
      <c r="C89" t="str">
        <f t="shared" si="3"/>
        <v>Ms.</v>
      </c>
      <c r="D89" t="str">
        <f t="shared" si="4"/>
        <v>Rebecca</v>
      </c>
      <c r="E89" t="str">
        <f t="shared" si="5"/>
        <v>Schell</v>
      </c>
    </row>
    <row r="90" spans="1:5" ht="15.5" x14ac:dyDescent="0.35">
      <c r="A90" s="1" t="s">
        <v>2284</v>
      </c>
      <c r="B90" s="1" t="s">
        <v>2472</v>
      </c>
      <c r="C90" t="str">
        <f t="shared" si="3"/>
        <v>Ms.</v>
      </c>
      <c r="D90" t="str">
        <f t="shared" si="4"/>
        <v>Kelley</v>
      </c>
      <c r="E90" t="str">
        <f t="shared" si="5"/>
        <v>Driscoll</v>
      </c>
    </row>
    <row r="91" spans="1:5" ht="15.5" x14ac:dyDescent="0.35">
      <c r="A91" s="1" t="s">
        <v>2283</v>
      </c>
      <c r="B91" s="1" t="s">
        <v>2473</v>
      </c>
      <c r="C91" t="str">
        <f t="shared" si="3"/>
        <v>Ms.</v>
      </c>
      <c r="D91" t="str">
        <f t="shared" si="4"/>
        <v>Abigail K</v>
      </c>
      <c r="E91" t="str">
        <f t="shared" si="5"/>
        <v>Mitchell</v>
      </c>
    </row>
    <row r="92" spans="1:5" ht="15.5" x14ac:dyDescent="0.35">
      <c r="A92" s="1" t="s">
        <v>2282</v>
      </c>
      <c r="B92" s="1" t="s">
        <v>2474</v>
      </c>
      <c r="C92" t="str">
        <f t="shared" si="3"/>
        <v>Ms.</v>
      </c>
      <c r="D92" t="str">
        <f t="shared" si="4"/>
        <v>Hope</v>
      </c>
      <c r="E92" t="str">
        <f t="shared" si="5"/>
        <v>Cutler</v>
      </c>
    </row>
    <row r="93" spans="1:5" ht="15.5" x14ac:dyDescent="0.35">
      <c r="A93" s="1" t="s">
        <v>2281</v>
      </c>
      <c r="B93" s="1" t="s">
        <v>2475</v>
      </c>
      <c r="C93" t="str">
        <f t="shared" si="3"/>
        <v>Ms.</v>
      </c>
      <c r="D93" t="str">
        <f t="shared" si="4"/>
        <v>Elyse M.</v>
      </c>
      <c r="E93" t="str">
        <f t="shared" si="5"/>
        <v>Derian</v>
      </c>
    </row>
    <row r="94" spans="1:5" ht="15.5" x14ac:dyDescent="0.35">
      <c r="A94" s="1" t="s">
        <v>2280</v>
      </c>
      <c r="B94" s="1" t="s">
        <v>2476</v>
      </c>
      <c r="C94" t="str">
        <f t="shared" si="3"/>
        <v>Mr.</v>
      </c>
      <c r="D94" t="str">
        <f t="shared" si="4"/>
        <v>Nicholas</v>
      </c>
      <c r="E94" t="str">
        <f t="shared" si="5"/>
        <v>Farina</v>
      </c>
    </row>
    <row r="95" spans="1:5" ht="15.5" x14ac:dyDescent="0.35">
      <c r="A95" s="1" t="s">
        <v>2279</v>
      </c>
      <c r="B95" s="1" t="s">
        <v>2477</v>
      </c>
      <c r="C95" t="str">
        <f t="shared" si="3"/>
        <v>Mr.</v>
      </c>
      <c r="D95" t="str">
        <f t="shared" si="4"/>
        <v>David</v>
      </c>
      <c r="E95" t="str">
        <f t="shared" si="5"/>
        <v>Saunders</v>
      </c>
    </row>
    <row r="96" spans="1:5" ht="15.5" x14ac:dyDescent="0.35">
      <c r="A96" s="1" t="s">
        <v>2278</v>
      </c>
      <c r="B96" s="1" t="s">
        <v>2478</v>
      </c>
      <c r="C96" t="str">
        <f t="shared" si="3"/>
        <v>Ms.</v>
      </c>
      <c r="D96" t="str">
        <f t="shared" si="4"/>
        <v>Natalie</v>
      </c>
      <c r="E96" t="str">
        <f t="shared" si="5"/>
        <v>Kratz</v>
      </c>
    </row>
    <row r="97" spans="1:5" ht="15.5" x14ac:dyDescent="0.35">
      <c r="A97" s="1" t="s">
        <v>2277</v>
      </c>
      <c r="B97" s="1" t="s">
        <v>2479</v>
      </c>
      <c r="C97" t="str">
        <f t="shared" si="3"/>
        <v>Mr.</v>
      </c>
      <c r="D97" t="str">
        <f t="shared" si="4"/>
        <v>Thomas</v>
      </c>
      <c r="E97" t="str">
        <f t="shared" si="5"/>
        <v>Boland</v>
      </c>
    </row>
    <row r="98" spans="1:5" ht="15.5" x14ac:dyDescent="0.35">
      <c r="A98" s="1" t="s">
        <v>2276</v>
      </c>
      <c r="B98" s="1" t="s">
        <v>2480</v>
      </c>
      <c r="C98" t="str">
        <f t="shared" si="3"/>
        <v>Ms.</v>
      </c>
      <c r="D98" t="str">
        <f t="shared" si="4"/>
        <v>Pamela J.</v>
      </c>
      <c r="E98" t="str">
        <f t="shared" si="5"/>
        <v>Van Hout</v>
      </c>
    </row>
    <row r="99" spans="1:5" ht="15.5" x14ac:dyDescent="0.35">
      <c r="A99" s="1" t="s">
        <v>2275</v>
      </c>
      <c r="B99" s="1" t="s">
        <v>2481</v>
      </c>
      <c r="C99" t="str">
        <f t="shared" si="3"/>
        <v>Ms.</v>
      </c>
      <c r="D99" t="str">
        <f t="shared" si="4"/>
        <v>Jessica</v>
      </c>
      <c r="E99" t="str">
        <f t="shared" si="5"/>
        <v>Ramsey</v>
      </c>
    </row>
    <row r="100" spans="1:5" ht="15.5" x14ac:dyDescent="0.35">
      <c r="A100" s="1" t="s">
        <v>2274</v>
      </c>
      <c r="B100" s="1" t="s">
        <v>2482</v>
      </c>
      <c r="C100" t="str">
        <f t="shared" si="3"/>
        <v>Mr.</v>
      </c>
      <c r="D100" t="str">
        <f t="shared" si="4"/>
        <v>Ron N</v>
      </c>
      <c r="E100" t="str">
        <f t="shared" si="5"/>
        <v>Gage</v>
      </c>
    </row>
    <row r="101" spans="1:5" ht="15.5" x14ac:dyDescent="0.35">
      <c r="A101" s="1" t="s">
        <v>2273</v>
      </c>
      <c r="B101" s="1" t="s">
        <v>2483</v>
      </c>
      <c r="C101" t="str">
        <f t="shared" si="3"/>
        <v>Mr.</v>
      </c>
      <c r="D101" t="str">
        <f t="shared" si="4"/>
        <v>Daniel</v>
      </c>
      <c r="E101" t="str">
        <f t="shared" si="5"/>
        <v>Gollins</v>
      </c>
    </row>
    <row r="102" spans="1:5" ht="15.5" x14ac:dyDescent="0.35">
      <c r="A102" s="1" t="s">
        <v>2272</v>
      </c>
      <c r="B102" s="1" t="s">
        <v>2484</v>
      </c>
      <c r="C102" t="str">
        <f t="shared" si="3"/>
        <v>Mr.</v>
      </c>
      <c r="D102" t="str">
        <f t="shared" si="4"/>
        <v>Brian</v>
      </c>
      <c r="E102" t="str">
        <f t="shared" si="5"/>
        <v>Benestad</v>
      </c>
    </row>
    <row r="103" spans="1:5" ht="15.5" x14ac:dyDescent="0.35">
      <c r="A103" s="1" t="s">
        <v>2271</v>
      </c>
      <c r="B103" s="1" t="s">
        <v>2485</v>
      </c>
      <c r="C103" t="str">
        <f t="shared" si="3"/>
        <v>Ms.</v>
      </c>
      <c r="D103" t="str">
        <f t="shared" si="4"/>
        <v>Sari</v>
      </c>
      <c r="E103" t="str">
        <f t="shared" si="5"/>
        <v>Aviv</v>
      </c>
    </row>
    <row r="104" spans="1:5" ht="15.5" x14ac:dyDescent="0.35">
      <c r="A104" s="1" t="s">
        <v>2270</v>
      </c>
      <c r="B104" s="1" t="s">
        <v>2486</v>
      </c>
      <c r="C104" t="str">
        <f t="shared" si="3"/>
        <v>Mr.</v>
      </c>
      <c r="D104" t="str">
        <f t="shared" si="4"/>
        <v>Robert M.</v>
      </c>
      <c r="E104" t="str">
        <f t="shared" si="5"/>
        <v>Burns</v>
      </c>
    </row>
    <row r="105" spans="1:5" ht="15.5" x14ac:dyDescent="0.35">
      <c r="A105" s="1" t="s">
        <v>2269</v>
      </c>
      <c r="B105" s="1" t="s">
        <v>2487</v>
      </c>
      <c r="C105" t="str">
        <f t="shared" si="3"/>
        <v>Mr.</v>
      </c>
      <c r="D105" t="str">
        <f t="shared" si="4"/>
        <v>Ricardo</v>
      </c>
      <c r="E105" t="str">
        <f t="shared" si="5"/>
        <v>Maldonado</v>
      </c>
    </row>
    <row r="106" spans="1:5" ht="15.5" x14ac:dyDescent="0.35">
      <c r="A106" s="1" t="s">
        <v>2268</v>
      </c>
      <c r="B106" s="1" t="s">
        <v>2488</v>
      </c>
      <c r="C106" t="str">
        <f t="shared" si="3"/>
        <v>Mr.</v>
      </c>
      <c r="D106" t="str">
        <f t="shared" si="4"/>
        <v>Gedion</v>
      </c>
      <c r="E106" t="str">
        <f t="shared" si="5"/>
        <v>Yitref</v>
      </c>
    </row>
    <row r="107" spans="1:5" ht="15.5" x14ac:dyDescent="0.35">
      <c r="A107" s="1" t="s">
        <v>2267</v>
      </c>
      <c r="B107" s="1" t="s">
        <v>2489</v>
      </c>
      <c r="C107" t="str">
        <f t="shared" si="3"/>
        <v>Mr.</v>
      </c>
      <c r="D107" t="str">
        <f t="shared" si="4"/>
        <v>Mark</v>
      </c>
      <c r="E107" t="str">
        <f t="shared" si="5"/>
        <v>Loudon-Brown</v>
      </c>
    </row>
    <row r="108" spans="1:5" ht="15.5" x14ac:dyDescent="0.35">
      <c r="A108" s="1" t="s">
        <v>2266</v>
      </c>
      <c r="B108" s="1" t="s">
        <v>2490</v>
      </c>
      <c r="C108" t="str">
        <f t="shared" si="3"/>
        <v>Mr.</v>
      </c>
      <c r="D108" t="str">
        <f t="shared" si="4"/>
        <v>Gamini P.</v>
      </c>
      <c r="E108" t="str">
        <f t="shared" si="5"/>
        <v>Sugathadasa</v>
      </c>
    </row>
    <row r="109" spans="1:5" ht="15.5" x14ac:dyDescent="0.35">
      <c r="A109" s="1" t="s">
        <v>2265</v>
      </c>
      <c r="B109" s="1" t="s">
        <v>2491</v>
      </c>
      <c r="C109" t="str">
        <f t="shared" si="3"/>
        <v>Ms.</v>
      </c>
      <c r="D109" t="str">
        <f t="shared" si="4"/>
        <v>Emily J</v>
      </c>
      <c r="E109" t="str">
        <f t="shared" si="5"/>
        <v>Ganley</v>
      </c>
    </row>
    <row r="110" spans="1:5" ht="15.5" x14ac:dyDescent="0.35">
      <c r="A110" s="1" t="s">
        <v>2264</v>
      </c>
      <c r="B110" s="1" t="s">
        <v>2492</v>
      </c>
      <c r="C110" t="str">
        <f t="shared" si="3"/>
        <v>Ms.</v>
      </c>
      <c r="D110" t="str">
        <f t="shared" si="4"/>
        <v>Amanda</v>
      </c>
      <c r="E110" t="str">
        <f t="shared" si="5"/>
        <v>Potter</v>
      </c>
    </row>
    <row r="111" spans="1:5" ht="15.5" x14ac:dyDescent="0.35">
      <c r="A111" s="1" t="s">
        <v>2263</v>
      </c>
      <c r="B111" s="1" t="s">
        <v>2493</v>
      </c>
      <c r="C111" t="str">
        <f t="shared" si="3"/>
        <v>Mr.</v>
      </c>
      <c r="D111" t="str">
        <f t="shared" si="4"/>
        <v>Nicholas</v>
      </c>
      <c r="E111" t="str">
        <f t="shared" si="5"/>
        <v>Rasmussen</v>
      </c>
    </row>
    <row r="112" spans="1:5" ht="15.5" x14ac:dyDescent="0.35">
      <c r="A112" s="1" t="s">
        <v>2262</v>
      </c>
      <c r="B112" s="1" t="s">
        <v>2494</v>
      </c>
      <c r="C112" t="str">
        <f t="shared" si="3"/>
        <v>Mr.</v>
      </c>
      <c r="D112" t="str">
        <f t="shared" si="4"/>
        <v>Knox</v>
      </c>
      <c r="E112" t="str">
        <f t="shared" si="5"/>
        <v>Robinson</v>
      </c>
    </row>
    <row r="113" spans="1:5" ht="15.5" x14ac:dyDescent="0.35">
      <c r="A113" s="1" t="s">
        <v>2261</v>
      </c>
      <c r="B113" s="1" t="s">
        <v>2495</v>
      </c>
      <c r="C113" t="str">
        <f t="shared" si="3"/>
        <v>Ms.</v>
      </c>
      <c r="D113" t="str">
        <f t="shared" si="4"/>
        <v>Yianna</v>
      </c>
      <c r="E113" t="str">
        <f t="shared" si="5"/>
        <v>Antonopoulos</v>
      </c>
    </row>
    <row r="114" spans="1:5" ht="15.5" x14ac:dyDescent="0.35">
      <c r="A114" s="1" t="s">
        <v>2260</v>
      </c>
      <c r="B114" s="1" t="s">
        <v>2496</v>
      </c>
      <c r="C114" t="str">
        <f t="shared" si="3"/>
        <v>Ms.</v>
      </c>
      <c r="D114" t="str">
        <f t="shared" si="4"/>
        <v>Roberta</v>
      </c>
      <c r="E114" t="str">
        <f t="shared" si="5"/>
        <v>Groner</v>
      </c>
    </row>
    <row r="115" spans="1:5" ht="15.5" x14ac:dyDescent="0.35">
      <c r="A115" s="1" t="s">
        <v>2259</v>
      </c>
      <c r="B115" s="1" t="s">
        <v>2497</v>
      </c>
      <c r="C115" t="str">
        <f t="shared" si="3"/>
        <v>Mr.</v>
      </c>
      <c r="D115" t="str">
        <f t="shared" si="4"/>
        <v>Benjamin P.</v>
      </c>
      <c r="E115" t="str">
        <f t="shared" si="5"/>
        <v>Zywicki</v>
      </c>
    </row>
    <row r="116" spans="1:5" ht="15.5" x14ac:dyDescent="0.35">
      <c r="A116" s="1" t="s">
        <v>2258</v>
      </c>
      <c r="B116" s="1" t="s">
        <v>2498</v>
      </c>
      <c r="C116" t="str">
        <f t="shared" si="3"/>
        <v>Mr.</v>
      </c>
      <c r="D116" t="str">
        <f t="shared" si="4"/>
        <v>Craig</v>
      </c>
      <c r="E116" t="str">
        <f t="shared" si="5"/>
        <v>Cardinal</v>
      </c>
    </row>
    <row r="117" spans="1:5" ht="15.5" x14ac:dyDescent="0.35">
      <c r="A117" s="1" t="s">
        <v>2257</v>
      </c>
      <c r="B117" s="1" t="s">
        <v>2499</v>
      </c>
      <c r="C117" t="str">
        <f t="shared" si="3"/>
        <v>Ms.</v>
      </c>
      <c r="D117" t="str">
        <f t="shared" si="4"/>
        <v>Ann</v>
      </c>
      <c r="E117" t="str">
        <f t="shared" si="5"/>
        <v>Alleman</v>
      </c>
    </row>
    <row r="118" spans="1:5" ht="15.5" x14ac:dyDescent="0.35">
      <c r="A118" s="1" t="s">
        <v>2256</v>
      </c>
      <c r="B118" s="1" t="s">
        <v>2500</v>
      </c>
      <c r="C118" t="str">
        <f t="shared" si="3"/>
        <v>Mr.</v>
      </c>
      <c r="D118" t="str">
        <f t="shared" si="4"/>
        <v>Jamie P</v>
      </c>
      <c r="E118" t="str">
        <f t="shared" si="5"/>
        <v>Stroffolino</v>
      </c>
    </row>
    <row r="119" spans="1:5" ht="15.5" x14ac:dyDescent="0.35">
      <c r="A119" s="1" t="s">
        <v>2255</v>
      </c>
      <c r="B119" s="1" t="s">
        <v>2501</v>
      </c>
      <c r="C119" t="str">
        <f t="shared" si="3"/>
        <v>Mr.</v>
      </c>
      <c r="D119" t="str">
        <f t="shared" si="4"/>
        <v>John</v>
      </c>
      <c r="E119" t="str">
        <f t="shared" si="5"/>
        <v>Clubb</v>
      </c>
    </row>
    <row r="120" spans="1:5" ht="15.5" x14ac:dyDescent="0.35">
      <c r="A120" s="1" t="s">
        <v>2254</v>
      </c>
      <c r="B120" s="1" t="s">
        <v>2502</v>
      </c>
      <c r="C120" t="str">
        <f t="shared" si="3"/>
        <v>Mr.</v>
      </c>
      <c r="D120" t="str">
        <f t="shared" si="4"/>
        <v>Charlie</v>
      </c>
      <c r="E120" t="str">
        <f t="shared" si="5"/>
        <v>McGoogan</v>
      </c>
    </row>
    <row r="121" spans="1:5" ht="15.5" x14ac:dyDescent="0.35">
      <c r="A121" s="1" t="s">
        <v>2253</v>
      </c>
      <c r="B121" s="1" t="s">
        <v>2503</v>
      </c>
      <c r="C121" t="str">
        <f t="shared" si="3"/>
        <v>Mr.</v>
      </c>
      <c r="D121" t="str">
        <f t="shared" si="4"/>
        <v>Meb</v>
      </c>
      <c r="E121" t="str">
        <f t="shared" si="5"/>
        <v>Keflezighi</v>
      </c>
    </row>
    <row r="122" spans="1:5" ht="15.5" x14ac:dyDescent="0.35">
      <c r="A122" s="1" t="s">
        <v>2252</v>
      </c>
      <c r="B122" s="1" t="s">
        <v>2504</v>
      </c>
      <c r="C122" t="str">
        <f t="shared" si="3"/>
        <v>Mr.</v>
      </c>
      <c r="D122" t="str">
        <f t="shared" si="4"/>
        <v>Aaqib L.</v>
      </c>
      <c r="E122" t="str">
        <f t="shared" si="5"/>
        <v>Syed</v>
      </c>
    </row>
    <row r="123" spans="1:5" ht="15.5" x14ac:dyDescent="0.35">
      <c r="A123" s="1" t="s">
        <v>2251</v>
      </c>
      <c r="B123" s="1" t="s">
        <v>2505</v>
      </c>
      <c r="C123" t="str">
        <f t="shared" si="3"/>
        <v>Mr.</v>
      </c>
      <c r="D123" t="str">
        <f t="shared" si="4"/>
        <v>Craig A.</v>
      </c>
      <c r="E123" t="str">
        <f t="shared" si="5"/>
        <v>Segal</v>
      </c>
    </row>
    <row r="124" spans="1:5" ht="15.5" x14ac:dyDescent="0.35">
      <c r="A124" s="1" t="s">
        <v>2250</v>
      </c>
      <c r="B124" s="1" t="s">
        <v>2506</v>
      </c>
      <c r="C124" t="str">
        <f t="shared" si="3"/>
        <v>Ms.</v>
      </c>
      <c r="D124" t="str">
        <f t="shared" si="4"/>
        <v>Meredith</v>
      </c>
      <c r="E124" t="str">
        <f t="shared" si="5"/>
        <v>Defranco</v>
      </c>
    </row>
    <row r="125" spans="1:5" ht="15.5" x14ac:dyDescent="0.35">
      <c r="A125" s="1" t="s">
        <v>2249</v>
      </c>
      <c r="B125" s="1" t="s">
        <v>2507</v>
      </c>
      <c r="C125" t="str">
        <f t="shared" si="3"/>
        <v>Mr.</v>
      </c>
      <c r="D125" t="str">
        <f t="shared" si="4"/>
        <v>Doug</v>
      </c>
      <c r="E125" t="str">
        <f t="shared" si="5"/>
        <v>Kells</v>
      </c>
    </row>
    <row r="126" spans="1:5" ht="15.5" x14ac:dyDescent="0.35">
      <c r="A126" s="1" t="s">
        <v>2248</v>
      </c>
      <c r="B126" s="1" t="s">
        <v>2508</v>
      </c>
      <c r="C126" t="str">
        <f t="shared" si="3"/>
        <v>Ms.</v>
      </c>
      <c r="D126" t="str">
        <f t="shared" si="4"/>
        <v>Elizabeth J.</v>
      </c>
      <c r="E126" t="str">
        <f t="shared" si="5"/>
        <v>Lawton</v>
      </c>
    </row>
    <row r="127" spans="1:5" ht="15.5" x14ac:dyDescent="0.35">
      <c r="A127" s="1" t="s">
        <v>2247</v>
      </c>
      <c r="B127" s="1" t="s">
        <v>2509</v>
      </c>
      <c r="C127" t="str">
        <f t="shared" si="3"/>
        <v>Mr.</v>
      </c>
      <c r="D127" t="str">
        <f t="shared" si="4"/>
        <v>Matthew P</v>
      </c>
      <c r="E127" t="str">
        <f t="shared" si="5"/>
        <v>Bejar</v>
      </c>
    </row>
    <row r="128" spans="1:5" ht="15.5" x14ac:dyDescent="0.35">
      <c r="A128" s="1" t="s">
        <v>2246</v>
      </c>
      <c r="B128" s="1" t="s">
        <v>2510</v>
      </c>
      <c r="C128" t="str">
        <f t="shared" si="3"/>
        <v>Mr.</v>
      </c>
      <c r="D128" t="str">
        <f t="shared" si="4"/>
        <v>Guillermo Sr.</v>
      </c>
      <c r="E128" t="str">
        <f t="shared" si="5"/>
        <v>Navarro Castro</v>
      </c>
    </row>
    <row r="129" spans="1:5" ht="15.5" x14ac:dyDescent="0.35">
      <c r="A129" s="1" t="s">
        <v>2245</v>
      </c>
      <c r="B129" s="1" t="s">
        <v>2511</v>
      </c>
      <c r="C129" t="str">
        <f t="shared" si="3"/>
        <v>Mr.</v>
      </c>
      <c r="D129" t="str">
        <f t="shared" si="4"/>
        <v>Ryan C</v>
      </c>
      <c r="E129" t="str">
        <f t="shared" si="5"/>
        <v>Tice</v>
      </c>
    </row>
    <row r="130" spans="1:5" ht="15.5" x14ac:dyDescent="0.35">
      <c r="A130" s="1" t="s">
        <v>2244</v>
      </c>
      <c r="B130" s="1" t="s">
        <v>2512</v>
      </c>
      <c r="C130" t="str">
        <f t="shared" si="3"/>
        <v>Mr.</v>
      </c>
      <c r="D130" t="str">
        <f t="shared" si="4"/>
        <v>Dane</v>
      </c>
      <c r="E130" t="str">
        <f t="shared" si="5"/>
        <v>Wolf</v>
      </c>
    </row>
    <row r="131" spans="1:5" ht="15.5" x14ac:dyDescent="0.35">
      <c r="A131" s="1" t="s">
        <v>2243</v>
      </c>
      <c r="B131" s="1" t="s">
        <v>2513</v>
      </c>
      <c r="C131" t="str">
        <f t="shared" ref="C131:C194" si="6">TRIM(MID(B131,FIND(",",B131)+1,FIND(".",B131)-FIND(",",B131)))</f>
        <v>Mr.</v>
      </c>
      <c r="D131" t="str">
        <f t="shared" ref="D131:D194" si="7">TRIM(MID(B131,FIND(".",B131)+1,LEN(B131)))</f>
        <v>Jonas</v>
      </c>
      <c r="E131" t="str">
        <f t="shared" ref="E131:E194" si="8">TRIM(LEFT(B131,FIND(",",B131)-1))</f>
        <v>Oppedal</v>
      </c>
    </row>
    <row r="132" spans="1:5" ht="15.5" x14ac:dyDescent="0.35">
      <c r="A132" s="1" t="s">
        <v>2242</v>
      </c>
      <c r="B132" s="1" t="s">
        <v>2514</v>
      </c>
      <c r="C132" t="str">
        <f t="shared" si="6"/>
        <v>Mr.</v>
      </c>
      <c r="D132" t="str">
        <f t="shared" si="7"/>
        <v>George E</v>
      </c>
      <c r="E132" t="str">
        <f t="shared" si="8"/>
        <v>Wright</v>
      </c>
    </row>
    <row r="133" spans="1:5" ht="15.5" x14ac:dyDescent="0.35">
      <c r="A133" s="1" t="s">
        <v>2241</v>
      </c>
      <c r="B133" s="1" t="s">
        <v>2515</v>
      </c>
      <c r="C133" t="str">
        <f t="shared" si="6"/>
        <v>Ms.</v>
      </c>
      <c r="D133" t="str">
        <f t="shared" si="7"/>
        <v>Sara S</v>
      </c>
      <c r="E133" t="str">
        <f t="shared" si="8"/>
        <v>Ellis</v>
      </c>
    </row>
    <row r="134" spans="1:5" ht="15.5" x14ac:dyDescent="0.35">
      <c r="A134" s="1" t="s">
        <v>2240</v>
      </c>
      <c r="B134" s="1" t="s">
        <v>2516</v>
      </c>
      <c r="C134" t="str">
        <f t="shared" si="6"/>
        <v>Mr.</v>
      </c>
      <c r="D134" t="str">
        <f t="shared" si="7"/>
        <v>Nick</v>
      </c>
      <c r="E134" t="str">
        <f t="shared" si="8"/>
        <v>Taormina</v>
      </c>
    </row>
    <row r="135" spans="1:5" ht="15.5" x14ac:dyDescent="0.35">
      <c r="A135" s="1" t="s">
        <v>2239</v>
      </c>
      <c r="B135" s="1" t="s">
        <v>2517</v>
      </c>
      <c r="C135" t="str">
        <f t="shared" si="6"/>
        <v>Mr.</v>
      </c>
      <c r="D135" t="str">
        <f t="shared" si="7"/>
        <v>Timothy</v>
      </c>
      <c r="E135" t="str">
        <f t="shared" si="8"/>
        <v>Lynch</v>
      </c>
    </row>
    <row r="136" spans="1:5" ht="15.5" x14ac:dyDescent="0.35">
      <c r="A136" s="1" t="s">
        <v>2238</v>
      </c>
      <c r="B136" s="1" t="s">
        <v>2518</v>
      </c>
      <c r="C136" t="str">
        <f t="shared" si="6"/>
        <v>Ms.</v>
      </c>
      <c r="D136" t="str">
        <f t="shared" si="7"/>
        <v>Becky L</v>
      </c>
      <c r="E136" t="str">
        <f t="shared" si="8"/>
        <v>Tavella</v>
      </c>
    </row>
    <row r="137" spans="1:5" ht="15.5" x14ac:dyDescent="0.35">
      <c r="A137" s="1" t="s">
        <v>2237</v>
      </c>
      <c r="B137" s="1" t="s">
        <v>2519</v>
      </c>
      <c r="C137" t="str">
        <f t="shared" si="6"/>
        <v>Ms.</v>
      </c>
      <c r="D137" t="str">
        <f t="shared" si="7"/>
        <v>Steph K.</v>
      </c>
      <c r="E137" t="str">
        <f t="shared" si="8"/>
        <v>Neufeld</v>
      </c>
    </row>
    <row r="138" spans="1:5" ht="15.5" x14ac:dyDescent="0.35">
      <c r="A138" s="1" t="s">
        <v>2236</v>
      </c>
      <c r="B138" s="1" t="s">
        <v>2520</v>
      </c>
      <c r="C138" t="str">
        <f t="shared" si="6"/>
        <v>Ms.</v>
      </c>
      <c r="D138" t="str">
        <f t="shared" si="7"/>
        <v>Kristine B.</v>
      </c>
      <c r="E138" t="str">
        <f t="shared" si="8"/>
        <v>Walhovd</v>
      </c>
    </row>
    <row r="139" spans="1:5" ht="15.5" x14ac:dyDescent="0.35">
      <c r="A139" s="1" t="s">
        <v>2235</v>
      </c>
      <c r="B139" s="1" t="s">
        <v>2521</v>
      </c>
      <c r="C139" t="str">
        <f t="shared" si="6"/>
        <v>Mr.</v>
      </c>
      <c r="D139" t="str">
        <f t="shared" si="7"/>
        <v>Taylor B</v>
      </c>
      <c r="E139" t="str">
        <f t="shared" si="8"/>
        <v>Washburn</v>
      </c>
    </row>
    <row r="140" spans="1:5" ht="15.5" x14ac:dyDescent="0.35">
      <c r="A140" s="1" t="s">
        <v>2234</v>
      </c>
      <c r="B140" s="1" t="s">
        <v>2522</v>
      </c>
      <c r="C140" t="str">
        <f t="shared" si="6"/>
        <v>Mr.</v>
      </c>
      <c r="D140" t="str">
        <f t="shared" si="7"/>
        <v>William</v>
      </c>
      <c r="E140" t="str">
        <f t="shared" si="8"/>
        <v>Mroz</v>
      </c>
    </row>
    <row r="141" spans="1:5" ht="15.5" x14ac:dyDescent="0.35">
      <c r="A141" s="1" t="s">
        <v>2233</v>
      </c>
      <c r="B141" s="1" t="s">
        <v>2523</v>
      </c>
      <c r="C141" t="str">
        <f t="shared" si="6"/>
        <v>Mr.</v>
      </c>
      <c r="D141" t="str">
        <f t="shared" si="7"/>
        <v>Sage</v>
      </c>
      <c r="E141" t="str">
        <f t="shared" si="8"/>
        <v>Canaday</v>
      </c>
    </row>
    <row r="142" spans="1:5" ht="15.5" x14ac:dyDescent="0.35">
      <c r="A142" s="1" t="s">
        <v>2232</v>
      </c>
      <c r="B142" s="1" t="s">
        <v>2524</v>
      </c>
      <c r="C142" t="str">
        <f t="shared" si="6"/>
        <v>Mr.</v>
      </c>
      <c r="D142" t="str">
        <f t="shared" si="7"/>
        <v>Cole</v>
      </c>
      <c r="E142" t="str">
        <f t="shared" si="8"/>
        <v>Atkins</v>
      </c>
    </row>
    <row r="143" spans="1:5" ht="15.5" x14ac:dyDescent="0.35">
      <c r="A143" s="1" t="s">
        <v>2231</v>
      </c>
      <c r="B143" s="1" t="s">
        <v>2525</v>
      </c>
      <c r="C143" t="str">
        <f t="shared" si="6"/>
        <v>Mr.</v>
      </c>
      <c r="D143" t="str">
        <f t="shared" si="7"/>
        <v>Jesse</v>
      </c>
      <c r="E143" t="str">
        <f t="shared" si="8"/>
        <v>Kropelnicki</v>
      </c>
    </row>
    <row r="144" spans="1:5" ht="15.5" x14ac:dyDescent="0.35">
      <c r="A144" s="1" t="s">
        <v>2230</v>
      </c>
      <c r="B144" s="1" t="s">
        <v>2526</v>
      </c>
      <c r="C144" t="str">
        <f t="shared" si="6"/>
        <v>Ms.</v>
      </c>
      <c r="D144" t="str">
        <f t="shared" si="7"/>
        <v>Tammi J.</v>
      </c>
      <c r="E144" t="str">
        <f t="shared" si="8"/>
        <v>Braund</v>
      </c>
    </row>
    <row r="145" spans="1:5" ht="15.5" x14ac:dyDescent="0.35">
      <c r="A145" s="1" t="s">
        <v>2229</v>
      </c>
      <c r="B145" s="1" t="s">
        <v>2527</v>
      </c>
      <c r="C145" t="str">
        <f t="shared" si="6"/>
        <v>Mr.</v>
      </c>
      <c r="D145" t="str">
        <f t="shared" si="7"/>
        <v>Matthew S.</v>
      </c>
      <c r="E145" t="str">
        <f t="shared" si="8"/>
        <v>Anderson</v>
      </c>
    </row>
    <row r="146" spans="1:5" ht="15.5" x14ac:dyDescent="0.35">
      <c r="A146" s="1" t="s">
        <v>2228</v>
      </c>
      <c r="B146" s="1" t="s">
        <v>2528</v>
      </c>
      <c r="C146" t="str">
        <f t="shared" si="6"/>
        <v>Mr.</v>
      </c>
      <c r="D146" t="str">
        <f t="shared" si="7"/>
        <v>Eric</v>
      </c>
      <c r="E146" t="str">
        <f t="shared" si="8"/>
        <v>Bilbrey</v>
      </c>
    </row>
    <row r="147" spans="1:5" ht="15.5" x14ac:dyDescent="0.35">
      <c r="A147" s="1" t="s">
        <v>2227</v>
      </c>
      <c r="B147" s="1" t="s">
        <v>2529</v>
      </c>
      <c r="C147" t="str">
        <f t="shared" si="6"/>
        <v>Ms.</v>
      </c>
      <c r="D147" t="str">
        <f t="shared" si="7"/>
        <v>Valeria R</v>
      </c>
      <c r="E147" t="str">
        <f t="shared" si="8"/>
        <v>Curtis</v>
      </c>
    </row>
    <row r="148" spans="1:5" ht="15.5" x14ac:dyDescent="0.35">
      <c r="A148" s="1" t="s">
        <v>2226</v>
      </c>
      <c r="B148" s="1" t="s">
        <v>2530</v>
      </c>
      <c r="C148" t="str">
        <f t="shared" si="6"/>
        <v>Mr.</v>
      </c>
      <c r="D148" t="str">
        <f t="shared" si="7"/>
        <v>Michael P</v>
      </c>
      <c r="E148" t="str">
        <f t="shared" si="8"/>
        <v>Meyer</v>
      </c>
    </row>
    <row r="149" spans="1:5" ht="15.5" x14ac:dyDescent="0.35">
      <c r="A149" s="1" t="s">
        <v>2225</v>
      </c>
      <c r="B149" s="1" t="s">
        <v>2531</v>
      </c>
      <c r="C149" t="str">
        <f t="shared" si="6"/>
        <v>Mr.</v>
      </c>
      <c r="D149" t="str">
        <f t="shared" si="7"/>
        <v>Rami</v>
      </c>
      <c r="E149" t="str">
        <f t="shared" si="8"/>
        <v>Bardeesy</v>
      </c>
    </row>
    <row r="150" spans="1:5" ht="15.5" x14ac:dyDescent="0.35">
      <c r="A150" s="1" t="s">
        <v>2224</v>
      </c>
      <c r="B150" s="1" t="s">
        <v>2532</v>
      </c>
      <c r="C150" t="str">
        <f t="shared" si="6"/>
        <v>Mr.</v>
      </c>
      <c r="D150" t="str">
        <f t="shared" si="7"/>
        <v>Denis</v>
      </c>
      <c r="E150" t="str">
        <f t="shared" si="8"/>
        <v>Shanahan</v>
      </c>
    </row>
    <row r="151" spans="1:5" ht="15.5" x14ac:dyDescent="0.35">
      <c r="A151" s="1" t="s">
        <v>2223</v>
      </c>
      <c r="B151" s="1" t="s">
        <v>2533</v>
      </c>
      <c r="C151" t="str">
        <f t="shared" si="6"/>
        <v>Mr.</v>
      </c>
      <c r="D151" t="str">
        <f t="shared" si="7"/>
        <v>Brian E</v>
      </c>
      <c r="E151" t="str">
        <f t="shared" si="8"/>
        <v>Sutter</v>
      </c>
    </row>
    <row r="152" spans="1:5" ht="15.5" x14ac:dyDescent="0.35">
      <c r="A152" s="1" t="s">
        <v>2222</v>
      </c>
      <c r="B152" s="1" t="s">
        <v>2534</v>
      </c>
      <c r="C152" t="str">
        <f t="shared" si="6"/>
        <v>Ms.</v>
      </c>
      <c r="D152" t="str">
        <f t="shared" si="7"/>
        <v>Bonnie</v>
      </c>
      <c r="E152" t="str">
        <f t="shared" si="8"/>
        <v>Yesian</v>
      </c>
    </row>
    <row r="153" spans="1:5" ht="15.5" x14ac:dyDescent="0.35">
      <c r="A153" s="1" t="s">
        <v>2221</v>
      </c>
      <c r="B153" s="1" t="s">
        <v>2535</v>
      </c>
      <c r="C153" t="str">
        <f t="shared" si="6"/>
        <v>Mr.</v>
      </c>
      <c r="D153" t="str">
        <f t="shared" si="7"/>
        <v>Michael P</v>
      </c>
      <c r="E153" t="str">
        <f t="shared" si="8"/>
        <v>Meers</v>
      </c>
    </row>
    <row r="154" spans="1:5" ht="15.5" x14ac:dyDescent="0.35">
      <c r="A154" s="1" t="s">
        <v>2220</v>
      </c>
      <c r="B154" s="1" t="s">
        <v>2536</v>
      </c>
      <c r="C154" t="str">
        <f t="shared" si="6"/>
        <v>Mr.</v>
      </c>
      <c r="D154" t="str">
        <f t="shared" si="7"/>
        <v>Paul</v>
      </c>
      <c r="E154" t="str">
        <f t="shared" si="8"/>
        <v>Conlon</v>
      </c>
    </row>
    <row r="155" spans="1:5" ht="15.5" x14ac:dyDescent="0.35">
      <c r="A155" s="1" t="s">
        <v>2219</v>
      </c>
      <c r="B155" s="1" t="s">
        <v>2537</v>
      </c>
      <c r="C155" t="str">
        <f t="shared" si="6"/>
        <v>Mr.</v>
      </c>
      <c r="D155" t="str">
        <f t="shared" si="7"/>
        <v>Michael</v>
      </c>
      <c r="E155" t="str">
        <f t="shared" si="8"/>
        <v>Arnstein</v>
      </c>
    </row>
    <row r="156" spans="1:5" ht="15.5" x14ac:dyDescent="0.35">
      <c r="A156" s="1" t="s">
        <v>2218</v>
      </c>
      <c r="B156" s="1" t="s">
        <v>2538</v>
      </c>
      <c r="C156" t="str">
        <f t="shared" si="6"/>
        <v>Mr.</v>
      </c>
      <c r="D156" t="str">
        <f t="shared" si="7"/>
        <v>Samuel</v>
      </c>
      <c r="E156" t="str">
        <f t="shared" si="8"/>
        <v>Jurek</v>
      </c>
    </row>
    <row r="157" spans="1:5" ht="15.5" x14ac:dyDescent="0.35">
      <c r="A157" s="1" t="s">
        <v>2217</v>
      </c>
      <c r="B157" s="1" t="s">
        <v>2539</v>
      </c>
      <c r="C157" t="str">
        <f t="shared" si="6"/>
        <v>Mr.</v>
      </c>
      <c r="D157" t="str">
        <f t="shared" si="7"/>
        <v>Matthew</v>
      </c>
      <c r="E157" t="str">
        <f t="shared" si="8"/>
        <v>Thill</v>
      </c>
    </row>
    <row r="158" spans="1:5" ht="15.5" x14ac:dyDescent="0.35">
      <c r="A158" s="1" t="s">
        <v>2216</v>
      </c>
      <c r="B158" s="1" t="s">
        <v>2540</v>
      </c>
      <c r="C158" t="str">
        <f t="shared" si="6"/>
        <v>Mr.</v>
      </c>
      <c r="D158" t="str">
        <f t="shared" si="7"/>
        <v>Daniel</v>
      </c>
      <c r="E158" t="str">
        <f t="shared" si="8"/>
        <v>Glaz</v>
      </c>
    </row>
    <row r="159" spans="1:5" ht="15.5" x14ac:dyDescent="0.35">
      <c r="A159" s="1" t="s">
        <v>2215</v>
      </c>
      <c r="B159" s="1" t="s">
        <v>2541</v>
      </c>
      <c r="C159" t="str">
        <f t="shared" si="6"/>
        <v>Ms.</v>
      </c>
      <c r="D159" t="str">
        <f t="shared" si="7"/>
        <v>Syndy</v>
      </c>
      <c r="E159" t="str">
        <f t="shared" si="8"/>
        <v>Sampson</v>
      </c>
    </row>
    <row r="160" spans="1:5" ht="15.5" x14ac:dyDescent="0.35">
      <c r="A160" s="1" t="s">
        <v>2214</v>
      </c>
      <c r="B160" s="1" t="s">
        <v>2542</v>
      </c>
      <c r="C160" t="str">
        <f t="shared" si="6"/>
        <v>Ms.</v>
      </c>
      <c r="D160" t="str">
        <f t="shared" si="7"/>
        <v>Aleksandra</v>
      </c>
      <c r="E160" t="str">
        <f t="shared" si="8"/>
        <v>Duliba</v>
      </c>
    </row>
    <row r="161" spans="1:5" ht="15.5" x14ac:dyDescent="0.35">
      <c r="A161" s="1" t="s">
        <v>2213</v>
      </c>
      <c r="B161" s="1" t="s">
        <v>2543</v>
      </c>
      <c r="C161" t="str">
        <f t="shared" si="6"/>
        <v>Mr.</v>
      </c>
      <c r="D161" t="str">
        <f t="shared" si="7"/>
        <v>Steeve T Sr.</v>
      </c>
      <c r="E161" t="str">
        <f t="shared" si="8"/>
        <v>Tanguay</v>
      </c>
    </row>
    <row r="162" spans="1:5" ht="15.5" x14ac:dyDescent="0.35">
      <c r="A162" s="1" t="s">
        <v>2212</v>
      </c>
      <c r="B162" s="1" t="s">
        <v>2544</v>
      </c>
      <c r="C162" t="str">
        <f t="shared" si="6"/>
        <v>Mr.</v>
      </c>
      <c r="D162" t="str">
        <f t="shared" si="7"/>
        <v>Richard</v>
      </c>
      <c r="E162" t="str">
        <f t="shared" si="8"/>
        <v>McClelland</v>
      </c>
    </row>
    <row r="163" spans="1:5" ht="15.5" x14ac:dyDescent="0.35">
      <c r="A163" s="1" t="s">
        <v>2211</v>
      </c>
      <c r="B163" s="1" t="s">
        <v>2545</v>
      </c>
      <c r="C163" t="str">
        <f t="shared" si="6"/>
        <v>Mr.</v>
      </c>
      <c r="D163" t="str">
        <f t="shared" si="7"/>
        <v>Aaron T</v>
      </c>
      <c r="E163" t="str">
        <f t="shared" si="8"/>
        <v>Gorman</v>
      </c>
    </row>
    <row r="164" spans="1:5" ht="15.5" x14ac:dyDescent="0.35">
      <c r="A164" s="1" t="s">
        <v>2210</v>
      </c>
      <c r="B164" s="1" t="s">
        <v>2546</v>
      </c>
      <c r="C164" t="str">
        <f t="shared" si="6"/>
        <v>Mr.</v>
      </c>
      <c r="D164" t="str">
        <f t="shared" si="7"/>
        <v>Akira</v>
      </c>
      <c r="E164" t="str">
        <f t="shared" si="8"/>
        <v>Nishimura</v>
      </c>
    </row>
    <row r="165" spans="1:5" ht="15.5" x14ac:dyDescent="0.35">
      <c r="A165" s="1" t="s">
        <v>2209</v>
      </c>
      <c r="B165" s="1" t="s">
        <v>2547</v>
      </c>
      <c r="C165" t="str">
        <f t="shared" si="6"/>
        <v>Mr.</v>
      </c>
      <c r="D165" t="str">
        <f t="shared" si="7"/>
        <v>Ben</v>
      </c>
      <c r="E165" t="str">
        <f t="shared" si="8"/>
        <v>Brimble</v>
      </c>
    </row>
    <row r="166" spans="1:5" ht="15.5" x14ac:dyDescent="0.35">
      <c r="A166" s="1" t="s">
        <v>2208</v>
      </c>
      <c r="B166" s="1" t="s">
        <v>2548</v>
      </c>
      <c r="C166" t="str">
        <f t="shared" si="6"/>
        <v>Ms.</v>
      </c>
      <c r="D166" t="str">
        <f t="shared" si="7"/>
        <v>Jana</v>
      </c>
      <c r="E166" t="str">
        <f t="shared" si="8"/>
        <v>Trenk</v>
      </c>
    </row>
    <row r="167" spans="1:5" ht="15.5" x14ac:dyDescent="0.35">
      <c r="A167" s="1" t="s">
        <v>2207</v>
      </c>
      <c r="B167" s="1" t="s">
        <v>2549</v>
      </c>
      <c r="C167" t="str">
        <f t="shared" si="6"/>
        <v>Mr.</v>
      </c>
      <c r="D167" t="str">
        <f t="shared" si="7"/>
        <v>Jay T.</v>
      </c>
      <c r="E167" t="str">
        <f t="shared" si="8"/>
        <v>Wittmann</v>
      </c>
    </row>
    <row r="168" spans="1:5" ht="15.5" x14ac:dyDescent="0.35">
      <c r="A168" s="1" t="s">
        <v>2206</v>
      </c>
      <c r="B168" s="1" t="s">
        <v>2550</v>
      </c>
      <c r="C168" t="str">
        <f t="shared" si="6"/>
        <v>Ms.</v>
      </c>
      <c r="D168" t="str">
        <f t="shared" si="7"/>
        <v>Marie-Helene</v>
      </c>
      <c r="E168" t="str">
        <f t="shared" si="8"/>
        <v>Tremblay</v>
      </c>
    </row>
    <row r="169" spans="1:5" ht="15.5" x14ac:dyDescent="0.35">
      <c r="A169" s="1" t="s">
        <v>2205</v>
      </c>
      <c r="B169" s="1" t="s">
        <v>2551</v>
      </c>
      <c r="C169" t="str">
        <f t="shared" si="6"/>
        <v>Ms.</v>
      </c>
      <c r="D169" t="str">
        <f t="shared" si="7"/>
        <v>Bret R</v>
      </c>
      <c r="E169" t="str">
        <f t="shared" si="8"/>
        <v>Scofield</v>
      </c>
    </row>
    <row r="170" spans="1:5" ht="15.5" x14ac:dyDescent="0.35">
      <c r="A170" s="1" t="s">
        <v>2204</v>
      </c>
      <c r="B170" s="1" t="s">
        <v>2552</v>
      </c>
      <c r="C170" t="str">
        <f t="shared" si="6"/>
        <v>Mr.</v>
      </c>
      <c r="D170" t="str">
        <f t="shared" si="7"/>
        <v>Gardner L</v>
      </c>
      <c r="E170" t="str">
        <f t="shared" si="8"/>
        <v>Yost</v>
      </c>
    </row>
    <row r="171" spans="1:5" ht="15.5" x14ac:dyDescent="0.35">
      <c r="A171" s="1" t="s">
        <v>2203</v>
      </c>
      <c r="B171" s="1" t="s">
        <v>2553</v>
      </c>
      <c r="C171" t="str">
        <f t="shared" si="6"/>
        <v>Mr.</v>
      </c>
      <c r="D171" t="str">
        <f t="shared" si="7"/>
        <v>Bobby</v>
      </c>
      <c r="E171" t="str">
        <f t="shared" si="8"/>
        <v>Torphy</v>
      </c>
    </row>
    <row r="172" spans="1:5" ht="15.5" x14ac:dyDescent="0.35">
      <c r="A172" s="1" t="s">
        <v>2202</v>
      </c>
      <c r="B172" s="1" t="s">
        <v>2554</v>
      </c>
      <c r="C172" t="str">
        <f t="shared" si="6"/>
        <v>Ms.</v>
      </c>
      <c r="D172" t="str">
        <f t="shared" si="7"/>
        <v>Natalie</v>
      </c>
      <c r="E172" t="str">
        <f t="shared" si="8"/>
        <v>Busby</v>
      </c>
    </row>
    <row r="173" spans="1:5" ht="15.5" x14ac:dyDescent="0.35">
      <c r="A173" s="1" t="s">
        <v>2201</v>
      </c>
      <c r="B173" s="1" t="s">
        <v>2555</v>
      </c>
      <c r="C173" t="str">
        <f t="shared" si="6"/>
        <v>Ms.</v>
      </c>
      <c r="D173" t="str">
        <f t="shared" si="7"/>
        <v>Lina</v>
      </c>
      <c r="E173" t="str">
        <f t="shared" si="8"/>
        <v>Nguyen</v>
      </c>
    </row>
    <row r="174" spans="1:5" ht="15.5" x14ac:dyDescent="0.35">
      <c r="A174" s="1" t="s">
        <v>2200</v>
      </c>
      <c r="B174" s="1" t="s">
        <v>2556</v>
      </c>
      <c r="C174" t="str">
        <f t="shared" si="6"/>
        <v>Mr.</v>
      </c>
      <c r="D174" t="str">
        <f t="shared" si="7"/>
        <v>Zebulon</v>
      </c>
      <c r="E174" t="str">
        <f t="shared" si="8"/>
        <v>Hanley</v>
      </c>
    </row>
    <row r="175" spans="1:5" ht="15.5" x14ac:dyDescent="0.35">
      <c r="A175" s="1" t="s">
        <v>2199</v>
      </c>
      <c r="B175" s="1" t="s">
        <v>2557</v>
      </c>
      <c r="C175" t="str">
        <f t="shared" si="6"/>
        <v>Ms.</v>
      </c>
      <c r="D175" t="str">
        <f t="shared" si="7"/>
        <v>Amanda</v>
      </c>
      <c r="E175" t="str">
        <f t="shared" si="8"/>
        <v>Scheer</v>
      </c>
    </row>
    <row r="176" spans="1:5" ht="15.5" x14ac:dyDescent="0.35">
      <c r="A176" s="1" t="s">
        <v>2198</v>
      </c>
      <c r="B176" s="1" t="s">
        <v>2558</v>
      </c>
      <c r="C176" t="str">
        <f t="shared" si="6"/>
        <v>Mr.</v>
      </c>
      <c r="D176" t="str">
        <f t="shared" si="7"/>
        <v>Greg</v>
      </c>
      <c r="E176" t="str">
        <f t="shared" si="8"/>
        <v>Rankin</v>
      </c>
    </row>
    <row r="177" spans="1:5" ht="15.5" x14ac:dyDescent="0.35">
      <c r="A177" s="1" t="s">
        <v>2197</v>
      </c>
      <c r="B177" s="1" t="s">
        <v>2559</v>
      </c>
      <c r="C177" t="str">
        <f t="shared" si="6"/>
        <v>Mr.</v>
      </c>
      <c r="D177" t="str">
        <f t="shared" si="7"/>
        <v>John</v>
      </c>
      <c r="E177" t="str">
        <f t="shared" si="8"/>
        <v>Ricardi</v>
      </c>
    </row>
    <row r="178" spans="1:5" ht="15.5" x14ac:dyDescent="0.35">
      <c r="A178" s="1" t="s">
        <v>2196</v>
      </c>
      <c r="B178" s="1" t="s">
        <v>2560</v>
      </c>
      <c r="C178" t="str">
        <f t="shared" si="6"/>
        <v>Ms.</v>
      </c>
      <c r="D178" t="str">
        <f t="shared" si="7"/>
        <v>Kelsey A.</v>
      </c>
      <c r="E178" t="str">
        <f t="shared" si="8"/>
        <v>Karkos</v>
      </c>
    </row>
    <row r="179" spans="1:5" ht="15.5" x14ac:dyDescent="0.35">
      <c r="A179" s="1" t="s">
        <v>2195</v>
      </c>
      <c r="B179" s="1" t="s">
        <v>2561</v>
      </c>
      <c r="C179" t="str">
        <f t="shared" si="6"/>
        <v>Ms.</v>
      </c>
      <c r="D179" t="str">
        <f t="shared" si="7"/>
        <v>Bronwen L</v>
      </c>
      <c r="E179" t="str">
        <f t="shared" si="8"/>
        <v>Price-Dierksen</v>
      </c>
    </row>
    <row r="180" spans="1:5" ht="15.5" x14ac:dyDescent="0.35">
      <c r="A180" s="1" t="s">
        <v>2194</v>
      </c>
      <c r="B180" s="1" t="s">
        <v>2562</v>
      </c>
      <c r="C180" t="str">
        <f t="shared" si="6"/>
        <v>Ms.</v>
      </c>
      <c r="D180" t="str">
        <f t="shared" si="7"/>
        <v>Manuela</v>
      </c>
      <c r="E180" t="str">
        <f t="shared" si="8"/>
        <v>Knispel</v>
      </c>
    </row>
    <row r="181" spans="1:5" ht="15.5" x14ac:dyDescent="0.35">
      <c r="A181" s="1" t="s">
        <v>2193</v>
      </c>
      <c r="B181" s="1" t="s">
        <v>2563</v>
      </c>
      <c r="C181" t="str">
        <f t="shared" si="6"/>
        <v>Ms.</v>
      </c>
      <c r="D181" t="str">
        <f t="shared" si="7"/>
        <v>Jennifer L</v>
      </c>
      <c r="E181" t="str">
        <f t="shared" si="8"/>
        <v>King</v>
      </c>
    </row>
    <row r="182" spans="1:5" ht="15.5" x14ac:dyDescent="0.35">
      <c r="A182" s="1" t="s">
        <v>2192</v>
      </c>
      <c r="B182" s="1" t="s">
        <v>2564</v>
      </c>
      <c r="C182" t="str">
        <f t="shared" si="6"/>
        <v>Ms.</v>
      </c>
      <c r="D182" t="str">
        <f t="shared" si="7"/>
        <v>Abby W.</v>
      </c>
      <c r="E182" t="str">
        <f t="shared" si="8"/>
        <v>Samuelson</v>
      </c>
    </row>
    <row r="183" spans="1:5" ht="15.5" x14ac:dyDescent="0.35">
      <c r="A183" s="1" t="s">
        <v>2191</v>
      </c>
      <c r="B183" s="1" t="s">
        <v>2565</v>
      </c>
      <c r="C183" t="str">
        <f t="shared" si="6"/>
        <v>Mr.</v>
      </c>
      <c r="D183" t="str">
        <f t="shared" si="7"/>
        <v>Tyler</v>
      </c>
      <c r="E183" t="str">
        <f t="shared" si="8"/>
        <v>Fredsall</v>
      </c>
    </row>
    <row r="184" spans="1:5" ht="15.5" x14ac:dyDescent="0.35">
      <c r="A184" s="1" t="s">
        <v>2190</v>
      </c>
      <c r="B184" s="1" t="s">
        <v>2566</v>
      </c>
      <c r="C184" t="str">
        <f t="shared" si="6"/>
        <v>Mr.</v>
      </c>
      <c r="D184" t="str">
        <f t="shared" si="7"/>
        <v>Jeffrey</v>
      </c>
      <c r="E184" t="str">
        <f t="shared" si="8"/>
        <v>Eggleston</v>
      </c>
    </row>
    <row r="185" spans="1:5" ht="15.5" x14ac:dyDescent="0.35">
      <c r="A185" s="1" t="s">
        <v>2189</v>
      </c>
      <c r="B185" s="1" t="s">
        <v>2567</v>
      </c>
      <c r="C185" t="str">
        <f t="shared" si="6"/>
        <v>Mr.</v>
      </c>
      <c r="D185" t="str">
        <f t="shared" si="7"/>
        <v>Matthew F</v>
      </c>
      <c r="E185" t="str">
        <f t="shared" si="8"/>
        <v>Palombaro</v>
      </c>
    </row>
    <row r="186" spans="1:5" ht="15.5" x14ac:dyDescent="0.35">
      <c r="A186" s="1" t="s">
        <v>2188</v>
      </c>
      <c r="B186" s="1" t="s">
        <v>2568</v>
      </c>
      <c r="C186" t="str">
        <f t="shared" si="6"/>
        <v>Mr.</v>
      </c>
      <c r="D186" t="str">
        <f t="shared" si="7"/>
        <v>Ryan J.</v>
      </c>
      <c r="E186" t="str">
        <f t="shared" si="8"/>
        <v>Silva</v>
      </c>
    </row>
    <row r="187" spans="1:5" ht="15.5" x14ac:dyDescent="0.35">
      <c r="A187" s="1" t="s">
        <v>2187</v>
      </c>
      <c r="B187" s="1" t="s">
        <v>2569</v>
      </c>
      <c r="C187" t="str">
        <f t="shared" si="6"/>
        <v>Ms.</v>
      </c>
      <c r="D187" t="str">
        <f t="shared" si="7"/>
        <v>Amy</v>
      </c>
      <c r="E187" t="str">
        <f t="shared" si="8"/>
        <v>Bugala</v>
      </c>
    </row>
    <row r="188" spans="1:5" ht="15.5" x14ac:dyDescent="0.35">
      <c r="A188" s="1" t="s">
        <v>2186</v>
      </c>
      <c r="B188" s="1" t="s">
        <v>2570</v>
      </c>
      <c r="C188" t="str">
        <f t="shared" si="6"/>
        <v>Mr.</v>
      </c>
      <c r="D188" t="str">
        <f t="shared" si="7"/>
        <v>Andrew P</v>
      </c>
      <c r="E188" t="str">
        <f t="shared" si="8"/>
        <v>Dublin</v>
      </c>
    </row>
    <row r="189" spans="1:5" ht="15.5" x14ac:dyDescent="0.35">
      <c r="A189" s="1" t="s">
        <v>2185</v>
      </c>
      <c r="B189" s="1" t="s">
        <v>2571</v>
      </c>
      <c r="C189" t="str">
        <f t="shared" si="6"/>
        <v>Mr.</v>
      </c>
      <c r="D189" t="str">
        <f t="shared" si="7"/>
        <v>George M. V</v>
      </c>
      <c r="E189" t="str">
        <f t="shared" si="8"/>
        <v>Cleland</v>
      </c>
    </row>
    <row r="190" spans="1:5" ht="15.5" x14ac:dyDescent="0.35">
      <c r="A190" s="1" t="s">
        <v>2184</v>
      </c>
      <c r="B190" s="1" t="s">
        <v>2572</v>
      </c>
      <c r="C190" t="str">
        <f t="shared" si="6"/>
        <v>Ms.</v>
      </c>
      <c r="D190" t="str">
        <f t="shared" si="7"/>
        <v>Sarah</v>
      </c>
      <c r="E190" t="str">
        <f t="shared" si="8"/>
        <v>Evans</v>
      </c>
    </row>
    <row r="191" spans="1:5" ht="15.5" x14ac:dyDescent="0.35">
      <c r="A191" s="1" t="s">
        <v>2183</v>
      </c>
      <c r="B191" s="1" t="s">
        <v>2573</v>
      </c>
      <c r="C191" t="str">
        <f t="shared" si="6"/>
        <v>Ms.</v>
      </c>
      <c r="D191" t="str">
        <f t="shared" si="7"/>
        <v>Lara</v>
      </c>
      <c r="E191" t="str">
        <f t="shared" si="8"/>
        <v>Boyd</v>
      </c>
    </row>
    <row r="192" spans="1:5" ht="15.5" x14ac:dyDescent="0.35">
      <c r="A192" s="1" t="s">
        <v>2182</v>
      </c>
      <c r="B192" s="1" t="s">
        <v>2574</v>
      </c>
      <c r="C192" t="str">
        <f t="shared" si="6"/>
        <v>Mr.</v>
      </c>
      <c r="D192" t="str">
        <f t="shared" si="7"/>
        <v>Sebastien</v>
      </c>
      <c r="E192" t="str">
        <f t="shared" si="8"/>
        <v>Roulier</v>
      </c>
    </row>
    <row r="193" spans="1:5" ht="15.5" x14ac:dyDescent="0.35">
      <c r="A193" s="1" t="s">
        <v>2181</v>
      </c>
      <c r="B193" s="1" t="s">
        <v>2575</v>
      </c>
      <c r="C193" t="str">
        <f t="shared" si="6"/>
        <v>Mr.</v>
      </c>
      <c r="D193" t="str">
        <f t="shared" si="7"/>
        <v>Padraig</v>
      </c>
      <c r="E193" t="str">
        <f t="shared" si="8"/>
        <v>Mullins</v>
      </c>
    </row>
    <row r="194" spans="1:5" ht="15.5" x14ac:dyDescent="0.35">
      <c r="A194" s="1" t="s">
        <v>2180</v>
      </c>
      <c r="B194" s="1" t="s">
        <v>2576</v>
      </c>
      <c r="C194" t="str">
        <f t="shared" si="6"/>
        <v>Ms.</v>
      </c>
      <c r="D194" t="str">
        <f t="shared" si="7"/>
        <v>Heather</v>
      </c>
      <c r="E194" t="str">
        <f t="shared" si="8"/>
        <v>Hofmann</v>
      </c>
    </row>
    <row r="195" spans="1:5" ht="15.5" x14ac:dyDescent="0.35">
      <c r="A195" s="1" t="s">
        <v>2179</v>
      </c>
      <c r="B195" s="1" t="s">
        <v>2577</v>
      </c>
      <c r="C195" t="str">
        <f t="shared" ref="C195:C258" si="9">TRIM(MID(B195,FIND(",",B195)+1,FIND(".",B195)-FIND(",",B195)))</f>
        <v>Mr.</v>
      </c>
      <c r="D195" t="str">
        <f t="shared" ref="D195:D258" si="10">TRIM(MID(B195,FIND(".",B195)+1,LEN(B195)))</f>
        <v>Jorge</v>
      </c>
      <c r="E195" t="str">
        <f t="shared" ref="E195:E258" si="11">TRIM(LEFT(B195,FIND(",",B195)-1))</f>
        <v>Garcia Garcia</v>
      </c>
    </row>
    <row r="196" spans="1:5" ht="15.5" x14ac:dyDescent="0.35">
      <c r="A196" s="1" t="s">
        <v>2178</v>
      </c>
      <c r="B196" s="1" t="s">
        <v>2578</v>
      </c>
      <c r="C196" t="str">
        <f t="shared" si="9"/>
        <v>Mr.</v>
      </c>
      <c r="D196" t="str">
        <f t="shared" si="10"/>
        <v>Jack R</v>
      </c>
      <c r="E196" t="str">
        <f t="shared" si="11"/>
        <v>Klecker</v>
      </c>
    </row>
    <row r="197" spans="1:5" ht="15.5" x14ac:dyDescent="0.35">
      <c r="A197" s="1" t="s">
        <v>2177</v>
      </c>
      <c r="B197" s="1" t="s">
        <v>2579</v>
      </c>
      <c r="C197" t="str">
        <f t="shared" si="9"/>
        <v>Mr.</v>
      </c>
      <c r="D197" t="str">
        <f t="shared" si="10"/>
        <v>Felix</v>
      </c>
      <c r="E197" t="str">
        <f t="shared" si="11"/>
        <v>Cancre</v>
      </c>
    </row>
    <row r="198" spans="1:5" ht="15.5" x14ac:dyDescent="0.35">
      <c r="A198" s="1" t="s">
        <v>2176</v>
      </c>
      <c r="B198" s="1" t="s">
        <v>2580</v>
      </c>
      <c r="C198" t="str">
        <f t="shared" si="9"/>
        <v>Mr.</v>
      </c>
      <c r="D198" t="str">
        <f t="shared" si="10"/>
        <v>Christopher C</v>
      </c>
      <c r="E198" t="str">
        <f t="shared" si="11"/>
        <v>Denucci</v>
      </c>
    </row>
    <row r="199" spans="1:5" ht="15.5" x14ac:dyDescent="0.35">
      <c r="A199" s="1" t="s">
        <v>2175</v>
      </c>
      <c r="B199" s="1" t="s">
        <v>2581</v>
      </c>
      <c r="C199" t="str">
        <f t="shared" si="9"/>
        <v>Mr.</v>
      </c>
      <c r="D199" t="str">
        <f t="shared" si="10"/>
        <v>Jesse</v>
      </c>
      <c r="E199" t="str">
        <f t="shared" si="11"/>
        <v>Saldana</v>
      </c>
    </row>
    <row r="200" spans="1:5" ht="15.5" x14ac:dyDescent="0.35">
      <c r="A200" s="1" t="s">
        <v>2174</v>
      </c>
      <c r="B200" s="1" t="s">
        <v>2582</v>
      </c>
      <c r="C200" t="str">
        <f t="shared" si="9"/>
        <v>Ms.</v>
      </c>
      <c r="D200" t="str">
        <f t="shared" si="10"/>
        <v>Jill</v>
      </c>
      <c r="E200" t="str">
        <f t="shared" si="11"/>
        <v>Weinberg</v>
      </c>
    </row>
    <row r="201" spans="1:5" ht="15.5" x14ac:dyDescent="0.35">
      <c r="A201" s="1" t="s">
        <v>2173</v>
      </c>
      <c r="B201" s="1" t="s">
        <v>2583</v>
      </c>
      <c r="C201" t="str">
        <f t="shared" si="9"/>
        <v>Mr.</v>
      </c>
      <c r="D201" t="str">
        <f t="shared" si="10"/>
        <v>William</v>
      </c>
      <c r="E201" t="str">
        <f t="shared" si="11"/>
        <v>Walsh</v>
      </c>
    </row>
    <row r="202" spans="1:5" ht="15.5" x14ac:dyDescent="0.35">
      <c r="A202" s="1" t="s">
        <v>2172</v>
      </c>
      <c r="B202" s="1" t="s">
        <v>2584</v>
      </c>
      <c r="C202" t="str">
        <f t="shared" si="9"/>
        <v>Mr.</v>
      </c>
      <c r="D202" t="str">
        <f t="shared" si="10"/>
        <v>Alejandro</v>
      </c>
      <c r="E202" t="str">
        <f t="shared" si="11"/>
        <v>Pasten</v>
      </c>
    </row>
    <row r="203" spans="1:5" ht="15.5" x14ac:dyDescent="0.35">
      <c r="A203" s="1" t="s">
        <v>2171</v>
      </c>
      <c r="B203" s="1" t="s">
        <v>2585</v>
      </c>
      <c r="C203" t="str">
        <f t="shared" si="9"/>
        <v>Mr.</v>
      </c>
      <c r="D203" t="str">
        <f t="shared" si="10"/>
        <v>Ian E.</v>
      </c>
      <c r="E203" t="str">
        <f t="shared" si="11"/>
        <v>LaBelle</v>
      </c>
    </row>
    <row r="204" spans="1:5" ht="15.5" x14ac:dyDescent="0.35">
      <c r="A204" s="1" t="s">
        <v>2170</v>
      </c>
      <c r="B204" s="1" t="s">
        <v>2586</v>
      </c>
      <c r="C204" t="str">
        <f t="shared" si="9"/>
        <v>Mr.</v>
      </c>
      <c r="D204" t="str">
        <f t="shared" si="10"/>
        <v>Hector Sr.</v>
      </c>
      <c r="E204" t="str">
        <f t="shared" si="11"/>
        <v>Guzman</v>
      </c>
    </row>
    <row r="205" spans="1:5" ht="15.5" x14ac:dyDescent="0.35">
      <c r="A205" s="1" t="s">
        <v>2169</v>
      </c>
      <c r="B205" s="1" t="s">
        <v>2587</v>
      </c>
      <c r="C205" t="str">
        <f t="shared" si="9"/>
        <v>Ms.</v>
      </c>
      <c r="D205" t="str">
        <f t="shared" si="10"/>
        <v>Rebecca</v>
      </c>
      <c r="E205" t="str">
        <f t="shared" si="11"/>
        <v>Turnbull</v>
      </c>
    </row>
    <row r="206" spans="1:5" ht="15.5" x14ac:dyDescent="0.35">
      <c r="A206" s="1" t="s">
        <v>2168</v>
      </c>
      <c r="B206" s="1" t="s">
        <v>2588</v>
      </c>
      <c r="C206" t="str">
        <f t="shared" si="9"/>
        <v>Mr.</v>
      </c>
      <c r="D206" t="str">
        <f t="shared" si="10"/>
        <v>Matt</v>
      </c>
      <c r="E206" t="str">
        <f t="shared" si="11"/>
        <v>Aguero</v>
      </c>
    </row>
    <row r="207" spans="1:5" ht="15.5" x14ac:dyDescent="0.35">
      <c r="A207" s="1" t="s">
        <v>2167</v>
      </c>
      <c r="B207" s="1" t="s">
        <v>2589</v>
      </c>
      <c r="C207" t="str">
        <f t="shared" si="9"/>
        <v>Ms.</v>
      </c>
      <c r="D207" t="str">
        <f t="shared" si="10"/>
        <v>Elizabeth H</v>
      </c>
      <c r="E207" t="str">
        <f t="shared" si="11"/>
        <v>Woodward</v>
      </c>
    </row>
    <row r="208" spans="1:5" ht="15.5" x14ac:dyDescent="0.35">
      <c r="A208" s="1" t="s">
        <v>2166</v>
      </c>
      <c r="B208" s="1" t="s">
        <v>2590</v>
      </c>
      <c r="C208" t="str">
        <f t="shared" si="9"/>
        <v>Ms.</v>
      </c>
      <c r="D208" t="str">
        <f t="shared" si="10"/>
        <v>Grace</v>
      </c>
      <c r="E208" t="str">
        <f t="shared" si="11"/>
        <v>McElroy</v>
      </c>
    </row>
    <row r="209" spans="1:5" ht="15.5" x14ac:dyDescent="0.35">
      <c r="A209" s="1" t="s">
        <v>2165</v>
      </c>
      <c r="B209" s="1" t="s">
        <v>2591</v>
      </c>
      <c r="C209" t="str">
        <f t="shared" si="9"/>
        <v>Mr.</v>
      </c>
      <c r="D209" t="str">
        <f t="shared" si="10"/>
        <v>Jaime</v>
      </c>
      <c r="E209" t="str">
        <f t="shared" si="11"/>
        <v>Lopez</v>
      </c>
    </row>
    <row r="210" spans="1:5" ht="15.5" x14ac:dyDescent="0.35">
      <c r="A210" s="1" t="s">
        <v>2164</v>
      </c>
      <c r="B210" s="1" t="s">
        <v>2592</v>
      </c>
      <c r="C210" t="str">
        <f t="shared" si="9"/>
        <v>Ms.</v>
      </c>
      <c r="D210" t="str">
        <f t="shared" si="10"/>
        <v>Calesse</v>
      </c>
      <c r="E210" t="str">
        <f t="shared" si="11"/>
        <v>Cardosi</v>
      </c>
    </row>
    <row r="211" spans="1:5" ht="15.5" x14ac:dyDescent="0.35">
      <c r="A211" s="1" t="s">
        <v>2163</v>
      </c>
      <c r="B211" s="1" t="s">
        <v>2593</v>
      </c>
      <c r="C211" t="str">
        <f t="shared" si="9"/>
        <v>Ms.</v>
      </c>
      <c r="D211" t="str">
        <f t="shared" si="10"/>
        <v>Kate L</v>
      </c>
      <c r="E211" t="str">
        <f t="shared" si="11"/>
        <v>Looney</v>
      </c>
    </row>
    <row r="212" spans="1:5" ht="15.5" x14ac:dyDescent="0.35">
      <c r="A212" s="1" t="s">
        <v>2162</v>
      </c>
      <c r="B212" s="1" t="s">
        <v>2594</v>
      </c>
      <c r="C212" t="str">
        <f t="shared" si="9"/>
        <v>Mr.</v>
      </c>
      <c r="D212" t="str">
        <f t="shared" si="10"/>
        <v>Sergey</v>
      </c>
      <c r="E212" t="str">
        <f t="shared" si="11"/>
        <v>Zyryanov</v>
      </c>
    </row>
    <row r="213" spans="1:5" ht="15.5" x14ac:dyDescent="0.35">
      <c r="A213" s="1" t="s">
        <v>2161</v>
      </c>
      <c r="B213" s="1" t="s">
        <v>2595</v>
      </c>
      <c r="C213" t="str">
        <f t="shared" si="9"/>
        <v>Mr.</v>
      </c>
      <c r="D213" t="str">
        <f t="shared" si="10"/>
        <v>Timothy V</v>
      </c>
      <c r="E213" t="str">
        <f t="shared" si="11"/>
        <v>Gavin</v>
      </c>
    </row>
    <row r="214" spans="1:5" ht="15.5" x14ac:dyDescent="0.35">
      <c r="A214" s="1" t="s">
        <v>2160</v>
      </c>
      <c r="B214" s="1" t="s">
        <v>2596</v>
      </c>
      <c r="C214" t="str">
        <f t="shared" si="9"/>
        <v>Mr.</v>
      </c>
      <c r="D214" t="str">
        <f t="shared" si="10"/>
        <v>Andrew S</v>
      </c>
      <c r="E214" t="str">
        <f t="shared" si="11"/>
        <v>Littlefield</v>
      </c>
    </row>
    <row r="215" spans="1:5" ht="15.5" x14ac:dyDescent="0.35">
      <c r="A215" s="1" t="s">
        <v>2159</v>
      </c>
      <c r="B215" s="1" t="s">
        <v>2597</v>
      </c>
      <c r="C215" t="str">
        <f t="shared" si="9"/>
        <v>Mr.</v>
      </c>
      <c r="D215" t="str">
        <f t="shared" si="10"/>
        <v>Matthew D</v>
      </c>
      <c r="E215" t="str">
        <f t="shared" si="11"/>
        <v>Shearer</v>
      </c>
    </row>
    <row r="216" spans="1:5" ht="15.5" x14ac:dyDescent="0.35">
      <c r="A216" s="1" t="s">
        <v>2158</v>
      </c>
      <c r="B216" s="1" t="s">
        <v>2598</v>
      </c>
      <c r="C216" t="str">
        <f t="shared" si="9"/>
        <v>Ms.</v>
      </c>
      <c r="D216" t="str">
        <f t="shared" si="10"/>
        <v>Jessica</v>
      </c>
      <c r="E216" t="str">
        <f t="shared" si="11"/>
        <v>Armstrong</v>
      </c>
    </row>
    <row r="217" spans="1:5" ht="15.5" x14ac:dyDescent="0.35">
      <c r="A217" s="1" t="s">
        <v>2157</v>
      </c>
      <c r="B217" s="1" t="s">
        <v>2599</v>
      </c>
      <c r="C217" t="str">
        <f t="shared" si="9"/>
        <v>Mr.</v>
      </c>
      <c r="D217" t="str">
        <f t="shared" si="10"/>
        <v>Lawrence</v>
      </c>
      <c r="E217" t="str">
        <f t="shared" si="11"/>
        <v>Warriner</v>
      </c>
    </row>
    <row r="218" spans="1:5" ht="15.5" x14ac:dyDescent="0.35">
      <c r="A218" s="1" t="s">
        <v>2156</v>
      </c>
      <c r="B218" s="1" t="s">
        <v>2600</v>
      </c>
      <c r="C218" t="str">
        <f t="shared" si="9"/>
        <v>Mr.</v>
      </c>
      <c r="D218" t="str">
        <f t="shared" si="10"/>
        <v>Alex</v>
      </c>
      <c r="E218" t="str">
        <f t="shared" si="11"/>
        <v>White</v>
      </c>
    </row>
    <row r="219" spans="1:5" ht="15.5" x14ac:dyDescent="0.35">
      <c r="A219" s="1" t="s">
        <v>2155</v>
      </c>
      <c r="B219" s="1" t="s">
        <v>2601</v>
      </c>
      <c r="C219" t="str">
        <f t="shared" si="9"/>
        <v>Mr.</v>
      </c>
      <c r="D219" t="str">
        <f t="shared" si="10"/>
        <v>Kevin</v>
      </c>
      <c r="E219" t="str">
        <f t="shared" si="11"/>
        <v>Cordaro</v>
      </c>
    </row>
    <row r="220" spans="1:5" ht="15.5" x14ac:dyDescent="0.35">
      <c r="A220" s="1" t="s">
        <v>2154</v>
      </c>
      <c r="B220" s="1" t="s">
        <v>2602</v>
      </c>
      <c r="C220" t="str">
        <f t="shared" si="9"/>
        <v>Mr.</v>
      </c>
      <c r="D220" t="str">
        <f t="shared" si="10"/>
        <v>Gavin M.</v>
      </c>
      <c r="E220" t="str">
        <f t="shared" si="11"/>
        <v>Hamilton</v>
      </c>
    </row>
    <row r="221" spans="1:5" ht="15.5" x14ac:dyDescent="0.35">
      <c r="A221" s="1" t="s">
        <v>2153</v>
      </c>
      <c r="B221" s="1" t="s">
        <v>2603</v>
      </c>
      <c r="C221" t="str">
        <f t="shared" si="9"/>
        <v>Mr.</v>
      </c>
      <c r="D221" t="str">
        <f t="shared" si="10"/>
        <v>Rick E</v>
      </c>
      <c r="E221" t="str">
        <f t="shared" si="11"/>
        <v>Meyer</v>
      </c>
    </row>
    <row r="222" spans="1:5" ht="15.5" x14ac:dyDescent="0.35">
      <c r="A222" s="1" t="s">
        <v>2152</v>
      </c>
      <c r="B222" s="1" t="s">
        <v>2604</v>
      </c>
      <c r="C222" t="str">
        <f t="shared" si="9"/>
        <v>Ms.</v>
      </c>
      <c r="D222" t="str">
        <f t="shared" si="10"/>
        <v>Andrea H.</v>
      </c>
      <c r="E222" t="str">
        <f t="shared" si="11"/>
        <v>Duke</v>
      </c>
    </row>
    <row r="223" spans="1:5" ht="15.5" x14ac:dyDescent="0.35">
      <c r="A223" s="1" t="s">
        <v>2151</v>
      </c>
      <c r="B223" s="1" t="s">
        <v>2605</v>
      </c>
      <c r="C223" t="str">
        <f t="shared" si="9"/>
        <v>Mr.</v>
      </c>
      <c r="D223" t="str">
        <f t="shared" si="10"/>
        <v>Anthony S</v>
      </c>
      <c r="E223" t="str">
        <f t="shared" si="11"/>
        <v>Malatesta</v>
      </c>
    </row>
    <row r="224" spans="1:5" ht="15.5" x14ac:dyDescent="0.35">
      <c r="A224" s="1" t="s">
        <v>2150</v>
      </c>
      <c r="B224" s="1" t="s">
        <v>2606</v>
      </c>
      <c r="C224" t="str">
        <f t="shared" si="9"/>
        <v>Mr.</v>
      </c>
      <c r="D224" t="str">
        <f t="shared" si="10"/>
        <v>Erik</v>
      </c>
      <c r="E224" t="str">
        <f t="shared" si="11"/>
        <v>Hinrichsen</v>
      </c>
    </row>
    <row r="225" spans="1:5" ht="15.5" x14ac:dyDescent="0.35">
      <c r="A225" s="1" t="s">
        <v>2149</v>
      </c>
      <c r="B225" s="1" t="s">
        <v>2607</v>
      </c>
      <c r="C225" t="str">
        <f t="shared" si="9"/>
        <v>Ms.</v>
      </c>
      <c r="D225" t="str">
        <f t="shared" si="10"/>
        <v>Kiley D</v>
      </c>
      <c r="E225" t="str">
        <f t="shared" si="11"/>
        <v>Lucan</v>
      </c>
    </row>
    <row r="226" spans="1:5" ht="15.5" x14ac:dyDescent="0.35">
      <c r="A226" s="1" t="s">
        <v>2148</v>
      </c>
      <c r="B226" s="1" t="s">
        <v>2608</v>
      </c>
      <c r="C226" t="str">
        <f t="shared" si="9"/>
        <v>Ms.</v>
      </c>
      <c r="D226" t="str">
        <f t="shared" si="10"/>
        <v>Jennifer</v>
      </c>
      <c r="E226" t="str">
        <f t="shared" si="11"/>
        <v>Koch</v>
      </c>
    </row>
    <row r="227" spans="1:5" ht="15.5" x14ac:dyDescent="0.35">
      <c r="A227" s="1" t="s">
        <v>2147</v>
      </c>
      <c r="B227" s="1" t="s">
        <v>2609</v>
      </c>
      <c r="C227" t="str">
        <f t="shared" si="9"/>
        <v>Mr.</v>
      </c>
      <c r="D227" t="str">
        <f t="shared" si="10"/>
        <v>Chris</v>
      </c>
      <c r="E227" t="str">
        <f t="shared" si="11"/>
        <v>Smith</v>
      </c>
    </row>
    <row r="228" spans="1:5" ht="15.5" x14ac:dyDescent="0.35">
      <c r="A228" s="1" t="s">
        <v>2146</v>
      </c>
      <c r="B228" s="1" t="s">
        <v>2610</v>
      </c>
      <c r="C228" t="str">
        <f t="shared" si="9"/>
        <v>Ms.</v>
      </c>
      <c r="D228" t="str">
        <f t="shared" si="10"/>
        <v>Marian M.</v>
      </c>
      <c r="E228" t="str">
        <f t="shared" si="11"/>
        <v>O'Connor</v>
      </c>
    </row>
    <row r="229" spans="1:5" ht="15.5" x14ac:dyDescent="0.35">
      <c r="A229" s="1" t="s">
        <v>2145</v>
      </c>
      <c r="B229" s="1" t="s">
        <v>2611</v>
      </c>
      <c r="C229" t="str">
        <f t="shared" si="9"/>
        <v>Mr.</v>
      </c>
      <c r="D229" t="str">
        <f t="shared" si="10"/>
        <v>Jeremy</v>
      </c>
      <c r="E229" t="str">
        <f t="shared" si="11"/>
        <v>Kampwerth</v>
      </c>
    </row>
    <row r="230" spans="1:5" ht="15.5" x14ac:dyDescent="0.35">
      <c r="A230" s="1" t="s">
        <v>2144</v>
      </c>
      <c r="B230" s="1" t="s">
        <v>2612</v>
      </c>
      <c r="C230" t="str">
        <f t="shared" si="9"/>
        <v>Ms.</v>
      </c>
      <c r="D230" t="str">
        <f t="shared" si="10"/>
        <v>Allison H</v>
      </c>
      <c r="E230" t="str">
        <f t="shared" si="11"/>
        <v>Federoff</v>
      </c>
    </row>
    <row r="231" spans="1:5" ht="15.5" x14ac:dyDescent="0.35">
      <c r="A231" s="1" t="s">
        <v>2143</v>
      </c>
      <c r="B231" s="1" t="s">
        <v>2613</v>
      </c>
      <c r="C231" t="str">
        <f t="shared" si="9"/>
        <v>Ms.</v>
      </c>
      <c r="D231" t="str">
        <f t="shared" si="10"/>
        <v>Elizabeth</v>
      </c>
      <c r="E231" t="str">
        <f t="shared" si="11"/>
        <v>Goya</v>
      </c>
    </row>
    <row r="232" spans="1:5" ht="15.5" x14ac:dyDescent="0.35">
      <c r="A232" s="1" t="s">
        <v>2142</v>
      </c>
      <c r="B232" s="1" t="s">
        <v>2614</v>
      </c>
      <c r="C232" t="str">
        <f t="shared" si="9"/>
        <v>Mr.</v>
      </c>
      <c r="D232" t="str">
        <f t="shared" si="10"/>
        <v>Andrew</v>
      </c>
      <c r="E232" t="str">
        <f t="shared" si="11"/>
        <v>Hodges</v>
      </c>
    </row>
    <row r="233" spans="1:5" ht="15.5" x14ac:dyDescent="0.35">
      <c r="A233" s="1" t="s">
        <v>2141</v>
      </c>
      <c r="B233" s="1" t="s">
        <v>2615</v>
      </c>
      <c r="C233" t="str">
        <f t="shared" si="9"/>
        <v>Mr.</v>
      </c>
      <c r="D233" t="str">
        <f t="shared" si="10"/>
        <v>Anders J</v>
      </c>
      <c r="E233" t="str">
        <f t="shared" si="11"/>
        <v>Erickson</v>
      </c>
    </row>
    <row r="234" spans="1:5" ht="15.5" x14ac:dyDescent="0.35">
      <c r="A234" s="1" t="s">
        <v>2140</v>
      </c>
      <c r="B234" s="1" t="s">
        <v>2616</v>
      </c>
      <c r="C234" t="str">
        <f t="shared" si="9"/>
        <v>Mr.</v>
      </c>
      <c r="D234" t="str">
        <f t="shared" si="10"/>
        <v>Sean</v>
      </c>
      <c r="E234" t="str">
        <f t="shared" si="11"/>
        <v>Welleck</v>
      </c>
    </row>
    <row r="235" spans="1:5" ht="15.5" x14ac:dyDescent="0.35">
      <c r="A235" s="1" t="s">
        <v>2139</v>
      </c>
      <c r="B235" s="1" t="s">
        <v>2617</v>
      </c>
      <c r="C235" t="str">
        <f t="shared" si="9"/>
        <v>Mr.</v>
      </c>
      <c r="D235" t="str">
        <f t="shared" si="10"/>
        <v>Brian M.</v>
      </c>
      <c r="E235" t="str">
        <f t="shared" si="11"/>
        <v>Polen</v>
      </c>
    </row>
    <row r="236" spans="1:5" ht="15.5" x14ac:dyDescent="0.35">
      <c r="A236" s="1" t="s">
        <v>2138</v>
      </c>
      <c r="B236" s="1" t="s">
        <v>2618</v>
      </c>
      <c r="C236" t="str">
        <f t="shared" si="9"/>
        <v>Mr.</v>
      </c>
      <c r="D236" t="str">
        <f t="shared" si="10"/>
        <v>Jeremy</v>
      </c>
      <c r="E236" t="str">
        <f t="shared" si="11"/>
        <v>Lynch</v>
      </c>
    </row>
    <row r="237" spans="1:5" ht="15.5" x14ac:dyDescent="0.35">
      <c r="A237" s="1" t="s">
        <v>2137</v>
      </c>
      <c r="B237" s="1" t="s">
        <v>2619</v>
      </c>
      <c r="C237" t="str">
        <f t="shared" si="9"/>
        <v>Ms.</v>
      </c>
      <c r="D237" t="str">
        <f t="shared" si="10"/>
        <v>Susannah</v>
      </c>
      <c r="E237" t="str">
        <f t="shared" si="11"/>
        <v>Hufstader</v>
      </c>
    </row>
    <row r="238" spans="1:5" ht="15.5" x14ac:dyDescent="0.35">
      <c r="A238" s="1" t="s">
        <v>2136</v>
      </c>
      <c r="B238" s="1" t="s">
        <v>2620</v>
      </c>
      <c r="C238" t="str">
        <f t="shared" si="9"/>
        <v>Mr.</v>
      </c>
      <c r="D238" t="str">
        <f t="shared" si="10"/>
        <v>Randy</v>
      </c>
      <c r="E238" t="str">
        <f t="shared" si="11"/>
        <v>Doak</v>
      </c>
    </row>
    <row r="239" spans="1:5" ht="15.5" x14ac:dyDescent="0.35">
      <c r="A239" s="1" t="s">
        <v>2135</v>
      </c>
      <c r="B239" s="1" t="s">
        <v>2621</v>
      </c>
      <c r="C239" t="str">
        <f t="shared" si="9"/>
        <v>Mr.</v>
      </c>
      <c r="D239" t="str">
        <f t="shared" si="10"/>
        <v>Leslie</v>
      </c>
      <c r="E239" t="str">
        <f t="shared" si="11"/>
        <v>Noya</v>
      </c>
    </row>
    <row r="240" spans="1:5" ht="15.5" x14ac:dyDescent="0.35">
      <c r="A240" s="1" t="s">
        <v>2134</v>
      </c>
      <c r="B240" s="1" t="s">
        <v>2622</v>
      </c>
      <c r="C240" t="str">
        <f t="shared" si="9"/>
        <v>Ms.</v>
      </c>
      <c r="D240" t="str">
        <f t="shared" si="10"/>
        <v>Brittany L.</v>
      </c>
      <c r="E240" t="str">
        <f t="shared" si="11"/>
        <v>Heninger</v>
      </c>
    </row>
    <row r="241" spans="1:5" ht="15.5" x14ac:dyDescent="0.35">
      <c r="A241" s="1" t="s">
        <v>2133</v>
      </c>
      <c r="B241" s="1" t="s">
        <v>2623</v>
      </c>
      <c r="C241" t="str">
        <f t="shared" si="9"/>
        <v>Ms.</v>
      </c>
      <c r="D241" t="str">
        <f t="shared" si="10"/>
        <v>Cassie J.</v>
      </c>
      <c r="E241" t="str">
        <f t="shared" si="11"/>
        <v>Richardson</v>
      </c>
    </row>
    <row r="242" spans="1:5" ht="15.5" x14ac:dyDescent="0.35">
      <c r="A242" s="1" t="s">
        <v>2132</v>
      </c>
      <c r="B242" s="1" t="s">
        <v>2624</v>
      </c>
      <c r="C242" t="str">
        <f t="shared" si="9"/>
        <v>Mr.</v>
      </c>
      <c r="D242" t="str">
        <f t="shared" si="10"/>
        <v>Peter W</v>
      </c>
      <c r="E242" t="str">
        <f t="shared" si="11"/>
        <v>Deucher</v>
      </c>
    </row>
    <row r="243" spans="1:5" ht="15.5" x14ac:dyDescent="0.35">
      <c r="A243" s="1" t="s">
        <v>2130</v>
      </c>
      <c r="B243" s="1" t="s">
        <v>2625</v>
      </c>
      <c r="C243" t="str">
        <f t="shared" si="9"/>
        <v>Mr.</v>
      </c>
      <c r="D243" t="str">
        <f t="shared" si="10"/>
        <v>Douglas</v>
      </c>
      <c r="E243" t="str">
        <f t="shared" si="11"/>
        <v>Wilson</v>
      </c>
    </row>
    <row r="244" spans="1:5" ht="15.5" x14ac:dyDescent="0.35">
      <c r="A244" s="1" t="s">
        <v>2129</v>
      </c>
      <c r="B244" s="1" t="s">
        <v>2626</v>
      </c>
      <c r="C244" t="str">
        <f t="shared" si="9"/>
        <v>Mr.</v>
      </c>
      <c r="D244" t="str">
        <f t="shared" si="10"/>
        <v>Dan</v>
      </c>
      <c r="E244" t="str">
        <f t="shared" si="11"/>
        <v>Hall</v>
      </c>
    </row>
    <row r="245" spans="1:5" ht="15.5" x14ac:dyDescent="0.35">
      <c r="A245" s="1" t="s">
        <v>2128</v>
      </c>
      <c r="B245" s="1" t="s">
        <v>2627</v>
      </c>
      <c r="C245" t="str">
        <f t="shared" si="9"/>
        <v>Mr.</v>
      </c>
      <c r="D245" t="str">
        <f t="shared" si="10"/>
        <v>Dan M.</v>
      </c>
      <c r="E245" t="str">
        <f t="shared" si="11"/>
        <v>Reed</v>
      </c>
    </row>
    <row r="246" spans="1:5" ht="15.5" x14ac:dyDescent="0.35">
      <c r="A246" s="1" t="s">
        <v>2127</v>
      </c>
      <c r="B246" s="1" t="s">
        <v>2628</v>
      </c>
      <c r="C246" t="str">
        <f t="shared" si="9"/>
        <v>Mr.</v>
      </c>
      <c r="D246" t="str">
        <f t="shared" si="10"/>
        <v>Eric L.</v>
      </c>
      <c r="E246" t="str">
        <f t="shared" si="11"/>
        <v>Frome</v>
      </c>
    </row>
    <row r="247" spans="1:5" ht="15.5" x14ac:dyDescent="0.35">
      <c r="A247" s="1" t="s">
        <v>2126</v>
      </c>
      <c r="B247" s="1" t="s">
        <v>2629</v>
      </c>
      <c r="C247" t="str">
        <f t="shared" si="9"/>
        <v>Mr.</v>
      </c>
      <c r="D247" t="str">
        <f t="shared" si="10"/>
        <v>Les J</v>
      </c>
      <c r="E247" t="str">
        <f t="shared" si="11"/>
        <v>Creasy</v>
      </c>
    </row>
    <row r="248" spans="1:5" ht="15.5" x14ac:dyDescent="0.35">
      <c r="A248" s="1" t="s">
        <v>2125</v>
      </c>
      <c r="B248" s="1" t="s">
        <v>2630</v>
      </c>
      <c r="C248" t="str">
        <f t="shared" si="9"/>
        <v>Ms.</v>
      </c>
      <c r="D248" t="str">
        <f t="shared" si="10"/>
        <v>Stephanie</v>
      </c>
      <c r="E248" t="str">
        <f t="shared" si="11"/>
        <v>Latimer</v>
      </c>
    </row>
    <row r="249" spans="1:5" ht="15.5" x14ac:dyDescent="0.35">
      <c r="A249" s="1" t="s">
        <v>2124</v>
      </c>
      <c r="B249" s="1" t="s">
        <v>2631</v>
      </c>
      <c r="C249" t="str">
        <f t="shared" si="9"/>
        <v>Ms.</v>
      </c>
      <c r="D249" t="str">
        <f t="shared" si="10"/>
        <v>Melissa Y</v>
      </c>
      <c r="E249" t="str">
        <f t="shared" si="11"/>
        <v>Wei</v>
      </c>
    </row>
    <row r="250" spans="1:5" ht="15.5" x14ac:dyDescent="0.35">
      <c r="A250" s="1" t="s">
        <v>2123</v>
      </c>
      <c r="B250" s="1" t="s">
        <v>2632</v>
      </c>
      <c r="C250" t="str">
        <f t="shared" si="9"/>
        <v>Ms.</v>
      </c>
      <c r="D250" t="str">
        <f t="shared" si="10"/>
        <v>Ashley</v>
      </c>
      <c r="E250" t="str">
        <f t="shared" si="11"/>
        <v>Hayes</v>
      </c>
    </row>
    <row r="251" spans="1:5" ht="15.5" x14ac:dyDescent="0.35">
      <c r="A251" s="1" t="s">
        <v>2122</v>
      </c>
      <c r="B251" s="1" t="s">
        <v>2633</v>
      </c>
      <c r="C251" t="str">
        <f t="shared" si="9"/>
        <v>Ms.</v>
      </c>
      <c r="D251" t="str">
        <f t="shared" si="10"/>
        <v>Stephanie M.</v>
      </c>
      <c r="E251" t="str">
        <f t="shared" si="11"/>
        <v>Velardo</v>
      </c>
    </row>
    <row r="252" spans="1:5" ht="15.5" x14ac:dyDescent="0.35">
      <c r="A252" s="1" t="s">
        <v>2121</v>
      </c>
      <c r="B252" s="1" t="s">
        <v>2634</v>
      </c>
      <c r="C252" t="str">
        <f t="shared" si="9"/>
        <v>Ms.</v>
      </c>
      <c r="D252" t="str">
        <f t="shared" si="10"/>
        <v>Kylie</v>
      </c>
      <c r="E252" t="str">
        <f t="shared" si="11"/>
        <v>Kastes</v>
      </c>
    </row>
    <row r="253" spans="1:5" ht="15.5" x14ac:dyDescent="0.35">
      <c r="A253" s="1" t="s">
        <v>2120</v>
      </c>
      <c r="B253" s="1" t="s">
        <v>2635</v>
      </c>
      <c r="C253" t="str">
        <f t="shared" si="9"/>
        <v>Ms.</v>
      </c>
      <c r="D253" t="str">
        <f t="shared" si="10"/>
        <v>Kelly</v>
      </c>
      <c r="E253" t="str">
        <f t="shared" si="11"/>
        <v>Escorcia</v>
      </c>
    </row>
    <row r="254" spans="1:5" ht="15.5" x14ac:dyDescent="0.35">
      <c r="A254" s="1" t="s">
        <v>2119</v>
      </c>
      <c r="B254" s="1" t="s">
        <v>2636</v>
      </c>
      <c r="C254" t="str">
        <f t="shared" si="9"/>
        <v>Ms.</v>
      </c>
      <c r="D254" t="str">
        <f t="shared" si="10"/>
        <v>Carrie</v>
      </c>
      <c r="E254" t="str">
        <f t="shared" si="11"/>
        <v>Larscheid</v>
      </c>
    </row>
    <row r="255" spans="1:5" ht="15.5" x14ac:dyDescent="0.35">
      <c r="A255" s="1" t="s">
        <v>2118</v>
      </c>
      <c r="B255" s="1" t="s">
        <v>2637</v>
      </c>
      <c r="C255" t="str">
        <f t="shared" si="9"/>
        <v>Mr.</v>
      </c>
      <c r="D255" t="str">
        <f t="shared" si="10"/>
        <v>Alex</v>
      </c>
      <c r="E255" t="str">
        <f t="shared" si="11"/>
        <v>O'Bannon</v>
      </c>
    </row>
    <row r="256" spans="1:5" ht="15.5" x14ac:dyDescent="0.35">
      <c r="A256" s="1" t="s">
        <v>2117</v>
      </c>
      <c r="B256" s="1" t="s">
        <v>2638</v>
      </c>
      <c r="C256" t="str">
        <f t="shared" si="9"/>
        <v>Mr.</v>
      </c>
      <c r="D256" t="str">
        <f t="shared" si="10"/>
        <v>Zach S</v>
      </c>
      <c r="E256" t="str">
        <f t="shared" si="11"/>
        <v>Ridgway</v>
      </c>
    </row>
    <row r="257" spans="1:5" ht="15.5" x14ac:dyDescent="0.35">
      <c r="A257" s="1" t="s">
        <v>2116</v>
      </c>
      <c r="B257" s="1" t="s">
        <v>2639</v>
      </c>
      <c r="C257" t="str">
        <f t="shared" si="9"/>
        <v>Mr.</v>
      </c>
      <c r="D257" t="str">
        <f t="shared" si="10"/>
        <v>Alan</v>
      </c>
      <c r="E257" t="str">
        <f t="shared" si="11"/>
        <v>Black</v>
      </c>
    </row>
    <row r="258" spans="1:5" ht="15.5" x14ac:dyDescent="0.35">
      <c r="A258" s="1" t="s">
        <v>2115</v>
      </c>
      <c r="B258" s="1" t="s">
        <v>2640</v>
      </c>
      <c r="C258" t="str">
        <f t="shared" si="9"/>
        <v>Mr.</v>
      </c>
      <c r="D258" t="str">
        <f t="shared" si="10"/>
        <v>Nate</v>
      </c>
      <c r="E258" t="str">
        <f t="shared" si="11"/>
        <v>Canton</v>
      </c>
    </row>
    <row r="259" spans="1:5" ht="15.5" x14ac:dyDescent="0.35">
      <c r="A259" s="1" t="s">
        <v>2114</v>
      </c>
      <c r="B259" s="1" t="s">
        <v>2641</v>
      </c>
      <c r="C259" t="str">
        <f t="shared" ref="C259:C322" si="12">TRIM(MID(B259,FIND(",",B259)+1,FIND(".",B259)-FIND(",",B259)))</f>
        <v>Mr.</v>
      </c>
      <c r="D259" t="str">
        <f t="shared" ref="D259:D322" si="13">TRIM(MID(B259,FIND(".",B259)+1,LEN(B259)))</f>
        <v>Jesse G.</v>
      </c>
      <c r="E259" t="str">
        <f t="shared" ref="E259:E322" si="14">TRIM(LEFT(B259,FIND(",",B259)-1))</f>
        <v>Fine</v>
      </c>
    </row>
    <row r="260" spans="1:5" ht="15.5" x14ac:dyDescent="0.35">
      <c r="A260" s="1" t="s">
        <v>2113</v>
      </c>
      <c r="B260" s="1" t="s">
        <v>2642</v>
      </c>
      <c r="C260" t="str">
        <f t="shared" si="12"/>
        <v>Mr.</v>
      </c>
      <c r="D260" t="str">
        <f t="shared" si="13"/>
        <v>Jason</v>
      </c>
      <c r="E260" t="str">
        <f t="shared" si="14"/>
        <v>Bui</v>
      </c>
    </row>
    <row r="261" spans="1:5" ht="15.5" x14ac:dyDescent="0.35">
      <c r="A261" s="1" t="s">
        <v>2112</v>
      </c>
      <c r="B261" s="1" t="s">
        <v>2643</v>
      </c>
      <c r="C261" t="str">
        <f t="shared" si="12"/>
        <v>Ms.</v>
      </c>
      <c r="D261" t="str">
        <f t="shared" si="13"/>
        <v>Megan A.</v>
      </c>
      <c r="E261" t="str">
        <f t="shared" si="14"/>
        <v>Riepma</v>
      </c>
    </row>
    <row r="262" spans="1:5" ht="15.5" x14ac:dyDescent="0.35">
      <c r="A262" s="1" t="s">
        <v>2111</v>
      </c>
      <c r="B262" s="1" t="s">
        <v>2644</v>
      </c>
      <c r="C262" t="str">
        <f t="shared" si="12"/>
        <v>Mr.</v>
      </c>
      <c r="D262" t="str">
        <f t="shared" si="13"/>
        <v>Luke M</v>
      </c>
      <c r="E262" t="str">
        <f t="shared" si="14"/>
        <v>Inman</v>
      </c>
    </row>
    <row r="263" spans="1:5" ht="15.5" x14ac:dyDescent="0.35">
      <c r="A263" s="1" t="s">
        <v>2110</v>
      </c>
      <c r="B263" s="1" t="s">
        <v>2645</v>
      </c>
      <c r="C263" t="str">
        <f t="shared" si="12"/>
        <v>Ms.</v>
      </c>
      <c r="D263" t="str">
        <f t="shared" si="13"/>
        <v>Jacy D</v>
      </c>
      <c r="E263" t="str">
        <f t="shared" si="14"/>
        <v>Kruzel</v>
      </c>
    </row>
    <row r="264" spans="1:5" ht="15.5" x14ac:dyDescent="0.35">
      <c r="A264" s="1" t="s">
        <v>2109</v>
      </c>
      <c r="B264" s="1" t="s">
        <v>2646</v>
      </c>
      <c r="C264" t="str">
        <f t="shared" si="12"/>
        <v>Mr.</v>
      </c>
      <c r="D264" t="str">
        <f t="shared" si="13"/>
        <v>Simon G.</v>
      </c>
      <c r="E264" t="str">
        <f t="shared" si="14"/>
        <v>Lindsay</v>
      </c>
    </row>
    <row r="265" spans="1:5" ht="15.5" x14ac:dyDescent="0.35">
      <c r="A265" s="1" t="s">
        <v>2108</v>
      </c>
      <c r="B265" s="1" t="s">
        <v>2647</v>
      </c>
      <c r="C265" t="str">
        <f t="shared" si="12"/>
        <v>Ms.</v>
      </c>
      <c r="D265" t="str">
        <f t="shared" si="13"/>
        <v>Ainsley E.</v>
      </c>
      <c r="E265" t="str">
        <f t="shared" si="14"/>
        <v>Land</v>
      </c>
    </row>
    <row r="266" spans="1:5" ht="15.5" x14ac:dyDescent="0.35">
      <c r="A266" s="1" t="s">
        <v>2107</v>
      </c>
      <c r="B266" s="1" t="s">
        <v>2648</v>
      </c>
      <c r="C266" t="str">
        <f t="shared" si="12"/>
        <v>Ms.</v>
      </c>
      <c r="D266" t="str">
        <f t="shared" si="13"/>
        <v>Erica A.</v>
      </c>
      <c r="E266" t="str">
        <f t="shared" si="14"/>
        <v>Brecher</v>
      </c>
    </row>
    <row r="267" spans="1:5" ht="15.5" x14ac:dyDescent="0.35">
      <c r="A267" s="1" t="s">
        <v>2106</v>
      </c>
      <c r="B267" s="1" t="s">
        <v>2649</v>
      </c>
      <c r="C267" t="str">
        <f t="shared" si="12"/>
        <v>Mr.</v>
      </c>
      <c r="D267" t="str">
        <f t="shared" si="13"/>
        <v>Erik</v>
      </c>
      <c r="E267" t="str">
        <f t="shared" si="14"/>
        <v>Debolt</v>
      </c>
    </row>
    <row r="268" spans="1:5" ht="15.5" x14ac:dyDescent="0.35">
      <c r="A268" s="1" t="s">
        <v>2105</v>
      </c>
      <c r="B268" s="1" t="s">
        <v>2650</v>
      </c>
      <c r="C268" t="str">
        <f t="shared" si="12"/>
        <v>Ms.</v>
      </c>
      <c r="D268" t="str">
        <f t="shared" si="13"/>
        <v>Erin C.</v>
      </c>
      <c r="E268" t="str">
        <f t="shared" si="14"/>
        <v>Oswalt</v>
      </c>
    </row>
    <row r="269" spans="1:5" ht="15.5" x14ac:dyDescent="0.35">
      <c r="A269" s="1" t="s">
        <v>2104</v>
      </c>
      <c r="B269" s="1" t="s">
        <v>2651</v>
      </c>
      <c r="C269" t="str">
        <f t="shared" si="12"/>
        <v>Ms.</v>
      </c>
      <c r="D269" t="str">
        <f t="shared" si="13"/>
        <v>Adrienne</v>
      </c>
      <c r="E269" t="str">
        <f t="shared" si="14"/>
        <v>Boyd</v>
      </c>
    </row>
    <row r="270" spans="1:5" ht="15.5" x14ac:dyDescent="0.35">
      <c r="A270" s="1" t="s">
        <v>2103</v>
      </c>
      <c r="B270" s="1" t="s">
        <v>2652</v>
      </c>
      <c r="C270" t="str">
        <f t="shared" si="12"/>
        <v>Mr.</v>
      </c>
      <c r="D270" t="str">
        <f t="shared" si="13"/>
        <v>Adam</v>
      </c>
      <c r="E270" t="str">
        <f t="shared" si="14"/>
        <v>Bulewich</v>
      </c>
    </row>
    <row r="271" spans="1:5" ht="15.5" x14ac:dyDescent="0.35">
      <c r="A271" s="1" t="s">
        <v>2102</v>
      </c>
      <c r="B271" s="1" t="s">
        <v>2653</v>
      </c>
      <c r="C271" t="str">
        <f t="shared" si="12"/>
        <v>Mr.</v>
      </c>
      <c r="D271" t="str">
        <f t="shared" si="13"/>
        <v>Yutaka</v>
      </c>
      <c r="E271" t="str">
        <f t="shared" si="14"/>
        <v>Fukuda</v>
      </c>
    </row>
    <row r="272" spans="1:5" ht="15.5" x14ac:dyDescent="0.35">
      <c r="A272" s="1" t="s">
        <v>2101</v>
      </c>
      <c r="B272" s="1" t="s">
        <v>2654</v>
      </c>
      <c r="C272" t="str">
        <f t="shared" si="12"/>
        <v>Mr.</v>
      </c>
      <c r="D272" t="str">
        <f t="shared" si="13"/>
        <v>Tyler M</v>
      </c>
      <c r="E272" t="str">
        <f t="shared" si="14"/>
        <v>Phillips</v>
      </c>
    </row>
    <row r="273" spans="1:5" ht="15.5" x14ac:dyDescent="0.35">
      <c r="A273" s="1" t="s">
        <v>2100</v>
      </c>
      <c r="B273" s="1" t="s">
        <v>2655</v>
      </c>
      <c r="C273" t="str">
        <f t="shared" si="12"/>
        <v>Mr.</v>
      </c>
      <c r="D273" t="str">
        <f t="shared" si="13"/>
        <v>Stephen</v>
      </c>
      <c r="E273" t="str">
        <f t="shared" si="14"/>
        <v>Maddison</v>
      </c>
    </row>
    <row r="274" spans="1:5" ht="15.5" x14ac:dyDescent="0.35">
      <c r="A274" s="1" t="s">
        <v>2099</v>
      </c>
      <c r="B274" s="1" t="s">
        <v>2656</v>
      </c>
      <c r="C274" t="str">
        <f t="shared" si="12"/>
        <v>Mr.</v>
      </c>
      <c r="D274" t="str">
        <f t="shared" si="13"/>
        <v>Andrew B.</v>
      </c>
      <c r="E274" t="str">
        <f t="shared" si="14"/>
        <v>Lockwood</v>
      </c>
    </row>
    <row r="275" spans="1:5" ht="15.5" x14ac:dyDescent="0.35">
      <c r="A275" s="1" t="s">
        <v>2098</v>
      </c>
      <c r="B275" s="1" t="s">
        <v>2657</v>
      </c>
      <c r="C275" t="str">
        <f t="shared" si="12"/>
        <v>Mr.</v>
      </c>
      <c r="D275" t="str">
        <f t="shared" si="13"/>
        <v>James</v>
      </c>
      <c r="E275" t="str">
        <f t="shared" si="14"/>
        <v>Defilippi</v>
      </c>
    </row>
    <row r="276" spans="1:5" ht="15.5" x14ac:dyDescent="0.35">
      <c r="A276" s="1" t="s">
        <v>2097</v>
      </c>
      <c r="B276" s="1" t="s">
        <v>2658</v>
      </c>
      <c r="C276" t="str">
        <f t="shared" si="12"/>
        <v>Mr.</v>
      </c>
      <c r="D276" t="str">
        <f t="shared" si="13"/>
        <v>Shawn P.</v>
      </c>
      <c r="E276" t="str">
        <f t="shared" si="14"/>
        <v>Jackson</v>
      </c>
    </row>
    <row r="277" spans="1:5" ht="15.5" x14ac:dyDescent="0.35">
      <c r="A277" s="1" t="s">
        <v>2096</v>
      </c>
      <c r="B277" s="1" t="s">
        <v>2659</v>
      </c>
      <c r="C277" t="str">
        <f t="shared" si="12"/>
        <v>Mr.</v>
      </c>
      <c r="D277" t="str">
        <f t="shared" si="13"/>
        <v>Matt</v>
      </c>
      <c r="E277" t="str">
        <f t="shared" si="14"/>
        <v>Ozahowski</v>
      </c>
    </row>
    <row r="278" spans="1:5" ht="15.5" x14ac:dyDescent="0.35">
      <c r="A278" s="1" t="s">
        <v>2095</v>
      </c>
      <c r="B278" s="1" t="s">
        <v>2660</v>
      </c>
      <c r="C278" t="str">
        <f t="shared" si="12"/>
        <v>Mr.</v>
      </c>
      <c r="D278" t="str">
        <f t="shared" si="13"/>
        <v>Nathaniel</v>
      </c>
      <c r="E278" t="str">
        <f t="shared" si="14"/>
        <v>Guthals</v>
      </c>
    </row>
    <row r="279" spans="1:5" ht="15.5" x14ac:dyDescent="0.35">
      <c r="A279" s="1" t="s">
        <v>2094</v>
      </c>
      <c r="B279" s="1" t="s">
        <v>2661</v>
      </c>
      <c r="C279" t="str">
        <f t="shared" si="12"/>
        <v>Mr.</v>
      </c>
      <c r="D279" t="str">
        <f t="shared" si="13"/>
        <v>Kevin D.</v>
      </c>
      <c r="E279" t="str">
        <f t="shared" si="14"/>
        <v>Yates</v>
      </c>
    </row>
    <row r="280" spans="1:5" ht="15.5" x14ac:dyDescent="0.35">
      <c r="A280" s="1" t="s">
        <v>2093</v>
      </c>
      <c r="B280" s="1" t="s">
        <v>2662</v>
      </c>
      <c r="C280" t="str">
        <f t="shared" si="12"/>
        <v>Ms.</v>
      </c>
      <c r="D280" t="str">
        <f t="shared" si="13"/>
        <v>Joan</v>
      </c>
      <c r="E280" t="str">
        <f t="shared" si="14"/>
        <v>Samuelson</v>
      </c>
    </row>
    <row r="281" spans="1:5" ht="15.5" x14ac:dyDescent="0.35">
      <c r="A281" s="1" t="s">
        <v>2092</v>
      </c>
      <c r="B281" s="1" t="s">
        <v>2663</v>
      </c>
      <c r="C281" t="str">
        <f t="shared" si="12"/>
        <v>Mr.</v>
      </c>
      <c r="D281" t="str">
        <f t="shared" si="13"/>
        <v>Christopher A</v>
      </c>
      <c r="E281" t="str">
        <f t="shared" si="14"/>
        <v>Lemos</v>
      </c>
    </row>
    <row r="282" spans="1:5" ht="15.5" x14ac:dyDescent="0.35">
      <c r="A282" s="1" t="s">
        <v>2091</v>
      </c>
      <c r="B282" s="1" t="s">
        <v>2664</v>
      </c>
      <c r="C282" t="str">
        <f t="shared" si="12"/>
        <v>Ms.</v>
      </c>
      <c r="D282" t="str">
        <f t="shared" si="13"/>
        <v>Kacy L.</v>
      </c>
      <c r="E282" t="str">
        <f t="shared" si="14"/>
        <v>Seynders</v>
      </c>
    </row>
    <row r="283" spans="1:5" ht="15.5" x14ac:dyDescent="0.35">
      <c r="A283" s="1" t="s">
        <v>2090</v>
      </c>
      <c r="B283" s="1" t="s">
        <v>2665</v>
      </c>
      <c r="C283" t="str">
        <f t="shared" si="12"/>
        <v>Mr.</v>
      </c>
      <c r="D283" t="str">
        <f t="shared" si="13"/>
        <v>Benjamin H.</v>
      </c>
      <c r="E283" t="str">
        <f t="shared" si="14"/>
        <v>Saunders</v>
      </c>
    </row>
    <row r="284" spans="1:5" ht="15.5" x14ac:dyDescent="0.35">
      <c r="A284" s="1" t="s">
        <v>2089</v>
      </c>
      <c r="B284" s="1" t="s">
        <v>2666</v>
      </c>
      <c r="C284" t="str">
        <f t="shared" si="12"/>
        <v>Mr.</v>
      </c>
      <c r="D284" t="str">
        <f t="shared" si="13"/>
        <v>Xaviour J.</v>
      </c>
      <c r="E284" t="str">
        <f t="shared" si="14"/>
        <v>Walker</v>
      </c>
    </row>
    <row r="285" spans="1:5" ht="15.5" x14ac:dyDescent="0.35">
      <c r="A285" s="1" t="s">
        <v>2088</v>
      </c>
      <c r="B285" s="1" t="s">
        <v>2667</v>
      </c>
      <c r="C285" t="str">
        <f t="shared" si="12"/>
        <v>Mr.</v>
      </c>
      <c r="D285" t="str">
        <f t="shared" si="13"/>
        <v>Michael T.</v>
      </c>
      <c r="E285" t="str">
        <f t="shared" si="14"/>
        <v>Lam</v>
      </c>
    </row>
    <row r="286" spans="1:5" ht="15.5" x14ac:dyDescent="0.35">
      <c r="A286" s="1" t="s">
        <v>2087</v>
      </c>
      <c r="B286" s="1" t="s">
        <v>2668</v>
      </c>
      <c r="C286" t="str">
        <f t="shared" si="12"/>
        <v>Mr.</v>
      </c>
      <c r="D286" t="str">
        <f t="shared" si="13"/>
        <v>Bradley</v>
      </c>
      <c r="E286" t="str">
        <f t="shared" si="14"/>
        <v>Sweigart</v>
      </c>
    </row>
    <row r="287" spans="1:5" ht="15.5" x14ac:dyDescent="0.35">
      <c r="A287" s="1" t="s">
        <v>2086</v>
      </c>
      <c r="B287" s="1" t="s">
        <v>2669</v>
      </c>
      <c r="C287" t="str">
        <f t="shared" si="12"/>
        <v>Ms.</v>
      </c>
      <c r="D287" t="str">
        <f t="shared" si="13"/>
        <v>Andrea</v>
      </c>
      <c r="E287" t="str">
        <f t="shared" si="14"/>
        <v>Sieczkowski</v>
      </c>
    </row>
    <row r="288" spans="1:5" ht="15.5" x14ac:dyDescent="0.35">
      <c r="A288" s="1" t="s">
        <v>2085</v>
      </c>
      <c r="B288" s="1" t="s">
        <v>2670</v>
      </c>
      <c r="C288" t="str">
        <f t="shared" si="12"/>
        <v>Ms.</v>
      </c>
      <c r="D288" t="str">
        <f t="shared" si="13"/>
        <v>Nancy M</v>
      </c>
      <c r="E288" t="str">
        <f t="shared" si="14"/>
        <v>Jurgens</v>
      </c>
    </row>
    <row r="289" spans="1:5" ht="15.5" x14ac:dyDescent="0.35">
      <c r="A289" s="1" t="s">
        <v>2084</v>
      </c>
      <c r="B289" s="1" t="s">
        <v>2671</v>
      </c>
      <c r="C289" t="str">
        <f t="shared" si="12"/>
        <v>Mr.</v>
      </c>
      <c r="D289" t="str">
        <f t="shared" si="13"/>
        <v>Matt</v>
      </c>
      <c r="E289" t="str">
        <f t="shared" si="14"/>
        <v>Hackman</v>
      </c>
    </row>
    <row r="290" spans="1:5" ht="15.5" x14ac:dyDescent="0.35">
      <c r="A290" s="1" t="s">
        <v>2083</v>
      </c>
      <c r="B290" s="1" t="s">
        <v>2672</v>
      </c>
      <c r="C290" t="str">
        <f t="shared" si="12"/>
        <v>Mr.</v>
      </c>
      <c r="D290" t="str">
        <f t="shared" si="13"/>
        <v>Lee</v>
      </c>
      <c r="E290" t="str">
        <f t="shared" si="14"/>
        <v>Klarich</v>
      </c>
    </row>
    <row r="291" spans="1:5" ht="15.5" x14ac:dyDescent="0.35">
      <c r="A291" s="1" t="s">
        <v>2082</v>
      </c>
      <c r="B291" s="1" t="s">
        <v>2673</v>
      </c>
      <c r="C291" t="str">
        <f t="shared" si="12"/>
        <v>Mr.</v>
      </c>
      <c r="D291" t="str">
        <f t="shared" si="13"/>
        <v>Chris</v>
      </c>
      <c r="E291" t="str">
        <f t="shared" si="14"/>
        <v>Schulten</v>
      </c>
    </row>
    <row r="292" spans="1:5" ht="15.5" x14ac:dyDescent="0.35">
      <c r="A292" s="1" t="s">
        <v>2081</v>
      </c>
      <c r="B292" s="1" t="s">
        <v>2674</v>
      </c>
      <c r="C292" t="str">
        <f t="shared" si="12"/>
        <v>Mr.</v>
      </c>
      <c r="D292" t="str">
        <f t="shared" si="13"/>
        <v>Erik T.</v>
      </c>
      <c r="E292" t="str">
        <f t="shared" si="14"/>
        <v>Fagerstrom</v>
      </c>
    </row>
    <row r="293" spans="1:5" ht="15.5" x14ac:dyDescent="0.35">
      <c r="A293" s="1" t="s">
        <v>2080</v>
      </c>
      <c r="B293" s="1" t="s">
        <v>2675</v>
      </c>
      <c r="C293" t="str">
        <f t="shared" si="12"/>
        <v>Mr.</v>
      </c>
      <c r="D293" t="str">
        <f t="shared" si="13"/>
        <v>Rod W</v>
      </c>
      <c r="E293" t="str">
        <f t="shared" si="14"/>
        <v>Bien</v>
      </c>
    </row>
    <row r="294" spans="1:5" ht="15.5" x14ac:dyDescent="0.35">
      <c r="A294" s="1" t="s">
        <v>2079</v>
      </c>
      <c r="B294" s="1" t="s">
        <v>2676</v>
      </c>
      <c r="C294" t="str">
        <f t="shared" si="12"/>
        <v>Mr.</v>
      </c>
      <c r="D294" t="str">
        <f t="shared" si="13"/>
        <v>Joey</v>
      </c>
      <c r="E294" t="str">
        <f t="shared" si="14"/>
        <v>Hess</v>
      </c>
    </row>
    <row r="295" spans="1:5" ht="15.5" x14ac:dyDescent="0.35">
      <c r="A295" s="1" t="s">
        <v>2078</v>
      </c>
      <c r="B295" s="1" t="s">
        <v>2677</v>
      </c>
      <c r="C295" t="str">
        <f t="shared" si="12"/>
        <v>Ms.</v>
      </c>
      <c r="D295" t="str">
        <f t="shared" si="13"/>
        <v>Hillary L.</v>
      </c>
      <c r="E295" t="str">
        <f t="shared" si="14"/>
        <v>Shaw</v>
      </c>
    </row>
    <row r="296" spans="1:5" ht="15.5" x14ac:dyDescent="0.35">
      <c r="A296" s="1" t="s">
        <v>2077</v>
      </c>
      <c r="B296" s="1" t="s">
        <v>2678</v>
      </c>
      <c r="C296" t="str">
        <f t="shared" si="12"/>
        <v>Mr.</v>
      </c>
      <c r="D296" t="str">
        <f t="shared" si="13"/>
        <v>Eric J</v>
      </c>
      <c r="E296" t="str">
        <f t="shared" si="14"/>
        <v>Williams</v>
      </c>
    </row>
    <row r="297" spans="1:5" ht="15.5" x14ac:dyDescent="0.35">
      <c r="A297" s="1" t="s">
        <v>2076</v>
      </c>
      <c r="B297" s="1" t="s">
        <v>2679</v>
      </c>
      <c r="C297" t="str">
        <f t="shared" si="12"/>
        <v>Mr.</v>
      </c>
      <c r="D297" t="str">
        <f t="shared" si="13"/>
        <v>Nicolas</v>
      </c>
      <c r="E297" t="str">
        <f t="shared" si="14"/>
        <v>Menzies</v>
      </c>
    </row>
    <row r="298" spans="1:5" ht="15.5" x14ac:dyDescent="0.35">
      <c r="A298" s="1" t="s">
        <v>2075</v>
      </c>
      <c r="B298" s="1" t="s">
        <v>2680</v>
      </c>
      <c r="C298" t="str">
        <f t="shared" si="12"/>
        <v>Mr.</v>
      </c>
      <c r="D298" t="str">
        <f t="shared" si="13"/>
        <v>Marcel</v>
      </c>
      <c r="E298" t="str">
        <f t="shared" si="14"/>
        <v>Buehler</v>
      </c>
    </row>
    <row r="299" spans="1:5" ht="15.5" x14ac:dyDescent="0.35">
      <c r="A299" s="1" t="s">
        <v>2074</v>
      </c>
      <c r="B299" s="1" t="s">
        <v>2681</v>
      </c>
      <c r="C299" t="str">
        <f t="shared" si="12"/>
        <v>Ms.</v>
      </c>
      <c r="D299" t="str">
        <f t="shared" si="13"/>
        <v>Ashley N</v>
      </c>
      <c r="E299" t="str">
        <f t="shared" si="14"/>
        <v>Degen</v>
      </c>
    </row>
    <row r="300" spans="1:5" ht="15.5" x14ac:dyDescent="0.35">
      <c r="A300" s="1" t="s">
        <v>2073</v>
      </c>
      <c r="B300" s="1" t="s">
        <v>2682</v>
      </c>
      <c r="C300" t="str">
        <f t="shared" si="12"/>
        <v>Mr.</v>
      </c>
      <c r="D300" t="str">
        <f t="shared" si="13"/>
        <v>Evan D</v>
      </c>
      <c r="E300" t="str">
        <f t="shared" si="14"/>
        <v>Arsenault</v>
      </c>
    </row>
    <row r="301" spans="1:5" ht="15.5" x14ac:dyDescent="0.35">
      <c r="A301" s="1" t="s">
        <v>2072</v>
      </c>
      <c r="B301" s="1" t="s">
        <v>2683</v>
      </c>
      <c r="C301" t="str">
        <f t="shared" si="12"/>
        <v>Ms.</v>
      </c>
      <c r="D301" t="str">
        <f t="shared" si="13"/>
        <v>Krisana</v>
      </c>
      <c r="E301" t="str">
        <f t="shared" si="14"/>
        <v>Hoff</v>
      </c>
    </row>
    <row r="302" spans="1:5" ht="15.5" x14ac:dyDescent="0.35">
      <c r="A302" s="1" t="s">
        <v>2071</v>
      </c>
      <c r="B302" s="1" t="s">
        <v>2684</v>
      </c>
      <c r="C302" t="str">
        <f t="shared" si="12"/>
        <v>Mr.</v>
      </c>
      <c r="D302" t="str">
        <f t="shared" si="13"/>
        <v>Kyle</v>
      </c>
      <c r="E302" t="str">
        <f t="shared" si="14"/>
        <v>Hall</v>
      </c>
    </row>
    <row r="303" spans="1:5" ht="15.5" x14ac:dyDescent="0.35">
      <c r="A303" s="1" t="s">
        <v>2070</v>
      </c>
      <c r="B303" s="1" t="s">
        <v>2685</v>
      </c>
      <c r="C303" t="str">
        <f t="shared" si="12"/>
        <v>Ms.</v>
      </c>
      <c r="D303" t="str">
        <f t="shared" si="13"/>
        <v>Kate</v>
      </c>
      <c r="E303" t="str">
        <f t="shared" si="14"/>
        <v>Ashley</v>
      </c>
    </row>
    <row r="304" spans="1:5" ht="15.5" x14ac:dyDescent="0.35">
      <c r="A304" s="1" t="s">
        <v>2069</v>
      </c>
      <c r="B304" s="1" t="s">
        <v>2686</v>
      </c>
      <c r="C304" t="str">
        <f t="shared" si="12"/>
        <v>Mr.</v>
      </c>
      <c r="D304" t="str">
        <f t="shared" si="13"/>
        <v>Martin A.</v>
      </c>
      <c r="E304" t="str">
        <f t="shared" si="14"/>
        <v>Rindahl</v>
      </c>
    </row>
    <row r="305" spans="1:5" ht="15.5" x14ac:dyDescent="0.35">
      <c r="A305" s="1" t="s">
        <v>2068</v>
      </c>
      <c r="B305" s="1" t="s">
        <v>2687</v>
      </c>
      <c r="C305" t="str">
        <f t="shared" si="12"/>
        <v>Ms.</v>
      </c>
      <c r="D305" t="str">
        <f t="shared" si="13"/>
        <v>Stacey</v>
      </c>
      <c r="E305" t="str">
        <f t="shared" si="14"/>
        <v>Clark</v>
      </c>
    </row>
    <row r="306" spans="1:5" ht="15.5" x14ac:dyDescent="0.35">
      <c r="A306" s="1" t="s">
        <v>2067</v>
      </c>
      <c r="B306" s="1" t="s">
        <v>2688</v>
      </c>
      <c r="C306" t="str">
        <f t="shared" si="12"/>
        <v>Ms.</v>
      </c>
      <c r="D306" t="str">
        <f t="shared" si="13"/>
        <v>Christine</v>
      </c>
      <c r="E306" t="str">
        <f t="shared" si="14"/>
        <v>Irish</v>
      </c>
    </row>
    <row r="307" spans="1:5" ht="15.5" x14ac:dyDescent="0.35">
      <c r="A307" s="1" t="s">
        <v>2066</v>
      </c>
      <c r="B307" s="1" t="s">
        <v>2689</v>
      </c>
      <c r="C307" t="str">
        <f t="shared" si="12"/>
        <v>Ms.</v>
      </c>
      <c r="D307" t="str">
        <f t="shared" si="13"/>
        <v>Sarah C.</v>
      </c>
      <c r="E307" t="str">
        <f t="shared" si="14"/>
        <v>Richardson</v>
      </c>
    </row>
    <row r="308" spans="1:5" ht="15.5" x14ac:dyDescent="0.35">
      <c r="A308" s="1" t="s">
        <v>2065</v>
      </c>
      <c r="B308" s="1" t="s">
        <v>2690</v>
      </c>
      <c r="C308" t="str">
        <f t="shared" si="12"/>
        <v>Ms.</v>
      </c>
      <c r="D308" t="str">
        <f t="shared" si="13"/>
        <v>Megan</v>
      </c>
      <c r="E308" t="str">
        <f t="shared" si="14"/>
        <v>Dewitt</v>
      </c>
    </row>
    <row r="309" spans="1:5" ht="15.5" x14ac:dyDescent="0.35">
      <c r="A309" s="1" t="s">
        <v>2064</v>
      </c>
      <c r="B309" s="1" t="s">
        <v>2691</v>
      </c>
      <c r="C309" t="str">
        <f t="shared" si="12"/>
        <v>Mr.</v>
      </c>
      <c r="D309" t="str">
        <f t="shared" si="13"/>
        <v>Jason W</v>
      </c>
      <c r="E309" t="str">
        <f t="shared" si="14"/>
        <v>Hickman</v>
      </c>
    </row>
    <row r="310" spans="1:5" ht="15.5" x14ac:dyDescent="0.35">
      <c r="A310" s="1" t="s">
        <v>2063</v>
      </c>
      <c r="B310" s="1" t="s">
        <v>2692</v>
      </c>
      <c r="C310" t="str">
        <f t="shared" si="12"/>
        <v>Ms.</v>
      </c>
      <c r="D310" t="str">
        <f t="shared" si="13"/>
        <v>Michele</v>
      </c>
      <c r="E310" t="str">
        <f t="shared" si="14"/>
        <v>Gonzalez</v>
      </c>
    </row>
    <row r="311" spans="1:5" ht="15.5" x14ac:dyDescent="0.35">
      <c r="A311" s="1" t="s">
        <v>2062</v>
      </c>
      <c r="B311" s="1" t="s">
        <v>2693</v>
      </c>
      <c r="C311" t="str">
        <f t="shared" si="12"/>
        <v>Ms.</v>
      </c>
      <c r="D311" t="str">
        <f t="shared" si="13"/>
        <v>Nikki</v>
      </c>
      <c r="E311" t="str">
        <f t="shared" si="14"/>
        <v>Difani</v>
      </c>
    </row>
    <row r="312" spans="1:5" ht="15.5" x14ac:dyDescent="0.35">
      <c r="A312" s="1" t="s">
        <v>2061</v>
      </c>
      <c r="B312" s="1" t="s">
        <v>2694</v>
      </c>
      <c r="C312" t="str">
        <f t="shared" si="12"/>
        <v>Mr.</v>
      </c>
      <c r="D312" t="str">
        <f t="shared" si="13"/>
        <v>Philip J.</v>
      </c>
      <c r="E312" t="str">
        <f t="shared" si="14"/>
        <v>Turner</v>
      </c>
    </row>
    <row r="313" spans="1:5" ht="15.5" x14ac:dyDescent="0.35">
      <c r="A313" s="1" t="s">
        <v>2060</v>
      </c>
      <c r="B313" s="1" t="s">
        <v>2695</v>
      </c>
      <c r="C313" t="str">
        <f t="shared" si="12"/>
        <v>Mr.</v>
      </c>
      <c r="D313" t="str">
        <f t="shared" si="13"/>
        <v>Bryan L</v>
      </c>
      <c r="E313" t="str">
        <f t="shared" si="14"/>
        <v>Widmann</v>
      </c>
    </row>
    <row r="314" spans="1:5" ht="15.5" x14ac:dyDescent="0.35">
      <c r="A314" s="1" t="s">
        <v>2059</v>
      </c>
      <c r="B314" s="1" t="s">
        <v>2696</v>
      </c>
      <c r="C314" t="str">
        <f t="shared" si="12"/>
        <v>Mr.</v>
      </c>
      <c r="D314" t="str">
        <f t="shared" si="13"/>
        <v>Timothy F</v>
      </c>
      <c r="E314" t="str">
        <f t="shared" si="14"/>
        <v>Tunney</v>
      </c>
    </row>
    <row r="315" spans="1:5" ht="15.5" x14ac:dyDescent="0.35">
      <c r="A315" s="1" t="s">
        <v>2058</v>
      </c>
      <c r="B315" s="1" t="s">
        <v>2697</v>
      </c>
      <c r="C315" t="str">
        <f t="shared" si="12"/>
        <v>Ms.</v>
      </c>
      <c r="D315" t="str">
        <f t="shared" si="13"/>
        <v>Angielyn M</v>
      </c>
      <c r="E315" t="str">
        <f t="shared" si="14"/>
        <v>San Juan</v>
      </c>
    </row>
    <row r="316" spans="1:5" ht="15.5" x14ac:dyDescent="0.35">
      <c r="A316" s="1" t="s">
        <v>2057</v>
      </c>
      <c r="B316" s="1" t="s">
        <v>2698</v>
      </c>
      <c r="C316" t="str">
        <f t="shared" si="12"/>
        <v>Ms.</v>
      </c>
      <c r="D316" t="str">
        <f t="shared" si="13"/>
        <v>Jeanie M.</v>
      </c>
      <c r="E316" t="str">
        <f t="shared" si="14"/>
        <v>Croll</v>
      </c>
    </row>
    <row r="317" spans="1:5" ht="15.5" x14ac:dyDescent="0.35">
      <c r="A317" s="1" t="s">
        <v>2056</v>
      </c>
      <c r="B317" s="1" t="s">
        <v>2699</v>
      </c>
      <c r="C317" t="str">
        <f t="shared" si="12"/>
        <v>Mr.</v>
      </c>
      <c r="D317" t="str">
        <f t="shared" si="13"/>
        <v>Greg</v>
      </c>
      <c r="E317" t="str">
        <f t="shared" si="14"/>
        <v>Rolfes</v>
      </c>
    </row>
    <row r="318" spans="1:5" ht="15.5" x14ac:dyDescent="0.35">
      <c r="A318" s="1" t="s">
        <v>2055</v>
      </c>
      <c r="B318" s="1" t="s">
        <v>2700</v>
      </c>
      <c r="C318" t="str">
        <f t="shared" si="12"/>
        <v>Mr.</v>
      </c>
      <c r="D318" t="str">
        <f t="shared" si="13"/>
        <v>John</v>
      </c>
      <c r="E318" t="str">
        <f t="shared" si="14"/>
        <v>Hinkle</v>
      </c>
    </row>
    <row r="319" spans="1:5" ht="15.5" x14ac:dyDescent="0.35">
      <c r="A319" s="1" t="s">
        <v>2054</v>
      </c>
      <c r="B319" s="1" t="s">
        <v>2701</v>
      </c>
      <c r="C319" t="str">
        <f t="shared" si="12"/>
        <v>Mr.</v>
      </c>
      <c r="D319" t="str">
        <f t="shared" si="13"/>
        <v>Aliaksandr</v>
      </c>
      <c r="E319" t="str">
        <f t="shared" si="14"/>
        <v>Leuchanka</v>
      </c>
    </row>
    <row r="320" spans="1:5" ht="15.5" x14ac:dyDescent="0.35">
      <c r="A320" s="1" t="s">
        <v>2053</v>
      </c>
      <c r="B320" s="1" t="s">
        <v>2702</v>
      </c>
      <c r="C320" t="str">
        <f t="shared" si="12"/>
        <v>Mr.</v>
      </c>
      <c r="D320" t="str">
        <f t="shared" si="13"/>
        <v>Jason M.</v>
      </c>
      <c r="E320" t="str">
        <f t="shared" si="14"/>
        <v>Ayr</v>
      </c>
    </row>
    <row r="321" spans="1:5" ht="15.5" x14ac:dyDescent="0.35">
      <c r="A321" s="1" t="s">
        <v>2052</v>
      </c>
      <c r="B321" s="1" t="s">
        <v>2703</v>
      </c>
      <c r="C321" t="str">
        <f t="shared" si="12"/>
        <v>Ms.</v>
      </c>
      <c r="D321" t="str">
        <f t="shared" si="13"/>
        <v>Sheera K</v>
      </c>
      <c r="E321" t="str">
        <f t="shared" si="14"/>
        <v>Siegel</v>
      </c>
    </row>
    <row r="322" spans="1:5" ht="15.5" x14ac:dyDescent="0.35">
      <c r="A322" s="1" t="s">
        <v>2051</v>
      </c>
      <c r="B322" s="1" t="s">
        <v>2704</v>
      </c>
      <c r="C322" t="str">
        <f t="shared" si="12"/>
        <v>Ms.</v>
      </c>
      <c r="D322" t="str">
        <f t="shared" si="13"/>
        <v>Janice</v>
      </c>
      <c r="E322" t="str">
        <f t="shared" si="14"/>
        <v>Penrose</v>
      </c>
    </row>
    <row r="323" spans="1:5" ht="15.5" x14ac:dyDescent="0.35">
      <c r="A323" s="1" t="s">
        <v>2050</v>
      </c>
      <c r="B323" s="1" t="s">
        <v>2705</v>
      </c>
      <c r="C323" t="str">
        <f t="shared" ref="C323:C386" si="15">TRIM(MID(B323,FIND(",",B323)+1,FIND(".",B323)-FIND(",",B323)))</f>
        <v>Mr.</v>
      </c>
      <c r="D323" t="str">
        <f t="shared" ref="D323:D386" si="16">TRIM(MID(B323,FIND(".",B323)+1,LEN(B323)))</f>
        <v>Timothy G.</v>
      </c>
      <c r="E323" t="str">
        <f t="shared" ref="E323:E386" si="17">TRIM(LEFT(B323,FIND(",",B323)-1))</f>
        <v>Schuler</v>
      </c>
    </row>
    <row r="324" spans="1:5" ht="15.5" x14ac:dyDescent="0.35">
      <c r="A324" s="1" t="s">
        <v>2049</v>
      </c>
      <c r="B324" s="1" t="s">
        <v>2706</v>
      </c>
      <c r="C324" t="str">
        <f t="shared" si="15"/>
        <v>Mr.</v>
      </c>
      <c r="D324" t="str">
        <f t="shared" si="16"/>
        <v>Alan R</v>
      </c>
      <c r="E324" t="str">
        <f t="shared" si="17"/>
        <v>Walker</v>
      </c>
    </row>
    <row r="325" spans="1:5" ht="15.5" x14ac:dyDescent="0.35">
      <c r="A325" s="1" t="s">
        <v>2048</v>
      </c>
      <c r="B325" s="1" t="s">
        <v>2707</v>
      </c>
      <c r="C325" t="str">
        <f t="shared" si="15"/>
        <v>Mr.</v>
      </c>
      <c r="D325" t="str">
        <f t="shared" si="16"/>
        <v>Michael</v>
      </c>
      <c r="E325" t="str">
        <f t="shared" si="17"/>
        <v>Stange</v>
      </c>
    </row>
    <row r="326" spans="1:5" ht="15.5" x14ac:dyDescent="0.35">
      <c r="A326" s="1" t="s">
        <v>2047</v>
      </c>
      <c r="B326" s="1" t="s">
        <v>2708</v>
      </c>
      <c r="C326" t="str">
        <f t="shared" si="15"/>
        <v>Ms.</v>
      </c>
      <c r="D326" t="str">
        <f t="shared" si="16"/>
        <v>Marie-France</v>
      </c>
      <c r="E326" t="str">
        <f t="shared" si="17"/>
        <v>Roy</v>
      </c>
    </row>
    <row r="327" spans="1:5" ht="15.5" x14ac:dyDescent="0.35">
      <c r="A327" s="1" t="s">
        <v>2046</v>
      </c>
      <c r="B327" s="1" t="s">
        <v>2709</v>
      </c>
      <c r="C327" t="str">
        <f t="shared" si="15"/>
        <v>Mr.</v>
      </c>
      <c r="D327" t="str">
        <f t="shared" si="16"/>
        <v>Erik F.</v>
      </c>
      <c r="E327" t="str">
        <f t="shared" si="17"/>
        <v>Potere</v>
      </c>
    </row>
    <row r="328" spans="1:5" ht="15.5" x14ac:dyDescent="0.35">
      <c r="A328" s="1" t="s">
        <v>2045</v>
      </c>
      <c r="B328" s="1" t="s">
        <v>2710</v>
      </c>
      <c r="C328" t="str">
        <f t="shared" si="15"/>
        <v>Mr.</v>
      </c>
      <c r="D328" t="str">
        <f t="shared" si="16"/>
        <v>Andrew</v>
      </c>
      <c r="E328" t="str">
        <f t="shared" si="17"/>
        <v>Podgurski</v>
      </c>
    </row>
    <row r="329" spans="1:5" ht="15.5" x14ac:dyDescent="0.35">
      <c r="A329" s="1" t="s">
        <v>2044</v>
      </c>
      <c r="B329" s="1" t="s">
        <v>2711</v>
      </c>
      <c r="C329" t="str">
        <f t="shared" si="15"/>
        <v>Mr.</v>
      </c>
      <c r="D329" t="str">
        <f t="shared" si="16"/>
        <v>Anthony</v>
      </c>
      <c r="E329" t="str">
        <f t="shared" si="17"/>
        <v>Diamond</v>
      </c>
    </row>
    <row r="330" spans="1:5" ht="15.5" x14ac:dyDescent="0.35">
      <c r="A330" s="1" t="s">
        <v>2043</v>
      </c>
      <c r="B330" s="1" t="s">
        <v>2712</v>
      </c>
      <c r="C330" t="str">
        <f t="shared" si="15"/>
        <v>Mr.</v>
      </c>
      <c r="D330" t="str">
        <f t="shared" si="16"/>
        <v>Chris</v>
      </c>
      <c r="E330" t="str">
        <f t="shared" si="17"/>
        <v>Sallade</v>
      </c>
    </row>
    <row r="331" spans="1:5" ht="15.5" x14ac:dyDescent="0.35">
      <c r="A331" s="1" t="s">
        <v>2042</v>
      </c>
      <c r="B331" s="1" t="s">
        <v>2713</v>
      </c>
      <c r="C331" t="str">
        <f t="shared" si="15"/>
        <v>Mr.</v>
      </c>
      <c r="D331" t="str">
        <f t="shared" si="16"/>
        <v>Yu</v>
      </c>
      <c r="E331" t="str">
        <f t="shared" si="17"/>
        <v>Zhang</v>
      </c>
    </row>
    <row r="332" spans="1:5" ht="15.5" x14ac:dyDescent="0.35">
      <c r="A332" s="1" t="s">
        <v>2041</v>
      </c>
      <c r="B332" s="1" t="s">
        <v>2714</v>
      </c>
      <c r="C332" t="str">
        <f t="shared" si="15"/>
        <v>Mr.</v>
      </c>
      <c r="D332" t="str">
        <f t="shared" si="16"/>
        <v>Caleb N</v>
      </c>
      <c r="E332" t="str">
        <f t="shared" si="17"/>
        <v>Chatfield</v>
      </c>
    </row>
    <row r="333" spans="1:5" ht="15.5" x14ac:dyDescent="0.35">
      <c r="A333" s="1" t="s">
        <v>2040</v>
      </c>
      <c r="B333" s="1" t="s">
        <v>2715</v>
      </c>
      <c r="C333" t="str">
        <f t="shared" si="15"/>
        <v>Mr.</v>
      </c>
      <c r="D333" t="str">
        <f t="shared" si="16"/>
        <v>Jason M.</v>
      </c>
      <c r="E333" t="str">
        <f t="shared" si="17"/>
        <v>Bruns</v>
      </c>
    </row>
    <row r="334" spans="1:5" ht="15.5" x14ac:dyDescent="0.35">
      <c r="A334" s="1" t="s">
        <v>2039</v>
      </c>
      <c r="B334" s="1" t="s">
        <v>2716</v>
      </c>
      <c r="C334" t="str">
        <f t="shared" si="15"/>
        <v>Ms.</v>
      </c>
      <c r="D334" t="str">
        <f t="shared" si="16"/>
        <v>Angela R</v>
      </c>
      <c r="E334" t="str">
        <f t="shared" si="17"/>
        <v>Yochum</v>
      </c>
    </row>
    <row r="335" spans="1:5" ht="15.5" x14ac:dyDescent="0.35">
      <c r="A335" s="1" t="s">
        <v>2038</v>
      </c>
      <c r="B335" s="1" t="s">
        <v>2717</v>
      </c>
      <c r="C335" t="str">
        <f t="shared" si="15"/>
        <v>Mr.</v>
      </c>
      <c r="D335" t="str">
        <f t="shared" si="16"/>
        <v>Keith J</v>
      </c>
      <c r="E335" t="str">
        <f t="shared" si="17"/>
        <v>Freeburn</v>
      </c>
    </row>
    <row r="336" spans="1:5" ht="15.5" x14ac:dyDescent="0.35">
      <c r="A336" s="1" t="s">
        <v>2037</v>
      </c>
      <c r="B336" s="1" t="s">
        <v>2718</v>
      </c>
      <c r="C336" t="str">
        <f t="shared" si="15"/>
        <v>Ms.</v>
      </c>
      <c r="D336" t="str">
        <f t="shared" si="16"/>
        <v>Emma</v>
      </c>
      <c r="E336" t="str">
        <f t="shared" si="17"/>
        <v>Spencer</v>
      </c>
    </row>
    <row r="337" spans="1:5" ht="15.5" x14ac:dyDescent="0.35">
      <c r="A337" s="1" t="s">
        <v>2036</v>
      </c>
      <c r="B337" s="1" t="s">
        <v>2719</v>
      </c>
      <c r="C337" t="str">
        <f t="shared" si="15"/>
        <v>Mr.</v>
      </c>
      <c r="D337" t="str">
        <f t="shared" si="16"/>
        <v>Nathan A</v>
      </c>
      <c r="E337" t="str">
        <f t="shared" si="17"/>
        <v>Jarosik</v>
      </c>
    </row>
    <row r="338" spans="1:5" ht="15.5" x14ac:dyDescent="0.35">
      <c r="A338" s="1" t="s">
        <v>2035</v>
      </c>
      <c r="B338" s="1" t="s">
        <v>2720</v>
      </c>
      <c r="C338" t="str">
        <f t="shared" si="15"/>
        <v>Ms.</v>
      </c>
      <c r="D338" t="str">
        <f t="shared" si="16"/>
        <v>Kathryn</v>
      </c>
      <c r="E338" t="str">
        <f t="shared" si="17"/>
        <v>Heinzen</v>
      </c>
    </row>
    <row r="339" spans="1:5" ht="15.5" x14ac:dyDescent="0.35">
      <c r="A339" s="1" t="s">
        <v>2034</v>
      </c>
      <c r="B339" s="1" t="s">
        <v>2721</v>
      </c>
      <c r="C339" t="str">
        <f t="shared" si="15"/>
        <v>Ms.</v>
      </c>
      <c r="D339" t="str">
        <f t="shared" si="16"/>
        <v>Elizabeth H.</v>
      </c>
      <c r="E339" t="str">
        <f t="shared" si="17"/>
        <v>Kelley</v>
      </c>
    </row>
    <row r="340" spans="1:5" ht="15.5" x14ac:dyDescent="0.35">
      <c r="A340" s="1" t="s">
        <v>2033</v>
      </c>
      <c r="B340" s="1" t="s">
        <v>2722</v>
      </c>
      <c r="C340" t="str">
        <f t="shared" si="15"/>
        <v>Mr.</v>
      </c>
      <c r="D340" t="str">
        <f t="shared" si="16"/>
        <v>Ben</v>
      </c>
      <c r="E340" t="str">
        <f t="shared" si="17"/>
        <v>Thacker</v>
      </c>
    </row>
    <row r="341" spans="1:5" ht="15.5" x14ac:dyDescent="0.35">
      <c r="A341" s="1" t="s">
        <v>2032</v>
      </c>
      <c r="B341" s="1" t="s">
        <v>2723</v>
      </c>
      <c r="C341" t="str">
        <f t="shared" si="15"/>
        <v>Ms.</v>
      </c>
      <c r="D341" t="str">
        <f t="shared" si="16"/>
        <v>Cheryl A</v>
      </c>
      <c r="E341" t="str">
        <f t="shared" si="17"/>
        <v>Jeseritz</v>
      </c>
    </row>
    <row r="342" spans="1:5" ht="15.5" x14ac:dyDescent="0.35">
      <c r="A342" s="1" t="s">
        <v>2031</v>
      </c>
      <c r="B342" s="1" t="s">
        <v>2724</v>
      </c>
      <c r="C342" t="str">
        <f t="shared" si="15"/>
        <v>Ms.</v>
      </c>
      <c r="D342" t="str">
        <f t="shared" si="16"/>
        <v>Kimberly A</v>
      </c>
      <c r="E342" t="str">
        <f t="shared" si="17"/>
        <v>Hohman</v>
      </c>
    </row>
    <row r="343" spans="1:5" ht="15.5" x14ac:dyDescent="0.35">
      <c r="A343" s="1" t="s">
        <v>2030</v>
      </c>
      <c r="B343" s="1" t="s">
        <v>2725</v>
      </c>
      <c r="C343" t="str">
        <f t="shared" si="15"/>
        <v>Ms.</v>
      </c>
      <c r="D343" t="str">
        <f t="shared" si="16"/>
        <v>Cynthia</v>
      </c>
      <c r="E343" t="str">
        <f t="shared" si="17"/>
        <v>Hill</v>
      </c>
    </row>
    <row r="344" spans="1:5" ht="15.5" x14ac:dyDescent="0.35">
      <c r="A344" s="1" t="s">
        <v>2029</v>
      </c>
      <c r="B344" s="1" t="s">
        <v>2726</v>
      </c>
      <c r="C344" t="str">
        <f t="shared" si="15"/>
        <v>Ms.</v>
      </c>
      <c r="D344" t="str">
        <f t="shared" si="16"/>
        <v>Jessica</v>
      </c>
      <c r="E344" t="str">
        <f t="shared" si="17"/>
        <v>Kuepfer</v>
      </c>
    </row>
    <row r="345" spans="1:5" ht="15.5" x14ac:dyDescent="0.35">
      <c r="A345" s="1" t="s">
        <v>2028</v>
      </c>
      <c r="B345" s="1" t="s">
        <v>2727</v>
      </c>
      <c r="C345" t="str">
        <f t="shared" si="15"/>
        <v>Mr.</v>
      </c>
      <c r="D345" t="str">
        <f t="shared" si="16"/>
        <v>Bruce</v>
      </c>
      <c r="E345" t="str">
        <f t="shared" si="17"/>
        <v>Kaczmarek</v>
      </c>
    </row>
    <row r="346" spans="1:5" ht="15.5" x14ac:dyDescent="0.35">
      <c r="A346" s="1" t="s">
        <v>2027</v>
      </c>
      <c r="B346" s="1" t="s">
        <v>2728</v>
      </c>
      <c r="C346" t="str">
        <f t="shared" si="15"/>
        <v>Ms.</v>
      </c>
      <c r="D346" t="str">
        <f t="shared" si="16"/>
        <v>Allison</v>
      </c>
      <c r="E346" t="str">
        <f t="shared" si="17"/>
        <v>Pitt</v>
      </c>
    </row>
    <row r="347" spans="1:5" ht="15.5" x14ac:dyDescent="0.35">
      <c r="A347" s="1" t="s">
        <v>2026</v>
      </c>
      <c r="B347" s="1" t="s">
        <v>2729</v>
      </c>
      <c r="C347" t="str">
        <f t="shared" si="15"/>
        <v>Mr.</v>
      </c>
      <c r="D347" t="str">
        <f t="shared" si="16"/>
        <v>Alex</v>
      </c>
      <c r="E347" t="str">
        <f t="shared" si="17"/>
        <v>Lorton</v>
      </c>
    </row>
    <row r="348" spans="1:5" ht="15.5" x14ac:dyDescent="0.35">
      <c r="A348" s="1" t="s">
        <v>2025</v>
      </c>
      <c r="B348" s="1" t="s">
        <v>2730</v>
      </c>
      <c r="C348" t="str">
        <f t="shared" si="15"/>
        <v>Ms.</v>
      </c>
      <c r="D348" t="str">
        <f t="shared" si="16"/>
        <v>Gabriela</v>
      </c>
      <c r="E348" t="str">
        <f t="shared" si="17"/>
        <v>Castaneda</v>
      </c>
    </row>
    <row r="349" spans="1:5" ht="15.5" x14ac:dyDescent="0.35">
      <c r="A349" s="1" t="s">
        <v>2024</v>
      </c>
      <c r="B349" s="1" t="s">
        <v>2731</v>
      </c>
      <c r="C349" t="str">
        <f t="shared" si="15"/>
        <v>Ms.</v>
      </c>
      <c r="D349" t="str">
        <f t="shared" si="16"/>
        <v>Sharon</v>
      </c>
      <c r="E349" t="str">
        <f t="shared" si="17"/>
        <v>Cherop</v>
      </c>
    </row>
    <row r="350" spans="1:5" ht="15.5" x14ac:dyDescent="0.35">
      <c r="A350" s="1" t="s">
        <v>2023</v>
      </c>
      <c r="B350" s="1" t="s">
        <v>2732</v>
      </c>
      <c r="C350" t="str">
        <f t="shared" si="15"/>
        <v>Mr.</v>
      </c>
      <c r="D350" t="str">
        <f t="shared" si="16"/>
        <v>Jason A</v>
      </c>
      <c r="E350" t="str">
        <f t="shared" si="17"/>
        <v>Howell</v>
      </c>
    </row>
    <row r="351" spans="1:5" ht="15.5" x14ac:dyDescent="0.35">
      <c r="A351" s="1" t="s">
        <v>2022</v>
      </c>
      <c r="B351" s="1" t="s">
        <v>2733</v>
      </c>
      <c r="C351" t="str">
        <f t="shared" si="15"/>
        <v>Ms.</v>
      </c>
      <c r="D351" t="str">
        <f t="shared" si="16"/>
        <v>Chelsey C.</v>
      </c>
      <c r="E351" t="str">
        <f t="shared" si="17"/>
        <v>Palmer</v>
      </c>
    </row>
    <row r="352" spans="1:5" ht="15.5" x14ac:dyDescent="0.35">
      <c r="A352" s="1" t="s">
        <v>2021</v>
      </c>
      <c r="B352" s="1" t="s">
        <v>2734</v>
      </c>
      <c r="C352" t="str">
        <f t="shared" si="15"/>
        <v>Mr.</v>
      </c>
      <c r="D352" t="str">
        <f t="shared" si="16"/>
        <v>Devon A.</v>
      </c>
      <c r="E352" t="str">
        <f t="shared" si="17"/>
        <v>Olson</v>
      </c>
    </row>
    <row r="353" spans="1:5" ht="15.5" x14ac:dyDescent="0.35">
      <c r="A353" s="1" t="s">
        <v>2020</v>
      </c>
      <c r="B353" s="1" t="s">
        <v>2735</v>
      </c>
      <c r="C353" t="str">
        <f t="shared" si="15"/>
        <v>Ms.</v>
      </c>
      <c r="D353" t="str">
        <f t="shared" si="16"/>
        <v>Joni L</v>
      </c>
      <c r="E353" t="str">
        <f t="shared" si="17"/>
        <v>Waldron</v>
      </c>
    </row>
    <row r="354" spans="1:5" ht="15.5" x14ac:dyDescent="0.35">
      <c r="A354" s="1" t="s">
        <v>2019</v>
      </c>
      <c r="B354" s="1" t="s">
        <v>2736</v>
      </c>
      <c r="C354" t="str">
        <f t="shared" si="15"/>
        <v>Mr.</v>
      </c>
      <c r="D354" t="str">
        <f t="shared" si="16"/>
        <v>Colin</v>
      </c>
      <c r="E354" t="str">
        <f t="shared" si="17"/>
        <v>Meyer</v>
      </c>
    </row>
    <row r="355" spans="1:5" ht="15.5" x14ac:dyDescent="0.35">
      <c r="A355" s="1" t="s">
        <v>2018</v>
      </c>
      <c r="B355" s="1" t="s">
        <v>2737</v>
      </c>
      <c r="C355" t="str">
        <f t="shared" si="15"/>
        <v>Ms.</v>
      </c>
      <c r="D355" t="str">
        <f t="shared" si="16"/>
        <v>Rachael</v>
      </c>
      <c r="E355" t="str">
        <f t="shared" si="17"/>
        <v>Stack</v>
      </c>
    </row>
    <row r="356" spans="1:5" ht="15.5" x14ac:dyDescent="0.35">
      <c r="A356" s="1" t="s">
        <v>2017</v>
      </c>
      <c r="B356" s="1" t="s">
        <v>2738</v>
      </c>
      <c r="C356" t="str">
        <f t="shared" si="15"/>
        <v>Ms.</v>
      </c>
      <c r="D356" t="str">
        <f t="shared" si="16"/>
        <v>Maricela</v>
      </c>
      <c r="E356" t="str">
        <f t="shared" si="17"/>
        <v>Sanchez Y Torres</v>
      </c>
    </row>
    <row r="357" spans="1:5" ht="15.5" x14ac:dyDescent="0.35">
      <c r="A357" s="1" t="s">
        <v>2016</v>
      </c>
      <c r="B357" s="1" t="s">
        <v>2739</v>
      </c>
      <c r="C357" t="str">
        <f t="shared" si="15"/>
        <v>Ms.</v>
      </c>
      <c r="D357" t="str">
        <f t="shared" si="16"/>
        <v>Marie</v>
      </c>
      <c r="E357" t="str">
        <f t="shared" si="17"/>
        <v>Daniels</v>
      </c>
    </row>
    <row r="358" spans="1:5" ht="15.5" x14ac:dyDescent="0.35">
      <c r="A358" s="1" t="s">
        <v>2015</v>
      </c>
      <c r="B358" s="1" t="s">
        <v>2740</v>
      </c>
      <c r="C358" t="str">
        <f t="shared" si="15"/>
        <v>Mr.</v>
      </c>
      <c r="D358" t="str">
        <f t="shared" si="16"/>
        <v>Frank</v>
      </c>
      <c r="E358" t="str">
        <f t="shared" si="17"/>
        <v>Pepp</v>
      </c>
    </row>
    <row r="359" spans="1:5" ht="15.5" x14ac:dyDescent="0.35">
      <c r="A359" s="1" t="s">
        <v>2014</v>
      </c>
      <c r="B359" s="1" t="s">
        <v>2741</v>
      </c>
      <c r="C359" t="str">
        <f t="shared" si="15"/>
        <v>Mr.</v>
      </c>
      <c r="D359" t="str">
        <f t="shared" si="16"/>
        <v>Jeffry</v>
      </c>
      <c r="E359" t="str">
        <f t="shared" si="17"/>
        <v>Buechler</v>
      </c>
    </row>
    <row r="360" spans="1:5" ht="15.5" x14ac:dyDescent="0.35">
      <c r="A360" s="1" t="s">
        <v>2013</v>
      </c>
      <c r="B360" s="1" t="s">
        <v>2742</v>
      </c>
      <c r="C360" t="str">
        <f t="shared" si="15"/>
        <v>Mr.</v>
      </c>
      <c r="D360" t="str">
        <f t="shared" si="16"/>
        <v>Mike</v>
      </c>
      <c r="E360" t="str">
        <f t="shared" si="17"/>
        <v>Buenting</v>
      </c>
    </row>
    <row r="361" spans="1:5" ht="15.5" x14ac:dyDescent="0.35">
      <c r="A361" s="1" t="s">
        <v>2012</v>
      </c>
      <c r="B361" s="1" t="s">
        <v>2743</v>
      </c>
      <c r="C361" t="str">
        <f t="shared" si="15"/>
        <v>Mr.</v>
      </c>
      <c r="D361" t="str">
        <f t="shared" si="16"/>
        <v>Rick</v>
      </c>
      <c r="E361" t="str">
        <f t="shared" si="17"/>
        <v>Evans</v>
      </c>
    </row>
    <row r="362" spans="1:5" ht="15.5" x14ac:dyDescent="0.35">
      <c r="A362" s="1" t="s">
        <v>2011</v>
      </c>
      <c r="B362" s="1" t="s">
        <v>2744</v>
      </c>
      <c r="C362" t="str">
        <f t="shared" si="15"/>
        <v>Mr.</v>
      </c>
      <c r="D362" t="str">
        <f t="shared" si="16"/>
        <v>Pierre-Michel</v>
      </c>
      <c r="E362" t="str">
        <f t="shared" si="17"/>
        <v>Arcand</v>
      </c>
    </row>
    <row r="363" spans="1:5" ht="15.5" x14ac:dyDescent="0.35">
      <c r="A363" s="1" t="s">
        <v>2010</v>
      </c>
      <c r="B363" s="1" t="s">
        <v>2745</v>
      </c>
      <c r="C363" t="str">
        <f t="shared" si="15"/>
        <v>Mr.</v>
      </c>
      <c r="D363" t="str">
        <f t="shared" si="16"/>
        <v>Daniel</v>
      </c>
      <c r="E363" t="str">
        <f t="shared" si="17"/>
        <v>Kesack</v>
      </c>
    </row>
    <row r="364" spans="1:5" ht="15.5" x14ac:dyDescent="0.35">
      <c r="A364" s="1" t="s">
        <v>2009</v>
      </c>
      <c r="B364" s="1" t="s">
        <v>2746</v>
      </c>
      <c r="C364" t="str">
        <f t="shared" si="15"/>
        <v>Mr.</v>
      </c>
      <c r="D364" t="str">
        <f t="shared" si="16"/>
        <v>Brian L.</v>
      </c>
      <c r="E364" t="str">
        <f t="shared" si="17"/>
        <v>Post</v>
      </c>
    </row>
    <row r="365" spans="1:5" ht="15.5" x14ac:dyDescent="0.35">
      <c r="A365" s="1" t="s">
        <v>2008</v>
      </c>
      <c r="B365" s="1" t="s">
        <v>2747</v>
      </c>
      <c r="C365" t="str">
        <f t="shared" si="15"/>
        <v>Ms.</v>
      </c>
      <c r="D365" t="str">
        <f t="shared" si="16"/>
        <v>Morgan M.</v>
      </c>
      <c r="E365" t="str">
        <f t="shared" si="17"/>
        <v>Dunne</v>
      </c>
    </row>
    <row r="366" spans="1:5" ht="15.5" x14ac:dyDescent="0.35">
      <c r="A366" s="1" t="s">
        <v>2007</v>
      </c>
      <c r="B366" s="1" t="s">
        <v>2748</v>
      </c>
      <c r="C366" t="str">
        <f t="shared" si="15"/>
        <v>Ms.</v>
      </c>
      <c r="D366" t="str">
        <f t="shared" si="16"/>
        <v>Caroline</v>
      </c>
      <c r="E366" t="str">
        <f t="shared" si="17"/>
        <v>Kilel</v>
      </c>
    </row>
    <row r="367" spans="1:5" ht="15.5" x14ac:dyDescent="0.35">
      <c r="A367" s="1" t="s">
        <v>2006</v>
      </c>
      <c r="B367" s="1" t="s">
        <v>2749</v>
      </c>
      <c r="C367" t="str">
        <f t="shared" si="15"/>
        <v>Mr.</v>
      </c>
      <c r="D367" t="str">
        <f t="shared" si="16"/>
        <v>Drew T.</v>
      </c>
      <c r="E367" t="str">
        <f t="shared" si="17"/>
        <v>Nicholson</v>
      </c>
    </row>
    <row r="368" spans="1:5" ht="15.5" x14ac:dyDescent="0.35">
      <c r="A368" s="1" t="s">
        <v>2005</v>
      </c>
      <c r="B368" s="1" t="s">
        <v>2750</v>
      </c>
      <c r="C368" t="str">
        <f t="shared" si="15"/>
        <v>Mr.</v>
      </c>
      <c r="D368" t="str">
        <f t="shared" si="16"/>
        <v>Austin W</v>
      </c>
      <c r="E368" t="str">
        <f t="shared" si="17"/>
        <v>Susmann</v>
      </c>
    </row>
    <row r="369" spans="1:5" ht="15.5" x14ac:dyDescent="0.35">
      <c r="A369" s="1" t="s">
        <v>2004</v>
      </c>
      <c r="B369" s="1" t="s">
        <v>2751</v>
      </c>
      <c r="C369" t="str">
        <f t="shared" si="15"/>
        <v>Ms.</v>
      </c>
      <c r="D369" t="str">
        <f t="shared" si="16"/>
        <v>Berenice</v>
      </c>
      <c r="E369" t="str">
        <f t="shared" si="17"/>
        <v>Harsh</v>
      </c>
    </row>
    <row r="370" spans="1:5" ht="15.5" x14ac:dyDescent="0.35">
      <c r="A370" s="1" t="s">
        <v>2003</v>
      </c>
      <c r="B370" s="1" t="s">
        <v>2752</v>
      </c>
      <c r="C370" t="str">
        <f t="shared" si="15"/>
        <v>Mr.</v>
      </c>
      <c r="D370" t="str">
        <f t="shared" si="16"/>
        <v>Kenneth A</v>
      </c>
      <c r="E370" t="str">
        <f t="shared" si="17"/>
        <v>Pocasangre</v>
      </c>
    </row>
    <row r="371" spans="1:5" ht="15.5" x14ac:dyDescent="0.35">
      <c r="A371" s="1" t="s">
        <v>2002</v>
      </c>
      <c r="B371" s="1" t="s">
        <v>2753</v>
      </c>
      <c r="C371" t="str">
        <f t="shared" si="15"/>
        <v>Mr.</v>
      </c>
      <c r="D371" t="str">
        <f t="shared" si="16"/>
        <v>Miguel</v>
      </c>
      <c r="E371" t="str">
        <f t="shared" si="17"/>
        <v>Martinez Lopez</v>
      </c>
    </row>
    <row r="372" spans="1:5" ht="15.5" x14ac:dyDescent="0.35">
      <c r="A372" s="1" t="s">
        <v>2001</v>
      </c>
      <c r="B372" s="1" t="s">
        <v>2754</v>
      </c>
      <c r="C372" t="str">
        <f t="shared" si="15"/>
        <v>Ms.</v>
      </c>
      <c r="D372" t="str">
        <f t="shared" si="16"/>
        <v>Hadley T.</v>
      </c>
      <c r="E372" t="str">
        <f t="shared" si="17"/>
        <v>Riegel</v>
      </c>
    </row>
    <row r="373" spans="1:5" ht="15.5" x14ac:dyDescent="0.35">
      <c r="A373" s="1" t="s">
        <v>2000</v>
      </c>
      <c r="B373" s="1" t="s">
        <v>2755</v>
      </c>
      <c r="C373" t="str">
        <f t="shared" si="15"/>
        <v>Mr.</v>
      </c>
      <c r="D373" t="str">
        <f t="shared" si="16"/>
        <v>Taylor</v>
      </c>
      <c r="E373" t="str">
        <f t="shared" si="17"/>
        <v>Monson</v>
      </c>
    </row>
    <row r="374" spans="1:5" ht="15.5" x14ac:dyDescent="0.35">
      <c r="A374" s="1" t="s">
        <v>1999</v>
      </c>
      <c r="B374" s="1" t="s">
        <v>2756</v>
      </c>
      <c r="C374" t="str">
        <f t="shared" si="15"/>
        <v>Ms.</v>
      </c>
      <c r="D374" t="str">
        <f t="shared" si="16"/>
        <v>Tenielle M</v>
      </c>
      <c r="E374" t="str">
        <f t="shared" si="17"/>
        <v>Klubben</v>
      </c>
    </row>
    <row r="375" spans="1:5" ht="15.5" x14ac:dyDescent="0.35">
      <c r="A375" s="1" t="s">
        <v>1998</v>
      </c>
      <c r="B375" s="1" t="s">
        <v>2757</v>
      </c>
      <c r="C375" t="str">
        <f t="shared" si="15"/>
        <v>Ms.</v>
      </c>
      <c r="D375" t="str">
        <f t="shared" si="16"/>
        <v>Andrea</v>
      </c>
      <c r="E375" t="str">
        <f t="shared" si="17"/>
        <v>Mascaro</v>
      </c>
    </row>
    <row r="376" spans="1:5" ht="15.5" x14ac:dyDescent="0.35">
      <c r="A376" s="1" t="s">
        <v>1997</v>
      </c>
      <c r="B376" s="1" t="s">
        <v>2758</v>
      </c>
      <c r="C376" t="str">
        <f t="shared" si="15"/>
        <v>Ms.</v>
      </c>
      <c r="D376" t="str">
        <f t="shared" si="16"/>
        <v>Nora P</v>
      </c>
      <c r="E376" t="str">
        <f t="shared" si="17"/>
        <v>Norvell</v>
      </c>
    </row>
    <row r="377" spans="1:5" ht="15.5" x14ac:dyDescent="0.35">
      <c r="A377" s="1" t="s">
        <v>1996</v>
      </c>
      <c r="B377" s="1" t="s">
        <v>2759</v>
      </c>
      <c r="C377" t="str">
        <f t="shared" si="15"/>
        <v>Mr.</v>
      </c>
      <c r="D377" t="str">
        <f t="shared" si="16"/>
        <v>Zachary</v>
      </c>
      <c r="E377" t="str">
        <f t="shared" si="17"/>
        <v>Ornelas</v>
      </c>
    </row>
    <row r="378" spans="1:5" ht="15.5" x14ac:dyDescent="0.35">
      <c r="A378" s="1" t="s">
        <v>1995</v>
      </c>
      <c r="B378" s="1" t="s">
        <v>2760</v>
      </c>
      <c r="C378" t="str">
        <f t="shared" si="15"/>
        <v>Mr.</v>
      </c>
      <c r="D378" t="str">
        <f t="shared" si="16"/>
        <v>Michael</v>
      </c>
      <c r="E378" t="str">
        <f t="shared" si="17"/>
        <v>Fitzpatrick</v>
      </c>
    </row>
    <row r="379" spans="1:5" ht="15.5" x14ac:dyDescent="0.35">
      <c r="A379" s="1" t="s">
        <v>1994</v>
      </c>
      <c r="B379" s="1" t="s">
        <v>2761</v>
      </c>
      <c r="C379" t="str">
        <f t="shared" si="15"/>
        <v>Ms.</v>
      </c>
      <c r="D379" t="str">
        <f t="shared" si="16"/>
        <v>Alyssa K.</v>
      </c>
      <c r="E379" t="str">
        <f t="shared" si="17"/>
        <v>Bloomquist</v>
      </c>
    </row>
    <row r="380" spans="1:5" ht="15.5" x14ac:dyDescent="0.35">
      <c r="A380" s="1" t="s">
        <v>1993</v>
      </c>
      <c r="B380" s="1" t="s">
        <v>2762</v>
      </c>
      <c r="C380" t="str">
        <f t="shared" si="15"/>
        <v>Ms.</v>
      </c>
      <c r="D380" t="str">
        <f t="shared" si="16"/>
        <v>Heather</v>
      </c>
      <c r="E380" t="str">
        <f t="shared" si="17"/>
        <v>Wick</v>
      </c>
    </row>
    <row r="381" spans="1:5" ht="15.5" x14ac:dyDescent="0.35">
      <c r="A381" s="1" t="s">
        <v>1992</v>
      </c>
      <c r="B381" s="1" t="s">
        <v>2763</v>
      </c>
      <c r="C381" t="str">
        <f t="shared" si="15"/>
        <v>Mr.</v>
      </c>
      <c r="D381" t="str">
        <f t="shared" si="16"/>
        <v>Dante</v>
      </c>
      <c r="E381" t="str">
        <f t="shared" si="17"/>
        <v>Zappala</v>
      </c>
    </row>
    <row r="382" spans="1:5" ht="15.5" x14ac:dyDescent="0.35">
      <c r="A382" s="1" t="s">
        <v>1991</v>
      </c>
      <c r="B382" s="1" t="s">
        <v>2764</v>
      </c>
      <c r="C382" t="str">
        <f t="shared" si="15"/>
        <v>Ms.</v>
      </c>
      <c r="D382" t="str">
        <f t="shared" si="16"/>
        <v>Sara E.</v>
      </c>
      <c r="E382" t="str">
        <f t="shared" si="17"/>
        <v>Earle</v>
      </c>
    </row>
    <row r="383" spans="1:5" ht="15.5" x14ac:dyDescent="0.35">
      <c r="A383" s="1" t="s">
        <v>1990</v>
      </c>
      <c r="B383" s="1" t="s">
        <v>2765</v>
      </c>
      <c r="C383" t="str">
        <f t="shared" si="15"/>
        <v>Mr.</v>
      </c>
      <c r="D383" t="str">
        <f t="shared" si="16"/>
        <v>Scott</v>
      </c>
      <c r="E383" t="str">
        <f t="shared" si="17"/>
        <v>Majewski</v>
      </c>
    </row>
    <row r="384" spans="1:5" ht="15.5" x14ac:dyDescent="0.35">
      <c r="A384" s="1" t="s">
        <v>1989</v>
      </c>
      <c r="B384" s="1" t="s">
        <v>2766</v>
      </c>
      <c r="C384" t="str">
        <f t="shared" si="15"/>
        <v>Mr.</v>
      </c>
      <c r="D384" t="str">
        <f t="shared" si="16"/>
        <v>Sean</v>
      </c>
      <c r="E384" t="str">
        <f t="shared" si="17"/>
        <v>Apfelbaum</v>
      </c>
    </row>
    <row r="385" spans="1:5" ht="15.5" x14ac:dyDescent="0.35">
      <c r="A385" s="1" t="s">
        <v>1988</v>
      </c>
      <c r="B385" s="1" t="s">
        <v>2767</v>
      </c>
      <c r="C385" t="str">
        <f t="shared" si="15"/>
        <v>Ms.</v>
      </c>
      <c r="D385" t="str">
        <f t="shared" si="16"/>
        <v>Danielle</v>
      </c>
      <c r="E385" t="str">
        <f t="shared" si="17"/>
        <v>Graham</v>
      </c>
    </row>
    <row r="386" spans="1:5" ht="15.5" x14ac:dyDescent="0.35">
      <c r="A386" s="1" t="s">
        <v>1987</v>
      </c>
      <c r="B386" s="1" t="s">
        <v>2768</v>
      </c>
      <c r="C386" t="str">
        <f t="shared" si="15"/>
        <v>Mr.</v>
      </c>
      <c r="D386" t="str">
        <f t="shared" si="16"/>
        <v>Andrew D.</v>
      </c>
      <c r="E386" t="str">
        <f t="shared" si="17"/>
        <v>Whitacre</v>
      </c>
    </row>
    <row r="387" spans="1:5" ht="15.5" x14ac:dyDescent="0.35">
      <c r="A387" s="1" t="s">
        <v>1986</v>
      </c>
      <c r="B387" s="1" t="s">
        <v>2769</v>
      </c>
      <c r="C387" t="str">
        <f t="shared" ref="C387:C450" si="18">TRIM(MID(B387,FIND(",",B387)+1,FIND(".",B387)-FIND(",",B387)))</f>
        <v>Mr.</v>
      </c>
      <c r="D387" t="str">
        <f t="shared" ref="D387:D450" si="19">TRIM(MID(B387,FIND(".",B387)+1,LEN(B387)))</f>
        <v>Joel D</v>
      </c>
      <c r="E387" t="str">
        <f t="shared" ref="E387:E450" si="20">TRIM(LEFT(B387,FIND(",",B387)-1))</f>
        <v>Wegener</v>
      </c>
    </row>
    <row r="388" spans="1:5" ht="15.5" x14ac:dyDescent="0.35">
      <c r="A388" s="1" t="s">
        <v>1985</v>
      </c>
      <c r="B388" s="1" t="s">
        <v>2770</v>
      </c>
      <c r="C388" t="str">
        <f t="shared" si="18"/>
        <v>Ms.</v>
      </c>
      <c r="D388" t="str">
        <f t="shared" si="19"/>
        <v>Michelle</v>
      </c>
      <c r="E388" t="str">
        <f t="shared" si="20"/>
        <v>Collie</v>
      </c>
    </row>
    <row r="389" spans="1:5" ht="15.5" x14ac:dyDescent="0.35">
      <c r="A389" s="1" t="s">
        <v>1984</v>
      </c>
      <c r="B389" s="1" t="s">
        <v>2771</v>
      </c>
      <c r="C389" t="str">
        <f t="shared" si="18"/>
        <v>Mr.</v>
      </c>
      <c r="D389" t="str">
        <f t="shared" si="19"/>
        <v>Michael J.</v>
      </c>
      <c r="E389" t="str">
        <f t="shared" si="20"/>
        <v>Murphy</v>
      </c>
    </row>
    <row r="390" spans="1:5" ht="15.5" x14ac:dyDescent="0.35">
      <c r="A390" s="1" t="s">
        <v>1983</v>
      </c>
      <c r="B390" s="1" t="s">
        <v>2772</v>
      </c>
      <c r="C390" t="str">
        <f t="shared" si="18"/>
        <v>Ms.</v>
      </c>
      <c r="D390" t="str">
        <f t="shared" si="19"/>
        <v>Nikki</v>
      </c>
      <c r="E390" t="str">
        <f t="shared" si="20"/>
        <v>Butters</v>
      </c>
    </row>
    <row r="391" spans="1:5" ht="15.5" x14ac:dyDescent="0.35">
      <c r="A391" s="1" t="s">
        <v>1982</v>
      </c>
      <c r="B391" s="1" t="s">
        <v>2773</v>
      </c>
      <c r="C391" t="str">
        <f t="shared" si="18"/>
        <v>Ms.</v>
      </c>
      <c r="D391" t="str">
        <f t="shared" si="19"/>
        <v>Summer B.</v>
      </c>
      <c r="E391" t="str">
        <f t="shared" si="20"/>
        <v>Cook</v>
      </c>
    </row>
    <row r="392" spans="1:5" ht="15.5" x14ac:dyDescent="0.35">
      <c r="A392" s="1" t="s">
        <v>1981</v>
      </c>
      <c r="B392" s="1" t="s">
        <v>2774</v>
      </c>
      <c r="C392" t="str">
        <f t="shared" si="18"/>
        <v>Mr.</v>
      </c>
      <c r="D392" t="str">
        <f t="shared" si="19"/>
        <v>Edward</v>
      </c>
      <c r="E392" t="str">
        <f t="shared" si="20"/>
        <v>Breen</v>
      </c>
    </row>
    <row r="393" spans="1:5" ht="15.5" x14ac:dyDescent="0.35">
      <c r="A393" s="1" t="s">
        <v>1980</v>
      </c>
      <c r="B393" s="1" t="s">
        <v>2775</v>
      </c>
      <c r="C393" t="str">
        <f t="shared" si="18"/>
        <v>Mr.</v>
      </c>
      <c r="D393" t="str">
        <f t="shared" si="19"/>
        <v>Ryan</v>
      </c>
      <c r="E393" t="str">
        <f t="shared" si="20"/>
        <v>Fitzsimons</v>
      </c>
    </row>
    <row r="394" spans="1:5" ht="15.5" x14ac:dyDescent="0.35">
      <c r="A394" s="1" t="s">
        <v>1979</v>
      </c>
      <c r="B394" s="1" t="s">
        <v>2776</v>
      </c>
      <c r="C394" t="str">
        <f t="shared" si="18"/>
        <v>Ms.</v>
      </c>
      <c r="D394" t="str">
        <f t="shared" si="19"/>
        <v>Kacee</v>
      </c>
      <c r="E394" t="str">
        <f t="shared" si="20"/>
        <v>Houle</v>
      </c>
    </row>
    <row r="395" spans="1:5" ht="15.5" x14ac:dyDescent="0.35">
      <c r="A395" s="1" t="s">
        <v>1978</v>
      </c>
      <c r="B395" s="1" t="s">
        <v>2777</v>
      </c>
      <c r="C395" t="str">
        <f t="shared" si="18"/>
        <v>Mr.</v>
      </c>
      <c r="D395" t="str">
        <f t="shared" si="19"/>
        <v>Dave</v>
      </c>
      <c r="E395" t="str">
        <f t="shared" si="20"/>
        <v>Woodward</v>
      </c>
    </row>
    <row r="396" spans="1:5" ht="15.5" x14ac:dyDescent="0.35">
      <c r="A396" s="1" t="s">
        <v>1977</v>
      </c>
      <c r="B396" s="1" t="s">
        <v>2778</v>
      </c>
      <c r="C396" t="str">
        <f t="shared" si="18"/>
        <v>Ms.</v>
      </c>
      <c r="D396" t="str">
        <f t="shared" si="19"/>
        <v>Maryanna</v>
      </c>
      <c r="E396" t="str">
        <f t="shared" si="20"/>
        <v>Ray</v>
      </c>
    </row>
    <row r="397" spans="1:5" ht="15.5" x14ac:dyDescent="0.35">
      <c r="A397" s="1" t="s">
        <v>1976</v>
      </c>
      <c r="B397" s="1" t="s">
        <v>2779</v>
      </c>
      <c r="C397" t="str">
        <f t="shared" si="18"/>
        <v>Ms.</v>
      </c>
      <c r="D397" t="str">
        <f t="shared" si="19"/>
        <v>Jessica H.</v>
      </c>
      <c r="E397" t="str">
        <f t="shared" si="20"/>
        <v>Jennings</v>
      </c>
    </row>
    <row r="398" spans="1:5" ht="15.5" x14ac:dyDescent="0.35">
      <c r="A398" s="1" t="s">
        <v>1975</v>
      </c>
      <c r="B398" s="1" t="s">
        <v>2780</v>
      </c>
      <c r="C398" t="str">
        <f t="shared" si="18"/>
        <v>Ms.</v>
      </c>
      <c r="D398" t="str">
        <f t="shared" si="19"/>
        <v>Deanna</v>
      </c>
      <c r="E398" t="str">
        <f t="shared" si="20"/>
        <v>Fuller</v>
      </c>
    </row>
    <row r="399" spans="1:5" ht="15.5" x14ac:dyDescent="0.35">
      <c r="A399" s="1" t="s">
        <v>1974</v>
      </c>
      <c r="B399" s="1" t="s">
        <v>2781</v>
      </c>
      <c r="C399" t="str">
        <f t="shared" si="18"/>
        <v>Mr.</v>
      </c>
      <c r="D399" t="str">
        <f t="shared" si="19"/>
        <v>Peter</v>
      </c>
      <c r="E399" t="str">
        <f t="shared" si="20"/>
        <v>Lovisek</v>
      </c>
    </row>
    <row r="400" spans="1:5" ht="15.5" x14ac:dyDescent="0.35">
      <c r="A400" s="1" t="s">
        <v>1973</v>
      </c>
      <c r="B400" s="1" t="s">
        <v>2782</v>
      </c>
      <c r="C400" t="str">
        <f t="shared" si="18"/>
        <v>Ms.</v>
      </c>
      <c r="D400" t="str">
        <f t="shared" si="19"/>
        <v>Rebecca</v>
      </c>
      <c r="E400" t="str">
        <f t="shared" si="20"/>
        <v>Painter</v>
      </c>
    </row>
    <row r="401" spans="1:5" ht="15.5" x14ac:dyDescent="0.35">
      <c r="A401" s="1" t="s">
        <v>1972</v>
      </c>
      <c r="B401" s="1" t="s">
        <v>2783</v>
      </c>
      <c r="C401" t="str">
        <f t="shared" si="18"/>
        <v>Ms.</v>
      </c>
      <c r="D401" t="str">
        <f t="shared" si="19"/>
        <v>Elizabeth M.</v>
      </c>
      <c r="E401" t="str">
        <f t="shared" si="20"/>
        <v>Edwards</v>
      </c>
    </row>
    <row r="402" spans="1:5" ht="15.5" x14ac:dyDescent="0.35">
      <c r="A402" s="1" t="s">
        <v>1971</v>
      </c>
      <c r="B402" s="1" t="s">
        <v>2784</v>
      </c>
      <c r="C402" t="str">
        <f t="shared" si="18"/>
        <v>Mr.</v>
      </c>
      <c r="D402" t="str">
        <f t="shared" si="19"/>
        <v>Gregory</v>
      </c>
      <c r="E402" t="str">
        <f t="shared" si="20"/>
        <v>Liebl</v>
      </c>
    </row>
    <row r="403" spans="1:5" ht="15.5" x14ac:dyDescent="0.35">
      <c r="A403" s="1" t="s">
        <v>1970</v>
      </c>
      <c r="B403" s="1" t="s">
        <v>2785</v>
      </c>
      <c r="C403" t="str">
        <f t="shared" si="18"/>
        <v>Ms.</v>
      </c>
      <c r="D403" t="str">
        <f t="shared" si="19"/>
        <v>Sarah E.</v>
      </c>
      <c r="E403" t="str">
        <f t="shared" si="20"/>
        <v>Kasabian-Larson</v>
      </c>
    </row>
    <row r="404" spans="1:5" ht="15.5" x14ac:dyDescent="0.35">
      <c r="A404" s="1" t="s">
        <v>1969</v>
      </c>
      <c r="B404" s="1" t="s">
        <v>2786</v>
      </c>
      <c r="C404" t="str">
        <f t="shared" si="18"/>
        <v>Ms.</v>
      </c>
      <c r="D404" t="str">
        <f t="shared" si="19"/>
        <v>Anne Elise</v>
      </c>
      <c r="E404" t="str">
        <f t="shared" si="20"/>
        <v>Creamer</v>
      </c>
    </row>
    <row r="405" spans="1:5" ht="15.5" x14ac:dyDescent="0.35">
      <c r="A405" s="1" t="s">
        <v>1968</v>
      </c>
      <c r="B405" s="1" t="s">
        <v>2787</v>
      </c>
      <c r="C405" t="str">
        <f t="shared" si="18"/>
        <v>Mr.</v>
      </c>
      <c r="D405" t="str">
        <f t="shared" si="19"/>
        <v>Christopher R</v>
      </c>
      <c r="E405" t="str">
        <f t="shared" si="20"/>
        <v>Kimbel</v>
      </c>
    </row>
    <row r="406" spans="1:5" ht="15.5" x14ac:dyDescent="0.35">
      <c r="A406" s="1" t="s">
        <v>1967</v>
      </c>
      <c r="B406" s="1" t="s">
        <v>2788</v>
      </c>
      <c r="C406" t="str">
        <f t="shared" si="18"/>
        <v>Mr.</v>
      </c>
      <c r="D406" t="str">
        <f t="shared" si="19"/>
        <v>Elliot</v>
      </c>
      <c r="E406" t="str">
        <f t="shared" si="20"/>
        <v>Livensparger</v>
      </c>
    </row>
    <row r="407" spans="1:5" ht="15.5" x14ac:dyDescent="0.35">
      <c r="A407" s="1" t="s">
        <v>1966</v>
      </c>
      <c r="B407" s="1" t="s">
        <v>2789</v>
      </c>
      <c r="C407" t="str">
        <f t="shared" si="18"/>
        <v>Mr.</v>
      </c>
      <c r="D407" t="str">
        <f t="shared" si="19"/>
        <v>Christopher D.</v>
      </c>
      <c r="E407" t="str">
        <f t="shared" si="20"/>
        <v>Grange</v>
      </c>
    </row>
    <row r="408" spans="1:5" ht="15.5" x14ac:dyDescent="0.35">
      <c r="A408" s="1" t="s">
        <v>1965</v>
      </c>
      <c r="B408" s="1" t="s">
        <v>2790</v>
      </c>
      <c r="C408" t="str">
        <f t="shared" si="18"/>
        <v>Mr.</v>
      </c>
      <c r="D408" t="str">
        <f t="shared" si="19"/>
        <v>Corey</v>
      </c>
      <c r="E408" t="str">
        <f t="shared" si="20"/>
        <v>Nunlist</v>
      </c>
    </row>
    <row r="409" spans="1:5" ht="15.5" x14ac:dyDescent="0.35">
      <c r="A409" s="1" t="s">
        <v>1964</v>
      </c>
      <c r="B409" s="1" t="s">
        <v>2791</v>
      </c>
      <c r="C409" t="str">
        <f t="shared" si="18"/>
        <v>Mr.</v>
      </c>
      <c r="D409" t="str">
        <f t="shared" si="19"/>
        <v>Patrick D.</v>
      </c>
      <c r="E409" t="str">
        <f t="shared" si="20"/>
        <v>Cutter</v>
      </c>
    </row>
    <row r="410" spans="1:5" ht="15.5" x14ac:dyDescent="0.35">
      <c r="A410" s="1" t="s">
        <v>1963</v>
      </c>
      <c r="B410" s="1" t="s">
        <v>2792</v>
      </c>
      <c r="C410" t="str">
        <f t="shared" si="18"/>
        <v>Mr.</v>
      </c>
      <c r="D410" t="str">
        <f t="shared" si="19"/>
        <v>Anthony D.</v>
      </c>
      <c r="E410" t="str">
        <f t="shared" si="20"/>
        <v>Martin</v>
      </c>
    </row>
    <row r="411" spans="1:5" ht="15.5" x14ac:dyDescent="0.35">
      <c r="A411" s="1" t="s">
        <v>1962</v>
      </c>
      <c r="B411" s="1" t="s">
        <v>2793</v>
      </c>
      <c r="C411" t="str">
        <f t="shared" si="18"/>
        <v>Ms.</v>
      </c>
      <c r="D411" t="str">
        <f t="shared" si="19"/>
        <v>Melissa</v>
      </c>
      <c r="E411" t="str">
        <f t="shared" si="20"/>
        <v>Cooney</v>
      </c>
    </row>
    <row r="412" spans="1:5" ht="15.5" x14ac:dyDescent="0.35">
      <c r="A412" s="1" t="s">
        <v>1961</v>
      </c>
      <c r="B412" s="1" t="s">
        <v>2794</v>
      </c>
      <c r="C412" t="str">
        <f t="shared" si="18"/>
        <v>Ms.</v>
      </c>
      <c r="D412" t="str">
        <f t="shared" si="19"/>
        <v>Raven</v>
      </c>
      <c r="E412" t="str">
        <f t="shared" si="20"/>
        <v>Bier</v>
      </c>
    </row>
    <row r="413" spans="1:5" ht="15.5" x14ac:dyDescent="0.35">
      <c r="A413" s="1" t="s">
        <v>1960</v>
      </c>
      <c r="B413" s="1" t="s">
        <v>2795</v>
      </c>
      <c r="C413" t="str">
        <f t="shared" si="18"/>
        <v>Mr.</v>
      </c>
      <c r="D413" t="str">
        <f t="shared" si="19"/>
        <v>Christopher</v>
      </c>
      <c r="E413" t="str">
        <f t="shared" si="20"/>
        <v>Muskopf</v>
      </c>
    </row>
    <row r="414" spans="1:5" ht="15.5" x14ac:dyDescent="0.35">
      <c r="A414" s="1" t="s">
        <v>1959</v>
      </c>
      <c r="B414" s="1" t="s">
        <v>2796</v>
      </c>
      <c r="C414" t="str">
        <f t="shared" si="18"/>
        <v>Ms.</v>
      </c>
      <c r="D414" t="str">
        <f t="shared" si="19"/>
        <v>Kendra A</v>
      </c>
      <c r="E414" t="str">
        <f t="shared" si="20"/>
        <v>Sirak</v>
      </c>
    </row>
    <row r="415" spans="1:5" ht="15.5" x14ac:dyDescent="0.35">
      <c r="A415" s="1" t="s">
        <v>1958</v>
      </c>
      <c r="B415" s="1" t="s">
        <v>2797</v>
      </c>
      <c r="C415" t="str">
        <f t="shared" si="18"/>
        <v>Ms.</v>
      </c>
      <c r="D415" t="str">
        <f t="shared" si="19"/>
        <v>Jordan</v>
      </c>
      <c r="E415" t="str">
        <f t="shared" si="20"/>
        <v>Nelsen</v>
      </c>
    </row>
    <row r="416" spans="1:5" ht="15.5" x14ac:dyDescent="0.35">
      <c r="A416" s="1" t="s">
        <v>1957</v>
      </c>
      <c r="B416" s="1" t="s">
        <v>2798</v>
      </c>
      <c r="C416" t="str">
        <f t="shared" si="18"/>
        <v>Mr.</v>
      </c>
      <c r="D416" t="str">
        <f t="shared" si="19"/>
        <v>Nils</v>
      </c>
      <c r="E416" t="str">
        <f t="shared" si="20"/>
        <v>Schallner</v>
      </c>
    </row>
    <row r="417" spans="1:5" ht="15.5" x14ac:dyDescent="0.35">
      <c r="A417" s="1" t="s">
        <v>1956</v>
      </c>
      <c r="B417" s="1" t="s">
        <v>2799</v>
      </c>
      <c r="C417" t="str">
        <f t="shared" si="18"/>
        <v>Mr.</v>
      </c>
      <c r="D417" t="str">
        <f t="shared" si="19"/>
        <v>Scott</v>
      </c>
      <c r="E417" t="str">
        <f t="shared" si="20"/>
        <v>Dunlap</v>
      </c>
    </row>
    <row r="418" spans="1:5" ht="15.5" x14ac:dyDescent="0.35">
      <c r="A418" s="1" t="s">
        <v>1955</v>
      </c>
      <c r="B418" s="1" t="s">
        <v>2800</v>
      </c>
      <c r="C418" t="str">
        <f t="shared" si="18"/>
        <v>Ms.</v>
      </c>
      <c r="D418" t="str">
        <f t="shared" si="19"/>
        <v>Angela</v>
      </c>
      <c r="E418" t="str">
        <f t="shared" si="20"/>
        <v>Messing</v>
      </c>
    </row>
    <row r="419" spans="1:5" ht="15.5" x14ac:dyDescent="0.35">
      <c r="A419" s="1" t="s">
        <v>1954</v>
      </c>
      <c r="B419" s="1" t="s">
        <v>2801</v>
      </c>
      <c r="C419" t="str">
        <f t="shared" si="18"/>
        <v>Ms.</v>
      </c>
      <c r="D419" t="str">
        <f t="shared" si="19"/>
        <v>Allison</v>
      </c>
      <c r="E419" t="str">
        <f t="shared" si="20"/>
        <v>Bondell</v>
      </c>
    </row>
    <row r="420" spans="1:5" ht="15.5" x14ac:dyDescent="0.35">
      <c r="A420" s="1" t="s">
        <v>1953</v>
      </c>
      <c r="B420" s="1" t="s">
        <v>2802</v>
      </c>
      <c r="C420" t="str">
        <f t="shared" si="18"/>
        <v>Ms.</v>
      </c>
      <c r="D420" t="str">
        <f t="shared" si="19"/>
        <v>Caitlin O.</v>
      </c>
      <c r="E420" t="str">
        <f t="shared" si="20"/>
        <v>Gaughan</v>
      </c>
    </row>
    <row r="421" spans="1:5" ht="15.5" x14ac:dyDescent="0.35">
      <c r="A421" s="1" t="s">
        <v>1952</v>
      </c>
      <c r="B421" s="1" t="s">
        <v>2803</v>
      </c>
      <c r="C421" t="str">
        <f t="shared" si="18"/>
        <v>Ms.</v>
      </c>
      <c r="D421" t="str">
        <f t="shared" si="19"/>
        <v>Tracy M</v>
      </c>
      <c r="E421" t="str">
        <f t="shared" si="20"/>
        <v>Gruman</v>
      </c>
    </row>
    <row r="422" spans="1:5" ht="15.5" x14ac:dyDescent="0.35">
      <c r="A422" s="1" t="s">
        <v>1951</v>
      </c>
      <c r="B422" s="1" t="s">
        <v>2804</v>
      </c>
      <c r="C422" t="str">
        <f t="shared" si="18"/>
        <v>Mr.</v>
      </c>
      <c r="D422" t="str">
        <f t="shared" si="19"/>
        <v>Dustin M.</v>
      </c>
      <c r="E422" t="str">
        <f t="shared" si="20"/>
        <v>Whitlow</v>
      </c>
    </row>
    <row r="423" spans="1:5" ht="15.5" x14ac:dyDescent="0.35">
      <c r="A423" s="1" t="s">
        <v>1950</v>
      </c>
      <c r="B423" s="1" t="s">
        <v>2805</v>
      </c>
      <c r="C423" t="str">
        <f t="shared" si="18"/>
        <v>Ms.</v>
      </c>
      <c r="D423" t="str">
        <f t="shared" si="19"/>
        <v>Jenny</v>
      </c>
      <c r="E423" t="str">
        <f t="shared" si="20"/>
        <v>Robinson</v>
      </c>
    </row>
    <row r="424" spans="1:5" ht="15.5" x14ac:dyDescent="0.35">
      <c r="A424" s="1" t="s">
        <v>1949</v>
      </c>
      <c r="B424" s="1" t="s">
        <v>2806</v>
      </c>
      <c r="C424" t="str">
        <f t="shared" si="18"/>
        <v>Ms.</v>
      </c>
      <c r="D424" t="str">
        <f t="shared" si="19"/>
        <v>Emily</v>
      </c>
      <c r="E424" t="str">
        <f t="shared" si="20"/>
        <v>Sabo</v>
      </c>
    </row>
    <row r="425" spans="1:5" ht="15.5" x14ac:dyDescent="0.35">
      <c r="A425" s="1" t="s">
        <v>1948</v>
      </c>
      <c r="B425" s="1" t="s">
        <v>2807</v>
      </c>
      <c r="C425" t="str">
        <f t="shared" si="18"/>
        <v>Ms.</v>
      </c>
      <c r="D425" t="str">
        <f t="shared" si="19"/>
        <v>Fabienne</v>
      </c>
      <c r="E425" t="str">
        <f t="shared" si="20"/>
        <v>Nazarian</v>
      </c>
    </row>
    <row r="426" spans="1:5" ht="15.5" x14ac:dyDescent="0.35">
      <c r="A426" s="1" t="s">
        <v>1947</v>
      </c>
      <c r="B426" s="1" t="s">
        <v>2808</v>
      </c>
      <c r="C426" t="str">
        <f t="shared" si="18"/>
        <v>Mr.</v>
      </c>
      <c r="D426" t="str">
        <f t="shared" si="19"/>
        <v>Jordan</v>
      </c>
      <c r="E426" t="str">
        <f t="shared" si="20"/>
        <v>Lerma</v>
      </c>
    </row>
    <row r="427" spans="1:5" ht="15.5" x14ac:dyDescent="0.35">
      <c r="A427" s="1" t="s">
        <v>1946</v>
      </c>
      <c r="B427" s="1" t="s">
        <v>2809</v>
      </c>
      <c r="C427" t="str">
        <f t="shared" si="18"/>
        <v>Mr.</v>
      </c>
      <c r="D427" t="str">
        <f t="shared" si="19"/>
        <v>Matt</v>
      </c>
      <c r="E427" t="str">
        <f t="shared" si="20"/>
        <v>Dahl</v>
      </c>
    </row>
    <row r="428" spans="1:5" ht="15.5" x14ac:dyDescent="0.35">
      <c r="A428" s="1" t="s">
        <v>1945</v>
      </c>
      <c r="B428" s="1" t="s">
        <v>2810</v>
      </c>
      <c r="C428" t="str">
        <f t="shared" si="18"/>
        <v>Ms.</v>
      </c>
      <c r="D428" t="str">
        <f t="shared" si="19"/>
        <v>Taryn L</v>
      </c>
      <c r="E428" t="str">
        <f t="shared" si="20"/>
        <v>Surtees</v>
      </c>
    </row>
    <row r="429" spans="1:5" ht="15.5" x14ac:dyDescent="0.35">
      <c r="A429" s="1" t="s">
        <v>1944</v>
      </c>
      <c r="B429" s="1" t="s">
        <v>2811</v>
      </c>
      <c r="C429" t="str">
        <f t="shared" si="18"/>
        <v>Ms.</v>
      </c>
      <c r="D429" t="str">
        <f t="shared" si="19"/>
        <v>Temima</v>
      </c>
      <c r="E429" t="str">
        <f t="shared" si="20"/>
        <v>Spetner</v>
      </c>
    </row>
    <row r="430" spans="1:5" ht="15.5" x14ac:dyDescent="0.35">
      <c r="A430" s="1" t="s">
        <v>1943</v>
      </c>
      <c r="B430" s="1" t="s">
        <v>2812</v>
      </c>
      <c r="C430" t="str">
        <f t="shared" si="18"/>
        <v>Ms.</v>
      </c>
      <c r="D430" t="str">
        <f t="shared" si="19"/>
        <v>Jennifer</v>
      </c>
      <c r="E430" t="str">
        <f t="shared" si="20"/>
        <v>Brandon</v>
      </c>
    </row>
    <row r="431" spans="1:5" ht="15.5" x14ac:dyDescent="0.35">
      <c r="A431" s="1" t="s">
        <v>1942</v>
      </c>
      <c r="B431" s="1" t="s">
        <v>2813</v>
      </c>
      <c r="C431" t="str">
        <f t="shared" si="18"/>
        <v>Ms.</v>
      </c>
      <c r="D431" t="str">
        <f t="shared" si="19"/>
        <v>Serena M.</v>
      </c>
      <c r="E431" t="str">
        <f t="shared" si="20"/>
        <v>Eley</v>
      </c>
    </row>
    <row r="432" spans="1:5" ht="15.5" x14ac:dyDescent="0.35">
      <c r="A432" s="1" t="s">
        <v>1941</v>
      </c>
      <c r="B432" s="1" t="s">
        <v>2814</v>
      </c>
      <c r="C432" t="str">
        <f t="shared" si="18"/>
        <v>Ms.</v>
      </c>
      <c r="D432" t="str">
        <f t="shared" si="19"/>
        <v>Victoria M.</v>
      </c>
      <c r="E432" t="str">
        <f t="shared" si="20"/>
        <v>Sedicum</v>
      </c>
    </row>
    <row r="433" spans="1:5" ht="15.5" x14ac:dyDescent="0.35">
      <c r="A433" s="1" t="s">
        <v>1940</v>
      </c>
      <c r="B433" s="1" t="s">
        <v>2815</v>
      </c>
      <c r="C433" t="str">
        <f t="shared" si="18"/>
        <v>Ms.</v>
      </c>
      <c r="D433" t="str">
        <f t="shared" si="19"/>
        <v>Phoebe</v>
      </c>
      <c r="E433" t="str">
        <f t="shared" si="20"/>
        <v>Markle</v>
      </c>
    </row>
    <row r="434" spans="1:5" ht="15.5" x14ac:dyDescent="0.35">
      <c r="A434" s="1" t="s">
        <v>1939</v>
      </c>
      <c r="B434" s="1" t="s">
        <v>2816</v>
      </c>
      <c r="C434" t="str">
        <f t="shared" si="18"/>
        <v>Mr.</v>
      </c>
      <c r="D434" t="str">
        <f t="shared" si="19"/>
        <v>Corey</v>
      </c>
      <c r="E434" t="str">
        <f t="shared" si="20"/>
        <v>Kunz</v>
      </c>
    </row>
    <row r="435" spans="1:5" ht="15.5" x14ac:dyDescent="0.35">
      <c r="A435" s="1" t="s">
        <v>1938</v>
      </c>
      <c r="B435" s="1" t="s">
        <v>2817</v>
      </c>
      <c r="C435" t="str">
        <f t="shared" si="18"/>
        <v>Ms.</v>
      </c>
      <c r="D435" t="str">
        <f t="shared" si="19"/>
        <v>Rebecca</v>
      </c>
      <c r="E435" t="str">
        <f t="shared" si="20"/>
        <v>Wimert</v>
      </c>
    </row>
    <row r="436" spans="1:5" ht="15.5" x14ac:dyDescent="0.35">
      <c r="A436" s="1" t="s">
        <v>1937</v>
      </c>
      <c r="B436" s="1" t="s">
        <v>2818</v>
      </c>
      <c r="C436" t="str">
        <f t="shared" si="18"/>
        <v>Mr.</v>
      </c>
      <c r="D436" t="str">
        <f t="shared" si="19"/>
        <v>Nicholas D</v>
      </c>
      <c r="E436" t="str">
        <f t="shared" si="20"/>
        <v>Peterson</v>
      </c>
    </row>
    <row r="437" spans="1:5" ht="15.5" x14ac:dyDescent="0.35">
      <c r="A437" s="1" t="s">
        <v>1936</v>
      </c>
      <c r="B437" s="1" t="s">
        <v>2819</v>
      </c>
      <c r="C437" t="str">
        <f t="shared" si="18"/>
        <v>Mr.</v>
      </c>
      <c r="D437" t="str">
        <f t="shared" si="19"/>
        <v>Christian</v>
      </c>
      <c r="E437" t="str">
        <f t="shared" si="20"/>
        <v>Mercier</v>
      </c>
    </row>
    <row r="438" spans="1:5" ht="15.5" x14ac:dyDescent="0.35">
      <c r="A438" s="1" t="s">
        <v>1935</v>
      </c>
      <c r="B438" s="1" t="s">
        <v>2820</v>
      </c>
      <c r="C438" t="str">
        <f t="shared" si="18"/>
        <v>Mr.</v>
      </c>
      <c r="D438" t="str">
        <f t="shared" si="19"/>
        <v>Jonathon S.</v>
      </c>
      <c r="E438" t="str">
        <f t="shared" si="20"/>
        <v>Laurie</v>
      </c>
    </row>
    <row r="439" spans="1:5" ht="15.5" x14ac:dyDescent="0.35">
      <c r="A439" s="1" t="s">
        <v>1934</v>
      </c>
      <c r="B439" s="1" t="s">
        <v>2821</v>
      </c>
      <c r="C439" t="str">
        <f t="shared" si="18"/>
        <v>Ms.</v>
      </c>
      <c r="D439" t="str">
        <f t="shared" si="19"/>
        <v>Caroline</v>
      </c>
      <c r="E439" t="str">
        <f t="shared" si="20"/>
        <v>Sekaquaptewa</v>
      </c>
    </row>
    <row r="440" spans="1:5" ht="15.5" x14ac:dyDescent="0.35">
      <c r="A440" s="1" t="s">
        <v>1933</v>
      </c>
      <c r="B440" s="1" t="s">
        <v>2822</v>
      </c>
      <c r="C440" t="str">
        <f t="shared" si="18"/>
        <v>Mr.</v>
      </c>
      <c r="D440" t="str">
        <f t="shared" si="19"/>
        <v>Joshua D.</v>
      </c>
      <c r="E440" t="str">
        <f t="shared" si="20"/>
        <v>Frash</v>
      </c>
    </row>
    <row r="441" spans="1:5" ht="15.5" x14ac:dyDescent="0.35">
      <c r="A441" s="1" t="s">
        <v>1932</v>
      </c>
      <c r="B441" s="1" t="s">
        <v>2823</v>
      </c>
      <c r="C441" t="str">
        <f t="shared" si="18"/>
        <v>Ms.</v>
      </c>
      <c r="D441" t="str">
        <f t="shared" si="19"/>
        <v>Nichole</v>
      </c>
      <c r="E441" t="str">
        <f t="shared" si="20"/>
        <v>Bukowski</v>
      </c>
    </row>
    <row r="442" spans="1:5" ht="15.5" x14ac:dyDescent="0.35">
      <c r="A442" s="1" t="s">
        <v>1931</v>
      </c>
      <c r="B442" s="1" t="s">
        <v>2824</v>
      </c>
      <c r="C442" t="str">
        <f t="shared" si="18"/>
        <v>Ms.</v>
      </c>
      <c r="D442" t="str">
        <f t="shared" si="19"/>
        <v>Denise M</v>
      </c>
      <c r="E442" t="str">
        <f t="shared" si="20"/>
        <v>Sandahl</v>
      </c>
    </row>
    <row r="443" spans="1:5" ht="15.5" x14ac:dyDescent="0.35">
      <c r="A443" s="1" t="s">
        <v>1930</v>
      </c>
      <c r="B443" s="1" t="s">
        <v>2825</v>
      </c>
      <c r="C443" t="str">
        <f t="shared" si="18"/>
        <v>Mr.</v>
      </c>
      <c r="D443" t="str">
        <f t="shared" si="19"/>
        <v>Peter R.</v>
      </c>
      <c r="E443" t="str">
        <f t="shared" si="20"/>
        <v>Speight</v>
      </c>
    </row>
    <row r="444" spans="1:5" ht="15.5" x14ac:dyDescent="0.35">
      <c r="A444" s="1" t="s">
        <v>1929</v>
      </c>
      <c r="B444" s="1" t="s">
        <v>2826</v>
      </c>
      <c r="C444" t="str">
        <f t="shared" si="18"/>
        <v>Mr.</v>
      </c>
      <c r="D444" t="str">
        <f t="shared" si="19"/>
        <v>Johnson K</v>
      </c>
      <c r="E444" t="str">
        <f t="shared" si="20"/>
        <v>Lee</v>
      </c>
    </row>
    <row r="445" spans="1:5" ht="15.5" x14ac:dyDescent="0.35">
      <c r="A445" s="1" t="s">
        <v>1928</v>
      </c>
      <c r="B445" s="1" t="s">
        <v>2827</v>
      </c>
      <c r="C445" t="str">
        <f t="shared" si="18"/>
        <v>Ms.</v>
      </c>
      <c r="D445" t="str">
        <f t="shared" si="19"/>
        <v>Katherine</v>
      </c>
      <c r="E445" t="str">
        <f t="shared" si="20"/>
        <v>Nielsen</v>
      </c>
    </row>
    <row r="446" spans="1:5" ht="15.5" x14ac:dyDescent="0.35">
      <c r="A446" s="1" t="s">
        <v>1927</v>
      </c>
      <c r="B446" s="1" t="s">
        <v>2828</v>
      </c>
      <c r="C446" t="str">
        <f t="shared" si="18"/>
        <v>Ms.</v>
      </c>
      <c r="D446" t="str">
        <f t="shared" si="19"/>
        <v>Lynda</v>
      </c>
      <c r="E446" t="str">
        <f t="shared" si="20"/>
        <v>Zirdok</v>
      </c>
    </row>
    <row r="447" spans="1:5" ht="15.5" x14ac:dyDescent="0.35">
      <c r="A447" s="1" t="s">
        <v>1926</v>
      </c>
      <c r="B447" s="1" t="s">
        <v>2829</v>
      </c>
      <c r="C447" t="str">
        <f t="shared" si="18"/>
        <v>Mr.</v>
      </c>
      <c r="D447" t="str">
        <f t="shared" si="19"/>
        <v>Anthony</v>
      </c>
      <c r="E447" t="str">
        <f t="shared" si="20"/>
        <v>Crudale</v>
      </c>
    </row>
    <row r="448" spans="1:5" ht="15.5" x14ac:dyDescent="0.35">
      <c r="A448" s="1" t="s">
        <v>1925</v>
      </c>
      <c r="B448" s="1" t="s">
        <v>2830</v>
      </c>
      <c r="C448" t="str">
        <f t="shared" si="18"/>
        <v>Ms.</v>
      </c>
      <c r="D448" t="str">
        <f t="shared" si="19"/>
        <v>Linnea C.</v>
      </c>
      <c r="E448" t="str">
        <f t="shared" si="20"/>
        <v>Koopmans</v>
      </c>
    </row>
    <row r="449" spans="1:5" ht="15.5" x14ac:dyDescent="0.35">
      <c r="A449" s="1" t="s">
        <v>1924</v>
      </c>
      <c r="B449" s="1" t="s">
        <v>2831</v>
      </c>
      <c r="C449" t="str">
        <f t="shared" si="18"/>
        <v>Mr.</v>
      </c>
      <c r="D449" t="str">
        <f t="shared" si="19"/>
        <v>Massimiliano A.</v>
      </c>
      <c r="E449" t="str">
        <f t="shared" si="20"/>
        <v>Milani</v>
      </c>
    </row>
    <row r="450" spans="1:5" ht="15.5" x14ac:dyDescent="0.35">
      <c r="A450" s="1" t="s">
        <v>1923</v>
      </c>
      <c r="B450" s="1" t="s">
        <v>2832</v>
      </c>
      <c r="C450" t="str">
        <f t="shared" si="18"/>
        <v>Mr.</v>
      </c>
      <c r="D450" t="str">
        <f t="shared" si="19"/>
        <v>James M.</v>
      </c>
      <c r="E450" t="str">
        <f t="shared" si="20"/>
        <v>Kelly</v>
      </c>
    </row>
    <row r="451" spans="1:5" ht="15.5" x14ac:dyDescent="0.35">
      <c r="A451" s="1" t="s">
        <v>1922</v>
      </c>
      <c r="B451" s="1" t="s">
        <v>2833</v>
      </c>
      <c r="C451" t="str">
        <f t="shared" ref="C451:C514" si="21">TRIM(MID(B451,FIND(",",B451)+1,FIND(".",B451)-FIND(",",B451)))</f>
        <v>Ms.</v>
      </c>
      <c r="D451" t="str">
        <f t="shared" ref="D451:D514" si="22">TRIM(MID(B451,FIND(".",B451)+1,LEN(B451)))</f>
        <v>Lauren</v>
      </c>
      <c r="E451" t="str">
        <f t="shared" ref="E451:E514" si="23">TRIM(LEFT(B451,FIND(",",B451)-1))</f>
        <v>Finelli</v>
      </c>
    </row>
    <row r="452" spans="1:5" ht="15.5" x14ac:dyDescent="0.35">
      <c r="A452" s="1" t="s">
        <v>1921</v>
      </c>
      <c r="B452" s="1" t="s">
        <v>2834</v>
      </c>
      <c r="C452" t="str">
        <f t="shared" si="21"/>
        <v>Ms.</v>
      </c>
      <c r="D452" t="str">
        <f t="shared" si="22"/>
        <v>Michele V.</v>
      </c>
      <c r="E452" t="str">
        <f t="shared" si="23"/>
        <v>Palmer</v>
      </c>
    </row>
    <row r="453" spans="1:5" ht="15.5" x14ac:dyDescent="0.35">
      <c r="A453" s="1" t="s">
        <v>1920</v>
      </c>
      <c r="B453" s="1" t="s">
        <v>2835</v>
      </c>
      <c r="C453" t="str">
        <f t="shared" si="21"/>
        <v>Mr.</v>
      </c>
      <c r="D453" t="str">
        <f t="shared" si="22"/>
        <v>Xiao</v>
      </c>
      <c r="E453" t="str">
        <f t="shared" si="23"/>
        <v>Wang</v>
      </c>
    </row>
    <row r="454" spans="1:5" ht="15.5" x14ac:dyDescent="0.35">
      <c r="A454" s="1" t="s">
        <v>1919</v>
      </c>
      <c r="B454" s="1" t="s">
        <v>2836</v>
      </c>
      <c r="C454" t="str">
        <f t="shared" si="21"/>
        <v>Ms.</v>
      </c>
      <c r="D454" t="str">
        <f t="shared" si="22"/>
        <v>Harper L</v>
      </c>
      <c r="E454" t="str">
        <f t="shared" si="23"/>
        <v>Beasley</v>
      </c>
    </row>
    <row r="455" spans="1:5" ht="15.5" x14ac:dyDescent="0.35">
      <c r="A455" s="1" t="s">
        <v>1918</v>
      </c>
      <c r="B455" s="1" t="s">
        <v>2837</v>
      </c>
      <c r="C455" t="str">
        <f t="shared" si="21"/>
        <v>Mr.</v>
      </c>
      <c r="D455" t="str">
        <f t="shared" si="22"/>
        <v>Nick</v>
      </c>
      <c r="E455" t="str">
        <f t="shared" si="23"/>
        <v>Bedbury</v>
      </c>
    </row>
    <row r="456" spans="1:5" ht="15.5" x14ac:dyDescent="0.35">
      <c r="A456" s="1" t="s">
        <v>1917</v>
      </c>
      <c r="B456" s="1" t="s">
        <v>2838</v>
      </c>
      <c r="C456" t="str">
        <f t="shared" si="21"/>
        <v>Mr.</v>
      </c>
      <c r="D456" t="str">
        <f t="shared" si="22"/>
        <v>Scott</v>
      </c>
      <c r="E456" t="str">
        <f t="shared" si="23"/>
        <v>Stemberger</v>
      </c>
    </row>
    <row r="457" spans="1:5" ht="15.5" x14ac:dyDescent="0.35">
      <c r="A457" s="1" t="s">
        <v>1916</v>
      </c>
      <c r="B457" s="1" t="s">
        <v>2839</v>
      </c>
      <c r="C457" t="str">
        <f t="shared" si="21"/>
        <v>Mr.</v>
      </c>
      <c r="D457" t="str">
        <f t="shared" si="22"/>
        <v>Wilson</v>
      </c>
      <c r="E457" t="str">
        <f t="shared" si="23"/>
        <v>Chebet</v>
      </c>
    </row>
    <row r="458" spans="1:5" ht="15.5" x14ac:dyDescent="0.35">
      <c r="A458" s="1" t="s">
        <v>1915</v>
      </c>
      <c r="B458" s="1" t="s">
        <v>2840</v>
      </c>
      <c r="C458" t="str">
        <f t="shared" si="21"/>
        <v>Mr.</v>
      </c>
      <c r="D458" t="str">
        <f t="shared" si="22"/>
        <v>Lee</v>
      </c>
      <c r="E458" t="str">
        <f t="shared" si="23"/>
        <v>Muir</v>
      </c>
    </row>
    <row r="459" spans="1:5" ht="15.5" x14ac:dyDescent="0.35">
      <c r="A459" s="1" t="s">
        <v>1914</v>
      </c>
      <c r="B459" s="1" t="s">
        <v>2841</v>
      </c>
      <c r="C459" t="str">
        <f t="shared" si="21"/>
        <v>Mr.</v>
      </c>
      <c r="D459" t="str">
        <f t="shared" si="22"/>
        <v>Shizhong</v>
      </c>
      <c r="E459" t="str">
        <f t="shared" si="23"/>
        <v>Yang</v>
      </c>
    </row>
    <row r="460" spans="1:5" ht="15.5" x14ac:dyDescent="0.35">
      <c r="A460" s="1" t="s">
        <v>1913</v>
      </c>
      <c r="B460" s="1" t="s">
        <v>2842</v>
      </c>
      <c r="C460" t="str">
        <f t="shared" si="21"/>
        <v>Ms.</v>
      </c>
      <c r="D460" t="str">
        <f t="shared" si="22"/>
        <v>Marie-Claire</v>
      </c>
      <c r="E460" t="str">
        <f t="shared" si="23"/>
        <v>Gravel</v>
      </c>
    </row>
    <row r="461" spans="1:5" ht="15.5" x14ac:dyDescent="0.35">
      <c r="A461" s="1" t="s">
        <v>1912</v>
      </c>
      <c r="B461" s="1" t="s">
        <v>2843</v>
      </c>
      <c r="C461" t="str">
        <f t="shared" si="21"/>
        <v>Mr.</v>
      </c>
      <c r="D461" t="str">
        <f t="shared" si="22"/>
        <v>Todd J.</v>
      </c>
      <c r="E461" t="str">
        <f t="shared" si="23"/>
        <v>Smith</v>
      </c>
    </row>
    <row r="462" spans="1:5" ht="15.5" x14ac:dyDescent="0.35">
      <c r="A462" s="1" t="s">
        <v>1911</v>
      </c>
      <c r="B462" s="1" t="s">
        <v>2844</v>
      </c>
      <c r="C462" t="str">
        <f t="shared" si="21"/>
        <v>Ms.</v>
      </c>
      <c r="D462" t="str">
        <f t="shared" si="22"/>
        <v>Carolyn</v>
      </c>
      <c r="E462" t="str">
        <f t="shared" si="23"/>
        <v>Williams</v>
      </c>
    </row>
    <row r="463" spans="1:5" ht="15.5" x14ac:dyDescent="0.35">
      <c r="A463" s="1" t="s">
        <v>1910</v>
      </c>
      <c r="B463" s="1" t="s">
        <v>2845</v>
      </c>
      <c r="C463" t="str">
        <f t="shared" si="21"/>
        <v>Ms.</v>
      </c>
      <c r="D463" t="str">
        <f t="shared" si="22"/>
        <v>Lindsey</v>
      </c>
      <c r="E463" t="str">
        <f t="shared" si="23"/>
        <v>Meyer</v>
      </c>
    </row>
    <row r="464" spans="1:5" ht="15.5" x14ac:dyDescent="0.35">
      <c r="A464" s="1" t="s">
        <v>1909</v>
      </c>
      <c r="B464" s="1" t="s">
        <v>2846</v>
      </c>
      <c r="C464" t="str">
        <f t="shared" si="21"/>
        <v>Ms.</v>
      </c>
      <c r="D464" t="str">
        <f t="shared" si="22"/>
        <v>Marissa D</v>
      </c>
      <c r="E464" t="str">
        <f t="shared" si="23"/>
        <v>Jamieson</v>
      </c>
    </row>
    <row r="465" spans="1:5" ht="15.5" x14ac:dyDescent="0.35">
      <c r="A465" s="1" t="s">
        <v>1908</v>
      </c>
      <c r="B465" s="1" t="s">
        <v>2847</v>
      </c>
      <c r="C465" t="str">
        <f t="shared" si="21"/>
        <v>Mr.</v>
      </c>
      <c r="D465" t="str">
        <f t="shared" si="22"/>
        <v>Jean Luc</v>
      </c>
      <c r="E465" t="str">
        <f t="shared" si="23"/>
        <v>Dufeal</v>
      </c>
    </row>
    <row r="466" spans="1:5" ht="15.5" x14ac:dyDescent="0.35">
      <c r="A466" s="1" t="s">
        <v>1907</v>
      </c>
      <c r="B466" s="1" t="s">
        <v>2848</v>
      </c>
      <c r="C466" t="str">
        <f t="shared" si="21"/>
        <v>Ms.</v>
      </c>
      <c r="D466" t="str">
        <f t="shared" si="22"/>
        <v>Danielle</v>
      </c>
      <c r="E466" t="str">
        <f t="shared" si="23"/>
        <v>Sansonetti</v>
      </c>
    </row>
    <row r="467" spans="1:5" ht="15.5" x14ac:dyDescent="0.35">
      <c r="A467" s="1" t="s">
        <v>1906</v>
      </c>
      <c r="B467" s="1" t="s">
        <v>2849</v>
      </c>
      <c r="C467" t="str">
        <f t="shared" si="21"/>
        <v>Mr.</v>
      </c>
      <c r="D467" t="str">
        <f t="shared" si="22"/>
        <v>Jim</v>
      </c>
      <c r="E467" t="str">
        <f t="shared" si="23"/>
        <v>Koneazny</v>
      </c>
    </row>
    <row r="468" spans="1:5" ht="15.5" x14ac:dyDescent="0.35">
      <c r="A468" s="1" t="s">
        <v>1905</v>
      </c>
      <c r="B468" s="1" t="s">
        <v>2850</v>
      </c>
      <c r="C468" t="str">
        <f t="shared" si="21"/>
        <v>Mr.</v>
      </c>
      <c r="D468" t="str">
        <f t="shared" si="22"/>
        <v>Matthew T</v>
      </c>
      <c r="E468" t="str">
        <f t="shared" si="23"/>
        <v>Johnson</v>
      </c>
    </row>
    <row r="469" spans="1:5" ht="15.5" x14ac:dyDescent="0.35">
      <c r="A469" s="1" t="s">
        <v>1904</v>
      </c>
      <c r="B469" s="1" t="s">
        <v>2851</v>
      </c>
      <c r="C469" t="str">
        <f t="shared" si="21"/>
        <v>Ms.</v>
      </c>
      <c r="D469" t="str">
        <f t="shared" si="22"/>
        <v>Rachel L.</v>
      </c>
      <c r="E469" t="str">
        <f t="shared" si="23"/>
        <v>Glasson</v>
      </c>
    </row>
    <row r="470" spans="1:5" ht="15.5" x14ac:dyDescent="0.35">
      <c r="A470" s="1" t="s">
        <v>1903</v>
      </c>
      <c r="B470" s="1" t="s">
        <v>2852</v>
      </c>
      <c r="C470" t="str">
        <f t="shared" si="21"/>
        <v>Ms.</v>
      </c>
      <c r="D470" t="str">
        <f t="shared" si="22"/>
        <v>Corina</v>
      </c>
      <c r="E470" t="str">
        <f t="shared" si="23"/>
        <v>Canitz</v>
      </c>
    </row>
    <row r="471" spans="1:5" ht="15.5" x14ac:dyDescent="0.35">
      <c r="A471" s="1" t="s">
        <v>1902</v>
      </c>
      <c r="B471" s="1" t="s">
        <v>2853</v>
      </c>
      <c r="C471" t="str">
        <f t="shared" si="21"/>
        <v>Mr.</v>
      </c>
      <c r="D471" t="str">
        <f t="shared" si="22"/>
        <v>Guannan</v>
      </c>
      <c r="E471" t="str">
        <f t="shared" si="23"/>
        <v>Li</v>
      </c>
    </row>
    <row r="472" spans="1:5" ht="15.5" x14ac:dyDescent="0.35">
      <c r="A472" s="1" t="s">
        <v>1901</v>
      </c>
      <c r="B472" s="1" t="s">
        <v>2854</v>
      </c>
      <c r="C472" t="str">
        <f t="shared" si="21"/>
        <v>Mr.</v>
      </c>
      <c r="D472" t="str">
        <f t="shared" si="22"/>
        <v>Don</v>
      </c>
      <c r="E472" t="str">
        <f t="shared" si="23"/>
        <v>Parsons</v>
      </c>
    </row>
    <row r="473" spans="1:5" ht="15.5" x14ac:dyDescent="0.35">
      <c r="A473" s="1" t="s">
        <v>1900</v>
      </c>
      <c r="B473" s="1" t="s">
        <v>2855</v>
      </c>
      <c r="C473" t="str">
        <f t="shared" si="21"/>
        <v>Mr.</v>
      </c>
      <c r="D473" t="str">
        <f t="shared" si="22"/>
        <v>Chris</v>
      </c>
      <c r="E473" t="str">
        <f t="shared" si="23"/>
        <v>Raulli</v>
      </c>
    </row>
    <row r="474" spans="1:5" ht="15.5" x14ac:dyDescent="0.35">
      <c r="A474" s="1" t="s">
        <v>1899</v>
      </c>
      <c r="B474" s="1" t="s">
        <v>2856</v>
      </c>
      <c r="C474" t="str">
        <f t="shared" si="21"/>
        <v>Mr.</v>
      </c>
      <c r="D474" t="str">
        <f t="shared" si="22"/>
        <v>Gavin V.</v>
      </c>
      <c r="E474" t="str">
        <f t="shared" si="23"/>
        <v>Frome</v>
      </c>
    </row>
    <row r="475" spans="1:5" ht="15.5" x14ac:dyDescent="0.35">
      <c r="A475" s="1" t="s">
        <v>1898</v>
      </c>
      <c r="B475" s="1" t="s">
        <v>2857</v>
      </c>
      <c r="C475" t="str">
        <f t="shared" si="21"/>
        <v>Mr.</v>
      </c>
      <c r="D475" t="str">
        <f t="shared" si="22"/>
        <v>David</v>
      </c>
      <c r="E475" t="str">
        <f t="shared" si="23"/>
        <v>Sevcik</v>
      </c>
    </row>
    <row r="476" spans="1:5" ht="15.5" x14ac:dyDescent="0.35">
      <c r="A476" s="1" t="s">
        <v>1897</v>
      </c>
      <c r="B476" s="1" t="s">
        <v>2858</v>
      </c>
      <c r="C476" t="str">
        <f t="shared" si="21"/>
        <v>Mr.</v>
      </c>
      <c r="D476" t="str">
        <f t="shared" si="22"/>
        <v>Jatin</v>
      </c>
      <c r="E476" t="str">
        <f t="shared" si="23"/>
        <v>Narang</v>
      </c>
    </row>
    <row r="477" spans="1:5" ht="15.5" x14ac:dyDescent="0.35">
      <c r="A477" s="1" t="s">
        <v>1895</v>
      </c>
      <c r="B477" s="1" t="s">
        <v>2859</v>
      </c>
      <c r="C477" t="str">
        <f t="shared" si="21"/>
        <v>Mr.</v>
      </c>
      <c r="D477" t="str">
        <f t="shared" si="22"/>
        <v>J P. II</v>
      </c>
      <c r="E477" t="str">
        <f t="shared" si="23"/>
        <v>Royston</v>
      </c>
    </row>
    <row r="478" spans="1:5" ht="15.5" x14ac:dyDescent="0.35">
      <c r="A478" s="1" t="s">
        <v>1894</v>
      </c>
      <c r="B478" s="1" t="s">
        <v>2860</v>
      </c>
      <c r="C478" t="str">
        <f t="shared" si="21"/>
        <v>Ms.</v>
      </c>
      <c r="D478" t="str">
        <f t="shared" si="22"/>
        <v>Angela M.</v>
      </c>
      <c r="E478" t="str">
        <f t="shared" si="23"/>
        <v>Tieri</v>
      </c>
    </row>
    <row r="479" spans="1:5" ht="15.5" x14ac:dyDescent="0.35">
      <c r="A479" s="1" t="s">
        <v>1893</v>
      </c>
      <c r="B479" s="1" t="s">
        <v>2861</v>
      </c>
      <c r="C479" t="str">
        <f t="shared" si="21"/>
        <v>Mr.</v>
      </c>
      <c r="D479" t="str">
        <f t="shared" si="22"/>
        <v>Blake K.</v>
      </c>
      <c r="E479" t="str">
        <f t="shared" si="23"/>
        <v>Whitney</v>
      </c>
    </row>
    <row r="480" spans="1:5" ht="15.5" x14ac:dyDescent="0.35">
      <c r="A480" s="1" t="s">
        <v>1892</v>
      </c>
      <c r="B480" s="1" t="s">
        <v>2862</v>
      </c>
      <c r="C480" t="str">
        <f t="shared" si="21"/>
        <v>Mr.</v>
      </c>
      <c r="D480" t="str">
        <f t="shared" si="22"/>
        <v>Brian T.</v>
      </c>
      <c r="E480" t="str">
        <f t="shared" si="23"/>
        <v>Wandzilak</v>
      </c>
    </row>
    <row r="481" spans="1:5" ht="15.5" x14ac:dyDescent="0.35">
      <c r="A481" s="1" t="s">
        <v>1891</v>
      </c>
      <c r="B481" s="1" t="s">
        <v>2863</v>
      </c>
      <c r="C481" t="str">
        <f t="shared" si="21"/>
        <v>Mr.</v>
      </c>
      <c r="D481" t="str">
        <f t="shared" si="22"/>
        <v>Damon</v>
      </c>
      <c r="E481" t="str">
        <f t="shared" si="23"/>
        <v>Valenzona</v>
      </c>
    </row>
    <row r="482" spans="1:5" ht="15.5" x14ac:dyDescent="0.35">
      <c r="A482" s="1" t="s">
        <v>1890</v>
      </c>
      <c r="B482" s="1" t="s">
        <v>2864</v>
      </c>
      <c r="C482" t="str">
        <f t="shared" si="21"/>
        <v>Mr.</v>
      </c>
      <c r="D482" t="str">
        <f t="shared" si="22"/>
        <v>Jeffrey</v>
      </c>
      <c r="E482" t="str">
        <f t="shared" si="23"/>
        <v>Young</v>
      </c>
    </row>
    <row r="483" spans="1:5" ht="15.5" x14ac:dyDescent="0.35">
      <c r="A483" s="1" t="s">
        <v>1889</v>
      </c>
      <c r="B483" s="1" t="s">
        <v>2865</v>
      </c>
      <c r="C483" t="str">
        <f t="shared" si="21"/>
        <v>Mr.</v>
      </c>
      <c r="D483" t="str">
        <f t="shared" si="22"/>
        <v>Malcolm J.</v>
      </c>
      <c r="E483" t="str">
        <f t="shared" si="23"/>
        <v>Richards</v>
      </c>
    </row>
    <row r="484" spans="1:5" ht="15.5" x14ac:dyDescent="0.35">
      <c r="A484" s="1" t="s">
        <v>1888</v>
      </c>
      <c r="B484" s="1" t="s">
        <v>2866</v>
      </c>
      <c r="C484" t="str">
        <f t="shared" si="21"/>
        <v>Ms.</v>
      </c>
      <c r="D484" t="str">
        <f t="shared" si="22"/>
        <v>Margaret B.</v>
      </c>
      <c r="E484" t="str">
        <f t="shared" si="23"/>
        <v>Alexson</v>
      </c>
    </row>
    <row r="485" spans="1:5" ht="15.5" x14ac:dyDescent="0.35">
      <c r="A485" s="1" t="s">
        <v>1887</v>
      </c>
      <c r="B485" s="1" t="s">
        <v>2867</v>
      </c>
      <c r="C485" t="str">
        <f t="shared" si="21"/>
        <v>Ms.</v>
      </c>
      <c r="D485" t="str">
        <f t="shared" si="22"/>
        <v>Helen</v>
      </c>
      <c r="E485" t="str">
        <f t="shared" si="23"/>
        <v>Wright</v>
      </c>
    </row>
    <row r="486" spans="1:5" ht="15.5" x14ac:dyDescent="0.35">
      <c r="A486" s="1" t="s">
        <v>1886</v>
      </c>
      <c r="B486" s="1" t="s">
        <v>2868</v>
      </c>
      <c r="C486" t="str">
        <f t="shared" si="21"/>
        <v>Mr.</v>
      </c>
      <c r="D486" t="str">
        <f t="shared" si="22"/>
        <v>Matthew</v>
      </c>
      <c r="E486" t="str">
        <f t="shared" si="23"/>
        <v>McKenna</v>
      </c>
    </row>
    <row r="487" spans="1:5" ht="15.5" x14ac:dyDescent="0.35">
      <c r="A487" s="1" t="s">
        <v>1885</v>
      </c>
      <c r="B487" s="1" t="s">
        <v>2869</v>
      </c>
      <c r="C487" t="str">
        <f t="shared" si="21"/>
        <v>Mr.</v>
      </c>
      <c r="D487" t="str">
        <f t="shared" si="22"/>
        <v>Jeff</v>
      </c>
      <c r="E487" t="str">
        <f t="shared" si="23"/>
        <v>Sallade</v>
      </c>
    </row>
    <row r="488" spans="1:5" ht="15.5" x14ac:dyDescent="0.35">
      <c r="A488" s="1" t="s">
        <v>1884</v>
      </c>
      <c r="B488" s="1" t="s">
        <v>2870</v>
      </c>
      <c r="C488" t="str">
        <f t="shared" si="21"/>
        <v>Mrs.</v>
      </c>
      <c r="D488" t="str">
        <f t="shared" si="22"/>
        <v>Tara R</v>
      </c>
      <c r="E488" t="str">
        <f t="shared" si="23"/>
        <v>Argall</v>
      </c>
    </row>
    <row r="489" spans="1:5" ht="15.5" x14ac:dyDescent="0.35">
      <c r="A489" s="1" t="s">
        <v>1883</v>
      </c>
      <c r="B489" s="1" t="s">
        <v>2871</v>
      </c>
      <c r="C489" t="str">
        <f t="shared" si="21"/>
        <v>Ms.</v>
      </c>
      <c r="D489" t="str">
        <f t="shared" si="22"/>
        <v>Kristin</v>
      </c>
      <c r="E489" t="str">
        <f t="shared" si="23"/>
        <v>Patchell</v>
      </c>
    </row>
    <row r="490" spans="1:5" ht="15.5" x14ac:dyDescent="0.35">
      <c r="A490" s="1" t="s">
        <v>1882</v>
      </c>
      <c r="B490" s="1" t="s">
        <v>2872</v>
      </c>
      <c r="C490" t="str">
        <f t="shared" si="21"/>
        <v>Mr.</v>
      </c>
      <c r="D490" t="str">
        <f t="shared" si="22"/>
        <v>Timothy</v>
      </c>
      <c r="E490" t="str">
        <f t="shared" si="23"/>
        <v>Catoggio</v>
      </c>
    </row>
    <row r="491" spans="1:5" ht="15.5" x14ac:dyDescent="0.35">
      <c r="A491" s="1" t="s">
        <v>1881</v>
      </c>
      <c r="B491" s="1" t="s">
        <v>2873</v>
      </c>
      <c r="C491" t="str">
        <f t="shared" si="21"/>
        <v>Mr.</v>
      </c>
      <c r="D491" t="str">
        <f t="shared" si="22"/>
        <v>Scott</v>
      </c>
      <c r="E491" t="str">
        <f t="shared" si="23"/>
        <v>Adams</v>
      </c>
    </row>
    <row r="492" spans="1:5" ht="15.5" x14ac:dyDescent="0.35">
      <c r="A492" s="1" t="s">
        <v>1880</v>
      </c>
      <c r="B492" s="1" t="s">
        <v>2874</v>
      </c>
      <c r="C492" t="str">
        <f t="shared" si="21"/>
        <v>Ms.</v>
      </c>
      <c r="D492" t="str">
        <f t="shared" si="22"/>
        <v>Carly E</v>
      </c>
      <c r="E492" t="str">
        <f t="shared" si="23"/>
        <v>Windt</v>
      </c>
    </row>
    <row r="493" spans="1:5" ht="15.5" x14ac:dyDescent="0.35">
      <c r="A493" s="1" t="s">
        <v>1879</v>
      </c>
      <c r="B493" s="1" t="s">
        <v>2875</v>
      </c>
      <c r="C493" t="str">
        <f t="shared" si="21"/>
        <v>Ms.</v>
      </c>
      <c r="D493" t="str">
        <f t="shared" si="22"/>
        <v>Lisa</v>
      </c>
      <c r="E493" t="str">
        <f t="shared" si="23"/>
        <v>Ryan</v>
      </c>
    </row>
    <row r="494" spans="1:5" ht="15.5" x14ac:dyDescent="0.35">
      <c r="A494" s="1" t="s">
        <v>1878</v>
      </c>
      <c r="B494" s="1" t="s">
        <v>2876</v>
      </c>
      <c r="C494" t="str">
        <f t="shared" si="21"/>
        <v>Ms.</v>
      </c>
      <c r="D494" t="str">
        <f t="shared" si="22"/>
        <v>Stacey</v>
      </c>
      <c r="E494" t="str">
        <f t="shared" si="23"/>
        <v>Marion</v>
      </c>
    </row>
    <row r="495" spans="1:5" ht="15.5" x14ac:dyDescent="0.35">
      <c r="A495" s="1" t="s">
        <v>1877</v>
      </c>
      <c r="B495" s="1" t="s">
        <v>2877</v>
      </c>
      <c r="C495" t="str">
        <f t="shared" si="21"/>
        <v>Mr.</v>
      </c>
      <c r="D495" t="str">
        <f t="shared" si="22"/>
        <v>Louis</v>
      </c>
      <c r="E495" t="str">
        <f t="shared" si="23"/>
        <v>Raffetto</v>
      </c>
    </row>
    <row r="496" spans="1:5" ht="15.5" x14ac:dyDescent="0.35">
      <c r="A496" s="1" t="s">
        <v>1876</v>
      </c>
      <c r="B496" s="1" t="s">
        <v>2878</v>
      </c>
      <c r="C496" t="str">
        <f t="shared" si="21"/>
        <v>Mr.</v>
      </c>
      <c r="D496" t="str">
        <f t="shared" si="22"/>
        <v>Brian R.</v>
      </c>
      <c r="E496" t="str">
        <f t="shared" si="23"/>
        <v>Young</v>
      </c>
    </row>
    <row r="497" spans="1:5" ht="15.5" x14ac:dyDescent="0.35">
      <c r="A497" s="1" t="s">
        <v>1875</v>
      </c>
      <c r="B497" s="1" t="s">
        <v>2879</v>
      </c>
      <c r="C497" t="str">
        <f t="shared" si="21"/>
        <v>Mrs.</v>
      </c>
      <c r="D497" t="str">
        <f t="shared" si="22"/>
        <v>Jessica</v>
      </c>
      <c r="E497" t="str">
        <f t="shared" si="23"/>
        <v>Oehlke</v>
      </c>
    </row>
    <row r="498" spans="1:5" ht="15.5" x14ac:dyDescent="0.35">
      <c r="A498" s="1" t="s">
        <v>1874</v>
      </c>
      <c r="B498" s="1" t="s">
        <v>2880</v>
      </c>
      <c r="C498" t="str">
        <f t="shared" si="21"/>
        <v>Ms.</v>
      </c>
      <c r="D498" t="str">
        <f t="shared" si="22"/>
        <v>Dawn M.</v>
      </c>
      <c r="E498" t="str">
        <f t="shared" si="23"/>
        <v>Sudol</v>
      </c>
    </row>
    <row r="499" spans="1:5" ht="15.5" x14ac:dyDescent="0.35">
      <c r="A499" s="1" t="s">
        <v>1873</v>
      </c>
      <c r="B499" s="1" t="s">
        <v>2881</v>
      </c>
      <c r="C499" t="str">
        <f t="shared" si="21"/>
        <v>Mr.</v>
      </c>
      <c r="D499" t="str">
        <f t="shared" si="22"/>
        <v>Chris</v>
      </c>
      <c r="E499" t="str">
        <f t="shared" si="23"/>
        <v>Van Es</v>
      </c>
    </row>
    <row r="500" spans="1:5" ht="15.5" x14ac:dyDescent="0.35">
      <c r="A500" s="1" t="s">
        <v>1872</v>
      </c>
      <c r="B500" s="1" t="s">
        <v>2882</v>
      </c>
      <c r="C500" t="str">
        <f t="shared" si="21"/>
        <v>Ms.</v>
      </c>
      <c r="D500" t="str">
        <f t="shared" si="22"/>
        <v>Karen</v>
      </c>
      <c r="E500" t="str">
        <f t="shared" si="23"/>
        <v>Dolge</v>
      </c>
    </row>
    <row r="501" spans="1:5" ht="15.5" x14ac:dyDescent="0.35">
      <c r="A501" s="1" t="s">
        <v>1871</v>
      </c>
      <c r="B501" s="1" t="s">
        <v>2883</v>
      </c>
      <c r="C501" t="str">
        <f t="shared" si="21"/>
        <v>Ms.</v>
      </c>
      <c r="D501" t="str">
        <f t="shared" si="22"/>
        <v>Jessica</v>
      </c>
      <c r="E501" t="str">
        <f t="shared" si="23"/>
        <v>Marlier</v>
      </c>
    </row>
    <row r="502" spans="1:5" ht="15.5" x14ac:dyDescent="0.35">
      <c r="A502" s="1" t="s">
        <v>1870</v>
      </c>
      <c r="B502" s="1" t="s">
        <v>2884</v>
      </c>
      <c r="C502" t="str">
        <f t="shared" si="21"/>
        <v>Mr.</v>
      </c>
      <c r="D502" t="str">
        <f t="shared" si="22"/>
        <v>Mathieu</v>
      </c>
      <c r="E502" t="str">
        <f t="shared" si="23"/>
        <v>Girard</v>
      </c>
    </row>
    <row r="503" spans="1:5" ht="15.5" x14ac:dyDescent="0.35">
      <c r="A503" s="1" t="s">
        <v>1869</v>
      </c>
      <c r="B503" s="1" t="s">
        <v>2885</v>
      </c>
      <c r="C503" t="str">
        <f t="shared" si="21"/>
        <v>Mr.</v>
      </c>
      <c r="D503" t="str">
        <f t="shared" si="22"/>
        <v>Kam S.</v>
      </c>
      <c r="E503" t="str">
        <f t="shared" si="23"/>
        <v>Lee</v>
      </c>
    </row>
    <row r="504" spans="1:5" ht="15.5" x14ac:dyDescent="0.35">
      <c r="A504" s="1" t="s">
        <v>1868</v>
      </c>
      <c r="B504" s="1" t="s">
        <v>2886</v>
      </c>
      <c r="C504" t="str">
        <f t="shared" si="21"/>
        <v>Ms.</v>
      </c>
      <c r="D504" t="str">
        <f t="shared" si="22"/>
        <v>Valerie A</v>
      </c>
      <c r="E504" t="str">
        <f t="shared" si="23"/>
        <v>Hubbard</v>
      </c>
    </row>
    <row r="505" spans="1:5" ht="15.5" x14ac:dyDescent="0.35">
      <c r="A505" s="1" t="s">
        <v>1867</v>
      </c>
      <c r="B505" s="1" t="s">
        <v>2887</v>
      </c>
      <c r="C505" t="str">
        <f t="shared" si="21"/>
        <v>Ms.</v>
      </c>
      <c r="D505" t="str">
        <f t="shared" si="22"/>
        <v>Freya R</v>
      </c>
      <c r="E505" t="str">
        <f t="shared" si="23"/>
        <v>Koester</v>
      </c>
    </row>
    <row r="506" spans="1:5" ht="15.5" x14ac:dyDescent="0.35">
      <c r="A506" s="1" t="s">
        <v>1866</v>
      </c>
      <c r="B506" s="1" t="s">
        <v>2888</v>
      </c>
      <c r="C506" t="str">
        <f t="shared" si="21"/>
        <v>Ms.</v>
      </c>
      <c r="D506" t="str">
        <f t="shared" si="22"/>
        <v>Jennifer</v>
      </c>
      <c r="E506" t="str">
        <f t="shared" si="23"/>
        <v>Matthews</v>
      </c>
    </row>
    <row r="507" spans="1:5" ht="15.5" x14ac:dyDescent="0.35">
      <c r="A507" s="1" t="s">
        <v>1865</v>
      </c>
      <c r="B507" s="1" t="s">
        <v>2889</v>
      </c>
      <c r="C507" t="str">
        <f t="shared" si="21"/>
        <v>Ms.</v>
      </c>
      <c r="D507" t="str">
        <f t="shared" si="22"/>
        <v>Kara</v>
      </c>
      <c r="E507" t="str">
        <f t="shared" si="23"/>
        <v>Rubinich</v>
      </c>
    </row>
    <row r="508" spans="1:5" ht="15.5" x14ac:dyDescent="0.35">
      <c r="A508" s="1" t="s">
        <v>1864</v>
      </c>
      <c r="B508" s="1" t="s">
        <v>2890</v>
      </c>
      <c r="C508" t="str">
        <f t="shared" si="21"/>
        <v>Mr.</v>
      </c>
      <c r="D508" t="str">
        <f t="shared" si="22"/>
        <v>Bradley A.</v>
      </c>
      <c r="E508" t="str">
        <f t="shared" si="23"/>
        <v>Alban</v>
      </c>
    </row>
    <row r="509" spans="1:5" ht="15.5" x14ac:dyDescent="0.35">
      <c r="A509" s="1" t="s">
        <v>1863</v>
      </c>
      <c r="B509" s="1" t="s">
        <v>2891</v>
      </c>
      <c r="C509" t="str">
        <f t="shared" si="21"/>
        <v>Mr.</v>
      </c>
      <c r="D509" t="str">
        <f t="shared" si="22"/>
        <v>Brendan</v>
      </c>
      <c r="E509" t="str">
        <f t="shared" si="23"/>
        <v>Corcoran</v>
      </c>
    </row>
    <row r="510" spans="1:5" ht="15.5" x14ac:dyDescent="0.35">
      <c r="A510" s="1" t="s">
        <v>1862</v>
      </c>
      <c r="B510" s="1" t="s">
        <v>2892</v>
      </c>
      <c r="C510" t="str">
        <f t="shared" si="21"/>
        <v>Ms.</v>
      </c>
      <c r="D510" t="str">
        <f t="shared" si="22"/>
        <v>Amber R</v>
      </c>
      <c r="E510" t="str">
        <f t="shared" si="23"/>
        <v>Sargent</v>
      </c>
    </row>
    <row r="511" spans="1:5" ht="15.5" x14ac:dyDescent="0.35">
      <c r="A511" s="1" t="s">
        <v>1861</v>
      </c>
      <c r="B511" s="1" t="s">
        <v>2893</v>
      </c>
      <c r="C511" t="str">
        <f t="shared" si="21"/>
        <v>Mr.</v>
      </c>
      <c r="D511" t="str">
        <f t="shared" si="22"/>
        <v>Sean K</v>
      </c>
      <c r="E511" t="str">
        <f t="shared" si="23"/>
        <v>Watson</v>
      </c>
    </row>
    <row r="512" spans="1:5" ht="15.5" x14ac:dyDescent="0.35">
      <c r="A512" s="1" t="s">
        <v>1860</v>
      </c>
      <c r="B512" s="1" t="s">
        <v>2894</v>
      </c>
      <c r="C512" t="str">
        <f t="shared" si="21"/>
        <v>Mr.</v>
      </c>
      <c r="D512" t="str">
        <f t="shared" si="22"/>
        <v>Rick</v>
      </c>
      <c r="E512" t="str">
        <f t="shared" si="23"/>
        <v>Esponda</v>
      </c>
    </row>
    <row r="513" spans="1:5" ht="15.5" x14ac:dyDescent="0.35">
      <c r="A513" s="1" t="s">
        <v>1859</v>
      </c>
      <c r="B513" s="1" t="s">
        <v>2895</v>
      </c>
      <c r="C513" t="str">
        <f t="shared" si="21"/>
        <v>Mr.</v>
      </c>
      <c r="D513" t="str">
        <f t="shared" si="22"/>
        <v>Matthew</v>
      </c>
      <c r="E513" t="str">
        <f t="shared" si="23"/>
        <v>Krall</v>
      </c>
    </row>
    <row r="514" spans="1:5" ht="15.5" x14ac:dyDescent="0.35">
      <c r="A514" s="1" t="s">
        <v>1858</v>
      </c>
      <c r="B514" s="1" t="s">
        <v>2896</v>
      </c>
      <c r="C514" t="str">
        <f t="shared" si="21"/>
        <v>Mr.</v>
      </c>
      <c r="D514" t="str">
        <f t="shared" si="22"/>
        <v>Brady</v>
      </c>
      <c r="E514" t="str">
        <f t="shared" si="23"/>
        <v>Poskin</v>
      </c>
    </row>
    <row r="515" spans="1:5" ht="15.5" x14ac:dyDescent="0.35">
      <c r="A515" s="1" t="s">
        <v>1857</v>
      </c>
      <c r="B515" s="1" t="s">
        <v>2897</v>
      </c>
      <c r="C515" t="str">
        <f t="shared" ref="C515:C578" si="24">TRIM(MID(B515,FIND(",",B515)+1,FIND(".",B515)-FIND(",",B515)))</f>
        <v>Ms.</v>
      </c>
      <c r="D515" t="str">
        <f t="shared" ref="D515:D578" si="25">TRIM(MID(B515,FIND(".",B515)+1,LEN(B515)))</f>
        <v>Kameko</v>
      </c>
      <c r="E515" t="str">
        <f t="shared" ref="E515:E578" si="26">TRIM(LEFT(B515,FIND(",",B515)-1))</f>
        <v>Halfmann</v>
      </c>
    </row>
    <row r="516" spans="1:5" ht="15.5" x14ac:dyDescent="0.35">
      <c r="A516" s="1" t="s">
        <v>1856</v>
      </c>
      <c r="B516" s="1" t="s">
        <v>2898</v>
      </c>
      <c r="C516" t="str">
        <f t="shared" si="24"/>
        <v>Mr.</v>
      </c>
      <c r="D516" t="str">
        <f t="shared" si="25"/>
        <v>Jeremy A</v>
      </c>
      <c r="E516" t="str">
        <f t="shared" si="26"/>
        <v>Klapper</v>
      </c>
    </row>
    <row r="517" spans="1:5" ht="15.5" x14ac:dyDescent="0.35">
      <c r="A517" s="1" t="s">
        <v>1855</v>
      </c>
      <c r="B517" s="1" t="s">
        <v>2899</v>
      </c>
      <c r="C517" t="str">
        <f t="shared" si="24"/>
        <v>Mr.</v>
      </c>
      <c r="D517" t="str">
        <f t="shared" si="25"/>
        <v>Daniel</v>
      </c>
      <c r="E517" t="str">
        <f t="shared" si="26"/>
        <v>George</v>
      </c>
    </row>
    <row r="518" spans="1:5" ht="15.5" x14ac:dyDescent="0.35">
      <c r="A518" s="1" t="s">
        <v>1854</v>
      </c>
      <c r="B518" s="1" t="s">
        <v>2900</v>
      </c>
      <c r="C518" t="str">
        <f t="shared" si="24"/>
        <v>Ms.</v>
      </c>
      <c r="D518" t="str">
        <f t="shared" si="25"/>
        <v>Amanda</v>
      </c>
      <c r="E518" t="str">
        <f t="shared" si="26"/>
        <v>Hicks</v>
      </c>
    </row>
    <row r="519" spans="1:5" ht="15.5" x14ac:dyDescent="0.35">
      <c r="A519" s="1" t="s">
        <v>1853</v>
      </c>
      <c r="B519" s="1" t="s">
        <v>2901</v>
      </c>
      <c r="C519" t="str">
        <f t="shared" si="24"/>
        <v>Ms.</v>
      </c>
      <c r="D519" t="str">
        <f t="shared" si="25"/>
        <v>Karen</v>
      </c>
      <c r="E519" t="str">
        <f t="shared" si="26"/>
        <v>Lockyer</v>
      </c>
    </row>
    <row r="520" spans="1:5" ht="15.5" x14ac:dyDescent="0.35">
      <c r="A520" s="1" t="s">
        <v>1852</v>
      </c>
      <c r="B520" s="1" t="s">
        <v>2902</v>
      </c>
      <c r="C520" t="str">
        <f t="shared" si="24"/>
        <v>Mr.</v>
      </c>
      <c r="D520" t="str">
        <f t="shared" si="25"/>
        <v>Gregory</v>
      </c>
      <c r="E520" t="str">
        <f t="shared" si="26"/>
        <v>Byrnes</v>
      </c>
    </row>
    <row r="521" spans="1:5" ht="15.5" x14ac:dyDescent="0.35">
      <c r="A521" s="1" t="s">
        <v>1851</v>
      </c>
      <c r="B521" s="1" t="s">
        <v>2903</v>
      </c>
      <c r="C521" t="str">
        <f t="shared" si="24"/>
        <v>Ms.</v>
      </c>
      <c r="D521" t="str">
        <f t="shared" si="25"/>
        <v>Sabine</v>
      </c>
      <c r="E521" t="str">
        <f t="shared" si="26"/>
        <v>Norris</v>
      </c>
    </row>
    <row r="522" spans="1:5" ht="15.5" x14ac:dyDescent="0.35">
      <c r="A522" s="1" t="s">
        <v>1850</v>
      </c>
      <c r="B522" s="1" t="s">
        <v>2904</v>
      </c>
      <c r="C522" t="str">
        <f t="shared" si="24"/>
        <v>Mr.</v>
      </c>
      <c r="D522" t="str">
        <f t="shared" si="25"/>
        <v>Joseph</v>
      </c>
      <c r="E522" t="str">
        <f t="shared" si="26"/>
        <v>Darda</v>
      </c>
    </row>
    <row r="523" spans="1:5" ht="15.5" x14ac:dyDescent="0.35">
      <c r="A523" s="1" t="s">
        <v>1849</v>
      </c>
      <c r="B523" s="1" t="s">
        <v>2905</v>
      </c>
      <c r="C523" t="str">
        <f t="shared" si="24"/>
        <v>Mr.</v>
      </c>
      <c r="D523" t="str">
        <f t="shared" si="25"/>
        <v>Adam</v>
      </c>
      <c r="E523" t="str">
        <f t="shared" si="26"/>
        <v>Otstot</v>
      </c>
    </row>
    <row r="524" spans="1:5" ht="15.5" x14ac:dyDescent="0.35">
      <c r="A524" s="1" t="s">
        <v>1848</v>
      </c>
      <c r="B524" s="1" t="s">
        <v>2906</v>
      </c>
      <c r="C524" t="str">
        <f t="shared" si="24"/>
        <v>Ms.</v>
      </c>
      <c r="D524" t="str">
        <f t="shared" si="25"/>
        <v>Karolyn A</v>
      </c>
      <c r="E524" t="str">
        <f t="shared" si="26"/>
        <v>Bowley</v>
      </c>
    </row>
    <row r="525" spans="1:5" ht="15.5" x14ac:dyDescent="0.35">
      <c r="A525" s="1" t="s">
        <v>1847</v>
      </c>
      <c r="B525" s="1" t="s">
        <v>2907</v>
      </c>
      <c r="C525" t="str">
        <f t="shared" si="24"/>
        <v>Mrs.</v>
      </c>
      <c r="D525" t="str">
        <f t="shared" si="25"/>
        <v>Anita L.</v>
      </c>
      <c r="E525" t="str">
        <f t="shared" si="26"/>
        <v>Rogers</v>
      </c>
    </row>
    <row r="526" spans="1:5" ht="15.5" x14ac:dyDescent="0.35">
      <c r="A526" s="1" t="s">
        <v>1846</v>
      </c>
      <c r="B526" s="1" t="s">
        <v>2908</v>
      </c>
      <c r="C526" t="str">
        <f t="shared" si="24"/>
        <v>Ms.</v>
      </c>
      <c r="D526" t="str">
        <f t="shared" si="25"/>
        <v>Laura E.</v>
      </c>
      <c r="E526" t="str">
        <f t="shared" si="26"/>
        <v>Mclaughlin</v>
      </c>
    </row>
    <row r="527" spans="1:5" ht="15.5" x14ac:dyDescent="0.35">
      <c r="A527" s="1" t="s">
        <v>1845</v>
      </c>
      <c r="B527" s="1" t="s">
        <v>2909</v>
      </c>
      <c r="C527" t="str">
        <f t="shared" si="24"/>
        <v>Ms.</v>
      </c>
      <c r="D527" t="str">
        <f t="shared" si="25"/>
        <v>Sarah</v>
      </c>
      <c r="E527" t="str">
        <f t="shared" si="26"/>
        <v>Ziegler</v>
      </c>
    </row>
    <row r="528" spans="1:5" ht="15.5" x14ac:dyDescent="0.35">
      <c r="A528" s="1" t="s">
        <v>1844</v>
      </c>
      <c r="B528" s="1" t="s">
        <v>2910</v>
      </c>
      <c r="C528" t="str">
        <f t="shared" si="24"/>
        <v>Mrs.</v>
      </c>
      <c r="D528" t="str">
        <f t="shared" si="25"/>
        <v>Ashley E</v>
      </c>
      <c r="E528" t="str">
        <f t="shared" si="26"/>
        <v>Hughey</v>
      </c>
    </row>
    <row r="529" spans="1:5" ht="15.5" x14ac:dyDescent="0.35">
      <c r="A529" s="1" t="s">
        <v>1843</v>
      </c>
      <c r="B529" s="1" t="s">
        <v>2911</v>
      </c>
      <c r="C529" t="str">
        <f t="shared" si="24"/>
        <v>Ms.</v>
      </c>
      <c r="D529" t="str">
        <f t="shared" si="25"/>
        <v>Lindsey</v>
      </c>
      <c r="E529" t="str">
        <f t="shared" si="26"/>
        <v>Knast</v>
      </c>
    </row>
    <row r="530" spans="1:5" ht="15.5" x14ac:dyDescent="0.35">
      <c r="A530" s="1" t="s">
        <v>1842</v>
      </c>
      <c r="B530" s="1" t="s">
        <v>2912</v>
      </c>
      <c r="C530" t="str">
        <f t="shared" si="24"/>
        <v>Mr.</v>
      </c>
      <c r="D530" t="str">
        <f t="shared" si="25"/>
        <v>Alan</v>
      </c>
      <c r="E530" t="str">
        <f t="shared" si="26"/>
        <v>Stob</v>
      </c>
    </row>
    <row r="531" spans="1:5" ht="15.5" x14ac:dyDescent="0.35">
      <c r="A531" s="1" t="s">
        <v>1841</v>
      </c>
      <c r="B531" s="1" t="s">
        <v>2913</v>
      </c>
      <c r="C531" t="str">
        <f t="shared" si="24"/>
        <v>Mr.</v>
      </c>
      <c r="D531" t="str">
        <f t="shared" si="25"/>
        <v>Dan R.</v>
      </c>
      <c r="E531" t="str">
        <f t="shared" si="26"/>
        <v>Jensen</v>
      </c>
    </row>
    <row r="532" spans="1:5" ht="15.5" x14ac:dyDescent="0.35">
      <c r="A532" s="1" t="s">
        <v>1840</v>
      </c>
      <c r="B532" s="1" t="s">
        <v>2914</v>
      </c>
      <c r="C532" t="str">
        <f t="shared" si="24"/>
        <v>Ms.</v>
      </c>
      <c r="D532" t="str">
        <f t="shared" si="25"/>
        <v>Katie</v>
      </c>
      <c r="E532" t="str">
        <f t="shared" si="26"/>
        <v>Mutter</v>
      </c>
    </row>
    <row r="533" spans="1:5" ht="15.5" x14ac:dyDescent="0.35">
      <c r="A533" s="1" t="s">
        <v>1839</v>
      </c>
      <c r="B533" s="1" t="s">
        <v>2915</v>
      </c>
      <c r="C533" t="str">
        <f t="shared" si="24"/>
        <v>Mr.</v>
      </c>
      <c r="D533" t="str">
        <f t="shared" si="25"/>
        <v>Eric</v>
      </c>
      <c r="E533" t="str">
        <f t="shared" si="26"/>
        <v>Ahern</v>
      </c>
    </row>
    <row r="534" spans="1:5" ht="15.5" x14ac:dyDescent="0.35">
      <c r="A534" s="1" t="s">
        <v>1838</v>
      </c>
      <c r="B534" s="1" t="s">
        <v>2916</v>
      </c>
      <c r="C534" t="str">
        <f t="shared" si="24"/>
        <v>Ms.</v>
      </c>
      <c r="D534" t="str">
        <f t="shared" si="25"/>
        <v>Cathryn</v>
      </c>
      <c r="E534" t="str">
        <f t="shared" si="26"/>
        <v>Chviruk</v>
      </c>
    </row>
    <row r="535" spans="1:5" ht="15.5" x14ac:dyDescent="0.35">
      <c r="A535" s="1" t="s">
        <v>1837</v>
      </c>
      <c r="B535" s="1" t="s">
        <v>2917</v>
      </c>
      <c r="C535" t="str">
        <f t="shared" si="24"/>
        <v>Mr.</v>
      </c>
      <c r="D535" t="str">
        <f t="shared" si="25"/>
        <v>Brendan</v>
      </c>
      <c r="E535" t="str">
        <f t="shared" si="26"/>
        <v>Meehan</v>
      </c>
    </row>
    <row r="536" spans="1:5" ht="15.5" x14ac:dyDescent="0.35">
      <c r="A536" s="1" t="s">
        <v>1836</v>
      </c>
      <c r="B536" s="1" t="s">
        <v>2918</v>
      </c>
      <c r="C536" t="str">
        <f t="shared" si="24"/>
        <v>Ms.</v>
      </c>
      <c r="D536" t="str">
        <f t="shared" si="25"/>
        <v>Shauna</v>
      </c>
      <c r="E536" t="str">
        <f t="shared" si="26"/>
        <v>Gammon</v>
      </c>
    </row>
    <row r="537" spans="1:5" ht="15.5" x14ac:dyDescent="0.35">
      <c r="A537" s="1" t="s">
        <v>1835</v>
      </c>
      <c r="B537" s="1" t="s">
        <v>2919</v>
      </c>
      <c r="C537" t="str">
        <f t="shared" si="24"/>
        <v>Mr.</v>
      </c>
      <c r="D537" t="str">
        <f t="shared" si="25"/>
        <v>Terence</v>
      </c>
      <c r="E537" t="str">
        <f t="shared" si="26"/>
        <v>Lee</v>
      </c>
    </row>
    <row r="538" spans="1:5" ht="15.5" x14ac:dyDescent="0.35">
      <c r="A538" s="1" t="s">
        <v>1834</v>
      </c>
      <c r="B538" s="1" t="s">
        <v>2920</v>
      </c>
      <c r="C538" t="str">
        <f t="shared" si="24"/>
        <v>Ms.</v>
      </c>
      <c r="D538" t="str">
        <f t="shared" si="25"/>
        <v>Marisol</v>
      </c>
      <c r="E538" t="str">
        <f t="shared" si="26"/>
        <v>Franco</v>
      </c>
    </row>
    <row r="539" spans="1:5" ht="15.5" x14ac:dyDescent="0.35">
      <c r="A539" s="1" t="s">
        <v>1833</v>
      </c>
      <c r="B539" s="1" t="s">
        <v>2921</v>
      </c>
      <c r="C539" t="str">
        <f t="shared" si="24"/>
        <v>Ms.</v>
      </c>
      <c r="D539" t="str">
        <f t="shared" si="25"/>
        <v>Lindsay</v>
      </c>
      <c r="E539" t="str">
        <f t="shared" si="26"/>
        <v>Patterson</v>
      </c>
    </row>
    <row r="540" spans="1:5" ht="15.5" x14ac:dyDescent="0.35">
      <c r="A540" s="1" t="s">
        <v>1832</v>
      </c>
      <c r="B540" s="1" t="s">
        <v>2922</v>
      </c>
      <c r="C540" t="str">
        <f t="shared" si="24"/>
        <v>Ms.</v>
      </c>
      <c r="D540" t="str">
        <f t="shared" si="25"/>
        <v>Katie</v>
      </c>
      <c r="E540" t="str">
        <f t="shared" si="26"/>
        <v>Valdes</v>
      </c>
    </row>
    <row r="541" spans="1:5" ht="15.5" x14ac:dyDescent="0.35">
      <c r="A541" s="1" t="s">
        <v>1831</v>
      </c>
      <c r="B541" s="1" t="s">
        <v>2923</v>
      </c>
      <c r="C541" t="str">
        <f t="shared" si="24"/>
        <v>Mr.</v>
      </c>
      <c r="D541" t="str">
        <f t="shared" si="25"/>
        <v>Daniel</v>
      </c>
      <c r="E541" t="str">
        <f t="shared" si="26"/>
        <v>Craig</v>
      </c>
    </row>
    <row r="542" spans="1:5" ht="15.5" x14ac:dyDescent="0.35">
      <c r="A542" s="1" t="s">
        <v>1830</v>
      </c>
      <c r="B542" s="1" t="s">
        <v>2924</v>
      </c>
      <c r="C542" t="str">
        <f t="shared" si="24"/>
        <v>Mr.</v>
      </c>
      <c r="D542" t="str">
        <f t="shared" si="25"/>
        <v>Brett W</v>
      </c>
      <c r="E542" t="str">
        <f t="shared" si="26"/>
        <v>Whipple</v>
      </c>
    </row>
    <row r="543" spans="1:5" ht="15.5" x14ac:dyDescent="0.35">
      <c r="A543" s="1" t="s">
        <v>1829</v>
      </c>
      <c r="B543" s="1" t="s">
        <v>2925</v>
      </c>
      <c r="C543" t="str">
        <f t="shared" si="24"/>
        <v>Mr.</v>
      </c>
      <c r="D543" t="str">
        <f t="shared" si="25"/>
        <v>Dylan J</v>
      </c>
      <c r="E543" t="str">
        <f t="shared" si="26"/>
        <v>Marton</v>
      </c>
    </row>
    <row r="544" spans="1:5" ht="15.5" x14ac:dyDescent="0.35">
      <c r="A544" s="1" t="s">
        <v>1828</v>
      </c>
      <c r="B544" s="1" t="s">
        <v>2926</v>
      </c>
      <c r="C544" t="str">
        <f t="shared" si="24"/>
        <v>Ms.</v>
      </c>
      <c r="D544" t="str">
        <f t="shared" si="25"/>
        <v>Elizabeth</v>
      </c>
      <c r="E544" t="str">
        <f t="shared" si="26"/>
        <v>Hildebrandt</v>
      </c>
    </row>
    <row r="545" spans="1:5" ht="15.5" x14ac:dyDescent="0.35">
      <c r="A545" s="1" t="s">
        <v>1827</v>
      </c>
      <c r="B545" s="1" t="s">
        <v>2927</v>
      </c>
      <c r="C545" t="str">
        <f t="shared" si="24"/>
        <v>Ms.</v>
      </c>
      <c r="D545" t="str">
        <f t="shared" si="25"/>
        <v>Brooke M.</v>
      </c>
      <c r="E545" t="str">
        <f t="shared" si="26"/>
        <v>Biggs</v>
      </c>
    </row>
    <row r="546" spans="1:5" ht="15.5" x14ac:dyDescent="0.35">
      <c r="A546" s="1" t="s">
        <v>1826</v>
      </c>
      <c r="B546" s="1" t="s">
        <v>2928</v>
      </c>
      <c r="C546" t="str">
        <f t="shared" si="24"/>
        <v>Mrs.</v>
      </c>
      <c r="D546" t="str">
        <f t="shared" si="25"/>
        <v>Teiko</v>
      </c>
      <c r="E546" t="str">
        <f t="shared" si="26"/>
        <v>Shigezumi</v>
      </c>
    </row>
    <row r="547" spans="1:5" ht="15.5" x14ac:dyDescent="0.35">
      <c r="A547" s="1" t="s">
        <v>1825</v>
      </c>
      <c r="B547" s="1" t="s">
        <v>2929</v>
      </c>
      <c r="C547" t="str">
        <f t="shared" si="24"/>
        <v>Mr.</v>
      </c>
      <c r="D547" t="str">
        <f t="shared" si="25"/>
        <v>Zachary</v>
      </c>
      <c r="E547" t="str">
        <f t="shared" si="26"/>
        <v>Meineke</v>
      </c>
    </row>
    <row r="548" spans="1:5" ht="15.5" x14ac:dyDescent="0.35">
      <c r="A548" s="1" t="s">
        <v>1824</v>
      </c>
      <c r="B548" s="1" t="s">
        <v>2930</v>
      </c>
      <c r="C548" t="str">
        <f t="shared" si="24"/>
        <v>Ms.</v>
      </c>
      <c r="D548" t="str">
        <f t="shared" si="25"/>
        <v>Johannah</v>
      </c>
      <c r="E548" t="str">
        <f t="shared" si="26"/>
        <v>Ludington</v>
      </c>
    </row>
    <row r="549" spans="1:5" ht="15.5" x14ac:dyDescent="0.35">
      <c r="A549" s="1" t="s">
        <v>1823</v>
      </c>
      <c r="B549" s="1" t="s">
        <v>2931</v>
      </c>
      <c r="C549" t="str">
        <f t="shared" si="24"/>
        <v>Mr.</v>
      </c>
      <c r="D549" t="str">
        <f t="shared" si="25"/>
        <v>Ryan A</v>
      </c>
      <c r="E549" t="str">
        <f t="shared" si="26"/>
        <v>Perrich</v>
      </c>
    </row>
    <row r="550" spans="1:5" ht="15.5" x14ac:dyDescent="0.35">
      <c r="A550" s="1" t="s">
        <v>1822</v>
      </c>
      <c r="B550" s="1" t="s">
        <v>2932</v>
      </c>
      <c r="C550" t="str">
        <f t="shared" si="24"/>
        <v>Mr.</v>
      </c>
      <c r="D550" t="str">
        <f t="shared" si="25"/>
        <v>Andres Sr.</v>
      </c>
      <c r="E550" t="str">
        <f t="shared" si="26"/>
        <v>Cervantes</v>
      </c>
    </row>
    <row r="551" spans="1:5" ht="15.5" x14ac:dyDescent="0.35">
      <c r="A551" s="1" t="s">
        <v>1821</v>
      </c>
      <c r="B551" s="1" t="s">
        <v>2933</v>
      </c>
      <c r="C551" t="str">
        <f t="shared" si="24"/>
        <v>Mr.</v>
      </c>
      <c r="D551" t="str">
        <f t="shared" si="25"/>
        <v>Bryan</v>
      </c>
      <c r="E551" t="str">
        <f t="shared" si="26"/>
        <v>Andrews</v>
      </c>
    </row>
    <row r="552" spans="1:5" ht="15.5" x14ac:dyDescent="0.35">
      <c r="A552" s="1" t="s">
        <v>1820</v>
      </c>
      <c r="B552" s="1" t="s">
        <v>2934</v>
      </c>
      <c r="C552" t="str">
        <f t="shared" si="24"/>
        <v>Ms.</v>
      </c>
      <c r="D552" t="str">
        <f t="shared" si="25"/>
        <v>Lizette</v>
      </c>
      <c r="E552" t="str">
        <f t="shared" si="26"/>
        <v>Ruvalcaba</v>
      </c>
    </row>
    <row r="553" spans="1:5" ht="15.5" x14ac:dyDescent="0.35">
      <c r="A553" s="1" t="s">
        <v>1819</v>
      </c>
      <c r="B553" s="1" t="s">
        <v>2935</v>
      </c>
      <c r="C553" t="str">
        <f t="shared" si="24"/>
        <v>Mr.</v>
      </c>
      <c r="D553" t="str">
        <f t="shared" si="25"/>
        <v>Don</v>
      </c>
      <c r="E553" t="str">
        <f t="shared" si="26"/>
        <v>King</v>
      </c>
    </row>
    <row r="554" spans="1:5" ht="15.5" x14ac:dyDescent="0.35">
      <c r="A554" s="1" t="s">
        <v>1818</v>
      </c>
      <c r="B554" s="1" t="s">
        <v>2936</v>
      </c>
      <c r="C554" t="str">
        <f t="shared" si="24"/>
        <v>Mr.</v>
      </c>
      <c r="D554" t="str">
        <f t="shared" si="25"/>
        <v>Jeb</v>
      </c>
      <c r="E554" t="str">
        <f t="shared" si="26"/>
        <v>Stone</v>
      </c>
    </row>
    <row r="555" spans="1:5" ht="15.5" x14ac:dyDescent="0.35">
      <c r="A555" s="1" t="s">
        <v>1817</v>
      </c>
      <c r="B555" s="1" t="s">
        <v>2937</v>
      </c>
      <c r="C555" t="str">
        <f t="shared" si="24"/>
        <v>Ms.</v>
      </c>
      <c r="D555" t="str">
        <f t="shared" si="25"/>
        <v>Amy R.</v>
      </c>
      <c r="E555" t="str">
        <f t="shared" si="26"/>
        <v>Campbell</v>
      </c>
    </row>
    <row r="556" spans="1:5" ht="15.5" x14ac:dyDescent="0.35">
      <c r="A556" s="1" t="s">
        <v>1816</v>
      </c>
      <c r="B556" s="1" t="s">
        <v>2938</v>
      </c>
      <c r="C556" t="str">
        <f t="shared" si="24"/>
        <v>Mr.</v>
      </c>
      <c r="D556" t="str">
        <f t="shared" si="25"/>
        <v>Brian</v>
      </c>
      <c r="E556" t="str">
        <f t="shared" si="26"/>
        <v>Asher</v>
      </c>
    </row>
    <row r="557" spans="1:5" ht="15.5" x14ac:dyDescent="0.35">
      <c r="A557" s="1" t="s">
        <v>1815</v>
      </c>
      <c r="B557" s="1" t="s">
        <v>2939</v>
      </c>
      <c r="C557" t="str">
        <f t="shared" si="24"/>
        <v>Mr.</v>
      </c>
      <c r="D557" t="str">
        <f t="shared" si="25"/>
        <v>Mike G</v>
      </c>
      <c r="E557" t="str">
        <f t="shared" si="26"/>
        <v>Mazzotta</v>
      </c>
    </row>
    <row r="558" spans="1:5" ht="15.5" x14ac:dyDescent="0.35">
      <c r="A558" s="1" t="s">
        <v>1814</v>
      </c>
      <c r="B558" s="1" t="s">
        <v>2940</v>
      </c>
      <c r="C558" t="str">
        <f t="shared" si="24"/>
        <v>Ms.</v>
      </c>
      <c r="D558" t="str">
        <f t="shared" si="25"/>
        <v>Simonezitrone Sr.</v>
      </c>
      <c r="E558" t="str">
        <f t="shared" si="26"/>
        <v>Huttl</v>
      </c>
    </row>
    <row r="559" spans="1:5" ht="15.5" x14ac:dyDescent="0.35">
      <c r="A559" s="1" t="s">
        <v>1813</v>
      </c>
      <c r="B559" s="1" t="s">
        <v>2941</v>
      </c>
      <c r="C559" t="str">
        <f t="shared" si="24"/>
        <v>Mr.</v>
      </c>
      <c r="D559" t="str">
        <f t="shared" si="25"/>
        <v>Nicholas</v>
      </c>
      <c r="E559" t="str">
        <f t="shared" si="26"/>
        <v>Ferron</v>
      </c>
    </row>
    <row r="560" spans="1:5" ht="15.5" x14ac:dyDescent="0.35">
      <c r="A560" s="1" t="s">
        <v>1812</v>
      </c>
      <c r="B560" s="1" t="s">
        <v>2942</v>
      </c>
      <c r="C560" t="str">
        <f t="shared" si="24"/>
        <v>Ms.</v>
      </c>
      <c r="D560" t="str">
        <f t="shared" si="25"/>
        <v>Angela M</v>
      </c>
      <c r="E560" t="str">
        <f t="shared" si="26"/>
        <v>Colarusso</v>
      </c>
    </row>
    <row r="561" spans="1:5" ht="15.5" x14ac:dyDescent="0.35">
      <c r="A561" s="1" t="s">
        <v>1811</v>
      </c>
      <c r="B561" s="1" t="s">
        <v>2943</v>
      </c>
      <c r="C561" t="str">
        <f t="shared" si="24"/>
        <v>Mr.</v>
      </c>
      <c r="D561" t="str">
        <f t="shared" si="25"/>
        <v>Oz</v>
      </c>
      <c r="E561" t="str">
        <f t="shared" si="26"/>
        <v>Pearlman</v>
      </c>
    </row>
    <row r="562" spans="1:5" ht="15.5" x14ac:dyDescent="0.35">
      <c r="A562" s="1" t="s">
        <v>1810</v>
      </c>
      <c r="B562" s="1" t="s">
        <v>2944</v>
      </c>
      <c r="C562" t="str">
        <f t="shared" si="24"/>
        <v>Ms.</v>
      </c>
      <c r="D562" t="str">
        <f t="shared" si="25"/>
        <v>Erin M.</v>
      </c>
      <c r="E562" t="str">
        <f t="shared" si="26"/>
        <v>O'Mara</v>
      </c>
    </row>
    <row r="563" spans="1:5" ht="15.5" x14ac:dyDescent="0.35">
      <c r="A563" s="1" t="s">
        <v>1809</v>
      </c>
      <c r="B563" s="1" t="s">
        <v>2945</v>
      </c>
      <c r="C563" t="str">
        <f t="shared" si="24"/>
        <v>Mr.</v>
      </c>
      <c r="D563" t="str">
        <f t="shared" si="25"/>
        <v>Bobby E.</v>
      </c>
      <c r="E563" t="str">
        <f t="shared" si="26"/>
        <v>Niska</v>
      </c>
    </row>
    <row r="564" spans="1:5" ht="15.5" x14ac:dyDescent="0.35">
      <c r="A564" s="1" t="s">
        <v>1808</v>
      </c>
      <c r="B564" s="1" t="s">
        <v>2946</v>
      </c>
      <c r="C564" t="str">
        <f t="shared" si="24"/>
        <v>Mr.</v>
      </c>
      <c r="D564" t="str">
        <f t="shared" si="25"/>
        <v>Daniel P.</v>
      </c>
      <c r="E564" t="str">
        <f t="shared" si="26"/>
        <v>Schlich</v>
      </c>
    </row>
    <row r="565" spans="1:5" ht="15.5" x14ac:dyDescent="0.35">
      <c r="A565" s="1" t="s">
        <v>1807</v>
      </c>
      <c r="B565" s="1" t="s">
        <v>2947</v>
      </c>
      <c r="C565" t="str">
        <f t="shared" si="24"/>
        <v>Ms.</v>
      </c>
      <c r="D565" t="str">
        <f t="shared" si="25"/>
        <v>Marie E.</v>
      </c>
      <c r="E565" t="str">
        <f t="shared" si="26"/>
        <v>Zidek</v>
      </c>
    </row>
    <row r="566" spans="1:5" ht="15.5" x14ac:dyDescent="0.35">
      <c r="A566" s="1" t="s">
        <v>1806</v>
      </c>
      <c r="B566" s="1" t="s">
        <v>2948</v>
      </c>
      <c r="C566" t="str">
        <f t="shared" si="24"/>
        <v>Mrs.</v>
      </c>
      <c r="D566" t="str">
        <f t="shared" si="25"/>
        <v>Katie</v>
      </c>
      <c r="E566" t="str">
        <f t="shared" si="26"/>
        <v>Ellgass</v>
      </c>
    </row>
    <row r="567" spans="1:5" ht="15.5" x14ac:dyDescent="0.35">
      <c r="A567" s="1" t="s">
        <v>1805</v>
      </c>
      <c r="B567" s="1" t="s">
        <v>2949</v>
      </c>
      <c r="C567" t="str">
        <f t="shared" si="24"/>
        <v>Mr.</v>
      </c>
      <c r="D567" t="str">
        <f t="shared" si="25"/>
        <v>Eric D</v>
      </c>
      <c r="E567" t="str">
        <f t="shared" si="26"/>
        <v>Lowe</v>
      </c>
    </row>
    <row r="568" spans="1:5" ht="15.5" x14ac:dyDescent="0.35">
      <c r="A568" s="1" t="s">
        <v>1804</v>
      </c>
      <c r="B568" s="1" t="s">
        <v>2950</v>
      </c>
      <c r="C568" t="str">
        <f t="shared" si="24"/>
        <v>Ms.</v>
      </c>
      <c r="D568" t="str">
        <f t="shared" si="25"/>
        <v>Tara</v>
      </c>
      <c r="E568" t="str">
        <f t="shared" si="26"/>
        <v>Malone</v>
      </c>
    </row>
    <row r="569" spans="1:5" ht="15.5" x14ac:dyDescent="0.35">
      <c r="A569" s="1" t="s">
        <v>1803</v>
      </c>
      <c r="B569" s="1" t="s">
        <v>2951</v>
      </c>
      <c r="C569" t="str">
        <f t="shared" si="24"/>
        <v>Ms.</v>
      </c>
      <c r="D569" t="str">
        <f t="shared" si="25"/>
        <v>Haley L</v>
      </c>
      <c r="E569" t="str">
        <f t="shared" si="26"/>
        <v>Dumke</v>
      </c>
    </row>
    <row r="570" spans="1:5" ht="15.5" x14ac:dyDescent="0.35">
      <c r="A570" s="1" t="s">
        <v>1802</v>
      </c>
      <c r="B570" s="1" t="s">
        <v>2952</v>
      </c>
      <c r="C570" t="str">
        <f t="shared" si="24"/>
        <v>Ms.</v>
      </c>
      <c r="D570" t="str">
        <f t="shared" si="25"/>
        <v>Kayla B.</v>
      </c>
      <c r="E570" t="str">
        <f t="shared" si="26"/>
        <v>Strong</v>
      </c>
    </row>
    <row r="571" spans="1:5" ht="15.5" x14ac:dyDescent="0.35">
      <c r="A571" s="1" t="s">
        <v>1801</v>
      </c>
      <c r="B571" s="1" t="s">
        <v>2953</v>
      </c>
      <c r="C571" t="str">
        <f t="shared" si="24"/>
        <v>Mr.</v>
      </c>
      <c r="D571" t="str">
        <f t="shared" si="25"/>
        <v>Mark D.</v>
      </c>
      <c r="E571" t="str">
        <f t="shared" si="26"/>
        <v>Ferguson</v>
      </c>
    </row>
    <row r="572" spans="1:5" ht="15.5" x14ac:dyDescent="0.35">
      <c r="A572" s="1" t="s">
        <v>1800</v>
      </c>
      <c r="B572" s="1" t="s">
        <v>2954</v>
      </c>
      <c r="C572" t="str">
        <f t="shared" si="24"/>
        <v>Mr.</v>
      </c>
      <c r="D572" t="str">
        <f t="shared" si="25"/>
        <v>Patrick J.</v>
      </c>
      <c r="E572" t="str">
        <f t="shared" si="26"/>
        <v>Klein</v>
      </c>
    </row>
    <row r="573" spans="1:5" ht="15.5" x14ac:dyDescent="0.35">
      <c r="A573" s="1" t="s">
        <v>1799</v>
      </c>
      <c r="B573" s="1" t="s">
        <v>2955</v>
      </c>
      <c r="C573" t="str">
        <f t="shared" si="24"/>
        <v>Mr.</v>
      </c>
      <c r="D573" t="str">
        <f t="shared" si="25"/>
        <v>Alejandro</v>
      </c>
      <c r="E573" t="str">
        <f t="shared" si="26"/>
        <v>Eusebio</v>
      </c>
    </row>
    <row r="574" spans="1:5" ht="15.5" x14ac:dyDescent="0.35">
      <c r="A574" s="1" t="s">
        <v>1798</v>
      </c>
      <c r="B574" s="1" t="s">
        <v>2956</v>
      </c>
      <c r="C574" t="str">
        <f t="shared" si="24"/>
        <v>Mrs.</v>
      </c>
      <c r="D574" t="str">
        <f t="shared" si="25"/>
        <v>Beth A</v>
      </c>
      <c r="E574" t="str">
        <f t="shared" si="26"/>
        <v>Szolosi</v>
      </c>
    </row>
    <row r="575" spans="1:5" ht="15.5" x14ac:dyDescent="0.35">
      <c r="A575" s="1" t="s">
        <v>1797</v>
      </c>
      <c r="B575" s="1" t="s">
        <v>2957</v>
      </c>
      <c r="C575" t="str">
        <f t="shared" si="24"/>
        <v>Mr.</v>
      </c>
      <c r="D575" t="str">
        <f t="shared" si="25"/>
        <v>Jason R</v>
      </c>
      <c r="E575" t="str">
        <f t="shared" si="26"/>
        <v>Butler</v>
      </c>
    </row>
    <row r="576" spans="1:5" ht="15.5" x14ac:dyDescent="0.35">
      <c r="A576" s="1" t="s">
        <v>1796</v>
      </c>
      <c r="B576" s="1" t="s">
        <v>2958</v>
      </c>
      <c r="C576" t="str">
        <f t="shared" si="24"/>
        <v>Mr.</v>
      </c>
      <c r="D576" t="str">
        <f t="shared" si="25"/>
        <v>Yoshinori</v>
      </c>
      <c r="E576" t="str">
        <f t="shared" si="26"/>
        <v>Fukuchi</v>
      </c>
    </row>
    <row r="577" spans="1:5" ht="15.5" x14ac:dyDescent="0.35">
      <c r="A577" s="1" t="s">
        <v>1795</v>
      </c>
      <c r="B577" s="1" t="s">
        <v>2959</v>
      </c>
      <c r="C577" t="str">
        <f t="shared" si="24"/>
        <v>Ms.</v>
      </c>
      <c r="D577" t="str">
        <f t="shared" si="25"/>
        <v>Adrienne G.</v>
      </c>
      <c r="E577" t="str">
        <f t="shared" si="26"/>
        <v>Drucker</v>
      </c>
    </row>
    <row r="578" spans="1:5" ht="15.5" x14ac:dyDescent="0.35">
      <c r="A578" s="1" t="s">
        <v>1794</v>
      </c>
      <c r="B578" s="1" t="s">
        <v>2960</v>
      </c>
      <c r="C578" t="str">
        <f t="shared" si="24"/>
        <v>Mrs.</v>
      </c>
      <c r="D578" t="str">
        <f t="shared" si="25"/>
        <v>Meredith</v>
      </c>
      <c r="E578" t="str">
        <f t="shared" si="26"/>
        <v>Aziz</v>
      </c>
    </row>
    <row r="579" spans="1:5" ht="15.5" x14ac:dyDescent="0.35">
      <c r="A579" s="1" t="s">
        <v>1793</v>
      </c>
      <c r="B579" s="1" t="s">
        <v>2961</v>
      </c>
      <c r="C579" t="str">
        <f t="shared" ref="C579:C642" si="27">TRIM(MID(B579,FIND(",",B579)+1,FIND(".",B579)-FIND(",",B579)))</f>
        <v>Mr.</v>
      </c>
      <c r="D579" t="str">
        <f t="shared" ref="D579:D642" si="28">TRIM(MID(B579,FIND(".",B579)+1,LEN(B579)))</f>
        <v>Junyong</v>
      </c>
      <c r="E579" t="str">
        <f t="shared" ref="E579:E642" si="29">TRIM(LEFT(B579,FIND(",",B579)-1))</f>
        <v>Pak</v>
      </c>
    </row>
    <row r="580" spans="1:5" ht="15.5" x14ac:dyDescent="0.35">
      <c r="A580" s="1" t="s">
        <v>1792</v>
      </c>
      <c r="B580" s="1" t="s">
        <v>2962</v>
      </c>
      <c r="C580" t="str">
        <f t="shared" si="27"/>
        <v>Ms.</v>
      </c>
      <c r="D580" t="str">
        <f t="shared" si="28"/>
        <v>Kristen A.</v>
      </c>
      <c r="E580" t="str">
        <f t="shared" si="29"/>
        <v>Kieta</v>
      </c>
    </row>
    <row r="581" spans="1:5" ht="15.5" x14ac:dyDescent="0.35">
      <c r="A581" s="1" t="s">
        <v>1791</v>
      </c>
      <c r="B581" s="1" t="s">
        <v>2963</v>
      </c>
      <c r="C581" t="str">
        <f t="shared" si="27"/>
        <v>Ms.</v>
      </c>
      <c r="D581" t="str">
        <f t="shared" si="28"/>
        <v>Maria I.</v>
      </c>
      <c r="E581" t="str">
        <f t="shared" si="29"/>
        <v>Velez</v>
      </c>
    </row>
    <row r="582" spans="1:5" ht="15.5" x14ac:dyDescent="0.35">
      <c r="A582" s="1" t="s">
        <v>1790</v>
      </c>
      <c r="B582" s="1" t="s">
        <v>2964</v>
      </c>
      <c r="C582" t="str">
        <f t="shared" si="27"/>
        <v>Mr.</v>
      </c>
      <c r="D582" t="str">
        <f t="shared" si="28"/>
        <v>Jonathan</v>
      </c>
      <c r="E582" t="str">
        <f t="shared" si="29"/>
        <v>Bussiere</v>
      </c>
    </row>
    <row r="583" spans="1:5" ht="15.5" x14ac:dyDescent="0.35">
      <c r="A583" s="1" t="s">
        <v>1789</v>
      </c>
      <c r="B583" s="1" t="s">
        <v>2965</v>
      </c>
      <c r="C583" t="str">
        <f t="shared" si="27"/>
        <v>Mr.</v>
      </c>
      <c r="D583" t="str">
        <f t="shared" si="28"/>
        <v>Phil</v>
      </c>
      <c r="E583" t="str">
        <f t="shared" si="29"/>
        <v>McCartney</v>
      </c>
    </row>
    <row r="584" spans="1:5" ht="15.5" x14ac:dyDescent="0.35">
      <c r="A584" s="1" t="s">
        <v>1788</v>
      </c>
      <c r="B584" s="1" t="s">
        <v>2966</v>
      </c>
      <c r="C584" t="str">
        <f t="shared" si="27"/>
        <v>Ms.</v>
      </c>
      <c r="D584" t="str">
        <f t="shared" si="28"/>
        <v>Benjamina C</v>
      </c>
      <c r="E584" t="str">
        <f t="shared" si="29"/>
        <v>Bambauer</v>
      </c>
    </row>
    <row r="585" spans="1:5" ht="15.5" x14ac:dyDescent="0.35">
      <c r="A585" s="1" t="s">
        <v>1787</v>
      </c>
      <c r="B585" s="1" t="s">
        <v>2967</v>
      </c>
      <c r="C585" t="str">
        <f t="shared" si="27"/>
        <v>Mr.</v>
      </c>
      <c r="D585" t="str">
        <f t="shared" si="28"/>
        <v>Christopher</v>
      </c>
      <c r="E585" t="str">
        <f t="shared" si="29"/>
        <v>Mertz</v>
      </c>
    </row>
    <row r="586" spans="1:5" ht="15.5" x14ac:dyDescent="0.35">
      <c r="A586" s="1" t="s">
        <v>1786</v>
      </c>
      <c r="B586" s="1" t="s">
        <v>2968</v>
      </c>
      <c r="C586" t="str">
        <f t="shared" si="27"/>
        <v>Ms.</v>
      </c>
      <c r="D586" t="str">
        <f t="shared" si="28"/>
        <v>Alison B</v>
      </c>
      <c r="E586" t="str">
        <f t="shared" si="29"/>
        <v>Mason</v>
      </c>
    </row>
    <row r="587" spans="1:5" ht="15.5" x14ac:dyDescent="0.35">
      <c r="A587" s="1" t="s">
        <v>1785</v>
      </c>
      <c r="B587" s="1" t="s">
        <v>2969</v>
      </c>
      <c r="C587" t="str">
        <f t="shared" si="27"/>
        <v>Ms.</v>
      </c>
      <c r="D587" t="str">
        <f t="shared" si="28"/>
        <v>Caroline</v>
      </c>
      <c r="E587" t="str">
        <f t="shared" si="29"/>
        <v>Rotich</v>
      </c>
    </row>
    <row r="588" spans="1:5" ht="15.5" x14ac:dyDescent="0.35">
      <c r="A588" s="1" t="s">
        <v>1784</v>
      </c>
      <c r="B588" s="1" t="s">
        <v>2970</v>
      </c>
      <c r="C588" t="str">
        <f t="shared" si="27"/>
        <v>Ms.</v>
      </c>
      <c r="D588" t="str">
        <f t="shared" si="28"/>
        <v>Alexis N</v>
      </c>
      <c r="E588" t="str">
        <f t="shared" si="29"/>
        <v>Fetzer</v>
      </c>
    </row>
    <row r="589" spans="1:5" ht="15.5" x14ac:dyDescent="0.35">
      <c r="A589" s="1" t="s">
        <v>1783</v>
      </c>
      <c r="B589" s="1" t="s">
        <v>2971</v>
      </c>
      <c r="C589" t="str">
        <f t="shared" si="27"/>
        <v>Ms.</v>
      </c>
      <c r="D589" t="str">
        <f t="shared" si="28"/>
        <v>Shanda L</v>
      </c>
      <c r="E589" t="str">
        <f t="shared" si="29"/>
        <v>Mattis</v>
      </c>
    </row>
    <row r="590" spans="1:5" ht="15.5" x14ac:dyDescent="0.35">
      <c r="A590" s="1" t="s">
        <v>1782</v>
      </c>
      <c r="B590" s="1" t="s">
        <v>2972</v>
      </c>
      <c r="C590" t="str">
        <f t="shared" si="27"/>
        <v>Mrs.</v>
      </c>
      <c r="D590" t="str">
        <f t="shared" si="28"/>
        <v>Lacey</v>
      </c>
      <c r="E590" t="str">
        <f t="shared" si="29"/>
        <v>Cochran</v>
      </c>
    </row>
    <row r="591" spans="1:5" ht="15.5" x14ac:dyDescent="0.35">
      <c r="A591" s="1" t="s">
        <v>1781</v>
      </c>
      <c r="B591" s="1" t="s">
        <v>2973</v>
      </c>
      <c r="C591" t="str">
        <f t="shared" si="27"/>
        <v>Ms.</v>
      </c>
      <c r="D591" t="str">
        <f t="shared" si="28"/>
        <v>Laurette</v>
      </c>
      <c r="E591" t="str">
        <f t="shared" si="29"/>
        <v>Balinsky</v>
      </c>
    </row>
    <row r="592" spans="1:5" ht="15.5" x14ac:dyDescent="0.35">
      <c r="A592" s="1" t="s">
        <v>1780</v>
      </c>
      <c r="B592" s="1" t="s">
        <v>2974</v>
      </c>
      <c r="C592" t="str">
        <f t="shared" si="27"/>
        <v>Mr.</v>
      </c>
      <c r="D592" t="str">
        <f t="shared" si="28"/>
        <v>Jason</v>
      </c>
      <c r="E592" t="str">
        <f t="shared" si="29"/>
        <v>Reilly</v>
      </c>
    </row>
    <row r="593" spans="1:5" ht="15.5" x14ac:dyDescent="0.35">
      <c r="A593" s="1" t="s">
        <v>1779</v>
      </c>
      <c r="B593" s="1" t="s">
        <v>2975</v>
      </c>
      <c r="C593" t="str">
        <f t="shared" si="27"/>
        <v>Ms.</v>
      </c>
      <c r="D593" t="str">
        <f t="shared" si="28"/>
        <v>Mary</v>
      </c>
      <c r="E593" t="str">
        <f t="shared" si="29"/>
        <v>Johnson</v>
      </c>
    </row>
    <row r="594" spans="1:5" ht="15.5" x14ac:dyDescent="0.35">
      <c r="A594" s="1" t="s">
        <v>1778</v>
      </c>
      <c r="B594" s="1" t="s">
        <v>2976</v>
      </c>
      <c r="C594" t="str">
        <f t="shared" si="27"/>
        <v>Ms.</v>
      </c>
      <c r="D594" t="str">
        <f t="shared" si="28"/>
        <v>Kati A</v>
      </c>
      <c r="E594" t="str">
        <f t="shared" si="29"/>
        <v>Petry</v>
      </c>
    </row>
    <row r="595" spans="1:5" ht="15.5" x14ac:dyDescent="0.35">
      <c r="A595" s="1" t="s">
        <v>1777</v>
      </c>
      <c r="B595" s="1" t="s">
        <v>2977</v>
      </c>
      <c r="C595" t="str">
        <f t="shared" si="27"/>
        <v>Mrs.</v>
      </c>
      <c r="D595" t="str">
        <f t="shared" si="28"/>
        <v>Kelly J</v>
      </c>
      <c r="E595" t="str">
        <f t="shared" si="29"/>
        <v>Laleman</v>
      </c>
    </row>
    <row r="596" spans="1:5" ht="15.5" x14ac:dyDescent="0.35">
      <c r="A596" s="1" t="s">
        <v>1776</v>
      </c>
      <c r="B596" s="1" t="s">
        <v>2978</v>
      </c>
      <c r="C596" t="str">
        <f t="shared" si="27"/>
        <v>Ms.</v>
      </c>
      <c r="D596" t="str">
        <f t="shared" si="28"/>
        <v>Greer D</v>
      </c>
      <c r="E596" t="str">
        <f t="shared" si="29"/>
        <v>Colby</v>
      </c>
    </row>
    <row r="597" spans="1:5" ht="15.5" x14ac:dyDescent="0.35">
      <c r="A597" s="1" t="s">
        <v>1775</v>
      </c>
      <c r="B597" s="1" t="s">
        <v>2979</v>
      </c>
      <c r="C597" t="str">
        <f t="shared" si="27"/>
        <v>Mr.</v>
      </c>
      <c r="D597" t="str">
        <f t="shared" si="28"/>
        <v>Brent</v>
      </c>
      <c r="E597" t="str">
        <f t="shared" si="29"/>
        <v>Wathke</v>
      </c>
    </row>
    <row r="598" spans="1:5" ht="15.5" x14ac:dyDescent="0.35">
      <c r="A598" s="1" t="s">
        <v>1774</v>
      </c>
      <c r="B598" s="1" t="s">
        <v>2980</v>
      </c>
      <c r="C598" t="str">
        <f t="shared" si="27"/>
        <v>Mr.</v>
      </c>
      <c r="D598" t="str">
        <f t="shared" si="28"/>
        <v>Eugene M</v>
      </c>
      <c r="E598" t="str">
        <f t="shared" si="29"/>
        <v>Daly</v>
      </c>
    </row>
    <row r="599" spans="1:5" ht="15.5" x14ac:dyDescent="0.35">
      <c r="A599" s="1" t="s">
        <v>1773</v>
      </c>
      <c r="B599" s="1" t="s">
        <v>2981</v>
      </c>
      <c r="C599" t="str">
        <f t="shared" si="27"/>
        <v>Ms.</v>
      </c>
      <c r="D599" t="str">
        <f t="shared" si="28"/>
        <v>Erin D</v>
      </c>
      <c r="E599" t="str">
        <f t="shared" si="29"/>
        <v>Dillon</v>
      </c>
    </row>
    <row r="600" spans="1:5" ht="15.5" x14ac:dyDescent="0.35">
      <c r="A600" s="1" t="s">
        <v>1772</v>
      </c>
      <c r="B600" s="1" t="s">
        <v>2982</v>
      </c>
      <c r="C600" t="str">
        <f t="shared" si="27"/>
        <v>Ms.</v>
      </c>
      <c r="D600" t="str">
        <f t="shared" si="28"/>
        <v>Kamilla</v>
      </c>
      <c r="E600" t="str">
        <f t="shared" si="29"/>
        <v>Pontes</v>
      </c>
    </row>
    <row r="601" spans="1:5" ht="15.5" x14ac:dyDescent="0.35">
      <c r="A601" s="1" t="s">
        <v>1771</v>
      </c>
      <c r="B601" s="1" t="s">
        <v>2983</v>
      </c>
      <c r="C601" t="str">
        <f t="shared" si="27"/>
        <v>Mr.</v>
      </c>
      <c r="D601" t="str">
        <f t="shared" si="28"/>
        <v>Wayne I.</v>
      </c>
      <c r="E601" t="str">
        <f t="shared" si="29"/>
        <v>Spies</v>
      </c>
    </row>
    <row r="602" spans="1:5" ht="15.5" x14ac:dyDescent="0.35">
      <c r="A602" s="1" t="s">
        <v>1770</v>
      </c>
      <c r="B602" s="1" t="s">
        <v>2984</v>
      </c>
      <c r="C602" t="str">
        <f t="shared" si="27"/>
        <v>Ms.</v>
      </c>
      <c r="D602" t="str">
        <f t="shared" si="28"/>
        <v>Tracy L</v>
      </c>
      <c r="E602" t="str">
        <f t="shared" si="29"/>
        <v>Greig</v>
      </c>
    </row>
    <row r="603" spans="1:5" ht="15.5" x14ac:dyDescent="0.35">
      <c r="A603" s="1" t="s">
        <v>1769</v>
      </c>
      <c r="B603" s="1" t="s">
        <v>2985</v>
      </c>
      <c r="C603" t="str">
        <f t="shared" si="27"/>
        <v>Mrs.</v>
      </c>
      <c r="D603" t="str">
        <f t="shared" si="28"/>
        <v>Heather</v>
      </c>
      <c r="E603" t="str">
        <f t="shared" si="29"/>
        <v>Scott</v>
      </c>
    </row>
    <row r="604" spans="1:5" ht="15.5" x14ac:dyDescent="0.35">
      <c r="A604" s="1" t="s">
        <v>1768</v>
      </c>
      <c r="B604" s="1" t="s">
        <v>2986</v>
      </c>
      <c r="C604" t="str">
        <f t="shared" si="27"/>
        <v>Mrs.</v>
      </c>
      <c r="D604" t="str">
        <f t="shared" si="28"/>
        <v>Megan C</v>
      </c>
      <c r="E604" t="str">
        <f t="shared" si="29"/>
        <v>Erlandson</v>
      </c>
    </row>
    <row r="605" spans="1:5" ht="15.5" x14ac:dyDescent="0.35">
      <c r="A605" s="1" t="s">
        <v>1767</v>
      </c>
      <c r="B605" s="1" t="s">
        <v>2987</v>
      </c>
      <c r="C605" t="str">
        <f t="shared" si="27"/>
        <v>Mr.</v>
      </c>
      <c r="D605" t="str">
        <f t="shared" si="28"/>
        <v>Jonathan</v>
      </c>
      <c r="E605" t="str">
        <f t="shared" si="29"/>
        <v>Autrey</v>
      </c>
    </row>
    <row r="606" spans="1:5" ht="15.5" x14ac:dyDescent="0.35">
      <c r="A606" s="1" t="s">
        <v>1766</v>
      </c>
      <c r="B606" s="1" t="s">
        <v>2988</v>
      </c>
      <c r="C606" t="str">
        <f t="shared" si="27"/>
        <v>Mr.</v>
      </c>
      <c r="D606" t="str">
        <f t="shared" si="28"/>
        <v>Greg D.</v>
      </c>
      <c r="E606" t="str">
        <f t="shared" si="29"/>
        <v>Alleman</v>
      </c>
    </row>
    <row r="607" spans="1:5" ht="15.5" x14ac:dyDescent="0.35">
      <c r="A607" s="1" t="s">
        <v>1765</v>
      </c>
      <c r="B607" s="1" t="s">
        <v>2989</v>
      </c>
      <c r="C607" t="str">
        <f t="shared" si="27"/>
        <v>Mr.</v>
      </c>
      <c r="D607" t="str">
        <f t="shared" si="28"/>
        <v>Steven L.</v>
      </c>
      <c r="E607" t="str">
        <f t="shared" si="29"/>
        <v>Michalski</v>
      </c>
    </row>
    <row r="608" spans="1:5" ht="15.5" x14ac:dyDescent="0.35">
      <c r="A608" s="1" t="s">
        <v>1764</v>
      </c>
      <c r="B608" s="1" t="s">
        <v>2990</v>
      </c>
      <c r="C608" t="str">
        <f t="shared" si="27"/>
        <v>Mr.</v>
      </c>
      <c r="D608" t="str">
        <f t="shared" si="28"/>
        <v>Gianfilippo</v>
      </c>
      <c r="E608" t="str">
        <f t="shared" si="29"/>
        <v>Grillo</v>
      </c>
    </row>
    <row r="609" spans="1:5" ht="15.5" x14ac:dyDescent="0.35">
      <c r="A609" s="1" t="s">
        <v>1763</v>
      </c>
      <c r="B609" s="1" t="s">
        <v>2991</v>
      </c>
      <c r="C609" t="str">
        <f t="shared" si="27"/>
        <v>Mr.</v>
      </c>
      <c r="D609" t="str">
        <f t="shared" si="28"/>
        <v>Hector</v>
      </c>
      <c r="E609" t="str">
        <f t="shared" si="29"/>
        <v>Coronado</v>
      </c>
    </row>
    <row r="610" spans="1:5" ht="15.5" x14ac:dyDescent="0.35">
      <c r="A610" s="1" t="s">
        <v>1762</v>
      </c>
      <c r="B610" s="1" t="s">
        <v>2992</v>
      </c>
      <c r="C610" t="str">
        <f t="shared" si="27"/>
        <v>Mr.</v>
      </c>
      <c r="D610" t="str">
        <f t="shared" si="28"/>
        <v>Mark W.</v>
      </c>
      <c r="E610" t="str">
        <f t="shared" si="29"/>
        <v>Dewine</v>
      </c>
    </row>
    <row r="611" spans="1:5" ht="15.5" x14ac:dyDescent="0.35">
      <c r="A611" s="1" t="s">
        <v>1761</v>
      </c>
      <c r="B611" s="1" t="s">
        <v>2993</v>
      </c>
      <c r="C611" t="str">
        <f t="shared" si="27"/>
        <v>Mrs.</v>
      </c>
      <c r="D611" t="str">
        <f t="shared" si="28"/>
        <v>Aubri</v>
      </c>
      <c r="E611" t="str">
        <f t="shared" si="29"/>
        <v>Carman</v>
      </c>
    </row>
    <row r="612" spans="1:5" ht="15.5" x14ac:dyDescent="0.35">
      <c r="A612" s="1" t="s">
        <v>1760</v>
      </c>
      <c r="B612" s="1" t="s">
        <v>2994</v>
      </c>
      <c r="C612" t="str">
        <f t="shared" si="27"/>
        <v>Mr.</v>
      </c>
      <c r="D612" t="str">
        <f t="shared" si="28"/>
        <v>Justin</v>
      </c>
      <c r="E612" t="str">
        <f t="shared" si="29"/>
        <v>Neems</v>
      </c>
    </row>
    <row r="613" spans="1:5" ht="15.5" x14ac:dyDescent="0.35">
      <c r="A613" s="1" t="s">
        <v>1759</v>
      </c>
      <c r="B613" s="1" t="s">
        <v>2995</v>
      </c>
      <c r="C613" t="str">
        <f t="shared" si="27"/>
        <v>Ms.</v>
      </c>
      <c r="D613" t="str">
        <f t="shared" si="28"/>
        <v>Megan A.</v>
      </c>
      <c r="E613" t="str">
        <f t="shared" si="29"/>
        <v>Pesyna</v>
      </c>
    </row>
    <row r="614" spans="1:5" ht="15.5" x14ac:dyDescent="0.35">
      <c r="A614" s="1" t="s">
        <v>1758</v>
      </c>
      <c r="B614" s="1" t="s">
        <v>2996</v>
      </c>
      <c r="C614" t="str">
        <f t="shared" si="27"/>
        <v>Ms.</v>
      </c>
      <c r="D614" t="str">
        <f t="shared" si="28"/>
        <v>Erika M.</v>
      </c>
      <c r="E614" t="str">
        <f t="shared" si="29"/>
        <v>Meling</v>
      </c>
    </row>
    <row r="615" spans="1:5" ht="15.5" x14ac:dyDescent="0.35">
      <c r="A615" s="1" t="s">
        <v>1757</v>
      </c>
      <c r="B615" s="1" t="s">
        <v>2997</v>
      </c>
      <c r="C615" t="str">
        <f t="shared" si="27"/>
        <v>Mr.</v>
      </c>
      <c r="D615" t="str">
        <f t="shared" si="28"/>
        <v>Daniel G.</v>
      </c>
      <c r="E615" t="str">
        <f t="shared" si="29"/>
        <v>Widlowski</v>
      </c>
    </row>
    <row r="616" spans="1:5" ht="15.5" x14ac:dyDescent="0.35">
      <c r="A616" s="1" t="s">
        <v>1756</v>
      </c>
      <c r="B616" s="1" t="s">
        <v>2998</v>
      </c>
      <c r="C616" t="str">
        <f t="shared" si="27"/>
        <v>Ms.</v>
      </c>
      <c r="D616" t="str">
        <f t="shared" si="28"/>
        <v>Devin C.</v>
      </c>
      <c r="E616" t="str">
        <f t="shared" si="29"/>
        <v>Nadar</v>
      </c>
    </row>
    <row r="617" spans="1:5" ht="15.5" x14ac:dyDescent="0.35">
      <c r="A617" s="1" t="s">
        <v>1755</v>
      </c>
      <c r="B617" s="1" t="s">
        <v>2999</v>
      </c>
      <c r="C617" t="str">
        <f t="shared" si="27"/>
        <v>Ms.</v>
      </c>
      <c r="D617" t="str">
        <f t="shared" si="28"/>
        <v>Louise A</v>
      </c>
      <c r="E617" t="str">
        <f t="shared" si="29"/>
        <v>Turner</v>
      </c>
    </row>
    <row r="618" spans="1:5" ht="15.5" x14ac:dyDescent="0.35">
      <c r="A618" s="1" t="s">
        <v>1754</v>
      </c>
      <c r="B618" s="1" t="s">
        <v>3000</v>
      </c>
      <c r="C618" t="str">
        <f t="shared" si="27"/>
        <v>Mrs.</v>
      </c>
      <c r="D618" t="str">
        <f t="shared" si="28"/>
        <v>Sarah</v>
      </c>
      <c r="E618" t="str">
        <f t="shared" si="29"/>
        <v>Walker</v>
      </c>
    </row>
    <row r="619" spans="1:5" ht="15.5" x14ac:dyDescent="0.35">
      <c r="A619" s="1" t="s">
        <v>1753</v>
      </c>
      <c r="B619" s="1" t="s">
        <v>3001</v>
      </c>
      <c r="C619" t="str">
        <f t="shared" si="27"/>
        <v>Ms.</v>
      </c>
      <c r="D619" t="str">
        <f t="shared" si="28"/>
        <v>Amy</v>
      </c>
      <c r="E619" t="str">
        <f t="shared" si="29"/>
        <v>Leedham</v>
      </c>
    </row>
    <row r="620" spans="1:5" ht="15.5" x14ac:dyDescent="0.35">
      <c r="A620" s="1" t="s">
        <v>1752</v>
      </c>
      <c r="B620" s="1" t="s">
        <v>3002</v>
      </c>
      <c r="C620" t="str">
        <f t="shared" si="27"/>
        <v>Ms.</v>
      </c>
      <c r="D620" t="str">
        <f t="shared" si="28"/>
        <v>Brittany L.</v>
      </c>
      <c r="E620" t="str">
        <f t="shared" si="29"/>
        <v>Haglund</v>
      </c>
    </row>
    <row r="621" spans="1:5" ht="15.5" x14ac:dyDescent="0.35">
      <c r="A621" s="1" t="s">
        <v>1751</v>
      </c>
      <c r="B621" s="1" t="s">
        <v>3003</v>
      </c>
      <c r="C621" t="str">
        <f t="shared" si="27"/>
        <v>Ms.</v>
      </c>
      <c r="D621" t="str">
        <f t="shared" si="28"/>
        <v>Jessica L</v>
      </c>
      <c r="E621" t="str">
        <f t="shared" si="29"/>
        <v>Mills</v>
      </c>
    </row>
    <row r="622" spans="1:5" ht="15.5" x14ac:dyDescent="0.35">
      <c r="A622" s="1" t="s">
        <v>1750</v>
      </c>
      <c r="B622" s="1" t="s">
        <v>3004</v>
      </c>
      <c r="C622" t="str">
        <f t="shared" si="27"/>
        <v>Mrs.</v>
      </c>
      <c r="D622" t="str">
        <f t="shared" si="28"/>
        <v>Kristina K</v>
      </c>
      <c r="E622" t="str">
        <f t="shared" si="29"/>
        <v>Drnjevich</v>
      </c>
    </row>
    <row r="623" spans="1:5" ht="15.5" x14ac:dyDescent="0.35">
      <c r="A623" s="1" t="s">
        <v>1749</v>
      </c>
      <c r="B623" s="1" t="s">
        <v>3005</v>
      </c>
      <c r="C623" t="str">
        <f t="shared" si="27"/>
        <v>Mr.</v>
      </c>
      <c r="D623" t="str">
        <f t="shared" si="28"/>
        <v>Brad</v>
      </c>
      <c r="E623" t="str">
        <f t="shared" si="29"/>
        <v>Clay</v>
      </c>
    </row>
    <row r="624" spans="1:5" ht="15.5" x14ac:dyDescent="0.35">
      <c r="A624" s="1" t="s">
        <v>1748</v>
      </c>
      <c r="B624" s="1" t="s">
        <v>3006</v>
      </c>
      <c r="C624" t="str">
        <f t="shared" si="27"/>
        <v>Ms.</v>
      </c>
      <c r="D624" t="str">
        <f t="shared" si="28"/>
        <v>Margaret O</v>
      </c>
      <c r="E624" t="str">
        <f t="shared" si="29"/>
        <v>Marbury</v>
      </c>
    </row>
    <row r="625" spans="1:5" ht="15.5" x14ac:dyDescent="0.35">
      <c r="A625" s="1" t="s">
        <v>1747</v>
      </c>
      <c r="B625" s="1" t="s">
        <v>3007</v>
      </c>
      <c r="C625" t="str">
        <f t="shared" si="27"/>
        <v>Mr.</v>
      </c>
      <c r="D625" t="str">
        <f t="shared" si="28"/>
        <v>Craig R.</v>
      </c>
      <c r="E625" t="str">
        <f t="shared" si="29"/>
        <v>Coon</v>
      </c>
    </row>
    <row r="626" spans="1:5" ht="15.5" x14ac:dyDescent="0.35">
      <c r="A626" s="1" t="s">
        <v>1746</v>
      </c>
      <c r="B626" s="1" t="s">
        <v>3008</v>
      </c>
      <c r="C626" t="str">
        <f t="shared" si="27"/>
        <v>Mr.</v>
      </c>
      <c r="D626" t="str">
        <f t="shared" si="28"/>
        <v>Simo</v>
      </c>
      <c r="E626" t="str">
        <f t="shared" si="29"/>
        <v>Vanttinen</v>
      </c>
    </row>
    <row r="627" spans="1:5" ht="15.5" x14ac:dyDescent="0.35">
      <c r="A627" s="1" t="s">
        <v>1745</v>
      </c>
      <c r="B627" s="1" t="s">
        <v>3009</v>
      </c>
      <c r="C627" t="str">
        <f t="shared" si="27"/>
        <v>Mr.</v>
      </c>
      <c r="D627" t="str">
        <f t="shared" si="28"/>
        <v>Christopher J</v>
      </c>
      <c r="E627" t="str">
        <f t="shared" si="29"/>
        <v>Garges</v>
      </c>
    </row>
    <row r="628" spans="1:5" ht="15.5" x14ac:dyDescent="0.35">
      <c r="A628" s="1" t="s">
        <v>1744</v>
      </c>
      <c r="B628" s="1" t="s">
        <v>3010</v>
      </c>
      <c r="C628" t="str">
        <f t="shared" si="27"/>
        <v>Mr.</v>
      </c>
      <c r="D628" t="str">
        <f t="shared" si="28"/>
        <v>Mario Sr.</v>
      </c>
      <c r="E628" t="str">
        <f t="shared" si="29"/>
        <v>Rivel</v>
      </c>
    </row>
    <row r="629" spans="1:5" ht="15.5" x14ac:dyDescent="0.35">
      <c r="A629" s="1" t="s">
        <v>1743</v>
      </c>
      <c r="B629" s="1" t="s">
        <v>3011</v>
      </c>
      <c r="C629" t="str">
        <f t="shared" si="27"/>
        <v>Mrs.</v>
      </c>
      <c r="D629" t="str">
        <f t="shared" si="28"/>
        <v>Meghann R.</v>
      </c>
      <c r="E629" t="str">
        <f t="shared" si="29"/>
        <v>Lawson</v>
      </c>
    </row>
    <row r="630" spans="1:5" ht="15.5" x14ac:dyDescent="0.35">
      <c r="A630" s="1" t="s">
        <v>1742</v>
      </c>
      <c r="B630" s="1" t="s">
        <v>3012</v>
      </c>
      <c r="C630" t="str">
        <f t="shared" si="27"/>
        <v>Mr.</v>
      </c>
      <c r="D630" t="str">
        <f t="shared" si="28"/>
        <v>Scott M</v>
      </c>
      <c r="E630" t="str">
        <f t="shared" si="29"/>
        <v>Cale</v>
      </c>
    </row>
    <row r="631" spans="1:5" ht="15.5" x14ac:dyDescent="0.35">
      <c r="A631" s="1" t="s">
        <v>1741</v>
      </c>
      <c r="B631" s="1" t="s">
        <v>3013</v>
      </c>
      <c r="C631" t="str">
        <f t="shared" si="27"/>
        <v>Ms.</v>
      </c>
      <c r="D631" t="str">
        <f t="shared" si="28"/>
        <v>Caitlin E.</v>
      </c>
      <c r="E631" t="str">
        <f t="shared" si="29"/>
        <v>Phillips</v>
      </c>
    </row>
    <row r="632" spans="1:5" ht="15.5" x14ac:dyDescent="0.35">
      <c r="A632" s="1" t="s">
        <v>1740</v>
      </c>
      <c r="B632" s="1" t="s">
        <v>3014</v>
      </c>
      <c r="C632" t="str">
        <f t="shared" si="27"/>
        <v>Mrs.</v>
      </c>
      <c r="D632" t="str">
        <f t="shared" si="28"/>
        <v>Samantha A.</v>
      </c>
      <c r="E632" t="str">
        <f t="shared" si="29"/>
        <v>Stewart</v>
      </c>
    </row>
    <row r="633" spans="1:5" ht="15.5" x14ac:dyDescent="0.35">
      <c r="A633" s="1" t="s">
        <v>1739</v>
      </c>
      <c r="B633" s="1" t="s">
        <v>3015</v>
      </c>
      <c r="C633" t="str">
        <f t="shared" si="27"/>
        <v>Mr.</v>
      </c>
      <c r="D633" t="str">
        <f t="shared" si="28"/>
        <v>Erik</v>
      </c>
      <c r="E633" t="str">
        <f t="shared" si="29"/>
        <v>Drotz</v>
      </c>
    </row>
    <row r="634" spans="1:5" ht="15.5" x14ac:dyDescent="0.35">
      <c r="A634" s="1" t="s">
        <v>1738</v>
      </c>
      <c r="B634" s="1" t="s">
        <v>3016</v>
      </c>
      <c r="C634" t="str">
        <f t="shared" si="27"/>
        <v>Mr.</v>
      </c>
      <c r="D634" t="str">
        <f t="shared" si="28"/>
        <v>Christopher</v>
      </c>
      <c r="E634" t="str">
        <f t="shared" si="29"/>
        <v>Mutai</v>
      </c>
    </row>
    <row r="635" spans="1:5" ht="15.5" x14ac:dyDescent="0.35">
      <c r="A635" s="1" t="s">
        <v>1737</v>
      </c>
      <c r="B635" s="1" t="s">
        <v>3017</v>
      </c>
      <c r="C635" t="str">
        <f t="shared" si="27"/>
        <v>Mrs.</v>
      </c>
      <c r="D635" t="str">
        <f t="shared" si="28"/>
        <v>Maya</v>
      </c>
      <c r="E635" t="str">
        <f t="shared" si="29"/>
        <v>Lovlien</v>
      </c>
    </row>
    <row r="636" spans="1:5" ht="15.5" x14ac:dyDescent="0.35">
      <c r="A636" s="1" t="s">
        <v>1736</v>
      </c>
      <c r="B636" s="1" t="s">
        <v>3018</v>
      </c>
      <c r="C636" t="str">
        <f t="shared" si="27"/>
        <v>Mr.</v>
      </c>
      <c r="D636" t="str">
        <f t="shared" si="28"/>
        <v>Zachary T</v>
      </c>
      <c r="E636" t="str">
        <f t="shared" si="29"/>
        <v>Bruns</v>
      </c>
    </row>
    <row r="637" spans="1:5" ht="15.5" x14ac:dyDescent="0.35">
      <c r="A637" s="1" t="s">
        <v>1735</v>
      </c>
      <c r="B637" s="1" t="s">
        <v>3019</v>
      </c>
      <c r="C637" t="str">
        <f t="shared" si="27"/>
        <v>Mrs.</v>
      </c>
      <c r="D637" t="str">
        <f t="shared" si="28"/>
        <v>Hilda</v>
      </c>
      <c r="E637" t="str">
        <f t="shared" si="29"/>
        <v>Stoney</v>
      </c>
    </row>
    <row r="638" spans="1:5" ht="15.5" x14ac:dyDescent="0.35">
      <c r="A638" s="1" t="s">
        <v>1734</v>
      </c>
      <c r="B638" s="1" t="s">
        <v>3020</v>
      </c>
      <c r="C638" t="str">
        <f t="shared" si="27"/>
        <v>Ms.</v>
      </c>
      <c r="D638" t="str">
        <f t="shared" si="28"/>
        <v>Stephanie</v>
      </c>
      <c r="E638" t="str">
        <f t="shared" si="29"/>
        <v>Markert</v>
      </c>
    </row>
    <row r="639" spans="1:5" ht="15.5" x14ac:dyDescent="0.35">
      <c r="A639" s="1" t="s">
        <v>1733</v>
      </c>
      <c r="B639" s="1" t="s">
        <v>3021</v>
      </c>
      <c r="C639" t="str">
        <f t="shared" si="27"/>
        <v>Mr.</v>
      </c>
      <c r="D639" t="str">
        <f t="shared" si="28"/>
        <v>Doug</v>
      </c>
      <c r="E639" t="str">
        <f t="shared" si="29"/>
        <v>McLucas</v>
      </c>
    </row>
    <row r="640" spans="1:5" ht="15.5" x14ac:dyDescent="0.35">
      <c r="A640" s="1" t="s">
        <v>1732</v>
      </c>
      <c r="B640" s="1" t="s">
        <v>3022</v>
      </c>
      <c r="C640" t="str">
        <f t="shared" si="27"/>
        <v>Ms.</v>
      </c>
      <c r="D640" t="str">
        <f t="shared" si="28"/>
        <v>Bethany N.</v>
      </c>
      <c r="E640" t="str">
        <f t="shared" si="29"/>
        <v>Erwin</v>
      </c>
    </row>
    <row r="641" spans="1:5" ht="15.5" x14ac:dyDescent="0.35">
      <c r="A641" s="1" t="s">
        <v>1731</v>
      </c>
      <c r="B641" s="1" t="s">
        <v>3023</v>
      </c>
      <c r="C641" t="str">
        <f t="shared" si="27"/>
        <v>Mrs.</v>
      </c>
      <c r="D641" t="str">
        <f t="shared" si="28"/>
        <v>Sandra H</v>
      </c>
      <c r="E641" t="str">
        <f t="shared" si="29"/>
        <v>Osborne</v>
      </c>
    </row>
    <row r="642" spans="1:5" ht="15.5" x14ac:dyDescent="0.35">
      <c r="A642" s="1" t="s">
        <v>1730</v>
      </c>
      <c r="B642" s="1" t="s">
        <v>3024</v>
      </c>
      <c r="C642" t="str">
        <f t="shared" si="27"/>
        <v>Mr.</v>
      </c>
      <c r="D642" t="str">
        <f t="shared" si="28"/>
        <v>Takuo</v>
      </c>
      <c r="E642" t="str">
        <f t="shared" si="29"/>
        <v>Otsuka</v>
      </c>
    </row>
    <row r="643" spans="1:5" ht="15.5" x14ac:dyDescent="0.35">
      <c r="A643" s="1" t="s">
        <v>1729</v>
      </c>
      <c r="B643" s="1" t="s">
        <v>3025</v>
      </c>
      <c r="C643" t="str">
        <f t="shared" ref="C643:C706" si="30">TRIM(MID(B643,FIND(",",B643)+1,FIND(".",B643)-FIND(",",B643)))</f>
        <v>Ms.</v>
      </c>
      <c r="D643" t="str">
        <f t="shared" ref="D643:D706" si="31">TRIM(MID(B643,FIND(".",B643)+1,LEN(B643)))</f>
        <v>Kelly A.</v>
      </c>
      <c r="E643" t="str">
        <f t="shared" ref="E643:E706" si="32">TRIM(LEFT(B643,FIND(",",B643)-1))</f>
        <v>Smith</v>
      </c>
    </row>
    <row r="644" spans="1:5" ht="15.5" x14ac:dyDescent="0.35">
      <c r="A644" s="1" t="s">
        <v>1728</v>
      </c>
      <c r="B644" s="1" t="s">
        <v>3026</v>
      </c>
      <c r="C644" t="str">
        <f t="shared" si="30"/>
        <v>Mr.</v>
      </c>
      <c r="D644" t="str">
        <f t="shared" si="31"/>
        <v>Scott</v>
      </c>
      <c r="E644" t="str">
        <f t="shared" si="32"/>
        <v>Myers</v>
      </c>
    </row>
    <row r="645" spans="1:5" ht="15.5" x14ac:dyDescent="0.35">
      <c r="A645" s="1" t="s">
        <v>1727</v>
      </c>
      <c r="B645" s="1" t="s">
        <v>3027</v>
      </c>
      <c r="C645" t="str">
        <f t="shared" si="30"/>
        <v>Mr.</v>
      </c>
      <c r="D645" t="str">
        <f t="shared" si="31"/>
        <v>Benoit</v>
      </c>
      <c r="E645" t="str">
        <f t="shared" si="32"/>
        <v>Cote</v>
      </c>
    </row>
    <row r="646" spans="1:5" ht="15.5" x14ac:dyDescent="0.35">
      <c r="A646" s="1" t="s">
        <v>1726</v>
      </c>
      <c r="B646" s="1" t="s">
        <v>3028</v>
      </c>
      <c r="C646" t="str">
        <f t="shared" si="30"/>
        <v>Ms.</v>
      </c>
      <c r="D646" t="str">
        <f t="shared" si="31"/>
        <v>Elizabeth M.</v>
      </c>
      <c r="E646" t="str">
        <f t="shared" si="32"/>
        <v>Ehrhardt</v>
      </c>
    </row>
    <row r="647" spans="1:5" ht="15.5" x14ac:dyDescent="0.35">
      <c r="A647" s="1" t="s">
        <v>1725</v>
      </c>
      <c r="B647" s="1" t="s">
        <v>3029</v>
      </c>
      <c r="C647" t="str">
        <f t="shared" si="30"/>
        <v>Ms.</v>
      </c>
      <c r="D647" t="str">
        <f t="shared" si="31"/>
        <v>Jessica A.</v>
      </c>
      <c r="E647" t="str">
        <f t="shared" si="32"/>
        <v>Petersen</v>
      </c>
    </row>
    <row r="648" spans="1:5" ht="15.5" x14ac:dyDescent="0.35">
      <c r="A648" s="1" t="s">
        <v>1724</v>
      </c>
      <c r="B648" s="1" t="s">
        <v>3030</v>
      </c>
      <c r="C648" t="str">
        <f t="shared" si="30"/>
        <v>Ms.</v>
      </c>
      <c r="D648" t="str">
        <f t="shared" si="31"/>
        <v>Monica K</v>
      </c>
      <c r="E648" t="str">
        <f t="shared" si="32"/>
        <v>Ertel</v>
      </c>
    </row>
    <row r="649" spans="1:5" ht="15.5" x14ac:dyDescent="0.35">
      <c r="A649" s="1" t="s">
        <v>1723</v>
      </c>
      <c r="B649" s="1" t="s">
        <v>3031</v>
      </c>
      <c r="C649" t="str">
        <f t="shared" si="30"/>
        <v>Mr.</v>
      </c>
      <c r="D649" t="str">
        <f t="shared" si="31"/>
        <v>Kevin L</v>
      </c>
      <c r="E649" t="str">
        <f t="shared" si="32"/>
        <v>Lanza</v>
      </c>
    </row>
    <row r="650" spans="1:5" ht="15.5" x14ac:dyDescent="0.35">
      <c r="A650" s="1" t="s">
        <v>1722</v>
      </c>
      <c r="B650" s="1" t="s">
        <v>3032</v>
      </c>
      <c r="C650" t="str">
        <f t="shared" si="30"/>
        <v>Mr.</v>
      </c>
      <c r="D650" t="str">
        <f t="shared" si="31"/>
        <v>Gregory</v>
      </c>
      <c r="E650" t="str">
        <f t="shared" si="32"/>
        <v>Picklesimer</v>
      </c>
    </row>
    <row r="651" spans="1:5" ht="15.5" x14ac:dyDescent="0.35">
      <c r="A651" s="1" t="s">
        <v>1721</v>
      </c>
      <c r="B651" s="1" t="s">
        <v>3033</v>
      </c>
      <c r="C651" t="str">
        <f t="shared" si="30"/>
        <v>Ms.</v>
      </c>
      <c r="D651" t="str">
        <f t="shared" si="31"/>
        <v>Della</v>
      </c>
      <c r="E651" t="str">
        <f t="shared" si="32"/>
        <v>Giles</v>
      </c>
    </row>
    <row r="652" spans="1:5" ht="15.5" x14ac:dyDescent="0.35">
      <c r="A652" s="1" t="s">
        <v>1720</v>
      </c>
      <c r="B652" s="1" t="s">
        <v>3034</v>
      </c>
      <c r="C652" t="str">
        <f t="shared" si="30"/>
        <v>Mr.</v>
      </c>
      <c r="D652" t="str">
        <f t="shared" si="31"/>
        <v>David</v>
      </c>
      <c r="E652" t="str">
        <f t="shared" si="32"/>
        <v>Harmon</v>
      </c>
    </row>
    <row r="653" spans="1:5" ht="15.5" x14ac:dyDescent="0.35">
      <c r="A653" s="1" t="s">
        <v>1719</v>
      </c>
      <c r="B653" s="1" t="s">
        <v>3035</v>
      </c>
      <c r="C653" t="str">
        <f t="shared" si="30"/>
        <v>Ms.</v>
      </c>
      <c r="D653" t="str">
        <f t="shared" si="31"/>
        <v>Victoria</v>
      </c>
      <c r="E653" t="str">
        <f t="shared" si="32"/>
        <v>Pennings</v>
      </c>
    </row>
    <row r="654" spans="1:5" ht="15.5" x14ac:dyDescent="0.35">
      <c r="A654" s="1" t="s">
        <v>1718</v>
      </c>
      <c r="B654" s="1" t="s">
        <v>3036</v>
      </c>
      <c r="C654" t="str">
        <f t="shared" si="30"/>
        <v>Mr.</v>
      </c>
      <c r="D654" t="str">
        <f t="shared" si="31"/>
        <v>Tasos</v>
      </c>
      <c r="E654" t="str">
        <f t="shared" si="32"/>
        <v>Tseronis</v>
      </c>
    </row>
    <row r="655" spans="1:5" ht="15.5" x14ac:dyDescent="0.35">
      <c r="A655" s="1" t="s">
        <v>1717</v>
      </c>
      <c r="B655" s="1" t="s">
        <v>3037</v>
      </c>
      <c r="C655" t="str">
        <f t="shared" si="30"/>
        <v>Mr.</v>
      </c>
      <c r="D655" t="str">
        <f t="shared" si="31"/>
        <v>Thomas</v>
      </c>
      <c r="E655" t="str">
        <f t="shared" si="32"/>
        <v>Aliff</v>
      </c>
    </row>
    <row r="656" spans="1:5" ht="15.5" x14ac:dyDescent="0.35">
      <c r="A656" s="1" t="s">
        <v>1716</v>
      </c>
      <c r="B656" s="1" t="s">
        <v>3038</v>
      </c>
      <c r="C656" t="str">
        <f t="shared" si="30"/>
        <v>Mr.</v>
      </c>
      <c r="D656" t="str">
        <f t="shared" si="31"/>
        <v>Lukasz</v>
      </c>
      <c r="E656" t="str">
        <f t="shared" si="32"/>
        <v>Willenberg</v>
      </c>
    </row>
    <row r="657" spans="1:5" ht="15.5" x14ac:dyDescent="0.35">
      <c r="A657" s="1" t="s">
        <v>1715</v>
      </c>
      <c r="B657" s="1" t="s">
        <v>3039</v>
      </c>
      <c r="C657" t="str">
        <f t="shared" si="30"/>
        <v>Mr.</v>
      </c>
      <c r="D657" t="str">
        <f t="shared" si="31"/>
        <v>Matthew A.</v>
      </c>
      <c r="E657" t="str">
        <f t="shared" si="32"/>
        <v>Millett</v>
      </c>
    </row>
    <row r="658" spans="1:5" ht="15.5" x14ac:dyDescent="0.35">
      <c r="A658" s="1" t="s">
        <v>1714</v>
      </c>
      <c r="B658" s="1" t="s">
        <v>3040</v>
      </c>
      <c r="C658" t="str">
        <f t="shared" si="30"/>
        <v>Ms.</v>
      </c>
      <c r="D658" t="str">
        <f t="shared" si="31"/>
        <v>Meta</v>
      </c>
      <c r="E658" t="str">
        <f t="shared" si="32"/>
        <v>Haley</v>
      </c>
    </row>
    <row r="659" spans="1:5" ht="15.5" x14ac:dyDescent="0.35">
      <c r="A659" s="1" t="s">
        <v>1713</v>
      </c>
      <c r="B659" s="1" t="s">
        <v>3041</v>
      </c>
      <c r="C659" t="str">
        <f t="shared" si="30"/>
        <v>Ms.</v>
      </c>
      <c r="D659" t="str">
        <f t="shared" si="31"/>
        <v>Rachel E</v>
      </c>
      <c r="E659" t="str">
        <f t="shared" si="32"/>
        <v>Ackerman</v>
      </c>
    </row>
    <row r="660" spans="1:5" ht="15.5" x14ac:dyDescent="0.35">
      <c r="A660" s="1" t="s">
        <v>1712</v>
      </c>
      <c r="B660" s="1" t="s">
        <v>3042</v>
      </c>
      <c r="C660" t="str">
        <f t="shared" si="30"/>
        <v>Ms.</v>
      </c>
      <c r="D660" t="str">
        <f t="shared" si="31"/>
        <v>Angelica</v>
      </c>
      <c r="E660" t="str">
        <f t="shared" si="32"/>
        <v>Valdez</v>
      </c>
    </row>
    <row r="661" spans="1:5" ht="15.5" x14ac:dyDescent="0.35">
      <c r="A661" s="1" t="s">
        <v>1711</v>
      </c>
      <c r="B661" s="1" t="s">
        <v>3043</v>
      </c>
      <c r="C661" t="str">
        <f t="shared" si="30"/>
        <v>Ms.</v>
      </c>
      <c r="D661" t="str">
        <f t="shared" si="31"/>
        <v>Kathleen</v>
      </c>
      <c r="E661" t="str">
        <f t="shared" si="32"/>
        <v>Michaud</v>
      </c>
    </row>
    <row r="662" spans="1:5" ht="15.5" x14ac:dyDescent="0.35">
      <c r="A662" s="1" t="s">
        <v>1710</v>
      </c>
      <c r="B662" s="1" t="s">
        <v>3044</v>
      </c>
      <c r="C662" t="str">
        <f t="shared" si="30"/>
        <v>Mr.</v>
      </c>
      <c r="D662" t="str">
        <f t="shared" si="31"/>
        <v>Gabriel D.</v>
      </c>
      <c r="E662" t="str">
        <f t="shared" si="32"/>
        <v>Gunnink</v>
      </c>
    </row>
    <row r="663" spans="1:5" ht="15.5" x14ac:dyDescent="0.35">
      <c r="A663" s="1" t="s">
        <v>1709</v>
      </c>
      <c r="B663" s="1" t="s">
        <v>3045</v>
      </c>
      <c r="C663" t="str">
        <f t="shared" si="30"/>
        <v>Mr.</v>
      </c>
      <c r="D663" t="str">
        <f t="shared" si="31"/>
        <v>Jeff T</v>
      </c>
      <c r="E663" t="str">
        <f t="shared" si="32"/>
        <v>Knight</v>
      </c>
    </row>
    <row r="664" spans="1:5" ht="15.5" x14ac:dyDescent="0.35">
      <c r="A664" s="1" t="s">
        <v>1708</v>
      </c>
      <c r="B664" s="1" t="s">
        <v>3046</v>
      </c>
      <c r="C664" t="str">
        <f t="shared" si="30"/>
        <v>Mr.</v>
      </c>
      <c r="D664" t="str">
        <f t="shared" si="31"/>
        <v>Neil D</v>
      </c>
      <c r="E664" t="str">
        <f t="shared" si="32"/>
        <v>Grosscup</v>
      </c>
    </row>
    <row r="665" spans="1:5" ht="15.5" x14ac:dyDescent="0.35">
      <c r="A665" s="1" t="s">
        <v>1707</v>
      </c>
      <c r="B665" s="1" t="s">
        <v>3047</v>
      </c>
      <c r="C665" t="str">
        <f t="shared" si="30"/>
        <v>Ms.</v>
      </c>
      <c r="D665" t="str">
        <f t="shared" si="31"/>
        <v>Katherine L.</v>
      </c>
      <c r="E665" t="str">
        <f t="shared" si="32"/>
        <v>Koniuch</v>
      </c>
    </row>
    <row r="666" spans="1:5" ht="15.5" x14ac:dyDescent="0.35">
      <c r="A666" s="1" t="s">
        <v>1706</v>
      </c>
      <c r="B666" s="1" t="s">
        <v>3048</v>
      </c>
      <c r="C666" t="str">
        <f t="shared" si="30"/>
        <v>Ms.</v>
      </c>
      <c r="D666" t="str">
        <f t="shared" si="31"/>
        <v>Ariel E</v>
      </c>
      <c r="E666" t="str">
        <f t="shared" si="32"/>
        <v>Heitzman</v>
      </c>
    </row>
    <row r="667" spans="1:5" ht="15.5" x14ac:dyDescent="0.35">
      <c r="A667" s="1" t="s">
        <v>1705</v>
      </c>
      <c r="B667" s="1" t="s">
        <v>3049</v>
      </c>
      <c r="C667" t="str">
        <f t="shared" si="30"/>
        <v>Mr.</v>
      </c>
      <c r="D667" t="str">
        <f t="shared" si="31"/>
        <v>Christopher P</v>
      </c>
      <c r="E667" t="str">
        <f t="shared" si="32"/>
        <v>Tatton</v>
      </c>
    </row>
    <row r="668" spans="1:5" ht="15.5" x14ac:dyDescent="0.35">
      <c r="A668" s="1" t="s">
        <v>1704</v>
      </c>
      <c r="B668" s="1" t="s">
        <v>3050</v>
      </c>
      <c r="C668" t="str">
        <f t="shared" si="30"/>
        <v>Mrs.</v>
      </c>
      <c r="D668" t="str">
        <f t="shared" si="31"/>
        <v>Erin M.</v>
      </c>
      <c r="E668" t="str">
        <f t="shared" si="32"/>
        <v>Flanagan</v>
      </c>
    </row>
    <row r="669" spans="1:5" ht="15.5" x14ac:dyDescent="0.35">
      <c r="A669" s="1" t="s">
        <v>1703</v>
      </c>
      <c r="B669" s="1" t="s">
        <v>3051</v>
      </c>
      <c r="C669" t="str">
        <f t="shared" si="30"/>
        <v>Mrs.</v>
      </c>
      <c r="D669" t="str">
        <f t="shared" si="31"/>
        <v>Molly K.</v>
      </c>
      <c r="E669" t="str">
        <f t="shared" si="32"/>
        <v>Funk</v>
      </c>
    </row>
    <row r="670" spans="1:5" ht="15.5" x14ac:dyDescent="0.35">
      <c r="A670" s="1" t="s">
        <v>1702</v>
      </c>
      <c r="B670" s="1" t="s">
        <v>3052</v>
      </c>
      <c r="C670" t="str">
        <f t="shared" si="30"/>
        <v>Mr.</v>
      </c>
      <c r="D670" t="str">
        <f t="shared" si="31"/>
        <v>Ryan J.</v>
      </c>
      <c r="E670" t="str">
        <f t="shared" si="32"/>
        <v>Davenport</v>
      </c>
    </row>
    <row r="671" spans="1:5" ht="15.5" x14ac:dyDescent="0.35">
      <c r="A671" s="1" t="s">
        <v>1701</v>
      </c>
      <c r="B671" s="1" t="s">
        <v>3053</v>
      </c>
      <c r="C671" t="str">
        <f t="shared" si="30"/>
        <v>Mrs.</v>
      </c>
      <c r="D671" t="str">
        <f t="shared" si="31"/>
        <v>Jennifer</v>
      </c>
      <c r="E671" t="str">
        <f t="shared" si="32"/>
        <v>Nicholson</v>
      </c>
    </row>
    <row r="672" spans="1:5" ht="15.5" x14ac:dyDescent="0.35">
      <c r="A672" s="1" t="s">
        <v>1700</v>
      </c>
      <c r="B672" s="1" t="s">
        <v>3054</v>
      </c>
      <c r="C672" t="str">
        <f t="shared" si="30"/>
        <v>Mr.</v>
      </c>
      <c r="D672" t="str">
        <f t="shared" si="31"/>
        <v>Daniel M</v>
      </c>
      <c r="E672" t="str">
        <f t="shared" si="32"/>
        <v>Lindbloom</v>
      </c>
    </row>
    <row r="673" spans="1:5" ht="15.5" x14ac:dyDescent="0.35">
      <c r="A673" s="1" t="s">
        <v>1699</v>
      </c>
      <c r="B673" s="1" t="s">
        <v>3055</v>
      </c>
      <c r="C673" t="str">
        <f t="shared" si="30"/>
        <v>Ms.</v>
      </c>
      <c r="D673" t="str">
        <f t="shared" si="31"/>
        <v>Hiruni</v>
      </c>
      <c r="E673" t="str">
        <f t="shared" si="32"/>
        <v>Wijayaratne</v>
      </c>
    </row>
    <row r="674" spans="1:5" ht="15.5" x14ac:dyDescent="0.35">
      <c r="A674" s="1" t="s">
        <v>1698</v>
      </c>
      <c r="B674" s="1" t="s">
        <v>3056</v>
      </c>
      <c r="C674" t="str">
        <f t="shared" si="30"/>
        <v>Ms.</v>
      </c>
      <c r="D674" t="str">
        <f t="shared" si="31"/>
        <v>Reina H.</v>
      </c>
      <c r="E674" t="str">
        <f t="shared" si="32"/>
        <v>Ainsworth</v>
      </c>
    </row>
    <row r="675" spans="1:5" ht="15.5" x14ac:dyDescent="0.35">
      <c r="A675" s="1" t="s">
        <v>1697</v>
      </c>
      <c r="B675" s="1" t="s">
        <v>3057</v>
      </c>
      <c r="C675" t="str">
        <f t="shared" si="30"/>
        <v>Ms.</v>
      </c>
      <c r="D675" t="str">
        <f t="shared" si="31"/>
        <v>Kristi</v>
      </c>
      <c r="E675" t="str">
        <f t="shared" si="32"/>
        <v>Gayagoy</v>
      </c>
    </row>
    <row r="676" spans="1:5" ht="15.5" x14ac:dyDescent="0.35">
      <c r="A676" s="1" t="s">
        <v>1696</v>
      </c>
      <c r="B676" s="1" t="s">
        <v>3058</v>
      </c>
      <c r="C676" t="str">
        <f t="shared" si="30"/>
        <v>Ms.</v>
      </c>
      <c r="D676" t="str">
        <f t="shared" si="31"/>
        <v>Meredith L.</v>
      </c>
      <c r="E676" t="str">
        <f t="shared" si="32"/>
        <v>Fitzmaurice</v>
      </c>
    </row>
    <row r="677" spans="1:5" ht="15.5" x14ac:dyDescent="0.35">
      <c r="A677" s="1" t="s">
        <v>1695</v>
      </c>
      <c r="B677" s="1" t="s">
        <v>3059</v>
      </c>
      <c r="C677" t="str">
        <f t="shared" si="30"/>
        <v>Ms.</v>
      </c>
      <c r="D677" t="str">
        <f t="shared" si="31"/>
        <v>Jocelyn</v>
      </c>
      <c r="E677" t="str">
        <f t="shared" si="32"/>
        <v>Rodriguez</v>
      </c>
    </row>
    <row r="678" spans="1:5" ht="15.5" x14ac:dyDescent="0.35">
      <c r="A678" s="1" t="s">
        <v>1694</v>
      </c>
      <c r="B678" s="1" t="s">
        <v>3060</v>
      </c>
      <c r="C678" t="str">
        <f t="shared" si="30"/>
        <v>Mrs.</v>
      </c>
      <c r="D678" t="str">
        <f t="shared" si="31"/>
        <v>Daphne</v>
      </c>
      <c r="E678" t="str">
        <f t="shared" si="32"/>
        <v>Tsoucas</v>
      </c>
    </row>
    <row r="679" spans="1:5" ht="15.5" x14ac:dyDescent="0.35">
      <c r="A679" s="1" t="s">
        <v>1693</v>
      </c>
      <c r="B679" s="1" t="s">
        <v>3061</v>
      </c>
      <c r="C679" t="str">
        <f t="shared" si="30"/>
        <v>Ms.</v>
      </c>
      <c r="D679" t="str">
        <f t="shared" si="31"/>
        <v>Margaret E</v>
      </c>
      <c r="E679" t="str">
        <f t="shared" si="32"/>
        <v>Muhly</v>
      </c>
    </row>
    <row r="680" spans="1:5" ht="15.5" x14ac:dyDescent="0.35">
      <c r="A680" s="1" t="s">
        <v>1692</v>
      </c>
      <c r="B680" s="1" t="s">
        <v>3062</v>
      </c>
      <c r="C680" t="str">
        <f t="shared" si="30"/>
        <v>Mr.</v>
      </c>
      <c r="D680" t="str">
        <f t="shared" si="31"/>
        <v>Mario J.</v>
      </c>
      <c r="E680" t="str">
        <f t="shared" si="32"/>
        <v>Lund</v>
      </c>
    </row>
    <row r="681" spans="1:5" ht="15.5" x14ac:dyDescent="0.35">
      <c r="A681" s="1" t="s">
        <v>1691</v>
      </c>
      <c r="B681" s="1" t="s">
        <v>3063</v>
      </c>
      <c r="C681" t="str">
        <f t="shared" si="30"/>
        <v>Mr.</v>
      </c>
      <c r="D681" t="str">
        <f t="shared" si="31"/>
        <v>Peter</v>
      </c>
      <c r="E681" t="str">
        <f t="shared" si="32"/>
        <v>Battaglino</v>
      </c>
    </row>
    <row r="682" spans="1:5" ht="15.5" x14ac:dyDescent="0.35">
      <c r="A682" s="1" t="s">
        <v>1690</v>
      </c>
      <c r="B682" s="1" t="s">
        <v>3064</v>
      </c>
      <c r="C682" t="str">
        <f t="shared" si="30"/>
        <v>Ms.</v>
      </c>
      <c r="D682" t="str">
        <f t="shared" si="31"/>
        <v>Carolina</v>
      </c>
      <c r="E682" t="str">
        <f t="shared" si="32"/>
        <v>Pena</v>
      </c>
    </row>
    <row r="683" spans="1:5" ht="15.5" x14ac:dyDescent="0.35">
      <c r="A683" s="1" t="s">
        <v>1689</v>
      </c>
      <c r="B683" s="1" t="s">
        <v>3065</v>
      </c>
      <c r="C683" t="str">
        <f t="shared" si="30"/>
        <v>Mrs.</v>
      </c>
      <c r="D683" t="str">
        <f t="shared" si="31"/>
        <v>Jenny K.</v>
      </c>
      <c r="E683" t="str">
        <f t="shared" si="32"/>
        <v>Thomason</v>
      </c>
    </row>
    <row r="684" spans="1:5" ht="15.5" x14ac:dyDescent="0.35">
      <c r="A684" s="1" t="s">
        <v>1688</v>
      </c>
      <c r="B684" s="1" t="s">
        <v>3066</v>
      </c>
      <c r="C684" t="str">
        <f t="shared" si="30"/>
        <v>Ms.</v>
      </c>
      <c r="D684" t="str">
        <f t="shared" si="31"/>
        <v>Jessica</v>
      </c>
      <c r="E684" t="str">
        <f t="shared" si="32"/>
        <v>Hancox</v>
      </c>
    </row>
    <row r="685" spans="1:5" ht="15.5" x14ac:dyDescent="0.35">
      <c r="A685" s="1" t="s">
        <v>1687</v>
      </c>
      <c r="B685" s="1" t="s">
        <v>3067</v>
      </c>
      <c r="C685" t="str">
        <f t="shared" si="30"/>
        <v>Ms.</v>
      </c>
      <c r="D685" t="str">
        <f t="shared" si="31"/>
        <v>Kimberly D</v>
      </c>
      <c r="E685" t="str">
        <f t="shared" si="32"/>
        <v>Canarecci</v>
      </c>
    </row>
    <row r="686" spans="1:5" ht="15.5" x14ac:dyDescent="0.35">
      <c r="A686" s="1" t="s">
        <v>1686</v>
      </c>
      <c r="B686" s="1" t="s">
        <v>3068</v>
      </c>
      <c r="C686" t="str">
        <f t="shared" si="30"/>
        <v>Mr.</v>
      </c>
      <c r="D686" t="str">
        <f t="shared" si="31"/>
        <v>Marc-Olivier</v>
      </c>
      <c r="E686" t="str">
        <f t="shared" si="32"/>
        <v>Toupin</v>
      </c>
    </row>
    <row r="687" spans="1:5" ht="15.5" x14ac:dyDescent="0.35">
      <c r="A687" s="1" t="s">
        <v>1685</v>
      </c>
      <c r="B687" s="1" t="s">
        <v>3069</v>
      </c>
      <c r="C687" t="str">
        <f t="shared" si="30"/>
        <v>Mr.</v>
      </c>
      <c r="D687" t="str">
        <f t="shared" si="31"/>
        <v>Russell J</v>
      </c>
      <c r="E687" t="str">
        <f t="shared" si="32"/>
        <v>Mulley</v>
      </c>
    </row>
    <row r="688" spans="1:5" ht="15.5" x14ac:dyDescent="0.35">
      <c r="A688" s="1" t="s">
        <v>1684</v>
      </c>
      <c r="B688" s="1" t="s">
        <v>3070</v>
      </c>
      <c r="C688" t="str">
        <f t="shared" si="30"/>
        <v>Ms.</v>
      </c>
      <c r="D688" t="str">
        <f t="shared" si="31"/>
        <v>Karine</v>
      </c>
      <c r="E688" t="str">
        <f t="shared" si="32"/>
        <v>Parry</v>
      </c>
    </row>
    <row r="689" spans="1:5" ht="15.5" x14ac:dyDescent="0.35">
      <c r="A689" s="1" t="s">
        <v>1683</v>
      </c>
      <c r="B689" s="1" t="s">
        <v>3071</v>
      </c>
      <c r="C689" t="str">
        <f t="shared" si="30"/>
        <v>Ms.</v>
      </c>
      <c r="D689" t="str">
        <f t="shared" si="31"/>
        <v>Cheryl</v>
      </c>
      <c r="E689" t="str">
        <f t="shared" si="32"/>
        <v>Mason Cox</v>
      </c>
    </row>
    <row r="690" spans="1:5" ht="15.5" x14ac:dyDescent="0.35">
      <c r="A690" s="1" t="s">
        <v>1682</v>
      </c>
      <c r="B690" s="1" t="s">
        <v>3072</v>
      </c>
      <c r="C690" t="str">
        <f t="shared" si="30"/>
        <v>Ms.</v>
      </c>
      <c r="D690" t="str">
        <f t="shared" si="31"/>
        <v>Allison M.</v>
      </c>
      <c r="E690" t="str">
        <f t="shared" si="32"/>
        <v>Thompson</v>
      </c>
    </row>
    <row r="691" spans="1:5" ht="15.5" x14ac:dyDescent="0.35">
      <c r="A691" s="1" t="s">
        <v>1681</v>
      </c>
      <c r="B691" s="1" t="s">
        <v>3073</v>
      </c>
      <c r="C691" t="str">
        <f t="shared" si="30"/>
        <v>Ms.</v>
      </c>
      <c r="D691" t="str">
        <f t="shared" si="31"/>
        <v>Adriana</v>
      </c>
      <c r="E691" t="str">
        <f t="shared" si="32"/>
        <v>Nelson</v>
      </c>
    </row>
    <row r="692" spans="1:5" ht="15.5" x14ac:dyDescent="0.35">
      <c r="A692" s="1" t="s">
        <v>1680</v>
      </c>
      <c r="B692" s="1" t="s">
        <v>3074</v>
      </c>
      <c r="C692" t="str">
        <f t="shared" si="30"/>
        <v>Ms.</v>
      </c>
      <c r="D692" t="str">
        <f t="shared" si="31"/>
        <v>Miranda J</v>
      </c>
      <c r="E692" t="str">
        <f t="shared" si="32"/>
        <v>Forte</v>
      </c>
    </row>
    <row r="693" spans="1:5" ht="15.5" x14ac:dyDescent="0.35">
      <c r="A693" s="1" t="s">
        <v>1679</v>
      </c>
      <c r="B693" s="1" t="s">
        <v>3075</v>
      </c>
      <c r="C693" t="str">
        <f t="shared" si="30"/>
        <v>Mr.</v>
      </c>
      <c r="D693" t="str">
        <f t="shared" si="31"/>
        <v>Roberto</v>
      </c>
      <c r="E693" t="str">
        <f t="shared" si="32"/>
        <v>Corona Iturriaga</v>
      </c>
    </row>
    <row r="694" spans="1:5" ht="15.5" x14ac:dyDescent="0.35">
      <c r="A694" s="1" t="s">
        <v>1678</v>
      </c>
      <c r="B694" s="1" t="s">
        <v>3076</v>
      </c>
      <c r="C694" t="str">
        <f t="shared" si="30"/>
        <v>Mrs.</v>
      </c>
      <c r="D694" t="str">
        <f t="shared" si="31"/>
        <v>Rebecca B.</v>
      </c>
      <c r="E694" t="str">
        <f t="shared" si="32"/>
        <v>McCollum</v>
      </c>
    </row>
    <row r="695" spans="1:5" ht="15.5" x14ac:dyDescent="0.35">
      <c r="A695" s="1" t="s">
        <v>1677</v>
      </c>
      <c r="B695" s="1" t="s">
        <v>3077</v>
      </c>
      <c r="C695" t="str">
        <f t="shared" si="30"/>
        <v>Ms.</v>
      </c>
      <c r="D695" t="str">
        <f t="shared" si="31"/>
        <v>Tiffany</v>
      </c>
      <c r="E695" t="str">
        <f t="shared" si="32"/>
        <v>Hevner</v>
      </c>
    </row>
    <row r="696" spans="1:5" ht="15.5" x14ac:dyDescent="0.35">
      <c r="A696" s="1" t="s">
        <v>1676</v>
      </c>
      <c r="B696" s="1" t="s">
        <v>3078</v>
      </c>
      <c r="C696" t="str">
        <f t="shared" si="30"/>
        <v>Mr.</v>
      </c>
      <c r="D696" t="str">
        <f t="shared" si="31"/>
        <v>Alexander</v>
      </c>
      <c r="E696" t="str">
        <f t="shared" si="32"/>
        <v>Looi</v>
      </c>
    </row>
    <row r="697" spans="1:5" ht="15.5" x14ac:dyDescent="0.35">
      <c r="A697" s="1" t="s">
        <v>1675</v>
      </c>
      <c r="B697" s="1" t="s">
        <v>3079</v>
      </c>
      <c r="C697" t="str">
        <f t="shared" si="30"/>
        <v>Mr.</v>
      </c>
      <c r="D697" t="str">
        <f t="shared" si="31"/>
        <v>Rich M</v>
      </c>
      <c r="E697" t="str">
        <f t="shared" si="32"/>
        <v>Power</v>
      </c>
    </row>
    <row r="698" spans="1:5" ht="15.5" x14ac:dyDescent="0.35">
      <c r="A698" s="1" t="s">
        <v>1674</v>
      </c>
      <c r="B698" s="1" t="s">
        <v>3080</v>
      </c>
      <c r="C698" t="str">
        <f t="shared" si="30"/>
        <v>Mr.</v>
      </c>
      <c r="D698" t="str">
        <f t="shared" si="31"/>
        <v>Aaron C</v>
      </c>
      <c r="E698" t="str">
        <f t="shared" si="32"/>
        <v>Routon</v>
      </c>
    </row>
    <row r="699" spans="1:5" ht="15.5" x14ac:dyDescent="0.35">
      <c r="A699" s="1" t="s">
        <v>1673</v>
      </c>
      <c r="B699" s="1" t="s">
        <v>3081</v>
      </c>
      <c r="C699" t="str">
        <f t="shared" si="30"/>
        <v>Ms.</v>
      </c>
      <c r="D699" t="str">
        <f t="shared" si="31"/>
        <v>Kate</v>
      </c>
      <c r="E699" t="str">
        <f t="shared" si="32"/>
        <v>Dochelli</v>
      </c>
    </row>
    <row r="700" spans="1:5" ht="15.5" x14ac:dyDescent="0.35">
      <c r="A700" s="1" t="s">
        <v>1672</v>
      </c>
      <c r="B700" s="1" t="s">
        <v>3082</v>
      </c>
      <c r="C700" t="str">
        <f t="shared" si="30"/>
        <v>Ms.</v>
      </c>
      <c r="D700" t="str">
        <f t="shared" si="31"/>
        <v>Maria M</v>
      </c>
      <c r="E700" t="str">
        <f t="shared" si="32"/>
        <v>Gillespie</v>
      </c>
    </row>
    <row r="701" spans="1:5" ht="15.5" x14ac:dyDescent="0.35">
      <c r="A701" s="1" t="s">
        <v>1671</v>
      </c>
      <c r="B701" s="1" t="s">
        <v>3083</v>
      </c>
      <c r="C701" t="str">
        <f t="shared" si="30"/>
        <v>Mr.</v>
      </c>
      <c r="D701" t="str">
        <f t="shared" si="31"/>
        <v>Daven W</v>
      </c>
      <c r="E701" t="str">
        <f t="shared" si="32"/>
        <v>Oskvig</v>
      </c>
    </row>
    <row r="702" spans="1:5" ht="15.5" x14ac:dyDescent="0.35">
      <c r="A702" s="1" t="s">
        <v>1670</v>
      </c>
      <c r="B702" s="1" t="s">
        <v>3084</v>
      </c>
      <c r="C702" t="str">
        <f t="shared" si="30"/>
        <v>Mrs.</v>
      </c>
      <c r="D702" t="str">
        <f t="shared" si="31"/>
        <v>Brianne</v>
      </c>
      <c r="E702" t="str">
        <f t="shared" si="32"/>
        <v>Holland-Stergar</v>
      </c>
    </row>
    <row r="703" spans="1:5" ht="15.5" x14ac:dyDescent="0.35">
      <c r="A703" s="1" t="s">
        <v>1669</v>
      </c>
      <c r="B703" s="1" t="s">
        <v>3085</v>
      </c>
      <c r="C703" t="str">
        <f t="shared" si="30"/>
        <v>Mr.</v>
      </c>
      <c r="D703" t="str">
        <f t="shared" si="31"/>
        <v>Hiroki</v>
      </c>
      <c r="E703" t="str">
        <f t="shared" si="32"/>
        <v>Arai</v>
      </c>
    </row>
    <row r="704" spans="1:5" ht="15.5" x14ac:dyDescent="0.35">
      <c r="A704" s="1" t="s">
        <v>1668</v>
      </c>
      <c r="B704" s="1" t="s">
        <v>3086</v>
      </c>
      <c r="C704" t="str">
        <f t="shared" si="30"/>
        <v>Mr.</v>
      </c>
      <c r="D704" t="str">
        <f t="shared" si="31"/>
        <v>Anders</v>
      </c>
      <c r="E704" t="str">
        <f t="shared" si="32"/>
        <v>Olausson</v>
      </c>
    </row>
    <row r="705" spans="1:5" ht="15.5" x14ac:dyDescent="0.35">
      <c r="A705" s="1" t="s">
        <v>1667</v>
      </c>
      <c r="B705" s="1" t="s">
        <v>3087</v>
      </c>
      <c r="C705" t="str">
        <f t="shared" si="30"/>
        <v>Ms.</v>
      </c>
      <c r="D705" t="str">
        <f t="shared" si="31"/>
        <v>Danielle</v>
      </c>
      <c r="E705" t="str">
        <f t="shared" si="32"/>
        <v>Wagner</v>
      </c>
    </row>
    <row r="706" spans="1:5" ht="15.5" x14ac:dyDescent="0.35">
      <c r="A706" s="1" t="s">
        <v>1666</v>
      </c>
      <c r="B706" s="1" t="s">
        <v>3088</v>
      </c>
      <c r="C706" t="str">
        <f t="shared" si="30"/>
        <v>Ms.</v>
      </c>
      <c r="D706" t="str">
        <f t="shared" si="31"/>
        <v>Candace N</v>
      </c>
      <c r="E706" t="str">
        <f t="shared" si="32"/>
        <v>Delong</v>
      </c>
    </row>
    <row r="707" spans="1:5" ht="15.5" x14ac:dyDescent="0.35">
      <c r="A707" s="1" t="s">
        <v>1665</v>
      </c>
      <c r="B707" s="1" t="s">
        <v>3089</v>
      </c>
      <c r="C707" t="str">
        <f t="shared" ref="C707:C770" si="33">TRIM(MID(B707,FIND(",",B707)+1,FIND(".",B707)-FIND(",",B707)))</f>
        <v>Mr.</v>
      </c>
      <c r="D707" t="str">
        <f t="shared" ref="D707:D770" si="34">TRIM(MID(B707,FIND(".",B707)+1,LEN(B707)))</f>
        <v>Bruno F.</v>
      </c>
      <c r="E707" t="str">
        <f t="shared" ref="E707:E770" si="35">TRIM(LEFT(B707,FIND(",",B707)-1))</f>
        <v>Mehech</v>
      </c>
    </row>
    <row r="708" spans="1:5" ht="15.5" x14ac:dyDescent="0.35">
      <c r="A708" s="1" t="s">
        <v>1664</v>
      </c>
      <c r="B708" s="1" t="s">
        <v>3090</v>
      </c>
      <c r="C708" t="str">
        <f t="shared" si="33"/>
        <v>Ms.</v>
      </c>
      <c r="D708" t="str">
        <f t="shared" si="34"/>
        <v>Emily</v>
      </c>
      <c r="E708" t="str">
        <f t="shared" si="35"/>
        <v>Machiela</v>
      </c>
    </row>
    <row r="709" spans="1:5" ht="15.5" x14ac:dyDescent="0.35">
      <c r="A709" s="1" t="s">
        <v>1663</v>
      </c>
      <c r="B709" s="1" t="s">
        <v>3091</v>
      </c>
      <c r="C709" t="str">
        <f t="shared" si="33"/>
        <v>Mrs.</v>
      </c>
      <c r="D709" t="str">
        <f t="shared" si="34"/>
        <v>Katie</v>
      </c>
      <c r="E709" t="str">
        <f t="shared" si="35"/>
        <v>Young</v>
      </c>
    </row>
    <row r="710" spans="1:5" ht="15.5" x14ac:dyDescent="0.35">
      <c r="A710" s="1" t="s">
        <v>1662</v>
      </c>
      <c r="B710" s="1" t="s">
        <v>3092</v>
      </c>
      <c r="C710" t="str">
        <f t="shared" si="33"/>
        <v>Mrs.</v>
      </c>
      <c r="D710" t="str">
        <f t="shared" si="34"/>
        <v>Sally</v>
      </c>
      <c r="E710" t="str">
        <f t="shared" si="35"/>
        <v>Dupere</v>
      </c>
    </row>
    <row r="711" spans="1:5" ht="15.5" x14ac:dyDescent="0.35">
      <c r="A711" s="1" t="s">
        <v>1661</v>
      </c>
      <c r="B711" s="1" t="s">
        <v>3093</v>
      </c>
      <c r="C711" t="str">
        <f t="shared" si="33"/>
        <v>Ms.</v>
      </c>
      <c r="D711" t="str">
        <f t="shared" si="34"/>
        <v>Meaghan J</v>
      </c>
      <c r="E711" t="str">
        <f t="shared" si="35"/>
        <v>Iandolo</v>
      </c>
    </row>
    <row r="712" spans="1:5" ht="15.5" x14ac:dyDescent="0.35">
      <c r="A712" s="1" t="s">
        <v>1660</v>
      </c>
      <c r="B712" s="1" t="s">
        <v>3094</v>
      </c>
      <c r="C712" t="str">
        <f t="shared" si="33"/>
        <v>Ms.</v>
      </c>
      <c r="D712" t="str">
        <f t="shared" si="34"/>
        <v>Rina</v>
      </c>
      <c r="E712" t="str">
        <f t="shared" si="35"/>
        <v>Ito</v>
      </c>
    </row>
    <row r="713" spans="1:5" ht="15.5" x14ac:dyDescent="0.35">
      <c r="A713" s="1" t="s">
        <v>1659</v>
      </c>
      <c r="B713" s="1" t="s">
        <v>3095</v>
      </c>
      <c r="C713" t="str">
        <f t="shared" si="33"/>
        <v>Ms.</v>
      </c>
      <c r="D713" t="str">
        <f t="shared" si="34"/>
        <v>Kristin P.</v>
      </c>
      <c r="E713" t="str">
        <f t="shared" si="35"/>
        <v>Barry</v>
      </c>
    </row>
    <row r="714" spans="1:5" ht="15.5" x14ac:dyDescent="0.35">
      <c r="A714" s="1" t="s">
        <v>1658</v>
      </c>
      <c r="B714" s="1" t="s">
        <v>3096</v>
      </c>
      <c r="C714" t="str">
        <f t="shared" si="33"/>
        <v>Mr.</v>
      </c>
      <c r="D714" t="str">
        <f t="shared" si="34"/>
        <v>Albert</v>
      </c>
      <c r="E714" t="str">
        <f t="shared" si="35"/>
        <v>Boyce</v>
      </c>
    </row>
    <row r="715" spans="1:5" ht="15.5" x14ac:dyDescent="0.35">
      <c r="A715" s="1" t="s">
        <v>1657</v>
      </c>
      <c r="B715" s="1" t="s">
        <v>3097</v>
      </c>
      <c r="C715" t="str">
        <f t="shared" si="33"/>
        <v>Mrs.</v>
      </c>
      <c r="D715" t="str">
        <f t="shared" si="34"/>
        <v>Ashley</v>
      </c>
      <c r="E715" t="str">
        <f t="shared" si="35"/>
        <v>Lin</v>
      </c>
    </row>
    <row r="716" spans="1:5" ht="15.5" x14ac:dyDescent="0.35">
      <c r="A716" s="1" t="s">
        <v>1656</v>
      </c>
      <c r="B716" s="1" t="s">
        <v>3098</v>
      </c>
      <c r="C716" t="str">
        <f t="shared" si="33"/>
        <v>Mrs.</v>
      </c>
      <c r="D716" t="str">
        <f t="shared" si="34"/>
        <v>Shannon L</v>
      </c>
      <c r="E716" t="str">
        <f t="shared" si="35"/>
        <v>Smith</v>
      </c>
    </row>
    <row r="717" spans="1:5" ht="15.5" x14ac:dyDescent="0.35">
      <c r="A717" s="1" t="s">
        <v>1655</v>
      </c>
      <c r="B717" s="1" t="s">
        <v>3099</v>
      </c>
      <c r="C717" t="str">
        <f t="shared" si="33"/>
        <v>Ms.</v>
      </c>
      <c r="D717" t="str">
        <f t="shared" si="34"/>
        <v>Amy B</v>
      </c>
      <c r="E717" t="str">
        <f t="shared" si="35"/>
        <v>Nalven</v>
      </c>
    </row>
    <row r="718" spans="1:5" ht="15.5" x14ac:dyDescent="0.35">
      <c r="A718" s="1" t="s">
        <v>1654</v>
      </c>
      <c r="B718" s="1" t="s">
        <v>3100</v>
      </c>
      <c r="C718" t="str">
        <f t="shared" si="33"/>
        <v>Ms.</v>
      </c>
      <c r="D718" t="str">
        <f t="shared" si="34"/>
        <v>A Danielle</v>
      </c>
      <c r="E718" t="str">
        <f t="shared" si="35"/>
        <v>Bourgeois</v>
      </c>
    </row>
    <row r="719" spans="1:5" ht="15.5" x14ac:dyDescent="0.35">
      <c r="A719" s="1" t="s">
        <v>1653</v>
      </c>
      <c r="B719" s="1" t="s">
        <v>3101</v>
      </c>
      <c r="C719" t="str">
        <f t="shared" si="33"/>
        <v>Mr.</v>
      </c>
      <c r="D719" t="str">
        <f t="shared" si="34"/>
        <v>Conrad F</v>
      </c>
      <c r="E719" t="str">
        <f t="shared" si="35"/>
        <v>Orloff</v>
      </c>
    </row>
    <row r="720" spans="1:5" ht="15.5" x14ac:dyDescent="0.35">
      <c r="A720" s="1" t="s">
        <v>1652</v>
      </c>
      <c r="B720" s="1" t="s">
        <v>3102</v>
      </c>
      <c r="C720" t="str">
        <f t="shared" si="33"/>
        <v>Mr.</v>
      </c>
      <c r="D720" t="str">
        <f t="shared" si="34"/>
        <v>Josh</v>
      </c>
      <c r="E720" t="str">
        <f t="shared" si="35"/>
        <v>Ramirez</v>
      </c>
    </row>
    <row r="721" spans="1:5" ht="15.5" x14ac:dyDescent="0.35">
      <c r="A721" s="1" t="s">
        <v>1651</v>
      </c>
      <c r="B721" s="1" t="s">
        <v>3103</v>
      </c>
      <c r="C721" t="str">
        <f t="shared" si="33"/>
        <v>Mr.</v>
      </c>
      <c r="D721" t="str">
        <f t="shared" si="34"/>
        <v>Maxime</v>
      </c>
      <c r="E721" t="str">
        <f t="shared" si="35"/>
        <v>Fouquet</v>
      </c>
    </row>
    <row r="722" spans="1:5" ht="15.5" x14ac:dyDescent="0.35">
      <c r="A722" s="1" t="s">
        <v>1650</v>
      </c>
      <c r="B722" s="1" t="s">
        <v>3104</v>
      </c>
      <c r="C722" t="str">
        <f t="shared" si="33"/>
        <v>Ms.</v>
      </c>
      <c r="D722" t="str">
        <f t="shared" si="34"/>
        <v>Natalie</v>
      </c>
      <c r="E722" t="str">
        <f t="shared" si="35"/>
        <v>McPhillips</v>
      </c>
    </row>
    <row r="723" spans="1:5" ht="15.5" x14ac:dyDescent="0.35">
      <c r="A723" s="1" t="s">
        <v>1649</v>
      </c>
      <c r="B723" s="1" t="s">
        <v>3105</v>
      </c>
      <c r="C723" t="str">
        <f t="shared" si="33"/>
        <v>Ms.</v>
      </c>
      <c r="D723" t="str">
        <f t="shared" si="34"/>
        <v>Melissa</v>
      </c>
      <c r="E723" t="str">
        <f t="shared" si="35"/>
        <v>Burgin</v>
      </c>
    </row>
    <row r="724" spans="1:5" ht="15.5" x14ac:dyDescent="0.35">
      <c r="A724" s="1" t="s">
        <v>1648</v>
      </c>
      <c r="B724" s="1" t="s">
        <v>3106</v>
      </c>
      <c r="C724" t="str">
        <f t="shared" si="33"/>
        <v>Ms.</v>
      </c>
      <c r="D724" t="str">
        <f t="shared" si="34"/>
        <v>Laura P.</v>
      </c>
      <c r="E724" t="str">
        <f t="shared" si="35"/>
        <v>Roberts</v>
      </c>
    </row>
    <row r="725" spans="1:5" ht="15.5" x14ac:dyDescent="0.35">
      <c r="A725" s="1" t="s">
        <v>1647</v>
      </c>
      <c r="B725" s="1" t="s">
        <v>3107</v>
      </c>
      <c r="C725" t="str">
        <f t="shared" si="33"/>
        <v>Mrs.</v>
      </c>
      <c r="D725" t="str">
        <f t="shared" si="34"/>
        <v>Lisa</v>
      </c>
      <c r="E725" t="str">
        <f t="shared" si="35"/>
        <v>Nemec</v>
      </c>
    </row>
    <row r="726" spans="1:5" ht="15.5" x14ac:dyDescent="0.35">
      <c r="A726" s="1" t="s">
        <v>1646</v>
      </c>
      <c r="B726" s="1" t="s">
        <v>3108</v>
      </c>
      <c r="C726" t="str">
        <f t="shared" si="33"/>
        <v>Mr.</v>
      </c>
      <c r="D726" t="str">
        <f t="shared" si="34"/>
        <v>William D. Jr.</v>
      </c>
      <c r="E726" t="str">
        <f t="shared" si="35"/>
        <v>Appman</v>
      </c>
    </row>
    <row r="727" spans="1:5" ht="15.5" x14ac:dyDescent="0.35">
      <c r="A727" s="1" t="s">
        <v>1645</v>
      </c>
      <c r="B727" s="1" t="s">
        <v>3109</v>
      </c>
      <c r="C727" t="str">
        <f t="shared" si="33"/>
        <v>Mr.</v>
      </c>
      <c r="D727" t="str">
        <f t="shared" si="34"/>
        <v>James</v>
      </c>
      <c r="E727" t="str">
        <f t="shared" si="35"/>
        <v>Driscoll</v>
      </c>
    </row>
    <row r="728" spans="1:5" ht="15.5" x14ac:dyDescent="0.35">
      <c r="A728" s="1" t="s">
        <v>1644</v>
      </c>
      <c r="B728" s="1" t="s">
        <v>3110</v>
      </c>
      <c r="C728" t="str">
        <f t="shared" si="33"/>
        <v>Mr.</v>
      </c>
      <c r="D728" t="str">
        <f t="shared" si="34"/>
        <v>John</v>
      </c>
      <c r="E728" t="str">
        <f t="shared" si="35"/>
        <v>Glotzbach</v>
      </c>
    </row>
    <row r="729" spans="1:5" ht="15.5" x14ac:dyDescent="0.35">
      <c r="A729" s="1" t="s">
        <v>1643</v>
      </c>
      <c r="B729" s="1" t="s">
        <v>3111</v>
      </c>
      <c r="C729" t="str">
        <f t="shared" si="33"/>
        <v>Mr.</v>
      </c>
      <c r="D729" t="str">
        <f t="shared" si="34"/>
        <v>Adam S</v>
      </c>
      <c r="E729" t="str">
        <f t="shared" si="35"/>
        <v>Tenforde</v>
      </c>
    </row>
    <row r="730" spans="1:5" ht="15.5" x14ac:dyDescent="0.35">
      <c r="A730" s="1" t="s">
        <v>1642</v>
      </c>
      <c r="B730" s="1" t="s">
        <v>3112</v>
      </c>
      <c r="C730" t="str">
        <f t="shared" si="33"/>
        <v>Mr.</v>
      </c>
      <c r="D730" t="str">
        <f t="shared" si="34"/>
        <v>Armando</v>
      </c>
      <c r="E730" t="str">
        <f t="shared" si="35"/>
        <v>Ramirez</v>
      </c>
    </row>
    <row r="731" spans="1:5" ht="15.5" x14ac:dyDescent="0.35">
      <c r="A731" s="1" t="s">
        <v>1641</v>
      </c>
      <c r="B731" s="1" t="s">
        <v>3113</v>
      </c>
      <c r="C731" t="str">
        <f t="shared" si="33"/>
        <v>Ms.</v>
      </c>
      <c r="D731" t="str">
        <f t="shared" si="34"/>
        <v>Dana</v>
      </c>
      <c r="E731" t="str">
        <f t="shared" si="35"/>
        <v>Stanley Torres</v>
      </c>
    </row>
    <row r="732" spans="1:5" ht="15.5" x14ac:dyDescent="0.35">
      <c r="A732" s="1" t="s">
        <v>1640</v>
      </c>
      <c r="B732" s="1" t="s">
        <v>3114</v>
      </c>
      <c r="C732" t="str">
        <f t="shared" si="33"/>
        <v>Ms.</v>
      </c>
      <c r="D732" t="str">
        <f t="shared" si="34"/>
        <v>Jennifer L</v>
      </c>
      <c r="E732" t="str">
        <f t="shared" si="35"/>
        <v>Vandongen</v>
      </c>
    </row>
    <row r="733" spans="1:5" ht="15.5" x14ac:dyDescent="0.35">
      <c r="A733" s="1" t="s">
        <v>1639</v>
      </c>
      <c r="B733" s="1" t="s">
        <v>3115</v>
      </c>
      <c r="C733" t="str">
        <f t="shared" si="33"/>
        <v>Mr.</v>
      </c>
      <c r="D733" t="str">
        <f t="shared" si="34"/>
        <v>Benjamin</v>
      </c>
      <c r="E733" t="str">
        <f t="shared" si="35"/>
        <v>Liebald</v>
      </c>
    </row>
    <row r="734" spans="1:5" ht="15.5" x14ac:dyDescent="0.35">
      <c r="A734" s="1" t="s">
        <v>1638</v>
      </c>
      <c r="B734" s="1" t="s">
        <v>3116</v>
      </c>
      <c r="C734" t="str">
        <f t="shared" si="33"/>
        <v>Ms.</v>
      </c>
      <c r="D734" t="str">
        <f t="shared" si="34"/>
        <v>Tanya</v>
      </c>
      <c r="E734" t="str">
        <f t="shared" si="35"/>
        <v>Holte</v>
      </c>
    </row>
    <row r="735" spans="1:5" ht="15.5" x14ac:dyDescent="0.35">
      <c r="A735" s="1" t="s">
        <v>1637</v>
      </c>
      <c r="B735" s="1" t="s">
        <v>3117</v>
      </c>
      <c r="C735" t="str">
        <f t="shared" si="33"/>
        <v>Ms.</v>
      </c>
      <c r="D735" t="str">
        <f t="shared" si="34"/>
        <v>Tracy</v>
      </c>
      <c r="E735" t="str">
        <f t="shared" si="35"/>
        <v>Johnson</v>
      </c>
    </row>
    <row r="736" spans="1:5" ht="15.5" x14ac:dyDescent="0.35">
      <c r="A736" s="1" t="s">
        <v>1636</v>
      </c>
      <c r="B736" s="1" t="s">
        <v>3118</v>
      </c>
      <c r="C736" t="str">
        <f t="shared" si="33"/>
        <v>Ms.</v>
      </c>
      <c r="D736" t="str">
        <f t="shared" si="34"/>
        <v>Emily S</v>
      </c>
      <c r="E736" t="str">
        <f t="shared" si="35"/>
        <v>Bartlett</v>
      </c>
    </row>
    <row r="737" spans="1:5" ht="15.5" x14ac:dyDescent="0.35">
      <c r="A737" s="1" t="s">
        <v>1635</v>
      </c>
      <c r="B737" s="1" t="s">
        <v>3119</v>
      </c>
      <c r="C737" t="str">
        <f t="shared" si="33"/>
        <v>Ms.</v>
      </c>
      <c r="D737" t="str">
        <f t="shared" si="34"/>
        <v>Kelly R</v>
      </c>
      <c r="E737" t="str">
        <f t="shared" si="35"/>
        <v>Bergman</v>
      </c>
    </row>
    <row r="738" spans="1:5" ht="15.5" x14ac:dyDescent="0.35">
      <c r="A738" s="1" t="s">
        <v>1634</v>
      </c>
      <c r="B738" s="1" t="s">
        <v>3120</v>
      </c>
      <c r="C738" t="str">
        <f t="shared" si="33"/>
        <v>Mr.</v>
      </c>
      <c r="D738" t="str">
        <f t="shared" si="34"/>
        <v>Kyle</v>
      </c>
      <c r="E738" t="str">
        <f t="shared" si="35"/>
        <v>Aitken</v>
      </c>
    </row>
    <row r="739" spans="1:5" ht="15.5" x14ac:dyDescent="0.35">
      <c r="A739" s="1" t="s">
        <v>1633</v>
      </c>
      <c r="B739" s="1" t="s">
        <v>3121</v>
      </c>
      <c r="C739" t="str">
        <f t="shared" si="33"/>
        <v>Mr.</v>
      </c>
      <c r="D739" t="str">
        <f t="shared" si="34"/>
        <v>Bruce A Jr.</v>
      </c>
      <c r="E739" t="str">
        <f t="shared" si="35"/>
        <v>Berger</v>
      </c>
    </row>
    <row r="740" spans="1:5" ht="15.5" x14ac:dyDescent="0.35">
      <c r="A740" s="1" t="s">
        <v>1632</v>
      </c>
      <c r="B740" s="1" t="s">
        <v>3122</v>
      </c>
      <c r="C740" t="str">
        <f t="shared" si="33"/>
        <v>Mr.</v>
      </c>
      <c r="D740" t="str">
        <f t="shared" si="34"/>
        <v>Cary J</v>
      </c>
      <c r="E740" t="str">
        <f t="shared" si="35"/>
        <v>Richey</v>
      </c>
    </row>
    <row r="741" spans="1:5" ht="15.5" x14ac:dyDescent="0.35">
      <c r="A741" s="1" t="s">
        <v>1631</v>
      </c>
      <c r="B741" s="1" t="s">
        <v>3123</v>
      </c>
      <c r="C741" t="str">
        <f t="shared" si="33"/>
        <v>Mrs.</v>
      </c>
      <c r="D741" t="str">
        <f t="shared" si="34"/>
        <v>Jill M</v>
      </c>
      <c r="E741" t="str">
        <f t="shared" si="35"/>
        <v>Trotter</v>
      </c>
    </row>
    <row r="742" spans="1:5" ht="15.5" x14ac:dyDescent="0.35">
      <c r="A742" s="1" t="s">
        <v>1630</v>
      </c>
      <c r="B742" s="1" t="s">
        <v>3124</v>
      </c>
      <c r="C742" t="str">
        <f t="shared" si="33"/>
        <v>Mr.</v>
      </c>
      <c r="D742" t="str">
        <f t="shared" si="34"/>
        <v>Chris</v>
      </c>
      <c r="E742" t="str">
        <f t="shared" si="35"/>
        <v>Chavez</v>
      </c>
    </row>
    <row r="743" spans="1:5" ht="15.5" x14ac:dyDescent="0.35">
      <c r="A743" s="1" t="s">
        <v>1629</v>
      </c>
      <c r="B743" s="1" t="s">
        <v>3125</v>
      </c>
      <c r="C743" t="str">
        <f t="shared" si="33"/>
        <v>Mr.</v>
      </c>
      <c r="D743" t="str">
        <f t="shared" si="34"/>
        <v>Michael E.</v>
      </c>
      <c r="E743" t="str">
        <f t="shared" si="35"/>
        <v>Orifice</v>
      </c>
    </row>
    <row r="744" spans="1:5" ht="15.5" x14ac:dyDescent="0.35">
      <c r="A744" s="1" t="s">
        <v>1628</v>
      </c>
      <c r="B744" s="1" t="s">
        <v>3126</v>
      </c>
      <c r="C744" t="str">
        <f t="shared" si="33"/>
        <v>Mrs.</v>
      </c>
      <c r="D744" t="str">
        <f t="shared" si="34"/>
        <v>Lauren</v>
      </c>
      <c r="E744" t="str">
        <f t="shared" si="35"/>
        <v>Farkash</v>
      </c>
    </row>
    <row r="745" spans="1:5" ht="15.5" x14ac:dyDescent="0.35">
      <c r="A745" s="1" t="s">
        <v>1627</v>
      </c>
      <c r="B745" s="1" t="s">
        <v>3127</v>
      </c>
      <c r="C745" t="str">
        <f t="shared" si="33"/>
        <v>Mrs.</v>
      </c>
      <c r="D745" t="str">
        <f t="shared" si="34"/>
        <v>Kathryn E</v>
      </c>
      <c r="E745" t="str">
        <f t="shared" si="35"/>
        <v>Hribar</v>
      </c>
    </row>
    <row r="746" spans="1:5" ht="15.5" x14ac:dyDescent="0.35">
      <c r="A746" s="1" t="s">
        <v>1626</v>
      </c>
      <c r="B746" s="1" t="s">
        <v>3128</v>
      </c>
      <c r="C746" t="str">
        <f t="shared" si="33"/>
        <v>Ms.</v>
      </c>
      <c r="D746" t="str">
        <f t="shared" si="34"/>
        <v>Polly</v>
      </c>
      <c r="E746" t="str">
        <f t="shared" si="35"/>
        <v>Crawford</v>
      </c>
    </row>
    <row r="747" spans="1:5" ht="15.5" x14ac:dyDescent="0.35">
      <c r="A747" s="1" t="s">
        <v>1625</v>
      </c>
      <c r="B747" s="1" t="s">
        <v>3129</v>
      </c>
      <c r="C747" t="str">
        <f t="shared" si="33"/>
        <v>Mr.</v>
      </c>
      <c r="D747" t="str">
        <f t="shared" si="34"/>
        <v>Mark H.</v>
      </c>
      <c r="E747" t="str">
        <f t="shared" si="35"/>
        <v>Sittlington</v>
      </c>
    </row>
    <row r="748" spans="1:5" ht="15.5" x14ac:dyDescent="0.35">
      <c r="A748" s="1" t="s">
        <v>1624</v>
      </c>
      <c r="B748" s="1" t="s">
        <v>3130</v>
      </c>
      <c r="C748" t="str">
        <f t="shared" si="33"/>
        <v>Mrs.</v>
      </c>
      <c r="D748" t="str">
        <f t="shared" si="34"/>
        <v>Jessie M.</v>
      </c>
      <c r="E748" t="str">
        <f t="shared" si="35"/>
        <v>Silbert</v>
      </c>
    </row>
    <row r="749" spans="1:5" ht="15.5" x14ac:dyDescent="0.35">
      <c r="A749" s="1" t="s">
        <v>1623</v>
      </c>
      <c r="B749" s="1" t="s">
        <v>3131</v>
      </c>
      <c r="C749" t="str">
        <f t="shared" si="33"/>
        <v>Mr.</v>
      </c>
      <c r="D749" t="str">
        <f t="shared" si="34"/>
        <v>Chris</v>
      </c>
      <c r="E749" t="str">
        <f t="shared" si="35"/>
        <v>Carrique</v>
      </c>
    </row>
    <row r="750" spans="1:5" ht="15.5" x14ac:dyDescent="0.35">
      <c r="A750" s="1" t="s">
        <v>1622</v>
      </c>
      <c r="B750" s="1" t="s">
        <v>3132</v>
      </c>
      <c r="C750" t="str">
        <f t="shared" si="33"/>
        <v>Mr.</v>
      </c>
      <c r="D750" t="str">
        <f t="shared" si="34"/>
        <v>Daniel</v>
      </c>
      <c r="E750" t="str">
        <f t="shared" si="35"/>
        <v>Kosla</v>
      </c>
    </row>
    <row r="751" spans="1:5" ht="15.5" x14ac:dyDescent="0.35">
      <c r="A751" s="1" t="s">
        <v>1621</v>
      </c>
      <c r="B751" s="1" t="s">
        <v>3133</v>
      </c>
      <c r="C751" t="str">
        <f t="shared" si="33"/>
        <v>Ms.</v>
      </c>
      <c r="D751" t="str">
        <f t="shared" si="34"/>
        <v>Megan</v>
      </c>
      <c r="E751" t="str">
        <f t="shared" si="35"/>
        <v>Parker</v>
      </c>
    </row>
    <row r="752" spans="1:5" ht="15.5" x14ac:dyDescent="0.35">
      <c r="A752" s="1" t="s">
        <v>1620</v>
      </c>
      <c r="B752" s="1" t="s">
        <v>3134</v>
      </c>
      <c r="C752" t="str">
        <f t="shared" si="33"/>
        <v>Mr.</v>
      </c>
      <c r="D752" t="str">
        <f t="shared" si="34"/>
        <v>Kevin</v>
      </c>
      <c r="E752" t="str">
        <f t="shared" si="35"/>
        <v>Horton</v>
      </c>
    </row>
    <row r="753" spans="1:5" ht="15.5" x14ac:dyDescent="0.35">
      <c r="A753" s="1" t="s">
        <v>1619</v>
      </c>
      <c r="B753" s="1" t="s">
        <v>3135</v>
      </c>
      <c r="C753" t="str">
        <f t="shared" si="33"/>
        <v>Ms.</v>
      </c>
      <c r="D753" t="str">
        <f t="shared" si="34"/>
        <v>Caroline S.</v>
      </c>
      <c r="E753" t="str">
        <f t="shared" si="35"/>
        <v>Boller</v>
      </c>
    </row>
    <row r="754" spans="1:5" ht="15.5" x14ac:dyDescent="0.35">
      <c r="A754" s="1" t="s">
        <v>1618</v>
      </c>
      <c r="B754" s="1" t="s">
        <v>3136</v>
      </c>
      <c r="C754" t="str">
        <f t="shared" si="33"/>
        <v>Ms.</v>
      </c>
      <c r="D754" t="str">
        <f t="shared" si="34"/>
        <v>Nuta</v>
      </c>
      <c r="E754" t="str">
        <f t="shared" si="35"/>
        <v>Olaru</v>
      </c>
    </row>
    <row r="755" spans="1:5" ht="15.5" x14ac:dyDescent="0.35">
      <c r="A755" s="1" t="s">
        <v>1617</v>
      </c>
      <c r="B755" s="1" t="s">
        <v>3137</v>
      </c>
      <c r="C755" t="str">
        <f t="shared" si="33"/>
        <v>Ms.</v>
      </c>
      <c r="D755" t="str">
        <f t="shared" si="34"/>
        <v>Margie</v>
      </c>
      <c r="E755" t="str">
        <f t="shared" si="35"/>
        <v>Prescott</v>
      </c>
    </row>
    <row r="756" spans="1:5" ht="15.5" x14ac:dyDescent="0.35">
      <c r="A756" s="1" t="s">
        <v>1616</v>
      </c>
      <c r="B756" s="1" t="s">
        <v>3138</v>
      </c>
      <c r="C756" t="str">
        <f t="shared" si="33"/>
        <v>Mrs.</v>
      </c>
      <c r="D756" t="str">
        <f t="shared" si="34"/>
        <v>Heidi</v>
      </c>
      <c r="E756" t="str">
        <f t="shared" si="35"/>
        <v>Hines</v>
      </c>
    </row>
    <row r="757" spans="1:5" ht="15.5" x14ac:dyDescent="0.35">
      <c r="A757" s="1" t="s">
        <v>1615</v>
      </c>
      <c r="B757" s="1" t="s">
        <v>3139</v>
      </c>
      <c r="C757" t="str">
        <f t="shared" si="33"/>
        <v>Mr.</v>
      </c>
      <c r="D757" t="str">
        <f t="shared" si="34"/>
        <v>Diego J</v>
      </c>
      <c r="E757" t="str">
        <f t="shared" si="35"/>
        <v>Blanton</v>
      </c>
    </row>
    <row r="758" spans="1:5" ht="15.5" x14ac:dyDescent="0.35">
      <c r="A758" s="1" t="s">
        <v>1614</v>
      </c>
      <c r="B758" s="1" t="s">
        <v>3140</v>
      </c>
      <c r="C758" t="str">
        <f t="shared" si="33"/>
        <v>Mr.</v>
      </c>
      <c r="D758" t="str">
        <f t="shared" si="34"/>
        <v>Enrique M Sr.</v>
      </c>
      <c r="E758" t="str">
        <f t="shared" si="35"/>
        <v>Bustamante</v>
      </c>
    </row>
    <row r="759" spans="1:5" ht="15.5" x14ac:dyDescent="0.35">
      <c r="A759" s="1" t="s">
        <v>1613</v>
      </c>
      <c r="B759" s="1" t="s">
        <v>3141</v>
      </c>
      <c r="C759" t="str">
        <f t="shared" si="33"/>
        <v>Mr.</v>
      </c>
      <c r="D759" t="str">
        <f t="shared" si="34"/>
        <v>Greg</v>
      </c>
      <c r="E759" t="str">
        <f t="shared" si="35"/>
        <v>McCann</v>
      </c>
    </row>
    <row r="760" spans="1:5" ht="15.5" x14ac:dyDescent="0.35">
      <c r="A760" s="1" t="s">
        <v>1612</v>
      </c>
      <c r="B760" s="1" t="s">
        <v>3142</v>
      </c>
      <c r="C760" t="str">
        <f t="shared" si="33"/>
        <v>Mr.</v>
      </c>
      <c r="D760" t="str">
        <f t="shared" si="34"/>
        <v>Filip</v>
      </c>
      <c r="E760" t="str">
        <f t="shared" si="35"/>
        <v>Schmole</v>
      </c>
    </row>
    <row r="761" spans="1:5" ht="15.5" x14ac:dyDescent="0.35">
      <c r="A761" s="1" t="s">
        <v>1611</v>
      </c>
      <c r="B761" s="1" t="s">
        <v>3143</v>
      </c>
      <c r="C761" t="str">
        <f t="shared" si="33"/>
        <v>Ms.</v>
      </c>
      <c r="D761" t="str">
        <f t="shared" si="34"/>
        <v>Rosemary E.</v>
      </c>
      <c r="E761" t="str">
        <f t="shared" si="35"/>
        <v>Barber</v>
      </c>
    </row>
    <row r="762" spans="1:5" ht="15.5" x14ac:dyDescent="0.35">
      <c r="A762" s="1" t="s">
        <v>1610</v>
      </c>
      <c r="B762" s="1" t="s">
        <v>3144</v>
      </c>
      <c r="C762" t="str">
        <f t="shared" si="33"/>
        <v>Ms.</v>
      </c>
      <c r="D762" t="str">
        <f t="shared" si="34"/>
        <v>Lisa</v>
      </c>
      <c r="E762" t="str">
        <f t="shared" si="35"/>
        <v>Reichmann</v>
      </c>
    </row>
    <row r="763" spans="1:5" ht="15.5" x14ac:dyDescent="0.35">
      <c r="A763" s="1" t="s">
        <v>1609</v>
      </c>
      <c r="B763" s="1" t="s">
        <v>3145</v>
      </c>
      <c r="C763" t="str">
        <f t="shared" si="33"/>
        <v>Mr.</v>
      </c>
      <c r="D763" t="str">
        <f t="shared" si="34"/>
        <v>Jason</v>
      </c>
      <c r="E763" t="str">
        <f t="shared" si="35"/>
        <v>Cavatorta</v>
      </c>
    </row>
    <row r="764" spans="1:5" ht="15.5" x14ac:dyDescent="0.35">
      <c r="A764" s="1" t="s">
        <v>1608</v>
      </c>
      <c r="B764" s="1" t="s">
        <v>3146</v>
      </c>
      <c r="C764" t="str">
        <f t="shared" si="33"/>
        <v>Ms.</v>
      </c>
      <c r="D764" t="str">
        <f t="shared" si="34"/>
        <v>Courtney</v>
      </c>
      <c r="E764" t="str">
        <f t="shared" si="35"/>
        <v>Yaeger</v>
      </c>
    </row>
    <row r="765" spans="1:5" ht="15.5" x14ac:dyDescent="0.35">
      <c r="A765" s="1" t="s">
        <v>1607</v>
      </c>
      <c r="B765" s="1" t="s">
        <v>3147</v>
      </c>
      <c r="C765" t="str">
        <f t="shared" si="33"/>
        <v>Ms.</v>
      </c>
      <c r="D765" t="str">
        <f t="shared" si="34"/>
        <v>Jennifer R.</v>
      </c>
      <c r="E765" t="str">
        <f t="shared" si="35"/>
        <v>Hughes</v>
      </c>
    </row>
    <row r="766" spans="1:5" ht="15.5" x14ac:dyDescent="0.35">
      <c r="A766" s="1" t="s">
        <v>1606</v>
      </c>
      <c r="B766" s="1" t="s">
        <v>3148</v>
      </c>
      <c r="C766" t="str">
        <f t="shared" si="33"/>
        <v>Ms.</v>
      </c>
      <c r="D766" t="str">
        <f t="shared" si="34"/>
        <v>Lauren E</v>
      </c>
      <c r="E766" t="str">
        <f t="shared" si="35"/>
        <v>Donahue</v>
      </c>
    </row>
    <row r="767" spans="1:5" ht="15.5" x14ac:dyDescent="0.35">
      <c r="A767" s="1" t="s">
        <v>1605</v>
      </c>
      <c r="B767" s="1" t="s">
        <v>3149</v>
      </c>
      <c r="C767" t="str">
        <f t="shared" si="33"/>
        <v>Ms.</v>
      </c>
      <c r="D767" t="str">
        <f t="shared" si="34"/>
        <v>Ashley M.</v>
      </c>
      <c r="E767" t="str">
        <f t="shared" si="35"/>
        <v>Greenwell</v>
      </c>
    </row>
    <row r="768" spans="1:5" ht="15.5" x14ac:dyDescent="0.35">
      <c r="A768" s="1" t="s">
        <v>1604</v>
      </c>
      <c r="B768" s="1" t="s">
        <v>3150</v>
      </c>
      <c r="C768" t="str">
        <f t="shared" si="33"/>
        <v>Ms.</v>
      </c>
      <c r="D768" t="str">
        <f t="shared" si="34"/>
        <v>Alison R.</v>
      </c>
      <c r="E768" t="str">
        <f t="shared" si="35"/>
        <v>Steele</v>
      </c>
    </row>
    <row r="769" spans="1:5" ht="15.5" x14ac:dyDescent="0.35">
      <c r="A769" s="1" t="s">
        <v>1603</v>
      </c>
      <c r="B769" s="1" t="s">
        <v>3151</v>
      </c>
      <c r="C769" t="str">
        <f t="shared" si="33"/>
        <v>Ms.</v>
      </c>
      <c r="D769" t="str">
        <f t="shared" si="34"/>
        <v>Madeleine</v>
      </c>
      <c r="E769" t="str">
        <f t="shared" si="35"/>
        <v>Gunter</v>
      </c>
    </row>
    <row r="770" spans="1:5" ht="15.5" x14ac:dyDescent="0.35">
      <c r="A770" s="1" t="s">
        <v>1602</v>
      </c>
      <c r="B770" s="1" t="s">
        <v>3152</v>
      </c>
      <c r="C770" t="str">
        <f t="shared" si="33"/>
        <v>Ms.</v>
      </c>
      <c r="D770" t="str">
        <f t="shared" si="34"/>
        <v>Stacey</v>
      </c>
      <c r="E770" t="str">
        <f t="shared" si="35"/>
        <v>McDonough</v>
      </c>
    </row>
    <row r="771" spans="1:5" ht="15.5" x14ac:dyDescent="0.35">
      <c r="A771" s="1" t="s">
        <v>1601</v>
      </c>
      <c r="B771" s="1" t="s">
        <v>3153</v>
      </c>
      <c r="C771" t="str">
        <f t="shared" ref="C771:C834" si="36">TRIM(MID(B771,FIND(",",B771)+1,FIND(".",B771)-FIND(",",B771)))</f>
        <v>Ms.</v>
      </c>
      <c r="D771" t="str">
        <f t="shared" ref="D771:D834" si="37">TRIM(MID(B771,FIND(".",B771)+1,LEN(B771)))</f>
        <v>Kimberly</v>
      </c>
      <c r="E771" t="str">
        <f t="shared" ref="E771:E834" si="38">TRIM(LEFT(B771,FIND(",",B771)-1))</f>
        <v>Sweetland</v>
      </c>
    </row>
    <row r="772" spans="1:5" ht="15.5" x14ac:dyDescent="0.35">
      <c r="A772" s="1" t="s">
        <v>1600</v>
      </c>
      <c r="B772" s="1" t="s">
        <v>3154</v>
      </c>
      <c r="C772" t="str">
        <f t="shared" si="36"/>
        <v>Mr.</v>
      </c>
      <c r="D772" t="str">
        <f t="shared" si="37"/>
        <v>Matthew D</v>
      </c>
      <c r="E772" t="str">
        <f t="shared" si="38"/>
        <v>Hammersmith</v>
      </c>
    </row>
    <row r="773" spans="1:5" ht="15.5" x14ac:dyDescent="0.35">
      <c r="A773" s="1" t="s">
        <v>1599</v>
      </c>
      <c r="B773" s="1" t="s">
        <v>3155</v>
      </c>
      <c r="C773" t="str">
        <f t="shared" si="36"/>
        <v>Mr.</v>
      </c>
      <c r="D773" t="str">
        <f t="shared" si="37"/>
        <v>Michael</v>
      </c>
      <c r="E773" t="str">
        <f t="shared" si="38"/>
        <v>French</v>
      </c>
    </row>
    <row r="774" spans="1:5" ht="15.5" x14ac:dyDescent="0.35">
      <c r="A774" s="1" t="s">
        <v>1598</v>
      </c>
      <c r="B774" s="1" t="s">
        <v>3156</v>
      </c>
      <c r="C774" t="str">
        <f t="shared" si="36"/>
        <v>Mr.</v>
      </c>
      <c r="D774" t="str">
        <f t="shared" si="37"/>
        <v>Ben</v>
      </c>
      <c r="E774" t="str">
        <f t="shared" si="38"/>
        <v>Garbe</v>
      </c>
    </row>
    <row r="775" spans="1:5" ht="15.5" x14ac:dyDescent="0.35">
      <c r="A775" s="1" t="s">
        <v>1597</v>
      </c>
      <c r="B775" s="1" t="s">
        <v>3157</v>
      </c>
      <c r="C775" t="str">
        <f t="shared" si="36"/>
        <v>Mr.</v>
      </c>
      <c r="D775" t="str">
        <f t="shared" si="37"/>
        <v>Chris</v>
      </c>
      <c r="E775" t="str">
        <f t="shared" si="38"/>
        <v>Duncan</v>
      </c>
    </row>
    <row r="776" spans="1:5" ht="15.5" x14ac:dyDescent="0.35">
      <c r="A776" s="1" t="s">
        <v>1596</v>
      </c>
      <c r="B776" s="1" t="s">
        <v>3158</v>
      </c>
      <c r="C776" t="str">
        <f t="shared" si="36"/>
        <v>Mr.</v>
      </c>
      <c r="D776" t="str">
        <f t="shared" si="37"/>
        <v>Jeremy J</v>
      </c>
      <c r="E776" t="str">
        <f t="shared" si="38"/>
        <v>Wallace</v>
      </c>
    </row>
    <row r="777" spans="1:5" ht="15.5" x14ac:dyDescent="0.35">
      <c r="A777" s="1" t="s">
        <v>1595</v>
      </c>
      <c r="B777" s="1" t="s">
        <v>3159</v>
      </c>
      <c r="C777" t="str">
        <f t="shared" si="36"/>
        <v>Mrs.</v>
      </c>
      <c r="D777" t="str">
        <f t="shared" si="37"/>
        <v>Amy L.</v>
      </c>
      <c r="E777" t="str">
        <f t="shared" si="38"/>
        <v>Tillman</v>
      </c>
    </row>
    <row r="778" spans="1:5" ht="15.5" x14ac:dyDescent="0.35">
      <c r="A778" s="1" t="s">
        <v>1594</v>
      </c>
      <c r="B778" s="1" t="s">
        <v>3160</v>
      </c>
      <c r="C778" t="str">
        <f t="shared" si="36"/>
        <v>Mrs.</v>
      </c>
      <c r="D778" t="str">
        <f t="shared" si="37"/>
        <v>Karen L.</v>
      </c>
      <c r="E778" t="str">
        <f t="shared" si="38"/>
        <v>Lee</v>
      </c>
    </row>
    <row r="779" spans="1:5" ht="15.5" x14ac:dyDescent="0.35">
      <c r="A779" s="1" t="s">
        <v>1593</v>
      </c>
      <c r="B779" s="1" t="s">
        <v>3161</v>
      </c>
      <c r="C779" t="str">
        <f t="shared" si="36"/>
        <v>Ms.</v>
      </c>
      <c r="D779" t="str">
        <f t="shared" si="37"/>
        <v>Tennille</v>
      </c>
      <c r="E779" t="str">
        <f t="shared" si="38"/>
        <v>Taylor</v>
      </c>
    </row>
    <row r="780" spans="1:5" ht="15.5" x14ac:dyDescent="0.35">
      <c r="A780" s="1" t="s">
        <v>1592</v>
      </c>
      <c r="B780" s="1" t="s">
        <v>3162</v>
      </c>
      <c r="C780" t="str">
        <f t="shared" si="36"/>
        <v>Mr.</v>
      </c>
      <c r="D780" t="str">
        <f t="shared" si="37"/>
        <v>Matt</v>
      </c>
      <c r="E780" t="str">
        <f t="shared" si="38"/>
        <v>McSween</v>
      </c>
    </row>
    <row r="781" spans="1:5" ht="15.5" x14ac:dyDescent="0.35">
      <c r="A781" s="1" t="s">
        <v>1591</v>
      </c>
      <c r="B781" s="1" t="s">
        <v>3163</v>
      </c>
      <c r="C781" t="str">
        <f t="shared" si="36"/>
        <v>Ms.</v>
      </c>
      <c r="D781" t="str">
        <f t="shared" si="37"/>
        <v>Emily</v>
      </c>
      <c r="E781" t="str">
        <f t="shared" si="38"/>
        <v>Schubert</v>
      </c>
    </row>
    <row r="782" spans="1:5" ht="15.5" x14ac:dyDescent="0.35">
      <c r="A782" s="1" t="s">
        <v>1590</v>
      </c>
      <c r="B782" s="1" t="s">
        <v>3164</v>
      </c>
      <c r="C782" t="str">
        <f t="shared" si="36"/>
        <v>Mr.</v>
      </c>
      <c r="D782" t="str">
        <f t="shared" si="37"/>
        <v>Justin E</v>
      </c>
      <c r="E782" t="str">
        <f t="shared" si="38"/>
        <v>Lalanne</v>
      </c>
    </row>
    <row r="783" spans="1:5" ht="15.5" x14ac:dyDescent="0.35">
      <c r="A783" s="1" t="s">
        <v>1589</v>
      </c>
      <c r="B783" s="1" t="s">
        <v>3165</v>
      </c>
      <c r="C783" t="str">
        <f t="shared" si="36"/>
        <v>Ms.</v>
      </c>
      <c r="D783" t="str">
        <f t="shared" si="37"/>
        <v>Shalane</v>
      </c>
      <c r="E783" t="str">
        <f t="shared" si="38"/>
        <v>Flanagan</v>
      </c>
    </row>
    <row r="784" spans="1:5" ht="15.5" x14ac:dyDescent="0.35">
      <c r="A784" s="1" t="s">
        <v>1588</v>
      </c>
      <c r="B784" s="1" t="s">
        <v>3166</v>
      </c>
      <c r="C784" t="str">
        <f t="shared" si="36"/>
        <v>Ms.</v>
      </c>
      <c r="D784" t="str">
        <f t="shared" si="37"/>
        <v>Jessica N.</v>
      </c>
      <c r="E784" t="str">
        <f t="shared" si="38"/>
        <v>Arellano</v>
      </c>
    </row>
    <row r="785" spans="1:5" ht="15.5" x14ac:dyDescent="0.35">
      <c r="A785" s="1" t="s">
        <v>1587</v>
      </c>
      <c r="B785" s="1" t="s">
        <v>3167</v>
      </c>
      <c r="C785" t="str">
        <f t="shared" si="36"/>
        <v>Ms.</v>
      </c>
      <c r="D785" t="str">
        <f t="shared" si="37"/>
        <v>Melanie</v>
      </c>
      <c r="E785" t="str">
        <f t="shared" si="38"/>
        <v>Charette</v>
      </c>
    </row>
    <row r="786" spans="1:5" ht="15.5" x14ac:dyDescent="0.35">
      <c r="A786" s="1" t="s">
        <v>1586</v>
      </c>
      <c r="B786" s="1" t="s">
        <v>3168</v>
      </c>
      <c r="C786" t="str">
        <f t="shared" si="36"/>
        <v>Ms.</v>
      </c>
      <c r="D786" t="str">
        <f t="shared" si="37"/>
        <v>Ruth Angelica</v>
      </c>
      <c r="E786" t="str">
        <f t="shared" si="38"/>
        <v>Pena Reyes</v>
      </c>
    </row>
    <row r="787" spans="1:5" ht="15.5" x14ac:dyDescent="0.35">
      <c r="A787" s="1" t="s">
        <v>1585</v>
      </c>
      <c r="B787" s="1" t="s">
        <v>3169</v>
      </c>
      <c r="C787" t="str">
        <f t="shared" si="36"/>
        <v>Ms.</v>
      </c>
      <c r="D787" t="str">
        <f t="shared" si="37"/>
        <v>Una M</v>
      </c>
      <c r="E787" t="str">
        <f t="shared" si="38"/>
        <v>Broderick</v>
      </c>
    </row>
    <row r="788" spans="1:5" ht="15.5" x14ac:dyDescent="0.35">
      <c r="A788" s="1" t="s">
        <v>1584</v>
      </c>
      <c r="B788" s="1" t="s">
        <v>3170</v>
      </c>
      <c r="C788" t="str">
        <f t="shared" si="36"/>
        <v>Ms.</v>
      </c>
      <c r="D788" t="str">
        <f t="shared" si="37"/>
        <v>Taralyn</v>
      </c>
      <c r="E788" t="str">
        <f t="shared" si="38"/>
        <v>Summers</v>
      </c>
    </row>
    <row r="789" spans="1:5" ht="15.5" x14ac:dyDescent="0.35">
      <c r="A789" s="1" t="s">
        <v>1583</v>
      </c>
      <c r="B789" s="1" t="s">
        <v>3171</v>
      </c>
      <c r="C789" t="str">
        <f t="shared" si="36"/>
        <v>Mr.</v>
      </c>
      <c r="D789" t="str">
        <f t="shared" si="37"/>
        <v>James A</v>
      </c>
      <c r="E789" t="str">
        <f t="shared" si="38"/>
        <v>Fisher</v>
      </c>
    </row>
    <row r="790" spans="1:5" ht="15.5" x14ac:dyDescent="0.35">
      <c r="A790" s="1" t="s">
        <v>1582</v>
      </c>
      <c r="B790" s="1" t="s">
        <v>3172</v>
      </c>
      <c r="C790" t="str">
        <f t="shared" si="36"/>
        <v>Mr.</v>
      </c>
      <c r="D790" t="str">
        <f t="shared" si="37"/>
        <v>Ning</v>
      </c>
      <c r="E790" t="str">
        <f t="shared" si="38"/>
        <v>Zhou</v>
      </c>
    </row>
    <row r="791" spans="1:5" ht="15.5" x14ac:dyDescent="0.35">
      <c r="A791" s="1" t="s">
        <v>1581</v>
      </c>
      <c r="B791" s="1" t="s">
        <v>3173</v>
      </c>
      <c r="C791" t="str">
        <f t="shared" si="36"/>
        <v>Mr.</v>
      </c>
      <c r="D791" t="str">
        <f t="shared" si="37"/>
        <v>Joel</v>
      </c>
      <c r="E791" t="str">
        <f t="shared" si="38"/>
        <v>Clarke-Ames</v>
      </c>
    </row>
    <row r="792" spans="1:5" ht="15.5" x14ac:dyDescent="0.35">
      <c r="A792" s="1" t="s">
        <v>1580</v>
      </c>
      <c r="B792" s="1" t="s">
        <v>3174</v>
      </c>
      <c r="C792" t="str">
        <f t="shared" si="36"/>
        <v>Ms.</v>
      </c>
      <c r="D792" t="str">
        <f t="shared" si="37"/>
        <v>Pamela J.</v>
      </c>
      <c r="E792" t="str">
        <f t="shared" si="38"/>
        <v>Staton</v>
      </c>
    </row>
    <row r="793" spans="1:5" ht="15.5" x14ac:dyDescent="0.35">
      <c r="A793" s="1" t="s">
        <v>1579</v>
      </c>
      <c r="B793" s="1" t="s">
        <v>3175</v>
      </c>
      <c r="C793" t="str">
        <f t="shared" si="36"/>
        <v>Ms.</v>
      </c>
      <c r="D793" t="str">
        <f t="shared" si="37"/>
        <v>Brittney</v>
      </c>
      <c r="E793" t="str">
        <f t="shared" si="38"/>
        <v>Forster</v>
      </c>
    </row>
    <row r="794" spans="1:5" ht="15.5" x14ac:dyDescent="0.35">
      <c r="A794" s="1" t="s">
        <v>1578</v>
      </c>
      <c r="B794" s="1" t="s">
        <v>3176</v>
      </c>
      <c r="C794" t="str">
        <f t="shared" si="36"/>
        <v>Mrs.</v>
      </c>
      <c r="D794" t="str">
        <f t="shared" si="37"/>
        <v>Sheila</v>
      </c>
      <c r="E794" t="str">
        <f t="shared" si="38"/>
        <v>Monaghan</v>
      </c>
    </row>
    <row r="795" spans="1:5" ht="15.5" x14ac:dyDescent="0.35">
      <c r="A795" s="1" t="s">
        <v>1577</v>
      </c>
      <c r="B795" s="1" t="s">
        <v>3177</v>
      </c>
      <c r="C795" t="str">
        <f t="shared" si="36"/>
        <v>Mr.</v>
      </c>
      <c r="D795" t="str">
        <f t="shared" si="37"/>
        <v>Koji</v>
      </c>
      <c r="E795" t="str">
        <f t="shared" si="38"/>
        <v>Kawamoto</v>
      </c>
    </row>
    <row r="796" spans="1:5" ht="15.5" x14ac:dyDescent="0.35">
      <c r="A796" s="1" t="s">
        <v>1576</v>
      </c>
      <c r="B796" s="1" t="s">
        <v>3178</v>
      </c>
      <c r="C796" t="str">
        <f t="shared" si="36"/>
        <v>Ms.</v>
      </c>
      <c r="D796" t="str">
        <f t="shared" si="37"/>
        <v>Sarah</v>
      </c>
      <c r="E796" t="str">
        <f t="shared" si="38"/>
        <v>Dicharry</v>
      </c>
    </row>
    <row r="797" spans="1:5" ht="15.5" x14ac:dyDescent="0.35">
      <c r="A797" s="1" t="s">
        <v>1575</v>
      </c>
      <c r="B797" s="1" t="s">
        <v>3179</v>
      </c>
      <c r="C797" t="str">
        <f t="shared" si="36"/>
        <v>Mrs.</v>
      </c>
      <c r="D797" t="str">
        <f t="shared" si="37"/>
        <v>Colleen M</v>
      </c>
      <c r="E797" t="str">
        <f t="shared" si="38"/>
        <v>Berry</v>
      </c>
    </row>
    <row r="798" spans="1:5" ht="15.5" x14ac:dyDescent="0.35">
      <c r="A798" s="1" t="s">
        <v>1574</v>
      </c>
      <c r="B798" s="1" t="s">
        <v>3180</v>
      </c>
      <c r="C798" t="str">
        <f t="shared" si="36"/>
        <v>Ms.</v>
      </c>
      <c r="D798" t="str">
        <f t="shared" si="37"/>
        <v>Deedra G.</v>
      </c>
      <c r="E798" t="str">
        <f t="shared" si="38"/>
        <v>Porfirio</v>
      </c>
    </row>
    <row r="799" spans="1:5" ht="15.5" x14ac:dyDescent="0.35">
      <c r="A799" s="1" t="s">
        <v>1573</v>
      </c>
      <c r="B799" s="1" t="s">
        <v>3181</v>
      </c>
      <c r="C799" t="str">
        <f t="shared" si="36"/>
        <v>Mrs.</v>
      </c>
      <c r="D799" t="str">
        <f t="shared" si="37"/>
        <v>Kulwinder</v>
      </c>
      <c r="E799" t="str">
        <f t="shared" si="38"/>
        <v>Thind</v>
      </c>
    </row>
    <row r="800" spans="1:5" ht="15.5" x14ac:dyDescent="0.35">
      <c r="A800" s="1" t="s">
        <v>1572</v>
      </c>
      <c r="B800" s="1" t="s">
        <v>3182</v>
      </c>
      <c r="C800" t="str">
        <f t="shared" si="36"/>
        <v>Ms.</v>
      </c>
      <c r="D800" t="str">
        <f t="shared" si="37"/>
        <v>Ann M.</v>
      </c>
      <c r="E800" t="str">
        <f t="shared" si="38"/>
        <v>Ryan</v>
      </c>
    </row>
    <row r="801" spans="1:5" ht="15.5" x14ac:dyDescent="0.35">
      <c r="A801" s="1" t="s">
        <v>1571</v>
      </c>
      <c r="B801" s="1" t="s">
        <v>3183</v>
      </c>
      <c r="C801" t="str">
        <f t="shared" si="36"/>
        <v>Ms.</v>
      </c>
      <c r="D801" t="str">
        <f t="shared" si="37"/>
        <v>Sarah E</v>
      </c>
      <c r="E801" t="str">
        <f t="shared" si="38"/>
        <v>Horn</v>
      </c>
    </row>
    <row r="802" spans="1:5" ht="15.5" x14ac:dyDescent="0.35">
      <c r="A802" s="1" t="s">
        <v>1570</v>
      </c>
      <c r="B802" s="1" t="s">
        <v>3184</v>
      </c>
      <c r="C802" t="str">
        <f t="shared" si="36"/>
        <v>Ms.</v>
      </c>
      <c r="D802" t="str">
        <f t="shared" si="37"/>
        <v>Apryl J.</v>
      </c>
      <c r="E802" t="str">
        <f t="shared" si="38"/>
        <v>Sabadosa</v>
      </c>
    </row>
    <row r="803" spans="1:5" ht="15.5" x14ac:dyDescent="0.35">
      <c r="A803" s="1" t="s">
        <v>1569</v>
      </c>
      <c r="B803" s="1" t="s">
        <v>3185</v>
      </c>
      <c r="C803" t="str">
        <f t="shared" si="36"/>
        <v>Mrs.</v>
      </c>
      <c r="D803" t="str">
        <f t="shared" si="37"/>
        <v>Ilana</v>
      </c>
      <c r="E803" t="str">
        <f t="shared" si="38"/>
        <v>Casady</v>
      </c>
    </row>
    <row r="804" spans="1:5" ht="15.5" x14ac:dyDescent="0.35">
      <c r="A804" s="1" t="s">
        <v>1568</v>
      </c>
      <c r="B804" s="1" t="s">
        <v>3186</v>
      </c>
      <c r="C804" t="str">
        <f t="shared" si="36"/>
        <v>Ms.</v>
      </c>
      <c r="D804" t="str">
        <f t="shared" si="37"/>
        <v>Katherine</v>
      </c>
      <c r="E804" t="str">
        <f t="shared" si="38"/>
        <v>Phillips</v>
      </c>
    </row>
    <row r="805" spans="1:5" ht="15.5" x14ac:dyDescent="0.35">
      <c r="A805" s="1" t="s">
        <v>1567</v>
      </c>
      <c r="B805" s="1" t="s">
        <v>3187</v>
      </c>
      <c r="C805" t="str">
        <f t="shared" si="36"/>
        <v>Ms.</v>
      </c>
      <c r="D805" t="str">
        <f t="shared" si="37"/>
        <v>Katherine</v>
      </c>
      <c r="E805" t="str">
        <f t="shared" si="38"/>
        <v>Ahokas</v>
      </c>
    </row>
    <row r="806" spans="1:5" ht="15.5" x14ac:dyDescent="0.35">
      <c r="A806" s="1" t="s">
        <v>1566</v>
      </c>
      <c r="B806" s="1" t="s">
        <v>3188</v>
      </c>
      <c r="C806" t="str">
        <f t="shared" si="36"/>
        <v>Mr.</v>
      </c>
      <c r="D806" t="str">
        <f t="shared" si="37"/>
        <v>Karl</v>
      </c>
      <c r="E806" t="str">
        <f t="shared" si="38"/>
        <v>Hebert</v>
      </c>
    </row>
    <row r="807" spans="1:5" ht="15.5" x14ac:dyDescent="0.35">
      <c r="A807" s="1" t="s">
        <v>1565</v>
      </c>
      <c r="B807" s="1" t="s">
        <v>3189</v>
      </c>
      <c r="C807" t="str">
        <f t="shared" si="36"/>
        <v>Mr.</v>
      </c>
      <c r="D807" t="str">
        <f t="shared" si="37"/>
        <v>Stephen</v>
      </c>
      <c r="E807" t="str">
        <f t="shared" si="38"/>
        <v>Fair</v>
      </c>
    </row>
    <row r="808" spans="1:5" ht="15.5" x14ac:dyDescent="0.35">
      <c r="A808" s="1" t="s">
        <v>1564</v>
      </c>
      <c r="B808" s="1" t="s">
        <v>3190</v>
      </c>
      <c r="C808" t="str">
        <f t="shared" si="36"/>
        <v>Mr.</v>
      </c>
      <c r="D808" t="str">
        <f t="shared" si="37"/>
        <v>Will</v>
      </c>
      <c r="E808" t="str">
        <f t="shared" si="38"/>
        <v>Swenson</v>
      </c>
    </row>
    <row r="809" spans="1:5" ht="15.5" x14ac:dyDescent="0.35">
      <c r="A809" s="1" t="s">
        <v>1563</v>
      </c>
      <c r="B809" s="1" t="s">
        <v>3191</v>
      </c>
      <c r="C809" t="str">
        <f t="shared" si="36"/>
        <v>Mr.</v>
      </c>
      <c r="D809" t="str">
        <f t="shared" si="37"/>
        <v>Bradley D</v>
      </c>
      <c r="E809" t="str">
        <f t="shared" si="38"/>
        <v>Revenis</v>
      </c>
    </row>
    <row r="810" spans="1:5" ht="15.5" x14ac:dyDescent="0.35">
      <c r="A810" s="1" t="s">
        <v>1562</v>
      </c>
      <c r="B810" s="1" t="s">
        <v>3192</v>
      </c>
      <c r="C810" t="str">
        <f t="shared" si="36"/>
        <v>Mrs.</v>
      </c>
      <c r="D810" t="str">
        <f t="shared" si="37"/>
        <v>Amy M</v>
      </c>
      <c r="E810" t="str">
        <f t="shared" si="38"/>
        <v>Engnes</v>
      </c>
    </row>
    <row r="811" spans="1:5" ht="15.5" x14ac:dyDescent="0.35">
      <c r="A811" s="1" t="s">
        <v>1561</v>
      </c>
      <c r="B811" s="1" t="s">
        <v>3193</v>
      </c>
      <c r="C811" t="str">
        <f t="shared" si="36"/>
        <v>Mr.</v>
      </c>
      <c r="D811" t="str">
        <f t="shared" si="37"/>
        <v>Matthew W.</v>
      </c>
      <c r="E811" t="str">
        <f t="shared" si="38"/>
        <v>Wiltse</v>
      </c>
    </row>
    <row r="812" spans="1:5" ht="15.5" x14ac:dyDescent="0.35">
      <c r="A812" s="1" t="s">
        <v>1560</v>
      </c>
      <c r="B812" s="1" t="s">
        <v>3194</v>
      </c>
      <c r="C812" t="str">
        <f t="shared" si="36"/>
        <v>Mr.</v>
      </c>
      <c r="D812" t="str">
        <f t="shared" si="37"/>
        <v>Doug</v>
      </c>
      <c r="E812" t="str">
        <f t="shared" si="38"/>
        <v>Fernandez</v>
      </c>
    </row>
    <row r="813" spans="1:5" ht="15.5" x14ac:dyDescent="0.35">
      <c r="A813" s="1" t="s">
        <v>1559</v>
      </c>
      <c r="B813" s="1" t="s">
        <v>3195</v>
      </c>
      <c r="C813" t="str">
        <f t="shared" si="36"/>
        <v>Mr.</v>
      </c>
      <c r="D813" t="str">
        <f t="shared" si="37"/>
        <v>Tom</v>
      </c>
      <c r="E813" t="str">
        <f t="shared" si="38"/>
        <v>Edwards</v>
      </c>
    </row>
    <row r="814" spans="1:5" ht="15.5" x14ac:dyDescent="0.35">
      <c r="A814" s="1" t="s">
        <v>1558</v>
      </c>
      <c r="B814" s="1" t="s">
        <v>3196</v>
      </c>
      <c r="C814" t="str">
        <f t="shared" si="36"/>
        <v>Mr.</v>
      </c>
      <c r="D814" t="str">
        <f t="shared" si="37"/>
        <v>Jonathan</v>
      </c>
      <c r="E814" t="str">
        <f t="shared" si="38"/>
        <v>Pinney</v>
      </c>
    </row>
    <row r="815" spans="1:5" ht="15.5" x14ac:dyDescent="0.35">
      <c r="A815" s="1" t="s">
        <v>1557</v>
      </c>
      <c r="B815" s="1" t="s">
        <v>3197</v>
      </c>
      <c r="C815" t="str">
        <f t="shared" si="36"/>
        <v>Mr.</v>
      </c>
      <c r="D815" t="str">
        <f t="shared" si="37"/>
        <v>Wayne A.</v>
      </c>
      <c r="E815" t="str">
        <f t="shared" si="38"/>
        <v>Levy</v>
      </c>
    </row>
    <row r="816" spans="1:5" ht="15.5" x14ac:dyDescent="0.35">
      <c r="A816" s="1" t="s">
        <v>1556</v>
      </c>
      <c r="B816" s="1" t="s">
        <v>3198</v>
      </c>
      <c r="C816" t="str">
        <f t="shared" si="36"/>
        <v>Mr.</v>
      </c>
      <c r="D816" t="str">
        <f t="shared" si="37"/>
        <v>Nobuyori</v>
      </c>
      <c r="E816" t="str">
        <f t="shared" si="38"/>
        <v>Takeda</v>
      </c>
    </row>
    <row r="817" spans="1:5" ht="15.5" x14ac:dyDescent="0.35">
      <c r="A817" s="1" t="s">
        <v>1555</v>
      </c>
      <c r="B817" s="1" t="s">
        <v>3199</v>
      </c>
      <c r="C817" t="str">
        <f t="shared" si="36"/>
        <v>Mr.</v>
      </c>
      <c r="D817" t="str">
        <f t="shared" si="37"/>
        <v>Rich</v>
      </c>
      <c r="E817" t="str">
        <f t="shared" si="38"/>
        <v>Burke</v>
      </c>
    </row>
    <row r="818" spans="1:5" ht="15.5" x14ac:dyDescent="0.35">
      <c r="A818" s="1" t="s">
        <v>1554</v>
      </c>
      <c r="B818" s="1" t="s">
        <v>3200</v>
      </c>
      <c r="C818" t="str">
        <f t="shared" si="36"/>
        <v>Mr.</v>
      </c>
      <c r="D818" t="str">
        <f t="shared" si="37"/>
        <v>Marcos S</v>
      </c>
      <c r="E818" t="str">
        <f t="shared" si="38"/>
        <v>Duarte</v>
      </c>
    </row>
    <row r="819" spans="1:5" ht="15.5" x14ac:dyDescent="0.35">
      <c r="A819" s="1" t="s">
        <v>1553</v>
      </c>
      <c r="B819" s="1" t="s">
        <v>3201</v>
      </c>
      <c r="C819" t="str">
        <f t="shared" si="36"/>
        <v>Mr.</v>
      </c>
      <c r="D819" t="str">
        <f t="shared" si="37"/>
        <v>Dave</v>
      </c>
      <c r="E819" t="str">
        <f t="shared" si="38"/>
        <v>Clark</v>
      </c>
    </row>
    <row r="820" spans="1:5" ht="15.5" x14ac:dyDescent="0.35">
      <c r="A820" s="1" t="s">
        <v>1552</v>
      </c>
      <c r="B820" s="1" t="s">
        <v>3202</v>
      </c>
      <c r="C820" t="str">
        <f t="shared" si="36"/>
        <v>Mr.</v>
      </c>
      <c r="D820" t="str">
        <f t="shared" si="37"/>
        <v>Andy</v>
      </c>
      <c r="E820" t="str">
        <f t="shared" si="38"/>
        <v>Nice</v>
      </c>
    </row>
    <row r="821" spans="1:5" ht="15.5" x14ac:dyDescent="0.35">
      <c r="A821" s="1" t="s">
        <v>1551</v>
      </c>
      <c r="B821" s="1" t="s">
        <v>3203</v>
      </c>
      <c r="C821" t="str">
        <f t="shared" si="36"/>
        <v>Ms.</v>
      </c>
      <c r="D821" t="str">
        <f t="shared" si="37"/>
        <v>Mary</v>
      </c>
      <c r="E821" t="str">
        <f t="shared" si="38"/>
        <v>Windler</v>
      </c>
    </row>
    <row r="822" spans="1:5" ht="15.5" x14ac:dyDescent="0.35">
      <c r="A822" s="1" t="s">
        <v>1550</v>
      </c>
      <c r="B822" s="1" t="s">
        <v>3204</v>
      </c>
      <c r="C822" t="str">
        <f t="shared" si="36"/>
        <v>Mr.</v>
      </c>
      <c r="D822" t="str">
        <f t="shared" si="37"/>
        <v>Marcus B</v>
      </c>
      <c r="E822" t="str">
        <f t="shared" si="38"/>
        <v>Jones</v>
      </c>
    </row>
    <row r="823" spans="1:5" ht="15.5" x14ac:dyDescent="0.35">
      <c r="A823" s="1" t="s">
        <v>1549</v>
      </c>
      <c r="B823" s="1" t="s">
        <v>3205</v>
      </c>
      <c r="C823" t="str">
        <f t="shared" si="36"/>
        <v>Mr.</v>
      </c>
      <c r="D823" t="str">
        <f t="shared" si="37"/>
        <v>Thomas K.</v>
      </c>
      <c r="E823" t="str">
        <f t="shared" si="38"/>
        <v>Stevenson</v>
      </c>
    </row>
    <row r="824" spans="1:5" ht="15.5" x14ac:dyDescent="0.35">
      <c r="A824" s="1" t="s">
        <v>1548</v>
      </c>
      <c r="B824" s="1" t="s">
        <v>3206</v>
      </c>
      <c r="C824" t="str">
        <f t="shared" si="36"/>
        <v>Mr.</v>
      </c>
      <c r="D824" t="str">
        <f t="shared" si="37"/>
        <v>Robert</v>
      </c>
      <c r="E824" t="str">
        <f t="shared" si="38"/>
        <v>Humphrey</v>
      </c>
    </row>
    <row r="825" spans="1:5" ht="15.5" x14ac:dyDescent="0.35">
      <c r="A825" s="1" t="s">
        <v>1547</v>
      </c>
      <c r="B825" s="1" t="s">
        <v>3207</v>
      </c>
      <c r="C825" t="str">
        <f t="shared" si="36"/>
        <v>Mr.</v>
      </c>
      <c r="D825" t="str">
        <f t="shared" si="37"/>
        <v>Geoff</v>
      </c>
      <c r="E825" t="str">
        <f t="shared" si="38"/>
        <v>Nelson</v>
      </c>
    </row>
    <row r="826" spans="1:5" ht="15.5" x14ac:dyDescent="0.35">
      <c r="A826" s="1" t="s">
        <v>1546</v>
      </c>
      <c r="B826" s="1" t="s">
        <v>3208</v>
      </c>
      <c r="C826" t="str">
        <f t="shared" si="36"/>
        <v>Mr.</v>
      </c>
      <c r="D826" t="str">
        <f t="shared" si="37"/>
        <v>Chris J.</v>
      </c>
      <c r="E826" t="str">
        <f t="shared" si="38"/>
        <v>Payne</v>
      </c>
    </row>
    <row r="827" spans="1:5" ht="15.5" x14ac:dyDescent="0.35">
      <c r="A827" s="1" t="s">
        <v>1545</v>
      </c>
      <c r="B827" s="1" t="s">
        <v>3209</v>
      </c>
      <c r="C827" t="str">
        <f t="shared" si="36"/>
        <v>Ms.</v>
      </c>
      <c r="D827" t="str">
        <f t="shared" si="37"/>
        <v>Kate A.</v>
      </c>
      <c r="E827" t="str">
        <f t="shared" si="38"/>
        <v>Hails</v>
      </c>
    </row>
    <row r="828" spans="1:5" ht="15.5" x14ac:dyDescent="0.35">
      <c r="A828" s="1" t="s">
        <v>1544</v>
      </c>
      <c r="B828" s="1" t="s">
        <v>3210</v>
      </c>
      <c r="C828" t="str">
        <f t="shared" si="36"/>
        <v>Ms.</v>
      </c>
      <c r="D828" t="str">
        <f t="shared" si="37"/>
        <v>Kelli</v>
      </c>
      <c r="E828" t="str">
        <f t="shared" si="38"/>
        <v>Proctor</v>
      </c>
    </row>
    <row r="829" spans="1:5" ht="15.5" x14ac:dyDescent="0.35">
      <c r="A829" s="1" t="s">
        <v>1543</v>
      </c>
      <c r="B829" s="1" t="s">
        <v>3211</v>
      </c>
      <c r="C829" t="str">
        <f t="shared" si="36"/>
        <v>Mrs.</v>
      </c>
      <c r="D829" t="str">
        <f t="shared" si="37"/>
        <v>Maggie M</v>
      </c>
      <c r="E829" t="str">
        <f t="shared" si="38"/>
        <v>Ryan</v>
      </c>
    </row>
    <row r="830" spans="1:5" ht="15.5" x14ac:dyDescent="0.35">
      <c r="A830" s="1" t="s">
        <v>1542</v>
      </c>
      <c r="B830" s="1" t="s">
        <v>3212</v>
      </c>
      <c r="C830" t="str">
        <f t="shared" si="36"/>
        <v>Mrs.</v>
      </c>
      <c r="D830" t="str">
        <f t="shared" si="37"/>
        <v>Michelle L.</v>
      </c>
      <c r="E830" t="str">
        <f t="shared" si="38"/>
        <v>Watson</v>
      </c>
    </row>
    <row r="831" spans="1:5" ht="15.5" x14ac:dyDescent="0.35">
      <c r="A831" s="1" t="s">
        <v>1541</v>
      </c>
      <c r="B831" s="1" t="s">
        <v>3213</v>
      </c>
      <c r="C831" t="str">
        <f t="shared" si="36"/>
        <v>Mrs.</v>
      </c>
      <c r="D831" t="str">
        <f t="shared" si="37"/>
        <v>Ashley K</v>
      </c>
      <c r="E831" t="str">
        <f t="shared" si="38"/>
        <v>Gresh</v>
      </c>
    </row>
    <row r="832" spans="1:5" ht="15.5" x14ac:dyDescent="0.35">
      <c r="A832" s="1" t="s">
        <v>1540</v>
      </c>
      <c r="B832" s="1" t="s">
        <v>3214</v>
      </c>
      <c r="C832" t="str">
        <f t="shared" si="36"/>
        <v>Mr.</v>
      </c>
      <c r="D832" t="str">
        <f t="shared" si="37"/>
        <v>Michael</v>
      </c>
      <c r="E832" t="str">
        <f t="shared" si="38"/>
        <v>Anis</v>
      </c>
    </row>
    <row r="833" spans="1:5" ht="15.5" x14ac:dyDescent="0.35">
      <c r="A833" s="1" t="s">
        <v>1539</v>
      </c>
      <c r="B833" s="1" t="s">
        <v>3215</v>
      </c>
      <c r="C833" t="str">
        <f t="shared" si="36"/>
        <v>Mr.</v>
      </c>
      <c r="D833" t="str">
        <f t="shared" si="37"/>
        <v>Ryan K.</v>
      </c>
      <c r="E833" t="str">
        <f t="shared" si="38"/>
        <v>Swartz</v>
      </c>
    </row>
    <row r="834" spans="1:5" ht="15.5" x14ac:dyDescent="0.35">
      <c r="A834" s="1" t="s">
        <v>1538</v>
      </c>
      <c r="B834" s="1" t="s">
        <v>3216</v>
      </c>
      <c r="C834" t="str">
        <f t="shared" si="36"/>
        <v>Mr.</v>
      </c>
      <c r="D834" t="str">
        <f t="shared" si="37"/>
        <v>Matthew J</v>
      </c>
      <c r="E834" t="str">
        <f t="shared" si="38"/>
        <v>Schluneker</v>
      </c>
    </row>
    <row r="835" spans="1:5" ht="15.5" x14ac:dyDescent="0.35">
      <c r="A835" s="1" t="s">
        <v>1537</v>
      </c>
      <c r="B835" s="1" t="s">
        <v>3217</v>
      </c>
      <c r="C835" t="str">
        <f t="shared" ref="C835:C898" si="39">TRIM(MID(B835,FIND(",",B835)+1,FIND(".",B835)-FIND(",",B835)))</f>
        <v>Mrs.</v>
      </c>
      <c r="D835" t="str">
        <f t="shared" ref="D835:D898" si="40">TRIM(MID(B835,FIND(".",B835)+1,LEN(B835)))</f>
        <v>Karine</v>
      </c>
      <c r="E835" t="str">
        <f t="shared" ref="E835:E898" si="41">TRIM(LEFT(B835,FIND(",",B835)-1))</f>
        <v>Bellemare</v>
      </c>
    </row>
    <row r="836" spans="1:5" ht="15.5" x14ac:dyDescent="0.35">
      <c r="A836" s="1" t="s">
        <v>1536</v>
      </c>
      <c r="B836" s="1" t="s">
        <v>3218</v>
      </c>
      <c r="C836" t="str">
        <f t="shared" si="39"/>
        <v>Ms.</v>
      </c>
      <c r="D836" t="str">
        <f t="shared" si="40"/>
        <v>Antonia G</v>
      </c>
      <c r="E836" t="str">
        <f t="shared" si="41"/>
        <v>Vitalo</v>
      </c>
    </row>
    <row r="837" spans="1:5" ht="15.5" x14ac:dyDescent="0.35">
      <c r="A837" s="1" t="s">
        <v>1535</v>
      </c>
      <c r="B837" s="1" t="s">
        <v>3219</v>
      </c>
      <c r="C837" t="str">
        <f t="shared" si="39"/>
        <v>Ms.</v>
      </c>
      <c r="D837" t="str">
        <f t="shared" si="40"/>
        <v>Casondra L</v>
      </c>
      <c r="E837" t="str">
        <f t="shared" si="41"/>
        <v>Hamilton</v>
      </c>
    </row>
    <row r="838" spans="1:5" ht="15.5" x14ac:dyDescent="0.35">
      <c r="A838" s="1" t="s">
        <v>1534</v>
      </c>
      <c r="B838" s="1" t="s">
        <v>3220</v>
      </c>
      <c r="C838" t="str">
        <f t="shared" si="39"/>
        <v>Ms.</v>
      </c>
      <c r="D838" t="str">
        <f t="shared" si="40"/>
        <v>Wendy</v>
      </c>
      <c r="E838" t="str">
        <f t="shared" si="41"/>
        <v>Marshall</v>
      </c>
    </row>
    <row r="839" spans="1:5" ht="15.5" x14ac:dyDescent="0.35">
      <c r="A839" s="1" t="s">
        <v>1533</v>
      </c>
      <c r="B839" s="1" t="s">
        <v>3221</v>
      </c>
      <c r="C839" t="str">
        <f t="shared" si="39"/>
        <v>Mr.</v>
      </c>
      <c r="D839" t="str">
        <f t="shared" si="40"/>
        <v>Eric D</v>
      </c>
      <c r="E839" t="str">
        <f t="shared" si="41"/>
        <v>Cale</v>
      </c>
    </row>
    <row r="840" spans="1:5" ht="15.5" x14ac:dyDescent="0.35">
      <c r="A840" s="1" t="s">
        <v>1532</v>
      </c>
      <c r="B840" s="1" t="s">
        <v>3222</v>
      </c>
      <c r="C840" t="str">
        <f t="shared" si="39"/>
        <v>Ms.</v>
      </c>
      <c r="D840" t="str">
        <f t="shared" si="40"/>
        <v>Elizabeth</v>
      </c>
      <c r="E840" t="str">
        <f t="shared" si="41"/>
        <v>Pittaway</v>
      </c>
    </row>
    <row r="841" spans="1:5" ht="15.5" x14ac:dyDescent="0.35">
      <c r="A841" s="1" t="s">
        <v>1531</v>
      </c>
      <c r="B841" s="1" t="s">
        <v>3223</v>
      </c>
      <c r="C841" t="str">
        <f t="shared" si="39"/>
        <v>Ms.</v>
      </c>
      <c r="D841" t="str">
        <f t="shared" si="40"/>
        <v>Laura F</v>
      </c>
      <c r="E841" t="str">
        <f t="shared" si="41"/>
        <v>Bill</v>
      </c>
    </row>
    <row r="842" spans="1:5" ht="15.5" x14ac:dyDescent="0.35">
      <c r="A842" s="1" t="s">
        <v>1530</v>
      </c>
      <c r="B842" s="1" t="s">
        <v>3224</v>
      </c>
      <c r="C842" t="str">
        <f t="shared" si="39"/>
        <v>Ms.</v>
      </c>
      <c r="D842" t="str">
        <f t="shared" si="40"/>
        <v>Amelia F.</v>
      </c>
      <c r="E842" t="str">
        <f t="shared" si="41"/>
        <v>Antrim</v>
      </c>
    </row>
    <row r="843" spans="1:5" ht="15.5" x14ac:dyDescent="0.35">
      <c r="A843" s="1" t="s">
        <v>1529</v>
      </c>
      <c r="B843" s="1" t="s">
        <v>3225</v>
      </c>
      <c r="C843" t="str">
        <f t="shared" si="39"/>
        <v>Ms.</v>
      </c>
      <c r="D843" t="str">
        <f t="shared" si="40"/>
        <v>Amy L.</v>
      </c>
      <c r="E843" t="str">
        <f t="shared" si="41"/>
        <v>Doolittle-Crider</v>
      </c>
    </row>
    <row r="844" spans="1:5" ht="15.5" x14ac:dyDescent="0.35">
      <c r="A844" s="1" t="s">
        <v>1528</v>
      </c>
      <c r="B844" s="1" t="s">
        <v>3226</v>
      </c>
      <c r="C844" t="str">
        <f t="shared" si="39"/>
        <v>Ms.</v>
      </c>
      <c r="D844" t="str">
        <f t="shared" si="40"/>
        <v>Katie J</v>
      </c>
      <c r="E844" t="str">
        <f t="shared" si="41"/>
        <v>Ruhlman</v>
      </c>
    </row>
    <row r="845" spans="1:5" ht="15.5" x14ac:dyDescent="0.35">
      <c r="A845" s="1" t="s">
        <v>1527</v>
      </c>
      <c r="B845" s="1" t="s">
        <v>3227</v>
      </c>
      <c r="C845" t="str">
        <f t="shared" si="39"/>
        <v>Ms.</v>
      </c>
      <c r="D845" t="str">
        <f t="shared" si="40"/>
        <v>Laura E.</v>
      </c>
      <c r="E845" t="str">
        <f t="shared" si="41"/>
        <v>Anderson</v>
      </c>
    </row>
    <row r="846" spans="1:5" ht="15.5" x14ac:dyDescent="0.35">
      <c r="A846" s="1" t="s">
        <v>1526</v>
      </c>
      <c r="B846" s="1" t="s">
        <v>3228</v>
      </c>
      <c r="C846" t="str">
        <f t="shared" si="39"/>
        <v>Mrs.</v>
      </c>
      <c r="D846" t="str">
        <f t="shared" si="40"/>
        <v>Mayumi</v>
      </c>
      <c r="E846" t="str">
        <f t="shared" si="41"/>
        <v>Uchiyama</v>
      </c>
    </row>
    <row r="847" spans="1:5" ht="15.5" x14ac:dyDescent="0.35">
      <c r="A847" s="1" t="s">
        <v>1525</v>
      </c>
      <c r="B847" s="1" t="s">
        <v>3229</v>
      </c>
      <c r="C847" t="str">
        <f t="shared" si="39"/>
        <v>Ms.</v>
      </c>
      <c r="D847" t="str">
        <f t="shared" si="40"/>
        <v>Vanessa</v>
      </c>
      <c r="E847" t="str">
        <f t="shared" si="41"/>
        <v>Desota</v>
      </c>
    </row>
    <row r="848" spans="1:5" ht="15.5" x14ac:dyDescent="0.35">
      <c r="A848" s="1" t="s">
        <v>1524</v>
      </c>
      <c r="B848" s="1" t="s">
        <v>3230</v>
      </c>
      <c r="C848" t="str">
        <f t="shared" si="39"/>
        <v>Ms.</v>
      </c>
      <c r="D848" t="str">
        <f t="shared" si="40"/>
        <v>Natali N</v>
      </c>
      <c r="E848" t="str">
        <f t="shared" si="41"/>
        <v>Edmonds</v>
      </c>
    </row>
    <row r="849" spans="1:5" ht="15.5" x14ac:dyDescent="0.35">
      <c r="A849" s="1" t="s">
        <v>1523</v>
      </c>
      <c r="B849" s="1" t="s">
        <v>3231</v>
      </c>
      <c r="C849" t="str">
        <f t="shared" si="39"/>
        <v>Ms.</v>
      </c>
      <c r="D849" t="str">
        <f t="shared" si="40"/>
        <v>Beth</v>
      </c>
      <c r="E849" t="str">
        <f t="shared" si="41"/>
        <v>Otto</v>
      </c>
    </row>
    <row r="850" spans="1:5" ht="15.5" x14ac:dyDescent="0.35">
      <c r="A850" s="1" t="s">
        <v>1522</v>
      </c>
      <c r="B850" s="1" t="s">
        <v>3232</v>
      </c>
      <c r="C850" t="str">
        <f t="shared" si="39"/>
        <v>Mr.</v>
      </c>
      <c r="D850" t="str">
        <f t="shared" si="40"/>
        <v>Alex</v>
      </c>
      <c r="E850" t="str">
        <f t="shared" si="41"/>
        <v>Kurt</v>
      </c>
    </row>
    <row r="851" spans="1:5" ht="15.5" x14ac:dyDescent="0.35">
      <c r="A851" s="1" t="s">
        <v>1521</v>
      </c>
      <c r="B851" s="1" t="s">
        <v>3233</v>
      </c>
      <c r="C851" t="str">
        <f t="shared" si="39"/>
        <v>Mr.</v>
      </c>
      <c r="D851" t="str">
        <f t="shared" si="40"/>
        <v>Spencer</v>
      </c>
      <c r="E851" t="str">
        <f t="shared" si="41"/>
        <v>Duhaime</v>
      </c>
    </row>
    <row r="852" spans="1:5" ht="15.5" x14ac:dyDescent="0.35">
      <c r="A852" s="1" t="s">
        <v>1520</v>
      </c>
      <c r="B852" s="1" t="s">
        <v>3234</v>
      </c>
      <c r="C852" t="str">
        <f t="shared" si="39"/>
        <v>Ms.</v>
      </c>
      <c r="D852" t="str">
        <f t="shared" si="40"/>
        <v>Andee W.</v>
      </c>
      <c r="E852" t="str">
        <f t="shared" si="41"/>
        <v>Swann</v>
      </c>
    </row>
    <row r="853" spans="1:5" ht="15.5" x14ac:dyDescent="0.35">
      <c r="A853" s="1" t="s">
        <v>1519</v>
      </c>
      <c r="B853" s="1" t="s">
        <v>3235</v>
      </c>
      <c r="C853" t="str">
        <f t="shared" si="39"/>
        <v>Mrs.</v>
      </c>
      <c r="D853" t="str">
        <f t="shared" si="40"/>
        <v>Amy</v>
      </c>
      <c r="E853" t="str">
        <f t="shared" si="41"/>
        <v>Burton</v>
      </c>
    </row>
    <row r="854" spans="1:5" ht="15.5" x14ac:dyDescent="0.35">
      <c r="A854" s="1" t="s">
        <v>1518</v>
      </c>
      <c r="B854" s="1" t="s">
        <v>3236</v>
      </c>
      <c r="C854" t="str">
        <f t="shared" si="39"/>
        <v>Mr.</v>
      </c>
      <c r="D854" t="str">
        <f t="shared" si="40"/>
        <v>Joshua</v>
      </c>
      <c r="E854" t="str">
        <f t="shared" si="41"/>
        <v>Ricardi</v>
      </c>
    </row>
    <row r="855" spans="1:5" ht="15.5" x14ac:dyDescent="0.35">
      <c r="A855" s="1" t="s">
        <v>1517</v>
      </c>
      <c r="B855" s="1" t="s">
        <v>3237</v>
      </c>
      <c r="C855" t="str">
        <f t="shared" si="39"/>
        <v>Mr.</v>
      </c>
      <c r="D855" t="str">
        <f t="shared" si="40"/>
        <v>C Fred</v>
      </c>
      <c r="E855" t="str">
        <f t="shared" si="41"/>
        <v>Joslyn</v>
      </c>
    </row>
    <row r="856" spans="1:5" ht="15.5" x14ac:dyDescent="0.35">
      <c r="A856" s="1" t="s">
        <v>1516</v>
      </c>
      <c r="B856" s="1" t="s">
        <v>3238</v>
      </c>
      <c r="C856" t="str">
        <f t="shared" si="39"/>
        <v>Mr.</v>
      </c>
      <c r="D856" t="str">
        <f t="shared" si="40"/>
        <v>Jeremy</v>
      </c>
      <c r="E856" t="str">
        <f t="shared" si="41"/>
        <v>Bennie</v>
      </c>
    </row>
    <row r="857" spans="1:5" ht="15.5" x14ac:dyDescent="0.35">
      <c r="A857" s="1" t="s">
        <v>1515</v>
      </c>
      <c r="B857" s="1" t="s">
        <v>3239</v>
      </c>
      <c r="C857" t="str">
        <f t="shared" si="39"/>
        <v>Mr.</v>
      </c>
      <c r="D857" t="str">
        <f t="shared" si="40"/>
        <v>Patrick Sr.</v>
      </c>
      <c r="E857" t="str">
        <f t="shared" si="41"/>
        <v>Kanyane</v>
      </c>
    </row>
    <row r="858" spans="1:5" ht="15.5" x14ac:dyDescent="0.35">
      <c r="A858" s="1" t="s">
        <v>1514</v>
      </c>
      <c r="B858" s="1" t="s">
        <v>3240</v>
      </c>
      <c r="C858" t="str">
        <f t="shared" si="39"/>
        <v>Ms.</v>
      </c>
      <c r="D858" t="str">
        <f t="shared" si="40"/>
        <v>Kelly M.</v>
      </c>
      <c r="E858" t="str">
        <f t="shared" si="41"/>
        <v>McFadden</v>
      </c>
    </row>
    <row r="859" spans="1:5" ht="15.5" x14ac:dyDescent="0.35">
      <c r="A859" s="1" t="s">
        <v>1513</v>
      </c>
      <c r="B859" s="1" t="s">
        <v>3241</v>
      </c>
      <c r="C859" t="str">
        <f t="shared" si="39"/>
        <v>Ms.</v>
      </c>
      <c r="D859" t="str">
        <f t="shared" si="40"/>
        <v>Katherine</v>
      </c>
      <c r="E859" t="str">
        <f t="shared" si="41"/>
        <v>Connolly</v>
      </c>
    </row>
    <row r="860" spans="1:5" ht="15.5" x14ac:dyDescent="0.35">
      <c r="A860" s="1" t="s">
        <v>1512</v>
      </c>
      <c r="B860" s="1" t="s">
        <v>3242</v>
      </c>
      <c r="C860" t="str">
        <f t="shared" si="39"/>
        <v>Ms.</v>
      </c>
      <c r="D860" t="str">
        <f t="shared" si="40"/>
        <v>Keila L</v>
      </c>
      <c r="E860" t="str">
        <f t="shared" si="41"/>
        <v>Merino</v>
      </c>
    </row>
    <row r="861" spans="1:5" ht="15.5" x14ac:dyDescent="0.35">
      <c r="A861" s="1" t="s">
        <v>1511</v>
      </c>
      <c r="B861" s="1" t="s">
        <v>3243</v>
      </c>
      <c r="C861" t="str">
        <f t="shared" si="39"/>
        <v>Ms.</v>
      </c>
      <c r="D861" t="str">
        <f t="shared" si="40"/>
        <v>Zanae E</v>
      </c>
      <c r="E861" t="str">
        <f t="shared" si="41"/>
        <v>Baird</v>
      </c>
    </row>
    <row r="862" spans="1:5" ht="15.5" x14ac:dyDescent="0.35">
      <c r="A862" s="1" t="s">
        <v>1510</v>
      </c>
      <c r="B862" s="1" t="s">
        <v>3244</v>
      </c>
      <c r="C862" t="str">
        <f t="shared" si="39"/>
        <v>Mr.</v>
      </c>
      <c r="D862" t="str">
        <f t="shared" si="40"/>
        <v>Alex</v>
      </c>
      <c r="E862" t="str">
        <f t="shared" si="41"/>
        <v>Locatelli</v>
      </c>
    </row>
    <row r="863" spans="1:5" ht="15.5" x14ac:dyDescent="0.35">
      <c r="A863" s="1" t="s">
        <v>1509</v>
      </c>
      <c r="B863" s="1" t="s">
        <v>3245</v>
      </c>
      <c r="C863" t="str">
        <f t="shared" si="39"/>
        <v>Ms.</v>
      </c>
      <c r="D863" t="str">
        <f t="shared" si="40"/>
        <v>Kathryn</v>
      </c>
      <c r="E863" t="str">
        <f t="shared" si="41"/>
        <v>Brake</v>
      </c>
    </row>
    <row r="864" spans="1:5" ht="15.5" x14ac:dyDescent="0.35">
      <c r="A864" s="1" t="s">
        <v>1508</v>
      </c>
      <c r="B864" s="1" t="s">
        <v>3246</v>
      </c>
      <c r="C864" t="str">
        <f t="shared" si="39"/>
        <v>Mr.</v>
      </c>
      <c r="D864" t="str">
        <f t="shared" si="40"/>
        <v>Jason L.</v>
      </c>
      <c r="E864" t="str">
        <f t="shared" si="41"/>
        <v>Jacobs</v>
      </c>
    </row>
    <row r="865" spans="1:5" ht="15.5" x14ac:dyDescent="0.35">
      <c r="A865" s="1" t="s">
        <v>1507</v>
      </c>
      <c r="B865" s="1" t="s">
        <v>3247</v>
      </c>
      <c r="C865" t="str">
        <f t="shared" si="39"/>
        <v>Mr.</v>
      </c>
      <c r="D865" t="str">
        <f t="shared" si="40"/>
        <v>Benjamin J.</v>
      </c>
      <c r="E865" t="str">
        <f t="shared" si="41"/>
        <v>Vaught</v>
      </c>
    </row>
    <row r="866" spans="1:5" ht="15.5" x14ac:dyDescent="0.35">
      <c r="A866" s="1" t="s">
        <v>1506</v>
      </c>
      <c r="B866" s="1" t="s">
        <v>3248</v>
      </c>
      <c r="C866" t="str">
        <f t="shared" si="39"/>
        <v>Mr.</v>
      </c>
      <c r="D866" t="str">
        <f t="shared" si="40"/>
        <v>Steven M.</v>
      </c>
      <c r="E866" t="str">
        <f t="shared" si="41"/>
        <v>Monteleone</v>
      </c>
    </row>
    <row r="867" spans="1:5" ht="15.5" x14ac:dyDescent="0.35">
      <c r="A867" s="1" t="s">
        <v>1505</v>
      </c>
      <c r="B867" s="1" t="s">
        <v>3249</v>
      </c>
      <c r="C867" t="str">
        <f t="shared" si="39"/>
        <v>Mrs.</v>
      </c>
      <c r="D867" t="str">
        <f t="shared" si="40"/>
        <v>Erika</v>
      </c>
      <c r="E867" t="str">
        <f t="shared" si="41"/>
        <v>Verdugo</v>
      </c>
    </row>
    <row r="868" spans="1:5" ht="15.5" x14ac:dyDescent="0.35">
      <c r="A868" s="1" t="s">
        <v>1504</v>
      </c>
      <c r="B868" s="1" t="s">
        <v>3250</v>
      </c>
      <c r="C868" t="str">
        <f t="shared" si="39"/>
        <v>Mr.</v>
      </c>
      <c r="D868" t="str">
        <f t="shared" si="40"/>
        <v>Chad</v>
      </c>
      <c r="E868" t="str">
        <f t="shared" si="41"/>
        <v>Sellers</v>
      </c>
    </row>
    <row r="869" spans="1:5" ht="15.5" x14ac:dyDescent="0.35">
      <c r="A869" s="1" t="s">
        <v>1503</v>
      </c>
      <c r="B869" s="1" t="s">
        <v>3251</v>
      </c>
      <c r="C869" t="str">
        <f t="shared" si="39"/>
        <v>Mr.</v>
      </c>
      <c r="D869" t="str">
        <f t="shared" si="40"/>
        <v>Mark</v>
      </c>
      <c r="E869" t="str">
        <f t="shared" si="41"/>
        <v>Bowman</v>
      </c>
    </row>
    <row r="870" spans="1:5" ht="15.5" x14ac:dyDescent="0.35">
      <c r="A870" s="1" t="s">
        <v>1502</v>
      </c>
      <c r="B870" s="1" t="s">
        <v>3252</v>
      </c>
      <c r="C870" t="str">
        <f t="shared" si="39"/>
        <v>Mr.</v>
      </c>
      <c r="D870" t="str">
        <f t="shared" si="40"/>
        <v>David</v>
      </c>
      <c r="E870" t="str">
        <f t="shared" si="41"/>
        <v>Marley</v>
      </c>
    </row>
    <row r="871" spans="1:5" ht="15.5" x14ac:dyDescent="0.35">
      <c r="A871" s="1" t="s">
        <v>1501</v>
      </c>
      <c r="B871" s="1" t="s">
        <v>3253</v>
      </c>
      <c r="C871" t="str">
        <f t="shared" si="39"/>
        <v>Mr.</v>
      </c>
      <c r="D871" t="str">
        <f t="shared" si="40"/>
        <v>Matthew R</v>
      </c>
      <c r="E871" t="str">
        <f t="shared" si="41"/>
        <v>Grey</v>
      </c>
    </row>
    <row r="872" spans="1:5" ht="15.5" x14ac:dyDescent="0.35">
      <c r="A872" s="1" t="s">
        <v>1500</v>
      </c>
      <c r="B872" s="1" t="s">
        <v>3254</v>
      </c>
      <c r="C872" t="str">
        <f t="shared" si="39"/>
        <v>Mrs.</v>
      </c>
      <c r="D872" t="str">
        <f t="shared" si="40"/>
        <v>Orla</v>
      </c>
      <c r="E872" t="str">
        <f t="shared" si="41"/>
        <v>O'Rourke</v>
      </c>
    </row>
    <row r="873" spans="1:5" ht="15.5" x14ac:dyDescent="0.35">
      <c r="A873" s="1" t="s">
        <v>1499</v>
      </c>
      <c r="B873" s="1" t="s">
        <v>3255</v>
      </c>
      <c r="C873" t="str">
        <f t="shared" si="39"/>
        <v>Ms.</v>
      </c>
      <c r="D873" t="str">
        <f t="shared" si="40"/>
        <v>Shaista S</v>
      </c>
      <c r="E873" t="str">
        <f t="shared" si="41"/>
        <v>Fatehali</v>
      </c>
    </row>
    <row r="874" spans="1:5" ht="15.5" x14ac:dyDescent="0.35">
      <c r="A874" s="1" t="s">
        <v>1498</v>
      </c>
      <c r="B874" s="1" t="s">
        <v>3256</v>
      </c>
      <c r="C874" t="str">
        <f t="shared" si="39"/>
        <v>Mrs.</v>
      </c>
      <c r="D874" t="str">
        <f t="shared" si="40"/>
        <v>Emily</v>
      </c>
      <c r="E874" t="str">
        <f t="shared" si="41"/>
        <v>Piza-Taylor</v>
      </c>
    </row>
    <row r="875" spans="1:5" ht="15.5" x14ac:dyDescent="0.35">
      <c r="A875" s="1" t="s">
        <v>1497</v>
      </c>
      <c r="B875" s="1" t="s">
        <v>3257</v>
      </c>
      <c r="C875" t="str">
        <f t="shared" si="39"/>
        <v>Ms.</v>
      </c>
      <c r="D875" t="str">
        <f t="shared" si="40"/>
        <v>Julie A.</v>
      </c>
      <c r="E875" t="str">
        <f t="shared" si="41"/>
        <v>Cavanaugh</v>
      </c>
    </row>
    <row r="876" spans="1:5" ht="15.5" x14ac:dyDescent="0.35">
      <c r="A876" s="1" t="s">
        <v>1496</v>
      </c>
      <c r="B876" s="1" t="s">
        <v>3258</v>
      </c>
      <c r="C876" t="str">
        <f t="shared" si="39"/>
        <v>Ms.</v>
      </c>
      <c r="D876" t="str">
        <f t="shared" si="40"/>
        <v>Megumi</v>
      </c>
      <c r="E876" t="str">
        <f t="shared" si="41"/>
        <v>Amako</v>
      </c>
    </row>
    <row r="877" spans="1:5" ht="15.5" x14ac:dyDescent="0.35">
      <c r="A877" s="1" t="s">
        <v>1495</v>
      </c>
      <c r="B877" s="1" t="s">
        <v>3259</v>
      </c>
      <c r="C877" t="str">
        <f t="shared" si="39"/>
        <v>Ms.</v>
      </c>
      <c r="D877" t="str">
        <f t="shared" si="40"/>
        <v>Skylar</v>
      </c>
      <c r="E877" t="str">
        <f t="shared" si="41"/>
        <v>Musa</v>
      </c>
    </row>
    <row r="878" spans="1:5" ht="15.5" x14ac:dyDescent="0.35">
      <c r="A878" s="1" t="s">
        <v>1494</v>
      </c>
      <c r="B878" s="1" t="s">
        <v>3260</v>
      </c>
      <c r="C878" t="str">
        <f t="shared" si="39"/>
        <v>Mrs.</v>
      </c>
      <c r="D878" t="str">
        <f t="shared" si="40"/>
        <v>Victoria</v>
      </c>
      <c r="E878" t="str">
        <f t="shared" si="41"/>
        <v>Phillippi</v>
      </c>
    </row>
    <row r="879" spans="1:5" ht="15.5" x14ac:dyDescent="0.35">
      <c r="A879" s="1" t="s">
        <v>1493</v>
      </c>
      <c r="B879" s="1" t="s">
        <v>3261</v>
      </c>
      <c r="C879" t="str">
        <f t="shared" si="39"/>
        <v>Mrs.</v>
      </c>
      <c r="D879" t="str">
        <f t="shared" si="40"/>
        <v>Amanda L</v>
      </c>
      <c r="E879" t="str">
        <f t="shared" si="41"/>
        <v>Hoskins</v>
      </c>
    </row>
    <row r="880" spans="1:5" ht="15.5" x14ac:dyDescent="0.35">
      <c r="A880" s="1" t="s">
        <v>1492</v>
      </c>
      <c r="B880" s="1" t="s">
        <v>3262</v>
      </c>
      <c r="C880" t="str">
        <f t="shared" si="39"/>
        <v>Ms.</v>
      </c>
      <c r="D880" t="str">
        <f t="shared" si="40"/>
        <v>Renee</v>
      </c>
      <c r="E880" t="str">
        <f t="shared" si="41"/>
        <v>Imbalzano Zegar</v>
      </c>
    </row>
    <row r="881" spans="1:5" ht="15.5" x14ac:dyDescent="0.35">
      <c r="A881" s="1" t="s">
        <v>1491</v>
      </c>
      <c r="B881" s="1" t="s">
        <v>3263</v>
      </c>
      <c r="C881" t="str">
        <f t="shared" si="39"/>
        <v>Ms.</v>
      </c>
      <c r="D881" t="str">
        <f t="shared" si="40"/>
        <v>Nellie A.</v>
      </c>
      <c r="E881" t="str">
        <f t="shared" si="41"/>
        <v>Triedman</v>
      </c>
    </row>
    <row r="882" spans="1:5" ht="15.5" x14ac:dyDescent="0.35">
      <c r="A882" s="1" t="s">
        <v>1490</v>
      </c>
      <c r="B882" s="1" t="s">
        <v>3264</v>
      </c>
      <c r="C882" t="str">
        <f t="shared" si="39"/>
        <v>Ms.</v>
      </c>
      <c r="D882" t="str">
        <f t="shared" si="40"/>
        <v>Tamara</v>
      </c>
      <c r="E882" t="str">
        <f t="shared" si="41"/>
        <v>Lovuolo</v>
      </c>
    </row>
    <row r="883" spans="1:5" ht="15.5" x14ac:dyDescent="0.35">
      <c r="A883" s="1" t="s">
        <v>1489</v>
      </c>
      <c r="B883" s="1" t="s">
        <v>3265</v>
      </c>
      <c r="C883" t="str">
        <f t="shared" si="39"/>
        <v>Ms.</v>
      </c>
      <c r="D883" t="str">
        <f t="shared" si="40"/>
        <v>Joan</v>
      </c>
      <c r="E883" t="str">
        <f t="shared" si="41"/>
        <v>Chung</v>
      </c>
    </row>
    <row r="884" spans="1:5" ht="15.5" x14ac:dyDescent="0.35">
      <c r="A884" s="1" t="s">
        <v>1488</v>
      </c>
      <c r="B884" s="1" t="s">
        <v>3266</v>
      </c>
      <c r="C884" t="str">
        <f t="shared" si="39"/>
        <v>Ms.</v>
      </c>
      <c r="D884" t="str">
        <f t="shared" si="40"/>
        <v>Aimee J.</v>
      </c>
      <c r="E884" t="str">
        <f t="shared" si="41"/>
        <v>Newsom</v>
      </c>
    </row>
    <row r="885" spans="1:5" ht="15.5" x14ac:dyDescent="0.35">
      <c r="A885" s="1" t="s">
        <v>1487</v>
      </c>
      <c r="B885" s="1" t="s">
        <v>3267</v>
      </c>
      <c r="C885" t="str">
        <f t="shared" si="39"/>
        <v>Ms.</v>
      </c>
      <c r="D885" t="str">
        <f t="shared" si="40"/>
        <v>Suzanne</v>
      </c>
      <c r="E885" t="str">
        <f t="shared" si="41"/>
        <v>Harrington</v>
      </c>
    </row>
    <row r="886" spans="1:5" ht="15.5" x14ac:dyDescent="0.35">
      <c r="A886" s="1" t="s">
        <v>1486</v>
      </c>
      <c r="B886" s="1" t="s">
        <v>3268</v>
      </c>
      <c r="C886" t="str">
        <f t="shared" si="39"/>
        <v>Ms.</v>
      </c>
      <c r="D886" t="str">
        <f t="shared" si="40"/>
        <v>Kristin A.</v>
      </c>
      <c r="E886" t="str">
        <f t="shared" si="41"/>
        <v>Hoffman</v>
      </c>
    </row>
    <row r="887" spans="1:5" ht="15.5" x14ac:dyDescent="0.35">
      <c r="A887" s="1" t="s">
        <v>1485</v>
      </c>
      <c r="B887" s="1" t="s">
        <v>3269</v>
      </c>
      <c r="C887" t="str">
        <f t="shared" si="39"/>
        <v>Ms.</v>
      </c>
      <c r="D887" t="str">
        <f t="shared" si="40"/>
        <v>Bronwyn</v>
      </c>
      <c r="E887" t="str">
        <f t="shared" si="41"/>
        <v>Van Vugt</v>
      </c>
    </row>
    <row r="888" spans="1:5" ht="15.5" x14ac:dyDescent="0.35">
      <c r="A888" s="1" t="s">
        <v>1484</v>
      </c>
      <c r="B888" s="1" t="s">
        <v>3270</v>
      </c>
      <c r="C888" t="str">
        <f t="shared" si="39"/>
        <v>Ms.</v>
      </c>
      <c r="D888" t="str">
        <f t="shared" si="40"/>
        <v>Taylor J</v>
      </c>
      <c r="E888" t="str">
        <f t="shared" si="41"/>
        <v>Feehley</v>
      </c>
    </row>
    <row r="889" spans="1:5" ht="15.5" x14ac:dyDescent="0.35">
      <c r="A889" s="1" t="s">
        <v>1483</v>
      </c>
      <c r="B889" s="1" t="s">
        <v>3271</v>
      </c>
      <c r="C889" t="str">
        <f t="shared" si="39"/>
        <v>Mrs.</v>
      </c>
      <c r="D889" t="str">
        <f t="shared" si="40"/>
        <v>Kimberly M.</v>
      </c>
      <c r="E889" t="str">
        <f t="shared" si="41"/>
        <v>Ashworth</v>
      </c>
    </row>
    <row r="890" spans="1:5" ht="15.5" x14ac:dyDescent="0.35">
      <c r="A890" s="1" t="s">
        <v>1482</v>
      </c>
      <c r="B890" s="1" t="s">
        <v>3272</v>
      </c>
      <c r="C890" t="str">
        <f t="shared" si="39"/>
        <v>Mr.</v>
      </c>
      <c r="D890" t="str">
        <f t="shared" si="40"/>
        <v>Joshua E.</v>
      </c>
      <c r="E890" t="str">
        <f t="shared" si="41"/>
        <v>Hansen</v>
      </c>
    </row>
    <row r="891" spans="1:5" ht="15.5" x14ac:dyDescent="0.35">
      <c r="A891" s="1" t="s">
        <v>1481</v>
      </c>
      <c r="B891" s="1" t="s">
        <v>3273</v>
      </c>
      <c r="C891" t="str">
        <f t="shared" si="39"/>
        <v>Mr.</v>
      </c>
      <c r="D891" t="str">
        <f t="shared" si="40"/>
        <v>Jeffrey</v>
      </c>
      <c r="E891" t="str">
        <f t="shared" si="41"/>
        <v>Czyz</v>
      </c>
    </row>
    <row r="892" spans="1:5" ht="15.5" x14ac:dyDescent="0.35">
      <c r="A892" s="1" t="s">
        <v>1480</v>
      </c>
      <c r="B892" s="1" t="s">
        <v>3274</v>
      </c>
      <c r="C892" t="str">
        <f t="shared" si="39"/>
        <v>Mr.</v>
      </c>
      <c r="D892" t="str">
        <f t="shared" si="40"/>
        <v>Andrew R</v>
      </c>
      <c r="E892" t="str">
        <f t="shared" si="41"/>
        <v>Bauder</v>
      </c>
    </row>
    <row r="893" spans="1:5" ht="15.5" x14ac:dyDescent="0.35">
      <c r="A893" s="1" t="s">
        <v>1479</v>
      </c>
      <c r="B893" s="1" t="s">
        <v>3275</v>
      </c>
      <c r="C893" t="str">
        <f t="shared" si="39"/>
        <v>Mr.</v>
      </c>
      <c r="D893" t="str">
        <f t="shared" si="40"/>
        <v>Francisco J. Sr.</v>
      </c>
      <c r="E893" t="str">
        <f t="shared" si="41"/>
        <v>Mendoza</v>
      </c>
    </row>
    <row r="894" spans="1:5" ht="15.5" x14ac:dyDescent="0.35">
      <c r="A894" s="1" t="s">
        <v>1478</v>
      </c>
      <c r="B894" s="1" t="s">
        <v>3276</v>
      </c>
      <c r="C894" t="str">
        <f t="shared" si="39"/>
        <v>Mrs.</v>
      </c>
      <c r="D894" t="str">
        <f t="shared" si="40"/>
        <v>Rhonda</v>
      </c>
      <c r="E894" t="str">
        <f t="shared" si="41"/>
        <v>Glass</v>
      </c>
    </row>
    <row r="895" spans="1:5" ht="15.5" x14ac:dyDescent="0.35">
      <c r="A895" s="1" t="s">
        <v>1477</v>
      </c>
      <c r="B895" s="1" t="s">
        <v>3277</v>
      </c>
      <c r="C895" t="str">
        <f t="shared" si="39"/>
        <v>Mr.</v>
      </c>
      <c r="D895" t="str">
        <f t="shared" si="40"/>
        <v>John</v>
      </c>
      <c r="E895" t="str">
        <f t="shared" si="41"/>
        <v>Butcher</v>
      </c>
    </row>
    <row r="896" spans="1:5" ht="15.5" x14ac:dyDescent="0.35">
      <c r="A896" s="1" t="s">
        <v>1476</v>
      </c>
      <c r="B896" s="1" t="s">
        <v>3278</v>
      </c>
      <c r="C896" t="str">
        <f t="shared" si="39"/>
        <v>Mr.</v>
      </c>
      <c r="D896" t="str">
        <f t="shared" si="40"/>
        <v>Miles J.</v>
      </c>
      <c r="E896" t="str">
        <f t="shared" si="41"/>
        <v>Traiser</v>
      </c>
    </row>
    <row r="897" spans="1:5" ht="15.5" x14ac:dyDescent="0.35">
      <c r="A897" s="1" t="s">
        <v>1475</v>
      </c>
      <c r="B897" s="1" t="s">
        <v>3279</v>
      </c>
      <c r="C897" t="str">
        <f t="shared" si="39"/>
        <v>Ms.</v>
      </c>
      <c r="D897" t="str">
        <f t="shared" si="40"/>
        <v>Justyna I.</v>
      </c>
      <c r="E897" t="str">
        <f t="shared" si="41"/>
        <v>Mudy-Mader</v>
      </c>
    </row>
    <row r="898" spans="1:5" ht="15.5" x14ac:dyDescent="0.35">
      <c r="A898" s="1" t="s">
        <v>1474</v>
      </c>
      <c r="B898" s="1" t="s">
        <v>3280</v>
      </c>
      <c r="C898" t="str">
        <f t="shared" si="39"/>
        <v>Ms.</v>
      </c>
      <c r="D898" t="str">
        <f t="shared" si="40"/>
        <v>Lucille</v>
      </c>
      <c r="E898" t="str">
        <f t="shared" si="41"/>
        <v>Rogers</v>
      </c>
    </row>
    <row r="899" spans="1:5" ht="15.5" x14ac:dyDescent="0.35">
      <c r="A899" s="1" t="s">
        <v>1473</v>
      </c>
      <c r="B899" s="1" t="s">
        <v>3281</v>
      </c>
      <c r="C899" t="str">
        <f t="shared" ref="C899:C962" si="42">TRIM(MID(B899,FIND(",",B899)+1,FIND(".",B899)-FIND(",",B899)))</f>
        <v>Ms.</v>
      </c>
      <c r="D899" t="str">
        <f t="shared" ref="D899:D962" si="43">TRIM(MID(B899,FIND(".",B899)+1,LEN(B899)))</f>
        <v>April</v>
      </c>
      <c r="E899" t="str">
        <f t="shared" ref="E899:E962" si="44">TRIM(LEFT(B899,FIND(",",B899)-1))</f>
        <v>Woo</v>
      </c>
    </row>
    <row r="900" spans="1:5" ht="15.5" x14ac:dyDescent="0.35">
      <c r="A900" s="1" t="s">
        <v>1472</v>
      </c>
      <c r="B900" s="1" t="s">
        <v>3282</v>
      </c>
      <c r="C900" t="str">
        <f t="shared" si="42"/>
        <v>Mr.</v>
      </c>
      <c r="D900" t="str">
        <f t="shared" si="43"/>
        <v>Robert</v>
      </c>
      <c r="E900" t="str">
        <f t="shared" si="44"/>
        <v>Walsh</v>
      </c>
    </row>
    <row r="901" spans="1:5" ht="15.5" x14ac:dyDescent="0.35">
      <c r="A901" s="1" t="s">
        <v>1471</v>
      </c>
      <c r="B901" s="1" t="s">
        <v>3283</v>
      </c>
      <c r="C901" t="str">
        <f t="shared" si="42"/>
        <v>Mrs.</v>
      </c>
      <c r="D901" t="str">
        <f t="shared" si="43"/>
        <v>Alyssa</v>
      </c>
      <c r="E901" t="str">
        <f t="shared" si="44"/>
        <v>White</v>
      </c>
    </row>
    <row r="902" spans="1:5" ht="15.5" x14ac:dyDescent="0.35">
      <c r="A902" s="1" t="s">
        <v>1470</v>
      </c>
      <c r="B902" s="1" t="s">
        <v>3284</v>
      </c>
      <c r="C902" t="str">
        <f t="shared" si="42"/>
        <v>Ms.</v>
      </c>
      <c r="D902" t="str">
        <f t="shared" si="43"/>
        <v>Jessica E.</v>
      </c>
      <c r="E902" t="str">
        <f t="shared" si="44"/>
        <v>Sheppard</v>
      </c>
    </row>
    <row r="903" spans="1:5" ht="15.5" x14ac:dyDescent="0.35">
      <c r="A903" s="1" t="s">
        <v>1469</v>
      </c>
      <c r="B903" s="1" t="s">
        <v>3285</v>
      </c>
      <c r="C903" t="str">
        <f t="shared" si="42"/>
        <v>Mr.</v>
      </c>
      <c r="D903" t="str">
        <f t="shared" si="43"/>
        <v>Patrick J.</v>
      </c>
      <c r="E903" t="str">
        <f t="shared" si="44"/>
        <v>Doran</v>
      </c>
    </row>
    <row r="904" spans="1:5" ht="15.5" x14ac:dyDescent="0.35">
      <c r="A904" s="1" t="s">
        <v>1468</v>
      </c>
      <c r="B904" s="1" t="s">
        <v>3286</v>
      </c>
      <c r="C904" t="str">
        <f t="shared" si="42"/>
        <v>Ms.</v>
      </c>
      <c r="D904" t="str">
        <f t="shared" si="43"/>
        <v>Emilie</v>
      </c>
      <c r="E904" t="str">
        <f t="shared" si="44"/>
        <v>Labrosse</v>
      </c>
    </row>
    <row r="905" spans="1:5" ht="15.5" x14ac:dyDescent="0.35">
      <c r="A905" s="1" t="s">
        <v>1467</v>
      </c>
      <c r="B905" s="1" t="s">
        <v>3287</v>
      </c>
      <c r="C905" t="str">
        <f t="shared" si="42"/>
        <v>Ms.</v>
      </c>
      <c r="D905" t="str">
        <f t="shared" si="43"/>
        <v>Caitlin B.</v>
      </c>
      <c r="E905" t="str">
        <f t="shared" si="44"/>
        <v>Thomas</v>
      </c>
    </row>
    <row r="906" spans="1:5" ht="15.5" x14ac:dyDescent="0.35">
      <c r="A906" s="1" t="s">
        <v>1466</v>
      </c>
      <c r="B906" s="1" t="s">
        <v>3288</v>
      </c>
      <c r="C906" t="str">
        <f t="shared" si="42"/>
        <v>Mr.</v>
      </c>
      <c r="D906" t="str">
        <f t="shared" si="43"/>
        <v>Joseph W</v>
      </c>
      <c r="E906" t="str">
        <f t="shared" si="44"/>
        <v>Lesniak</v>
      </c>
    </row>
    <row r="907" spans="1:5" ht="15.5" x14ac:dyDescent="0.35">
      <c r="A907" s="1" t="s">
        <v>1465</v>
      </c>
      <c r="B907" s="1" t="s">
        <v>3289</v>
      </c>
      <c r="C907" t="str">
        <f t="shared" si="42"/>
        <v>Ms.</v>
      </c>
      <c r="D907" t="str">
        <f t="shared" si="43"/>
        <v>Wendy</v>
      </c>
      <c r="E907" t="str">
        <f t="shared" si="44"/>
        <v>Prowse</v>
      </c>
    </row>
    <row r="908" spans="1:5" ht="15.5" x14ac:dyDescent="0.35">
      <c r="A908" s="1" t="s">
        <v>1464</v>
      </c>
      <c r="B908" s="1" t="s">
        <v>3290</v>
      </c>
      <c r="C908" t="str">
        <f t="shared" si="42"/>
        <v>Mrs.</v>
      </c>
      <c r="D908" t="str">
        <f t="shared" si="43"/>
        <v>Leah L.</v>
      </c>
      <c r="E908" t="str">
        <f t="shared" si="44"/>
        <v>Seigel</v>
      </c>
    </row>
    <row r="909" spans="1:5" ht="15.5" x14ac:dyDescent="0.35">
      <c r="A909" s="1" t="s">
        <v>1463</v>
      </c>
      <c r="B909" s="1" t="s">
        <v>3291</v>
      </c>
      <c r="C909" t="str">
        <f t="shared" si="42"/>
        <v>Mr.</v>
      </c>
      <c r="D909" t="str">
        <f t="shared" si="43"/>
        <v>Wayne L.</v>
      </c>
      <c r="E909" t="str">
        <f t="shared" si="44"/>
        <v>Blas</v>
      </c>
    </row>
    <row r="910" spans="1:5" ht="15.5" x14ac:dyDescent="0.35">
      <c r="A910" s="1" t="s">
        <v>1462</v>
      </c>
      <c r="B910" s="1" t="s">
        <v>3292</v>
      </c>
      <c r="C910" t="str">
        <f t="shared" si="42"/>
        <v>Mr.</v>
      </c>
      <c r="D910" t="str">
        <f t="shared" si="43"/>
        <v>Jason M.</v>
      </c>
      <c r="E910" t="str">
        <f t="shared" si="44"/>
        <v>Simpson</v>
      </c>
    </row>
    <row r="911" spans="1:5" ht="15.5" x14ac:dyDescent="0.35">
      <c r="A911" s="1" t="s">
        <v>1461</v>
      </c>
      <c r="B911" s="1" t="s">
        <v>3293</v>
      </c>
      <c r="C911" t="str">
        <f t="shared" si="42"/>
        <v>Mr.</v>
      </c>
      <c r="D911" t="str">
        <f t="shared" si="43"/>
        <v>Floris</v>
      </c>
      <c r="E911" t="str">
        <f t="shared" si="44"/>
        <v>Gierman</v>
      </c>
    </row>
    <row r="912" spans="1:5" ht="15.5" x14ac:dyDescent="0.35">
      <c r="A912" s="1" t="s">
        <v>1460</v>
      </c>
      <c r="B912" s="1" t="s">
        <v>3294</v>
      </c>
      <c r="C912" t="str">
        <f t="shared" si="42"/>
        <v>Mr.</v>
      </c>
      <c r="D912" t="str">
        <f t="shared" si="43"/>
        <v>Marc</v>
      </c>
      <c r="E912" t="str">
        <f t="shared" si="44"/>
        <v>Jeuland</v>
      </c>
    </row>
    <row r="913" spans="1:5" ht="15.5" x14ac:dyDescent="0.35">
      <c r="A913" s="1" t="s">
        <v>1459</v>
      </c>
      <c r="B913" s="1" t="s">
        <v>3295</v>
      </c>
      <c r="C913" t="str">
        <f t="shared" si="42"/>
        <v>Mr.</v>
      </c>
      <c r="D913" t="str">
        <f t="shared" si="43"/>
        <v>Christopher</v>
      </c>
      <c r="E913" t="str">
        <f t="shared" si="44"/>
        <v>Chorney</v>
      </c>
    </row>
    <row r="914" spans="1:5" ht="15.5" x14ac:dyDescent="0.35">
      <c r="A914" s="1" t="s">
        <v>1458</v>
      </c>
      <c r="B914" s="1" t="s">
        <v>3296</v>
      </c>
      <c r="C914" t="str">
        <f t="shared" si="42"/>
        <v>Mr.</v>
      </c>
      <c r="D914" t="str">
        <f t="shared" si="43"/>
        <v>Kevin</v>
      </c>
      <c r="E914" t="str">
        <f t="shared" si="44"/>
        <v>Rook</v>
      </c>
    </row>
    <row r="915" spans="1:5" ht="15.5" x14ac:dyDescent="0.35">
      <c r="A915" s="1" t="s">
        <v>1457</v>
      </c>
      <c r="B915" s="1" t="s">
        <v>3297</v>
      </c>
      <c r="C915" t="str">
        <f t="shared" si="42"/>
        <v>Mr.</v>
      </c>
      <c r="D915" t="str">
        <f t="shared" si="43"/>
        <v>Aharon N</v>
      </c>
      <c r="E915" t="str">
        <f t="shared" si="44"/>
        <v>Wright</v>
      </c>
    </row>
    <row r="916" spans="1:5" ht="15.5" x14ac:dyDescent="0.35">
      <c r="A916" s="1" t="s">
        <v>1456</v>
      </c>
      <c r="B916" s="1" t="s">
        <v>3298</v>
      </c>
      <c r="C916" t="str">
        <f t="shared" si="42"/>
        <v>Mr.</v>
      </c>
      <c r="D916" t="str">
        <f t="shared" si="43"/>
        <v>Lawrence D.</v>
      </c>
      <c r="E916" t="str">
        <f t="shared" si="44"/>
        <v>Chin</v>
      </c>
    </row>
    <row r="917" spans="1:5" ht="15.5" x14ac:dyDescent="0.35">
      <c r="A917" s="1" t="s">
        <v>1455</v>
      </c>
      <c r="B917" s="1" t="s">
        <v>3299</v>
      </c>
      <c r="C917" t="str">
        <f t="shared" si="42"/>
        <v>Mr.</v>
      </c>
      <c r="D917" t="str">
        <f t="shared" si="43"/>
        <v>Malcolm</v>
      </c>
      <c r="E917" t="str">
        <f t="shared" si="44"/>
        <v>White</v>
      </c>
    </row>
    <row r="918" spans="1:5" ht="15.5" x14ac:dyDescent="0.35">
      <c r="A918" s="1" t="s">
        <v>1454</v>
      </c>
      <c r="B918" s="1" t="s">
        <v>3300</v>
      </c>
      <c r="C918" t="str">
        <f t="shared" si="42"/>
        <v>Ms.</v>
      </c>
      <c r="D918" t="str">
        <f t="shared" si="43"/>
        <v>Anna E.</v>
      </c>
      <c r="E918" t="str">
        <f t="shared" si="44"/>
        <v>Savage</v>
      </c>
    </row>
    <row r="919" spans="1:5" ht="15.5" x14ac:dyDescent="0.35">
      <c r="A919" s="1" t="s">
        <v>1453</v>
      </c>
      <c r="B919" s="1" t="s">
        <v>3301</v>
      </c>
      <c r="C919" t="str">
        <f t="shared" si="42"/>
        <v>Ms.</v>
      </c>
      <c r="D919" t="str">
        <f t="shared" si="43"/>
        <v>Jenny</v>
      </c>
      <c r="E919" t="str">
        <f t="shared" si="44"/>
        <v>Hitchings</v>
      </c>
    </row>
    <row r="920" spans="1:5" ht="15.5" x14ac:dyDescent="0.35">
      <c r="A920" s="1" t="s">
        <v>1452</v>
      </c>
      <c r="B920" s="1" t="s">
        <v>3302</v>
      </c>
      <c r="C920" t="str">
        <f t="shared" si="42"/>
        <v>Ms.</v>
      </c>
      <c r="D920" t="str">
        <f t="shared" si="43"/>
        <v>Melissa L</v>
      </c>
      <c r="E920" t="str">
        <f t="shared" si="44"/>
        <v>Truitt</v>
      </c>
    </row>
    <row r="921" spans="1:5" ht="15.5" x14ac:dyDescent="0.35">
      <c r="A921" s="1" t="s">
        <v>1451</v>
      </c>
      <c r="B921" s="1" t="s">
        <v>3303</v>
      </c>
      <c r="C921" t="str">
        <f t="shared" si="42"/>
        <v>Ms.</v>
      </c>
      <c r="D921" t="str">
        <f t="shared" si="43"/>
        <v>Chia J.</v>
      </c>
      <c r="E921" t="str">
        <f t="shared" si="44"/>
        <v>Chang</v>
      </c>
    </row>
    <row r="922" spans="1:5" ht="15.5" x14ac:dyDescent="0.35">
      <c r="A922" s="1" t="s">
        <v>1450</v>
      </c>
      <c r="B922" s="1" t="s">
        <v>3304</v>
      </c>
      <c r="C922" t="str">
        <f t="shared" si="42"/>
        <v>Ms.</v>
      </c>
      <c r="D922" t="str">
        <f t="shared" si="43"/>
        <v>Laura A</v>
      </c>
      <c r="E922" t="str">
        <f t="shared" si="44"/>
        <v>Frey</v>
      </c>
    </row>
    <row r="923" spans="1:5" ht="15.5" x14ac:dyDescent="0.35">
      <c r="A923" s="1" t="s">
        <v>1449</v>
      </c>
      <c r="B923" s="1" t="s">
        <v>3305</v>
      </c>
      <c r="C923" t="str">
        <f t="shared" si="42"/>
        <v>Ms.</v>
      </c>
      <c r="D923" t="str">
        <f t="shared" si="43"/>
        <v>Aditi</v>
      </c>
      <c r="E923" t="str">
        <f t="shared" si="44"/>
        <v>Krishna</v>
      </c>
    </row>
    <row r="924" spans="1:5" ht="15.5" x14ac:dyDescent="0.35">
      <c r="A924" s="1" t="s">
        <v>1448</v>
      </c>
      <c r="B924" s="1" t="s">
        <v>3306</v>
      </c>
      <c r="C924" t="str">
        <f t="shared" si="42"/>
        <v>Ms.</v>
      </c>
      <c r="D924" t="str">
        <f t="shared" si="43"/>
        <v>Leah A.</v>
      </c>
      <c r="E924" t="str">
        <f t="shared" si="44"/>
        <v>Maher</v>
      </c>
    </row>
    <row r="925" spans="1:5" ht="15.5" x14ac:dyDescent="0.35">
      <c r="A925" s="1" t="s">
        <v>1447</v>
      </c>
      <c r="B925" s="1" t="s">
        <v>3307</v>
      </c>
      <c r="C925" t="str">
        <f t="shared" si="42"/>
        <v>Ms.</v>
      </c>
      <c r="D925" t="str">
        <f t="shared" si="43"/>
        <v>Marianne</v>
      </c>
      <c r="E925" t="str">
        <f t="shared" si="44"/>
        <v>Boivin</v>
      </c>
    </row>
    <row r="926" spans="1:5" ht="15.5" x14ac:dyDescent="0.35">
      <c r="A926" s="1" t="s">
        <v>1446</v>
      </c>
      <c r="B926" s="1" t="s">
        <v>3308</v>
      </c>
      <c r="C926" t="str">
        <f t="shared" si="42"/>
        <v>Ms.</v>
      </c>
      <c r="D926" t="str">
        <f t="shared" si="43"/>
        <v>Carla</v>
      </c>
      <c r="E926" t="str">
        <f t="shared" si="44"/>
        <v>McAlister</v>
      </c>
    </row>
    <row r="927" spans="1:5" ht="15.5" x14ac:dyDescent="0.35">
      <c r="A927" s="1" t="s">
        <v>1445</v>
      </c>
      <c r="B927" s="1" t="s">
        <v>3309</v>
      </c>
      <c r="C927" t="str">
        <f t="shared" si="42"/>
        <v>Ms.</v>
      </c>
      <c r="D927" t="str">
        <f t="shared" si="43"/>
        <v>Oksana</v>
      </c>
      <c r="E927" t="str">
        <f t="shared" si="44"/>
        <v>Akhmedova</v>
      </c>
    </row>
    <row r="928" spans="1:5" ht="15.5" x14ac:dyDescent="0.35">
      <c r="A928" s="1" t="s">
        <v>1444</v>
      </c>
      <c r="B928" s="1" t="s">
        <v>3310</v>
      </c>
      <c r="C928" t="str">
        <f t="shared" si="42"/>
        <v>Ms.</v>
      </c>
      <c r="D928" t="str">
        <f t="shared" si="43"/>
        <v>Rebecca B.</v>
      </c>
      <c r="E928" t="str">
        <f t="shared" si="44"/>
        <v>Tucker</v>
      </c>
    </row>
    <row r="929" spans="1:5" ht="15.5" x14ac:dyDescent="0.35">
      <c r="A929" s="1" t="s">
        <v>1443</v>
      </c>
      <c r="B929" s="1" t="s">
        <v>3311</v>
      </c>
      <c r="C929" t="str">
        <f t="shared" si="42"/>
        <v>Ms.</v>
      </c>
      <c r="D929" t="str">
        <f t="shared" si="43"/>
        <v>Maria A.</v>
      </c>
      <c r="E929" t="str">
        <f t="shared" si="44"/>
        <v>Gramelspacher</v>
      </c>
    </row>
    <row r="930" spans="1:5" ht="15.5" x14ac:dyDescent="0.35">
      <c r="A930" s="1" t="s">
        <v>1442</v>
      </c>
      <c r="B930" s="1" t="s">
        <v>3312</v>
      </c>
      <c r="C930" t="str">
        <f t="shared" si="42"/>
        <v>Mrs.</v>
      </c>
      <c r="D930" t="str">
        <f t="shared" si="43"/>
        <v>Lisa M</v>
      </c>
      <c r="E930" t="str">
        <f t="shared" si="44"/>
        <v>Goldsmith</v>
      </c>
    </row>
    <row r="931" spans="1:5" ht="15.5" x14ac:dyDescent="0.35">
      <c r="A931" s="1" t="s">
        <v>1441</v>
      </c>
      <c r="B931" s="1" t="s">
        <v>3313</v>
      </c>
      <c r="C931" t="str">
        <f t="shared" si="42"/>
        <v>Mr.</v>
      </c>
      <c r="D931" t="str">
        <f t="shared" si="43"/>
        <v>Steve Jr.</v>
      </c>
      <c r="E931" t="str">
        <f t="shared" si="44"/>
        <v>Tranter</v>
      </c>
    </row>
    <row r="932" spans="1:5" ht="15.5" x14ac:dyDescent="0.35">
      <c r="A932" s="1" t="s">
        <v>1440</v>
      </c>
      <c r="B932" s="1" t="s">
        <v>3314</v>
      </c>
      <c r="C932" t="str">
        <f t="shared" si="42"/>
        <v>Mrs.</v>
      </c>
      <c r="D932" t="str">
        <f t="shared" si="43"/>
        <v>Tiffany</v>
      </c>
      <c r="E932" t="str">
        <f t="shared" si="44"/>
        <v>Tu</v>
      </c>
    </row>
    <row r="933" spans="1:5" ht="15.5" x14ac:dyDescent="0.35">
      <c r="A933" s="1" t="s">
        <v>1439</v>
      </c>
      <c r="B933" s="1" t="s">
        <v>3315</v>
      </c>
      <c r="C933" t="str">
        <f t="shared" si="42"/>
        <v>Mr.</v>
      </c>
      <c r="D933" t="str">
        <f t="shared" si="43"/>
        <v>Greg</v>
      </c>
      <c r="E933" t="str">
        <f t="shared" si="44"/>
        <v>Kaczka</v>
      </c>
    </row>
    <row r="934" spans="1:5" ht="15.5" x14ac:dyDescent="0.35">
      <c r="A934" s="1" t="s">
        <v>1438</v>
      </c>
      <c r="B934" s="1" t="s">
        <v>3316</v>
      </c>
      <c r="C934" t="str">
        <f t="shared" si="42"/>
        <v>Mr.</v>
      </c>
      <c r="D934" t="str">
        <f t="shared" si="43"/>
        <v>Dale</v>
      </c>
      <c r="E934" t="str">
        <f t="shared" si="44"/>
        <v>Hunter</v>
      </c>
    </row>
    <row r="935" spans="1:5" ht="15.5" x14ac:dyDescent="0.35">
      <c r="A935" s="1" t="s">
        <v>1437</v>
      </c>
      <c r="B935" s="1" t="s">
        <v>3317</v>
      </c>
      <c r="C935" t="str">
        <f t="shared" si="42"/>
        <v>Ms.</v>
      </c>
      <c r="D935" t="str">
        <f t="shared" si="43"/>
        <v>Brittany A.</v>
      </c>
      <c r="E935" t="str">
        <f t="shared" si="44"/>
        <v>Moran</v>
      </c>
    </row>
    <row r="936" spans="1:5" ht="15.5" x14ac:dyDescent="0.35">
      <c r="A936" s="1" t="s">
        <v>1436</v>
      </c>
      <c r="B936" s="1" t="s">
        <v>3318</v>
      </c>
      <c r="C936" t="str">
        <f t="shared" si="42"/>
        <v>Mr.</v>
      </c>
      <c r="D936" t="str">
        <f t="shared" si="43"/>
        <v>Robert S</v>
      </c>
      <c r="E936" t="str">
        <f t="shared" si="44"/>
        <v>Ashby</v>
      </c>
    </row>
    <row r="937" spans="1:5" ht="15.5" x14ac:dyDescent="0.35">
      <c r="A937" s="1" t="s">
        <v>1435</v>
      </c>
      <c r="B937" s="1" t="s">
        <v>3319</v>
      </c>
      <c r="C937" t="str">
        <f t="shared" si="42"/>
        <v>Mr.</v>
      </c>
      <c r="D937" t="str">
        <f t="shared" si="43"/>
        <v>Cameron</v>
      </c>
      <c r="E937" t="str">
        <f t="shared" si="44"/>
        <v>Ausen</v>
      </c>
    </row>
    <row r="938" spans="1:5" ht="15.5" x14ac:dyDescent="0.35">
      <c r="A938" s="1" t="s">
        <v>1434</v>
      </c>
      <c r="B938" s="1" t="s">
        <v>3320</v>
      </c>
      <c r="C938" t="str">
        <f t="shared" si="42"/>
        <v>Mrs.</v>
      </c>
      <c r="D938" t="str">
        <f t="shared" si="43"/>
        <v>Ulrike</v>
      </c>
      <c r="E938" t="str">
        <f t="shared" si="44"/>
        <v>Savage</v>
      </c>
    </row>
    <row r="939" spans="1:5" ht="15.5" x14ac:dyDescent="0.35">
      <c r="A939" s="1" t="s">
        <v>1433</v>
      </c>
      <c r="B939" s="1" t="s">
        <v>3321</v>
      </c>
      <c r="C939" t="str">
        <f t="shared" si="42"/>
        <v>Ms.</v>
      </c>
      <c r="D939" t="str">
        <f t="shared" si="43"/>
        <v>Katlyn A.</v>
      </c>
      <c r="E939" t="str">
        <f t="shared" si="44"/>
        <v>O'Leary</v>
      </c>
    </row>
    <row r="940" spans="1:5" ht="15.5" x14ac:dyDescent="0.35">
      <c r="A940" s="1" t="s">
        <v>1432</v>
      </c>
      <c r="B940" s="1" t="s">
        <v>3322</v>
      </c>
      <c r="C940" t="str">
        <f t="shared" si="42"/>
        <v>Mr.</v>
      </c>
      <c r="D940" t="str">
        <f t="shared" si="43"/>
        <v>Morgan B.</v>
      </c>
      <c r="E940" t="str">
        <f t="shared" si="44"/>
        <v>Scoville</v>
      </c>
    </row>
    <row r="941" spans="1:5" ht="15.5" x14ac:dyDescent="0.35">
      <c r="A941" s="1" t="s">
        <v>1431</v>
      </c>
      <c r="B941" s="1" t="s">
        <v>3323</v>
      </c>
      <c r="C941" t="str">
        <f t="shared" si="42"/>
        <v>Mr.</v>
      </c>
      <c r="D941" t="str">
        <f t="shared" si="43"/>
        <v>Peter</v>
      </c>
      <c r="E941" t="str">
        <f t="shared" si="44"/>
        <v>Kaus</v>
      </c>
    </row>
    <row r="942" spans="1:5" ht="15.5" x14ac:dyDescent="0.35">
      <c r="A942" s="1" t="s">
        <v>1430</v>
      </c>
      <c r="B942" s="1" t="s">
        <v>3324</v>
      </c>
      <c r="C942" t="str">
        <f t="shared" si="42"/>
        <v>Ms.</v>
      </c>
      <c r="D942" t="str">
        <f t="shared" si="43"/>
        <v>Chandler</v>
      </c>
      <c r="E942" t="str">
        <f t="shared" si="44"/>
        <v>Rainey</v>
      </c>
    </row>
    <row r="943" spans="1:5" ht="15.5" x14ac:dyDescent="0.35">
      <c r="A943" s="1" t="s">
        <v>1429</v>
      </c>
      <c r="B943" s="1" t="s">
        <v>3325</v>
      </c>
      <c r="C943" t="str">
        <f t="shared" si="42"/>
        <v>Ms.</v>
      </c>
      <c r="D943" t="str">
        <f t="shared" si="43"/>
        <v>Silvana M.</v>
      </c>
      <c r="E943" t="str">
        <f t="shared" si="44"/>
        <v>Rasch</v>
      </c>
    </row>
    <row r="944" spans="1:5" ht="15.5" x14ac:dyDescent="0.35">
      <c r="A944" s="1" t="s">
        <v>1428</v>
      </c>
      <c r="B944" s="1" t="s">
        <v>3326</v>
      </c>
      <c r="C944" t="str">
        <f t="shared" si="42"/>
        <v>Ms.</v>
      </c>
      <c r="D944" t="str">
        <f t="shared" si="43"/>
        <v>Natty</v>
      </c>
      <c r="E944" t="str">
        <f t="shared" si="44"/>
        <v>Plunkett</v>
      </c>
    </row>
    <row r="945" spans="1:5" ht="15.5" x14ac:dyDescent="0.35">
      <c r="A945" s="1" t="s">
        <v>1427</v>
      </c>
      <c r="B945" s="1" t="s">
        <v>3327</v>
      </c>
      <c r="C945" t="str">
        <f t="shared" si="42"/>
        <v>Mr.</v>
      </c>
      <c r="D945" t="str">
        <f t="shared" si="43"/>
        <v>Nicholas T</v>
      </c>
      <c r="E945" t="str">
        <f t="shared" si="44"/>
        <v>Murphy</v>
      </c>
    </row>
    <row r="946" spans="1:5" ht="15.5" x14ac:dyDescent="0.35">
      <c r="A946" s="1" t="s">
        <v>1426</v>
      </c>
      <c r="B946" s="1" t="s">
        <v>3328</v>
      </c>
      <c r="C946" t="str">
        <f t="shared" si="42"/>
        <v>Ms.</v>
      </c>
      <c r="D946" t="str">
        <f t="shared" si="43"/>
        <v>Rebecca</v>
      </c>
      <c r="E946" t="str">
        <f t="shared" si="44"/>
        <v>Gusmer</v>
      </c>
    </row>
    <row r="947" spans="1:5" ht="15.5" x14ac:dyDescent="0.35">
      <c r="A947" s="1" t="s">
        <v>1425</v>
      </c>
      <c r="B947" s="1" t="s">
        <v>3329</v>
      </c>
      <c r="C947" t="str">
        <f t="shared" si="42"/>
        <v>Mr.</v>
      </c>
      <c r="D947" t="str">
        <f t="shared" si="43"/>
        <v>John</v>
      </c>
      <c r="E947" t="str">
        <f t="shared" si="44"/>
        <v>Loftus</v>
      </c>
    </row>
    <row r="948" spans="1:5" ht="15.5" x14ac:dyDescent="0.35">
      <c r="A948" s="1" t="s">
        <v>1424</v>
      </c>
      <c r="B948" s="1" t="s">
        <v>3330</v>
      </c>
      <c r="C948" t="str">
        <f t="shared" si="42"/>
        <v>Mr.</v>
      </c>
      <c r="D948" t="str">
        <f t="shared" si="43"/>
        <v>Antony G</v>
      </c>
      <c r="E948" t="str">
        <f t="shared" si="44"/>
        <v>Scott</v>
      </c>
    </row>
    <row r="949" spans="1:5" ht="15.5" x14ac:dyDescent="0.35">
      <c r="A949" s="1" t="s">
        <v>1423</v>
      </c>
      <c r="B949" s="1" t="s">
        <v>3331</v>
      </c>
      <c r="C949" t="str">
        <f t="shared" si="42"/>
        <v>Mr.</v>
      </c>
      <c r="D949" t="str">
        <f t="shared" si="43"/>
        <v>Eric</v>
      </c>
      <c r="E949" t="str">
        <f t="shared" si="44"/>
        <v>Alvarez</v>
      </c>
    </row>
    <row r="950" spans="1:5" ht="15.5" x14ac:dyDescent="0.35">
      <c r="A950" s="1" t="s">
        <v>1422</v>
      </c>
      <c r="B950" s="1" t="s">
        <v>3332</v>
      </c>
      <c r="C950" t="str">
        <f t="shared" si="42"/>
        <v>Mr.</v>
      </c>
      <c r="D950" t="str">
        <f t="shared" si="43"/>
        <v>Erik</v>
      </c>
      <c r="E950" t="str">
        <f t="shared" si="44"/>
        <v>Petersson</v>
      </c>
    </row>
    <row r="951" spans="1:5" ht="15.5" x14ac:dyDescent="0.35">
      <c r="A951" s="1" t="s">
        <v>1421</v>
      </c>
      <c r="B951" s="1" t="s">
        <v>3333</v>
      </c>
      <c r="C951" t="str">
        <f t="shared" si="42"/>
        <v>Mr.</v>
      </c>
      <c r="D951" t="str">
        <f t="shared" si="43"/>
        <v>Matthew T</v>
      </c>
      <c r="E951" t="str">
        <f t="shared" si="44"/>
        <v>Liaw</v>
      </c>
    </row>
    <row r="952" spans="1:5" ht="15.5" x14ac:dyDescent="0.35">
      <c r="A952" s="1" t="s">
        <v>1420</v>
      </c>
      <c r="B952" s="1" t="s">
        <v>3334</v>
      </c>
      <c r="C952" t="str">
        <f t="shared" si="42"/>
        <v>Ms.</v>
      </c>
      <c r="D952" t="str">
        <f t="shared" si="43"/>
        <v>Cassandra</v>
      </c>
      <c r="E952" t="str">
        <f t="shared" si="44"/>
        <v>Tripaldi</v>
      </c>
    </row>
    <row r="953" spans="1:5" ht="15.5" x14ac:dyDescent="0.35">
      <c r="A953" s="1" t="s">
        <v>1419</v>
      </c>
      <c r="B953" s="1" t="s">
        <v>3335</v>
      </c>
      <c r="C953" t="str">
        <f t="shared" si="42"/>
        <v>Ms.</v>
      </c>
      <c r="D953" t="str">
        <f t="shared" si="43"/>
        <v>Rosemary C</v>
      </c>
      <c r="E953" t="str">
        <f t="shared" si="44"/>
        <v>Kelley</v>
      </c>
    </row>
    <row r="954" spans="1:5" ht="15.5" x14ac:dyDescent="0.35">
      <c r="A954" s="1" t="s">
        <v>1418</v>
      </c>
      <c r="B954" s="1" t="s">
        <v>3336</v>
      </c>
      <c r="C954" t="str">
        <f t="shared" si="42"/>
        <v>Ms.</v>
      </c>
      <c r="D954" t="str">
        <f t="shared" si="43"/>
        <v>Carrie A.</v>
      </c>
      <c r="E954" t="str">
        <f t="shared" si="44"/>
        <v>Endara</v>
      </c>
    </row>
    <row r="955" spans="1:5" ht="15.5" x14ac:dyDescent="0.35">
      <c r="A955" s="1" t="s">
        <v>1417</v>
      </c>
      <c r="B955" s="1" t="s">
        <v>3337</v>
      </c>
      <c r="C955" t="str">
        <f t="shared" si="42"/>
        <v>Mr.</v>
      </c>
      <c r="D955" t="str">
        <f t="shared" si="43"/>
        <v>Gerardo Sr.</v>
      </c>
      <c r="E955" t="str">
        <f t="shared" si="44"/>
        <v>Valle</v>
      </c>
    </row>
    <row r="956" spans="1:5" ht="15.5" x14ac:dyDescent="0.35">
      <c r="A956" s="1" t="s">
        <v>1416</v>
      </c>
      <c r="B956" s="1" t="s">
        <v>3338</v>
      </c>
      <c r="C956" t="str">
        <f t="shared" si="42"/>
        <v>Mr.</v>
      </c>
      <c r="D956" t="str">
        <f t="shared" si="43"/>
        <v>Matthew R.</v>
      </c>
      <c r="E956" t="str">
        <f t="shared" si="44"/>
        <v>Germain</v>
      </c>
    </row>
    <row r="957" spans="1:5" ht="15.5" x14ac:dyDescent="0.35">
      <c r="A957" s="1" t="s">
        <v>1415</v>
      </c>
      <c r="B957" s="1" t="s">
        <v>3339</v>
      </c>
      <c r="C957" t="str">
        <f t="shared" si="42"/>
        <v>Mrs.</v>
      </c>
      <c r="D957" t="str">
        <f t="shared" si="43"/>
        <v>Meghan E</v>
      </c>
      <c r="E957" t="str">
        <f t="shared" si="44"/>
        <v>Finecey</v>
      </c>
    </row>
    <row r="958" spans="1:5" ht="15.5" x14ac:dyDescent="0.35">
      <c r="A958" s="1" t="s">
        <v>1414</v>
      </c>
      <c r="B958" s="1" t="s">
        <v>3340</v>
      </c>
      <c r="C958" t="str">
        <f t="shared" si="42"/>
        <v>Mr.</v>
      </c>
      <c r="D958" t="str">
        <f t="shared" si="43"/>
        <v>Eric</v>
      </c>
      <c r="E958" t="str">
        <f t="shared" si="44"/>
        <v>Mendoza</v>
      </c>
    </row>
    <row r="959" spans="1:5" ht="15.5" x14ac:dyDescent="0.35">
      <c r="A959" s="1" t="s">
        <v>1413</v>
      </c>
      <c r="B959" s="1" t="s">
        <v>3341</v>
      </c>
      <c r="C959" t="str">
        <f t="shared" si="42"/>
        <v>Ms.</v>
      </c>
      <c r="D959" t="str">
        <f t="shared" si="43"/>
        <v>Lisa B</v>
      </c>
      <c r="E959" t="str">
        <f t="shared" si="44"/>
        <v>Roe</v>
      </c>
    </row>
    <row r="960" spans="1:5" ht="15.5" x14ac:dyDescent="0.35">
      <c r="A960" s="1" t="s">
        <v>1412</v>
      </c>
      <c r="B960" s="1" t="s">
        <v>3342</v>
      </c>
      <c r="C960" t="str">
        <f t="shared" si="42"/>
        <v>Mrs.</v>
      </c>
      <c r="D960" t="str">
        <f t="shared" si="43"/>
        <v>Jane R.</v>
      </c>
      <c r="E960" t="str">
        <f t="shared" si="44"/>
        <v>Webb</v>
      </c>
    </row>
    <row r="961" spans="1:5" ht="15.5" x14ac:dyDescent="0.35">
      <c r="A961" s="1" t="s">
        <v>1411</v>
      </c>
      <c r="B961" s="1" t="s">
        <v>3343</v>
      </c>
      <c r="C961" t="str">
        <f t="shared" si="42"/>
        <v>Ms.</v>
      </c>
      <c r="D961" t="str">
        <f t="shared" si="43"/>
        <v>Allison M</v>
      </c>
      <c r="E961" t="str">
        <f t="shared" si="44"/>
        <v>Stocker</v>
      </c>
    </row>
    <row r="962" spans="1:5" ht="15.5" x14ac:dyDescent="0.35">
      <c r="A962" s="1" t="s">
        <v>1410</v>
      </c>
      <c r="B962" s="1" t="s">
        <v>3344</v>
      </c>
      <c r="C962" t="str">
        <f t="shared" si="42"/>
        <v>Mrs.</v>
      </c>
      <c r="D962" t="str">
        <f t="shared" si="43"/>
        <v>Sarah E.</v>
      </c>
      <c r="E962" t="str">
        <f t="shared" si="44"/>
        <v>Jacobson</v>
      </c>
    </row>
    <row r="963" spans="1:5" ht="15.5" x14ac:dyDescent="0.35">
      <c r="A963" s="1" t="s">
        <v>1409</v>
      </c>
      <c r="B963" s="1" t="s">
        <v>3345</v>
      </c>
      <c r="C963" t="str">
        <f t="shared" ref="C963:C1026" si="45">TRIM(MID(B963,FIND(",",B963)+1,FIND(".",B963)-FIND(",",B963)))</f>
        <v>Mr.</v>
      </c>
      <c r="D963" t="str">
        <f t="shared" ref="D963:D1026" si="46">TRIM(MID(B963,FIND(".",B963)+1,LEN(B963)))</f>
        <v>Philip J</v>
      </c>
      <c r="E963" t="str">
        <f t="shared" ref="E963:E1026" si="47">TRIM(LEFT(B963,FIND(",",B963)-1))</f>
        <v>Shaw</v>
      </c>
    </row>
    <row r="964" spans="1:5" ht="15.5" x14ac:dyDescent="0.35">
      <c r="A964" s="1" t="s">
        <v>1408</v>
      </c>
      <c r="B964" s="1" t="s">
        <v>3346</v>
      </c>
      <c r="C964" t="str">
        <f t="shared" si="45"/>
        <v>Ms.</v>
      </c>
      <c r="D964" t="str">
        <f t="shared" si="46"/>
        <v>Jillian A.</v>
      </c>
      <c r="E964" t="str">
        <f t="shared" si="47"/>
        <v>Goodwin</v>
      </c>
    </row>
    <row r="965" spans="1:5" ht="15.5" x14ac:dyDescent="0.35">
      <c r="A965" s="1" t="s">
        <v>1407</v>
      </c>
      <c r="B965" s="1" t="s">
        <v>3347</v>
      </c>
      <c r="C965" t="str">
        <f t="shared" si="45"/>
        <v>Mrs.</v>
      </c>
      <c r="D965" t="str">
        <f t="shared" si="46"/>
        <v>Laura D</v>
      </c>
      <c r="E965" t="str">
        <f t="shared" si="47"/>
        <v>Brock</v>
      </c>
    </row>
    <row r="966" spans="1:5" ht="15.5" x14ac:dyDescent="0.35">
      <c r="A966" s="1" t="s">
        <v>1406</v>
      </c>
      <c r="B966" s="1" t="s">
        <v>3348</v>
      </c>
      <c r="C966" t="str">
        <f t="shared" si="45"/>
        <v>Ms.</v>
      </c>
      <c r="D966" t="str">
        <f t="shared" si="46"/>
        <v>Megan E.</v>
      </c>
      <c r="E966" t="str">
        <f t="shared" si="47"/>
        <v>Papp</v>
      </c>
    </row>
    <row r="967" spans="1:5" ht="15.5" x14ac:dyDescent="0.35">
      <c r="A967" s="1" t="s">
        <v>1405</v>
      </c>
      <c r="B967" s="1" t="s">
        <v>3349</v>
      </c>
      <c r="C967" t="str">
        <f t="shared" si="45"/>
        <v>Ms.</v>
      </c>
      <c r="D967" t="str">
        <f t="shared" si="46"/>
        <v>Shannon J.</v>
      </c>
      <c r="E967" t="str">
        <f t="shared" si="47"/>
        <v>Siragusa</v>
      </c>
    </row>
    <row r="968" spans="1:5" ht="15.5" x14ac:dyDescent="0.35">
      <c r="A968" s="1" t="s">
        <v>1404</v>
      </c>
      <c r="B968" s="1" t="s">
        <v>3350</v>
      </c>
      <c r="C968" t="str">
        <f t="shared" si="45"/>
        <v>Ms.</v>
      </c>
      <c r="D968" t="str">
        <f t="shared" si="46"/>
        <v>Rachelle M</v>
      </c>
      <c r="E968" t="str">
        <f t="shared" si="47"/>
        <v>Pizarro</v>
      </c>
    </row>
    <row r="969" spans="1:5" ht="15.5" x14ac:dyDescent="0.35">
      <c r="A969" s="1" t="s">
        <v>1403</v>
      </c>
      <c r="B969" s="1" t="s">
        <v>3351</v>
      </c>
      <c r="C969" t="str">
        <f t="shared" si="45"/>
        <v>Mr.</v>
      </c>
      <c r="D969" t="str">
        <f t="shared" si="46"/>
        <v>Casey</v>
      </c>
      <c r="E969" t="str">
        <f t="shared" si="47"/>
        <v>Strange</v>
      </c>
    </row>
    <row r="970" spans="1:5" ht="15.5" x14ac:dyDescent="0.35">
      <c r="A970" s="1" t="s">
        <v>1402</v>
      </c>
      <c r="B970" s="1" t="s">
        <v>3352</v>
      </c>
      <c r="C970" t="str">
        <f t="shared" si="45"/>
        <v>Ms.</v>
      </c>
      <c r="D970" t="str">
        <f t="shared" si="46"/>
        <v>Jessica L</v>
      </c>
      <c r="E970" t="str">
        <f t="shared" si="47"/>
        <v>Eidinger</v>
      </c>
    </row>
    <row r="971" spans="1:5" ht="15.5" x14ac:dyDescent="0.35">
      <c r="A971" s="1" t="s">
        <v>1401</v>
      </c>
      <c r="B971" s="1" t="s">
        <v>3353</v>
      </c>
      <c r="C971" t="str">
        <f t="shared" si="45"/>
        <v>Mr.</v>
      </c>
      <c r="D971" t="str">
        <f t="shared" si="46"/>
        <v>Brandon F</v>
      </c>
      <c r="E971" t="str">
        <f t="shared" si="47"/>
        <v>Ginsburg</v>
      </c>
    </row>
    <row r="972" spans="1:5" ht="15.5" x14ac:dyDescent="0.35">
      <c r="A972" s="1" t="s">
        <v>1400</v>
      </c>
      <c r="B972" s="1" t="s">
        <v>3354</v>
      </c>
      <c r="C972" t="str">
        <f t="shared" si="45"/>
        <v>Ms.</v>
      </c>
      <c r="D972" t="str">
        <f t="shared" si="46"/>
        <v>Melissa</v>
      </c>
      <c r="E972" t="str">
        <f t="shared" si="47"/>
        <v>Truex</v>
      </c>
    </row>
    <row r="973" spans="1:5" ht="15.5" x14ac:dyDescent="0.35">
      <c r="A973" s="1" t="s">
        <v>1399</v>
      </c>
      <c r="B973" s="1" t="s">
        <v>3355</v>
      </c>
      <c r="C973" t="str">
        <f t="shared" si="45"/>
        <v>Ms.</v>
      </c>
      <c r="D973" t="str">
        <f t="shared" si="46"/>
        <v>Danielle N</v>
      </c>
      <c r="E973" t="str">
        <f t="shared" si="47"/>
        <v>Higgins</v>
      </c>
    </row>
    <row r="974" spans="1:5" ht="15.5" x14ac:dyDescent="0.35">
      <c r="A974" s="1" t="s">
        <v>1398</v>
      </c>
      <c r="B974" s="1" t="s">
        <v>3356</v>
      </c>
      <c r="C974" t="str">
        <f t="shared" si="45"/>
        <v>Mr.</v>
      </c>
      <c r="D974" t="str">
        <f t="shared" si="46"/>
        <v>Matthew</v>
      </c>
      <c r="E974" t="str">
        <f t="shared" si="47"/>
        <v>McCurdy</v>
      </c>
    </row>
    <row r="975" spans="1:5" ht="15.5" x14ac:dyDescent="0.35">
      <c r="A975" s="1" t="s">
        <v>1397</v>
      </c>
      <c r="B975" s="1" t="s">
        <v>3357</v>
      </c>
      <c r="C975" t="str">
        <f t="shared" si="45"/>
        <v>Mrs.</v>
      </c>
      <c r="D975" t="str">
        <f t="shared" si="46"/>
        <v>Bettina</v>
      </c>
      <c r="E975" t="str">
        <f t="shared" si="47"/>
        <v>Hughes</v>
      </c>
    </row>
    <row r="976" spans="1:5" ht="15.5" x14ac:dyDescent="0.35">
      <c r="A976" s="1" t="s">
        <v>1396</v>
      </c>
      <c r="B976" s="1" t="s">
        <v>3358</v>
      </c>
      <c r="C976" t="str">
        <f t="shared" si="45"/>
        <v>Mr.</v>
      </c>
      <c r="D976" t="str">
        <f t="shared" si="46"/>
        <v>Alexander</v>
      </c>
      <c r="E976" t="str">
        <f t="shared" si="47"/>
        <v>Varner</v>
      </c>
    </row>
    <row r="977" spans="1:5" ht="15.5" x14ac:dyDescent="0.35">
      <c r="A977" s="1" t="s">
        <v>1395</v>
      </c>
      <c r="B977" s="1" t="s">
        <v>3359</v>
      </c>
      <c r="C977" t="str">
        <f t="shared" si="45"/>
        <v>Mrs.</v>
      </c>
      <c r="D977" t="str">
        <f t="shared" si="46"/>
        <v>Holli</v>
      </c>
      <c r="E977" t="str">
        <f t="shared" si="47"/>
        <v>Dahmen</v>
      </c>
    </row>
    <row r="978" spans="1:5" ht="15.5" x14ac:dyDescent="0.35">
      <c r="A978" s="1" t="s">
        <v>1394</v>
      </c>
      <c r="B978" s="1" t="s">
        <v>3360</v>
      </c>
      <c r="C978" t="str">
        <f t="shared" si="45"/>
        <v>Mrs.</v>
      </c>
      <c r="D978" t="str">
        <f t="shared" si="46"/>
        <v>Heather C</v>
      </c>
      <c r="E978" t="str">
        <f t="shared" si="47"/>
        <v>Young</v>
      </c>
    </row>
    <row r="979" spans="1:5" ht="15.5" x14ac:dyDescent="0.35">
      <c r="A979" s="1" t="s">
        <v>1393</v>
      </c>
      <c r="B979" s="1" t="s">
        <v>3361</v>
      </c>
      <c r="C979" t="str">
        <f t="shared" si="45"/>
        <v>Mr.</v>
      </c>
      <c r="D979" t="str">
        <f t="shared" si="46"/>
        <v>Kyle</v>
      </c>
      <c r="E979" t="str">
        <f t="shared" si="47"/>
        <v>Fraser</v>
      </c>
    </row>
    <row r="980" spans="1:5" ht="15.5" x14ac:dyDescent="0.35">
      <c r="A980" s="1" t="s">
        <v>1392</v>
      </c>
      <c r="B980" s="1" t="s">
        <v>3362</v>
      </c>
      <c r="C980" t="str">
        <f t="shared" si="45"/>
        <v>Mr.</v>
      </c>
      <c r="D980" t="str">
        <f t="shared" si="46"/>
        <v>Thomas J</v>
      </c>
      <c r="E980" t="str">
        <f t="shared" si="47"/>
        <v>Deeg</v>
      </c>
    </row>
    <row r="981" spans="1:5" ht="15.5" x14ac:dyDescent="0.35">
      <c r="A981" s="1" t="s">
        <v>1391</v>
      </c>
      <c r="B981" s="1" t="s">
        <v>3363</v>
      </c>
      <c r="C981" t="str">
        <f t="shared" si="45"/>
        <v>Mr.</v>
      </c>
      <c r="D981" t="str">
        <f t="shared" si="46"/>
        <v>Chris</v>
      </c>
      <c r="E981" t="str">
        <f t="shared" si="47"/>
        <v>Robertson</v>
      </c>
    </row>
    <row r="982" spans="1:5" ht="15.5" x14ac:dyDescent="0.35">
      <c r="A982" s="1" t="s">
        <v>1390</v>
      </c>
      <c r="B982" s="1" t="s">
        <v>3364</v>
      </c>
      <c r="C982" t="str">
        <f t="shared" si="45"/>
        <v>Mr.</v>
      </c>
      <c r="D982" t="str">
        <f t="shared" si="46"/>
        <v>Graham</v>
      </c>
      <c r="E982" t="str">
        <f t="shared" si="47"/>
        <v>Peck</v>
      </c>
    </row>
    <row r="983" spans="1:5" ht="15.5" x14ac:dyDescent="0.35">
      <c r="A983" s="1" t="s">
        <v>1389</v>
      </c>
      <c r="B983" s="1" t="s">
        <v>3365</v>
      </c>
      <c r="C983" t="str">
        <f t="shared" si="45"/>
        <v>Mr.</v>
      </c>
      <c r="D983" t="str">
        <f t="shared" si="46"/>
        <v>Garrett</v>
      </c>
      <c r="E983" t="str">
        <f t="shared" si="47"/>
        <v>Burger</v>
      </c>
    </row>
    <row r="984" spans="1:5" ht="15.5" x14ac:dyDescent="0.35">
      <c r="A984" s="1" t="s">
        <v>1388</v>
      </c>
      <c r="B984" s="1" t="s">
        <v>3366</v>
      </c>
      <c r="C984" t="str">
        <f t="shared" si="45"/>
        <v>Mr.</v>
      </c>
      <c r="D984" t="str">
        <f t="shared" si="46"/>
        <v>Andrew</v>
      </c>
      <c r="E984" t="str">
        <f t="shared" si="47"/>
        <v>Blain</v>
      </c>
    </row>
    <row r="985" spans="1:5" ht="15.5" x14ac:dyDescent="0.35">
      <c r="A985" s="1" t="s">
        <v>1387</v>
      </c>
      <c r="B985" s="1" t="s">
        <v>3367</v>
      </c>
      <c r="C985" t="str">
        <f t="shared" si="45"/>
        <v>Mrs.</v>
      </c>
      <c r="D985" t="str">
        <f t="shared" si="46"/>
        <v>Annabelle M</v>
      </c>
      <c r="E985" t="str">
        <f t="shared" si="47"/>
        <v>Winters</v>
      </c>
    </row>
    <row r="986" spans="1:5" ht="15.5" x14ac:dyDescent="0.35">
      <c r="A986" s="1" t="s">
        <v>1386</v>
      </c>
      <c r="B986" s="1" t="s">
        <v>3368</v>
      </c>
      <c r="C986" t="str">
        <f t="shared" si="45"/>
        <v>Mr.</v>
      </c>
      <c r="D986" t="str">
        <f t="shared" si="46"/>
        <v>Daniel T.</v>
      </c>
      <c r="E986" t="str">
        <f t="shared" si="47"/>
        <v>McCue</v>
      </c>
    </row>
    <row r="987" spans="1:5" ht="15.5" x14ac:dyDescent="0.35">
      <c r="A987" s="1" t="s">
        <v>1385</v>
      </c>
      <c r="B987" s="1" t="s">
        <v>3369</v>
      </c>
      <c r="C987" t="str">
        <f t="shared" si="45"/>
        <v>Ms.</v>
      </c>
      <c r="D987" t="str">
        <f t="shared" si="46"/>
        <v>Deanne</v>
      </c>
      <c r="E987" t="str">
        <f t="shared" si="47"/>
        <v>Webster</v>
      </c>
    </row>
    <row r="988" spans="1:5" ht="15.5" x14ac:dyDescent="0.35">
      <c r="A988" s="1" t="s">
        <v>1384</v>
      </c>
      <c r="B988" s="1" t="s">
        <v>3370</v>
      </c>
      <c r="C988" t="str">
        <f t="shared" si="45"/>
        <v>Ms.</v>
      </c>
      <c r="D988" t="str">
        <f t="shared" si="46"/>
        <v>Carrie</v>
      </c>
      <c r="E988" t="str">
        <f t="shared" si="47"/>
        <v>Anderson</v>
      </c>
    </row>
    <row r="989" spans="1:5" ht="15.5" x14ac:dyDescent="0.35">
      <c r="A989" s="1" t="s">
        <v>1383</v>
      </c>
      <c r="B989" s="1" t="s">
        <v>3371</v>
      </c>
      <c r="C989" t="str">
        <f t="shared" si="45"/>
        <v>Mrs.</v>
      </c>
      <c r="D989" t="str">
        <f t="shared" si="46"/>
        <v>Suzanne</v>
      </c>
      <c r="E989" t="str">
        <f t="shared" si="47"/>
        <v>Chiappone</v>
      </c>
    </row>
    <row r="990" spans="1:5" ht="15.5" x14ac:dyDescent="0.35">
      <c r="A990" s="1" t="s">
        <v>1382</v>
      </c>
      <c r="B990" s="1" t="s">
        <v>3372</v>
      </c>
      <c r="C990" t="str">
        <f t="shared" si="45"/>
        <v>Ms.</v>
      </c>
      <c r="D990" t="str">
        <f t="shared" si="46"/>
        <v>Jasmine P.</v>
      </c>
      <c r="E990" t="str">
        <f t="shared" si="47"/>
        <v>Opie</v>
      </c>
    </row>
    <row r="991" spans="1:5" ht="15.5" x14ac:dyDescent="0.35">
      <c r="A991" s="1" t="s">
        <v>1381</v>
      </c>
      <c r="B991" s="1" t="s">
        <v>3373</v>
      </c>
      <c r="C991" t="str">
        <f t="shared" si="45"/>
        <v>Ms.</v>
      </c>
      <c r="D991" t="str">
        <f t="shared" si="46"/>
        <v>Jennifer</v>
      </c>
      <c r="E991" t="str">
        <f t="shared" si="47"/>
        <v>Donnelly</v>
      </c>
    </row>
    <row r="992" spans="1:5" ht="15.5" x14ac:dyDescent="0.35">
      <c r="A992" s="1" t="s">
        <v>1380</v>
      </c>
      <c r="B992" s="1" t="s">
        <v>3374</v>
      </c>
      <c r="C992" t="str">
        <f t="shared" si="45"/>
        <v>Ms.</v>
      </c>
      <c r="D992" t="str">
        <f t="shared" si="46"/>
        <v>Tracie</v>
      </c>
      <c r="E992" t="str">
        <f t="shared" si="47"/>
        <v>Rall</v>
      </c>
    </row>
    <row r="993" spans="1:5" ht="15.5" x14ac:dyDescent="0.35">
      <c r="A993" s="1" t="s">
        <v>1379</v>
      </c>
      <c r="B993" s="1" t="s">
        <v>3375</v>
      </c>
      <c r="C993" t="str">
        <f t="shared" si="45"/>
        <v>Mr.</v>
      </c>
      <c r="D993" t="str">
        <f t="shared" si="46"/>
        <v>Tristan D.</v>
      </c>
      <c r="E993" t="str">
        <f t="shared" si="47"/>
        <v>Mitchell</v>
      </c>
    </row>
    <row r="994" spans="1:5" ht="15.5" x14ac:dyDescent="0.35">
      <c r="A994" s="1" t="s">
        <v>1378</v>
      </c>
      <c r="B994" s="1" t="s">
        <v>3376</v>
      </c>
      <c r="C994" t="str">
        <f t="shared" si="45"/>
        <v>Mr.</v>
      </c>
      <c r="D994" t="str">
        <f t="shared" si="46"/>
        <v>Peiweng</v>
      </c>
      <c r="E994" t="str">
        <f t="shared" si="47"/>
        <v>Chen</v>
      </c>
    </row>
    <row r="995" spans="1:5" ht="15.5" x14ac:dyDescent="0.35">
      <c r="A995" s="1" t="s">
        <v>1377</v>
      </c>
      <c r="B995" s="1" t="s">
        <v>3377</v>
      </c>
      <c r="C995" t="str">
        <f t="shared" si="45"/>
        <v>Ms.</v>
      </c>
      <c r="D995" t="str">
        <f t="shared" si="46"/>
        <v>Theresa M.</v>
      </c>
      <c r="E995" t="str">
        <f t="shared" si="47"/>
        <v>Tufaro</v>
      </c>
    </row>
    <row r="996" spans="1:5" ht="15.5" x14ac:dyDescent="0.35">
      <c r="A996" s="1" t="s">
        <v>1376</v>
      </c>
      <c r="B996" s="1" t="s">
        <v>3378</v>
      </c>
      <c r="C996" t="str">
        <f t="shared" si="45"/>
        <v>Mr.</v>
      </c>
      <c r="D996" t="str">
        <f t="shared" si="46"/>
        <v>Daniel J</v>
      </c>
      <c r="E996" t="str">
        <f t="shared" si="47"/>
        <v>Peters</v>
      </c>
    </row>
    <row r="997" spans="1:5" ht="15.5" x14ac:dyDescent="0.35">
      <c r="A997" s="1" t="s">
        <v>1375</v>
      </c>
      <c r="B997" s="1" t="s">
        <v>3379</v>
      </c>
      <c r="C997" t="str">
        <f t="shared" si="45"/>
        <v>Mrs.</v>
      </c>
      <c r="D997" t="str">
        <f t="shared" si="46"/>
        <v>Courtney M.</v>
      </c>
      <c r="E997" t="str">
        <f t="shared" si="47"/>
        <v>Susedik</v>
      </c>
    </row>
    <row r="998" spans="1:5" ht="15.5" x14ac:dyDescent="0.35">
      <c r="A998" s="1" t="s">
        <v>1374</v>
      </c>
      <c r="B998" s="1" t="s">
        <v>3380</v>
      </c>
      <c r="C998" t="str">
        <f t="shared" si="45"/>
        <v>Mr.</v>
      </c>
      <c r="D998" t="str">
        <f t="shared" si="46"/>
        <v>Jose A.</v>
      </c>
      <c r="E998" t="str">
        <f t="shared" si="47"/>
        <v>Garcia</v>
      </c>
    </row>
    <row r="999" spans="1:5" ht="15.5" x14ac:dyDescent="0.35">
      <c r="A999" s="1" t="s">
        <v>1373</v>
      </c>
      <c r="B999" s="1" t="s">
        <v>3381</v>
      </c>
      <c r="C999" t="str">
        <f t="shared" si="45"/>
        <v>Mrs.</v>
      </c>
      <c r="D999" t="str">
        <f t="shared" si="46"/>
        <v>Lauren</v>
      </c>
      <c r="E999" t="str">
        <f t="shared" si="47"/>
        <v>Deady</v>
      </c>
    </row>
    <row r="1000" spans="1:5" ht="15.5" x14ac:dyDescent="0.35">
      <c r="A1000" s="1" t="s">
        <v>1372</v>
      </c>
      <c r="B1000" s="1" t="s">
        <v>3382</v>
      </c>
      <c r="C1000" t="str">
        <f t="shared" si="45"/>
        <v>Mr.</v>
      </c>
      <c r="D1000" t="str">
        <f t="shared" si="46"/>
        <v>Jonathon M.</v>
      </c>
      <c r="E1000" t="str">
        <f t="shared" si="47"/>
        <v>Campbell</v>
      </c>
    </row>
    <row r="1001" spans="1:5" ht="15.5" x14ac:dyDescent="0.35">
      <c r="A1001" s="1" t="s">
        <v>1371</v>
      </c>
      <c r="B1001" s="1" t="s">
        <v>3383</v>
      </c>
      <c r="C1001" t="str">
        <f t="shared" si="45"/>
        <v>Mrs.</v>
      </c>
      <c r="D1001" t="str">
        <f t="shared" si="46"/>
        <v>Stephanie A</v>
      </c>
      <c r="E1001" t="str">
        <f t="shared" si="47"/>
        <v>Schaefer</v>
      </c>
    </row>
    <row r="1002" spans="1:5" ht="15.5" x14ac:dyDescent="0.35">
      <c r="A1002" s="1" t="s">
        <v>1370</v>
      </c>
      <c r="B1002" s="1" t="s">
        <v>3384</v>
      </c>
      <c r="C1002" t="str">
        <f t="shared" si="45"/>
        <v>Mr.</v>
      </c>
      <c r="D1002" t="str">
        <f t="shared" si="46"/>
        <v>Patrick</v>
      </c>
      <c r="E1002" t="str">
        <f t="shared" si="47"/>
        <v>D'Alessandro</v>
      </c>
    </row>
    <row r="1003" spans="1:5" ht="15.5" x14ac:dyDescent="0.35">
      <c r="A1003" s="1" t="s">
        <v>1369</v>
      </c>
      <c r="B1003" s="1" t="s">
        <v>3385</v>
      </c>
      <c r="C1003" t="str">
        <f t="shared" si="45"/>
        <v>Mrs.</v>
      </c>
      <c r="D1003" t="str">
        <f t="shared" si="46"/>
        <v>Krista</v>
      </c>
      <c r="E1003" t="str">
        <f t="shared" si="47"/>
        <v>Wyss</v>
      </c>
    </row>
    <row r="1004" spans="1:5" ht="15.5" x14ac:dyDescent="0.35">
      <c r="A1004" s="1" t="s">
        <v>1368</v>
      </c>
      <c r="B1004" s="1" t="s">
        <v>3386</v>
      </c>
      <c r="C1004" t="str">
        <f t="shared" si="45"/>
        <v>Ms.</v>
      </c>
      <c r="D1004" t="str">
        <f t="shared" si="46"/>
        <v>Jenessa</v>
      </c>
      <c r="E1004" t="str">
        <f t="shared" si="47"/>
        <v>Rose</v>
      </c>
    </row>
    <row r="1005" spans="1:5" ht="15.5" x14ac:dyDescent="0.35">
      <c r="A1005" s="1" t="s">
        <v>1367</v>
      </c>
      <c r="B1005" s="1" t="s">
        <v>3387</v>
      </c>
      <c r="C1005" t="str">
        <f t="shared" si="45"/>
        <v>Mr.</v>
      </c>
      <c r="D1005" t="str">
        <f t="shared" si="46"/>
        <v>Ryan M.</v>
      </c>
      <c r="E1005" t="str">
        <f t="shared" si="47"/>
        <v>Hopper</v>
      </c>
    </row>
    <row r="1006" spans="1:5" ht="15.5" x14ac:dyDescent="0.35">
      <c r="A1006" s="1" t="s">
        <v>1366</v>
      </c>
      <c r="B1006" s="1" t="s">
        <v>3388</v>
      </c>
      <c r="C1006" t="str">
        <f t="shared" si="45"/>
        <v>Mr.</v>
      </c>
      <c r="D1006" t="str">
        <f t="shared" si="46"/>
        <v>Thomas</v>
      </c>
      <c r="E1006" t="str">
        <f t="shared" si="47"/>
        <v>Finneran</v>
      </c>
    </row>
    <row r="1007" spans="1:5" ht="15.5" x14ac:dyDescent="0.35">
      <c r="A1007" s="1" t="s">
        <v>1365</v>
      </c>
      <c r="B1007" s="1" t="s">
        <v>3389</v>
      </c>
      <c r="C1007" t="str">
        <f t="shared" si="45"/>
        <v>Ms.</v>
      </c>
      <c r="D1007" t="str">
        <f t="shared" si="46"/>
        <v>Amanda N.</v>
      </c>
      <c r="E1007" t="str">
        <f t="shared" si="47"/>
        <v>Basham</v>
      </c>
    </row>
    <row r="1008" spans="1:5" ht="15.5" x14ac:dyDescent="0.35">
      <c r="A1008" s="1" t="s">
        <v>1364</v>
      </c>
      <c r="B1008" s="1" t="s">
        <v>3390</v>
      </c>
      <c r="C1008" t="str">
        <f t="shared" si="45"/>
        <v>Ms.</v>
      </c>
      <c r="D1008" t="str">
        <f t="shared" si="46"/>
        <v>Teresa P.</v>
      </c>
      <c r="E1008" t="str">
        <f t="shared" si="47"/>
        <v>Inman</v>
      </c>
    </row>
    <row r="1009" spans="1:5" ht="15.5" x14ac:dyDescent="0.35">
      <c r="A1009" s="1" t="s">
        <v>1363</v>
      </c>
      <c r="B1009" s="1" t="s">
        <v>3391</v>
      </c>
      <c r="C1009" t="str">
        <f t="shared" si="45"/>
        <v>Mr.</v>
      </c>
      <c r="D1009" t="str">
        <f t="shared" si="46"/>
        <v>Dorian</v>
      </c>
      <c r="E1009" t="str">
        <f t="shared" si="47"/>
        <v>Oscal</v>
      </c>
    </row>
    <row r="1010" spans="1:5" ht="15.5" x14ac:dyDescent="0.35">
      <c r="A1010" s="1" t="s">
        <v>1362</v>
      </c>
      <c r="B1010" s="1" t="s">
        <v>3392</v>
      </c>
      <c r="C1010" t="str">
        <f t="shared" si="45"/>
        <v>Ms.</v>
      </c>
      <c r="D1010" t="str">
        <f t="shared" si="46"/>
        <v>Amy</v>
      </c>
      <c r="E1010" t="str">
        <f t="shared" si="47"/>
        <v>Craft</v>
      </c>
    </row>
    <row r="1011" spans="1:5" ht="15.5" x14ac:dyDescent="0.35">
      <c r="A1011" s="1" t="s">
        <v>1361</v>
      </c>
      <c r="B1011" s="1" t="s">
        <v>3393</v>
      </c>
      <c r="C1011" t="str">
        <f t="shared" si="45"/>
        <v>Ms.</v>
      </c>
      <c r="D1011" t="str">
        <f t="shared" si="46"/>
        <v>Aberu</v>
      </c>
      <c r="E1011" t="str">
        <f t="shared" si="47"/>
        <v>Kebede</v>
      </c>
    </row>
    <row r="1012" spans="1:5" ht="15.5" x14ac:dyDescent="0.35">
      <c r="A1012" s="1" t="s">
        <v>1360</v>
      </c>
      <c r="B1012" s="1" t="s">
        <v>3394</v>
      </c>
      <c r="C1012" t="str">
        <f t="shared" si="45"/>
        <v>Ms.</v>
      </c>
      <c r="D1012" t="str">
        <f t="shared" si="46"/>
        <v>Ashley</v>
      </c>
      <c r="E1012" t="str">
        <f t="shared" si="47"/>
        <v>Strobel</v>
      </c>
    </row>
    <row r="1013" spans="1:5" ht="15.5" x14ac:dyDescent="0.35">
      <c r="A1013" s="1" t="s">
        <v>1359</v>
      </c>
      <c r="B1013" s="1" t="s">
        <v>3395</v>
      </c>
      <c r="C1013" t="str">
        <f t="shared" si="45"/>
        <v>Ms.</v>
      </c>
      <c r="D1013" t="str">
        <f t="shared" si="46"/>
        <v>Anna E</v>
      </c>
      <c r="E1013" t="str">
        <f t="shared" si="47"/>
        <v>Dalton</v>
      </c>
    </row>
    <row r="1014" spans="1:5" ht="15.5" x14ac:dyDescent="0.35">
      <c r="A1014" s="1" t="s">
        <v>1358</v>
      </c>
      <c r="B1014" s="1" t="s">
        <v>3396</v>
      </c>
      <c r="C1014" t="str">
        <f t="shared" si="45"/>
        <v>Ms.</v>
      </c>
      <c r="D1014" t="str">
        <f t="shared" si="46"/>
        <v>Tania K.</v>
      </c>
      <c r="E1014" t="str">
        <f t="shared" si="47"/>
        <v>Morimoto</v>
      </c>
    </row>
    <row r="1015" spans="1:5" ht="15.5" x14ac:dyDescent="0.35">
      <c r="A1015" s="1" t="s">
        <v>1357</v>
      </c>
      <c r="B1015" s="1" t="s">
        <v>3397</v>
      </c>
      <c r="C1015" t="str">
        <f t="shared" si="45"/>
        <v>Ms.</v>
      </c>
      <c r="D1015" t="str">
        <f t="shared" si="46"/>
        <v>Ashley E</v>
      </c>
      <c r="E1015" t="str">
        <f t="shared" si="47"/>
        <v>Manlove</v>
      </c>
    </row>
    <row r="1016" spans="1:5" ht="15.5" x14ac:dyDescent="0.35">
      <c r="A1016" s="1" t="s">
        <v>1356</v>
      </c>
      <c r="B1016" s="1" t="s">
        <v>3398</v>
      </c>
      <c r="C1016" t="str">
        <f t="shared" si="45"/>
        <v>Ms.</v>
      </c>
      <c r="D1016" t="str">
        <f t="shared" si="46"/>
        <v>Aleksandra</v>
      </c>
      <c r="E1016" t="str">
        <f t="shared" si="47"/>
        <v>Madzik</v>
      </c>
    </row>
    <row r="1017" spans="1:5" ht="15.5" x14ac:dyDescent="0.35">
      <c r="A1017" s="1" t="s">
        <v>1355</v>
      </c>
      <c r="B1017" s="1" t="s">
        <v>3399</v>
      </c>
      <c r="C1017" t="str">
        <f t="shared" si="45"/>
        <v>Ms.</v>
      </c>
      <c r="D1017" t="str">
        <f t="shared" si="46"/>
        <v>Valery L</v>
      </c>
      <c r="E1017" t="str">
        <f t="shared" si="47"/>
        <v>Hobson</v>
      </c>
    </row>
    <row r="1018" spans="1:5" ht="15.5" x14ac:dyDescent="0.35">
      <c r="A1018" s="1" t="s">
        <v>1354</v>
      </c>
      <c r="B1018" s="1" t="s">
        <v>3400</v>
      </c>
      <c r="C1018" t="str">
        <f t="shared" si="45"/>
        <v>Mrs.</v>
      </c>
      <c r="D1018" t="str">
        <f t="shared" si="46"/>
        <v>Joanna G.</v>
      </c>
      <c r="E1018" t="str">
        <f t="shared" si="47"/>
        <v>Reyes</v>
      </c>
    </row>
    <row r="1019" spans="1:5" ht="15.5" x14ac:dyDescent="0.35">
      <c r="A1019" s="1" t="s">
        <v>1353</v>
      </c>
      <c r="B1019" s="1" t="s">
        <v>3401</v>
      </c>
      <c r="C1019" t="str">
        <f t="shared" si="45"/>
        <v>Mrs.</v>
      </c>
      <c r="D1019" t="str">
        <f t="shared" si="46"/>
        <v>Stefanie F.</v>
      </c>
      <c r="E1019" t="str">
        <f t="shared" si="47"/>
        <v>Tierney</v>
      </c>
    </row>
    <row r="1020" spans="1:5" ht="15.5" x14ac:dyDescent="0.35">
      <c r="A1020" s="1" t="s">
        <v>1352</v>
      </c>
      <c r="B1020" s="1" t="s">
        <v>3402</v>
      </c>
      <c r="C1020" t="str">
        <f t="shared" si="45"/>
        <v>Mr.</v>
      </c>
      <c r="D1020" t="str">
        <f t="shared" si="46"/>
        <v>Stephen</v>
      </c>
      <c r="E1020" t="str">
        <f t="shared" si="47"/>
        <v>Gabris</v>
      </c>
    </row>
    <row r="1021" spans="1:5" ht="15.5" x14ac:dyDescent="0.35">
      <c r="A1021" s="1" t="s">
        <v>1351</v>
      </c>
      <c r="B1021" s="1" t="s">
        <v>3403</v>
      </c>
      <c r="C1021" t="str">
        <f t="shared" si="45"/>
        <v>Ms.</v>
      </c>
      <c r="D1021" t="str">
        <f t="shared" si="46"/>
        <v>Liza J.</v>
      </c>
      <c r="E1021" t="str">
        <f t="shared" si="47"/>
        <v>Howard</v>
      </c>
    </row>
    <row r="1022" spans="1:5" ht="15.5" x14ac:dyDescent="0.35">
      <c r="A1022" s="1" t="s">
        <v>1350</v>
      </c>
      <c r="B1022" s="1" t="s">
        <v>3404</v>
      </c>
      <c r="C1022" t="str">
        <f t="shared" si="45"/>
        <v>Mr.</v>
      </c>
      <c r="D1022" t="str">
        <f t="shared" si="46"/>
        <v>Ian M.</v>
      </c>
      <c r="E1022" t="str">
        <f t="shared" si="47"/>
        <v>Kallay</v>
      </c>
    </row>
    <row r="1023" spans="1:5" ht="15.5" x14ac:dyDescent="0.35">
      <c r="A1023" s="1" t="s">
        <v>1349</v>
      </c>
      <c r="B1023" s="1" t="s">
        <v>3405</v>
      </c>
      <c r="C1023" t="str">
        <f t="shared" si="45"/>
        <v>Ms.</v>
      </c>
      <c r="D1023" t="str">
        <f t="shared" si="46"/>
        <v>Claudia L.</v>
      </c>
      <c r="E1023" t="str">
        <f t="shared" si="47"/>
        <v>Leguizamo</v>
      </c>
    </row>
    <row r="1024" spans="1:5" ht="15.5" x14ac:dyDescent="0.35">
      <c r="A1024" s="1" t="s">
        <v>1348</v>
      </c>
      <c r="B1024" s="1" t="s">
        <v>3406</v>
      </c>
      <c r="C1024" t="str">
        <f t="shared" si="45"/>
        <v>Ms.</v>
      </c>
      <c r="D1024" t="str">
        <f t="shared" si="46"/>
        <v>Jessica M</v>
      </c>
      <c r="E1024" t="str">
        <f t="shared" si="47"/>
        <v>Escartin</v>
      </c>
    </row>
    <row r="1025" spans="1:5" ht="15.5" x14ac:dyDescent="0.35">
      <c r="A1025" s="1" t="s">
        <v>1347</v>
      </c>
      <c r="B1025" s="1" t="s">
        <v>3407</v>
      </c>
      <c r="C1025" t="str">
        <f t="shared" si="45"/>
        <v>Mr.</v>
      </c>
      <c r="D1025" t="str">
        <f t="shared" si="46"/>
        <v>Billy Jr.</v>
      </c>
      <c r="E1025" t="str">
        <f t="shared" si="47"/>
        <v>Chorey</v>
      </c>
    </row>
    <row r="1026" spans="1:5" ht="15.5" x14ac:dyDescent="0.35">
      <c r="A1026" s="1" t="s">
        <v>1346</v>
      </c>
      <c r="B1026" s="1" t="s">
        <v>3408</v>
      </c>
      <c r="C1026" t="str">
        <f t="shared" si="45"/>
        <v>Mr.</v>
      </c>
      <c r="D1026" t="str">
        <f t="shared" si="46"/>
        <v>David</v>
      </c>
      <c r="E1026" t="str">
        <f t="shared" si="47"/>
        <v>McVay</v>
      </c>
    </row>
    <row r="1027" spans="1:5" ht="15.5" x14ac:dyDescent="0.35">
      <c r="A1027" s="1" t="s">
        <v>1345</v>
      </c>
      <c r="B1027" s="1" t="s">
        <v>3409</v>
      </c>
      <c r="C1027" t="str">
        <f t="shared" ref="C1027:C1090" si="48">TRIM(MID(B1027,FIND(",",B1027)+1,FIND(".",B1027)-FIND(",",B1027)))</f>
        <v>Mr.</v>
      </c>
      <c r="D1027" t="str">
        <f t="shared" ref="D1027:D1090" si="49">TRIM(MID(B1027,FIND(".",B1027)+1,LEN(B1027)))</f>
        <v>Tim</v>
      </c>
      <c r="E1027" t="str">
        <f t="shared" ref="E1027:E1090" si="50">TRIM(LEFT(B1027,FIND(",",B1027)-1))</f>
        <v>Vinson</v>
      </c>
    </row>
    <row r="1028" spans="1:5" ht="15.5" x14ac:dyDescent="0.35">
      <c r="A1028" s="1" t="s">
        <v>1344</v>
      </c>
      <c r="B1028" s="1" t="s">
        <v>3410</v>
      </c>
      <c r="C1028" t="str">
        <f t="shared" si="48"/>
        <v>Ms.</v>
      </c>
      <c r="D1028" t="str">
        <f t="shared" si="49"/>
        <v>Emma M</v>
      </c>
      <c r="E1028" t="str">
        <f t="shared" si="50"/>
        <v>Astrike-Davis</v>
      </c>
    </row>
    <row r="1029" spans="1:5" ht="15.5" x14ac:dyDescent="0.35">
      <c r="A1029" s="1" t="s">
        <v>1343</v>
      </c>
      <c r="B1029" s="1" t="s">
        <v>3411</v>
      </c>
      <c r="C1029" t="str">
        <f t="shared" si="48"/>
        <v>Mr.</v>
      </c>
      <c r="D1029" t="str">
        <f t="shared" si="49"/>
        <v>Tim</v>
      </c>
      <c r="E1029" t="str">
        <f t="shared" si="50"/>
        <v>Harder</v>
      </c>
    </row>
    <row r="1030" spans="1:5" ht="15.5" x14ac:dyDescent="0.35">
      <c r="A1030" s="1" t="s">
        <v>1342</v>
      </c>
      <c r="B1030" s="1" t="s">
        <v>3412</v>
      </c>
      <c r="C1030" t="str">
        <f t="shared" si="48"/>
        <v>Mr.</v>
      </c>
      <c r="D1030" t="str">
        <f t="shared" si="49"/>
        <v>Patrick</v>
      </c>
      <c r="E1030" t="str">
        <f t="shared" si="50"/>
        <v>Bell</v>
      </c>
    </row>
    <row r="1031" spans="1:5" ht="15.5" x14ac:dyDescent="0.35">
      <c r="A1031" s="1" t="s">
        <v>1341</v>
      </c>
      <c r="B1031" s="1" t="s">
        <v>3413</v>
      </c>
      <c r="C1031" t="str">
        <f t="shared" si="48"/>
        <v>Ms.</v>
      </c>
      <c r="D1031" t="str">
        <f t="shared" si="49"/>
        <v>Bridget K.</v>
      </c>
      <c r="E1031" t="str">
        <f t="shared" si="50"/>
        <v>Dawes</v>
      </c>
    </row>
    <row r="1032" spans="1:5" ht="15.5" x14ac:dyDescent="0.35">
      <c r="A1032" s="1" t="s">
        <v>1340</v>
      </c>
      <c r="B1032" s="1" t="s">
        <v>3414</v>
      </c>
      <c r="C1032" t="str">
        <f t="shared" si="48"/>
        <v>Mr.</v>
      </c>
      <c r="D1032" t="str">
        <f t="shared" si="49"/>
        <v>Gabriel</v>
      </c>
      <c r="E1032" t="str">
        <f t="shared" si="50"/>
        <v>Larios</v>
      </c>
    </row>
    <row r="1033" spans="1:5" ht="15.5" x14ac:dyDescent="0.35">
      <c r="A1033" s="1" t="s">
        <v>1339</v>
      </c>
      <c r="B1033" s="1" t="s">
        <v>3415</v>
      </c>
      <c r="C1033" t="str">
        <f t="shared" si="48"/>
        <v>Ms.</v>
      </c>
      <c r="D1033" t="str">
        <f t="shared" si="49"/>
        <v>Natasha</v>
      </c>
      <c r="E1033" t="str">
        <f t="shared" si="50"/>
        <v>Yaremczuk</v>
      </c>
    </row>
    <row r="1034" spans="1:5" ht="15.5" x14ac:dyDescent="0.35">
      <c r="A1034" s="1" t="s">
        <v>1338</v>
      </c>
      <c r="B1034" s="1" t="s">
        <v>3416</v>
      </c>
      <c r="C1034" t="str">
        <f t="shared" si="48"/>
        <v>Ms.</v>
      </c>
      <c r="D1034" t="str">
        <f t="shared" si="49"/>
        <v>Abby A.</v>
      </c>
      <c r="E1034" t="str">
        <f t="shared" si="50"/>
        <v>Knight</v>
      </c>
    </row>
    <row r="1035" spans="1:5" ht="15.5" x14ac:dyDescent="0.35">
      <c r="A1035" s="1" t="s">
        <v>1337</v>
      </c>
      <c r="B1035" s="1" t="s">
        <v>3417</v>
      </c>
      <c r="C1035" t="str">
        <f t="shared" si="48"/>
        <v>Ms.</v>
      </c>
      <c r="D1035" t="str">
        <f t="shared" si="49"/>
        <v>Michelle</v>
      </c>
      <c r="E1035" t="str">
        <f t="shared" si="50"/>
        <v>Eversman</v>
      </c>
    </row>
    <row r="1036" spans="1:5" ht="15.5" x14ac:dyDescent="0.35">
      <c r="A1036" s="1" t="s">
        <v>1336</v>
      </c>
      <c r="B1036" s="1" t="s">
        <v>3418</v>
      </c>
      <c r="C1036" t="str">
        <f t="shared" si="48"/>
        <v>Ms.</v>
      </c>
      <c r="D1036" t="str">
        <f t="shared" si="49"/>
        <v>Mckendree</v>
      </c>
      <c r="E1036" t="str">
        <f t="shared" si="50"/>
        <v>Hickory</v>
      </c>
    </row>
    <row r="1037" spans="1:5" ht="15.5" x14ac:dyDescent="0.35">
      <c r="A1037" s="1" t="s">
        <v>1335</v>
      </c>
      <c r="B1037" s="1" t="s">
        <v>3419</v>
      </c>
      <c r="C1037" t="str">
        <f t="shared" si="48"/>
        <v>Ms.</v>
      </c>
      <c r="D1037" t="str">
        <f t="shared" si="49"/>
        <v>Tara</v>
      </c>
      <c r="E1037" t="str">
        <f t="shared" si="50"/>
        <v>Mooney</v>
      </c>
    </row>
    <row r="1038" spans="1:5" ht="15.5" x14ac:dyDescent="0.35">
      <c r="A1038" s="1" t="s">
        <v>1334</v>
      </c>
      <c r="B1038" s="1" t="s">
        <v>3420</v>
      </c>
      <c r="C1038" t="str">
        <f t="shared" si="48"/>
        <v>Mr.</v>
      </c>
      <c r="D1038" t="str">
        <f t="shared" si="49"/>
        <v>Daniel</v>
      </c>
      <c r="E1038" t="str">
        <f t="shared" si="50"/>
        <v>Craighead</v>
      </c>
    </row>
    <row r="1039" spans="1:5" ht="15.5" x14ac:dyDescent="0.35">
      <c r="A1039" s="1" t="s">
        <v>1333</v>
      </c>
      <c r="B1039" s="1" t="s">
        <v>3421</v>
      </c>
      <c r="C1039" t="str">
        <f t="shared" si="48"/>
        <v>Mr.</v>
      </c>
      <c r="D1039" t="str">
        <f t="shared" si="49"/>
        <v>Joshua P</v>
      </c>
      <c r="E1039" t="str">
        <f t="shared" si="50"/>
        <v>Gardner</v>
      </c>
    </row>
    <row r="1040" spans="1:5" ht="15.5" x14ac:dyDescent="0.35">
      <c r="A1040" s="1" t="s">
        <v>1332</v>
      </c>
      <c r="B1040" s="1" t="s">
        <v>3422</v>
      </c>
      <c r="C1040" t="str">
        <f t="shared" si="48"/>
        <v>Ms.</v>
      </c>
      <c r="D1040" t="str">
        <f t="shared" si="49"/>
        <v>Erin C</v>
      </c>
      <c r="E1040" t="str">
        <f t="shared" si="50"/>
        <v>Lohrenz</v>
      </c>
    </row>
    <row r="1041" spans="1:5" ht="15.5" x14ac:dyDescent="0.35">
      <c r="A1041" s="1" t="s">
        <v>1331</v>
      </c>
      <c r="B1041" s="1" t="s">
        <v>3423</v>
      </c>
      <c r="C1041" t="str">
        <f t="shared" si="48"/>
        <v>Ms.</v>
      </c>
      <c r="D1041" t="str">
        <f t="shared" si="49"/>
        <v>Shure</v>
      </c>
      <c r="E1041" t="str">
        <f t="shared" si="50"/>
        <v>Demise</v>
      </c>
    </row>
    <row r="1042" spans="1:5" ht="15.5" x14ac:dyDescent="0.35">
      <c r="A1042" s="1" t="s">
        <v>1330</v>
      </c>
      <c r="B1042" s="1" t="s">
        <v>3424</v>
      </c>
      <c r="C1042" t="str">
        <f t="shared" si="48"/>
        <v>Mr.</v>
      </c>
      <c r="D1042" t="str">
        <f t="shared" si="49"/>
        <v>Richard</v>
      </c>
      <c r="E1042" t="str">
        <f t="shared" si="50"/>
        <v>Nelson</v>
      </c>
    </row>
    <row r="1043" spans="1:5" ht="15.5" x14ac:dyDescent="0.35">
      <c r="A1043" s="1" t="s">
        <v>1329</v>
      </c>
      <c r="B1043" s="1" t="s">
        <v>3425</v>
      </c>
      <c r="C1043" t="str">
        <f t="shared" si="48"/>
        <v>Ms.</v>
      </c>
      <c r="D1043" t="str">
        <f t="shared" si="49"/>
        <v>Brenda</v>
      </c>
      <c r="E1043" t="str">
        <f t="shared" si="50"/>
        <v>Guitard</v>
      </c>
    </row>
    <row r="1044" spans="1:5" ht="15.5" x14ac:dyDescent="0.35">
      <c r="A1044" s="1" t="s">
        <v>1328</v>
      </c>
      <c r="B1044" s="1" t="s">
        <v>3426</v>
      </c>
      <c r="C1044" t="str">
        <f t="shared" si="48"/>
        <v>Mr.</v>
      </c>
      <c r="D1044" t="str">
        <f t="shared" si="49"/>
        <v>Joseph M</v>
      </c>
      <c r="E1044" t="str">
        <f t="shared" si="50"/>
        <v>Navas</v>
      </c>
    </row>
    <row r="1045" spans="1:5" ht="15.5" x14ac:dyDescent="0.35">
      <c r="A1045" s="1" t="s">
        <v>1327</v>
      </c>
      <c r="B1045" s="1" t="s">
        <v>3427</v>
      </c>
      <c r="C1045" t="str">
        <f t="shared" si="48"/>
        <v>Mr.</v>
      </c>
      <c r="D1045" t="str">
        <f t="shared" si="49"/>
        <v>Stephen J.</v>
      </c>
      <c r="E1045" t="str">
        <f t="shared" si="50"/>
        <v>Ptucha</v>
      </c>
    </row>
    <row r="1046" spans="1:5" ht="15.5" x14ac:dyDescent="0.35">
      <c r="A1046" s="1" t="s">
        <v>1326</v>
      </c>
      <c r="B1046" s="1" t="s">
        <v>3428</v>
      </c>
      <c r="C1046" t="str">
        <f t="shared" si="48"/>
        <v>Mrs.</v>
      </c>
      <c r="D1046" t="str">
        <f t="shared" si="49"/>
        <v>Kathya</v>
      </c>
      <c r="E1046" t="str">
        <f t="shared" si="50"/>
        <v>Kirouac</v>
      </c>
    </row>
    <row r="1047" spans="1:5" ht="15.5" x14ac:dyDescent="0.35">
      <c r="A1047" s="1" t="s">
        <v>1325</v>
      </c>
      <c r="B1047" s="1" t="s">
        <v>3429</v>
      </c>
      <c r="C1047" t="str">
        <f t="shared" si="48"/>
        <v>Mr.</v>
      </c>
      <c r="D1047" t="str">
        <f t="shared" si="49"/>
        <v>Wesley</v>
      </c>
      <c r="E1047" t="str">
        <f t="shared" si="50"/>
        <v>Toews</v>
      </c>
    </row>
    <row r="1048" spans="1:5" ht="15.5" x14ac:dyDescent="0.35">
      <c r="A1048" s="1" t="s">
        <v>1324</v>
      </c>
      <c r="B1048" s="1" t="s">
        <v>3430</v>
      </c>
      <c r="C1048" t="str">
        <f t="shared" si="48"/>
        <v>Mr.</v>
      </c>
      <c r="D1048" t="str">
        <f t="shared" si="49"/>
        <v>Tim</v>
      </c>
      <c r="E1048" t="str">
        <f t="shared" si="50"/>
        <v>Perry</v>
      </c>
    </row>
    <row r="1049" spans="1:5" ht="15.5" x14ac:dyDescent="0.35">
      <c r="A1049" s="1" t="s">
        <v>1323</v>
      </c>
      <c r="B1049" s="1" t="s">
        <v>3431</v>
      </c>
      <c r="C1049" t="str">
        <f t="shared" si="48"/>
        <v>Ms.</v>
      </c>
      <c r="D1049" t="str">
        <f t="shared" si="49"/>
        <v>Jamie L.</v>
      </c>
      <c r="E1049" t="str">
        <f t="shared" si="50"/>
        <v>Kretz</v>
      </c>
    </row>
    <row r="1050" spans="1:5" ht="15.5" x14ac:dyDescent="0.35">
      <c r="A1050" s="1" t="s">
        <v>1322</v>
      </c>
      <c r="B1050" s="1" t="s">
        <v>3432</v>
      </c>
      <c r="C1050" t="str">
        <f t="shared" si="48"/>
        <v>Ms.</v>
      </c>
      <c r="D1050" t="str">
        <f t="shared" si="49"/>
        <v>Alexandra</v>
      </c>
      <c r="E1050" t="str">
        <f t="shared" si="50"/>
        <v>Hempel</v>
      </c>
    </row>
    <row r="1051" spans="1:5" ht="15.5" x14ac:dyDescent="0.35">
      <c r="A1051" s="1" t="s">
        <v>1321</v>
      </c>
      <c r="B1051" s="1" t="s">
        <v>3433</v>
      </c>
      <c r="C1051" t="str">
        <f t="shared" si="48"/>
        <v>Ms.</v>
      </c>
      <c r="D1051" t="str">
        <f t="shared" si="49"/>
        <v>Tiffany</v>
      </c>
      <c r="E1051" t="str">
        <f t="shared" si="50"/>
        <v>McBroom</v>
      </c>
    </row>
    <row r="1052" spans="1:5" ht="15.5" x14ac:dyDescent="0.35">
      <c r="A1052" s="1" t="s">
        <v>1320</v>
      </c>
      <c r="B1052" s="1" t="s">
        <v>3434</v>
      </c>
      <c r="C1052" t="str">
        <f t="shared" si="48"/>
        <v>Mrs.</v>
      </c>
      <c r="D1052" t="str">
        <f t="shared" si="49"/>
        <v>Rebecca J</v>
      </c>
      <c r="E1052" t="str">
        <f t="shared" si="50"/>
        <v>Yoo</v>
      </c>
    </row>
    <row r="1053" spans="1:5" ht="15.5" x14ac:dyDescent="0.35">
      <c r="A1053" s="1" t="s">
        <v>1319</v>
      </c>
      <c r="B1053" s="1" t="s">
        <v>3435</v>
      </c>
      <c r="C1053" t="str">
        <f t="shared" si="48"/>
        <v>Mr.</v>
      </c>
      <c r="D1053" t="str">
        <f t="shared" si="49"/>
        <v>Austin T.</v>
      </c>
      <c r="E1053" t="str">
        <f t="shared" si="50"/>
        <v>Rand</v>
      </c>
    </row>
    <row r="1054" spans="1:5" ht="15.5" x14ac:dyDescent="0.35">
      <c r="A1054" s="1" t="s">
        <v>1318</v>
      </c>
      <c r="B1054" s="1" t="s">
        <v>3436</v>
      </c>
      <c r="C1054" t="str">
        <f t="shared" si="48"/>
        <v>Ms.</v>
      </c>
      <c r="D1054" t="str">
        <f t="shared" si="49"/>
        <v>Jamie T</v>
      </c>
      <c r="E1054" t="str">
        <f t="shared" si="50"/>
        <v>Wolfe</v>
      </c>
    </row>
    <row r="1055" spans="1:5" ht="15.5" x14ac:dyDescent="0.35">
      <c r="A1055" s="1" t="s">
        <v>1317</v>
      </c>
      <c r="B1055" s="1" t="s">
        <v>3437</v>
      </c>
      <c r="C1055" t="str">
        <f t="shared" si="48"/>
        <v>Mr.</v>
      </c>
      <c r="D1055" t="str">
        <f t="shared" si="49"/>
        <v>Matthew T.</v>
      </c>
      <c r="E1055" t="str">
        <f t="shared" si="50"/>
        <v>Vance</v>
      </c>
    </row>
    <row r="1056" spans="1:5" ht="15.5" x14ac:dyDescent="0.35">
      <c r="A1056" s="1" t="s">
        <v>1316</v>
      </c>
      <c r="B1056" s="1" t="s">
        <v>3438</v>
      </c>
      <c r="C1056" t="str">
        <f t="shared" si="48"/>
        <v>Mrs.</v>
      </c>
      <c r="D1056" t="str">
        <f t="shared" si="49"/>
        <v>Emily</v>
      </c>
      <c r="E1056" t="str">
        <f t="shared" si="50"/>
        <v>Burnett</v>
      </c>
    </row>
    <row r="1057" spans="1:5" ht="15.5" x14ac:dyDescent="0.35">
      <c r="A1057" s="1" t="s">
        <v>1315</v>
      </c>
      <c r="B1057" s="1" t="s">
        <v>3439</v>
      </c>
      <c r="C1057" t="str">
        <f t="shared" si="48"/>
        <v>Ms.</v>
      </c>
      <c r="D1057" t="str">
        <f t="shared" si="49"/>
        <v>Gillian</v>
      </c>
      <c r="E1057" t="str">
        <f t="shared" si="50"/>
        <v>Clason</v>
      </c>
    </row>
    <row r="1058" spans="1:5" ht="15.5" x14ac:dyDescent="0.35">
      <c r="A1058" s="1" t="s">
        <v>1314</v>
      </c>
      <c r="B1058" s="1" t="s">
        <v>3440</v>
      </c>
      <c r="C1058" t="str">
        <f t="shared" si="48"/>
        <v>Mrs.</v>
      </c>
      <c r="D1058" t="str">
        <f t="shared" si="49"/>
        <v>Brenn E.</v>
      </c>
      <c r="E1058" t="str">
        <f t="shared" si="50"/>
        <v>Donnelly</v>
      </c>
    </row>
    <row r="1059" spans="1:5" ht="15.5" x14ac:dyDescent="0.35">
      <c r="A1059" s="1" t="s">
        <v>1313</v>
      </c>
      <c r="B1059" s="1" t="s">
        <v>3441</v>
      </c>
      <c r="C1059" t="str">
        <f t="shared" si="48"/>
        <v>Ms.</v>
      </c>
      <c r="D1059" t="str">
        <f t="shared" si="49"/>
        <v>Lisa M</v>
      </c>
      <c r="E1059" t="str">
        <f t="shared" si="50"/>
        <v>Pietz</v>
      </c>
    </row>
    <row r="1060" spans="1:5" ht="15.5" x14ac:dyDescent="0.35">
      <c r="A1060" s="1" t="s">
        <v>1312</v>
      </c>
      <c r="B1060" s="1" t="s">
        <v>3442</v>
      </c>
      <c r="C1060" t="str">
        <f t="shared" si="48"/>
        <v>Mr.</v>
      </c>
      <c r="D1060" t="str">
        <f t="shared" si="49"/>
        <v>Matt</v>
      </c>
      <c r="E1060" t="str">
        <f t="shared" si="50"/>
        <v>Tegenkamp</v>
      </c>
    </row>
    <row r="1061" spans="1:5" ht="15.5" x14ac:dyDescent="0.35">
      <c r="A1061" s="1" t="s">
        <v>1311</v>
      </c>
      <c r="B1061" s="1" t="s">
        <v>3443</v>
      </c>
      <c r="C1061" t="str">
        <f t="shared" si="48"/>
        <v>Mr.</v>
      </c>
      <c r="D1061" t="str">
        <f t="shared" si="49"/>
        <v>Thomas A.</v>
      </c>
      <c r="E1061" t="str">
        <f t="shared" si="50"/>
        <v>Dover</v>
      </c>
    </row>
    <row r="1062" spans="1:5" ht="15.5" x14ac:dyDescent="0.35">
      <c r="A1062" s="1" t="s">
        <v>1310</v>
      </c>
      <c r="B1062" s="1" t="s">
        <v>3444</v>
      </c>
      <c r="C1062" t="str">
        <f t="shared" si="48"/>
        <v>Mr.</v>
      </c>
      <c r="D1062" t="str">
        <f t="shared" si="49"/>
        <v>Kevin J</v>
      </c>
      <c r="E1062" t="str">
        <f t="shared" si="50"/>
        <v>Dockemeyer</v>
      </c>
    </row>
    <row r="1063" spans="1:5" ht="15.5" x14ac:dyDescent="0.35">
      <c r="A1063" s="1" t="s">
        <v>1309</v>
      </c>
      <c r="B1063" s="1" t="s">
        <v>3445</v>
      </c>
      <c r="C1063" t="str">
        <f t="shared" si="48"/>
        <v>Mr.</v>
      </c>
      <c r="D1063" t="str">
        <f t="shared" si="49"/>
        <v>William H. III</v>
      </c>
      <c r="E1063" t="str">
        <f t="shared" si="50"/>
        <v>Steele</v>
      </c>
    </row>
    <row r="1064" spans="1:5" ht="15.5" x14ac:dyDescent="0.35">
      <c r="A1064" s="1" t="s">
        <v>1308</v>
      </c>
      <c r="B1064" s="1" t="s">
        <v>3446</v>
      </c>
      <c r="C1064" t="str">
        <f t="shared" si="48"/>
        <v>Mr.</v>
      </c>
      <c r="D1064" t="str">
        <f t="shared" si="49"/>
        <v>Gal</v>
      </c>
      <c r="E1064" t="str">
        <f t="shared" si="50"/>
        <v>Harel</v>
      </c>
    </row>
    <row r="1065" spans="1:5" ht="15.5" x14ac:dyDescent="0.35">
      <c r="A1065" s="1" t="s">
        <v>1307</v>
      </c>
      <c r="B1065" s="1" t="s">
        <v>3447</v>
      </c>
      <c r="C1065" t="str">
        <f t="shared" si="48"/>
        <v>Mr.</v>
      </c>
      <c r="D1065" t="str">
        <f t="shared" si="49"/>
        <v>Anton</v>
      </c>
      <c r="E1065" t="str">
        <f t="shared" si="50"/>
        <v>Aguila</v>
      </c>
    </row>
    <row r="1066" spans="1:5" ht="15.5" x14ac:dyDescent="0.35">
      <c r="A1066" s="1" t="s">
        <v>1306</v>
      </c>
      <c r="B1066" s="1" t="s">
        <v>3448</v>
      </c>
      <c r="C1066" t="str">
        <f t="shared" si="48"/>
        <v>Ms.</v>
      </c>
      <c r="D1066" t="str">
        <f t="shared" si="49"/>
        <v>Yazmin</v>
      </c>
      <c r="E1066" t="str">
        <f t="shared" si="50"/>
        <v>Vallejo Sarmiento</v>
      </c>
    </row>
    <row r="1067" spans="1:5" ht="15.5" x14ac:dyDescent="0.35">
      <c r="A1067" s="1" t="s">
        <v>1305</v>
      </c>
      <c r="B1067" s="1" t="s">
        <v>3449</v>
      </c>
      <c r="C1067" t="str">
        <f t="shared" si="48"/>
        <v>Mr.</v>
      </c>
      <c r="D1067" t="str">
        <f t="shared" si="49"/>
        <v>Florian</v>
      </c>
      <c r="E1067" t="str">
        <f t="shared" si="50"/>
        <v>Beisheim</v>
      </c>
    </row>
    <row r="1068" spans="1:5" ht="15.5" x14ac:dyDescent="0.35">
      <c r="A1068" s="1" t="s">
        <v>1304</v>
      </c>
      <c r="B1068" s="1" t="s">
        <v>3450</v>
      </c>
      <c r="C1068" t="str">
        <f t="shared" si="48"/>
        <v>Ms.</v>
      </c>
      <c r="D1068" t="str">
        <f t="shared" si="49"/>
        <v>Karen L</v>
      </c>
      <c r="E1068" t="str">
        <f t="shared" si="50"/>
        <v>Lenhoff</v>
      </c>
    </row>
    <row r="1069" spans="1:5" ht="15.5" x14ac:dyDescent="0.35">
      <c r="A1069" s="1" t="s">
        <v>1303</v>
      </c>
      <c r="B1069" s="1" t="s">
        <v>3451</v>
      </c>
      <c r="C1069" t="str">
        <f t="shared" si="48"/>
        <v>Mr.</v>
      </c>
      <c r="D1069" t="str">
        <f t="shared" si="49"/>
        <v>Scott</v>
      </c>
      <c r="E1069" t="str">
        <f t="shared" si="50"/>
        <v>Wehrwein</v>
      </c>
    </row>
    <row r="1070" spans="1:5" ht="15.5" x14ac:dyDescent="0.35">
      <c r="A1070" s="1" t="s">
        <v>1302</v>
      </c>
      <c r="B1070" s="1" t="s">
        <v>3452</v>
      </c>
      <c r="C1070" t="str">
        <f t="shared" si="48"/>
        <v>Ms.</v>
      </c>
      <c r="D1070" t="str">
        <f t="shared" si="49"/>
        <v>Claire</v>
      </c>
      <c r="E1070" t="str">
        <f t="shared" si="50"/>
        <v>Wallace</v>
      </c>
    </row>
    <row r="1071" spans="1:5" ht="15.5" x14ac:dyDescent="0.35">
      <c r="A1071" s="1" t="s">
        <v>1301</v>
      </c>
      <c r="B1071" s="1" t="s">
        <v>3453</v>
      </c>
      <c r="C1071" t="str">
        <f t="shared" si="48"/>
        <v>Ms.</v>
      </c>
      <c r="D1071" t="str">
        <f t="shared" si="49"/>
        <v>Lynn M.</v>
      </c>
      <c r="E1071" t="str">
        <f t="shared" si="50"/>
        <v>Markowitz</v>
      </c>
    </row>
    <row r="1072" spans="1:5" ht="15.5" x14ac:dyDescent="0.35">
      <c r="A1072" s="1" t="s">
        <v>1300</v>
      </c>
      <c r="B1072" s="1" t="s">
        <v>3454</v>
      </c>
      <c r="C1072" t="str">
        <f t="shared" si="48"/>
        <v>Ms.</v>
      </c>
      <c r="D1072" t="str">
        <f t="shared" si="49"/>
        <v>Sharon</v>
      </c>
      <c r="E1072" t="str">
        <f t="shared" si="50"/>
        <v>Vos</v>
      </c>
    </row>
    <row r="1073" spans="1:5" ht="15.5" x14ac:dyDescent="0.35">
      <c r="A1073" s="1" t="s">
        <v>1299</v>
      </c>
      <c r="B1073" s="1" t="s">
        <v>3455</v>
      </c>
      <c r="C1073" t="str">
        <f t="shared" si="48"/>
        <v>Mrs.</v>
      </c>
      <c r="D1073" t="str">
        <f t="shared" si="49"/>
        <v>Candice</v>
      </c>
      <c r="E1073" t="str">
        <f t="shared" si="50"/>
        <v>McLeod</v>
      </c>
    </row>
    <row r="1074" spans="1:5" ht="15.5" x14ac:dyDescent="0.35">
      <c r="A1074" s="1" t="s">
        <v>1298</v>
      </c>
      <c r="B1074" s="1" t="s">
        <v>3456</v>
      </c>
      <c r="C1074" t="str">
        <f t="shared" si="48"/>
        <v>Ms.</v>
      </c>
      <c r="D1074" t="str">
        <f t="shared" si="49"/>
        <v>Jennifer D</v>
      </c>
      <c r="E1074" t="str">
        <f t="shared" si="50"/>
        <v>Balcom</v>
      </c>
    </row>
    <row r="1075" spans="1:5" ht="15.5" x14ac:dyDescent="0.35">
      <c r="A1075" s="1" t="s">
        <v>1297</v>
      </c>
      <c r="B1075" s="1" t="s">
        <v>3457</v>
      </c>
      <c r="C1075" t="str">
        <f t="shared" si="48"/>
        <v>Mr.</v>
      </c>
      <c r="D1075" t="str">
        <f t="shared" si="49"/>
        <v>Eric</v>
      </c>
      <c r="E1075" t="str">
        <f t="shared" si="50"/>
        <v>Dirth</v>
      </c>
    </row>
    <row r="1076" spans="1:5" ht="15.5" x14ac:dyDescent="0.35">
      <c r="A1076" s="1" t="s">
        <v>1296</v>
      </c>
      <c r="B1076" s="1" t="s">
        <v>3458</v>
      </c>
      <c r="C1076" t="str">
        <f t="shared" si="48"/>
        <v>Mr.</v>
      </c>
      <c r="D1076" t="str">
        <f t="shared" si="49"/>
        <v>Bryan</v>
      </c>
      <c r="E1076" t="str">
        <f t="shared" si="50"/>
        <v>Inglish</v>
      </c>
    </row>
    <row r="1077" spans="1:5" ht="15.5" x14ac:dyDescent="0.35">
      <c r="A1077" s="1" t="s">
        <v>1295</v>
      </c>
      <c r="B1077" s="1" t="s">
        <v>3459</v>
      </c>
      <c r="C1077" t="str">
        <f t="shared" si="48"/>
        <v>Mr.</v>
      </c>
      <c r="D1077" t="str">
        <f t="shared" si="49"/>
        <v>Devon R.</v>
      </c>
      <c r="E1077" t="str">
        <f t="shared" si="50"/>
        <v>Matthews</v>
      </c>
    </row>
    <row r="1078" spans="1:5" ht="15.5" x14ac:dyDescent="0.35">
      <c r="A1078" s="1" t="s">
        <v>1294</v>
      </c>
      <c r="B1078" s="1" t="s">
        <v>3460</v>
      </c>
      <c r="C1078" t="str">
        <f t="shared" si="48"/>
        <v>Ms.</v>
      </c>
      <c r="D1078" t="str">
        <f t="shared" si="49"/>
        <v>Elena</v>
      </c>
      <c r="E1078" t="str">
        <f t="shared" si="50"/>
        <v>Massa-Musiak</v>
      </c>
    </row>
    <row r="1079" spans="1:5" ht="15.5" x14ac:dyDescent="0.35">
      <c r="A1079" s="1" t="s">
        <v>1293</v>
      </c>
      <c r="B1079" s="1" t="s">
        <v>3461</v>
      </c>
      <c r="C1079" t="str">
        <f t="shared" si="48"/>
        <v>Mr.</v>
      </c>
      <c r="D1079" t="str">
        <f t="shared" si="49"/>
        <v>Chris</v>
      </c>
      <c r="E1079" t="str">
        <f t="shared" si="50"/>
        <v>Bailey</v>
      </c>
    </row>
    <row r="1080" spans="1:5" ht="15.5" x14ac:dyDescent="0.35">
      <c r="A1080" s="1" t="s">
        <v>1292</v>
      </c>
      <c r="B1080" s="1" t="s">
        <v>3462</v>
      </c>
      <c r="C1080" t="str">
        <f t="shared" si="48"/>
        <v>Mr.</v>
      </c>
      <c r="D1080" t="str">
        <f t="shared" si="49"/>
        <v>Bert</v>
      </c>
      <c r="E1080" t="str">
        <f t="shared" si="50"/>
        <v>Jacoby</v>
      </c>
    </row>
    <row r="1081" spans="1:5" ht="15.5" x14ac:dyDescent="0.35">
      <c r="A1081" s="1" t="s">
        <v>1291</v>
      </c>
      <c r="B1081" s="1" t="s">
        <v>3463</v>
      </c>
      <c r="C1081" t="str">
        <f t="shared" si="48"/>
        <v>Mr.</v>
      </c>
      <c r="D1081" t="str">
        <f t="shared" si="49"/>
        <v>John P.</v>
      </c>
      <c r="E1081" t="str">
        <f t="shared" si="50"/>
        <v>Crimmings</v>
      </c>
    </row>
    <row r="1082" spans="1:5" ht="15.5" x14ac:dyDescent="0.35">
      <c r="A1082" s="1" t="s">
        <v>1290</v>
      </c>
      <c r="B1082" s="1" t="s">
        <v>3464</v>
      </c>
      <c r="C1082" t="str">
        <f t="shared" si="48"/>
        <v>Mr.</v>
      </c>
      <c r="D1082" t="str">
        <f t="shared" si="49"/>
        <v>Daniel P</v>
      </c>
      <c r="E1082" t="str">
        <f t="shared" si="50"/>
        <v>Crane</v>
      </c>
    </row>
    <row r="1083" spans="1:5" ht="15.5" x14ac:dyDescent="0.35">
      <c r="A1083" s="1" t="s">
        <v>1289</v>
      </c>
      <c r="B1083" s="1" t="s">
        <v>3465</v>
      </c>
      <c r="C1083" t="str">
        <f t="shared" si="48"/>
        <v>Mrs.</v>
      </c>
      <c r="D1083" t="str">
        <f t="shared" si="49"/>
        <v>Lisa K.</v>
      </c>
      <c r="E1083" t="str">
        <f t="shared" si="50"/>
        <v>Swartzfager</v>
      </c>
    </row>
    <row r="1084" spans="1:5" ht="15.5" x14ac:dyDescent="0.35">
      <c r="A1084" s="1" t="s">
        <v>1288</v>
      </c>
      <c r="B1084" s="1" t="s">
        <v>3466</v>
      </c>
      <c r="C1084" t="str">
        <f t="shared" si="48"/>
        <v>Mrs.</v>
      </c>
      <c r="D1084" t="str">
        <f t="shared" si="49"/>
        <v>Kristine</v>
      </c>
      <c r="E1084" t="str">
        <f t="shared" si="50"/>
        <v>Clevenger</v>
      </c>
    </row>
    <row r="1085" spans="1:5" ht="15.5" x14ac:dyDescent="0.35">
      <c r="A1085" s="1" t="s">
        <v>1287</v>
      </c>
      <c r="B1085" s="1" t="s">
        <v>3467</v>
      </c>
      <c r="C1085" t="str">
        <f t="shared" si="48"/>
        <v>Mr.</v>
      </c>
      <c r="D1085" t="str">
        <f t="shared" si="49"/>
        <v>Paul A</v>
      </c>
      <c r="E1085" t="str">
        <f t="shared" si="50"/>
        <v>Reichardt</v>
      </c>
    </row>
    <row r="1086" spans="1:5" ht="15.5" x14ac:dyDescent="0.35">
      <c r="A1086" s="1" t="s">
        <v>1286</v>
      </c>
      <c r="B1086" s="1" t="s">
        <v>3468</v>
      </c>
      <c r="C1086" t="str">
        <f t="shared" si="48"/>
        <v>Mr.</v>
      </c>
      <c r="D1086" t="str">
        <f t="shared" si="49"/>
        <v>Bryan</v>
      </c>
      <c r="E1086" t="str">
        <f t="shared" si="50"/>
        <v>Morton</v>
      </c>
    </row>
    <row r="1087" spans="1:5" ht="15.5" x14ac:dyDescent="0.35">
      <c r="A1087" s="1" t="s">
        <v>1285</v>
      </c>
      <c r="B1087" s="1" t="s">
        <v>3469</v>
      </c>
      <c r="C1087" t="str">
        <f t="shared" si="48"/>
        <v>Mr.</v>
      </c>
      <c r="D1087" t="str">
        <f t="shared" si="49"/>
        <v>Chris</v>
      </c>
      <c r="E1087" t="str">
        <f t="shared" si="50"/>
        <v>Sunstrum</v>
      </c>
    </row>
    <row r="1088" spans="1:5" ht="15.5" x14ac:dyDescent="0.35">
      <c r="A1088" s="1" t="s">
        <v>1284</v>
      </c>
      <c r="B1088" s="1" t="s">
        <v>3470</v>
      </c>
      <c r="C1088" t="str">
        <f t="shared" si="48"/>
        <v>Ms.</v>
      </c>
      <c r="D1088" t="str">
        <f t="shared" si="49"/>
        <v>Milah B</v>
      </c>
      <c r="E1088" t="str">
        <f t="shared" si="50"/>
        <v>Frownfelter</v>
      </c>
    </row>
    <row r="1089" spans="1:5" ht="15.5" x14ac:dyDescent="0.35">
      <c r="A1089" s="1" t="s">
        <v>1283</v>
      </c>
      <c r="B1089" s="1" t="s">
        <v>3471</v>
      </c>
      <c r="C1089" t="str">
        <f t="shared" si="48"/>
        <v>Ms.</v>
      </c>
      <c r="D1089" t="str">
        <f t="shared" si="49"/>
        <v>Annette M.</v>
      </c>
      <c r="E1089" t="str">
        <f t="shared" si="50"/>
        <v>Richter</v>
      </c>
    </row>
    <row r="1090" spans="1:5" ht="15.5" x14ac:dyDescent="0.35">
      <c r="A1090" s="1" t="s">
        <v>1282</v>
      </c>
      <c r="B1090" s="1" t="s">
        <v>3472</v>
      </c>
      <c r="C1090" t="str">
        <f t="shared" si="48"/>
        <v>Mrs.</v>
      </c>
      <c r="D1090" t="str">
        <f t="shared" si="49"/>
        <v>Yoko</v>
      </c>
      <c r="E1090" t="str">
        <f t="shared" si="50"/>
        <v>England</v>
      </c>
    </row>
    <row r="1091" spans="1:5" ht="15.5" x14ac:dyDescent="0.35">
      <c r="A1091" s="1" t="s">
        <v>1281</v>
      </c>
      <c r="B1091" s="1" t="s">
        <v>3473</v>
      </c>
      <c r="C1091" t="str">
        <f t="shared" ref="C1091:C1154" si="51">TRIM(MID(B1091,FIND(",",B1091)+1,FIND(".",B1091)-FIND(",",B1091)))</f>
        <v>Ms.</v>
      </c>
      <c r="D1091" t="str">
        <f t="shared" ref="D1091:D1154" si="52">TRIM(MID(B1091,FIND(".",B1091)+1,LEN(B1091)))</f>
        <v>Laura</v>
      </c>
      <c r="E1091" t="str">
        <f t="shared" ref="E1091:E1154" si="53">TRIM(LEFT(B1091,FIND(",",B1091)-1))</f>
        <v>McLean</v>
      </c>
    </row>
    <row r="1092" spans="1:5" ht="15.5" x14ac:dyDescent="0.35">
      <c r="A1092" s="1" t="s">
        <v>1280</v>
      </c>
      <c r="B1092" s="1" t="s">
        <v>3474</v>
      </c>
      <c r="C1092" t="str">
        <f t="shared" si="51"/>
        <v>Ms.</v>
      </c>
      <c r="D1092" t="str">
        <f t="shared" si="52"/>
        <v>Tess A.</v>
      </c>
      <c r="E1092" t="str">
        <f t="shared" si="53"/>
        <v>Gardner</v>
      </c>
    </row>
    <row r="1093" spans="1:5" ht="15.5" x14ac:dyDescent="0.35">
      <c r="A1093" s="1" t="s">
        <v>1279</v>
      </c>
      <c r="B1093" s="1" t="s">
        <v>3475</v>
      </c>
      <c r="C1093" t="str">
        <f t="shared" si="51"/>
        <v>Mr.</v>
      </c>
      <c r="D1093" t="str">
        <f t="shared" si="52"/>
        <v>William G.</v>
      </c>
      <c r="E1093" t="str">
        <f t="shared" si="53"/>
        <v>Lane</v>
      </c>
    </row>
    <row r="1094" spans="1:5" ht="15.5" x14ac:dyDescent="0.35">
      <c r="A1094" s="1" t="s">
        <v>1278</v>
      </c>
      <c r="B1094" s="1" t="s">
        <v>3476</v>
      </c>
      <c r="C1094" t="str">
        <f t="shared" si="51"/>
        <v>Ms.</v>
      </c>
      <c r="D1094" t="str">
        <f t="shared" si="52"/>
        <v>Paige</v>
      </c>
      <c r="E1094" t="str">
        <f t="shared" si="53"/>
        <v>Vonachen</v>
      </c>
    </row>
    <row r="1095" spans="1:5" ht="15.5" x14ac:dyDescent="0.35">
      <c r="A1095" s="1" t="s">
        <v>1277</v>
      </c>
      <c r="B1095" s="1" t="s">
        <v>3477</v>
      </c>
      <c r="C1095" t="str">
        <f t="shared" si="51"/>
        <v>Mr.</v>
      </c>
      <c r="D1095" t="str">
        <f t="shared" si="52"/>
        <v>Matthew J</v>
      </c>
      <c r="E1095" t="str">
        <f t="shared" si="53"/>
        <v>Smith</v>
      </c>
    </row>
    <row r="1096" spans="1:5" ht="15.5" x14ac:dyDescent="0.35">
      <c r="A1096" s="1" t="s">
        <v>1276</v>
      </c>
      <c r="B1096" s="1" t="s">
        <v>3478</v>
      </c>
      <c r="C1096" t="str">
        <f t="shared" si="51"/>
        <v>Mr.</v>
      </c>
      <c r="D1096" t="str">
        <f t="shared" si="52"/>
        <v>Matthew</v>
      </c>
      <c r="E1096" t="str">
        <f t="shared" si="53"/>
        <v>Kidwell</v>
      </c>
    </row>
    <row r="1097" spans="1:5" ht="15.5" x14ac:dyDescent="0.35">
      <c r="A1097" s="1" t="s">
        <v>1275</v>
      </c>
      <c r="B1097" s="1" t="s">
        <v>3479</v>
      </c>
      <c r="C1097" t="str">
        <f t="shared" si="51"/>
        <v>Mrs.</v>
      </c>
      <c r="D1097" t="str">
        <f t="shared" si="52"/>
        <v>Maria</v>
      </c>
      <c r="E1097" t="str">
        <f t="shared" si="53"/>
        <v>Betancourth</v>
      </c>
    </row>
    <row r="1098" spans="1:5" ht="15.5" x14ac:dyDescent="0.35">
      <c r="A1098" s="1" t="s">
        <v>1274</v>
      </c>
      <c r="B1098" s="1" t="s">
        <v>3480</v>
      </c>
      <c r="C1098" t="str">
        <f t="shared" si="51"/>
        <v>Ms.</v>
      </c>
      <c r="D1098" t="str">
        <f t="shared" si="52"/>
        <v>Stephanie D</v>
      </c>
      <c r="E1098" t="str">
        <f t="shared" si="53"/>
        <v>Henstrom</v>
      </c>
    </row>
    <row r="1099" spans="1:5" ht="15.5" x14ac:dyDescent="0.35">
      <c r="A1099" s="1" t="s">
        <v>1273</v>
      </c>
      <c r="B1099" s="1" t="s">
        <v>3481</v>
      </c>
      <c r="C1099" t="str">
        <f t="shared" si="51"/>
        <v>Ms.</v>
      </c>
      <c r="D1099" t="str">
        <f t="shared" si="52"/>
        <v>Tiffany</v>
      </c>
      <c r="E1099" t="str">
        <f t="shared" si="53"/>
        <v>Pereira</v>
      </c>
    </row>
    <row r="1100" spans="1:5" ht="15.5" x14ac:dyDescent="0.35">
      <c r="A1100" s="1" t="s">
        <v>1272</v>
      </c>
      <c r="B1100" s="1" t="s">
        <v>3482</v>
      </c>
      <c r="C1100" t="str">
        <f t="shared" si="51"/>
        <v>Ms.</v>
      </c>
      <c r="D1100" t="str">
        <f t="shared" si="52"/>
        <v>Sara M.</v>
      </c>
      <c r="E1100" t="str">
        <f t="shared" si="53"/>
        <v>Black</v>
      </c>
    </row>
    <row r="1101" spans="1:5" ht="15.5" x14ac:dyDescent="0.35">
      <c r="A1101" s="1" t="s">
        <v>1271</v>
      </c>
      <c r="B1101" s="1" t="s">
        <v>3483</v>
      </c>
      <c r="C1101" t="str">
        <f t="shared" si="51"/>
        <v>Mr.</v>
      </c>
      <c r="D1101" t="str">
        <f t="shared" si="52"/>
        <v>Scott A.</v>
      </c>
      <c r="E1101" t="str">
        <f t="shared" si="53"/>
        <v>Brown</v>
      </c>
    </row>
    <row r="1102" spans="1:5" ht="15.5" x14ac:dyDescent="0.35">
      <c r="A1102" s="1" t="s">
        <v>1270</v>
      </c>
      <c r="B1102" s="1" t="s">
        <v>3484</v>
      </c>
      <c r="C1102" t="str">
        <f t="shared" si="51"/>
        <v>Mrs.</v>
      </c>
      <c r="D1102" t="str">
        <f t="shared" si="52"/>
        <v>Lauren</v>
      </c>
      <c r="E1102" t="str">
        <f t="shared" si="53"/>
        <v>Reasoner</v>
      </c>
    </row>
    <row r="1103" spans="1:5" ht="15.5" x14ac:dyDescent="0.35">
      <c r="A1103" s="1" t="s">
        <v>1269</v>
      </c>
      <c r="B1103" s="1" t="s">
        <v>3485</v>
      </c>
      <c r="C1103" t="str">
        <f t="shared" si="51"/>
        <v>Mr.</v>
      </c>
      <c r="D1103" t="str">
        <f t="shared" si="52"/>
        <v>Scott</v>
      </c>
      <c r="E1103" t="str">
        <f t="shared" si="53"/>
        <v>Wandzilak</v>
      </c>
    </row>
    <row r="1104" spans="1:5" ht="15.5" x14ac:dyDescent="0.35">
      <c r="A1104" s="1" t="s">
        <v>1268</v>
      </c>
      <c r="B1104" s="1" t="s">
        <v>3486</v>
      </c>
      <c r="C1104" t="str">
        <f t="shared" si="51"/>
        <v>Mr.</v>
      </c>
      <c r="D1104" t="str">
        <f t="shared" si="52"/>
        <v>Brian A.</v>
      </c>
      <c r="E1104" t="str">
        <f t="shared" si="53"/>
        <v>Carver</v>
      </c>
    </row>
    <row r="1105" spans="1:5" ht="15.5" x14ac:dyDescent="0.35">
      <c r="A1105" s="1" t="s">
        <v>1267</v>
      </c>
      <c r="B1105" s="1" t="s">
        <v>3487</v>
      </c>
      <c r="C1105" t="str">
        <f t="shared" si="51"/>
        <v>Ms.</v>
      </c>
      <c r="D1105" t="str">
        <f t="shared" si="52"/>
        <v>Kaitlin R.</v>
      </c>
      <c r="E1105" t="str">
        <f t="shared" si="53"/>
        <v>Borror</v>
      </c>
    </row>
    <row r="1106" spans="1:5" ht="15.5" x14ac:dyDescent="0.35">
      <c r="A1106" s="1" t="s">
        <v>1266</v>
      </c>
      <c r="B1106" s="1" t="s">
        <v>3488</v>
      </c>
      <c r="C1106" t="str">
        <f t="shared" si="51"/>
        <v>Mr.</v>
      </c>
      <c r="D1106" t="str">
        <f t="shared" si="52"/>
        <v>Mohammad</v>
      </c>
      <c r="E1106" t="str">
        <f t="shared" si="53"/>
        <v>Saad</v>
      </c>
    </row>
    <row r="1107" spans="1:5" ht="15.5" x14ac:dyDescent="0.35">
      <c r="A1107" s="1" t="s">
        <v>1265</v>
      </c>
      <c r="B1107" s="1" t="s">
        <v>3489</v>
      </c>
      <c r="C1107" t="str">
        <f t="shared" si="51"/>
        <v>Mr.</v>
      </c>
      <c r="D1107" t="str">
        <f t="shared" si="52"/>
        <v>Charlie</v>
      </c>
      <c r="E1107" t="str">
        <f t="shared" si="53"/>
        <v>Paul</v>
      </c>
    </row>
    <row r="1108" spans="1:5" ht="15.5" x14ac:dyDescent="0.35">
      <c r="A1108" s="1" t="s">
        <v>1264</v>
      </c>
      <c r="B1108" s="1" t="s">
        <v>3490</v>
      </c>
      <c r="C1108" t="str">
        <f t="shared" si="51"/>
        <v>Mr.</v>
      </c>
      <c r="D1108" t="str">
        <f t="shared" si="52"/>
        <v>Brent</v>
      </c>
      <c r="E1108" t="str">
        <f t="shared" si="53"/>
        <v>Trail</v>
      </c>
    </row>
    <row r="1109" spans="1:5" ht="15.5" x14ac:dyDescent="0.35">
      <c r="A1109" s="1" t="s">
        <v>1263</v>
      </c>
      <c r="B1109" s="1" t="s">
        <v>3491</v>
      </c>
      <c r="C1109" t="str">
        <f t="shared" si="51"/>
        <v>Ms.</v>
      </c>
      <c r="D1109" t="str">
        <f t="shared" si="52"/>
        <v>Kelli M</v>
      </c>
      <c r="E1109" t="str">
        <f t="shared" si="53"/>
        <v>Benton</v>
      </c>
    </row>
    <row r="1110" spans="1:5" ht="15.5" x14ac:dyDescent="0.35">
      <c r="A1110" s="1" t="s">
        <v>1262</v>
      </c>
      <c r="B1110" s="1" t="s">
        <v>3492</v>
      </c>
      <c r="C1110" t="str">
        <f t="shared" si="51"/>
        <v>Mrs.</v>
      </c>
      <c r="D1110" t="str">
        <f t="shared" si="52"/>
        <v>Sheridan H</v>
      </c>
      <c r="E1110" t="str">
        <f t="shared" si="53"/>
        <v>Bauman</v>
      </c>
    </row>
    <row r="1111" spans="1:5" ht="15.5" x14ac:dyDescent="0.35">
      <c r="A1111" s="1" t="s">
        <v>1261</v>
      </c>
      <c r="B1111" s="1" t="s">
        <v>3493</v>
      </c>
      <c r="C1111" t="str">
        <f t="shared" si="51"/>
        <v>Mrs.</v>
      </c>
      <c r="D1111" t="str">
        <f t="shared" si="52"/>
        <v>Sarah M.</v>
      </c>
      <c r="E1111" t="str">
        <f t="shared" si="53"/>
        <v>Bakula</v>
      </c>
    </row>
    <row r="1112" spans="1:5" ht="15.5" x14ac:dyDescent="0.35">
      <c r="A1112" s="1" t="s">
        <v>1260</v>
      </c>
      <c r="B1112" s="1" t="s">
        <v>3494</v>
      </c>
      <c r="C1112" t="str">
        <f t="shared" si="51"/>
        <v>Ms.</v>
      </c>
      <c r="D1112" t="str">
        <f t="shared" si="52"/>
        <v>Jennifer</v>
      </c>
      <c r="E1112" t="str">
        <f t="shared" si="53"/>
        <v>Edwards</v>
      </c>
    </row>
    <row r="1113" spans="1:5" ht="15.5" x14ac:dyDescent="0.35">
      <c r="A1113" s="1" t="s">
        <v>1259</v>
      </c>
      <c r="B1113" s="1" t="s">
        <v>3495</v>
      </c>
      <c r="C1113" t="str">
        <f t="shared" si="51"/>
        <v>Mrs.</v>
      </c>
      <c r="D1113" t="str">
        <f t="shared" si="52"/>
        <v>Laura J</v>
      </c>
      <c r="E1113" t="str">
        <f t="shared" si="53"/>
        <v>Davis</v>
      </c>
    </row>
    <row r="1114" spans="1:5" ht="15.5" x14ac:dyDescent="0.35">
      <c r="A1114" s="1" t="s">
        <v>1258</v>
      </c>
      <c r="B1114" s="1" t="s">
        <v>3496</v>
      </c>
      <c r="C1114" t="str">
        <f t="shared" si="51"/>
        <v>Mr.</v>
      </c>
      <c r="D1114" t="str">
        <f t="shared" si="52"/>
        <v>Thomas</v>
      </c>
      <c r="E1114" t="str">
        <f t="shared" si="53"/>
        <v>Weiler</v>
      </c>
    </row>
    <row r="1115" spans="1:5" ht="15.5" x14ac:dyDescent="0.35">
      <c r="A1115" s="1" t="s">
        <v>1257</v>
      </c>
      <c r="B1115" s="1" t="s">
        <v>3497</v>
      </c>
      <c r="C1115" t="str">
        <f t="shared" si="51"/>
        <v>Ms.</v>
      </c>
      <c r="D1115" t="str">
        <f t="shared" si="52"/>
        <v>Gisele</v>
      </c>
      <c r="E1115" t="str">
        <f t="shared" si="53"/>
        <v>Schaaf</v>
      </c>
    </row>
    <row r="1116" spans="1:5" ht="15.5" x14ac:dyDescent="0.35">
      <c r="A1116" s="1" t="s">
        <v>1256</v>
      </c>
      <c r="B1116" s="1" t="s">
        <v>3498</v>
      </c>
      <c r="C1116" t="str">
        <f t="shared" si="51"/>
        <v>Ms.</v>
      </c>
      <c r="D1116" t="str">
        <f t="shared" si="52"/>
        <v>Myra L</v>
      </c>
      <c r="E1116" t="str">
        <f t="shared" si="53"/>
        <v>Sack</v>
      </c>
    </row>
    <row r="1117" spans="1:5" ht="15.5" x14ac:dyDescent="0.35">
      <c r="A1117" s="1" t="s">
        <v>1255</v>
      </c>
      <c r="B1117" s="1" t="s">
        <v>3499</v>
      </c>
      <c r="C1117" t="str">
        <f t="shared" si="51"/>
        <v>Ms.</v>
      </c>
      <c r="D1117" t="str">
        <f t="shared" si="52"/>
        <v>Melissa M.</v>
      </c>
      <c r="E1117" t="str">
        <f t="shared" si="53"/>
        <v>Chenard</v>
      </c>
    </row>
    <row r="1118" spans="1:5" ht="15.5" x14ac:dyDescent="0.35">
      <c r="A1118" s="1" t="s">
        <v>1254</v>
      </c>
      <c r="B1118" s="1" t="s">
        <v>3500</v>
      </c>
      <c r="C1118" t="str">
        <f t="shared" si="51"/>
        <v>Ms.</v>
      </c>
      <c r="D1118" t="str">
        <f t="shared" si="52"/>
        <v>Eleanor F.</v>
      </c>
      <c r="E1118" t="str">
        <f t="shared" si="53"/>
        <v>Williamson</v>
      </c>
    </row>
    <row r="1119" spans="1:5" ht="15.5" x14ac:dyDescent="0.35">
      <c r="A1119" s="1" t="s">
        <v>1253</v>
      </c>
      <c r="B1119" s="1" t="s">
        <v>3501</v>
      </c>
      <c r="C1119" t="str">
        <f t="shared" si="51"/>
        <v>Ms.</v>
      </c>
      <c r="D1119" t="str">
        <f t="shared" si="52"/>
        <v>Elizabeth</v>
      </c>
      <c r="E1119" t="str">
        <f t="shared" si="53"/>
        <v>Dollas</v>
      </c>
    </row>
    <row r="1120" spans="1:5" ht="15.5" x14ac:dyDescent="0.35">
      <c r="A1120" s="1" t="s">
        <v>1252</v>
      </c>
      <c r="B1120" s="1" t="s">
        <v>3502</v>
      </c>
      <c r="C1120" t="str">
        <f t="shared" si="51"/>
        <v>Mr.</v>
      </c>
      <c r="D1120" t="str">
        <f t="shared" si="52"/>
        <v>Kenneth</v>
      </c>
      <c r="E1120" t="str">
        <f t="shared" si="53"/>
        <v>Sprague</v>
      </c>
    </row>
    <row r="1121" spans="1:5" ht="15.5" x14ac:dyDescent="0.35">
      <c r="A1121" s="1" t="s">
        <v>1251</v>
      </c>
      <c r="B1121" s="1" t="s">
        <v>3503</v>
      </c>
      <c r="C1121" t="str">
        <f t="shared" si="51"/>
        <v>Mr.</v>
      </c>
      <c r="D1121" t="str">
        <f t="shared" si="52"/>
        <v>Robert G.</v>
      </c>
      <c r="E1121" t="str">
        <f t="shared" si="53"/>
        <v>Michell</v>
      </c>
    </row>
    <row r="1122" spans="1:5" ht="15.5" x14ac:dyDescent="0.35">
      <c r="A1122" s="1" t="s">
        <v>1250</v>
      </c>
      <c r="B1122" s="1" t="s">
        <v>3504</v>
      </c>
      <c r="C1122" t="str">
        <f t="shared" si="51"/>
        <v>Mr.</v>
      </c>
      <c r="D1122" t="str">
        <f t="shared" si="52"/>
        <v>Thomas C.</v>
      </c>
      <c r="E1122" t="str">
        <f t="shared" si="53"/>
        <v>Datwyler</v>
      </c>
    </row>
    <row r="1123" spans="1:5" ht="15.5" x14ac:dyDescent="0.35">
      <c r="A1123" s="1" t="s">
        <v>1249</v>
      </c>
      <c r="B1123" s="1" t="s">
        <v>3505</v>
      </c>
      <c r="C1123" t="str">
        <f t="shared" si="51"/>
        <v>Mr.</v>
      </c>
      <c r="D1123" t="str">
        <f t="shared" si="52"/>
        <v>Matthew J.</v>
      </c>
      <c r="E1123" t="str">
        <f t="shared" si="53"/>
        <v>Mead</v>
      </c>
    </row>
    <row r="1124" spans="1:5" ht="15.5" x14ac:dyDescent="0.35">
      <c r="A1124" s="1" t="s">
        <v>1248</v>
      </c>
      <c r="B1124" s="1" t="s">
        <v>3506</v>
      </c>
      <c r="C1124" t="str">
        <f t="shared" si="51"/>
        <v>Ms.</v>
      </c>
      <c r="D1124" t="str">
        <f t="shared" si="52"/>
        <v>Mallory D.</v>
      </c>
      <c r="E1124" t="str">
        <f t="shared" si="53"/>
        <v>Kennedy</v>
      </c>
    </row>
    <row r="1125" spans="1:5" ht="15.5" x14ac:dyDescent="0.35">
      <c r="A1125" s="1" t="s">
        <v>1247</v>
      </c>
      <c r="B1125" s="1" t="s">
        <v>3507</v>
      </c>
      <c r="C1125" t="str">
        <f t="shared" si="51"/>
        <v>Mr.</v>
      </c>
      <c r="D1125" t="str">
        <f t="shared" si="52"/>
        <v>Christopher D.</v>
      </c>
      <c r="E1125" t="str">
        <f t="shared" si="53"/>
        <v>Czech</v>
      </c>
    </row>
    <row r="1126" spans="1:5" ht="15.5" x14ac:dyDescent="0.35">
      <c r="A1126" s="1" t="s">
        <v>1246</v>
      </c>
      <c r="B1126" s="1" t="s">
        <v>3508</v>
      </c>
      <c r="C1126" t="str">
        <f t="shared" si="51"/>
        <v>Mrs.</v>
      </c>
      <c r="D1126" t="str">
        <f t="shared" si="52"/>
        <v>Jamie</v>
      </c>
      <c r="E1126" t="str">
        <f t="shared" si="53"/>
        <v>O'Brien</v>
      </c>
    </row>
    <row r="1127" spans="1:5" ht="15.5" x14ac:dyDescent="0.35">
      <c r="A1127" s="1" t="s">
        <v>1245</v>
      </c>
      <c r="B1127" s="1" t="s">
        <v>3509</v>
      </c>
      <c r="C1127" t="str">
        <f t="shared" si="51"/>
        <v>Ms.</v>
      </c>
      <c r="D1127" t="str">
        <f t="shared" si="52"/>
        <v>Ariell</v>
      </c>
      <c r="E1127" t="str">
        <f t="shared" si="53"/>
        <v>Bachman</v>
      </c>
    </row>
    <row r="1128" spans="1:5" ht="15.5" x14ac:dyDescent="0.35">
      <c r="A1128" s="1" t="s">
        <v>1244</v>
      </c>
      <c r="B1128" s="1" t="s">
        <v>3510</v>
      </c>
      <c r="C1128" t="str">
        <f t="shared" si="51"/>
        <v>Mr.</v>
      </c>
      <c r="D1128" t="str">
        <f t="shared" si="52"/>
        <v>Christopher</v>
      </c>
      <c r="E1128" t="str">
        <f t="shared" si="53"/>
        <v>Bednar</v>
      </c>
    </row>
    <row r="1129" spans="1:5" ht="15.5" x14ac:dyDescent="0.35">
      <c r="A1129" s="1" t="s">
        <v>1243</v>
      </c>
      <c r="B1129" s="1" t="s">
        <v>3511</v>
      </c>
      <c r="C1129" t="str">
        <f t="shared" si="51"/>
        <v>Mr.</v>
      </c>
      <c r="D1129" t="str">
        <f t="shared" si="52"/>
        <v>Ryan</v>
      </c>
      <c r="E1129" t="str">
        <f t="shared" si="53"/>
        <v>Daye</v>
      </c>
    </row>
    <row r="1130" spans="1:5" ht="15.5" x14ac:dyDescent="0.35">
      <c r="A1130" s="1" t="s">
        <v>1242</v>
      </c>
      <c r="B1130" s="1" t="s">
        <v>3512</v>
      </c>
      <c r="C1130" t="str">
        <f t="shared" si="51"/>
        <v>Mr.</v>
      </c>
      <c r="D1130" t="str">
        <f t="shared" si="52"/>
        <v>Thomas B.</v>
      </c>
      <c r="E1130" t="str">
        <f t="shared" si="53"/>
        <v>Clarke</v>
      </c>
    </row>
    <row r="1131" spans="1:5" ht="15.5" x14ac:dyDescent="0.35">
      <c r="A1131" s="1" t="s">
        <v>1241</v>
      </c>
      <c r="B1131" s="1" t="s">
        <v>3513</v>
      </c>
      <c r="C1131" t="str">
        <f t="shared" si="51"/>
        <v>Ms.</v>
      </c>
      <c r="D1131" t="str">
        <f t="shared" si="52"/>
        <v>Katie</v>
      </c>
      <c r="E1131" t="str">
        <f t="shared" si="53"/>
        <v>Koren</v>
      </c>
    </row>
    <row r="1132" spans="1:5" ht="15.5" x14ac:dyDescent="0.35">
      <c r="A1132" s="1" t="s">
        <v>1240</v>
      </c>
      <c r="B1132" s="1" t="s">
        <v>3514</v>
      </c>
      <c r="C1132" t="str">
        <f t="shared" si="51"/>
        <v>Mrs.</v>
      </c>
      <c r="D1132" t="str">
        <f t="shared" si="52"/>
        <v>Rachelle L</v>
      </c>
      <c r="E1132" t="str">
        <f t="shared" si="53"/>
        <v>Kuramoto</v>
      </c>
    </row>
    <row r="1133" spans="1:5" ht="15.5" x14ac:dyDescent="0.35">
      <c r="A1133" s="1" t="s">
        <v>1239</v>
      </c>
      <c r="B1133" s="1" t="s">
        <v>3515</v>
      </c>
      <c r="C1133" t="str">
        <f t="shared" si="51"/>
        <v>Ms.</v>
      </c>
      <c r="D1133" t="str">
        <f t="shared" si="52"/>
        <v>Colleen</v>
      </c>
      <c r="E1133" t="str">
        <f t="shared" si="53"/>
        <v>Lynn</v>
      </c>
    </row>
    <row r="1134" spans="1:5" ht="15.5" x14ac:dyDescent="0.35">
      <c r="A1134" s="1" t="s">
        <v>1238</v>
      </c>
      <c r="B1134" s="1" t="s">
        <v>3516</v>
      </c>
      <c r="C1134" t="str">
        <f t="shared" si="51"/>
        <v>Mr.</v>
      </c>
      <c r="D1134" t="str">
        <f t="shared" si="52"/>
        <v>Gregory A</v>
      </c>
      <c r="E1134" t="str">
        <f t="shared" si="53"/>
        <v>Dierksen</v>
      </c>
    </row>
    <row r="1135" spans="1:5" ht="15.5" x14ac:dyDescent="0.35">
      <c r="A1135" s="1" t="s">
        <v>1237</v>
      </c>
      <c r="B1135" s="1" t="s">
        <v>3517</v>
      </c>
      <c r="C1135" t="str">
        <f t="shared" si="51"/>
        <v>Ms.</v>
      </c>
      <c r="D1135" t="str">
        <f t="shared" si="52"/>
        <v>Lara</v>
      </c>
      <c r="E1135" t="str">
        <f t="shared" si="53"/>
        <v>Zoeller</v>
      </c>
    </row>
    <row r="1136" spans="1:5" ht="15.5" x14ac:dyDescent="0.35">
      <c r="A1136" s="1" t="s">
        <v>1236</v>
      </c>
      <c r="B1136" s="1" t="s">
        <v>3518</v>
      </c>
      <c r="C1136" t="str">
        <f t="shared" si="51"/>
        <v>Ms.</v>
      </c>
      <c r="D1136" t="str">
        <f t="shared" si="52"/>
        <v>Megan</v>
      </c>
      <c r="E1136" t="str">
        <f t="shared" si="53"/>
        <v>Flesch</v>
      </c>
    </row>
    <row r="1137" spans="1:5" ht="15.5" x14ac:dyDescent="0.35">
      <c r="A1137" s="1" t="s">
        <v>1235</v>
      </c>
      <c r="B1137" s="1" t="s">
        <v>3519</v>
      </c>
      <c r="C1137" t="str">
        <f t="shared" si="51"/>
        <v>Ms.</v>
      </c>
      <c r="D1137" t="str">
        <f t="shared" si="52"/>
        <v>Sara</v>
      </c>
      <c r="E1137" t="str">
        <f t="shared" si="53"/>
        <v>Maltby</v>
      </c>
    </row>
    <row r="1138" spans="1:5" ht="15.5" x14ac:dyDescent="0.35">
      <c r="A1138" s="1" t="s">
        <v>1234</v>
      </c>
      <c r="B1138" s="1" t="s">
        <v>3520</v>
      </c>
      <c r="C1138" t="str">
        <f t="shared" si="51"/>
        <v>Ms.</v>
      </c>
      <c r="D1138" t="str">
        <f t="shared" si="52"/>
        <v>Lucie J.</v>
      </c>
      <c r="E1138" t="str">
        <f t="shared" si="53"/>
        <v>Custance</v>
      </c>
    </row>
    <row r="1139" spans="1:5" ht="15.5" x14ac:dyDescent="0.35">
      <c r="A1139" s="1" t="s">
        <v>1233</v>
      </c>
      <c r="B1139" s="1" t="s">
        <v>3521</v>
      </c>
      <c r="C1139" t="str">
        <f t="shared" si="51"/>
        <v>Ms.</v>
      </c>
      <c r="D1139" t="str">
        <f t="shared" si="52"/>
        <v>Elizabeth S.</v>
      </c>
      <c r="E1139" t="str">
        <f t="shared" si="53"/>
        <v>Choi</v>
      </c>
    </row>
    <row r="1140" spans="1:5" ht="15.5" x14ac:dyDescent="0.35">
      <c r="A1140" s="1" t="s">
        <v>1232</v>
      </c>
      <c r="B1140" s="1" t="s">
        <v>3522</v>
      </c>
      <c r="C1140" t="str">
        <f t="shared" si="51"/>
        <v>Ms.</v>
      </c>
      <c r="D1140" t="str">
        <f t="shared" si="52"/>
        <v>Carma S</v>
      </c>
      <c r="E1140" t="str">
        <f t="shared" si="53"/>
        <v>Barnett</v>
      </c>
    </row>
    <row r="1141" spans="1:5" ht="15.5" x14ac:dyDescent="0.35">
      <c r="A1141" s="1" t="s">
        <v>1231</v>
      </c>
      <c r="B1141" s="1" t="s">
        <v>3523</v>
      </c>
      <c r="C1141" t="str">
        <f t="shared" si="51"/>
        <v>Mr.</v>
      </c>
      <c r="D1141" t="str">
        <f t="shared" si="52"/>
        <v>Ryan</v>
      </c>
      <c r="E1141" t="str">
        <f t="shared" si="53"/>
        <v>Proulx</v>
      </c>
    </row>
    <row r="1142" spans="1:5" ht="15.5" x14ac:dyDescent="0.35">
      <c r="A1142" s="1" t="s">
        <v>1230</v>
      </c>
      <c r="B1142" s="1" t="s">
        <v>3524</v>
      </c>
      <c r="C1142" t="str">
        <f t="shared" si="51"/>
        <v>Mr.</v>
      </c>
      <c r="D1142" t="str">
        <f t="shared" si="52"/>
        <v>Daniel</v>
      </c>
      <c r="E1142" t="str">
        <f t="shared" si="53"/>
        <v>Hamilton</v>
      </c>
    </row>
    <row r="1143" spans="1:5" ht="15.5" x14ac:dyDescent="0.35">
      <c r="A1143" s="1" t="s">
        <v>1229</v>
      </c>
      <c r="B1143" s="1" t="s">
        <v>3525</v>
      </c>
      <c r="C1143" t="str">
        <f t="shared" si="51"/>
        <v>Ms.</v>
      </c>
      <c r="D1143" t="str">
        <f t="shared" si="52"/>
        <v>Sarah</v>
      </c>
      <c r="E1143" t="str">
        <f t="shared" si="53"/>
        <v>Lundine</v>
      </c>
    </row>
    <row r="1144" spans="1:5" ht="15.5" x14ac:dyDescent="0.35">
      <c r="A1144" s="1" t="s">
        <v>1228</v>
      </c>
      <c r="B1144" s="1" t="s">
        <v>3526</v>
      </c>
      <c r="C1144" t="str">
        <f t="shared" si="51"/>
        <v>Mr.</v>
      </c>
      <c r="D1144" t="str">
        <f t="shared" si="52"/>
        <v>Matthew J</v>
      </c>
      <c r="E1144" t="str">
        <f t="shared" si="53"/>
        <v>Paullin</v>
      </c>
    </row>
    <row r="1145" spans="1:5" ht="15.5" x14ac:dyDescent="0.35">
      <c r="A1145" s="1" t="s">
        <v>1227</v>
      </c>
      <c r="B1145" s="1" t="s">
        <v>3527</v>
      </c>
      <c r="C1145" t="str">
        <f t="shared" si="51"/>
        <v>Ms.</v>
      </c>
      <c r="D1145" t="str">
        <f t="shared" si="52"/>
        <v>Francesca</v>
      </c>
      <c r="E1145" t="str">
        <f t="shared" si="53"/>
        <v>Delucia</v>
      </c>
    </row>
    <row r="1146" spans="1:5" ht="15.5" x14ac:dyDescent="0.35">
      <c r="A1146" s="1" t="s">
        <v>1226</v>
      </c>
      <c r="B1146" s="1" t="s">
        <v>3528</v>
      </c>
      <c r="C1146" t="str">
        <f t="shared" si="51"/>
        <v>Ms.</v>
      </c>
      <c r="D1146" t="str">
        <f t="shared" si="52"/>
        <v>Nicole</v>
      </c>
      <c r="E1146" t="str">
        <f t="shared" si="53"/>
        <v>Valentine</v>
      </c>
    </row>
    <row r="1147" spans="1:5" ht="15.5" x14ac:dyDescent="0.35">
      <c r="A1147" s="1" t="s">
        <v>1225</v>
      </c>
      <c r="B1147" s="1" t="s">
        <v>3529</v>
      </c>
      <c r="C1147" t="str">
        <f t="shared" si="51"/>
        <v>Mr.</v>
      </c>
      <c r="D1147" t="str">
        <f t="shared" si="52"/>
        <v>Toshiyuki</v>
      </c>
      <c r="E1147" t="str">
        <f t="shared" si="53"/>
        <v>Mohara</v>
      </c>
    </row>
    <row r="1148" spans="1:5" ht="15.5" x14ac:dyDescent="0.35">
      <c r="A1148" s="1" t="s">
        <v>1224</v>
      </c>
      <c r="B1148" s="1" t="s">
        <v>3530</v>
      </c>
      <c r="C1148" t="str">
        <f t="shared" si="51"/>
        <v>Mr.</v>
      </c>
      <c r="D1148" t="str">
        <f t="shared" si="52"/>
        <v>Tom L.</v>
      </c>
      <c r="E1148" t="str">
        <f t="shared" si="53"/>
        <v>Fairbrother</v>
      </c>
    </row>
    <row r="1149" spans="1:5" ht="15.5" x14ac:dyDescent="0.35">
      <c r="A1149" s="1" t="s">
        <v>1223</v>
      </c>
      <c r="B1149" s="1" t="s">
        <v>3531</v>
      </c>
      <c r="C1149" t="str">
        <f t="shared" si="51"/>
        <v>Mr.</v>
      </c>
      <c r="D1149" t="str">
        <f t="shared" si="52"/>
        <v>Brian</v>
      </c>
      <c r="E1149" t="str">
        <f t="shared" si="53"/>
        <v>Fagan</v>
      </c>
    </row>
    <row r="1150" spans="1:5" ht="15.5" x14ac:dyDescent="0.35">
      <c r="A1150" s="1" t="s">
        <v>1222</v>
      </c>
      <c r="B1150" s="1" t="s">
        <v>3532</v>
      </c>
      <c r="C1150" t="str">
        <f t="shared" si="51"/>
        <v>Mr.</v>
      </c>
      <c r="D1150" t="str">
        <f t="shared" si="52"/>
        <v>Matthew</v>
      </c>
      <c r="E1150" t="str">
        <f t="shared" si="53"/>
        <v>Toth</v>
      </c>
    </row>
    <row r="1151" spans="1:5" ht="15.5" x14ac:dyDescent="0.35">
      <c r="A1151" s="1" t="s">
        <v>1221</v>
      </c>
      <c r="B1151" s="1" t="s">
        <v>3533</v>
      </c>
      <c r="C1151" t="str">
        <f t="shared" si="51"/>
        <v>Ms.</v>
      </c>
      <c r="D1151" t="str">
        <f t="shared" si="52"/>
        <v>Julee</v>
      </c>
      <c r="E1151" t="str">
        <f t="shared" si="53"/>
        <v>Guinn</v>
      </c>
    </row>
    <row r="1152" spans="1:5" ht="15.5" x14ac:dyDescent="0.35">
      <c r="A1152" s="1" t="s">
        <v>1220</v>
      </c>
      <c r="B1152" s="1" t="s">
        <v>3534</v>
      </c>
      <c r="C1152" t="str">
        <f t="shared" si="51"/>
        <v>Mr.</v>
      </c>
      <c r="D1152" t="str">
        <f t="shared" si="52"/>
        <v>Christopher M.</v>
      </c>
      <c r="E1152" t="str">
        <f t="shared" si="53"/>
        <v>Rogers</v>
      </c>
    </row>
    <row r="1153" spans="1:5" ht="15.5" x14ac:dyDescent="0.35">
      <c r="A1153" s="1" t="s">
        <v>1219</v>
      </c>
      <c r="B1153" s="1" t="s">
        <v>3535</v>
      </c>
      <c r="C1153" t="str">
        <f t="shared" si="51"/>
        <v>Mr.</v>
      </c>
      <c r="D1153" t="str">
        <f t="shared" si="52"/>
        <v>Ciaran</v>
      </c>
      <c r="E1153" t="str">
        <f t="shared" si="53"/>
        <v>Diviney</v>
      </c>
    </row>
    <row r="1154" spans="1:5" ht="15.5" x14ac:dyDescent="0.35">
      <c r="A1154" s="1" t="s">
        <v>1218</v>
      </c>
      <c r="B1154" s="1" t="s">
        <v>3536</v>
      </c>
      <c r="C1154" t="str">
        <f t="shared" si="51"/>
        <v>Ms.</v>
      </c>
      <c r="D1154" t="str">
        <f t="shared" si="52"/>
        <v>Kara</v>
      </c>
      <c r="E1154" t="str">
        <f t="shared" si="53"/>
        <v>Marlatt</v>
      </c>
    </row>
    <row r="1155" spans="1:5" ht="15.5" x14ac:dyDescent="0.35">
      <c r="A1155" s="1" t="s">
        <v>1217</v>
      </c>
      <c r="B1155" s="1" t="s">
        <v>3537</v>
      </c>
      <c r="C1155" t="str">
        <f t="shared" ref="C1155:C1218" si="54">TRIM(MID(B1155,FIND(",",B1155)+1,FIND(".",B1155)-FIND(",",B1155)))</f>
        <v>Ms.</v>
      </c>
      <c r="D1155" t="str">
        <f t="shared" ref="D1155:D1218" si="55">TRIM(MID(B1155,FIND(".",B1155)+1,LEN(B1155)))</f>
        <v>Makie</v>
      </c>
      <c r="E1155" t="str">
        <f t="shared" ref="E1155:E1218" si="56">TRIM(LEFT(B1155,FIND(",",B1155)-1))</f>
        <v>Ohler</v>
      </c>
    </row>
    <row r="1156" spans="1:5" ht="15.5" x14ac:dyDescent="0.35">
      <c r="A1156" s="1" t="s">
        <v>1216</v>
      </c>
      <c r="B1156" s="1" t="s">
        <v>3538</v>
      </c>
      <c r="C1156" t="str">
        <f t="shared" si="54"/>
        <v>Ms.</v>
      </c>
      <c r="D1156" t="str">
        <f t="shared" si="55"/>
        <v>Emily E</v>
      </c>
      <c r="E1156" t="str">
        <f t="shared" si="56"/>
        <v>Mossler</v>
      </c>
    </row>
    <row r="1157" spans="1:5" ht="15.5" x14ac:dyDescent="0.35">
      <c r="A1157" s="1" t="s">
        <v>1215</v>
      </c>
      <c r="B1157" s="1" t="s">
        <v>3539</v>
      </c>
      <c r="C1157" t="str">
        <f t="shared" si="54"/>
        <v>Mr.</v>
      </c>
      <c r="D1157" t="str">
        <f t="shared" si="55"/>
        <v>Cary</v>
      </c>
      <c r="E1157" t="str">
        <f t="shared" si="56"/>
        <v>Segall</v>
      </c>
    </row>
    <row r="1158" spans="1:5" ht="15.5" x14ac:dyDescent="0.35">
      <c r="A1158" s="1" t="s">
        <v>1214</v>
      </c>
      <c r="B1158" s="1" t="s">
        <v>3540</v>
      </c>
      <c r="C1158" t="str">
        <f t="shared" si="54"/>
        <v>Mr.</v>
      </c>
      <c r="D1158" t="str">
        <f t="shared" si="55"/>
        <v>Steven</v>
      </c>
      <c r="E1158" t="str">
        <f t="shared" si="56"/>
        <v>Sprieser</v>
      </c>
    </row>
    <row r="1159" spans="1:5" ht="15.5" x14ac:dyDescent="0.35">
      <c r="A1159" s="1" t="s">
        <v>1213</v>
      </c>
      <c r="B1159" s="1" t="s">
        <v>3541</v>
      </c>
      <c r="C1159" t="str">
        <f t="shared" si="54"/>
        <v>Mr.</v>
      </c>
      <c r="D1159" t="str">
        <f t="shared" si="55"/>
        <v>Jose Antonio Sr.</v>
      </c>
      <c r="E1159" t="str">
        <f t="shared" si="56"/>
        <v>Blanco</v>
      </c>
    </row>
    <row r="1160" spans="1:5" ht="15.5" x14ac:dyDescent="0.35">
      <c r="A1160" s="1" t="s">
        <v>1212</v>
      </c>
      <c r="B1160" s="1" t="s">
        <v>3542</v>
      </c>
      <c r="C1160" t="str">
        <f t="shared" si="54"/>
        <v>Ms.</v>
      </c>
      <c r="D1160" t="str">
        <f t="shared" si="55"/>
        <v>Tatiana</v>
      </c>
      <c r="E1160" t="str">
        <f t="shared" si="56"/>
        <v>Sheptock</v>
      </c>
    </row>
    <row r="1161" spans="1:5" ht="15.5" x14ac:dyDescent="0.35">
      <c r="A1161" s="1" t="s">
        <v>1211</v>
      </c>
      <c r="B1161" s="1" t="s">
        <v>3543</v>
      </c>
      <c r="C1161" t="str">
        <f t="shared" si="54"/>
        <v>Mr.</v>
      </c>
      <c r="D1161" t="str">
        <f t="shared" si="55"/>
        <v>Dan T.</v>
      </c>
      <c r="E1161" t="str">
        <f t="shared" si="56"/>
        <v>Chruniak</v>
      </c>
    </row>
    <row r="1162" spans="1:5" ht="15.5" x14ac:dyDescent="0.35">
      <c r="A1162" s="1" t="s">
        <v>1210</v>
      </c>
      <c r="B1162" s="1" t="s">
        <v>3544</v>
      </c>
      <c r="C1162" t="str">
        <f t="shared" si="54"/>
        <v>Ms.</v>
      </c>
      <c r="D1162" t="str">
        <f t="shared" si="55"/>
        <v>Liisa A.</v>
      </c>
      <c r="E1162" t="str">
        <f t="shared" si="56"/>
        <v>Miller</v>
      </c>
    </row>
    <row r="1163" spans="1:5" ht="15.5" x14ac:dyDescent="0.35">
      <c r="A1163" s="1" t="s">
        <v>1209</v>
      </c>
      <c r="B1163" s="1" t="s">
        <v>3545</v>
      </c>
      <c r="C1163" t="str">
        <f t="shared" si="54"/>
        <v>Ms.</v>
      </c>
      <c r="D1163" t="str">
        <f t="shared" si="55"/>
        <v>Kathryn E.</v>
      </c>
      <c r="E1163" t="str">
        <f t="shared" si="56"/>
        <v>Theis</v>
      </c>
    </row>
    <row r="1164" spans="1:5" ht="15.5" x14ac:dyDescent="0.35">
      <c r="A1164" s="1" t="s">
        <v>1208</v>
      </c>
      <c r="B1164" s="1" t="s">
        <v>3546</v>
      </c>
      <c r="C1164" t="str">
        <f t="shared" si="54"/>
        <v>Mr.</v>
      </c>
      <c r="D1164" t="str">
        <f t="shared" si="55"/>
        <v>Maxwell</v>
      </c>
      <c r="E1164" t="str">
        <f t="shared" si="56"/>
        <v>Sadler</v>
      </c>
    </row>
    <row r="1165" spans="1:5" ht="15.5" x14ac:dyDescent="0.35">
      <c r="A1165" s="1" t="s">
        <v>1207</v>
      </c>
      <c r="B1165" s="1" t="s">
        <v>3547</v>
      </c>
      <c r="C1165" t="str">
        <f t="shared" si="54"/>
        <v>Ms.</v>
      </c>
      <c r="D1165" t="str">
        <f t="shared" si="55"/>
        <v>Pascale</v>
      </c>
      <c r="E1165" t="str">
        <f t="shared" si="56"/>
        <v>Auger</v>
      </c>
    </row>
    <row r="1166" spans="1:5" ht="15.5" x14ac:dyDescent="0.35">
      <c r="A1166" s="1" t="s">
        <v>1206</v>
      </c>
      <c r="B1166" s="1" t="s">
        <v>3548</v>
      </c>
      <c r="C1166" t="str">
        <f t="shared" si="54"/>
        <v>Ms.</v>
      </c>
      <c r="D1166" t="str">
        <f t="shared" si="55"/>
        <v>Becca</v>
      </c>
      <c r="E1166" t="str">
        <f t="shared" si="56"/>
        <v>Steadman</v>
      </c>
    </row>
    <row r="1167" spans="1:5" ht="15.5" x14ac:dyDescent="0.35">
      <c r="A1167" s="1" t="s">
        <v>1205</v>
      </c>
      <c r="B1167" s="1" t="s">
        <v>3549</v>
      </c>
      <c r="C1167" t="str">
        <f t="shared" si="54"/>
        <v>Ms.</v>
      </c>
      <c r="D1167" t="str">
        <f t="shared" si="55"/>
        <v>Grace</v>
      </c>
      <c r="E1167" t="str">
        <f t="shared" si="56"/>
        <v>McCarron</v>
      </c>
    </row>
    <row r="1168" spans="1:5" ht="15.5" x14ac:dyDescent="0.35">
      <c r="A1168" s="1" t="s">
        <v>1204</v>
      </c>
      <c r="B1168" s="1" t="s">
        <v>3550</v>
      </c>
      <c r="C1168" t="str">
        <f t="shared" si="54"/>
        <v>Ms.</v>
      </c>
      <c r="D1168" t="str">
        <f t="shared" si="55"/>
        <v>Samantha</v>
      </c>
      <c r="E1168" t="str">
        <f t="shared" si="56"/>
        <v>Roecker</v>
      </c>
    </row>
    <row r="1169" spans="1:5" ht="15.5" x14ac:dyDescent="0.35">
      <c r="A1169" s="1" t="s">
        <v>1203</v>
      </c>
      <c r="B1169" s="1" t="s">
        <v>3551</v>
      </c>
      <c r="C1169" t="str">
        <f t="shared" si="54"/>
        <v>Mrs.</v>
      </c>
      <c r="D1169" t="str">
        <f t="shared" si="55"/>
        <v>Nicole R.</v>
      </c>
      <c r="E1169" t="str">
        <f t="shared" si="56"/>
        <v>Giumarra</v>
      </c>
    </row>
    <row r="1170" spans="1:5" ht="15.5" x14ac:dyDescent="0.35">
      <c r="A1170" s="1" t="s">
        <v>1202</v>
      </c>
      <c r="B1170" s="1" t="s">
        <v>3552</v>
      </c>
      <c r="C1170" t="str">
        <f t="shared" si="54"/>
        <v>Mr.</v>
      </c>
      <c r="D1170" t="str">
        <f t="shared" si="55"/>
        <v>David W</v>
      </c>
      <c r="E1170" t="str">
        <f t="shared" si="56"/>
        <v>Peters</v>
      </c>
    </row>
    <row r="1171" spans="1:5" ht="15.5" x14ac:dyDescent="0.35">
      <c r="A1171" s="1" t="s">
        <v>1201</v>
      </c>
      <c r="B1171" s="1" t="s">
        <v>3553</v>
      </c>
      <c r="C1171" t="str">
        <f t="shared" si="54"/>
        <v>Mr.</v>
      </c>
      <c r="D1171" t="str">
        <f t="shared" si="55"/>
        <v>Grant</v>
      </c>
      <c r="E1171" t="str">
        <f t="shared" si="56"/>
        <v>Bower</v>
      </c>
    </row>
    <row r="1172" spans="1:5" ht="15.5" x14ac:dyDescent="0.35">
      <c r="A1172" s="1" t="s">
        <v>1200</v>
      </c>
      <c r="B1172" s="1" t="s">
        <v>3554</v>
      </c>
      <c r="C1172" t="str">
        <f t="shared" si="54"/>
        <v>Mrs.</v>
      </c>
      <c r="D1172" t="str">
        <f t="shared" si="55"/>
        <v>Sophia</v>
      </c>
      <c r="E1172" t="str">
        <f t="shared" si="56"/>
        <v>Chen</v>
      </c>
    </row>
    <row r="1173" spans="1:5" ht="15.5" x14ac:dyDescent="0.35">
      <c r="A1173" s="1" t="s">
        <v>1199</v>
      </c>
      <c r="B1173" s="1" t="s">
        <v>3555</v>
      </c>
      <c r="C1173" t="str">
        <f t="shared" si="54"/>
        <v>Ms.</v>
      </c>
      <c r="D1173" t="str">
        <f t="shared" si="55"/>
        <v>Christina</v>
      </c>
      <c r="E1173" t="str">
        <f t="shared" si="56"/>
        <v>Capriccioso</v>
      </c>
    </row>
    <row r="1174" spans="1:5" ht="15.5" x14ac:dyDescent="0.35">
      <c r="A1174" s="1" t="s">
        <v>1198</v>
      </c>
      <c r="B1174" s="1" t="s">
        <v>3556</v>
      </c>
      <c r="C1174" t="str">
        <f t="shared" si="54"/>
        <v>Mr.</v>
      </c>
      <c r="D1174" t="str">
        <f t="shared" si="55"/>
        <v>Sam L.</v>
      </c>
      <c r="E1174" t="str">
        <f t="shared" si="56"/>
        <v>Starbuck</v>
      </c>
    </row>
    <row r="1175" spans="1:5" ht="15.5" x14ac:dyDescent="0.35">
      <c r="A1175" s="1" t="s">
        <v>1197</v>
      </c>
      <c r="B1175" s="1" t="s">
        <v>3557</v>
      </c>
      <c r="C1175" t="str">
        <f t="shared" si="54"/>
        <v>Mrs.</v>
      </c>
      <c r="D1175" t="str">
        <f t="shared" si="55"/>
        <v>Haley R.</v>
      </c>
      <c r="E1175" t="str">
        <f t="shared" si="56"/>
        <v>McMahon</v>
      </c>
    </row>
    <row r="1176" spans="1:5" ht="15.5" x14ac:dyDescent="0.35">
      <c r="A1176" s="1" t="s">
        <v>1196</v>
      </c>
      <c r="B1176" s="1" t="s">
        <v>3558</v>
      </c>
      <c r="C1176" t="str">
        <f t="shared" si="54"/>
        <v>Mr.</v>
      </c>
      <c r="D1176" t="str">
        <f t="shared" si="55"/>
        <v>Ethan</v>
      </c>
      <c r="E1176" t="str">
        <f t="shared" si="56"/>
        <v>Rissell</v>
      </c>
    </row>
    <row r="1177" spans="1:5" ht="15.5" x14ac:dyDescent="0.35">
      <c r="A1177" s="1" t="s">
        <v>1195</v>
      </c>
      <c r="B1177" s="1" t="s">
        <v>3559</v>
      </c>
      <c r="C1177" t="str">
        <f t="shared" si="54"/>
        <v>Mr.</v>
      </c>
      <c r="D1177" t="str">
        <f t="shared" si="55"/>
        <v>Andrew W</v>
      </c>
      <c r="E1177" t="str">
        <f t="shared" si="56"/>
        <v>Kromroy</v>
      </c>
    </row>
    <row r="1178" spans="1:5" ht="15.5" x14ac:dyDescent="0.35">
      <c r="A1178" s="1" t="s">
        <v>1194</v>
      </c>
      <c r="B1178" s="1" t="s">
        <v>3560</v>
      </c>
      <c r="C1178" t="str">
        <f t="shared" si="54"/>
        <v>Mr.</v>
      </c>
      <c r="D1178" t="str">
        <f t="shared" si="55"/>
        <v>Mark G</v>
      </c>
      <c r="E1178" t="str">
        <f t="shared" si="56"/>
        <v>Manfredi</v>
      </c>
    </row>
    <row r="1179" spans="1:5" ht="15.5" x14ac:dyDescent="0.35">
      <c r="A1179" s="1" t="s">
        <v>1193</v>
      </c>
      <c r="B1179" s="1" t="s">
        <v>3561</v>
      </c>
      <c r="C1179" t="str">
        <f t="shared" si="54"/>
        <v>Ms.</v>
      </c>
      <c r="D1179" t="str">
        <f t="shared" si="55"/>
        <v>Kasey E.</v>
      </c>
      <c r="E1179" t="str">
        <f t="shared" si="56"/>
        <v>Manwaring</v>
      </c>
    </row>
    <row r="1180" spans="1:5" ht="15.5" x14ac:dyDescent="0.35">
      <c r="A1180" s="1" t="s">
        <v>1192</v>
      </c>
      <c r="B1180" s="1" t="s">
        <v>3562</v>
      </c>
      <c r="C1180" t="str">
        <f t="shared" si="54"/>
        <v>Mr.</v>
      </c>
      <c r="D1180" t="str">
        <f t="shared" si="55"/>
        <v>Jeff</v>
      </c>
      <c r="E1180" t="str">
        <f t="shared" si="56"/>
        <v>Tomaszewski</v>
      </c>
    </row>
    <row r="1181" spans="1:5" ht="15.5" x14ac:dyDescent="0.35">
      <c r="A1181" s="1" t="s">
        <v>1191</v>
      </c>
      <c r="B1181" s="1" t="s">
        <v>3563</v>
      </c>
      <c r="C1181" t="str">
        <f t="shared" si="54"/>
        <v>Ms.</v>
      </c>
      <c r="D1181" t="str">
        <f t="shared" si="55"/>
        <v>Amy</v>
      </c>
      <c r="E1181" t="str">
        <f t="shared" si="56"/>
        <v>Gannon</v>
      </c>
    </row>
    <row r="1182" spans="1:5" ht="15.5" x14ac:dyDescent="0.35">
      <c r="A1182" s="1" t="s">
        <v>1190</v>
      </c>
      <c r="B1182" s="1" t="s">
        <v>3564</v>
      </c>
      <c r="C1182" t="str">
        <f t="shared" si="54"/>
        <v>Mr.</v>
      </c>
      <c r="D1182" t="str">
        <f t="shared" si="55"/>
        <v>Adam</v>
      </c>
      <c r="E1182" t="str">
        <f t="shared" si="56"/>
        <v>Frye</v>
      </c>
    </row>
    <row r="1183" spans="1:5" ht="15.5" x14ac:dyDescent="0.35">
      <c r="A1183" s="1" t="s">
        <v>1189</v>
      </c>
      <c r="B1183" s="1" t="s">
        <v>3565</v>
      </c>
      <c r="C1183" t="str">
        <f t="shared" si="54"/>
        <v>Ms.</v>
      </c>
      <c r="D1183" t="str">
        <f t="shared" si="55"/>
        <v>Kristin M</v>
      </c>
      <c r="E1183" t="str">
        <f t="shared" si="56"/>
        <v>Jenkins</v>
      </c>
    </row>
    <row r="1184" spans="1:5" ht="15.5" x14ac:dyDescent="0.35">
      <c r="A1184" s="1" t="s">
        <v>1188</v>
      </c>
      <c r="B1184" s="1" t="s">
        <v>3566</v>
      </c>
      <c r="C1184" t="str">
        <f t="shared" si="54"/>
        <v>Ms.</v>
      </c>
      <c r="D1184" t="str">
        <f t="shared" si="55"/>
        <v>Mary-Lynn B.</v>
      </c>
      <c r="E1184" t="str">
        <f t="shared" si="56"/>
        <v>Currier</v>
      </c>
    </row>
    <row r="1185" spans="1:5" ht="15.5" x14ac:dyDescent="0.35">
      <c r="A1185" s="1" t="s">
        <v>1187</v>
      </c>
      <c r="B1185" s="1" t="s">
        <v>3567</v>
      </c>
      <c r="C1185" t="str">
        <f t="shared" si="54"/>
        <v>Mrs.</v>
      </c>
      <c r="D1185" t="str">
        <f t="shared" si="55"/>
        <v>Jamie A</v>
      </c>
      <c r="E1185" t="str">
        <f t="shared" si="56"/>
        <v>Whittendale</v>
      </c>
    </row>
    <row r="1186" spans="1:5" ht="15.5" x14ac:dyDescent="0.35">
      <c r="A1186" s="1" t="s">
        <v>1186</v>
      </c>
      <c r="B1186" s="1" t="s">
        <v>3568</v>
      </c>
      <c r="C1186" t="str">
        <f t="shared" si="54"/>
        <v>Mr.</v>
      </c>
      <c r="D1186" t="str">
        <f t="shared" si="55"/>
        <v>Jeffrey A.</v>
      </c>
      <c r="E1186" t="str">
        <f t="shared" si="56"/>
        <v>Rixe</v>
      </c>
    </row>
    <row r="1187" spans="1:5" ht="15.5" x14ac:dyDescent="0.35">
      <c r="A1187" s="1" t="s">
        <v>1185</v>
      </c>
      <c r="B1187" s="1" t="s">
        <v>3569</v>
      </c>
      <c r="C1187" t="str">
        <f t="shared" si="54"/>
        <v>Ms.</v>
      </c>
      <c r="D1187" t="str">
        <f t="shared" si="55"/>
        <v>Nicole</v>
      </c>
      <c r="E1187" t="str">
        <f t="shared" si="56"/>
        <v>Ballon-Landa</v>
      </c>
    </row>
    <row r="1188" spans="1:5" ht="15.5" x14ac:dyDescent="0.35">
      <c r="A1188" s="1" t="s">
        <v>1184</v>
      </c>
      <c r="B1188" s="1" t="s">
        <v>3570</v>
      </c>
      <c r="C1188" t="str">
        <f t="shared" si="54"/>
        <v>Ms.</v>
      </c>
      <c r="D1188" t="str">
        <f t="shared" si="55"/>
        <v>Audrey</v>
      </c>
      <c r="E1188" t="str">
        <f t="shared" si="56"/>
        <v>Zaferos</v>
      </c>
    </row>
    <row r="1189" spans="1:5" ht="15.5" x14ac:dyDescent="0.35">
      <c r="A1189" s="1" t="s">
        <v>1183</v>
      </c>
      <c r="B1189" s="1" t="s">
        <v>3571</v>
      </c>
      <c r="C1189" t="str">
        <f t="shared" si="54"/>
        <v>Mr.</v>
      </c>
      <c r="D1189" t="str">
        <f t="shared" si="55"/>
        <v>Jacob</v>
      </c>
      <c r="E1189" t="str">
        <f t="shared" si="56"/>
        <v>Jackson</v>
      </c>
    </row>
    <row r="1190" spans="1:5" ht="15.5" x14ac:dyDescent="0.35">
      <c r="A1190" s="1" t="s">
        <v>1182</v>
      </c>
      <c r="B1190" s="1" t="s">
        <v>3572</v>
      </c>
      <c r="C1190" t="str">
        <f t="shared" si="54"/>
        <v>Mr.</v>
      </c>
      <c r="D1190" t="str">
        <f t="shared" si="55"/>
        <v>Daniel S</v>
      </c>
      <c r="E1190" t="str">
        <f t="shared" si="56"/>
        <v>Evans Marke</v>
      </c>
    </row>
    <row r="1191" spans="1:5" ht="15.5" x14ac:dyDescent="0.35">
      <c r="A1191" s="1" t="s">
        <v>1181</v>
      </c>
      <c r="B1191" s="1" t="s">
        <v>3573</v>
      </c>
      <c r="C1191" t="str">
        <f t="shared" si="54"/>
        <v>Mr.</v>
      </c>
      <c r="D1191" t="str">
        <f t="shared" si="55"/>
        <v>Marc C.</v>
      </c>
      <c r="E1191" t="str">
        <f t="shared" si="56"/>
        <v>Samland</v>
      </c>
    </row>
    <row r="1192" spans="1:5" ht="15.5" x14ac:dyDescent="0.35">
      <c r="A1192" s="1" t="s">
        <v>1180</v>
      </c>
      <c r="B1192" s="1" t="s">
        <v>3574</v>
      </c>
      <c r="C1192" t="str">
        <f t="shared" si="54"/>
        <v>Mr.</v>
      </c>
      <c r="D1192" t="str">
        <f t="shared" si="55"/>
        <v>Mark S</v>
      </c>
      <c r="E1192" t="str">
        <f t="shared" si="56"/>
        <v>Shapiro</v>
      </c>
    </row>
    <row r="1193" spans="1:5" ht="15.5" x14ac:dyDescent="0.35">
      <c r="A1193" s="1" t="s">
        <v>1179</v>
      </c>
      <c r="B1193" s="1" t="s">
        <v>3575</v>
      </c>
      <c r="C1193" t="str">
        <f t="shared" si="54"/>
        <v>Mr.</v>
      </c>
      <c r="D1193" t="str">
        <f t="shared" si="55"/>
        <v>Dan</v>
      </c>
      <c r="E1193" t="str">
        <f t="shared" si="56"/>
        <v>Snitzer</v>
      </c>
    </row>
    <row r="1194" spans="1:5" ht="15.5" x14ac:dyDescent="0.35">
      <c r="A1194" s="1" t="s">
        <v>1178</v>
      </c>
      <c r="B1194" s="1" t="s">
        <v>3576</v>
      </c>
      <c r="C1194" t="str">
        <f t="shared" si="54"/>
        <v>Ms.</v>
      </c>
      <c r="D1194" t="str">
        <f t="shared" si="55"/>
        <v>Gabriela</v>
      </c>
      <c r="E1194" t="str">
        <f t="shared" si="56"/>
        <v>Herra Arroyo</v>
      </c>
    </row>
    <row r="1195" spans="1:5" ht="15.5" x14ac:dyDescent="0.35">
      <c r="A1195" s="1" t="s">
        <v>1177</v>
      </c>
      <c r="B1195" s="1" t="s">
        <v>3577</v>
      </c>
      <c r="C1195" t="str">
        <f t="shared" si="54"/>
        <v>Ms.</v>
      </c>
      <c r="D1195" t="str">
        <f t="shared" si="55"/>
        <v>Amanda</v>
      </c>
      <c r="E1195" t="str">
        <f t="shared" si="56"/>
        <v>Watters</v>
      </c>
    </row>
    <row r="1196" spans="1:5" ht="15.5" x14ac:dyDescent="0.35">
      <c r="A1196" s="1" t="s">
        <v>1176</v>
      </c>
      <c r="B1196" s="1" t="s">
        <v>3578</v>
      </c>
      <c r="C1196" t="str">
        <f t="shared" si="54"/>
        <v>Ms.</v>
      </c>
      <c r="D1196" t="str">
        <f t="shared" si="55"/>
        <v>Dara</v>
      </c>
      <c r="E1196" t="str">
        <f t="shared" si="56"/>
        <v>Steele-Belkin</v>
      </c>
    </row>
    <row r="1197" spans="1:5" ht="15.5" x14ac:dyDescent="0.35">
      <c r="A1197" s="1" t="s">
        <v>1175</v>
      </c>
      <c r="B1197" s="1" t="s">
        <v>3579</v>
      </c>
      <c r="C1197" t="str">
        <f t="shared" si="54"/>
        <v>Ms.</v>
      </c>
      <c r="D1197" t="str">
        <f t="shared" si="55"/>
        <v>Rachelle R</v>
      </c>
      <c r="E1197" t="str">
        <f t="shared" si="56"/>
        <v>Christensen</v>
      </c>
    </row>
    <row r="1198" spans="1:5" ht="15.5" x14ac:dyDescent="0.35">
      <c r="A1198" s="1" t="s">
        <v>1174</v>
      </c>
      <c r="B1198" s="1" t="s">
        <v>3580</v>
      </c>
      <c r="C1198" t="str">
        <f t="shared" si="54"/>
        <v>Ms.</v>
      </c>
      <c r="D1198" t="str">
        <f t="shared" si="55"/>
        <v>Brenda J</v>
      </c>
      <c r="E1198" t="str">
        <f t="shared" si="56"/>
        <v>Hodge</v>
      </c>
    </row>
    <row r="1199" spans="1:5" ht="15.5" x14ac:dyDescent="0.35">
      <c r="A1199" s="1" t="s">
        <v>1173</v>
      </c>
      <c r="B1199" s="1" t="s">
        <v>3581</v>
      </c>
      <c r="C1199" t="str">
        <f t="shared" si="54"/>
        <v>Mr.</v>
      </c>
      <c r="D1199" t="str">
        <f t="shared" si="55"/>
        <v>Tim</v>
      </c>
      <c r="E1199" t="str">
        <f t="shared" si="56"/>
        <v>Rusterholz</v>
      </c>
    </row>
    <row r="1200" spans="1:5" ht="15.5" x14ac:dyDescent="0.35">
      <c r="A1200" s="1" t="s">
        <v>1172</v>
      </c>
      <c r="B1200" s="1" t="s">
        <v>3582</v>
      </c>
      <c r="C1200" t="str">
        <f t="shared" si="54"/>
        <v>Mr.</v>
      </c>
      <c r="D1200" t="str">
        <f t="shared" si="55"/>
        <v>Sylvain</v>
      </c>
      <c r="E1200" t="str">
        <f t="shared" si="56"/>
        <v>Lafrance</v>
      </c>
    </row>
    <row r="1201" spans="1:5" ht="15.5" x14ac:dyDescent="0.35">
      <c r="A1201" s="1" t="s">
        <v>1171</v>
      </c>
      <c r="B1201" s="1" t="s">
        <v>3583</v>
      </c>
      <c r="C1201" t="str">
        <f t="shared" si="54"/>
        <v>Mrs.</v>
      </c>
      <c r="D1201" t="str">
        <f t="shared" si="55"/>
        <v>Lisa M</v>
      </c>
      <c r="E1201" t="str">
        <f t="shared" si="56"/>
        <v>Hallis</v>
      </c>
    </row>
    <row r="1202" spans="1:5" ht="15.5" x14ac:dyDescent="0.35">
      <c r="A1202" s="1" t="s">
        <v>1170</v>
      </c>
      <c r="B1202" s="1" t="s">
        <v>3584</v>
      </c>
      <c r="C1202" t="str">
        <f t="shared" si="54"/>
        <v>Mr.</v>
      </c>
      <c r="D1202" t="str">
        <f t="shared" si="55"/>
        <v>Ryan</v>
      </c>
      <c r="E1202" t="str">
        <f t="shared" si="56"/>
        <v>Marshall</v>
      </c>
    </row>
    <row r="1203" spans="1:5" ht="15.5" x14ac:dyDescent="0.35">
      <c r="A1203" s="1" t="s">
        <v>1169</v>
      </c>
      <c r="B1203" s="1" t="s">
        <v>3585</v>
      </c>
      <c r="C1203" t="str">
        <f t="shared" si="54"/>
        <v>Mrs.</v>
      </c>
      <c r="D1203" t="str">
        <f t="shared" si="55"/>
        <v>Kaitlin M</v>
      </c>
      <c r="E1203" t="str">
        <f t="shared" si="56"/>
        <v>Salowitz</v>
      </c>
    </row>
    <row r="1204" spans="1:5" ht="15.5" x14ac:dyDescent="0.35">
      <c r="A1204" s="1" t="s">
        <v>1168</v>
      </c>
      <c r="B1204" s="1" t="s">
        <v>3586</v>
      </c>
      <c r="C1204" t="str">
        <f t="shared" si="54"/>
        <v>Mr.</v>
      </c>
      <c r="D1204" t="str">
        <f t="shared" si="55"/>
        <v>William R.</v>
      </c>
      <c r="E1204" t="str">
        <f t="shared" si="56"/>
        <v>Blake</v>
      </c>
    </row>
    <row r="1205" spans="1:5" ht="15.5" x14ac:dyDescent="0.35">
      <c r="A1205" s="1" t="s">
        <v>1167</v>
      </c>
      <c r="B1205" s="1" t="s">
        <v>3587</v>
      </c>
      <c r="C1205" t="str">
        <f t="shared" si="54"/>
        <v>Mr.</v>
      </c>
      <c r="D1205" t="str">
        <f t="shared" si="55"/>
        <v>Bruce</v>
      </c>
      <c r="E1205" t="str">
        <f t="shared" si="56"/>
        <v>Langerak</v>
      </c>
    </row>
    <row r="1206" spans="1:5" ht="15.5" x14ac:dyDescent="0.35">
      <c r="A1206" s="1" t="s">
        <v>1166</v>
      </c>
      <c r="B1206" s="1" t="s">
        <v>3588</v>
      </c>
      <c r="C1206" t="str">
        <f t="shared" si="54"/>
        <v>Mrs.</v>
      </c>
      <c r="D1206" t="str">
        <f t="shared" si="55"/>
        <v>Veronica</v>
      </c>
      <c r="E1206" t="str">
        <f t="shared" si="56"/>
        <v>Bonilla</v>
      </c>
    </row>
    <row r="1207" spans="1:5" ht="15.5" x14ac:dyDescent="0.35">
      <c r="A1207" s="1" t="s">
        <v>1165</v>
      </c>
      <c r="B1207" s="1" t="s">
        <v>3589</v>
      </c>
      <c r="C1207" t="str">
        <f t="shared" si="54"/>
        <v>Mr.</v>
      </c>
      <c r="D1207" t="str">
        <f t="shared" si="55"/>
        <v>Warren</v>
      </c>
      <c r="E1207" t="str">
        <f t="shared" si="56"/>
        <v>Ciabattoni</v>
      </c>
    </row>
    <row r="1208" spans="1:5" ht="15.5" x14ac:dyDescent="0.35">
      <c r="A1208" s="1" t="s">
        <v>1164</v>
      </c>
      <c r="B1208" s="1" t="s">
        <v>3590</v>
      </c>
      <c r="C1208" t="str">
        <f t="shared" si="54"/>
        <v>Mrs.</v>
      </c>
      <c r="D1208" t="str">
        <f t="shared" si="55"/>
        <v>Daniela</v>
      </c>
      <c r="E1208" t="str">
        <f t="shared" si="56"/>
        <v>Escanero Palmer</v>
      </c>
    </row>
    <row r="1209" spans="1:5" ht="15.5" x14ac:dyDescent="0.35">
      <c r="A1209" s="1" t="s">
        <v>1163</v>
      </c>
      <c r="B1209" s="1" t="s">
        <v>3591</v>
      </c>
      <c r="C1209" t="str">
        <f t="shared" si="54"/>
        <v>Ms.</v>
      </c>
      <c r="D1209" t="str">
        <f t="shared" si="55"/>
        <v>Deirdre A</v>
      </c>
      <c r="E1209" t="str">
        <f t="shared" si="56"/>
        <v>Lowe</v>
      </c>
    </row>
    <row r="1210" spans="1:5" ht="15.5" x14ac:dyDescent="0.35">
      <c r="A1210" s="1" t="s">
        <v>1162</v>
      </c>
      <c r="B1210" s="1" t="s">
        <v>3592</v>
      </c>
      <c r="C1210" t="str">
        <f t="shared" si="54"/>
        <v>Mr.</v>
      </c>
      <c r="D1210" t="str">
        <f t="shared" si="55"/>
        <v>Mathias</v>
      </c>
      <c r="E1210" t="str">
        <f t="shared" si="56"/>
        <v>Osmark</v>
      </c>
    </row>
    <row r="1211" spans="1:5" ht="15.5" x14ac:dyDescent="0.35">
      <c r="A1211" s="1" t="s">
        <v>1161</v>
      </c>
      <c r="B1211" s="1" t="s">
        <v>3593</v>
      </c>
      <c r="C1211" t="str">
        <f t="shared" si="54"/>
        <v>Mr.</v>
      </c>
      <c r="D1211" t="str">
        <f t="shared" si="55"/>
        <v>Matthew</v>
      </c>
      <c r="E1211" t="str">
        <f t="shared" si="56"/>
        <v>Lawson</v>
      </c>
    </row>
    <row r="1212" spans="1:5" ht="15.5" x14ac:dyDescent="0.35">
      <c r="A1212" s="1" t="s">
        <v>1160</v>
      </c>
      <c r="B1212" s="1" t="s">
        <v>3594</v>
      </c>
      <c r="C1212" t="str">
        <f t="shared" si="54"/>
        <v>Mr.</v>
      </c>
      <c r="D1212" t="str">
        <f t="shared" si="55"/>
        <v>Kurt</v>
      </c>
      <c r="E1212" t="str">
        <f t="shared" si="56"/>
        <v>Warwick</v>
      </c>
    </row>
    <row r="1213" spans="1:5" ht="15.5" x14ac:dyDescent="0.35">
      <c r="A1213" s="1" t="s">
        <v>1159</v>
      </c>
      <c r="B1213" s="1" t="s">
        <v>3595</v>
      </c>
      <c r="C1213" t="str">
        <f t="shared" si="54"/>
        <v>Mr.</v>
      </c>
      <c r="D1213" t="str">
        <f t="shared" si="55"/>
        <v>Samuel</v>
      </c>
      <c r="E1213" t="str">
        <f t="shared" si="56"/>
        <v>Magnuson</v>
      </c>
    </row>
    <row r="1214" spans="1:5" ht="15.5" x14ac:dyDescent="0.35">
      <c r="A1214" s="1" t="s">
        <v>1158</v>
      </c>
      <c r="B1214" s="1" t="s">
        <v>3596</v>
      </c>
      <c r="C1214" t="str">
        <f t="shared" si="54"/>
        <v>Mrs.</v>
      </c>
      <c r="D1214" t="str">
        <f t="shared" si="55"/>
        <v>Emily</v>
      </c>
      <c r="E1214" t="str">
        <f t="shared" si="56"/>
        <v>Marsh</v>
      </c>
    </row>
    <row r="1215" spans="1:5" ht="15.5" x14ac:dyDescent="0.35">
      <c r="A1215" s="1" t="s">
        <v>1157</v>
      </c>
      <c r="B1215" s="1" t="s">
        <v>3597</v>
      </c>
      <c r="C1215" t="str">
        <f t="shared" si="54"/>
        <v>Ms.</v>
      </c>
      <c r="D1215" t="str">
        <f t="shared" si="55"/>
        <v>Tiffany</v>
      </c>
      <c r="E1215" t="str">
        <f t="shared" si="56"/>
        <v>Kari</v>
      </c>
    </row>
    <row r="1216" spans="1:5" ht="15.5" x14ac:dyDescent="0.35">
      <c r="A1216" s="1" t="s">
        <v>1156</v>
      </c>
      <c r="B1216" s="1" t="s">
        <v>3598</v>
      </c>
      <c r="C1216" t="str">
        <f t="shared" si="54"/>
        <v>Mr.</v>
      </c>
      <c r="D1216" t="str">
        <f t="shared" si="55"/>
        <v>Alex F</v>
      </c>
      <c r="E1216" t="str">
        <f t="shared" si="56"/>
        <v>Standiford</v>
      </c>
    </row>
    <row r="1217" spans="1:5" ht="15.5" x14ac:dyDescent="0.35">
      <c r="A1217" s="1" t="s">
        <v>1155</v>
      </c>
      <c r="B1217" s="1" t="s">
        <v>3599</v>
      </c>
      <c r="C1217" t="str">
        <f t="shared" si="54"/>
        <v>Ms.</v>
      </c>
      <c r="D1217" t="str">
        <f t="shared" si="55"/>
        <v>Alice</v>
      </c>
      <c r="E1217" t="str">
        <f t="shared" si="56"/>
        <v>Sherwin</v>
      </c>
    </row>
    <row r="1218" spans="1:5" ht="15.5" x14ac:dyDescent="0.35">
      <c r="A1218" s="1" t="s">
        <v>1154</v>
      </c>
      <c r="B1218" s="1" t="s">
        <v>3600</v>
      </c>
      <c r="C1218" t="str">
        <f t="shared" si="54"/>
        <v>Ms.</v>
      </c>
      <c r="D1218" t="str">
        <f t="shared" si="55"/>
        <v>Allison M.</v>
      </c>
      <c r="E1218" t="str">
        <f t="shared" si="56"/>
        <v>Parker</v>
      </c>
    </row>
    <row r="1219" spans="1:5" ht="15.5" x14ac:dyDescent="0.35">
      <c r="A1219" s="1" t="s">
        <v>1153</v>
      </c>
      <c r="B1219" s="1" t="s">
        <v>3601</v>
      </c>
      <c r="C1219" t="str">
        <f t="shared" ref="C1219:C1282" si="57">TRIM(MID(B1219,FIND(",",B1219)+1,FIND(".",B1219)-FIND(",",B1219)))</f>
        <v>Mr.</v>
      </c>
      <c r="D1219" t="str">
        <f t="shared" ref="D1219:D1282" si="58">TRIM(MID(B1219,FIND(".",B1219)+1,LEN(B1219)))</f>
        <v>Johannes Fiskerstand</v>
      </c>
      <c r="E1219" t="str">
        <f t="shared" ref="E1219:E1282" si="59">TRIM(LEFT(B1219,FIND(",",B1219)-1))</f>
        <v>Blekeli</v>
      </c>
    </row>
    <row r="1220" spans="1:5" ht="15.5" x14ac:dyDescent="0.35">
      <c r="A1220" s="1" t="s">
        <v>1152</v>
      </c>
      <c r="B1220" s="1" t="s">
        <v>3602</v>
      </c>
      <c r="C1220" t="str">
        <f t="shared" si="57"/>
        <v>Mr.</v>
      </c>
      <c r="D1220" t="str">
        <f t="shared" si="58"/>
        <v>Stephen</v>
      </c>
      <c r="E1220" t="str">
        <f t="shared" si="59"/>
        <v>Vangampleare</v>
      </c>
    </row>
    <row r="1221" spans="1:5" ht="15.5" x14ac:dyDescent="0.35">
      <c r="A1221" s="1" t="s">
        <v>1151</v>
      </c>
      <c r="B1221" s="1" t="s">
        <v>3603</v>
      </c>
      <c r="C1221" t="str">
        <f t="shared" si="57"/>
        <v>Mr.</v>
      </c>
      <c r="D1221" t="str">
        <f t="shared" si="58"/>
        <v>Jon M</v>
      </c>
      <c r="E1221" t="str">
        <f t="shared" si="59"/>
        <v>Hiatt</v>
      </c>
    </row>
    <row r="1222" spans="1:5" ht="15.5" x14ac:dyDescent="0.35">
      <c r="A1222" s="1" t="s">
        <v>1150</v>
      </c>
      <c r="B1222" s="1" t="s">
        <v>3604</v>
      </c>
      <c r="C1222" t="str">
        <f t="shared" si="57"/>
        <v>Mr.</v>
      </c>
      <c r="D1222" t="str">
        <f t="shared" si="58"/>
        <v>Fasil</v>
      </c>
      <c r="E1222" t="str">
        <f t="shared" si="59"/>
        <v>Tadesse</v>
      </c>
    </row>
    <row r="1223" spans="1:5" ht="15.5" x14ac:dyDescent="0.35">
      <c r="A1223" s="1" t="s">
        <v>1149</v>
      </c>
      <c r="B1223" s="1" t="s">
        <v>3605</v>
      </c>
      <c r="C1223" t="str">
        <f t="shared" si="57"/>
        <v>Ms.</v>
      </c>
      <c r="D1223" t="str">
        <f t="shared" si="58"/>
        <v>Megan C.</v>
      </c>
      <c r="E1223" t="str">
        <f t="shared" si="59"/>
        <v>Jaswell</v>
      </c>
    </row>
    <row r="1224" spans="1:5" ht="15.5" x14ac:dyDescent="0.35">
      <c r="A1224" s="1" t="s">
        <v>1148</v>
      </c>
      <c r="B1224" s="1" t="s">
        <v>3606</v>
      </c>
      <c r="C1224" t="str">
        <f t="shared" si="57"/>
        <v>Ms.</v>
      </c>
      <c r="D1224" t="str">
        <f t="shared" si="58"/>
        <v>Lisa J.</v>
      </c>
      <c r="E1224" t="str">
        <f t="shared" si="59"/>
        <v>Phillips-Cook</v>
      </c>
    </row>
    <row r="1225" spans="1:5" ht="15.5" x14ac:dyDescent="0.35">
      <c r="A1225" s="1" t="s">
        <v>1147</v>
      </c>
      <c r="B1225" s="1" t="s">
        <v>3607</v>
      </c>
      <c r="C1225" t="str">
        <f t="shared" si="57"/>
        <v>Mr.</v>
      </c>
      <c r="D1225" t="str">
        <f t="shared" si="58"/>
        <v>Doron P</v>
      </c>
      <c r="E1225" t="str">
        <f t="shared" si="59"/>
        <v>Clark</v>
      </c>
    </row>
    <row r="1226" spans="1:5" ht="15.5" x14ac:dyDescent="0.35">
      <c r="A1226" s="1" t="s">
        <v>1146</v>
      </c>
      <c r="B1226" s="1" t="s">
        <v>3608</v>
      </c>
      <c r="C1226" t="str">
        <f t="shared" si="57"/>
        <v>Ms.</v>
      </c>
      <c r="D1226" t="str">
        <f t="shared" si="58"/>
        <v>Katharina</v>
      </c>
      <c r="E1226" t="str">
        <f t="shared" si="59"/>
        <v>Wang</v>
      </c>
    </row>
    <row r="1227" spans="1:5" ht="15.5" x14ac:dyDescent="0.35">
      <c r="A1227" s="1" t="s">
        <v>1145</v>
      </c>
      <c r="B1227" s="1" t="s">
        <v>3609</v>
      </c>
      <c r="C1227" t="str">
        <f t="shared" si="57"/>
        <v>Mr.</v>
      </c>
      <c r="D1227" t="str">
        <f t="shared" si="58"/>
        <v>Carl</v>
      </c>
      <c r="E1227" t="str">
        <f t="shared" si="59"/>
        <v>Desruisseaux</v>
      </c>
    </row>
    <row r="1228" spans="1:5" ht="15.5" x14ac:dyDescent="0.35">
      <c r="A1228" s="1" t="s">
        <v>1144</v>
      </c>
      <c r="B1228" s="1" t="s">
        <v>3610</v>
      </c>
      <c r="C1228" t="str">
        <f t="shared" si="57"/>
        <v>Ms.</v>
      </c>
      <c r="D1228" t="str">
        <f t="shared" si="58"/>
        <v>Kelsey J.</v>
      </c>
      <c r="E1228" t="str">
        <f t="shared" si="59"/>
        <v>Ripp</v>
      </c>
    </row>
    <row r="1229" spans="1:5" ht="15.5" x14ac:dyDescent="0.35">
      <c r="A1229" s="1" t="s">
        <v>1143</v>
      </c>
      <c r="B1229" s="1" t="s">
        <v>3611</v>
      </c>
      <c r="C1229" t="str">
        <f t="shared" si="57"/>
        <v>Mr.</v>
      </c>
      <c r="D1229" t="str">
        <f t="shared" si="58"/>
        <v>Stephen A.</v>
      </c>
      <c r="E1229" t="str">
        <f t="shared" si="59"/>
        <v>Harris</v>
      </c>
    </row>
    <row r="1230" spans="1:5" ht="15.5" x14ac:dyDescent="0.35">
      <c r="A1230" s="1" t="s">
        <v>1142</v>
      </c>
      <c r="B1230" s="1" t="s">
        <v>3612</v>
      </c>
      <c r="C1230" t="str">
        <f t="shared" si="57"/>
        <v>Mr.</v>
      </c>
      <c r="D1230" t="str">
        <f t="shared" si="58"/>
        <v>Dan</v>
      </c>
      <c r="E1230" t="str">
        <f t="shared" si="59"/>
        <v>Shafer</v>
      </c>
    </row>
    <row r="1231" spans="1:5" ht="15.5" x14ac:dyDescent="0.35">
      <c r="A1231" s="1" t="s">
        <v>1141</v>
      </c>
      <c r="B1231" s="1" t="s">
        <v>3613</v>
      </c>
      <c r="C1231" t="str">
        <f t="shared" si="57"/>
        <v>Ms.</v>
      </c>
      <c r="D1231" t="str">
        <f t="shared" si="58"/>
        <v>Katie C</v>
      </c>
      <c r="E1231" t="str">
        <f t="shared" si="59"/>
        <v>Hemesath</v>
      </c>
    </row>
    <row r="1232" spans="1:5" ht="15.5" x14ac:dyDescent="0.35">
      <c r="A1232" s="1" t="s">
        <v>1140</v>
      </c>
      <c r="B1232" s="1" t="s">
        <v>3614</v>
      </c>
      <c r="C1232" t="str">
        <f t="shared" si="57"/>
        <v>Ms.</v>
      </c>
      <c r="D1232" t="str">
        <f t="shared" si="58"/>
        <v>Melissa K</v>
      </c>
      <c r="E1232" t="str">
        <f t="shared" si="59"/>
        <v>Vinci</v>
      </c>
    </row>
    <row r="1233" spans="1:5" ht="15.5" x14ac:dyDescent="0.35">
      <c r="A1233" s="1" t="s">
        <v>1139</v>
      </c>
      <c r="B1233" s="1" t="s">
        <v>3615</v>
      </c>
      <c r="C1233" t="str">
        <f t="shared" si="57"/>
        <v>Ms.</v>
      </c>
      <c r="D1233" t="str">
        <f t="shared" si="58"/>
        <v>Kara H</v>
      </c>
      <c r="E1233" t="str">
        <f t="shared" si="59"/>
        <v>Diamond-Husmann</v>
      </c>
    </row>
    <row r="1234" spans="1:5" ht="15.5" x14ac:dyDescent="0.35">
      <c r="A1234" s="1" t="s">
        <v>1138</v>
      </c>
      <c r="B1234" s="1" t="s">
        <v>3616</v>
      </c>
      <c r="C1234" t="str">
        <f t="shared" si="57"/>
        <v>Mr.</v>
      </c>
      <c r="D1234" t="str">
        <f t="shared" si="58"/>
        <v>Juan Carlos</v>
      </c>
      <c r="E1234" t="str">
        <f t="shared" si="59"/>
        <v>Soto</v>
      </c>
    </row>
    <row r="1235" spans="1:5" ht="15.5" x14ac:dyDescent="0.35">
      <c r="A1235" s="1" t="s">
        <v>1137</v>
      </c>
      <c r="B1235" s="1" t="s">
        <v>3617</v>
      </c>
      <c r="C1235" t="str">
        <f t="shared" si="57"/>
        <v>Mr.</v>
      </c>
      <c r="D1235" t="str">
        <f t="shared" si="58"/>
        <v>John III</v>
      </c>
      <c r="E1235" t="str">
        <f t="shared" si="59"/>
        <v>Howard</v>
      </c>
    </row>
    <row r="1236" spans="1:5" ht="15.5" x14ac:dyDescent="0.35">
      <c r="A1236" s="1" t="s">
        <v>1136</v>
      </c>
      <c r="B1236" s="1" t="s">
        <v>3618</v>
      </c>
      <c r="C1236" t="str">
        <f t="shared" si="57"/>
        <v>Mrs.</v>
      </c>
      <c r="D1236" t="str">
        <f t="shared" si="58"/>
        <v>Sarah M</v>
      </c>
      <c r="E1236" t="str">
        <f t="shared" si="59"/>
        <v>Patrick</v>
      </c>
    </row>
    <row r="1237" spans="1:5" ht="15.5" x14ac:dyDescent="0.35">
      <c r="A1237" s="1" t="s">
        <v>1135</v>
      </c>
      <c r="B1237" s="1" t="s">
        <v>3619</v>
      </c>
      <c r="C1237" t="str">
        <f t="shared" si="57"/>
        <v>Mrs.</v>
      </c>
      <c r="D1237" t="str">
        <f t="shared" si="58"/>
        <v>Kristin C</v>
      </c>
      <c r="E1237" t="str">
        <f t="shared" si="59"/>
        <v>Dacko</v>
      </c>
    </row>
    <row r="1238" spans="1:5" ht="15.5" x14ac:dyDescent="0.35">
      <c r="A1238" s="1" t="s">
        <v>1134</v>
      </c>
      <c r="B1238" s="1" t="s">
        <v>3620</v>
      </c>
      <c r="C1238" t="str">
        <f t="shared" si="57"/>
        <v>Ms.</v>
      </c>
      <c r="D1238" t="str">
        <f t="shared" si="58"/>
        <v>Casey M.</v>
      </c>
      <c r="E1238" t="str">
        <f t="shared" si="59"/>
        <v>Glassey</v>
      </c>
    </row>
    <row r="1239" spans="1:5" ht="15.5" x14ac:dyDescent="0.35">
      <c r="A1239" s="1" t="s">
        <v>1133</v>
      </c>
      <c r="B1239" s="1" t="s">
        <v>3621</v>
      </c>
      <c r="C1239" t="str">
        <f t="shared" si="57"/>
        <v>Mr.</v>
      </c>
      <c r="D1239" t="str">
        <f t="shared" si="58"/>
        <v>Samuel</v>
      </c>
      <c r="E1239" t="str">
        <f t="shared" si="59"/>
        <v>Frechette</v>
      </c>
    </row>
    <row r="1240" spans="1:5" ht="15.5" x14ac:dyDescent="0.35">
      <c r="A1240" s="1" t="s">
        <v>1132</v>
      </c>
      <c r="B1240" s="1" t="s">
        <v>3622</v>
      </c>
      <c r="C1240" t="str">
        <f t="shared" si="57"/>
        <v>Mr.</v>
      </c>
      <c r="D1240" t="str">
        <f t="shared" si="58"/>
        <v>Braulio</v>
      </c>
      <c r="E1240" t="str">
        <f t="shared" si="59"/>
        <v>Benitez</v>
      </c>
    </row>
    <row r="1241" spans="1:5" ht="15.5" x14ac:dyDescent="0.35">
      <c r="A1241" s="1" t="s">
        <v>1131</v>
      </c>
      <c r="B1241" s="1" t="s">
        <v>3623</v>
      </c>
      <c r="C1241" t="str">
        <f t="shared" si="57"/>
        <v>Ms.</v>
      </c>
      <c r="D1241" t="str">
        <f t="shared" si="58"/>
        <v>Anne-Marie</v>
      </c>
      <c r="E1241" t="str">
        <f t="shared" si="59"/>
        <v>Gauthier</v>
      </c>
    </row>
    <row r="1242" spans="1:5" ht="15.5" x14ac:dyDescent="0.35">
      <c r="A1242" s="1" t="s">
        <v>1130</v>
      </c>
      <c r="B1242" s="1" t="s">
        <v>3624</v>
      </c>
      <c r="C1242" t="str">
        <f t="shared" si="57"/>
        <v>Mr.</v>
      </c>
      <c r="D1242" t="str">
        <f t="shared" si="58"/>
        <v>Samuel K.</v>
      </c>
      <c r="E1242" t="str">
        <f t="shared" si="59"/>
        <v>Fazioli</v>
      </c>
    </row>
    <row r="1243" spans="1:5" ht="15.5" x14ac:dyDescent="0.35">
      <c r="A1243" s="1" t="s">
        <v>1129</v>
      </c>
      <c r="B1243" s="1" t="s">
        <v>3625</v>
      </c>
      <c r="C1243" t="str">
        <f t="shared" si="57"/>
        <v>Mrs.</v>
      </c>
      <c r="D1243" t="str">
        <f t="shared" si="58"/>
        <v>Yuki</v>
      </c>
      <c r="E1243" t="str">
        <f t="shared" si="59"/>
        <v>Chorney</v>
      </c>
    </row>
    <row r="1244" spans="1:5" ht="15.5" x14ac:dyDescent="0.35">
      <c r="A1244" s="1" t="s">
        <v>1128</v>
      </c>
      <c r="B1244" s="1" t="s">
        <v>3626</v>
      </c>
      <c r="C1244" t="str">
        <f t="shared" si="57"/>
        <v>Mr.</v>
      </c>
      <c r="D1244" t="str">
        <f t="shared" si="58"/>
        <v>Rafer</v>
      </c>
      <c r="E1244" t="str">
        <f t="shared" si="59"/>
        <v>Dannenhauer</v>
      </c>
    </row>
    <row r="1245" spans="1:5" ht="15.5" x14ac:dyDescent="0.35">
      <c r="A1245" s="1" t="s">
        <v>1127</v>
      </c>
      <c r="B1245" s="1" t="s">
        <v>3627</v>
      </c>
      <c r="C1245" t="str">
        <f t="shared" si="57"/>
        <v>Ms.</v>
      </c>
      <c r="D1245" t="str">
        <f t="shared" si="58"/>
        <v>Claire</v>
      </c>
      <c r="E1245" t="str">
        <f t="shared" si="59"/>
        <v>McComb</v>
      </c>
    </row>
    <row r="1246" spans="1:5" ht="15.5" x14ac:dyDescent="0.35">
      <c r="A1246" s="1" t="s">
        <v>1126</v>
      </c>
      <c r="B1246" s="1" t="s">
        <v>3628</v>
      </c>
      <c r="C1246" t="str">
        <f t="shared" si="57"/>
        <v>Ms.</v>
      </c>
      <c r="D1246" t="str">
        <f t="shared" si="58"/>
        <v>Erynn J.</v>
      </c>
      <c r="E1246" t="str">
        <f t="shared" si="59"/>
        <v>Blake</v>
      </c>
    </row>
    <row r="1247" spans="1:5" ht="15.5" x14ac:dyDescent="0.35">
      <c r="A1247" s="1" t="s">
        <v>1125</v>
      </c>
      <c r="B1247" s="1" t="s">
        <v>3629</v>
      </c>
      <c r="C1247" t="str">
        <f t="shared" si="57"/>
        <v>Mr.</v>
      </c>
      <c r="D1247" t="str">
        <f t="shared" si="58"/>
        <v>Mahesh</v>
      </c>
      <c r="E1247" t="str">
        <f t="shared" si="59"/>
        <v>Sambasivam</v>
      </c>
    </row>
    <row r="1248" spans="1:5" ht="15.5" x14ac:dyDescent="0.35">
      <c r="A1248" s="1" t="s">
        <v>1124</v>
      </c>
      <c r="B1248" s="1" t="s">
        <v>3630</v>
      </c>
      <c r="C1248" t="str">
        <f t="shared" si="57"/>
        <v>Mr.</v>
      </c>
      <c r="D1248" t="str">
        <f t="shared" si="58"/>
        <v>Stanley</v>
      </c>
      <c r="E1248" t="str">
        <f t="shared" si="59"/>
        <v>Maina</v>
      </c>
    </row>
    <row r="1249" spans="1:5" ht="15.5" x14ac:dyDescent="0.35">
      <c r="A1249" s="1" t="s">
        <v>1123</v>
      </c>
      <c r="B1249" s="1" t="s">
        <v>3631</v>
      </c>
      <c r="C1249" t="str">
        <f t="shared" si="57"/>
        <v>Mr.</v>
      </c>
      <c r="D1249" t="str">
        <f t="shared" si="58"/>
        <v>Gregory</v>
      </c>
      <c r="E1249" t="str">
        <f t="shared" si="59"/>
        <v>Keshian</v>
      </c>
    </row>
    <row r="1250" spans="1:5" ht="15.5" x14ac:dyDescent="0.35">
      <c r="A1250" s="1" t="s">
        <v>1122</v>
      </c>
      <c r="B1250" s="1" t="s">
        <v>3632</v>
      </c>
      <c r="C1250" t="str">
        <f t="shared" si="57"/>
        <v>Mr.</v>
      </c>
      <c r="D1250" t="str">
        <f t="shared" si="58"/>
        <v>Eric</v>
      </c>
      <c r="E1250" t="str">
        <f t="shared" si="59"/>
        <v>Maas</v>
      </c>
    </row>
    <row r="1251" spans="1:5" ht="15.5" x14ac:dyDescent="0.35">
      <c r="A1251" s="1" t="s">
        <v>1121</v>
      </c>
      <c r="B1251" s="1" t="s">
        <v>3633</v>
      </c>
      <c r="C1251" t="str">
        <f t="shared" si="57"/>
        <v>Ms.</v>
      </c>
      <c r="D1251" t="str">
        <f t="shared" si="58"/>
        <v>Rachel M</v>
      </c>
      <c r="E1251" t="str">
        <f t="shared" si="59"/>
        <v>Sinasac</v>
      </c>
    </row>
    <row r="1252" spans="1:5" ht="15.5" x14ac:dyDescent="0.35">
      <c r="A1252" s="1" t="s">
        <v>1120</v>
      </c>
      <c r="B1252" s="1" t="s">
        <v>3634</v>
      </c>
      <c r="C1252" t="str">
        <f t="shared" si="57"/>
        <v>Mr.</v>
      </c>
      <c r="D1252" t="str">
        <f t="shared" si="58"/>
        <v>Fritz</v>
      </c>
      <c r="E1252" t="str">
        <f t="shared" si="59"/>
        <v>Van De Kamp</v>
      </c>
    </row>
    <row r="1253" spans="1:5" ht="15.5" x14ac:dyDescent="0.35">
      <c r="A1253" s="1" t="s">
        <v>1119</v>
      </c>
      <c r="B1253" s="1" t="s">
        <v>3635</v>
      </c>
      <c r="C1253" t="str">
        <f t="shared" si="57"/>
        <v>Mr.</v>
      </c>
      <c r="D1253" t="str">
        <f t="shared" si="58"/>
        <v>Brad</v>
      </c>
      <c r="E1253" t="str">
        <f t="shared" si="59"/>
        <v>Ruffo</v>
      </c>
    </row>
    <row r="1254" spans="1:5" ht="15.5" x14ac:dyDescent="0.35">
      <c r="A1254" s="1" t="s">
        <v>1118</v>
      </c>
      <c r="B1254" s="1" t="s">
        <v>3636</v>
      </c>
      <c r="C1254" t="str">
        <f t="shared" si="57"/>
        <v>Ms.</v>
      </c>
      <c r="D1254" t="str">
        <f t="shared" si="58"/>
        <v>Claire M</v>
      </c>
      <c r="E1254" t="str">
        <f t="shared" si="59"/>
        <v>Long</v>
      </c>
    </row>
    <row r="1255" spans="1:5" ht="15.5" x14ac:dyDescent="0.35">
      <c r="A1255" s="1" t="s">
        <v>1117</v>
      </c>
      <c r="B1255" s="1" t="s">
        <v>3637</v>
      </c>
      <c r="C1255" t="str">
        <f t="shared" si="57"/>
        <v>Mrs.</v>
      </c>
      <c r="D1255" t="str">
        <f t="shared" si="58"/>
        <v>Jennifer</v>
      </c>
      <c r="E1255" t="str">
        <f t="shared" si="59"/>
        <v>Rohde</v>
      </c>
    </row>
    <row r="1256" spans="1:5" ht="15.5" x14ac:dyDescent="0.35">
      <c r="A1256" s="1" t="s">
        <v>1116</v>
      </c>
      <c r="B1256" s="1" t="s">
        <v>3638</v>
      </c>
      <c r="C1256" t="str">
        <f t="shared" si="57"/>
        <v>Ms.</v>
      </c>
      <c r="D1256" t="str">
        <f t="shared" si="58"/>
        <v>Maria S.</v>
      </c>
      <c r="E1256" t="str">
        <f t="shared" si="59"/>
        <v>Bonzi</v>
      </c>
    </row>
    <row r="1257" spans="1:5" ht="15.5" x14ac:dyDescent="0.35">
      <c r="A1257" s="1" t="s">
        <v>1115</v>
      </c>
      <c r="B1257" s="1" t="s">
        <v>3639</v>
      </c>
      <c r="C1257" t="str">
        <f t="shared" si="57"/>
        <v>Ms.</v>
      </c>
      <c r="D1257" t="str">
        <f t="shared" si="58"/>
        <v>Katherine E</v>
      </c>
      <c r="E1257" t="str">
        <f t="shared" si="59"/>
        <v>Moore</v>
      </c>
    </row>
    <row r="1258" spans="1:5" ht="15.5" x14ac:dyDescent="0.35">
      <c r="A1258" s="1" t="s">
        <v>1114</v>
      </c>
      <c r="B1258" s="1" t="s">
        <v>3640</v>
      </c>
      <c r="C1258" t="str">
        <f t="shared" si="57"/>
        <v>Mr.</v>
      </c>
      <c r="D1258" t="str">
        <f t="shared" si="58"/>
        <v>Michael</v>
      </c>
      <c r="E1258" t="str">
        <f t="shared" si="59"/>
        <v>McGrane</v>
      </c>
    </row>
    <row r="1259" spans="1:5" ht="15.5" x14ac:dyDescent="0.35">
      <c r="A1259" s="1" t="s">
        <v>1113</v>
      </c>
      <c r="B1259" s="1" t="s">
        <v>3641</v>
      </c>
      <c r="C1259" t="str">
        <f t="shared" si="57"/>
        <v>Ms.</v>
      </c>
      <c r="D1259" t="str">
        <f t="shared" si="58"/>
        <v>Roxanne</v>
      </c>
      <c r="E1259" t="str">
        <f t="shared" si="59"/>
        <v>Stepnowski</v>
      </c>
    </row>
    <row r="1260" spans="1:5" ht="15.5" x14ac:dyDescent="0.35">
      <c r="A1260" s="1" t="s">
        <v>1112</v>
      </c>
      <c r="B1260" s="1" t="s">
        <v>3642</v>
      </c>
      <c r="C1260" t="str">
        <f t="shared" si="57"/>
        <v>Mr.</v>
      </c>
      <c r="D1260" t="str">
        <f t="shared" si="58"/>
        <v>Israel</v>
      </c>
      <c r="E1260" t="str">
        <f t="shared" si="59"/>
        <v>Merkle</v>
      </c>
    </row>
    <row r="1261" spans="1:5" ht="15.5" x14ac:dyDescent="0.35">
      <c r="A1261" s="1" t="s">
        <v>1111</v>
      </c>
      <c r="B1261" s="1" t="s">
        <v>3643</v>
      </c>
      <c r="C1261" t="str">
        <f t="shared" si="57"/>
        <v>Mr.</v>
      </c>
      <c r="D1261" t="str">
        <f t="shared" si="58"/>
        <v>Samalya</v>
      </c>
      <c r="E1261" t="str">
        <f t="shared" si="59"/>
        <v>Schaefer</v>
      </c>
    </row>
    <row r="1262" spans="1:5" ht="15.5" x14ac:dyDescent="0.35">
      <c r="A1262" s="1" t="s">
        <v>1110</v>
      </c>
      <c r="B1262" s="1" t="s">
        <v>3644</v>
      </c>
      <c r="C1262" t="str">
        <f t="shared" si="57"/>
        <v>Mr.</v>
      </c>
      <c r="D1262" t="str">
        <f t="shared" si="58"/>
        <v>Peter</v>
      </c>
      <c r="E1262" t="str">
        <f t="shared" si="59"/>
        <v>Vigneron</v>
      </c>
    </row>
    <row r="1263" spans="1:5" ht="15.5" x14ac:dyDescent="0.35">
      <c r="A1263" s="1" t="s">
        <v>1109</v>
      </c>
      <c r="B1263" s="1" t="s">
        <v>3645</v>
      </c>
      <c r="C1263" t="str">
        <f t="shared" si="57"/>
        <v>Ms.</v>
      </c>
      <c r="D1263" t="str">
        <f t="shared" si="58"/>
        <v>Alicia</v>
      </c>
      <c r="E1263" t="str">
        <f t="shared" si="59"/>
        <v>Mucci</v>
      </c>
    </row>
    <row r="1264" spans="1:5" ht="15.5" x14ac:dyDescent="0.35">
      <c r="A1264" s="1" t="s">
        <v>1108</v>
      </c>
      <c r="B1264" s="1" t="s">
        <v>3646</v>
      </c>
      <c r="C1264" t="str">
        <f t="shared" si="57"/>
        <v>Ms.</v>
      </c>
      <c r="D1264" t="str">
        <f t="shared" si="58"/>
        <v>Sarah K.</v>
      </c>
      <c r="E1264" t="str">
        <f t="shared" si="59"/>
        <v>MacDonald</v>
      </c>
    </row>
    <row r="1265" spans="1:5" ht="15.5" x14ac:dyDescent="0.35">
      <c r="A1265" s="1" t="s">
        <v>1107</v>
      </c>
      <c r="B1265" s="1" t="s">
        <v>3647</v>
      </c>
      <c r="C1265" t="str">
        <f t="shared" si="57"/>
        <v>Mr.</v>
      </c>
      <c r="D1265" t="str">
        <f t="shared" si="58"/>
        <v>Guomin</v>
      </c>
      <c r="E1265" t="str">
        <f t="shared" si="59"/>
        <v>Deng</v>
      </c>
    </row>
    <row r="1266" spans="1:5" ht="15.5" x14ac:dyDescent="0.35">
      <c r="A1266" s="1" t="s">
        <v>1106</v>
      </c>
      <c r="B1266" s="1" t="s">
        <v>3648</v>
      </c>
      <c r="C1266" t="str">
        <f t="shared" si="57"/>
        <v>Mr.</v>
      </c>
      <c r="D1266" t="str">
        <f t="shared" si="58"/>
        <v>Javier</v>
      </c>
      <c r="E1266" t="str">
        <f t="shared" si="59"/>
        <v>De Mata</v>
      </c>
    </row>
    <row r="1267" spans="1:5" ht="15.5" x14ac:dyDescent="0.35">
      <c r="A1267" s="1" t="s">
        <v>1105</v>
      </c>
      <c r="B1267" s="1" t="s">
        <v>3649</v>
      </c>
      <c r="C1267" t="str">
        <f t="shared" si="57"/>
        <v>Mr.</v>
      </c>
      <c r="D1267" t="str">
        <f t="shared" si="58"/>
        <v>Matt</v>
      </c>
      <c r="E1267" t="str">
        <f t="shared" si="59"/>
        <v>Strickland</v>
      </c>
    </row>
    <row r="1268" spans="1:5" ht="15.5" x14ac:dyDescent="0.35">
      <c r="A1268" s="1" t="s">
        <v>1104</v>
      </c>
      <c r="B1268" s="1" t="s">
        <v>3650</v>
      </c>
      <c r="C1268" t="str">
        <f t="shared" si="57"/>
        <v>Mr.</v>
      </c>
      <c r="D1268" t="str">
        <f t="shared" si="58"/>
        <v>Thomas S</v>
      </c>
      <c r="E1268" t="str">
        <f t="shared" si="59"/>
        <v>Cheney</v>
      </c>
    </row>
    <row r="1269" spans="1:5" ht="15.5" x14ac:dyDescent="0.35">
      <c r="A1269" s="1" t="s">
        <v>1103</v>
      </c>
      <c r="B1269" s="1" t="s">
        <v>3651</v>
      </c>
      <c r="C1269" t="str">
        <f t="shared" si="57"/>
        <v>Ms.</v>
      </c>
      <c r="D1269" t="str">
        <f t="shared" si="58"/>
        <v>Martha Patricia</v>
      </c>
      <c r="E1269" t="str">
        <f t="shared" si="59"/>
        <v>Godoy</v>
      </c>
    </row>
    <row r="1270" spans="1:5" ht="15.5" x14ac:dyDescent="0.35">
      <c r="A1270" s="1" t="s">
        <v>1102</v>
      </c>
      <c r="B1270" s="1" t="s">
        <v>3652</v>
      </c>
      <c r="C1270" t="str">
        <f t="shared" si="57"/>
        <v>Ms.</v>
      </c>
      <c r="D1270" t="str">
        <f t="shared" si="58"/>
        <v>Alicia</v>
      </c>
      <c r="E1270" t="str">
        <f t="shared" si="59"/>
        <v>Rider</v>
      </c>
    </row>
    <row r="1271" spans="1:5" ht="15.5" x14ac:dyDescent="0.35">
      <c r="A1271" s="1" t="s">
        <v>1101</v>
      </c>
      <c r="B1271" s="1" t="s">
        <v>3653</v>
      </c>
      <c r="C1271" t="str">
        <f t="shared" si="57"/>
        <v>Ms.</v>
      </c>
      <c r="D1271" t="str">
        <f t="shared" si="58"/>
        <v>Jennifer V.</v>
      </c>
      <c r="E1271" t="str">
        <f t="shared" si="59"/>
        <v>Evans</v>
      </c>
    </row>
    <row r="1272" spans="1:5" ht="15.5" x14ac:dyDescent="0.35">
      <c r="A1272" s="1" t="s">
        <v>1100</v>
      </c>
      <c r="B1272" s="1" t="s">
        <v>3654</v>
      </c>
      <c r="C1272" t="str">
        <f t="shared" si="57"/>
        <v>Mr.</v>
      </c>
      <c r="D1272" t="str">
        <f t="shared" si="58"/>
        <v>Michael W.</v>
      </c>
      <c r="E1272" t="str">
        <f t="shared" si="59"/>
        <v>Anderson</v>
      </c>
    </row>
    <row r="1273" spans="1:5" ht="15.5" x14ac:dyDescent="0.35">
      <c r="A1273" s="1" t="s">
        <v>1099</v>
      </c>
      <c r="B1273" s="1" t="s">
        <v>3655</v>
      </c>
      <c r="C1273" t="str">
        <f t="shared" si="57"/>
        <v>Mr.</v>
      </c>
      <c r="D1273" t="str">
        <f t="shared" si="58"/>
        <v>Eddie C</v>
      </c>
      <c r="E1273" t="str">
        <f t="shared" si="59"/>
        <v>Walters</v>
      </c>
    </row>
    <row r="1274" spans="1:5" ht="15.5" x14ac:dyDescent="0.35">
      <c r="A1274" s="1" t="s">
        <v>1098</v>
      </c>
      <c r="B1274" s="1" t="s">
        <v>3656</v>
      </c>
      <c r="C1274" t="str">
        <f t="shared" si="57"/>
        <v>Mr.</v>
      </c>
      <c r="D1274" t="str">
        <f t="shared" si="58"/>
        <v>Maxime M</v>
      </c>
      <c r="E1274" t="str">
        <f t="shared" si="59"/>
        <v>Leboeuf</v>
      </c>
    </row>
    <row r="1275" spans="1:5" ht="15.5" x14ac:dyDescent="0.35">
      <c r="A1275" s="1" t="s">
        <v>1097</v>
      </c>
      <c r="B1275" s="1" t="s">
        <v>3657</v>
      </c>
      <c r="C1275" t="str">
        <f t="shared" si="57"/>
        <v>Mr.</v>
      </c>
      <c r="D1275" t="str">
        <f t="shared" si="58"/>
        <v>Mark D</v>
      </c>
      <c r="E1275" t="str">
        <f t="shared" si="59"/>
        <v>Scheibel</v>
      </c>
    </row>
    <row r="1276" spans="1:5" ht="15.5" x14ac:dyDescent="0.35">
      <c r="A1276" s="1" t="s">
        <v>1096</v>
      </c>
      <c r="B1276" s="1" t="s">
        <v>3658</v>
      </c>
      <c r="C1276" t="str">
        <f t="shared" si="57"/>
        <v>Mr.</v>
      </c>
      <c r="D1276" t="str">
        <f t="shared" si="58"/>
        <v>Adam</v>
      </c>
      <c r="E1276" t="str">
        <f t="shared" si="59"/>
        <v>Ritter</v>
      </c>
    </row>
    <row r="1277" spans="1:5" ht="15.5" x14ac:dyDescent="0.35">
      <c r="A1277" s="1" t="s">
        <v>1095</v>
      </c>
      <c r="B1277" s="1" t="s">
        <v>3659</v>
      </c>
      <c r="C1277" t="str">
        <f t="shared" si="57"/>
        <v>Mr.</v>
      </c>
      <c r="D1277" t="str">
        <f t="shared" si="58"/>
        <v>Justin M</v>
      </c>
      <c r="E1277" t="str">
        <f t="shared" si="59"/>
        <v>Deeg</v>
      </c>
    </row>
    <row r="1278" spans="1:5" ht="15.5" x14ac:dyDescent="0.35">
      <c r="A1278" s="1" t="s">
        <v>1094</v>
      </c>
      <c r="B1278" s="1" t="s">
        <v>3660</v>
      </c>
      <c r="C1278" t="str">
        <f t="shared" si="57"/>
        <v>Ms.</v>
      </c>
      <c r="D1278" t="str">
        <f t="shared" si="58"/>
        <v>Svetlana V.</v>
      </c>
      <c r="E1278" t="str">
        <f t="shared" si="59"/>
        <v>Pretot</v>
      </c>
    </row>
    <row r="1279" spans="1:5" ht="15.5" x14ac:dyDescent="0.35">
      <c r="A1279" s="1" t="s">
        <v>1093</v>
      </c>
      <c r="B1279" s="1" t="s">
        <v>3661</v>
      </c>
      <c r="C1279" t="str">
        <f t="shared" si="57"/>
        <v>Ms.</v>
      </c>
      <c r="D1279" t="str">
        <f t="shared" si="58"/>
        <v>Jana L</v>
      </c>
      <c r="E1279" t="str">
        <f t="shared" si="59"/>
        <v>Willsey</v>
      </c>
    </row>
    <row r="1280" spans="1:5" ht="15.5" x14ac:dyDescent="0.35">
      <c r="A1280" s="1" t="s">
        <v>1092</v>
      </c>
      <c r="B1280" s="1" t="s">
        <v>3662</v>
      </c>
      <c r="C1280" t="str">
        <f t="shared" si="57"/>
        <v>Ms.</v>
      </c>
      <c r="D1280" t="str">
        <f t="shared" si="58"/>
        <v>Laura</v>
      </c>
      <c r="E1280" t="str">
        <f t="shared" si="59"/>
        <v>Roach</v>
      </c>
    </row>
    <row r="1281" spans="1:5" ht="15.5" x14ac:dyDescent="0.35">
      <c r="A1281" s="1" t="s">
        <v>1091</v>
      </c>
      <c r="B1281" s="1" t="s">
        <v>3663</v>
      </c>
      <c r="C1281" t="str">
        <f t="shared" si="57"/>
        <v>Mr.</v>
      </c>
      <c r="D1281" t="str">
        <f t="shared" si="58"/>
        <v>Torrey C III</v>
      </c>
      <c r="E1281" t="str">
        <f t="shared" si="59"/>
        <v>Jacobsen</v>
      </c>
    </row>
    <row r="1282" spans="1:5" ht="15.5" x14ac:dyDescent="0.35">
      <c r="A1282" s="1" t="s">
        <v>1090</v>
      </c>
      <c r="B1282" s="1" t="s">
        <v>3664</v>
      </c>
      <c r="C1282" t="str">
        <f t="shared" si="57"/>
        <v>Mr.</v>
      </c>
      <c r="D1282" t="str">
        <f t="shared" si="58"/>
        <v>Paul</v>
      </c>
      <c r="E1282" t="str">
        <f t="shared" si="59"/>
        <v>O'Hora</v>
      </c>
    </row>
    <row r="1283" spans="1:5" ht="15.5" x14ac:dyDescent="0.35">
      <c r="A1283" s="1" t="s">
        <v>1089</v>
      </c>
      <c r="B1283" s="1" t="s">
        <v>3665</v>
      </c>
      <c r="C1283" t="str">
        <f t="shared" ref="C1283:C1346" si="60">TRIM(MID(B1283,FIND(",",B1283)+1,FIND(".",B1283)-FIND(",",B1283)))</f>
        <v>Ms.</v>
      </c>
      <c r="D1283" t="str">
        <f t="shared" ref="D1283:D1346" si="61">TRIM(MID(B1283,FIND(".",B1283)+1,LEN(B1283)))</f>
        <v>Jennifer D.</v>
      </c>
      <c r="E1283" t="str">
        <f t="shared" ref="E1283:E1346" si="62">TRIM(LEFT(B1283,FIND(",",B1283)-1))</f>
        <v>Amato</v>
      </c>
    </row>
    <row r="1284" spans="1:5" ht="15.5" x14ac:dyDescent="0.35">
      <c r="A1284" s="1" t="s">
        <v>1088</v>
      </c>
      <c r="B1284" s="1" t="s">
        <v>3666</v>
      </c>
      <c r="C1284" t="str">
        <f t="shared" si="60"/>
        <v>Mr.</v>
      </c>
      <c r="D1284" t="str">
        <f t="shared" si="61"/>
        <v>Erik</v>
      </c>
      <c r="E1284" t="str">
        <f t="shared" si="62"/>
        <v>Reed</v>
      </c>
    </row>
    <row r="1285" spans="1:5" ht="15.5" x14ac:dyDescent="0.35">
      <c r="A1285" s="1" t="s">
        <v>1087</v>
      </c>
      <c r="B1285" s="1" t="s">
        <v>3667</v>
      </c>
      <c r="C1285" t="str">
        <f t="shared" si="60"/>
        <v>Ms.</v>
      </c>
      <c r="D1285" t="str">
        <f t="shared" si="61"/>
        <v>Lana J</v>
      </c>
      <c r="E1285" t="str">
        <f t="shared" si="62"/>
        <v>Wegner</v>
      </c>
    </row>
    <row r="1286" spans="1:5" ht="15.5" x14ac:dyDescent="0.35">
      <c r="A1286" s="1" t="s">
        <v>1086</v>
      </c>
      <c r="B1286" s="1" t="s">
        <v>3668</v>
      </c>
      <c r="C1286" t="str">
        <f t="shared" si="60"/>
        <v>Ms.</v>
      </c>
      <c r="D1286" t="str">
        <f t="shared" si="61"/>
        <v>Rebecca E</v>
      </c>
      <c r="E1286" t="str">
        <f t="shared" si="62"/>
        <v>Bokun</v>
      </c>
    </row>
    <row r="1287" spans="1:5" ht="15.5" x14ac:dyDescent="0.35">
      <c r="A1287" s="1" t="s">
        <v>1085</v>
      </c>
      <c r="B1287" s="1" t="s">
        <v>3669</v>
      </c>
      <c r="C1287" t="str">
        <f t="shared" si="60"/>
        <v>Ms.</v>
      </c>
      <c r="D1287" t="str">
        <f t="shared" si="61"/>
        <v>Katie M.</v>
      </c>
      <c r="E1287" t="str">
        <f t="shared" si="62"/>
        <v>Ainsley</v>
      </c>
    </row>
    <row r="1288" spans="1:5" ht="15.5" x14ac:dyDescent="0.35">
      <c r="A1288" s="1" t="s">
        <v>1084</v>
      </c>
      <c r="B1288" s="1" t="s">
        <v>3670</v>
      </c>
      <c r="C1288" t="str">
        <f t="shared" si="60"/>
        <v>Ms.</v>
      </c>
      <c r="D1288" t="str">
        <f t="shared" si="61"/>
        <v>Elizabeth A.</v>
      </c>
      <c r="E1288" t="str">
        <f t="shared" si="62"/>
        <v>Foster</v>
      </c>
    </row>
    <row r="1289" spans="1:5" ht="15.5" x14ac:dyDescent="0.35">
      <c r="A1289" s="1" t="s">
        <v>1083</v>
      </c>
      <c r="B1289" s="1" t="s">
        <v>3671</v>
      </c>
      <c r="C1289" t="str">
        <f t="shared" si="60"/>
        <v>Ms.</v>
      </c>
      <c r="D1289" t="str">
        <f t="shared" si="61"/>
        <v>Sarah</v>
      </c>
      <c r="E1289" t="str">
        <f t="shared" si="62"/>
        <v>Overpeck</v>
      </c>
    </row>
    <row r="1290" spans="1:5" ht="15.5" x14ac:dyDescent="0.35">
      <c r="A1290" s="1" t="s">
        <v>1082</v>
      </c>
      <c r="B1290" s="1" t="s">
        <v>3672</v>
      </c>
      <c r="C1290" t="str">
        <f t="shared" si="60"/>
        <v>Ms.</v>
      </c>
      <c r="D1290" t="str">
        <f t="shared" si="61"/>
        <v>Annie J.</v>
      </c>
      <c r="E1290" t="str">
        <f t="shared" si="62"/>
        <v>Levine</v>
      </c>
    </row>
    <row r="1291" spans="1:5" ht="15.5" x14ac:dyDescent="0.35">
      <c r="A1291" s="1" t="s">
        <v>1081</v>
      </c>
      <c r="B1291" s="1" t="s">
        <v>3673</v>
      </c>
      <c r="C1291" t="str">
        <f t="shared" si="60"/>
        <v>Ms.</v>
      </c>
      <c r="D1291" t="str">
        <f t="shared" si="61"/>
        <v>Annie</v>
      </c>
      <c r="E1291" t="str">
        <f t="shared" si="62"/>
        <v>Jean</v>
      </c>
    </row>
    <row r="1292" spans="1:5" ht="15.5" x14ac:dyDescent="0.35">
      <c r="A1292" s="1" t="s">
        <v>1080</v>
      </c>
      <c r="B1292" s="1" t="s">
        <v>3674</v>
      </c>
      <c r="C1292" t="str">
        <f t="shared" si="60"/>
        <v>Ms.</v>
      </c>
      <c r="D1292" t="str">
        <f t="shared" si="61"/>
        <v>Lindsey</v>
      </c>
      <c r="E1292" t="str">
        <f t="shared" si="62"/>
        <v>Wild</v>
      </c>
    </row>
    <row r="1293" spans="1:5" ht="15.5" x14ac:dyDescent="0.35">
      <c r="A1293" s="1" t="s">
        <v>1079</v>
      </c>
      <c r="B1293" s="1" t="s">
        <v>3675</v>
      </c>
      <c r="C1293" t="str">
        <f t="shared" si="60"/>
        <v>Ms.</v>
      </c>
      <c r="D1293" t="str">
        <f t="shared" si="61"/>
        <v>Laura</v>
      </c>
      <c r="E1293" t="str">
        <f t="shared" si="62"/>
        <v>Tabor</v>
      </c>
    </row>
    <row r="1294" spans="1:5" ht="15.5" x14ac:dyDescent="0.35">
      <c r="A1294" s="1" t="s">
        <v>1078</v>
      </c>
      <c r="B1294" s="1" t="s">
        <v>3676</v>
      </c>
      <c r="C1294" t="str">
        <f t="shared" si="60"/>
        <v>Ms.</v>
      </c>
      <c r="D1294" t="str">
        <f t="shared" si="61"/>
        <v>Amy T</v>
      </c>
      <c r="E1294" t="str">
        <f t="shared" si="62"/>
        <v>Steffen</v>
      </c>
    </row>
    <row r="1295" spans="1:5" ht="15.5" x14ac:dyDescent="0.35">
      <c r="A1295" s="1" t="s">
        <v>1077</v>
      </c>
      <c r="B1295" s="1" t="s">
        <v>3677</v>
      </c>
      <c r="C1295" t="str">
        <f t="shared" si="60"/>
        <v>Ms.</v>
      </c>
      <c r="D1295" t="str">
        <f t="shared" si="61"/>
        <v>Katarina D</v>
      </c>
      <c r="E1295" t="str">
        <f t="shared" si="62"/>
        <v>Tadich</v>
      </c>
    </row>
    <row r="1296" spans="1:5" ht="15.5" x14ac:dyDescent="0.35">
      <c r="A1296" s="1" t="s">
        <v>1076</v>
      </c>
      <c r="B1296" s="1" t="s">
        <v>3678</v>
      </c>
      <c r="C1296" t="str">
        <f t="shared" si="60"/>
        <v>Mr.</v>
      </c>
      <c r="D1296" t="str">
        <f t="shared" si="61"/>
        <v>B.j.</v>
      </c>
      <c r="E1296" t="str">
        <f t="shared" si="62"/>
        <v>Christenson</v>
      </c>
    </row>
    <row r="1297" spans="1:5" ht="15.5" x14ac:dyDescent="0.35">
      <c r="A1297" s="1" t="s">
        <v>1075</v>
      </c>
      <c r="B1297" s="1" t="s">
        <v>3679</v>
      </c>
      <c r="C1297" t="str">
        <f t="shared" si="60"/>
        <v>Ms.</v>
      </c>
      <c r="D1297" t="str">
        <f t="shared" si="61"/>
        <v>Alison</v>
      </c>
      <c r="E1297" t="str">
        <f t="shared" si="62"/>
        <v>Shell</v>
      </c>
    </row>
    <row r="1298" spans="1:5" ht="15.5" x14ac:dyDescent="0.35">
      <c r="A1298" s="1" t="s">
        <v>1074</v>
      </c>
      <c r="B1298" s="1" t="s">
        <v>3680</v>
      </c>
      <c r="C1298" t="str">
        <f t="shared" si="60"/>
        <v>Mr.</v>
      </c>
      <c r="D1298" t="str">
        <f t="shared" si="61"/>
        <v>Neil K.</v>
      </c>
      <c r="E1298" t="str">
        <f t="shared" si="62"/>
        <v>Rao</v>
      </c>
    </row>
    <row r="1299" spans="1:5" ht="15.5" x14ac:dyDescent="0.35">
      <c r="A1299" s="1" t="s">
        <v>1073</v>
      </c>
      <c r="B1299" s="1" t="s">
        <v>3681</v>
      </c>
      <c r="C1299" t="str">
        <f t="shared" si="60"/>
        <v>Mrs.</v>
      </c>
      <c r="D1299" t="str">
        <f t="shared" si="61"/>
        <v>Anne Hunter</v>
      </c>
      <c r="E1299" t="str">
        <f t="shared" si="62"/>
        <v>Myers</v>
      </c>
    </row>
    <row r="1300" spans="1:5" ht="15.5" x14ac:dyDescent="0.35">
      <c r="A1300" s="1" t="s">
        <v>1072</v>
      </c>
      <c r="B1300" s="1" t="s">
        <v>3682</v>
      </c>
      <c r="C1300" t="str">
        <f t="shared" si="60"/>
        <v>Ms.</v>
      </c>
      <c r="D1300" t="str">
        <f t="shared" si="61"/>
        <v>Sandra</v>
      </c>
      <c r="E1300" t="str">
        <f t="shared" si="62"/>
        <v>McLean</v>
      </c>
    </row>
    <row r="1301" spans="1:5" ht="15.5" x14ac:dyDescent="0.35">
      <c r="A1301" s="1" t="s">
        <v>1071</v>
      </c>
      <c r="B1301" s="1" t="s">
        <v>3683</v>
      </c>
      <c r="C1301" t="str">
        <f t="shared" si="60"/>
        <v>Mr.</v>
      </c>
      <c r="D1301" t="str">
        <f t="shared" si="61"/>
        <v>Robert</v>
      </c>
      <c r="E1301" t="str">
        <f t="shared" si="62"/>
        <v>Gomez</v>
      </c>
    </row>
    <row r="1302" spans="1:5" ht="15.5" x14ac:dyDescent="0.35">
      <c r="A1302" s="1" t="s">
        <v>1070</v>
      </c>
      <c r="B1302" s="1" t="s">
        <v>3684</v>
      </c>
      <c r="C1302" t="str">
        <f t="shared" si="60"/>
        <v>Mr.</v>
      </c>
      <c r="D1302" t="str">
        <f t="shared" si="61"/>
        <v>Rodney</v>
      </c>
      <c r="E1302" t="str">
        <f t="shared" si="62"/>
        <v>Hemingway</v>
      </c>
    </row>
    <row r="1303" spans="1:5" ht="15.5" x14ac:dyDescent="0.35">
      <c r="A1303" s="1" t="s">
        <v>1069</v>
      </c>
      <c r="B1303" s="1" t="s">
        <v>3685</v>
      </c>
      <c r="C1303" t="str">
        <f t="shared" si="60"/>
        <v>Mr.</v>
      </c>
      <c r="D1303" t="str">
        <f t="shared" si="61"/>
        <v>Carl R</v>
      </c>
      <c r="E1303" t="str">
        <f t="shared" si="62"/>
        <v>Pett</v>
      </c>
    </row>
    <row r="1304" spans="1:5" ht="15.5" x14ac:dyDescent="0.35">
      <c r="A1304" s="1" t="s">
        <v>1068</v>
      </c>
      <c r="B1304" s="1" t="s">
        <v>3686</v>
      </c>
      <c r="C1304" t="str">
        <f t="shared" si="60"/>
        <v>Mr.</v>
      </c>
      <c r="D1304" t="str">
        <f t="shared" si="61"/>
        <v>Maximilian</v>
      </c>
      <c r="E1304" t="str">
        <f t="shared" si="62"/>
        <v>Meingast</v>
      </c>
    </row>
    <row r="1305" spans="1:5" ht="15.5" x14ac:dyDescent="0.35">
      <c r="A1305" s="1" t="s">
        <v>1067</v>
      </c>
      <c r="B1305" s="1" t="s">
        <v>3687</v>
      </c>
      <c r="C1305" t="str">
        <f t="shared" si="60"/>
        <v>Mr.</v>
      </c>
      <c r="D1305" t="str">
        <f t="shared" si="61"/>
        <v>Erik</v>
      </c>
      <c r="E1305" t="str">
        <f t="shared" si="62"/>
        <v>McCarthy</v>
      </c>
    </row>
    <row r="1306" spans="1:5" ht="15.5" x14ac:dyDescent="0.35">
      <c r="A1306" s="1" t="s">
        <v>1066</v>
      </c>
      <c r="B1306" s="1" t="s">
        <v>3688</v>
      </c>
      <c r="C1306" t="str">
        <f t="shared" si="60"/>
        <v>Mr.</v>
      </c>
      <c r="D1306" t="str">
        <f t="shared" si="61"/>
        <v>Christopher</v>
      </c>
      <c r="E1306" t="str">
        <f t="shared" si="62"/>
        <v>Boyle</v>
      </c>
    </row>
    <row r="1307" spans="1:5" ht="15.5" x14ac:dyDescent="0.35">
      <c r="A1307" s="1" t="s">
        <v>1065</v>
      </c>
      <c r="B1307" s="1" t="s">
        <v>3689</v>
      </c>
      <c r="C1307" t="str">
        <f t="shared" si="60"/>
        <v>Mr.</v>
      </c>
      <c r="D1307" t="str">
        <f t="shared" si="61"/>
        <v>Eirik</v>
      </c>
      <c r="E1307" t="str">
        <f t="shared" si="62"/>
        <v>Gundersen</v>
      </c>
    </row>
    <row r="1308" spans="1:5" ht="15.5" x14ac:dyDescent="0.35">
      <c r="A1308" s="1" t="s">
        <v>1064</v>
      </c>
      <c r="B1308" s="1" t="s">
        <v>3690</v>
      </c>
      <c r="C1308" t="str">
        <f t="shared" si="60"/>
        <v>Mr.</v>
      </c>
      <c r="D1308" t="str">
        <f t="shared" si="61"/>
        <v>Rik</v>
      </c>
      <c r="E1308" t="str">
        <f t="shared" si="62"/>
        <v>Wolswinkel</v>
      </c>
    </row>
    <row r="1309" spans="1:5" ht="15.5" x14ac:dyDescent="0.35">
      <c r="A1309" s="1" t="s">
        <v>1063</v>
      </c>
      <c r="B1309" s="1" t="s">
        <v>3691</v>
      </c>
      <c r="C1309" t="str">
        <f t="shared" si="60"/>
        <v>Mr.</v>
      </c>
      <c r="D1309" t="str">
        <f t="shared" si="61"/>
        <v>Matthew R</v>
      </c>
      <c r="E1309" t="str">
        <f t="shared" si="62"/>
        <v>Bomberger</v>
      </c>
    </row>
    <row r="1310" spans="1:5" ht="15.5" x14ac:dyDescent="0.35">
      <c r="A1310" s="1" t="s">
        <v>1062</v>
      </c>
      <c r="B1310" s="1" t="s">
        <v>3692</v>
      </c>
      <c r="C1310" t="str">
        <f t="shared" si="60"/>
        <v>Mr.</v>
      </c>
      <c r="D1310" t="str">
        <f t="shared" si="61"/>
        <v>Daniel G</v>
      </c>
      <c r="E1310" t="str">
        <f t="shared" si="62"/>
        <v>Roy</v>
      </c>
    </row>
    <row r="1311" spans="1:5" ht="15.5" x14ac:dyDescent="0.35">
      <c r="A1311" s="1" t="s">
        <v>1061</v>
      </c>
      <c r="B1311" s="1" t="s">
        <v>3693</v>
      </c>
      <c r="C1311" t="str">
        <f t="shared" si="60"/>
        <v>Mr.</v>
      </c>
      <c r="D1311" t="str">
        <f t="shared" si="61"/>
        <v>Yannick</v>
      </c>
      <c r="E1311" t="str">
        <f t="shared" si="62"/>
        <v>Lapierre</v>
      </c>
    </row>
    <row r="1312" spans="1:5" ht="15.5" x14ac:dyDescent="0.35">
      <c r="A1312" s="1" t="s">
        <v>1060</v>
      </c>
      <c r="B1312" s="1" t="s">
        <v>3694</v>
      </c>
      <c r="C1312" t="str">
        <f t="shared" si="60"/>
        <v>Mr.</v>
      </c>
      <c r="D1312" t="str">
        <f t="shared" si="61"/>
        <v>Sean R</v>
      </c>
      <c r="E1312" t="str">
        <f t="shared" si="62"/>
        <v>Beaty</v>
      </c>
    </row>
    <row r="1313" spans="1:5" ht="15.5" x14ac:dyDescent="0.35">
      <c r="A1313" s="1" t="s">
        <v>1059</v>
      </c>
      <c r="B1313" s="1" t="s">
        <v>3695</v>
      </c>
      <c r="C1313" t="str">
        <f t="shared" si="60"/>
        <v>Mr.</v>
      </c>
      <c r="D1313" t="str">
        <f t="shared" si="61"/>
        <v>Peter</v>
      </c>
      <c r="E1313" t="str">
        <f t="shared" si="62"/>
        <v>Hammer</v>
      </c>
    </row>
    <row r="1314" spans="1:5" ht="15.5" x14ac:dyDescent="0.35">
      <c r="A1314" s="1" t="s">
        <v>1058</v>
      </c>
      <c r="B1314" s="1" t="s">
        <v>3696</v>
      </c>
      <c r="C1314" t="str">
        <f t="shared" si="60"/>
        <v>Ms.</v>
      </c>
      <c r="D1314" t="str">
        <f t="shared" si="61"/>
        <v>Sara A.</v>
      </c>
      <c r="E1314" t="str">
        <f t="shared" si="62"/>
        <v>Randolph</v>
      </c>
    </row>
    <row r="1315" spans="1:5" ht="15.5" x14ac:dyDescent="0.35">
      <c r="A1315" s="1" t="s">
        <v>1057</v>
      </c>
      <c r="B1315" s="1" t="s">
        <v>3697</v>
      </c>
      <c r="C1315" t="str">
        <f t="shared" si="60"/>
        <v>Ms.</v>
      </c>
      <c r="D1315" t="str">
        <f t="shared" si="61"/>
        <v>Erin C.</v>
      </c>
      <c r="E1315" t="str">
        <f t="shared" si="62"/>
        <v>Masterson</v>
      </c>
    </row>
    <row r="1316" spans="1:5" ht="15.5" x14ac:dyDescent="0.35">
      <c r="A1316" s="1" t="s">
        <v>1056</v>
      </c>
      <c r="B1316" s="1" t="s">
        <v>3698</v>
      </c>
      <c r="C1316" t="str">
        <f t="shared" si="60"/>
        <v>Mr.</v>
      </c>
      <c r="D1316" t="str">
        <f t="shared" si="61"/>
        <v>Thibaud</v>
      </c>
      <c r="E1316" t="str">
        <f t="shared" si="62"/>
        <v>Friess</v>
      </c>
    </row>
    <row r="1317" spans="1:5" ht="15.5" x14ac:dyDescent="0.35">
      <c r="A1317" s="1" t="s">
        <v>1055</v>
      </c>
      <c r="B1317" s="1" t="s">
        <v>3699</v>
      </c>
      <c r="C1317" t="str">
        <f t="shared" si="60"/>
        <v>Ms.</v>
      </c>
      <c r="D1317" t="str">
        <f t="shared" si="61"/>
        <v>Lisa</v>
      </c>
      <c r="E1317" t="str">
        <f t="shared" si="62"/>
        <v>Mantoni</v>
      </c>
    </row>
    <row r="1318" spans="1:5" ht="15.5" x14ac:dyDescent="0.35">
      <c r="A1318" s="1" t="s">
        <v>1054</v>
      </c>
      <c r="B1318" s="1" t="s">
        <v>3700</v>
      </c>
      <c r="C1318" t="str">
        <f t="shared" si="60"/>
        <v>Ms.</v>
      </c>
      <c r="D1318" t="str">
        <f t="shared" si="61"/>
        <v>Gretchen K.</v>
      </c>
      <c r="E1318" t="str">
        <f t="shared" si="62"/>
        <v>Bodeen</v>
      </c>
    </row>
    <row r="1319" spans="1:5" ht="15.5" x14ac:dyDescent="0.35">
      <c r="A1319" s="1" t="s">
        <v>1053</v>
      </c>
      <c r="B1319" s="1" t="s">
        <v>3701</v>
      </c>
      <c r="C1319" t="str">
        <f t="shared" si="60"/>
        <v>Ms.</v>
      </c>
      <c r="D1319" t="str">
        <f t="shared" si="61"/>
        <v>Martina</v>
      </c>
      <c r="E1319" t="str">
        <f t="shared" si="62"/>
        <v>McPherson</v>
      </c>
    </row>
    <row r="1320" spans="1:5" ht="15.5" x14ac:dyDescent="0.35">
      <c r="A1320" s="1" t="s">
        <v>1052</v>
      </c>
      <c r="B1320" s="1" t="s">
        <v>3702</v>
      </c>
      <c r="C1320" t="str">
        <f t="shared" si="60"/>
        <v>Mr.</v>
      </c>
      <c r="D1320" t="str">
        <f t="shared" si="61"/>
        <v>Dustin J</v>
      </c>
      <c r="E1320" t="str">
        <f t="shared" si="62"/>
        <v>Palko</v>
      </c>
    </row>
    <row r="1321" spans="1:5" ht="15.5" x14ac:dyDescent="0.35">
      <c r="A1321" s="1" t="s">
        <v>1051</v>
      </c>
      <c r="B1321" s="1" t="s">
        <v>3703</v>
      </c>
      <c r="C1321" t="str">
        <f t="shared" si="60"/>
        <v>Ms.</v>
      </c>
      <c r="D1321" t="str">
        <f t="shared" si="61"/>
        <v>Kelsey</v>
      </c>
      <c r="E1321" t="str">
        <f t="shared" si="62"/>
        <v>Breathitt</v>
      </c>
    </row>
    <row r="1322" spans="1:5" ht="15.5" x14ac:dyDescent="0.35">
      <c r="A1322" s="1" t="s">
        <v>1050</v>
      </c>
      <c r="B1322" s="1" t="s">
        <v>3704</v>
      </c>
      <c r="C1322" t="str">
        <f t="shared" si="60"/>
        <v>Mr.</v>
      </c>
      <c r="D1322" t="str">
        <f t="shared" si="61"/>
        <v>Daniel V.</v>
      </c>
      <c r="E1322" t="str">
        <f t="shared" si="62"/>
        <v>Evora</v>
      </c>
    </row>
    <row r="1323" spans="1:5" ht="15.5" x14ac:dyDescent="0.35">
      <c r="A1323" s="1" t="s">
        <v>1049</v>
      </c>
      <c r="B1323" s="1" t="s">
        <v>3705</v>
      </c>
      <c r="C1323" t="str">
        <f t="shared" si="60"/>
        <v>Ms.</v>
      </c>
      <c r="D1323" t="str">
        <f t="shared" si="61"/>
        <v>Saeger</v>
      </c>
      <c r="E1323" t="str">
        <f t="shared" si="62"/>
        <v>Fischer</v>
      </c>
    </row>
    <row r="1324" spans="1:5" ht="15.5" x14ac:dyDescent="0.35">
      <c r="A1324" s="1" t="s">
        <v>1048</v>
      </c>
      <c r="B1324" s="1" t="s">
        <v>3706</v>
      </c>
      <c r="C1324" t="str">
        <f t="shared" si="60"/>
        <v>Ms.</v>
      </c>
      <c r="D1324" t="str">
        <f t="shared" si="61"/>
        <v>Buzunesh</v>
      </c>
      <c r="E1324" t="str">
        <f t="shared" si="62"/>
        <v>Deba</v>
      </c>
    </row>
    <row r="1325" spans="1:5" ht="15.5" x14ac:dyDescent="0.35">
      <c r="A1325" s="1" t="s">
        <v>1047</v>
      </c>
      <c r="B1325" s="1" t="s">
        <v>3707</v>
      </c>
      <c r="C1325" t="str">
        <f t="shared" si="60"/>
        <v>Ms.</v>
      </c>
      <c r="D1325" t="str">
        <f t="shared" si="61"/>
        <v>Mirte</v>
      </c>
      <c r="E1325" t="str">
        <f t="shared" si="62"/>
        <v>Leloup</v>
      </c>
    </row>
    <row r="1326" spans="1:5" ht="15.5" x14ac:dyDescent="0.35">
      <c r="A1326" s="1" t="s">
        <v>1046</v>
      </c>
      <c r="B1326" s="1" t="s">
        <v>3708</v>
      </c>
      <c r="C1326" t="str">
        <f t="shared" si="60"/>
        <v>Ms.</v>
      </c>
      <c r="D1326" t="str">
        <f t="shared" si="61"/>
        <v>Megan</v>
      </c>
      <c r="E1326" t="str">
        <f t="shared" si="62"/>
        <v>Labare</v>
      </c>
    </row>
    <row r="1327" spans="1:5" ht="15.5" x14ac:dyDescent="0.35">
      <c r="A1327" s="1" t="s">
        <v>1045</v>
      </c>
      <c r="B1327" s="1" t="s">
        <v>3709</v>
      </c>
      <c r="C1327" t="str">
        <f t="shared" si="60"/>
        <v>Ms.</v>
      </c>
      <c r="D1327" t="str">
        <f t="shared" si="61"/>
        <v>Kerry A.</v>
      </c>
      <c r="E1327" t="str">
        <f t="shared" si="62"/>
        <v>Arouca</v>
      </c>
    </row>
    <row r="1328" spans="1:5" ht="15.5" x14ac:dyDescent="0.35">
      <c r="A1328" s="1" t="s">
        <v>1044</v>
      </c>
      <c r="B1328" s="1" t="s">
        <v>3710</v>
      </c>
      <c r="C1328" t="str">
        <f t="shared" si="60"/>
        <v>Ms.</v>
      </c>
      <c r="D1328" t="str">
        <f t="shared" si="61"/>
        <v>Kristin</v>
      </c>
      <c r="E1328" t="str">
        <f t="shared" si="62"/>
        <v>Reese</v>
      </c>
    </row>
    <row r="1329" spans="1:5" ht="15.5" x14ac:dyDescent="0.35">
      <c r="A1329" s="1" t="s">
        <v>1043</v>
      </c>
      <c r="B1329" s="1" t="s">
        <v>3711</v>
      </c>
      <c r="C1329" t="str">
        <f t="shared" si="60"/>
        <v>Mr.</v>
      </c>
      <c r="D1329" t="str">
        <f t="shared" si="61"/>
        <v>Christopher R.</v>
      </c>
      <c r="E1329" t="str">
        <f t="shared" si="62"/>
        <v>McCloskey</v>
      </c>
    </row>
    <row r="1330" spans="1:5" ht="15.5" x14ac:dyDescent="0.35">
      <c r="A1330" s="1" t="s">
        <v>1042</v>
      </c>
      <c r="B1330" s="1" t="s">
        <v>3712</v>
      </c>
      <c r="C1330" t="str">
        <f t="shared" si="60"/>
        <v>Mrs.</v>
      </c>
      <c r="D1330" t="str">
        <f t="shared" si="61"/>
        <v>Elizabeth A</v>
      </c>
      <c r="E1330" t="str">
        <f t="shared" si="62"/>
        <v>Tedsen</v>
      </c>
    </row>
    <row r="1331" spans="1:5" ht="15.5" x14ac:dyDescent="0.35">
      <c r="A1331" s="1" t="s">
        <v>1041</v>
      </c>
      <c r="B1331" s="1" t="s">
        <v>3713</v>
      </c>
      <c r="C1331" t="str">
        <f t="shared" si="60"/>
        <v>Mr.</v>
      </c>
      <c r="D1331" t="str">
        <f t="shared" si="61"/>
        <v>Andrew</v>
      </c>
      <c r="E1331" t="str">
        <f t="shared" si="62"/>
        <v>Koehlinger</v>
      </c>
    </row>
    <row r="1332" spans="1:5" ht="15.5" x14ac:dyDescent="0.35">
      <c r="A1332" s="1" t="s">
        <v>1040</v>
      </c>
      <c r="B1332" s="1" t="s">
        <v>3714</v>
      </c>
      <c r="C1332" t="str">
        <f t="shared" si="60"/>
        <v>Ms.</v>
      </c>
      <c r="D1332" t="str">
        <f t="shared" si="61"/>
        <v>Dawn M.</v>
      </c>
      <c r="E1332" t="str">
        <f t="shared" si="62"/>
        <v>Pielechaty</v>
      </c>
    </row>
    <row r="1333" spans="1:5" ht="15.5" x14ac:dyDescent="0.35">
      <c r="A1333" s="1" t="s">
        <v>1039</v>
      </c>
      <c r="B1333" s="1" t="s">
        <v>3715</v>
      </c>
      <c r="C1333" t="str">
        <f t="shared" si="60"/>
        <v>Mr.</v>
      </c>
      <c r="D1333" t="str">
        <f t="shared" si="61"/>
        <v>Jonathan P</v>
      </c>
      <c r="E1333" t="str">
        <f t="shared" si="62"/>
        <v>Korhonen</v>
      </c>
    </row>
    <row r="1334" spans="1:5" ht="15.5" x14ac:dyDescent="0.35">
      <c r="A1334" s="1" t="s">
        <v>1038</v>
      </c>
      <c r="B1334" s="1" t="s">
        <v>3716</v>
      </c>
      <c r="C1334" t="str">
        <f t="shared" si="60"/>
        <v>Mrs.</v>
      </c>
      <c r="D1334" t="str">
        <f t="shared" si="61"/>
        <v>Gina</v>
      </c>
      <c r="E1334" t="str">
        <f t="shared" si="62"/>
        <v>Kehr</v>
      </c>
    </row>
    <row r="1335" spans="1:5" ht="15.5" x14ac:dyDescent="0.35">
      <c r="A1335" s="1" t="s">
        <v>1037</v>
      </c>
      <c r="B1335" s="1" t="s">
        <v>3717</v>
      </c>
      <c r="C1335" t="str">
        <f t="shared" si="60"/>
        <v>Mr.</v>
      </c>
      <c r="D1335" t="str">
        <f t="shared" si="61"/>
        <v>Dino</v>
      </c>
      <c r="E1335" t="str">
        <f t="shared" si="62"/>
        <v>Montagna</v>
      </c>
    </row>
    <row r="1336" spans="1:5" ht="15.5" x14ac:dyDescent="0.35">
      <c r="A1336" s="1" t="s">
        <v>1036</v>
      </c>
      <c r="B1336" s="1" t="s">
        <v>3718</v>
      </c>
      <c r="C1336" t="str">
        <f t="shared" si="60"/>
        <v>Mr.</v>
      </c>
      <c r="D1336" t="str">
        <f t="shared" si="61"/>
        <v>Jan</v>
      </c>
      <c r="E1336" t="str">
        <f t="shared" si="62"/>
        <v>M√ºller</v>
      </c>
    </row>
    <row r="1337" spans="1:5" ht="15.5" x14ac:dyDescent="0.35">
      <c r="A1337" s="1" t="s">
        <v>1035</v>
      </c>
      <c r="B1337" s="1" t="s">
        <v>3719</v>
      </c>
      <c r="C1337" t="str">
        <f t="shared" si="60"/>
        <v>Mr.</v>
      </c>
      <c r="D1337" t="str">
        <f t="shared" si="61"/>
        <v>Jonathan E.</v>
      </c>
      <c r="E1337" t="str">
        <f t="shared" si="62"/>
        <v>Baker</v>
      </c>
    </row>
    <row r="1338" spans="1:5" ht="15.5" x14ac:dyDescent="0.35">
      <c r="A1338" s="1" t="s">
        <v>1034</v>
      </c>
      <c r="B1338" s="1" t="s">
        <v>3720</v>
      </c>
      <c r="C1338" t="str">
        <f t="shared" si="60"/>
        <v>Mr.</v>
      </c>
      <c r="D1338" t="str">
        <f t="shared" si="61"/>
        <v>Mark A</v>
      </c>
      <c r="E1338" t="str">
        <f t="shared" si="62"/>
        <v>Sidebottom</v>
      </c>
    </row>
    <row r="1339" spans="1:5" ht="15.5" x14ac:dyDescent="0.35">
      <c r="A1339" s="1" t="s">
        <v>1033</v>
      </c>
      <c r="B1339" s="1" t="s">
        <v>3721</v>
      </c>
      <c r="C1339" t="str">
        <f t="shared" si="60"/>
        <v>Mrs.</v>
      </c>
      <c r="D1339" t="str">
        <f t="shared" si="61"/>
        <v>Mary</v>
      </c>
      <c r="E1339" t="str">
        <f t="shared" si="62"/>
        <v>Johnson</v>
      </c>
    </row>
    <row r="1340" spans="1:5" ht="15.5" x14ac:dyDescent="0.35">
      <c r="A1340" s="1" t="s">
        <v>1032</v>
      </c>
      <c r="B1340" s="1" t="s">
        <v>3722</v>
      </c>
      <c r="C1340" t="str">
        <f t="shared" si="60"/>
        <v>Mr.</v>
      </c>
      <c r="D1340" t="str">
        <f t="shared" si="61"/>
        <v>Samuel</v>
      </c>
      <c r="E1340" t="str">
        <f t="shared" si="62"/>
        <v>Morris</v>
      </c>
    </row>
    <row r="1341" spans="1:5" ht="15.5" x14ac:dyDescent="0.35">
      <c r="A1341" s="1" t="s">
        <v>1031</v>
      </c>
      <c r="B1341" s="1" t="s">
        <v>3723</v>
      </c>
      <c r="C1341" t="str">
        <f t="shared" si="60"/>
        <v>Mr.</v>
      </c>
      <c r="D1341" t="str">
        <f t="shared" si="61"/>
        <v>Stan J</v>
      </c>
      <c r="E1341" t="str">
        <f t="shared" si="62"/>
        <v>Chaisson</v>
      </c>
    </row>
    <row r="1342" spans="1:5" ht="15.5" x14ac:dyDescent="0.35">
      <c r="A1342" s="1" t="s">
        <v>1030</v>
      </c>
      <c r="B1342" s="1" t="s">
        <v>3724</v>
      </c>
      <c r="C1342" t="str">
        <f t="shared" si="60"/>
        <v>Mrs.</v>
      </c>
      <c r="D1342" t="str">
        <f t="shared" si="61"/>
        <v>Jessica L.</v>
      </c>
      <c r="E1342" t="str">
        <f t="shared" si="62"/>
        <v>Pigott</v>
      </c>
    </row>
    <row r="1343" spans="1:5" ht="15.5" x14ac:dyDescent="0.35">
      <c r="A1343" s="1" t="s">
        <v>1029</v>
      </c>
      <c r="B1343" s="1" t="s">
        <v>3725</v>
      </c>
      <c r="C1343" t="str">
        <f t="shared" si="60"/>
        <v>Ms.</v>
      </c>
      <c r="D1343" t="str">
        <f t="shared" si="61"/>
        <v>Krysta</v>
      </c>
      <c r="E1343" t="str">
        <f t="shared" si="62"/>
        <v>Cochrane</v>
      </c>
    </row>
    <row r="1344" spans="1:5" ht="15.5" x14ac:dyDescent="0.35">
      <c r="A1344" s="1" t="s">
        <v>1028</v>
      </c>
      <c r="B1344" s="1" t="s">
        <v>3726</v>
      </c>
      <c r="C1344" t="str">
        <f t="shared" si="60"/>
        <v>Mrs.</v>
      </c>
      <c r="D1344" t="str">
        <f t="shared" si="61"/>
        <v>Natascia</v>
      </c>
      <c r="E1344" t="str">
        <f t="shared" si="62"/>
        <v>Armitage</v>
      </c>
    </row>
    <row r="1345" spans="1:5" ht="15.5" x14ac:dyDescent="0.35">
      <c r="A1345" s="1" t="s">
        <v>1027</v>
      </c>
      <c r="B1345" s="1" t="s">
        <v>3727</v>
      </c>
      <c r="C1345" t="str">
        <f t="shared" si="60"/>
        <v>Ms.</v>
      </c>
      <c r="D1345" t="str">
        <f t="shared" si="61"/>
        <v>Jenny</v>
      </c>
      <c r="E1345" t="str">
        <f t="shared" si="62"/>
        <v>Shen</v>
      </c>
    </row>
    <row r="1346" spans="1:5" ht="15.5" x14ac:dyDescent="0.35">
      <c r="A1346" s="1" t="s">
        <v>1026</v>
      </c>
      <c r="B1346" s="1" t="s">
        <v>3728</v>
      </c>
      <c r="C1346" t="str">
        <f t="shared" si="60"/>
        <v>Mr.</v>
      </c>
      <c r="D1346" t="str">
        <f t="shared" si="61"/>
        <v>Brian</v>
      </c>
      <c r="E1346" t="str">
        <f t="shared" si="62"/>
        <v>O'Kelly</v>
      </c>
    </row>
    <row r="1347" spans="1:5" ht="15.5" x14ac:dyDescent="0.35">
      <c r="A1347" s="1" t="s">
        <v>1025</v>
      </c>
      <c r="B1347" s="1" t="s">
        <v>3729</v>
      </c>
      <c r="C1347" t="str">
        <f t="shared" ref="C1347:C1410" si="63">TRIM(MID(B1347,FIND(",",B1347)+1,FIND(".",B1347)-FIND(",",B1347)))</f>
        <v>Ms.</v>
      </c>
      <c r="D1347" t="str">
        <f t="shared" ref="D1347:D1410" si="64">TRIM(MID(B1347,FIND(".",B1347)+1,LEN(B1347)))</f>
        <v>Monica</v>
      </c>
      <c r="E1347" t="str">
        <f t="shared" ref="E1347:E1410" si="65">TRIM(LEFT(B1347,FIND(",",B1347)-1))</f>
        <v>Huff</v>
      </c>
    </row>
    <row r="1348" spans="1:5" ht="15.5" x14ac:dyDescent="0.35">
      <c r="A1348" s="1" t="s">
        <v>1024</v>
      </c>
      <c r="B1348" s="1" t="s">
        <v>3730</v>
      </c>
      <c r="C1348" t="str">
        <f t="shared" si="63"/>
        <v>Mr.</v>
      </c>
      <c r="D1348" t="str">
        <f t="shared" si="64"/>
        <v>Tyler</v>
      </c>
      <c r="E1348" t="str">
        <f t="shared" si="65"/>
        <v>Dye</v>
      </c>
    </row>
    <row r="1349" spans="1:5" ht="15.5" x14ac:dyDescent="0.35">
      <c r="A1349" s="1" t="s">
        <v>1023</v>
      </c>
      <c r="B1349" s="1" t="s">
        <v>3731</v>
      </c>
      <c r="C1349" t="str">
        <f t="shared" si="63"/>
        <v>Ms.</v>
      </c>
      <c r="D1349" t="str">
        <f t="shared" si="64"/>
        <v>Kelly C</v>
      </c>
      <c r="E1349" t="str">
        <f t="shared" si="65"/>
        <v>Willard</v>
      </c>
    </row>
    <row r="1350" spans="1:5" ht="15.5" x14ac:dyDescent="0.35">
      <c r="A1350" s="1" t="s">
        <v>1022</v>
      </c>
      <c r="B1350" s="1" t="s">
        <v>3732</v>
      </c>
      <c r="C1350" t="str">
        <f t="shared" si="63"/>
        <v>Mrs.</v>
      </c>
      <c r="D1350" t="str">
        <f t="shared" si="64"/>
        <v>Emily</v>
      </c>
      <c r="E1350" t="str">
        <f t="shared" si="65"/>
        <v>D'Addario</v>
      </c>
    </row>
    <row r="1351" spans="1:5" ht="15.5" x14ac:dyDescent="0.35">
      <c r="A1351" s="1" t="s">
        <v>1021</v>
      </c>
      <c r="B1351" s="1" t="s">
        <v>3733</v>
      </c>
      <c r="C1351" t="str">
        <f t="shared" si="63"/>
        <v>Mr.</v>
      </c>
      <c r="D1351" t="str">
        <f t="shared" si="64"/>
        <v>James V</v>
      </c>
      <c r="E1351" t="str">
        <f t="shared" si="65"/>
        <v>Buchanan</v>
      </c>
    </row>
    <row r="1352" spans="1:5" ht="15.5" x14ac:dyDescent="0.35">
      <c r="A1352" s="1" t="s">
        <v>1020</v>
      </c>
      <c r="B1352" s="1" t="s">
        <v>3734</v>
      </c>
      <c r="C1352" t="str">
        <f t="shared" si="63"/>
        <v>Ms.</v>
      </c>
      <c r="D1352" t="str">
        <f t="shared" si="64"/>
        <v>Angie</v>
      </c>
      <c r="E1352" t="str">
        <f t="shared" si="65"/>
        <v>Clark</v>
      </c>
    </row>
    <row r="1353" spans="1:5" ht="15.5" x14ac:dyDescent="0.35">
      <c r="A1353" s="1" t="s">
        <v>1019</v>
      </c>
      <c r="B1353" s="1" t="s">
        <v>3735</v>
      </c>
      <c r="C1353" t="str">
        <f t="shared" si="63"/>
        <v>Mr.</v>
      </c>
      <c r="D1353" t="str">
        <f t="shared" si="64"/>
        <v>Michael J.</v>
      </c>
      <c r="E1353" t="str">
        <f t="shared" si="65"/>
        <v>Waterson</v>
      </c>
    </row>
    <row r="1354" spans="1:5" ht="15.5" x14ac:dyDescent="0.35">
      <c r="A1354" s="1" t="s">
        <v>1018</v>
      </c>
      <c r="B1354" s="1" t="s">
        <v>3736</v>
      </c>
      <c r="C1354" t="str">
        <f t="shared" si="63"/>
        <v>Ms.</v>
      </c>
      <c r="D1354" t="str">
        <f t="shared" si="64"/>
        <v>Sabina</v>
      </c>
      <c r="E1354" t="str">
        <f t="shared" si="65"/>
        <v>Piras</v>
      </c>
    </row>
    <row r="1355" spans="1:5" ht="15.5" x14ac:dyDescent="0.35">
      <c r="A1355" s="1" t="s">
        <v>1017</v>
      </c>
      <c r="B1355" s="1" t="s">
        <v>3737</v>
      </c>
      <c r="C1355" t="str">
        <f t="shared" si="63"/>
        <v>Ms.</v>
      </c>
      <c r="D1355" t="str">
        <f t="shared" si="64"/>
        <v>Amy C</v>
      </c>
      <c r="E1355" t="str">
        <f t="shared" si="65"/>
        <v>Olson</v>
      </c>
    </row>
    <row r="1356" spans="1:5" ht="15.5" x14ac:dyDescent="0.35">
      <c r="A1356" s="1" t="s">
        <v>1016</v>
      </c>
      <c r="B1356" s="1" t="s">
        <v>3738</v>
      </c>
      <c r="C1356" t="str">
        <f t="shared" si="63"/>
        <v>Ms.</v>
      </c>
      <c r="D1356" t="str">
        <f t="shared" si="64"/>
        <v>Victoria U</v>
      </c>
      <c r="E1356" t="str">
        <f t="shared" si="65"/>
        <v>Manfredi</v>
      </c>
    </row>
    <row r="1357" spans="1:5" ht="15.5" x14ac:dyDescent="0.35">
      <c r="A1357" s="1" t="s">
        <v>1015</v>
      </c>
      <c r="B1357" s="1" t="s">
        <v>3739</v>
      </c>
      <c r="C1357" t="str">
        <f t="shared" si="63"/>
        <v>Ms.</v>
      </c>
      <c r="D1357" t="str">
        <f t="shared" si="64"/>
        <v>Amelia B</v>
      </c>
      <c r="E1357" t="str">
        <f t="shared" si="65"/>
        <v>Landberg</v>
      </c>
    </row>
    <row r="1358" spans="1:5" ht="15.5" x14ac:dyDescent="0.35">
      <c r="A1358" s="1" t="s">
        <v>1014</v>
      </c>
      <c r="B1358" s="1" t="s">
        <v>3740</v>
      </c>
      <c r="C1358" t="str">
        <f t="shared" si="63"/>
        <v>Ms.</v>
      </c>
      <c r="D1358" t="str">
        <f t="shared" si="64"/>
        <v>Jackie J</v>
      </c>
      <c r="E1358" t="str">
        <f t="shared" si="65"/>
        <v>Flynn</v>
      </c>
    </row>
    <row r="1359" spans="1:5" ht="15.5" x14ac:dyDescent="0.35">
      <c r="A1359" s="1" t="s">
        <v>1013</v>
      </c>
      <c r="B1359" s="1" t="s">
        <v>3741</v>
      </c>
      <c r="C1359" t="str">
        <f t="shared" si="63"/>
        <v>Mr.</v>
      </c>
      <c r="D1359" t="str">
        <f t="shared" si="64"/>
        <v>Justin</v>
      </c>
      <c r="E1359" t="str">
        <f t="shared" si="65"/>
        <v>Bishop</v>
      </c>
    </row>
    <row r="1360" spans="1:5" ht="15.5" x14ac:dyDescent="0.35">
      <c r="A1360" s="1" t="s">
        <v>1012</v>
      </c>
      <c r="B1360" s="1" t="s">
        <v>3742</v>
      </c>
      <c r="C1360" t="str">
        <f t="shared" si="63"/>
        <v>Ms.</v>
      </c>
      <c r="D1360" t="str">
        <f t="shared" si="64"/>
        <v>Kerry</v>
      </c>
      <c r="E1360" t="str">
        <f t="shared" si="65"/>
        <v>Devitt</v>
      </c>
    </row>
    <row r="1361" spans="1:5" ht="15.5" x14ac:dyDescent="0.35">
      <c r="A1361" s="1" t="s">
        <v>1011</v>
      </c>
      <c r="B1361" s="1" t="s">
        <v>3743</v>
      </c>
      <c r="C1361" t="str">
        <f t="shared" si="63"/>
        <v>Ms.</v>
      </c>
      <c r="D1361" t="str">
        <f t="shared" si="64"/>
        <v>Cindy G.</v>
      </c>
      <c r="E1361" t="str">
        <f t="shared" si="65"/>
        <v>Lynch</v>
      </c>
    </row>
    <row r="1362" spans="1:5" ht="15.5" x14ac:dyDescent="0.35">
      <c r="A1362" s="1" t="s">
        <v>1010</v>
      </c>
      <c r="B1362" s="1" t="s">
        <v>3744</v>
      </c>
      <c r="C1362" t="str">
        <f t="shared" si="63"/>
        <v>Mr.</v>
      </c>
      <c r="D1362" t="str">
        <f t="shared" si="64"/>
        <v>Gennaro</v>
      </c>
      <c r="E1362" t="str">
        <f t="shared" si="65"/>
        <v>Tramontano</v>
      </c>
    </row>
    <row r="1363" spans="1:5" ht="15.5" x14ac:dyDescent="0.35">
      <c r="A1363" s="1" t="s">
        <v>1009</v>
      </c>
      <c r="B1363" s="1" t="s">
        <v>3745</v>
      </c>
      <c r="C1363" t="str">
        <f t="shared" si="63"/>
        <v>Mr.</v>
      </c>
      <c r="D1363" t="str">
        <f t="shared" si="64"/>
        <v>Terry</v>
      </c>
      <c r="E1363" t="str">
        <f t="shared" si="65"/>
        <v>Davidson</v>
      </c>
    </row>
    <row r="1364" spans="1:5" ht="15.5" x14ac:dyDescent="0.35">
      <c r="A1364" s="1" t="s">
        <v>1008</v>
      </c>
      <c r="B1364" s="1" t="s">
        <v>3746</v>
      </c>
      <c r="C1364" t="str">
        <f t="shared" si="63"/>
        <v>Mr.</v>
      </c>
      <c r="D1364" t="str">
        <f t="shared" si="64"/>
        <v>Patrick J</v>
      </c>
      <c r="E1364" t="str">
        <f t="shared" si="65"/>
        <v>Burke</v>
      </c>
    </row>
    <row r="1365" spans="1:5" ht="15.5" x14ac:dyDescent="0.35">
      <c r="A1365" s="1" t="s">
        <v>1007</v>
      </c>
      <c r="B1365" s="1" t="s">
        <v>3747</v>
      </c>
      <c r="C1365" t="str">
        <f t="shared" si="63"/>
        <v>Ms.</v>
      </c>
      <c r="D1365" t="str">
        <f t="shared" si="64"/>
        <v>Keara</v>
      </c>
      <c r="E1365" t="str">
        <f t="shared" si="65"/>
        <v>McGraw</v>
      </c>
    </row>
    <row r="1366" spans="1:5" ht="15.5" x14ac:dyDescent="0.35">
      <c r="A1366" s="1" t="s">
        <v>1006</v>
      </c>
      <c r="B1366" s="1" t="s">
        <v>3748</v>
      </c>
      <c r="C1366" t="str">
        <f t="shared" si="63"/>
        <v>Ms.</v>
      </c>
      <c r="D1366" t="str">
        <f t="shared" si="64"/>
        <v>Nicole</v>
      </c>
      <c r="E1366" t="str">
        <f t="shared" si="65"/>
        <v>Fellure</v>
      </c>
    </row>
    <row r="1367" spans="1:5" ht="15.5" x14ac:dyDescent="0.35">
      <c r="A1367" s="1" t="s">
        <v>1005</v>
      </c>
      <c r="B1367" s="1" t="s">
        <v>3749</v>
      </c>
      <c r="C1367" t="str">
        <f t="shared" si="63"/>
        <v>Mrs.</v>
      </c>
      <c r="D1367" t="str">
        <f t="shared" si="64"/>
        <v>Katena</v>
      </c>
      <c r="E1367" t="str">
        <f t="shared" si="65"/>
        <v>Sanford</v>
      </c>
    </row>
    <row r="1368" spans="1:5" ht="15.5" x14ac:dyDescent="0.35">
      <c r="A1368" s="1" t="s">
        <v>1004</v>
      </c>
      <c r="B1368" s="1" t="s">
        <v>3750</v>
      </c>
      <c r="C1368" t="str">
        <f t="shared" si="63"/>
        <v>Ms.</v>
      </c>
      <c r="D1368" t="str">
        <f t="shared" si="64"/>
        <v>Bean K.</v>
      </c>
      <c r="E1368" t="str">
        <f t="shared" si="65"/>
        <v>Wrenn</v>
      </c>
    </row>
    <row r="1369" spans="1:5" ht="15.5" x14ac:dyDescent="0.35">
      <c r="A1369" s="1" t="s">
        <v>1003</v>
      </c>
      <c r="B1369" s="1" t="s">
        <v>3751</v>
      </c>
      <c r="C1369" t="str">
        <f t="shared" si="63"/>
        <v>Mr.</v>
      </c>
      <c r="D1369" t="str">
        <f t="shared" si="64"/>
        <v>Brian</v>
      </c>
      <c r="E1369" t="str">
        <f t="shared" si="65"/>
        <v>Lindsey</v>
      </c>
    </row>
    <row r="1370" spans="1:5" ht="15.5" x14ac:dyDescent="0.35">
      <c r="A1370" s="1" t="s">
        <v>1002</v>
      </c>
      <c r="B1370" s="1" t="s">
        <v>3752</v>
      </c>
      <c r="C1370" t="str">
        <f t="shared" si="63"/>
        <v>Mr.</v>
      </c>
      <c r="D1370" t="str">
        <f t="shared" si="64"/>
        <v>Jan-Patrick</v>
      </c>
      <c r="E1370" t="str">
        <f t="shared" si="65"/>
        <v>Krueger</v>
      </c>
    </row>
    <row r="1371" spans="1:5" ht="15.5" x14ac:dyDescent="0.35">
      <c r="A1371" s="1" t="s">
        <v>1001</v>
      </c>
      <c r="B1371" s="1" t="s">
        <v>3753</v>
      </c>
      <c r="C1371" t="str">
        <f t="shared" si="63"/>
        <v>Mr.</v>
      </c>
      <c r="D1371" t="str">
        <f t="shared" si="64"/>
        <v>Jesse J</v>
      </c>
      <c r="E1371" t="str">
        <f t="shared" si="65"/>
        <v>Babler</v>
      </c>
    </row>
    <row r="1372" spans="1:5" ht="15.5" x14ac:dyDescent="0.35">
      <c r="A1372" s="1" t="s">
        <v>1000</v>
      </c>
      <c r="B1372" s="1" t="s">
        <v>3754</v>
      </c>
      <c r="C1372" t="str">
        <f t="shared" si="63"/>
        <v>Ms.</v>
      </c>
      <c r="D1372" t="str">
        <f t="shared" si="64"/>
        <v>Lindsey M</v>
      </c>
      <c r="E1372" t="str">
        <f t="shared" si="65"/>
        <v>Brezenski</v>
      </c>
    </row>
    <row r="1373" spans="1:5" ht="15.5" x14ac:dyDescent="0.35">
      <c r="A1373" s="1" t="s">
        <v>999</v>
      </c>
      <c r="B1373" s="1" t="s">
        <v>3755</v>
      </c>
      <c r="C1373" t="str">
        <f t="shared" si="63"/>
        <v>Ms.</v>
      </c>
      <c r="D1373" t="str">
        <f t="shared" si="64"/>
        <v>Marguerite K.</v>
      </c>
      <c r="E1373" t="str">
        <f t="shared" si="65"/>
        <v>Marschner</v>
      </c>
    </row>
    <row r="1374" spans="1:5" ht="15.5" x14ac:dyDescent="0.35">
      <c r="A1374" s="1" t="s">
        <v>998</v>
      </c>
      <c r="B1374" s="1" t="s">
        <v>3756</v>
      </c>
      <c r="C1374" t="str">
        <f t="shared" si="63"/>
        <v>Mr.</v>
      </c>
      <c r="D1374" t="str">
        <f t="shared" si="64"/>
        <v>Travis</v>
      </c>
      <c r="E1374" t="str">
        <f t="shared" si="65"/>
        <v>King</v>
      </c>
    </row>
    <row r="1375" spans="1:5" ht="15.5" x14ac:dyDescent="0.35">
      <c r="A1375" s="1" t="s">
        <v>997</v>
      </c>
      <c r="B1375" s="1" t="s">
        <v>3757</v>
      </c>
      <c r="C1375" t="str">
        <f t="shared" si="63"/>
        <v>Mr.</v>
      </c>
      <c r="D1375" t="str">
        <f t="shared" si="64"/>
        <v>Ricky</v>
      </c>
      <c r="E1375" t="str">
        <f t="shared" si="65"/>
        <v>Montez</v>
      </c>
    </row>
    <row r="1376" spans="1:5" ht="15.5" x14ac:dyDescent="0.35">
      <c r="A1376" s="1" t="s">
        <v>996</v>
      </c>
      <c r="B1376" s="1" t="s">
        <v>3758</v>
      </c>
      <c r="C1376" t="str">
        <f t="shared" si="63"/>
        <v>Mrs.</v>
      </c>
      <c r="D1376" t="str">
        <f t="shared" si="64"/>
        <v>Colleen L.</v>
      </c>
      <c r="E1376" t="str">
        <f t="shared" si="65"/>
        <v>Campbell</v>
      </c>
    </row>
    <row r="1377" spans="1:5" ht="15.5" x14ac:dyDescent="0.35">
      <c r="A1377" s="1" t="s">
        <v>995</v>
      </c>
      <c r="B1377" s="1" t="s">
        <v>3759</v>
      </c>
      <c r="C1377" t="str">
        <f t="shared" si="63"/>
        <v>Mr.</v>
      </c>
      <c r="D1377" t="str">
        <f t="shared" si="64"/>
        <v>Charlie A</v>
      </c>
      <c r="E1377" t="str">
        <f t="shared" si="65"/>
        <v>Hurt</v>
      </c>
    </row>
    <row r="1378" spans="1:5" ht="15.5" x14ac:dyDescent="0.35">
      <c r="A1378" s="1" t="s">
        <v>994</v>
      </c>
      <c r="B1378" s="1" t="s">
        <v>3760</v>
      </c>
      <c r="C1378" t="str">
        <f t="shared" si="63"/>
        <v>Mr.</v>
      </c>
      <c r="D1378" t="str">
        <f t="shared" si="64"/>
        <v>Rick</v>
      </c>
      <c r="E1378" t="str">
        <f t="shared" si="65"/>
        <v>Garey</v>
      </c>
    </row>
    <row r="1379" spans="1:5" ht="15.5" x14ac:dyDescent="0.35">
      <c r="A1379" s="1" t="s">
        <v>993</v>
      </c>
      <c r="B1379" s="1" t="s">
        <v>3761</v>
      </c>
      <c r="C1379" t="str">
        <f t="shared" si="63"/>
        <v>Ms.</v>
      </c>
      <c r="D1379" t="str">
        <f t="shared" si="64"/>
        <v>Lauren C</v>
      </c>
      <c r="E1379" t="str">
        <f t="shared" si="65"/>
        <v>Reddy</v>
      </c>
    </row>
    <row r="1380" spans="1:5" ht="15.5" x14ac:dyDescent="0.35">
      <c r="A1380" s="1" t="s">
        <v>992</v>
      </c>
      <c r="B1380" s="1" t="s">
        <v>3762</v>
      </c>
      <c r="C1380" t="str">
        <f t="shared" si="63"/>
        <v>Mr.</v>
      </c>
      <c r="D1380" t="str">
        <f t="shared" si="64"/>
        <v>Daniel</v>
      </c>
      <c r="E1380" t="str">
        <f t="shared" si="65"/>
        <v>Mueller</v>
      </c>
    </row>
    <row r="1381" spans="1:5" ht="15.5" x14ac:dyDescent="0.35">
      <c r="A1381" s="1" t="s">
        <v>991</v>
      </c>
      <c r="B1381" s="1" t="s">
        <v>3763</v>
      </c>
      <c r="C1381" t="str">
        <f t="shared" si="63"/>
        <v>Mr.</v>
      </c>
      <c r="D1381" t="str">
        <f t="shared" si="64"/>
        <v>Jaime</v>
      </c>
      <c r="E1381" t="str">
        <f t="shared" si="65"/>
        <v>Julia</v>
      </c>
    </row>
    <row r="1382" spans="1:5" ht="15.5" x14ac:dyDescent="0.35">
      <c r="A1382" s="1" t="s">
        <v>990</v>
      </c>
      <c r="B1382" s="1" t="s">
        <v>3764</v>
      </c>
      <c r="C1382" t="str">
        <f t="shared" si="63"/>
        <v>Mr.</v>
      </c>
      <c r="D1382" t="str">
        <f t="shared" si="64"/>
        <v>Erik R</v>
      </c>
      <c r="E1382" t="str">
        <f t="shared" si="65"/>
        <v>Uribe</v>
      </c>
    </row>
    <row r="1383" spans="1:5" ht="15.5" x14ac:dyDescent="0.35">
      <c r="A1383" s="1" t="s">
        <v>989</v>
      </c>
      <c r="B1383" s="1" t="s">
        <v>3765</v>
      </c>
      <c r="C1383" t="str">
        <f t="shared" si="63"/>
        <v>Ms.</v>
      </c>
      <c r="D1383" t="str">
        <f t="shared" si="64"/>
        <v>Katie</v>
      </c>
      <c r="E1383" t="str">
        <f t="shared" si="65"/>
        <v>Hand</v>
      </c>
    </row>
    <row r="1384" spans="1:5" ht="15.5" x14ac:dyDescent="0.35">
      <c r="A1384" s="1" t="s">
        <v>988</v>
      </c>
      <c r="B1384" s="1" t="s">
        <v>3766</v>
      </c>
      <c r="C1384" t="str">
        <f t="shared" si="63"/>
        <v>Mr.</v>
      </c>
      <c r="D1384" t="str">
        <f t="shared" si="64"/>
        <v>Thomas A</v>
      </c>
      <c r="E1384" t="str">
        <f t="shared" si="65"/>
        <v>Petersen</v>
      </c>
    </row>
    <row r="1385" spans="1:5" ht="15.5" x14ac:dyDescent="0.35">
      <c r="A1385" s="1" t="s">
        <v>987</v>
      </c>
      <c r="B1385" s="1" t="s">
        <v>3767</v>
      </c>
      <c r="C1385" t="str">
        <f t="shared" si="63"/>
        <v>Mr.</v>
      </c>
      <c r="D1385" t="str">
        <f t="shared" si="64"/>
        <v>Jean-Marc</v>
      </c>
      <c r="E1385" t="str">
        <f t="shared" si="65"/>
        <v>Mac-Thiong</v>
      </c>
    </row>
    <row r="1386" spans="1:5" ht="15.5" x14ac:dyDescent="0.35">
      <c r="A1386" s="1" t="s">
        <v>986</v>
      </c>
      <c r="B1386" s="1" t="s">
        <v>3768</v>
      </c>
      <c r="C1386" t="str">
        <f t="shared" si="63"/>
        <v>Ms.</v>
      </c>
      <c r="D1386" t="str">
        <f t="shared" si="64"/>
        <v>Kerry L</v>
      </c>
      <c r="E1386" t="str">
        <f t="shared" si="65"/>
        <v>Walker</v>
      </c>
    </row>
    <row r="1387" spans="1:5" ht="15.5" x14ac:dyDescent="0.35">
      <c r="A1387" s="1" t="s">
        <v>985</v>
      </c>
      <c r="B1387" s="1" t="s">
        <v>3769</v>
      </c>
      <c r="C1387" t="str">
        <f t="shared" si="63"/>
        <v>Mr.</v>
      </c>
      <c r="D1387" t="str">
        <f t="shared" si="64"/>
        <v>Ulrich</v>
      </c>
      <c r="E1387" t="str">
        <f t="shared" si="65"/>
        <v>Steidl</v>
      </c>
    </row>
    <row r="1388" spans="1:5" ht="15.5" x14ac:dyDescent="0.35">
      <c r="A1388" s="1" t="s">
        <v>984</v>
      </c>
      <c r="B1388" s="1" t="s">
        <v>3770</v>
      </c>
      <c r="C1388" t="str">
        <f t="shared" si="63"/>
        <v>Mr.</v>
      </c>
      <c r="D1388" t="str">
        <f t="shared" si="64"/>
        <v>Justin P</v>
      </c>
      <c r="E1388" t="str">
        <f t="shared" si="65"/>
        <v>Rose</v>
      </c>
    </row>
    <row r="1389" spans="1:5" ht="15.5" x14ac:dyDescent="0.35">
      <c r="A1389" s="1" t="s">
        <v>983</v>
      </c>
      <c r="B1389" s="1" t="s">
        <v>3771</v>
      </c>
      <c r="C1389" t="str">
        <f t="shared" si="63"/>
        <v>Ms.</v>
      </c>
      <c r="D1389" t="str">
        <f t="shared" si="64"/>
        <v>Hannah E.</v>
      </c>
      <c r="E1389" t="str">
        <f t="shared" si="65"/>
        <v>Alderfer</v>
      </c>
    </row>
    <row r="1390" spans="1:5" ht="15.5" x14ac:dyDescent="0.35">
      <c r="A1390" s="1" t="s">
        <v>982</v>
      </c>
      <c r="B1390" s="1" t="s">
        <v>3772</v>
      </c>
      <c r="C1390" t="str">
        <f t="shared" si="63"/>
        <v>Mr.</v>
      </c>
      <c r="D1390" t="str">
        <f t="shared" si="64"/>
        <v>David</v>
      </c>
      <c r="E1390" t="str">
        <f t="shared" si="65"/>
        <v>Ryland</v>
      </c>
    </row>
    <row r="1391" spans="1:5" ht="15.5" x14ac:dyDescent="0.35">
      <c r="A1391" s="1" t="s">
        <v>981</v>
      </c>
      <c r="B1391" s="1" t="s">
        <v>3773</v>
      </c>
      <c r="C1391" t="str">
        <f t="shared" si="63"/>
        <v>Mr.</v>
      </c>
      <c r="D1391" t="str">
        <f t="shared" si="64"/>
        <v>Jim</v>
      </c>
      <c r="E1391" t="str">
        <f t="shared" si="65"/>
        <v>Bethea</v>
      </c>
    </row>
    <row r="1392" spans="1:5" ht="15.5" x14ac:dyDescent="0.35">
      <c r="A1392" s="1" t="s">
        <v>980</v>
      </c>
      <c r="B1392" s="1" t="s">
        <v>3774</v>
      </c>
      <c r="C1392" t="str">
        <f t="shared" si="63"/>
        <v>Mr.</v>
      </c>
      <c r="D1392" t="str">
        <f t="shared" si="64"/>
        <v>Joseph P</v>
      </c>
      <c r="E1392" t="str">
        <f t="shared" si="65"/>
        <v>Kelly</v>
      </c>
    </row>
    <row r="1393" spans="1:5" ht="15.5" x14ac:dyDescent="0.35">
      <c r="A1393" s="1" t="s">
        <v>979</v>
      </c>
      <c r="B1393" s="1" t="s">
        <v>3775</v>
      </c>
      <c r="C1393" t="str">
        <f t="shared" si="63"/>
        <v>Mr.</v>
      </c>
      <c r="D1393" t="str">
        <f t="shared" si="64"/>
        <v>Michael</v>
      </c>
      <c r="E1393" t="str">
        <f t="shared" si="65"/>
        <v>Blois</v>
      </c>
    </row>
    <row r="1394" spans="1:5" ht="15.5" x14ac:dyDescent="0.35">
      <c r="A1394" s="1" t="s">
        <v>978</v>
      </c>
      <c r="B1394" s="1" t="s">
        <v>3776</v>
      </c>
      <c r="C1394" t="str">
        <f t="shared" si="63"/>
        <v>Ms.</v>
      </c>
      <c r="D1394" t="str">
        <f t="shared" si="64"/>
        <v>Gina M</v>
      </c>
      <c r="E1394" t="str">
        <f t="shared" si="65"/>
        <v>Dayton</v>
      </c>
    </row>
    <row r="1395" spans="1:5" ht="15.5" x14ac:dyDescent="0.35">
      <c r="A1395" s="1" t="s">
        <v>977</v>
      </c>
      <c r="B1395" s="1" t="s">
        <v>3777</v>
      </c>
      <c r="C1395" t="str">
        <f t="shared" si="63"/>
        <v>Ms.</v>
      </c>
      <c r="D1395" t="str">
        <f t="shared" si="64"/>
        <v>Shantel C.</v>
      </c>
      <c r="E1395" t="str">
        <f t="shared" si="65"/>
        <v>Cloud</v>
      </c>
    </row>
    <row r="1396" spans="1:5" ht="15.5" x14ac:dyDescent="0.35">
      <c r="A1396" s="1" t="s">
        <v>976</v>
      </c>
      <c r="B1396" s="1" t="s">
        <v>3778</v>
      </c>
      <c r="C1396" t="str">
        <f t="shared" si="63"/>
        <v>Mr.</v>
      </c>
      <c r="D1396" t="str">
        <f t="shared" si="64"/>
        <v>Brian</v>
      </c>
      <c r="E1396" t="str">
        <f t="shared" si="65"/>
        <v>Betournay</v>
      </c>
    </row>
    <row r="1397" spans="1:5" ht="15.5" x14ac:dyDescent="0.35">
      <c r="A1397" s="1" t="s">
        <v>975</v>
      </c>
      <c r="B1397" s="1" t="s">
        <v>3779</v>
      </c>
      <c r="C1397" t="str">
        <f t="shared" si="63"/>
        <v>Mr.</v>
      </c>
      <c r="D1397" t="str">
        <f t="shared" si="64"/>
        <v>Brian</v>
      </c>
      <c r="E1397" t="str">
        <f t="shared" si="65"/>
        <v>Temple</v>
      </c>
    </row>
    <row r="1398" spans="1:5" ht="15.5" x14ac:dyDescent="0.35">
      <c r="A1398" s="1" t="s">
        <v>974</v>
      </c>
      <c r="B1398" s="1" t="s">
        <v>3780</v>
      </c>
      <c r="C1398" t="str">
        <f t="shared" si="63"/>
        <v>Ms.</v>
      </c>
      <c r="D1398" t="str">
        <f t="shared" si="64"/>
        <v>Jessica R</v>
      </c>
      <c r="E1398" t="str">
        <f t="shared" si="65"/>
        <v>Rollie</v>
      </c>
    </row>
    <row r="1399" spans="1:5" ht="15.5" x14ac:dyDescent="0.35">
      <c r="A1399" s="1" t="s">
        <v>973</v>
      </c>
      <c r="B1399" s="1" t="s">
        <v>3781</v>
      </c>
      <c r="C1399" t="str">
        <f t="shared" si="63"/>
        <v>Mrs.</v>
      </c>
      <c r="D1399" t="str">
        <f t="shared" si="64"/>
        <v>Robyn</v>
      </c>
      <c r="E1399" t="str">
        <f t="shared" si="65"/>
        <v>Roybal</v>
      </c>
    </row>
    <row r="1400" spans="1:5" ht="15.5" x14ac:dyDescent="0.35">
      <c r="A1400" s="1" t="s">
        <v>972</v>
      </c>
      <c r="B1400" s="1" t="s">
        <v>3782</v>
      </c>
      <c r="C1400" t="str">
        <f t="shared" si="63"/>
        <v>Ms.</v>
      </c>
      <c r="D1400" t="str">
        <f t="shared" si="64"/>
        <v>Ashley</v>
      </c>
      <c r="E1400" t="str">
        <f t="shared" si="65"/>
        <v>Turgeon</v>
      </c>
    </row>
    <row r="1401" spans="1:5" ht="15.5" x14ac:dyDescent="0.35">
      <c r="A1401" s="1" t="s">
        <v>971</v>
      </c>
      <c r="B1401" s="1" t="s">
        <v>3783</v>
      </c>
      <c r="C1401" t="str">
        <f t="shared" si="63"/>
        <v>Ms.</v>
      </c>
      <c r="D1401" t="str">
        <f t="shared" si="64"/>
        <v>Dana</v>
      </c>
      <c r="E1401" t="str">
        <f t="shared" si="65"/>
        <v>Deingenis</v>
      </c>
    </row>
    <row r="1402" spans="1:5" ht="15.5" x14ac:dyDescent="0.35">
      <c r="A1402" s="1" t="s">
        <v>970</v>
      </c>
      <c r="B1402" s="1" t="s">
        <v>3784</v>
      </c>
      <c r="C1402" t="str">
        <f t="shared" si="63"/>
        <v>Ms.</v>
      </c>
      <c r="D1402" t="str">
        <f t="shared" si="64"/>
        <v>Jessica F.</v>
      </c>
      <c r="E1402" t="str">
        <f t="shared" si="65"/>
        <v>Hodge</v>
      </c>
    </row>
    <row r="1403" spans="1:5" ht="15.5" x14ac:dyDescent="0.35">
      <c r="A1403" s="1" t="s">
        <v>969</v>
      </c>
      <c r="B1403" s="1" t="s">
        <v>3785</v>
      </c>
      <c r="C1403" t="str">
        <f t="shared" si="63"/>
        <v>Ms.</v>
      </c>
      <c r="D1403" t="str">
        <f t="shared" si="64"/>
        <v>Lindsey</v>
      </c>
      <c r="E1403" t="str">
        <f t="shared" si="65"/>
        <v>Gibbs</v>
      </c>
    </row>
    <row r="1404" spans="1:5" ht="15.5" x14ac:dyDescent="0.35">
      <c r="A1404" s="1" t="s">
        <v>968</v>
      </c>
      <c r="B1404" s="1" t="s">
        <v>3786</v>
      </c>
      <c r="C1404" t="str">
        <f t="shared" si="63"/>
        <v>Ms.</v>
      </c>
      <c r="D1404" t="str">
        <f t="shared" si="64"/>
        <v>Kelly A</v>
      </c>
      <c r="E1404" t="str">
        <f t="shared" si="65"/>
        <v>Trom</v>
      </c>
    </row>
    <row r="1405" spans="1:5" ht="15.5" x14ac:dyDescent="0.35">
      <c r="A1405" s="1" t="s">
        <v>967</v>
      </c>
      <c r="B1405" s="1" t="s">
        <v>3787</v>
      </c>
      <c r="C1405" t="str">
        <f t="shared" si="63"/>
        <v>Ms.</v>
      </c>
      <c r="D1405" t="str">
        <f t="shared" si="64"/>
        <v>Brooke E</v>
      </c>
      <c r="E1405" t="str">
        <f t="shared" si="65"/>
        <v>Sizer</v>
      </c>
    </row>
    <row r="1406" spans="1:5" ht="15.5" x14ac:dyDescent="0.35">
      <c r="A1406" s="1" t="s">
        <v>966</v>
      </c>
      <c r="B1406" s="1" t="s">
        <v>3788</v>
      </c>
      <c r="C1406" t="str">
        <f t="shared" si="63"/>
        <v>Ms.</v>
      </c>
      <c r="D1406" t="str">
        <f t="shared" si="64"/>
        <v>Katelyn E.</v>
      </c>
      <c r="E1406" t="str">
        <f t="shared" si="65"/>
        <v>Ellison</v>
      </c>
    </row>
    <row r="1407" spans="1:5" ht="15.5" x14ac:dyDescent="0.35">
      <c r="A1407" s="1" t="s">
        <v>965</v>
      </c>
      <c r="B1407" s="1" t="s">
        <v>3789</v>
      </c>
      <c r="C1407" t="str">
        <f t="shared" si="63"/>
        <v>Mr.</v>
      </c>
      <c r="D1407" t="str">
        <f t="shared" si="64"/>
        <v>Adam</v>
      </c>
      <c r="E1407" t="str">
        <f t="shared" si="65"/>
        <v>Sulkowski</v>
      </c>
    </row>
    <row r="1408" spans="1:5" ht="15.5" x14ac:dyDescent="0.35">
      <c r="A1408" s="1" t="s">
        <v>964</v>
      </c>
      <c r="B1408" s="1" t="s">
        <v>3790</v>
      </c>
      <c r="C1408" t="str">
        <f t="shared" si="63"/>
        <v>Ms.</v>
      </c>
      <c r="D1408" t="str">
        <f t="shared" si="64"/>
        <v>Dana</v>
      </c>
      <c r="E1408" t="str">
        <f t="shared" si="65"/>
        <v>Maringo</v>
      </c>
    </row>
    <row r="1409" spans="1:5" ht="15.5" x14ac:dyDescent="0.35">
      <c r="A1409" s="1" t="s">
        <v>963</v>
      </c>
      <c r="B1409" s="1" t="s">
        <v>3791</v>
      </c>
      <c r="C1409" t="str">
        <f t="shared" si="63"/>
        <v>Mr.</v>
      </c>
      <c r="D1409" t="str">
        <f t="shared" si="64"/>
        <v>Eric W</v>
      </c>
      <c r="E1409" t="str">
        <f t="shared" si="65"/>
        <v>Lattin</v>
      </c>
    </row>
    <row r="1410" spans="1:5" ht="15.5" x14ac:dyDescent="0.35">
      <c r="A1410" s="1" t="s">
        <v>962</v>
      </c>
      <c r="B1410" s="1" t="s">
        <v>3792</v>
      </c>
      <c r="C1410" t="str">
        <f t="shared" si="63"/>
        <v>Mr.</v>
      </c>
      <c r="D1410" t="str">
        <f t="shared" si="64"/>
        <v>Matthew D</v>
      </c>
      <c r="E1410" t="str">
        <f t="shared" si="65"/>
        <v>Deblander</v>
      </c>
    </row>
    <row r="1411" spans="1:5" ht="15.5" x14ac:dyDescent="0.35">
      <c r="A1411" s="1" t="s">
        <v>961</v>
      </c>
      <c r="B1411" s="1" t="s">
        <v>3793</v>
      </c>
      <c r="C1411" t="str">
        <f t="shared" ref="C1411:C1474" si="66">TRIM(MID(B1411,FIND(",",B1411)+1,FIND(".",B1411)-FIND(",",B1411)))</f>
        <v>Mr.</v>
      </c>
      <c r="D1411" t="str">
        <f t="shared" ref="D1411:D1474" si="67">TRIM(MID(B1411,FIND(".",B1411)+1,LEN(B1411)))</f>
        <v>Eoghan</v>
      </c>
      <c r="E1411" t="str">
        <f t="shared" ref="E1411:E1474" si="68">TRIM(LEFT(B1411,FIND(",",B1411)-1))</f>
        <v>O'Neill</v>
      </c>
    </row>
    <row r="1412" spans="1:5" ht="15.5" x14ac:dyDescent="0.35">
      <c r="A1412" s="1" t="s">
        <v>960</v>
      </c>
      <c r="B1412" s="1" t="s">
        <v>3794</v>
      </c>
      <c r="C1412" t="str">
        <f t="shared" si="66"/>
        <v>Ms.</v>
      </c>
      <c r="D1412" t="str">
        <f t="shared" si="67"/>
        <v>Pamela W</v>
      </c>
      <c r="E1412" t="str">
        <f t="shared" si="68"/>
        <v>Davis</v>
      </c>
    </row>
    <row r="1413" spans="1:5" ht="15.5" x14ac:dyDescent="0.35">
      <c r="A1413" s="1" t="s">
        <v>959</v>
      </c>
      <c r="B1413" s="1" t="s">
        <v>3795</v>
      </c>
      <c r="C1413" t="str">
        <f t="shared" si="66"/>
        <v>Ms.</v>
      </c>
      <c r="D1413" t="str">
        <f t="shared" si="67"/>
        <v>Lindsey M.</v>
      </c>
      <c r="E1413" t="str">
        <f t="shared" si="68"/>
        <v>Stanek</v>
      </c>
    </row>
    <row r="1414" spans="1:5" ht="15.5" x14ac:dyDescent="0.35">
      <c r="A1414" s="1" t="s">
        <v>958</v>
      </c>
      <c r="B1414" s="1" t="s">
        <v>3796</v>
      </c>
      <c r="C1414" t="str">
        <f t="shared" si="66"/>
        <v>Ms.</v>
      </c>
      <c r="D1414" t="str">
        <f t="shared" si="67"/>
        <v>Kassie</v>
      </c>
      <c r="E1414" t="str">
        <f t="shared" si="68"/>
        <v>Harris</v>
      </c>
    </row>
    <row r="1415" spans="1:5" ht="15.5" x14ac:dyDescent="0.35">
      <c r="A1415" s="1" t="s">
        <v>957</v>
      </c>
      <c r="B1415" s="1" t="s">
        <v>3797</v>
      </c>
      <c r="C1415" t="str">
        <f t="shared" si="66"/>
        <v>Mr.</v>
      </c>
      <c r="D1415" t="str">
        <f t="shared" si="67"/>
        <v>Matthew</v>
      </c>
      <c r="E1415" t="str">
        <f t="shared" si="68"/>
        <v>Manning</v>
      </c>
    </row>
    <row r="1416" spans="1:5" ht="15.5" x14ac:dyDescent="0.35">
      <c r="A1416" s="1" t="s">
        <v>956</v>
      </c>
      <c r="B1416" s="1" t="s">
        <v>3798</v>
      </c>
      <c r="C1416" t="str">
        <f t="shared" si="66"/>
        <v>Mr.</v>
      </c>
      <c r="D1416" t="str">
        <f t="shared" si="67"/>
        <v>Ruben Dario</v>
      </c>
      <c r="E1416" t="str">
        <f t="shared" si="68"/>
        <v>Barrera Munoz</v>
      </c>
    </row>
    <row r="1417" spans="1:5" ht="15.5" x14ac:dyDescent="0.35">
      <c r="A1417" s="1" t="s">
        <v>955</v>
      </c>
      <c r="B1417" s="1" t="s">
        <v>3799</v>
      </c>
      <c r="C1417" t="str">
        <f t="shared" si="66"/>
        <v>Mr.</v>
      </c>
      <c r="D1417" t="str">
        <f t="shared" si="67"/>
        <v>Kevin</v>
      </c>
      <c r="E1417" t="str">
        <f t="shared" si="68"/>
        <v>Schauwaers</v>
      </c>
    </row>
    <row r="1418" spans="1:5" ht="15.5" x14ac:dyDescent="0.35">
      <c r="A1418" s="1" t="s">
        <v>954</v>
      </c>
      <c r="B1418" s="1" t="s">
        <v>3800</v>
      </c>
      <c r="C1418" t="str">
        <f t="shared" si="66"/>
        <v>Ms.</v>
      </c>
      <c r="D1418" t="str">
        <f t="shared" si="67"/>
        <v>Lindsay M</v>
      </c>
      <c r="E1418" t="str">
        <f t="shared" si="68"/>
        <v>Hartman</v>
      </c>
    </row>
    <row r="1419" spans="1:5" ht="15.5" x14ac:dyDescent="0.35">
      <c r="A1419" s="1" t="s">
        <v>953</v>
      </c>
      <c r="B1419" s="1" t="s">
        <v>3801</v>
      </c>
      <c r="C1419" t="str">
        <f t="shared" si="66"/>
        <v>Mrs.</v>
      </c>
      <c r="D1419" t="str">
        <f t="shared" si="67"/>
        <v>Amanda</v>
      </c>
      <c r="E1419" t="str">
        <f t="shared" si="68"/>
        <v>Fire</v>
      </c>
    </row>
    <row r="1420" spans="1:5" ht="15.5" x14ac:dyDescent="0.35">
      <c r="A1420" s="1" t="s">
        <v>952</v>
      </c>
      <c r="B1420" s="1" t="s">
        <v>3802</v>
      </c>
      <c r="C1420" t="str">
        <f t="shared" si="66"/>
        <v>Mr.</v>
      </c>
      <c r="D1420" t="str">
        <f t="shared" si="67"/>
        <v>James</v>
      </c>
      <c r="E1420" t="str">
        <f t="shared" si="68"/>
        <v>Waliaula</v>
      </c>
    </row>
    <row r="1421" spans="1:5" ht="15.5" x14ac:dyDescent="0.35">
      <c r="A1421" s="1" t="s">
        <v>951</v>
      </c>
      <c r="B1421" s="1" t="s">
        <v>3803</v>
      </c>
      <c r="C1421" t="str">
        <f t="shared" si="66"/>
        <v>Mr.</v>
      </c>
      <c r="D1421" t="str">
        <f t="shared" si="67"/>
        <v>Samuel H.</v>
      </c>
      <c r="E1421" t="str">
        <f t="shared" si="68"/>
        <v>Blackshear</v>
      </c>
    </row>
    <row r="1422" spans="1:5" ht="15.5" x14ac:dyDescent="0.35">
      <c r="A1422" s="1" t="s">
        <v>950</v>
      </c>
      <c r="B1422" s="1" t="s">
        <v>3804</v>
      </c>
      <c r="C1422" t="str">
        <f t="shared" si="66"/>
        <v>Ms.</v>
      </c>
      <c r="D1422" t="str">
        <f t="shared" si="67"/>
        <v>Jenni</v>
      </c>
      <c r="E1422" t="str">
        <f t="shared" si="68"/>
        <v>Nettik</v>
      </c>
    </row>
    <row r="1423" spans="1:5" ht="15.5" x14ac:dyDescent="0.35">
      <c r="A1423" s="1" t="s">
        <v>949</v>
      </c>
      <c r="B1423" s="1" t="s">
        <v>3805</v>
      </c>
      <c r="C1423" t="str">
        <f t="shared" si="66"/>
        <v>Mr.</v>
      </c>
      <c r="D1423" t="str">
        <f t="shared" si="67"/>
        <v>Estuardo F</v>
      </c>
      <c r="E1423" t="str">
        <f t="shared" si="68"/>
        <v>Novales</v>
      </c>
    </row>
    <row r="1424" spans="1:5" ht="15.5" x14ac:dyDescent="0.35">
      <c r="A1424" s="1" t="s">
        <v>948</v>
      </c>
      <c r="B1424" s="1" t="s">
        <v>3806</v>
      </c>
      <c r="C1424" t="str">
        <f t="shared" si="66"/>
        <v>Mr.</v>
      </c>
      <c r="D1424" t="str">
        <f t="shared" si="67"/>
        <v>Brett</v>
      </c>
      <c r="E1424" t="str">
        <f t="shared" si="68"/>
        <v>Rosauer</v>
      </c>
    </row>
    <row r="1425" spans="1:5" ht="15.5" x14ac:dyDescent="0.35">
      <c r="A1425" s="1" t="s">
        <v>947</v>
      </c>
      <c r="B1425" s="1" t="s">
        <v>3807</v>
      </c>
      <c r="C1425" t="str">
        <f t="shared" si="66"/>
        <v>Ms.</v>
      </c>
      <c r="D1425" t="str">
        <f t="shared" si="67"/>
        <v>Sharon E.</v>
      </c>
      <c r="E1425" t="str">
        <f t="shared" si="68"/>
        <v>Ryder</v>
      </c>
    </row>
    <row r="1426" spans="1:5" ht="15.5" x14ac:dyDescent="0.35">
      <c r="A1426" s="1" t="s">
        <v>946</v>
      </c>
      <c r="B1426" s="1" t="s">
        <v>3808</v>
      </c>
      <c r="C1426" t="str">
        <f t="shared" si="66"/>
        <v>Mr.</v>
      </c>
      <c r="D1426" t="str">
        <f t="shared" si="67"/>
        <v>Jacob W√¶ver</v>
      </c>
      <c r="E1426" t="str">
        <f t="shared" si="68"/>
        <v>Larsen</v>
      </c>
    </row>
    <row r="1427" spans="1:5" ht="15.5" x14ac:dyDescent="0.35">
      <c r="A1427" s="1" t="s">
        <v>945</v>
      </c>
      <c r="B1427" s="1" t="s">
        <v>3809</v>
      </c>
      <c r="C1427" t="str">
        <f t="shared" si="66"/>
        <v>Mr.</v>
      </c>
      <c r="D1427" t="str">
        <f t="shared" si="67"/>
        <v>Scott</v>
      </c>
      <c r="E1427" t="str">
        <f t="shared" si="68"/>
        <v>Keate</v>
      </c>
    </row>
    <row r="1428" spans="1:5" ht="15.5" x14ac:dyDescent="0.35">
      <c r="A1428" s="1" t="s">
        <v>944</v>
      </c>
      <c r="B1428" s="1" t="s">
        <v>3810</v>
      </c>
      <c r="C1428" t="str">
        <f t="shared" si="66"/>
        <v>Ms.</v>
      </c>
      <c r="D1428" t="str">
        <f t="shared" si="67"/>
        <v>Brooke S.</v>
      </c>
      <c r="E1428" t="str">
        <f t="shared" si="68"/>
        <v>Williams</v>
      </c>
    </row>
    <row r="1429" spans="1:5" ht="15.5" x14ac:dyDescent="0.35">
      <c r="A1429" s="1" t="s">
        <v>943</v>
      </c>
      <c r="B1429" s="1" t="s">
        <v>3811</v>
      </c>
      <c r="C1429" t="str">
        <f t="shared" si="66"/>
        <v>Ms.</v>
      </c>
      <c r="D1429" t="str">
        <f t="shared" si="67"/>
        <v>Kaye A.</v>
      </c>
      <c r="E1429" t="str">
        <f t="shared" si="68"/>
        <v>Starosciak</v>
      </c>
    </row>
    <row r="1430" spans="1:5" ht="15.5" x14ac:dyDescent="0.35">
      <c r="A1430" s="1" t="s">
        <v>942</v>
      </c>
      <c r="B1430" s="1" t="s">
        <v>3812</v>
      </c>
      <c r="C1430" t="str">
        <f t="shared" si="66"/>
        <v>Ms.</v>
      </c>
      <c r="D1430" t="str">
        <f t="shared" si="67"/>
        <v>Carolyn</v>
      </c>
      <c r="E1430" t="str">
        <f t="shared" si="68"/>
        <v>Smith</v>
      </c>
    </row>
    <row r="1431" spans="1:5" ht="15.5" x14ac:dyDescent="0.35">
      <c r="A1431" s="1" t="s">
        <v>941</v>
      </c>
      <c r="B1431" s="1" t="s">
        <v>3813</v>
      </c>
      <c r="C1431" t="str">
        <f t="shared" si="66"/>
        <v>Mr.</v>
      </c>
      <c r="D1431" t="str">
        <f t="shared" si="67"/>
        <v>Daniel C.</v>
      </c>
      <c r="E1431" t="str">
        <f t="shared" si="68"/>
        <v>Henderson</v>
      </c>
    </row>
    <row r="1432" spans="1:5" ht="15.5" x14ac:dyDescent="0.35">
      <c r="A1432" s="1" t="s">
        <v>940</v>
      </c>
      <c r="B1432" s="1" t="s">
        <v>3814</v>
      </c>
      <c r="C1432" t="str">
        <f t="shared" si="66"/>
        <v>Mrs.</v>
      </c>
      <c r="D1432" t="str">
        <f t="shared" si="67"/>
        <v>Laurie A</v>
      </c>
      <c r="E1432" t="str">
        <f t="shared" si="68"/>
        <v>Winkelman</v>
      </c>
    </row>
    <row r="1433" spans="1:5" ht="15.5" x14ac:dyDescent="0.35">
      <c r="A1433" s="1" t="s">
        <v>939</v>
      </c>
      <c r="B1433" s="1" t="s">
        <v>3815</v>
      </c>
      <c r="C1433" t="str">
        <f t="shared" si="66"/>
        <v>Ms.</v>
      </c>
      <c r="D1433" t="str">
        <f t="shared" si="67"/>
        <v>Nicole</v>
      </c>
      <c r="E1433" t="str">
        <f t="shared" si="68"/>
        <v>Monette</v>
      </c>
    </row>
    <row r="1434" spans="1:5" ht="15.5" x14ac:dyDescent="0.35">
      <c r="A1434" s="1" t="s">
        <v>938</v>
      </c>
      <c r="B1434" s="1" t="s">
        <v>3816</v>
      </c>
      <c r="C1434" t="str">
        <f t="shared" si="66"/>
        <v>Ms.</v>
      </c>
      <c r="D1434" t="str">
        <f t="shared" si="67"/>
        <v>Shelby</v>
      </c>
      <c r="E1434" t="str">
        <f t="shared" si="68"/>
        <v>Kramer</v>
      </c>
    </row>
    <row r="1435" spans="1:5" ht="15.5" x14ac:dyDescent="0.35">
      <c r="A1435" s="1" t="s">
        <v>937</v>
      </c>
      <c r="B1435" s="1" t="s">
        <v>3817</v>
      </c>
      <c r="C1435" t="str">
        <f t="shared" si="66"/>
        <v>Ms.</v>
      </c>
      <c r="D1435" t="str">
        <f t="shared" si="67"/>
        <v>Allison</v>
      </c>
      <c r="E1435" t="str">
        <f t="shared" si="68"/>
        <v>Goldstein</v>
      </c>
    </row>
    <row r="1436" spans="1:5" ht="15.5" x14ac:dyDescent="0.35">
      <c r="A1436" s="1" t="s">
        <v>936</v>
      </c>
      <c r="B1436" s="1" t="s">
        <v>3818</v>
      </c>
      <c r="C1436" t="str">
        <f t="shared" si="66"/>
        <v>Ms.</v>
      </c>
      <c r="D1436" t="str">
        <f t="shared" si="67"/>
        <v>Leticia</v>
      </c>
      <c r="E1436" t="str">
        <f t="shared" si="68"/>
        <v>Gonzalez</v>
      </c>
    </row>
    <row r="1437" spans="1:5" ht="15.5" x14ac:dyDescent="0.35">
      <c r="A1437" s="1" t="s">
        <v>935</v>
      </c>
      <c r="B1437" s="1" t="s">
        <v>3819</v>
      </c>
      <c r="C1437" t="str">
        <f t="shared" si="66"/>
        <v>Mr.</v>
      </c>
      <c r="D1437" t="str">
        <f t="shared" si="67"/>
        <v>John S.</v>
      </c>
      <c r="E1437" t="str">
        <f t="shared" si="68"/>
        <v>Barrett</v>
      </c>
    </row>
    <row r="1438" spans="1:5" ht="15.5" x14ac:dyDescent="0.35">
      <c r="A1438" s="1" t="s">
        <v>934</v>
      </c>
      <c r="B1438" s="1" t="s">
        <v>3820</v>
      </c>
      <c r="C1438" t="str">
        <f t="shared" si="66"/>
        <v>Ms.</v>
      </c>
      <c r="D1438" t="str">
        <f t="shared" si="67"/>
        <v>April</v>
      </c>
      <c r="E1438" t="str">
        <f t="shared" si="68"/>
        <v>Irwin</v>
      </c>
    </row>
    <row r="1439" spans="1:5" ht="15.5" x14ac:dyDescent="0.35">
      <c r="A1439" s="1" t="s">
        <v>933</v>
      </c>
      <c r="B1439" s="1" t="s">
        <v>3821</v>
      </c>
      <c r="C1439" t="str">
        <f t="shared" si="66"/>
        <v>Ms.</v>
      </c>
      <c r="D1439" t="str">
        <f t="shared" si="67"/>
        <v>Ashley N.</v>
      </c>
      <c r="E1439" t="str">
        <f t="shared" si="68"/>
        <v>Glenn</v>
      </c>
    </row>
    <row r="1440" spans="1:5" ht="15.5" x14ac:dyDescent="0.35">
      <c r="A1440" s="1" t="s">
        <v>932</v>
      </c>
      <c r="B1440" s="1" t="s">
        <v>3822</v>
      </c>
      <c r="C1440" t="str">
        <f t="shared" si="66"/>
        <v>Ms.</v>
      </c>
      <c r="D1440" t="str">
        <f t="shared" si="67"/>
        <v>Madeleine</v>
      </c>
      <c r="E1440" t="str">
        <f t="shared" si="68"/>
        <v>O'Meara</v>
      </c>
    </row>
    <row r="1441" spans="1:5" ht="15.5" x14ac:dyDescent="0.35">
      <c r="A1441" s="1" t="s">
        <v>931</v>
      </c>
      <c r="B1441" s="1" t="s">
        <v>3823</v>
      </c>
      <c r="C1441" t="str">
        <f t="shared" si="66"/>
        <v>Ms.</v>
      </c>
      <c r="D1441" t="str">
        <f t="shared" si="67"/>
        <v>Nelly S</v>
      </c>
      <c r="E1441" t="str">
        <f t="shared" si="68"/>
        <v>Budrow</v>
      </c>
    </row>
    <row r="1442" spans="1:5" ht="15.5" x14ac:dyDescent="0.35">
      <c r="A1442" s="1" t="s">
        <v>930</v>
      </c>
      <c r="B1442" s="1" t="s">
        <v>3824</v>
      </c>
      <c r="C1442" t="str">
        <f t="shared" si="66"/>
        <v>Ms.</v>
      </c>
      <c r="D1442" t="str">
        <f t="shared" si="67"/>
        <v>Meredith S</v>
      </c>
      <c r="E1442" t="str">
        <f t="shared" si="68"/>
        <v>Anderson</v>
      </c>
    </row>
    <row r="1443" spans="1:5" ht="15.5" x14ac:dyDescent="0.35">
      <c r="A1443" s="1" t="s">
        <v>929</v>
      </c>
      <c r="B1443" s="1" t="s">
        <v>3825</v>
      </c>
      <c r="C1443" t="str">
        <f t="shared" si="66"/>
        <v>Mr.</v>
      </c>
      <c r="D1443" t="str">
        <f t="shared" si="67"/>
        <v>Kevin</v>
      </c>
      <c r="E1443" t="str">
        <f t="shared" si="68"/>
        <v>Douglas</v>
      </c>
    </row>
    <row r="1444" spans="1:5" ht="15.5" x14ac:dyDescent="0.35">
      <c r="A1444" s="1" t="s">
        <v>928</v>
      </c>
      <c r="B1444" s="1" t="s">
        <v>3826</v>
      </c>
      <c r="C1444" t="str">
        <f t="shared" si="66"/>
        <v>Ms.</v>
      </c>
      <c r="D1444" t="str">
        <f t="shared" si="67"/>
        <v>Lisa</v>
      </c>
      <c r="E1444" t="str">
        <f t="shared" si="68"/>
        <v>Tecklenburg</v>
      </c>
    </row>
    <row r="1445" spans="1:5" ht="15.5" x14ac:dyDescent="0.35">
      <c r="A1445" s="1" t="s">
        <v>927</v>
      </c>
      <c r="B1445" s="1" t="s">
        <v>3827</v>
      </c>
      <c r="C1445" t="str">
        <f t="shared" si="66"/>
        <v>Ms.</v>
      </c>
      <c r="D1445" t="str">
        <f t="shared" si="67"/>
        <v>Katherine A</v>
      </c>
      <c r="E1445" t="str">
        <f t="shared" si="68"/>
        <v>Baker</v>
      </c>
    </row>
    <row r="1446" spans="1:5" ht="15.5" x14ac:dyDescent="0.35">
      <c r="A1446" s="1" t="s">
        <v>926</v>
      </c>
      <c r="B1446" s="1" t="s">
        <v>3828</v>
      </c>
      <c r="C1446" t="str">
        <f t="shared" si="66"/>
        <v>Mr.</v>
      </c>
      <c r="D1446" t="str">
        <f t="shared" si="67"/>
        <v>Steve</v>
      </c>
      <c r="E1446" t="str">
        <f t="shared" si="68"/>
        <v>Schenck</v>
      </c>
    </row>
    <row r="1447" spans="1:5" ht="15.5" x14ac:dyDescent="0.35">
      <c r="A1447" s="1" t="s">
        <v>925</v>
      </c>
      <c r="B1447" s="1" t="s">
        <v>3829</v>
      </c>
      <c r="C1447" t="str">
        <f t="shared" si="66"/>
        <v>Ms.</v>
      </c>
      <c r="D1447" t="str">
        <f t="shared" si="67"/>
        <v>Kate L.</v>
      </c>
      <c r="E1447" t="str">
        <f t="shared" si="68"/>
        <v>Johnson</v>
      </c>
    </row>
    <row r="1448" spans="1:5" ht="15.5" x14ac:dyDescent="0.35">
      <c r="A1448" s="1" t="s">
        <v>924</v>
      </c>
      <c r="B1448" s="1" t="s">
        <v>3830</v>
      </c>
      <c r="C1448" t="str">
        <f t="shared" si="66"/>
        <v>Ms.</v>
      </c>
      <c r="D1448" t="str">
        <f t="shared" si="67"/>
        <v>Beth</v>
      </c>
      <c r="E1448" t="str">
        <f t="shared" si="68"/>
        <v>Blendell</v>
      </c>
    </row>
    <row r="1449" spans="1:5" ht="15.5" x14ac:dyDescent="0.35">
      <c r="A1449" s="1" t="s">
        <v>923</v>
      </c>
      <c r="B1449" s="1" t="s">
        <v>3831</v>
      </c>
      <c r="C1449" t="str">
        <f t="shared" si="66"/>
        <v>Ms.</v>
      </c>
      <c r="D1449" t="str">
        <f t="shared" si="67"/>
        <v>Katharine</v>
      </c>
      <c r="E1449" t="str">
        <f t="shared" si="68"/>
        <v>Parodi</v>
      </c>
    </row>
    <row r="1450" spans="1:5" ht="15.5" x14ac:dyDescent="0.35">
      <c r="A1450" s="1" t="s">
        <v>922</v>
      </c>
      <c r="B1450" s="1" t="s">
        <v>3832</v>
      </c>
      <c r="C1450" t="str">
        <f t="shared" si="66"/>
        <v>Ms.</v>
      </c>
      <c r="D1450" t="str">
        <f t="shared" si="67"/>
        <v>Heather L</v>
      </c>
      <c r="E1450" t="str">
        <f t="shared" si="68"/>
        <v>Morgan</v>
      </c>
    </row>
    <row r="1451" spans="1:5" ht="15.5" x14ac:dyDescent="0.35">
      <c r="A1451" s="1" t="s">
        <v>921</v>
      </c>
      <c r="B1451" s="1" t="s">
        <v>3833</v>
      </c>
      <c r="C1451" t="str">
        <f t="shared" si="66"/>
        <v>Ms.</v>
      </c>
      <c r="D1451" t="str">
        <f t="shared" si="67"/>
        <v>Desiree</v>
      </c>
      <c r="E1451" t="str">
        <f t="shared" si="68"/>
        <v>Linden</v>
      </c>
    </row>
    <row r="1452" spans="1:5" ht="15.5" x14ac:dyDescent="0.35">
      <c r="A1452" s="1" t="s">
        <v>920</v>
      </c>
      <c r="B1452" s="1" t="s">
        <v>3834</v>
      </c>
      <c r="C1452" t="str">
        <f t="shared" si="66"/>
        <v>Mr.</v>
      </c>
      <c r="D1452" t="str">
        <f t="shared" si="67"/>
        <v>Peter B.</v>
      </c>
      <c r="E1452" t="str">
        <f t="shared" si="68"/>
        <v>Horning</v>
      </c>
    </row>
    <row r="1453" spans="1:5" ht="15.5" x14ac:dyDescent="0.35">
      <c r="A1453" s="1" t="s">
        <v>919</v>
      </c>
      <c r="B1453" s="1" t="s">
        <v>3835</v>
      </c>
      <c r="C1453" t="str">
        <f t="shared" si="66"/>
        <v>Mr.</v>
      </c>
      <c r="D1453" t="str">
        <f t="shared" si="67"/>
        <v>Adam</v>
      </c>
      <c r="E1453" t="str">
        <f t="shared" si="68"/>
        <v>Goode</v>
      </c>
    </row>
    <row r="1454" spans="1:5" ht="15.5" x14ac:dyDescent="0.35">
      <c r="A1454" s="1" t="s">
        <v>918</v>
      </c>
      <c r="B1454" s="1" t="s">
        <v>3836</v>
      </c>
      <c r="C1454" t="str">
        <f t="shared" si="66"/>
        <v>Mr.</v>
      </c>
      <c r="D1454" t="str">
        <f t="shared" si="67"/>
        <v>Jeremy J</v>
      </c>
      <c r="E1454" t="str">
        <f t="shared" si="68"/>
        <v>Doden</v>
      </c>
    </row>
    <row r="1455" spans="1:5" ht="15.5" x14ac:dyDescent="0.35">
      <c r="A1455" s="1" t="s">
        <v>917</v>
      </c>
      <c r="B1455" s="1" t="s">
        <v>3837</v>
      </c>
      <c r="C1455" t="str">
        <f t="shared" si="66"/>
        <v>Mr.</v>
      </c>
      <c r="D1455" t="str">
        <f t="shared" si="67"/>
        <v>Adam C</v>
      </c>
      <c r="E1455" t="str">
        <f t="shared" si="68"/>
        <v>Groff</v>
      </c>
    </row>
    <row r="1456" spans="1:5" ht="15.5" x14ac:dyDescent="0.35">
      <c r="A1456" s="1" t="s">
        <v>916</v>
      </c>
      <c r="B1456" s="1" t="s">
        <v>3838</v>
      </c>
      <c r="C1456" t="str">
        <f t="shared" si="66"/>
        <v>Mr.</v>
      </c>
      <c r="D1456" t="str">
        <f t="shared" si="67"/>
        <v>Jon</v>
      </c>
      <c r="E1456" t="str">
        <f t="shared" si="68"/>
        <v>Kuehler</v>
      </c>
    </row>
    <row r="1457" spans="1:5" ht="15.5" x14ac:dyDescent="0.35">
      <c r="A1457" s="1" t="s">
        <v>915</v>
      </c>
      <c r="B1457" s="1" t="s">
        <v>3839</v>
      </c>
      <c r="C1457" t="str">
        <f t="shared" si="66"/>
        <v>Mr.</v>
      </c>
      <c r="D1457" t="str">
        <f t="shared" si="67"/>
        <v>Steven J</v>
      </c>
      <c r="E1457" t="str">
        <f t="shared" si="68"/>
        <v>Daniels</v>
      </c>
    </row>
    <row r="1458" spans="1:5" ht="15.5" x14ac:dyDescent="0.35">
      <c r="A1458" s="1" t="s">
        <v>914</v>
      </c>
      <c r="B1458" s="1" t="s">
        <v>3840</v>
      </c>
      <c r="C1458" t="str">
        <f t="shared" si="66"/>
        <v>Ms.</v>
      </c>
      <c r="D1458" t="str">
        <f t="shared" si="67"/>
        <v>Jessica P.</v>
      </c>
      <c r="E1458" t="str">
        <f t="shared" si="68"/>
        <v>Gibby</v>
      </c>
    </row>
    <row r="1459" spans="1:5" ht="15.5" x14ac:dyDescent="0.35">
      <c r="A1459" s="1" t="s">
        <v>913</v>
      </c>
      <c r="B1459" s="1" t="s">
        <v>3841</v>
      </c>
      <c r="C1459" t="str">
        <f t="shared" si="66"/>
        <v>Ms.</v>
      </c>
      <c r="D1459" t="str">
        <f t="shared" si="67"/>
        <v>Ashley</v>
      </c>
      <c r="E1459" t="str">
        <f t="shared" si="68"/>
        <v>Busa</v>
      </c>
    </row>
    <row r="1460" spans="1:5" ht="15.5" x14ac:dyDescent="0.35">
      <c r="A1460" s="1" t="s">
        <v>912</v>
      </c>
      <c r="B1460" s="1" t="s">
        <v>3842</v>
      </c>
      <c r="C1460" t="str">
        <f t="shared" si="66"/>
        <v>Mr.</v>
      </c>
      <c r="D1460" t="str">
        <f t="shared" si="67"/>
        <v>Arturo H.</v>
      </c>
      <c r="E1460" t="str">
        <f t="shared" si="68"/>
        <v>Moyo</v>
      </c>
    </row>
    <row r="1461" spans="1:5" ht="15.5" x14ac:dyDescent="0.35">
      <c r="A1461" s="1" t="s">
        <v>911</v>
      </c>
      <c r="B1461" s="1" t="s">
        <v>3843</v>
      </c>
      <c r="C1461" t="str">
        <f t="shared" si="66"/>
        <v>Mr.</v>
      </c>
      <c r="D1461" t="str">
        <f t="shared" si="67"/>
        <v>Ketil</v>
      </c>
      <c r="E1461" t="str">
        <f t="shared" si="68"/>
        <v>Horn</v>
      </c>
    </row>
    <row r="1462" spans="1:5" ht="15.5" x14ac:dyDescent="0.35">
      <c r="A1462" s="1" t="s">
        <v>910</v>
      </c>
      <c r="B1462" s="1" t="s">
        <v>3844</v>
      </c>
      <c r="C1462" t="str">
        <f t="shared" si="66"/>
        <v>Ms.</v>
      </c>
      <c r="D1462" t="str">
        <f t="shared" si="67"/>
        <v>Katie</v>
      </c>
      <c r="E1462" t="str">
        <f t="shared" si="68"/>
        <v>Bien</v>
      </c>
    </row>
    <row r="1463" spans="1:5" ht="15.5" x14ac:dyDescent="0.35">
      <c r="A1463" s="1" t="s">
        <v>909</v>
      </c>
      <c r="B1463" s="1" t="s">
        <v>3845</v>
      </c>
      <c r="C1463" t="str">
        <f t="shared" si="66"/>
        <v>Ms.</v>
      </c>
      <c r="D1463" t="str">
        <f t="shared" si="67"/>
        <v>Christi</v>
      </c>
      <c r="E1463" t="str">
        <f t="shared" si="68"/>
        <v>O'Connor</v>
      </c>
    </row>
    <row r="1464" spans="1:5" ht="15.5" x14ac:dyDescent="0.35">
      <c r="A1464" s="1" t="s">
        <v>908</v>
      </c>
      <c r="B1464" s="1" t="s">
        <v>3846</v>
      </c>
      <c r="C1464" t="str">
        <f t="shared" si="66"/>
        <v>Mr.</v>
      </c>
      <c r="D1464" t="str">
        <f t="shared" si="67"/>
        <v>Alan</v>
      </c>
      <c r="E1464" t="str">
        <f t="shared" si="68"/>
        <v>Ash</v>
      </c>
    </row>
    <row r="1465" spans="1:5" ht="15.5" x14ac:dyDescent="0.35">
      <c r="A1465" s="1" t="s">
        <v>907</v>
      </c>
      <c r="B1465" s="1" t="s">
        <v>3847</v>
      </c>
      <c r="C1465" t="str">
        <f t="shared" si="66"/>
        <v>Mr.</v>
      </c>
      <c r="D1465" t="str">
        <f t="shared" si="67"/>
        <v>Edivaldo B. Sr.</v>
      </c>
      <c r="E1465" t="str">
        <f t="shared" si="68"/>
        <v>Do Prado</v>
      </c>
    </row>
    <row r="1466" spans="1:5" ht="15.5" x14ac:dyDescent="0.35">
      <c r="A1466" s="1" t="s">
        <v>906</v>
      </c>
      <c r="B1466" s="1" t="s">
        <v>3848</v>
      </c>
      <c r="C1466" t="str">
        <f t="shared" si="66"/>
        <v>Ms.</v>
      </c>
      <c r="D1466" t="str">
        <f t="shared" si="67"/>
        <v>Eve</v>
      </c>
      <c r="E1466" t="str">
        <f t="shared" si="68"/>
        <v>Phillips</v>
      </c>
    </row>
    <row r="1467" spans="1:5" ht="15.5" x14ac:dyDescent="0.35">
      <c r="A1467" s="1" t="s">
        <v>905</v>
      </c>
      <c r="B1467" s="1" t="s">
        <v>3849</v>
      </c>
      <c r="C1467" t="str">
        <f t="shared" si="66"/>
        <v>Mr.</v>
      </c>
      <c r="D1467" t="str">
        <f t="shared" si="67"/>
        <v>Devin</v>
      </c>
      <c r="E1467" t="str">
        <f t="shared" si="68"/>
        <v>Kelly</v>
      </c>
    </row>
    <row r="1468" spans="1:5" ht="15.5" x14ac:dyDescent="0.35">
      <c r="A1468" s="1" t="s">
        <v>904</v>
      </c>
      <c r="B1468" s="1" t="s">
        <v>3850</v>
      </c>
      <c r="C1468" t="str">
        <f t="shared" si="66"/>
        <v>Mr.</v>
      </c>
      <c r="D1468" t="str">
        <f t="shared" si="67"/>
        <v>Shaun R</v>
      </c>
      <c r="E1468" t="str">
        <f t="shared" si="68"/>
        <v>Dever</v>
      </c>
    </row>
    <row r="1469" spans="1:5" ht="15.5" x14ac:dyDescent="0.35">
      <c r="A1469" s="1" t="s">
        <v>903</v>
      </c>
      <c r="B1469" s="1" t="s">
        <v>3851</v>
      </c>
      <c r="C1469" t="str">
        <f t="shared" si="66"/>
        <v>Mr.</v>
      </c>
      <c r="D1469" t="str">
        <f t="shared" si="67"/>
        <v>Adrian</v>
      </c>
      <c r="E1469" t="str">
        <f t="shared" si="68"/>
        <v>Horvath</v>
      </c>
    </row>
    <row r="1470" spans="1:5" ht="15.5" x14ac:dyDescent="0.35">
      <c r="A1470" s="1" t="s">
        <v>902</v>
      </c>
      <c r="B1470" s="1" t="s">
        <v>3852</v>
      </c>
      <c r="C1470" t="str">
        <f t="shared" si="66"/>
        <v>Mr.</v>
      </c>
      <c r="D1470" t="str">
        <f t="shared" si="67"/>
        <v>Andrew</v>
      </c>
      <c r="E1470" t="str">
        <f t="shared" si="68"/>
        <v>Danner</v>
      </c>
    </row>
    <row r="1471" spans="1:5" ht="15.5" x14ac:dyDescent="0.35">
      <c r="A1471" s="1" t="s">
        <v>901</v>
      </c>
      <c r="B1471" s="1" t="s">
        <v>3853</v>
      </c>
      <c r="C1471" t="str">
        <f t="shared" si="66"/>
        <v>Ms.</v>
      </c>
      <c r="D1471" t="str">
        <f t="shared" si="67"/>
        <v>Mallory</v>
      </c>
      <c r="E1471" t="str">
        <f t="shared" si="68"/>
        <v>Weiss</v>
      </c>
    </row>
    <row r="1472" spans="1:5" ht="15.5" x14ac:dyDescent="0.35">
      <c r="A1472" s="1" t="s">
        <v>900</v>
      </c>
      <c r="B1472" s="1" t="s">
        <v>3854</v>
      </c>
      <c r="C1472" t="str">
        <f t="shared" si="66"/>
        <v>Mr.</v>
      </c>
      <c r="D1472" t="str">
        <f t="shared" si="67"/>
        <v>Shawn E</v>
      </c>
      <c r="E1472" t="str">
        <f t="shared" si="68"/>
        <v>D'Andrea</v>
      </c>
    </row>
    <row r="1473" spans="1:5" ht="15.5" x14ac:dyDescent="0.35">
      <c r="A1473" s="1" t="s">
        <v>899</v>
      </c>
      <c r="B1473" s="1" t="s">
        <v>3855</v>
      </c>
      <c r="C1473" t="str">
        <f t="shared" si="66"/>
        <v>Ms.</v>
      </c>
      <c r="D1473" t="str">
        <f t="shared" si="67"/>
        <v>Sarah E</v>
      </c>
      <c r="E1473" t="str">
        <f t="shared" si="68"/>
        <v>Olesky</v>
      </c>
    </row>
    <row r="1474" spans="1:5" ht="15.5" x14ac:dyDescent="0.35">
      <c r="A1474" s="1" t="s">
        <v>898</v>
      </c>
      <c r="B1474" s="1" t="s">
        <v>3856</v>
      </c>
      <c r="C1474" t="str">
        <f t="shared" si="66"/>
        <v>Mr.</v>
      </c>
      <c r="D1474" t="str">
        <f t="shared" si="67"/>
        <v>Josh</v>
      </c>
      <c r="E1474" t="str">
        <f t="shared" si="68"/>
        <v>Whitcraft</v>
      </c>
    </row>
    <row r="1475" spans="1:5" ht="15.5" x14ac:dyDescent="0.35">
      <c r="A1475" s="1" t="s">
        <v>897</v>
      </c>
      <c r="B1475" s="1" t="s">
        <v>3857</v>
      </c>
      <c r="C1475" t="str">
        <f t="shared" ref="C1475:C1538" si="69">TRIM(MID(B1475,FIND(",",B1475)+1,FIND(".",B1475)-FIND(",",B1475)))</f>
        <v>Mr.</v>
      </c>
      <c r="D1475" t="str">
        <f t="shared" ref="D1475:D1538" si="70">TRIM(MID(B1475,FIND(".",B1475)+1,LEN(B1475)))</f>
        <v>Johann A</v>
      </c>
      <c r="E1475" t="str">
        <f t="shared" ref="E1475:E1538" si="71">TRIM(LEFT(B1475,FIND(",",B1475)-1))</f>
        <v>Salazar</v>
      </c>
    </row>
    <row r="1476" spans="1:5" ht="15.5" x14ac:dyDescent="0.35">
      <c r="A1476" s="1" t="s">
        <v>896</v>
      </c>
      <c r="B1476" s="1" t="s">
        <v>3858</v>
      </c>
      <c r="C1476" t="str">
        <f t="shared" si="69"/>
        <v>Ms.</v>
      </c>
      <c r="D1476" t="str">
        <f t="shared" si="70"/>
        <v>Robin M.</v>
      </c>
      <c r="E1476" t="str">
        <f t="shared" si="71"/>
        <v>Todd</v>
      </c>
    </row>
    <row r="1477" spans="1:5" ht="15.5" x14ac:dyDescent="0.35">
      <c r="A1477" s="1" t="s">
        <v>895</v>
      </c>
      <c r="B1477" s="1" t="s">
        <v>3859</v>
      </c>
      <c r="C1477" t="str">
        <f t="shared" si="69"/>
        <v>Mr.</v>
      </c>
      <c r="D1477" t="str">
        <f t="shared" si="70"/>
        <v>Kyle K</v>
      </c>
      <c r="E1477" t="str">
        <f t="shared" si="71"/>
        <v>Pond</v>
      </c>
    </row>
    <row r="1478" spans="1:5" ht="15.5" x14ac:dyDescent="0.35">
      <c r="A1478" s="1" t="s">
        <v>894</v>
      </c>
      <c r="B1478" s="1" t="s">
        <v>3860</v>
      </c>
      <c r="C1478" t="str">
        <f t="shared" si="69"/>
        <v>Ms.</v>
      </c>
      <c r="D1478" t="str">
        <f t="shared" si="70"/>
        <v>Alison</v>
      </c>
      <c r="E1478" t="str">
        <f t="shared" si="71"/>
        <v>Egan</v>
      </c>
    </row>
    <row r="1479" spans="1:5" ht="15.5" x14ac:dyDescent="0.35">
      <c r="A1479" s="1" t="s">
        <v>893</v>
      </c>
      <c r="B1479" s="1" t="s">
        <v>3861</v>
      </c>
      <c r="C1479" t="str">
        <f t="shared" si="69"/>
        <v>Mr.</v>
      </c>
      <c r="D1479" t="str">
        <f t="shared" si="70"/>
        <v>Michael A.</v>
      </c>
      <c r="E1479" t="str">
        <f t="shared" si="71"/>
        <v>Bersani</v>
      </c>
    </row>
    <row r="1480" spans="1:5" ht="15.5" x14ac:dyDescent="0.35">
      <c r="A1480" s="1" t="s">
        <v>892</v>
      </c>
      <c r="B1480" s="1" t="s">
        <v>3862</v>
      </c>
      <c r="C1480" t="str">
        <f t="shared" si="69"/>
        <v>Mr.</v>
      </c>
      <c r="D1480" t="str">
        <f t="shared" si="70"/>
        <v>Byron A</v>
      </c>
      <c r="E1480" t="str">
        <f t="shared" si="71"/>
        <v>Creech</v>
      </c>
    </row>
    <row r="1481" spans="1:5" ht="15.5" x14ac:dyDescent="0.35">
      <c r="A1481" s="1" t="s">
        <v>891</v>
      </c>
      <c r="B1481" s="1" t="s">
        <v>3863</v>
      </c>
      <c r="C1481" t="str">
        <f t="shared" si="69"/>
        <v>Ms.</v>
      </c>
      <c r="D1481" t="str">
        <f t="shared" si="70"/>
        <v>Carine A</v>
      </c>
      <c r="E1481" t="str">
        <f t="shared" si="71"/>
        <v>Sudres</v>
      </c>
    </row>
    <row r="1482" spans="1:5" ht="15.5" x14ac:dyDescent="0.35">
      <c r="A1482" s="1" t="s">
        <v>890</v>
      </c>
      <c r="B1482" s="1" t="s">
        <v>3864</v>
      </c>
      <c r="C1482" t="str">
        <f t="shared" si="69"/>
        <v>Mr.</v>
      </c>
      <c r="D1482" t="str">
        <f t="shared" si="70"/>
        <v>Nathaniel</v>
      </c>
      <c r="E1482" t="str">
        <f t="shared" si="71"/>
        <v>Couture</v>
      </c>
    </row>
    <row r="1483" spans="1:5" ht="15.5" x14ac:dyDescent="0.35">
      <c r="A1483" s="1" t="s">
        <v>889</v>
      </c>
      <c r="B1483" s="1" t="s">
        <v>3865</v>
      </c>
      <c r="C1483" t="str">
        <f t="shared" si="69"/>
        <v>Ms.</v>
      </c>
      <c r="D1483" t="str">
        <f t="shared" si="70"/>
        <v>Lindsay A.</v>
      </c>
      <c r="E1483" t="str">
        <f t="shared" si="71"/>
        <v>Willard</v>
      </c>
    </row>
    <row r="1484" spans="1:5" ht="15.5" x14ac:dyDescent="0.35">
      <c r="A1484" s="1" t="s">
        <v>888</v>
      </c>
      <c r="B1484" s="1" t="s">
        <v>3866</v>
      </c>
      <c r="C1484" t="str">
        <f t="shared" si="69"/>
        <v>Mr.</v>
      </c>
      <c r="D1484" t="str">
        <f t="shared" si="70"/>
        <v>Justin R</v>
      </c>
      <c r="E1484" t="str">
        <f t="shared" si="71"/>
        <v>Patronick</v>
      </c>
    </row>
    <row r="1485" spans="1:5" ht="15.5" x14ac:dyDescent="0.35">
      <c r="A1485" s="1" t="s">
        <v>887</v>
      </c>
      <c r="B1485" s="1" t="s">
        <v>3867</v>
      </c>
      <c r="C1485" t="str">
        <f t="shared" si="69"/>
        <v>Ms.</v>
      </c>
      <c r="D1485" t="str">
        <f t="shared" si="70"/>
        <v>Casey</v>
      </c>
      <c r="E1485" t="str">
        <f t="shared" si="71"/>
        <v>Depasquale</v>
      </c>
    </row>
    <row r="1486" spans="1:5" ht="15.5" x14ac:dyDescent="0.35">
      <c r="A1486" s="1" t="s">
        <v>886</v>
      </c>
      <c r="B1486" s="1" t="s">
        <v>3868</v>
      </c>
      <c r="C1486" t="str">
        <f t="shared" si="69"/>
        <v>Ms.</v>
      </c>
      <c r="D1486" t="str">
        <f t="shared" si="70"/>
        <v>Amanda L</v>
      </c>
      <c r="E1486" t="str">
        <f t="shared" si="71"/>
        <v>Lavergne</v>
      </c>
    </row>
    <row r="1487" spans="1:5" ht="15.5" x14ac:dyDescent="0.35">
      <c r="A1487" s="1" t="s">
        <v>885</v>
      </c>
      <c r="B1487" s="1" t="s">
        <v>3869</v>
      </c>
      <c r="C1487" t="str">
        <f t="shared" si="69"/>
        <v>Ms.</v>
      </c>
      <c r="D1487" t="str">
        <f t="shared" si="70"/>
        <v>Ayako N.</v>
      </c>
      <c r="E1487" t="str">
        <f t="shared" si="71"/>
        <v>Kawakami</v>
      </c>
    </row>
    <row r="1488" spans="1:5" ht="15.5" x14ac:dyDescent="0.35">
      <c r="A1488" s="1" t="s">
        <v>884</v>
      </c>
      <c r="B1488" s="1" t="s">
        <v>3870</v>
      </c>
      <c r="C1488" t="str">
        <f t="shared" si="69"/>
        <v>Ms.</v>
      </c>
      <c r="D1488" t="str">
        <f t="shared" si="70"/>
        <v>Emilee</v>
      </c>
      <c r="E1488" t="str">
        <f t="shared" si="71"/>
        <v>Gonsalves</v>
      </c>
    </row>
    <row r="1489" spans="1:5" ht="15.5" x14ac:dyDescent="0.35">
      <c r="A1489" s="1" t="s">
        <v>883</v>
      </c>
      <c r="B1489" s="1" t="s">
        <v>3871</v>
      </c>
      <c r="C1489" t="str">
        <f t="shared" si="69"/>
        <v>Mr.</v>
      </c>
      <c r="D1489" t="str">
        <f t="shared" si="70"/>
        <v>Stephen M</v>
      </c>
      <c r="E1489" t="str">
        <f t="shared" si="71"/>
        <v>Peck</v>
      </c>
    </row>
    <row r="1490" spans="1:5" ht="15.5" x14ac:dyDescent="0.35">
      <c r="A1490" s="1" t="s">
        <v>882</v>
      </c>
      <c r="B1490" s="1" t="s">
        <v>3872</v>
      </c>
      <c r="C1490" t="str">
        <f t="shared" si="69"/>
        <v>Ms.</v>
      </c>
      <c r="D1490" t="str">
        <f t="shared" si="70"/>
        <v>Annemarie A</v>
      </c>
      <c r="E1490" t="str">
        <f t="shared" si="71"/>
        <v>Aure</v>
      </c>
    </row>
    <row r="1491" spans="1:5" ht="15.5" x14ac:dyDescent="0.35">
      <c r="A1491" s="1" t="s">
        <v>881</v>
      </c>
      <c r="B1491" s="1" t="s">
        <v>3873</v>
      </c>
      <c r="C1491" t="str">
        <f t="shared" si="69"/>
        <v>Ms.</v>
      </c>
      <c r="D1491" t="str">
        <f t="shared" si="70"/>
        <v>Ashley R</v>
      </c>
      <c r="E1491" t="str">
        <f t="shared" si="71"/>
        <v>Mattingly</v>
      </c>
    </row>
    <row r="1492" spans="1:5" ht="15.5" x14ac:dyDescent="0.35">
      <c r="A1492" s="1" t="s">
        <v>880</v>
      </c>
      <c r="B1492" s="1" t="s">
        <v>3874</v>
      </c>
      <c r="C1492" t="str">
        <f t="shared" si="69"/>
        <v>Ms.</v>
      </c>
      <c r="D1492" t="str">
        <f t="shared" si="70"/>
        <v>Leslie A</v>
      </c>
      <c r="E1492" t="str">
        <f t="shared" si="71"/>
        <v>Stelpflug</v>
      </c>
    </row>
    <row r="1493" spans="1:5" ht="15.5" x14ac:dyDescent="0.35">
      <c r="A1493" s="1" t="s">
        <v>879</v>
      </c>
      <c r="B1493" s="1" t="s">
        <v>3875</v>
      </c>
      <c r="C1493" t="str">
        <f t="shared" si="69"/>
        <v>Mr.</v>
      </c>
      <c r="D1493" t="str">
        <f t="shared" si="70"/>
        <v>Mauricio J. Sr.</v>
      </c>
      <c r="E1493" t="str">
        <f t="shared" si="71"/>
        <v>Sanchez Antognini</v>
      </c>
    </row>
    <row r="1494" spans="1:5" ht="15.5" x14ac:dyDescent="0.35">
      <c r="A1494" s="1" t="s">
        <v>878</v>
      </c>
      <c r="B1494" s="1" t="s">
        <v>3876</v>
      </c>
      <c r="C1494" t="str">
        <f t="shared" si="69"/>
        <v>Mr.</v>
      </c>
      <c r="D1494" t="str">
        <f t="shared" si="70"/>
        <v>Kieran</v>
      </c>
      <c r="E1494" t="str">
        <f t="shared" si="71"/>
        <v>Condon</v>
      </c>
    </row>
    <row r="1495" spans="1:5" ht="15.5" x14ac:dyDescent="0.35">
      <c r="A1495" s="1" t="s">
        <v>877</v>
      </c>
      <c r="B1495" s="1" t="s">
        <v>3877</v>
      </c>
      <c r="C1495" t="str">
        <f t="shared" si="69"/>
        <v>Ms.</v>
      </c>
      <c r="D1495" t="str">
        <f t="shared" si="70"/>
        <v>Elizabeth A</v>
      </c>
      <c r="E1495" t="str">
        <f t="shared" si="71"/>
        <v>Magato</v>
      </c>
    </row>
    <row r="1496" spans="1:5" ht="15.5" x14ac:dyDescent="0.35">
      <c r="A1496" s="1" t="s">
        <v>876</v>
      </c>
      <c r="B1496" s="1" t="s">
        <v>3878</v>
      </c>
      <c r="C1496" t="str">
        <f t="shared" si="69"/>
        <v>Mr.</v>
      </c>
      <c r="D1496" t="str">
        <f t="shared" si="70"/>
        <v>Zeke M.</v>
      </c>
      <c r="E1496" t="str">
        <f t="shared" si="71"/>
        <v>Dombrowski</v>
      </c>
    </row>
    <row r="1497" spans="1:5" ht="15.5" x14ac:dyDescent="0.35">
      <c r="A1497" s="1" t="s">
        <v>875</v>
      </c>
      <c r="B1497" s="1" t="s">
        <v>3879</v>
      </c>
      <c r="C1497" t="str">
        <f t="shared" si="69"/>
        <v>Mr.</v>
      </c>
      <c r="D1497" t="str">
        <f t="shared" si="70"/>
        <v>Chip</v>
      </c>
      <c r="E1497" t="str">
        <f t="shared" si="71"/>
        <v>Ohara</v>
      </c>
    </row>
    <row r="1498" spans="1:5" ht="15.5" x14ac:dyDescent="0.35">
      <c r="A1498" s="1" t="s">
        <v>874</v>
      </c>
      <c r="B1498" s="1" t="s">
        <v>3880</v>
      </c>
      <c r="C1498" t="str">
        <f t="shared" si="69"/>
        <v>Mr.</v>
      </c>
      <c r="D1498" t="str">
        <f t="shared" si="70"/>
        <v>Miguel Angel Sr.</v>
      </c>
      <c r="E1498" t="str">
        <f t="shared" si="71"/>
        <v>Cifuentes Fetiva</v>
      </c>
    </row>
    <row r="1499" spans="1:5" ht="15.5" x14ac:dyDescent="0.35">
      <c r="A1499" s="1" t="s">
        <v>873</v>
      </c>
      <c r="B1499" s="1" t="s">
        <v>3881</v>
      </c>
      <c r="C1499" t="str">
        <f t="shared" si="69"/>
        <v>Mr.</v>
      </c>
      <c r="D1499" t="str">
        <f t="shared" si="70"/>
        <v>Brian</v>
      </c>
      <c r="E1499" t="str">
        <f t="shared" si="71"/>
        <v>Keno</v>
      </c>
    </row>
    <row r="1500" spans="1:5" ht="15.5" x14ac:dyDescent="0.35">
      <c r="A1500" s="1" t="s">
        <v>872</v>
      </c>
      <c r="B1500" s="1" t="s">
        <v>3882</v>
      </c>
      <c r="C1500" t="str">
        <f t="shared" si="69"/>
        <v>Ms.</v>
      </c>
      <c r="D1500" t="str">
        <f t="shared" si="70"/>
        <v>Meghan</v>
      </c>
      <c r="E1500" t="str">
        <f t="shared" si="71"/>
        <v>Bruce</v>
      </c>
    </row>
    <row r="1501" spans="1:5" ht="15.5" x14ac:dyDescent="0.35">
      <c r="A1501" s="1" t="s">
        <v>871</v>
      </c>
      <c r="B1501" s="1" t="s">
        <v>3883</v>
      </c>
      <c r="C1501" t="str">
        <f t="shared" si="69"/>
        <v>Ms.</v>
      </c>
      <c r="D1501" t="str">
        <f t="shared" si="70"/>
        <v>Meredith L.</v>
      </c>
      <c r="E1501" t="str">
        <f t="shared" si="71"/>
        <v>Lorch</v>
      </c>
    </row>
    <row r="1502" spans="1:5" ht="15.5" x14ac:dyDescent="0.35">
      <c r="A1502" s="1" t="s">
        <v>870</v>
      </c>
      <c r="B1502" s="1" t="s">
        <v>3884</v>
      </c>
      <c r="C1502" t="str">
        <f t="shared" si="69"/>
        <v>Mrs.</v>
      </c>
      <c r="D1502" t="str">
        <f t="shared" si="70"/>
        <v>Millicent M</v>
      </c>
      <c r="E1502" t="str">
        <f t="shared" si="71"/>
        <v>Sullivan</v>
      </c>
    </row>
    <row r="1503" spans="1:5" ht="15.5" x14ac:dyDescent="0.35">
      <c r="A1503" s="1" t="s">
        <v>869</v>
      </c>
      <c r="B1503" s="1" t="s">
        <v>3885</v>
      </c>
      <c r="C1503" t="str">
        <f t="shared" si="69"/>
        <v>Ms.</v>
      </c>
      <c r="D1503" t="str">
        <f t="shared" si="70"/>
        <v>Kathleen</v>
      </c>
      <c r="E1503" t="str">
        <f t="shared" si="71"/>
        <v>Cave</v>
      </c>
    </row>
    <row r="1504" spans="1:5" ht="15.5" x14ac:dyDescent="0.35">
      <c r="A1504" s="1" t="s">
        <v>868</v>
      </c>
      <c r="B1504" s="1" t="s">
        <v>3886</v>
      </c>
      <c r="C1504" t="str">
        <f t="shared" si="69"/>
        <v>Ms.</v>
      </c>
      <c r="D1504" t="str">
        <f t="shared" si="70"/>
        <v>Kimberly K</v>
      </c>
      <c r="E1504" t="str">
        <f t="shared" si="71"/>
        <v>Gudenkauf</v>
      </c>
    </row>
    <row r="1505" spans="1:5" ht="15.5" x14ac:dyDescent="0.35">
      <c r="A1505" s="1" t="s">
        <v>867</v>
      </c>
      <c r="B1505" s="1" t="s">
        <v>3887</v>
      </c>
      <c r="C1505" t="str">
        <f t="shared" si="69"/>
        <v>Mr.</v>
      </c>
      <c r="D1505" t="str">
        <f t="shared" si="70"/>
        <v>Justin C</v>
      </c>
      <c r="E1505" t="str">
        <f t="shared" si="71"/>
        <v>Thomas</v>
      </c>
    </row>
    <row r="1506" spans="1:5" ht="15.5" x14ac:dyDescent="0.35">
      <c r="A1506" s="1" t="s">
        <v>866</v>
      </c>
      <c r="B1506" s="1" t="s">
        <v>3888</v>
      </c>
      <c r="C1506" t="str">
        <f t="shared" si="69"/>
        <v>Mr.</v>
      </c>
      <c r="D1506" t="str">
        <f t="shared" si="70"/>
        <v>Tristan P.</v>
      </c>
      <c r="E1506" t="str">
        <f t="shared" si="71"/>
        <v>Holley</v>
      </c>
    </row>
    <row r="1507" spans="1:5" ht="15.5" x14ac:dyDescent="0.35">
      <c r="A1507" s="1" t="s">
        <v>865</v>
      </c>
      <c r="B1507" s="1" t="s">
        <v>3889</v>
      </c>
      <c r="C1507" t="str">
        <f t="shared" si="69"/>
        <v>Ms.</v>
      </c>
      <c r="D1507" t="str">
        <f t="shared" si="70"/>
        <v>Traci A</v>
      </c>
      <c r="E1507" t="str">
        <f t="shared" si="71"/>
        <v>Kemble</v>
      </c>
    </row>
    <row r="1508" spans="1:5" ht="15.5" x14ac:dyDescent="0.35">
      <c r="A1508" s="1" t="s">
        <v>864</v>
      </c>
      <c r="B1508" s="1" t="s">
        <v>3890</v>
      </c>
      <c r="C1508" t="str">
        <f t="shared" si="69"/>
        <v>Mr.</v>
      </c>
      <c r="D1508" t="str">
        <f t="shared" si="70"/>
        <v>Justin P</v>
      </c>
      <c r="E1508" t="str">
        <f t="shared" si="71"/>
        <v>Bentley</v>
      </c>
    </row>
    <row r="1509" spans="1:5" ht="15.5" x14ac:dyDescent="0.35">
      <c r="A1509" s="1" t="s">
        <v>863</v>
      </c>
      <c r="B1509" s="1" t="s">
        <v>3891</v>
      </c>
      <c r="C1509" t="str">
        <f t="shared" si="69"/>
        <v>Mr.</v>
      </c>
      <c r="D1509" t="str">
        <f t="shared" si="70"/>
        <v>Logan M</v>
      </c>
      <c r="E1509" t="str">
        <f t="shared" si="71"/>
        <v>Jones</v>
      </c>
    </row>
    <row r="1510" spans="1:5" ht="15.5" x14ac:dyDescent="0.35">
      <c r="A1510" s="1" t="s">
        <v>862</v>
      </c>
      <c r="B1510" s="1" t="s">
        <v>3892</v>
      </c>
      <c r="C1510" t="str">
        <f t="shared" si="69"/>
        <v>Mr.</v>
      </c>
      <c r="D1510" t="str">
        <f t="shared" si="70"/>
        <v>Sebastien</v>
      </c>
      <c r="E1510" t="str">
        <f t="shared" si="71"/>
        <v>Tremblay</v>
      </c>
    </row>
    <row r="1511" spans="1:5" ht="15.5" x14ac:dyDescent="0.35">
      <c r="A1511" s="1" t="s">
        <v>861</v>
      </c>
      <c r="B1511" s="1" t="s">
        <v>3893</v>
      </c>
      <c r="C1511" t="str">
        <f t="shared" si="69"/>
        <v>Ms.</v>
      </c>
      <c r="D1511" t="str">
        <f t="shared" si="70"/>
        <v>Tiffany A</v>
      </c>
      <c r="E1511" t="str">
        <f t="shared" si="71"/>
        <v>Bellucci</v>
      </c>
    </row>
    <row r="1512" spans="1:5" ht="15.5" x14ac:dyDescent="0.35">
      <c r="A1512" s="1" t="s">
        <v>860</v>
      </c>
      <c r="B1512" s="1" t="s">
        <v>3894</v>
      </c>
      <c r="C1512" t="str">
        <f t="shared" si="69"/>
        <v>Mr.</v>
      </c>
      <c r="D1512" t="str">
        <f t="shared" si="70"/>
        <v>Matthew</v>
      </c>
      <c r="E1512" t="str">
        <f t="shared" si="71"/>
        <v>Collins</v>
      </c>
    </row>
    <row r="1513" spans="1:5" ht="15.5" x14ac:dyDescent="0.35">
      <c r="A1513" s="1" t="s">
        <v>859</v>
      </c>
      <c r="B1513" s="1" t="s">
        <v>3895</v>
      </c>
      <c r="C1513" t="str">
        <f t="shared" si="69"/>
        <v>Mr.</v>
      </c>
      <c r="D1513" t="str">
        <f t="shared" si="70"/>
        <v>Luke</v>
      </c>
      <c r="E1513" t="str">
        <f t="shared" si="71"/>
        <v>Gillman</v>
      </c>
    </row>
    <row r="1514" spans="1:5" ht="15.5" x14ac:dyDescent="0.35">
      <c r="A1514" s="1" t="s">
        <v>858</v>
      </c>
      <c r="B1514" s="1" t="s">
        <v>3896</v>
      </c>
      <c r="C1514" t="str">
        <f t="shared" si="69"/>
        <v>Ms.</v>
      </c>
      <c r="D1514" t="str">
        <f t="shared" si="70"/>
        <v>Leigh</v>
      </c>
      <c r="E1514" t="str">
        <f t="shared" si="71"/>
        <v>West</v>
      </c>
    </row>
    <row r="1515" spans="1:5" ht="15.5" x14ac:dyDescent="0.35">
      <c r="A1515" s="1" t="s">
        <v>857</v>
      </c>
      <c r="B1515" s="1" t="s">
        <v>3897</v>
      </c>
      <c r="C1515" t="str">
        <f t="shared" si="69"/>
        <v>Mr.</v>
      </c>
      <c r="D1515" t="str">
        <f t="shared" si="70"/>
        <v>Yosuke</v>
      </c>
      <c r="E1515" t="str">
        <f t="shared" si="71"/>
        <v>Chida</v>
      </c>
    </row>
    <row r="1516" spans="1:5" ht="15.5" x14ac:dyDescent="0.35">
      <c r="A1516" s="1" t="s">
        <v>856</v>
      </c>
      <c r="B1516" s="1" t="s">
        <v>3898</v>
      </c>
      <c r="C1516" t="str">
        <f t="shared" si="69"/>
        <v>Mr.</v>
      </c>
      <c r="D1516" t="str">
        <f t="shared" si="70"/>
        <v>Matthew</v>
      </c>
      <c r="E1516" t="str">
        <f t="shared" si="71"/>
        <v>Reisenauer</v>
      </c>
    </row>
    <row r="1517" spans="1:5" ht="15.5" x14ac:dyDescent="0.35">
      <c r="A1517" s="1" t="s">
        <v>855</v>
      </c>
      <c r="B1517" s="1" t="s">
        <v>3899</v>
      </c>
      <c r="C1517" t="str">
        <f t="shared" si="69"/>
        <v>Mr.</v>
      </c>
      <c r="D1517" t="str">
        <f t="shared" si="70"/>
        <v>Jacob</v>
      </c>
      <c r="E1517" t="str">
        <f t="shared" si="71"/>
        <v>Rosenberg-Wohl</v>
      </c>
    </row>
    <row r="1518" spans="1:5" ht="15.5" x14ac:dyDescent="0.35">
      <c r="A1518" s="1" t="s">
        <v>854</v>
      </c>
      <c r="B1518" s="1" t="s">
        <v>3900</v>
      </c>
      <c r="C1518" t="str">
        <f t="shared" si="69"/>
        <v>Ms.</v>
      </c>
      <c r="D1518" t="str">
        <f t="shared" si="70"/>
        <v>Jodi</v>
      </c>
      <c r="E1518" t="str">
        <f t="shared" si="71"/>
        <v>Theriault</v>
      </c>
    </row>
    <row r="1519" spans="1:5" ht="15.5" x14ac:dyDescent="0.35">
      <c r="A1519" s="1" t="s">
        <v>853</v>
      </c>
      <c r="B1519" s="1" t="s">
        <v>3901</v>
      </c>
      <c r="C1519" t="str">
        <f t="shared" si="69"/>
        <v>Ms.</v>
      </c>
      <c r="D1519" t="str">
        <f t="shared" si="70"/>
        <v>Lauren</v>
      </c>
      <c r="E1519" t="str">
        <f t="shared" si="71"/>
        <v>Manuel</v>
      </c>
    </row>
    <row r="1520" spans="1:5" ht="15.5" x14ac:dyDescent="0.35">
      <c r="A1520" s="1" t="s">
        <v>852</v>
      </c>
      <c r="B1520" s="1" t="s">
        <v>3902</v>
      </c>
      <c r="C1520" t="str">
        <f t="shared" si="69"/>
        <v>Ms.</v>
      </c>
      <c r="D1520" t="str">
        <f t="shared" si="70"/>
        <v>Misti C</v>
      </c>
      <c r="E1520" t="str">
        <f t="shared" si="71"/>
        <v>Demko</v>
      </c>
    </row>
    <row r="1521" spans="1:5" ht="15.5" x14ac:dyDescent="0.35">
      <c r="A1521" s="1" t="s">
        <v>851</v>
      </c>
      <c r="B1521" s="1" t="s">
        <v>3903</v>
      </c>
      <c r="C1521" t="str">
        <f t="shared" si="69"/>
        <v>Ms.</v>
      </c>
      <c r="D1521" t="str">
        <f t="shared" si="70"/>
        <v>Angela J</v>
      </c>
      <c r="E1521" t="str">
        <f t="shared" si="71"/>
        <v>Battaglia</v>
      </c>
    </row>
    <row r="1522" spans="1:5" ht="15.5" x14ac:dyDescent="0.35">
      <c r="A1522" s="1" t="s">
        <v>850</v>
      </c>
      <c r="B1522" s="1" t="s">
        <v>3904</v>
      </c>
      <c r="C1522" t="str">
        <f t="shared" si="69"/>
        <v>Mr.</v>
      </c>
      <c r="D1522" t="str">
        <f t="shared" si="70"/>
        <v>Jonathan D.</v>
      </c>
      <c r="E1522" t="str">
        <f t="shared" si="71"/>
        <v>Follo</v>
      </c>
    </row>
    <row r="1523" spans="1:5" ht="15.5" x14ac:dyDescent="0.35">
      <c r="A1523" s="1" t="s">
        <v>849</v>
      </c>
      <c r="B1523" s="1" t="s">
        <v>3905</v>
      </c>
      <c r="C1523" t="str">
        <f t="shared" si="69"/>
        <v>Ms.</v>
      </c>
      <c r="D1523" t="str">
        <f t="shared" si="70"/>
        <v>Victoria</v>
      </c>
      <c r="E1523" t="str">
        <f t="shared" si="71"/>
        <v>Barana</v>
      </c>
    </row>
    <row r="1524" spans="1:5" ht="15.5" x14ac:dyDescent="0.35">
      <c r="A1524" s="1" t="s">
        <v>848</v>
      </c>
      <c r="B1524" s="1" t="s">
        <v>3906</v>
      </c>
      <c r="C1524" t="str">
        <f t="shared" si="69"/>
        <v>Mr.</v>
      </c>
      <c r="D1524" t="str">
        <f t="shared" si="70"/>
        <v>Adrian R.</v>
      </c>
      <c r="E1524" t="str">
        <f t="shared" si="71"/>
        <v>Lysaght</v>
      </c>
    </row>
    <row r="1525" spans="1:5" ht="15.5" x14ac:dyDescent="0.35">
      <c r="A1525" s="1" t="s">
        <v>847</v>
      </c>
      <c r="B1525" s="1" t="s">
        <v>3907</v>
      </c>
      <c r="C1525" t="str">
        <f t="shared" si="69"/>
        <v>Mr.</v>
      </c>
      <c r="D1525" t="str">
        <f t="shared" si="70"/>
        <v>Andrew</v>
      </c>
      <c r="E1525" t="str">
        <f t="shared" si="71"/>
        <v>Chalmers</v>
      </c>
    </row>
    <row r="1526" spans="1:5" ht="15.5" x14ac:dyDescent="0.35">
      <c r="A1526" s="1" t="s">
        <v>846</v>
      </c>
      <c r="B1526" s="1" t="s">
        <v>3908</v>
      </c>
      <c r="C1526" t="str">
        <f t="shared" si="69"/>
        <v>Mr.</v>
      </c>
      <c r="D1526" t="str">
        <f t="shared" si="70"/>
        <v>Jason A.</v>
      </c>
      <c r="E1526" t="str">
        <f t="shared" si="71"/>
        <v>Phillippi</v>
      </c>
    </row>
    <row r="1527" spans="1:5" ht="15.5" x14ac:dyDescent="0.35">
      <c r="A1527" s="1" t="s">
        <v>845</v>
      </c>
      <c r="B1527" s="1" t="s">
        <v>3909</v>
      </c>
      <c r="C1527" t="str">
        <f t="shared" si="69"/>
        <v>Ms.</v>
      </c>
      <c r="D1527" t="str">
        <f t="shared" si="70"/>
        <v>Rachel</v>
      </c>
      <c r="E1527" t="str">
        <f t="shared" si="71"/>
        <v>MacPherson</v>
      </c>
    </row>
    <row r="1528" spans="1:5" ht="15.5" x14ac:dyDescent="0.35">
      <c r="A1528" s="1" t="s">
        <v>844</v>
      </c>
      <c r="B1528" s="1" t="s">
        <v>3910</v>
      </c>
      <c r="C1528" t="str">
        <f t="shared" si="69"/>
        <v>Ms.</v>
      </c>
      <c r="D1528" t="str">
        <f t="shared" si="70"/>
        <v>Susan</v>
      </c>
      <c r="E1528" t="str">
        <f t="shared" si="71"/>
        <v>Delfidio</v>
      </c>
    </row>
    <row r="1529" spans="1:5" ht="15.5" x14ac:dyDescent="0.35">
      <c r="A1529" s="1" t="s">
        <v>843</v>
      </c>
      <c r="B1529" s="1" t="s">
        <v>3911</v>
      </c>
      <c r="C1529" t="str">
        <f t="shared" si="69"/>
        <v>Mr.</v>
      </c>
      <c r="D1529" t="str">
        <f t="shared" si="70"/>
        <v>Cameron M.</v>
      </c>
      <c r="E1529" t="str">
        <f t="shared" si="71"/>
        <v>Cummings</v>
      </c>
    </row>
    <row r="1530" spans="1:5" ht="15.5" x14ac:dyDescent="0.35">
      <c r="A1530" s="1" t="s">
        <v>842</v>
      </c>
      <c r="B1530" s="1" t="s">
        <v>3912</v>
      </c>
      <c r="C1530" t="str">
        <f t="shared" si="69"/>
        <v>Ms.</v>
      </c>
      <c r="D1530" t="str">
        <f t="shared" si="70"/>
        <v>Claudia A.</v>
      </c>
      <c r="E1530" t="str">
        <f t="shared" si="71"/>
        <v>Schroegel</v>
      </c>
    </row>
    <row r="1531" spans="1:5" ht="15.5" x14ac:dyDescent="0.35">
      <c r="A1531" s="1" t="s">
        <v>841</v>
      </c>
      <c r="B1531" s="1" t="s">
        <v>3913</v>
      </c>
      <c r="C1531" t="str">
        <f t="shared" si="69"/>
        <v>Ms.</v>
      </c>
      <c r="D1531" t="str">
        <f t="shared" si="70"/>
        <v>Kate</v>
      </c>
      <c r="E1531" t="str">
        <f t="shared" si="71"/>
        <v>Williams</v>
      </c>
    </row>
    <row r="1532" spans="1:5" ht="15.5" x14ac:dyDescent="0.35">
      <c r="A1532" s="1" t="s">
        <v>840</v>
      </c>
      <c r="B1532" s="1" t="s">
        <v>3914</v>
      </c>
      <c r="C1532" t="str">
        <f t="shared" si="69"/>
        <v>Ms.</v>
      </c>
      <c r="D1532" t="str">
        <f t="shared" si="70"/>
        <v>Nicole M.</v>
      </c>
      <c r="E1532" t="str">
        <f t="shared" si="71"/>
        <v>Casey</v>
      </c>
    </row>
    <row r="1533" spans="1:5" ht="15.5" x14ac:dyDescent="0.35">
      <c r="A1533" s="1" t="s">
        <v>839</v>
      </c>
      <c r="B1533" s="1" t="s">
        <v>3915</v>
      </c>
      <c r="C1533" t="str">
        <f t="shared" si="69"/>
        <v>Mr.</v>
      </c>
      <c r="D1533" t="str">
        <f t="shared" si="70"/>
        <v>Jack</v>
      </c>
      <c r="E1533" t="str">
        <f t="shared" si="71"/>
        <v>Randall</v>
      </c>
    </row>
    <row r="1534" spans="1:5" ht="15.5" x14ac:dyDescent="0.35">
      <c r="A1534" s="1" t="s">
        <v>838</v>
      </c>
      <c r="B1534" s="1" t="s">
        <v>3916</v>
      </c>
      <c r="C1534" t="str">
        <f t="shared" si="69"/>
        <v>Mr.</v>
      </c>
      <c r="D1534" t="str">
        <f t="shared" si="70"/>
        <v>Gregory</v>
      </c>
      <c r="E1534" t="str">
        <f t="shared" si="71"/>
        <v>Doyon</v>
      </c>
    </row>
    <row r="1535" spans="1:5" ht="15.5" x14ac:dyDescent="0.35">
      <c r="A1535" s="1" t="s">
        <v>837</v>
      </c>
      <c r="B1535" s="1" t="s">
        <v>3917</v>
      </c>
      <c r="C1535" t="str">
        <f t="shared" si="69"/>
        <v>Ms.</v>
      </c>
      <c r="D1535" t="str">
        <f t="shared" si="70"/>
        <v>Rebecca</v>
      </c>
      <c r="E1535" t="str">
        <f t="shared" si="71"/>
        <v>Sankey</v>
      </c>
    </row>
    <row r="1536" spans="1:5" ht="15.5" x14ac:dyDescent="0.35">
      <c r="A1536" s="1" t="s">
        <v>836</v>
      </c>
      <c r="B1536" s="1" t="s">
        <v>3918</v>
      </c>
      <c r="C1536" t="str">
        <f t="shared" si="69"/>
        <v>Mr.</v>
      </c>
      <c r="D1536" t="str">
        <f t="shared" si="70"/>
        <v>Adam</v>
      </c>
      <c r="E1536" t="str">
        <f t="shared" si="71"/>
        <v>Stilgenbauer</v>
      </c>
    </row>
    <row r="1537" spans="1:5" ht="15.5" x14ac:dyDescent="0.35">
      <c r="A1537" s="1" t="s">
        <v>835</v>
      </c>
      <c r="B1537" s="1" t="s">
        <v>3919</v>
      </c>
      <c r="C1537" t="str">
        <f t="shared" si="69"/>
        <v>Mr.</v>
      </c>
      <c r="D1537" t="str">
        <f t="shared" si="70"/>
        <v>Ryan</v>
      </c>
      <c r="E1537" t="str">
        <f t="shared" si="71"/>
        <v>Jaskiewicz</v>
      </c>
    </row>
    <row r="1538" spans="1:5" ht="15.5" x14ac:dyDescent="0.35">
      <c r="A1538" s="1" t="s">
        <v>834</v>
      </c>
      <c r="B1538" s="1" t="s">
        <v>3920</v>
      </c>
      <c r="C1538" t="str">
        <f t="shared" si="69"/>
        <v>Ms.</v>
      </c>
      <c r="D1538" t="str">
        <f t="shared" si="70"/>
        <v>Jackie K.</v>
      </c>
      <c r="E1538" t="str">
        <f t="shared" si="71"/>
        <v>Deppen</v>
      </c>
    </row>
    <row r="1539" spans="1:5" ht="15.5" x14ac:dyDescent="0.35">
      <c r="A1539" s="1" t="s">
        <v>833</v>
      </c>
      <c r="B1539" s="1" t="s">
        <v>3921</v>
      </c>
      <c r="C1539" t="str">
        <f t="shared" ref="C1539:C1602" si="72">TRIM(MID(B1539,FIND(",",B1539)+1,FIND(".",B1539)-FIND(",",B1539)))</f>
        <v>Mr.</v>
      </c>
      <c r="D1539" t="str">
        <f t="shared" ref="D1539:D1602" si="73">TRIM(MID(B1539,FIND(".",B1539)+1,LEN(B1539)))</f>
        <v>Chris</v>
      </c>
      <c r="E1539" t="str">
        <f t="shared" ref="E1539:E1602" si="74">TRIM(LEFT(B1539,FIND(",",B1539)-1))</f>
        <v>Hine</v>
      </c>
    </row>
    <row r="1540" spans="1:5" ht="15.5" x14ac:dyDescent="0.35">
      <c r="A1540" s="1" t="s">
        <v>832</v>
      </c>
      <c r="B1540" s="1" t="s">
        <v>3922</v>
      </c>
      <c r="C1540" t="str">
        <f t="shared" si="72"/>
        <v>Mr.</v>
      </c>
      <c r="D1540" t="str">
        <f t="shared" si="73"/>
        <v>Tyler C</v>
      </c>
      <c r="E1540" t="str">
        <f t="shared" si="74"/>
        <v>Mathews</v>
      </c>
    </row>
    <row r="1541" spans="1:5" ht="15.5" x14ac:dyDescent="0.35">
      <c r="A1541" s="1" t="s">
        <v>831</v>
      </c>
      <c r="B1541" s="1" t="s">
        <v>3923</v>
      </c>
      <c r="C1541" t="str">
        <f t="shared" si="72"/>
        <v>Ms.</v>
      </c>
      <c r="D1541" t="str">
        <f t="shared" si="73"/>
        <v>Yoshie</v>
      </c>
      <c r="E1541" t="str">
        <f t="shared" si="74"/>
        <v>Yabu</v>
      </c>
    </row>
    <row r="1542" spans="1:5" ht="15.5" x14ac:dyDescent="0.35">
      <c r="A1542" s="1" t="s">
        <v>830</v>
      </c>
      <c r="B1542" s="1" t="s">
        <v>3924</v>
      </c>
      <c r="C1542" t="str">
        <f t="shared" si="72"/>
        <v>Ms.</v>
      </c>
      <c r="D1542" t="str">
        <f t="shared" si="73"/>
        <v>Lauren A</v>
      </c>
      <c r="E1542" t="str">
        <f t="shared" si="74"/>
        <v>Strang</v>
      </c>
    </row>
    <row r="1543" spans="1:5" ht="15.5" x14ac:dyDescent="0.35">
      <c r="A1543" s="1" t="s">
        <v>829</v>
      </c>
      <c r="B1543" s="1" t="s">
        <v>3925</v>
      </c>
      <c r="C1543" t="str">
        <f t="shared" si="72"/>
        <v>Mr.</v>
      </c>
      <c r="D1543" t="str">
        <f t="shared" si="73"/>
        <v>Mason D.</v>
      </c>
      <c r="E1543" t="str">
        <f t="shared" si="74"/>
        <v>Frank</v>
      </c>
    </row>
    <row r="1544" spans="1:5" ht="15.5" x14ac:dyDescent="0.35">
      <c r="A1544" s="1" t="s">
        <v>828</v>
      </c>
      <c r="B1544" s="1" t="s">
        <v>3926</v>
      </c>
      <c r="C1544" t="str">
        <f t="shared" si="72"/>
        <v>Mr.</v>
      </c>
      <c r="D1544" t="str">
        <f t="shared" si="73"/>
        <v>Ryan</v>
      </c>
      <c r="E1544" t="str">
        <f t="shared" si="74"/>
        <v>Shanley</v>
      </c>
    </row>
    <row r="1545" spans="1:5" ht="15.5" x14ac:dyDescent="0.35">
      <c r="A1545" s="1" t="s">
        <v>827</v>
      </c>
      <c r="B1545" s="1" t="s">
        <v>3927</v>
      </c>
      <c r="C1545" t="str">
        <f t="shared" si="72"/>
        <v>Mr.</v>
      </c>
      <c r="D1545" t="str">
        <f t="shared" si="73"/>
        <v>Arturo</v>
      </c>
      <c r="E1545" t="str">
        <f t="shared" si="74"/>
        <v>Mancebo Garcia</v>
      </c>
    </row>
    <row r="1546" spans="1:5" ht="15.5" x14ac:dyDescent="0.35">
      <c r="A1546" s="1" t="s">
        <v>826</v>
      </c>
      <c r="B1546" s="1" t="s">
        <v>3928</v>
      </c>
      <c r="C1546" t="str">
        <f t="shared" si="72"/>
        <v>Mr.</v>
      </c>
      <c r="D1546" t="str">
        <f t="shared" si="73"/>
        <v>Jake</v>
      </c>
      <c r="E1546" t="str">
        <f t="shared" si="74"/>
        <v>Keehan</v>
      </c>
    </row>
    <row r="1547" spans="1:5" ht="15.5" x14ac:dyDescent="0.35">
      <c r="A1547" s="1" t="s">
        <v>825</v>
      </c>
      <c r="B1547" s="1" t="s">
        <v>3929</v>
      </c>
      <c r="C1547" t="str">
        <f t="shared" si="72"/>
        <v>Ms.</v>
      </c>
      <c r="D1547" t="str">
        <f t="shared" si="73"/>
        <v>Sarah E</v>
      </c>
      <c r="E1547" t="str">
        <f t="shared" si="74"/>
        <v>Mahaney</v>
      </c>
    </row>
    <row r="1548" spans="1:5" ht="15.5" x14ac:dyDescent="0.35">
      <c r="A1548" s="1" t="s">
        <v>824</v>
      </c>
      <c r="B1548" s="1" t="s">
        <v>3930</v>
      </c>
      <c r="C1548" t="str">
        <f t="shared" si="72"/>
        <v>Ms.</v>
      </c>
      <c r="D1548" t="str">
        <f t="shared" si="73"/>
        <v>Alison L.</v>
      </c>
      <c r="E1548" t="str">
        <f t="shared" si="74"/>
        <v>Nolan</v>
      </c>
    </row>
    <row r="1549" spans="1:5" ht="15.5" x14ac:dyDescent="0.35">
      <c r="A1549" s="1" t="s">
        <v>823</v>
      </c>
      <c r="B1549" s="1" t="s">
        <v>3931</v>
      </c>
      <c r="C1549" t="str">
        <f t="shared" si="72"/>
        <v>Ms.</v>
      </c>
      <c r="D1549" t="str">
        <f t="shared" si="73"/>
        <v>Karen A.</v>
      </c>
      <c r="E1549" t="str">
        <f t="shared" si="74"/>
        <v>Sobrino</v>
      </c>
    </row>
    <row r="1550" spans="1:5" ht="15.5" x14ac:dyDescent="0.35">
      <c r="A1550" s="1" t="s">
        <v>822</v>
      </c>
      <c r="B1550" s="1" t="s">
        <v>3932</v>
      </c>
      <c r="C1550" t="str">
        <f t="shared" si="72"/>
        <v>Mr.</v>
      </c>
      <c r="D1550" t="str">
        <f t="shared" si="73"/>
        <v>Thomas R. Jr.</v>
      </c>
      <c r="E1550" t="str">
        <f t="shared" si="74"/>
        <v>Gennaro</v>
      </c>
    </row>
    <row r="1551" spans="1:5" ht="15.5" x14ac:dyDescent="0.35">
      <c r="A1551" s="1" t="s">
        <v>821</v>
      </c>
      <c r="B1551" s="1" t="s">
        <v>3933</v>
      </c>
      <c r="C1551" t="str">
        <f t="shared" si="72"/>
        <v>Ms.</v>
      </c>
      <c r="D1551" t="str">
        <f t="shared" si="73"/>
        <v>Stephanie W.</v>
      </c>
      <c r="E1551" t="str">
        <f t="shared" si="74"/>
        <v>Mayer</v>
      </c>
    </row>
    <row r="1552" spans="1:5" ht="15.5" x14ac:dyDescent="0.35">
      <c r="A1552" s="1" t="s">
        <v>820</v>
      </c>
      <c r="B1552" s="1" t="s">
        <v>3934</v>
      </c>
      <c r="C1552" t="str">
        <f t="shared" si="72"/>
        <v>Mr.</v>
      </c>
      <c r="D1552" t="str">
        <f t="shared" si="73"/>
        <v>Ezra</v>
      </c>
      <c r="E1552" t="str">
        <f t="shared" si="74"/>
        <v>Becker</v>
      </c>
    </row>
    <row r="1553" spans="1:5" ht="15.5" x14ac:dyDescent="0.35">
      <c r="A1553" s="1" t="s">
        <v>819</v>
      </c>
      <c r="B1553" s="1" t="s">
        <v>3935</v>
      </c>
      <c r="C1553" t="str">
        <f t="shared" si="72"/>
        <v>Mr.</v>
      </c>
      <c r="D1553" t="str">
        <f t="shared" si="73"/>
        <v>Jim</v>
      </c>
      <c r="E1553" t="str">
        <f t="shared" si="74"/>
        <v>Moore</v>
      </c>
    </row>
    <row r="1554" spans="1:5" ht="15.5" x14ac:dyDescent="0.35">
      <c r="A1554" s="1" t="s">
        <v>818</v>
      </c>
      <c r="B1554" s="1" t="s">
        <v>3936</v>
      </c>
      <c r="C1554" t="str">
        <f t="shared" si="72"/>
        <v>Mr.</v>
      </c>
      <c r="D1554" t="str">
        <f t="shared" si="73"/>
        <v>Ari L.</v>
      </c>
      <c r="E1554" t="str">
        <f t="shared" si="74"/>
        <v>Platt</v>
      </c>
    </row>
    <row r="1555" spans="1:5" ht="15.5" x14ac:dyDescent="0.35">
      <c r="A1555" s="1" t="s">
        <v>817</v>
      </c>
      <c r="B1555" s="1" t="s">
        <v>3937</v>
      </c>
      <c r="C1555" t="str">
        <f t="shared" si="72"/>
        <v>Ms.</v>
      </c>
      <c r="D1555" t="str">
        <f t="shared" si="73"/>
        <v>Fanny</v>
      </c>
      <c r="E1555" t="str">
        <f t="shared" si="74"/>
        <v>Brodeur</v>
      </c>
    </row>
    <row r="1556" spans="1:5" ht="15.5" x14ac:dyDescent="0.35">
      <c r="A1556" s="1" t="s">
        <v>816</v>
      </c>
      <c r="B1556" s="1" t="s">
        <v>3938</v>
      </c>
      <c r="C1556" t="str">
        <f t="shared" si="72"/>
        <v>Ms.</v>
      </c>
      <c r="D1556" t="str">
        <f t="shared" si="73"/>
        <v>Heather</v>
      </c>
      <c r="E1556" t="str">
        <f t="shared" si="74"/>
        <v>Knight Pech</v>
      </c>
    </row>
    <row r="1557" spans="1:5" ht="15.5" x14ac:dyDescent="0.35">
      <c r="A1557" s="1" t="s">
        <v>815</v>
      </c>
      <c r="B1557" s="1" t="s">
        <v>3939</v>
      </c>
      <c r="C1557" t="str">
        <f t="shared" si="72"/>
        <v>Mr.</v>
      </c>
      <c r="D1557" t="str">
        <f t="shared" si="73"/>
        <v>Peter W. Sr.</v>
      </c>
      <c r="E1557" t="str">
        <f t="shared" si="74"/>
        <v>Richter</v>
      </c>
    </row>
    <row r="1558" spans="1:5" ht="15.5" x14ac:dyDescent="0.35">
      <c r="A1558" s="1" t="s">
        <v>814</v>
      </c>
      <c r="B1558" s="1" t="s">
        <v>3940</v>
      </c>
      <c r="C1558" t="str">
        <f t="shared" si="72"/>
        <v>Ms.</v>
      </c>
      <c r="D1558" t="str">
        <f t="shared" si="73"/>
        <v>Catherine A</v>
      </c>
      <c r="E1558" t="str">
        <f t="shared" si="74"/>
        <v>Jubinski</v>
      </c>
    </row>
    <row r="1559" spans="1:5" ht="15.5" x14ac:dyDescent="0.35">
      <c r="A1559" s="1" t="s">
        <v>813</v>
      </c>
      <c r="B1559" s="1" t="s">
        <v>3941</v>
      </c>
      <c r="C1559" t="str">
        <f t="shared" si="72"/>
        <v>Ms.</v>
      </c>
      <c r="D1559" t="str">
        <f t="shared" si="73"/>
        <v>Kelly A</v>
      </c>
      <c r="E1559" t="str">
        <f t="shared" si="74"/>
        <v>Wall</v>
      </c>
    </row>
    <row r="1560" spans="1:5" ht="15.5" x14ac:dyDescent="0.35">
      <c r="A1560" s="1" t="s">
        <v>812</v>
      </c>
      <c r="B1560" s="1" t="s">
        <v>3942</v>
      </c>
      <c r="C1560" t="str">
        <f t="shared" si="72"/>
        <v>Ms.</v>
      </c>
      <c r="D1560" t="str">
        <f t="shared" si="73"/>
        <v>Janel N.</v>
      </c>
      <c r="E1560" t="str">
        <f t="shared" si="74"/>
        <v>McKay</v>
      </c>
    </row>
    <row r="1561" spans="1:5" ht="15.5" x14ac:dyDescent="0.35">
      <c r="A1561" s="1" t="s">
        <v>811</v>
      </c>
      <c r="B1561" s="1" t="s">
        <v>3943</v>
      </c>
      <c r="C1561" t="str">
        <f t="shared" si="72"/>
        <v>Ms.</v>
      </c>
      <c r="D1561" t="str">
        <f t="shared" si="73"/>
        <v>Yann Kai</v>
      </c>
      <c r="E1561" t="str">
        <f t="shared" si="74"/>
        <v>Oh</v>
      </c>
    </row>
    <row r="1562" spans="1:5" ht="15.5" x14ac:dyDescent="0.35">
      <c r="A1562" s="1" t="s">
        <v>810</v>
      </c>
      <c r="B1562" s="1" t="s">
        <v>3944</v>
      </c>
      <c r="C1562" t="str">
        <f t="shared" si="72"/>
        <v>Mr.</v>
      </c>
      <c r="D1562" t="str">
        <f t="shared" si="73"/>
        <v>Zachary R.</v>
      </c>
      <c r="E1562" t="str">
        <f t="shared" si="74"/>
        <v>Kessell</v>
      </c>
    </row>
    <row r="1563" spans="1:5" ht="15.5" x14ac:dyDescent="0.35">
      <c r="A1563" s="1" t="s">
        <v>809</v>
      </c>
      <c r="B1563" s="1" t="s">
        <v>3945</v>
      </c>
      <c r="C1563" t="str">
        <f t="shared" si="72"/>
        <v>Mr.</v>
      </c>
      <c r="D1563" t="str">
        <f t="shared" si="73"/>
        <v>Alejandro Sr.</v>
      </c>
      <c r="E1563" t="str">
        <f t="shared" si="74"/>
        <v>Hidalgo Zambrano</v>
      </c>
    </row>
    <row r="1564" spans="1:5" ht="15.5" x14ac:dyDescent="0.35">
      <c r="A1564" s="1" t="s">
        <v>808</v>
      </c>
      <c r="B1564" s="1" t="s">
        <v>3946</v>
      </c>
      <c r="C1564" t="str">
        <f t="shared" si="72"/>
        <v>Mr.</v>
      </c>
      <c r="D1564" t="str">
        <f t="shared" si="73"/>
        <v>Nicholas R.</v>
      </c>
      <c r="E1564" t="str">
        <f t="shared" si="74"/>
        <v>Caprario</v>
      </c>
    </row>
    <row r="1565" spans="1:5" ht="15.5" x14ac:dyDescent="0.35">
      <c r="A1565" s="1" t="s">
        <v>807</v>
      </c>
      <c r="B1565" s="1" t="s">
        <v>3947</v>
      </c>
      <c r="C1565" t="str">
        <f t="shared" si="72"/>
        <v>Mr.</v>
      </c>
      <c r="D1565" t="str">
        <f t="shared" si="73"/>
        <v>Paul</v>
      </c>
      <c r="E1565" t="str">
        <f t="shared" si="74"/>
        <v>Ryan</v>
      </c>
    </row>
    <row r="1566" spans="1:5" ht="15.5" x14ac:dyDescent="0.35">
      <c r="A1566" s="1" t="s">
        <v>806</v>
      </c>
      <c r="B1566" s="1" t="s">
        <v>3948</v>
      </c>
      <c r="C1566" t="str">
        <f t="shared" si="72"/>
        <v>Mr.</v>
      </c>
      <c r="D1566" t="str">
        <f t="shared" si="73"/>
        <v>Michael D</v>
      </c>
      <c r="E1566" t="str">
        <f t="shared" si="74"/>
        <v>Hoffman</v>
      </c>
    </row>
    <row r="1567" spans="1:5" ht="15.5" x14ac:dyDescent="0.35">
      <c r="A1567" s="1" t="s">
        <v>805</v>
      </c>
      <c r="B1567" s="1" t="s">
        <v>3949</v>
      </c>
      <c r="C1567" t="str">
        <f t="shared" si="72"/>
        <v>Ms.</v>
      </c>
      <c r="D1567" t="str">
        <f t="shared" si="73"/>
        <v>Marina</v>
      </c>
      <c r="E1567" t="str">
        <f t="shared" si="74"/>
        <v>Wong</v>
      </c>
    </row>
    <row r="1568" spans="1:5" ht="15.5" x14ac:dyDescent="0.35">
      <c r="A1568" s="1" t="s">
        <v>804</v>
      </c>
      <c r="B1568" s="1" t="s">
        <v>3950</v>
      </c>
      <c r="C1568" t="str">
        <f t="shared" si="72"/>
        <v>Ms.</v>
      </c>
      <c r="D1568" t="str">
        <f t="shared" si="73"/>
        <v>Caroline</v>
      </c>
      <c r="E1568" t="str">
        <f t="shared" si="74"/>
        <v>Lea</v>
      </c>
    </row>
    <row r="1569" spans="1:5" ht="15.5" x14ac:dyDescent="0.35">
      <c r="A1569" s="1" t="s">
        <v>803</v>
      </c>
      <c r="B1569" s="1" t="s">
        <v>3951</v>
      </c>
      <c r="C1569" t="str">
        <f t="shared" si="72"/>
        <v>Mr.</v>
      </c>
      <c r="D1569" t="str">
        <f t="shared" si="73"/>
        <v>Ross P</v>
      </c>
      <c r="E1569" t="str">
        <f t="shared" si="74"/>
        <v>Patterson</v>
      </c>
    </row>
    <row r="1570" spans="1:5" ht="15.5" x14ac:dyDescent="0.35">
      <c r="A1570" s="1" t="s">
        <v>802</v>
      </c>
      <c r="B1570" s="1" t="s">
        <v>3952</v>
      </c>
      <c r="C1570" t="str">
        <f t="shared" si="72"/>
        <v>Ms.</v>
      </c>
      <c r="D1570" t="str">
        <f t="shared" si="73"/>
        <v>Aoife</v>
      </c>
      <c r="E1570" t="str">
        <f t="shared" si="74"/>
        <v>Quigley</v>
      </c>
    </row>
    <row r="1571" spans="1:5" ht="15.5" x14ac:dyDescent="0.35">
      <c r="A1571" s="1" t="s">
        <v>801</v>
      </c>
      <c r="B1571" s="1" t="s">
        <v>3953</v>
      </c>
      <c r="C1571" t="str">
        <f t="shared" si="72"/>
        <v>Mr.</v>
      </c>
      <c r="D1571" t="str">
        <f t="shared" si="73"/>
        <v>Wesley</v>
      </c>
      <c r="E1571" t="str">
        <f t="shared" si="74"/>
        <v>Korir</v>
      </c>
    </row>
    <row r="1572" spans="1:5" ht="15.5" x14ac:dyDescent="0.35">
      <c r="A1572" s="1" t="s">
        <v>800</v>
      </c>
      <c r="B1572" s="1" t="s">
        <v>3954</v>
      </c>
      <c r="C1572" t="str">
        <f t="shared" si="72"/>
        <v>Ms.</v>
      </c>
      <c r="D1572" t="str">
        <f t="shared" si="73"/>
        <v>Rebecca J</v>
      </c>
      <c r="E1572" t="str">
        <f t="shared" si="74"/>
        <v>Downs</v>
      </c>
    </row>
    <row r="1573" spans="1:5" ht="15.5" x14ac:dyDescent="0.35">
      <c r="A1573" s="1" t="s">
        <v>799</v>
      </c>
      <c r="B1573" s="1" t="s">
        <v>3955</v>
      </c>
      <c r="C1573" t="str">
        <f t="shared" si="72"/>
        <v>Mr.</v>
      </c>
      <c r="D1573" t="str">
        <f t="shared" si="73"/>
        <v>Barry P.</v>
      </c>
      <c r="E1573" t="str">
        <f t="shared" si="74"/>
        <v>Young</v>
      </c>
    </row>
    <row r="1574" spans="1:5" ht="15.5" x14ac:dyDescent="0.35">
      <c r="A1574" s="1" t="s">
        <v>798</v>
      </c>
      <c r="B1574" s="1" t="s">
        <v>3956</v>
      </c>
      <c r="C1574" t="str">
        <f t="shared" si="72"/>
        <v>Mr.</v>
      </c>
      <c r="D1574" t="str">
        <f t="shared" si="73"/>
        <v>Maciej</v>
      </c>
      <c r="E1574" t="str">
        <f t="shared" si="74"/>
        <v>Zywek</v>
      </c>
    </row>
    <row r="1575" spans="1:5" ht="15.5" x14ac:dyDescent="0.35">
      <c r="A1575" s="1" t="s">
        <v>797</v>
      </c>
      <c r="B1575" s="1" t="s">
        <v>3957</v>
      </c>
      <c r="C1575" t="str">
        <f t="shared" si="72"/>
        <v>Mr.</v>
      </c>
      <c r="D1575" t="str">
        <f t="shared" si="73"/>
        <v>Jerry D.</v>
      </c>
      <c r="E1575" t="str">
        <f t="shared" si="74"/>
        <v>Faulkner</v>
      </c>
    </row>
    <row r="1576" spans="1:5" ht="15.5" x14ac:dyDescent="0.35">
      <c r="A1576" s="1" t="s">
        <v>796</v>
      </c>
      <c r="B1576" s="1" t="s">
        <v>3958</v>
      </c>
      <c r="C1576" t="str">
        <f t="shared" si="72"/>
        <v>Mr.</v>
      </c>
      <c r="D1576" t="str">
        <f t="shared" si="73"/>
        <v>Eric A.</v>
      </c>
      <c r="E1576" t="str">
        <f t="shared" si="74"/>
        <v>Erspamer</v>
      </c>
    </row>
    <row r="1577" spans="1:5" ht="15.5" x14ac:dyDescent="0.35">
      <c r="A1577" s="1" t="s">
        <v>795</v>
      </c>
      <c r="B1577" s="1" t="s">
        <v>3959</v>
      </c>
      <c r="C1577" t="str">
        <f t="shared" si="72"/>
        <v>Ms.</v>
      </c>
      <c r="D1577" t="str">
        <f t="shared" si="73"/>
        <v>Cathi</v>
      </c>
      <c r="E1577" t="str">
        <f t="shared" si="74"/>
        <v>Campbell</v>
      </c>
    </row>
    <row r="1578" spans="1:5" ht="15.5" x14ac:dyDescent="0.35">
      <c r="A1578" s="1" t="s">
        <v>794</v>
      </c>
      <c r="B1578" s="1" t="s">
        <v>3960</v>
      </c>
      <c r="C1578" t="str">
        <f t="shared" si="72"/>
        <v>Mr.</v>
      </c>
      <c r="D1578" t="str">
        <f t="shared" si="73"/>
        <v>Alex M</v>
      </c>
      <c r="E1578" t="str">
        <f t="shared" si="74"/>
        <v>Addison</v>
      </c>
    </row>
    <row r="1579" spans="1:5" ht="15.5" x14ac:dyDescent="0.35">
      <c r="A1579" s="1" t="s">
        <v>793</v>
      </c>
      <c r="B1579" s="1" t="s">
        <v>3961</v>
      </c>
      <c r="C1579" t="str">
        <f t="shared" si="72"/>
        <v>Mr.</v>
      </c>
      <c r="D1579" t="str">
        <f t="shared" si="73"/>
        <v>Liang</v>
      </c>
      <c r="E1579" t="str">
        <f t="shared" si="74"/>
        <v>Wu</v>
      </c>
    </row>
    <row r="1580" spans="1:5" ht="15.5" x14ac:dyDescent="0.35">
      <c r="A1580" s="1" t="s">
        <v>792</v>
      </c>
      <c r="B1580" s="1" t="s">
        <v>3962</v>
      </c>
      <c r="C1580" t="str">
        <f t="shared" si="72"/>
        <v>Ms.</v>
      </c>
      <c r="D1580" t="str">
        <f t="shared" si="73"/>
        <v>Lexy</v>
      </c>
      <c r="E1580" t="str">
        <f t="shared" si="74"/>
        <v>Millett</v>
      </c>
    </row>
    <row r="1581" spans="1:5" ht="15.5" x14ac:dyDescent="0.35">
      <c r="A1581" s="1" t="s">
        <v>791</v>
      </c>
      <c r="B1581" s="1" t="s">
        <v>3963</v>
      </c>
      <c r="C1581" t="str">
        <f t="shared" si="72"/>
        <v>Mr.</v>
      </c>
      <c r="D1581" t="str">
        <f t="shared" si="73"/>
        <v>Michael</v>
      </c>
      <c r="E1581" t="str">
        <f t="shared" si="74"/>
        <v>Bosl</v>
      </c>
    </row>
    <row r="1582" spans="1:5" ht="15.5" x14ac:dyDescent="0.35">
      <c r="A1582" s="1" t="s">
        <v>790</v>
      </c>
      <c r="B1582" s="1" t="s">
        <v>3964</v>
      </c>
      <c r="C1582" t="str">
        <f t="shared" si="72"/>
        <v>Mr.</v>
      </c>
      <c r="D1582" t="str">
        <f t="shared" si="73"/>
        <v>Samuel L</v>
      </c>
      <c r="E1582" t="str">
        <f t="shared" si="74"/>
        <v>Goldberg</v>
      </c>
    </row>
    <row r="1583" spans="1:5" ht="15.5" x14ac:dyDescent="0.35">
      <c r="A1583" s="1" t="s">
        <v>789</v>
      </c>
      <c r="B1583" s="1" t="s">
        <v>3965</v>
      </c>
      <c r="C1583" t="str">
        <f t="shared" si="72"/>
        <v>Mr.</v>
      </c>
      <c r="D1583" t="str">
        <f t="shared" si="73"/>
        <v>Spencer A.</v>
      </c>
      <c r="E1583" t="str">
        <f t="shared" si="74"/>
        <v>Kelley</v>
      </c>
    </row>
    <row r="1584" spans="1:5" ht="15.5" x14ac:dyDescent="0.35">
      <c r="A1584" s="1" t="s">
        <v>788</v>
      </c>
      <c r="B1584" s="1" t="s">
        <v>3966</v>
      </c>
      <c r="C1584" t="str">
        <f t="shared" si="72"/>
        <v>Mrs.</v>
      </c>
      <c r="D1584" t="str">
        <f t="shared" si="73"/>
        <v>Rochelle</v>
      </c>
      <c r="E1584" t="str">
        <f t="shared" si="74"/>
        <v>Johnston</v>
      </c>
    </row>
    <row r="1585" spans="1:5" ht="15.5" x14ac:dyDescent="0.35">
      <c r="A1585" s="1" t="s">
        <v>787</v>
      </c>
      <c r="B1585" s="1" t="s">
        <v>3967</v>
      </c>
      <c r="C1585" t="str">
        <f t="shared" si="72"/>
        <v>Ms.</v>
      </c>
      <c r="D1585" t="str">
        <f t="shared" si="73"/>
        <v>Paula</v>
      </c>
      <c r="E1585" t="str">
        <f t="shared" si="74"/>
        <v>Keating</v>
      </c>
    </row>
    <row r="1586" spans="1:5" ht="15.5" x14ac:dyDescent="0.35">
      <c r="A1586" s="1" t="s">
        <v>786</v>
      </c>
      <c r="B1586" s="1" t="s">
        <v>3968</v>
      </c>
      <c r="C1586" t="str">
        <f t="shared" si="72"/>
        <v>Mrs.</v>
      </c>
      <c r="D1586" t="str">
        <f t="shared" si="73"/>
        <v>Madeline E.</v>
      </c>
      <c r="E1586" t="str">
        <f t="shared" si="74"/>
        <v>Duhon</v>
      </c>
    </row>
    <row r="1587" spans="1:5" ht="15.5" x14ac:dyDescent="0.35">
      <c r="A1587" s="1" t="s">
        <v>785</v>
      </c>
      <c r="B1587" s="1" t="s">
        <v>3969</v>
      </c>
      <c r="C1587" t="str">
        <f t="shared" si="72"/>
        <v>Ms.</v>
      </c>
      <c r="D1587" t="str">
        <f t="shared" si="73"/>
        <v>Maria Isabel</v>
      </c>
      <c r="E1587" t="str">
        <f t="shared" si="74"/>
        <v>Briseno</v>
      </c>
    </row>
    <row r="1588" spans="1:5" ht="15.5" x14ac:dyDescent="0.35">
      <c r="A1588" s="1" t="s">
        <v>784</v>
      </c>
      <c r="B1588" s="1" t="s">
        <v>3970</v>
      </c>
      <c r="C1588" t="str">
        <f t="shared" si="72"/>
        <v>Mr.</v>
      </c>
      <c r="D1588" t="str">
        <f t="shared" si="73"/>
        <v>Arthur M.</v>
      </c>
      <c r="E1588" t="str">
        <f t="shared" si="74"/>
        <v>Besse</v>
      </c>
    </row>
    <row r="1589" spans="1:5" ht="15.5" x14ac:dyDescent="0.35">
      <c r="A1589" s="1" t="s">
        <v>783</v>
      </c>
      <c r="B1589" s="1" t="s">
        <v>3971</v>
      </c>
      <c r="C1589" t="str">
        <f t="shared" si="72"/>
        <v>Mr.</v>
      </c>
      <c r="D1589" t="str">
        <f t="shared" si="73"/>
        <v>Joseph R.</v>
      </c>
      <c r="E1589" t="str">
        <f t="shared" si="74"/>
        <v>Shillings</v>
      </c>
    </row>
    <row r="1590" spans="1:5" ht="15.5" x14ac:dyDescent="0.35">
      <c r="A1590" s="1" t="s">
        <v>782</v>
      </c>
      <c r="B1590" s="1" t="s">
        <v>3972</v>
      </c>
      <c r="C1590" t="str">
        <f t="shared" si="72"/>
        <v>Ms.</v>
      </c>
      <c r="D1590" t="str">
        <f t="shared" si="73"/>
        <v>Sachiko</v>
      </c>
      <c r="E1590" t="str">
        <f t="shared" si="74"/>
        <v>Tate</v>
      </c>
    </row>
    <row r="1591" spans="1:5" ht="15.5" x14ac:dyDescent="0.35">
      <c r="A1591" s="1" t="s">
        <v>781</v>
      </c>
      <c r="B1591" s="1" t="s">
        <v>3973</v>
      </c>
      <c r="C1591" t="str">
        <f t="shared" si="72"/>
        <v>Mr.</v>
      </c>
      <c r="D1591" t="str">
        <f t="shared" si="73"/>
        <v>Christopher</v>
      </c>
      <c r="E1591" t="str">
        <f t="shared" si="74"/>
        <v>Arsenault</v>
      </c>
    </row>
    <row r="1592" spans="1:5" ht="15.5" x14ac:dyDescent="0.35">
      <c r="A1592" s="1" t="s">
        <v>780</v>
      </c>
      <c r="B1592" s="1" t="s">
        <v>3974</v>
      </c>
      <c r="C1592" t="str">
        <f t="shared" si="72"/>
        <v>Mr.</v>
      </c>
      <c r="D1592" t="str">
        <f t="shared" si="73"/>
        <v>Joseph</v>
      </c>
      <c r="E1592" t="str">
        <f t="shared" si="74"/>
        <v>Hengoed</v>
      </c>
    </row>
    <row r="1593" spans="1:5" ht="15.5" x14ac:dyDescent="0.35">
      <c r="A1593" s="1" t="s">
        <v>779</v>
      </c>
      <c r="B1593" s="1" t="s">
        <v>3975</v>
      </c>
      <c r="C1593" t="str">
        <f t="shared" si="72"/>
        <v>Mr.</v>
      </c>
      <c r="D1593" t="str">
        <f t="shared" si="73"/>
        <v>Lawrence</v>
      </c>
      <c r="E1593" t="str">
        <f t="shared" si="74"/>
        <v>Aller</v>
      </c>
    </row>
    <row r="1594" spans="1:5" ht="15.5" x14ac:dyDescent="0.35">
      <c r="A1594" s="1" t="s">
        <v>778</v>
      </c>
      <c r="B1594" s="1" t="s">
        <v>3976</v>
      </c>
      <c r="C1594" t="str">
        <f t="shared" si="72"/>
        <v>Mrs.</v>
      </c>
      <c r="D1594" t="str">
        <f t="shared" si="73"/>
        <v>Katie</v>
      </c>
      <c r="E1594" t="str">
        <f t="shared" si="74"/>
        <v>Pisano</v>
      </c>
    </row>
    <row r="1595" spans="1:5" ht="15.5" x14ac:dyDescent="0.35">
      <c r="A1595" s="1" t="s">
        <v>777</v>
      </c>
      <c r="B1595" s="1" t="s">
        <v>3977</v>
      </c>
      <c r="C1595" t="str">
        <f t="shared" si="72"/>
        <v>Mr.</v>
      </c>
      <c r="D1595" t="str">
        <f t="shared" si="73"/>
        <v>Ruben</v>
      </c>
      <c r="E1595" t="str">
        <f t="shared" si="74"/>
        <v>Sanca</v>
      </c>
    </row>
    <row r="1596" spans="1:5" ht="15.5" x14ac:dyDescent="0.35">
      <c r="A1596" s="1" t="s">
        <v>776</v>
      </c>
      <c r="B1596" s="1" t="s">
        <v>3978</v>
      </c>
      <c r="C1596" t="str">
        <f t="shared" si="72"/>
        <v>Ms.</v>
      </c>
      <c r="D1596" t="str">
        <f t="shared" si="73"/>
        <v>Sarah</v>
      </c>
      <c r="E1596" t="str">
        <f t="shared" si="74"/>
        <v>Bond</v>
      </c>
    </row>
    <row r="1597" spans="1:5" ht="15.5" x14ac:dyDescent="0.35">
      <c r="A1597" s="1" t="s">
        <v>775</v>
      </c>
      <c r="B1597" s="1" t="s">
        <v>3979</v>
      </c>
      <c r="C1597" t="str">
        <f t="shared" si="72"/>
        <v>Mrs.</v>
      </c>
      <c r="D1597" t="str">
        <f t="shared" si="73"/>
        <v>Angela R.</v>
      </c>
      <c r="E1597" t="str">
        <f t="shared" si="74"/>
        <v>Carron</v>
      </c>
    </row>
    <row r="1598" spans="1:5" ht="15.5" x14ac:dyDescent="0.35">
      <c r="A1598" s="1" t="s">
        <v>774</v>
      </c>
      <c r="B1598" s="1" t="s">
        <v>3980</v>
      </c>
      <c r="C1598" t="str">
        <f t="shared" si="72"/>
        <v>Mr.</v>
      </c>
      <c r="D1598" t="str">
        <f t="shared" si="73"/>
        <v>Chatham</v>
      </c>
      <c r="E1598" t="str">
        <f t="shared" si="74"/>
        <v>Ellwanger</v>
      </c>
    </row>
    <row r="1599" spans="1:5" ht="15.5" x14ac:dyDescent="0.35">
      <c r="A1599" s="1" t="s">
        <v>773</v>
      </c>
      <c r="B1599" s="1" t="s">
        <v>3981</v>
      </c>
      <c r="C1599" t="str">
        <f t="shared" si="72"/>
        <v>Mr.</v>
      </c>
      <c r="D1599" t="str">
        <f t="shared" si="73"/>
        <v>Derek</v>
      </c>
      <c r="E1599" t="str">
        <f t="shared" si="74"/>
        <v>Hanson</v>
      </c>
    </row>
    <row r="1600" spans="1:5" ht="15.5" x14ac:dyDescent="0.35">
      <c r="A1600" s="1" t="s">
        <v>772</v>
      </c>
      <c r="B1600" s="1" t="s">
        <v>3982</v>
      </c>
      <c r="C1600" t="str">
        <f t="shared" si="72"/>
        <v>Mr.</v>
      </c>
      <c r="D1600" t="str">
        <f t="shared" si="73"/>
        <v>Kalvin J.</v>
      </c>
      <c r="E1600" t="str">
        <f t="shared" si="74"/>
        <v>Tucker</v>
      </c>
    </row>
    <row r="1601" spans="1:5" ht="15.5" x14ac:dyDescent="0.35">
      <c r="A1601" s="1" t="s">
        <v>771</v>
      </c>
      <c r="B1601" s="1" t="s">
        <v>3983</v>
      </c>
      <c r="C1601" t="str">
        <f t="shared" si="72"/>
        <v>Mr.</v>
      </c>
      <c r="D1601" t="str">
        <f t="shared" si="73"/>
        <v>Dave</v>
      </c>
      <c r="E1601" t="str">
        <f t="shared" si="74"/>
        <v>Counts</v>
      </c>
    </row>
    <row r="1602" spans="1:5" ht="15.5" x14ac:dyDescent="0.35">
      <c r="A1602" s="1" t="s">
        <v>770</v>
      </c>
      <c r="B1602" s="1" t="s">
        <v>3984</v>
      </c>
      <c r="C1602" t="str">
        <f t="shared" si="72"/>
        <v>Ms.</v>
      </c>
      <c r="D1602" t="str">
        <f t="shared" si="73"/>
        <v>Barbara G.</v>
      </c>
      <c r="E1602" t="str">
        <f t="shared" si="74"/>
        <v>Carson</v>
      </c>
    </row>
    <row r="1603" spans="1:5" ht="15.5" x14ac:dyDescent="0.35">
      <c r="A1603" s="1" t="s">
        <v>769</v>
      </c>
      <c r="B1603" s="1" t="s">
        <v>3985</v>
      </c>
      <c r="C1603" t="str">
        <f t="shared" ref="C1603:C1666" si="75">TRIM(MID(B1603,FIND(",",B1603)+1,FIND(".",B1603)-FIND(",",B1603)))</f>
        <v>Mr.</v>
      </c>
      <c r="D1603" t="str">
        <f t="shared" ref="D1603:D1666" si="76">TRIM(MID(B1603,FIND(".",B1603)+1,LEN(B1603)))</f>
        <v>Skylar</v>
      </c>
      <c r="E1603" t="str">
        <f t="shared" ref="E1603:E1666" si="77">TRIM(LEFT(B1603,FIND(",",B1603)-1))</f>
        <v>Haines</v>
      </c>
    </row>
    <row r="1604" spans="1:5" ht="15.5" x14ac:dyDescent="0.35">
      <c r="A1604" s="1" t="s">
        <v>768</v>
      </c>
      <c r="B1604" s="1" t="s">
        <v>3986</v>
      </c>
      <c r="C1604" t="str">
        <f t="shared" si="75"/>
        <v>Mr.</v>
      </c>
      <c r="D1604" t="str">
        <f t="shared" si="76"/>
        <v>Nick</v>
      </c>
      <c r="E1604" t="str">
        <f t="shared" si="77"/>
        <v>Schnabel</v>
      </c>
    </row>
    <row r="1605" spans="1:5" ht="15.5" x14ac:dyDescent="0.35">
      <c r="A1605" s="1" t="s">
        <v>767</v>
      </c>
      <c r="B1605" s="1" t="s">
        <v>3987</v>
      </c>
      <c r="C1605" t="str">
        <f t="shared" si="75"/>
        <v>Mr.</v>
      </c>
      <c r="D1605" t="str">
        <f t="shared" si="76"/>
        <v>Sunny S</v>
      </c>
      <c r="E1605" t="str">
        <f t="shared" si="77"/>
        <v>Thind</v>
      </c>
    </row>
    <row r="1606" spans="1:5" ht="15.5" x14ac:dyDescent="0.35">
      <c r="A1606" s="1" t="s">
        <v>766</v>
      </c>
      <c r="B1606" s="1" t="s">
        <v>3988</v>
      </c>
      <c r="C1606" t="str">
        <f t="shared" si="75"/>
        <v>Mrs.</v>
      </c>
      <c r="D1606" t="str">
        <f t="shared" si="76"/>
        <v>Anne-Marie</v>
      </c>
      <c r="E1606" t="str">
        <f t="shared" si="77"/>
        <v>Simon</v>
      </c>
    </row>
    <row r="1607" spans="1:5" ht="15.5" x14ac:dyDescent="0.35">
      <c r="A1607" s="1" t="s">
        <v>765</v>
      </c>
      <c r="B1607" s="1" t="s">
        <v>3989</v>
      </c>
      <c r="C1607" t="str">
        <f t="shared" si="75"/>
        <v>Mr.</v>
      </c>
      <c r="D1607" t="str">
        <f t="shared" si="76"/>
        <v>Nicholas</v>
      </c>
      <c r="E1607" t="str">
        <f t="shared" si="77"/>
        <v>Arciniaga</v>
      </c>
    </row>
    <row r="1608" spans="1:5" ht="15.5" x14ac:dyDescent="0.35">
      <c r="A1608" s="1" t="s">
        <v>764</v>
      </c>
      <c r="B1608" s="1" t="s">
        <v>3990</v>
      </c>
      <c r="C1608" t="str">
        <f t="shared" si="75"/>
        <v>Mr.</v>
      </c>
      <c r="D1608" t="str">
        <f t="shared" si="76"/>
        <v>Scott M.</v>
      </c>
      <c r="E1608" t="str">
        <f t="shared" si="77"/>
        <v>Ryan</v>
      </c>
    </row>
    <row r="1609" spans="1:5" ht="15.5" x14ac:dyDescent="0.35">
      <c r="A1609" s="1" t="s">
        <v>763</v>
      </c>
      <c r="B1609" s="1" t="s">
        <v>3991</v>
      </c>
      <c r="C1609" t="str">
        <f t="shared" si="75"/>
        <v>Ms.</v>
      </c>
      <c r="D1609" t="str">
        <f t="shared" si="76"/>
        <v>Marisa A</v>
      </c>
      <c r="E1609" t="str">
        <f t="shared" si="77"/>
        <v>Lizak</v>
      </c>
    </row>
    <row r="1610" spans="1:5" ht="15.5" x14ac:dyDescent="0.35">
      <c r="A1610" s="1" t="s">
        <v>762</v>
      </c>
      <c r="B1610" s="1" t="s">
        <v>3992</v>
      </c>
      <c r="C1610" t="str">
        <f t="shared" si="75"/>
        <v>Ms.</v>
      </c>
      <c r="D1610" t="str">
        <f t="shared" si="76"/>
        <v>Katie</v>
      </c>
      <c r="E1610" t="str">
        <f t="shared" si="77"/>
        <v>Howery</v>
      </c>
    </row>
    <row r="1611" spans="1:5" ht="15.5" x14ac:dyDescent="0.35">
      <c r="A1611" s="1" t="s">
        <v>761</v>
      </c>
      <c r="B1611" s="1" t="s">
        <v>3993</v>
      </c>
      <c r="C1611" t="str">
        <f t="shared" si="75"/>
        <v>Ms.</v>
      </c>
      <c r="D1611" t="str">
        <f t="shared" si="76"/>
        <v>Amy L</v>
      </c>
      <c r="E1611" t="str">
        <f t="shared" si="77"/>
        <v>Crain</v>
      </c>
    </row>
    <row r="1612" spans="1:5" ht="15.5" x14ac:dyDescent="0.35">
      <c r="A1612" s="1" t="s">
        <v>760</v>
      </c>
      <c r="B1612" s="1" t="s">
        <v>3994</v>
      </c>
      <c r="C1612" t="str">
        <f t="shared" si="75"/>
        <v>Ms.</v>
      </c>
      <c r="D1612" t="str">
        <f t="shared" si="76"/>
        <v>Jenna M</v>
      </c>
      <c r="E1612" t="str">
        <f t="shared" si="77"/>
        <v>Hotze</v>
      </c>
    </row>
    <row r="1613" spans="1:5" ht="15.5" x14ac:dyDescent="0.35">
      <c r="A1613" s="1" t="s">
        <v>759</v>
      </c>
      <c r="B1613" s="1" t="s">
        <v>3995</v>
      </c>
      <c r="C1613" t="str">
        <f t="shared" si="75"/>
        <v>Ms.</v>
      </c>
      <c r="D1613" t="str">
        <f t="shared" si="76"/>
        <v>Elizabeth M.</v>
      </c>
      <c r="E1613" t="str">
        <f t="shared" si="77"/>
        <v>Chauhan</v>
      </c>
    </row>
    <row r="1614" spans="1:5" ht="15.5" x14ac:dyDescent="0.35">
      <c r="A1614" s="1" t="s">
        <v>758</v>
      </c>
      <c r="B1614" s="1" t="s">
        <v>3996</v>
      </c>
      <c r="C1614" t="str">
        <f t="shared" si="75"/>
        <v>Mr.</v>
      </c>
      <c r="D1614" t="str">
        <f t="shared" si="76"/>
        <v>Lyazid</v>
      </c>
      <c r="E1614" t="str">
        <f t="shared" si="77"/>
        <v>Raab</v>
      </c>
    </row>
    <row r="1615" spans="1:5" ht="15.5" x14ac:dyDescent="0.35">
      <c r="A1615" s="1" t="s">
        <v>757</v>
      </c>
      <c r="B1615" s="1" t="s">
        <v>3997</v>
      </c>
      <c r="C1615" t="str">
        <f t="shared" si="75"/>
        <v>Ms.</v>
      </c>
      <c r="D1615" t="str">
        <f t="shared" si="76"/>
        <v>Lindsey A.</v>
      </c>
      <c r="E1615" t="str">
        <f t="shared" si="77"/>
        <v>McKown</v>
      </c>
    </row>
    <row r="1616" spans="1:5" ht="15.5" x14ac:dyDescent="0.35">
      <c r="A1616" s="1" t="s">
        <v>756</v>
      </c>
      <c r="B1616" s="1" t="s">
        <v>3998</v>
      </c>
      <c r="C1616" t="str">
        <f t="shared" si="75"/>
        <v>Mr.</v>
      </c>
      <c r="D1616" t="str">
        <f t="shared" si="76"/>
        <v>Chris</v>
      </c>
      <c r="E1616" t="str">
        <f t="shared" si="77"/>
        <v>Schiemann</v>
      </c>
    </row>
    <row r="1617" spans="1:5" ht="15.5" x14ac:dyDescent="0.35">
      <c r="A1617" s="1" t="s">
        <v>755</v>
      </c>
      <c r="B1617" s="1" t="s">
        <v>3999</v>
      </c>
      <c r="C1617" t="str">
        <f t="shared" si="75"/>
        <v>Ms.</v>
      </c>
      <c r="D1617" t="str">
        <f t="shared" si="76"/>
        <v>Jennifer A</v>
      </c>
      <c r="E1617" t="str">
        <f t="shared" si="77"/>
        <v>Cress</v>
      </c>
    </row>
    <row r="1618" spans="1:5" ht="15.5" x14ac:dyDescent="0.35">
      <c r="A1618" s="1" t="s">
        <v>754</v>
      </c>
      <c r="B1618" s="1" t="s">
        <v>4000</v>
      </c>
      <c r="C1618" t="str">
        <f t="shared" si="75"/>
        <v>Mr.</v>
      </c>
      <c r="D1618" t="str">
        <f t="shared" si="76"/>
        <v>Leif S.</v>
      </c>
      <c r="E1618" t="str">
        <f t="shared" si="77"/>
        <v>Mawson</v>
      </c>
    </row>
    <row r="1619" spans="1:5" ht="15.5" x14ac:dyDescent="0.35">
      <c r="A1619" s="1" t="s">
        <v>753</v>
      </c>
      <c r="B1619" s="1" t="s">
        <v>4001</v>
      </c>
      <c r="C1619" t="str">
        <f t="shared" si="75"/>
        <v>Ms.</v>
      </c>
      <c r="D1619" t="str">
        <f t="shared" si="76"/>
        <v>Stephanie A</v>
      </c>
      <c r="E1619" t="str">
        <f t="shared" si="77"/>
        <v>Wigginton</v>
      </c>
    </row>
    <row r="1620" spans="1:5" ht="15.5" x14ac:dyDescent="0.35">
      <c r="A1620" s="1" t="s">
        <v>752</v>
      </c>
      <c r="B1620" s="1" t="s">
        <v>4002</v>
      </c>
      <c r="C1620" t="str">
        <f t="shared" si="75"/>
        <v>Mr.</v>
      </c>
      <c r="D1620" t="str">
        <f t="shared" si="76"/>
        <v>Bo</v>
      </c>
      <c r="E1620" t="str">
        <f t="shared" si="77"/>
        <v>Wang</v>
      </c>
    </row>
    <row r="1621" spans="1:5" ht="15.5" x14ac:dyDescent="0.35">
      <c r="A1621" s="1" t="s">
        <v>751</v>
      </c>
      <c r="B1621" s="1" t="s">
        <v>4003</v>
      </c>
      <c r="C1621" t="str">
        <f t="shared" si="75"/>
        <v>Ms.</v>
      </c>
      <c r="D1621" t="str">
        <f t="shared" si="76"/>
        <v>Leah</v>
      </c>
      <c r="E1621" t="str">
        <f t="shared" si="77"/>
        <v>Schroeder</v>
      </c>
    </row>
    <row r="1622" spans="1:5" ht="15.5" x14ac:dyDescent="0.35">
      <c r="A1622" s="1" t="s">
        <v>750</v>
      </c>
      <c r="B1622" s="1" t="s">
        <v>4004</v>
      </c>
      <c r="C1622" t="str">
        <f t="shared" si="75"/>
        <v>Ms.</v>
      </c>
      <c r="D1622" t="str">
        <f t="shared" si="76"/>
        <v>Kara Lynne</v>
      </c>
      <c r="E1622" t="str">
        <f t="shared" si="77"/>
        <v>Leonard</v>
      </c>
    </row>
    <row r="1623" spans="1:5" ht="15.5" x14ac:dyDescent="0.35">
      <c r="A1623" s="1" t="s">
        <v>749</v>
      </c>
      <c r="B1623" s="1" t="s">
        <v>4005</v>
      </c>
      <c r="C1623" t="str">
        <f t="shared" si="75"/>
        <v>Mr.</v>
      </c>
      <c r="D1623" t="str">
        <f t="shared" si="76"/>
        <v>Jeffrey</v>
      </c>
      <c r="E1623" t="str">
        <f t="shared" si="77"/>
        <v>Tissue</v>
      </c>
    </row>
    <row r="1624" spans="1:5" ht="15.5" x14ac:dyDescent="0.35">
      <c r="A1624" s="1" t="s">
        <v>748</v>
      </c>
      <c r="B1624" s="1" t="s">
        <v>4006</v>
      </c>
      <c r="C1624" t="str">
        <f t="shared" si="75"/>
        <v>Mr.</v>
      </c>
      <c r="D1624" t="str">
        <f t="shared" si="76"/>
        <v>Justin</v>
      </c>
      <c r="E1624" t="str">
        <f t="shared" si="77"/>
        <v>Wood</v>
      </c>
    </row>
    <row r="1625" spans="1:5" ht="15.5" x14ac:dyDescent="0.35">
      <c r="A1625" s="1" t="s">
        <v>747</v>
      </c>
      <c r="B1625" s="1" t="s">
        <v>4007</v>
      </c>
      <c r="C1625" t="str">
        <f t="shared" si="75"/>
        <v>Ms.</v>
      </c>
      <c r="D1625" t="str">
        <f t="shared" si="76"/>
        <v>Emily</v>
      </c>
      <c r="E1625" t="str">
        <f t="shared" si="77"/>
        <v>Denny</v>
      </c>
    </row>
    <row r="1626" spans="1:5" ht="15.5" x14ac:dyDescent="0.35">
      <c r="A1626" s="1" t="s">
        <v>746</v>
      </c>
      <c r="B1626" s="1" t="s">
        <v>4008</v>
      </c>
      <c r="C1626" t="str">
        <f t="shared" si="75"/>
        <v>Ms.</v>
      </c>
      <c r="D1626" t="str">
        <f t="shared" si="76"/>
        <v>Rebecca</v>
      </c>
      <c r="E1626" t="str">
        <f t="shared" si="77"/>
        <v>Testa</v>
      </c>
    </row>
    <row r="1627" spans="1:5" ht="15.5" x14ac:dyDescent="0.35">
      <c r="A1627" s="1" t="s">
        <v>745</v>
      </c>
      <c r="B1627" s="1" t="s">
        <v>4009</v>
      </c>
      <c r="C1627" t="str">
        <f t="shared" si="75"/>
        <v>Mrs.</v>
      </c>
      <c r="D1627" t="str">
        <f t="shared" si="76"/>
        <v>Allie</v>
      </c>
      <c r="E1627" t="str">
        <f t="shared" si="77"/>
        <v>Mooney</v>
      </c>
    </row>
    <row r="1628" spans="1:5" ht="15.5" x14ac:dyDescent="0.35">
      <c r="A1628" s="1" t="s">
        <v>744</v>
      </c>
      <c r="B1628" s="1" t="s">
        <v>4010</v>
      </c>
      <c r="C1628" t="str">
        <f t="shared" si="75"/>
        <v>Ms.</v>
      </c>
      <c r="D1628" t="str">
        <f t="shared" si="76"/>
        <v>Trasi</v>
      </c>
      <c r="E1628" t="str">
        <f t="shared" si="77"/>
        <v>Buchholtz</v>
      </c>
    </row>
    <row r="1629" spans="1:5" ht="15.5" x14ac:dyDescent="0.35">
      <c r="A1629" s="1" t="s">
        <v>743</v>
      </c>
      <c r="B1629" s="1" t="s">
        <v>4011</v>
      </c>
      <c r="C1629" t="str">
        <f t="shared" si="75"/>
        <v>Mr.</v>
      </c>
      <c r="D1629" t="str">
        <f t="shared" si="76"/>
        <v>Kevin</v>
      </c>
      <c r="E1629" t="str">
        <f t="shared" si="77"/>
        <v>Hoyt</v>
      </c>
    </row>
    <row r="1630" spans="1:5" ht="15.5" x14ac:dyDescent="0.35">
      <c r="A1630" s="1" t="s">
        <v>742</v>
      </c>
      <c r="B1630" s="1" t="s">
        <v>4012</v>
      </c>
      <c r="C1630" t="str">
        <f t="shared" si="75"/>
        <v>Mr.</v>
      </c>
      <c r="D1630" t="str">
        <f t="shared" si="76"/>
        <v>Fernando</v>
      </c>
      <c r="E1630" t="str">
        <f t="shared" si="77"/>
        <v>Cabada</v>
      </c>
    </row>
    <row r="1631" spans="1:5" ht="15.5" x14ac:dyDescent="0.35">
      <c r="A1631" s="1" t="s">
        <v>741</v>
      </c>
      <c r="B1631" s="1" t="s">
        <v>4013</v>
      </c>
      <c r="C1631" t="str">
        <f t="shared" si="75"/>
        <v>Ms.</v>
      </c>
      <c r="D1631" t="str">
        <f t="shared" si="76"/>
        <v>Ieva</v>
      </c>
      <c r="E1631" t="str">
        <f t="shared" si="77"/>
        <v>Lobaciute</v>
      </c>
    </row>
    <row r="1632" spans="1:5" ht="15.5" x14ac:dyDescent="0.35">
      <c r="A1632" s="1" t="s">
        <v>740</v>
      </c>
      <c r="B1632" s="1" t="s">
        <v>4014</v>
      </c>
      <c r="C1632" t="str">
        <f t="shared" si="75"/>
        <v>Mr.</v>
      </c>
      <c r="D1632" t="str">
        <f t="shared" si="76"/>
        <v>Chris</v>
      </c>
      <c r="E1632" t="str">
        <f t="shared" si="77"/>
        <v>Dawes</v>
      </c>
    </row>
    <row r="1633" spans="1:5" ht="15.5" x14ac:dyDescent="0.35">
      <c r="A1633" s="1" t="s">
        <v>739</v>
      </c>
      <c r="B1633" s="1" t="s">
        <v>4015</v>
      </c>
      <c r="C1633" t="str">
        <f t="shared" si="75"/>
        <v>Mr.</v>
      </c>
      <c r="D1633" t="str">
        <f t="shared" si="76"/>
        <v>Drew L.</v>
      </c>
      <c r="E1633" t="str">
        <f t="shared" si="77"/>
        <v>Deppen</v>
      </c>
    </row>
    <row r="1634" spans="1:5" ht="15.5" x14ac:dyDescent="0.35">
      <c r="A1634" s="1" t="s">
        <v>738</v>
      </c>
      <c r="B1634" s="1" t="s">
        <v>4016</v>
      </c>
      <c r="C1634" t="str">
        <f t="shared" si="75"/>
        <v>Ms.</v>
      </c>
      <c r="D1634" t="str">
        <f t="shared" si="76"/>
        <v>Christina</v>
      </c>
      <c r="E1634" t="str">
        <f t="shared" si="77"/>
        <v>Oberndorfer</v>
      </c>
    </row>
    <row r="1635" spans="1:5" ht="15.5" x14ac:dyDescent="0.35">
      <c r="A1635" s="1" t="s">
        <v>737</v>
      </c>
      <c r="B1635" s="1" t="s">
        <v>4017</v>
      </c>
      <c r="C1635" t="str">
        <f t="shared" si="75"/>
        <v>Mr.</v>
      </c>
      <c r="D1635" t="str">
        <f t="shared" si="76"/>
        <v>Alexander G</v>
      </c>
      <c r="E1635" t="str">
        <f t="shared" si="77"/>
        <v>Hetherington</v>
      </c>
    </row>
    <row r="1636" spans="1:5" ht="15.5" x14ac:dyDescent="0.35">
      <c r="A1636" s="1" t="s">
        <v>736</v>
      </c>
      <c r="B1636" s="1" t="s">
        <v>4018</v>
      </c>
      <c r="C1636" t="str">
        <f t="shared" si="75"/>
        <v>Ms.</v>
      </c>
      <c r="D1636" t="str">
        <f t="shared" si="76"/>
        <v>Meaghan</v>
      </c>
      <c r="E1636" t="str">
        <f t="shared" si="77"/>
        <v>Murray</v>
      </c>
    </row>
    <row r="1637" spans="1:5" ht="15.5" x14ac:dyDescent="0.35">
      <c r="A1637" s="1" t="s">
        <v>735</v>
      </c>
      <c r="B1637" s="1" t="s">
        <v>4019</v>
      </c>
      <c r="C1637" t="str">
        <f t="shared" si="75"/>
        <v>Ms.</v>
      </c>
      <c r="D1637" t="str">
        <f t="shared" si="76"/>
        <v>Kristin</v>
      </c>
      <c r="E1637" t="str">
        <f t="shared" si="77"/>
        <v>Higden</v>
      </c>
    </row>
    <row r="1638" spans="1:5" ht="15.5" x14ac:dyDescent="0.35">
      <c r="A1638" s="1" t="s">
        <v>734</v>
      </c>
      <c r="B1638" s="1" t="s">
        <v>4020</v>
      </c>
      <c r="C1638" t="str">
        <f t="shared" si="75"/>
        <v>Ms.</v>
      </c>
      <c r="D1638" t="str">
        <f t="shared" si="76"/>
        <v>Andrea K.</v>
      </c>
      <c r="E1638" t="str">
        <f t="shared" si="77"/>
        <v>Rediger</v>
      </c>
    </row>
    <row r="1639" spans="1:5" ht="15.5" x14ac:dyDescent="0.35">
      <c r="A1639" s="1" t="s">
        <v>733</v>
      </c>
      <c r="B1639" s="1" t="s">
        <v>4021</v>
      </c>
      <c r="C1639" t="str">
        <f t="shared" si="75"/>
        <v>Ms.</v>
      </c>
      <c r="D1639" t="str">
        <f t="shared" si="76"/>
        <v>Kris</v>
      </c>
      <c r="E1639" t="str">
        <f t="shared" si="77"/>
        <v>Huff</v>
      </c>
    </row>
    <row r="1640" spans="1:5" ht="15.5" x14ac:dyDescent="0.35">
      <c r="A1640" s="1" t="s">
        <v>732</v>
      </c>
      <c r="B1640" s="1" t="s">
        <v>4022</v>
      </c>
      <c r="C1640" t="str">
        <f t="shared" si="75"/>
        <v>Mr.</v>
      </c>
      <c r="D1640" t="str">
        <f t="shared" si="76"/>
        <v>Alden W</v>
      </c>
      <c r="E1640" t="str">
        <f t="shared" si="77"/>
        <v>Hall</v>
      </c>
    </row>
    <row r="1641" spans="1:5" ht="15.5" x14ac:dyDescent="0.35">
      <c r="A1641" s="1" t="s">
        <v>731</v>
      </c>
      <c r="B1641" s="1" t="s">
        <v>4023</v>
      </c>
      <c r="C1641" t="str">
        <f t="shared" si="75"/>
        <v>Ms.</v>
      </c>
      <c r="D1641" t="str">
        <f t="shared" si="76"/>
        <v>Suzanne M</v>
      </c>
      <c r="E1641" t="str">
        <f t="shared" si="77"/>
        <v>Grise</v>
      </c>
    </row>
    <row r="1642" spans="1:5" ht="15.5" x14ac:dyDescent="0.35">
      <c r="A1642" s="1" t="s">
        <v>730</v>
      </c>
      <c r="B1642" s="1" t="s">
        <v>4024</v>
      </c>
      <c r="C1642" t="str">
        <f t="shared" si="75"/>
        <v>Ms.</v>
      </c>
      <c r="D1642" t="str">
        <f t="shared" si="76"/>
        <v>Heidi Z.</v>
      </c>
      <c r="E1642" t="str">
        <f t="shared" si="77"/>
        <v>Skildum</v>
      </c>
    </row>
    <row r="1643" spans="1:5" ht="15.5" x14ac:dyDescent="0.35">
      <c r="A1643" s="1" t="s">
        <v>729</v>
      </c>
      <c r="B1643" s="1" t="s">
        <v>4025</v>
      </c>
      <c r="C1643" t="str">
        <f t="shared" si="75"/>
        <v>Ms.</v>
      </c>
      <c r="D1643" t="str">
        <f t="shared" si="76"/>
        <v>Carolyn</v>
      </c>
      <c r="E1643" t="str">
        <f t="shared" si="77"/>
        <v>Yang</v>
      </c>
    </row>
    <row r="1644" spans="1:5" ht="15.5" x14ac:dyDescent="0.35">
      <c r="A1644" s="1" t="s">
        <v>728</v>
      </c>
      <c r="B1644" s="1" t="s">
        <v>4026</v>
      </c>
      <c r="C1644" t="str">
        <f t="shared" si="75"/>
        <v>Ms.</v>
      </c>
      <c r="D1644" t="str">
        <f t="shared" si="76"/>
        <v>Sabine</v>
      </c>
      <c r="E1644" t="str">
        <f t="shared" si="77"/>
        <v>Fischer-Daly</v>
      </c>
    </row>
    <row r="1645" spans="1:5" ht="15.5" x14ac:dyDescent="0.35">
      <c r="A1645" s="1" t="s">
        <v>727</v>
      </c>
      <c r="B1645" s="1" t="s">
        <v>4027</v>
      </c>
      <c r="C1645" t="str">
        <f t="shared" si="75"/>
        <v>Mr.</v>
      </c>
      <c r="D1645" t="str">
        <f t="shared" si="76"/>
        <v>Bobby</v>
      </c>
      <c r="E1645" t="str">
        <f t="shared" si="77"/>
        <v>Asher</v>
      </c>
    </row>
    <row r="1646" spans="1:5" ht="15.5" x14ac:dyDescent="0.35">
      <c r="A1646" s="1" t="s">
        <v>726</v>
      </c>
      <c r="B1646" s="1" t="s">
        <v>4028</v>
      </c>
      <c r="C1646" t="str">
        <f t="shared" si="75"/>
        <v>Mr.</v>
      </c>
      <c r="D1646" t="str">
        <f t="shared" si="76"/>
        <v>Fan</v>
      </c>
      <c r="E1646" t="str">
        <f t="shared" si="77"/>
        <v>Zhou</v>
      </c>
    </row>
    <row r="1647" spans="1:5" ht="15.5" x14ac:dyDescent="0.35">
      <c r="A1647" s="1" t="s">
        <v>725</v>
      </c>
      <c r="B1647" s="1" t="s">
        <v>4029</v>
      </c>
      <c r="C1647" t="str">
        <f t="shared" si="75"/>
        <v>Mrs.</v>
      </c>
      <c r="D1647" t="str">
        <f t="shared" si="76"/>
        <v>Rachel M</v>
      </c>
      <c r="E1647" t="str">
        <f t="shared" si="77"/>
        <v>Rudder</v>
      </c>
    </row>
    <row r="1648" spans="1:5" ht="15.5" x14ac:dyDescent="0.35">
      <c r="A1648" s="1" t="s">
        <v>724</v>
      </c>
      <c r="B1648" s="1" t="s">
        <v>4030</v>
      </c>
      <c r="C1648" t="str">
        <f t="shared" si="75"/>
        <v>Mr.</v>
      </c>
      <c r="D1648" t="str">
        <f t="shared" si="76"/>
        <v>Greg</v>
      </c>
      <c r="E1648" t="str">
        <f t="shared" si="77"/>
        <v>Cartmell</v>
      </c>
    </row>
    <row r="1649" spans="1:5" ht="15.5" x14ac:dyDescent="0.35">
      <c r="A1649" s="1" t="s">
        <v>723</v>
      </c>
      <c r="B1649" s="1" t="s">
        <v>4031</v>
      </c>
      <c r="C1649" t="str">
        <f t="shared" si="75"/>
        <v>Mr.</v>
      </c>
      <c r="D1649" t="str">
        <f t="shared" si="76"/>
        <v>Dan</v>
      </c>
      <c r="E1649" t="str">
        <f t="shared" si="77"/>
        <v>Troland</v>
      </c>
    </row>
    <row r="1650" spans="1:5" ht="15.5" x14ac:dyDescent="0.35">
      <c r="A1650" s="1" t="s">
        <v>722</v>
      </c>
      <c r="B1650" s="1" t="s">
        <v>4032</v>
      </c>
      <c r="C1650" t="str">
        <f t="shared" si="75"/>
        <v>Ms.</v>
      </c>
      <c r="D1650" t="str">
        <f t="shared" si="76"/>
        <v>Jennifer A</v>
      </c>
      <c r="E1650" t="str">
        <f t="shared" si="77"/>
        <v>Hall</v>
      </c>
    </row>
    <row r="1651" spans="1:5" ht="15.5" x14ac:dyDescent="0.35">
      <c r="A1651" s="1" t="s">
        <v>721</v>
      </c>
      <c r="B1651" s="1" t="s">
        <v>4033</v>
      </c>
      <c r="C1651" t="str">
        <f t="shared" si="75"/>
        <v>Mrs.</v>
      </c>
      <c r="D1651" t="str">
        <f t="shared" si="76"/>
        <v>Jessica</v>
      </c>
      <c r="E1651" t="str">
        <f t="shared" si="77"/>
        <v>Berg</v>
      </c>
    </row>
    <row r="1652" spans="1:5" ht="15.5" x14ac:dyDescent="0.35">
      <c r="A1652" s="1" t="s">
        <v>720</v>
      </c>
      <c r="B1652" s="1" t="s">
        <v>4034</v>
      </c>
      <c r="C1652" t="str">
        <f t="shared" si="75"/>
        <v>Mr.</v>
      </c>
      <c r="D1652" t="str">
        <f t="shared" si="76"/>
        <v>Chaiwat</v>
      </c>
      <c r="E1652" t="str">
        <f t="shared" si="77"/>
        <v>Engtrakul</v>
      </c>
    </row>
    <row r="1653" spans="1:5" ht="15.5" x14ac:dyDescent="0.35">
      <c r="A1653" s="1" t="s">
        <v>719</v>
      </c>
      <c r="B1653" s="1" t="s">
        <v>4035</v>
      </c>
      <c r="C1653" t="str">
        <f t="shared" si="75"/>
        <v>Ms.</v>
      </c>
      <c r="D1653" t="str">
        <f t="shared" si="76"/>
        <v>Kerri</v>
      </c>
      <c r="E1653" t="str">
        <f t="shared" si="77"/>
        <v>Leonhardt</v>
      </c>
    </row>
    <row r="1654" spans="1:5" ht="15.5" x14ac:dyDescent="0.35">
      <c r="A1654" s="1" t="s">
        <v>718</v>
      </c>
      <c r="B1654" s="1" t="s">
        <v>4036</v>
      </c>
      <c r="C1654" t="str">
        <f t="shared" si="75"/>
        <v>Ms.</v>
      </c>
      <c r="D1654" t="str">
        <f t="shared" si="76"/>
        <v>Lisa</v>
      </c>
      <c r="E1654" t="str">
        <f t="shared" si="77"/>
        <v>Goetz</v>
      </c>
    </row>
    <row r="1655" spans="1:5" ht="15.5" x14ac:dyDescent="0.35">
      <c r="A1655" s="1" t="s">
        <v>717</v>
      </c>
      <c r="B1655" s="1" t="s">
        <v>4037</v>
      </c>
      <c r="C1655" t="str">
        <f t="shared" si="75"/>
        <v>Mr.</v>
      </c>
      <c r="D1655" t="str">
        <f t="shared" si="76"/>
        <v>Nicholas G</v>
      </c>
      <c r="E1655" t="str">
        <f t="shared" si="77"/>
        <v>Cacharelis</v>
      </c>
    </row>
    <row r="1656" spans="1:5" ht="15.5" x14ac:dyDescent="0.35">
      <c r="A1656" s="1" t="s">
        <v>716</v>
      </c>
      <c r="B1656" s="1" t="s">
        <v>4038</v>
      </c>
      <c r="C1656" t="str">
        <f t="shared" si="75"/>
        <v>Mr.</v>
      </c>
      <c r="D1656" t="str">
        <f t="shared" si="76"/>
        <v>Vasilis S</v>
      </c>
      <c r="E1656" t="str">
        <f t="shared" si="77"/>
        <v>Kariolis</v>
      </c>
    </row>
    <row r="1657" spans="1:5" ht="15.5" x14ac:dyDescent="0.35">
      <c r="A1657" s="1" t="s">
        <v>715</v>
      </c>
      <c r="B1657" s="1" t="s">
        <v>4039</v>
      </c>
      <c r="C1657" t="str">
        <f t="shared" si="75"/>
        <v>Mr.</v>
      </c>
      <c r="D1657" t="str">
        <f t="shared" si="76"/>
        <v>Michael P</v>
      </c>
      <c r="E1657" t="str">
        <f t="shared" si="77"/>
        <v>Zelwin</v>
      </c>
    </row>
    <row r="1658" spans="1:5" ht="15.5" x14ac:dyDescent="0.35">
      <c r="A1658" s="1" t="s">
        <v>714</v>
      </c>
      <c r="B1658" s="1" t="s">
        <v>4040</v>
      </c>
      <c r="C1658" t="str">
        <f t="shared" si="75"/>
        <v>Ms.</v>
      </c>
      <c r="D1658" t="str">
        <f t="shared" si="76"/>
        <v>Colleen C.</v>
      </c>
      <c r="E1658" t="str">
        <f t="shared" si="77"/>
        <v>Barry</v>
      </c>
    </row>
    <row r="1659" spans="1:5" ht="15.5" x14ac:dyDescent="0.35">
      <c r="A1659" s="1" t="s">
        <v>713</v>
      </c>
      <c r="B1659" s="1" t="s">
        <v>4041</v>
      </c>
      <c r="C1659" t="str">
        <f t="shared" si="75"/>
        <v>Mrs.</v>
      </c>
      <c r="D1659" t="str">
        <f t="shared" si="76"/>
        <v>Annika</v>
      </c>
      <c r="E1659" t="str">
        <f t="shared" si="77"/>
        <v>Bannon</v>
      </c>
    </row>
    <row r="1660" spans="1:5" ht="15.5" x14ac:dyDescent="0.35">
      <c r="A1660" s="1" t="s">
        <v>712</v>
      </c>
      <c r="B1660" s="1" t="s">
        <v>4042</v>
      </c>
      <c r="C1660" t="str">
        <f t="shared" si="75"/>
        <v>Ms.</v>
      </c>
      <c r="D1660" t="str">
        <f t="shared" si="76"/>
        <v>Kelly</v>
      </c>
      <c r="E1660" t="str">
        <f t="shared" si="77"/>
        <v>Chang</v>
      </c>
    </row>
    <row r="1661" spans="1:5" ht="15.5" x14ac:dyDescent="0.35">
      <c r="A1661" s="1" t="s">
        <v>711</v>
      </c>
      <c r="B1661" s="1" t="s">
        <v>4043</v>
      </c>
      <c r="C1661" t="str">
        <f t="shared" si="75"/>
        <v>Mr.</v>
      </c>
      <c r="D1661" t="str">
        <f t="shared" si="76"/>
        <v>Nicholas C.</v>
      </c>
      <c r="E1661" t="str">
        <f t="shared" si="77"/>
        <v>Vetter</v>
      </c>
    </row>
    <row r="1662" spans="1:5" ht="15.5" x14ac:dyDescent="0.35">
      <c r="A1662" s="1" t="s">
        <v>710</v>
      </c>
      <c r="B1662" s="1" t="s">
        <v>4044</v>
      </c>
      <c r="C1662" t="str">
        <f t="shared" si="75"/>
        <v>Mrs.</v>
      </c>
      <c r="D1662" t="str">
        <f t="shared" si="76"/>
        <v>Kelly K</v>
      </c>
      <c r="E1662" t="str">
        <f t="shared" si="77"/>
        <v>Jablonski</v>
      </c>
    </row>
    <row r="1663" spans="1:5" ht="15.5" x14ac:dyDescent="0.35">
      <c r="A1663" s="1" t="s">
        <v>709</v>
      </c>
      <c r="B1663" s="1" t="s">
        <v>4045</v>
      </c>
      <c r="C1663" t="str">
        <f t="shared" si="75"/>
        <v>Mr.</v>
      </c>
      <c r="D1663" t="str">
        <f t="shared" si="76"/>
        <v>Andrew</v>
      </c>
      <c r="E1663" t="str">
        <f t="shared" si="77"/>
        <v>Jakubowitch</v>
      </c>
    </row>
    <row r="1664" spans="1:5" ht="15.5" x14ac:dyDescent="0.35">
      <c r="A1664" s="1" t="s">
        <v>708</v>
      </c>
      <c r="B1664" s="1" t="s">
        <v>4046</v>
      </c>
      <c r="C1664" t="str">
        <f t="shared" si="75"/>
        <v>Ms.</v>
      </c>
      <c r="D1664" t="str">
        <f t="shared" si="76"/>
        <v>Hannah</v>
      </c>
      <c r="E1664" t="str">
        <f t="shared" si="77"/>
        <v>Altshuler</v>
      </c>
    </row>
    <row r="1665" spans="1:5" ht="15.5" x14ac:dyDescent="0.35">
      <c r="A1665" s="1" t="s">
        <v>707</v>
      </c>
      <c r="B1665" s="1" t="s">
        <v>4047</v>
      </c>
      <c r="C1665" t="str">
        <f t="shared" si="75"/>
        <v>Mr.</v>
      </c>
      <c r="D1665" t="str">
        <f t="shared" si="76"/>
        <v>Patricio Sr.</v>
      </c>
      <c r="E1665" t="str">
        <f t="shared" si="77"/>
        <v>Ugarte</v>
      </c>
    </row>
    <row r="1666" spans="1:5" ht="15.5" x14ac:dyDescent="0.35">
      <c r="A1666" s="1" t="s">
        <v>706</v>
      </c>
      <c r="B1666" s="1" t="s">
        <v>4048</v>
      </c>
      <c r="C1666" t="str">
        <f t="shared" si="75"/>
        <v>Mr.</v>
      </c>
      <c r="D1666" t="str">
        <f t="shared" si="76"/>
        <v>Robert B</v>
      </c>
      <c r="E1666" t="str">
        <f t="shared" si="77"/>
        <v>Tusso</v>
      </c>
    </row>
    <row r="1667" spans="1:5" ht="15.5" x14ac:dyDescent="0.35">
      <c r="A1667" s="1" t="s">
        <v>705</v>
      </c>
      <c r="B1667" s="1" t="s">
        <v>4049</v>
      </c>
      <c r="C1667" t="str">
        <f t="shared" ref="C1667:C1730" si="78">TRIM(MID(B1667,FIND(",",B1667)+1,FIND(".",B1667)-FIND(",",B1667)))</f>
        <v>Mr.</v>
      </c>
      <c r="D1667" t="str">
        <f t="shared" ref="D1667:D1730" si="79">TRIM(MID(B1667,FIND(".",B1667)+1,LEN(B1667)))</f>
        <v>Benjamin M</v>
      </c>
      <c r="E1667" t="str">
        <f t="shared" ref="E1667:E1730" si="80">TRIM(LEFT(B1667,FIND(",",B1667)-1))</f>
        <v>Johnson</v>
      </c>
    </row>
    <row r="1668" spans="1:5" ht="15.5" x14ac:dyDescent="0.35">
      <c r="A1668" s="1" t="s">
        <v>704</v>
      </c>
      <c r="B1668" s="1" t="s">
        <v>4050</v>
      </c>
      <c r="C1668" t="str">
        <f t="shared" si="78"/>
        <v>Mr.</v>
      </c>
      <c r="D1668" t="str">
        <f t="shared" si="79"/>
        <v>Robert</v>
      </c>
      <c r="E1668" t="str">
        <f t="shared" si="80"/>
        <v>Landry</v>
      </c>
    </row>
    <row r="1669" spans="1:5" ht="15.5" x14ac:dyDescent="0.35">
      <c r="A1669" s="1" t="s">
        <v>703</v>
      </c>
      <c r="B1669" s="1" t="s">
        <v>4051</v>
      </c>
      <c r="C1669" t="str">
        <f t="shared" si="78"/>
        <v>Mr.</v>
      </c>
      <c r="D1669" t="str">
        <f t="shared" si="79"/>
        <v>Eric R.</v>
      </c>
      <c r="E1669" t="str">
        <f t="shared" si="80"/>
        <v>McDonald</v>
      </c>
    </row>
    <row r="1670" spans="1:5" ht="15.5" x14ac:dyDescent="0.35">
      <c r="A1670" s="1" t="s">
        <v>702</v>
      </c>
      <c r="B1670" s="1" t="s">
        <v>4052</v>
      </c>
      <c r="C1670" t="str">
        <f t="shared" si="78"/>
        <v>Mr.</v>
      </c>
      <c r="D1670" t="str">
        <f t="shared" si="79"/>
        <v>Matthew</v>
      </c>
      <c r="E1670" t="str">
        <f t="shared" si="80"/>
        <v>Dunlap</v>
      </c>
    </row>
    <row r="1671" spans="1:5" ht="15.5" x14ac:dyDescent="0.35">
      <c r="A1671" s="1" t="s">
        <v>701</v>
      </c>
      <c r="B1671" s="1" t="s">
        <v>4053</v>
      </c>
      <c r="C1671" t="str">
        <f t="shared" si="78"/>
        <v>Mr.</v>
      </c>
      <c r="D1671" t="str">
        <f t="shared" si="79"/>
        <v>Bob R</v>
      </c>
      <c r="E1671" t="str">
        <f t="shared" si="80"/>
        <v>Larue</v>
      </c>
    </row>
    <row r="1672" spans="1:5" ht="15.5" x14ac:dyDescent="0.35">
      <c r="A1672" s="1" t="s">
        <v>700</v>
      </c>
      <c r="B1672" s="1" t="s">
        <v>4054</v>
      </c>
      <c r="C1672" t="str">
        <f t="shared" si="78"/>
        <v>Ms.</v>
      </c>
      <c r="D1672" t="str">
        <f t="shared" si="79"/>
        <v>Stephanie J.</v>
      </c>
      <c r="E1672" t="str">
        <f t="shared" si="80"/>
        <v>Hodge</v>
      </c>
    </row>
    <row r="1673" spans="1:5" ht="15.5" x14ac:dyDescent="0.35">
      <c r="A1673" s="1" t="s">
        <v>699</v>
      </c>
      <c r="B1673" s="1" t="s">
        <v>4055</v>
      </c>
      <c r="C1673" t="str">
        <f t="shared" si="78"/>
        <v>Mr.</v>
      </c>
      <c r="D1673" t="str">
        <f t="shared" si="79"/>
        <v>Jake</v>
      </c>
      <c r="E1673" t="str">
        <f t="shared" si="80"/>
        <v>Marcus</v>
      </c>
    </row>
    <row r="1674" spans="1:5" ht="15.5" x14ac:dyDescent="0.35">
      <c r="A1674" s="1" t="s">
        <v>698</v>
      </c>
      <c r="B1674" s="1" t="s">
        <v>4056</v>
      </c>
      <c r="C1674" t="str">
        <f t="shared" si="78"/>
        <v>Ms.</v>
      </c>
      <c r="D1674" t="str">
        <f t="shared" si="79"/>
        <v>Alison L.</v>
      </c>
      <c r="E1674" t="str">
        <f t="shared" si="80"/>
        <v>Daubert</v>
      </c>
    </row>
    <row r="1675" spans="1:5" ht="15.5" x14ac:dyDescent="0.35">
      <c r="A1675" s="1" t="s">
        <v>697</v>
      </c>
      <c r="B1675" s="1" t="s">
        <v>4057</v>
      </c>
      <c r="C1675" t="str">
        <f t="shared" si="78"/>
        <v>Ms.</v>
      </c>
      <c r="D1675" t="str">
        <f t="shared" si="79"/>
        <v>Lindsay M</v>
      </c>
      <c r="E1675" t="str">
        <f t="shared" si="80"/>
        <v>Close</v>
      </c>
    </row>
    <row r="1676" spans="1:5" ht="15.5" x14ac:dyDescent="0.35">
      <c r="A1676" s="1" t="s">
        <v>696</v>
      </c>
      <c r="B1676" s="1" t="s">
        <v>4058</v>
      </c>
      <c r="C1676" t="str">
        <f t="shared" si="78"/>
        <v>Mr.</v>
      </c>
      <c r="D1676" t="str">
        <f t="shared" si="79"/>
        <v>Guillaume</v>
      </c>
      <c r="E1676" t="str">
        <f t="shared" si="80"/>
        <v>Roels</v>
      </c>
    </row>
    <row r="1677" spans="1:5" ht="15.5" x14ac:dyDescent="0.35">
      <c r="A1677" s="1" t="s">
        <v>695</v>
      </c>
      <c r="B1677" s="1" t="s">
        <v>4059</v>
      </c>
      <c r="C1677" t="str">
        <f t="shared" si="78"/>
        <v>Ms.</v>
      </c>
      <c r="D1677" t="str">
        <f t="shared" si="79"/>
        <v>Kaylee</v>
      </c>
      <c r="E1677" t="str">
        <f t="shared" si="80"/>
        <v>Venosky</v>
      </c>
    </row>
    <row r="1678" spans="1:5" ht="15.5" x14ac:dyDescent="0.35">
      <c r="A1678" s="1" t="s">
        <v>694</v>
      </c>
      <c r="B1678" s="1" t="s">
        <v>4060</v>
      </c>
      <c r="C1678" t="str">
        <f t="shared" si="78"/>
        <v>Ms.</v>
      </c>
      <c r="D1678" t="str">
        <f t="shared" si="79"/>
        <v>Theresa</v>
      </c>
      <c r="E1678" t="str">
        <f t="shared" si="80"/>
        <v>Gosnell</v>
      </c>
    </row>
    <row r="1679" spans="1:5" ht="15.5" x14ac:dyDescent="0.35">
      <c r="A1679" s="1" t="s">
        <v>693</v>
      </c>
      <c r="B1679" s="1" t="s">
        <v>4061</v>
      </c>
      <c r="C1679" t="str">
        <f t="shared" si="78"/>
        <v>Mr.</v>
      </c>
      <c r="D1679" t="str">
        <f t="shared" si="79"/>
        <v>Travis G.</v>
      </c>
      <c r="E1679" t="str">
        <f t="shared" si="80"/>
        <v>Chewning-Kulick</v>
      </c>
    </row>
    <row r="1680" spans="1:5" ht="15.5" x14ac:dyDescent="0.35">
      <c r="A1680" s="1" t="s">
        <v>692</v>
      </c>
      <c r="B1680" s="1" t="s">
        <v>4062</v>
      </c>
      <c r="C1680" t="str">
        <f t="shared" si="78"/>
        <v>Ms.</v>
      </c>
      <c r="D1680" t="str">
        <f t="shared" si="79"/>
        <v>Emma L.</v>
      </c>
      <c r="E1680" t="str">
        <f t="shared" si="80"/>
        <v>McCarron</v>
      </c>
    </row>
    <row r="1681" spans="1:5" ht="15.5" x14ac:dyDescent="0.35">
      <c r="A1681" s="1" t="s">
        <v>691</v>
      </c>
      <c r="B1681" s="1" t="s">
        <v>4063</v>
      </c>
      <c r="C1681" t="str">
        <f t="shared" si="78"/>
        <v>Ms.</v>
      </c>
      <c r="D1681" t="str">
        <f t="shared" si="79"/>
        <v>Linda</v>
      </c>
      <c r="E1681" t="str">
        <f t="shared" si="80"/>
        <v>Manion</v>
      </c>
    </row>
    <row r="1682" spans="1:5" ht="15.5" x14ac:dyDescent="0.35">
      <c r="A1682" s="1" t="s">
        <v>690</v>
      </c>
      <c r="B1682" s="1" t="s">
        <v>4064</v>
      </c>
      <c r="C1682" t="str">
        <f t="shared" si="78"/>
        <v>Mr.</v>
      </c>
      <c r="D1682" t="str">
        <f t="shared" si="79"/>
        <v>Owen R</v>
      </c>
      <c r="E1682" t="str">
        <f t="shared" si="80"/>
        <v>Strong</v>
      </c>
    </row>
    <row r="1683" spans="1:5" ht="15.5" x14ac:dyDescent="0.35">
      <c r="A1683" s="1" t="s">
        <v>689</v>
      </c>
      <c r="B1683" s="1" t="s">
        <v>4065</v>
      </c>
      <c r="C1683" t="str">
        <f t="shared" si="78"/>
        <v>Mr.</v>
      </c>
      <c r="D1683" t="str">
        <f t="shared" si="79"/>
        <v>Jacob</v>
      </c>
      <c r="E1683" t="str">
        <f t="shared" si="80"/>
        <v>Leblanc</v>
      </c>
    </row>
    <row r="1684" spans="1:5" ht="15.5" x14ac:dyDescent="0.35">
      <c r="A1684" s="1" t="s">
        <v>688</v>
      </c>
      <c r="B1684" s="1" t="s">
        <v>4066</v>
      </c>
      <c r="C1684" t="str">
        <f t="shared" si="78"/>
        <v>Ms.</v>
      </c>
      <c r="D1684" t="str">
        <f t="shared" si="79"/>
        <v>Jacqueline</v>
      </c>
      <c r="E1684" t="str">
        <f t="shared" si="80"/>
        <v>Palmer</v>
      </c>
    </row>
    <row r="1685" spans="1:5" ht="15.5" x14ac:dyDescent="0.35">
      <c r="A1685" s="1" t="s">
        <v>687</v>
      </c>
      <c r="B1685" s="1" t="s">
        <v>4067</v>
      </c>
      <c r="C1685" t="str">
        <f t="shared" si="78"/>
        <v>Mr.</v>
      </c>
      <c r="D1685" t="str">
        <f t="shared" si="79"/>
        <v>Yefeng</v>
      </c>
      <c r="E1685" t="str">
        <f t="shared" si="80"/>
        <v>Shen</v>
      </c>
    </row>
    <row r="1686" spans="1:5" ht="15.5" x14ac:dyDescent="0.35">
      <c r="A1686" s="1" t="s">
        <v>686</v>
      </c>
      <c r="B1686" s="1" t="s">
        <v>4068</v>
      </c>
      <c r="C1686" t="str">
        <f t="shared" si="78"/>
        <v>Mr.</v>
      </c>
      <c r="D1686" t="str">
        <f t="shared" si="79"/>
        <v>Thomas J</v>
      </c>
      <c r="E1686" t="str">
        <f t="shared" si="80"/>
        <v>Goldsby</v>
      </c>
    </row>
    <row r="1687" spans="1:5" ht="15.5" x14ac:dyDescent="0.35">
      <c r="A1687" s="1" t="s">
        <v>685</v>
      </c>
      <c r="B1687" s="1" t="s">
        <v>4069</v>
      </c>
      <c r="C1687" t="str">
        <f t="shared" si="78"/>
        <v>Mr.</v>
      </c>
      <c r="D1687" t="str">
        <f t="shared" si="79"/>
        <v>Ken</v>
      </c>
      <c r="E1687" t="str">
        <f t="shared" si="80"/>
        <v>Whitney</v>
      </c>
    </row>
    <row r="1688" spans="1:5" ht="15.5" x14ac:dyDescent="0.35">
      <c r="A1688" s="1" t="s">
        <v>684</v>
      </c>
      <c r="B1688" s="1" t="s">
        <v>4070</v>
      </c>
      <c r="C1688" t="str">
        <f t="shared" si="78"/>
        <v>Ms.</v>
      </c>
      <c r="D1688" t="str">
        <f t="shared" si="79"/>
        <v>Annie E</v>
      </c>
      <c r="E1688" t="str">
        <f t="shared" si="80"/>
        <v>Mahoney</v>
      </c>
    </row>
    <row r="1689" spans="1:5" ht="15.5" x14ac:dyDescent="0.35">
      <c r="A1689" s="1" t="s">
        <v>683</v>
      </c>
      <c r="B1689" s="1" t="s">
        <v>4071</v>
      </c>
      <c r="C1689" t="str">
        <f t="shared" si="78"/>
        <v>Mrs.</v>
      </c>
      <c r="D1689" t="str">
        <f t="shared" si="79"/>
        <v>Noel K.</v>
      </c>
      <c r="E1689" t="str">
        <f t="shared" si="80"/>
        <v>McCracken</v>
      </c>
    </row>
    <row r="1690" spans="1:5" ht="15.5" x14ac:dyDescent="0.35">
      <c r="A1690" s="1" t="s">
        <v>682</v>
      </c>
      <c r="B1690" s="1" t="s">
        <v>4072</v>
      </c>
      <c r="C1690" t="str">
        <f t="shared" si="78"/>
        <v>Mr.</v>
      </c>
      <c r="D1690" t="str">
        <f t="shared" si="79"/>
        <v>Mark S</v>
      </c>
      <c r="E1690" t="str">
        <f t="shared" si="80"/>
        <v>Spewak</v>
      </c>
    </row>
    <row r="1691" spans="1:5" ht="15.5" x14ac:dyDescent="0.35">
      <c r="A1691" s="1" t="s">
        <v>681</v>
      </c>
      <c r="B1691" s="1" t="s">
        <v>4073</v>
      </c>
      <c r="C1691" t="str">
        <f t="shared" si="78"/>
        <v>Ms.</v>
      </c>
      <c r="D1691" t="str">
        <f t="shared" si="79"/>
        <v>Federica</v>
      </c>
      <c r="E1691" t="str">
        <f t="shared" si="80"/>
        <v>Cottini</v>
      </c>
    </row>
    <row r="1692" spans="1:5" ht="15.5" x14ac:dyDescent="0.35">
      <c r="A1692" s="1" t="s">
        <v>680</v>
      </c>
      <c r="B1692" s="1" t="s">
        <v>4074</v>
      </c>
      <c r="C1692" t="str">
        <f t="shared" si="78"/>
        <v>Ms.</v>
      </c>
      <c r="D1692" t="str">
        <f t="shared" si="79"/>
        <v>Pamela L</v>
      </c>
      <c r="E1692" t="str">
        <f t="shared" si="80"/>
        <v>Findlay</v>
      </c>
    </row>
    <row r="1693" spans="1:5" ht="15.5" x14ac:dyDescent="0.35">
      <c r="A1693" s="1" t="s">
        <v>679</v>
      </c>
      <c r="B1693" s="1" t="s">
        <v>4075</v>
      </c>
      <c r="C1693" t="str">
        <f t="shared" si="78"/>
        <v>Mr.</v>
      </c>
      <c r="D1693" t="str">
        <f t="shared" si="79"/>
        <v>Andrew W.</v>
      </c>
      <c r="E1693" t="str">
        <f t="shared" si="80"/>
        <v>Strasburg</v>
      </c>
    </row>
    <row r="1694" spans="1:5" ht="15.5" x14ac:dyDescent="0.35">
      <c r="A1694" s="1" t="s">
        <v>678</v>
      </c>
      <c r="B1694" s="1" t="s">
        <v>4076</v>
      </c>
      <c r="C1694" t="str">
        <f t="shared" si="78"/>
        <v>Mr.</v>
      </c>
      <c r="D1694" t="str">
        <f t="shared" si="79"/>
        <v>Randall</v>
      </c>
      <c r="E1694" t="str">
        <f t="shared" si="80"/>
        <v>Adams</v>
      </c>
    </row>
    <row r="1695" spans="1:5" ht="15.5" x14ac:dyDescent="0.35">
      <c r="A1695" s="1" t="s">
        <v>677</v>
      </c>
      <c r="B1695" s="1" t="s">
        <v>4077</v>
      </c>
      <c r="C1695" t="str">
        <f t="shared" si="78"/>
        <v>Ms.</v>
      </c>
      <c r="D1695" t="str">
        <f t="shared" si="79"/>
        <v>Tracy L</v>
      </c>
      <c r="E1695" t="str">
        <f t="shared" si="80"/>
        <v>Deeter</v>
      </c>
    </row>
    <row r="1696" spans="1:5" ht="15.5" x14ac:dyDescent="0.35">
      <c r="A1696" s="1" t="s">
        <v>676</v>
      </c>
      <c r="B1696" s="1" t="s">
        <v>4078</v>
      </c>
      <c r="C1696" t="str">
        <f t="shared" si="78"/>
        <v>Ms.</v>
      </c>
      <c r="D1696" t="str">
        <f t="shared" si="79"/>
        <v>Azelie</v>
      </c>
      <c r="E1696" t="str">
        <f t="shared" si="80"/>
        <v>Arpin</v>
      </c>
    </row>
    <row r="1697" spans="1:5" ht="15.5" x14ac:dyDescent="0.35">
      <c r="A1697" s="1" t="s">
        <v>675</v>
      </c>
      <c r="B1697" s="1" t="s">
        <v>4079</v>
      </c>
      <c r="C1697" t="str">
        <f t="shared" si="78"/>
        <v>Ms.</v>
      </c>
      <c r="D1697" t="str">
        <f t="shared" si="79"/>
        <v>Monica M.</v>
      </c>
      <c r="E1697" t="str">
        <f t="shared" si="80"/>
        <v>Schoeneck</v>
      </c>
    </row>
    <row r="1698" spans="1:5" ht="15.5" x14ac:dyDescent="0.35">
      <c r="A1698" s="1" t="s">
        <v>674</v>
      </c>
      <c r="B1698" s="1" t="s">
        <v>4080</v>
      </c>
      <c r="C1698" t="str">
        <f t="shared" si="78"/>
        <v>Ms.</v>
      </c>
      <c r="D1698" t="str">
        <f t="shared" si="79"/>
        <v>Katarina K.</v>
      </c>
      <c r="E1698" t="str">
        <f t="shared" si="80"/>
        <v>Mueller</v>
      </c>
    </row>
    <row r="1699" spans="1:5" ht="15.5" x14ac:dyDescent="0.35">
      <c r="A1699" s="1" t="s">
        <v>673</v>
      </c>
      <c r="B1699" s="1" t="s">
        <v>4081</v>
      </c>
      <c r="C1699" t="str">
        <f t="shared" si="78"/>
        <v>Ms.</v>
      </c>
      <c r="D1699" t="str">
        <f t="shared" si="79"/>
        <v>Jamie L.</v>
      </c>
      <c r="E1699" t="str">
        <f t="shared" si="80"/>
        <v>Willits</v>
      </c>
    </row>
    <row r="1700" spans="1:5" ht="15.5" x14ac:dyDescent="0.35">
      <c r="A1700" s="1" t="s">
        <v>672</v>
      </c>
      <c r="B1700" s="1" t="s">
        <v>4082</v>
      </c>
      <c r="C1700" t="str">
        <f t="shared" si="78"/>
        <v>Mr.</v>
      </c>
      <c r="D1700" t="str">
        <f t="shared" si="79"/>
        <v>Brian</v>
      </c>
      <c r="E1700" t="str">
        <f t="shared" si="80"/>
        <v>Syring</v>
      </c>
    </row>
    <row r="1701" spans="1:5" ht="15.5" x14ac:dyDescent="0.35">
      <c r="A1701" s="1" t="s">
        <v>671</v>
      </c>
      <c r="B1701" s="1" t="s">
        <v>4083</v>
      </c>
      <c r="C1701" t="str">
        <f t="shared" si="78"/>
        <v>Ms.</v>
      </c>
      <c r="D1701" t="str">
        <f t="shared" si="79"/>
        <v>Stacey L.</v>
      </c>
      <c r="E1701" t="str">
        <f t="shared" si="80"/>
        <v>Strike</v>
      </c>
    </row>
    <row r="1702" spans="1:5" ht="15.5" x14ac:dyDescent="0.35">
      <c r="A1702" s="1" t="s">
        <v>670</v>
      </c>
      <c r="B1702" s="1" t="s">
        <v>4084</v>
      </c>
      <c r="C1702" t="str">
        <f t="shared" si="78"/>
        <v>Mr.</v>
      </c>
      <c r="D1702" t="str">
        <f t="shared" si="79"/>
        <v>Stephen</v>
      </c>
      <c r="E1702" t="str">
        <f t="shared" si="80"/>
        <v>Hennigar</v>
      </c>
    </row>
    <row r="1703" spans="1:5" ht="15.5" x14ac:dyDescent="0.35">
      <c r="A1703" s="1" t="s">
        <v>669</v>
      </c>
      <c r="B1703" s="1" t="s">
        <v>4085</v>
      </c>
      <c r="C1703" t="str">
        <f t="shared" si="78"/>
        <v>Mr.</v>
      </c>
      <c r="D1703" t="str">
        <f t="shared" si="79"/>
        <v>Joshua</v>
      </c>
      <c r="E1703" t="str">
        <f t="shared" si="80"/>
        <v>May</v>
      </c>
    </row>
    <row r="1704" spans="1:5" ht="15.5" x14ac:dyDescent="0.35">
      <c r="A1704" s="1" t="s">
        <v>668</v>
      </c>
      <c r="B1704" s="1" t="s">
        <v>4086</v>
      </c>
      <c r="C1704" t="str">
        <f t="shared" si="78"/>
        <v>Mr.</v>
      </c>
      <c r="D1704" t="str">
        <f t="shared" si="79"/>
        <v>Josh</v>
      </c>
      <c r="E1704" t="str">
        <f t="shared" si="80"/>
        <v>Metcalf</v>
      </c>
    </row>
    <row r="1705" spans="1:5" ht="15.5" x14ac:dyDescent="0.35">
      <c r="A1705" s="1" t="s">
        <v>667</v>
      </c>
      <c r="B1705" s="1" t="s">
        <v>4087</v>
      </c>
      <c r="C1705" t="str">
        <f t="shared" si="78"/>
        <v>Ms.</v>
      </c>
      <c r="D1705" t="str">
        <f t="shared" si="79"/>
        <v>Heather</v>
      </c>
      <c r="E1705" t="str">
        <f t="shared" si="80"/>
        <v>Tiska</v>
      </c>
    </row>
    <row r="1706" spans="1:5" ht="15.5" x14ac:dyDescent="0.35">
      <c r="A1706" s="1" t="s">
        <v>666</v>
      </c>
      <c r="B1706" s="1" t="s">
        <v>4088</v>
      </c>
      <c r="C1706" t="str">
        <f t="shared" si="78"/>
        <v>Mr.</v>
      </c>
      <c r="D1706" t="str">
        <f t="shared" si="79"/>
        <v>James C.</v>
      </c>
      <c r="E1706" t="str">
        <f t="shared" si="80"/>
        <v>McDonough</v>
      </c>
    </row>
    <row r="1707" spans="1:5" ht="15.5" x14ac:dyDescent="0.35">
      <c r="A1707" s="1" t="s">
        <v>665</v>
      </c>
      <c r="B1707" s="1" t="s">
        <v>4089</v>
      </c>
      <c r="C1707" t="str">
        <f t="shared" si="78"/>
        <v>Ms.</v>
      </c>
      <c r="D1707" t="str">
        <f t="shared" si="79"/>
        <v>Kim</v>
      </c>
      <c r="E1707" t="str">
        <f t="shared" si="80"/>
        <v>Fairley</v>
      </c>
    </row>
    <row r="1708" spans="1:5" ht="15.5" x14ac:dyDescent="0.35">
      <c r="A1708" s="1" t="s">
        <v>664</v>
      </c>
      <c r="B1708" s="1" t="s">
        <v>4090</v>
      </c>
      <c r="C1708" t="str">
        <f t="shared" si="78"/>
        <v>Ms.</v>
      </c>
      <c r="D1708" t="str">
        <f t="shared" si="79"/>
        <v>Marie E.</v>
      </c>
      <c r="E1708" t="str">
        <f t="shared" si="80"/>
        <v>Barnett</v>
      </c>
    </row>
    <row r="1709" spans="1:5" ht="15.5" x14ac:dyDescent="0.35">
      <c r="A1709" s="1" t="s">
        <v>663</v>
      </c>
      <c r="B1709" s="1" t="s">
        <v>4091</v>
      </c>
      <c r="C1709" t="str">
        <f t="shared" si="78"/>
        <v>Mr.</v>
      </c>
      <c r="D1709" t="str">
        <f t="shared" si="79"/>
        <v>Dariusz</v>
      </c>
      <c r="E1709" t="str">
        <f t="shared" si="80"/>
        <v>Piasta</v>
      </c>
    </row>
    <row r="1710" spans="1:5" ht="15.5" x14ac:dyDescent="0.35">
      <c r="A1710" s="1" t="s">
        <v>662</v>
      </c>
      <c r="B1710" s="1" t="s">
        <v>4092</v>
      </c>
      <c r="C1710" t="str">
        <f t="shared" si="78"/>
        <v>Ms.</v>
      </c>
      <c r="D1710" t="str">
        <f t="shared" si="79"/>
        <v>Jessica E.</v>
      </c>
      <c r="E1710" t="str">
        <f t="shared" si="80"/>
        <v>Mueller</v>
      </c>
    </row>
    <row r="1711" spans="1:5" ht="15.5" x14ac:dyDescent="0.35">
      <c r="A1711" s="1" t="s">
        <v>661</v>
      </c>
      <c r="B1711" s="1" t="s">
        <v>4093</v>
      </c>
      <c r="C1711" t="str">
        <f t="shared" si="78"/>
        <v>Ms.</v>
      </c>
      <c r="D1711" t="str">
        <f t="shared" si="79"/>
        <v>Kristen</v>
      </c>
      <c r="E1711" t="str">
        <f t="shared" si="80"/>
        <v>Olsen</v>
      </c>
    </row>
    <row r="1712" spans="1:5" ht="15.5" x14ac:dyDescent="0.35">
      <c r="A1712" s="1" t="s">
        <v>660</v>
      </c>
      <c r="B1712" s="1" t="s">
        <v>4094</v>
      </c>
      <c r="C1712" t="str">
        <f t="shared" si="78"/>
        <v>Mr.</v>
      </c>
      <c r="D1712" t="str">
        <f t="shared" si="79"/>
        <v>Jose Guadalupe P. Sr.</v>
      </c>
      <c r="E1712" t="str">
        <f t="shared" si="80"/>
        <v>De Jesus</v>
      </c>
    </row>
    <row r="1713" spans="1:5" ht="15.5" x14ac:dyDescent="0.35">
      <c r="A1713" s="1" t="s">
        <v>659</v>
      </c>
      <c r="B1713" s="1" t="s">
        <v>4095</v>
      </c>
      <c r="C1713" t="str">
        <f t="shared" si="78"/>
        <v>Ms.</v>
      </c>
      <c r="D1713" t="str">
        <f t="shared" si="79"/>
        <v>Cynthia</v>
      </c>
      <c r="E1713" t="str">
        <f t="shared" si="80"/>
        <v>Bartus</v>
      </c>
    </row>
    <row r="1714" spans="1:5" ht="15.5" x14ac:dyDescent="0.35">
      <c r="A1714" s="1" t="s">
        <v>658</v>
      </c>
      <c r="B1714" s="1" t="s">
        <v>4096</v>
      </c>
      <c r="C1714" t="str">
        <f t="shared" si="78"/>
        <v>Mr.</v>
      </c>
      <c r="D1714" t="str">
        <f t="shared" si="79"/>
        <v>Tyler</v>
      </c>
      <c r="E1714" t="str">
        <f t="shared" si="80"/>
        <v>Stevens</v>
      </c>
    </row>
    <row r="1715" spans="1:5" ht="15.5" x14ac:dyDescent="0.35">
      <c r="A1715" s="1" t="s">
        <v>657</v>
      </c>
      <c r="B1715" s="1" t="s">
        <v>4097</v>
      </c>
      <c r="C1715" t="str">
        <f t="shared" si="78"/>
        <v>Ms.</v>
      </c>
      <c r="D1715" t="str">
        <f t="shared" si="79"/>
        <v>Holly J</v>
      </c>
      <c r="E1715" t="str">
        <f t="shared" si="80"/>
        <v>Rich</v>
      </c>
    </row>
    <row r="1716" spans="1:5" ht="15.5" x14ac:dyDescent="0.35">
      <c r="A1716" s="1" t="s">
        <v>656</v>
      </c>
      <c r="B1716" s="1" t="s">
        <v>4098</v>
      </c>
      <c r="C1716" t="str">
        <f t="shared" si="78"/>
        <v>Ms.</v>
      </c>
      <c r="D1716" t="str">
        <f t="shared" si="79"/>
        <v>Kristen</v>
      </c>
      <c r="E1716" t="str">
        <f t="shared" si="80"/>
        <v>Fayter</v>
      </c>
    </row>
    <row r="1717" spans="1:5" ht="15.5" x14ac:dyDescent="0.35">
      <c r="A1717" s="1" t="s">
        <v>655</v>
      </c>
      <c r="B1717" s="1" t="s">
        <v>4099</v>
      </c>
      <c r="C1717" t="str">
        <f t="shared" si="78"/>
        <v>Mr.</v>
      </c>
      <c r="D1717" t="str">
        <f t="shared" si="79"/>
        <v>Thomas</v>
      </c>
      <c r="E1717" t="str">
        <f t="shared" si="80"/>
        <v>Parise</v>
      </c>
    </row>
    <row r="1718" spans="1:5" ht="15.5" x14ac:dyDescent="0.35">
      <c r="A1718" s="1" t="s">
        <v>654</v>
      </c>
      <c r="B1718" s="1" t="s">
        <v>4100</v>
      </c>
      <c r="C1718" t="str">
        <f t="shared" si="78"/>
        <v>Ms.</v>
      </c>
      <c r="D1718" t="str">
        <f t="shared" si="79"/>
        <v>Tricity M</v>
      </c>
      <c r="E1718" t="str">
        <f t="shared" si="80"/>
        <v>Andrew</v>
      </c>
    </row>
    <row r="1719" spans="1:5" ht="15.5" x14ac:dyDescent="0.35">
      <c r="A1719" s="1" t="s">
        <v>653</v>
      </c>
      <c r="B1719" s="1" t="s">
        <v>4101</v>
      </c>
      <c r="C1719" t="str">
        <f t="shared" si="78"/>
        <v>Ms.</v>
      </c>
      <c r="D1719" t="str">
        <f t="shared" si="79"/>
        <v>Sarah A</v>
      </c>
      <c r="E1719" t="str">
        <f t="shared" si="80"/>
        <v>Gryniewicz</v>
      </c>
    </row>
    <row r="1720" spans="1:5" ht="15.5" x14ac:dyDescent="0.35">
      <c r="A1720" s="1" t="s">
        <v>652</v>
      </c>
      <c r="B1720" s="1" t="s">
        <v>4102</v>
      </c>
      <c r="C1720" t="str">
        <f t="shared" si="78"/>
        <v>Ms.</v>
      </c>
      <c r="D1720" t="str">
        <f t="shared" si="79"/>
        <v>Lisa M.</v>
      </c>
      <c r="E1720" t="str">
        <f t="shared" si="80"/>
        <v>Panora</v>
      </c>
    </row>
    <row r="1721" spans="1:5" ht="15.5" x14ac:dyDescent="0.35">
      <c r="A1721" s="1" t="s">
        <v>651</v>
      </c>
      <c r="B1721" s="1" t="s">
        <v>4103</v>
      </c>
      <c r="C1721" t="str">
        <f t="shared" si="78"/>
        <v>Ms.</v>
      </c>
      <c r="D1721" t="str">
        <f t="shared" si="79"/>
        <v>Tracy A.</v>
      </c>
      <c r="E1721" t="str">
        <f t="shared" si="80"/>
        <v>Woodward</v>
      </c>
    </row>
    <row r="1722" spans="1:5" ht="15.5" x14ac:dyDescent="0.35">
      <c r="A1722" s="1" t="s">
        <v>650</v>
      </c>
      <c r="B1722" s="1" t="s">
        <v>4104</v>
      </c>
      <c r="C1722" t="str">
        <f t="shared" si="78"/>
        <v>Mr.</v>
      </c>
      <c r="D1722" t="str">
        <f t="shared" si="79"/>
        <v>Patrick</v>
      </c>
      <c r="E1722" t="str">
        <f t="shared" si="80"/>
        <v>Lambe</v>
      </c>
    </row>
    <row r="1723" spans="1:5" ht="15.5" x14ac:dyDescent="0.35">
      <c r="A1723" s="1" t="s">
        <v>649</v>
      </c>
      <c r="B1723" s="1" t="s">
        <v>4105</v>
      </c>
      <c r="C1723" t="str">
        <f t="shared" si="78"/>
        <v>Mr.</v>
      </c>
      <c r="D1723" t="str">
        <f t="shared" si="79"/>
        <v>Trent</v>
      </c>
      <c r="E1723" t="str">
        <f t="shared" si="80"/>
        <v>Casto</v>
      </c>
    </row>
    <row r="1724" spans="1:5" ht="15.5" x14ac:dyDescent="0.35">
      <c r="A1724" s="1" t="s">
        <v>648</v>
      </c>
      <c r="B1724" s="1" t="s">
        <v>4106</v>
      </c>
      <c r="C1724" t="str">
        <f t="shared" si="78"/>
        <v>Ms.</v>
      </c>
      <c r="D1724" t="str">
        <f t="shared" si="79"/>
        <v>Julie</v>
      </c>
      <c r="E1724" t="str">
        <f t="shared" si="80"/>
        <v>Martelli</v>
      </c>
    </row>
    <row r="1725" spans="1:5" ht="15.5" x14ac:dyDescent="0.35">
      <c r="A1725" s="1" t="s">
        <v>647</v>
      </c>
      <c r="B1725" s="1" t="s">
        <v>4107</v>
      </c>
      <c r="C1725" t="str">
        <f t="shared" si="78"/>
        <v>Mr.</v>
      </c>
      <c r="D1725" t="str">
        <f t="shared" si="79"/>
        <v>Sawomir</v>
      </c>
      <c r="E1725" t="str">
        <f t="shared" si="80"/>
        <v>Naskret</v>
      </c>
    </row>
    <row r="1726" spans="1:5" ht="15.5" x14ac:dyDescent="0.35">
      <c r="A1726" s="1" t="s">
        <v>646</v>
      </c>
      <c r="B1726" s="1" t="s">
        <v>4108</v>
      </c>
      <c r="C1726" t="str">
        <f t="shared" si="78"/>
        <v>Ms.</v>
      </c>
      <c r="D1726" t="str">
        <f t="shared" si="79"/>
        <v>Micah</v>
      </c>
      <c r="E1726" t="str">
        <f t="shared" si="80"/>
        <v>Morgan</v>
      </c>
    </row>
    <row r="1727" spans="1:5" ht="15.5" x14ac:dyDescent="0.35">
      <c r="A1727" s="1" t="s">
        <v>645</v>
      </c>
      <c r="B1727" s="1" t="s">
        <v>4109</v>
      </c>
      <c r="C1727" t="str">
        <f t="shared" si="78"/>
        <v>Ms.</v>
      </c>
      <c r="D1727" t="str">
        <f t="shared" si="79"/>
        <v>Kelly H.</v>
      </c>
      <c r="E1727" t="str">
        <f t="shared" si="80"/>
        <v>Maloney</v>
      </c>
    </row>
    <row r="1728" spans="1:5" ht="15.5" x14ac:dyDescent="0.35">
      <c r="A1728" s="1" t="s">
        <v>644</v>
      </c>
      <c r="B1728" s="1" t="s">
        <v>4110</v>
      </c>
      <c r="C1728" t="str">
        <f t="shared" si="78"/>
        <v>Ms.</v>
      </c>
      <c r="D1728" t="str">
        <f t="shared" si="79"/>
        <v>Lindsay M.</v>
      </c>
      <c r="E1728" t="str">
        <f t="shared" si="80"/>
        <v>Amherst</v>
      </c>
    </row>
    <row r="1729" spans="1:5" ht="15.5" x14ac:dyDescent="0.35">
      <c r="A1729" s="1" t="s">
        <v>643</v>
      </c>
      <c r="B1729" s="1" t="s">
        <v>4111</v>
      </c>
      <c r="C1729" t="str">
        <f t="shared" si="78"/>
        <v>Mr.</v>
      </c>
      <c r="D1729" t="str">
        <f t="shared" si="79"/>
        <v>Austen G</v>
      </c>
      <c r="E1729" t="str">
        <f t="shared" si="80"/>
        <v>Davenport</v>
      </c>
    </row>
    <row r="1730" spans="1:5" ht="15.5" x14ac:dyDescent="0.35">
      <c r="A1730" s="1" t="s">
        <v>642</v>
      </c>
      <c r="B1730" s="1" t="s">
        <v>4112</v>
      </c>
      <c r="C1730" t="str">
        <f t="shared" si="78"/>
        <v>Mr.</v>
      </c>
      <c r="D1730" t="str">
        <f t="shared" si="79"/>
        <v>Tory J.</v>
      </c>
      <c r="E1730" t="str">
        <f t="shared" si="80"/>
        <v>Johansen</v>
      </c>
    </row>
    <row r="1731" spans="1:5" ht="15.5" x14ac:dyDescent="0.35">
      <c r="A1731" s="1" t="s">
        <v>641</v>
      </c>
      <c r="B1731" s="1" t="s">
        <v>4113</v>
      </c>
      <c r="C1731" t="str">
        <f t="shared" ref="C1731:C1794" si="81">TRIM(MID(B1731,FIND(",",B1731)+1,FIND(".",B1731)-FIND(",",B1731)))</f>
        <v>Mr.</v>
      </c>
      <c r="D1731" t="str">
        <f t="shared" ref="D1731:D1794" si="82">TRIM(MID(B1731,FIND(".",B1731)+1,LEN(B1731)))</f>
        <v>Robert J.</v>
      </c>
      <c r="E1731" t="str">
        <f t="shared" ref="E1731:E1794" si="83">TRIM(LEFT(B1731,FIND(",",B1731)-1))</f>
        <v>Bond</v>
      </c>
    </row>
    <row r="1732" spans="1:5" ht="15.5" x14ac:dyDescent="0.35">
      <c r="A1732" s="1" t="s">
        <v>640</v>
      </c>
      <c r="B1732" s="1" t="s">
        <v>4114</v>
      </c>
      <c r="C1732" t="str">
        <f t="shared" si="81"/>
        <v>Ms.</v>
      </c>
      <c r="D1732" t="str">
        <f t="shared" si="82"/>
        <v>Steph</v>
      </c>
      <c r="E1732" t="str">
        <f t="shared" si="83"/>
        <v>Reilly</v>
      </c>
    </row>
    <row r="1733" spans="1:5" ht="15.5" x14ac:dyDescent="0.35">
      <c r="A1733" s="1" t="s">
        <v>639</v>
      </c>
      <c r="B1733" s="1" t="s">
        <v>4115</v>
      </c>
      <c r="C1733" t="str">
        <f t="shared" si="81"/>
        <v>Ms.</v>
      </c>
      <c r="D1733" t="str">
        <f t="shared" si="82"/>
        <v>Kate</v>
      </c>
      <c r="E1733" t="str">
        <f t="shared" si="83"/>
        <v>Chandler</v>
      </c>
    </row>
    <row r="1734" spans="1:5" ht="15.5" x14ac:dyDescent="0.35">
      <c r="A1734" s="1" t="s">
        <v>638</v>
      </c>
      <c r="B1734" s="1" t="s">
        <v>4116</v>
      </c>
      <c r="C1734" t="str">
        <f t="shared" si="81"/>
        <v>Ms.</v>
      </c>
      <c r="D1734" t="str">
        <f t="shared" si="82"/>
        <v>Kristina</v>
      </c>
      <c r="E1734" t="str">
        <f t="shared" si="83"/>
        <v>Kaufmann</v>
      </c>
    </row>
    <row r="1735" spans="1:5" ht="15.5" x14ac:dyDescent="0.35">
      <c r="A1735" s="1" t="s">
        <v>637</v>
      </c>
      <c r="B1735" s="1" t="s">
        <v>4117</v>
      </c>
      <c r="C1735" t="str">
        <f t="shared" si="81"/>
        <v>Ms.</v>
      </c>
      <c r="D1735" t="str">
        <f t="shared" si="82"/>
        <v>Flo</v>
      </c>
      <c r="E1735" t="str">
        <f t="shared" si="83"/>
        <v>Barnes-Zurkinden</v>
      </c>
    </row>
    <row r="1736" spans="1:5" ht="15.5" x14ac:dyDescent="0.35">
      <c r="A1736" s="1" t="s">
        <v>636</v>
      </c>
      <c r="B1736" s="1" t="s">
        <v>4118</v>
      </c>
      <c r="C1736" t="str">
        <f t="shared" si="81"/>
        <v>Mrs.</v>
      </c>
      <c r="D1736" t="str">
        <f t="shared" si="82"/>
        <v>Sarah P.</v>
      </c>
      <c r="E1736" t="str">
        <f t="shared" si="83"/>
        <v>Wolter</v>
      </c>
    </row>
    <row r="1737" spans="1:5" ht="15.5" x14ac:dyDescent="0.35">
      <c r="A1737" s="1" t="s">
        <v>635</v>
      </c>
      <c r="B1737" s="1" t="s">
        <v>4119</v>
      </c>
      <c r="C1737" t="str">
        <f t="shared" si="81"/>
        <v>Ms.</v>
      </c>
      <c r="D1737" t="str">
        <f t="shared" si="82"/>
        <v>Anabel</v>
      </c>
      <c r="E1737" t="str">
        <f t="shared" si="83"/>
        <v>Pearson</v>
      </c>
    </row>
    <row r="1738" spans="1:5" ht="15.5" x14ac:dyDescent="0.35">
      <c r="A1738" s="1" t="s">
        <v>634</v>
      </c>
      <c r="B1738" s="1" t="s">
        <v>4120</v>
      </c>
      <c r="C1738" t="str">
        <f t="shared" si="81"/>
        <v>Mr.</v>
      </c>
      <c r="D1738" t="str">
        <f t="shared" si="82"/>
        <v>Ian</v>
      </c>
      <c r="E1738" t="str">
        <f t="shared" si="83"/>
        <v>Thomas</v>
      </c>
    </row>
    <row r="1739" spans="1:5" ht="15.5" x14ac:dyDescent="0.35">
      <c r="A1739" s="1" t="s">
        <v>633</v>
      </c>
      <c r="B1739" s="1" t="s">
        <v>4121</v>
      </c>
      <c r="C1739" t="str">
        <f t="shared" si="81"/>
        <v>Mr.</v>
      </c>
      <c r="D1739" t="str">
        <f t="shared" si="82"/>
        <v>Alex</v>
      </c>
      <c r="E1739" t="str">
        <f t="shared" si="83"/>
        <v>Leon</v>
      </c>
    </row>
    <row r="1740" spans="1:5" ht="15.5" x14ac:dyDescent="0.35">
      <c r="A1740" s="1" t="s">
        <v>631</v>
      </c>
      <c r="B1740" s="1" t="s">
        <v>4122</v>
      </c>
      <c r="C1740" t="str">
        <f t="shared" si="81"/>
        <v>Mr.</v>
      </c>
      <c r="D1740" t="str">
        <f t="shared" si="82"/>
        <v>Richard J</v>
      </c>
      <c r="E1740" t="str">
        <f t="shared" si="83"/>
        <v>Marriott</v>
      </c>
    </row>
    <row r="1741" spans="1:5" ht="15.5" x14ac:dyDescent="0.35">
      <c r="A1741" s="1" t="s">
        <v>630</v>
      </c>
      <c r="B1741" s="1" t="s">
        <v>4123</v>
      </c>
      <c r="C1741" t="str">
        <f t="shared" si="81"/>
        <v>Ms.</v>
      </c>
      <c r="D1741" t="str">
        <f t="shared" si="82"/>
        <v>Jacqueline N.</v>
      </c>
      <c r="E1741" t="str">
        <f t="shared" si="83"/>
        <v>Wilkins</v>
      </c>
    </row>
    <row r="1742" spans="1:5" ht="15.5" x14ac:dyDescent="0.35">
      <c r="A1742" s="1" t="s">
        <v>629</v>
      </c>
      <c r="B1742" s="1" t="s">
        <v>4124</v>
      </c>
      <c r="C1742" t="str">
        <f t="shared" si="81"/>
        <v>Ms.</v>
      </c>
      <c r="D1742" t="str">
        <f t="shared" si="82"/>
        <v>Cindy</v>
      </c>
      <c r="E1742" t="str">
        <f t="shared" si="83"/>
        <v>Saiter</v>
      </c>
    </row>
    <row r="1743" spans="1:5" ht="15.5" x14ac:dyDescent="0.35">
      <c r="A1743" s="1" t="s">
        <v>628</v>
      </c>
      <c r="B1743" s="1" t="s">
        <v>4125</v>
      </c>
      <c r="C1743" t="str">
        <f t="shared" si="81"/>
        <v>Ms.</v>
      </c>
      <c r="D1743" t="str">
        <f t="shared" si="82"/>
        <v>Marcia</v>
      </c>
      <c r="E1743" t="str">
        <f t="shared" si="83"/>
        <v>Winrow</v>
      </c>
    </row>
    <row r="1744" spans="1:5" ht="15.5" x14ac:dyDescent="0.35">
      <c r="A1744" s="1" t="s">
        <v>627</v>
      </c>
      <c r="B1744" s="1" t="s">
        <v>4126</v>
      </c>
      <c r="C1744" t="str">
        <f t="shared" si="81"/>
        <v>Ms.</v>
      </c>
      <c r="D1744" t="str">
        <f t="shared" si="82"/>
        <v>Samantha R.</v>
      </c>
      <c r="E1744" t="str">
        <f t="shared" si="83"/>
        <v>Gries</v>
      </c>
    </row>
    <row r="1745" spans="1:5" ht="15.5" x14ac:dyDescent="0.35">
      <c r="A1745" s="1" t="s">
        <v>626</v>
      </c>
      <c r="B1745" s="1" t="s">
        <v>4127</v>
      </c>
      <c r="C1745" t="str">
        <f t="shared" si="81"/>
        <v>Ms.</v>
      </c>
      <c r="D1745" t="str">
        <f t="shared" si="82"/>
        <v>Katie</v>
      </c>
      <c r="E1745" t="str">
        <f t="shared" si="83"/>
        <v>Strohschein</v>
      </c>
    </row>
    <row r="1746" spans="1:5" ht="15.5" x14ac:dyDescent="0.35">
      <c r="A1746" s="1" t="s">
        <v>625</v>
      </c>
      <c r="B1746" s="1" t="s">
        <v>4128</v>
      </c>
      <c r="C1746" t="str">
        <f t="shared" si="81"/>
        <v>Mr.</v>
      </c>
      <c r="D1746" t="str">
        <f t="shared" si="82"/>
        <v>John P</v>
      </c>
      <c r="E1746" t="str">
        <f t="shared" si="83"/>
        <v>Berger</v>
      </c>
    </row>
    <row r="1747" spans="1:5" ht="15.5" x14ac:dyDescent="0.35">
      <c r="A1747" s="1" t="s">
        <v>624</v>
      </c>
      <c r="B1747" s="1" t="s">
        <v>4129</v>
      </c>
      <c r="C1747" t="str">
        <f t="shared" si="81"/>
        <v>Ms.</v>
      </c>
      <c r="D1747" t="str">
        <f t="shared" si="82"/>
        <v>Rachel</v>
      </c>
      <c r="E1747" t="str">
        <f t="shared" si="83"/>
        <v>Coogan</v>
      </c>
    </row>
    <row r="1748" spans="1:5" ht="15.5" x14ac:dyDescent="0.35">
      <c r="A1748" s="1" t="s">
        <v>623</v>
      </c>
      <c r="B1748" s="1" t="s">
        <v>4130</v>
      </c>
      <c r="C1748" t="str">
        <f t="shared" si="81"/>
        <v>Ms.</v>
      </c>
      <c r="D1748" t="str">
        <f t="shared" si="82"/>
        <v>Isabelle</v>
      </c>
      <c r="E1748" t="str">
        <f t="shared" si="83"/>
        <v>Gagnon</v>
      </c>
    </row>
    <row r="1749" spans="1:5" ht="15.5" x14ac:dyDescent="0.35">
      <c r="A1749" s="1" t="s">
        <v>622</v>
      </c>
      <c r="B1749" s="1" t="s">
        <v>4131</v>
      </c>
      <c r="C1749" t="str">
        <f t="shared" si="81"/>
        <v>Mr.</v>
      </c>
      <c r="D1749" t="str">
        <f t="shared" si="82"/>
        <v>Neil</v>
      </c>
      <c r="E1749" t="str">
        <f t="shared" si="83"/>
        <v>Pearson</v>
      </c>
    </row>
    <row r="1750" spans="1:5" ht="15.5" x14ac:dyDescent="0.35">
      <c r="A1750" s="1" t="s">
        <v>621</v>
      </c>
      <c r="B1750" s="1" t="s">
        <v>4132</v>
      </c>
      <c r="C1750" t="str">
        <f t="shared" si="81"/>
        <v>Mr.</v>
      </c>
      <c r="D1750" t="str">
        <f t="shared" si="82"/>
        <v>Tom</v>
      </c>
      <c r="E1750" t="str">
        <f t="shared" si="83"/>
        <v>Brian</v>
      </c>
    </row>
    <row r="1751" spans="1:5" ht="15.5" x14ac:dyDescent="0.35">
      <c r="A1751" s="1" t="s">
        <v>620</v>
      </c>
      <c r="B1751" s="1" t="s">
        <v>4133</v>
      </c>
      <c r="C1751" t="str">
        <f t="shared" si="81"/>
        <v>Mr.</v>
      </c>
      <c r="D1751" t="str">
        <f t="shared" si="82"/>
        <v>Nathan</v>
      </c>
      <c r="E1751" t="str">
        <f t="shared" si="83"/>
        <v>Brown</v>
      </c>
    </row>
    <row r="1752" spans="1:5" ht="15.5" x14ac:dyDescent="0.35">
      <c r="A1752" s="1" t="s">
        <v>619</v>
      </c>
      <c r="B1752" s="1" t="s">
        <v>4134</v>
      </c>
      <c r="C1752" t="str">
        <f t="shared" si="81"/>
        <v>Mrs.</v>
      </c>
      <c r="D1752" t="str">
        <f t="shared" si="82"/>
        <v>Kelli N</v>
      </c>
      <c r="E1752" t="str">
        <f t="shared" si="83"/>
        <v>Fox</v>
      </c>
    </row>
    <row r="1753" spans="1:5" ht="15.5" x14ac:dyDescent="0.35">
      <c r="A1753" s="1" t="s">
        <v>618</v>
      </c>
      <c r="B1753" s="1" t="s">
        <v>4135</v>
      </c>
      <c r="C1753" t="str">
        <f t="shared" si="81"/>
        <v>Mr.</v>
      </c>
      <c r="D1753" t="str">
        <f t="shared" si="82"/>
        <v>Scott M.</v>
      </c>
      <c r="E1753" t="str">
        <f t="shared" si="83"/>
        <v>Traver</v>
      </c>
    </row>
    <row r="1754" spans="1:5" ht="15.5" x14ac:dyDescent="0.35">
      <c r="A1754" s="1" t="s">
        <v>617</v>
      </c>
      <c r="B1754" s="1" t="s">
        <v>4136</v>
      </c>
      <c r="C1754" t="str">
        <f t="shared" si="81"/>
        <v>Mr.</v>
      </c>
      <c r="D1754" t="str">
        <f t="shared" si="82"/>
        <v>Grant A</v>
      </c>
      <c r="E1754" t="str">
        <f t="shared" si="83"/>
        <v>Quick</v>
      </c>
    </row>
    <row r="1755" spans="1:5" ht="15.5" x14ac:dyDescent="0.35">
      <c r="A1755" s="1" t="s">
        <v>616</v>
      </c>
      <c r="B1755" s="1" t="s">
        <v>4137</v>
      </c>
      <c r="C1755" t="str">
        <f t="shared" si="81"/>
        <v>Mr.</v>
      </c>
      <c r="D1755" t="str">
        <f t="shared" si="82"/>
        <v>Jonathan C</v>
      </c>
      <c r="E1755" t="str">
        <f t="shared" si="83"/>
        <v>Scott</v>
      </c>
    </row>
    <row r="1756" spans="1:5" ht="15.5" x14ac:dyDescent="0.35">
      <c r="A1756" s="1" t="s">
        <v>615</v>
      </c>
      <c r="B1756" s="1" t="s">
        <v>4138</v>
      </c>
      <c r="C1756" t="str">
        <f t="shared" si="81"/>
        <v>Ms.</v>
      </c>
      <c r="D1756" t="str">
        <f t="shared" si="82"/>
        <v>Rachael M.</v>
      </c>
      <c r="E1756" t="str">
        <f t="shared" si="83"/>
        <v>Theriot</v>
      </c>
    </row>
    <row r="1757" spans="1:5" ht="15.5" x14ac:dyDescent="0.35">
      <c r="A1757" s="1" t="s">
        <v>614</v>
      </c>
      <c r="B1757" s="1" t="s">
        <v>4139</v>
      </c>
      <c r="C1757" t="str">
        <f t="shared" si="81"/>
        <v>Ms.</v>
      </c>
      <c r="D1757" t="str">
        <f t="shared" si="82"/>
        <v>Pilar</v>
      </c>
      <c r="E1757" t="str">
        <f t="shared" si="83"/>
        <v>Michalis</v>
      </c>
    </row>
    <row r="1758" spans="1:5" ht="15.5" x14ac:dyDescent="0.35">
      <c r="A1758" s="1" t="s">
        <v>613</v>
      </c>
      <c r="B1758" s="1" t="s">
        <v>4140</v>
      </c>
      <c r="C1758" t="str">
        <f t="shared" si="81"/>
        <v>Mr.</v>
      </c>
      <c r="D1758" t="str">
        <f t="shared" si="82"/>
        <v>Kyle M</v>
      </c>
      <c r="E1758" t="str">
        <f t="shared" si="83"/>
        <v>Hall</v>
      </c>
    </row>
    <row r="1759" spans="1:5" ht="15.5" x14ac:dyDescent="0.35">
      <c r="A1759" s="1" t="s">
        <v>612</v>
      </c>
      <c r="B1759" s="1" t="s">
        <v>4141</v>
      </c>
      <c r="C1759" t="str">
        <f t="shared" si="81"/>
        <v>Mrs.</v>
      </c>
      <c r="D1759" t="str">
        <f t="shared" si="82"/>
        <v>Christie</v>
      </c>
      <c r="E1759" t="str">
        <f t="shared" si="83"/>
        <v>Tjong Clemons</v>
      </c>
    </row>
    <row r="1760" spans="1:5" ht="15.5" x14ac:dyDescent="0.35">
      <c r="A1760" s="1" t="s">
        <v>611</v>
      </c>
      <c r="B1760" s="1" t="s">
        <v>4142</v>
      </c>
      <c r="C1760" t="str">
        <f t="shared" si="81"/>
        <v>Mr.</v>
      </c>
      <c r="D1760" t="str">
        <f t="shared" si="82"/>
        <v>David A.</v>
      </c>
      <c r="E1760" t="str">
        <f t="shared" si="83"/>
        <v>Palma</v>
      </c>
    </row>
    <row r="1761" spans="1:5" ht="15.5" x14ac:dyDescent="0.35">
      <c r="A1761" s="1" t="s">
        <v>610</v>
      </c>
      <c r="B1761" s="1" t="s">
        <v>4143</v>
      </c>
      <c r="C1761" t="str">
        <f t="shared" si="81"/>
        <v>Mr.</v>
      </c>
      <c r="D1761" t="str">
        <f t="shared" si="82"/>
        <v>Masahiro</v>
      </c>
      <c r="E1761" t="str">
        <f t="shared" si="83"/>
        <v>Takaoka</v>
      </c>
    </row>
    <row r="1762" spans="1:5" ht="15.5" x14ac:dyDescent="0.35">
      <c r="A1762" s="1" t="s">
        <v>609</v>
      </c>
      <c r="B1762" s="1" t="s">
        <v>4144</v>
      </c>
      <c r="C1762" t="str">
        <f t="shared" si="81"/>
        <v>Mr.</v>
      </c>
      <c r="D1762" t="str">
        <f t="shared" si="82"/>
        <v>Logan B.</v>
      </c>
      <c r="E1762" t="str">
        <f t="shared" si="83"/>
        <v>Sherman</v>
      </c>
    </row>
    <row r="1763" spans="1:5" ht="15.5" x14ac:dyDescent="0.35">
      <c r="A1763" s="1" t="s">
        <v>608</v>
      </c>
      <c r="B1763" s="1" t="s">
        <v>4145</v>
      </c>
      <c r="C1763" t="str">
        <f t="shared" si="81"/>
        <v>Ms.</v>
      </c>
      <c r="D1763" t="str">
        <f t="shared" si="82"/>
        <v>Stephanie L.</v>
      </c>
      <c r="E1763" t="str">
        <f t="shared" si="83"/>
        <v>Andre</v>
      </c>
    </row>
    <row r="1764" spans="1:5" ht="15.5" x14ac:dyDescent="0.35">
      <c r="A1764" s="1" t="s">
        <v>607</v>
      </c>
      <c r="B1764" s="1" t="s">
        <v>4146</v>
      </c>
      <c r="C1764" t="str">
        <f t="shared" si="81"/>
        <v>Ms.</v>
      </c>
      <c r="D1764" t="str">
        <f t="shared" si="82"/>
        <v>Angela H</v>
      </c>
      <c r="E1764" t="str">
        <f t="shared" si="83"/>
        <v>Switt</v>
      </c>
    </row>
    <row r="1765" spans="1:5" ht="15.5" x14ac:dyDescent="0.35">
      <c r="A1765" s="1" t="s">
        <v>606</v>
      </c>
      <c r="B1765" s="1" t="s">
        <v>4147</v>
      </c>
      <c r="C1765" t="str">
        <f t="shared" si="81"/>
        <v>Ms.</v>
      </c>
      <c r="D1765" t="str">
        <f t="shared" si="82"/>
        <v>Britt K</v>
      </c>
      <c r="E1765" t="str">
        <f t="shared" si="83"/>
        <v>Erickson</v>
      </c>
    </row>
    <row r="1766" spans="1:5" ht="15.5" x14ac:dyDescent="0.35">
      <c r="A1766" s="1" t="s">
        <v>605</v>
      </c>
      <c r="B1766" s="1" t="s">
        <v>4148</v>
      </c>
      <c r="C1766" t="str">
        <f t="shared" si="81"/>
        <v>Ms.</v>
      </c>
      <c r="D1766" t="str">
        <f t="shared" si="82"/>
        <v>Joyce R.</v>
      </c>
      <c r="E1766" t="str">
        <f t="shared" si="83"/>
        <v>Miller</v>
      </c>
    </row>
    <row r="1767" spans="1:5" ht="15.5" x14ac:dyDescent="0.35">
      <c r="A1767" s="1" t="s">
        <v>604</v>
      </c>
      <c r="B1767" s="1" t="s">
        <v>4149</v>
      </c>
      <c r="C1767" t="str">
        <f t="shared" si="81"/>
        <v>Mr.</v>
      </c>
      <c r="D1767" t="str">
        <f t="shared" si="82"/>
        <v>Ben</v>
      </c>
      <c r="E1767" t="str">
        <f t="shared" si="83"/>
        <v>Whitbeck</v>
      </c>
    </row>
    <row r="1768" spans="1:5" ht="15.5" x14ac:dyDescent="0.35">
      <c r="A1768" s="1" t="s">
        <v>603</v>
      </c>
      <c r="B1768" s="1" t="s">
        <v>4150</v>
      </c>
      <c r="C1768" t="str">
        <f t="shared" si="81"/>
        <v>Ms.</v>
      </c>
      <c r="D1768" t="str">
        <f t="shared" si="82"/>
        <v>Sarah M.</v>
      </c>
      <c r="E1768" t="str">
        <f t="shared" si="83"/>
        <v>Auer</v>
      </c>
    </row>
    <row r="1769" spans="1:5" ht="15.5" x14ac:dyDescent="0.35">
      <c r="A1769" s="1" t="s">
        <v>602</v>
      </c>
      <c r="B1769" s="1" t="s">
        <v>4151</v>
      </c>
      <c r="C1769" t="str">
        <f t="shared" si="81"/>
        <v>Ms.</v>
      </c>
      <c r="D1769" t="str">
        <f t="shared" si="82"/>
        <v>Sarah</v>
      </c>
      <c r="E1769" t="str">
        <f t="shared" si="83"/>
        <v>Attar</v>
      </c>
    </row>
    <row r="1770" spans="1:5" ht="15.5" x14ac:dyDescent="0.35">
      <c r="A1770" s="1" t="s">
        <v>601</v>
      </c>
      <c r="B1770" s="1" t="s">
        <v>4152</v>
      </c>
      <c r="C1770" t="str">
        <f t="shared" si="81"/>
        <v>Ms.</v>
      </c>
      <c r="D1770" t="str">
        <f t="shared" si="82"/>
        <v>Katie</v>
      </c>
      <c r="E1770" t="str">
        <f t="shared" si="83"/>
        <v>Misuraca</v>
      </c>
    </row>
    <row r="1771" spans="1:5" ht="15.5" x14ac:dyDescent="0.35">
      <c r="A1771" s="1" t="s">
        <v>600</v>
      </c>
      <c r="B1771" s="1" t="s">
        <v>4153</v>
      </c>
      <c r="C1771" t="str">
        <f t="shared" si="81"/>
        <v>Ms.</v>
      </c>
      <c r="D1771" t="str">
        <f t="shared" si="82"/>
        <v>Michaela L</v>
      </c>
      <c r="E1771" t="str">
        <f t="shared" si="83"/>
        <v>Spannaus</v>
      </c>
    </row>
    <row r="1772" spans="1:5" ht="15.5" x14ac:dyDescent="0.35">
      <c r="A1772" s="1" t="s">
        <v>599</v>
      </c>
      <c r="B1772" s="1" t="s">
        <v>4154</v>
      </c>
      <c r="C1772" t="str">
        <f t="shared" si="81"/>
        <v>Ms.</v>
      </c>
      <c r="D1772" t="str">
        <f t="shared" si="82"/>
        <v>Shalaleh</v>
      </c>
      <c r="E1772" t="str">
        <f t="shared" si="83"/>
        <v>Tarbiat</v>
      </c>
    </row>
    <row r="1773" spans="1:5" ht="15.5" x14ac:dyDescent="0.35">
      <c r="A1773" s="1" t="s">
        <v>598</v>
      </c>
      <c r="B1773" s="1" t="s">
        <v>4155</v>
      </c>
      <c r="C1773" t="str">
        <f t="shared" si="81"/>
        <v>Ms.</v>
      </c>
      <c r="D1773" t="str">
        <f t="shared" si="82"/>
        <v>Karen</v>
      </c>
      <c r="E1773" t="str">
        <f t="shared" si="83"/>
        <v>Pulkkinen</v>
      </c>
    </row>
    <row r="1774" spans="1:5" ht="15.5" x14ac:dyDescent="0.35">
      <c r="A1774" s="1" t="s">
        <v>597</v>
      </c>
      <c r="B1774" s="1" t="s">
        <v>4156</v>
      </c>
      <c r="C1774" t="str">
        <f t="shared" si="81"/>
        <v>Ms.</v>
      </c>
      <c r="D1774" t="str">
        <f t="shared" si="82"/>
        <v>Zuzana</v>
      </c>
      <c r="E1774" t="str">
        <f t="shared" si="83"/>
        <v>Trnovcova</v>
      </c>
    </row>
    <row r="1775" spans="1:5" ht="15.5" x14ac:dyDescent="0.35">
      <c r="A1775" s="1" t="s">
        <v>596</v>
      </c>
      <c r="B1775" s="1" t="s">
        <v>4157</v>
      </c>
      <c r="C1775" t="str">
        <f t="shared" si="81"/>
        <v>Mr.</v>
      </c>
      <c r="D1775" t="str">
        <f t="shared" si="82"/>
        <v>Daniel J.</v>
      </c>
      <c r="E1775" t="str">
        <f t="shared" si="83"/>
        <v>Anthony</v>
      </c>
    </row>
    <row r="1776" spans="1:5" ht="15.5" x14ac:dyDescent="0.35">
      <c r="A1776" s="1" t="s">
        <v>595</v>
      </c>
      <c r="B1776" s="1" t="s">
        <v>4158</v>
      </c>
      <c r="C1776" t="str">
        <f t="shared" si="81"/>
        <v>Ms.</v>
      </c>
      <c r="D1776" t="str">
        <f t="shared" si="82"/>
        <v>Alexandra</v>
      </c>
      <c r="E1776" t="str">
        <f t="shared" si="83"/>
        <v>Hetrick</v>
      </c>
    </row>
    <row r="1777" spans="1:5" ht="15.5" x14ac:dyDescent="0.35">
      <c r="A1777" s="1" t="s">
        <v>594</v>
      </c>
      <c r="B1777" s="1" t="s">
        <v>4159</v>
      </c>
      <c r="C1777" t="str">
        <f t="shared" si="81"/>
        <v>Ms.</v>
      </c>
      <c r="D1777" t="str">
        <f t="shared" si="82"/>
        <v>Jessica</v>
      </c>
      <c r="E1777" t="str">
        <f t="shared" si="83"/>
        <v>Stern</v>
      </c>
    </row>
    <row r="1778" spans="1:5" ht="15.5" x14ac:dyDescent="0.35">
      <c r="A1778" s="1" t="s">
        <v>593</v>
      </c>
      <c r="B1778" s="1" t="s">
        <v>4160</v>
      </c>
      <c r="C1778" t="str">
        <f t="shared" si="81"/>
        <v>Mr.</v>
      </c>
      <c r="D1778" t="str">
        <f t="shared" si="82"/>
        <v>Matthew M</v>
      </c>
      <c r="E1778" t="str">
        <f t="shared" si="83"/>
        <v>Newman</v>
      </c>
    </row>
    <row r="1779" spans="1:5" ht="15.5" x14ac:dyDescent="0.35">
      <c r="A1779" s="1" t="s">
        <v>592</v>
      </c>
      <c r="B1779" s="1" t="s">
        <v>4161</v>
      </c>
      <c r="C1779" t="str">
        <f t="shared" si="81"/>
        <v>Ms.</v>
      </c>
      <c r="D1779" t="str">
        <f t="shared" si="82"/>
        <v>Nadine A.</v>
      </c>
      <c r="E1779" t="str">
        <f t="shared" si="83"/>
        <v>Reasoner</v>
      </c>
    </row>
    <row r="1780" spans="1:5" ht="15.5" x14ac:dyDescent="0.35">
      <c r="A1780" s="1" t="s">
        <v>591</v>
      </c>
      <c r="B1780" s="1" t="s">
        <v>4162</v>
      </c>
      <c r="C1780" t="str">
        <f t="shared" si="81"/>
        <v>Mr.</v>
      </c>
      <c r="D1780" t="str">
        <f t="shared" si="82"/>
        <v>Peter J. Jr.</v>
      </c>
      <c r="E1780" t="str">
        <f t="shared" si="83"/>
        <v>Mone</v>
      </c>
    </row>
    <row r="1781" spans="1:5" ht="15.5" x14ac:dyDescent="0.35">
      <c r="A1781" s="1" t="s">
        <v>590</v>
      </c>
      <c r="B1781" s="1" t="s">
        <v>4163</v>
      </c>
      <c r="C1781" t="str">
        <f t="shared" si="81"/>
        <v>Ms.</v>
      </c>
      <c r="D1781" t="str">
        <f t="shared" si="82"/>
        <v>Colleen M</v>
      </c>
      <c r="E1781" t="str">
        <f t="shared" si="83"/>
        <v>Powers</v>
      </c>
    </row>
    <row r="1782" spans="1:5" ht="15.5" x14ac:dyDescent="0.35">
      <c r="A1782" s="1" t="s">
        <v>589</v>
      </c>
      <c r="B1782" s="1" t="s">
        <v>4164</v>
      </c>
      <c r="C1782" t="str">
        <f t="shared" si="81"/>
        <v>Ms.</v>
      </c>
      <c r="D1782" t="str">
        <f t="shared" si="82"/>
        <v>Julie A.</v>
      </c>
      <c r="E1782" t="str">
        <f t="shared" si="83"/>
        <v>Ulery</v>
      </c>
    </row>
    <row r="1783" spans="1:5" ht="15.5" x14ac:dyDescent="0.35">
      <c r="A1783" s="1" t="s">
        <v>588</v>
      </c>
      <c r="B1783" s="1" t="s">
        <v>4165</v>
      </c>
      <c r="C1783" t="str">
        <f t="shared" si="81"/>
        <v>Mr.</v>
      </c>
      <c r="D1783" t="str">
        <f t="shared" si="82"/>
        <v>Douglas W</v>
      </c>
      <c r="E1783" t="str">
        <f t="shared" si="83"/>
        <v>Haines</v>
      </c>
    </row>
    <row r="1784" spans="1:5" ht="15.5" x14ac:dyDescent="0.35">
      <c r="A1784" s="1" t="s">
        <v>587</v>
      </c>
      <c r="B1784" s="1" t="s">
        <v>4166</v>
      </c>
      <c r="C1784" t="str">
        <f t="shared" si="81"/>
        <v>Ms.</v>
      </c>
      <c r="D1784" t="str">
        <f t="shared" si="82"/>
        <v>Catherine</v>
      </c>
      <c r="E1784" t="str">
        <f t="shared" si="83"/>
        <v>Airoldi</v>
      </c>
    </row>
    <row r="1785" spans="1:5" ht="15.5" x14ac:dyDescent="0.35">
      <c r="A1785" s="1" t="s">
        <v>586</v>
      </c>
      <c r="B1785" s="1" t="s">
        <v>4167</v>
      </c>
      <c r="C1785" t="str">
        <f t="shared" si="81"/>
        <v>Mr.</v>
      </c>
      <c r="D1785" t="str">
        <f t="shared" si="82"/>
        <v>James A</v>
      </c>
      <c r="E1785" t="str">
        <f t="shared" si="83"/>
        <v>Mattis</v>
      </c>
    </row>
    <row r="1786" spans="1:5" ht="15.5" x14ac:dyDescent="0.35">
      <c r="A1786" s="1" t="s">
        <v>585</v>
      </c>
      <c r="B1786" s="1" t="s">
        <v>4168</v>
      </c>
      <c r="C1786" t="str">
        <f t="shared" si="81"/>
        <v>Mr.</v>
      </c>
      <c r="D1786" t="str">
        <f t="shared" si="82"/>
        <v>Youngseong</v>
      </c>
      <c r="E1786" t="str">
        <f t="shared" si="83"/>
        <v>Cho</v>
      </c>
    </row>
    <row r="1787" spans="1:5" ht="15.5" x14ac:dyDescent="0.35">
      <c r="A1787" s="1" t="s">
        <v>584</v>
      </c>
      <c r="B1787" s="1" t="s">
        <v>4169</v>
      </c>
      <c r="C1787" t="str">
        <f t="shared" si="81"/>
        <v>Mr.</v>
      </c>
      <c r="D1787" t="str">
        <f t="shared" si="82"/>
        <v>John</v>
      </c>
      <c r="E1787" t="str">
        <f t="shared" si="83"/>
        <v>Reumann</v>
      </c>
    </row>
    <row r="1788" spans="1:5" ht="15.5" x14ac:dyDescent="0.35">
      <c r="A1788" s="1" t="s">
        <v>583</v>
      </c>
      <c r="B1788" s="1" t="s">
        <v>4170</v>
      </c>
      <c r="C1788" t="str">
        <f t="shared" si="81"/>
        <v>Mr.</v>
      </c>
      <c r="D1788" t="str">
        <f t="shared" si="82"/>
        <v>Brandon S.</v>
      </c>
      <c r="E1788" t="str">
        <f t="shared" si="83"/>
        <v>Cooper</v>
      </c>
    </row>
    <row r="1789" spans="1:5" ht="15.5" x14ac:dyDescent="0.35">
      <c r="A1789" s="1" t="s">
        <v>582</v>
      </c>
      <c r="B1789" s="1" t="s">
        <v>4171</v>
      </c>
      <c r="C1789" t="str">
        <f t="shared" si="81"/>
        <v>Mr.</v>
      </c>
      <c r="D1789" t="str">
        <f t="shared" si="82"/>
        <v>Sean P</v>
      </c>
      <c r="E1789" t="str">
        <f t="shared" si="83"/>
        <v>Kennedy</v>
      </c>
    </row>
    <row r="1790" spans="1:5" ht="15.5" x14ac:dyDescent="0.35">
      <c r="A1790" s="1" t="s">
        <v>581</v>
      </c>
      <c r="B1790" s="1" t="s">
        <v>4172</v>
      </c>
      <c r="C1790" t="str">
        <f t="shared" si="81"/>
        <v>Mr.</v>
      </c>
      <c r="D1790" t="str">
        <f t="shared" si="82"/>
        <v>Scott</v>
      </c>
      <c r="E1790" t="str">
        <f t="shared" si="83"/>
        <v>Cichon</v>
      </c>
    </row>
    <row r="1791" spans="1:5" ht="15.5" x14ac:dyDescent="0.35">
      <c r="A1791" s="1" t="s">
        <v>580</v>
      </c>
      <c r="B1791" s="1" t="s">
        <v>4173</v>
      </c>
      <c r="C1791" t="str">
        <f t="shared" si="81"/>
        <v>Mr.</v>
      </c>
      <c r="D1791" t="str">
        <f t="shared" si="82"/>
        <v>Janez</v>
      </c>
      <c r="E1791" t="str">
        <f t="shared" si="83"/>
        <v>Maroevic</v>
      </c>
    </row>
    <row r="1792" spans="1:5" ht="15.5" x14ac:dyDescent="0.35">
      <c r="A1792" s="1" t="s">
        <v>579</v>
      </c>
      <c r="B1792" s="1" t="s">
        <v>4174</v>
      </c>
      <c r="C1792" t="str">
        <f t="shared" si="81"/>
        <v>Mr.</v>
      </c>
      <c r="D1792" t="str">
        <f t="shared" si="82"/>
        <v>John I. Jr.</v>
      </c>
      <c r="E1792" t="str">
        <f t="shared" si="83"/>
        <v>Martin</v>
      </c>
    </row>
    <row r="1793" spans="1:5" ht="15.5" x14ac:dyDescent="0.35">
      <c r="A1793" s="1" t="s">
        <v>578</v>
      </c>
      <c r="B1793" s="1" t="s">
        <v>4175</v>
      </c>
      <c r="C1793" t="str">
        <f t="shared" si="81"/>
        <v>Ms.</v>
      </c>
      <c r="D1793" t="str">
        <f t="shared" si="82"/>
        <v>Heather</v>
      </c>
      <c r="E1793" t="str">
        <f t="shared" si="83"/>
        <v>Schulz</v>
      </c>
    </row>
    <row r="1794" spans="1:5" ht="15.5" x14ac:dyDescent="0.35">
      <c r="A1794" s="1" t="s">
        <v>577</v>
      </c>
      <c r="B1794" s="1" t="s">
        <v>4176</v>
      </c>
      <c r="C1794" t="str">
        <f t="shared" si="81"/>
        <v>Mr.</v>
      </c>
      <c r="D1794" t="str">
        <f t="shared" si="82"/>
        <v>Michael</v>
      </c>
      <c r="E1794" t="str">
        <f t="shared" si="83"/>
        <v>Capriolo</v>
      </c>
    </row>
    <row r="1795" spans="1:5" ht="15.5" x14ac:dyDescent="0.35">
      <c r="A1795" s="1" t="s">
        <v>576</v>
      </c>
      <c r="B1795" s="1" t="s">
        <v>4177</v>
      </c>
      <c r="C1795" t="str">
        <f t="shared" ref="C1795:C1858" si="84">TRIM(MID(B1795,FIND(",",B1795)+1,FIND(".",B1795)-FIND(",",B1795)))</f>
        <v>Ms.</v>
      </c>
      <c r="D1795" t="str">
        <f t="shared" ref="D1795:D1858" si="85">TRIM(MID(B1795,FIND(".",B1795)+1,LEN(B1795)))</f>
        <v>Kathleen</v>
      </c>
      <c r="E1795" t="str">
        <f t="shared" ref="E1795:E1858" si="86">TRIM(LEFT(B1795,FIND(",",B1795)-1))</f>
        <v>Borleis</v>
      </c>
    </row>
    <row r="1796" spans="1:5" ht="15.5" x14ac:dyDescent="0.35">
      <c r="A1796" s="1" t="s">
        <v>575</v>
      </c>
      <c r="B1796" s="1" t="s">
        <v>4178</v>
      </c>
      <c r="C1796" t="str">
        <f t="shared" si="84"/>
        <v>Mr.</v>
      </c>
      <c r="D1796" t="str">
        <f t="shared" si="85"/>
        <v>Ryan M</v>
      </c>
      <c r="E1796" t="str">
        <f t="shared" si="86"/>
        <v>Kramer</v>
      </c>
    </row>
    <row r="1797" spans="1:5" ht="15.5" x14ac:dyDescent="0.35">
      <c r="A1797" s="1" t="s">
        <v>574</v>
      </c>
      <c r="B1797" s="1" t="s">
        <v>4179</v>
      </c>
      <c r="C1797" t="str">
        <f t="shared" si="84"/>
        <v>Ms.</v>
      </c>
      <c r="D1797" t="str">
        <f t="shared" si="85"/>
        <v>Sara</v>
      </c>
      <c r="E1797" t="str">
        <f t="shared" si="86"/>
        <v>Conrad</v>
      </c>
    </row>
    <row r="1798" spans="1:5" ht="15.5" x14ac:dyDescent="0.35">
      <c r="A1798" s="1" t="s">
        <v>573</v>
      </c>
      <c r="B1798" s="1" t="s">
        <v>4180</v>
      </c>
      <c r="C1798" t="str">
        <f t="shared" si="84"/>
        <v>Mr.</v>
      </c>
      <c r="D1798" t="str">
        <f t="shared" si="85"/>
        <v>Deniz</v>
      </c>
      <c r="E1798" t="str">
        <f t="shared" si="86"/>
        <v>Karakoyunlu</v>
      </c>
    </row>
    <row r="1799" spans="1:5" ht="15.5" x14ac:dyDescent="0.35">
      <c r="A1799" s="1" t="s">
        <v>572</v>
      </c>
      <c r="B1799" s="1" t="s">
        <v>4181</v>
      </c>
      <c r="C1799" t="str">
        <f t="shared" si="84"/>
        <v>Ms.</v>
      </c>
      <c r="D1799" t="str">
        <f t="shared" si="85"/>
        <v>Shannon L.</v>
      </c>
      <c r="E1799" t="str">
        <f t="shared" si="86"/>
        <v>Desrosiers</v>
      </c>
    </row>
    <row r="1800" spans="1:5" ht="15.5" x14ac:dyDescent="0.35">
      <c r="A1800" s="1" t="s">
        <v>571</v>
      </c>
      <c r="B1800" s="1" t="s">
        <v>4182</v>
      </c>
      <c r="C1800" t="str">
        <f t="shared" si="84"/>
        <v>Ms.</v>
      </c>
      <c r="D1800" t="str">
        <f t="shared" si="85"/>
        <v>Kaitlin M.</v>
      </c>
      <c r="E1800" t="str">
        <f t="shared" si="86"/>
        <v>O'Mara</v>
      </c>
    </row>
    <row r="1801" spans="1:5" ht="15.5" x14ac:dyDescent="0.35">
      <c r="A1801" s="1" t="s">
        <v>570</v>
      </c>
      <c r="B1801" s="1" t="s">
        <v>4183</v>
      </c>
      <c r="C1801" t="str">
        <f t="shared" si="84"/>
        <v>Mr.</v>
      </c>
      <c r="D1801" t="str">
        <f t="shared" si="85"/>
        <v>Alfredo</v>
      </c>
      <c r="E1801" t="str">
        <f t="shared" si="86"/>
        <v>Shabot Marcos</v>
      </c>
    </row>
    <row r="1802" spans="1:5" ht="15.5" x14ac:dyDescent="0.35">
      <c r="A1802" s="1" t="s">
        <v>569</v>
      </c>
      <c r="B1802" s="1" t="s">
        <v>4184</v>
      </c>
      <c r="C1802" t="str">
        <f t="shared" si="84"/>
        <v>Ms.</v>
      </c>
      <c r="D1802" t="str">
        <f t="shared" si="85"/>
        <v>Kristen</v>
      </c>
      <c r="E1802" t="str">
        <f t="shared" si="86"/>
        <v>Comment</v>
      </c>
    </row>
    <row r="1803" spans="1:5" ht="15.5" x14ac:dyDescent="0.35">
      <c r="A1803" s="1" t="s">
        <v>568</v>
      </c>
      <c r="B1803" s="1" t="s">
        <v>4185</v>
      </c>
      <c r="C1803" t="str">
        <f t="shared" si="84"/>
        <v>Mr.</v>
      </c>
      <c r="D1803" t="str">
        <f t="shared" si="85"/>
        <v>Daniel</v>
      </c>
      <c r="E1803" t="str">
        <f t="shared" si="86"/>
        <v>Moss</v>
      </c>
    </row>
    <row r="1804" spans="1:5" ht="15.5" x14ac:dyDescent="0.35">
      <c r="A1804" s="1" t="s">
        <v>567</v>
      </c>
      <c r="B1804" s="1" t="s">
        <v>4186</v>
      </c>
      <c r="C1804" t="str">
        <f t="shared" si="84"/>
        <v>Mr.</v>
      </c>
      <c r="D1804" t="str">
        <f t="shared" si="85"/>
        <v>Jonathan</v>
      </c>
      <c r="E1804" t="str">
        <f t="shared" si="86"/>
        <v>Guzman</v>
      </c>
    </row>
    <row r="1805" spans="1:5" ht="15.5" x14ac:dyDescent="0.35">
      <c r="A1805" s="1" t="s">
        <v>566</v>
      </c>
      <c r="B1805" s="1" t="s">
        <v>4187</v>
      </c>
      <c r="C1805" t="str">
        <f t="shared" si="84"/>
        <v>Mr.</v>
      </c>
      <c r="D1805" t="str">
        <f t="shared" si="85"/>
        <v>Troy</v>
      </c>
      <c r="E1805" t="str">
        <f t="shared" si="86"/>
        <v>Cox</v>
      </c>
    </row>
    <row r="1806" spans="1:5" ht="15.5" x14ac:dyDescent="0.35">
      <c r="A1806" s="1" t="s">
        <v>565</v>
      </c>
      <c r="B1806" s="1" t="s">
        <v>4188</v>
      </c>
      <c r="C1806" t="str">
        <f t="shared" si="84"/>
        <v>Mr.</v>
      </c>
      <c r="D1806" t="str">
        <f t="shared" si="85"/>
        <v>Daniel C</v>
      </c>
      <c r="E1806" t="str">
        <f t="shared" si="86"/>
        <v>Clash</v>
      </c>
    </row>
    <row r="1807" spans="1:5" ht="15.5" x14ac:dyDescent="0.35">
      <c r="A1807" s="1" t="s">
        <v>564</v>
      </c>
      <c r="B1807" s="1" t="s">
        <v>4189</v>
      </c>
      <c r="C1807" t="str">
        <f t="shared" si="84"/>
        <v>Ms.</v>
      </c>
      <c r="D1807" t="str">
        <f t="shared" si="85"/>
        <v>Lauren</v>
      </c>
      <c r="E1807" t="str">
        <f t="shared" si="86"/>
        <v>Blankenship</v>
      </c>
    </row>
    <row r="1808" spans="1:5" ht="15.5" x14ac:dyDescent="0.35">
      <c r="A1808" s="1" t="s">
        <v>563</v>
      </c>
      <c r="B1808" s="1" t="s">
        <v>4190</v>
      </c>
      <c r="C1808" t="str">
        <f t="shared" si="84"/>
        <v>Ms.</v>
      </c>
      <c r="D1808" t="str">
        <f t="shared" si="85"/>
        <v>Jennefer</v>
      </c>
      <c r="E1808" t="str">
        <f t="shared" si="86"/>
        <v>Lloyd</v>
      </c>
    </row>
    <row r="1809" spans="1:5" ht="15.5" x14ac:dyDescent="0.35">
      <c r="A1809" s="1" t="s">
        <v>562</v>
      </c>
      <c r="B1809" s="1" t="s">
        <v>4191</v>
      </c>
      <c r="C1809" t="str">
        <f t="shared" si="84"/>
        <v>Ms.</v>
      </c>
      <c r="D1809" t="str">
        <f t="shared" si="85"/>
        <v>Tracey L.</v>
      </c>
      <c r="E1809" t="str">
        <f t="shared" si="86"/>
        <v>Kong</v>
      </c>
    </row>
    <row r="1810" spans="1:5" ht="15.5" x14ac:dyDescent="0.35">
      <c r="A1810" s="1" t="s">
        <v>561</v>
      </c>
      <c r="B1810" s="1" t="s">
        <v>4192</v>
      </c>
      <c r="C1810" t="str">
        <f t="shared" si="84"/>
        <v>Ms.</v>
      </c>
      <c r="D1810" t="str">
        <f t="shared" si="85"/>
        <v>Ashley</v>
      </c>
      <c r="E1810" t="str">
        <f t="shared" si="86"/>
        <v>Benson</v>
      </c>
    </row>
    <row r="1811" spans="1:5" ht="15.5" x14ac:dyDescent="0.35">
      <c r="A1811" s="1" t="s">
        <v>560</v>
      </c>
      <c r="B1811" s="1" t="s">
        <v>4193</v>
      </c>
      <c r="C1811" t="str">
        <f t="shared" si="84"/>
        <v>Ms.</v>
      </c>
      <c r="D1811" t="str">
        <f t="shared" si="85"/>
        <v>Cindy</v>
      </c>
      <c r="E1811" t="str">
        <f t="shared" si="86"/>
        <v>Huntington</v>
      </c>
    </row>
    <row r="1812" spans="1:5" ht="15.5" x14ac:dyDescent="0.35">
      <c r="A1812" s="1" t="s">
        <v>559</v>
      </c>
      <c r="B1812" s="1" t="s">
        <v>4194</v>
      </c>
      <c r="C1812" t="str">
        <f t="shared" si="84"/>
        <v>Ms.</v>
      </c>
      <c r="D1812" t="str">
        <f t="shared" si="85"/>
        <v>Esther</v>
      </c>
      <c r="E1812" t="str">
        <f t="shared" si="86"/>
        <v>Kendall</v>
      </c>
    </row>
    <row r="1813" spans="1:5" ht="15.5" x14ac:dyDescent="0.35">
      <c r="A1813" s="1" t="s">
        <v>558</v>
      </c>
      <c r="B1813" s="1" t="s">
        <v>4195</v>
      </c>
      <c r="C1813" t="str">
        <f t="shared" si="84"/>
        <v>Ms.</v>
      </c>
      <c r="D1813" t="str">
        <f t="shared" si="85"/>
        <v>Jackie</v>
      </c>
      <c r="E1813" t="str">
        <f t="shared" si="86"/>
        <v>Gast</v>
      </c>
    </row>
    <row r="1814" spans="1:5" ht="15.5" x14ac:dyDescent="0.35">
      <c r="A1814" s="1" t="s">
        <v>557</v>
      </c>
      <c r="B1814" s="1" t="s">
        <v>4196</v>
      </c>
      <c r="C1814" t="str">
        <f t="shared" si="84"/>
        <v>Mr.</v>
      </c>
      <c r="D1814" t="str">
        <f t="shared" si="85"/>
        <v>Timothy P.</v>
      </c>
      <c r="E1814" t="str">
        <f t="shared" si="86"/>
        <v>Scanlin</v>
      </c>
    </row>
    <row r="1815" spans="1:5" ht="15.5" x14ac:dyDescent="0.35">
      <c r="A1815" s="1" t="s">
        <v>556</v>
      </c>
      <c r="B1815" s="1" t="s">
        <v>4197</v>
      </c>
      <c r="C1815" t="str">
        <f t="shared" si="84"/>
        <v>Ms.</v>
      </c>
      <c r="D1815" t="str">
        <f t="shared" si="85"/>
        <v>Lauren</v>
      </c>
      <c r="E1815" t="str">
        <f t="shared" si="86"/>
        <v>Philbrook</v>
      </c>
    </row>
    <row r="1816" spans="1:5" ht="15.5" x14ac:dyDescent="0.35">
      <c r="A1816" s="1" t="s">
        <v>555</v>
      </c>
      <c r="B1816" s="1" t="s">
        <v>4198</v>
      </c>
      <c r="C1816" t="str">
        <f t="shared" si="84"/>
        <v>Mr.</v>
      </c>
      <c r="D1816" t="str">
        <f t="shared" si="85"/>
        <v>Benjamin</v>
      </c>
      <c r="E1816" t="str">
        <f t="shared" si="86"/>
        <v>Cowan</v>
      </c>
    </row>
    <row r="1817" spans="1:5" ht="15.5" x14ac:dyDescent="0.35">
      <c r="A1817" s="1" t="s">
        <v>554</v>
      </c>
      <c r="B1817" s="1" t="s">
        <v>4199</v>
      </c>
      <c r="C1817" t="str">
        <f t="shared" si="84"/>
        <v>Mr.</v>
      </c>
      <c r="D1817" t="str">
        <f t="shared" si="85"/>
        <v>Hugo M</v>
      </c>
      <c r="E1817" t="str">
        <f t="shared" si="86"/>
        <v>Sousa</v>
      </c>
    </row>
    <row r="1818" spans="1:5" ht="15.5" x14ac:dyDescent="0.35">
      <c r="A1818" s="1" t="s">
        <v>553</v>
      </c>
      <c r="B1818" s="1" t="s">
        <v>4200</v>
      </c>
      <c r="C1818" t="str">
        <f t="shared" si="84"/>
        <v>Mr.</v>
      </c>
      <c r="D1818" t="str">
        <f t="shared" si="85"/>
        <v>Daniel J. Jr.</v>
      </c>
      <c r="E1818" t="str">
        <f t="shared" si="86"/>
        <v>Stanton</v>
      </c>
    </row>
    <row r="1819" spans="1:5" ht="15.5" x14ac:dyDescent="0.35">
      <c r="A1819" s="1" t="s">
        <v>552</v>
      </c>
      <c r="B1819" s="1" t="s">
        <v>4201</v>
      </c>
      <c r="C1819" t="str">
        <f t="shared" si="84"/>
        <v>Mr.</v>
      </c>
      <c r="D1819" t="str">
        <f t="shared" si="85"/>
        <v>Justin R</v>
      </c>
      <c r="E1819" t="str">
        <f t="shared" si="86"/>
        <v>Mollak</v>
      </c>
    </row>
    <row r="1820" spans="1:5" ht="15.5" x14ac:dyDescent="0.35">
      <c r="A1820" s="1" t="s">
        <v>551</v>
      </c>
      <c r="B1820" s="1" t="s">
        <v>4202</v>
      </c>
      <c r="C1820" t="str">
        <f t="shared" si="84"/>
        <v>Mr.</v>
      </c>
      <c r="D1820" t="str">
        <f t="shared" si="85"/>
        <v>Colin</v>
      </c>
      <c r="E1820" t="str">
        <f t="shared" si="86"/>
        <v>Bell</v>
      </c>
    </row>
    <row r="1821" spans="1:5" ht="15.5" x14ac:dyDescent="0.35">
      <c r="A1821" s="1" t="s">
        <v>550</v>
      </c>
      <c r="B1821" s="1" t="s">
        <v>4203</v>
      </c>
      <c r="C1821" t="str">
        <f t="shared" si="84"/>
        <v>Mr.</v>
      </c>
      <c r="D1821" t="str">
        <f t="shared" si="85"/>
        <v>Rob</v>
      </c>
      <c r="E1821" t="str">
        <f t="shared" si="86"/>
        <v>Weston</v>
      </c>
    </row>
    <row r="1822" spans="1:5" ht="15.5" x14ac:dyDescent="0.35">
      <c r="A1822" s="1" t="s">
        <v>549</v>
      </c>
      <c r="B1822" s="1" t="s">
        <v>4204</v>
      </c>
      <c r="C1822" t="str">
        <f t="shared" si="84"/>
        <v>Mr.</v>
      </c>
      <c r="D1822" t="str">
        <f t="shared" si="85"/>
        <v>Patrick</v>
      </c>
      <c r="E1822" t="str">
        <f t="shared" si="86"/>
        <v>Rabuzzi</v>
      </c>
    </row>
    <row r="1823" spans="1:5" ht="15.5" x14ac:dyDescent="0.35">
      <c r="A1823" s="1" t="s">
        <v>548</v>
      </c>
      <c r="B1823" s="1" t="s">
        <v>4205</v>
      </c>
      <c r="C1823" t="str">
        <f t="shared" si="84"/>
        <v>Mr.</v>
      </c>
      <c r="D1823" t="str">
        <f t="shared" si="85"/>
        <v>Austin D</v>
      </c>
      <c r="E1823" t="str">
        <f t="shared" si="86"/>
        <v>Hendrix</v>
      </c>
    </row>
    <row r="1824" spans="1:5" ht="15.5" x14ac:dyDescent="0.35">
      <c r="A1824" s="1" t="s">
        <v>547</v>
      </c>
      <c r="B1824" s="1" t="s">
        <v>4206</v>
      </c>
      <c r="C1824" t="str">
        <f t="shared" si="84"/>
        <v>Ms.</v>
      </c>
      <c r="D1824" t="str">
        <f t="shared" si="85"/>
        <v>Brittany</v>
      </c>
      <c r="E1824" t="str">
        <f t="shared" si="86"/>
        <v>Van Nielen</v>
      </c>
    </row>
    <row r="1825" spans="1:5" ht="15.5" x14ac:dyDescent="0.35">
      <c r="A1825" s="1" t="s">
        <v>546</v>
      </c>
      <c r="B1825" s="1" t="s">
        <v>4207</v>
      </c>
      <c r="C1825" t="str">
        <f t="shared" si="84"/>
        <v>Mr.</v>
      </c>
      <c r="D1825" t="str">
        <f t="shared" si="85"/>
        <v>Matthew T</v>
      </c>
      <c r="E1825" t="str">
        <f t="shared" si="86"/>
        <v>Blanton</v>
      </c>
    </row>
    <row r="1826" spans="1:5" ht="15.5" x14ac:dyDescent="0.35">
      <c r="A1826" s="1" t="s">
        <v>545</v>
      </c>
      <c r="B1826" s="1" t="s">
        <v>4208</v>
      </c>
      <c r="C1826" t="str">
        <f t="shared" si="84"/>
        <v>Ms.</v>
      </c>
      <c r="D1826" t="str">
        <f t="shared" si="85"/>
        <v>Becky G.</v>
      </c>
      <c r="E1826" t="str">
        <f t="shared" si="86"/>
        <v>Schout</v>
      </c>
    </row>
    <row r="1827" spans="1:5" ht="15.5" x14ac:dyDescent="0.35">
      <c r="A1827" s="1" t="s">
        <v>544</v>
      </c>
      <c r="B1827" s="1" t="s">
        <v>4209</v>
      </c>
      <c r="C1827" t="str">
        <f t="shared" si="84"/>
        <v>Ms.</v>
      </c>
      <c r="D1827" t="str">
        <f t="shared" si="85"/>
        <v>Virginie</v>
      </c>
      <c r="E1827" t="str">
        <f t="shared" si="86"/>
        <v>Schmaltz</v>
      </c>
    </row>
    <row r="1828" spans="1:5" ht="15.5" x14ac:dyDescent="0.35">
      <c r="A1828" s="1" t="s">
        <v>543</v>
      </c>
      <c r="B1828" s="1" t="s">
        <v>4210</v>
      </c>
      <c r="C1828" t="str">
        <f t="shared" si="84"/>
        <v>Ms.</v>
      </c>
      <c r="D1828" t="str">
        <f t="shared" si="85"/>
        <v>Allison A</v>
      </c>
      <c r="E1828" t="str">
        <f t="shared" si="86"/>
        <v>Eagen</v>
      </c>
    </row>
    <row r="1829" spans="1:5" ht="15.5" x14ac:dyDescent="0.35">
      <c r="A1829" s="1" t="s">
        <v>542</v>
      </c>
      <c r="B1829" s="1" t="s">
        <v>4211</v>
      </c>
      <c r="C1829" t="str">
        <f t="shared" si="84"/>
        <v>Ms.</v>
      </c>
      <c r="D1829" t="str">
        <f t="shared" si="85"/>
        <v>Julie</v>
      </c>
      <c r="E1829" t="str">
        <f t="shared" si="86"/>
        <v>Rotramel</v>
      </c>
    </row>
    <row r="1830" spans="1:5" ht="15.5" x14ac:dyDescent="0.35">
      <c r="A1830" s="1" t="s">
        <v>541</v>
      </c>
      <c r="B1830" s="1" t="s">
        <v>4212</v>
      </c>
      <c r="C1830" t="str">
        <f t="shared" si="84"/>
        <v>Ms.</v>
      </c>
      <c r="D1830" t="str">
        <f t="shared" si="85"/>
        <v>Katherine</v>
      </c>
      <c r="E1830" t="str">
        <f t="shared" si="86"/>
        <v>Prevost</v>
      </c>
    </row>
    <row r="1831" spans="1:5" ht="15.5" x14ac:dyDescent="0.35">
      <c r="A1831" s="1" t="s">
        <v>540</v>
      </c>
      <c r="B1831" s="1" t="s">
        <v>4213</v>
      </c>
      <c r="C1831" t="str">
        <f t="shared" si="84"/>
        <v>Mr.</v>
      </c>
      <c r="D1831" t="str">
        <f t="shared" si="85"/>
        <v>Caleb</v>
      </c>
      <c r="E1831" t="str">
        <f t="shared" si="86"/>
        <v>Boyd</v>
      </c>
    </row>
    <row r="1832" spans="1:5" ht="15.5" x14ac:dyDescent="0.35">
      <c r="A1832" s="1" t="s">
        <v>539</v>
      </c>
      <c r="B1832" s="1" t="s">
        <v>4214</v>
      </c>
      <c r="C1832" t="str">
        <f t="shared" si="84"/>
        <v>Ms.</v>
      </c>
      <c r="D1832" t="str">
        <f t="shared" si="85"/>
        <v>Jaime</v>
      </c>
      <c r="E1832" t="str">
        <f t="shared" si="86"/>
        <v>Dawes</v>
      </c>
    </row>
    <row r="1833" spans="1:5" ht="15.5" x14ac:dyDescent="0.35">
      <c r="A1833" s="1" t="s">
        <v>538</v>
      </c>
      <c r="B1833" s="1" t="s">
        <v>4215</v>
      </c>
      <c r="C1833" t="str">
        <f t="shared" si="84"/>
        <v>Ms.</v>
      </c>
      <c r="D1833" t="str">
        <f t="shared" si="85"/>
        <v>Hannah</v>
      </c>
      <c r="E1833" t="str">
        <f t="shared" si="86"/>
        <v>Jennings</v>
      </c>
    </row>
    <row r="1834" spans="1:5" ht="15.5" x14ac:dyDescent="0.35">
      <c r="A1834" s="1" t="s">
        <v>537</v>
      </c>
      <c r="B1834" s="1" t="s">
        <v>4216</v>
      </c>
      <c r="C1834" t="str">
        <f t="shared" si="84"/>
        <v>Mr.</v>
      </c>
      <c r="D1834" t="str">
        <f t="shared" si="85"/>
        <v>Zachariah</v>
      </c>
      <c r="E1834" t="str">
        <f t="shared" si="86"/>
        <v>Nyambaso</v>
      </c>
    </row>
    <row r="1835" spans="1:5" ht="15.5" x14ac:dyDescent="0.35">
      <c r="A1835" s="1" t="s">
        <v>536</v>
      </c>
      <c r="B1835" s="1" t="s">
        <v>4217</v>
      </c>
      <c r="C1835" t="str">
        <f t="shared" si="84"/>
        <v>Ms.</v>
      </c>
      <c r="D1835" t="str">
        <f t="shared" si="85"/>
        <v>Patricia A</v>
      </c>
      <c r="E1835" t="str">
        <f t="shared" si="86"/>
        <v>Shaffer</v>
      </c>
    </row>
    <row r="1836" spans="1:5" ht="15.5" x14ac:dyDescent="0.35">
      <c r="A1836" s="1" t="s">
        <v>534</v>
      </c>
      <c r="B1836" s="1" t="s">
        <v>4218</v>
      </c>
      <c r="C1836" t="str">
        <f t="shared" si="84"/>
        <v>Mrs.</v>
      </c>
      <c r="D1836" t="str">
        <f t="shared" si="85"/>
        <v>Elizabeth A.</v>
      </c>
      <c r="E1836" t="str">
        <f t="shared" si="86"/>
        <v>Corkum</v>
      </c>
    </row>
    <row r="1837" spans="1:5" ht="15.5" x14ac:dyDescent="0.35">
      <c r="A1837" s="1" t="s">
        <v>533</v>
      </c>
      <c r="B1837" s="1" t="s">
        <v>4219</v>
      </c>
      <c r="C1837" t="str">
        <f t="shared" si="84"/>
        <v>Mr.</v>
      </c>
      <c r="D1837" t="str">
        <f t="shared" si="85"/>
        <v>Benjamin</v>
      </c>
      <c r="E1837" t="str">
        <f t="shared" si="86"/>
        <v>Pedersen</v>
      </c>
    </row>
    <row r="1838" spans="1:5" ht="15.5" x14ac:dyDescent="0.35">
      <c r="A1838" s="1" t="s">
        <v>532</v>
      </c>
      <c r="B1838" s="1" t="s">
        <v>4220</v>
      </c>
      <c r="C1838" t="str">
        <f t="shared" si="84"/>
        <v>Mr.</v>
      </c>
      <c r="D1838" t="str">
        <f t="shared" si="85"/>
        <v>Breno</v>
      </c>
      <c r="E1838" t="str">
        <f t="shared" si="86"/>
        <v>Melo</v>
      </c>
    </row>
    <row r="1839" spans="1:5" ht="15.5" x14ac:dyDescent="0.35">
      <c r="A1839" s="1" t="s">
        <v>531</v>
      </c>
      <c r="B1839" s="1" t="s">
        <v>4221</v>
      </c>
      <c r="C1839" t="str">
        <f t="shared" si="84"/>
        <v>Mr.</v>
      </c>
      <c r="D1839" t="str">
        <f t="shared" si="85"/>
        <v>Takaya</v>
      </c>
      <c r="E1839" t="str">
        <f t="shared" si="86"/>
        <v>Sakamoto</v>
      </c>
    </row>
    <row r="1840" spans="1:5" ht="15.5" x14ac:dyDescent="0.35">
      <c r="A1840" s="1" t="s">
        <v>530</v>
      </c>
      <c r="B1840" s="1" t="s">
        <v>4222</v>
      </c>
      <c r="C1840" t="str">
        <f t="shared" si="84"/>
        <v>Mr.</v>
      </c>
      <c r="D1840" t="str">
        <f t="shared" si="85"/>
        <v>Thomas IV</v>
      </c>
      <c r="E1840" t="str">
        <f t="shared" si="86"/>
        <v>McMahon</v>
      </c>
    </row>
    <row r="1841" spans="1:5" ht="15.5" x14ac:dyDescent="0.35">
      <c r="A1841" s="1" t="s">
        <v>529</v>
      </c>
      <c r="B1841" s="1" t="s">
        <v>4223</v>
      </c>
      <c r="C1841" t="str">
        <f t="shared" si="84"/>
        <v>Mr.</v>
      </c>
      <c r="D1841" t="str">
        <f t="shared" si="85"/>
        <v>Bradley E</v>
      </c>
      <c r="E1841" t="str">
        <f t="shared" si="86"/>
        <v>Harris</v>
      </c>
    </row>
    <row r="1842" spans="1:5" ht="15.5" x14ac:dyDescent="0.35">
      <c r="A1842" s="1" t="s">
        <v>528</v>
      </c>
      <c r="B1842" s="1" t="s">
        <v>4224</v>
      </c>
      <c r="C1842" t="str">
        <f t="shared" si="84"/>
        <v>Ms.</v>
      </c>
      <c r="D1842" t="str">
        <f t="shared" si="85"/>
        <v>Megan</v>
      </c>
      <c r="E1842" t="str">
        <f t="shared" si="86"/>
        <v>Lombardo</v>
      </c>
    </row>
    <row r="1843" spans="1:5" ht="15.5" x14ac:dyDescent="0.35">
      <c r="A1843" s="1" t="s">
        <v>527</v>
      </c>
      <c r="B1843" s="1" t="s">
        <v>4225</v>
      </c>
      <c r="C1843" t="str">
        <f t="shared" si="84"/>
        <v>Ms.</v>
      </c>
      <c r="D1843" t="str">
        <f t="shared" si="85"/>
        <v>Ruby J</v>
      </c>
      <c r="E1843" t="str">
        <f t="shared" si="86"/>
        <v>Bode</v>
      </c>
    </row>
    <row r="1844" spans="1:5" ht="15.5" x14ac:dyDescent="0.35">
      <c r="A1844" s="1" t="s">
        <v>526</v>
      </c>
      <c r="B1844" s="1" t="s">
        <v>4226</v>
      </c>
      <c r="C1844" t="str">
        <f t="shared" si="84"/>
        <v>Mr.</v>
      </c>
      <c r="D1844" t="str">
        <f t="shared" si="85"/>
        <v>Bart</v>
      </c>
      <c r="E1844" t="str">
        <f t="shared" si="86"/>
        <v>Johnson</v>
      </c>
    </row>
    <row r="1845" spans="1:5" ht="15.5" x14ac:dyDescent="0.35">
      <c r="A1845" s="1" t="s">
        <v>525</v>
      </c>
      <c r="B1845" s="1" t="s">
        <v>4227</v>
      </c>
      <c r="C1845" t="str">
        <f t="shared" si="84"/>
        <v>Mr.</v>
      </c>
      <c r="D1845" t="str">
        <f t="shared" si="85"/>
        <v>Robert A.</v>
      </c>
      <c r="E1845" t="str">
        <f t="shared" si="86"/>
        <v>Norcross</v>
      </c>
    </row>
    <row r="1846" spans="1:5" ht="15.5" x14ac:dyDescent="0.35">
      <c r="A1846" s="1" t="s">
        <v>524</v>
      </c>
      <c r="B1846" s="1" t="s">
        <v>4228</v>
      </c>
      <c r="C1846" t="str">
        <f t="shared" si="84"/>
        <v>Mr.</v>
      </c>
      <c r="D1846" t="str">
        <f t="shared" si="85"/>
        <v>Adam</v>
      </c>
      <c r="E1846" t="str">
        <f t="shared" si="86"/>
        <v>Lazrus</v>
      </c>
    </row>
    <row r="1847" spans="1:5" ht="15.5" x14ac:dyDescent="0.35">
      <c r="A1847" s="1" t="s">
        <v>523</v>
      </c>
      <c r="B1847" s="1" t="s">
        <v>4229</v>
      </c>
      <c r="C1847" t="str">
        <f t="shared" si="84"/>
        <v>Mr.</v>
      </c>
      <c r="D1847" t="str">
        <f t="shared" si="85"/>
        <v>Yemane Adhane</v>
      </c>
      <c r="E1847" t="str">
        <f t="shared" si="86"/>
        <v>Tsegay</v>
      </c>
    </row>
    <row r="1848" spans="1:5" ht="15.5" x14ac:dyDescent="0.35">
      <c r="A1848" s="1" t="s">
        <v>522</v>
      </c>
      <c r="B1848" s="1" t="s">
        <v>4230</v>
      </c>
      <c r="C1848" t="str">
        <f t="shared" si="84"/>
        <v>Mr.</v>
      </c>
      <c r="D1848" t="str">
        <f t="shared" si="85"/>
        <v>Jesse A.</v>
      </c>
      <c r="E1848" t="str">
        <f t="shared" si="86"/>
        <v>Schneider</v>
      </c>
    </row>
    <row r="1849" spans="1:5" ht="15.5" x14ac:dyDescent="0.35">
      <c r="A1849" s="1" t="s">
        <v>521</v>
      </c>
      <c r="B1849" s="1" t="s">
        <v>4231</v>
      </c>
      <c r="C1849" t="str">
        <f t="shared" si="84"/>
        <v>Mr.</v>
      </c>
      <c r="D1849" t="str">
        <f t="shared" si="85"/>
        <v>Bird</v>
      </c>
      <c r="E1849" t="str">
        <f t="shared" si="86"/>
        <v>Loreto</v>
      </c>
    </row>
    <row r="1850" spans="1:5" ht="15.5" x14ac:dyDescent="0.35">
      <c r="A1850" s="1" t="s">
        <v>520</v>
      </c>
      <c r="B1850" s="1" t="s">
        <v>4232</v>
      </c>
      <c r="C1850" t="str">
        <f t="shared" si="84"/>
        <v>Mr.</v>
      </c>
      <c r="D1850" t="str">
        <f t="shared" si="85"/>
        <v>Patrick M.</v>
      </c>
      <c r="E1850" t="str">
        <f t="shared" si="86"/>
        <v>Callahan</v>
      </c>
    </row>
    <row r="1851" spans="1:5" ht="15.5" x14ac:dyDescent="0.35">
      <c r="A1851" s="1" t="s">
        <v>519</v>
      </c>
      <c r="B1851" s="1" t="s">
        <v>4233</v>
      </c>
      <c r="C1851" t="str">
        <f t="shared" si="84"/>
        <v>Mr.</v>
      </c>
      <c r="D1851" t="str">
        <f t="shared" si="85"/>
        <v>Kyle</v>
      </c>
      <c r="E1851" t="str">
        <f t="shared" si="86"/>
        <v>Timko</v>
      </c>
    </row>
    <row r="1852" spans="1:5" ht="15.5" x14ac:dyDescent="0.35">
      <c r="A1852" s="1" t="s">
        <v>518</v>
      </c>
      <c r="B1852" s="1" t="s">
        <v>4234</v>
      </c>
      <c r="C1852" t="str">
        <f t="shared" si="84"/>
        <v>Mr.</v>
      </c>
      <c r="D1852" t="str">
        <f t="shared" si="85"/>
        <v>Ryan</v>
      </c>
      <c r="E1852" t="str">
        <f t="shared" si="86"/>
        <v>Achatz</v>
      </c>
    </row>
    <row r="1853" spans="1:5" ht="15.5" x14ac:dyDescent="0.35">
      <c r="A1853" s="1" t="s">
        <v>517</v>
      </c>
      <c r="B1853" s="1" t="s">
        <v>4235</v>
      </c>
      <c r="C1853" t="str">
        <f t="shared" si="84"/>
        <v>Mr.</v>
      </c>
      <c r="D1853" t="str">
        <f t="shared" si="85"/>
        <v>Yuri</v>
      </c>
      <c r="E1853" t="str">
        <f t="shared" si="86"/>
        <v>Horwitz</v>
      </c>
    </row>
    <row r="1854" spans="1:5" ht="15.5" x14ac:dyDescent="0.35">
      <c r="A1854" s="1" t="s">
        <v>515</v>
      </c>
      <c r="B1854" s="1" t="s">
        <v>4236</v>
      </c>
      <c r="C1854" t="str">
        <f t="shared" si="84"/>
        <v>Mr.</v>
      </c>
      <c r="D1854" t="str">
        <f t="shared" si="85"/>
        <v>Ryan</v>
      </c>
      <c r="E1854" t="str">
        <f t="shared" si="86"/>
        <v>Gordyan</v>
      </c>
    </row>
    <row r="1855" spans="1:5" ht="15.5" x14ac:dyDescent="0.35">
      <c r="A1855" s="1" t="s">
        <v>514</v>
      </c>
      <c r="B1855" s="1" t="s">
        <v>4237</v>
      </c>
      <c r="C1855" t="str">
        <f t="shared" si="84"/>
        <v>Ms.</v>
      </c>
      <c r="D1855" t="str">
        <f t="shared" si="85"/>
        <v>Debbie</v>
      </c>
      <c r="E1855" t="str">
        <f t="shared" si="86"/>
        <v>Hetherington</v>
      </c>
    </row>
    <row r="1856" spans="1:5" ht="15.5" x14ac:dyDescent="0.35">
      <c r="A1856" s="1" t="s">
        <v>513</v>
      </c>
      <c r="B1856" s="1" t="s">
        <v>4238</v>
      </c>
      <c r="C1856" t="str">
        <f t="shared" si="84"/>
        <v>Mr.</v>
      </c>
      <c r="D1856" t="str">
        <f t="shared" si="85"/>
        <v>Mark D</v>
      </c>
      <c r="E1856" t="str">
        <f t="shared" si="86"/>
        <v>Thompson</v>
      </c>
    </row>
    <row r="1857" spans="1:5" ht="15.5" x14ac:dyDescent="0.35">
      <c r="A1857" s="1" t="s">
        <v>512</v>
      </c>
      <c r="B1857" s="1" t="s">
        <v>4239</v>
      </c>
      <c r="C1857" t="str">
        <f t="shared" si="84"/>
        <v>Mr.</v>
      </c>
      <c r="D1857" t="str">
        <f t="shared" si="85"/>
        <v>Christopher</v>
      </c>
      <c r="E1857" t="str">
        <f t="shared" si="86"/>
        <v>Battoo</v>
      </c>
    </row>
    <row r="1858" spans="1:5" ht="15.5" x14ac:dyDescent="0.35">
      <c r="A1858" s="1" t="s">
        <v>511</v>
      </c>
      <c r="B1858" s="1" t="s">
        <v>4240</v>
      </c>
      <c r="C1858" t="str">
        <f t="shared" si="84"/>
        <v>Ms.</v>
      </c>
      <c r="D1858" t="str">
        <f t="shared" si="85"/>
        <v>Daniell L</v>
      </c>
      <c r="E1858" t="str">
        <f t="shared" si="86"/>
        <v>Barker</v>
      </c>
    </row>
    <row r="1859" spans="1:5" ht="15.5" x14ac:dyDescent="0.35">
      <c r="A1859" s="1" t="s">
        <v>510</v>
      </c>
      <c r="B1859" s="1" t="s">
        <v>4241</v>
      </c>
      <c r="C1859" t="str">
        <f t="shared" ref="C1859:C1922" si="87">TRIM(MID(B1859,FIND(",",B1859)+1,FIND(".",B1859)-FIND(",",B1859)))</f>
        <v>Mr.</v>
      </c>
      <c r="D1859" t="str">
        <f t="shared" ref="D1859:D1922" si="88">TRIM(MID(B1859,FIND(".",B1859)+1,LEN(B1859)))</f>
        <v>Janne</v>
      </c>
      <c r="E1859" t="str">
        <f t="shared" ref="E1859:E1922" si="89">TRIM(LEFT(B1859,FIND(",",B1859)-1))</f>
        <v>Saarnilehto</v>
      </c>
    </row>
    <row r="1860" spans="1:5" ht="15.5" x14ac:dyDescent="0.35">
      <c r="A1860" s="1" t="s">
        <v>509</v>
      </c>
      <c r="B1860" s="1" t="s">
        <v>4242</v>
      </c>
      <c r="C1860" t="str">
        <f t="shared" si="87"/>
        <v>Ms.</v>
      </c>
      <c r="D1860" t="str">
        <f t="shared" si="88"/>
        <v>Martina</v>
      </c>
      <c r="E1860" t="str">
        <f t="shared" si="89"/>
        <v>Morton</v>
      </c>
    </row>
    <row r="1861" spans="1:5" ht="15.5" x14ac:dyDescent="0.35">
      <c r="A1861" s="1" t="s">
        <v>508</v>
      </c>
      <c r="B1861" s="1" t="s">
        <v>4243</v>
      </c>
      <c r="C1861" t="str">
        <f t="shared" si="87"/>
        <v>Ms.</v>
      </c>
      <c r="D1861" t="str">
        <f t="shared" si="88"/>
        <v>Elizabeth L</v>
      </c>
      <c r="E1861" t="str">
        <f t="shared" si="89"/>
        <v>Thomas</v>
      </c>
    </row>
    <row r="1862" spans="1:5" ht="15.5" x14ac:dyDescent="0.35">
      <c r="A1862" s="1" t="s">
        <v>507</v>
      </c>
      <c r="B1862" s="1" t="s">
        <v>4244</v>
      </c>
      <c r="C1862" t="str">
        <f t="shared" si="87"/>
        <v>Ms.</v>
      </c>
      <c r="D1862" t="str">
        <f t="shared" si="88"/>
        <v>Stephanie C.</v>
      </c>
      <c r="E1862" t="str">
        <f t="shared" si="89"/>
        <v>Hillman</v>
      </c>
    </row>
    <row r="1863" spans="1:5" ht="15.5" x14ac:dyDescent="0.35">
      <c r="A1863" s="1" t="s">
        <v>506</v>
      </c>
      <c r="B1863" s="1" t="s">
        <v>4245</v>
      </c>
      <c r="C1863" t="str">
        <f t="shared" si="87"/>
        <v>Ms.</v>
      </c>
      <c r="D1863" t="str">
        <f t="shared" si="88"/>
        <v>Katie</v>
      </c>
      <c r="E1863" t="str">
        <f t="shared" si="89"/>
        <v>Edwards</v>
      </c>
    </row>
    <row r="1864" spans="1:5" ht="15.5" x14ac:dyDescent="0.35">
      <c r="A1864" s="1" t="s">
        <v>505</v>
      </c>
      <c r="B1864" s="1" t="s">
        <v>4246</v>
      </c>
      <c r="C1864" t="str">
        <f t="shared" si="87"/>
        <v>Ms.</v>
      </c>
      <c r="D1864" t="str">
        <f t="shared" si="88"/>
        <v>Callie</v>
      </c>
      <c r="E1864" t="str">
        <f t="shared" si="89"/>
        <v>Bartel</v>
      </c>
    </row>
    <row r="1865" spans="1:5" ht="15.5" x14ac:dyDescent="0.35">
      <c r="A1865" s="1" t="s">
        <v>504</v>
      </c>
      <c r="B1865" s="1" t="s">
        <v>4247</v>
      </c>
      <c r="C1865" t="str">
        <f t="shared" si="87"/>
        <v>Ms.</v>
      </c>
      <c r="D1865" t="str">
        <f t="shared" si="88"/>
        <v>Inna</v>
      </c>
      <c r="E1865" t="str">
        <f t="shared" si="89"/>
        <v>Potekhina</v>
      </c>
    </row>
    <row r="1866" spans="1:5" ht="15.5" x14ac:dyDescent="0.35">
      <c r="A1866" s="1" t="s">
        <v>503</v>
      </c>
      <c r="B1866" s="1" t="s">
        <v>4248</v>
      </c>
      <c r="C1866" t="str">
        <f t="shared" si="87"/>
        <v>Ms.</v>
      </c>
      <c r="D1866" t="str">
        <f t="shared" si="88"/>
        <v>Mary K.</v>
      </c>
      <c r="E1866" t="str">
        <f t="shared" si="89"/>
        <v>Kelly</v>
      </c>
    </row>
    <row r="1867" spans="1:5" ht="15.5" x14ac:dyDescent="0.35">
      <c r="A1867" s="1" t="s">
        <v>502</v>
      </c>
      <c r="B1867" s="1" t="s">
        <v>4249</v>
      </c>
      <c r="C1867" t="str">
        <f t="shared" si="87"/>
        <v>Mr.</v>
      </c>
      <c r="D1867" t="str">
        <f t="shared" si="88"/>
        <v>Samuel M.</v>
      </c>
      <c r="E1867" t="str">
        <f t="shared" si="89"/>
        <v>Lapp</v>
      </c>
    </row>
    <row r="1868" spans="1:5" ht="15.5" x14ac:dyDescent="0.35">
      <c r="A1868" s="1" t="s">
        <v>501</v>
      </c>
      <c r="B1868" s="1" t="s">
        <v>4250</v>
      </c>
      <c r="C1868" t="str">
        <f t="shared" si="87"/>
        <v>Ms.</v>
      </c>
      <c r="D1868" t="str">
        <f t="shared" si="88"/>
        <v>Kimberly</v>
      </c>
      <c r="E1868" t="str">
        <f t="shared" si="89"/>
        <v>Burke</v>
      </c>
    </row>
    <row r="1869" spans="1:5" ht="15.5" x14ac:dyDescent="0.35">
      <c r="A1869" s="1" t="s">
        <v>500</v>
      </c>
      <c r="B1869" s="1" t="s">
        <v>4251</v>
      </c>
      <c r="C1869" t="str">
        <f t="shared" si="87"/>
        <v>Mr.</v>
      </c>
      <c r="D1869" t="str">
        <f t="shared" si="88"/>
        <v>Tom J.</v>
      </c>
      <c r="E1869" t="str">
        <f t="shared" si="89"/>
        <v>Barry</v>
      </c>
    </row>
    <row r="1870" spans="1:5" ht="15.5" x14ac:dyDescent="0.35">
      <c r="A1870" s="1" t="s">
        <v>499</v>
      </c>
      <c r="B1870" s="1" t="s">
        <v>4252</v>
      </c>
      <c r="C1870" t="str">
        <f t="shared" si="87"/>
        <v>Mr.</v>
      </c>
      <c r="D1870" t="str">
        <f t="shared" si="88"/>
        <v>Zachary</v>
      </c>
      <c r="E1870" t="str">
        <f t="shared" si="89"/>
        <v>McCormick</v>
      </c>
    </row>
    <row r="1871" spans="1:5" ht="15.5" x14ac:dyDescent="0.35">
      <c r="A1871" s="1" t="s">
        <v>498</v>
      </c>
      <c r="B1871" s="1" t="s">
        <v>4253</v>
      </c>
      <c r="C1871" t="str">
        <f t="shared" si="87"/>
        <v>Mr.</v>
      </c>
      <c r="D1871" t="str">
        <f t="shared" si="88"/>
        <v>Dane</v>
      </c>
      <c r="E1871" t="str">
        <f t="shared" si="89"/>
        <v>McElroy</v>
      </c>
    </row>
    <row r="1872" spans="1:5" ht="15.5" x14ac:dyDescent="0.35">
      <c r="A1872" s="1" t="s">
        <v>497</v>
      </c>
      <c r="B1872" s="1" t="s">
        <v>4254</v>
      </c>
      <c r="C1872" t="str">
        <f t="shared" si="87"/>
        <v>Mr.</v>
      </c>
      <c r="D1872" t="str">
        <f t="shared" si="88"/>
        <v>Dougie J</v>
      </c>
      <c r="E1872" t="str">
        <f t="shared" si="89"/>
        <v>Coffed</v>
      </c>
    </row>
    <row r="1873" spans="1:5" ht="15.5" x14ac:dyDescent="0.35">
      <c r="A1873" s="1" t="s">
        <v>496</v>
      </c>
      <c r="B1873" s="1" t="s">
        <v>4255</v>
      </c>
      <c r="C1873" t="str">
        <f t="shared" si="87"/>
        <v>Mr.</v>
      </c>
      <c r="D1873" t="str">
        <f t="shared" si="88"/>
        <v>Jeremiah H</v>
      </c>
      <c r="E1873" t="str">
        <f t="shared" si="89"/>
        <v>Estes</v>
      </c>
    </row>
    <row r="1874" spans="1:5" ht="15.5" x14ac:dyDescent="0.35">
      <c r="A1874" s="1" t="s">
        <v>495</v>
      </c>
      <c r="B1874" s="1" t="s">
        <v>4256</v>
      </c>
      <c r="C1874" t="str">
        <f t="shared" si="87"/>
        <v>Mr.</v>
      </c>
      <c r="D1874" t="str">
        <f t="shared" si="88"/>
        <v>Ashley J.</v>
      </c>
      <c r="E1874" t="str">
        <f t="shared" si="89"/>
        <v>Miles</v>
      </c>
    </row>
    <row r="1875" spans="1:5" ht="15.5" x14ac:dyDescent="0.35">
      <c r="A1875" s="1" t="s">
        <v>494</v>
      </c>
      <c r="B1875" s="1" t="s">
        <v>4257</v>
      </c>
      <c r="C1875" t="str">
        <f t="shared" si="87"/>
        <v>Mr.</v>
      </c>
      <c r="D1875" t="str">
        <f t="shared" si="88"/>
        <v>Turner J.</v>
      </c>
      <c r="E1875" t="str">
        <f t="shared" si="89"/>
        <v>Zamore</v>
      </c>
    </row>
    <row r="1876" spans="1:5" ht="15.5" x14ac:dyDescent="0.35">
      <c r="A1876" s="1" t="s">
        <v>493</v>
      </c>
      <c r="B1876" s="1" t="s">
        <v>4258</v>
      </c>
      <c r="C1876" t="str">
        <f t="shared" si="87"/>
        <v>Mr.</v>
      </c>
      <c r="D1876" t="str">
        <f t="shared" si="88"/>
        <v>Roger</v>
      </c>
      <c r="E1876" t="str">
        <f t="shared" si="89"/>
        <v>Donaghy</v>
      </c>
    </row>
    <row r="1877" spans="1:5" ht="15.5" x14ac:dyDescent="0.35">
      <c r="A1877" s="1" t="s">
        <v>492</v>
      </c>
      <c r="B1877" s="1" t="s">
        <v>4259</v>
      </c>
      <c r="C1877" t="str">
        <f t="shared" si="87"/>
        <v>Ms.</v>
      </c>
      <c r="D1877" t="str">
        <f t="shared" si="88"/>
        <v>Pamela</v>
      </c>
      <c r="E1877" t="str">
        <f t="shared" si="89"/>
        <v>Kennedy</v>
      </c>
    </row>
    <row r="1878" spans="1:5" ht="15.5" x14ac:dyDescent="0.35">
      <c r="A1878" s="1" t="s">
        <v>491</v>
      </c>
      <c r="B1878" s="1" t="s">
        <v>4260</v>
      </c>
      <c r="C1878" t="str">
        <f t="shared" si="87"/>
        <v>Ms.</v>
      </c>
      <c r="D1878" t="str">
        <f t="shared" si="88"/>
        <v>Allison M.</v>
      </c>
      <c r="E1878" t="str">
        <f t="shared" si="89"/>
        <v>Fiorini</v>
      </c>
    </row>
    <row r="1879" spans="1:5" ht="15.5" x14ac:dyDescent="0.35">
      <c r="A1879" s="1" t="s">
        <v>490</v>
      </c>
      <c r="B1879" s="1" t="s">
        <v>4261</v>
      </c>
      <c r="C1879" t="str">
        <f t="shared" si="87"/>
        <v>Mrs.</v>
      </c>
      <c r="D1879" t="str">
        <f t="shared" si="88"/>
        <v>Katherine H.</v>
      </c>
      <c r="E1879" t="str">
        <f t="shared" si="89"/>
        <v>Alexander</v>
      </c>
    </row>
    <row r="1880" spans="1:5" ht="15.5" x14ac:dyDescent="0.35">
      <c r="A1880" s="1" t="s">
        <v>489</v>
      </c>
      <c r="B1880" s="1" t="s">
        <v>4262</v>
      </c>
      <c r="C1880" t="str">
        <f t="shared" si="87"/>
        <v>Ms.</v>
      </c>
      <c r="D1880" t="str">
        <f t="shared" si="88"/>
        <v>Robin</v>
      </c>
      <c r="E1880" t="str">
        <f t="shared" si="89"/>
        <v>Watkins</v>
      </c>
    </row>
    <row r="1881" spans="1:5" ht="15.5" x14ac:dyDescent="0.35">
      <c r="A1881" s="1" t="s">
        <v>488</v>
      </c>
      <c r="B1881" s="1" t="s">
        <v>4263</v>
      </c>
      <c r="C1881" t="str">
        <f t="shared" si="87"/>
        <v>Ms.</v>
      </c>
      <c r="D1881" t="str">
        <f t="shared" si="88"/>
        <v>Terri</v>
      </c>
      <c r="E1881" t="str">
        <f t="shared" si="89"/>
        <v>Cassel</v>
      </c>
    </row>
    <row r="1882" spans="1:5" ht="15.5" x14ac:dyDescent="0.35">
      <c r="A1882" s="1" t="s">
        <v>487</v>
      </c>
      <c r="B1882" s="1" t="s">
        <v>4264</v>
      </c>
      <c r="C1882" t="str">
        <f t="shared" si="87"/>
        <v>Mr.</v>
      </c>
      <c r="D1882" t="str">
        <f t="shared" si="88"/>
        <v>Eddie</v>
      </c>
      <c r="E1882" t="str">
        <f t="shared" si="89"/>
        <v>Ferguson</v>
      </c>
    </row>
    <row r="1883" spans="1:5" ht="15.5" x14ac:dyDescent="0.35">
      <c r="A1883" s="1" t="s">
        <v>486</v>
      </c>
      <c r="B1883" s="1" t="s">
        <v>4265</v>
      </c>
      <c r="C1883" t="str">
        <f t="shared" si="87"/>
        <v>Ms.</v>
      </c>
      <c r="D1883" t="str">
        <f t="shared" si="88"/>
        <v>Pamela</v>
      </c>
      <c r="E1883" t="str">
        <f t="shared" si="89"/>
        <v>O'Sullivan</v>
      </c>
    </row>
    <row r="1884" spans="1:5" ht="15.5" x14ac:dyDescent="0.35">
      <c r="A1884" s="1" t="s">
        <v>485</v>
      </c>
      <c r="B1884" s="1" t="s">
        <v>4266</v>
      </c>
      <c r="C1884" t="str">
        <f t="shared" si="87"/>
        <v>Ms.</v>
      </c>
      <c r="D1884" t="str">
        <f t="shared" si="88"/>
        <v>Joyce</v>
      </c>
      <c r="E1884" t="str">
        <f t="shared" si="89"/>
        <v>Chepkirui</v>
      </c>
    </row>
    <row r="1885" spans="1:5" ht="15.5" x14ac:dyDescent="0.35">
      <c r="A1885" s="1" t="s">
        <v>484</v>
      </c>
      <c r="B1885" s="1" t="s">
        <v>4267</v>
      </c>
      <c r="C1885" t="str">
        <f t="shared" si="87"/>
        <v>Ms.</v>
      </c>
      <c r="D1885" t="str">
        <f t="shared" si="88"/>
        <v>Alison W.</v>
      </c>
      <c r="E1885" t="str">
        <f t="shared" si="89"/>
        <v>Gurney</v>
      </c>
    </row>
    <row r="1886" spans="1:5" ht="15.5" x14ac:dyDescent="0.35">
      <c r="A1886" s="1" t="s">
        <v>483</v>
      </c>
      <c r="B1886" s="1" t="s">
        <v>4268</v>
      </c>
      <c r="C1886" t="str">
        <f t="shared" si="87"/>
        <v>Ms.</v>
      </c>
      <c r="D1886" t="str">
        <f t="shared" si="88"/>
        <v>Tammara C</v>
      </c>
      <c r="E1886" t="str">
        <f t="shared" si="89"/>
        <v>Francis</v>
      </c>
    </row>
    <row r="1887" spans="1:5" ht="15.5" x14ac:dyDescent="0.35">
      <c r="A1887" s="1" t="s">
        <v>482</v>
      </c>
      <c r="B1887" s="1" t="s">
        <v>4269</v>
      </c>
      <c r="C1887" t="str">
        <f t="shared" si="87"/>
        <v>Ms.</v>
      </c>
      <c r="D1887" t="str">
        <f t="shared" si="88"/>
        <v>Dorota</v>
      </c>
      <c r="E1887" t="str">
        <f t="shared" si="89"/>
        <v>Gruca</v>
      </c>
    </row>
    <row r="1888" spans="1:5" ht="15.5" x14ac:dyDescent="0.35">
      <c r="A1888" s="1" t="s">
        <v>481</v>
      </c>
      <c r="B1888" s="1" t="s">
        <v>4270</v>
      </c>
      <c r="C1888" t="str">
        <f t="shared" si="87"/>
        <v>Mr.</v>
      </c>
      <c r="D1888" t="str">
        <f t="shared" si="88"/>
        <v>Jose Norberto Sr.</v>
      </c>
      <c r="E1888" t="str">
        <f t="shared" si="89"/>
        <v>Rojas Alvarez</v>
      </c>
    </row>
    <row r="1889" spans="1:5" ht="15.5" x14ac:dyDescent="0.35">
      <c r="A1889" s="1" t="s">
        <v>480</v>
      </c>
      <c r="B1889" s="1" t="s">
        <v>4271</v>
      </c>
      <c r="C1889" t="str">
        <f t="shared" si="87"/>
        <v>Mr.</v>
      </c>
      <c r="D1889" t="str">
        <f t="shared" si="88"/>
        <v>Peter</v>
      </c>
      <c r="E1889" t="str">
        <f t="shared" si="89"/>
        <v>Denton</v>
      </c>
    </row>
    <row r="1890" spans="1:5" ht="15.5" x14ac:dyDescent="0.35">
      <c r="A1890" s="1" t="s">
        <v>479</v>
      </c>
      <c r="B1890" s="1" t="s">
        <v>4272</v>
      </c>
      <c r="C1890" t="str">
        <f t="shared" si="87"/>
        <v>Mr.</v>
      </c>
      <c r="D1890" t="str">
        <f t="shared" si="88"/>
        <v>Bryant</v>
      </c>
      <c r="E1890" t="str">
        <f t="shared" si="89"/>
        <v>Mason</v>
      </c>
    </row>
    <row r="1891" spans="1:5" ht="15.5" x14ac:dyDescent="0.35">
      <c r="A1891" s="1" t="s">
        <v>478</v>
      </c>
      <c r="B1891" s="1" t="s">
        <v>4273</v>
      </c>
      <c r="C1891" t="str">
        <f t="shared" si="87"/>
        <v>Ms.</v>
      </c>
      <c r="D1891" t="str">
        <f t="shared" si="88"/>
        <v>Christina</v>
      </c>
      <c r="E1891" t="str">
        <f t="shared" si="89"/>
        <v>Trout</v>
      </c>
    </row>
    <row r="1892" spans="1:5" ht="15.5" x14ac:dyDescent="0.35">
      <c r="A1892" s="1" t="s">
        <v>477</v>
      </c>
      <c r="B1892" s="1" t="s">
        <v>4274</v>
      </c>
      <c r="C1892" t="str">
        <f t="shared" si="87"/>
        <v>Mr.</v>
      </c>
      <c r="D1892" t="str">
        <f t="shared" si="88"/>
        <v>John</v>
      </c>
      <c r="E1892" t="str">
        <f t="shared" si="89"/>
        <v>Gilbert</v>
      </c>
    </row>
    <row r="1893" spans="1:5" ht="15.5" x14ac:dyDescent="0.35">
      <c r="A1893" s="1" t="s">
        <v>476</v>
      </c>
      <c r="B1893" s="1" t="s">
        <v>4275</v>
      </c>
      <c r="C1893" t="str">
        <f t="shared" si="87"/>
        <v>Mr.</v>
      </c>
      <c r="D1893" t="str">
        <f t="shared" si="88"/>
        <v>Eduardo</v>
      </c>
      <c r="E1893" t="str">
        <f t="shared" si="89"/>
        <v>Chong</v>
      </c>
    </row>
    <row r="1894" spans="1:5" ht="15.5" x14ac:dyDescent="0.35">
      <c r="A1894" s="1" t="s">
        <v>475</v>
      </c>
      <c r="B1894" s="1" t="s">
        <v>4276</v>
      </c>
      <c r="C1894" t="str">
        <f t="shared" si="87"/>
        <v>Ms.</v>
      </c>
      <c r="D1894" t="str">
        <f t="shared" si="88"/>
        <v>Laura M.</v>
      </c>
      <c r="E1894" t="str">
        <f t="shared" si="89"/>
        <v>Henry</v>
      </c>
    </row>
    <row r="1895" spans="1:5" ht="15.5" x14ac:dyDescent="0.35">
      <c r="A1895" s="1" t="s">
        <v>474</v>
      </c>
      <c r="B1895" s="1" t="s">
        <v>4277</v>
      </c>
      <c r="C1895" t="str">
        <f t="shared" si="87"/>
        <v>Mr.</v>
      </c>
      <c r="D1895" t="str">
        <f t="shared" si="88"/>
        <v>Charlie</v>
      </c>
      <c r="E1895" t="str">
        <f t="shared" si="89"/>
        <v>Brenneman</v>
      </c>
    </row>
    <row r="1896" spans="1:5" ht="15.5" x14ac:dyDescent="0.35">
      <c r="A1896" s="1" t="s">
        <v>473</v>
      </c>
      <c r="B1896" s="1" t="s">
        <v>4278</v>
      </c>
      <c r="C1896" t="str">
        <f t="shared" si="87"/>
        <v>Ms.</v>
      </c>
      <c r="D1896" t="str">
        <f t="shared" si="88"/>
        <v>Melissa D.</v>
      </c>
      <c r="E1896" t="str">
        <f t="shared" si="89"/>
        <v>Kemp</v>
      </c>
    </row>
    <row r="1897" spans="1:5" ht="15.5" x14ac:dyDescent="0.35">
      <c r="A1897" s="1" t="s">
        <v>472</v>
      </c>
      <c r="B1897" s="1" t="s">
        <v>4279</v>
      </c>
      <c r="C1897" t="str">
        <f t="shared" si="87"/>
        <v>Mr.</v>
      </c>
      <c r="D1897" t="str">
        <f t="shared" si="88"/>
        <v>Dan C. Jr.</v>
      </c>
      <c r="E1897" t="str">
        <f t="shared" si="89"/>
        <v>Wilson</v>
      </c>
    </row>
    <row r="1898" spans="1:5" ht="15.5" x14ac:dyDescent="0.35">
      <c r="A1898" s="1" t="s">
        <v>471</v>
      </c>
      <c r="B1898" s="1" t="s">
        <v>4280</v>
      </c>
      <c r="C1898" t="str">
        <f t="shared" si="87"/>
        <v>Mr.</v>
      </c>
      <c r="D1898" t="str">
        <f t="shared" si="88"/>
        <v>Matthew</v>
      </c>
      <c r="E1898" t="str">
        <f t="shared" si="89"/>
        <v>Hillyard</v>
      </c>
    </row>
    <row r="1899" spans="1:5" ht="15.5" x14ac:dyDescent="0.35">
      <c r="A1899" s="1" t="s">
        <v>470</v>
      </c>
      <c r="B1899" s="1" t="s">
        <v>4281</v>
      </c>
      <c r="C1899" t="str">
        <f t="shared" si="87"/>
        <v>Mr.</v>
      </c>
      <c r="D1899" t="str">
        <f t="shared" si="88"/>
        <v>Wesley C.</v>
      </c>
      <c r="E1899" t="str">
        <f t="shared" si="89"/>
        <v>Turner</v>
      </c>
    </row>
    <row r="1900" spans="1:5" ht="15.5" x14ac:dyDescent="0.35">
      <c r="A1900" s="1" t="s">
        <v>469</v>
      </c>
      <c r="B1900" s="1" t="s">
        <v>4282</v>
      </c>
      <c r="C1900" t="str">
        <f t="shared" si="87"/>
        <v>Mr.</v>
      </c>
      <c r="D1900" t="str">
        <f t="shared" si="88"/>
        <v>Christopher</v>
      </c>
      <c r="E1900" t="str">
        <f t="shared" si="89"/>
        <v>Benestad</v>
      </c>
    </row>
    <row r="1901" spans="1:5" ht="15.5" x14ac:dyDescent="0.35">
      <c r="A1901" s="1" t="s">
        <v>468</v>
      </c>
      <c r="B1901" s="1" t="s">
        <v>4283</v>
      </c>
      <c r="C1901" t="str">
        <f t="shared" si="87"/>
        <v>Ms.</v>
      </c>
      <c r="D1901" t="str">
        <f t="shared" si="88"/>
        <v>Jessica</v>
      </c>
      <c r="E1901" t="str">
        <f t="shared" si="89"/>
        <v>Gonzales</v>
      </c>
    </row>
    <row r="1902" spans="1:5" ht="15.5" x14ac:dyDescent="0.35">
      <c r="A1902" s="1" t="s">
        <v>467</v>
      </c>
      <c r="B1902" s="1" t="s">
        <v>4284</v>
      </c>
      <c r="C1902" t="str">
        <f t="shared" si="87"/>
        <v>Ms.</v>
      </c>
      <c r="D1902" t="str">
        <f t="shared" si="88"/>
        <v>Christin</v>
      </c>
      <c r="E1902" t="str">
        <f t="shared" si="89"/>
        <v>Newman</v>
      </c>
    </row>
    <row r="1903" spans="1:5" ht="15.5" x14ac:dyDescent="0.35">
      <c r="A1903" s="1" t="s">
        <v>466</v>
      </c>
      <c r="B1903" s="1" t="s">
        <v>4285</v>
      </c>
      <c r="C1903" t="str">
        <f t="shared" si="87"/>
        <v>Ms.</v>
      </c>
      <c r="D1903" t="str">
        <f t="shared" si="88"/>
        <v>Sara</v>
      </c>
      <c r="E1903" t="str">
        <f t="shared" si="89"/>
        <v>Sayre</v>
      </c>
    </row>
    <row r="1904" spans="1:5" ht="15.5" x14ac:dyDescent="0.35">
      <c r="A1904" s="1" t="s">
        <v>465</v>
      </c>
      <c r="B1904" s="1" t="s">
        <v>4286</v>
      </c>
      <c r="C1904" t="str">
        <f t="shared" si="87"/>
        <v>Ms.</v>
      </c>
      <c r="D1904" t="str">
        <f t="shared" si="88"/>
        <v>Elizabeth</v>
      </c>
      <c r="E1904" t="str">
        <f t="shared" si="89"/>
        <v>Panke</v>
      </c>
    </row>
    <row r="1905" spans="1:5" ht="15.5" x14ac:dyDescent="0.35">
      <c r="A1905" s="1" t="s">
        <v>464</v>
      </c>
      <c r="B1905" s="1" t="s">
        <v>4287</v>
      </c>
      <c r="C1905" t="str">
        <f t="shared" si="87"/>
        <v>Ms.</v>
      </c>
      <c r="D1905" t="str">
        <f t="shared" si="88"/>
        <v>Margaret P.</v>
      </c>
      <c r="E1905" t="str">
        <f t="shared" si="89"/>
        <v>Brennan</v>
      </c>
    </row>
    <row r="1906" spans="1:5" ht="15.5" x14ac:dyDescent="0.35">
      <c r="A1906" s="1" t="s">
        <v>463</v>
      </c>
      <c r="B1906" s="1" t="s">
        <v>4288</v>
      </c>
      <c r="C1906" t="str">
        <f t="shared" si="87"/>
        <v>Ms.</v>
      </c>
      <c r="D1906" t="str">
        <f t="shared" si="88"/>
        <v>Tiffany K</v>
      </c>
      <c r="E1906" t="str">
        <f t="shared" si="89"/>
        <v>Ngo</v>
      </c>
    </row>
    <row r="1907" spans="1:5" ht="15.5" x14ac:dyDescent="0.35">
      <c r="A1907" s="1" t="s">
        <v>462</v>
      </c>
      <c r="B1907" s="1" t="s">
        <v>4289</v>
      </c>
      <c r="C1907" t="str">
        <f t="shared" si="87"/>
        <v>Mr.</v>
      </c>
      <c r="D1907" t="str">
        <f t="shared" si="88"/>
        <v>David M.</v>
      </c>
      <c r="E1907" t="str">
        <f t="shared" si="89"/>
        <v>Guerdan</v>
      </c>
    </row>
    <row r="1908" spans="1:5" ht="15.5" x14ac:dyDescent="0.35">
      <c r="A1908" s="1" t="s">
        <v>461</v>
      </c>
      <c r="B1908" s="1" t="s">
        <v>4290</v>
      </c>
      <c r="C1908" t="str">
        <f t="shared" si="87"/>
        <v>Ms.</v>
      </c>
      <c r="D1908" t="str">
        <f t="shared" si="88"/>
        <v>Christine E</v>
      </c>
      <c r="E1908" t="str">
        <f t="shared" si="89"/>
        <v>Shaw</v>
      </c>
    </row>
    <row r="1909" spans="1:5" ht="15.5" x14ac:dyDescent="0.35">
      <c r="A1909" s="1" t="s">
        <v>460</v>
      </c>
      <c r="B1909" s="1" t="s">
        <v>4291</v>
      </c>
      <c r="C1909" t="str">
        <f t="shared" si="87"/>
        <v>Ms.</v>
      </c>
      <c r="D1909" t="str">
        <f t="shared" si="88"/>
        <v>Donna</v>
      </c>
      <c r="E1909" t="str">
        <f t="shared" si="89"/>
        <v>Mills-Honarvar</v>
      </c>
    </row>
    <row r="1910" spans="1:5" ht="15.5" x14ac:dyDescent="0.35">
      <c r="A1910" s="1" t="s">
        <v>459</v>
      </c>
      <c r="B1910" s="1" t="s">
        <v>4292</v>
      </c>
      <c r="C1910" t="str">
        <f t="shared" si="87"/>
        <v>Mr.</v>
      </c>
      <c r="D1910" t="str">
        <f t="shared" si="88"/>
        <v>Rod</v>
      </c>
      <c r="E1910" t="str">
        <f t="shared" si="89"/>
        <v>Farvard</v>
      </c>
    </row>
    <row r="1911" spans="1:5" ht="15.5" x14ac:dyDescent="0.35">
      <c r="A1911" s="1" t="s">
        <v>458</v>
      </c>
      <c r="B1911" s="1" t="s">
        <v>4293</v>
      </c>
      <c r="C1911" t="str">
        <f t="shared" si="87"/>
        <v>Mr.</v>
      </c>
      <c r="D1911" t="str">
        <f t="shared" si="88"/>
        <v>Joe</v>
      </c>
      <c r="E1911" t="str">
        <f t="shared" si="89"/>
        <v>Kelly</v>
      </c>
    </row>
    <row r="1912" spans="1:5" ht="15.5" x14ac:dyDescent="0.35">
      <c r="A1912" s="1" t="s">
        <v>457</v>
      </c>
      <c r="B1912" s="1" t="s">
        <v>4294</v>
      </c>
      <c r="C1912" t="str">
        <f t="shared" si="87"/>
        <v>Ms.</v>
      </c>
      <c r="D1912" t="str">
        <f t="shared" si="88"/>
        <v>Kayleigh</v>
      </c>
      <c r="E1912" t="str">
        <f t="shared" si="89"/>
        <v>Skinner</v>
      </c>
    </row>
    <row r="1913" spans="1:5" ht="15.5" x14ac:dyDescent="0.35">
      <c r="A1913" s="1" t="s">
        <v>456</v>
      </c>
      <c r="B1913" s="1" t="s">
        <v>4295</v>
      </c>
      <c r="C1913" t="str">
        <f t="shared" si="87"/>
        <v>Mr.</v>
      </c>
      <c r="D1913" t="str">
        <f t="shared" si="88"/>
        <v>Lorcan A.</v>
      </c>
      <c r="E1913" t="str">
        <f t="shared" si="89"/>
        <v>Murphy</v>
      </c>
    </row>
    <row r="1914" spans="1:5" ht="15.5" x14ac:dyDescent="0.35">
      <c r="A1914" s="1" t="s">
        <v>455</v>
      </c>
      <c r="B1914" s="1" t="s">
        <v>4296</v>
      </c>
      <c r="C1914" t="str">
        <f t="shared" si="87"/>
        <v>Mr.</v>
      </c>
      <c r="D1914" t="str">
        <f t="shared" si="88"/>
        <v>Billy</v>
      </c>
      <c r="E1914" t="str">
        <f t="shared" si="89"/>
        <v>Shue</v>
      </c>
    </row>
    <row r="1915" spans="1:5" ht="15.5" x14ac:dyDescent="0.35">
      <c r="A1915" s="1" t="s">
        <v>454</v>
      </c>
      <c r="B1915" s="1" t="s">
        <v>4297</v>
      </c>
      <c r="C1915" t="str">
        <f t="shared" si="87"/>
        <v>Mr.</v>
      </c>
      <c r="D1915" t="str">
        <f t="shared" si="88"/>
        <v>Paul M.</v>
      </c>
      <c r="E1915" t="str">
        <f t="shared" si="89"/>
        <v>Reilly</v>
      </c>
    </row>
    <row r="1916" spans="1:5" ht="15.5" x14ac:dyDescent="0.35">
      <c r="A1916" s="1" t="s">
        <v>453</v>
      </c>
      <c r="B1916" s="1" t="s">
        <v>4298</v>
      </c>
      <c r="C1916" t="str">
        <f t="shared" si="87"/>
        <v>Ms.</v>
      </c>
      <c r="D1916" t="str">
        <f t="shared" si="88"/>
        <v>Brenda M.</v>
      </c>
      <c r="E1916" t="str">
        <f t="shared" si="89"/>
        <v>Blinn</v>
      </c>
    </row>
    <row r="1917" spans="1:5" ht="15.5" x14ac:dyDescent="0.35">
      <c r="A1917" s="1" t="s">
        <v>452</v>
      </c>
      <c r="B1917" s="1" t="s">
        <v>4299</v>
      </c>
      <c r="C1917" t="str">
        <f t="shared" si="87"/>
        <v>Mr.</v>
      </c>
      <c r="D1917" t="str">
        <f t="shared" si="88"/>
        <v>Jeff H</v>
      </c>
      <c r="E1917" t="str">
        <f t="shared" si="89"/>
        <v>Duyn</v>
      </c>
    </row>
    <row r="1918" spans="1:5" ht="15.5" x14ac:dyDescent="0.35">
      <c r="A1918" s="1" t="s">
        <v>451</v>
      </c>
      <c r="B1918" s="1" t="s">
        <v>4300</v>
      </c>
      <c r="C1918" t="str">
        <f t="shared" si="87"/>
        <v>Mr.</v>
      </c>
      <c r="D1918" t="str">
        <f t="shared" si="88"/>
        <v>Michael</v>
      </c>
      <c r="E1918" t="str">
        <f t="shared" si="89"/>
        <v>Wardian</v>
      </c>
    </row>
    <row r="1919" spans="1:5" ht="15.5" x14ac:dyDescent="0.35">
      <c r="A1919" s="1" t="s">
        <v>450</v>
      </c>
      <c r="B1919" s="1" t="s">
        <v>4301</v>
      </c>
      <c r="C1919" t="str">
        <f t="shared" si="87"/>
        <v>Mr.</v>
      </c>
      <c r="D1919" t="str">
        <f t="shared" si="88"/>
        <v>Jan</v>
      </c>
      <c r="E1919" t="str">
        <f t="shared" si="89"/>
        <v>Heuninck</v>
      </c>
    </row>
    <row r="1920" spans="1:5" ht="15.5" x14ac:dyDescent="0.35">
      <c r="A1920" s="1" t="s">
        <v>449</v>
      </c>
      <c r="B1920" s="1" t="s">
        <v>4302</v>
      </c>
      <c r="C1920" t="str">
        <f t="shared" si="87"/>
        <v>Mr.</v>
      </c>
      <c r="D1920" t="str">
        <f t="shared" si="88"/>
        <v>Bernard</v>
      </c>
      <c r="E1920" t="str">
        <f t="shared" si="89"/>
        <v>Kipyego</v>
      </c>
    </row>
    <row r="1921" spans="1:5" ht="15.5" x14ac:dyDescent="0.35">
      <c r="A1921" s="1" t="s">
        <v>448</v>
      </c>
      <c r="B1921" s="1" t="s">
        <v>4303</v>
      </c>
      <c r="C1921" t="str">
        <f t="shared" si="87"/>
        <v>Mr.</v>
      </c>
      <c r="D1921" t="str">
        <f t="shared" si="88"/>
        <v>Craig</v>
      </c>
      <c r="E1921" t="str">
        <f t="shared" si="89"/>
        <v>Kuehl</v>
      </c>
    </row>
    <row r="1922" spans="1:5" ht="15.5" x14ac:dyDescent="0.35">
      <c r="A1922" s="1" t="s">
        <v>447</v>
      </c>
      <c r="B1922" s="1" t="s">
        <v>4304</v>
      </c>
      <c r="C1922" t="str">
        <f t="shared" si="87"/>
        <v>Mrs.</v>
      </c>
      <c r="D1922" t="str">
        <f t="shared" si="88"/>
        <v>Bryn</v>
      </c>
      <c r="E1922" t="str">
        <f t="shared" si="89"/>
        <v>Burkholder</v>
      </c>
    </row>
    <row r="1923" spans="1:5" ht="15.5" x14ac:dyDescent="0.35">
      <c r="A1923" s="1" t="s">
        <v>446</v>
      </c>
      <c r="B1923" s="1" t="s">
        <v>4305</v>
      </c>
      <c r="C1923" t="str">
        <f t="shared" ref="C1923:C1986" si="90">TRIM(MID(B1923,FIND(",",B1923)+1,FIND(".",B1923)-FIND(",",B1923)))</f>
        <v>Mr.</v>
      </c>
      <c r="D1923" t="str">
        <f t="shared" ref="D1923:D1986" si="91">TRIM(MID(B1923,FIND(".",B1923)+1,LEN(B1923)))</f>
        <v>Michael</v>
      </c>
      <c r="E1923" t="str">
        <f t="shared" ref="E1923:E1986" si="92">TRIM(LEFT(B1923,FIND(",",B1923)-1))</f>
        <v>Stadolnik</v>
      </c>
    </row>
    <row r="1924" spans="1:5" ht="15.5" x14ac:dyDescent="0.35">
      <c r="A1924" s="1" t="s">
        <v>445</v>
      </c>
      <c r="B1924" s="1" t="s">
        <v>4306</v>
      </c>
      <c r="C1924" t="str">
        <f t="shared" si="90"/>
        <v>Mr.</v>
      </c>
      <c r="D1924" t="str">
        <f t="shared" si="91"/>
        <v>Benjamin</v>
      </c>
      <c r="E1924" t="str">
        <f t="shared" si="92"/>
        <v>Shields</v>
      </c>
    </row>
    <row r="1925" spans="1:5" ht="15.5" x14ac:dyDescent="0.35">
      <c r="A1925" s="1" t="s">
        <v>444</v>
      </c>
      <c r="B1925" s="1" t="s">
        <v>4307</v>
      </c>
      <c r="C1925" t="str">
        <f t="shared" si="90"/>
        <v>Mr.</v>
      </c>
      <c r="D1925" t="str">
        <f t="shared" si="91"/>
        <v>Jay</v>
      </c>
      <c r="E1925" t="str">
        <f t="shared" si="92"/>
        <v>Margolis</v>
      </c>
    </row>
    <row r="1926" spans="1:5" ht="15.5" x14ac:dyDescent="0.35">
      <c r="A1926" s="1" t="s">
        <v>443</v>
      </c>
      <c r="B1926" s="1" t="s">
        <v>4308</v>
      </c>
      <c r="C1926" t="str">
        <f t="shared" si="90"/>
        <v>Mr.</v>
      </c>
      <c r="D1926" t="str">
        <f t="shared" si="91"/>
        <v>William</v>
      </c>
      <c r="E1926" t="str">
        <f t="shared" si="92"/>
        <v>Uffenbeck</v>
      </c>
    </row>
    <row r="1927" spans="1:5" ht="15.5" x14ac:dyDescent="0.35">
      <c r="A1927" s="1" t="s">
        <v>442</v>
      </c>
      <c r="B1927" s="1" t="s">
        <v>4309</v>
      </c>
      <c r="C1927" t="str">
        <f t="shared" si="90"/>
        <v>Ms.</v>
      </c>
      <c r="D1927" t="str">
        <f t="shared" si="91"/>
        <v>Shelley</v>
      </c>
      <c r="E1927" t="str">
        <f t="shared" si="92"/>
        <v>Brake</v>
      </c>
    </row>
    <row r="1928" spans="1:5" ht="15.5" x14ac:dyDescent="0.35">
      <c r="A1928" s="1" t="s">
        <v>441</v>
      </c>
      <c r="B1928" s="1" t="s">
        <v>4310</v>
      </c>
      <c r="C1928" t="str">
        <f t="shared" si="90"/>
        <v>Ms.</v>
      </c>
      <c r="D1928" t="str">
        <f t="shared" si="91"/>
        <v>Jekaterina</v>
      </c>
      <c r="E1928" t="str">
        <f t="shared" si="92"/>
        <v>Stepanova</v>
      </c>
    </row>
    <row r="1929" spans="1:5" ht="15.5" x14ac:dyDescent="0.35">
      <c r="A1929" s="1" t="s">
        <v>440</v>
      </c>
      <c r="B1929" s="1" t="s">
        <v>4311</v>
      </c>
      <c r="C1929" t="str">
        <f t="shared" si="90"/>
        <v>Mr.</v>
      </c>
      <c r="D1929" t="str">
        <f t="shared" si="91"/>
        <v>Daniel</v>
      </c>
      <c r="E1929" t="str">
        <f t="shared" si="92"/>
        <v>Verdi</v>
      </c>
    </row>
    <row r="1930" spans="1:5" ht="15.5" x14ac:dyDescent="0.35">
      <c r="A1930" s="1" t="s">
        <v>439</v>
      </c>
      <c r="B1930" s="1" t="s">
        <v>4312</v>
      </c>
      <c r="C1930" t="str">
        <f t="shared" si="90"/>
        <v>Ms.</v>
      </c>
      <c r="D1930" t="str">
        <f t="shared" si="91"/>
        <v>Pauline</v>
      </c>
      <c r="E1930" t="str">
        <f t="shared" si="92"/>
        <v>McLean</v>
      </c>
    </row>
    <row r="1931" spans="1:5" ht="15.5" x14ac:dyDescent="0.35">
      <c r="A1931" s="1" t="s">
        <v>438</v>
      </c>
      <c r="B1931" s="1" t="s">
        <v>4313</v>
      </c>
      <c r="C1931" t="str">
        <f t="shared" si="90"/>
        <v>Ms.</v>
      </c>
      <c r="D1931" t="str">
        <f t="shared" si="91"/>
        <v>Colleen</v>
      </c>
      <c r="E1931" t="str">
        <f t="shared" si="92"/>
        <v>Ryan</v>
      </c>
    </row>
    <row r="1932" spans="1:5" ht="15.5" x14ac:dyDescent="0.35">
      <c r="A1932" s="1" t="s">
        <v>437</v>
      </c>
      <c r="B1932" s="1" t="s">
        <v>4314</v>
      </c>
      <c r="C1932" t="str">
        <f t="shared" si="90"/>
        <v>Ms.</v>
      </c>
      <c r="D1932" t="str">
        <f t="shared" si="91"/>
        <v>Aleah K</v>
      </c>
      <c r="E1932" t="str">
        <f t="shared" si="92"/>
        <v>Mickelson</v>
      </c>
    </row>
    <row r="1933" spans="1:5" ht="15.5" x14ac:dyDescent="0.35">
      <c r="A1933" s="1" t="s">
        <v>436</v>
      </c>
      <c r="B1933" s="1" t="s">
        <v>4315</v>
      </c>
      <c r="C1933" t="str">
        <f t="shared" si="90"/>
        <v>Ms.</v>
      </c>
      <c r="D1933" t="str">
        <f t="shared" si="91"/>
        <v>Mare</v>
      </c>
      <c r="E1933" t="str">
        <f t="shared" si="92"/>
        <v>Dibaba</v>
      </c>
    </row>
    <row r="1934" spans="1:5" ht="15.5" x14ac:dyDescent="0.35">
      <c r="A1934" s="1" t="s">
        <v>435</v>
      </c>
      <c r="B1934" s="1" t="s">
        <v>4316</v>
      </c>
      <c r="C1934" t="str">
        <f t="shared" si="90"/>
        <v>Mr.</v>
      </c>
      <c r="D1934" t="str">
        <f t="shared" si="91"/>
        <v>Kevin</v>
      </c>
      <c r="E1934" t="str">
        <f t="shared" si="92"/>
        <v>Shilling</v>
      </c>
    </row>
    <row r="1935" spans="1:5" ht="15.5" x14ac:dyDescent="0.35">
      <c r="A1935" s="1" t="s">
        <v>434</v>
      </c>
      <c r="B1935" s="1" t="s">
        <v>4317</v>
      </c>
      <c r="C1935" t="str">
        <f t="shared" si="90"/>
        <v>Ms.</v>
      </c>
      <c r="D1935" t="str">
        <f t="shared" si="91"/>
        <v>Jessica</v>
      </c>
      <c r="E1935" t="str">
        <f t="shared" si="92"/>
        <v>Bashaw</v>
      </c>
    </row>
    <row r="1936" spans="1:5" ht="15.5" x14ac:dyDescent="0.35">
      <c r="A1936" s="1" t="s">
        <v>433</v>
      </c>
      <c r="B1936" s="1" t="s">
        <v>4318</v>
      </c>
      <c r="C1936" t="str">
        <f t="shared" si="90"/>
        <v>Ms.</v>
      </c>
      <c r="D1936" t="str">
        <f t="shared" si="91"/>
        <v>Amanda R</v>
      </c>
      <c r="E1936" t="str">
        <f t="shared" si="92"/>
        <v>Jacob</v>
      </c>
    </row>
    <row r="1937" spans="1:5" ht="15.5" x14ac:dyDescent="0.35">
      <c r="A1937" s="1" t="s">
        <v>432</v>
      </c>
      <c r="B1937" s="1" t="s">
        <v>4319</v>
      </c>
      <c r="C1937" t="str">
        <f t="shared" si="90"/>
        <v>Mr.</v>
      </c>
      <c r="D1937" t="str">
        <f t="shared" si="91"/>
        <v>Murray W.</v>
      </c>
      <c r="E1937" t="str">
        <f t="shared" si="92"/>
        <v>McCutcheon</v>
      </c>
    </row>
    <row r="1938" spans="1:5" ht="15.5" x14ac:dyDescent="0.35">
      <c r="A1938" s="1" t="s">
        <v>431</v>
      </c>
      <c r="B1938" s="1" t="s">
        <v>4320</v>
      </c>
      <c r="C1938" t="str">
        <f t="shared" si="90"/>
        <v>Mrs.</v>
      </c>
      <c r="D1938" t="str">
        <f t="shared" si="91"/>
        <v>Meghan P.</v>
      </c>
      <c r="E1938" t="str">
        <f t="shared" si="92"/>
        <v>Connor</v>
      </c>
    </row>
    <row r="1939" spans="1:5" ht="15.5" x14ac:dyDescent="0.35">
      <c r="A1939" s="1" t="s">
        <v>430</v>
      </c>
      <c r="B1939" s="1" t="s">
        <v>4321</v>
      </c>
      <c r="C1939" t="str">
        <f t="shared" si="90"/>
        <v>Mr.</v>
      </c>
      <c r="D1939" t="str">
        <f t="shared" si="91"/>
        <v>David</v>
      </c>
      <c r="E1939" t="str">
        <f t="shared" si="92"/>
        <v>May</v>
      </c>
    </row>
    <row r="1940" spans="1:5" ht="15.5" x14ac:dyDescent="0.35">
      <c r="A1940" s="1" t="s">
        <v>429</v>
      </c>
      <c r="B1940" s="1" t="s">
        <v>4322</v>
      </c>
      <c r="C1940" t="str">
        <f t="shared" si="90"/>
        <v>Mr.</v>
      </c>
      <c r="D1940" t="str">
        <f t="shared" si="91"/>
        <v>Seth</v>
      </c>
      <c r="E1940" t="str">
        <f t="shared" si="92"/>
        <v>Geoghegan</v>
      </c>
    </row>
    <row r="1941" spans="1:5" ht="15.5" x14ac:dyDescent="0.35">
      <c r="A1941" s="1" t="s">
        <v>428</v>
      </c>
      <c r="B1941" s="1" t="s">
        <v>4323</v>
      </c>
      <c r="C1941" t="str">
        <f t="shared" si="90"/>
        <v>Mr.</v>
      </c>
      <c r="D1941" t="str">
        <f t="shared" si="91"/>
        <v>Michael P.</v>
      </c>
      <c r="E1941" t="str">
        <f t="shared" si="92"/>
        <v>McGinn</v>
      </c>
    </row>
    <row r="1942" spans="1:5" ht="15.5" x14ac:dyDescent="0.35">
      <c r="A1942" s="1" t="s">
        <v>427</v>
      </c>
      <c r="B1942" s="1" t="s">
        <v>4324</v>
      </c>
      <c r="C1942" t="str">
        <f t="shared" si="90"/>
        <v>Mr.</v>
      </c>
      <c r="D1942" t="str">
        <f t="shared" si="91"/>
        <v>Russell M</v>
      </c>
      <c r="E1942" t="str">
        <f t="shared" si="92"/>
        <v>Jones</v>
      </c>
    </row>
    <row r="1943" spans="1:5" ht="15.5" x14ac:dyDescent="0.35">
      <c r="A1943" s="1" t="s">
        <v>426</v>
      </c>
      <c r="B1943" s="1" t="s">
        <v>4325</v>
      </c>
      <c r="C1943" t="str">
        <f t="shared" si="90"/>
        <v>Mr.</v>
      </c>
      <c r="D1943" t="str">
        <f t="shared" si="91"/>
        <v>Martin</v>
      </c>
      <c r="E1943" t="str">
        <f t="shared" si="92"/>
        <v>Quinteros</v>
      </c>
    </row>
    <row r="1944" spans="1:5" ht="15.5" x14ac:dyDescent="0.35">
      <c r="A1944" s="1" t="s">
        <v>425</v>
      </c>
      <c r="B1944" s="1" t="s">
        <v>4326</v>
      </c>
      <c r="C1944" t="str">
        <f t="shared" si="90"/>
        <v>Mr.</v>
      </c>
      <c r="D1944" t="str">
        <f t="shared" si="91"/>
        <v>Michael</v>
      </c>
      <c r="E1944" t="str">
        <f t="shared" si="92"/>
        <v>Loenser</v>
      </c>
    </row>
    <row r="1945" spans="1:5" ht="15.5" x14ac:dyDescent="0.35">
      <c r="A1945" s="1" t="s">
        <v>424</v>
      </c>
      <c r="B1945" s="1" t="s">
        <v>4327</v>
      </c>
      <c r="C1945" t="str">
        <f t="shared" si="90"/>
        <v>Mr.</v>
      </c>
      <c r="D1945" t="str">
        <f t="shared" si="91"/>
        <v>Miles</v>
      </c>
      <c r="E1945" t="str">
        <f t="shared" si="92"/>
        <v>Aitken</v>
      </c>
    </row>
    <row r="1946" spans="1:5" ht="15.5" x14ac:dyDescent="0.35">
      <c r="A1946" s="1" t="s">
        <v>423</v>
      </c>
      <c r="B1946" s="1" t="s">
        <v>4328</v>
      </c>
      <c r="C1946" t="str">
        <f t="shared" si="90"/>
        <v>Ms.</v>
      </c>
      <c r="D1946" t="str">
        <f t="shared" si="91"/>
        <v>Amanda</v>
      </c>
      <c r="E1946" t="str">
        <f t="shared" si="92"/>
        <v>Furrer</v>
      </c>
    </row>
    <row r="1947" spans="1:5" ht="15.5" x14ac:dyDescent="0.35">
      <c r="A1947" s="1" t="s">
        <v>422</v>
      </c>
      <c r="B1947" s="1" t="s">
        <v>4329</v>
      </c>
      <c r="C1947" t="str">
        <f t="shared" si="90"/>
        <v>Mr.</v>
      </c>
      <c r="D1947" t="str">
        <f t="shared" si="91"/>
        <v>Roger</v>
      </c>
      <c r="E1947" t="str">
        <f t="shared" si="92"/>
        <v>Konigs</v>
      </c>
    </row>
    <row r="1948" spans="1:5" ht="15.5" x14ac:dyDescent="0.35">
      <c r="A1948" s="1" t="s">
        <v>421</v>
      </c>
      <c r="B1948" s="1" t="s">
        <v>4330</v>
      </c>
      <c r="C1948" t="str">
        <f t="shared" si="90"/>
        <v>Mr.</v>
      </c>
      <c r="D1948" t="str">
        <f t="shared" si="91"/>
        <v>Brock J</v>
      </c>
      <c r="E1948" t="str">
        <f t="shared" si="92"/>
        <v>Tesdahl</v>
      </c>
    </row>
    <row r="1949" spans="1:5" ht="15.5" x14ac:dyDescent="0.35">
      <c r="A1949" s="1" t="s">
        <v>420</v>
      </c>
      <c r="B1949" s="1" t="s">
        <v>4331</v>
      </c>
      <c r="C1949" t="str">
        <f t="shared" si="90"/>
        <v>Mr.</v>
      </c>
      <c r="D1949" t="str">
        <f t="shared" si="91"/>
        <v>Stephen F.</v>
      </c>
      <c r="E1949" t="str">
        <f t="shared" si="92"/>
        <v>Engel</v>
      </c>
    </row>
    <row r="1950" spans="1:5" ht="15.5" x14ac:dyDescent="0.35">
      <c r="A1950" s="1" t="s">
        <v>419</v>
      </c>
      <c r="B1950" s="1" t="s">
        <v>4332</v>
      </c>
      <c r="C1950" t="str">
        <f t="shared" si="90"/>
        <v>Ms.</v>
      </c>
      <c r="D1950" t="str">
        <f t="shared" si="91"/>
        <v>Missy</v>
      </c>
      <c r="E1950" t="str">
        <f t="shared" si="92"/>
        <v>Kuck</v>
      </c>
    </row>
    <row r="1951" spans="1:5" ht="15.5" x14ac:dyDescent="0.35">
      <c r="A1951" s="1" t="s">
        <v>418</v>
      </c>
      <c r="B1951" s="1" t="s">
        <v>4333</v>
      </c>
      <c r="C1951" t="str">
        <f t="shared" si="90"/>
        <v>Mr.</v>
      </c>
      <c r="D1951" t="str">
        <f t="shared" si="91"/>
        <v>William</v>
      </c>
      <c r="E1951" t="str">
        <f t="shared" si="92"/>
        <v>Dillon</v>
      </c>
    </row>
    <row r="1952" spans="1:5" ht="15.5" x14ac:dyDescent="0.35">
      <c r="A1952" s="1" t="s">
        <v>417</v>
      </c>
      <c r="B1952" s="1" t="s">
        <v>4334</v>
      </c>
      <c r="C1952" t="str">
        <f t="shared" si="90"/>
        <v>Ms.</v>
      </c>
      <c r="D1952" t="str">
        <f t="shared" si="91"/>
        <v>Lauren M</v>
      </c>
      <c r="E1952" t="str">
        <f t="shared" si="92"/>
        <v>Neuschel</v>
      </c>
    </row>
    <row r="1953" spans="1:5" ht="15.5" x14ac:dyDescent="0.35">
      <c r="A1953" s="1" t="s">
        <v>416</v>
      </c>
      <c r="B1953" s="1" t="s">
        <v>4335</v>
      </c>
      <c r="C1953" t="str">
        <f t="shared" si="90"/>
        <v>Mr.</v>
      </c>
      <c r="D1953" t="str">
        <f t="shared" si="91"/>
        <v>Apolo U.</v>
      </c>
      <c r="E1953" t="str">
        <f t="shared" si="92"/>
        <v>Rosales Ramirez</v>
      </c>
    </row>
    <row r="1954" spans="1:5" ht="15.5" x14ac:dyDescent="0.35">
      <c r="A1954" s="1" t="s">
        <v>415</v>
      </c>
      <c r="B1954" s="1" t="s">
        <v>4336</v>
      </c>
      <c r="C1954" t="str">
        <f t="shared" si="90"/>
        <v>Mr.</v>
      </c>
      <c r="D1954" t="str">
        <f t="shared" si="91"/>
        <v>Alfons</v>
      </c>
      <c r="E1954" t="str">
        <f t="shared" si="92"/>
        <v>Marquez</v>
      </c>
    </row>
    <row r="1955" spans="1:5" ht="15.5" x14ac:dyDescent="0.35">
      <c r="A1955" s="1" t="s">
        <v>414</v>
      </c>
      <c r="B1955" s="1" t="s">
        <v>4337</v>
      </c>
      <c r="C1955" t="str">
        <f t="shared" si="90"/>
        <v>Ms.</v>
      </c>
      <c r="D1955" t="str">
        <f t="shared" si="91"/>
        <v>Amber</v>
      </c>
      <c r="E1955" t="str">
        <f t="shared" si="92"/>
        <v>Green</v>
      </c>
    </row>
    <row r="1956" spans="1:5" ht="15.5" x14ac:dyDescent="0.35">
      <c r="A1956" s="1" t="s">
        <v>413</v>
      </c>
      <c r="B1956" s="1" t="s">
        <v>4338</v>
      </c>
      <c r="C1956" t="str">
        <f t="shared" si="90"/>
        <v>Ms.</v>
      </c>
      <c r="D1956" t="str">
        <f t="shared" si="91"/>
        <v>Leah C.</v>
      </c>
      <c r="E1956" t="str">
        <f t="shared" si="92"/>
        <v>Schubel</v>
      </c>
    </row>
    <row r="1957" spans="1:5" ht="15.5" x14ac:dyDescent="0.35">
      <c r="A1957" s="1" t="s">
        <v>412</v>
      </c>
      <c r="B1957" s="1" t="s">
        <v>4339</v>
      </c>
      <c r="C1957" t="str">
        <f t="shared" si="90"/>
        <v>Ms.</v>
      </c>
      <c r="D1957" t="str">
        <f t="shared" si="91"/>
        <v>Lilia</v>
      </c>
      <c r="E1957" t="str">
        <f t="shared" si="92"/>
        <v>Jimenez</v>
      </c>
    </row>
    <row r="1958" spans="1:5" ht="15.5" x14ac:dyDescent="0.35">
      <c r="A1958" s="1" t="s">
        <v>411</v>
      </c>
      <c r="B1958" s="1" t="s">
        <v>4340</v>
      </c>
      <c r="C1958" t="str">
        <f t="shared" si="90"/>
        <v>Mr.</v>
      </c>
      <c r="D1958" t="str">
        <f t="shared" si="91"/>
        <v>Danny</v>
      </c>
      <c r="E1958" t="str">
        <f t="shared" si="92"/>
        <v>Zimny-Schmitt</v>
      </c>
    </row>
    <row r="1959" spans="1:5" ht="15.5" x14ac:dyDescent="0.35">
      <c r="A1959" s="1" t="s">
        <v>410</v>
      </c>
      <c r="B1959" s="1" t="s">
        <v>4341</v>
      </c>
      <c r="C1959" t="str">
        <f t="shared" si="90"/>
        <v>Ms.</v>
      </c>
      <c r="D1959" t="str">
        <f t="shared" si="91"/>
        <v>Lauren</v>
      </c>
      <c r="E1959" t="str">
        <f t="shared" si="92"/>
        <v>Hill</v>
      </c>
    </row>
    <row r="1960" spans="1:5" ht="15.5" x14ac:dyDescent="0.35">
      <c r="A1960" s="1" t="s">
        <v>409</v>
      </c>
      <c r="B1960" s="1" t="s">
        <v>4342</v>
      </c>
      <c r="C1960" t="str">
        <f t="shared" si="90"/>
        <v>Ms.</v>
      </c>
      <c r="D1960" t="str">
        <f t="shared" si="91"/>
        <v>Courtney</v>
      </c>
      <c r="E1960" t="str">
        <f t="shared" si="92"/>
        <v>Brohart</v>
      </c>
    </row>
    <row r="1961" spans="1:5" ht="15.5" x14ac:dyDescent="0.35">
      <c r="A1961" s="1" t="s">
        <v>408</v>
      </c>
      <c r="B1961" s="1" t="s">
        <v>4343</v>
      </c>
      <c r="C1961" t="str">
        <f t="shared" si="90"/>
        <v>Ms.</v>
      </c>
      <c r="D1961" t="str">
        <f t="shared" si="91"/>
        <v>Elizabeth</v>
      </c>
      <c r="E1961" t="str">
        <f t="shared" si="92"/>
        <v>Ryan</v>
      </c>
    </row>
    <row r="1962" spans="1:5" ht="15.5" x14ac:dyDescent="0.35">
      <c r="A1962" s="1" t="s">
        <v>407</v>
      </c>
      <c r="B1962" s="1" t="s">
        <v>4344</v>
      </c>
      <c r="C1962" t="str">
        <f t="shared" si="90"/>
        <v>Ms.</v>
      </c>
      <c r="D1962" t="str">
        <f t="shared" si="91"/>
        <v>Satomi</v>
      </c>
      <c r="E1962" t="str">
        <f t="shared" si="92"/>
        <v>Oka</v>
      </c>
    </row>
    <row r="1963" spans="1:5" ht="15.5" x14ac:dyDescent="0.35">
      <c r="A1963" s="1" t="s">
        <v>406</v>
      </c>
      <c r="B1963" s="1" t="s">
        <v>4345</v>
      </c>
      <c r="C1963" t="str">
        <f t="shared" si="90"/>
        <v>Mr.</v>
      </c>
      <c r="D1963" t="str">
        <f t="shared" si="91"/>
        <v>Matthew D</v>
      </c>
      <c r="E1963" t="str">
        <f t="shared" si="92"/>
        <v>Newman</v>
      </c>
    </row>
    <row r="1964" spans="1:5" ht="15.5" x14ac:dyDescent="0.35">
      <c r="A1964" s="1" t="s">
        <v>405</v>
      </c>
      <c r="B1964" s="1" t="s">
        <v>4346</v>
      </c>
      <c r="C1964" t="str">
        <f t="shared" si="90"/>
        <v>Mr.</v>
      </c>
      <c r="D1964" t="str">
        <f t="shared" si="91"/>
        <v>Peter T II</v>
      </c>
      <c r="E1964" t="str">
        <f t="shared" si="92"/>
        <v>Metzger</v>
      </c>
    </row>
    <row r="1965" spans="1:5" ht="15.5" x14ac:dyDescent="0.35">
      <c r="A1965" s="1" t="s">
        <v>404</v>
      </c>
      <c r="B1965" s="1" t="s">
        <v>4347</v>
      </c>
      <c r="C1965" t="str">
        <f t="shared" si="90"/>
        <v>Mr.</v>
      </c>
      <c r="D1965" t="str">
        <f t="shared" si="91"/>
        <v>Manuel</v>
      </c>
      <c r="E1965" t="str">
        <f t="shared" si="92"/>
        <v>Gonzalez</v>
      </c>
    </row>
    <row r="1966" spans="1:5" ht="15.5" x14ac:dyDescent="0.35">
      <c r="A1966" s="1" t="s">
        <v>403</v>
      </c>
      <c r="B1966" s="1" t="s">
        <v>4348</v>
      </c>
      <c r="C1966" t="str">
        <f t="shared" si="90"/>
        <v>Ms.</v>
      </c>
      <c r="D1966" t="str">
        <f t="shared" si="91"/>
        <v>Kindsey P.</v>
      </c>
      <c r="E1966" t="str">
        <f t="shared" si="92"/>
        <v>Vaughn</v>
      </c>
    </row>
    <row r="1967" spans="1:5" ht="15.5" x14ac:dyDescent="0.35">
      <c r="A1967" s="1" t="s">
        <v>402</v>
      </c>
      <c r="B1967" s="1" t="s">
        <v>4349</v>
      </c>
      <c r="C1967" t="str">
        <f t="shared" si="90"/>
        <v>Mr.</v>
      </c>
      <c r="D1967" t="str">
        <f t="shared" si="91"/>
        <v>Thomas G.</v>
      </c>
      <c r="E1967" t="str">
        <f t="shared" si="92"/>
        <v>Clifford</v>
      </c>
    </row>
    <row r="1968" spans="1:5" ht="15.5" x14ac:dyDescent="0.35">
      <c r="A1968" s="1" t="s">
        <v>401</v>
      </c>
      <c r="B1968" s="1" t="s">
        <v>4350</v>
      </c>
      <c r="C1968" t="str">
        <f t="shared" si="90"/>
        <v>Mr.</v>
      </c>
      <c r="D1968" t="str">
        <f t="shared" si="91"/>
        <v>Kyle S</v>
      </c>
      <c r="E1968" t="str">
        <f t="shared" si="92"/>
        <v>Petty</v>
      </c>
    </row>
    <row r="1969" spans="1:5" ht="15.5" x14ac:dyDescent="0.35">
      <c r="A1969" s="1" t="s">
        <v>400</v>
      </c>
      <c r="B1969" s="1" t="s">
        <v>4351</v>
      </c>
      <c r="C1969" t="str">
        <f t="shared" si="90"/>
        <v>Mr.</v>
      </c>
      <c r="D1969" t="str">
        <f t="shared" si="91"/>
        <v>Alexander J.</v>
      </c>
      <c r="E1969" t="str">
        <f t="shared" si="92"/>
        <v>Sanford</v>
      </c>
    </row>
    <row r="1970" spans="1:5" ht="15.5" x14ac:dyDescent="0.35">
      <c r="A1970" s="1" t="s">
        <v>399</v>
      </c>
      <c r="B1970" s="1" t="s">
        <v>4352</v>
      </c>
      <c r="C1970" t="str">
        <f t="shared" si="90"/>
        <v>Mr.</v>
      </c>
      <c r="D1970" t="str">
        <f t="shared" si="91"/>
        <v>Dustin L</v>
      </c>
      <c r="E1970" t="str">
        <f t="shared" si="92"/>
        <v>Sprague</v>
      </c>
    </row>
    <row r="1971" spans="1:5" ht="15.5" x14ac:dyDescent="0.35">
      <c r="A1971" s="1" t="s">
        <v>398</v>
      </c>
      <c r="B1971" s="1" t="s">
        <v>4353</v>
      </c>
      <c r="C1971" t="str">
        <f t="shared" si="90"/>
        <v>Mrs.</v>
      </c>
      <c r="D1971" t="str">
        <f t="shared" si="91"/>
        <v>Chloe</v>
      </c>
      <c r="E1971" t="str">
        <f t="shared" si="92"/>
        <v>Lasseron</v>
      </c>
    </row>
    <row r="1972" spans="1:5" ht="15.5" x14ac:dyDescent="0.35">
      <c r="A1972" s="1" t="s">
        <v>397</v>
      </c>
      <c r="B1972" s="1" t="s">
        <v>4354</v>
      </c>
      <c r="C1972" t="str">
        <f t="shared" si="90"/>
        <v>Ms.</v>
      </c>
      <c r="D1972" t="str">
        <f t="shared" si="91"/>
        <v>Cailtlin</v>
      </c>
      <c r="E1972" t="str">
        <f t="shared" si="92"/>
        <v>Bushong</v>
      </c>
    </row>
    <row r="1973" spans="1:5" ht="15.5" x14ac:dyDescent="0.35">
      <c r="A1973" s="1" t="s">
        <v>396</v>
      </c>
      <c r="B1973" s="1" t="s">
        <v>4355</v>
      </c>
      <c r="C1973" t="str">
        <f t="shared" si="90"/>
        <v>Mr.</v>
      </c>
      <c r="D1973" t="str">
        <f t="shared" si="91"/>
        <v>Joshua</v>
      </c>
      <c r="E1973" t="str">
        <f t="shared" si="92"/>
        <v>Dennison</v>
      </c>
    </row>
    <row r="1974" spans="1:5" ht="15.5" x14ac:dyDescent="0.35">
      <c r="A1974" s="1" t="s">
        <v>395</v>
      </c>
      <c r="B1974" s="1" t="s">
        <v>4356</v>
      </c>
      <c r="C1974" t="str">
        <f t="shared" si="90"/>
        <v>Mr.</v>
      </c>
      <c r="D1974" t="str">
        <f t="shared" si="91"/>
        <v>Chuy</v>
      </c>
      <c r="E1974" t="str">
        <f t="shared" si="92"/>
        <v>Lira</v>
      </c>
    </row>
    <row r="1975" spans="1:5" ht="15.5" x14ac:dyDescent="0.35">
      <c r="A1975" s="1" t="s">
        <v>394</v>
      </c>
      <c r="B1975" s="1" t="s">
        <v>4357</v>
      </c>
      <c r="C1975" t="str">
        <f t="shared" si="90"/>
        <v>Ms.</v>
      </c>
      <c r="D1975" t="str">
        <f t="shared" si="91"/>
        <v>Laurie B</v>
      </c>
      <c r="E1975" t="str">
        <f t="shared" si="92"/>
        <v>Nahigian</v>
      </c>
    </row>
    <row r="1976" spans="1:5" ht="15.5" x14ac:dyDescent="0.35">
      <c r="A1976" s="1" t="s">
        <v>393</v>
      </c>
      <c r="B1976" s="1" t="s">
        <v>4358</v>
      </c>
      <c r="C1976" t="str">
        <f t="shared" si="90"/>
        <v>Ms.</v>
      </c>
      <c r="D1976" t="str">
        <f t="shared" si="91"/>
        <v>Rachel B.</v>
      </c>
      <c r="E1976" t="str">
        <f t="shared" si="92"/>
        <v>Cackett</v>
      </c>
    </row>
    <row r="1977" spans="1:5" ht="15.5" x14ac:dyDescent="0.35">
      <c r="A1977" s="1" t="s">
        <v>392</v>
      </c>
      <c r="B1977" s="1" t="s">
        <v>4359</v>
      </c>
      <c r="C1977" t="str">
        <f t="shared" si="90"/>
        <v>Ms.</v>
      </c>
      <c r="D1977" t="str">
        <f t="shared" si="91"/>
        <v>Liza</v>
      </c>
      <c r="E1977" t="str">
        <f t="shared" si="92"/>
        <v>Hunter-Galvan</v>
      </c>
    </row>
    <row r="1978" spans="1:5" ht="15.5" x14ac:dyDescent="0.35">
      <c r="A1978" s="1" t="s">
        <v>391</v>
      </c>
      <c r="B1978" s="1" t="s">
        <v>4360</v>
      </c>
      <c r="C1978" t="str">
        <f t="shared" si="90"/>
        <v>Ms.</v>
      </c>
      <c r="D1978" t="str">
        <f t="shared" si="91"/>
        <v>Lindsey</v>
      </c>
      <c r="E1978" t="str">
        <f t="shared" si="92"/>
        <v>Pierret</v>
      </c>
    </row>
    <row r="1979" spans="1:5" ht="15.5" x14ac:dyDescent="0.35">
      <c r="A1979" s="1" t="s">
        <v>390</v>
      </c>
      <c r="B1979" s="1" t="s">
        <v>4361</v>
      </c>
      <c r="C1979" t="str">
        <f t="shared" si="90"/>
        <v>Ms.</v>
      </c>
      <c r="D1979" t="str">
        <f t="shared" si="91"/>
        <v>Lindsay E.</v>
      </c>
      <c r="E1979" t="str">
        <f t="shared" si="92"/>
        <v>White</v>
      </c>
    </row>
    <row r="1980" spans="1:5" ht="15.5" x14ac:dyDescent="0.35">
      <c r="A1980" s="1" t="s">
        <v>389</v>
      </c>
      <c r="B1980" s="1" t="s">
        <v>4362</v>
      </c>
      <c r="C1980" t="str">
        <f t="shared" si="90"/>
        <v>Ms.</v>
      </c>
      <c r="D1980" t="str">
        <f t="shared" si="91"/>
        <v>Kathleen M.</v>
      </c>
      <c r="E1980" t="str">
        <f t="shared" si="92"/>
        <v>O'Neil</v>
      </c>
    </row>
    <row r="1981" spans="1:5" ht="15.5" x14ac:dyDescent="0.35">
      <c r="A1981" s="1" t="s">
        <v>388</v>
      </c>
      <c r="B1981" s="1" t="s">
        <v>4363</v>
      </c>
      <c r="C1981" t="str">
        <f t="shared" si="90"/>
        <v>Ms.</v>
      </c>
      <c r="D1981" t="str">
        <f t="shared" si="91"/>
        <v>Aya</v>
      </c>
      <c r="E1981" t="str">
        <f t="shared" si="92"/>
        <v>Leitz</v>
      </c>
    </row>
    <row r="1982" spans="1:5" ht="15.5" x14ac:dyDescent="0.35">
      <c r="A1982" s="1" t="s">
        <v>387</v>
      </c>
      <c r="B1982" s="1" t="s">
        <v>4364</v>
      </c>
      <c r="C1982" t="str">
        <f t="shared" si="90"/>
        <v>Ms.</v>
      </c>
      <c r="D1982" t="str">
        <f t="shared" si="91"/>
        <v>Carolyn R</v>
      </c>
      <c r="E1982" t="str">
        <f t="shared" si="92"/>
        <v>Durfee</v>
      </c>
    </row>
    <row r="1983" spans="1:5" ht="15.5" x14ac:dyDescent="0.35">
      <c r="A1983" s="1" t="s">
        <v>386</v>
      </c>
      <c r="B1983" s="1" t="s">
        <v>4365</v>
      </c>
      <c r="C1983" t="str">
        <f t="shared" si="90"/>
        <v>Ms.</v>
      </c>
      <c r="D1983" t="str">
        <f t="shared" si="91"/>
        <v>Bethany</v>
      </c>
      <c r="E1983" t="str">
        <f t="shared" si="92"/>
        <v>Maylone</v>
      </c>
    </row>
    <row r="1984" spans="1:5" ht="15.5" x14ac:dyDescent="0.35">
      <c r="A1984" s="1" t="s">
        <v>385</v>
      </c>
      <c r="B1984" s="1" t="s">
        <v>4366</v>
      </c>
      <c r="C1984" t="str">
        <f t="shared" si="90"/>
        <v>Ms.</v>
      </c>
      <c r="D1984" t="str">
        <f t="shared" si="91"/>
        <v>Holly A</v>
      </c>
      <c r="E1984" t="str">
        <f t="shared" si="92"/>
        <v>Reiland</v>
      </c>
    </row>
    <row r="1985" spans="1:5" ht="15.5" x14ac:dyDescent="0.35">
      <c r="A1985" s="1" t="s">
        <v>384</v>
      </c>
      <c r="B1985" s="1" t="s">
        <v>4367</v>
      </c>
      <c r="C1985" t="str">
        <f t="shared" si="90"/>
        <v>Mr.</v>
      </c>
      <c r="D1985" t="str">
        <f t="shared" si="91"/>
        <v>Ping</v>
      </c>
      <c r="E1985" t="str">
        <f t="shared" si="92"/>
        <v>Hu</v>
      </c>
    </row>
    <row r="1986" spans="1:5" ht="15.5" x14ac:dyDescent="0.35">
      <c r="A1986" s="1" t="s">
        <v>383</v>
      </c>
      <c r="B1986" s="1" t="s">
        <v>4368</v>
      </c>
      <c r="C1986" t="str">
        <f t="shared" si="90"/>
        <v>Mr.</v>
      </c>
      <c r="D1986" t="str">
        <f t="shared" si="91"/>
        <v>Tim</v>
      </c>
      <c r="E1986" t="str">
        <f t="shared" si="92"/>
        <v>Lessek</v>
      </c>
    </row>
    <row r="1987" spans="1:5" ht="15.5" x14ac:dyDescent="0.35">
      <c r="A1987" s="1" t="s">
        <v>382</v>
      </c>
      <c r="B1987" s="1" t="s">
        <v>4369</v>
      </c>
      <c r="C1987" t="str">
        <f t="shared" ref="C1987:C2050" si="93">TRIM(MID(B1987,FIND(",",B1987)+1,FIND(".",B1987)-FIND(",",B1987)))</f>
        <v>Mr.</v>
      </c>
      <c r="D1987" t="str">
        <f t="shared" ref="D1987:D2050" si="94">TRIM(MID(B1987,FIND(".",B1987)+1,LEN(B1987)))</f>
        <v>John</v>
      </c>
      <c r="E1987" t="str">
        <f t="shared" ref="E1987:E2050" si="95">TRIM(LEFT(B1987,FIND(",",B1987)-1))</f>
        <v>Colavincenzo</v>
      </c>
    </row>
    <row r="1988" spans="1:5" ht="15.5" x14ac:dyDescent="0.35">
      <c r="A1988" s="1" t="s">
        <v>381</v>
      </c>
      <c r="B1988" s="1" t="s">
        <v>4370</v>
      </c>
      <c r="C1988" t="str">
        <f t="shared" si="93"/>
        <v>Mrs.</v>
      </c>
      <c r="D1988" t="str">
        <f t="shared" si="94"/>
        <v>Cynthia</v>
      </c>
      <c r="E1988" t="str">
        <f t="shared" si="95"/>
        <v>Mendez-Karr</v>
      </c>
    </row>
    <row r="1989" spans="1:5" ht="15.5" x14ac:dyDescent="0.35">
      <c r="A1989" s="1" t="s">
        <v>380</v>
      </c>
      <c r="B1989" s="1" t="s">
        <v>4371</v>
      </c>
      <c r="C1989" t="str">
        <f t="shared" si="93"/>
        <v>Mr.</v>
      </c>
      <c r="D1989" t="str">
        <f t="shared" si="94"/>
        <v>Emmett</v>
      </c>
      <c r="E1989" t="str">
        <f t="shared" si="95"/>
        <v>Saulnier</v>
      </c>
    </row>
    <row r="1990" spans="1:5" ht="15.5" x14ac:dyDescent="0.35">
      <c r="A1990" s="1" t="s">
        <v>379</v>
      </c>
      <c r="B1990" s="1" t="s">
        <v>4372</v>
      </c>
      <c r="C1990" t="str">
        <f t="shared" si="93"/>
        <v>Ms.</v>
      </c>
      <c r="D1990" t="str">
        <f t="shared" si="94"/>
        <v>Kate</v>
      </c>
      <c r="E1990" t="str">
        <f t="shared" si="95"/>
        <v>Schoonover</v>
      </c>
    </row>
    <row r="1991" spans="1:5" ht="15.5" x14ac:dyDescent="0.35">
      <c r="A1991" s="1" t="s">
        <v>378</v>
      </c>
      <c r="B1991" s="1" t="s">
        <v>4373</v>
      </c>
      <c r="C1991" t="str">
        <f t="shared" si="93"/>
        <v>Mr.</v>
      </c>
      <c r="D1991" t="str">
        <f t="shared" si="94"/>
        <v>Christopher L.</v>
      </c>
      <c r="E1991" t="str">
        <f t="shared" si="95"/>
        <v>Hass</v>
      </c>
    </row>
    <row r="1992" spans="1:5" ht="15.5" x14ac:dyDescent="0.35">
      <c r="A1992" s="1" t="s">
        <v>377</v>
      </c>
      <c r="B1992" s="1" t="s">
        <v>4374</v>
      </c>
      <c r="C1992" t="str">
        <f t="shared" si="93"/>
        <v>Mr.</v>
      </c>
      <c r="D1992" t="str">
        <f t="shared" si="94"/>
        <v>Christopher P.</v>
      </c>
      <c r="E1992" t="str">
        <f t="shared" si="95"/>
        <v>Cadotte</v>
      </c>
    </row>
    <row r="1993" spans="1:5" ht="15.5" x14ac:dyDescent="0.35">
      <c r="A1993" s="1" t="s">
        <v>376</v>
      </c>
      <c r="B1993" s="1" t="s">
        <v>4375</v>
      </c>
      <c r="C1993" t="str">
        <f t="shared" si="93"/>
        <v>Mr.</v>
      </c>
      <c r="D1993" t="str">
        <f t="shared" si="94"/>
        <v>Christopher W</v>
      </c>
      <c r="E1993" t="str">
        <f t="shared" si="95"/>
        <v>Cacciapaglia</v>
      </c>
    </row>
    <row r="1994" spans="1:5" ht="15.5" x14ac:dyDescent="0.35">
      <c r="A1994" s="1" t="s">
        <v>375</v>
      </c>
      <c r="B1994" s="1" t="s">
        <v>4376</v>
      </c>
      <c r="C1994" t="str">
        <f t="shared" si="93"/>
        <v>Mr.</v>
      </c>
      <c r="D1994" t="str">
        <f t="shared" si="94"/>
        <v>Norman H.</v>
      </c>
      <c r="E1994" t="str">
        <f t="shared" si="95"/>
        <v>Mininger</v>
      </c>
    </row>
    <row r="1995" spans="1:5" ht="15.5" x14ac:dyDescent="0.35">
      <c r="A1995" s="1" t="s">
        <v>374</v>
      </c>
      <c r="B1995" s="1" t="s">
        <v>4377</v>
      </c>
      <c r="C1995" t="str">
        <f t="shared" si="93"/>
        <v>Ms.</v>
      </c>
      <c r="D1995" t="str">
        <f t="shared" si="94"/>
        <v>Susan</v>
      </c>
      <c r="E1995" t="str">
        <f t="shared" si="95"/>
        <v>Mayo</v>
      </c>
    </row>
    <row r="1996" spans="1:5" ht="15.5" x14ac:dyDescent="0.35">
      <c r="A1996" s="1" t="s">
        <v>373</v>
      </c>
      <c r="B1996" s="1" t="s">
        <v>4378</v>
      </c>
      <c r="C1996" t="str">
        <f t="shared" si="93"/>
        <v>Ms.</v>
      </c>
      <c r="D1996" t="str">
        <f t="shared" si="94"/>
        <v>Tatyana K</v>
      </c>
      <c r="E1996" t="str">
        <f t="shared" si="95"/>
        <v>Zicko</v>
      </c>
    </row>
    <row r="1997" spans="1:5" ht="15.5" x14ac:dyDescent="0.35">
      <c r="A1997" s="1" t="s">
        <v>372</v>
      </c>
      <c r="B1997" s="1" t="s">
        <v>4379</v>
      </c>
      <c r="C1997" t="str">
        <f t="shared" si="93"/>
        <v>Ms.</v>
      </c>
      <c r="D1997" t="str">
        <f t="shared" si="94"/>
        <v>Chrissy</v>
      </c>
      <c r="E1997" t="str">
        <f t="shared" si="95"/>
        <v>Graham</v>
      </c>
    </row>
    <row r="1998" spans="1:5" ht="15.5" x14ac:dyDescent="0.35">
      <c r="A1998" s="1" t="s">
        <v>371</v>
      </c>
      <c r="B1998" s="1" t="s">
        <v>4380</v>
      </c>
      <c r="C1998" t="str">
        <f t="shared" si="93"/>
        <v>Ms.</v>
      </c>
      <c r="D1998" t="str">
        <f t="shared" si="94"/>
        <v>Carrie</v>
      </c>
      <c r="E1998" t="str">
        <f t="shared" si="95"/>
        <v>Boland</v>
      </c>
    </row>
    <row r="1999" spans="1:5" ht="15.5" x14ac:dyDescent="0.35">
      <c r="A1999" s="1" t="s">
        <v>370</v>
      </c>
      <c r="B1999" s="1" t="s">
        <v>4381</v>
      </c>
      <c r="C1999" t="str">
        <f t="shared" si="93"/>
        <v>Ms.</v>
      </c>
      <c r="D1999" t="str">
        <f t="shared" si="94"/>
        <v>Halle</v>
      </c>
      <c r="E1999" t="str">
        <f t="shared" si="95"/>
        <v>Cupp</v>
      </c>
    </row>
    <row r="2000" spans="1:5" ht="15.5" x14ac:dyDescent="0.35">
      <c r="A2000" s="1" t="s">
        <v>369</v>
      </c>
      <c r="B2000" s="1" t="s">
        <v>4382</v>
      </c>
      <c r="C2000" t="str">
        <f t="shared" si="93"/>
        <v>Ms.</v>
      </c>
      <c r="D2000" t="str">
        <f t="shared" si="94"/>
        <v>Carolyn</v>
      </c>
      <c r="E2000" t="str">
        <f t="shared" si="95"/>
        <v>Shaw</v>
      </c>
    </row>
    <row r="2001" spans="1:5" ht="15.5" x14ac:dyDescent="0.35">
      <c r="A2001" s="1" t="s">
        <v>368</v>
      </c>
      <c r="B2001" s="1" t="s">
        <v>4383</v>
      </c>
      <c r="C2001" t="str">
        <f t="shared" si="93"/>
        <v>Ms.</v>
      </c>
      <c r="D2001" t="str">
        <f t="shared" si="94"/>
        <v>Tara D.</v>
      </c>
      <c r="E2001" t="str">
        <f t="shared" si="95"/>
        <v>Klassen</v>
      </c>
    </row>
    <row r="2002" spans="1:5" ht="15.5" x14ac:dyDescent="0.35">
      <c r="A2002" s="1" t="s">
        <v>367</v>
      </c>
      <c r="B2002" s="1" t="s">
        <v>4384</v>
      </c>
      <c r="C2002" t="str">
        <f t="shared" si="93"/>
        <v>Mr.</v>
      </c>
      <c r="D2002" t="str">
        <f t="shared" si="94"/>
        <v>Rasim M</v>
      </c>
      <c r="E2002" t="str">
        <f t="shared" si="95"/>
        <v>Musal</v>
      </c>
    </row>
    <row r="2003" spans="1:5" ht="15.5" x14ac:dyDescent="0.35">
      <c r="A2003" s="1" t="s">
        <v>366</v>
      </c>
      <c r="B2003" s="1" t="s">
        <v>4385</v>
      </c>
      <c r="C2003" t="str">
        <f t="shared" si="93"/>
        <v>Ms.</v>
      </c>
      <c r="D2003" t="str">
        <f t="shared" si="94"/>
        <v>Dina</v>
      </c>
      <c r="E2003" t="str">
        <f t="shared" si="95"/>
        <v>Kitayama</v>
      </c>
    </row>
    <row r="2004" spans="1:5" ht="15.5" x14ac:dyDescent="0.35">
      <c r="A2004" s="1" t="s">
        <v>365</v>
      </c>
      <c r="B2004" s="1" t="s">
        <v>4386</v>
      </c>
      <c r="C2004" t="str">
        <f t="shared" si="93"/>
        <v>Ms.</v>
      </c>
      <c r="D2004" t="str">
        <f t="shared" si="94"/>
        <v>Lisa</v>
      </c>
      <c r="E2004" t="str">
        <f t="shared" si="95"/>
        <v>Altman</v>
      </c>
    </row>
    <row r="2005" spans="1:5" ht="15.5" x14ac:dyDescent="0.35">
      <c r="A2005" s="1" t="s">
        <v>364</v>
      </c>
      <c r="B2005" s="1" t="s">
        <v>4387</v>
      </c>
      <c r="C2005" t="str">
        <f t="shared" si="93"/>
        <v>Ms.</v>
      </c>
      <c r="D2005" t="str">
        <f t="shared" si="94"/>
        <v>Caitrin</v>
      </c>
      <c r="E2005" t="str">
        <f t="shared" si="95"/>
        <v>Demchko</v>
      </c>
    </row>
    <row r="2006" spans="1:5" ht="15.5" x14ac:dyDescent="0.35">
      <c r="A2006" s="1" t="s">
        <v>363</v>
      </c>
      <c r="B2006" s="1" t="s">
        <v>4388</v>
      </c>
      <c r="C2006" t="str">
        <f t="shared" si="93"/>
        <v>Ms.</v>
      </c>
      <c r="D2006" t="str">
        <f t="shared" si="94"/>
        <v>Adriana S</v>
      </c>
      <c r="E2006" t="str">
        <f t="shared" si="95"/>
        <v>Wild</v>
      </c>
    </row>
    <row r="2007" spans="1:5" ht="15.5" x14ac:dyDescent="0.35">
      <c r="A2007" s="1" t="s">
        <v>362</v>
      </c>
      <c r="B2007" s="1" t="s">
        <v>4389</v>
      </c>
      <c r="C2007" t="str">
        <f t="shared" si="93"/>
        <v>Ms.</v>
      </c>
      <c r="D2007" t="str">
        <f t="shared" si="94"/>
        <v>Megan</v>
      </c>
      <c r="E2007" t="str">
        <f t="shared" si="95"/>
        <v>Betts</v>
      </c>
    </row>
    <row r="2008" spans="1:5" ht="15.5" x14ac:dyDescent="0.35">
      <c r="A2008" s="1" t="s">
        <v>361</v>
      </c>
      <c r="B2008" s="1" t="s">
        <v>4390</v>
      </c>
      <c r="C2008" t="str">
        <f t="shared" si="93"/>
        <v>Mrs.</v>
      </c>
      <c r="D2008" t="str">
        <f t="shared" si="94"/>
        <v>Kristen M</v>
      </c>
      <c r="E2008" t="str">
        <f t="shared" si="95"/>
        <v>Martin</v>
      </c>
    </row>
    <row r="2009" spans="1:5" ht="15.5" x14ac:dyDescent="0.35">
      <c r="A2009" s="1" t="s">
        <v>360</v>
      </c>
      <c r="B2009" s="1" t="s">
        <v>4391</v>
      </c>
      <c r="C2009" t="str">
        <f t="shared" si="93"/>
        <v>Ms.</v>
      </c>
      <c r="D2009" t="str">
        <f t="shared" si="94"/>
        <v>Alix</v>
      </c>
      <c r="E2009" t="str">
        <f t="shared" si="95"/>
        <v>Vandeventer</v>
      </c>
    </row>
    <row r="2010" spans="1:5" ht="15.5" x14ac:dyDescent="0.35">
      <c r="A2010" s="1" t="s">
        <v>359</v>
      </c>
      <c r="B2010" s="1" t="s">
        <v>4392</v>
      </c>
      <c r="C2010" t="str">
        <f t="shared" si="93"/>
        <v>Mr.</v>
      </c>
      <c r="D2010" t="str">
        <f t="shared" si="94"/>
        <v>Kakushin</v>
      </c>
      <c r="E2010" t="str">
        <f t="shared" si="95"/>
        <v>Hirano</v>
      </c>
    </row>
    <row r="2011" spans="1:5" ht="15.5" x14ac:dyDescent="0.35">
      <c r="A2011" s="1" t="s">
        <v>358</v>
      </c>
      <c r="B2011" s="1" t="s">
        <v>4393</v>
      </c>
      <c r="C2011" t="str">
        <f t="shared" si="93"/>
        <v>Mr.</v>
      </c>
      <c r="D2011" t="str">
        <f t="shared" si="94"/>
        <v>Michael J</v>
      </c>
      <c r="E2011" t="str">
        <f t="shared" si="95"/>
        <v>Davi</v>
      </c>
    </row>
    <row r="2012" spans="1:5" ht="15.5" x14ac:dyDescent="0.35">
      <c r="A2012" s="1" t="s">
        <v>357</v>
      </c>
      <c r="B2012" s="1" t="s">
        <v>4394</v>
      </c>
      <c r="C2012" t="str">
        <f t="shared" si="93"/>
        <v>Mr.</v>
      </c>
      <c r="D2012" t="str">
        <f t="shared" si="94"/>
        <v>Bradley</v>
      </c>
      <c r="E2012" t="str">
        <f t="shared" si="95"/>
        <v>Sloan</v>
      </c>
    </row>
    <row r="2013" spans="1:5" ht="15.5" x14ac:dyDescent="0.35">
      <c r="A2013" s="1" t="s">
        <v>355</v>
      </c>
      <c r="B2013" s="1" t="s">
        <v>4395</v>
      </c>
      <c r="C2013" t="str">
        <f t="shared" si="93"/>
        <v>Mr.</v>
      </c>
      <c r="D2013" t="str">
        <f t="shared" si="94"/>
        <v>Matt</v>
      </c>
      <c r="E2013" t="str">
        <f t="shared" si="95"/>
        <v>Homich</v>
      </c>
    </row>
    <row r="2014" spans="1:5" ht="15.5" x14ac:dyDescent="0.35">
      <c r="A2014" s="1" t="s">
        <v>354</v>
      </c>
      <c r="B2014" s="1" t="s">
        <v>4396</v>
      </c>
      <c r="C2014" t="str">
        <f t="shared" si="93"/>
        <v>Ms.</v>
      </c>
      <c r="D2014" t="str">
        <f t="shared" si="94"/>
        <v>Amanda C.</v>
      </c>
      <c r="E2014" t="str">
        <f t="shared" si="95"/>
        <v>Bell</v>
      </c>
    </row>
    <row r="2015" spans="1:5" ht="15.5" x14ac:dyDescent="0.35">
      <c r="A2015" s="1" t="s">
        <v>353</v>
      </c>
      <c r="B2015" s="1" t="s">
        <v>4397</v>
      </c>
      <c r="C2015" t="str">
        <f t="shared" si="93"/>
        <v>Mr.</v>
      </c>
      <c r="D2015" t="str">
        <f t="shared" si="94"/>
        <v>Valur</v>
      </c>
      <c r="E2015" t="str">
        <f t="shared" si="95"/>
        <v>Kristjansson</v>
      </c>
    </row>
    <row r="2016" spans="1:5" ht="15.5" x14ac:dyDescent="0.35">
      <c r="A2016" s="1" t="s">
        <v>352</v>
      </c>
      <c r="B2016" s="1" t="s">
        <v>4398</v>
      </c>
      <c r="C2016" t="str">
        <f t="shared" si="93"/>
        <v>Ms.</v>
      </c>
      <c r="D2016" t="str">
        <f t="shared" si="94"/>
        <v>Erica J</v>
      </c>
      <c r="E2016" t="str">
        <f t="shared" si="95"/>
        <v>Pitman</v>
      </c>
    </row>
    <row r="2017" spans="1:5" ht="15.5" x14ac:dyDescent="0.35">
      <c r="A2017" s="1" t="s">
        <v>351</v>
      </c>
      <c r="B2017" s="1" t="s">
        <v>4399</v>
      </c>
      <c r="C2017" t="str">
        <f t="shared" si="93"/>
        <v>Mr.</v>
      </c>
      <c r="D2017" t="str">
        <f t="shared" si="94"/>
        <v>Stephen F.</v>
      </c>
      <c r="E2017" t="str">
        <f t="shared" si="95"/>
        <v>Curley</v>
      </c>
    </row>
    <row r="2018" spans="1:5" ht="15.5" x14ac:dyDescent="0.35">
      <c r="A2018" s="1" t="s">
        <v>350</v>
      </c>
      <c r="B2018" s="1" t="s">
        <v>4400</v>
      </c>
      <c r="C2018" t="str">
        <f t="shared" si="93"/>
        <v>Ms.</v>
      </c>
      <c r="D2018" t="str">
        <f t="shared" si="94"/>
        <v>Lissa</v>
      </c>
      <c r="E2018" t="str">
        <f t="shared" si="95"/>
        <v>Zimmer</v>
      </c>
    </row>
    <row r="2019" spans="1:5" ht="15.5" x14ac:dyDescent="0.35">
      <c r="A2019" s="1" t="s">
        <v>349</v>
      </c>
      <c r="B2019" s="1" t="s">
        <v>4401</v>
      </c>
      <c r="C2019" t="str">
        <f t="shared" si="93"/>
        <v>Ms.</v>
      </c>
      <c r="D2019" t="str">
        <f t="shared" si="94"/>
        <v>Megan</v>
      </c>
      <c r="E2019" t="str">
        <f t="shared" si="95"/>
        <v>Granski</v>
      </c>
    </row>
    <row r="2020" spans="1:5" ht="15.5" x14ac:dyDescent="0.35">
      <c r="A2020" s="1" t="s">
        <v>348</v>
      </c>
      <c r="B2020" s="1" t="s">
        <v>4402</v>
      </c>
      <c r="C2020" t="str">
        <f t="shared" si="93"/>
        <v>Ms.</v>
      </c>
      <c r="D2020" t="str">
        <f t="shared" si="94"/>
        <v>Alyson</v>
      </c>
      <c r="E2020" t="str">
        <f t="shared" si="95"/>
        <v>Dunn</v>
      </c>
    </row>
    <row r="2021" spans="1:5" ht="15.5" x14ac:dyDescent="0.35">
      <c r="A2021" s="1" t="s">
        <v>347</v>
      </c>
      <c r="B2021" s="1" t="s">
        <v>4403</v>
      </c>
      <c r="C2021" t="str">
        <f t="shared" si="93"/>
        <v>Mr.</v>
      </c>
      <c r="D2021" t="str">
        <f t="shared" si="94"/>
        <v>Chance B</v>
      </c>
      <c r="E2021" t="str">
        <f t="shared" si="95"/>
        <v>Regina</v>
      </c>
    </row>
    <row r="2022" spans="1:5" ht="15.5" x14ac:dyDescent="0.35">
      <c r="A2022" s="1" t="s">
        <v>346</v>
      </c>
      <c r="B2022" s="1" t="s">
        <v>4404</v>
      </c>
      <c r="C2022" t="str">
        <f t="shared" si="93"/>
        <v>Mr.</v>
      </c>
      <c r="D2022" t="str">
        <f t="shared" si="94"/>
        <v>Sean P</v>
      </c>
      <c r="E2022" t="str">
        <f t="shared" si="95"/>
        <v>O'Connor</v>
      </c>
    </row>
    <row r="2023" spans="1:5" ht="15.5" x14ac:dyDescent="0.35">
      <c r="A2023" s="1" t="s">
        <v>345</v>
      </c>
      <c r="B2023" s="1" t="s">
        <v>4405</v>
      </c>
      <c r="C2023" t="str">
        <f t="shared" si="93"/>
        <v>Ms.</v>
      </c>
      <c r="D2023" t="str">
        <f t="shared" si="94"/>
        <v>Therese</v>
      </c>
      <c r="E2023" t="str">
        <f t="shared" si="95"/>
        <v>Howe</v>
      </c>
    </row>
    <row r="2024" spans="1:5" ht="15.5" x14ac:dyDescent="0.35">
      <c r="A2024" s="1" t="s">
        <v>344</v>
      </c>
      <c r="B2024" s="1" t="s">
        <v>4406</v>
      </c>
      <c r="C2024" t="str">
        <f t="shared" si="93"/>
        <v>Mr.</v>
      </c>
      <c r="D2024" t="str">
        <f t="shared" si="94"/>
        <v>Beau</v>
      </c>
      <c r="E2024" t="str">
        <f t="shared" si="95"/>
        <v>Atwater</v>
      </c>
    </row>
    <row r="2025" spans="1:5" ht="15.5" x14ac:dyDescent="0.35">
      <c r="A2025" s="1" t="s">
        <v>343</v>
      </c>
      <c r="B2025" s="1" t="s">
        <v>4407</v>
      </c>
      <c r="C2025" t="str">
        <f t="shared" si="93"/>
        <v>Ms.</v>
      </c>
      <c r="D2025" t="str">
        <f t="shared" si="94"/>
        <v>Kelsey M</v>
      </c>
      <c r="E2025" t="str">
        <f t="shared" si="95"/>
        <v>Gurganus</v>
      </c>
    </row>
    <row r="2026" spans="1:5" ht="15.5" x14ac:dyDescent="0.35">
      <c r="A2026" s="1" t="s">
        <v>342</v>
      </c>
      <c r="B2026" s="1" t="s">
        <v>4408</v>
      </c>
      <c r="C2026" t="str">
        <f t="shared" si="93"/>
        <v>Ms.</v>
      </c>
      <c r="D2026" t="str">
        <f t="shared" si="94"/>
        <v>Gretchen</v>
      </c>
      <c r="E2026" t="str">
        <f t="shared" si="95"/>
        <v>Holden</v>
      </c>
    </row>
    <row r="2027" spans="1:5" ht="15.5" x14ac:dyDescent="0.35">
      <c r="A2027" s="1" t="s">
        <v>341</v>
      </c>
      <c r="B2027" s="1" t="s">
        <v>4409</v>
      </c>
      <c r="C2027" t="str">
        <f t="shared" si="93"/>
        <v>Mr.</v>
      </c>
      <c r="D2027" t="str">
        <f t="shared" si="94"/>
        <v>Nicholas E.</v>
      </c>
      <c r="E2027" t="str">
        <f t="shared" si="95"/>
        <v>Parton</v>
      </c>
    </row>
    <row r="2028" spans="1:5" ht="15.5" x14ac:dyDescent="0.35">
      <c r="A2028" s="1" t="s">
        <v>340</v>
      </c>
      <c r="B2028" s="1" t="s">
        <v>4410</v>
      </c>
      <c r="C2028" t="str">
        <f t="shared" si="93"/>
        <v>Ms.</v>
      </c>
      <c r="D2028" t="str">
        <f t="shared" si="94"/>
        <v>Deborah</v>
      </c>
      <c r="E2028" t="str">
        <f t="shared" si="95"/>
        <v>Downs</v>
      </c>
    </row>
    <row r="2029" spans="1:5" ht="15.5" x14ac:dyDescent="0.35">
      <c r="A2029" s="1" t="s">
        <v>339</v>
      </c>
      <c r="B2029" s="1" t="s">
        <v>4411</v>
      </c>
      <c r="C2029" t="str">
        <f t="shared" si="93"/>
        <v>Mr.</v>
      </c>
      <c r="D2029" t="str">
        <f t="shared" si="94"/>
        <v>Chuck W. Jr.</v>
      </c>
      <c r="E2029" t="str">
        <f t="shared" si="95"/>
        <v>Dent</v>
      </c>
    </row>
    <row r="2030" spans="1:5" ht="15.5" x14ac:dyDescent="0.35">
      <c r="A2030" s="1" t="s">
        <v>338</v>
      </c>
      <c r="B2030" s="1" t="s">
        <v>4412</v>
      </c>
      <c r="C2030" t="str">
        <f t="shared" si="93"/>
        <v>Mr.</v>
      </c>
      <c r="D2030" t="str">
        <f t="shared" si="94"/>
        <v>Daniel</v>
      </c>
      <c r="E2030" t="str">
        <f t="shared" si="95"/>
        <v>Ranti</v>
      </c>
    </row>
    <row r="2031" spans="1:5" ht="15.5" x14ac:dyDescent="0.35">
      <c r="A2031" s="1" t="s">
        <v>337</v>
      </c>
      <c r="B2031" s="1" t="s">
        <v>4413</v>
      </c>
      <c r="C2031" t="str">
        <f t="shared" si="93"/>
        <v>Ms.</v>
      </c>
      <c r="D2031" t="str">
        <f t="shared" si="94"/>
        <v>Amany</v>
      </c>
      <c r="E2031" t="str">
        <f t="shared" si="95"/>
        <v>Ishaq</v>
      </c>
    </row>
    <row r="2032" spans="1:5" ht="15.5" x14ac:dyDescent="0.35">
      <c r="A2032" s="1" t="s">
        <v>336</v>
      </c>
      <c r="B2032" s="1" t="s">
        <v>4414</v>
      </c>
      <c r="C2032" t="str">
        <f t="shared" si="93"/>
        <v>Ms.</v>
      </c>
      <c r="D2032" t="str">
        <f t="shared" si="94"/>
        <v>Kipling</v>
      </c>
      <c r="E2032" t="str">
        <f t="shared" si="95"/>
        <v>Wiles</v>
      </c>
    </row>
    <row r="2033" spans="1:5" ht="15.5" x14ac:dyDescent="0.35">
      <c r="A2033" s="1" t="s">
        <v>335</v>
      </c>
      <c r="B2033" s="1" t="s">
        <v>4415</v>
      </c>
      <c r="C2033" t="str">
        <f t="shared" si="93"/>
        <v>Mr.</v>
      </c>
      <c r="D2033" t="str">
        <f t="shared" si="94"/>
        <v>Duncan</v>
      </c>
      <c r="E2033" t="str">
        <f t="shared" si="95"/>
        <v>Roberts</v>
      </c>
    </row>
    <row r="2034" spans="1:5" ht="15.5" x14ac:dyDescent="0.35">
      <c r="A2034" s="1" t="s">
        <v>334</v>
      </c>
      <c r="B2034" s="1" t="s">
        <v>4416</v>
      </c>
      <c r="C2034" t="str">
        <f t="shared" si="93"/>
        <v>Mr.</v>
      </c>
      <c r="D2034" t="str">
        <f t="shared" si="94"/>
        <v>Louis C.</v>
      </c>
      <c r="E2034" t="str">
        <f t="shared" si="95"/>
        <v>Serafini</v>
      </c>
    </row>
    <row r="2035" spans="1:5" ht="15.5" x14ac:dyDescent="0.35">
      <c r="A2035" s="1" t="s">
        <v>333</v>
      </c>
      <c r="B2035" s="1" t="s">
        <v>4417</v>
      </c>
      <c r="C2035" t="str">
        <f t="shared" si="93"/>
        <v>Mr.</v>
      </c>
      <c r="D2035" t="str">
        <f t="shared" si="94"/>
        <v>Daniel J</v>
      </c>
      <c r="E2035" t="str">
        <f t="shared" si="95"/>
        <v>Button</v>
      </c>
    </row>
    <row r="2036" spans="1:5" ht="15.5" x14ac:dyDescent="0.35">
      <c r="A2036" s="1" t="s">
        <v>332</v>
      </c>
      <c r="B2036" s="1" t="s">
        <v>4418</v>
      </c>
      <c r="C2036" t="str">
        <f t="shared" si="93"/>
        <v>Ms.</v>
      </c>
      <c r="D2036" t="str">
        <f t="shared" si="94"/>
        <v>Ildiko M.</v>
      </c>
      <c r="E2036" t="str">
        <f t="shared" si="95"/>
        <v>Gaal</v>
      </c>
    </row>
    <row r="2037" spans="1:5" ht="15.5" x14ac:dyDescent="0.35">
      <c r="A2037" s="1" t="s">
        <v>331</v>
      </c>
      <c r="B2037" s="1" t="s">
        <v>4419</v>
      </c>
      <c r="C2037" t="str">
        <f t="shared" si="93"/>
        <v>Ms.</v>
      </c>
      <c r="D2037" t="str">
        <f t="shared" si="94"/>
        <v>Melinda E.</v>
      </c>
      <c r="E2037" t="str">
        <f t="shared" si="95"/>
        <v>Liptak</v>
      </c>
    </row>
    <row r="2038" spans="1:5" ht="15.5" x14ac:dyDescent="0.35">
      <c r="A2038" s="1" t="s">
        <v>330</v>
      </c>
      <c r="B2038" s="1" t="s">
        <v>4420</v>
      </c>
      <c r="C2038" t="str">
        <f t="shared" si="93"/>
        <v>Ms.</v>
      </c>
      <c r="D2038" t="str">
        <f t="shared" si="94"/>
        <v>Ashley M</v>
      </c>
      <c r="E2038" t="str">
        <f t="shared" si="95"/>
        <v>Kellam</v>
      </c>
    </row>
    <row r="2039" spans="1:5" ht="15.5" x14ac:dyDescent="0.35">
      <c r="A2039" s="1" t="s">
        <v>329</v>
      </c>
      <c r="B2039" s="1" t="s">
        <v>4421</v>
      </c>
      <c r="C2039" t="str">
        <f t="shared" si="93"/>
        <v>Ms.</v>
      </c>
      <c r="D2039" t="str">
        <f t="shared" si="94"/>
        <v>Stephanie</v>
      </c>
      <c r="E2039" t="str">
        <f t="shared" si="95"/>
        <v>Gordon</v>
      </c>
    </row>
    <row r="2040" spans="1:5" ht="15.5" x14ac:dyDescent="0.35">
      <c r="A2040" s="1" t="s">
        <v>328</v>
      </c>
      <c r="B2040" s="1" t="s">
        <v>4422</v>
      </c>
      <c r="C2040" t="str">
        <f t="shared" si="93"/>
        <v>Mr.</v>
      </c>
      <c r="D2040" t="str">
        <f t="shared" si="94"/>
        <v>Sean P.</v>
      </c>
      <c r="E2040" t="str">
        <f t="shared" si="95"/>
        <v>Hyland</v>
      </c>
    </row>
    <row r="2041" spans="1:5" ht="15.5" x14ac:dyDescent="0.35">
      <c r="A2041" s="1" t="s">
        <v>327</v>
      </c>
      <c r="B2041" s="1" t="s">
        <v>4423</v>
      </c>
      <c r="C2041" t="str">
        <f t="shared" si="93"/>
        <v>Ms.</v>
      </c>
      <c r="D2041" t="str">
        <f t="shared" si="94"/>
        <v>Emily G</v>
      </c>
      <c r="E2041" t="str">
        <f t="shared" si="95"/>
        <v>Wagoner</v>
      </c>
    </row>
    <row r="2042" spans="1:5" ht="15.5" x14ac:dyDescent="0.35">
      <c r="A2042" s="1" t="s">
        <v>326</v>
      </c>
      <c r="B2042" s="1" t="s">
        <v>4424</v>
      </c>
      <c r="C2042" t="str">
        <f t="shared" si="93"/>
        <v>Mr.</v>
      </c>
      <c r="D2042" t="str">
        <f t="shared" si="94"/>
        <v>Malcolm</v>
      </c>
      <c r="E2042" t="str">
        <f t="shared" si="95"/>
        <v>Thomas</v>
      </c>
    </row>
    <row r="2043" spans="1:5" ht="15.5" x14ac:dyDescent="0.35">
      <c r="A2043" s="1" t="s">
        <v>325</v>
      </c>
      <c r="B2043" s="1" t="s">
        <v>4425</v>
      </c>
      <c r="C2043" t="str">
        <f t="shared" si="93"/>
        <v>Mr.</v>
      </c>
      <c r="D2043" t="str">
        <f t="shared" si="94"/>
        <v>Danilo</v>
      </c>
      <c r="E2043" t="str">
        <f t="shared" si="95"/>
        <v>Goffi</v>
      </c>
    </row>
    <row r="2044" spans="1:5" ht="15.5" x14ac:dyDescent="0.35">
      <c r="A2044" s="1" t="s">
        <v>324</v>
      </c>
      <c r="B2044" s="1" t="s">
        <v>4426</v>
      </c>
      <c r="C2044" t="str">
        <f t="shared" si="93"/>
        <v>Mr.</v>
      </c>
      <c r="D2044" t="str">
        <f t="shared" si="94"/>
        <v>Mikko</v>
      </c>
      <c r="E2044" t="str">
        <f t="shared" si="95"/>
        <v>Salovaara</v>
      </c>
    </row>
    <row r="2045" spans="1:5" ht="15.5" x14ac:dyDescent="0.35">
      <c r="A2045" s="1" t="s">
        <v>323</v>
      </c>
      <c r="B2045" s="1" t="s">
        <v>4427</v>
      </c>
      <c r="C2045" t="str">
        <f t="shared" si="93"/>
        <v>Ms.</v>
      </c>
      <c r="D2045" t="str">
        <f t="shared" si="94"/>
        <v>Paula C.</v>
      </c>
      <c r="E2045" t="str">
        <f t="shared" si="95"/>
        <v>Reid</v>
      </c>
    </row>
    <row r="2046" spans="1:5" ht="15.5" x14ac:dyDescent="0.35">
      <c r="A2046" s="1" t="s">
        <v>322</v>
      </c>
      <c r="B2046" s="1" t="s">
        <v>4428</v>
      </c>
      <c r="C2046" t="str">
        <f t="shared" si="93"/>
        <v>Ms.</v>
      </c>
      <c r="D2046" t="str">
        <f t="shared" si="94"/>
        <v>Kirsten N.</v>
      </c>
      <c r="E2046" t="str">
        <f t="shared" si="95"/>
        <v>Allan</v>
      </c>
    </row>
    <row r="2047" spans="1:5" ht="15.5" x14ac:dyDescent="0.35">
      <c r="A2047" s="1" t="s">
        <v>321</v>
      </c>
      <c r="B2047" s="1" t="s">
        <v>4429</v>
      </c>
      <c r="C2047" t="str">
        <f t="shared" si="93"/>
        <v>Ms.</v>
      </c>
      <c r="D2047" t="str">
        <f t="shared" si="94"/>
        <v>Christy</v>
      </c>
      <c r="E2047" t="str">
        <f t="shared" si="95"/>
        <v>McLaughlin</v>
      </c>
    </row>
    <row r="2048" spans="1:5" ht="15.5" x14ac:dyDescent="0.35">
      <c r="A2048" s="1" t="s">
        <v>320</v>
      </c>
      <c r="B2048" s="1" t="s">
        <v>4430</v>
      </c>
      <c r="C2048" t="str">
        <f t="shared" si="93"/>
        <v>Ms.</v>
      </c>
      <c r="D2048" t="str">
        <f t="shared" si="94"/>
        <v>Jennifer</v>
      </c>
      <c r="E2048" t="str">
        <f t="shared" si="95"/>
        <v>Lee</v>
      </c>
    </row>
    <row r="2049" spans="1:5" ht="15.5" x14ac:dyDescent="0.35">
      <c r="A2049" s="1" t="s">
        <v>319</v>
      </c>
      <c r="B2049" s="1" t="s">
        <v>4431</v>
      </c>
      <c r="C2049" t="str">
        <f t="shared" si="93"/>
        <v>Ms.</v>
      </c>
      <c r="D2049" t="str">
        <f t="shared" si="94"/>
        <v>Jingjing</v>
      </c>
      <c r="E2049" t="str">
        <f t="shared" si="95"/>
        <v>Tang</v>
      </c>
    </row>
    <row r="2050" spans="1:5" ht="15.5" x14ac:dyDescent="0.35">
      <c r="A2050" s="1" t="s">
        <v>318</v>
      </c>
      <c r="B2050" s="1" t="s">
        <v>4432</v>
      </c>
      <c r="C2050" t="str">
        <f t="shared" si="93"/>
        <v>Mr.</v>
      </c>
      <c r="D2050" t="str">
        <f t="shared" si="94"/>
        <v>Morgan</v>
      </c>
      <c r="E2050" t="str">
        <f t="shared" si="95"/>
        <v>Kennedy</v>
      </c>
    </row>
    <row r="2051" spans="1:5" ht="15.5" x14ac:dyDescent="0.35">
      <c r="A2051" s="1" t="s">
        <v>317</v>
      </c>
      <c r="B2051" s="1" t="s">
        <v>4433</v>
      </c>
      <c r="C2051" t="str">
        <f t="shared" ref="C2051:C2114" si="96">TRIM(MID(B2051,FIND(",",B2051)+1,FIND(".",B2051)-FIND(",",B2051)))</f>
        <v>Mr.</v>
      </c>
      <c r="D2051" t="str">
        <f t="shared" ref="D2051:D2114" si="97">TRIM(MID(B2051,FIND(".",B2051)+1,LEN(B2051)))</f>
        <v>Patrick J.</v>
      </c>
      <c r="E2051" t="str">
        <f t="shared" ref="E2051:E2114" si="98">TRIM(LEFT(B2051,FIND(",",B2051)-1))</f>
        <v>Condon</v>
      </c>
    </row>
    <row r="2052" spans="1:5" ht="15.5" x14ac:dyDescent="0.35">
      <c r="A2052" s="1" t="s">
        <v>316</v>
      </c>
      <c r="B2052" s="1" t="s">
        <v>4434</v>
      </c>
      <c r="C2052" t="str">
        <f t="shared" si="96"/>
        <v>Mr.</v>
      </c>
      <c r="D2052" t="str">
        <f t="shared" si="97"/>
        <v>Frankline</v>
      </c>
      <c r="E2052" t="str">
        <f t="shared" si="98"/>
        <v>Chepkwony</v>
      </c>
    </row>
    <row r="2053" spans="1:5" ht="15.5" x14ac:dyDescent="0.35">
      <c r="A2053" s="1" t="s">
        <v>315</v>
      </c>
      <c r="B2053" s="1" t="s">
        <v>4435</v>
      </c>
      <c r="C2053" t="str">
        <f t="shared" si="96"/>
        <v>Ms.</v>
      </c>
      <c r="D2053" t="str">
        <f t="shared" si="97"/>
        <v>Laura T.</v>
      </c>
      <c r="E2053" t="str">
        <f t="shared" si="98"/>
        <v>Rodriguez</v>
      </c>
    </row>
    <row r="2054" spans="1:5" ht="15.5" x14ac:dyDescent="0.35">
      <c r="A2054" s="1" t="s">
        <v>314</v>
      </c>
      <c r="B2054" s="1" t="s">
        <v>4436</v>
      </c>
      <c r="C2054" t="str">
        <f t="shared" si="96"/>
        <v>Ms.</v>
      </c>
      <c r="D2054" t="str">
        <f t="shared" si="97"/>
        <v>Natalia</v>
      </c>
      <c r="E2054" t="str">
        <f t="shared" si="98"/>
        <v>Szynkarczuk</v>
      </c>
    </row>
    <row r="2055" spans="1:5" ht="15.5" x14ac:dyDescent="0.35">
      <c r="A2055" s="1" t="s">
        <v>313</v>
      </c>
      <c r="B2055" s="1" t="s">
        <v>4437</v>
      </c>
      <c r="C2055" t="str">
        <f t="shared" si="96"/>
        <v>Ms.</v>
      </c>
      <c r="D2055" t="str">
        <f t="shared" si="97"/>
        <v>Jennifer L.</v>
      </c>
      <c r="E2055" t="str">
        <f t="shared" si="98"/>
        <v>Brill</v>
      </c>
    </row>
    <row r="2056" spans="1:5" ht="15.5" x14ac:dyDescent="0.35">
      <c r="A2056" s="1" t="s">
        <v>312</v>
      </c>
      <c r="B2056" s="1" t="s">
        <v>4438</v>
      </c>
      <c r="C2056" t="str">
        <f t="shared" si="96"/>
        <v>Ms.</v>
      </c>
      <c r="D2056" t="str">
        <f t="shared" si="97"/>
        <v>Brooke</v>
      </c>
      <c r="E2056" t="str">
        <f t="shared" si="98"/>
        <v>Adams</v>
      </c>
    </row>
    <row r="2057" spans="1:5" ht="15.5" x14ac:dyDescent="0.35">
      <c r="A2057" s="1" t="s">
        <v>311</v>
      </c>
      <c r="B2057" s="1" t="s">
        <v>4439</v>
      </c>
      <c r="C2057" t="str">
        <f t="shared" si="96"/>
        <v>Mr.</v>
      </c>
      <c r="D2057" t="str">
        <f t="shared" si="97"/>
        <v>Jeremy M</v>
      </c>
      <c r="E2057" t="str">
        <f t="shared" si="98"/>
        <v>Nunn</v>
      </c>
    </row>
    <row r="2058" spans="1:5" ht="15.5" x14ac:dyDescent="0.35">
      <c r="A2058" s="1" t="s">
        <v>310</v>
      </c>
      <c r="B2058" s="1" t="s">
        <v>4440</v>
      </c>
      <c r="C2058" t="str">
        <f t="shared" si="96"/>
        <v>Ms.</v>
      </c>
      <c r="D2058" t="str">
        <f t="shared" si="97"/>
        <v>Megan L.</v>
      </c>
      <c r="E2058" t="str">
        <f t="shared" si="98"/>
        <v>Blair</v>
      </c>
    </row>
    <row r="2059" spans="1:5" ht="15.5" x14ac:dyDescent="0.35">
      <c r="A2059" s="1" t="s">
        <v>309</v>
      </c>
      <c r="B2059" s="1" t="s">
        <v>4441</v>
      </c>
      <c r="C2059" t="str">
        <f t="shared" si="96"/>
        <v>Mr.</v>
      </c>
      <c r="D2059" t="str">
        <f t="shared" si="97"/>
        <v>Bryan</v>
      </c>
      <c r="E2059" t="str">
        <f t="shared" si="98"/>
        <v>Sharkey</v>
      </c>
    </row>
    <row r="2060" spans="1:5" ht="15.5" x14ac:dyDescent="0.35">
      <c r="A2060" s="1" t="s">
        <v>308</v>
      </c>
      <c r="B2060" s="1" t="s">
        <v>4442</v>
      </c>
      <c r="C2060" t="str">
        <f t="shared" si="96"/>
        <v>Ms.</v>
      </c>
      <c r="D2060" t="str">
        <f t="shared" si="97"/>
        <v>Marny</v>
      </c>
      <c r="E2060" t="str">
        <f t="shared" si="98"/>
        <v>Scalard</v>
      </c>
    </row>
    <row r="2061" spans="1:5" ht="15.5" x14ac:dyDescent="0.35">
      <c r="A2061" s="1" t="s">
        <v>307</v>
      </c>
      <c r="B2061" s="1" t="s">
        <v>4443</v>
      </c>
      <c r="C2061" t="str">
        <f t="shared" si="96"/>
        <v>Mr.</v>
      </c>
      <c r="D2061" t="str">
        <f t="shared" si="97"/>
        <v>Marc</v>
      </c>
      <c r="E2061" t="str">
        <f t="shared" si="98"/>
        <v>Burget</v>
      </c>
    </row>
    <row r="2062" spans="1:5" ht="15.5" x14ac:dyDescent="0.35">
      <c r="A2062" s="1" t="s">
        <v>306</v>
      </c>
      <c r="B2062" s="1" t="s">
        <v>4444</v>
      </c>
      <c r="C2062" t="str">
        <f t="shared" si="96"/>
        <v>Mr.</v>
      </c>
      <c r="D2062" t="str">
        <f t="shared" si="97"/>
        <v>Benjamin L</v>
      </c>
      <c r="E2062" t="str">
        <f t="shared" si="98"/>
        <v>English</v>
      </c>
    </row>
    <row r="2063" spans="1:5" ht="15.5" x14ac:dyDescent="0.35">
      <c r="A2063" s="1" t="s">
        <v>305</v>
      </c>
      <c r="B2063" s="1" t="s">
        <v>4445</v>
      </c>
      <c r="C2063" t="str">
        <f t="shared" si="96"/>
        <v>Mr.</v>
      </c>
      <c r="D2063" t="str">
        <f t="shared" si="97"/>
        <v>Rob G</v>
      </c>
      <c r="E2063" t="str">
        <f t="shared" si="98"/>
        <v>Hampton</v>
      </c>
    </row>
    <row r="2064" spans="1:5" ht="15.5" x14ac:dyDescent="0.35">
      <c r="A2064" s="1" t="s">
        <v>304</v>
      </c>
      <c r="B2064" s="1" t="s">
        <v>4446</v>
      </c>
      <c r="C2064" t="str">
        <f t="shared" si="96"/>
        <v>Ms.</v>
      </c>
      <c r="D2064" t="str">
        <f t="shared" si="97"/>
        <v>Stefanie A</v>
      </c>
      <c r="E2064" t="str">
        <f t="shared" si="98"/>
        <v>Flynn</v>
      </c>
    </row>
    <row r="2065" spans="1:5" ht="15.5" x14ac:dyDescent="0.35">
      <c r="A2065" s="1" t="s">
        <v>303</v>
      </c>
      <c r="B2065" s="1" t="s">
        <v>4447</v>
      </c>
      <c r="C2065" t="str">
        <f t="shared" si="96"/>
        <v>Ms.</v>
      </c>
      <c r="D2065" t="str">
        <f t="shared" si="97"/>
        <v>Stephanie</v>
      </c>
      <c r="E2065" t="str">
        <f t="shared" si="98"/>
        <v>Knast</v>
      </c>
    </row>
    <row r="2066" spans="1:5" ht="15.5" x14ac:dyDescent="0.35">
      <c r="A2066" s="1" t="s">
        <v>302</v>
      </c>
      <c r="B2066" s="1" t="s">
        <v>4448</v>
      </c>
      <c r="C2066" t="str">
        <f t="shared" si="96"/>
        <v>Ms.</v>
      </c>
      <c r="D2066" t="str">
        <f t="shared" si="97"/>
        <v>Caroline F.</v>
      </c>
      <c r="E2066" t="str">
        <f t="shared" si="98"/>
        <v>Lucas</v>
      </c>
    </row>
    <row r="2067" spans="1:5" ht="15.5" x14ac:dyDescent="0.35">
      <c r="A2067" s="1" t="s">
        <v>301</v>
      </c>
      <c r="B2067" s="1" t="s">
        <v>4449</v>
      </c>
      <c r="C2067" t="str">
        <f t="shared" si="96"/>
        <v>Ms.</v>
      </c>
      <c r="D2067" t="str">
        <f t="shared" si="97"/>
        <v>Julia J.</v>
      </c>
      <c r="E2067" t="str">
        <f t="shared" si="98"/>
        <v>Thomas</v>
      </c>
    </row>
    <row r="2068" spans="1:5" ht="15.5" x14ac:dyDescent="0.35">
      <c r="A2068" s="1" t="s">
        <v>299</v>
      </c>
      <c r="B2068" s="1" t="s">
        <v>4450</v>
      </c>
      <c r="C2068" t="str">
        <f t="shared" si="96"/>
        <v>Mr.</v>
      </c>
      <c r="D2068" t="str">
        <f t="shared" si="97"/>
        <v>Jack</v>
      </c>
      <c r="E2068" t="str">
        <f t="shared" si="98"/>
        <v>Cherewatti</v>
      </c>
    </row>
    <row r="2069" spans="1:5" ht="15.5" x14ac:dyDescent="0.35">
      <c r="A2069" s="1" t="s">
        <v>298</v>
      </c>
      <c r="B2069" s="1" t="s">
        <v>4451</v>
      </c>
      <c r="C2069" t="str">
        <f t="shared" si="96"/>
        <v>Mr.</v>
      </c>
      <c r="D2069" t="str">
        <f t="shared" si="97"/>
        <v>Bernat</v>
      </c>
      <c r="E2069" t="str">
        <f t="shared" si="98"/>
        <v>Olle</v>
      </c>
    </row>
    <row r="2070" spans="1:5" ht="15.5" x14ac:dyDescent="0.35">
      <c r="A2070" s="1" t="s">
        <v>297</v>
      </c>
      <c r="B2070" s="1" t="s">
        <v>4452</v>
      </c>
      <c r="C2070" t="str">
        <f t="shared" si="96"/>
        <v>Mr.</v>
      </c>
      <c r="D2070" t="str">
        <f t="shared" si="97"/>
        <v>Hicham</v>
      </c>
      <c r="E2070" t="str">
        <f t="shared" si="98"/>
        <v>Hamsi</v>
      </c>
    </row>
    <row r="2071" spans="1:5" ht="15.5" x14ac:dyDescent="0.35">
      <c r="A2071" s="1" t="s">
        <v>296</v>
      </c>
      <c r="B2071" s="1" t="s">
        <v>4453</v>
      </c>
      <c r="C2071" t="str">
        <f t="shared" si="96"/>
        <v>Ms.</v>
      </c>
      <c r="D2071" t="str">
        <f t="shared" si="97"/>
        <v>Sarah</v>
      </c>
      <c r="E2071" t="str">
        <f t="shared" si="98"/>
        <v>Finnegan</v>
      </c>
    </row>
    <row r="2072" spans="1:5" ht="15.5" x14ac:dyDescent="0.35">
      <c r="A2072" s="1" t="s">
        <v>295</v>
      </c>
      <c r="B2072" s="1" t="s">
        <v>4454</v>
      </c>
      <c r="C2072" t="str">
        <f t="shared" si="96"/>
        <v>Mr.</v>
      </c>
      <c r="D2072" t="str">
        <f t="shared" si="97"/>
        <v>Anthony S</v>
      </c>
      <c r="E2072" t="str">
        <f t="shared" si="98"/>
        <v>Walsh</v>
      </c>
    </row>
    <row r="2073" spans="1:5" ht="15.5" x14ac:dyDescent="0.35">
      <c r="A2073" s="1" t="s">
        <v>294</v>
      </c>
      <c r="B2073" s="1" t="s">
        <v>4455</v>
      </c>
      <c r="C2073" t="str">
        <f t="shared" si="96"/>
        <v>Ms.</v>
      </c>
      <c r="D2073" t="str">
        <f t="shared" si="97"/>
        <v>Elisabetta</v>
      </c>
      <c r="E2073" t="str">
        <f t="shared" si="98"/>
        <v>Villa</v>
      </c>
    </row>
    <row r="2074" spans="1:5" ht="15.5" x14ac:dyDescent="0.35">
      <c r="A2074" s="1" t="s">
        <v>293</v>
      </c>
      <c r="B2074" s="1" t="s">
        <v>4456</v>
      </c>
      <c r="C2074" t="str">
        <f t="shared" si="96"/>
        <v>Mr.</v>
      </c>
      <c r="D2074" t="str">
        <f t="shared" si="97"/>
        <v>Trevor N.</v>
      </c>
      <c r="E2074" t="str">
        <f t="shared" si="98"/>
        <v>Cable</v>
      </c>
    </row>
    <row r="2075" spans="1:5" ht="15.5" x14ac:dyDescent="0.35">
      <c r="A2075" s="1" t="s">
        <v>292</v>
      </c>
      <c r="B2075" s="1" t="s">
        <v>4457</v>
      </c>
      <c r="C2075" t="str">
        <f t="shared" si="96"/>
        <v>Ms.</v>
      </c>
      <c r="D2075" t="str">
        <f t="shared" si="97"/>
        <v>Nancy</v>
      </c>
      <c r="E2075" t="str">
        <f t="shared" si="98"/>
        <v>Eiring</v>
      </c>
    </row>
    <row r="2076" spans="1:5" ht="15.5" x14ac:dyDescent="0.35">
      <c r="A2076" s="1" t="s">
        <v>291</v>
      </c>
      <c r="B2076" s="1" t="s">
        <v>4458</v>
      </c>
      <c r="C2076" t="str">
        <f t="shared" si="96"/>
        <v>Ms.</v>
      </c>
      <c r="D2076" t="str">
        <f t="shared" si="97"/>
        <v>Allison R.</v>
      </c>
      <c r="E2076" t="str">
        <f t="shared" si="98"/>
        <v>Connor</v>
      </c>
    </row>
    <row r="2077" spans="1:5" ht="15.5" x14ac:dyDescent="0.35">
      <c r="A2077" s="1" t="s">
        <v>290</v>
      </c>
      <c r="B2077" s="1" t="s">
        <v>4459</v>
      </c>
      <c r="C2077" t="str">
        <f t="shared" si="96"/>
        <v>Mr.</v>
      </c>
      <c r="D2077" t="str">
        <f t="shared" si="97"/>
        <v>Robert J.</v>
      </c>
      <c r="E2077" t="str">
        <f t="shared" si="98"/>
        <v>Friedman</v>
      </c>
    </row>
    <row r="2078" spans="1:5" ht="15.5" x14ac:dyDescent="0.35">
      <c r="A2078" s="1" t="s">
        <v>289</v>
      </c>
      <c r="B2078" s="1" t="s">
        <v>4460</v>
      </c>
      <c r="C2078" t="str">
        <f t="shared" si="96"/>
        <v>Mr.</v>
      </c>
      <c r="D2078" t="str">
        <f t="shared" si="97"/>
        <v>Nicholas</v>
      </c>
      <c r="E2078" t="str">
        <f t="shared" si="98"/>
        <v>Croker</v>
      </c>
    </row>
    <row r="2079" spans="1:5" ht="15.5" x14ac:dyDescent="0.35">
      <c r="A2079" s="1" t="s">
        <v>288</v>
      </c>
      <c r="B2079" s="1" t="s">
        <v>4461</v>
      </c>
      <c r="C2079" t="str">
        <f t="shared" si="96"/>
        <v>Mr.</v>
      </c>
      <c r="D2079" t="str">
        <f t="shared" si="97"/>
        <v>Kevin L</v>
      </c>
      <c r="E2079" t="str">
        <f t="shared" si="98"/>
        <v>Beganics</v>
      </c>
    </row>
    <row r="2080" spans="1:5" ht="15.5" x14ac:dyDescent="0.35">
      <c r="A2080" s="1" t="s">
        <v>287</v>
      </c>
      <c r="B2080" s="1" t="s">
        <v>4462</v>
      </c>
      <c r="C2080" t="str">
        <f t="shared" si="96"/>
        <v>Mr.</v>
      </c>
      <c r="D2080" t="str">
        <f t="shared" si="97"/>
        <v>Bryan</v>
      </c>
      <c r="E2080" t="str">
        <f t="shared" si="98"/>
        <v>Huberty</v>
      </c>
    </row>
    <row r="2081" spans="1:5" ht="15.5" x14ac:dyDescent="0.35">
      <c r="A2081" s="1" t="s">
        <v>286</v>
      </c>
      <c r="B2081" s="1" t="s">
        <v>4463</v>
      </c>
      <c r="C2081" t="str">
        <f t="shared" si="96"/>
        <v>Ms.</v>
      </c>
      <c r="D2081" t="str">
        <f t="shared" si="97"/>
        <v>Janae N.</v>
      </c>
      <c r="E2081" t="str">
        <f t="shared" si="98"/>
        <v>Jacobs</v>
      </c>
    </row>
    <row r="2082" spans="1:5" ht="15.5" x14ac:dyDescent="0.35">
      <c r="A2082" s="1" t="s">
        <v>285</v>
      </c>
      <c r="B2082" s="1" t="s">
        <v>4464</v>
      </c>
      <c r="C2082" t="str">
        <f t="shared" si="96"/>
        <v>Ms.</v>
      </c>
      <c r="D2082" t="str">
        <f t="shared" si="97"/>
        <v>Audrey</v>
      </c>
      <c r="E2082" t="str">
        <f t="shared" si="98"/>
        <v>Hazlehurst</v>
      </c>
    </row>
    <row r="2083" spans="1:5" ht="15.5" x14ac:dyDescent="0.35">
      <c r="A2083" s="1" t="s">
        <v>284</v>
      </c>
      <c r="B2083" s="1" t="s">
        <v>4465</v>
      </c>
      <c r="C2083" t="str">
        <f t="shared" si="96"/>
        <v>Ms.</v>
      </c>
      <c r="D2083" t="str">
        <f t="shared" si="97"/>
        <v>Laura</v>
      </c>
      <c r="E2083" t="str">
        <f t="shared" si="98"/>
        <v>Marin</v>
      </c>
    </row>
    <row r="2084" spans="1:5" ht="15.5" x14ac:dyDescent="0.35">
      <c r="A2084" s="1" t="s">
        <v>283</v>
      </c>
      <c r="B2084" s="1" t="s">
        <v>4466</v>
      </c>
      <c r="C2084" t="str">
        <f t="shared" si="96"/>
        <v>Ms.</v>
      </c>
      <c r="D2084" t="str">
        <f t="shared" si="97"/>
        <v>Nicole F</v>
      </c>
      <c r="E2084" t="str">
        <f t="shared" si="98"/>
        <v>Dear</v>
      </c>
    </row>
    <row r="2085" spans="1:5" ht="15.5" x14ac:dyDescent="0.35">
      <c r="A2085" s="1" t="s">
        <v>282</v>
      </c>
      <c r="B2085" s="1" t="s">
        <v>4467</v>
      </c>
      <c r="C2085" t="str">
        <f t="shared" si="96"/>
        <v>Ms.</v>
      </c>
      <c r="D2085" t="str">
        <f t="shared" si="97"/>
        <v>Krista L</v>
      </c>
      <c r="E2085" t="str">
        <f t="shared" si="98"/>
        <v>Lederer</v>
      </c>
    </row>
    <row r="2086" spans="1:5" ht="15.5" x14ac:dyDescent="0.35">
      <c r="A2086" s="1" t="s">
        <v>281</v>
      </c>
      <c r="B2086" s="1" t="s">
        <v>4468</v>
      </c>
      <c r="C2086" t="str">
        <f t="shared" si="96"/>
        <v>Ms.</v>
      </c>
      <c r="D2086" t="str">
        <f t="shared" si="97"/>
        <v>Denise</v>
      </c>
      <c r="E2086" t="str">
        <f t="shared" si="98"/>
        <v>Robson</v>
      </c>
    </row>
    <row r="2087" spans="1:5" ht="15.5" x14ac:dyDescent="0.35">
      <c r="A2087" s="1" t="s">
        <v>280</v>
      </c>
      <c r="B2087" s="1" t="s">
        <v>4469</v>
      </c>
      <c r="C2087" t="str">
        <f t="shared" si="96"/>
        <v>Mr.</v>
      </c>
      <c r="D2087" t="str">
        <f t="shared" si="97"/>
        <v>Ariel</v>
      </c>
      <c r="E2087" t="str">
        <f t="shared" si="98"/>
        <v>Galvan</v>
      </c>
    </row>
    <row r="2088" spans="1:5" ht="15.5" x14ac:dyDescent="0.35">
      <c r="A2088" s="1" t="s">
        <v>279</v>
      </c>
      <c r="B2088" s="1" t="s">
        <v>4470</v>
      </c>
      <c r="C2088" t="str">
        <f t="shared" si="96"/>
        <v>Mr.</v>
      </c>
      <c r="D2088" t="str">
        <f t="shared" si="97"/>
        <v>Jeremy</v>
      </c>
      <c r="E2088" t="str">
        <f t="shared" si="98"/>
        <v>Walsh</v>
      </c>
    </row>
    <row r="2089" spans="1:5" ht="15.5" x14ac:dyDescent="0.35">
      <c r="A2089" s="1" t="s">
        <v>278</v>
      </c>
      <c r="B2089" s="1" t="s">
        <v>4471</v>
      </c>
      <c r="C2089" t="str">
        <f t="shared" si="96"/>
        <v>Ms.</v>
      </c>
      <c r="D2089" t="str">
        <f t="shared" si="97"/>
        <v>Rosalie</v>
      </c>
      <c r="E2089" t="str">
        <f t="shared" si="98"/>
        <v>Teeuwen</v>
      </c>
    </row>
    <row r="2090" spans="1:5" ht="15.5" x14ac:dyDescent="0.35">
      <c r="A2090" s="1" t="s">
        <v>277</v>
      </c>
      <c r="B2090" s="1" t="s">
        <v>4472</v>
      </c>
      <c r="C2090" t="str">
        <f t="shared" si="96"/>
        <v>Mr.</v>
      </c>
      <c r="D2090" t="str">
        <f t="shared" si="97"/>
        <v>Jay</v>
      </c>
      <c r="E2090" t="str">
        <f t="shared" si="98"/>
        <v>List</v>
      </c>
    </row>
    <row r="2091" spans="1:5" ht="15.5" x14ac:dyDescent="0.35">
      <c r="A2091" s="1" t="s">
        <v>275</v>
      </c>
      <c r="B2091" s="1" t="s">
        <v>4473</v>
      </c>
      <c r="C2091" t="str">
        <f t="shared" si="96"/>
        <v>Mr.</v>
      </c>
      <c r="D2091" t="str">
        <f t="shared" si="97"/>
        <v>Vitaliy</v>
      </c>
      <c r="E2091" t="str">
        <f t="shared" si="98"/>
        <v>Shafar</v>
      </c>
    </row>
    <row r="2092" spans="1:5" ht="15.5" x14ac:dyDescent="0.35">
      <c r="A2092" s="1" t="s">
        <v>274</v>
      </c>
      <c r="B2092" s="1" t="s">
        <v>4474</v>
      </c>
      <c r="C2092" t="str">
        <f t="shared" si="96"/>
        <v>Mr.</v>
      </c>
      <c r="D2092" t="str">
        <f t="shared" si="97"/>
        <v>Benjamin W.</v>
      </c>
      <c r="E2092" t="str">
        <f t="shared" si="98"/>
        <v>Copenhaver</v>
      </c>
    </row>
    <row r="2093" spans="1:5" ht="15.5" x14ac:dyDescent="0.35">
      <c r="A2093" s="1" t="s">
        <v>273</v>
      </c>
      <c r="B2093" s="1" t="s">
        <v>4475</v>
      </c>
      <c r="C2093" t="str">
        <f t="shared" si="96"/>
        <v>Mr.</v>
      </c>
      <c r="D2093" t="str">
        <f t="shared" si="97"/>
        <v>Jesse</v>
      </c>
      <c r="E2093" t="str">
        <f t="shared" si="98"/>
        <v>Stump</v>
      </c>
    </row>
    <row r="2094" spans="1:5" ht="15.5" x14ac:dyDescent="0.35">
      <c r="A2094" s="1" t="s">
        <v>272</v>
      </c>
      <c r="B2094" s="1" t="s">
        <v>4476</v>
      </c>
      <c r="C2094" t="str">
        <f t="shared" si="96"/>
        <v>Mr.</v>
      </c>
      <c r="D2094" t="str">
        <f t="shared" si="97"/>
        <v>Mark</v>
      </c>
      <c r="E2094" t="str">
        <f t="shared" si="98"/>
        <v>Wehrman</v>
      </c>
    </row>
    <row r="2095" spans="1:5" ht="15.5" x14ac:dyDescent="0.35">
      <c r="A2095" s="1" t="s">
        <v>271</v>
      </c>
      <c r="B2095" s="1" t="s">
        <v>4477</v>
      </c>
      <c r="C2095" t="str">
        <f t="shared" si="96"/>
        <v>Ms.</v>
      </c>
      <c r="D2095" t="str">
        <f t="shared" si="97"/>
        <v>Lauren</v>
      </c>
      <c r="E2095" t="str">
        <f t="shared" si="98"/>
        <v>Sischo</v>
      </c>
    </row>
    <row r="2096" spans="1:5" ht="15.5" x14ac:dyDescent="0.35">
      <c r="A2096" s="1" t="s">
        <v>270</v>
      </c>
      <c r="B2096" s="1" t="s">
        <v>4478</v>
      </c>
      <c r="C2096" t="str">
        <f t="shared" si="96"/>
        <v>Mr.</v>
      </c>
      <c r="D2096" t="str">
        <f t="shared" si="97"/>
        <v>Massimiliano</v>
      </c>
      <c r="E2096" t="str">
        <f t="shared" si="98"/>
        <v>Fonti</v>
      </c>
    </row>
    <row r="2097" spans="1:5" ht="15.5" x14ac:dyDescent="0.35">
      <c r="A2097" s="1" t="s">
        <v>269</v>
      </c>
      <c r="B2097" s="1" t="s">
        <v>4479</v>
      </c>
      <c r="C2097" t="str">
        <f t="shared" si="96"/>
        <v>Mr.</v>
      </c>
      <c r="D2097" t="str">
        <f t="shared" si="97"/>
        <v>Josh</v>
      </c>
      <c r="E2097" t="str">
        <f t="shared" si="98"/>
        <v>Merlis</v>
      </c>
    </row>
    <row r="2098" spans="1:5" ht="15.5" x14ac:dyDescent="0.35">
      <c r="A2098" s="1" t="s">
        <v>268</v>
      </c>
      <c r="B2098" s="1" t="s">
        <v>4480</v>
      </c>
      <c r="C2098" t="str">
        <f t="shared" si="96"/>
        <v>Mr.</v>
      </c>
      <c r="D2098" t="str">
        <f t="shared" si="97"/>
        <v>Kiyokatsu</v>
      </c>
      <c r="E2098" t="str">
        <f t="shared" si="98"/>
        <v>Hasegawa</v>
      </c>
    </row>
    <row r="2099" spans="1:5" ht="15.5" x14ac:dyDescent="0.35">
      <c r="A2099" s="1" t="s">
        <v>267</v>
      </c>
      <c r="B2099" s="1" t="s">
        <v>4481</v>
      </c>
      <c r="C2099" t="str">
        <f t="shared" si="96"/>
        <v>Ms.</v>
      </c>
      <c r="D2099" t="str">
        <f t="shared" si="97"/>
        <v>Amanda L</v>
      </c>
      <c r="E2099" t="str">
        <f t="shared" si="98"/>
        <v>Haselden</v>
      </c>
    </row>
    <row r="2100" spans="1:5" ht="15.5" x14ac:dyDescent="0.35">
      <c r="A2100" s="1" t="s">
        <v>266</v>
      </c>
      <c r="B2100" s="1" t="s">
        <v>4482</v>
      </c>
      <c r="C2100" t="str">
        <f t="shared" si="96"/>
        <v>Mr.</v>
      </c>
      <c r="D2100" t="str">
        <f t="shared" si="97"/>
        <v>Matthew</v>
      </c>
      <c r="E2100" t="str">
        <f t="shared" si="98"/>
        <v>Simonson</v>
      </c>
    </row>
    <row r="2101" spans="1:5" ht="15.5" x14ac:dyDescent="0.35">
      <c r="A2101" s="1" t="s">
        <v>265</v>
      </c>
      <c r="B2101" s="1" t="s">
        <v>4483</v>
      </c>
      <c r="C2101" t="str">
        <f t="shared" si="96"/>
        <v>Ms.</v>
      </c>
      <c r="D2101" t="str">
        <f t="shared" si="97"/>
        <v>Julia M</v>
      </c>
      <c r="E2101" t="str">
        <f t="shared" si="98"/>
        <v>Montag</v>
      </c>
    </row>
    <row r="2102" spans="1:5" ht="15.5" x14ac:dyDescent="0.35">
      <c r="A2102" s="1" t="s">
        <v>264</v>
      </c>
      <c r="B2102" s="1" t="s">
        <v>4484</v>
      </c>
      <c r="C2102" t="str">
        <f t="shared" si="96"/>
        <v>Ms.</v>
      </c>
      <c r="D2102" t="str">
        <f t="shared" si="97"/>
        <v>Rhea</v>
      </c>
      <c r="E2102" t="str">
        <f t="shared" si="98"/>
        <v>Deroian</v>
      </c>
    </row>
    <row r="2103" spans="1:5" ht="15.5" x14ac:dyDescent="0.35">
      <c r="A2103" s="1" t="s">
        <v>263</v>
      </c>
      <c r="B2103" s="1" t="s">
        <v>4485</v>
      </c>
      <c r="C2103" t="str">
        <f t="shared" si="96"/>
        <v>Mr.</v>
      </c>
      <c r="D2103" t="str">
        <f t="shared" si="97"/>
        <v>Justin</v>
      </c>
      <c r="E2103" t="str">
        <f t="shared" si="98"/>
        <v>Goetz</v>
      </c>
    </row>
    <row r="2104" spans="1:5" ht="15.5" x14ac:dyDescent="0.35">
      <c r="A2104" s="1" t="s">
        <v>262</v>
      </c>
      <c r="B2104" s="1" t="s">
        <v>4486</v>
      </c>
      <c r="C2104" t="str">
        <f t="shared" si="96"/>
        <v>Mr.</v>
      </c>
      <c r="D2104" t="str">
        <f t="shared" si="97"/>
        <v>Shamus M.</v>
      </c>
      <c r="E2104" t="str">
        <f t="shared" si="98"/>
        <v>Brady</v>
      </c>
    </row>
    <row r="2105" spans="1:5" ht="15.5" x14ac:dyDescent="0.35">
      <c r="A2105" s="1" t="s">
        <v>261</v>
      </c>
      <c r="B2105" s="1" t="s">
        <v>4487</v>
      </c>
      <c r="C2105" t="str">
        <f t="shared" si="96"/>
        <v>Mr.</v>
      </c>
      <c r="D2105" t="str">
        <f t="shared" si="97"/>
        <v>Mike</v>
      </c>
      <c r="E2105" t="str">
        <f t="shared" si="98"/>
        <v>Moran</v>
      </c>
    </row>
    <row r="2106" spans="1:5" ht="15.5" x14ac:dyDescent="0.35">
      <c r="A2106" s="1" t="s">
        <v>260</v>
      </c>
      <c r="B2106" s="1" t="s">
        <v>4488</v>
      </c>
      <c r="C2106" t="str">
        <f t="shared" si="96"/>
        <v>Ms.</v>
      </c>
      <c r="D2106" t="str">
        <f t="shared" si="97"/>
        <v>Mary Beth</v>
      </c>
      <c r="E2106" t="str">
        <f t="shared" si="98"/>
        <v>Strickler</v>
      </c>
    </row>
    <row r="2107" spans="1:5" ht="15.5" x14ac:dyDescent="0.35">
      <c r="A2107" s="1" t="s">
        <v>259</v>
      </c>
      <c r="B2107" s="1" t="s">
        <v>4489</v>
      </c>
      <c r="C2107" t="str">
        <f t="shared" si="96"/>
        <v>Ms.</v>
      </c>
      <c r="D2107" t="str">
        <f t="shared" si="97"/>
        <v>Erin</v>
      </c>
      <c r="E2107" t="str">
        <f t="shared" si="98"/>
        <v>Simone</v>
      </c>
    </row>
    <row r="2108" spans="1:5" ht="15.5" x14ac:dyDescent="0.35">
      <c r="A2108" s="1" t="s">
        <v>258</v>
      </c>
      <c r="B2108" s="1" t="s">
        <v>4490</v>
      </c>
      <c r="C2108" t="str">
        <f t="shared" si="96"/>
        <v>Ms.</v>
      </c>
      <c r="D2108" t="str">
        <f t="shared" si="97"/>
        <v>Hallie</v>
      </c>
      <c r="E2108" t="str">
        <f t="shared" si="98"/>
        <v>Von Rock</v>
      </c>
    </row>
    <row r="2109" spans="1:5" ht="15.5" x14ac:dyDescent="0.35">
      <c r="A2109" s="1" t="s">
        <v>257</v>
      </c>
      <c r="B2109" s="1" t="s">
        <v>4491</v>
      </c>
      <c r="C2109" t="str">
        <f t="shared" si="96"/>
        <v>Ms.</v>
      </c>
      <c r="D2109" t="str">
        <f t="shared" si="97"/>
        <v>Paige P</v>
      </c>
      <c r="E2109" t="str">
        <f t="shared" si="98"/>
        <v>Woodard</v>
      </c>
    </row>
    <row r="2110" spans="1:5" ht="15.5" x14ac:dyDescent="0.35">
      <c r="A2110" s="1" t="s">
        <v>256</v>
      </c>
      <c r="B2110" s="1" t="s">
        <v>4492</v>
      </c>
      <c r="C2110" t="str">
        <f t="shared" si="96"/>
        <v>Ms.</v>
      </c>
      <c r="D2110" t="str">
        <f t="shared" si="97"/>
        <v>Ji</v>
      </c>
      <c r="E2110" t="str">
        <f t="shared" si="98"/>
        <v>Li</v>
      </c>
    </row>
    <row r="2111" spans="1:5" ht="15.5" x14ac:dyDescent="0.35">
      <c r="A2111" s="1" t="s">
        <v>255</v>
      </c>
      <c r="B2111" s="1" t="s">
        <v>4493</v>
      </c>
      <c r="C2111" t="str">
        <f t="shared" si="96"/>
        <v>Ms.</v>
      </c>
      <c r="D2111" t="str">
        <f t="shared" si="97"/>
        <v>Carissa A</v>
      </c>
      <c r="E2111" t="str">
        <f t="shared" si="98"/>
        <v>Sinda</v>
      </c>
    </row>
    <row r="2112" spans="1:5" ht="15.5" x14ac:dyDescent="0.35">
      <c r="A2112" s="1" t="s">
        <v>254</v>
      </c>
      <c r="B2112" s="1" t="s">
        <v>4494</v>
      </c>
      <c r="C2112" t="str">
        <f t="shared" si="96"/>
        <v>Ms.</v>
      </c>
      <c r="D2112" t="str">
        <f t="shared" si="97"/>
        <v>Mona</v>
      </c>
      <c r="E2112" t="str">
        <f t="shared" si="98"/>
        <v>Rydland</v>
      </c>
    </row>
    <row r="2113" spans="1:5" ht="15.5" x14ac:dyDescent="0.35">
      <c r="A2113" s="1" t="s">
        <v>253</v>
      </c>
      <c r="B2113" s="1" t="s">
        <v>4495</v>
      </c>
      <c r="C2113" t="str">
        <f t="shared" si="96"/>
        <v>Ms.</v>
      </c>
      <c r="D2113" t="str">
        <f t="shared" si="97"/>
        <v>Kristin R.</v>
      </c>
      <c r="E2113" t="str">
        <f t="shared" si="98"/>
        <v>Vespa</v>
      </c>
    </row>
    <row r="2114" spans="1:5" ht="15.5" x14ac:dyDescent="0.35">
      <c r="A2114" s="1" t="s">
        <v>252</v>
      </c>
      <c r="B2114" s="1" t="s">
        <v>4496</v>
      </c>
      <c r="C2114" t="str">
        <f t="shared" si="96"/>
        <v>Ms.</v>
      </c>
      <c r="D2114" t="str">
        <f t="shared" si="97"/>
        <v>Beth</v>
      </c>
      <c r="E2114" t="str">
        <f t="shared" si="98"/>
        <v>Meadows</v>
      </c>
    </row>
    <row r="2115" spans="1:5" ht="15.5" x14ac:dyDescent="0.35">
      <c r="A2115" s="1" t="s">
        <v>251</v>
      </c>
      <c r="B2115" s="1" t="s">
        <v>4497</v>
      </c>
      <c r="C2115" t="str">
        <f t="shared" ref="C2115:C2178" si="99">TRIM(MID(B2115,FIND(",",B2115)+1,FIND(".",B2115)-FIND(",",B2115)))</f>
        <v>Ms.</v>
      </c>
      <c r="D2115" t="str">
        <f t="shared" ref="D2115:D2178" si="100">TRIM(MID(B2115,FIND(".",B2115)+1,LEN(B2115)))</f>
        <v>Allison</v>
      </c>
      <c r="E2115" t="str">
        <f t="shared" ref="E2115:E2178" si="101">TRIM(LEFT(B2115,FIND(",",B2115)-1))</f>
        <v>Toppen</v>
      </c>
    </row>
    <row r="2116" spans="1:5" ht="15.5" x14ac:dyDescent="0.35">
      <c r="A2116" s="1" t="s">
        <v>250</v>
      </c>
      <c r="B2116" s="1" t="s">
        <v>4498</v>
      </c>
      <c r="C2116" t="str">
        <f t="shared" si="99"/>
        <v>Ms.</v>
      </c>
      <c r="D2116" t="str">
        <f t="shared" si="100"/>
        <v>Ashley E</v>
      </c>
      <c r="E2116" t="str">
        <f t="shared" si="101"/>
        <v>Ermer</v>
      </c>
    </row>
    <row r="2117" spans="1:5" ht="15.5" x14ac:dyDescent="0.35">
      <c r="A2117" s="1" t="s">
        <v>248</v>
      </c>
      <c r="B2117" s="1" t="s">
        <v>4499</v>
      </c>
      <c r="C2117" t="str">
        <f t="shared" si="99"/>
        <v>Ms.</v>
      </c>
      <c r="D2117" t="str">
        <f t="shared" si="100"/>
        <v>Hilary K.</v>
      </c>
      <c r="E2117" t="str">
        <f t="shared" si="101"/>
        <v>Dionne</v>
      </c>
    </row>
    <row r="2118" spans="1:5" ht="15.5" x14ac:dyDescent="0.35">
      <c r="A2118" s="1" t="s">
        <v>246</v>
      </c>
      <c r="B2118" s="1" t="s">
        <v>4500</v>
      </c>
      <c r="C2118" t="str">
        <f t="shared" si="99"/>
        <v>Ms.</v>
      </c>
      <c r="D2118" t="str">
        <f t="shared" si="100"/>
        <v>Dominique</v>
      </c>
      <c r="E2118" t="str">
        <f t="shared" si="101"/>
        <v>Stasulli</v>
      </c>
    </row>
    <row r="2119" spans="1:5" ht="15.5" x14ac:dyDescent="0.35">
      <c r="A2119" s="1" t="s">
        <v>245</v>
      </c>
      <c r="B2119" s="1" t="s">
        <v>4501</v>
      </c>
      <c r="C2119" t="str">
        <f t="shared" si="99"/>
        <v>Mr.</v>
      </c>
      <c r="D2119" t="str">
        <f t="shared" si="100"/>
        <v>Carlos I</v>
      </c>
      <c r="E2119" t="str">
        <f t="shared" si="101"/>
        <v>Duran</v>
      </c>
    </row>
    <row r="2120" spans="1:5" ht="15.5" x14ac:dyDescent="0.35">
      <c r="A2120" s="1" t="s">
        <v>244</v>
      </c>
      <c r="B2120" s="1" t="s">
        <v>4502</v>
      </c>
      <c r="C2120" t="str">
        <f t="shared" si="99"/>
        <v>Mr.</v>
      </c>
      <c r="D2120" t="str">
        <f t="shared" si="100"/>
        <v>Matthew</v>
      </c>
      <c r="E2120" t="str">
        <f t="shared" si="101"/>
        <v>Klundt</v>
      </c>
    </row>
    <row r="2121" spans="1:5" ht="15.5" x14ac:dyDescent="0.35">
      <c r="A2121" s="1" t="s">
        <v>243</v>
      </c>
      <c r="B2121" s="1" t="s">
        <v>4503</v>
      </c>
      <c r="C2121" t="str">
        <f t="shared" si="99"/>
        <v>Ms.</v>
      </c>
      <c r="D2121" t="str">
        <f t="shared" si="100"/>
        <v>Kara</v>
      </c>
      <c r="E2121" t="str">
        <f t="shared" si="101"/>
        <v>Waters</v>
      </c>
    </row>
    <row r="2122" spans="1:5" ht="15.5" x14ac:dyDescent="0.35">
      <c r="A2122" s="1" t="s">
        <v>242</v>
      </c>
      <c r="B2122" s="1" t="s">
        <v>4504</v>
      </c>
      <c r="C2122" t="str">
        <f t="shared" si="99"/>
        <v>Ms.</v>
      </c>
      <c r="D2122" t="str">
        <f t="shared" si="100"/>
        <v>Sarah S</v>
      </c>
      <c r="E2122" t="str">
        <f t="shared" si="101"/>
        <v>Rusk</v>
      </c>
    </row>
    <row r="2123" spans="1:5" ht="15.5" x14ac:dyDescent="0.35">
      <c r="A2123" s="1" t="s">
        <v>241</v>
      </c>
      <c r="B2123" s="1" t="s">
        <v>4505</v>
      </c>
      <c r="C2123" t="str">
        <f t="shared" si="99"/>
        <v>Ms.</v>
      </c>
      <c r="D2123" t="str">
        <f t="shared" si="100"/>
        <v>Shauna R.</v>
      </c>
      <c r="E2123" t="str">
        <f t="shared" si="101"/>
        <v>Gersbach</v>
      </c>
    </row>
    <row r="2124" spans="1:5" ht="15.5" x14ac:dyDescent="0.35">
      <c r="A2124" s="1" t="s">
        <v>240</v>
      </c>
      <c r="B2124" s="1" t="s">
        <v>4506</v>
      </c>
      <c r="C2124" t="str">
        <f t="shared" si="99"/>
        <v>Ms.</v>
      </c>
      <c r="D2124" t="str">
        <f t="shared" si="100"/>
        <v>Lindsay J.</v>
      </c>
      <c r="E2124" t="str">
        <f t="shared" si="101"/>
        <v>Taylor-Watson</v>
      </c>
    </row>
    <row r="2125" spans="1:5" ht="15.5" x14ac:dyDescent="0.35">
      <c r="A2125" s="1" t="s">
        <v>239</v>
      </c>
      <c r="B2125" s="1" t="s">
        <v>4507</v>
      </c>
      <c r="C2125" t="str">
        <f t="shared" si="99"/>
        <v>Ms.</v>
      </c>
      <c r="D2125" t="str">
        <f t="shared" si="100"/>
        <v>Danya A.</v>
      </c>
      <c r="E2125" t="str">
        <f t="shared" si="101"/>
        <v>Crawford</v>
      </c>
    </row>
    <row r="2126" spans="1:5" ht="15.5" x14ac:dyDescent="0.35">
      <c r="A2126" s="1" t="s">
        <v>238</v>
      </c>
      <c r="B2126" s="1" t="s">
        <v>4508</v>
      </c>
      <c r="C2126" t="str">
        <f t="shared" si="99"/>
        <v>Ms.</v>
      </c>
      <c r="D2126" t="str">
        <f t="shared" si="100"/>
        <v>Lorraine</v>
      </c>
      <c r="E2126" t="str">
        <f t="shared" si="101"/>
        <v>Levitsky</v>
      </c>
    </row>
    <row r="2127" spans="1:5" ht="15.5" x14ac:dyDescent="0.35">
      <c r="A2127" s="1" t="s">
        <v>237</v>
      </c>
      <c r="B2127" s="1" t="s">
        <v>4509</v>
      </c>
      <c r="C2127" t="str">
        <f t="shared" si="99"/>
        <v>Ms.</v>
      </c>
      <c r="D2127" t="str">
        <f t="shared" si="100"/>
        <v>Jennifer L.</v>
      </c>
      <c r="E2127" t="str">
        <f t="shared" si="101"/>
        <v>Carroll</v>
      </c>
    </row>
    <row r="2128" spans="1:5" ht="15.5" x14ac:dyDescent="0.35">
      <c r="A2128" s="1" t="s">
        <v>236</v>
      </c>
      <c r="B2128" s="1" t="s">
        <v>4510</v>
      </c>
      <c r="C2128" t="str">
        <f t="shared" si="99"/>
        <v>Mr.</v>
      </c>
      <c r="D2128" t="str">
        <f t="shared" si="100"/>
        <v>Jesus Sr.</v>
      </c>
      <c r="E2128" t="str">
        <f t="shared" si="101"/>
        <v>Campos</v>
      </c>
    </row>
    <row r="2129" spans="1:5" ht="15.5" x14ac:dyDescent="0.35">
      <c r="A2129" s="1" t="s">
        <v>235</v>
      </c>
      <c r="B2129" s="1" t="s">
        <v>4511</v>
      </c>
      <c r="C2129" t="str">
        <f t="shared" si="99"/>
        <v>Ms.</v>
      </c>
      <c r="D2129" t="str">
        <f t="shared" si="100"/>
        <v>Kristen</v>
      </c>
      <c r="E2129" t="str">
        <f t="shared" si="101"/>
        <v>Flajslik</v>
      </c>
    </row>
    <row r="2130" spans="1:5" ht="15.5" x14ac:dyDescent="0.35">
      <c r="A2130" s="1" t="s">
        <v>234</v>
      </c>
      <c r="B2130" s="1" t="s">
        <v>4512</v>
      </c>
      <c r="C2130" t="str">
        <f t="shared" si="99"/>
        <v>Ms.</v>
      </c>
      <c r="D2130" t="str">
        <f t="shared" si="100"/>
        <v>Catherine C.</v>
      </c>
      <c r="E2130" t="str">
        <f t="shared" si="101"/>
        <v>Chua</v>
      </c>
    </row>
    <row r="2131" spans="1:5" ht="15.5" x14ac:dyDescent="0.35">
      <c r="A2131" s="1" t="s">
        <v>233</v>
      </c>
      <c r="B2131" s="1" t="s">
        <v>4513</v>
      </c>
      <c r="C2131" t="str">
        <f t="shared" si="99"/>
        <v>Ms.</v>
      </c>
      <c r="D2131" t="str">
        <f t="shared" si="100"/>
        <v>Paula</v>
      </c>
      <c r="E2131" t="str">
        <f t="shared" si="101"/>
        <v>Wiltse</v>
      </c>
    </row>
    <row r="2132" spans="1:5" ht="15.5" x14ac:dyDescent="0.35">
      <c r="A2132" s="1" t="s">
        <v>232</v>
      </c>
      <c r="B2132" s="1" t="s">
        <v>4514</v>
      </c>
      <c r="C2132" t="str">
        <f t="shared" si="99"/>
        <v>Ms.</v>
      </c>
      <c r="D2132" t="str">
        <f t="shared" si="100"/>
        <v>Evan</v>
      </c>
      <c r="E2132" t="str">
        <f t="shared" si="101"/>
        <v>Fisher</v>
      </c>
    </row>
    <row r="2133" spans="1:5" ht="15.5" x14ac:dyDescent="0.35">
      <c r="A2133" s="1" t="s">
        <v>231</v>
      </c>
      <c r="B2133" s="1" t="s">
        <v>4515</v>
      </c>
      <c r="C2133" t="str">
        <f t="shared" si="99"/>
        <v>Mr.</v>
      </c>
      <c r="D2133" t="str">
        <f t="shared" si="100"/>
        <v>Nathan J</v>
      </c>
      <c r="E2133" t="str">
        <f t="shared" si="101"/>
        <v>Wilzbacher</v>
      </c>
    </row>
    <row r="2134" spans="1:5" ht="15.5" x14ac:dyDescent="0.35">
      <c r="A2134" s="1" t="s">
        <v>230</v>
      </c>
      <c r="B2134" s="1" t="s">
        <v>4516</v>
      </c>
      <c r="C2134" t="str">
        <f t="shared" si="99"/>
        <v>Ms.</v>
      </c>
      <c r="D2134" t="str">
        <f t="shared" si="100"/>
        <v>Ashley M</v>
      </c>
      <c r="E2134" t="str">
        <f t="shared" si="101"/>
        <v>Thayer</v>
      </c>
    </row>
    <row r="2135" spans="1:5" ht="15.5" x14ac:dyDescent="0.35">
      <c r="A2135" s="1" t="s">
        <v>229</v>
      </c>
      <c r="B2135" s="1" t="s">
        <v>4517</v>
      </c>
      <c r="C2135" t="str">
        <f t="shared" si="99"/>
        <v>Mr.</v>
      </c>
      <c r="D2135" t="str">
        <f t="shared" si="100"/>
        <v>Jason</v>
      </c>
      <c r="E2135" t="str">
        <f t="shared" si="101"/>
        <v>Brosseau</v>
      </c>
    </row>
    <row r="2136" spans="1:5" ht="15.5" x14ac:dyDescent="0.35">
      <c r="A2136" s="1" t="s">
        <v>228</v>
      </c>
      <c r="B2136" s="1" t="s">
        <v>4518</v>
      </c>
      <c r="C2136" t="str">
        <f t="shared" si="99"/>
        <v>Mr.</v>
      </c>
      <c r="D2136" t="str">
        <f t="shared" si="100"/>
        <v>Marshall</v>
      </c>
      <c r="E2136" t="str">
        <f t="shared" si="101"/>
        <v>Phares</v>
      </c>
    </row>
    <row r="2137" spans="1:5" ht="15.5" x14ac:dyDescent="0.35">
      <c r="A2137" s="1" t="s">
        <v>227</v>
      </c>
      <c r="B2137" s="1" t="s">
        <v>4519</v>
      </c>
      <c r="C2137" t="str">
        <f t="shared" si="99"/>
        <v>Mr.</v>
      </c>
      <c r="D2137" t="str">
        <f t="shared" si="100"/>
        <v>Lavar</v>
      </c>
      <c r="E2137" t="str">
        <f t="shared" si="101"/>
        <v>Curley</v>
      </c>
    </row>
    <row r="2138" spans="1:5" ht="15.5" x14ac:dyDescent="0.35">
      <c r="A2138" s="1" t="s">
        <v>226</v>
      </c>
      <c r="B2138" s="1" t="s">
        <v>4520</v>
      </c>
      <c r="C2138" t="str">
        <f t="shared" si="99"/>
        <v>Mr.</v>
      </c>
      <c r="D2138" t="str">
        <f t="shared" si="100"/>
        <v>Charlie T.</v>
      </c>
      <c r="E2138" t="str">
        <f t="shared" si="101"/>
        <v>Johnston</v>
      </c>
    </row>
    <row r="2139" spans="1:5" ht="15.5" x14ac:dyDescent="0.35">
      <c r="A2139" s="1" t="s">
        <v>225</v>
      </c>
      <c r="B2139" s="1" t="s">
        <v>4521</v>
      </c>
      <c r="C2139" t="str">
        <f t="shared" si="99"/>
        <v>Mrs.</v>
      </c>
      <c r="D2139" t="str">
        <f t="shared" si="100"/>
        <v>Lauren</v>
      </c>
      <c r="E2139" t="str">
        <f t="shared" si="101"/>
        <v>Padula</v>
      </c>
    </row>
    <row r="2140" spans="1:5" ht="15.5" x14ac:dyDescent="0.35">
      <c r="A2140" s="1" t="s">
        <v>224</v>
      </c>
      <c r="B2140" s="1" t="s">
        <v>4522</v>
      </c>
      <c r="C2140" t="str">
        <f t="shared" si="99"/>
        <v>Mr.</v>
      </c>
      <c r="D2140" t="str">
        <f t="shared" si="100"/>
        <v>Arthur</v>
      </c>
      <c r="E2140" t="str">
        <f t="shared" si="101"/>
        <v>Gamirov</v>
      </c>
    </row>
    <row r="2141" spans="1:5" ht="15.5" x14ac:dyDescent="0.35">
      <c r="A2141" s="1" t="s">
        <v>223</v>
      </c>
      <c r="B2141" s="1" t="s">
        <v>4523</v>
      </c>
      <c r="C2141" t="str">
        <f t="shared" si="99"/>
        <v>Mr.</v>
      </c>
      <c r="D2141" t="str">
        <f t="shared" si="100"/>
        <v>Thomas</v>
      </c>
      <c r="E2141" t="str">
        <f t="shared" si="101"/>
        <v>Briot</v>
      </c>
    </row>
    <row r="2142" spans="1:5" ht="15.5" x14ac:dyDescent="0.35">
      <c r="A2142" s="1" t="s">
        <v>222</v>
      </c>
      <c r="B2142" s="1" t="s">
        <v>4524</v>
      </c>
      <c r="C2142" t="str">
        <f t="shared" si="99"/>
        <v>Ms.</v>
      </c>
      <c r="D2142" t="str">
        <f t="shared" si="100"/>
        <v>Jennifer</v>
      </c>
      <c r="E2142" t="str">
        <f t="shared" si="101"/>
        <v>De Hueck</v>
      </c>
    </row>
    <row r="2143" spans="1:5" ht="15.5" x14ac:dyDescent="0.35">
      <c r="A2143" s="1" t="s">
        <v>221</v>
      </c>
      <c r="B2143" s="1" t="s">
        <v>4525</v>
      </c>
      <c r="C2143" t="str">
        <f t="shared" si="99"/>
        <v>Ms.</v>
      </c>
      <c r="D2143" t="str">
        <f t="shared" si="100"/>
        <v>Tammy</v>
      </c>
      <c r="E2143" t="str">
        <f t="shared" si="101"/>
        <v>Putt</v>
      </c>
    </row>
    <row r="2144" spans="1:5" ht="15.5" x14ac:dyDescent="0.35">
      <c r="A2144" s="1" t="s">
        <v>220</v>
      </c>
      <c r="B2144" s="1" t="s">
        <v>4526</v>
      </c>
      <c r="C2144" t="str">
        <f t="shared" si="99"/>
        <v>Ms.</v>
      </c>
      <c r="D2144" t="str">
        <f t="shared" si="100"/>
        <v>Lena</v>
      </c>
      <c r="E2144" t="str">
        <f t="shared" si="101"/>
        <v>Deiman</v>
      </c>
    </row>
    <row r="2145" spans="1:5" ht="15.5" x14ac:dyDescent="0.35">
      <c r="A2145" s="1" t="s">
        <v>219</v>
      </c>
      <c r="B2145" s="1" t="s">
        <v>4527</v>
      </c>
      <c r="C2145" t="str">
        <f t="shared" si="99"/>
        <v>Ms.</v>
      </c>
      <c r="D2145" t="str">
        <f t="shared" si="100"/>
        <v>Valentina</v>
      </c>
      <c r="E2145" t="str">
        <f t="shared" si="101"/>
        <v>Bonanni</v>
      </c>
    </row>
    <row r="2146" spans="1:5" ht="15.5" x14ac:dyDescent="0.35">
      <c r="A2146" s="1" t="s">
        <v>218</v>
      </c>
      <c r="B2146" s="1" t="s">
        <v>4528</v>
      </c>
      <c r="C2146" t="str">
        <f t="shared" si="99"/>
        <v>Mr.</v>
      </c>
      <c r="D2146" t="str">
        <f t="shared" si="100"/>
        <v>Russell N.</v>
      </c>
      <c r="E2146" t="str">
        <f t="shared" si="101"/>
        <v>Stein</v>
      </c>
    </row>
    <row r="2147" spans="1:5" ht="15.5" x14ac:dyDescent="0.35">
      <c r="A2147" s="1" t="s">
        <v>217</v>
      </c>
      <c r="B2147" s="1" t="s">
        <v>4529</v>
      </c>
      <c r="C2147" t="str">
        <f t="shared" si="99"/>
        <v>Mr.</v>
      </c>
      <c r="D2147" t="str">
        <f t="shared" si="100"/>
        <v>Scott R.</v>
      </c>
      <c r="E2147" t="str">
        <f t="shared" si="101"/>
        <v>Laumann</v>
      </c>
    </row>
    <row r="2148" spans="1:5" ht="15.5" x14ac:dyDescent="0.35">
      <c r="A2148" s="1" t="s">
        <v>216</v>
      </c>
      <c r="B2148" s="1" t="s">
        <v>4530</v>
      </c>
      <c r="C2148" t="str">
        <f t="shared" si="99"/>
        <v>Mr.</v>
      </c>
      <c r="D2148" t="str">
        <f t="shared" si="100"/>
        <v>Jose Francisco Sr.</v>
      </c>
      <c r="E2148" t="str">
        <f t="shared" si="101"/>
        <v>Galaviz</v>
      </c>
    </row>
    <row r="2149" spans="1:5" ht="15.5" x14ac:dyDescent="0.35">
      <c r="A2149" s="1" t="s">
        <v>215</v>
      </c>
      <c r="B2149" s="1" t="s">
        <v>4531</v>
      </c>
      <c r="C2149" t="str">
        <f t="shared" si="99"/>
        <v>Mr.</v>
      </c>
      <c r="D2149" t="str">
        <f t="shared" si="100"/>
        <v>Paul J</v>
      </c>
      <c r="E2149" t="str">
        <f t="shared" si="101"/>
        <v>Piper</v>
      </c>
    </row>
    <row r="2150" spans="1:5" ht="15.5" x14ac:dyDescent="0.35">
      <c r="A2150" s="1" t="s">
        <v>214</v>
      </c>
      <c r="B2150" s="1" t="s">
        <v>4532</v>
      </c>
      <c r="C2150" t="str">
        <f t="shared" si="99"/>
        <v>Mr.</v>
      </c>
      <c r="D2150" t="str">
        <f t="shared" si="100"/>
        <v>Adam</v>
      </c>
      <c r="E2150" t="str">
        <f t="shared" si="101"/>
        <v>Cantini</v>
      </c>
    </row>
    <row r="2151" spans="1:5" ht="15.5" x14ac:dyDescent="0.35">
      <c r="A2151" s="1" t="s">
        <v>213</v>
      </c>
      <c r="B2151" s="1" t="s">
        <v>4533</v>
      </c>
      <c r="C2151" t="str">
        <f t="shared" si="99"/>
        <v>Mr.</v>
      </c>
      <c r="D2151" t="str">
        <f t="shared" si="100"/>
        <v>Edward J.</v>
      </c>
      <c r="E2151" t="str">
        <f t="shared" si="101"/>
        <v>Hartman</v>
      </c>
    </row>
    <row r="2152" spans="1:5" ht="15.5" x14ac:dyDescent="0.35">
      <c r="A2152" s="1" t="s">
        <v>212</v>
      </c>
      <c r="B2152" s="1" t="s">
        <v>4534</v>
      </c>
      <c r="C2152" t="str">
        <f t="shared" si="99"/>
        <v>Mr.</v>
      </c>
      <c r="D2152" t="str">
        <f t="shared" si="100"/>
        <v>Patrick A.</v>
      </c>
      <c r="E2152" t="str">
        <f t="shared" si="101"/>
        <v>Werhane</v>
      </c>
    </row>
    <row r="2153" spans="1:5" ht="15.5" x14ac:dyDescent="0.35">
      <c r="A2153" s="1" t="s">
        <v>211</v>
      </c>
      <c r="B2153" s="1" t="s">
        <v>4535</v>
      </c>
      <c r="C2153" t="str">
        <f t="shared" si="99"/>
        <v>Mr.</v>
      </c>
      <c r="D2153" t="str">
        <f t="shared" si="100"/>
        <v>Geraint H</v>
      </c>
      <c r="E2153" t="str">
        <f t="shared" si="101"/>
        <v>Davies</v>
      </c>
    </row>
    <row r="2154" spans="1:5" ht="15.5" x14ac:dyDescent="0.35">
      <c r="A2154" s="1" t="s">
        <v>210</v>
      </c>
      <c r="B2154" s="1" t="s">
        <v>4536</v>
      </c>
      <c r="C2154" t="str">
        <f t="shared" si="99"/>
        <v>Mr.</v>
      </c>
      <c r="D2154" t="str">
        <f t="shared" si="100"/>
        <v>Dj</v>
      </c>
      <c r="E2154" t="str">
        <f t="shared" si="101"/>
        <v>Hummel</v>
      </c>
    </row>
    <row r="2155" spans="1:5" ht="15.5" x14ac:dyDescent="0.35">
      <c r="A2155" s="1" t="s">
        <v>209</v>
      </c>
      <c r="B2155" s="1" t="s">
        <v>4537</v>
      </c>
      <c r="C2155" t="str">
        <f t="shared" si="99"/>
        <v>Mr.</v>
      </c>
      <c r="D2155" t="str">
        <f t="shared" si="100"/>
        <v>Zachary A</v>
      </c>
      <c r="E2155" t="str">
        <f t="shared" si="101"/>
        <v>Lutz</v>
      </c>
    </row>
    <row r="2156" spans="1:5" ht="15.5" x14ac:dyDescent="0.35">
      <c r="A2156" s="1" t="s">
        <v>208</v>
      </c>
      <c r="B2156" s="1" t="s">
        <v>4538</v>
      </c>
      <c r="C2156" t="str">
        <f t="shared" si="99"/>
        <v>Mr.</v>
      </c>
      <c r="D2156" t="str">
        <f t="shared" si="100"/>
        <v>Brian W.</v>
      </c>
      <c r="E2156" t="str">
        <f t="shared" si="101"/>
        <v>Waters</v>
      </c>
    </row>
    <row r="2157" spans="1:5" ht="15.5" x14ac:dyDescent="0.35">
      <c r="A2157" s="1" t="s">
        <v>207</v>
      </c>
      <c r="B2157" s="1" t="s">
        <v>4539</v>
      </c>
      <c r="C2157" t="str">
        <f t="shared" si="99"/>
        <v>Mr.</v>
      </c>
      <c r="D2157" t="str">
        <f t="shared" si="100"/>
        <v>Joe</v>
      </c>
      <c r="E2157" t="str">
        <f t="shared" si="101"/>
        <v>Viglienzoni</v>
      </c>
    </row>
    <row r="2158" spans="1:5" ht="15.5" x14ac:dyDescent="0.35">
      <c r="A2158" s="1" t="s">
        <v>206</v>
      </c>
      <c r="B2158" s="1" t="s">
        <v>4540</v>
      </c>
      <c r="C2158" t="str">
        <f t="shared" si="99"/>
        <v>Mr.</v>
      </c>
      <c r="D2158" t="str">
        <f t="shared" si="100"/>
        <v>Stephen</v>
      </c>
      <c r="E2158" t="str">
        <f t="shared" si="101"/>
        <v>Rathbun</v>
      </c>
    </row>
    <row r="2159" spans="1:5" ht="15.5" x14ac:dyDescent="0.35">
      <c r="A2159" s="1" t="s">
        <v>205</v>
      </c>
      <c r="B2159" s="1" t="s">
        <v>4541</v>
      </c>
      <c r="C2159" t="str">
        <f t="shared" si="99"/>
        <v>Ms.</v>
      </c>
      <c r="D2159" t="str">
        <f t="shared" si="100"/>
        <v>Ellen L.</v>
      </c>
      <c r="E2159" t="str">
        <f t="shared" si="101"/>
        <v>crane</v>
      </c>
    </row>
    <row r="2160" spans="1:5" ht="15.5" x14ac:dyDescent="0.35">
      <c r="A2160" s="1" t="s">
        <v>204</v>
      </c>
      <c r="B2160" s="1" t="s">
        <v>4542</v>
      </c>
      <c r="C2160" t="str">
        <f t="shared" si="99"/>
        <v>Ms.</v>
      </c>
      <c r="D2160" t="str">
        <f t="shared" si="100"/>
        <v>Cindy</v>
      </c>
      <c r="E2160" t="str">
        <f t="shared" si="101"/>
        <v>Conant</v>
      </c>
    </row>
    <row r="2161" spans="1:5" ht="15.5" x14ac:dyDescent="0.35">
      <c r="A2161" s="1" t="s">
        <v>203</v>
      </c>
      <c r="B2161" s="1" t="s">
        <v>4543</v>
      </c>
      <c r="C2161" t="str">
        <f t="shared" si="99"/>
        <v>Ms.</v>
      </c>
      <c r="D2161" t="str">
        <f t="shared" si="100"/>
        <v>Abigail R.</v>
      </c>
      <c r="E2161" t="str">
        <f t="shared" si="101"/>
        <v>Huyser-Wierenga</v>
      </c>
    </row>
    <row r="2162" spans="1:5" ht="15.5" x14ac:dyDescent="0.35">
      <c r="A2162" s="1" t="s">
        <v>202</v>
      </c>
      <c r="B2162" s="1" t="s">
        <v>4544</v>
      </c>
      <c r="C2162" t="str">
        <f t="shared" si="99"/>
        <v>Ms.</v>
      </c>
      <c r="D2162" t="str">
        <f t="shared" si="100"/>
        <v>Amy L.</v>
      </c>
      <c r="E2162" t="str">
        <f t="shared" si="101"/>
        <v>Natalini</v>
      </c>
    </row>
    <row r="2163" spans="1:5" ht="15.5" x14ac:dyDescent="0.35">
      <c r="A2163" s="1" t="s">
        <v>201</v>
      </c>
      <c r="B2163" s="1" t="s">
        <v>4545</v>
      </c>
      <c r="C2163" t="str">
        <f t="shared" si="99"/>
        <v>Ms.</v>
      </c>
      <c r="D2163" t="str">
        <f t="shared" si="100"/>
        <v>Amy</v>
      </c>
      <c r="E2163" t="str">
        <f t="shared" si="101"/>
        <v>Robbins</v>
      </c>
    </row>
    <row r="2164" spans="1:5" ht="15.5" x14ac:dyDescent="0.35">
      <c r="A2164" s="1" t="s">
        <v>199</v>
      </c>
      <c r="B2164" s="1" t="s">
        <v>4546</v>
      </c>
      <c r="C2164" t="str">
        <f t="shared" si="99"/>
        <v>Mrs.</v>
      </c>
      <c r="D2164" t="str">
        <f t="shared" si="100"/>
        <v>Grace H</v>
      </c>
      <c r="E2164" t="str">
        <f t="shared" si="101"/>
        <v>Stanislav</v>
      </c>
    </row>
    <row r="2165" spans="1:5" ht="15.5" x14ac:dyDescent="0.35">
      <c r="A2165" s="1" t="s">
        <v>198</v>
      </c>
      <c r="B2165" s="1" t="s">
        <v>4547</v>
      </c>
      <c r="C2165" t="str">
        <f t="shared" si="99"/>
        <v>Ms.</v>
      </c>
      <c r="D2165" t="str">
        <f t="shared" si="100"/>
        <v>Caitie J.</v>
      </c>
      <c r="E2165" t="str">
        <f t="shared" si="101"/>
        <v>Meyer</v>
      </c>
    </row>
    <row r="2166" spans="1:5" ht="15.5" x14ac:dyDescent="0.35">
      <c r="A2166" s="1" t="s">
        <v>197</v>
      </c>
      <c r="B2166" s="1" t="s">
        <v>4548</v>
      </c>
      <c r="C2166" t="str">
        <f t="shared" si="99"/>
        <v>Mr.</v>
      </c>
      <c r="D2166" t="str">
        <f t="shared" si="100"/>
        <v>Benjamin</v>
      </c>
      <c r="E2166" t="str">
        <f t="shared" si="101"/>
        <v>Mears</v>
      </c>
    </row>
    <row r="2167" spans="1:5" ht="15.5" x14ac:dyDescent="0.35">
      <c r="A2167" s="1" t="s">
        <v>196</v>
      </c>
      <c r="B2167" s="1" t="s">
        <v>4549</v>
      </c>
      <c r="C2167" t="str">
        <f t="shared" si="99"/>
        <v>Mr.</v>
      </c>
      <c r="D2167" t="str">
        <f t="shared" si="100"/>
        <v>Ian T</v>
      </c>
      <c r="E2167" t="str">
        <f t="shared" si="101"/>
        <v>Neill</v>
      </c>
    </row>
    <row r="2168" spans="1:5" ht="15.5" x14ac:dyDescent="0.35">
      <c r="A2168" s="1" t="s">
        <v>195</v>
      </c>
      <c r="B2168" s="1" t="s">
        <v>4550</v>
      </c>
      <c r="C2168" t="str">
        <f t="shared" si="99"/>
        <v>Mr.</v>
      </c>
      <c r="D2168" t="str">
        <f t="shared" si="100"/>
        <v>Tadese</v>
      </c>
      <c r="E2168" t="str">
        <f t="shared" si="101"/>
        <v>Tola</v>
      </c>
    </row>
    <row r="2169" spans="1:5" ht="15.5" x14ac:dyDescent="0.35">
      <c r="A2169" s="1" t="s">
        <v>194</v>
      </c>
      <c r="B2169" s="1" t="s">
        <v>4551</v>
      </c>
      <c r="C2169" t="str">
        <f t="shared" si="99"/>
        <v>Mr.</v>
      </c>
      <c r="D2169" t="str">
        <f t="shared" si="100"/>
        <v>Jonathan</v>
      </c>
      <c r="E2169" t="str">
        <f t="shared" si="101"/>
        <v>Briskman</v>
      </c>
    </row>
    <row r="2170" spans="1:5" ht="15.5" x14ac:dyDescent="0.35">
      <c r="A2170" s="1" t="s">
        <v>193</v>
      </c>
      <c r="B2170" s="1" t="s">
        <v>4552</v>
      </c>
      <c r="C2170" t="str">
        <f t="shared" si="99"/>
        <v>Mr.</v>
      </c>
      <c r="D2170" t="str">
        <f t="shared" si="100"/>
        <v>Dathan</v>
      </c>
      <c r="E2170" t="str">
        <f t="shared" si="101"/>
        <v>Ritzenhein</v>
      </c>
    </row>
    <row r="2171" spans="1:5" ht="15.5" x14ac:dyDescent="0.35">
      <c r="A2171" s="1" t="s">
        <v>192</v>
      </c>
      <c r="B2171" s="1" t="s">
        <v>4553</v>
      </c>
      <c r="C2171" t="str">
        <f t="shared" si="99"/>
        <v>Mr.</v>
      </c>
      <c r="D2171" t="str">
        <f t="shared" si="100"/>
        <v>Eric</v>
      </c>
      <c r="E2171" t="str">
        <f t="shared" si="101"/>
        <v>Malkowski</v>
      </c>
    </row>
    <row r="2172" spans="1:5" ht="15.5" x14ac:dyDescent="0.35">
      <c r="A2172" s="1" t="s">
        <v>191</v>
      </c>
      <c r="B2172" s="1" t="s">
        <v>4554</v>
      </c>
      <c r="C2172" t="str">
        <f t="shared" si="99"/>
        <v>Ms.</v>
      </c>
      <c r="D2172" t="str">
        <f t="shared" si="100"/>
        <v>Allison M</v>
      </c>
      <c r="E2172" t="str">
        <f t="shared" si="101"/>
        <v>Andreyko</v>
      </c>
    </row>
    <row r="2173" spans="1:5" ht="15.5" x14ac:dyDescent="0.35">
      <c r="A2173" s="1" t="s">
        <v>190</v>
      </c>
      <c r="B2173" s="1" t="s">
        <v>4555</v>
      </c>
      <c r="C2173" t="str">
        <f t="shared" si="99"/>
        <v>Mr.</v>
      </c>
      <c r="D2173" t="str">
        <f t="shared" si="100"/>
        <v>Paul</v>
      </c>
      <c r="E2173" t="str">
        <f t="shared" si="101"/>
        <v>Landry</v>
      </c>
    </row>
    <row r="2174" spans="1:5" ht="15.5" x14ac:dyDescent="0.35">
      <c r="A2174" s="1" t="s">
        <v>189</v>
      </c>
      <c r="B2174" s="1" t="s">
        <v>4556</v>
      </c>
      <c r="C2174" t="str">
        <f t="shared" si="99"/>
        <v>Mr.</v>
      </c>
      <c r="D2174" t="str">
        <f t="shared" si="100"/>
        <v>Aaron R</v>
      </c>
      <c r="E2174" t="str">
        <f t="shared" si="101"/>
        <v>Lozier</v>
      </c>
    </row>
    <row r="2175" spans="1:5" ht="15.5" x14ac:dyDescent="0.35">
      <c r="A2175" s="1" t="s">
        <v>188</v>
      </c>
      <c r="B2175" s="1" t="s">
        <v>4557</v>
      </c>
      <c r="C2175" t="str">
        <f t="shared" si="99"/>
        <v>Ms.</v>
      </c>
      <c r="D2175" t="str">
        <f t="shared" si="100"/>
        <v>Caitlin H.</v>
      </c>
      <c r="E2175" t="str">
        <f t="shared" si="101"/>
        <v>O'Brien</v>
      </c>
    </row>
    <row r="2176" spans="1:5" ht="15.5" x14ac:dyDescent="0.35">
      <c r="A2176" s="1" t="s">
        <v>187</v>
      </c>
      <c r="B2176" s="1" t="s">
        <v>4558</v>
      </c>
      <c r="C2176" t="str">
        <f t="shared" si="99"/>
        <v>Mr.</v>
      </c>
      <c r="D2176" t="str">
        <f t="shared" si="100"/>
        <v>Harald E.</v>
      </c>
      <c r="E2176" t="str">
        <f t="shared" si="101"/>
        <v>Rodas</v>
      </c>
    </row>
    <row r="2177" spans="1:5" ht="15.5" x14ac:dyDescent="0.35">
      <c r="A2177" s="1" t="s">
        <v>186</v>
      </c>
      <c r="B2177" s="1" t="s">
        <v>4559</v>
      </c>
      <c r="C2177" t="str">
        <f t="shared" si="99"/>
        <v>Ms.</v>
      </c>
      <c r="D2177" t="str">
        <f t="shared" si="100"/>
        <v>Siobhan A.</v>
      </c>
      <c r="E2177" t="str">
        <f t="shared" si="101"/>
        <v>O'Connor</v>
      </c>
    </row>
    <row r="2178" spans="1:5" ht="15.5" x14ac:dyDescent="0.35">
      <c r="A2178" s="1" t="s">
        <v>185</v>
      </c>
      <c r="B2178" s="1" t="s">
        <v>4560</v>
      </c>
      <c r="C2178" t="str">
        <f t="shared" si="99"/>
        <v>Ms.</v>
      </c>
      <c r="D2178" t="str">
        <f t="shared" si="100"/>
        <v>Andrea J.</v>
      </c>
      <c r="E2178" t="str">
        <f t="shared" si="101"/>
        <v>White</v>
      </c>
    </row>
    <row r="2179" spans="1:5" ht="15.5" x14ac:dyDescent="0.35">
      <c r="A2179" s="1" t="s">
        <v>184</v>
      </c>
      <c r="B2179" s="1" t="s">
        <v>4561</v>
      </c>
      <c r="C2179" t="str">
        <f t="shared" ref="C2179:C2242" si="102">TRIM(MID(B2179,FIND(",",B2179)+1,FIND(".",B2179)-FIND(",",B2179)))</f>
        <v>Ms.</v>
      </c>
      <c r="D2179" t="str">
        <f t="shared" ref="D2179:D2242" si="103">TRIM(MID(B2179,FIND(".",B2179)+1,LEN(B2179)))</f>
        <v>Marie</v>
      </c>
      <c r="E2179" t="str">
        <f t="shared" ref="E2179:E2242" si="104">TRIM(LEFT(B2179,FIND(",",B2179)-1))</f>
        <v>Davenport</v>
      </c>
    </row>
    <row r="2180" spans="1:5" ht="15.5" x14ac:dyDescent="0.35">
      <c r="A2180" s="1" t="s">
        <v>183</v>
      </c>
      <c r="B2180" s="1" t="s">
        <v>4562</v>
      </c>
      <c r="C2180" t="str">
        <f t="shared" si="102"/>
        <v>Ms.</v>
      </c>
      <c r="D2180" t="str">
        <f t="shared" si="103"/>
        <v>Rachel A.</v>
      </c>
      <c r="E2180" t="str">
        <f t="shared" si="104"/>
        <v>Karmen</v>
      </c>
    </row>
    <row r="2181" spans="1:5" ht="15.5" x14ac:dyDescent="0.35">
      <c r="A2181" s="1" t="s">
        <v>182</v>
      </c>
      <c r="B2181" s="1" t="s">
        <v>4563</v>
      </c>
      <c r="C2181" t="str">
        <f t="shared" si="102"/>
        <v>Ms.</v>
      </c>
      <c r="D2181" t="str">
        <f t="shared" si="103"/>
        <v>Emma</v>
      </c>
      <c r="E2181" t="str">
        <f t="shared" si="104"/>
        <v>Miller</v>
      </c>
    </row>
    <row r="2182" spans="1:5" ht="15.5" x14ac:dyDescent="0.35">
      <c r="A2182" s="1" t="s">
        <v>181</v>
      </c>
      <c r="B2182" s="1" t="s">
        <v>4564</v>
      </c>
      <c r="C2182" t="str">
        <f t="shared" si="102"/>
        <v>Ms.</v>
      </c>
      <c r="D2182" t="str">
        <f t="shared" si="103"/>
        <v>Kiersten</v>
      </c>
      <c r="E2182" t="str">
        <f t="shared" si="104"/>
        <v>Lippmann</v>
      </c>
    </row>
    <row r="2183" spans="1:5" ht="15.5" x14ac:dyDescent="0.35">
      <c r="A2183" s="1" t="s">
        <v>180</v>
      </c>
      <c r="B2183" s="1" t="s">
        <v>4565</v>
      </c>
      <c r="C2183" t="str">
        <f t="shared" si="102"/>
        <v>Ms.</v>
      </c>
      <c r="D2183" t="str">
        <f t="shared" si="103"/>
        <v>Rachael</v>
      </c>
      <c r="E2183" t="str">
        <f t="shared" si="104"/>
        <v>Klehm</v>
      </c>
    </row>
    <row r="2184" spans="1:5" ht="15.5" x14ac:dyDescent="0.35">
      <c r="A2184" s="1" t="s">
        <v>179</v>
      </c>
      <c r="B2184" s="1" t="s">
        <v>4566</v>
      </c>
      <c r="C2184" t="str">
        <f t="shared" si="102"/>
        <v>Mr.</v>
      </c>
      <c r="D2184" t="str">
        <f t="shared" si="103"/>
        <v>Timothy P.</v>
      </c>
      <c r="E2184" t="str">
        <f t="shared" si="104"/>
        <v>Murphy</v>
      </c>
    </row>
    <row r="2185" spans="1:5" ht="15.5" x14ac:dyDescent="0.35">
      <c r="A2185" s="1" t="s">
        <v>178</v>
      </c>
      <c r="B2185" s="1" t="s">
        <v>4567</v>
      </c>
      <c r="C2185" t="str">
        <f t="shared" si="102"/>
        <v>Mr.</v>
      </c>
      <c r="D2185" t="str">
        <f t="shared" si="103"/>
        <v>Lelisa</v>
      </c>
      <c r="E2185" t="str">
        <f t="shared" si="104"/>
        <v>Desisa</v>
      </c>
    </row>
    <row r="2186" spans="1:5" ht="15.5" x14ac:dyDescent="0.35">
      <c r="A2186" s="1" t="s">
        <v>177</v>
      </c>
      <c r="B2186" s="1" t="s">
        <v>4568</v>
      </c>
      <c r="C2186" t="str">
        <f t="shared" si="102"/>
        <v>Mr.</v>
      </c>
      <c r="D2186" t="str">
        <f t="shared" si="103"/>
        <v>Nate</v>
      </c>
      <c r="E2186" t="str">
        <f t="shared" si="104"/>
        <v>Brooks</v>
      </c>
    </row>
    <row r="2187" spans="1:5" ht="15.5" x14ac:dyDescent="0.35">
      <c r="A2187" s="1" t="s">
        <v>176</v>
      </c>
      <c r="B2187" s="1" t="s">
        <v>4569</v>
      </c>
      <c r="C2187" t="str">
        <f t="shared" si="102"/>
        <v>Mr.</v>
      </c>
      <c r="D2187" t="str">
        <f t="shared" si="103"/>
        <v>Chris C.</v>
      </c>
      <c r="E2187" t="str">
        <f t="shared" si="104"/>
        <v>Stone</v>
      </c>
    </row>
    <row r="2188" spans="1:5" ht="15.5" x14ac:dyDescent="0.35">
      <c r="A2188" s="1" t="s">
        <v>175</v>
      </c>
      <c r="B2188" s="1" t="s">
        <v>4570</v>
      </c>
      <c r="C2188" t="str">
        <f t="shared" si="102"/>
        <v>Mr.</v>
      </c>
      <c r="D2188" t="str">
        <f t="shared" si="103"/>
        <v>Scott</v>
      </c>
      <c r="E2188" t="str">
        <f t="shared" si="104"/>
        <v>Weispfennig</v>
      </c>
    </row>
    <row r="2189" spans="1:5" ht="15.5" x14ac:dyDescent="0.35">
      <c r="A2189" s="1" t="s">
        <v>174</v>
      </c>
      <c r="B2189" s="1" t="s">
        <v>4571</v>
      </c>
      <c r="C2189" t="str">
        <f t="shared" si="102"/>
        <v>Mr.</v>
      </c>
      <c r="D2189" t="str">
        <f t="shared" si="103"/>
        <v>Kevin</v>
      </c>
      <c r="E2189" t="str">
        <f t="shared" si="104"/>
        <v>Sorrell</v>
      </c>
    </row>
    <row r="2190" spans="1:5" ht="15.5" x14ac:dyDescent="0.35">
      <c r="A2190" s="1" t="s">
        <v>173</v>
      </c>
      <c r="B2190" s="1" t="s">
        <v>4572</v>
      </c>
      <c r="C2190" t="str">
        <f t="shared" si="102"/>
        <v>Mr.</v>
      </c>
      <c r="D2190" t="str">
        <f t="shared" si="103"/>
        <v>Erik C.</v>
      </c>
      <c r="E2190" t="str">
        <f t="shared" si="104"/>
        <v>Morris</v>
      </c>
    </row>
    <row r="2191" spans="1:5" ht="15.5" x14ac:dyDescent="0.35">
      <c r="A2191" s="1" t="s">
        <v>172</v>
      </c>
      <c r="B2191" s="1" t="s">
        <v>4573</v>
      </c>
      <c r="C2191" t="str">
        <f t="shared" si="102"/>
        <v>Mr.</v>
      </c>
      <c r="D2191" t="str">
        <f t="shared" si="103"/>
        <v>Shawn C</v>
      </c>
      <c r="E2191" t="str">
        <f t="shared" si="104"/>
        <v>Marek</v>
      </c>
    </row>
    <row r="2192" spans="1:5" ht="15.5" x14ac:dyDescent="0.35">
      <c r="A2192" s="1" t="s">
        <v>171</v>
      </c>
      <c r="B2192" s="1" t="s">
        <v>4574</v>
      </c>
      <c r="C2192" t="str">
        <f t="shared" si="102"/>
        <v>Mr.</v>
      </c>
      <c r="D2192" t="str">
        <f t="shared" si="103"/>
        <v>Vajin L.</v>
      </c>
      <c r="E2192" t="str">
        <f t="shared" si="104"/>
        <v>Armstrong</v>
      </c>
    </row>
    <row r="2193" spans="1:5" ht="15.5" x14ac:dyDescent="0.35">
      <c r="A2193" s="1" t="s">
        <v>169</v>
      </c>
      <c r="B2193" s="1" t="s">
        <v>4575</v>
      </c>
      <c r="C2193" t="str">
        <f t="shared" si="102"/>
        <v>Mr.</v>
      </c>
      <c r="D2193" t="str">
        <f t="shared" si="103"/>
        <v>John K. Jr.</v>
      </c>
      <c r="E2193" t="str">
        <f t="shared" si="104"/>
        <v>Werner</v>
      </c>
    </row>
    <row r="2194" spans="1:5" ht="15.5" x14ac:dyDescent="0.35">
      <c r="A2194" s="1" t="s">
        <v>167</v>
      </c>
      <c r="B2194" s="1" t="s">
        <v>4576</v>
      </c>
      <c r="C2194" t="str">
        <f t="shared" si="102"/>
        <v>Mr.</v>
      </c>
      <c r="D2194" t="str">
        <f t="shared" si="103"/>
        <v>Kevin J.</v>
      </c>
      <c r="E2194" t="str">
        <f t="shared" si="104"/>
        <v>Gries</v>
      </c>
    </row>
    <row r="2195" spans="1:5" ht="15.5" x14ac:dyDescent="0.35">
      <c r="A2195" s="1" t="s">
        <v>165</v>
      </c>
      <c r="B2195" s="1" t="s">
        <v>4577</v>
      </c>
      <c r="C2195" t="str">
        <f t="shared" si="102"/>
        <v>Mr.</v>
      </c>
      <c r="D2195" t="str">
        <f t="shared" si="103"/>
        <v>Kirby W.</v>
      </c>
      <c r="E2195" t="str">
        <f t="shared" si="104"/>
        <v>Mills</v>
      </c>
    </row>
    <row r="2196" spans="1:5" ht="15.5" x14ac:dyDescent="0.35">
      <c r="A2196" s="1" t="s">
        <v>163</v>
      </c>
      <c r="B2196" s="1" t="s">
        <v>4578</v>
      </c>
      <c r="C2196" t="str">
        <f t="shared" si="102"/>
        <v>Mr.</v>
      </c>
      <c r="D2196" t="str">
        <f t="shared" si="103"/>
        <v>J A</v>
      </c>
      <c r="E2196" t="str">
        <f t="shared" si="104"/>
        <v>Penny</v>
      </c>
    </row>
    <row r="2197" spans="1:5" ht="15.5" x14ac:dyDescent="0.35">
      <c r="A2197" s="1" t="s">
        <v>162</v>
      </c>
      <c r="B2197" s="1" t="s">
        <v>4579</v>
      </c>
      <c r="C2197" t="str">
        <f t="shared" si="102"/>
        <v>Mr.</v>
      </c>
      <c r="D2197" t="str">
        <f t="shared" si="103"/>
        <v>Dustin G.</v>
      </c>
      <c r="E2197" t="str">
        <f t="shared" si="104"/>
        <v>Hicks</v>
      </c>
    </row>
    <row r="2198" spans="1:5" ht="15.5" x14ac:dyDescent="0.35">
      <c r="A2198" s="1" t="s">
        <v>161</v>
      </c>
      <c r="B2198" s="1" t="s">
        <v>4580</v>
      </c>
      <c r="C2198" t="str">
        <f t="shared" si="102"/>
        <v>Mr.</v>
      </c>
      <c r="D2198" t="str">
        <f t="shared" si="103"/>
        <v>Anthony G</v>
      </c>
      <c r="E2198" t="str">
        <f t="shared" si="104"/>
        <v>Masayesva</v>
      </c>
    </row>
    <row r="2199" spans="1:5" ht="15.5" x14ac:dyDescent="0.35">
      <c r="A2199" s="1" t="s">
        <v>160</v>
      </c>
      <c r="B2199" s="1" t="s">
        <v>4581</v>
      </c>
      <c r="C2199" t="str">
        <f t="shared" si="102"/>
        <v>Mr.</v>
      </c>
      <c r="D2199" t="str">
        <f t="shared" si="103"/>
        <v>Ryan</v>
      </c>
      <c r="E2199" t="str">
        <f t="shared" si="104"/>
        <v>Paavola</v>
      </c>
    </row>
    <row r="2200" spans="1:5" ht="15.5" x14ac:dyDescent="0.35">
      <c r="A2200" s="1" t="s">
        <v>159</v>
      </c>
      <c r="B2200" s="1" t="s">
        <v>4582</v>
      </c>
      <c r="C2200" t="str">
        <f t="shared" si="102"/>
        <v>Mr.</v>
      </c>
      <c r="D2200" t="str">
        <f t="shared" si="103"/>
        <v>Eric N</v>
      </c>
      <c r="E2200" t="str">
        <f t="shared" si="104"/>
        <v>Gehlsen</v>
      </c>
    </row>
    <row r="2201" spans="1:5" ht="15.5" x14ac:dyDescent="0.35">
      <c r="A2201" s="1" t="s">
        <v>158</v>
      </c>
      <c r="B2201" s="1" t="s">
        <v>4583</v>
      </c>
      <c r="C2201" t="str">
        <f t="shared" si="102"/>
        <v>Mr.</v>
      </c>
      <c r="D2201" t="str">
        <f t="shared" si="103"/>
        <v>Connor</v>
      </c>
      <c r="E2201" t="str">
        <f t="shared" si="104"/>
        <v>Roche</v>
      </c>
    </row>
    <row r="2202" spans="1:5" ht="15.5" x14ac:dyDescent="0.35">
      <c r="A2202" s="1" t="s">
        <v>157</v>
      </c>
      <c r="B2202" s="1" t="s">
        <v>4584</v>
      </c>
      <c r="C2202" t="str">
        <f t="shared" si="102"/>
        <v>Mr.</v>
      </c>
      <c r="D2202" t="str">
        <f t="shared" si="103"/>
        <v>Patrick H.</v>
      </c>
      <c r="E2202" t="str">
        <f t="shared" si="104"/>
        <v>Hearn</v>
      </c>
    </row>
    <row r="2203" spans="1:5" ht="15.5" x14ac:dyDescent="0.35">
      <c r="A2203" s="1" t="s">
        <v>156</v>
      </c>
      <c r="B2203" s="1" t="s">
        <v>4585</v>
      </c>
      <c r="C2203" t="str">
        <f t="shared" si="102"/>
        <v>Mr.</v>
      </c>
      <c r="D2203" t="str">
        <f t="shared" si="103"/>
        <v>Tyler</v>
      </c>
      <c r="E2203" t="str">
        <f t="shared" si="104"/>
        <v>Dimson</v>
      </c>
    </row>
    <row r="2204" spans="1:5" ht="15.5" x14ac:dyDescent="0.35">
      <c r="A2204" s="1" t="s">
        <v>155</v>
      </c>
      <c r="B2204" s="1" t="s">
        <v>4586</v>
      </c>
      <c r="C2204" t="str">
        <f t="shared" si="102"/>
        <v>Ms.</v>
      </c>
      <c r="D2204" t="str">
        <f t="shared" si="103"/>
        <v>Deborah L.</v>
      </c>
      <c r="E2204" t="str">
        <f t="shared" si="104"/>
        <v>Slason</v>
      </c>
    </row>
    <row r="2205" spans="1:5" ht="15.5" x14ac:dyDescent="0.35">
      <c r="A2205" s="1" t="s">
        <v>154</v>
      </c>
      <c r="B2205" s="1" t="s">
        <v>4587</v>
      </c>
      <c r="C2205" t="str">
        <f t="shared" si="102"/>
        <v>Ms.</v>
      </c>
      <c r="D2205" t="str">
        <f t="shared" si="103"/>
        <v>Andrea K</v>
      </c>
      <c r="E2205" t="str">
        <f t="shared" si="104"/>
        <v>Gibson</v>
      </c>
    </row>
    <row r="2206" spans="1:5" ht="15.5" x14ac:dyDescent="0.35">
      <c r="A2206" s="1" t="s">
        <v>153</v>
      </c>
      <c r="B2206" s="1" t="s">
        <v>4588</v>
      </c>
      <c r="C2206" t="str">
        <f t="shared" si="102"/>
        <v>Ms.</v>
      </c>
      <c r="D2206" t="str">
        <f t="shared" si="103"/>
        <v>Elleree</v>
      </c>
      <c r="E2206" t="str">
        <f t="shared" si="104"/>
        <v>Erdos</v>
      </c>
    </row>
    <row r="2207" spans="1:5" ht="15.5" x14ac:dyDescent="0.35">
      <c r="A2207" s="1" t="s">
        <v>152</v>
      </c>
      <c r="B2207" s="1" t="s">
        <v>4589</v>
      </c>
      <c r="C2207" t="str">
        <f t="shared" si="102"/>
        <v>Mr.</v>
      </c>
      <c r="D2207" t="str">
        <f t="shared" si="103"/>
        <v>Brandon J</v>
      </c>
      <c r="E2207" t="str">
        <f t="shared" si="104"/>
        <v>Cushman</v>
      </c>
    </row>
    <row r="2208" spans="1:5" ht="15.5" x14ac:dyDescent="0.35">
      <c r="A2208" s="1" t="s">
        <v>151</v>
      </c>
      <c r="B2208" s="1" t="s">
        <v>4590</v>
      </c>
      <c r="C2208" t="str">
        <f t="shared" si="102"/>
        <v>Mr.</v>
      </c>
      <c r="D2208" t="str">
        <f t="shared" si="103"/>
        <v>Steve</v>
      </c>
      <c r="E2208" t="str">
        <f t="shared" si="104"/>
        <v>Hammel</v>
      </c>
    </row>
    <row r="2209" spans="1:5" ht="15.5" x14ac:dyDescent="0.35">
      <c r="A2209" s="1" t="s">
        <v>150</v>
      </c>
      <c r="B2209" s="1" t="s">
        <v>4591</v>
      </c>
      <c r="C2209" t="str">
        <f t="shared" si="102"/>
        <v>Ms.</v>
      </c>
      <c r="D2209" t="str">
        <f t="shared" si="103"/>
        <v>Nina Wavik Sr.</v>
      </c>
      <c r="E2209" t="str">
        <f t="shared" si="104"/>
        <v>Ytterstad</v>
      </c>
    </row>
    <row r="2210" spans="1:5" ht="15.5" x14ac:dyDescent="0.35">
      <c r="A2210" s="1" t="s">
        <v>149</v>
      </c>
      <c r="B2210" s="1" t="s">
        <v>4592</v>
      </c>
      <c r="C2210" t="str">
        <f t="shared" si="102"/>
        <v>Ms.</v>
      </c>
      <c r="D2210" t="str">
        <f t="shared" si="103"/>
        <v>Dani</v>
      </c>
      <c r="E2210" t="str">
        <f t="shared" si="104"/>
        <v>Prince</v>
      </c>
    </row>
    <row r="2211" spans="1:5" ht="15.5" x14ac:dyDescent="0.35">
      <c r="A2211" s="1" t="s">
        <v>148</v>
      </c>
      <c r="B2211" s="1" t="s">
        <v>4593</v>
      </c>
      <c r="C2211" t="str">
        <f t="shared" si="102"/>
        <v>Ms.</v>
      </c>
      <c r="D2211" t="str">
        <f t="shared" si="103"/>
        <v>Jennifer A.</v>
      </c>
      <c r="E2211" t="str">
        <f t="shared" si="104"/>
        <v>Freeman</v>
      </c>
    </row>
    <row r="2212" spans="1:5" ht="15.5" x14ac:dyDescent="0.35">
      <c r="A2212" s="1" t="s">
        <v>147</v>
      </c>
      <c r="B2212" s="1" t="s">
        <v>4594</v>
      </c>
      <c r="C2212" t="str">
        <f t="shared" si="102"/>
        <v>Mr.</v>
      </c>
      <c r="D2212" t="str">
        <f t="shared" si="103"/>
        <v>Martin</v>
      </c>
      <c r="E2212" t="str">
        <f t="shared" si="104"/>
        <v>Petrulak</v>
      </c>
    </row>
    <row r="2213" spans="1:5" ht="15.5" x14ac:dyDescent="0.35">
      <c r="A2213" s="1" t="s">
        <v>146</v>
      </c>
      <c r="B2213" s="1" t="s">
        <v>4595</v>
      </c>
      <c r="C2213" t="str">
        <f t="shared" si="102"/>
        <v>Mr.</v>
      </c>
      <c r="D2213" t="str">
        <f t="shared" si="103"/>
        <v>Steve</v>
      </c>
      <c r="E2213" t="str">
        <f t="shared" si="104"/>
        <v>Lloyd</v>
      </c>
    </row>
    <row r="2214" spans="1:5" ht="15.5" x14ac:dyDescent="0.35">
      <c r="A2214" s="1" t="s">
        <v>145</v>
      </c>
      <c r="B2214" s="1" t="s">
        <v>4596</v>
      </c>
      <c r="C2214" t="str">
        <f t="shared" si="102"/>
        <v>Mr.</v>
      </c>
      <c r="D2214" t="str">
        <f t="shared" si="103"/>
        <v>Christopher</v>
      </c>
      <c r="E2214" t="str">
        <f t="shared" si="104"/>
        <v>Zablocki</v>
      </c>
    </row>
    <row r="2215" spans="1:5" ht="15.5" x14ac:dyDescent="0.35">
      <c r="A2215" s="1" t="s">
        <v>144</v>
      </c>
      <c r="B2215" s="1" t="s">
        <v>4597</v>
      </c>
      <c r="C2215" t="str">
        <f t="shared" si="102"/>
        <v>Ms.</v>
      </c>
      <c r="D2215" t="str">
        <f t="shared" si="103"/>
        <v>Kathryn M.</v>
      </c>
      <c r="E2215" t="str">
        <f t="shared" si="104"/>
        <v>Van Meter</v>
      </c>
    </row>
    <row r="2216" spans="1:5" ht="15.5" x14ac:dyDescent="0.35">
      <c r="A2216" s="1" t="s">
        <v>143</v>
      </c>
      <c r="B2216" s="1" t="s">
        <v>4598</v>
      </c>
      <c r="C2216" t="str">
        <f t="shared" si="102"/>
        <v>Ms.</v>
      </c>
      <c r="D2216" t="str">
        <f t="shared" si="103"/>
        <v>Emily</v>
      </c>
      <c r="E2216" t="str">
        <f t="shared" si="104"/>
        <v>Babay</v>
      </c>
    </row>
    <row r="2217" spans="1:5" ht="15.5" x14ac:dyDescent="0.35">
      <c r="A2217" s="1" t="s">
        <v>142</v>
      </c>
      <c r="B2217" s="1" t="s">
        <v>4599</v>
      </c>
      <c r="C2217" t="str">
        <f t="shared" si="102"/>
        <v>Mr.</v>
      </c>
      <c r="D2217" t="str">
        <f t="shared" si="103"/>
        <v>Trent A</v>
      </c>
      <c r="E2217" t="str">
        <f t="shared" si="104"/>
        <v>Taylor</v>
      </c>
    </row>
    <row r="2218" spans="1:5" ht="15.5" x14ac:dyDescent="0.35">
      <c r="A2218" s="1" t="s">
        <v>141</v>
      </c>
      <c r="B2218" s="1" t="s">
        <v>4600</v>
      </c>
      <c r="C2218" t="str">
        <f t="shared" si="102"/>
        <v>Ms.</v>
      </c>
      <c r="D2218" t="str">
        <f t="shared" si="103"/>
        <v>Jennifer E</v>
      </c>
      <c r="E2218" t="str">
        <f t="shared" si="104"/>
        <v>Smith</v>
      </c>
    </row>
    <row r="2219" spans="1:5" ht="15.5" x14ac:dyDescent="0.35">
      <c r="A2219" s="1" t="s">
        <v>140</v>
      </c>
      <c r="B2219" s="1" t="s">
        <v>4601</v>
      </c>
      <c r="C2219" t="str">
        <f t="shared" si="102"/>
        <v>Ms.</v>
      </c>
      <c r="D2219" t="str">
        <f t="shared" si="103"/>
        <v>Polly</v>
      </c>
      <c r="E2219" t="str">
        <f t="shared" si="104"/>
        <v>Moody</v>
      </c>
    </row>
    <row r="2220" spans="1:5" ht="15.5" x14ac:dyDescent="0.35">
      <c r="A2220" s="1" t="s">
        <v>139</v>
      </c>
      <c r="B2220" s="1" t="s">
        <v>4602</v>
      </c>
      <c r="C2220" t="str">
        <f t="shared" si="102"/>
        <v>Ms.</v>
      </c>
      <c r="D2220" t="str">
        <f t="shared" si="103"/>
        <v>Elizabeth</v>
      </c>
      <c r="E2220" t="str">
        <f t="shared" si="104"/>
        <v>Swierzbinski</v>
      </c>
    </row>
    <row r="2221" spans="1:5" ht="15.5" x14ac:dyDescent="0.35">
      <c r="A2221" s="1" t="s">
        <v>138</v>
      </c>
      <c r="B2221" s="1" t="s">
        <v>4603</v>
      </c>
      <c r="C2221" t="str">
        <f t="shared" si="102"/>
        <v>Ms.</v>
      </c>
      <c r="D2221" t="str">
        <f t="shared" si="103"/>
        <v>Tiffany A.</v>
      </c>
      <c r="E2221" t="str">
        <f t="shared" si="104"/>
        <v>Schwartz</v>
      </c>
    </row>
    <row r="2222" spans="1:5" ht="15.5" x14ac:dyDescent="0.35">
      <c r="A2222" s="1" t="s">
        <v>137</v>
      </c>
      <c r="B2222" s="1" t="s">
        <v>4604</v>
      </c>
      <c r="C2222" t="str">
        <f t="shared" si="102"/>
        <v>Mr.</v>
      </c>
      <c r="D2222" t="str">
        <f t="shared" si="103"/>
        <v>Cole</v>
      </c>
      <c r="E2222" t="str">
        <f t="shared" si="104"/>
        <v>Sanseverino</v>
      </c>
    </row>
    <row r="2223" spans="1:5" ht="15.5" x14ac:dyDescent="0.35">
      <c r="A2223" s="1" t="s">
        <v>136</v>
      </c>
      <c r="B2223" s="1" t="s">
        <v>4605</v>
      </c>
      <c r="C2223" t="str">
        <f t="shared" si="102"/>
        <v>Mr.</v>
      </c>
      <c r="D2223" t="str">
        <f t="shared" si="103"/>
        <v>Matthew T.</v>
      </c>
      <c r="E2223" t="str">
        <f t="shared" si="104"/>
        <v>Lawder</v>
      </c>
    </row>
    <row r="2224" spans="1:5" ht="15.5" x14ac:dyDescent="0.35">
      <c r="A2224" s="1" t="s">
        <v>135</v>
      </c>
      <c r="B2224" s="1" t="s">
        <v>4606</v>
      </c>
      <c r="C2224" t="str">
        <f t="shared" si="102"/>
        <v>Mr.</v>
      </c>
      <c r="D2224" t="str">
        <f t="shared" si="103"/>
        <v>Zachary</v>
      </c>
      <c r="E2224" t="str">
        <f t="shared" si="104"/>
        <v>Young</v>
      </c>
    </row>
    <row r="2225" spans="1:5" ht="15.5" x14ac:dyDescent="0.35">
      <c r="A2225" s="1" t="s">
        <v>134</v>
      </c>
      <c r="B2225" s="1" t="s">
        <v>4607</v>
      </c>
      <c r="C2225" t="str">
        <f t="shared" si="102"/>
        <v>Mr.</v>
      </c>
      <c r="D2225" t="str">
        <f t="shared" si="103"/>
        <v>Matthew T.</v>
      </c>
      <c r="E2225" t="str">
        <f t="shared" si="104"/>
        <v>Hoerner</v>
      </c>
    </row>
    <row r="2226" spans="1:5" ht="15.5" x14ac:dyDescent="0.35">
      <c r="A2226" s="1" t="s">
        <v>133</v>
      </c>
      <c r="B2226" s="1" t="s">
        <v>4608</v>
      </c>
      <c r="C2226" t="str">
        <f t="shared" si="102"/>
        <v>Mr.</v>
      </c>
      <c r="D2226" t="str">
        <f t="shared" si="103"/>
        <v>Pat</v>
      </c>
      <c r="E2226" t="str">
        <f t="shared" si="104"/>
        <v>Benson</v>
      </c>
    </row>
    <row r="2227" spans="1:5" ht="15.5" x14ac:dyDescent="0.35">
      <c r="A2227" s="1" t="s">
        <v>132</v>
      </c>
      <c r="B2227" s="1" t="s">
        <v>4609</v>
      </c>
      <c r="C2227" t="str">
        <f t="shared" si="102"/>
        <v>Ms.</v>
      </c>
      <c r="D2227" t="str">
        <f t="shared" si="103"/>
        <v>Ashley</v>
      </c>
      <c r="E2227" t="str">
        <f t="shared" si="104"/>
        <v>Horton</v>
      </c>
    </row>
    <row r="2228" spans="1:5" ht="15.5" x14ac:dyDescent="0.35">
      <c r="A2228" s="1" t="s">
        <v>131</v>
      </c>
      <c r="B2228" s="1" t="s">
        <v>4610</v>
      </c>
      <c r="C2228" t="str">
        <f t="shared" si="102"/>
        <v>Ms.</v>
      </c>
      <c r="D2228" t="str">
        <f t="shared" si="103"/>
        <v>Elizabeth A.</v>
      </c>
      <c r="E2228" t="str">
        <f t="shared" si="104"/>
        <v>McGraw</v>
      </c>
    </row>
    <row r="2229" spans="1:5" ht="15.5" x14ac:dyDescent="0.35">
      <c r="A2229" s="1" t="s">
        <v>130</v>
      </c>
      <c r="B2229" s="1" t="s">
        <v>4611</v>
      </c>
      <c r="C2229" t="str">
        <f t="shared" si="102"/>
        <v>Ms.</v>
      </c>
      <c r="D2229" t="str">
        <f t="shared" si="103"/>
        <v>Rebecca M.</v>
      </c>
      <c r="E2229" t="str">
        <f t="shared" si="104"/>
        <v>Beaulne</v>
      </c>
    </row>
    <row r="2230" spans="1:5" ht="15.5" x14ac:dyDescent="0.35">
      <c r="A2230" s="1" t="s">
        <v>129</v>
      </c>
      <c r="B2230" s="1" t="s">
        <v>4612</v>
      </c>
      <c r="C2230" t="str">
        <f t="shared" si="102"/>
        <v>Ms.</v>
      </c>
      <c r="D2230" t="str">
        <f t="shared" si="103"/>
        <v>Ruth</v>
      </c>
      <c r="E2230" t="str">
        <f t="shared" si="104"/>
        <v>Lunz</v>
      </c>
    </row>
    <row r="2231" spans="1:5" ht="15.5" x14ac:dyDescent="0.35">
      <c r="A2231" s="1" t="s">
        <v>128</v>
      </c>
      <c r="B2231" s="1" t="s">
        <v>4613</v>
      </c>
      <c r="C2231" t="str">
        <f t="shared" si="102"/>
        <v>Mr.</v>
      </c>
      <c r="D2231" t="str">
        <f t="shared" si="103"/>
        <v>Gregory S</v>
      </c>
      <c r="E2231" t="str">
        <f t="shared" si="104"/>
        <v>Kyle</v>
      </c>
    </row>
    <row r="2232" spans="1:5" ht="15.5" x14ac:dyDescent="0.35">
      <c r="A2232" s="1" t="s">
        <v>127</v>
      </c>
      <c r="B2232" s="1" t="s">
        <v>4614</v>
      </c>
      <c r="C2232" t="str">
        <f t="shared" si="102"/>
        <v>Ms.</v>
      </c>
      <c r="D2232" t="str">
        <f t="shared" si="103"/>
        <v>Alexandra S</v>
      </c>
      <c r="E2232" t="str">
        <f t="shared" si="104"/>
        <v>Brackenwagen</v>
      </c>
    </row>
    <row r="2233" spans="1:5" ht="15.5" x14ac:dyDescent="0.35">
      <c r="A2233" s="1" t="s">
        <v>126</v>
      </c>
      <c r="B2233" s="1" t="s">
        <v>4615</v>
      </c>
      <c r="C2233" t="str">
        <f t="shared" si="102"/>
        <v>Ms.</v>
      </c>
      <c r="D2233" t="str">
        <f t="shared" si="103"/>
        <v>Hillary</v>
      </c>
      <c r="E2233" t="str">
        <f t="shared" si="104"/>
        <v>Schmitt</v>
      </c>
    </row>
    <row r="2234" spans="1:5" ht="15.5" x14ac:dyDescent="0.35">
      <c r="A2234" s="1" t="s">
        <v>125</v>
      </c>
      <c r="B2234" s="1" t="s">
        <v>4616</v>
      </c>
      <c r="C2234" t="str">
        <f t="shared" si="102"/>
        <v>Ms.</v>
      </c>
      <c r="D2234" t="str">
        <f t="shared" si="103"/>
        <v>Amy K.</v>
      </c>
      <c r="E2234" t="str">
        <f t="shared" si="104"/>
        <v>Borden</v>
      </c>
    </row>
    <row r="2235" spans="1:5" ht="15.5" x14ac:dyDescent="0.35">
      <c r="A2235" s="1" t="s">
        <v>124</v>
      </c>
      <c r="B2235" s="1" t="s">
        <v>4617</v>
      </c>
      <c r="C2235" t="str">
        <f t="shared" si="102"/>
        <v>Mr.</v>
      </c>
      <c r="D2235" t="str">
        <f t="shared" si="103"/>
        <v>Scott</v>
      </c>
      <c r="E2235" t="str">
        <f t="shared" si="104"/>
        <v>McLean</v>
      </c>
    </row>
    <row r="2236" spans="1:5" ht="15.5" x14ac:dyDescent="0.35">
      <c r="A2236" s="1" t="s">
        <v>123</v>
      </c>
      <c r="B2236" s="1" t="s">
        <v>4618</v>
      </c>
      <c r="C2236" t="str">
        <f t="shared" si="102"/>
        <v>Mr.</v>
      </c>
      <c r="D2236" t="str">
        <f t="shared" si="103"/>
        <v>John</v>
      </c>
      <c r="E2236" t="str">
        <f t="shared" si="104"/>
        <v>Regan</v>
      </c>
    </row>
    <row r="2237" spans="1:5" ht="15.5" x14ac:dyDescent="0.35">
      <c r="A2237" s="1" t="s">
        <v>122</v>
      </c>
      <c r="B2237" s="1" t="s">
        <v>4619</v>
      </c>
      <c r="C2237" t="str">
        <f t="shared" si="102"/>
        <v>Mr.</v>
      </c>
      <c r="D2237" t="str">
        <f t="shared" si="103"/>
        <v>Maaikel</v>
      </c>
      <c r="E2237" t="str">
        <f t="shared" si="104"/>
        <v>Koenis</v>
      </c>
    </row>
    <row r="2238" spans="1:5" ht="15.5" x14ac:dyDescent="0.35">
      <c r="A2238" s="1" t="s">
        <v>121</v>
      </c>
      <c r="B2238" s="1" t="s">
        <v>4620</v>
      </c>
      <c r="C2238" t="str">
        <f t="shared" si="102"/>
        <v>Mr.</v>
      </c>
      <c r="D2238" t="str">
        <f t="shared" si="103"/>
        <v>Daniel C</v>
      </c>
      <c r="E2238" t="str">
        <f t="shared" si="104"/>
        <v>Kittaka</v>
      </c>
    </row>
    <row r="2239" spans="1:5" ht="15.5" x14ac:dyDescent="0.35">
      <c r="A2239" s="1" t="s">
        <v>120</v>
      </c>
      <c r="B2239" s="1" t="s">
        <v>4621</v>
      </c>
      <c r="C2239" t="str">
        <f t="shared" si="102"/>
        <v>Mr.</v>
      </c>
      <c r="D2239" t="str">
        <f t="shared" si="103"/>
        <v>Christopher S.</v>
      </c>
      <c r="E2239" t="str">
        <f t="shared" si="104"/>
        <v>Concannon</v>
      </c>
    </row>
    <row r="2240" spans="1:5" ht="15.5" x14ac:dyDescent="0.35">
      <c r="A2240" s="1" t="s">
        <v>119</v>
      </c>
      <c r="B2240" s="1" t="s">
        <v>4622</v>
      </c>
      <c r="C2240" t="str">
        <f t="shared" si="102"/>
        <v>Mr.</v>
      </c>
      <c r="D2240" t="str">
        <f t="shared" si="103"/>
        <v>William R</v>
      </c>
      <c r="E2240" t="str">
        <f t="shared" si="104"/>
        <v>Johnson</v>
      </c>
    </row>
    <row r="2241" spans="1:5" ht="15.5" x14ac:dyDescent="0.35">
      <c r="A2241" s="1" t="s">
        <v>118</v>
      </c>
      <c r="B2241" s="1" t="s">
        <v>4623</v>
      </c>
      <c r="C2241" t="str">
        <f t="shared" si="102"/>
        <v>Ms.</v>
      </c>
      <c r="D2241" t="str">
        <f t="shared" si="103"/>
        <v>Lyndsy</v>
      </c>
      <c r="E2241" t="str">
        <f t="shared" si="104"/>
        <v>Schultz</v>
      </c>
    </row>
    <row r="2242" spans="1:5" ht="15.5" x14ac:dyDescent="0.35">
      <c r="A2242" s="1" t="s">
        <v>117</v>
      </c>
      <c r="B2242" s="1" t="s">
        <v>4624</v>
      </c>
      <c r="C2242" t="str">
        <f t="shared" si="102"/>
        <v>Ms.</v>
      </c>
      <c r="D2242" t="str">
        <f t="shared" si="103"/>
        <v>Jessica</v>
      </c>
      <c r="E2242" t="str">
        <f t="shared" si="104"/>
        <v>Brannigan</v>
      </c>
    </row>
    <row r="2243" spans="1:5" ht="15.5" x14ac:dyDescent="0.35">
      <c r="A2243" s="1" t="s">
        <v>116</v>
      </c>
      <c r="B2243" s="1" t="s">
        <v>4625</v>
      </c>
      <c r="C2243" t="str">
        <f t="shared" ref="C2243:C2306" si="105">TRIM(MID(B2243,FIND(",",B2243)+1,FIND(".",B2243)-FIND(",",B2243)))</f>
        <v>Ms.</v>
      </c>
      <c r="D2243" t="str">
        <f t="shared" ref="D2243:D2306" si="106">TRIM(MID(B2243,FIND(".",B2243)+1,LEN(B2243)))</f>
        <v>Anna</v>
      </c>
      <c r="E2243" t="str">
        <f t="shared" ref="E2243:E2306" si="107">TRIM(LEFT(B2243,FIND(",",B2243)-1))</f>
        <v>Cavallo</v>
      </c>
    </row>
    <row r="2244" spans="1:5" ht="15.5" x14ac:dyDescent="0.35">
      <c r="A2244" s="1" t="s">
        <v>115</v>
      </c>
      <c r="B2244" s="1" t="s">
        <v>4626</v>
      </c>
      <c r="C2244" t="str">
        <f t="shared" si="105"/>
        <v>Mr.</v>
      </c>
      <c r="D2244" t="str">
        <f t="shared" si="106"/>
        <v>Jordan</v>
      </c>
      <c r="E2244" t="str">
        <f t="shared" si="107"/>
        <v>Chang</v>
      </c>
    </row>
    <row r="2245" spans="1:5" ht="15.5" x14ac:dyDescent="0.35">
      <c r="A2245" s="1" t="s">
        <v>114</v>
      </c>
      <c r="B2245" s="1" t="s">
        <v>4627</v>
      </c>
      <c r="C2245" t="str">
        <f t="shared" si="105"/>
        <v>Mr.</v>
      </c>
      <c r="D2245" t="str">
        <f t="shared" si="106"/>
        <v>Brian</v>
      </c>
      <c r="E2245" t="str">
        <f t="shared" si="107"/>
        <v>Axelrod</v>
      </c>
    </row>
    <row r="2246" spans="1:5" ht="15.5" x14ac:dyDescent="0.35">
      <c r="A2246" s="1" t="s">
        <v>113</v>
      </c>
      <c r="B2246" s="1" t="s">
        <v>4628</v>
      </c>
      <c r="C2246" t="str">
        <f t="shared" si="105"/>
        <v>Ms.</v>
      </c>
      <c r="D2246" t="str">
        <f t="shared" si="106"/>
        <v>Katherine A</v>
      </c>
      <c r="E2246" t="str">
        <f t="shared" si="107"/>
        <v>Davenport</v>
      </c>
    </row>
    <row r="2247" spans="1:5" ht="15.5" x14ac:dyDescent="0.35">
      <c r="A2247" s="1" t="s">
        <v>112</v>
      </c>
      <c r="B2247" s="1" t="s">
        <v>4629</v>
      </c>
      <c r="C2247" t="str">
        <f t="shared" si="105"/>
        <v>Ms.</v>
      </c>
      <c r="D2247" t="str">
        <f t="shared" si="106"/>
        <v>Melanie</v>
      </c>
      <c r="E2247" t="str">
        <f t="shared" si="107"/>
        <v>Roberge</v>
      </c>
    </row>
    <row r="2248" spans="1:5" ht="15.5" x14ac:dyDescent="0.35">
      <c r="A2248" s="1" t="s">
        <v>111</v>
      </c>
      <c r="B2248" s="1" t="s">
        <v>4630</v>
      </c>
      <c r="C2248" t="str">
        <f t="shared" si="105"/>
        <v>Ms.</v>
      </c>
      <c r="D2248" t="str">
        <f t="shared" si="106"/>
        <v>Jessica</v>
      </c>
      <c r="E2248" t="str">
        <f t="shared" si="107"/>
        <v>Schmidt</v>
      </c>
    </row>
    <row r="2249" spans="1:5" ht="15.5" x14ac:dyDescent="0.35">
      <c r="A2249" s="1" t="s">
        <v>110</v>
      </c>
      <c r="B2249" s="1" t="s">
        <v>4631</v>
      </c>
      <c r="C2249" t="str">
        <f t="shared" si="105"/>
        <v>Mr.</v>
      </c>
      <c r="D2249" t="str">
        <f t="shared" si="106"/>
        <v>Eric S</v>
      </c>
      <c r="E2249" t="str">
        <f t="shared" si="107"/>
        <v>Kosters</v>
      </c>
    </row>
    <row r="2250" spans="1:5" ht="15.5" x14ac:dyDescent="0.35">
      <c r="A2250" s="1" t="s">
        <v>109</v>
      </c>
      <c r="B2250" s="1" t="s">
        <v>4632</v>
      </c>
      <c r="C2250" t="str">
        <f t="shared" si="105"/>
        <v>Mr.</v>
      </c>
      <c r="D2250" t="str">
        <f t="shared" si="106"/>
        <v>Joseph</v>
      </c>
      <c r="E2250" t="str">
        <f t="shared" si="107"/>
        <v>Dykes</v>
      </c>
    </row>
    <row r="2251" spans="1:5" ht="15.5" x14ac:dyDescent="0.35">
      <c r="A2251" s="1" t="s">
        <v>108</v>
      </c>
      <c r="B2251" s="1" t="s">
        <v>4633</v>
      </c>
      <c r="C2251" t="str">
        <f t="shared" si="105"/>
        <v>Ms.</v>
      </c>
      <c r="D2251" t="str">
        <f t="shared" si="106"/>
        <v>Mary</v>
      </c>
      <c r="E2251" t="str">
        <f t="shared" si="107"/>
        <v>Velan</v>
      </c>
    </row>
    <row r="2252" spans="1:5" ht="15.5" x14ac:dyDescent="0.35">
      <c r="A2252" s="1" t="s">
        <v>107</v>
      </c>
      <c r="B2252" s="1" t="s">
        <v>4634</v>
      </c>
      <c r="C2252" t="str">
        <f t="shared" si="105"/>
        <v>Ms.</v>
      </c>
      <c r="D2252" t="str">
        <f t="shared" si="106"/>
        <v>Natalie</v>
      </c>
      <c r="E2252" t="str">
        <f t="shared" si="107"/>
        <v>Goolik</v>
      </c>
    </row>
    <row r="2253" spans="1:5" ht="15.5" x14ac:dyDescent="0.35">
      <c r="A2253" s="1" t="s">
        <v>106</v>
      </c>
      <c r="B2253" s="1" t="s">
        <v>4635</v>
      </c>
      <c r="C2253" t="str">
        <f t="shared" si="105"/>
        <v>Mr.</v>
      </c>
      <c r="D2253" t="str">
        <f t="shared" si="106"/>
        <v>Christopher</v>
      </c>
      <c r="E2253" t="str">
        <f t="shared" si="107"/>
        <v>Bain</v>
      </c>
    </row>
    <row r="2254" spans="1:5" ht="15.5" x14ac:dyDescent="0.35">
      <c r="A2254" s="1" t="s">
        <v>105</v>
      </c>
      <c r="B2254" s="1" t="s">
        <v>4636</v>
      </c>
      <c r="C2254" t="str">
        <f t="shared" si="105"/>
        <v>Ms.</v>
      </c>
      <c r="D2254" t="str">
        <f t="shared" si="106"/>
        <v>Sonja</v>
      </c>
      <c r="E2254" t="str">
        <f t="shared" si="107"/>
        <v>Wieck</v>
      </c>
    </row>
    <row r="2255" spans="1:5" ht="15.5" x14ac:dyDescent="0.35">
      <c r="A2255" s="1" t="s">
        <v>104</v>
      </c>
      <c r="B2255" s="1" t="s">
        <v>4637</v>
      </c>
      <c r="C2255" t="str">
        <f t="shared" si="105"/>
        <v>Ms.</v>
      </c>
      <c r="D2255" t="str">
        <f t="shared" si="106"/>
        <v>Alexandra</v>
      </c>
      <c r="E2255" t="str">
        <f t="shared" si="107"/>
        <v>Friel</v>
      </c>
    </row>
    <row r="2256" spans="1:5" ht="15.5" x14ac:dyDescent="0.35">
      <c r="A2256" s="1" t="s">
        <v>103</v>
      </c>
      <c r="B2256" s="1" t="s">
        <v>4638</v>
      </c>
      <c r="C2256" t="str">
        <f t="shared" si="105"/>
        <v>Ms.</v>
      </c>
      <c r="D2256" t="str">
        <f t="shared" si="106"/>
        <v>Martha L.</v>
      </c>
      <c r="E2256" t="str">
        <f t="shared" si="107"/>
        <v>Santandreu</v>
      </c>
    </row>
    <row r="2257" spans="1:5" ht="15.5" x14ac:dyDescent="0.35">
      <c r="A2257" s="1" t="s">
        <v>102</v>
      </c>
      <c r="B2257" s="1" t="s">
        <v>4639</v>
      </c>
      <c r="C2257" t="str">
        <f t="shared" si="105"/>
        <v>Mr.</v>
      </c>
      <c r="D2257" t="str">
        <f t="shared" si="106"/>
        <v>Ryan C.</v>
      </c>
      <c r="E2257" t="str">
        <f t="shared" si="107"/>
        <v>Johnson</v>
      </c>
    </row>
    <row r="2258" spans="1:5" ht="15.5" x14ac:dyDescent="0.35">
      <c r="A2258" s="1" t="s">
        <v>101</v>
      </c>
      <c r="B2258" s="1" t="s">
        <v>4640</v>
      </c>
      <c r="C2258" t="str">
        <f t="shared" si="105"/>
        <v>Mr.</v>
      </c>
      <c r="D2258" t="str">
        <f t="shared" si="106"/>
        <v>Cliff</v>
      </c>
      <c r="E2258" t="str">
        <f t="shared" si="107"/>
        <v>Gerber</v>
      </c>
    </row>
    <row r="2259" spans="1:5" ht="15.5" x14ac:dyDescent="0.35">
      <c r="A2259" s="1" t="s">
        <v>100</v>
      </c>
      <c r="B2259" s="1" t="s">
        <v>4641</v>
      </c>
      <c r="C2259" t="str">
        <f t="shared" si="105"/>
        <v>Mr.</v>
      </c>
      <c r="D2259" t="str">
        <f t="shared" si="106"/>
        <v>Blue</v>
      </c>
      <c r="E2259" t="str">
        <f t="shared" si="107"/>
        <v>Benadum</v>
      </c>
    </row>
    <row r="2260" spans="1:5" ht="15.5" x14ac:dyDescent="0.35">
      <c r="A2260" s="1" t="s">
        <v>99</v>
      </c>
      <c r="B2260" s="1" t="s">
        <v>4642</v>
      </c>
      <c r="C2260" t="str">
        <f t="shared" si="105"/>
        <v>Mr.</v>
      </c>
      <c r="D2260" t="str">
        <f t="shared" si="106"/>
        <v>Jeffrey M</v>
      </c>
      <c r="E2260" t="str">
        <f t="shared" si="107"/>
        <v>Ragazzini</v>
      </c>
    </row>
    <row r="2261" spans="1:5" ht="15.5" x14ac:dyDescent="0.35">
      <c r="A2261" s="1" t="s">
        <v>98</v>
      </c>
      <c r="B2261" s="1" t="s">
        <v>4643</v>
      </c>
      <c r="C2261" t="str">
        <f t="shared" si="105"/>
        <v>Mr.</v>
      </c>
      <c r="D2261" t="str">
        <f t="shared" si="106"/>
        <v>Andrew</v>
      </c>
      <c r="E2261" t="str">
        <f t="shared" si="107"/>
        <v>Kessinger</v>
      </c>
    </row>
    <row r="2262" spans="1:5" ht="15.5" x14ac:dyDescent="0.35">
      <c r="A2262" s="1" t="s">
        <v>97</v>
      </c>
      <c r="B2262" s="1" t="s">
        <v>4644</v>
      </c>
      <c r="C2262" t="str">
        <f t="shared" si="105"/>
        <v>Ms.</v>
      </c>
      <c r="D2262" t="str">
        <f t="shared" si="106"/>
        <v>Julia</v>
      </c>
      <c r="E2262" t="str">
        <f t="shared" si="107"/>
        <v>Bezgin</v>
      </c>
    </row>
    <row r="2263" spans="1:5" ht="15.5" x14ac:dyDescent="0.35">
      <c r="A2263" s="1" t="s">
        <v>96</v>
      </c>
      <c r="B2263" s="1" t="s">
        <v>4645</v>
      </c>
      <c r="C2263" t="str">
        <f t="shared" si="105"/>
        <v>Mr.</v>
      </c>
      <c r="D2263" t="str">
        <f t="shared" si="106"/>
        <v>Daniel</v>
      </c>
      <c r="E2263" t="str">
        <f t="shared" si="107"/>
        <v>Woldesilassie</v>
      </c>
    </row>
    <row r="2264" spans="1:5" ht="15.5" x14ac:dyDescent="0.35">
      <c r="A2264" s="1" t="s">
        <v>95</v>
      </c>
      <c r="B2264" s="1" t="s">
        <v>4646</v>
      </c>
      <c r="C2264" t="str">
        <f t="shared" si="105"/>
        <v>Mr.</v>
      </c>
      <c r="D2264" t="str">
        <f t="shared" si="106"/>
        <v>Jaime</v>
      </c>
      <c r="E2264" t="str">
        <f t="shared" si="107"/>
        <v>Ruiz Herrero</v>
      </c>
    </row>
    <row r="2265" spans="1:5" ht="15.5" x14ac:dyDescent="0.35">
      <c r="A2265" s="1" t="s">
        <v>94</v>
      </c>
      <c r="B2265" s="1" t="s">
        <v>4647</v>
      </c>
      <c r="C2265" t="str">
        <f t="shared" si="105"/>
        <v>Mr.</v>
      </c>
      <c r="D2265" t="str">
        <f t="shared" si="106"/>
        <v>Mohd Syahidan</v>
      </c>
      <c r="E2265" t="str">
        <f t="shared" si="107"/>
        <v>Bin Alias</v>
      </c>
    </row>
    <row r="2266" spans="1:5" ht="15.5" x14ac:dyDescent="0.35">
      <c r="A2266" s="1" t="s">
        <v>93</v>
      </c>
      <c r="B2266" s="1" t="s">
        <v>4648</v>
      </c>
      <c r="C2266" t="str">
        <f t="shared" si="105"/>
        <v>Mr.</v>
      </c>
      <c r="D2266" t="str">
        <f t="shared" si="106"/>
        <v>Matthew</v>
      </c>
      <c r="E2266" t="str">
        <f t="shared" si="107"/>
        <v>Fischer-Daly</v>
      </c>
    </row>
    <row r="2267" spans="1:5" ht="15.5" x14ac:dyDescent="0.35">
      <c r="A2267" s="1" t="s">
        <v>92</v>
      </c>
      <c r="B2267" s="1" t="s">
        <v>4649</v>
      </c>
      <c r="C2267" t="str">
        <f t="shared" si="105"/>
        <v>Ms.</v>
      </c>
      <c r="D2267" t="str">
        <f t="shared" si="106"/>
        <v>Elizabeth S.</v>
      </c>
      <c r="E2267" t="str">
        <f t="shared" si="107"/>
        <v>Pulliam</v>
      </c>
    </row>
    <row r="2268" spans="1:5" ht="15.5" x14ac:dyDescent="0.35">
      <c r="A2268" s="1" t="s">
        <v>91</v>
      </c>
      <c r="B2268" s="1" t="s">
        <v>4650</v>
      </c>
      <c r="C2268" t="str">
        <f t="shared" si="105"/>
        <v>Ms.</v>
      </c>
      <c r="D2268" t="str">
        <f t="shared" si="106"/>
        <v>Katie</v>
      </c>
      <c r="E2268" t="str">
        <f t="shared" si="107"/>
        <v>Guisinger</v>
      </c>
    </row>
    <row r="2269" spans="1:5" ht="15.5" x14ac:dyDescent="0.35">
      <c r="A2269" s="1" t="s">
        <v>90</v>
      </c>
      <c r="B2269" s="1" t="s">
        <v>4651</v>
      </c>
      <c r="C2269" t="str">
        <f t="shared" si="105"/>
        <v>Ms.</v>
      </c>
      <c r="D2269" t="str">
        <f t="shared" si="106"/>
        <v>Christi A.</v>
      </c>
      <c r="E2269" t="str">
        <f t="shared" si="107"/>
        <v>Arnerich</v>
      </c>
    </row>
    <row r="2270" spans="1:5" ht="15.5" x14ac:dyDescent="0.35">
      <c r="A2270" s="1" t="s">
        <v>89</v>
      </c>
      <c r="B2270" s="1" t="s">
        <v>4652</v>
      </c>
      <c r="C2270" t="str">
        <f t="shared" si="105"/>
        <v>Ms.</v>
      </c>
      <c r="D2270" t="str">
        <f t="shared" si="106"/>
        <v>Sandra K.</v>
      </c>
      <c r="E2270" t="str">
        <f t="shared" si="107"/>
        <v>Lynch</v>
      </c>
    </row>
    <row r="2271" spans="1:5" ht="15.5" x14ac:dyDescent="0.35">
      <c r="A2271" s="1" t="s">
        <v>88</v>
      </c>
      <c r="B2271" s="1" t="s">
        <v>4653</v>
      </c>
      <c r="C2271" t="str">
        <f t="shared" si="105"/>
        <v>Ms.</v>
      </c>
      <c r="D2271" t="str">
        <f t="shared" si="106"/>
        <v>Katharine</v>
      </c>
      <c r="E2271" t="str">
        <f t="shared" si="107"/>
        <v>Reilly</v>
      </c>
    </row>
    <row r="2272" spans="1:5" ht="15.5" x14ac:dyDescent="0.35">
      <c r="A2272" s="1" t="s">
        <v>87</v>
      </c>
      <c r="B2272" s="1" t="s">
        <v>4654</v>
      </c>
      <c r="C2272" t="str">
        <f t="shared" si="105"/>
        <v>Mr.</v>
      </c>
      <c r="D2272" t="str">
        <f t="shared" si="106"/>
        <v>Jerome</v>
      </c>
      <c r="E2272" t="str">
        <f t="shared" si="107"/>
        <v>Nolette</v>
      </c>
    </row>
    <row r="2273" spans="1:5" ht="15.5" x14ac:dyDescent="0.35">
      <c r="A2273" s="1" t="s">
        <v>86</v>
      </c>
      <c r="B2273" s="1" t="s">
        <v>4655</v>
      </c>
      <c r="C2273" t="str">
        <f t="shared" si="105"/>
        <v>Ms.</v>
      </c>
      <c r="D2273" t="str">
        <f t="shared" si="106"/>
        <v>Julia R</v>
      </c>
      <c r="E2273" t="str">
        <f t="shared" si="107"/>
        <v>Chabrier</v>
      </c>
    </row>
    <row r="2274" spans="1:5" ht="15.5" x14ac:dyDescent="0.35">
      <c r="A2274" s="1" t="s">
        <v>85</v>
      </c>
      <c r="B2274" s="1" t="s">
        <v>4656</v>
      </c>
      <c r="C2274" t="str">
        <f t="shared" si="105"/>
        <v>Mr.</v>
      </c>
      <c r="D2274" t="str">
        <f t="shared" si="106"/>
        <v>Sean Henry</v>
      </c>
      <c r="E2274" t="str">
        <f t="shared" si="107"/>
        <v>Lee</v>
      </c>
    </row>
    <row r="2275" spans="1:5" ht="15.5" x14ac:dyDescent="0.35">
      <c r="A2275" s="1" t="s">
        <v>84</v>
      </c>
      <c r="B2275" s="1" t="s">
        <v>4657</v>
      </c>
      <c r="C2275" t="str">
        <f t="shared" si="105"/>
        <v>Ms.</v>
      </c>
      <c r="D2275" t="str">
        <f t="shared" si="106"/>
        <v>Rachel A.</v>
      </c>
      <c r="E2275" t="str">
        <f t="shared" si="107"/>
        <v>Knotts</v>
      </c>
    </row>
    <row r="2276" spans="1:5" ht="15.5" x14ac:dyDescent="0.35">
      <c r="A2276" s="1" t="s">
        <v>83</v>
      </c>
      <c r="B2276" s="1" t="s">
        <v>4658</v>
      </c>
      <c r="C2276" t="str">
        <f t="shared" si="105"/>
        <v>Mr.</v>
      </c>
      <c r="D2276" t="str">
        <f t="shared" si="106"/>
        <v>Jim</v>
      </c>
      <c r="E2276" t="str">
        <f t="shared" si="107"/>
        <v>Pultorak</v>
      </c>
    </row>
    <row r="2277" spans="1:5" ht="15.5" x14ac:dyDescent="0.35">
      <c r="A2277" s="1" t="s">
        <v>82</v>
      </c>
      <c r="B2277" s="1" t="s">
        <v>4659</v>
      </c>
      <c r="C2277" t="str">
        <f t="shared" si="105"/>
        <v>Mr.</v>
      </c>
      <c r="D2277" t="str">
        <f t="shared" si="106"/>
        <v>Tim</v>
      </c>
      <c r="E2277" t="str">
        <f t="shared" si="107"/>
        <v>Maxon</v>
      </c>
    </row>
    <row r="2278" spans="1:5" ht="15.5" x14ac:dyDescent="0.35">
      <c r="A2278" s="1" t="s">
        <v>81</v>
      </c>
      <c r="B2278" s="1" t="s">
        <v>4660</v>
      </c>
      <c r="C2278" t="str">
        <f t="shared" si="105"/>
        <v>Ms.</v>
      </c>
      <c r="D2278" t="str">
        <f t="shared" si="106"/>
        <v>Abby L.</v>
      </c>
      <c r="E2278" t="str">
        <f t="shared" si="107"/>
        <v>Kraai</v>
      </c>
    </row>
    <row r="2279" spans="1:5" ht="15.5" x14ac:dyDescent="0.35">
      <c r="A2279" s="1" t="s">
        <v>80</v>
      </c>
      <c r="B2279" s="1" t="s">
        <v>4661</v>
      </c>
      <c r="C2279" t="str">
        <f t="shared" si="105"/>
        <v>Mr.</v>
      </c>
      <c r="D2279" t="str">
        <f t="shared" si="106"/>
        <v>Mark</v>
      </c>
      <c r="E2279" t="str">
        <f t="shared" si="107"/>
        <v>Larosa</v>
      </c>
    </row>
    <row r="2280" spans="1:5" ht="15.5" x14ac:dyDescent="0.35">
      <c r="A2280" s="1" t="s">
        <v>79</v>
      </c>
      <c r="B2280" s="1" t="s">
        <v>4662</v>
      </c>
      <c r="C2280" t="str">
        <f t="shared" si="105"/>
        <v>Mr.</v>
      </c>
      <c r="D2280" t="str">
        <f t="shared" si="106"/>
        <v>Ali</v>
      </c>
      <c r="E2280" t="str">
        <f t="shared" si="107"/>
        <v>King</v>
      </c>
    </row>
    <row r="2281" spans="1:5" ht="15.5" x14ac:dyDescent="0.35">
      <c r="A2281" s="1" t="s">
        <v>78</v>
      </c>
      <c r="B2281" s="1" t="s">
        <v>4663</v>
      </c>
      <c r="C2281" t="str">
        <f t="shared" si="105"/>
        <v>Mr.</v>
      </c>
      <c r="D2281" t="str">
        <f t="shared" si="106"/>
        <v>Joshua</v>
      </c>
      <c r="E2281" t="str">
        <f t="shared" si="107"/>
        <v>Haney</v>
      </c>
    </row>
    <row r="2282" spans="1:5" ht="15.5" x14ac:dyDescent="0.35">
      <c r="A2282" s="1" t="s">
        <v>77</v>
      </c>
      <c r="B2282" s="1" t="s">
        <v>4664</v>
      </c>
      <c r="C2282" t="str">
        <f t="shared" si="105"/>
        <v>Mr.</v>
      </c>
      <c r="D2282" t="str">
        <f t="shared" si="106"/>
        <v>Pierre</v>
      </c>
      <c r="E2282" t="str">
        <f t="shared" si="107"/>
        <v>Boulay</v>
      </c>
    </row>
    <row r="2283" spans="1:5" ht="15.5" x14ac:dyDescent="0.35">
      <c r="A2283" s="1" t="s">
        <v>76</v>
      </c>
      <c r="B2283" s="1" t="s">
        <v>4665</v>
      </c>
      <c r="C2283" t="str">
        <f t="shared" si="105"/>
        <v>Ms.</v>
      </c>
      <c r="D2283" t="str">
        <f t="shared" si="106"/>
        <v>Kate</v>
      </c>
      <c r="E2283" t="str">
        <f t="shared" si="107"/>
        <v>Peters</v>
      </c>
    </row>
    <row r="2284" spans="1:5" ht="15.5" x14ac:dyDescent="0.35">
      <c r="A2284" s="1" t="s">
        <v>75</v>
      </c>
      <c r="B2284" s="1" t="s">
        <v>4666</v>
      </c>
      <c r="C2284" t="str">
        <f t="shared" si="105"/>
        <v>Mr.</v>
      </c>
      <c r="D2284" t="str">
        <f t="shared" si="106"/>
        <v>David</v>
      </c>
      <c r="E2284" t="str">
        <f t="shared" si="107"/>
        <v>Luy</v>
      </c>
    </row>
    <row r="2285" spans="1:5" ht="15.5" x14ac:dyDescent="0.35">
      <c r="A2285" s="1" t="s">
        <v>74</v>
      </c>
      <c r="B2285" s="1" t="s">
        <v>4667</v>
      </c>
      <c r="C2285" t="str">
        <f t="shared" si="105"/>
        <v>Ms.</v>
      </c>
      <c r="D2285" t="str">
        <f t="shared" si="106"/>
        <v>Carla</v>
      </c>
      <c r="E2285" t="str">
        <f t="shared" si="107"/>
        <v>Fava</v>
      </c>
    </row>
    <row r="2286" spans="1:5" ht="15.5" x14ac:dyDescent="0.35">
      <c r="A2286" s="1" t="s">
        <v>73</v>
      </c>
      <c r="B2286" s="1" t="s">
        <v>4668</v>
      </c>
      <c r="C2286" t="str">
        <f t="shared" si="105"/>
        <v>Mr.</v>
      </c>
      <c r="D2286" t="str">
        <f t="shared" si="106"/>
        <v>Alvaro Sr.</v>
      </c>
      <c r="E2286" t="str">
        <f t="shared" si="107"/>
        <v>Montoya</v>
      </c>
    </row>
    <row r="2287" spans="1:5" ht="15.5" x14ac:dyDescent="0.35">
      <c r="A2287" s="1" t="s">
        <v>72</v>
      </c>
      <c r="B2287" s="1" t="s">
        <v>4669</v>
      </c>
      <c r="C2287" t="str">
        <f t="shared" si="105"/>
        <v>Ms.</v>
      </c>
      <c r="D2287" t="str">
        <f t="shared" si="106"/>
        <v>Hope</v>
      </c>
      <c r="E2287" t="str">
        <f t="shared" si="107"/>
        <v>Bain</v>
      </c>
    </row>
    <row r="2288" spans="1:5" ht="15.5" x14ac:dyDescent="0.35">
      <c r="A2288" s="1" t="s">
        <v>71</v>
      </c>
      <c r="B2288" s="1" t="s">
        <v>4670</v>
      </c>
      <c r="C2288" t="str">
        <f t="shared" si="105"/>
        <v>Mr.</v>
      </c>
      <c r="D2288" t="str">
        <f t="shared" si="106"/>
        <v>Mark P.</v>
      </c>
      <c r="E2288" t="str">
        <f t="shared" si="107"/>
        <v>Albertson</v>
      </c>
    </row>
    <row r="2289" spans="1:5" ht="15.5" x14ac:dyDescent="0.35">
      <c r="A2289" s="1" t="s">
        <v>70</v>
      </c>
      <c r="B2289" s="1" t="s">
        <v>4671</v>
      </c>
      <c r="C2289" t="str">
        <f t="shared" si="105"/>
        <v>Ms.</v>
      </c>
      <c r="D2289" t="str">
        <f t="shared" si="106"/>
        <v>Desiree</v>
      </c>
      <c r="E2289" t="str">
        <f t="shared" si="107"/>
        <v>Barger</v>
      </c>
    </row>
    <row r="2290" spans="1:5" ht="15.5" x14ac:dyDescent="0.35">
      <c r="A2290" s="1" t="s">
        <v>69</v>
      </c>
      <c r="B2290" s="1" t="s">
        <v>4672</v>
      </c>
      <c r="C2290" t="str">
        <f t="shared" si="105"/>
        <v>Mr.</v>
      </c>
      <c r="D2290" t="str">
        <f t="shared" si="106"/>
        <v>Mario Jr.</v>
      </c>
      <c r="E2290" t="str">
        <f t="shared" si="107"/>
        <v>Fraioli</v>
      </c>
    </row>
    <row r="2291" spans="1:5" ht="15.5" x14ac:dyDescent="0.35">
      <c r="A2291" s="1" t="s">
        <v>68</v>
      </c>
      <c r="B2291" s="1" t="s">
        <v>4673</v>
      </c>
      <c r="C2291" t="str">
        <f t="shared" si="105"/>
        <v>Mr.</v>
      </c>
      <c r="D2291" t="str">
        <f t="shared" si="106"/>
        <v>Lusapho</v>
      </c>
      <c r="E2291" t="str">
        <f t="shared" si="107"/>
        <v>April</v>
      </c>
    </row>
    <row r="2292" spans="1:5" ht="15.5" x14ac:dyDescent="0.35">
      <c r="A2292" s="1" t="s">
        <v>67</v>
      </c>
      <c r="B2292" s="1" t="s">
        <v>4674</v>
      </c>
      <c r="C2292" t="str">
        <f t="shared" si="105"/>
        <v>Ms.</v>
      </c>
      <c r="D2292" t="str">
        <f t="shared" si="106"/>
        <v>Erin C.</v>
      </c>
      <c r="E2292" t="str">
        <f t="shared" si="107"/>
        <v>King</v>
      </c>
    </row>
    <row r="2293" spans="1:5" ht="15.5" x14ac:dyDescent="0.35">
      <c r="A2293" s="1" t="s">
        <v>66</v>
      </c>
      <c r="B2293" s="1" t="s">
        <v>4675</v>
      </c>
      <c r="C2293" t="str">
        <f t="shared" si="105"/>
        <v>Mr.</v>
      </c>
      <c r="D2293" t="str">
        <f t="shared" si="106"/>
        <v>Alan F</v>
      </c>
      <c r="E2293" t="str">
        <f t="shared" si="107"/>
        <v>Talhelm</v>
      </c>
    </row>
    <row r="2294" spans="1:5" ht="15.5" x14ac:dyDescent="0.35">
      <c r="A2294" s="1" t="s">
        <v>65</v>
      </c>
      <c r="B2294" s="1" t="s">
        <v>4676</v>
      </c>
      <c r="C2294" t="str">
        <f t="shared" si="105"/>
        <v>Mr.</v>
      </c>
      <c r="D2294" t="str">
        <f t="shared" si="106"/>
        <v>Ryan</v>
      </c>
      <c r="E2294" t="str">
        <f t="shared" si="107"/>
        <v>Regnier</v>
      </c>
    </row>
    <row r="2295" spans="1:5" ht="15.5" x14ac:dyDescent="0.35">
      <c r="A2295" s="1" t="s">
        <v>64</v>
      </c>
      <c r="B2295" s="1" t="s">
        <v>4677</v>
      </c>
      <c r="C2295" t="str">
        <f t="shared" si="105"/>
        <v>Ms.</v>
      </c>
      <c r="D2295" t="str">
        <f t="shared" si="106"/>
        <v>Hope</v>
      </c>
      <c r="E2295" t="str">
        <f t="shared" si="107"/>
        <v>Treece</v>
      </c>
    </row>
    <row r="2296" spans="1:5" ht="15.5" x14ac:dyDescent="0.35">
      <c r="A2296" s="1" t="s">
        <v>63</v>
      </c>
      <c r="B2296" s="1" t="s">
        <v>4678</v>
      </c>
      <c r="C2296" t="str">
        <f t="shared" si="105"/>
        <v>Mr.</v>
      </c>
      <c r="D2296" t="str">
        <f t="shared" si="106"/>
        <v>Josh</v>
      </c>
      <c r="E2296" t="str">
        <f t="shared" si="107"/>
        <v>Beisel</v>
      </c>
    </row>
    <row r="2297" spans="1:5" ht="15.5" x14ac:dyDescent="0.35">
      <c r="A2297" s="1" t="s">
        <v>62</v>
      </c>
      <c r="B2297" s="1" t="s">
        <v>4679</v>
      </c>
      <c r="C2297" t="str">
        <f t="shared" si="105"/>
        <v>Mr.</v>
      </c>
      <c r="D2297" t="str">
        <f t="shared" si="106"/>
        <v>Jacob J</v>
      </c>
      <c r="E2297" t="str">
        <f t="shared" si="107"/>
        <v>Enke</v>
      </c>
    </row>
    <row r="2298" spans="1:5" ht="15.5" x14ac:dyDescent="0.35">
      <c r="A2298" s="1" t="s">
        <v>61</v>
      </c>
      <c r="B2298" s="1" t="s">
        <v>4680</v>
      </c>
      <c r="C2298" t="str">
        <f t="shared" si="105"/>
        <v>Mr.</v>
      </c>
      <c r="D2298" t="str">
        <f t="shared" si="106"/>
        <v>Jose Tomas</v>
      </c>
      <c r="E2298" t="str">
        <f t="shared" si="107"/>
        <v>Ruiz-Tagle Barros</v>
      </c>
    </row>
    <row r="2299" spans="1:5" ht="15.5" x14ac:dyDescent="0.35">
      <c r="A2299" s="1" t="s">
        <v>60</v>
      </c>
      <c r="B2299" s="1" t="s">
        <v>4681</v>
      </c>
      <c r="C2299" t="str">
        <f t="shared" si="105"/>
        <v>Ms.</v>
      </c>
      <c r="D2299" t="str">
        <f t="shared" si="106"/>
        <v>Mary Evan</v>
      </c>
      <c r="E2299" t="str">
        <f t="shared" si="107"/>
        <v>Ferrell</v>
      </c>
    </row>
    <row r="2300" spans="1:5" ht="15.5" x14ac:dyDescent="0.35">
      <c r="A2300" s="1" t="s">
        <v>59</v>
      </c>
      <c r="B2300" s="1" t="s">
        <v>4682</v>
      </c>
      <c r="C2300" t="str">
        <f t="shared" si="105"/>
        <v>Mr.</v>
      </c>
      <c r="D2300" t="str">
        <f t="shared" si="106"/>
        <v>Justin K.</v>
      </c>
      <c r="E2300" t="str">
        <f t="shared" si="107"/>
        <v>Gates</v>
      </c>
    </row>
    <row r="2301" spans="1:5" ht="15.5" x14ac:dyDescent="0.35">
      <c r="A2301" s="1" t="s">
        <v>58</v>
      </c>
      <c r="B2301" s="1" t="s">
        <v>4683</v>
      </c>
      <c r="C2301" t="str">
        <f t="shared" si="105"/>
        <v>Mr.</v>
      </c>
      <c r="D2301" t="str">
        <f t="shared" si="106"/>
        <v>Patrick</v>
      </c>
      <c r="E2301" t="str">
        <f t="shared" si="107"/>
        <v>Jeffers</v>
      </c>
    </row>
    <row r="2302" spans="1:5" ht="15.5" x14ac:dyDescent="0.35">
      <c r="A2302" s="1" t="s">
        <v>57</v>
      </c>
      <c r="B2302" s="1" t="s">
        <v>4684</v>
      </c>
      <c r="C2302" t="str">
        <f t="shared" si="105"/>
        <v>Mr.</v>
      </c>
      <c r="D2302" t="str">
        <f t="shared" si="106"/>
        <v>Roman</v>
      </c>
      <c r="E2302" t="str">
        <f t="shared" si="107"/>
        <v>Sulhanek</v>
      </c>
    </row>
    <row r="2303" spans="1:5" ht="15.5" x14ac:dyDescent="0.35">
      <c r="A2303" s="1" t="s">
        <v>56</v>
      </c>
      <c r="B2303" s="1" t="s">
        <v>4685</v>
      </c>
      <c r="C2303" t="str">
        <f t="shared" si="105"/>
        <v>Mr.</v>
      </c>
      <c r="D2303" t="str">
        <f t="shared" si="106"/>
        <v>David</v>
      </c>
      <c r="E2303" t="str">
        <f t="shared" si="107"/>
        <v>Ozahowski</v>
      </c>
    </row>
    <row r="2304" spans="1:5" ht="15.5" x14ac:dyDescent="0.35">
      <c r="A2304" s="1" t="s">
        <v>55</v>
      </c>
      <c r="B2304" s="1" t="s">
        <v>4686</v>
      </c>
      <c r="C2304" t="str">
        <f t="shared" si="105"/>
        <v>Ms.</v>
      </c>
      <c r="D2304" t="str">
        <f t="shared" si="106"/>
        <v>Evelyn L</v>
      </c>
      <c r="E2304" t="str">
        <f t="shared" si="107"/>
        <v>Caron</v>
      </c>
    </row>
    <row r="2305" spans="1:5" ht="15.5" x14ac:dyDescent="0.35">
      <c r="A2305" s="1" t="s">
        <v>54</v>
      </c>
      <c r="B2305" s="1" t="s">
        <v>4687</v>
      </c>
      <c r="C2305" t="str">
        <f t="shared" si="105"/>
        <v>Mr.</v>
      </c>
      <c r="D2305" t="str">
        <f t="shared" si="106"/>
        <v>Jim</v>
      </c>
      <c r="E2305" t="str">
        <f t="shared" si="107"/>
        <v>Fullarton</v>
      </c>
    </row>
    <row r="2306" spans="1:5" ht="15.5" x14ac:dyDescent="0.35">
      <c r="A2306" s="1" t="s">
        <v>53</v>
      </c>
      <c r="B2306" s="1" t="s">
        <v>4688</v>
      </c>
      <c r="C2306" t="str">
        <f t="shared" si="105"/>
        <v>Mr.</v>
      </c>
      <c r="D2306" t="str">
        <f t="shared" si="106"/>
        <v>Matthew S</v>
      </c>
      <c r="E2306" t="str">
        <f t="shared" si="107"/>
        <v>Lindgren</v>
      </c>
    </row>
    <row r="2307" spans="1:5" ht="15.5" x14ac:dyDescent="0.35">
      <c r="A2307" s="1" t="s">
        <v>52</v>
      </c>
      <c r="B2307" s="1" t="s">
        <v>4689</v>
      </c>
      <c r="C2307" t="str">
        <f t="shared" ref="C2307:C2336" si="108">TRIM(MID(B2307,FIND(",",B2307)+1,FIND(".",B2307)-FIND(",",B2307)))</f>
        <v>Mr.</v>
      </c>
      <c r="D2307" t="str">
        <f t="shared" ref="D2307:D2336" si="109">TRIM(MID(B2307,FIND(".",B2307)+1,LEN(B2307)))</f>
        <v>Kenneth</v>
      </c>
      <c r="E2307" t="str">
        <f t="shared" ref="E2307:E2336" si="110">TRIM(LEFT(B2307,FIND(",",B2307)-1))</f>
        <v>Akiha</v>
      </c>
    </row>
    <row r="2308" spans="1:5" ht="15.5" x14ac:dyDescent="0.35">
      <c r="A2308" s="1" t="s">
        <v>51</v>
      </c>
      <c r="B2308" s="1" t="s">
        <v>4690</v>
      </c>
      <c r="C2308" t="str">
        <f t="shared" si="108"/>
        <v>Ms.</v>
      </c>
      <c r="D2308" t="str">
        <f t="shared" si="109"/>
        <v>Andrea</v>
      </c>
      <c r="E2308" t="str">
        <f t="shared" si="110"/>
        <v>Sweny</v>
      </c>
    </row>
    <row r="2309" spans="1:5" ht="15.5" x14ac:dyDescent="0.35">
      <c r="A2309" s="1" t="s">
        <v>50</v>
      </c>
      <c r="B2309" s="1" t="s">
        <v>4691</v>
      </c>
      <c r="C2309" t="str">
        <f t="shared" si="108"/>
        <v>Ms.</v>
      </c>
      <c r="D2309" t="str">
        <f t="shared" si="109"/>
        <v>Kristina</v>
      </c>
      <c r="E2309" t="str">
        <f t="shared" si="110"/>
        <v>Tobin</v>
      </c>
    </row>
    <row r="2310" spans="1:5" ht="15.5" x14ac:dyDescent="0.35">
      <c r="A2310" s="1" t="s">
        <v>49</v>
      </c>
      <c r="B2310" s="1" t="s">
        <v>4692</v>
      </c>
      <c r="C2310" t="str">
        <f t="shared" si="108"/>
        <v>Ms.</v>
      </c>
      <c r="D2310" t="str">
        <f t="shared" si="109"/>
        <v>Kristen</v>
      </c>
      <c r="E2310" t="str">
        <f t="shared" si="110"/>
        <v>Pedersen</v>
      </c>
    </row>
    <row r="2311" spans="1:5" ht="15.5" x14ac:dyDescent="0.35">
      <c r="A2311" s="1" t="s">
        <v>48</v>
      </c>
      <c r="B2311" s="1" t="s">
        <v>4693</v>
      </c>
      <c r="C2311" t="str">
        <f t="shared" si="108"/>
        <v>Mr.</v>
      </c>
      <c r="D2311" t="str">
        <f t="shared" si="109"/>
        <v>Matthew</v>
      </c>
      <c r="E2311" t="str">
        <f t="shared" si="110"/>
        <v>Lynch</v>
      </c>
    </row>
    <row r="2312" spans="1:5" ht="15.5" x14ac:dyDescent="0.35">
      <c r="A2312" s="1" t="s">
        <v>47</v>
      </c>
      <c r="B2312" s="1" t="s">
        <v>4694</v>
      </c>
      <c r="C2312" t="str">
        <f t="shared" si="108"/>
        <v>Mrs.</v>
      </c>
      <c r="D2312" t="str">
        <f t="shared" si="109"/>
        <v>Kathleen</v>
      </c>
      <c r="E2312" t="str">
        <f t="shared" si="110"/>
        <v>Keys</v>
      </c>
    </row>
    <row r="2313" spans="1:5" ht="15.5" x14ac:dyDescent="0.35">
      <c r="A2313" s="1" t="s">
        <v>46</v>
      </c>
      <c r="B2313" s="1" t="s">
        <v>4695</v>
      </c>
      <c r="C2313" t="str">
        <f t="shared" si="108"/>
        <v>Ms.</v>
      </c>
      <c r="D2313" t="str">
        <f t="shared" si="109"/>
        <v>Lindsey</v>
      </c>
      <c r="E2313" t="str">
        <f t="shared" si="110"/>
        <v>Wilbur</v>
      </c>
    </row>
    <row r="2314" spans="1:5" ht="15.5" x14ac:dyDescent="0.35">
      <c r="A2314" s="1" t="s">
        <v>45</v>
      </c>
      <c r="B2314" s="1" t="s">
        <v>4696</v>
      </c>
      <c r="C2314" t="str">
        <f t="shared" si="108"/>
        <v>Mr.</v>
      </c>
      <c r="D2314" t="str">
        <f t="shared" si="109"/>
        <v>Robert</v>
      </c>
      <c r="E2314" t="str">
        <f t="shared" si="110"/>
        <v>Ditota</v>
      </c>
    </row>
    <row r="2315" spans="1:5" ht="15.5" x14ac:dyDescent="0.35">
      <c r="A2315" s="1" t="s">
        <v>44</v>
      </c>
      <c r="B2315" s="1" t="s">
        <v>4697</v>
      </c>
      <c r="C2315" t="str">
        <f t="shared" si="108"/>
        <v>Ms.</v>
      </c>
      <c r="D2315" t="str">
        <f t="shared" si="109"/>
        <v>Sarah E.</v>
      </c>
      <c r="E2315" t="str">
        <f t="shared" si="110"/>
        <v>Horbol</v>
      </c>
    </row>
    <row r="2316" spans="1:5" ht="15.5" x14ac:dyDescent="0.35">
      <c r="A2316" s="1" t="s">
        <v>43</v>
      </c>
      <c r="B2316" s="1" t="s">
        <v>4698</v>
      </c>
      <c r="C2316" t="str">
        <f t="shared" si="108"/>
        <v>Ms.</v>
      </c>
      <c r="D2316" t="str">
        <f t="shared" si="109"/>
        <v>Flannery</v>
      </c>
      <c r="E2316" t="str">
        <f t="shared" si="110"/>
        <v>O'Rourke</v>
      </c>
    </row>
    <row r="2317" spans="1:5" ht="15.5" x14ac:dyDescent="0.35">
      <c r="A2317" s="1" t="s">
        <v>41</v>
      </c>
      <c r="B2317" s="1" t="s">
        <v>4699</v>
      </c>
      <c r="C2317" t="str">
        <f t="shared" si="108"/>
        <v>Mr.</v>
      </c>
      <c r="D2317" t="str">
        <f t="shared" si="109"/>
        <v>John T</v>
      </c>
      <c r="E2317" t="str">
        <f t="shared" si="110"/>
        <v>Williams</v>
      </c>
    </row>
    <row r="2318" spans="1:5" ht="15.5" x14ac:dyDescent="0.35">
      <c r="A2318" s="1" t="s">
        <v>40</v>
      </c>
      <c r="B2318" s="1" t="s">
        <v>4700</v>
      </c>
      <c r="C2318" t="str">
        <f t="shared" si="108"/>
        <v>Mr.</v>
      </c>
      <c r="D2318" t="str">
        <f t="shared" si="109"/>
        <v>Koji</v>
      </c>
      <c r="E2318" t="str">
        <f t="shared" si="110"/>
        <v>Murakami</v>
      </c>
    </row>
    <row r="2319" spans="1:5" ht="15.5" x14ac:dyDescent="0.35">
      <c r="A2319" s="1" t="s">
        <v>39</v>
      </c>
      <c r="B2319" s="1" t="s">
        <v>4701</v>
      </c>
      <c r="C2319" t="str">
        <f t="shared" si="108"/>
        <v>Ms.</v>
      </c>
      <c r="D2319" t="str">
        <f t="shared" si="109"/>
        <v>Candice M</v>
      </c>
      <c r="E2319" t="str">
        <f t="shared" si="110"/>
        <v>Gagnon</v>
      </c>
    </row>
    <row r="2320" spans="1:5" ht="15.5" x14ac:dyDescent="0.35">
      <c r="A2320" s="1" t="s">
        <v>38</v>
      </c>
      <c r="B2320" s="1" t="s">
        <v>4702</v>
      </c>
      <c r="C2320" t="str">
        <f t="shared" si="108"/>
        <v>Mr.</v>
      </c>
      <c r="D2320" t="str">
        <f t="shared" si="109"/>
        <v>Theodore A.</v>
      </c>
      <c r="E2320" t="str">
        <f t="shared" si="110"/>
        <v>Petermann</v>
      </c>
    </row>
    <row r="2321" spans="1:5" ht="15.5" x14ac:dyDescent="0.35">
      <c r="A2321" s="1" t="s">
        <v>36</v>
      </c>
      <c r="B2321" s="1" t="s">
        <v>4703</v>
      </c>
      <c r="C2321" t="str">
        <f t="shared" si="108"/>
        <v>Ms.</v>
      </c>
      <c r="D2321" t="str">
        <f t="shared" si="109"/>
        <v>Lindy</v>
      </c>
      <c r="E2321" t="str">
        <f t="shared" si="110"/>
        <v>Graves - Rostro</v>
      </c>
    </row>
    <row r="2322" spans="1:5" ht="15.5" x14ac:dyDescent="0.35">
      <c r="A2322" s="1" t="s">
        <v>34</v>
      </c>
      <c r="B2322" s="1" t="s">
        <v>4704</v>
      </c>
      <c r="C2322" t="str">
        <f t="shared" si="108"/>
        <v>Mr.</v>
      </c>
      <c r="D2322" t="str">
        <f t="shared" si="109"/>
        <v>Thomas</v>
      </c>
      <c r="E2322" t="str">
        <f t="shared" si="110"/>
        <v>Danielson</v>
      </c>
    </row>
    <row r="2323" spans="1:5" ht="15.5" x14ac:dyDescent="0.35">
      <c r="A2323" s="1" t="s">
        <v>33</v>
      </c>
      <c r="B2323" s="1" t="s">
        <v>4705</v>
      </c>
      <c r="C2323" t="str">
        <f t="shared" si="108"/>
        <v>Ms.</v>
      </c>
      <c r="D2323" t="str">
        <f t="shared" si="109"/>
        <v>Holly</v>
      </c>
      <c r="E2323" t="str">
        <f t="shared" si="110"/>
        <v>Street</v>
      </c>
    </row>
    <row r="2324" spans="1:5" ht="15.5" x14ac:dyDescent="0.35">
      <c r="A2324" s="1" t="s">
        <v>32</v>
      </c>
      <c r="B2324" s="1" t="s">
        <v>4706</v>
      </c>
      <c r="C2324" t="str">
        <f t="shared" si="108"/>
        <v>Mr.</v>
      </c>
      <c r="D2324" t="str">
        <f t="shared" si="109"/>
        <v>Matthew</v>
      </c>
      <c r="E2324" t="str">
        <f t="shared" si="110"/>
        <v>Buss</v>
      </c>
    </row>
    <row r="2325" spans="1:5" ht="15.5" x14ac:dyDescent="0.35">
      <c r="A2325" s="1" t="s">
        <v>29</v>
      </c>
      <c r="B2325" s="1" t="s">
        <v>4707</v>
      </c>
      <c r="C2325" t="str">
        <f t="shared" si="108"/>
        <v>Ms.</v>
      </c>
      <c r="D2325" t="str">
        <f t="shared" si="109"/>
        <v>Meghan K</v>
      </c>
      <c r="E2325" t="str">
        <f t="shared" si="110"/>
        <v>Duffy</v>
      </c>
    </row>
    <row r="2326" spans="1:5" ht="15.5" x14ac:dyDescent="0.35">
      <c r="A2326" s="1" t="s">
        <v>28</v>
      </c>
      <c r="B2326" s="1" t="s">
        <v>4708</v>
      </c>
      <c r="C2326" t="str">
        <f t="shared" si="108"/>
        <v>Mr.</v>
      </c>
      <c r="D2326" t="str">
        <f t="shared" si="109"/>
        <v>Fred</v>
      </c>
      <c r="E2326" t="str">
        <f t="shared" si="110"/>
        <v>Hines</v>
      </c>
    </row>
    <row r="2327" spans="1:5" ht="15.5" x14ac:dyDescent="0.35">
      <c r="A2327" s="1" t="s">
        <v>27</v>
      </c>
      <c r="B2327" s="1" t="s">
        <v>4709</v>
      </c>
      <c r="C2327" t="str">
        <f t="shared" si="108"/>
        <v>Mr.</v>
      </c>
      <c r="D2327" t="str">
        <f t="shared" si="109"/>
        <v>Sebastian</v>
      </c>
      <c r="E2327" t="str">
        <f t="shared" si="110"/>
        <v>Castro</v>
      </c>
    </row>
    <row r="2328" spans="1:5" ht="15.5" x14ac:dyDescent="0.35">
      <c r="A2328" s="1" t="s">
        <v>26</v>
      </c>
      <c r="B2328" s="1" t="s">
        <v>4710</v>
      </c>
      <c r="C2328" t="str">
        <f t="shared" si="108"/>
        <v>Ms.</v>
      </c>
      <c r="D2328" t="str">
        <f t="shared" si="109"/>
        <v>Laura</v>
      </c>
      <c r="E2328" t="str">
        <f t="shared" si="110"/>
        <v>Howell</v>
      </c>
    </row>
    <row r="2329" spans="1:5" ht="15.5" x14ac:dyDescent="0.35">
      <c r="A2329" s="1" t="s">
        <v>25</v>
      </c>
      <c r="B2329" s="1" t="s">
        <v>4711</v>
      </c>
      <c r="C2329" t="str">
        <f t="shared" si="108"/>
        <v>Ms.</v>
      </c>
      <c r="D2329" t="str">
        <f t="shared" si="109"/>
        <v>Nicole</v>
      </c>
      <c r="E2329" t="str">
        <f t="shared" si="110"/>
        <v>Avery</v>
      </c>
    </row>
    <row r="2330" spans="1:5" ht="15.5" x14ac:dyDescent="0.35">
      <c r="A2330" s="1" t="s">
        <v>24</v>
      </c>
      <c r="B2330" s="1" t="s">
        <v>4712</v>
      </c>
      <c r="C2330" t="str">
        <f t="shared" si="108"/>
        <v>Ms.</v>
      </c>
      <c r="D2330" t="str">
        <f t="shared" si="109"/>
        <v>Susan E</v>
      </c>
      <c r="E2330" t="str">
        <f t="shared" si="110"/>
        <v>Bohinski</v>
      </c>
    </row>
    <row r="2331" spans="1:5" ht="15.5" x14ac:dyDescent="0.35">
      <c r="A2331" s="1" t="s">
        <v>22</v>
      </c>
      <c r="B2331" s="1" t="s">
        <v>4713</v>
      </c>
      <c r="C2331" t="str">
        <f t="shared" si="108"/>
        <v>Ms.</v>
      </c>
      <c r="D2331" t="str">
        <f t="shared" si="109"/>
        <v>Katy</v>
      </c>
      <c r="E2331" t="str">
        <f t="shared" si="110"/>
        <v>Kohls</v>
      </c>
    </row>
    <row r="2332" spans="1:5" ht="15.5" x14ac:dyDescent="0.35">
      <c r="A2332" s="1" t="s">
        <v>21</v>
      </c>
      <c r="B2332" s="1" t="s">
        <v>4714</v>
      </c>
      <c r="C2332" t="str">
        <f t="shared" si="108"/>
        <v>Mr.</v>
      </c>
      <c r="D2332" t="str">
        <f t="shared" si="109"/>
        <v>Jordan</v>
      </c>
      <c r="E2332" t="str">
        <f t="shared" si="110"/>
        <v>Brietzke</v>
      </c>
    </row>
    <row r="2333" spans="1:5" ht="15.5" x14ac:dyDescent="0.35">
      <c r="A2333" s="1" t="s">
        <v>19</v>
      </c>
      <c r="B2333" s="1" t="s">
        <v>4715</v>
      </c>
      <c r="C2333" t="str">
        <f t="shared" si="108"/>
        <v>Mr.</v>
      </c>
      <c r="D2333" t="str">
        <f t="shared" si="109"/>
        <v>Juan D. Sr.</v>
      </c>
      <c r="E2333" t="str">
        <f t="shared" si="110"/>
        <v>Riveros Gonzalez</v>
      </c>
    </row>
    <row r="2334" spans="1:5" ht="15.5" x14ac:dyDescent="0.35">
      <c r="A2334" s="1" t="s">
        <v>17</v>
      </c>
      <c r="B2334" s="1" t="s">
        <v>4716</v>
      </c>
      <c r="C2334" t="str">
        <f t="shared" si="108"/>
        <v>Ms.</v>
      </c>
      <c r="D2334" t="str">
        <f t="shared" si="109"/>
        <v>Julie</v>
      </c>
      <c r="E2334" t="str">
        <f t="shared" si="110"/>
        <v>Albano</v>
      </c>
    </row>
    <row r="2335" spans="1:5" ht="15.5" x14ac:dyDescent="0.35">
      <c r="A2335" s="1" t="s">
        <v>14</v>
      </c>
      <c r="B2335" s="1" t="s">
        <v>4717</v>
      </c>
      <c r="C2335" t="str">
        <f t="shared" si="108"/>
        <v>Mr.</v>
      </c>
      <c r="D2335" t="str">
        <f t="shared" si="109"/>
        <v>Evan P</v>
      </c>
      <c r="E2335" t="str">
        <f t="shared" si="110"/>
        <v>Rosendahl</v>
      </c>
    </row>
    <row r="2336" spans="1:5" ht="15.5" x14ac:dyDescent="0.35">
      <c r="A2336" s="1" t="s">
        <v>9</v>
      </c>
      <c r="B2336" s="1" t="s">
        <v>4718</v>
      </c>
      <c r="C2336" t="str">
        <f t="shared" si="108"/>
        <v>Mr.</v>
      </c>
      <c r="D2336" t="str">
        <f t="shared" si="109"/>
        <v>Aaron K</v>
      </c>
      <c r="E2336" t="str">
        <f t="shared" si="110"/>
        <v>German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39"/>
  <sheetViews>
    <sheetView topLeftCell="B1" workbookViewId="0">
      <selection activeCell="C14" sqref="C14"/>
    </sheetView>
  </sheetViews>
  <sheetFormatPr defaultRowHeight="14.5" x14ac:dyDescent="0.35"/>
  <cols>
    <col min="1" max="1" width="11.81640625" bestFit="1" customWidth="1"/>
    <col min="2" max="2" width="15.08984375" customWidth="1"/>
    <col min="5" max="5" width="14.1796875" customWidth="1"/>
    <col min="6" max="6" width="11.7265625" bestFit="1" customWidth="1"/>
    <col min="7" max="7" width="15.1796875" bestFit="1" customWidth="1"/>
    <col min="8" max="8" width="13.7265625" bestFit="1" customWidth="1"/>
    <col min="9" max="9" width="24.26953125" bestFit="1" customWidth="1"/>
  </cols>
  <sheetData>
    <row r="1" spans="1:10" ht="19" customHeight="1" x14ac:dyDescent="0.35">
      <c r="A1" s="4" t="s">
        <v>0</v>
      </c>
      <c r="B1" s="4" t="s">
        <v>4724</v>
      </c>
      <c r="C1" s="4" t="s">
        <v>2373</v>
      </c>
      <c r="D1" s="4" t="s">
        <v>2374</v>
      </c>
      <c r="E1" s="4" t="s">
        <v>4725</v>
      </c>
      <c r="F1" s="4" t="s">
        <v>2375</v>
      </c>
      <c r="G1" s="4" t="s">
        <v>2376</v>
      </c>
      <c r="H1" s="4" t="s">
        <v>2377</v>
      </c>
      <c r="I1" s="4" t="s">
        <v>2378</v>
      </c>
      <c r="J1" s="4" t="s">
        <v>2379</v>
      </c>
    </row>
    <row r="2" spans="1:10" x14ac:dyDescent="0.35">
      <c r="A2" t="s">
        <v>2372</v>
      </c>
      <c r="B2" t="str">
        <f>IF(C2&lt;18.5,"Underweight",IF(C2&lt;25,"Normal Weight",IF(C2&lt;30,"Overweight","Obesity")))</f>
        <v>Obesity</v>
      </c>
      <c r="C2">
        <v>47.41</v>
      </c>
      <c r="D2">
        <v>7.47</v>
      </c>
      <c r="E2" t="str">
        <f>IF(D2&lt;5.7,"Normal",IF(D2&lt;6.5,"Prediabetes","Diabetes"))</f>
        <v>Diabetes</v>
      </c>
      <c r="F2" t="s">
        <v>2380</v>
      </c>
      <c r="G2" t="s">
        <v>2380</v>
      </c>
      <c r="H2" t="s">
        <v>2380</v>
      </c>
      <c r="I2">
        <f ca="1">IF(I2="No major surgery",0,VALUE(I2))</f>
        <v>0</v>
      </c>
      <c r="J2" t="s">
        <v>2381</v>
      </c>
    </row>
    <row r="3" spans="1:10" x14ac:dyDescent="0.35">
      <c r="A3" t="s">
        <v>2371</v>
      </c>
      <c r="B3" t="str">
        <f t="shared" ref="B3:B66" si="0">IF(C3&lt;18.5,"Underweight",IF(C3&lt;25,"Normal Weight",IF(C3&lt;30,"Overweight","Obesity")))</f>
        <v>Obesity</v>
      </c>
      <c r="C3">
        <v>30.36</v>
      </c>
      <c r="D3">
        <v>5.77</v>
      </c>
      <c r="E3" t="str">
        <f t="shared" ref="E3:E66" si="1">IF(D3&lt;5.7,"Normal",IF(D3&lt;6.5,"Prediabetes","Diabetes"))</f>
        <v>Prediabetes</v>
      </c>
      <c r="F3" t="s">
        <v>2380</v>
      </c>
      <c r="G3" t="s">
        <v>2380</v>
      </c>
      <c r="H3" t="s">
        <v>2380</v>
      </c>
      <c r="I3">
        <f ca="1">IF(I3="No major surgery",0,VALUE(I3))</f>
        <v>0</v>
      </c>
      <c r="J3" t="s">
        <v>2381</v>
      </c>
    </row>
    <row r="4" spans="1:10" x14ac:dyDescent="0.35">
      <c r="A4" t="s">
        <v>2370</v>
      </c>
      <c r="B4" t="str">
        <f t="shared" si="0"/>
        <v>Obesity</v>
      </c>
      <c r="C4">
        <v>34.484999999999999</v>
      </c>
      <c r="D4">
        <v>11.87</v>
      </c>
      <c r="E4" t="str">
        <f t="shared" si="1"/>
        <v>Diabetes</v>
      </c>
      <c r="F4" t="s">
        <v>2381</v>
      </c>
      <c r="G4" t="s">
        <v>2380</v>
      </c>
      <c r="H4" t="s">
        <v>2380</v>
      </c>
      <c r="I4">
        <v>2</v>
      </c>
      <c r="J4" t="s">
        <v>2381</v>
      </c>
    </row>
    <row r="5" spans="1:10" x14ac:dyDescent="0.35">
      <c r="A5" t="s">
        <v>2369</v>
      </c>
      <c r="B5" t="str">
        <f t="shared" si="0"/>
        <v>Obesity</v>
      </c>
      <c r="C5">
        <v>38.094999999999999</v>
      </c>
      <c r="D5">
        <v>6.05</v>
      </c>
      <c r="E5" t="str">
        <f t="shared" si="1"/>
        <v>Prediabetes</v>
      </c>
      <c r="F5" t="s">
        <v>2380</v>
      </c>
      <c r="G5" t="s">
        <v>2380</v>
      </c>
      <c r="H5" t="s">
        <v>2380</v>
      </c>
      <c r="I5">
        <f ca="1">IF(I2="No major surgery",0,VALUE(I2))</f>
        <v>0</v>
      </c>
      <c r="J5" t="s">
        <v>2381</v>
      </c>
    </row>
    <row r="6" spans="1:10" x14ac:dyDescent="0.35">
      <c r="A6" t="s">
        <v>2368</v>
      </c>
      <c r="B6" t="str">
        <f t="shared" si="0"/>
        <v>Obesity</v>
      </c>
      <c r="C6">
        <v>35.53</v>
      </c>
      <c r="D6">
        <v>5.45</v>
      </c>
      <c r="E6" t="str">
        <f t="shared" si="1"/>
        <v>Normal</v>
      </c>
      <c r="F6" t="s">
        <v>2380</v>
      </c>
      <c r="G6" t="s">
        <v>2380</v>
      </c>
      <c r="H6" t="s">
        <v>2380</v>
      </c>
      <c r="I6">
        <f ca="1">IF(I3="No major surgery",0,VALUE(I3))</f>
        <v>0</v>
      </c>
      <c r="J6" t="s">
        <v>2381</v>
      </c>
    </row>
    <row r="7" spans="1:10" x14ac:dyDescent="0.35">
      <c r="A7" t="s">
        <v>2367</v>
      </c>
      <c r="B7" t="str">
        <f t="shared" si="0"/>
        <v>Obesity</v>
      </c>
      <c r="C7">
        <v>32.799999999999997</v>
      </c>
      <c r="D7">
        <v>6.59</v>
      </c>
      <c r="E7" t="str">
        <f t="shared" si="1"/>
        <v>Diabetes</v>
      </c>
      <c r="F7" t="s">
        <v>2380</v>
      </c>
      <c r="G7" t="s">
        <v>2380</v>
      </c>
      <c r="H7" t="s">
        <v>2380</v>
      </c>
      <c r="I7">
        <f>IF(I4="No major surgery",0,VALUE(I4))</f>
        <v>2</v>
      </c>
      <c r="J7" t="s">
        <v>2381</v>
      </c>
    </row>
    <row r="8" spans="1:10" x14ac:dyDescent="0.35">
      <c r="A8" t="s">
        <v>2366</v>
      </c>
      <c r="B8" t="str">
        <f t="shared" si="0"/>
        <v>Obesity</v>
      </c>
      <c r="C8">
        <v>36.4</v>
      </c>
      <c r="D8">
        <v>6.07</v>
      </c>
      <c r="E8" t="str">
        <f t="shared" si="1"/>
        <v>Prediabetes</v>
      </c>
      <c r="F8" t="s">
        <v>2380</v>
      </c>
      <c r="G8" t="s">
        <v>2380</v>
      </c>
      <c r="H8" t="s">
        <v>2380</v>
      </c>
      <c r="I8">
        <f ca="1">IF(I5="No major surgery",0,VALUE(I5))</f>
        <v>0</v>
      </c>
      <c r="J8" t="s">
        <v>2381</v>
      </c>
    </row>
    <row r="9" spans="1:10" x14ac:dyDescent="0.35">
      <c r="A9" t="s">
        <v>2365</v>
      </c>
      <c r="B9" t="str">
        <f t="shared" si="0"/>
        <v>Obesity</v>
      </c>
      <c r="C9">
        <v>36.96</v>
      </c>
      <c r="D9">
        <v>7.93</v>
      </c>
      <c r="E9" t="str">
        <f t="shared" si="1"/>
        <v>Diabetes</v>
      </c>
      <c r="F9" t="s">
        <v>2380</v>
      </c>
      <c r="G9" t="s">
        <v>2380</v>
      </c>
      <c r="H9" t="s">
        <v>2380</v>
      </c>
      <c r="I9">
        <v>3</v>
      </c>
      <c r="J9" t="s">
        <v>2381</v>
      </c>
    </row>
    <row r="10" spans="1:10" x14ac:dyDescent="0.35">
      <c r="A10" t="s">
        <v>2364</v>
      </c>
      <c r="B10" t="str">
        <f t="shared" si="0"/>
        <v>Obesity</v>
      </c>
      <c r="C10">
        <v>41.14</v>
      </c>
      <c r="D10">
        <v>9.58</v>
      </c>
      <c r="E10" t="str">
        <f t="shared" si="1"/>
        <v>Diabetes</v>
      </c>
      <c r="F10" t="s">
        <v>2381</v>
      </c>
      <c r="G10" t="s">
        <v>2380</v>
      </c>
      <c r="H10" t="s">
        <v>2382</v>
      </c>
      <c r="I10">
        <v>1</v>
      </c>
      <c r="J10" t="s">
        <v>2381</v>
      </c>
    </row>
    <row r="11" spans="1:10" x14ac:dyDescent="0.35">
      <c r="A11" t="s">
        <v>2363</v>
      </c>
      <c r="B11" t="str">
        <f t="shared" si="0"/>
        <v>Obesity</v>
      </c>
      <c r="C11">
        <v>38.06</v>
      </c>
      <c r="D11">
        <v>10.79</v>
      </c>
      <c r="E11" t="str">
        <f t="shared" si="1"/>
        <v>Diabetes</v>
      </c>
      <c r="F11" t="s">
        <v>2380</v>
      </c>
      <c r="G11" t="s">
        <v>2380</v>
      </c>
      <c r="H11" t="s">
        <v>2380</v>
      </c>
      <c r="I11">
        <f ca="1">IF(I2="No major surgery",0,VALUE(I2))</f>
        <v>0</v>
      </c>
      <c r="J11" t="s">
        <v>2381</v>
      </c>
    </row>
    <row r="12" spans="1:10" x14ac:dyDescent="0.35">
      <c r="A12" t="s">
        <v>2362</v>
      </c>
      <c r="B12" t="str">
        <f t="shared" si="0"/>
        <v>Obesity</v>
      </c>
      <c r="C12">
        <v>37.700000000000003</v>
      </c>
      <c r="D12">
        <v>5.96</v>
      </c>
      <c r="E12" t="str">
        <f t="shared" si="1"/>
        <v>Prediabetes</v>
      </c>
      <c r="F12" t="s">
        <v>2381</v>
      </c>
      <c r="G12" t="s">
        <v>2380</v>
      </c>
      <c r="H12" t="s">
        <v>2380</v>
      </c>
      <c r="I12">
        <f t="shared" ref="I12:I19" ca="1" si="2">IF(I3="No major surgery",0,VALUE(I3))</f>
        <v>0</v>
      </c>
      <c r="J12" t="s">
        <v>2381</v>
      </c>
    </row>
    <row r="13" spans="1:10" x14ac:dyDescent="0.35">
      <c r="A13" t="s">
        <v>2361</v>
      </c>
      <c r="B13" t="str">
        <f t="shared" si="0"/>
        <v>Obesity</v>
      </c>
      <c r="C13">
        <v>42.13</v>
      </c>
      <c r="D13">
        <v>11.9</v>
      </c>
      <c r="E13" t="str">
        <f t="shared" si="1"/>
        <v>Diabetes</v>
      </c>
      <c r="F13" t="s">
        <v>2380</v>
      </c>
      <c r="G13" t="s">
        <v>2380</v>
      </c>
      <c r="H13" t="s">
        <v>2380</v>
      </c>
      <c r="I13">
        <f t="shared" si="2"/>
        <v>2</v>
      </c>
      <c r="J13" t="s">
        <v>2381</v>
      </c>
    </row>
    <row r="14" spans="1:10" x14ac:dyDescent="0.35">
      <c r="A14" t="s">
        <v>2360</v>
      </c>
      <c r="B14" t="str">
        <f t="shared" si="0"/>
        <v>Obesity</v>
      </c>
      <c r="C14">
        <v>40.92</v>
      </c>
      <c r="D14">
        <v>8.41</v>
      </c>
      <c r="E14" t="str">
        <f t="shared" si="1"/>
        <v>Diabetes</v>
      </c>
      <c r="F14" t="s">
        <v>2380</v>
      </c>
      <c r="G14" t="s">
        <v>2380</v>
      </c>
      <c r="H14" t="s">
        <v>2380</v>
      </c>
      <c r="I14">
        <f t="shared" ca="1" si="2"/>
        <v>0</v>
      </c>
      <c r="J14" t="s">
        <v>2381</v>
      </c>
    </row>
    <row r="15" spans="1:10" x14ac:dyDescent="0.35">
      <c r="A15" t="s">
        <v>2359</v>
      </c>
      <c r="B15" t="str">
        <f t="shared" si="0"/>
        <v>Obesity</v>
      </c>
      <c r="C15">
        <v>40.564999999999998</v>
      </c>
      <c r="D15">
        <v>7.02</v>
      </c>
      <c r="E15" t="str">
        <f t="shared" si="1"/>
        <v>Diabetes</v>
      </c>
      <c r="F15" t="s">
        <v>2380</v>
      </c>
      <c r="G15" t="s">
        <v>2380</v>
      </c>
      <c r="H15" t="s">
        <v>2380</v>
      </c>
      <c r="I15">
        <f t="shared" ca="1" si="2"/>
        <v>0</v>
      </c>
      <c r="J15" t="s">
        <v>2381</v>
      </c>
    </row>
    <row r="16" spans="1:10" x14ac:dyDescent="0.35">
      <c r="A16" t="s">
        <v>2358</v>
      </c>
      <c r="B16" t="str">
        <f t="shared" si="0"/>
        <v>Obesity</v>
      </c>
      <c r="C16">
        <v>36.384999999999998</v>
      </c>
      <c r="D16">
        <v>7.59</v>
      </c>
      <c r="E16" t="str">
        <f t="shared" si="1"/>
        <v>Diabetes</v>
      </c>
      <c r="F16" t="s">
        <v>2381</v>
      </c>
      <c r="G16" t="s">
        <v>2380</v>
      </c>
      <c r="H16" t="s">
        <v>2380</v>
      </c>
      <c r="I16">
        <f t="shared" si="2"/>
        <v>2</v>
      </c>
      <c r="J16" t="s">
        <v>2381</v>
      </c>
    </row>
    <row r="17" spans="1:10" x14ac:dyDescent="0.35">
      <c r="A17" t="s">
        <v>2357</v>
      </c>
      <c r="B17" t="str">
        <f t="shared" si="0"/>
        <v>Obesity</v>
      </c>
      <c r="C17">
        <v>39.9</v>
      </c>
      <c r="D17">
        <v>11.32</v>
      </c>
      <c r="E17" t="str">
        <f t="shared" si="1"/>
        <v>Diabetes</v>
      </c>
      <c r="F17" t="s">
        <v>2380</v>
      </c>
      <c r="G17" t="s">
        <v>2380</v>
      </c>
      <c r="H17" t="s">
        <v>2380</v>
      </c>
      <c r="I17">
        <f t="shared" ca="1" si="2"/>
        <v>2</v>
      </c>
      <c r="J17" t="s">
        <v>2381</v>
      </c>
    </row>
    <row r="18" spans="1:10" x14ac:dyDescent="0.35">
      <c r="A18" t="s">
        <v>2356</v>
      </c>
      <c r="B18" t="str">
        <f t="shared" si="0"/>
        <v>Obesity</v>
      </c>
      <c r="C18">
        <v>33.799999999999997</v>
      </c>
      <c r="D18">
        <v>7.67</v>
      </c>
      <c r="E18" t="str">
        <f t="shared" si="1"/>
        <v>Diabetes</v>
      </c>
      <c r="F18" t="s">
        <v>2380</v>
      </c>
      <c r="G18" t="s">
        <v>2380</v>
      </c>
      <c r="H18" t="s">
        <v>2380</v>
      </c>
      <c r="I18">
        <f t="shared" si="2"/>
        <v>3</v>
      </c>
      <c r="J18" t="s">
        <v>2381</v>
      </c>
    </row>
    <row r="19" spans="1:10" x14ac:dyDescent="0.35">
      <c r="A19" t="s">
        <v>2355</v>
      </c>
      <c r="B19" t="str">
        <f t="shared" si="0"/>
        <v>Obesity</v>
      </c>
      <c r="C19">
        <v>36.765000000000001</v>
      </c>
      <c r="D19">
        <v>7.29</v>
      </c>
      <c r="E19" t="str">
        <f t="shared" si="1"/>
        <v>Diabetes</v>
      </c>
      <c r="F19" t="s">
        <v>2381</v>
      </c>
      <c r="G19" t="s">
        <v>2380</v>
      </c>
      <c r="H19" t="s">
        <v>2382</v>
      </c>
      <c r="I19">
        <f t="shared" si="2"/>
        <v>1</v>
      </c>
      <c r="J19" t="s">
        <v>2381</v>
      </c>
    </row>
    <row r="20" spans="1:10" x14ac:dyDescent="0.35">
      <c r="A20" t="s">
        <v>2354</v>
      </c>
      <c r="B20" t="str">
        <f t="shared" si="0"/>
        <v>Obesity</v>
      </c>
      <c r="C20">
        <v>36.954999999999998</v>
      </c>
      <c r="D20">
        <v>4.72</v>
      </c>
      <c r="E20" t="str">
        <f t="shared" si="1"/>
        <v>Normal</v>
      </c>
      <c r="F20" t="s">
        <v>2381</v>
      </c>
      <c r="G20" t="s">
        <v>2380</v>
      </c>
      <c r="H20" t="s">
        <v>2380</v>
      </c>
      <c r="I20">
        <v>1</v>
      </c>
      <c r="J20" t="s">
        <v>2381</v>
      </c>
    </row>
    <row r="21" spans="1:10" x14ac:dyDescent="0.35">
      <c r="A21" t="s">
        <v>2353</v>
      </c>
      <c r="B21" t="str">
        <f t="shared" si="0"/>
        <v>Obesity</v>
      </c>
      <c r="C21">
        <v>42.9</v>
      </c>
      <c r="D21">
        <v>11.41</v>
      </c>
      <c r="E21" t="str">
        <f t="shared" si="1"/>
        <v>Diabetes</v>
      </c>
      <c r="F21" t="s">
        <v>2380</v>
      </c>
      <c r="G21" t="s">
        <v>2380</v>
      </c>
      <c r="H21" t="s">
        <v>2380</v>
      </c>
      <c r="I21">
        <f ca="1">IF(I2="No major surgery",0,VALUE(I2))</f>
        <v>0</v>
      </c>
      <c r="J21" t="s">
        <v>2381</v>
      </c>
    </row>
    <row r="22" spans="1:10" x14ac:dyDescent="0.35">
      <c r="A22" t="s">
        <v>2352</v>
      </c>
      <c r="B22" t="str">
        <f t="shared" si="0"/>
        <v>Obesity</v>
      </c>
      <c r="C22">
        <v>36.299999999999997</v>
      </c>
      <c r="D22">
        <v>11.5</v>
      </c>
      <c r="E22" t="str">
        <f t="shared" si="1"/>
        <v>Diabetes</v>
      </c>
      <c r="F22" t="s">
        <v>2381</v>
      </c>
      <c r="G22" t="s">
        <v>2380</v>
      </c>
      <c r="H22" t="s">
        <v>2380</v>
      </c>
      <c r="I22">
        <v>2</v>
      </c>
      <c r="J22" t="s">
        <v>2381</v>
      </c>
    </row>
    <row r="23" spans="1:10" x14ac:dyDescent="0.35">
      <c r="A23" t="s">
        <v>2351</v>
      </c>
      <c r="B23" t="str">
        <f t="shared" si="0"/>
        <v>Obesity</v>
      </c>
      <c r="C23">
        <v>32.200000000000003</v>
      </c>
      <c r="D23">
        <v>6.22</v>
      </c>
      <c r="E23" t="str">
        <f t="shared" si="1"/>
        <v>Prediabetes</v>
      </c>
      <c r="F23" t="s">
        <v>2381</v>
      </c>
      <c r="G23" t="s">
        <v>2380</v>
      </c>
      <c r="H23" t="s">
        <v>2380</v>
      </c>
      <c r="I23">
        <v>2</v>
      </c>
      <c r="J23" t="s">
        <v>2381</v>
      </c>
    </row>
    <row r="24" spans="1:10" x14ac:dyDescent="0.35">
      <c r="A24" t="s">
        <v>2350</v>
      </c>
      <c r="B24" t="str">
        <f t="shared" si="0"/>
        <v>Obesity</v>
      </c>
      <c r="C24">
        <v>31.3</v>
      </c>
      <c r="D24">
        <v>11.38</v>
      </c>
      <c r="E24" t="str">
        <f t="shared" si="1"/>
        <v>Diabetes</v>
      </c>
      <c r="F24" t="s">
        <v>2380</v>
      </c>
      <c r="G24" t="s">
        <v>2380</v>
      </c>
      <c r="H24" t="s">
        <v>2380</v>
      </c>
      <c r="I24">
        <v>3</v>
      </c>
      <c r="J24" t="s">
        <v>2381</v>
      </c>
    </row>
    <row r="25" spans="1:10" x14ac:dyDescent="0.35">
      <c r="A25" t="s">
        <v>2349</v>
      </c>
      <c r="B25" t="str">
        <f t="shared" si="0"/>
        <v>Obesity</v>
      </c>
      <c r="C25">
        <v>41.8</v>
      </c>
      <c r="D25">
        <v>7.89</v>
      </c>
      <c r="E25" t="str">
        <f t="shared" si="1"/>
        <v>Diabetes</v>
      </c>
      <c r="F25" t="s">
        <v>2381</v>
      </c>
      <c r="G25" t="s">
        <v>2380</v>
      </c>
      <c r="H25" t="s">
        <v>2380</v>
      </c>
      <c r="I25">
        <v>2</v>
      </c>
      <c r="J25" t="s">
        <v>2381</v>
      </c>
    </row>
    <row r="26" spans="1:10" x14ac:dyDescent="0.35">
      <c r="A26" t="s">
        <v>2348</v>
      </c>
      <c r="B26" t="str">
        <f t="shared" si="0"/>
        <v>Obesity</v>
      </c>
      <c r="C26">
        <v>35.090000000000003</v>
      </c>
      <c r="D26">
        <v>4.38</v>
      </c>
      <c r="E26" t="str">
        <f t="shared" si="1"/>
        <v>Normal</v>
      </c>
      <c r="F26" t="s">
        <v>2381</v>
      </c>
      <c r="G26" t="s">
        <v>2380</v>
      </c>
      <c r="H26" t="s">
        <v>2380</v>
      </c>
      <c r="I26">
        <v>2</v>
      </c>
      <c r="J26" t="s">
        <v>2381</v>
      </c>
    </row>
    <row r="27" spans="1:10" x14ac:dyDescent="0.35">
      <c r="A27" t="s">
        <v>2347</v>
      </c>
      <c r="B27" t="str">
        <f t="shared" si="0"/>
        <v>Obesity</v>
      </c>
      <c r="C27">
        <v>33.880000000000003</v>
      </c>
      <c r="D27">
        <v>7.01</v>
      </c>
      <c r="E27" t="str">
        <f t="shared" si="1"/>
        <v>Diabetes</v>
      </c>
      <c r="F27" t="s">
        <v>2380</v>
      </c>
      <c r="G27" t="s">
        <v>2380</v>
      </c>
      <c r="H27" t="s">
        <v>2380</v>
      </c>
      <c r="I27">
        <v>3</v>
      </c>
      <c r="J27" t="s">
        <v>2381</v>
      </c>
    </row>
    <row r="28" spans="1:10" x14ac:dyDescent="0.35">
      <c r="A28" t="s">
        <v>2346</v>
      </c>
      <c r="B28" t="str">
        <f t="shared" si="0"/>
        <v>Obesity</v>
      </c>
      <c r="C28">
        <v>30.875</v>
      </c>
      <c r="D28">
        <v>11.88</v>
      </c>
      <c r="E28" t="str">
        <f t="shared" si="1"/>
        <v>Diabetes</v>
      </c>
      <c r="F28" t="s">
        <v>2380</v>
      </c>
      <c r="G28" t="s">
        <v>2380</v>
      </c>
      <c r="H28" t="s">
        <v>2380</v>
      </c>
      <c r="I28">
        <f ca="1">IF(I2="No major surgery",0,VALUE(I2))</f>
        <v>0</v>
      </c>
      <c r="J28" t="s">
        <v>2381</v>
      </c>
    </row>
    <row r="29" spans="1:10" x14ac:dyDescent="0.35">
      <c r="A29" t="s">
        <v>2345</v>
      </c>
      <c r="B29" t="str">
        <f t="shared" si="0"/>
        <v>Obesity</v>
      </c>
      <c r="C29">
        <v>36.86</v>
      </c>
      <c r="D29">
        <v>5.19</v>
      </c>
      <c r="E29" t="str">
        <f t="shared" si="1"/>
        <v>Normal</v>
      </c>
      <c r="F29" t="s">
        <v>2381</v>
      </c>
      <c r="G29" t="s">
        <v>2380</v>
      </c>
      <c r="H29" t="s">
        <v>2382</v>
      </c>
      <c r="I29">
        <v>1</v>
      </c>
      <c r="J29" t="s">
        <v>2381</v>
      </c>
    </row>
    <row r="30" spans="1:10" x14ac:dyDescent="0.35">
      <c r="A30" t="s">
        <v>2344</v>
      </c>
      <c r="B30" t="str">
        <f t="shared" si="0"/>
        <v>Obesity</v>
      </c>
      <c r="C30">
        <v>35.86</v>
      </c>
      <c r="D30">
        <v>6.74</v>
      </c>
      <c r="E30" t="str">
        <f t="shared" si="1"/>
        <v>Diabetes</v>
      </c>
      <c r="F30" t="s">
        <v>2381</v>
      </c>
      <c r="G30" t="s">
        <v>2380</v>
      </c>
      <c r="H30" t="s">
        <v>2380</v>
      </c>
      <c r="I30">
        <f t="shared" ref="I30:I35" si="3">IF(I4="No major surgery",0,VALUE(I4))</f>
        <v>2</v>
      </c>
      <c r="J30" t="s">
        <v>2381</v>
      </c>
    </row>
    <row r="31" spans="1:10" x14ac:dyDescent="0.35">
      <c r="A31" t="s">
        <v>2343</v>
      </c>
      <c r="B31" t="str">
        <f t="shared" si="0"/>
        <v>Obesity</v>
      </c>
      <c r="C31">
        <v>37.049999999999997</v>
      </c>
      <c r="D31">
        <v>8.44</v>
      </c>
      <c r="E31" t="str">
        <f t="shared" si="1"/>
        <v>Diabetes</v>
      </c>
      <c r="F31" t="s">
        <v>2380</v>
      </c>
      <c r="G31" t="s">
        <v>2380</v>
      </c>
      <c r="H31" t="s">
        <v>2380</v>
      </c>
      <c r="I31">
        <f t="shared" ca="1" si="3"/>
        <v>0</v>
      </c>
      <c r="J31" t="s">
        <v>2381</v>
      </c>
    </row>
    <row r="32" spans="1:10" x14ac:dyDescent="0.35">
      <c r="A32" t="s">
        <v>2342</v>
      </c>
      <c r="B32" t="str">
        <f t="shared" si="0"/>
        <v>Obesity</v>
      </c>
      <c r="C32">
        <v>43.89</v>
      </c>
      <c r="D32">
        <v>8.7100000000000009</v>
      </c>
      <c r="E32" t="str">
        <f t="shared" si="1"/>
        <v>Diabetes</v>
      </c>
      <c r="F32" t="s">
        <v>2380</v>
      </c>
      <c r="G32" t="s">
        <v>2380</v>
      </c>
      <c r="H32" t="s">
        <v>2380</v>
      </c>
      <c r="I32">
        <f t="shared" ca="1" si="3"/>
        <v>0</v>
      </c>
      <c r="J32" t="s">
        <v>2381</v>
      </c>
    </row>
    <row r="33" spans="1:10" x14ac:dyDescent="0.35">
      <c r="A33" t="s">
        <v>2341</v>
      </c>
      <c r="B33" t="str">
        <f t="shared" si="0"/>
        <v>Obesity</v>
      </c>
      <c r="C33">
        <v>42.35</v>
      </c>
      <c r="D33">
        <v>5.08</v>
      </c>
      <c r="E33" t="str">
        <f t="shared" si="1"/>
        <v>Normal</v>
      </c>
      <c r="F33" t="s">
        <v>2381</v>
      </c>
      <c r="G33" t="s">
        <v>2380</v>
      </c>
      <c r="H33" t="s">
        <v>2380</v>
      </c>
      <c r="I33">
        <f t="shared" si="3"/>
        <v>2</v>
      </c>
      <c r="J33" t="s">
        <v>2381</v>
      </c>
    </row>
    <row r="34" spans="1:10" x14ac:dyDescent="0.35">
      <c r="A34" t="s">
        <v>2340</v>
      </c>
      <c r="B34" t="str">
        <f t="shared" si="0"/>
        <v>Obesity</v>
      </c>
      <c r="C34">
        <v>31.35</v>
      </c>
      <c r="D34">
        <v>6.86</v>
      </c>
      <c r="E34" t="str">
        <f t="shared" si="1"/>
        <v>Diabetes</v>
      </c>
      <c r="F34" t="s">
        <v>2380</v>
      </c>
      <c r="G34" t="s">
        <v>2380</v>
      </c>
      <c r="H34" t="s">
        <v>2380</v>
      </c>
      <c r="I34">
        <f t="shared" ca="1" si="3"/>
        <v>0</v>
      </c>
      <c r="J34" t="s">
        <v>2381</v>
      </c>
    </row>
    <row r="35" spans="1:10" x14ac:dyDescent="0.35">
      <c r="A35" t="s">
        <v>2339</v>
      </c>
      <c r="B35" t="str">
        <f t="shared" si="0"/>
        <v>Obesity</v>
      </c>
      <c r="C35">
        <v>47.6</v>
      </c>
      <c r="D35">
        <v>5.95</v>
      </c>
      <c r="E35" t="str">
        <f t="shared" si="1"/>
        <v>Prediabetes</v>
      </c>
      <c r="F35" t="s">
        <v>2381</v>
      </c>
      <c r="G35" t="s">
        <v>2380</v>
      </c>
      <c r="H35" t="s">
        <v>2380</v>
      </c>
      <c r="I35">
        <f t="shared" si="3"/>
        <v>3</v>
      </c>
      <c r="J35" t="s">
        <v>2381</v>
      </c>
    </row>
    <row r="36" spans="1:10" x14ac:dyDescent="0.35">
      <c r="A36" t="s">
        <v>2338</v>
      </c>
      <c r="B36" t="str">
        <f t="shared" si="0"/>
        <v>Obesity</v>
      </c>
      <c r="C36">
        <v>46.2</v>
      </c>
      <c r="D36">
        <v>6.09</v>
      </c>
      <c r="E36" t="str">
        <f t="shared" si="1"/>
        <v>Prediabetes</v>
      </c>
      <c r="F36" t="s">
        <v>2380</v>
      </c>
      <c r="G36" t="s">
        <v>2380</v>
      </c>
      <c r="H36" t="s">
        <v>2382</v>
      </c>
      <c r="I36">
        <v>1</v>
      </c>
      <c r="J36" t="s">
        <v>2381</v>
      </c>
    </row>
    <row r="37" spans="1:10" x14ac:dyDescent="0.35">
      <c r="A37" t="s">
        <v>2337</v>
      </c>
      <c r="B37" t="str">
        <f t="shared" si="0"/>
        <v>Obesity</v>
      </c>
      <c r="C37">
        <v>32.015000000000001</v>
      </c>
      <c r="D37">
        <v>11.75</v>
      </c>
      <c r="E37" t="str">
        <f t="shared" si="1"/>
        <v>Diabetes</v>
      </c>
      <c r="F37" t="s">
        <v>2380</v>
      </c>
      <c r="G37" t="s">
        <v>2380</v>
      </c>
      <c r="H37" t="s">
        <v>2380</v>
      </c>
      <c r="I37">
        <f ca="1">IF(I2="No major surgery",0,VALUE(I2))</f>
        <v>0</v>
      </c>
      <c r="J37" t="s">
        <v>2381</v>
      </c>
    </row>
    <row r="38" spans="1:10" x14ac:dyDescent="0.35">
      <c r="A38" t="s">
        <v>2336</v>
      </c>
      <c r="B38" t="str">
        <f t="shared" si="0"/>
        <v>Obesity</v>
      </c>
      <c r="C38">
        <v>40.564999999999998</v>
      </c>
      <c r="D38">
        <v>7.37</v>
      </c>
      <c r="E38" t="str">
        <f t="shared" si="1"/>
        <v>Diabetes</v>
      </c>
      <c r="F38" t="s">
        <v>2380</v>
      </c>
      <c r="G38" t="s">
        <v>2380</v>
      </c>
      <c r="H38" t="s">
        <v>2380</v>
      </c>
      <c r="I38">
        <f ca="1">IF(I3="No major surgery",0,VALUE(I3))</f>
        <v>0</v>
      </c>
      <c r="J38" t="s">
        <v>2381</v>
      </c>
    </row>
    <row r="39" spans="1:10" x14ac:dyDescent="0.35">
      <c r="A39" t="s">
        <v>2335</v>
      </c>
      <c r="B39" t="str">
        <f t="shared" si="0"/>
        <v>Obesity</v>
      </c>
      <c r="C39">
        <v>32.450000000000003</v>
      </c>
      <c r="D39">
        <v>11.91</v>
      </c>
      <c r="E39" t="str">
        <f t="shared" si="1"/>
        <v>Diabetes</v>
      </c>
      <c r="F39" t="s">
        <v>2380</v>
      </c>
      <c r="G39" t="s">
        <v>2380</v>
      </c>
      <c r="H39" t="s">
        <v>2380</v>
      </c>
      <c r="I39">
        <f>IF(I4="No major surgery",0,VALUE(I4))</f>
        <v>2</v>
      </c>
      <c r="J39" t="s">
        <v>2381</v>
      </c>
    </row>
    <row r="40" spans="1:10" x14ac:dyDescent="0.35">
      <c r="A40" t="s">
        <v>2334</v>
      </c>
      <c r="B40" t="str">
        <f t="shared" si="0"/>
        <v>Obesity</v>
      </c>
      <c r="C40">
        <v>34.96</v>
      </c>
      <c r="D40">
        <v>6.52</v>
      </c>
      <c r="E40" t="str">
        <f t="shared" si="1"/>
        <v>Diabetes</v>
      </c>
      <c r="F40" t="s">
        <v>2380</v>
      </c>
      <c r="G40" t="s">
        <v>2380</v>
      </c>
      <c r="H40" t="s">
        <v>2380</v>
      </c>
      <c r="I40">
        <f ca="1">IF(I5="No major surgery",0,VALUE(I5))</f>
        <v>0</v>
      </c>
      <c r="J40" t="s">
        <v>2381</v>
      </c>
    </row>
    <row r="41" spans="1:10" x14ac:dyDescent="0.35">
      <c r="A41" t="s">
        <v>2333</v>
      </c>
      <c r="B41" t="str">
        <f t="shared" si="0"/>
        <v>Obesity</v>
      </c>
      <c r="C41">
        <v>35.5</v>
      </c>
      <c r="D41">
        <v>5.14</v>
      </c>
      <c r="E41" t="str">
        <f t="shared" si="1"/>
        <v>Normal</v>
      </c>
      <c r="F41" t="s">
        <v>2380</v>
      </c>
      <c r="G41" t="s">
        <v>2380</v>
      </c>
      <c r="H41" t="s">
        <v>2382</v>
      </c>
      <c r="I41">
        <v>1</v>
      </c>
      <c r="J41" t="s">
        <v>2381</v>
      </c>
    </row>
    <row r="42" spans="1:10" x14ac:dyDescent="0.35">
      <c r="A42" t="s">
        <v>2332</v>
      </c>
      <c r="B42" t="str">
        <f t="shared" si="0"/>
        <v>Obesity</v>
      </c>
      <c r="C42">
        <v>52.58</v>
      </c>
      <c r="D42">
        <v>4.1900000000000004</v>
      </c>
      <c r="E42" t="str">
        <f t="shared" si="1"/>
        <v>Normal</v>
      </c>
      <c r="F42" t="s">
        <v>2380</v>
      </c>
      <c r="G42" t="s">
        <v>2381</v>
      </c>
      <c r="H42" t="s">
        <v>2380</v>
      </c>
      <c r="I42">
        <v>1</v>
      </c>
      <c r="J42" t="s">
        <v>2381</v>
      </c>
    </row>
    <row r="43" spans="1:10" x14ac:dyDescent="0.35">
      <c r="A43" t="s">
        <v>2331</v>
      </c>
      <c r="B43" t="str">
        <f t="shared" si="0"/>
        <v>Obesity</v>
      </c>
      <c r="C43">
        <v>35.200000000000003</v>
      </c>
      <c r="D43">
        <v>11.68</v>
      </c>
      <c r="E43" t="str">
        <f t="shared" si="1"/>
        <v>Diabetes</v>
      </c>
      <c r="F43" t="s">
        <v>2381</v>
      </c>
      <c r="G43" t="s">
        <v>2380</v>
      </c>
      <c r="H43" t="s">
        <v>2380</v>
      </c>
      <c r="I43">
        <f ca="1">IF(I2="No major surgery",0,VALUE(I2))</f>
        <v>0</v>
      </c>
      <c r="J43" t="s">
        <v>2381</v>
      </c>
    </row>
    <row r="44" spans="1:10" x14ac:dyDescent="0.35">
      <c r="A44" t="s">
        <v>2330</v>
      </c>
      <c r="B44" t="str">
        <f t="shared" si="0"/>
        <v>Obesity</v>
      </c>
      <c r="C44">
        <v>38.06</v>
      </c>
      <c r="D44">
        <v>6.98</v>
      </c>
      <c r="E44" t="str">
        <f t="shared" si="1"/>
        <v>Diabetes</v>
      </c>
      <c r="F44" t="s">
        <v>2380</v>
      </c>
      <c r="G44" t="s">
        <v>2380</v>
      </c>
      <c r="H44" t="s">
        <v>2380</v>
      </c>
      <c r="I44">
        <f ca="1">IF(I3="No major surgery",0,VALUE(I3))</f>
        <v>0</v>
      </c>
      <c r="J44" t="s">
        <v>2381</v>
      </c>
    </row>
    <row r="45" spans="1:10" x14ac:dyDescent="0.35">
      <c r="A45" t="s">
        <v>2329</v>
      </c>
      <c r="B45" t="str">
        <f t="shared" si="0"/>
        <v>Obesity</v>
      </c>
      <c r="C45">
        <v>34.21</v>
      </c>
      <c r="D45">
        <v>8.34</v>
      </c>
      <c r="E45" t="str">
        <f t="shared" si="1"/>
        <v>Diabetes</v>
      </c>
      <c r="F45" t="s">
        <v>2380</v>
      </c>
      <c r="G45" t="s">
        <v>2380</v>
      </c>
      <c r="H45" t="s">
        <v>2380</v>
      </c>
      <c r="I45">
        <v>0</v>
      </c>
      <c r="J45" t="s">
        <v>2381</v>
      </c>
    </row>
    <row r="46" spans="1:10" x14ac:dyDescent="0.35">
      <c r="A46" t="s">
        <v>2328</v>
      </c>
      <c r="B46" t="str">
        <f t="shared" si="0"/>
        <v>Obesity</v>
      </c>
      <c r="C46">
        <v>38.94</v>
      </c>
      <c r="D46">
        <v>8.49</v>
      </c>
      <c r="E46" t="str">
        <f t="shared" si="1"/>
        <v>Diabetes</v>
      </c>
      <c r="F46" t="s">
        <v>2381</v>
      </c>
      <c r="G46" t="s">
        <v>2380</v>
      </c>
      <c r="H46" t="s">
        <v>2380</v>
      </c>
      <c r="I46">
        <v>1</v>
      </c>
      <c r="J46" t="s">
        <v>2381</v>
      </c>
    </row>
    <row r="47" spans="1:10" x14ac:dyDescent="0.35">
      <c r="A47" t="s">
        <v>2327</v>
      </c>
      <c r="B47" t="str">
        <f t="shared" si="0"/>
        <v>Obesity</v>
      </c>
      <c r="C47">
        <v>30.21</v>
      </c>
      <c r="D47">
        <v>5.34</v>
      </c>
      <c r="E47" t="str">
        <f t="shared" si="1"/>
        <v>Normal</v>
      </c>
      <c r="F47" t="s">
        <v>2381</v>
      </c>
      <c r="G47" t="s">
        <v>2380</v>
      </c>
      <c r="H47" t="s">
        <v>2380</v>
      </c>
      <c r="I47">
        <v>1</v>
      </c>
      <c r="J47" t="s">
        <v>2381</v>
      </c>
    </row>
    <row r="48" spans="1:10" x14ac:dyDescent="0.35">
      <c r="A48" t="s">
        <v>2326</v>
      </c>
      <c r="B48" t="str">
        <f t="shared" si="0"/>
        <v>Obesity</v>
      </c>
      <c r="C48">
        <v>33.630000000000003</v>
      </c>
      <c r="D48">
        <v>4.43</v>
      </c>
      <c r="E48" t="str">
        <f t="shared" si="1"/>
        <v>Normal</v>
      </c>
      <c r="F48" t="s">
        <v>2381</v>
      </c>
      <c r="G48" t="s">
        <v>2380</v>
      </c>
      <c r="H48" t="s">
        <v>2380</v>
      </c>
      <c r="I48">
        <v>2</v>
      </c>
      <c r="J48" t="s">
        <v>2381</v>
      </c>
    </row>
    <row r="49" spans="1:10" x14ac:dyDescent="0.35">
      <c r="A49" t="s">
        <v>2325</v>
      </c>
      <c r="B49" t="str">
        <f t="shared" si="0"/>
        <v>Obesity</v>
      </c>
      <c r="C49">
        <v>40.369999999999997</v>
      </c>
      <c r="D49">
        <v>4.47</v>
      </c>
      <c r="E49" t="str">
        <f t="shared" si="1"/>
        <v>Normal</v>
      </c>
      <c r="F49" t="s">
        <v>2380</v>
      </c>
      <c r="G49" t="s">
        <v>2380</v>
      </c>
      <c r="H49" t="s">
        <v>2380</v>
      </c>
      <c r="I49">
        <v>0</v>
      </c>
      <c r="J49" t="s">
        <v>2381</v>
      </c>
    </row>
    <row r="50" spans="1:10" x14ac:dyDescent="0.35">
      <c r="A50" t="s">
        <v>2324</v>
      </c>
      <c r="B50" t="str">
        <f t="shared" si="0"/>
        <v>Obesity</v>
      </c>
      <c r="C50">
        <v>53.09</v>
      </c>
      <c r="D50">
        <v>4.82</v>
      </c>
      <c r="E50" t="str">
        <f t="shared" si="1"/>
        <v>Normal</v>
      </c>
      <c r="F50" t="s">
        <v>2381</v>
      </c>
      <c r="G50" t="s">
        <v>2380</v>
      </c>
      <c r="H50" t="s">
        <v>2380</v>
      </c>
      <c r="I50">
        <v>2</v>
      </c>
      <c r="J50" t="s">
        <v>2381</v>
      </c>
    </row>
    <row r="51" spans="1:10" x14ac:dyDescent="0.35">
      <c r="A51" t="s">
        <v>2323</v>
      </c>
      <c r="B51" t="str">
        <f t="shared" si="0"/>
        <v>Obesity</v>
      </c>
      <c r="C51">
        <v>31.79</v>
      </c>
      <c r="D51">
        <v>5.51</v>
      </c>
      <c r="E51" t="str">
        <f t="shared" si="1"/>
        <v>Normal</v>
      </c>
      <c r="F51" t="s">
        <v>2381</v>
      </c>
      <c r="G51" t="s">
        <v>2380</v>
      </c>
      <c r="H51" t="s">
        <v>2380</v>
      </c>
      <c r="I51">
        <v>2</v>
      </c>
      <c r="J51" t="s">
        <v>2381</v>
      </c>
    </row>
    <row r="52" spans="1:10" x14ac:dyDescent="0.35">
      <c r="A52" t="s">
        <v>2322</v>
      </c>
      <c r="B52" t="str">
        <f t="shared" si="0"/>
        <v>Obesity</v>
      </c>
      <c r="C52">
        <v>41.895000000000003</v>
      </c>
      <c r="D52">
        <v>10.87</v>
      </c>
      <c r="E52" t="str">
        <f t="shared" si="1"/>
        <v>Diabetes</v>
      </c>
      <c r="F52" t="s">
        <v>2381</v>
      </c>
      <c r="G52" t="s">
        <v>2380</v>
      </c>
      <c r="H52" t="s">
        <v>2380</v>
      </c>
      <c r="I52">
        <v>1</v>
      </c>
      <c r="J52" t="s">
        <v>2381</v>
      </c>
    </row>
    <row r="53" spans="1:10" x14ac:dyDescent="0.35">
      <c r="A53" t="s">
        <v>2321</v>
      </c>
      <c r="B53" t="str">
        <f t="shared" si="0"/>
        <v>Obesity</v>
      </c>
      <c r="C53">
        <v>31.16</v>
      </c>
      <c r="D53">
        <v>9.34</v>
      </c>
      <c r="E53" t="str">
        <f t="shared" si="1"/>
        <v>Diabetes</v>
      </c>
      <c r="F53" t="s">
        <v>2380</v>
      </c>
      <c r="G53" t="s">
        <v>2380</v>
      </c>
      <c r="H53" t="s">
        <v>2380</v>
      </c>
      <c r="I53">
        <v>0</v>
      </c>
      <c r="J53" t="s">
        <v>2381</v>
      </c>
    </row>
    <row r="54" spans="1:10" x14ac:dyDescent="0.35">
      <c r="A54" t="s">
        <v>2320</v>
      </c>
      <c r="B54" t="str">
        <f t="shared" si="0"/>
        <v>Obesity</v>
      </c>
      <c r="C54">
        <v>34.104999999999997</v>
      </c>
      <c r="D54">
        <v>5.03</v>
      </c>
      <c r="E54" t="str">
        <f t="shared" si="1"/>
        <v>Normal</v>
      </c>
      <c r="F54" t="s">
        <v>2381</v>
      </c>
      <c r="G54" t="s">
        <v>2380</v>
      </c>
      <c r="H54" t="s">
        <v>2382</v>
      </c>
      <c r="I54">
        <v>1</v>
      </c>
      <c r="J54" t="s">
        <v>2381</v>
      </c>
    </row>
    <row r="55" spans="1:10" x14ac:dyDescent="0.35">
      <c r="A55" t="s">
        <v>2319</v>
      </c>
      <c r="B55" t="str">
        <f t="shared" si="0"/>
        <v>Obesity</v>
      </c>
      <c r="C55">
        <v>51.93</v>
      </c>
      <c r="D55">
        <v>11.05</v>
      </c>
      <c r="E55" t="str">
        <f t="shared" si="1"/>
        <v>Diabetes</v>
      </c>
      <c r="F55" t="s">
        <v>2380</v>
      </c>
      <c r="G55" t="s">
        <v>2380</v>
      </c>
      <c r="H55" t="s">
        <v>2380</v>
      </c>
      <c r="I55">
        <v>0</v>
      </c>
      <c r="J55" t="s">
        <v>2381</v>
      </c>
    </row>
    <row r="56" spans="1:10" x14ac:dyDescent="0.35">
      <c r="A56" t="s">
        <v>2318</v>
      </c>
      <c r="B56" t="str">
        <f t="shared" si="0"/>
        <v>Obesity</v>
      </c>
      <c r="C56">
        <v>38.950000000000003</v>
      </c>
      <c r="D56">
        <v>11.95</v>
      </c>
      <c r="E56" t="str">
        <f t="shared" si="1"/>
        <v>Diabetes</v>
      </c>
      <c r="F56" t="s">
        <v>2380</v>
      </c>
      <c r="G56" t="s">
        <v>2380</v>
      </c>
      <c r="H56" t="s">
        <v>2380</v>
      </c>
      <c r="I56">
        <v>0</v>
      </c>
      <c r="J56" t="s">
        <v>2381</v>
      </c>
    </row>
    <row r="57" spans="1:10" x14ac:dyDescent="0.35">
      <c r="A57" t="s">
        <v>2317</v>
      </c>
      <c r="B57" t="str">
        <f t="shared" si="0"/>
        <v>Obesity</v>
      </c>
      <c r="C57">
        <v>36.630000000000003</v>
      </c>
      <c r="D57">
        <v>7.72</v>
      </c>
      <c r="E57" t="str">
        <f t="shared" si="1"/>
        <v>Diabetes</v>
      </c>
      <c r="F57" t="s">
        <v>2381</v>
      </c>
      <c r="G57" t="s">
        <v>2380</v>
      </c>
      <c r="H57" t="s">
        <v>2380</v>
      </c>
      <c r="I57">
        <v>1</v>
      </c>
      <c r="J57" t="s">
        <v>2381</v>
      </c>
    </row>
    <row r="58" spans="1:10" x14ac:dyDescent="0.35">
      <c r="A58" t="s">
        <v>2316</v>
      </c>
      <c r="B58" t="str">
        <f t="shared" si="0"/>
        <v>Obesity</v>
      </c>
      <c r="C58">
        <v>34.200000000000003</v>
      </c>
      <c r="D58">
        <v>5.75</v>
      </c>
      <c r="E58" t="str">
        <f t="shared" si="1"/>
        <v>Prediabetes</v>
      </c>
      <c r="F58" t="s">
        <v>2380</v>
      </c>
      <c r="G58" t="s">
        <v>2380</v>
      </c>
      <c r="H58" t="s">
        <v>2380</v>
      </c>
      <c r="I58">
        <v>2</v>
      </c>
      <c r="J58" t="s">
        <v>2381</v>
      </c>
    </row>
    <row r="59" spans="1:10" x14ac:dyDescent="0.35">
      <c r="A59" t="s">
        <v>2315</v>
      </c>
      <c r="B59" t="str">
        <f t="shared" si="0"/>
        <v>Obesity</v>
      </c>
      <c r="C59">
        <v>50.63</v>
      </c>
      <c r="D59">
        <v>11.89</v>
      </c>
      <c r="E59" t="str">
        <f t="shared" si="1"/>
        <v>Diabetes</v>
      </c>
      <c r="F59" t="s">
        <v>2380</v>
      </c>
      <c r="G59" t="s">
        <v>2380</v>
      </c>
      <c r="H59" t="s">
        <v>2380</v>
      </c>
      <c r="I59">
        <v>0</v>
      </c>
      <c r="J59" t="s">
        <v>2381</v>
      </c>
    </row>
    <row r="60" spans="1:10" x14ac:dyDescent="0.35">
      <c r="A60" t="s">
        <v>2314</v>
      </c>
      <c r="B60" t="str">
        <f t="shared" si="0"/>
        <v>Obesity</v>
      </c>
      <c r="C60">
        <v>36.479999999999997</v>
      </c>
      <c r="D60">
        <v>6.2</v>
      </c>
      <c r="E60" t="str">
        <f t="shared" si="1"/>
        <v>Prediabetes</v>
      </c>
      <c r="F60" t="s">
        <v>2380</v>
      </c>
      <c r="G60" t="s">
        <v>2380</v>
      </c>
      <c r="H60" t="s">
        <v>2380</v>
      </c>
      <c r="I60">
        <v>0</v>
      </c>
      <c r="J60" t="s">
        <v>2381</v>
      </c>
    </row>
    <row r="61" spans="1:10" x14ac:dyDescent="0.35">
      <c r="A61" t="s">
        <v>2313</v>
      </c>
      <c r="B61" t="str">
        <f t="shared" si="0"/>
        <v>Obesity</v>
      </c>
      <c r="C61">
        <v>54.82</v>
      </c>
      <c r="D61">
        <v>10.61</v>
      </c>
      <c r="E61" t="str">
        <f t="shared" si="1"/>
        <v>Diabetes</v>
      </c>
      <c r="F61" t="s">
        <v>2380</v>
      </c>
      <c r="G61" t="s">
        <v>2380</v>
      </c>
      <c r="H61" t="s">
        <v>2380</v>
      </c>
      <c r="I61">
        <v>0</v>
      </c>
      <c r="J61" t="s">
        <v>2381</v>
      </c>
    </row>
    <row r="62" spans="1:10" x14ac:dyDescent="0.35">
      <c r="A62" t="s">
        <v>2312</v>
      </c>
      <c r="B62" t="str">
        <f t="shared" si="0"/>
        <v>Obesity</v>
      </c>
      <c r="C62">
        <v>38.06</v>
      </c>
      <c r="D62">
        <v>6.04</v>
      </c>
      <c r="E62" t="str">
        <f t="shared" si="1"/>
        <v>Prediabetes</v>
      </c>
      <c r="F62" t="s">
        <v>2380</v>
      </c>
      <c r="G62" t="s">
        <v>2380</v>
      </c>
      <c r="H62" t="s">
        <v>2382</v>
      </c>
      <c r="I62">
        <v>1</v>
      </c>
      <c r="J62" t="s">
        <v>2381</v>
      </c>
    </row>
    <row r="63" spans="1:10" x14ac:dyDescent="0.35">
      <c r="A63" t="s">
        <v>2311</v>
      </c>
      <c r="B63" t="str">
        <f t="shared" si="0"/>
        <v>Obesity</v>
      </c>
      <c r="C63">
        <v>51.48</v>
      </c>
      <c r="D63">
        <v>9.33</v>
      </c>
      <c r="E63" t="str">
        <f t="shared" si="1"/>
        <v>Diabetes</v>
      </c>
      <c r="F63" t="s">
        <v>2381</v>
      </c>
      <c r="G63" t="s">
        <v>2380</v>
      </c>
      <c r="H63" t="s">
        <v>2380</v>
      </c>
      <c r="I63">
        <v>0</v>
      </c>
      <c r="J63" t="s">
        <v>2381</v>
      </c>
    </row>
    <row r="64" spans="1:10" x14ac:dyDescent="0.35">
      <c r="A64" t="s">
        <v>2310</v>
      </c>
      <c r="B64" t="str">
        <f t="shared" si="0"/>
        <v>Obesity</v>
      </c>
      <c r="C64">
        <v>52.06</v>
      </c>
      <c r="D64">
        <v>11.47</v>
      </c>
      <c r="E64" t="str">
        <f t="shared" si="1"/>
        <v>Diabetes</v>
      </c>
      <c r="F64" t="s">
        <v>2380</v>
      </c>
      <c r="G64" t="s">
        <v>2380</v>
      </c>
      <c r="H64" t="s">
        <v>2380</v>
      </c>
      <c r="I64">
        <v>0</v>
      </c>
      <c r="J64" t="s">
        <v>2381</v>
      </c>
    </row>
    <row r="65" spans="1:10" x14ac:dyDescent="0.35">
      <c r="A65" t="s">
        <v>2309</v>
      </c>
      <c r="B65" t="str">
        <f t="shared" si="0"/>
        <v>Obesity</v>
      </c>
      <c r="C65">
        <v>30.684999999999999</v>
      </c>
      <c r="D65">
        <v>7.02</v>
      </c>
      <c r="E65" t="str">
        <f t="shared" si="1"/>
        <v>Diabetes</v>
      </c>
      <c r="F65" t="s">
        <v>2381</v>
      </c>
      <c r="G65" t="s">
        <v>2380</v>
      </c>
      <c r="H65" t="s">
        <v>2380</v>
      </c>
      <c r="I65">
        <v>0</v>
      </c>
      <c r="J65" t="s">
        <v>2381</v>
      </c>
    </row>
    <row r="66" spans="1:10" x14ac:dyDescent="0.35">
      <c r="A66" t="s">
        <v>2308</v>
      </c>
      <c r="B66" t="str">
        <f t="shared" si="0"/>
        <v>Obesity</v>
      </c>
      <c r="C66">
        <v>36.08</v>
      </c>
      <c r="D66">
        <v>8.8000000000000007</v>
      </c>
      <c r="E66" t="str">
        <f t="shared" si="1"/>
        <v>Diabetes</v>
      </c>
      <c r="F66" t="s">
        <v>2381</v>
      </c>
      <c r="G66" t="s">
        <v>2380</v>
      </c>
      <c r="H66" t="s">
        <v>2380</v>
      </c>
      <c r="I66">
        <v>1</v>
      </c>
      <c r="J66" t="s">
        <v>2381</v>
      </c>
    </row>
    <row r="67" spans="1:10" x14ac:dyDescent="0.35">
      <c r="A67" t="s">
        <v>2307</v>
      </c>
      <c r="B67" t="str">
        <f t="shared" ref="B67:B130" si="4">IF(C67&lt;18.5,"Underweight",IF(C67&lt;25,"Normal Weight",IF(C67&lt;30,"Overweight","Obesity")))</f>
        <v>Obesity</v>
      </c>
      <c r="C67">
        <v>54.99</v>
      </c>
      <c r="D67">
        <v>8.68</v>
      </c>
      <c r="E67" t="str">
        <f t="shared" ref="E67:E130" si="5">IF(D67&lt;5.7,"Normal",IF(D67&lt;6.5,"Prediabetes","Diabetes"))</f>
        <v>Diabetes</v>
      </c>
      <c r="F67" t="s">
        <v>2380</v>
      </c>
      <c r="G67" t="s">
        <v>2380</v>
      </c>
      <c r="H67" t="s">
        <v>2380</v>
      </c>
      <c r="I67">
        <v>2</v>
      </c>
      <c r="J67" t="s">
        <v>2381</v>
      </c>
    </row>
    <row r="68" spans="1:10" x14ac:dyDescent="0.35">
      <c r="A68" t="s">
        <v>2306</v>
      </c>
      <c r="B68" t="str">
        <f t="shared" si="4"/>
        <v>Obesity</v>
      </c>
      <c r="C68">
        <v>35.97</v>
      </c>
      <c r="D68">
        <v>6.12</v>
      </c>
      <c r="E68" t="str">
        <f t="shared" si="5"/>
        <v>Prediabetes</v>
      </c>
      <c r="F68" t="s">
        <v>2380</v>
      </c>
      <c r="G68" t="s">
        <v>2380</v>
      </c>
      <c r="H68" t="s">
        <v>2382</v>
      </c>
      <c r="I68">
        <v>1</v>
      </c>
      <c r="J68" t="s">
        <v>2381</v>
      </c>
    </row>
    <row r="69" spans="1:10" x14ac:dyDescent="0.35">
      <c r="A69" t="s">
        <v>2305</v>
      </c>
      <c r="B69" t="str">
        <f t="shared" si="4"/>
        <v>Obesity</v>
      </c>
      <c r="C69">
        <v>45.54</v>
      </c>
      <c r="D69">
        <v>5.4</v>
      </c>
      <c r="E69" t="str">
        <f t="shared" si="5"/>
        <v>Normal</v>
      </c>
      <c r="F69" t="s">
        <v>2381</v>
      </c>
      <c r="G69" t="s">
        <v>2380</v>
      </c>
      <c r="H69" t="s">
        <v>2382</v>
      </c>
      <c r="I69">
        <v>1</v>
      </c>
      <c r="J69" t="s">
        <v>2381</v>
      </c>
    </row>
    <row r="70" spans="1:10" x14ac:dyDescent="0.35">
      <c r="A70" t="s">
        <v>2304</v>
      </c>
      <c r="B70" t="str">
        <f t="shared" si="4"/>
        <v>Obesity</v>
      </c>
      <c r="C70">
        <v>35.53</v>
      </c>
      <c r="D70">
        <v>4.3600000000000003</v>
      </c>
      <c r="E70" t="str">
        <f t="shared" si="5"/>
        <v>Normal</v>
      </c>
      <c r="F70" t="s">
        <v>2381</v>
      </c>
      <c r="G70" t="s">
        <v>2380</v>
      </c>
      <c r="H70" t="s">
        <v>2380</v>
      </c>
      <c r="I70">
        <v>0</v>
      </c>
      <c r="J70" t="s">
        <v>2381</v>
      </c>
    </row>
    <row r="71" spans="1:10" x14ac:dyDescent="0.35">
      <c r="A71" t="s">
        <v>2303</v>
      </c>
      <c r="B71" t="str">
        <f t="shared" si="4"/>
        <v>Obesity</v>
      </c>
      <c r="C71">
        <v>30.8</v>
      </c>
      <c r="D71">
        <v>9.77</v>
      </c>
      <c r="E71" t="str">
        <f t="shared" si="5"/>
        <v>Diabetes</v>
      </c>
      <c r="F71" t="s">
        <v>2380</v>
      </c>
      <c r="G71" t="s">
        <v>2380</v>
      </c>
      <c r="H71" t="s">
        <v>2380</v>
      </c>
      <c r="I71">
        <v>0</v>
      </c>
      <c r="J71" t="s">
        <v>2381</v>
      </c>
    </row>
    <row r="72" spans="1:10" x14ac:dyDescent="0.35">
      <c r="A72" t="s">
        <v>2302</v>
      </c>
      <c r="B72" t="str">
        <f t="shared" si="4"/>
        <v>Obesity</v>
      </c>
      <c r="C72">
        <v>38.39</v>
      </c>
      <c r="D72">
        <v>4.25</v>
      </c>
      <c r="E72" t="str">
        <f t="shared" si="5"/>
        <v>Normal</v>
      </c>
      <c r="F72" t="s">
        <v>2380</v>
      </c>
      <c r="G72" t="s">
        <v>2380</v>
      </c>
      <c r="H72" t="s">
        <v>2380</v>
      </c>
      <c r="I72">
        <v>1</v>
      </c>
      <c r="J72" t="s">
        <v>2381</v>
      </c>
    </row>
    <row r="73" spans="1:10" x14ac:dyDescent="0.35">
      <c r="A73" t="s">
        <v>2301</v>
      </c>
      <c r="B73" t="str">
        <f t="shared" si="4"/>
        <v>Obesity</v>
      </c>
      <c r="C73">
        <v>32.299999999999997</v>
      </c>
      <c r="D73">
        <v>4.76</v>
      </c>
      <c r="E73" t="str">
        <f t="shared" si="5"/>
        <v>Normal</v>
      </c>
      <c r="F73" t="s">
        <v>2380</v>
      </c>
      <c r="G73" t="s">
        <v>2380</v>
      </c>
      <c r="H73" t="s">
        <v>2380</v>
      </c>
      <c r="I73">
        <v>2</v>
      </c>
      <c r="J73" t="s">
        <v>2381</v>
      </c>
    </row>
    <row r="74" spans="1:10" x14ac:dyDescent="0.35">
      <c r="A74" t="s">
        <v>2300</v>
      </c>
      <c r="B74" t="str">
        <f t="shared" si="4"/>
        <v>Obesity</v>
      </c>
      <c r="C74">
        <v>48.8</v>
      </c>
      <c r="D74">
        <v>6.22</v>
      </c>
      <c r="E74" t="str">
        <f t="shared" si="5"/>
        <v>Prediabetes</v>
      </c>
      <c r="F74" t="s">
        <v>2381</v>
      </c>
      <c r="G74" t="s">
        <v>2380</v>
      </c>
      <c r="H74" t="s">
        <v>2380</v>
      </c>
      <c r="I74">
        <v>2</v>
      </c>
      <c r="J74" t="s">
        <v>2381</v>
      </c>
    </row>
    <row r="75" spans="1:10" x14ac:dyDescent="0.35">
      <c r="A75" t="s">
        <v>2299</v>
      </c>
      <c r="B75" t="str">
        <f t="shared" si="4"/>
        <v>Obesity</v>
      </c>
      <c r="C75">
        <v>45.5</v>
      </c>
      <c r="D75">
        <v>7.96</v>
      </c>
      <c r="E75" t="str">
        <f t="shared" si="5"/>
        <v>Diabetes</v>
      </c>
      <c r="F75" t="s">
        <v>2380</v>
      </c>
      <c r="G75" t="s">
        <v>2380</v>
      </c>
      <c r="H75" t="s">
        <v>2380</v>
      </c>
      <c r="I75">
        <v>0</v>
      </c>
      <c r="J75" t="s">
        <v>2381</v>
      </c>
    </row>
    <row r="76" spans="1:10" x14ac:dyDescent="0.35">
      <c r="A76" t="s">
        <v>2298</v>
      </c>
      <c r="B76" t="str">
        <f t="shared" si="4"/>
        <v>Obesity</v>
      </c>
      <c r="C76">
        <v>53.61</v>
      </c>
      <c r="D76">
        <v>10.92</v>
      </c>
      <c r="E76" t="str">
        <f t="shared" si="5"/>
        <v>Diabetes</v>
      </c>
      <c r="F76" t="s">
        <v>2381</v>
      </c>
      <c r="G76" t="s">
        <v>2380</v>
      </c>
      <c r="H76" t="s">
        <v>2380</v>
      </c>
      <c r="I76">
        <v>1</v>
      </c>
      <c r="J76" t="s">
        <v>2381</v>
      </c>
    </row>
    <row r="77" spans="1:10" x14ac:dyDescent="0.35">
      <c r="A77" t="s">
        <v>2297</v>
      </c>
      <c r="B77" t="str">
        <f t="shared" si="4"/>
        <v>Obesity</v>
      </c>
      <c r="C77">
        <v>36.19</v>
      </c>
      <c r="D77">
        <v>11.51</v>
      </c>
      <c r="E77" t="str">
        <f t="shared" si="5"/>
        <v>Diabetes</v>
      </c>
      <c r="F77" t="s">
        <v>2381</v>
      </c>
      <c r="G77" t="s">
        <v>2380</v>
      </c>
      <c r="H77" t="s">
        <v>2380</v>
      </c>
      <c r="I77">
        <v>1</v>
      </c>
      <c r="J77" t="s">
        <v>2381</v>
      </c>
    </row>
    <row r="78" spans="1:10" x14ac:dyDescent="0.35">
      <c r="A78" t="s">
        <v>2296</v>
      </c>
      <c r="B78" t="str">
        <f t="shared" si="4"/>
        <v>Obesity</v>
      </c>
      <c r="C78">
        <v>34.6</v>
      </c>
      <c r="D78">
        <v>5.99</v>
      </c>
      <c r="E78" t="str">
        <f t="shared" si="5"/>
        <v>Prediabetes</v>
      </c>
      <c r="F78" t="s">
        <v>2381</v>
      </c>
      <c r="G78" t="s">
        <v>2380</v>
      </c>
      <c r="H78" t="s">
        <v>2380</v>
      </c>
      <c r="I78">
        <v>0</v>
      </c>
      <c r="J78" t="s">
        <v>2381</v>
      </c>
    </row>
    <row r="79" spans="1:10" x14ac:dyDescent="0.35">
      <c r="A79" t="s">
        <v>2295</v>
      </c>
      <c r="B79" t="str">
        <f t="shared" si="4"/>
        <v>Obesity</v>
      </c>
      <c r="C79">
        <v>54.12</v>
      </c>
      <c r="D79">
        <v>11.57</v>
      </c>
      <c r="E79" t="str">
        <f t="shared" si="5"/>
        <v>Diabetes</v>
      </c>
      <c r="F79" t="s">
        <v>2380</v>
      </c>
      <c r="G79" t="s">
        <v>2380</v>
      </c>
      <c r="H79" t="s">
        <v>2380</v>
      </c>
      <c r="I79">
        <v>0</v>
      </c>
      <c r="J79" t="s">
        <v>2381</v>
      </c>
    </row>
    <row r="80" spans="1:10" x14ac:dyDescent="0.35">
      <c r="A80" t="s">
        <v>2294</v>
      </c>
      <c r="B80" t="str">
        <f t="shared" si="4"/>
        <v>Obesity</v>
      </c>
      <c r="C80">
        <v>48.82</v>
      </c>
      <c r="D80">
        <v>6.67</v>
      </c>
      <c r="E80" t="str">
        <f t="shared" si="5"/>
        <v>Diabetes</v>
      </c>
      <c r="F80" t="s">
        <v>2381</v>
      </c>
      <c r="G80" t="s">
        <v>2380</v>
      </c>
      <c r="H80" t="s">
        <v>2380</v>
      </c>
      <c r="I80">
        <v>0</v>
      </c>
      <c r="J80" t="s">
        <v>2381</v>
      </c>
    </row>
    <row r="81" spans="1:10" x14ac:dyDescent="0.35">
      <c r="A81" t="s">
        <v>2293</v>
      </c>
      <c r="B81" t="str">
        <f t="shared" si="4"/>
        <v>Obesity</v>
      </c>
      <c r="C81">
        <v>51.01</v>
      </c>
      <c r="D81">
        <v>9.1999999999999993</v>
      </c>
      <c r="E81" t="str">
        <f t="shared" si="5"/>
        <v>Diabetes</v>
      </c>
      <c r="F81" t="s">
        <v>2380</v>
      </c>
      <c r="G81" t="s">
        <v>2380</v>
      </c>
      <c r="H81" t="s">
        <v>2380</v>
      </c>
      <c r="I81">
        <v>0</v>
      </c>
      <c r="J81" t="s">
        <v>2381</v>
      </c>
    </row>
    <row r="82" spans="1:10" x14ac:dyDescent="0.35">
      <c r="A82" t="s">
        <v>2292</v>
      </c>
      <c r="B82" t="str">
        <f t="shared" si="4"/>
        <v>Obesity</v>
      </c>
      <c r="C82">
        <v>45.65</v>
      </c>
      <c r="D82">
        <v>5.1100000000000003</v>
      </c>
      <c r="E82" t="str">
        <f t="shared" si="5"/>
        <v>Normal</v>
      </c>
      <c r="F82" t="s">
        <v>2381</v>
      </c>
      <c r="G82" t="s">
        <v>2380</v>
      </c>
      <c r="H82" t="s">
        <v>2380</v>
      </c>
      <c r="I82">
        <v>1</v>
      </c>
      <c r="J82" t="s">
        <v>2381</v>
      </c>
    </row>
    <row r="83" spans="1:10" x14ac:dyDescent="0.35">
      <c r="A83" t="s">
        <v>2291</v>
      </c>
      <c r="B83" t="str">
        <f t="shared" si="4"/>
        <v>Obesity</v>
      </c>
      <c r="C83">
        <v>52.9</v>
      </c>
      <c r="D83">
        <v>5.34</v>
      </c>
      <c r="E83" t="str">
        <f t="shared" si="5"/>
        <v>Normal</v>
      </c>
      <c r="F83" t="s">
        <v>2380</v>
      </c>
      <c r="G83" t="s">
        <v>2380</v>
      </c>
      <c r="H83" t="s">
        <v>2380</v>
      </c>
      <c r="I83">
        <v>0</v>
      </c>
      <c r="J83" t="s">
        <v>2381</v>
      </c>
    </row>
    <row r="84" spans="1:10" x14ac:dyDescent="0.35">
      <c r="A84" t="s">
        <v>2290</v>
      </c>
      <c r="B84" t="str">
        <f t="shared" si="4"/>
        <v>Obesity</v>
      </c>
      <c r="C84">
        <v>45.41</v>
      </c>
      <c r="D84">
        <v>4.03</v>
      </c>
      <c r="E84" t="str">
        <f t="shared" si="5"/>
        <v>Normal</v>
      </c>
      <c r="F84" t="s">
        <v>2381</v>
      </c>
      <c r="G84" t="s">
        <v>2380</v>
      </c>
      <c r="H84" t="s">
        <v>2380</v>
      </c>
      <c r="I84">
        <v>1</v>
      </c>
      <c r="J84" t="s">
        <v>2381</v>
      </c>
    </row>
    <row r="85" spans="1:10" x14ac:dyDescent="0.35">
      <c r="A85" t="s">
        <v>2289</v>
      </c>
      <c r="B85" t="str">
        <f t="shared" si="4"/>
        <v>Obesity</v>
      </c>
      <c r="C85">
        <v>49.41</v>
      </c>
      <c r="D85">
        <v>4.2300000000000004</v>
      </c>
      <c r="E85" t="str">
        <f t="shared" si="5"/>
        <v>Normal</v>
      </c>
      <c r="F85" t="s">
        <v>2381</v>
      </c>
      <c r="G85" t="s">
        <v>2380</v>
      </c>
      <c r="H85" t="s">
        <v>2382</v>
      </c>
      <c r="I85">
        <v>1</v>
      </c>
      <c r="J85" t="s">
        <v>2381</v>
      </c>
    </row>
    <row r="86" spans="1:10" x14ac:dyDescent="0.35">
      <c r="A86" t="s">
        <v>2288</v>
      </c>
      <c r="B86" t="str">
        <f t="shared" si="4"/>
        <v>Obesity</v>
      </c>
      <c r="C86">
        <v>31.824999999999999</v>
      </c>
      <c r="D86">
        <v>4.0599999999999996</v>
      </c>
      <c r="E86" t="str">
        <f t="shared" si="5"/>
        <v>Normal</v>
      </c>
      <c r="F86" t="s">
        <v>2380</v>
      </c>
      <c r="G86" t="s">
        <v>2380</v>
      </c>
      <c r="H86" t="s">
        <v>2380</v>
      </c>
      <c r="I86">
        <v>2</v>
      </c>
      <c r="J86" t="s">
        <v>2381</v>
      </c>
    </row>
    <row r="87" spans="1:10" x14ac:dyDescent="0.35">
      <c r="A87" t="s">
        <v>2287</v>
      </c>
      <c r="B87" t="str">
        <f t="shared" si="4"/>
        <v>Obesity</v>
      </c>
      <c r="C87">
        <v>51.28</v>
      </c>
      <c r="D87">
        <v>4.68</v>
      </c>
      <c r="E87" t="str">
        <f t="shared" si="5"/>
        <v>Normal</v>
      </c>
      <c r="F87" t="s">
        <v>2380</v>
      </c>
      <c r="G87" t="s">
        <v>2380</v>
      </c>
      <c r="H87" t="s">
        <v>2380</v>
      </c>
      <c r="I87">
        <v>2</v>
      </c>
      <c r="J87" t="s">
        <v>2381</v>
      </c>
    </row>
    <row r="88" spans="1:10" x14ac:dyDescent="0.35">
      <c r="A88" t="s">
        <v>2286</v>
      </c>
      <c r="B88" t="str">
        <f t="shared" si="4"/>
        <v>Obesity</v>
      </c>
      <c r="C88">
        <v>34.96</v>
      </c>
      <c r="D88">
        <v>4.34</v>
      </c>
      <c r="E88" t="str">
        <f t="shared" si="5"/>
        <v>Normal</v>
      </c>
      <c r="F88" t="s">
        <v>2380</v>
      </c>
      <c r="G88" t="s">
        <v>2380</v>
      </c>
      <c r="H88" t="s">
        <v>2382</v>
      </c>
      <c r="I88">
        <v>1</v>
      </c>
      <c r="J88" t="s">
        <v>2381</v>
      </c>
    </row>
    <row r="89" spans="1:10" x14ac:dyDescent="0.35">
      <c r="A89" t="s">
        <v>2285</v>
      </c>
      <c r="B89" t="str">
        <f t="shared" si="4"/>
        <v>Obesity</v>
      </c>
      <c r="C89">
        <v>33.11</v>
      </c>
      <c r="D89">
        <v>10.51</v>
      </c>
      <c r="E89" t="str">
        <f t="shared" si="5"/>
        <v>Diabetes</v>
      </c>
      <c r="F89" t="s">
        <v>2380</v>
      </c>
      <c r="G89" t="s">
        <v>2380</v>
      </c>
      <c r="H89" t="s">
        <v>2380</v>
      </c>
      <c r="I89">
        <v>0</v>
      </c>
      <c r="J89" t="s">
        <v>2381</v>
      </c>
    </row>
    <row r="90" spans="1:10" x14ac:dyDescent="0.35">
      <c r="A90" t="s">
        <v>2284</v>
      </c>
      <c r="B90" t="str">
        <f t="shared" si="4"/>
        <v>Obesity</v>
      </c>
      <c r="C90">
        <v>54.74</v>
      </c>
      <c r="D90">
        <v>5.84</v>
      </c>
      <c r="E90" t="str">
        <f t="shared" si="5"/>
        <v>Prediabetes</v>
      </c>
      <c r="F90" t="s">
        <v>2381</v>
      </c>
      <c r="G90" t="s">
        <v>2380</v>
      </c>
      <c r="H90" t="s">
        <v>2382</v>
      </c>
      <c r="I90">
        <v>1</v>
      </c>
      <c r="J90" t="s">
        <v>2381</v>
      </c>
    </row>
    <row r="91" spans="1:10" x14ac:dyDescent="0.35">
      <c r="A91" t="s">
        <v>2283</v>
      </c>
      <c r="B91" t="str">
        <f t="shared" si="4"/>
        <v>Obesity</v>
      </c>
      <c r="C91">
        <v>32.56</v>
      </c>
      <c r="D91">
        <v>5.41</v>
      </c>
      <c r="E91" t="str">
        <f t="shared" si="5"/>
        <v>Normal</v>
      </c>
      <c r="F91" t="s">
        <v>2380</v>
      </c>
      <c r="G91" t="s">
        <v>2380</v>
      </c>
      <c r="H91" t="s">
        <v>2382</v>
      </c>
      <c r="I91">
        <v>1</v>
      </c>
      <c r="J91" t="s">
        <v>2381</v>
      </c>
    </row>
    <row r="92" spans="1:10" x14ac:dyDescent="0.35">
      <c r="A92" t="s">
        <v>2282</v>
      </c>
      <c r="B92" t="str">
        <f t="shared" si="4"/>
        <v>Obesity</v>
      </c>
      <c r="C92">
        <v>39.049999999999997</v>
      </c>
      <c r="D92">
        <v>6.06</v>
      </c>
      <c r="E92" t="str">
        <f t="shared" si="5"/>
        <v>Prediabetes</v>
      </c>
      <c r="F92" t="s">
        <v>2380</v>
      </c>
      <c r="G92" t="s">
        <v>2380</v>
      </c>
      <c r="H92" t="s">
        <v>2380</v>
      </c>
      <c r="I92">
        <v>1</v>
      </c>
      <c r="J92" t="s">
        <v>2381</v>
      </c>
    </row>
    <row r="93" spans="1:10" x14ac:dyDescent="0.35">
      <c r="A93" t="s">
        <v>2281</v>
      </c>
      <c r="B93" t="str">
        <f t="shared" si="4"/>
        <v>Obesity</v>
      </c>
      <c r="C93">
        <v>42.75</v>
      </c>
      <c r="D93">
        <v>4.22</v>
      </c>
      <c r="E93" t="str">
        <f t="shared" si="5"/>
        <v>Normal</v>
      </c>
      <c r="F93" t="s">
        <v>2380</v>
      </c>
      <c r="G93" t="s">
        <v>2380</v>
      </c>
      <c r="H93" t="s">
        <v>2380</v>
      </c>
      <c r="I93">
        <v>0</v>
      </c>
      <c r="J93" t="s">
        <v>2381</v>
      </c>
    </row>
    <row r="94" spans="1:10" x14ac:dyDescent="0.35">
      <c r="A94" t="s">
        <v>2280</v>
      </c>
      <c r="B94" t="str">
        <f t="shared" si="4"/>
        <v>Obesity</v>
      </c>
      <c r="C94">
        <v>50.58</v>
      </c>
      <c r="D94">
        <v>5.12</v>
      </c>
      <c r="E94" t="str">
        <f t="shared" si="5"/>
        <v>Normal</v>
      </c>
      <c r="F94" t="s">
        <v>2380</v>
      </c>
      <c r="G94" t="s">
        <v>2380</v>
      </c>
      <c r="H94" t="s">
        <v>2380</v>
      </c>
      <c r="I94">
        <v>2</v>
      </c>
      <c r="J94" t="s">
        <v>2381</v>
      </c>
    </row>
    <row r="95" spans="1:10" x14ac:dyDescent="0.35">
      <c r="A95" t="s">
        <v>2279</v>
      </c>
      <c r="B95" t="str">
        <f t="shared" si="4"/>
        <v>Obesity</v>
      </c>
      <c r="C95">
        <v>30.495000000000001</v>
      </c>
      <c r="D95">
        <v>4.57</v>
      </c>
      <c r="E95" t="str">
        <f t="shared" si="5"/>
        <v>Normal</v>
      </c>
      <c r="F95" t="s">
        <v>2381</v>
      </c>
      <c r="G95" t="s">
        <v>2380</v>
      </c>
      <c r="H95" t="s">
        <v>2380</v>
      </c>
      <c r="I95">
        <v>0</v>
      </c>
      <c r="J95" t="s">
        <v>2381</v>
      </c>
    </row>
    <row r="96" spans="1:10" x14ac:dyDescent="0.35">
      <c r="A96" t="s">
        <v>2278</v>
      </c>
      <c r="B96" t="str">
        <f t="shared" si="4"/>
        <v>Obesity</v>
      </c>
      <c r="C96">
        <v>48.31</v>
      </c>
      <c r="D96">
        <v>9.58</v>
      </c>
      <c r="E96" t="str">
        <f t="shared" si="5"/>
        <v>Diabetes</v>
      </c>
      <c r="F96" t="s">
        <v>2381</v>
      </c>
      <c r="G96" t="s">
        <v>2380</v>
      </c>
      <c r="H96" t="s">
        <v>2380</v>
      </c>
      <c r="I96">
        <v>2</v>
      </c>
      <c r="J96" t="s">
        <v>2381</v>
      </c>
    </row>
    <row r="97" spans="1:10" x14ac:dyDescent="0.35">
      <c r="A97" t="s">
        <v>2277</v>
      </c>
      <c r="B97" t="str">
        <f t="shared" si="4"/>
        <v>Obesity</v>
      </c>
      <c r="C97">
        <v>48.99</v>
      </c>
      <c r="D97">
        <v>9.7799999999999994</v>
      </c>
      <c r="E97" t="str">
        <f t="shared" si="5"/>
        <v>Diabetes</v>
      </c>
      <c r="F97" t="s">
        <v>2381</v>
      </c>
      <c r="G97" t="s">
        <v>2380</v>
      </c>
      <c r="H97" t="s">
        <v>2380</v>
      </c>
      <c r="I97">
        <v>1</v>
      </c>
      <c r="J97" t="s">
        <v>2381</v>
      </c>
    </row>
    <row r="98" spans="1:10" x14ac:dyDescent="0.35">
      <c r="A98" t="s">
        <v>2276</v>
      </c>
      <c r="B98" t="str">
        <f t="shared" si="4"/>
        <v>Obesity</v>
      </c>
      <c r="C98">
        <v>38.39</v>
      </c>
      <c r="D98">
        <v>4.1100000000000003</v>
      </c>
      <c r="E98" t="str">
        <f t="shared" si="5"/>
        <v>Normal</v>
      </c>
      <c r="F98" t="s">
        <v>2381</v>
      </c>
      <c r="G98" t="s">
        <v>2380</v>
      </c>
      <c r="H98" t="s">
        <v>2380</v>
      </c>
      <c r="I98">
        <v>0</v>
      </c>
      <c r="J98" t="s">
        <v>2381</v>
      </c>
    </row>
    <row r="99" spans="1:10" x14ac:dyDescent="0.35">
      <c r="A99" t="s">
        <v>2275</v>
      </c>
      <c r="B99" t="str">
        <f t="shared" si="4"/>
        <v>Obesity</v>
      </c>
      <c r="C99">
        <v>44.34</v>
      </c>
      <c r="D99">
        <v>4.0199999999999996</v>
      </c>
      <c r="E99" t="str">
        <f t="shared" si="5"/>
        <v>Normal</v>
      </c>
      <c r="F99" t="s">
        <v>2381</v>
      </c>
      <c r="G99" t="s">
        <v>2380</v>
      </c>
      <c r="H99" t="s">
        <v>2380</v>
      </c>
      <c r="I99">
        <v>2</v>
      </c>
      <c r="J99" t="s">
        <v>2381</v>
      </c>
    </row>
    <row r="100" spans="1:10" x14ac:dyDescent="0.35">
      <c r="A100" t="s">
        <v>2274</v>
      </c>
      <c r="B100" t="str">
        <f t="shared" si="4"/>
        <v>Obesity</v>
      </c>
      <c r="C100">
        <v>41.51</v>
      </c>
      <c r="D100">
        <v>6.92</v>
      </c>
      <c r="E100" t="str">
        <f t="shared" si="5"/>
        <v>Diabetes</v>
      </c>
      <c r="F100" t="s">
        <v>2380</v>
      </c>
      <c r="G100" t="s">
        <v>2380</v>
      </c>
      <c r="H100" t="s">
        <v>2380</v>
      </c>
      <c r="I100">
        <v>0</v>
      </c>
      <c r="J100" t="s">
        <v>2381</v>
      </c>
    </row>
    <row r="101" spans="1:10" x14ac:dyDescent="0.35">
      <c r="A101" t="s">
        <v>2273</v>
      </c>
      <c r="B101" t="str">
        <f t="shared" si="4"/>
        <v>Obesity</v>
      </c>
      <c r="C101">
        <v>48.2</v>
      </c>
      <c r="D101">
        <v>4.84</v>
      </c>
      <c r="E101" t="str">
        <f t="shared" si="5"/>
        <v>Normal</v>
      </c>
      <c r="F101" t="s">
        <v>2380</v>
      </c>
      <c r="G101" t="s">
        <v>2380</v>
      </c>
      <c r="H101" t="s">
        <v>2380</v>
      </c>
      <c r="I101">
        <v>0</v>
      </c>
      <c r="J101" t="s">
        <v>2381</v>
      </c>
    </row>
    <row r="102" spans="1:10" x14ac:dyDescent="0.35">
      <c r="A102" t="s">
        <v>2272</v>
      </c>
      <c r="B102" t="str">
        <f t="shared" si="4"/>
        <v>Obesity</v>
      </c>
      <c r="C102">
        <v>35.75</v>
      </c>
      <c r="D102">
        <v>8</v>
      </c>
      <c r="E102" t="str">
        <f t="shared" si="5"/>
        <v>Diabetes</v>
      </c>
      <c r="F102" t="s">
        <v>2381</v>
      </c>
      <c r="G102" t="s">
        <v>2380</v>
      </c>
      <c r="H102" t="s">
        <v>2380</v>
      </c>
      <c r="I102">
        <v>0</v>
      </c>
      <c r="J102" t="s">
        <v>2381</v>
      </c>
    </row>
    <row r="103" spans="1:10" x14ac:dyDescent="0.35">
      <c r="A103" t="s">
        <v>2271</v>
      </c>
      <c r="B103" t="str">
        <f t="shared" si="4"/>
        <v>Obesity</v>
      </c>
      <c r="C103">
        <v>53.81</v>
      </c>
      <c r="D103">
        <v>8.77</v>
      </c>
      <c r="E103" t="str">
        <f t="shared" si="5"/>
        <v>Diabetes</v>
      </c>
      <c r="F103" t="s">
        <v>2381</v>
      </c>
      <c r="G103" t="s">
        <v>2380</v>
      </c>
      <c r="H103" t="s">
        <v>2380</v>
      </c>
      <c r="I103">
        <v>0</v>
      </c>
      <c r="J103" t="s">
        <v>2381</v>
      </c>
    </row>
    <row r="104" spans="1:10" x14ac:dyDescent="0.35">
      <c r="A104" t="s">
        <v>2270</v>
      </c>
      <c r="B104" t="str">
        <f t="shared" si="4"/>
        <v>Obesity</v>
      </c>
      <c r="C104">
        <v>49.48</v>
      </c>
      <c r="D104">
        <v>4.96</v>
      </c>
      <c r="E104" t="str">
        <f t="shared" si="5"/>
        <v>Normal</v>
      </c>
      <c r="F104" t="s">
        <v>2380</v>
      </c>
      <c r="G104" t="s">
        <v>2380</v>
      </c>
      <c r="H104" t="s">
        <v>2382</v>
      </c>
      <c r="I104">
        <v>1</v>
      </c>
      <c r="J104" t="s">
        <v>2381</v>
      </c>
    </row>
    <row r="105" spans="1:10" x14ac:dyDescent="0.35">
      <c r="A105" t="s">
        <v>2269</v>
      </c>
      <c r="B105" t="str">
        <f t="shared" si="4"/>
        <v>Obesity</v>
      </c>
      <c r="C105">
        <v>34.1</v>
      </c>
      <c r="D105">
        <v>4.43</v>
      </c>
      <c r="E105" t="str">
        <f t="shared" si="5"/>
        <v>Normal</v>
      </c>
      <c r="F105" t="s">
        <v>2381</v>
      </c>
      <c r="G105" t="s">
        <v>2380</v>
      </c>
      <c r="H105" t="s">
        <v>2380</v>
      </c>
      <c r="I105">
        <v>0</v>
      </c>
      <c r="J105" t="s">
        <v>2381</v>
      </c>
    </row>
    <row r="106" spans="1:10" x14ac:dyDescent="0.35">
      <c r="A106" t="s">
        <v>2268</v>
      </c>
      <c r="B106" t="str">
        <f t="shared" si="4"/>
        <v>Obesity</v>
      </c>
      <c r="C106">
        <v>35.299999999999997</v>
      </c>
      <c r="D106">
        <v>5.82</v>
      </c>
      <c r="E106" t="str">
        <f t="shared" si="5"/>
        <v>Prediabetes</v>
      </c>
      <c r="F106" t="s">
        <v>2381</v>
      </c>
      <c r="G106" t="s">
        <v>2380</v>
      </c>
      <c r="H106" t="s">
        <v>2382</v>
      </c>
      <c r="I106">
        <v>1</v>
      </c>
      <c r="J106" t="s">
        <v>2381</v>
      </c>
    </row>
    <row r="107" spans="1:10" x14ac:dyDescent="0.35">
      <c r="A107" t="s">
        <v>2267</v>
      </c>
      <c r="B107" t="str">
        <f t="shared" si="4"/>
        <v>Obesity</v>
      </c>
      <c r="C107">
        <v>43.83</v>
      </c>
      <c r="D107">
        <v>6.03</v>
      </c>
      <c r="E107" t="str">
        <f t="shared" si="5"/>
        <v>Prediabetes</v>
      </c>
      <c r="F107" t="s">
        <v>2381</v>
      </c>
      <c r="G107" t="s">
        <v>2380</v>
      </c>
      <c r="H107" t="s">
        <v>2380</v>
      </c>
      <c r="I107">
        <v>2</v>
      </c>
      <c r="J107" t="s">
        <v>2381</v>
      </c>
    </row>
    <row r="108" spans="1:10" x14ac:dyDescent="0.35">
      <c r="A108" t="s">
        <v>2266</v>
      </c>
      <c r="B108" t="str">
        <f t="shared" si="4"/>
        <v>Obesity</v>
      </c>
      <c r="C108">
        <v>50.07</v>
      </c>
      <c r="D108">
        <v>9.27</v>
      </c>
      <c r="E108" t="str">
        <f t="shared" si="5"/>
        <v>Diabetes</v>
      </c>
      <c r="F108" t="s">
        <v>2380</v>
      </c>
      <c r="G108" t="s">
        <v>2380</v>
      </c>
      <c r="H108" t="s">
        <v>2380</v>
      </c>
      <c r="I108">
        <v>0</v>
      </c>
      <c r="J108" t="s">
        <v>2381</v>
      </c>
    </row>
    <row r="109" spans="1:10" x14ac:dyDescent="0.35">
      <c r="A109" t="s">
        <v>2265</v>
      </c>
      <c r="B109" t="str">
        <f t="shared" si="4"/>
        <v>Obesity</v>
      </c>
      <c r="C109">
        <v>32.774999999999999</v>
      </c>
      <c r="D109">
        <v>5.53</v>
      </c>
      <c r="E109" t="str">
        <f t="shared" si="5"/>
        <v>Normal</v>
      </c>
      <c r="F109" t="s">
        <v>2380</v>
      </c>
      <c r="G109" t="s">
        <v>2380</v>
      </c>
      <c r="H109" t="s">
        <v>2380</v>
      </c>
      <c r="I109">
        <v>0</v>
      </c>
      <c r="J109" t="s">
        <v>2381</v>
      </c>
    </row>
    <row r="110" spans="1:10" x14ac:dyDescent="0.35">
      <c r="A110" t="s">
        <v>2264</v>
      </c>
      <c r="B110" t="str">
        <f t="shared" si="4"/>
        <v>Obesity</v>
      </c>
      <c r="C110">
        <v>34.104999999999997</v>
      </c>
      <c r="D110">
        <v>5.07</v>
      </c>
      <c r="E110" t="str">
        <f t="shared" si="5"/>
        <v>Normal</v>
      </c>
      <c r="F110" t="s">
        <v>2380</v>
      </c>
      <c r="G110" t="s">
        <v>2380</v>
      </c>
      <c r="H110" t="s">
        <v>2380</v>
      </c>
      <c r="I110">
        <v>1</v>
      </c>
      <c r="J110" t="s">
        <v>2381</v>
      </c>
    </row>
    <row r="111" spans="1:10" x14ac:dyDescent="0.35">
      <c r="A111" t="s">
        <v>2263</v>
      </c>
      <c r="B111" t="str">
        <f t="shared" si="4"/>
        <v>Obesity</v>
      </c>
      <c r="C111">
        <v>48.93</v>
      </c>
      <c r="D111">
        <v>11.17</v>
      </c>
      <c r="E111" t="str">
        <f t="shared" si="5"/>
        <v>Diabetes</v>
      </c>
      <c r="F111" t="s">
        <v>2381</v>
      </c>
      <c r="G111" t="s">
        <v>2380</v>
      </c>
      <c r="H111" t="s">
        <v>2380</v>
      </c>
      <c r="I111">
        <v>1</v>
      </c>
      <c r="J111" t="s">
        <v>2381</v>
      </c>
    </row>
    <row r="112" spans="1:10" x14ac:dyDescent="0.35">
      <c r="A112" t="s">
        <v>2262</v>
      </c>
      <c r="B112" t="str">
        <f t="shared" si="4"/>
        <v>Obesity</v>
      </c>
      <c r="C112">
        <v>37.07</v>
      </c>
      <c r="D112">
        <v>6.14</v>
      </c>
      <c r="E112" t="str">
        <f t="shared" si="5"/>
        <v>Prediabetes</v>
      </c>
      <c r="F112" t="s">
        <v>2381</v>
      </c>
      <c r="G112" t="s">
        <v>2380</v>
      </c>
      <c r="H112" t="s">
        <v>2380</v>
      </c>
      <c r="I112">
        <v>0</v>
      </c>
      <c r="J112" t="s">
        <v>2381</v>
      </c>
    </row>
    <row r="113" spans="1:10" x14ac:dyDescent="0.35">
      <c r="A113" t="s">
        <v>2261</v>
      </c>
      <c r="B113" t="str">
        <f t="shared" si="4"/>
        <v>Obesity</v>
      </c>
      <c r="C113">
        <v>51.51</v>
      </c>
      <c r="D113">
        <v>6.26</v>
      </c>
      <c r="E113" t="str">
        <f t="shared" si="5"/>
        <v>Prediabetes</v>
      </c>
      <c r="F113" t="s">
        <v>2381</v>
      </c>
      <c r="G113" t="s">
        <v>2380</v>
      </c>
      <c r="H113" t="s">
        <v>2382</v>
      </c>
      <c r="I113">
        <v>1</v>
      </c>
      <c r="J113" t="s">
        <v>2381</v>
      </c>
    </row>
    <row r="114" spans="1:10" x14ac:dyDescent="0.35">
      <c r="A114" t="s">
        <v>2260</v>
      </c>
      <c r="B114" t="str">
        <f t="shared" si="4"/>
        <v>Obesity</v>
      </c>
      <c r="C114">
        <v>34.799999999999997</v>
      </c>
      <c r="D114">
        <v>4.72</v>
      </c>
      <c r="E114" t="str">
        <f t="shared" si="5"/>
        <v>Normal</v>
      </c>
      <c r="F114" t="s">
        <v>2381</v>
      </c>
      <c r="G114" t="s">
        <v>2380</v>
      </c>
      <c r="H114" t="s">
        <v>2380</v>
      </c>
      <c r="I114">
        <v>0</v>
      </c>
      <c r="J114" t="s">
        <v>2381</v>
      </c>
    </row>
    <row r="115" spans="1:10" x14ac:dyDescent="0.35">
      <c r="A115" t="s">
        <v>2259</v>
      </c>
      <c r="B115" t="str">
        <f t="shared" si="4"/>
        <v>Obesity</v>
      </c>
      <c r="C115">
        <v>36.67</v>
      </c>
      <c r="D115">
        <v>5.18</v>
      </c>
      <c r="E115" t="str">
        <f t="shared" si="5"/>
        <v>Normal</v>
      </c>
      <c r="F115" t="s">
        <v>2380</v>
      </c>
      <c r="G115" t="s">
        <v>2380</v>
      </c>
      <c r="H115" t="s">
        <v>2380</v>
      </c>
      <c r="I115">
        <v>1</v>
      </c>
      <c r="J115" t="s">
        <v>2381</v>
      </c>
    </row>
    <row r="116" spans="1:10" x14ac:dyDescent="0.35">
      <c r="A116" t="s">
        <v>2258</v>
      </c>
      <c r="B116" t="str">
        <f t="shared" si="4"/>
        <v>Obesity</v>
      </c>
      <c r="C116">
        <v>30.9</v>
      </c>
      <c r="D116">
        <v>9.4</v>
      </c>
      <c r="E116" t="str">
        <f t="shared" si="5"/>
        <v>Diabetes</v>
      </c>
      <c r="F116" t="s">
        <v>2380</v>
      </c>
      <c r="G116" t="s">
        <v>2380</v>
      </c>
      <c r="H116" t="s">
        <v>2380</v>
      </c>
      <c r="I116">
        <v>2</v>
      </c>
      <c r="J116" t="s">
        <v>2381</v>
      </c>
    </row>
    <row r="117" spans="1:10" x14ac:dyDescent="0.35">
      <c r="A117" t="s">
        <v>2257</v>
      </c>
      <c r="B117" t="str">
        <f t="shared" si="4"/>
        <v>Obesity</v>
      </c>
      <c r="C117">
        <v>30.495000000000001</v>
      </c>
      <c r="D117">
        <v>6.29</v>
      </c>
      <c r="E117" t="str">
        <f t="shared" si="5"/>
        <v>Prediabetes</v>
      </c>
      <c r="F117" t="s">
        <v>2380</v>
      </c>
      <c r="G117" t="s">
        <v>2380</v>
      </c>
      <c r="H117" t="s">
        <v>2380</v>
      </c>
      <c r="I117">
        <v>0</v>
      </c>
      <c r="J117" t="s">
        <v>2381</v>
      </c>
    </row>
    <row r="118" spans="1:10" x14ac:dyDescent="0.35">
      <c r="A118" t="s">
        <v>2256</v>
      </c>
      <c r="B118" t="str">
        <f t="shared" si="4"/>
        <v>Obesity</v>
      </c>
      <c r="C118">
        <v>44.88</v>
      </c>
      <c r="D118">
        <v>6.04</v>
      </c>
      <c r="E118" t="str">
        <f t="shared" si="5"/>
        <v>Prediabetes</v>
      </c>
      <c r="F118" t="s">
        <v>2380</v>
      </c>
      <c r="G118" t="s">
        <v>2380</v>
      </c>
      <c r="H118" t="s">
        <v>2382</v>
      </c>
      <c r="I118">
        <v>1</v>
      </c>
      <c r="J118" t="s">
        <v>2381</v>
      </c>
    </row>
    <row r="119" spans="1:10" x14ac:dyDescent="0.35">
      <c r="A119" t="s">
        <v>2255</v>
      </c>
      <c r="B119" t="str">
        <f t="shared" si="4"/>
        <v>Obesity</v>
      </c>
      <c r="C119">
        <v>44.32</v>
      </c>
      <c r="D119">
        <v>10.55</v>
      </c>
      <c r="E119" t="str">
        <f t="shared" si="5"/>
        <v>Diabetes</v>
      </c>
      <c r="F119" t="s">
        <v>2380</v>
      </c>
      <c r="G119" t="s">
        <v>2380</v>
      </c>
      <c r="H119" t="s">
        <v>2380</v>
      </c>
      <c r="I119">
        <v>0</v>
      </c>
      <c r="J119" t="s">
        <v>2381</v>
      </c>
    </row>
    <row r="120" spans="1:10" x14ac:dyDescent="0.35">
      <c r="A120" t="s">
        <v>2254</v>
      </c>
      <c r="B120" t="str">
        <f t="shared" si="4"/>
        <v>Obesity</v>
      </c>
      <c r="C120">
        <v>46.39</v>
      </c>
      <c r="D120">
        <v>5.09</v>
      </c>
      <c r="E120" t="str">
        <f t="shared" si="5"/>
        <v>Normal</v>
      </c>
      <c r="F120" t="s">
        <v>2380</v>
      </c>
      <c r="G120" t="s">
        <v>2380</v>
      </c>
      <c r="H120" t="s">
        <v>2380</v>
      </c>
      <c r="I120">
        <v>0</v>
      </c>
      <c r="J120" t="s">
        <v>2381</v>
      </c>
    </row>
    <row r="121" spans="1:10" x14ac:dyDescent="0.35">
      <c r="A121" t="s">
        <v>2253</v>
      </c>
      <c r="B121" t="str">
        <f t="shared" si="4"/>
        <v>Obesity</v>
      </c>
      <c r="C121">
        <v>42.13</v>
      </c>
      <c r="D121">
        <v>5.2</v>
      </c>
      <c r="E121" t="str">
        <f t="shared" si="5"/>
        <v>Normal</v>
      </c>
      <c r="F121" t="s">
        <v>2381</v>
      </c>
      <c r="G121" t="s">
        <v>2380</v>
      </c>
      <c r="H121" t="s">
        <v>2380</v>
      </c>
      <c r="I121">
        <v>1</v>
      </c>
      <c r="J121" t="s">
        <v>2381</v>
      </c>
    </row>
    <row r="122" spans="1:10" x14ac:dyDescent="0.35">
      <c r="A122" t="s">
        <v>2252</v>
      </c>
      <c r="B122" t="str">
        <f t="shared" si="4"/>
        <v>Obesity</v>
      </c>
      <c r="C122">
        <v>30.78</v>
      </c>
      <c r="D122">
        <v>8.4499999999999993</v>
      </c>
      <c r="E122" t="str">
        <f t="shared" si="5"/>
        <v>Diabetes</v>
      </c>
      <c r="F122" t="s">
        <v>2381</v>
      </c>
      <c r="G122" t="s">
        <v>2380</v>
      </c>
      <c r="H122" t="s">
        <v>2380</v>
      </c>
      <c r="I122">
        <v>0</v>
      </c>
      <c r="J122" t="s">
        <v>2381</v>
      </c>
    </row>
    <row r="123" spans="1:10" x14ac:dyDescent="0.35">
      <c r="A123" t="s">
        <v>2251</v>
      </c>
      <c r="B123" t="str">
        <f t="shared" si="4"/>
        <v>Obesity</v>
      </c>
      <c r="C123">
        <v>31.35</v>
      </c>
      <c r="D123">
        <v>9.5399999999999991</v>
      </c>
      <c r="E123" t="str">
        <f t="shared" si="5"/>
        <v>Diabetes</v>
      </c>
      <c r="F123" t="s">
        <v>2380</v>
      </c>
      <c r="G123" t="s">
        <v>2380</v>
      </c>
      <c r="H123" t="s">
        <v>2380</v>
      </c>
      <c r="I123">
        <v>0</v>
      </c>
      <c r="J123" t="s">
        <v>2381</v>
      </c>
    </row>
    <row r="124" spans="1:10" x14ac:dyDescent="0.35">
      <c r="A124" t="s">
        <v>2250</v>
      </c>
      <c r="B124" t="str">
        <f t="shared" si="4"/>
        <v>Obesity</v>
      </c>
      <c r="C124">
        <v>41.46</v>
      </c>
      <c r="D124">
        <v>4.99</v>
      </c>
      <c r="E124" t="str">
        <f t="shared" si="5"/>
        <v>Normal</v>
      </c>
      <c r="F124" t="s">
        <v>2381</v>
      </c>
      <c r="G124" t="s">
        <v>2380</v>
      </c>
      <c r="H124" t="s">
        <v>2380</v>
      </c>
      <c r="I124">
        <v>2</v>
      </c>
      <c r="J124" t="s">
        <v>2381</v>
      </c>
    </row>
    <row r="125" spans="1:10" x14ac:dyDescent="0.35">
      <c r="A125" t="s">
        <v>2249</v>
      </c>
      <c r="B125" t="str">
        <f t="shared" si="4"/>
        <v>Obesity</v>
      </c>
      <c r="C125">
        <v>48</v>
      </c>
      <c r="D125">
        <v>10.54</v>
      </c>
      <c r="E125" t="str">
        <f t="shared" si="5"/>
        <v>Diabetes</v>
      </c>
      <c r="F125" t="s">
        <v>2380</v>
      </c>
      <c r="G125" t="s">
        <v>2380</v>
      </c>
      <c r="H125" t="s">
        <v>2380</v>
      </c>
      <c r="I125">
        <v>0</v>
      </c>
      <c r="J125" t="s">
        <v>2381</v>
      </c>
    </row>
    <row r="126" spans="1:10" x14ac:dyDescent="0.35">
      <c r="A126" t="s">
        <v>2248</v>
      </c>
      <c r="B126" t="str">
        <f t="shared" si="4"/>
        <v>Obesity</v>
      </c>
      <c r="C126">
        <v>49.13</v>
      </c>
      <c r="D126">
        <v>4.54</v>
      </c>
      <c r="E126" t="str">
        <f t="shared" si="5"/>
        <v>Normal</v>
      </c>
      <c r="F126" t="s">
        <v>2380</v>
      </c>
      <c r="G126" t="s">
        <v>2380</v>
      </c>
      <c r="H126" t="s">
        <v>2380</v>
      </c>
      <c r="I126">
        <v>0</v>
      </c>
      <c r="J126" t="s">
        <v>2381</v>
      </c>
    </row>
    <row r="127" spans="1:10" x14ac:dyDescent="0.35">
      <c r="A127" t="s">
        <v>2247</v>
      </c>
      <c r="B127" t="str">
        <f t="shared" si="4"/>
        <v>Obesity</v>
      </c>
      <c r="C127">
        <v>37.799999999999997</v>
      </c>
      <c r="D127">
        <v>6.29</v>
      </c>
      <c r="E127" t="str">
        <f t="shared" si="5"/>
        <v>Prediabetes</v>
      </c>
      <c r="F127" t="s">
        <v>2380</v>
      </c>
      <c r="G127" t="s">
        <v>2380</v>
      </c>
      <c r="H127" t="s">
        <v>2380</v>
      </c>
      <c r="I127">
        <v>1</v>
      </c>
      <c r="J127" t="s">
        <v>2381</v>
      </c>
    </row>
    <row r="128" spans="1:10" x14ac:dyDescent="0.35">
      <c r="A128" t="s">
        <v>2246</v>
      </c>
      <c r="B128" t="str">
        <f t="shared" si="4"/>
        <v>Obesity</v>
      </c>
      <c r="C128">
        <v>38.299999999999997</v>
      </c>
      <c r="D128">
        <v>9.51</v>
      </c>
      <c r="E128" t="str">
        <f t="shared" si="5"/>
        <v>Diabetes</v>
      </c>
      <c r="F128" t="s">
        <v>2380</v>
      </c>
      <c r="G128" t="s">
        <v>2380</v>
      </c>
      <c r="H128" t="s">
        <v>2380</v>
      </c>
      <c r="I128">
        <v>0</v>
      </c>
      <c r="J128" t="s">
        <v>2381</v>
      </c>
    </row>
    <row r="129" spans="1:10" x14ac:dyDescent="0.35">
      <c r="A129" t="s">
        <v>2245</v>
      </c>
      <c r="B129" t="str">
        <f t="shared" si="4"/>
        <v>Obesity</v>
      </c>
      <c r="C129">
        <v>32.774999999999999</v>
      </c>
      <c r="D129">
        <v>4.72</v>
      </c>
      <c r="E129" t="str">
        <f t="shared" si="5"/>
        <v>Normal</v>
      </c>
      <c r="F129" t="s">
        <v>2380</v>
      </c>
      <c r="G129" t="s">
        <v>2380</v>
      </c>
      <c r="H129" t="s">
        <v>2380</v>
      </c>
      <c r="I129">
        <v>0</v>
      </c>
      <c r="J129" t="s">
        <v>2381</v>
      </c>
    </row>
    <row r="130" spans="1:10" x14ac:dyDescent="0.35">
      <c r="A130" t="s">
        <v>2244</v>
      </c>
      <c r="B130" t="str">
        <f t="shared" si="4"/>
        <v>Obesity</v>
      </c>
      <c r="C130">
        <v>34.200000000000003</v>
      </c>
      <c r="D130">
        <v>5.91</v>
      </c>
      <c r="E130" t="str">
        <f t="shared" si="5"/>
        <v>Prediabetes</v>
      </c>
      <c r="F130" t="s">
        <v>2381</v>
      </c>
      <c r="G130" t="s">
        <v>2380</v>
      </c>
      <c r="H130" t="s">
        <v>2380</v>
      </c>
      <c r="I130">
        <v>0</v>
      </c>
      <c r="J130" t="s">
        <v>2381</v>
      </c>
    </row>
    <row r="131" spans="1:10" x14ac:dyDescent="0.35">
      <c r="A131" t="s">
        <v>2243</v>
      </c>
      <c r="B131" t="str">
        <f t="shared" ref="B131:B194" si="6">IF(C131&lt;18.5,"Underweight",IF(C131&lt;25,"Normal Weight",IF(C131&lt;30,"Overweight","Obesity")))</f>
        <v>Obesity</v>
      </c>
      <c r="C131">
        <v>30.2</v>
      </c>
      <c r="D131">
        <v>9.58</v>
      </c>
      <c r="E131" t="str">
        <f t="shared" ref="E131:E194" si="7">IF(D131&lt;5.7,"Normal",IF(D131&lt;6.5,"Prediabetes","Diabetes"))</f>
        <v>Diabetes</v>
      </c>
      <c r="F131" t="s">
        <v>2380</v>
      </c>
      <c r="G131" t="s">
        <v>2380</v>
      </c>
      <c r="H131" t="s">
        <v>2380</v>
      </c>
      <c r="I131">
        <v>0</v>
      </c>
      <c r="J131" t="s">
        <v>2381</v>
      </c>
    </row>
    <row r="132" spans="1:10" x14ac:dyDescent="0.35">
      <c r="A132" t="s">
        <v>2242</v>
      </c>
      <c r="B132" t="str">
        <f t="shared" si="6"/>
        <v>Obesity</v>
      </c>
      <c r="C132">
        <v>48.32</v>
      </c>
      <c r="D132">
        <v>5.77</v>
      </c>
      <c r="E132" t="str">
        <f t="shared" si="7"/>
        <v>Prediabetes</v>
      </c>
      <c r="F132" t="s">
        <v>2380</v>
      </c>
      <c r="G132" t="s">
        <v>2380</v>
      </c>
      <c r="H132" t="s">
        <v>2380</v>
      </c>
      <c r="I132">
        <v>0</v>
      </c>
      <c r="J132" t="s">
        <v>2381</v>
      </c>
    </row>
    <row r="133" spans="1:10" x14ac:dyDescent="0.35">
      <c r="A133" t="s">
        <v>2241</v>
      </c>
      <c r="B133" t="str">
        <f t="shared" si="6"/>
        <v>Obesity</v>
      </c>
      <c r="C133">
        <v>44.86</v>
      </c>
      <c r="D133">
        <v>4.38</v>
      </c>
      <c r="E133" t="str">
        <f t="shared" si="7"/>
        <v>Normal</v>
      </c>
      <c r="F133" t="s">
        <v>2381</v>
      </c>
      <c r="G133" t="s">
        <v>2380</v>
      </c>
      <c r="H133" t="s">
        <v>2380</v>
      </c>
      <c r="I133">
        <v>0</v>
      </c>
      <c r="J133" t="s">
        <v>2381</v>
      </c>
    </row>
    <row r="134" spans="1:10" x14ac:dyDescent="0.35">
      <c r="A134" t="s">
        <v>2240</v>
      </c>
      <c r="B134" t="str">
        <f t="shared" si="6"/>
        <v>Obesity</v>
      </c>
      <c r="C134">
        <v>52.15</v>
      </c>
      <c r="D134">
        <v>5.65</v>
      </c>
      <c r="E134" t="str">
        <f t="shared" si="7"/>
        <v>Normal</v>
      </c>
      <c r="F134" t="s">
        <v>2380</v>
      </c>
      <c r="G134" t="s">
        <v>2380</v>
      </c>
      <c r="H134" t="s">
        <v>2380</v>
      </c>
      <c r="I134">
        <v>1</v>
      </c>
      <c r="J134" t="s">
        <v>2381</v>
      </c>
    </row>
    <row r="135" spans="1:10" x14ac:dyDescent="0.35">
      <c r="A135" t="s">
        <v>2239</v>
      </c>
      <c r="B135" t="str">
        <f t="shared" si="6"/>
        <v>Obesity</v>
      </c>
      <c r="C135">
        <v>41.12</v>
      </c>
      <c r="D135">
        <v>7.54</v>
      </c>
      <c r="E135" t="str">
        <f t="shared" si="7"/>
        <v>Diabetes</v>
      </c>
      <c r="F135" t="s">
        <v>2381</v>
      </c>
      <c r="G135" t="s">
        <v>2380</v>
      </c>
      <c r="H135" t="s">
        <v>2380</v>
      </c>
      <c r="I135">
        <v>0</v>
      </c>
      <c r="J135" t="s">
        <v>2381</v>
      </c>
    </row>
    <row r="136" spans="1:10" x14ac:dyDescent="0.35">
      <c r="A136" t="s">
        <v>2238</v>
      </c>
      <c r="B136" t="str">
        <f t="shared" si="6"/>
        <v>Obesity</v>
      </c>
      <c r="C136">
        <v>38.39</v>
      </c>
      <c r="D136">
        <v>5.1100000000000003</v>
      </c>
      <c r="E136" t="str">
        <f t="shared" si="7"/>
        <v>Normal</v>
      </c>
      <c r="F136" t="s">
        <v>2381</v>
      </c>
      <c r="G136" t="s">
        <v>2380</v>
      </c>
      <c r="H136" t="s">
        <v>2380</v>
      </c>
      <c r="I136">
        <v>1</v>
      </c>
      <c r="J136" t="s">
        <v>2381</v>
      </c>
    </row>
    <row r="137" spans="1:10" x14ac:dyDescent="0.35">
      <c r="A137" t="s">
        <v>2237</v>
      </c>
      <c r="B137" t="str">
        <f t="shared" si="6"/>
        <v>Obesity</v>
      </c>
      <c r="C137">
        <v>46.85</v>
      </c>
      <c r="D137">
        <v>4.25</v>
      </c>
      <c r="E137" t="str">
        <f t="shared" si="7"/>
        <v>Normal</v>
      </c>
      <c r="F137" t="s">
        <v>2380</v>
      </c>
      <c r="G137" t="s">
        <v>2380</v>
      </c>
      <c r="H137" t="s">
        <v>2382</v>
      </c>
      <c r="I137">
        <v>1</v>
      </c>
      <c r="J137" t="s">
        <v>2381</v>
      </c>
    </row>
    <row r="138" spans="1:10" x14ac:dyDescent="0.35">
      <c r="A138" t="s">
        <v>2236</v>
      </c>
      <c r="B138" t="str">
        <f t="shared" si="6"/>
        <v>Obesity</v>
      </c>
      <c r="C138">
        <v>42.24</v>
      </c>
      <c r="D138">
        <v>5.55</v>
      </c>
      <c r="E138" t="str">
        <f t="shared" si="7"/>
        <v>Normal</v>
      </c>
      <c r="F138" t="s">
        <v>2380</v>
      </c>
      <c r="G138" t="s">
        <v>2381</v>
      </c>
      <c r="H138" t="s">
        <v>2380</v>
      </c>
      <c r="I138">
        <v>1</v>
      </c>
      <c r="J138" t="s">
        <v>2381</v>
      </c>
    </row>
    <row r="139" spans="1:10" x14ac:dyDescent="0.35">
      <c r="A139" t="s">
        <v>2235</v>
      </c>
      <c r="B139" t="str">
        <f t="shared" si="6"/>
        <v>Obesity</v>
      </c>
      <c r="C139">
        <v>34.39</v>
      </c>
      <c r="D139">
        <v>5.78</v>
      </c>
      <c r="E139" t="str">
        <f t="shared" si="7"/>
        <v>Prediabetes</v>
      </c>
      <c r="F139" t="s">
        <v>2380</v>
      </c>
      <c r="G139" t="s">
        <v>2380</v>
      </c>
      <c r="H139" t="s">
        <v>2380</v>
      </c>
      <c r="I139">
        <v>0</v>
      </c>
      <c r="J139" t="s">
        <v>2381</v>
      </c>
    </row>
    <row r="140" spans="1:10" x14ac:dyDescent="0.35">
      <c r="A140" t="s">
        <v>2234</v>
      </c>
      <c r="B140" t="str">
        <f t="shared" si="6"/>
        <v>Obesity</v>
      </c>
      <c r="C140">
        <v>42.89</v>
      </c>
      <c r="D140">
        <v>5.28</v>
      </c>
      <c r="E140" t="str">
        <f t="shared" si="7"/>
        <v>Normal</v>
      </c>
      <c r="F140" t="s">
        <v>2381</v>
      </c>
      <c r="G140" t="s">
        <v>2380</v>
      </c>
      <c r="H140" t="s">
        <v>2380</v>
      </c>
      <c r="I140">
        <v>0</v>
      </c>
      <c r="J140" t="s">
        <v>2381</v>
      </c>
    </row>
    <row r="141" spans="1:10" x14ac:dyDescent="0.35">
      <c r="A141" t="s">
        <v>2233</v>
      </c>
      <c r="B141" t="str">
        <f t="shared" si="6"/>
        <v>Obesity</v>
      </c>
      <c r="C141">
        <v>36.299999999999997</v>
      </c>
      <c r="D141">
        <v>5.39</v>
      </c>
      <c r="E141" t="str">
        <f t="shared" si="7"/>
        <v>Normal</v>
      </c>
      <c r="F141" t="s">
        <v>2380</v>
      </c>
      <c r="G141" t="s">
        <v>2380</v>
      </c>
      <c r="H141" t="s">
        <v>2380</v>
      </c>
      <c r="I141">
        <v>0</v>
      </c>
      <c r="J141" t="s">
        <v>2381</v>
      </c>
    </row>
    <row r="142" spans="1:10" x14ac:dyDescent="0.35">
      <c r="A142" t="s">
        <v>2232</v>
      </c>
      <c r="B142" t="str">
        <f t="shared" si="6"/>
        <v>Obesity</v>
      </c>
      <c r="C142">
        <v>35.200000000000003</v>
      </c>
      <c r="D142">
        <v>8.01</v>
      </c>
      <c r="E142" t="str">
        <f t="shared" si="7"/>
        <v>Diabetes</v>
      </c>
      <c r="F142" t="s">
        <v>2381</v>
      </c>
      <c r="G142" t="s">
        <v>2380</v>
      </c>
      <c r="H142" t="s">
        <v>2380</v>
      </c>
      <c r="I142">
        <v>1</v>
      </c>
      <c r="J142" t="s">
        <v>2381</v>
      </c>
    </row>
    <row r="143" spans="1:10" x14ac:dyDescent="0.35">
      <c r="A143" t="s">
        <v>2231</v>
      </c>
      <c r="B143" t="str">
        <f t="shared" si="6"/>
        <v>Obesity</v>
      </c>
      <c r="C143">
        <v>53.62</v>
      </c>
      <c r="D143">
        <v>5.21</v>
      </c>
      <c r="E143" t="str">
        <f t="shared" si="7"/>
        <v>Normal</v>
      </c>
      <c r="F143" t="s">
        <v>2380</v>
      </c>
      <c r="G143" t="s">
        <v>2380</v>
      </c>
      <c r="H143" t="s">
        <v>2380</v>
      </c>
      <c r="I143">
        <v>0</v>
      </c>
      <c r="J143" t="s">
        <v>2381</v>
      </c>
    </row>
    <row r="144" spans="1:10" x14ac:dyDescent="0.35">
      <c r="A144" t="s">
        <v>2230</v>
      </c>
      <c r="B144" t="str">
        <f t="shared" si="6"/>
        <v>Obesity</v>
      </c>
      <c r="C144">
        <v>36.67</v>
      </c>
      <c r="D144">
        <v>6.27</v>
      </c>
      <c r="E144" t="str">
        <f t="shared" si="7"/>
        <v>Prediabetes</v>
      </c>
      <c r="F144" t="s">
        <v>2380</v>
      </c>
      <c r="G144" t="s">
        <v>2380</v>
      </c>
      <c r="H144" t="s">
        <v>2380</v>
      </c>
      <c r="I144">
        <v>0</v>
      </c>
      <c r="J144" t="s">
        <v>2381</v>
      </c>
    </row>
    <row r="145" spans="1:10" x14ac:dyDescent="0.35">
      <c r="A145" t="s">
        <v>2229</v>
      </c>
      <c r="B145" t="str">
        <f t="shared" si="6"/>
        <v>Obesity</v>
      </c>
      <c r="C145">
        <v>33.4</v>
      </c>
      <c r="D145">
        <v>10.73</v>
      </c>
      <c r="E145" t="str">
        <f t="shared" si="7"/>
        <v>Diabetes</v>
      </c>
      <c r="F145" t="s">
        <v>2381</v>
      </c>
      <c r="G145" t="s">
        <v>2380</v>
      </c>
      <c r="H145" t="s">
        <v>2380</v>
      </c>
      <c r="I145">
        <v>1</v>
      </c>
      <c r="J145" t="s">
        <v>2381</v>
      </c>
    </row>
    <row r="146" spans="1:10" x14ac:dyDescent="0.35">
      <c r="A146" t="s">
        <v>2228</v>
      </c>
      <c r="B146" t="str">
        <f t="shared" si="6"/>
        <v>Obesity</v>
      </c>
      <c r="C146">
        <v>42.71</v>
      </c>
      <c r="D146">
        <v>10.52</v>
      </c>
      <c r="E146" t="str">
        <f t="shared" si="7"/>
        <v>Diabetes</v>
      </c>
      <c r="F146" t="s">
        <v>2380</v>
      </c>
      <c r="G146" t="s">
        <v>2380</v>
      </c>
      <c r="H146" t="s">
        <v>2380</v>
      </c>
      <c r="I146">
        <v>0</v>
      </c>
      <c r="J146" t="s">
        <v>2381</v>
      </c>
    </row>
    <row r="147" spans="1:10" x14ac:dyDescent="0.35">
      <c r="A147" t="s">
        <v>2227</v>
      </c>
      <c r="B147" t="str">
        <f t="shared" si="6"/>
        <v>Obesity</v>
      </c>
      <c r="C147">
        <v>41.52</v>
      </c>
      <c r="D147">
        <v>11.82</v>
      </c>
      <c r="E147" t="str">
        <f t="shared" si="7"/>
        <v>Diabetes</v>
      </c>
      <c r="F147" t="s">
        <v>2381</v>
      </c>
      <c r="G147" t="s">
        <v>2380</v>
      </c>
      <c r="H147" t="s">
        <v>2380</v>
      </c>
      <c r="I147">
        <v>2</v>
      </c>
      <c r="J147" t="s">
        <v>2381</v>
      </c>
    </row>
    <row r="148" spans="1:10" x14ac:dyDescent="0.35">
      <c r="A148" t="s">
        <v>2226</v>
      </c>
      <c r="B148" t="str">
        <f t="shared" si="6"/>
        <v>Obesity</v>
      </c>
      <c r="C148">
        <v>39.4</v>
      </c>
      <c r="D148">
        <v>6.76</v>
      </c>
      <c r="E148" t="str">
        <f t="shared" si="7"/>
        <v>Diabetes</v>
      </c>
      <c r="F148" t="s">
        <v>2380</v>
      </c>
      <c r="G148" t="s">
        <v>2380</v>
      </c>
      <c r="H148" t="s">
        <v>2380</v>
      </c>
      <c r="I148">
        <v>0</v>
      </c>
      <c r="J148" t="s">
        <v>2381</v>
      </c>
    </row>
    <row r="149" spans="1:10" x14ac:dyDescent="0.35">
      <c r="A149" t="s">
        <v>2225</v>
      </c>
      <c r="B149" t="str">
        <f t="shared" si="6"/>
        <v>Obesity</v>
      </c>
      <c r="C149">
        <v>46.45</v>
      </c>
      <c r="D149">
        <v>5.62</v>
      </c>
      <c r="E149" t="str">
        <f t="shared" si="7"/>
        <v>Normal</v>
      </c>
      <c r="F149" t="s">
        <v>2380</v>
      </c>
      <c r="G149" t="s">
        <v>2380</v>
      </c>
      <c r="H149" t="s">
        <v>2380</v>
      </c>
      <c r="I149">
        <v>0</v>
      </c>
      <c r="J149" t="s">
        <v>2381</v>
      </c>
    </row>
    <row r="150" spans="1:10" x14ac:dyDescent="0.35">
      <c r="A150" t="s">
        <v>2224</v>
      </c>
      <c r="B150" t="str">
        <f t="shared" si="6"/>
        <v>Obesity</v>
      </c>
      <c r="C150">
        <v>35.75</v>
      </c>
      <c r="D150">
        <v>4.1900000000000004</v>
      </c>
      <c r="E150" t="str">
        <f t="shared" si="7"/>
        <v>Normal</v>
      </c>
      <c r="F150" t="s">
        <v>2380</v>
      </c>
      <c r="G150" t="s">
        <v>2380</v>
      </c>
      <c r="H150" t="s">
        <v>2380</v>
      </c>
      <c r="I150">
        <v>0</v>
      </c>
      <c r="J150" t="s">
        <v>2381</v>
      </c>
    </row>
    <row r="151" spans="1:10" x14ac:dyDescent="0.35">
      <c r="A151" t="s">
        <v>2223</v>
      </c>
      <c r="B151" t="str">
        <f t="shared" si="6"/>
        <v>Overweight</v>
      </c>
      <c r="C151">
        <v>26.07</v>
      </c>
      <c r="D151">
        <v>5.32</v>
      </c>
      <c r="E151" t="str">
        <f t="shared" si="7"/>
        <v>Normal</v>
      </c>
      <c r="F151" t="s">
        <v>2380</v>
      </c>
      <c r="G151" t="s">
        <v>2380</v>
      </c>
      <c r="H151" t="s">
        <v>2380</v>
      </c>
      <c r="I151">
        <v>0</v>
      </c>
      <c r="J151" t="s">
        <v>2381</v>
      </c>
    </row>
    <row r="152" spans="1:10" x14ac:dyDescent="0.35">
      <c r="A152" t="s">
        <v>2222</v>
      </c>
      <c r="B152" t="str">
        <f t="shared" si="6"/>
        <v>Obesity</v>
      </c>
      <c r="C152">
        <v>36.54</v>
      </c>
      <c r="D152">
        <v>4.46</v>
      </c>
      <c r="E152" t="str">
        <f t="shared" si="7"/>
        <v>Normal</v>
      </c>
      <c r="F152" t="s">
        <v>2381</v>
      </c>
      <c r="G152" t="s">
        <v>2380</v>
      </c>
      <c r="H152" t="s">
        <v>2380</v>
      </c>
      <c r="I152">
        <v>1</v>
      </c>
      <c r="J152" t="s">
        <v>2381</v>
      </c>
    </row>
    <row r="153" spans="1:10" x14ac:dyDescent="0.35">
      <c r="A153" t="s">
        <v>2221</v>
      </c>
      <c r="B153" t="str">
        <f t="shared" si="6"/>
        <v>Obesity</v>
      </c>
      <c r="C153">
        <v>51.64</v>
      </c>
      <c r="D153">
        <v>5.65</v>
      </c>
      <c r="E153" t="str">
        <f t="shared" si="7"/>
        <v>Normal</v>
      </c>
      <c r="F153" t="s">
        <v>2380</v>
      </c>
      <c r="G153" t="s">
        <v>2380</v>
      </c>
      <c r="H153" t="s">
        <v>2380</v>
      </c>
      <c r="I153">
        <v>0</v>
      </c>
      <c r="J153" t="s">
        <v>2381</v>
      </c>
    </row>
    <row r="154" spans="1:10" x14ac:dyDescent="0.35">
      <c r="A154" t="s">
        <v>2220</v>
      </c>
      <c r="B154" t="str">
        <f t="shared" si="6"/>
        <v>Obesity</v>
      </c>
      <c r="C154">
        <v>42.83</v>
      </c>
      <c r="D154">
        <v>6.04</v>
      </c>
      <c r="E154" t="str">
        <f t="shared" si="7"/>
        <v>Prediabetes</v>
      </c>
      <c r="F154" t="s">
        <v>2380</v>
      </c>
      <c r="G154" t="s">
        <v>2380</v>
      </c>
      <c r="H154" t="s">
        <v>2380</v>
      </c>
      <c r="I154">
        <v>2</v>
      </c>
      <c r="J154" t="s">
        <v>2381</v>
      </c>
    </row>
    <row r="155" spans="1:10" x14ac:dyDescent="0.35">
      <c r="A155" t="s">
        <v>2219</v>
      </c>
      <c r="B155" t="str">
        <f t="shared" si="6"/>
        <v>Obesity</v>
      </c>
      <c r="C155">
        <v>40.15</v>
      </c>
      <c r="D155">
        <v>5.76</v>
      </c>
      <c r="E155" t="str">
        <f t="shared" si="7"/>
        <v>Prediabetes</v>
      </c>
      <c r="F155" t="s">
        <v>2380</v>
      </c>
      <c r="G155" t="s">
        <v>2380</v>
      </c>
      <c r="H155" t="s">
        <v>2380</v>
      </c>
      <c r="I155">
        <v>1</v>
      </c>
      <c r="J155" t="s">
        <v>2381</v>
      </c>
    </row>
    <row r="156" spans="1:10" x14ac:dyDescent="0.35">
      <c r="A156" t="s">
        <v>2218</v>
      </c>
      <c r="B156" t="str">
        <f t="shared" si="6"/>
        <v>Overweight</v>
      </c>
      <c r="C156">
        <v>27.8</v>
      </c>
      <c r="D156">
        <v>4.3600000000000003</v>
      </c>
      <c r="E156" t="str">
        <f t="shared" si="7"/>
        <v>Normal</v>
      </c>
      <c r="F156" t="s">
        <v>2380</v>
      </c>
      <c r="G156" t="s">
        <v>2380</v>
      </c>
      <c r="H156" t="s">
        <v>2382</v>
      </c>
      <c r="I156">
        <v>1</v>
      </c>
      <c r="J156" t="s">
        <v>2381</v>
      </c>
    </row>
    <row r="157" spans="1:10" x14ac:dyDescent="0.35">
      <c r="A157" t="s">
        <v>2217</v>
      </c>
      <c r="B157" t="str">
        <f t="shared" si="6"/>
        <v>Obesity</v>
      </c>
      <c r="C157">
        <v>45.81</v>
      </c>
      <c r="D157">
        <v>4.76</v>
      </c>
      <c r="E157" t="str">
        <f t="shared" si="7"/>
        <v>Normal</v>
      </c>
      <c r="F157" t="s">
        <v>2381</v>
      </c>
      <c r="G157" t="s">
        <v>2380</v>
      </c>
      <c r="H157" t="s">
        <v>2382</v>
      </c>
      <c r="I157">
        <v>1</v>
      </c>
      <c r="J157" t="s">
        <v>2381</v>
      </c>
    </row>
    <row r="158" spans="1:10" x14ac:dyDescent="0.35">
      <c r="A158" t="s">
        <v>2216</v>
      </c>
      <c r="B158" t="str">
        <f t="shared" si="6"/>
        <v>Obesity</v>
      </c>
      <c r="C158">
        <v>34.43</v>
      </c>
      <c r="D158">
        <v>10.82</v>
      </c>
      <c r="E158" t="str">
        <f t="shared" si="7"/>
        <v>Diabetes</v>
      </c>
      <c r="F158" t="s">
        <v>2381</v>
      </c>
      <c r="G158" t="s">
        <v>2380</v>
      </c>
      <c r="H158" t="s">
        <v>2380</v>
      </c>
      <c r="I158">
        <v>1</v>
      </c>
      <c r="J158" t="s">
        <v>2381</v>
      </c>
    </row>
    <row r="159" spans="1:10" x14ac:dyDescent="0.35">
      <c r="A159" t="s">
        <v>2215</v>
      </c>
      <c r="B159" t="str">
        <f t="shared" si="6"/>
        <v>Obesity</v>
      </c>
      <c r="C159">
        <v>41.33</v>
      </c>
      <c r="D159">
        <v>4.01</v>
      </c>
      <c r="E159" t="str">
        <f t="shared" si="7"/>
        <v>Normal</v>
      </c>
      <c r="F159" t="s">
        <v>2381</v>
      </c>
      <c r="G159" t="s">
        <v>2380</v>
      </c>
      <c r="H159" t="s">
        <v>2380</v>
      </c>
      <c r="I159">
        <v>0</v>
      </c>
      <c r="J159" t="s">
        <v>2381</v>
      </c>
    </row>
    <row r="160" spans="1:10" x14ac:dyDescent="0.35">
      <c r="A160" t="s">
        <v>2214</v>
      </c>
      <c r="B160" t="str">
        <f t="shared" si="6"/>
        <v>Obesity</v>
      </c>
      <c r="C160">
        <v>31.92</v>
      </c>
      <c r="D160">
        <v>5.12</v>
      </c>
      <c r="E160" t="str">
        <f t="shared" si="7"/>
        <v>Normal</v>
      </c>
      <c r="F160" t="s">
        <v>2381</v>
      </c>
      <c r="G160" t="s">
        <v>2380</v>
      </c>
      <c r="H160" t="s">
        <v>2380</v>
      </c>
      <c r="I160">
        <v>1</v>
      </c>
      <c r="J160" t="s">
        <v>2381</v>
      </c>
    </row>
    <row r="161" spans="1:10" x14ac:dyDescent="0.35">
      <c r="A161" t="s">
        <v>2213</v>
      </c>
      <c r="B161" t="str">
        <f t="shared" si="6"/>
        <v>Obesity</v>
      </c>
      <c r="C161">
        <v>39.799999999999997</v>
      </c>
      <c r="D161">
        <v>10.54</v>
      </c>
      <c r="E161" t="str">
        <f t="shared" si="7"/>
        <v>Diabetes</v>
      </c>
      <c r="F161" t="s">
        <v>2381</v>
      </c>
      <c r="G161" t="s">
        <v>2380</v>
      </c>
      <c r="H161" t="s">
        <v>2380</v>
      </c>
      <c r="I161">
        <v>2</v>
      </c>
      <c r="J161" t="s">
        <v>2381</v>
      </c>
    </row>
    <row r="162" spans="1:10" x14ac:dyDescent="0.35">
      <c r="A162" t="s">
        <v>2212</v>
      </c>
      <c r="B162" t="str">
        <f t="shared" si="6"/>
        <v>Obesity</v>
      </c>
      <c r="C162">
        <v>42.82</v>
      </c>
      <c r="D162">
        <v>4.21</v>
      </c>
      <c r="E162" t="str">
        <f t="shared" si="7"/>
        <v>Normal</v>
      </c>
      <c r="F162" t="s">
        <v>2380</v>
      </c>
      <c r="G162" t="s">
        <v>2380</v>
      </c>
      <c r="H162" t="s">
        <v>2380</v>
      </c>
      <c r="I162">
        <v>0</v>
      </c>
      <c r="J162" t="s">
        <v>2381</v>
      </c>
    </row>
    <row r="163" spans="1:10" x14ac:dyDescent="0.35">
      <c r="A163" t="s">
        <v>2211</v>
      </c>
      <c r="B163" t="str">
        <f t="shared" si="6"/>
        <v>Obesity</v>
      </c>
      <c r="C163">
        <v>33.630000000000003</v>
      </c>
      <c r="D163">
        <v>5.42</v>
      </c>
      <c r="E163" t="str">
        <f t="shared" si="7"/>
        <v>Normal</v>
      </c>
      <c r="F163" t="s">
        <v>2380</v>
      </c>
      <c r="G163" t="s">
        <v>2380</v>
      </c>
      <c r="H163" t="s">
        <v>2380</v>
      </c>
      <c r="I163">
        <v>0</v>
      </c>
      <c r="J163" t="s">
        <v>2381</v>
      </c>
    </row>
    <row r="164" spans="1:10" x14ac:dyDescent="0.35">
      <c r="A164" t="s">
        <v>2210</v>
      </c>
      <c r="B164" t="str">
        <f t="shared" si="6"/>
        <v>Obesity</v>
      </c>
      <c r="C164">
        <v>37.07</v>
      </c>
      <c r="D164">
        <v>4.28</v>
      </c>
      <c r="E164" t="str">
        <f t="shared" si="7"/>
        <v>Normal</v>
      </c>
      <c r="F164" t="s">
        <v>2380</v>
      </c>
      <c r="G164" t="s">
        <v>2381</v>
      </c>
      <c r="H164" t="s">
        <v>2380</v>
      </c>
      <c r="I164">
        <v>1</v>
      </c>
      <c r="J164" t="s">
        <v>2381</v>
      </c>
    </row>
    <row r="165" spans="1:10" x14ac:dyDescent="0.35">
      <c r="A165" t="s">
        <v>2209</v>
      </c>
      <c r="B165" t="str">
        <f t="shared" si="6"/>
        <v>Obesity</v>
      </c>
      <c r="C165">
        <v>35.625</v>
      </c>
      <c r="D165">
        <v>8.9</v>
      </c>
      <c r="E165" t="str">
        <f t="shared" si="7"/>
        <v>Diabetes</v>
      </c>
      <c r="F165" t="s">
        <v>2380</v>
      </c>
      <c r="G165" t="s">
        <v>2380</v>
      </c>
      <c r="H165" t="s">
        <v>2380</v>
      </c>
      <c r="I165">
        <v>0</v>
      </c>
      <c r="J165" t="s">
        <v>2381</v>
      </c>
    </row>
    <row r="166" spans="1:10" x14ac:dyDescent="0.35">
      <c r="A166" t="s">
        <v>2208</v>
      </c>
      <c r="B166" t="str">
        <f t="shared" si="6"/>
        <v>Obesity</v>
      </c>
      <c r="C166">
        <v>42.69</v>
      </c>
      <c r="D166">
        <v>4.8899999999999997</v>
      </c>
      <c r="E166" t="str">
        <f t="shared" si="7"/>
        <v>Normal</v>
      </c>
      <c r="F166" t="s">
        <v>2380</v>
      </c>
      <c r="G166" t="s">
        <v>2380</v>
      </c>
      <c r="H166" t="s">
        <v>2382</v>
      </c>
      <c r="I166">
        <v>1</v>
      </c>
      <c r="J166" t="s">
        <v>2381</v>
      </c>
    </row>
    <row r="167" spans="1:10" x14ac:dyDescent="0.35">
      <c r="A167" t="s">
        <v>2207</v>
      </c>
      <c r="B167" t="str">
        <f t="shared" si="6"/>
        <v>Obesity</v>
      </c>
      <c r="C167">
        <v>37.869999999999997</v>
      </c>
      <c r="D167">
        <v>4.29</v>
      </c>
      <c r="E167" t="str">
        <f t="shared" si="7"/>
        <v>Normal</v>
      </c>
      <c r="F167" t="s">
        <v>2381</v>
      </c>
      <c r="G167" t="s">
        <v>2380</v>
      </c>
      <c r="H167" t="s">
        <v>2382</v>
      </c>
      <c r="I167">
        <v>1</v>
      </c>
      <c r="J167" t="s">
        <v>2381</v>
      </c>
    </row>
    <row r="168" spans="1:10" x14ac:dyDescent="0.35">
      <c r="A168" t="s">
        <v>2206</v>
      </c>
      <c r="B168" t="str">
        <f t="shared" si="6"/>
        <v>Obesity</v>
      </c>
      <c r="C168">
        <v>40.61</v>
      </c>
      <c r="D168">
        <v>8</v>
      </c>
      <c r="E168" t="str">
        <f t="shared" si="7"/>
        <v>Diabetes</v>
      </c>
      <c r="F168" t="s">
        <v>2381</v>
      </c>
      <c r="G168" t="s">
        <v>2380</v>
      </c>
      <c r="H168" t="s">
        <v>2380</v>
      </c>
      <c r="I168">
        <v>1</v>
      </c>
      <c r="J168" t="s">
        <v>2381</v>
      </c>
    </row>
    <row r="169" spans="1:10" x14ac:dyDescent="0.35">
      <c r="A169" t="s">
        <v>2205</v>
      </c>
      <c r="B169" t="str">
        <f t="shared" si="6"/>
        <v>Obesity</v>
      </c>
      <c r="C169">
        <v>30.78</v>
      </c>
      <c r="D169">
        <v>4.67</v>
      </c>
      <c r="E169" t="str">
        <f t="shared" si="7"/>
        <v>Normal</v>
      </c>
      <c r="F169" t="s">
        <v>2381</v>
      </c>
      <c r="G169" t="s">
        <v>2380</v>
      </c>
      <c r="H169" t="s">
        <v>2380</v>
      </c>
      <c r="I169">
        <v>0</v>
      </c>
      <c r="J169" t="s">
        <v>2381</v>
      </c>
    </row>
    <row r="170" spans="1:10" x14ac:dyDescent="0.35">
      <c r="A170" t="s">
        <v>2204</v>
      </c>
      <c r="B170" t="str">
        <f t="shared" si="6"/>
        <v>Obesity</v>
      </c>
      <c r="C170">
        <v>49.49</v>
      </c>
      <c r="D170">
        <v>4.5</v>
      </c>
      <c r="E170" t="str">
        <f t="shared" si="7"/>
        <v>Normal</v>
      </c>
      <c r="F170" t="s">
        <v>2380</v>
      </c>
      <c r="G170" t="s">
        <v>2380</v>
      </c>
      <c r="H170" t="s">
        <v>2380</v>
      </c>
      <c r="I170">
        <v>0</v>
      </c>
      <c r="J170" t="s">
        <v>2381</v>
      </c>
    </row>
    <row r="171" spans="1:10" x14ac:dyDescent="0.35">
      <c r="A171" t="s">
        <v>2203</v>
      </c>
      <c r="B171" t="str">
        <f t="shared" si="6"/>
        <v>Obesity</v>
      </c>
      <c r="C171">
        <v>37.619999999999997</v>
      </c>
      <c r="D171">
        <v>6.32</v>
      </c>
      <c r="E171" t="str">
        <f t="shared" si="7"/>
        <v>Prediabetes</v>
      </c>
      <c r="F171" t="s">
        <v>2381</v>
      </c>
      <c r="G171" t="s">
        <v>2381</v>
      </c>
      <c r="H171" t="s">
        <v>2380</v>
      </c>
      <c r="I171">
        <v>2</v>
      </c>
      <c r="J171" t="s">
        <v>2381</v>
      </c>
    </row>
    <row r="172" spans="1:10" x14ac:dyDescent="0.35">
      <c r="A172" t="s">
        <v>2202</v>
      </c>
      <c r="B172" t="str">
        <f t="shared" si="6"/>
        <v>Obesity</v>
      </c>
      <c r="C172">
        <v>36.08</v>
      </c>
      <c r="D172">
        <v>6.1</v>
      </c>
      <c r="E172" t="str">
        <f t="shared" si="7"/>
        <v>Prediabetes</v>
      </c>
      <c r="F172" t="s">
        <v>2381</v>
      </c>
      <c r="G172" t="s">
        <v>2380</v>
      </c>
      <c r="H172" t="s">
        <v>2380</v>
      </c>
      <c r="I172">
        <v>1</v>
      </c>
      <c r="J172" t="s">
        <v>2381</v>
      </c>
    </row>
    <row r="173" spans="1:10" x14ac:dyDescent="0.35">
      <c r="A173" t="s">
        <v>2201</v>
      </c>
      <c r="B173" t="str">
        <f t="shared" si="6"/>
        <v>Obesity</v>
      </c>
      <c r="C173">
        <v>33.5</v>
      </c>
      <c r="D173">
        <v>5.4</v>
      </c>
      <c r="E173" t="str">
        <f t="shared" si="7"/>
        <v>Normal</v>
      </c>
      <c r="F173" t="s">
        <v>2380</v>
      </c>
      <c r="G173" t="s">
        <v>2380</v>
      </c>
      <c r="H173" t="s">
        <v>2380</v>
      </c>
      <c r="I173">
        <v>0</v>
      </c>
      <c r="J173" t="s">
        <v>2381</v>
      </c>
    </row>
    <row r="174" spans="1:10" x14ac:dyDescent="0.35">
      <c r="A174" t="s">
        <v>2200</v>
      </c>
      <c r="B174" t="str">
        <f t="shared" si="6"/>
        <v>Obesity</v>
      </c>
      <c r="C174">
        <v>47.46</v>
      </c>
      <c r="D174">
        <v>6.24</v>
      </c>
      <c r="E174" t="str">
        <f t="shared" si="7"/>
        <v>Prediabetes</v>
      </c>
      <c r="F174" t="s">
        <v>2381</v>
      </c>
      <c r="G174" t="s">
        <v>2380</v>
      </c>
      <c r="H174" t="s">
        <v>2380</v>
      </c>
      <c r="I174">
        <v>1</v>
      </c>
      <c r="J174" t="s">
        <v>2381</v>
      </c>
    </row>
    <row r="175" spans="1:10" x14ac:dyDescent="0.35">
      <c r="A175" t="s">
        <v>2199</v>
      </c>
      <c r="B175" t="str">
        <f t="shared" si="6"/>
        <v>Obesity</v>
      </c>
      <c r="C175">
        <v>49.24</v>
      </c>
      <c r="D175">
        <v>4.45</v>
      </c>
      <c r="E175" t="str">
        <f t="shared" si="7"/>
        <v>Normal</v>
      </c>
      <c r="F175" t="s">
        <v>2380</v>
      </c>
      <c r="G175" t="s">
        <v>2380</v>
      </c>
      <c r="H175" t="s">
        <v>2380</v>
      </c>
      <c r="I175">
        <v>0</v>
      </c>
      <c r="J175" t="s">
        <v>2381</v>
      </c>
    </row>
    <row r="176" spans="1:10" x14ac:dyDescent="0.35">
      <c r="A176" t="s">
        <v>2198</v>
      </c>
      <c r="B176" t="str">
        <f t="shared" si="6"/>
        <v>Obesity</v>
      </c>
      <c r="C176">
        <v>54.4</v>
      </c>
      <c r="D176">
        <v>5.22</v>
      </c>
      <c r="E176" t="str">
        <f t="shared" si="7"/>
        <v>Normal</v>
      </c>
      <c r="F176" t="s">
        <v>2380</v>
      </c>
      <c r="G176" t="s">
        <v>2380</v>
      </c>
      <c r="H176" t="s">
        <v>2380</v>
      </c>
      <c r="I176">
        <v>1</v>
      </c>
      <c r="J176" t="s">
        <v>2381</v>
      </c>
    </row>
    <row r="177" spans="1:10" x14ac:dyDescent="0.35">
      <c r="A177" t="s">
        <v>2197</v>
      </c>
      <c r="B177" t="str">
        <f t="shared" si="6"/>
        <v>Obesity</v>
      </c>
      <c r="C177">
        <v>35.53</v>
      </c>
      <c r="D177">
        <v>4.6100000000000003</v>
      </c>
      <c r="E177" t="str">
        <f t="shared" si="7"/>
        <v>Normal</v>
      </c>
      <c r="F177" t="s">
        <v>2380</v>
      </c>
      <c r="G177" t="s">
        <v>2380</v>
      </c>
      <c r="H177" t="s">
        <v>2380</v>
      </c>
      <c r="I177">
        <v>1</v>
      </c>
      <c r="J177" t="s">
        <v>2381</v>
      </c>
    </row>
    <row r="178" spans="1:10" x14ac:dyDescent="0.35">
      <c r="A178" t="s">
        <v>2196</v>
      </c>
      <c r="B178" t="str">
        <f t="shared" si="6"/>
        <v>Obesity</v>
      </c>
      <c r="C178">
        <v>39.729999999999997</v>
      </c>
      <c r="D178">
        <v>6.24</v>
      </c>
      <c r="E178" t="str">
        <f t="shared" si="7"/>
        <v>Prediabetes</v>
      </c>
      <c r="F178" t="s">
        <v>2380</v>
      </c>
      <c r="G178" t="s">
        <v>2380</v>
      </c>
      <c r="H178" t="s">
        <v>2380</v>
      </c>
      <c r="I178">
        <v>0</v>
      </c>
      <c r="J178" t="s">
        <v>2381</v>
      </c>
    </row>
    <row r="179" spans="1:10" x14ac:dyDescent="0.35">
      <c r="A179" t="s">
        <v>2195</v>
      </c>
      <c r="B179" t="str">
        <f t="shared" si="6"/>
        <v>Obesity</v>
      </c>
      <c r="C179">
        <v>35.68</v>
      </c>
      <c r="D179">
        <v>10.039999999999999</v>
      </c>
      <c r="E179" t="str">
        <f t="shared" si="7"/>
        <v>Diabetes</v>
      </c>
      <c r="F179" t="s">
        <v>2380</v>
      </c>
      <c r="G179" t="s">
        <v>2380</v>
      </c>
      <c r="H179" t="s">
        <v>2380</v>
      </c>
      <c r="I179">
        <v>0</v>
      </c>
      <c r="J179" t="s">
        <v>2381</v>
      </c>
    </row>
    <row r="180" spans="1:10" x14ac:dyDescent="0.35">
      <c r="A180" t="s">
        <v>2194</v>
      </c>
      <c r="B180" t="str">
        <f t="shared" si="6"/>
        <v>Obesity</v>
      </c>
      <c r="C180">
        <v>48.86</v>
      </c>
      <c r="D180">
        <v>6.09</v>
      </c>
      <c r="E180" t="str">
        <f t="shared" si="7"/>
        <v>Prediabetes</v>
      </c>
      <c r="F180" t="s">
        <v>2380</v>
      </c>
      <c r="G180" t="s">
        <v>2380</v>
      </c>
      <c r="H180" t="s">
        <v>2380</v>
      </c>
      <c r="I180">
        <v>0</v>
      </c>
      <c r="J180" t="s">
        <v>2381</v>
      </c>
    </row>
    <row r="181" spans="1:10" x14ac:dyDescent="0.35">
      <c r="A181" t="s">
        <v>2193</v>
      </c>
      <c r="B181" t="str">
        <f t="shared" si="6"/>
        <v>Obesity</v>
      </c>
      <c r="C181">
        <v>34.799999999999997</v>
      </c>
      <c r="D181">
        <v>11.4</v>
      </c>
      <c r="E181" t="str">
        <f t="shared" si="7"/>
        <v>Diabetes</v>
      </c>
      <c r="F181" t="s">
        <v>2381</v>
      </c>
      <c r="G181" t="s">
        <v>2380</v>
      </c>
      <c r="H181" t="s">
        <v>2382</v>
      </c>
      <c r="I181">
        <v>1</v>
      </c>
      <c r="J181" t="s">
        <v>2380</v>
      </c>
    </row>
    <row r="182" spans="1:10" x14ac:dyDescent="0.35">
      <c r="A182" t="s">
        <v>2192</v>
      </c>
      <c r="B182" t="str">
        <f t="shared" si="6"/>
        <v>Obesity</v>
      </c>
      <c r="C182">
        <v>32.49</v>
      </c>
      <c r="D182">
        <v>4.29</v>
      </c>
      <c r="E182" t="str">
        <f t="shared" si="7"/>
        <v>Normal</v>
      </c>
      <c r="F182" t="s">
        <v>2380</v>
      </c>
      <c r="G182" t="s">
        <v>2380</v>
      </c>
      <c r="H182" t="s">
        <v>2382</v>
      </c>
      <c r="I182">
        <v>1</v>
      </c>
      <c r="J182" t="s">
        <v>2381</v>
      </c>
    </row>
    <row r="183" spans="1:10" x14ac:dyDescent="0.35">
      <c r="A183" t="s">
        <v>2191</v>
      </c>
      <c r="B183" t="str">
        <f t="shared" si="6"/>
        <v>Obesity</v>
      </c>
      <c r="C183">
        <v>39</v>
      </c>
      <c r="D183">
        <v>5.7</v>
      </c>
      <c r="E183" t="str">
        <f t="shared" si="7"/>
        <v>Prediabetes</v>
      </c>
      <c r="F183" t="s">
        <v>2380</v>
      </c>
      <c r="G183" t="s">
        <v>2380</v>
      </c>
      <c r="H183" t="s">
        <v>2380</v>
      </c>
      <c r="I183">
        <v>2</v>
      </c>
      <c r="J183" t="s">
        <v>2381</v>
      </c>
    </row>
    <row r="184" spans="1:10" x14ac:dyDescent="0.35">
      <c r="A184" t="s">
        <v>2190</v>
      </c>
      <c r="B184" t="str">
        <f t="shared" si="6"/>
        <v>Obesity</v>
      </c>
      <c r="C184">
        <v>35.299999999999997</v>
      </c>
      <c r="D184">
        <v>6.09</v>
      </c>
      <c r="E184" t="str">
        <f t="shared" si="7"/>
        <v>Prediabetes</v>
      </c>
      <c r="F184" t="s">
        <v>2380</v>
      </c>
      <c r="G184" t="s">
        <v>2380</v>
      </c>
      <c r="H184" t="s">
        <v>2380</v>
      </c>
      <c r="I184">
        <v>1</v>
      </c>
      <c r="J184" t="s">
        <v>2381</v>
      </c>
    </row>
    <row r="185" spans="1:10" x14ac:dyDescent="0.35">
      <c r="A185" t="s">
        <v>2189</v>
      </c>
      <c r="B185" t="str">
        <f t="shared" si="6"/>
        <v>Obesity</v>
      </c>
      <c r="C185">
        <v>33.42</v>
      </c>
      <c r="D185">
        <v>10.67</v>
      </c>
      <c r="E185" t="str">
        <f t="shared" si="7"/>
        <v>Diabetes</v>
      </c>
      <c r="F185" t="s">
        <v>2380</v>
      </c>
      <c r="G185" t="s">
        <v>2380</v>
      </c>
      <c r="H185" t="s">
        <v>2380</v>
      </c>
      <c r="I185">
        <v>0</v>
      </c>
      <c r="J185" t="s">
        <v>2381</v>
      </c>
    </row>
    <row r="186" spans="1:10" x14ac:dyDescent="0.35">
      <c r="A186" t="s">
        <v>2188</v>
      </c>
      <c r="B186" t="str">
        <f t="shared" si="6"/>
        <v>Obesity</v>
      </c>
      <c r="C186">
        <v>37.18</v>
      </c>
      <c r="D186">
        <v>6.75</v>
      </c>
      <c r="E186" t="str">
        <f t="shared" si="7"/>
        <v>Diabetes</v>
      </c>
      <c r="F186" t="s">
        <v>2381</v>
      </c>
      <c r="G186" t="s">
        <v>2380</v>
      </c>
      <c r="H186" t="s">
        <v>2380</v>
      </c>
      <c r="I186">
        <v>2</v>
      </c>
      <c r="J186" t="s">
        <v>2381</v>
      </c>
    </row>
    <row r="187" spans="1:10" x14ac:dyDescent="0.35">
      <c r="A187" t="s">
        <v>2187</v>
      </c>
      <c r="B187" t="str">
        <f t="shared" si="6"/>
        <v>Obesity</v>
      </c>
      <c r="C187">
        <v>33.33</v>
      </c>
      <c r="D187">
        <v>9.26</v>
      </c>
      <c r="E187" t="str">
        <f t="shared" si="7"/>
        <v>Diabetes</v>
      </c>
      <c r="F187" t="s">
        <v>2381</v>
      </c>
      <c r="G187" t="s">
        <v>2380</v>
      </c>
      <c r="H187" t="s">
        <v>2380</v>
      </c>
      <c r="I187">
        <v>2</v>
      </c>
      <c r="J187" t="s">
        <v>2380</v>
      </c>
    </row>
    <row r="188" spans="1:10" x14ac:dyDescent="0.35">
      <c r="A188" t="s">
        <v>2186</v>
      </c>
      <c r="B188" t="str">
        <f t="shared" si="6"/>
        <v>Obesity</v>
      </c>
      <c r="C188">
        <v>53.21</v>
      </c>
      <c r="D188">
        <v>4.2699999999999996</v>
      </c>
      <c r="E188" t="str">
        <f t="shared" si="7"/>
        <v>Normal</v>
      </c>
      <c r="F188" t="s">
        <v>2380</v>
      </c>
      <c r="G188" t="s">
        <v>2380</v>
      </c>
      <c r="H188" t="s">
        <v>2380</v>
      </c>
      <c r="I188">
        <v>1</v>
      </c>
      <c r="J188" t="s">
        <v>2381</v>
      </c>
    </row>
    <row r="189" spans="1:10" x14ac:dyDescent="0.35">
      <c r="A189" t="s">
        <v>2185</v>
      </c>
      <c r="B189" t="str">
        <f t="shared" si="6"/>
        <v>Obesity</v>
      </c>
      <c r="C189">
        <v>38.729999999999997</v>
      </c>
      <c r="D189">
        <v>11.51</v>
      </c>
      <c r="E189" t="str">
        <f t="shared" si="7"/>
        <v>Diabetes</v>
      </c>
      <c r="F189" t="s">
        <v>2380</v>
      </c>
      <c r="G189" t="s">
        <v>2380</v>
      </c>
      <c r="H189" t="s">
        <v>2380</v>
      </c>
      <c r="I189">
        <v>2</v>
      </c>
      <c r="J189" t="s">
        <v>2381</v>
      </c>
    </row>
    <row r="190" spans="1:10" x14ac:dyDescent="0.35">
      <c r="A190" t="s">
        <v>2184</v>
      </c>
      <c r="B190" t="str">
        <f t="shared" si="6"/>
        <v>Overweight</v>
      </c>
      <c r="C190">
        <v>29.73</v>
      </c>
      <c r="D190">
        <v>7.22</v>
      </c>
      <c r="E190" t="str">
        <f t="shared" si="7"/>
        <v>Diabetes</v>
      </c>
      <c r="F190" t="s">
        <v>2380</v>
      </c>
      <c r="G190" t="s">
        <v>2380</v>
      </c>
      <c r="H190" t="s">
        <v>2380</v>
      </c>
      <c r="I190">
        <v>0</v>
      </c>
      <c r="J190" t="s">
        <v>2381</v>
      </c>
    </row>
    <row r="191" spans="1:10" x14ac:dyDescent="0.35">
      <c r="A191" t="s">
        <v>2183</v>
      </c>
      <c r="B191" t="str">
        <f t="shared" si="6"/>
        <v>Obesity</v>
      </c>
      <c r="C191">
        <v>34.700000000000003</v>
      </c>
      <c r="D191">
        <v>4.37</v>
      </c>
      <c r="E191" t="str">
        <f t="shared" si="7"/>
        <v>Normal</v>
      </c>
      <c r="F191" t="s">
        <v>2380</v>
      </c>
      <c r="G191" t="s">
        <v>2380</v>
      </c>
      <c r="H191" t="s">
        <v>2382</v>
      </c>
      <c r="I191">
        <v>1</v>
      </c>
      <c r="J191" t="s">
        <v>2381</v>
      </c>
    </row>
    <row r="192" spans="1:10" x14ac:dyDescent="0.35">
      <c r="A192" t="s">
        <v>2182</v>
      </c>
      <c r="B192" t="str">
        <f t="shared" si="6"/>
        <v>Obesity</v>
      </c>
      <c r="C192">
        <v>38.28</v>
      </c>
      <c r="D192">
        <v>11.56</v>
      </c>
      <c r="E192" t="str">
        <f t="shared" si="7"/>
        <v>Diabetes</v>
      </c>
      <c r="F192" t="s">
        <v>2381</v>
      </c>
      <c r="G192" t="s">
        <v>2380</v>
      </c>
      <c r="H192" t="s">
        <v>2380</v>
      </c>
      <c r="I192">
        <v>1</v>
      </c>
      <c r="J192" t="s">
        <v>2381</v>
      </c>
    </row>
    <row r="193" spans="1:10" x14ac:dyDescent="0.35">
      <c r="A193" t="s">
        <v>2181</v>
      </c>
      <c r="B193" t="str">
        <f t="shared" si="6"/>
        <v>Obesity</v>
      </c>
      <c r="C193">
        <v>33.57</v>
      </c>
      <c r="D193">
        <v>8.82</v>
      </c>
      <c r="E193" t="str">
        <f t="shared" si="7"/>
        <v>Diabetes</v>
      </c>
      <c r="F193" t="s">
        <v>2381</v>
      </c>
      <c r="G193" t="s">
        <v>2380</v>
      </c>
      <c r="H193" t="s">
        <v>2380</v>
      </c>
      <c r="I193">
        <v>0</v>
      </c>
      <c r="J193" t="s">
        <v>2381</v>
      </c>
    </row>
    <row r="194" spans="1:10" x14ac:dyDescent="0.35">
      <c r="A194" t="s">
        <v>2180</v>
      </c>
      <c r="B194" t="str">
        <f t="shared" si="6"/>
        <v>Obesity</v>
      </c>
      <c r="C194">
        <v>52.06</v>
      </c>
      <c r="D194">
        <v>4.6900000000000004</v>
      </c>
      <c r="E194" t="str">
        <f t="shared" si="7"/>
        <v>Normal</v>
      </c>
      <c r="F194" t="s">
        <v>2380</v>
      </c>
      <c r="G194" t="s">
        <v>2380</v>
      </c>
      <c r="H194" t="s">
        <v>2380</v>
      </c>
      <c r="I194">
        <v>1</v>
      </c>
      <c r="J194" t="s">
        <v>2381</v>
      </c>
    </row>
    <row r="195" spans="1:10" x14ac:dyDescent="0.35">
      <c r="A195" t="s">
        <v>2179</v>
      </c>
      <c r="B195" t="str">
        <f t="shared" ref="B195:B258" si="8">IF(C195&lt;18.5,"Underweight",IF(C195&lt;25,"Normal Weight",IF(C195&lt;30,"Overweight","Obesity")))</f>
        <v>Obesity</v>
      </c>
      <c r="C195">
        <v>38.17</v>
      </c>
      <c r="D195">
        <v>4.53</v>
      </c>
      <c r="E195" t="str">
        <f t="shared" ref="E195:E258" si="9">IF(D195&lt;5.7,"Normal",IF(D195&lt;6.5,"Prediabetes","Diabetes"))</f>
        <v>Normal</v>
      </c>
      <c r="F195" t="s">
        <v>2380</v>
      </c>
      <c r="G195" t="s">
        <v>2381</v>
      </c>
      <c r="H195" t="s">
        <v>2380</v>
      </c>
      <c r="I195">
        <v>1</v>
      </c>
      <c r="J195" t="s">
        <v>2381</v>
      </c>
    </row>
    <row r="196" spans="1:10" x14ac:dyDescent="0.35">
      <c r="A196" t="s">
        <v>2178</v>
      </c>
      <c r="B196" t="str">
        <f t="shared" si="8"/>
        <v>Obesity</v>
      </c>
      <c r="C196">
        <v>36.954999999999998</v>
      </c>
      <c r="D196">
        <v>5.84</v>
      </c>
      <c r="E196" t="str">
        <f t="shared" si="9"/>
        <v>Prediabetes</v>
      </c>
      <c r="F196" t="s">
        <v>2380</v>
      </c>
      <c r="G196" t="s">
        <v>2380</v>
      </c>
      <c r="H196" t="s">
        <v>2382</v>
      </c>
      <c r="I196">
        <v>1</v>
      </c>
      <c r="J196" t="s">
        <v>2381</v>
      </c>
    </row>
    <row r="197" spans="1:10" x14ac:dyDescent="0.35">
      <c r="A197" t="s">
        <v>2177</v>
      </c>
      <c r="B197" t="str">
        <f t="shared" si="8"/>
        <v>Obesity</v>
      </c>
      <c r="C197">
        <v>34.4</v>
      </c>
      <c r="D197">
        <v>4.9000000000000004</v>
      </c>
      <c r="E197" t="str">
        <f t="shared" si="9"/>
        <v>Normal</v>
      </c>
      <c r="F197" t="s">
        <v>2380</v>
      </c>
      <c r="G197" t="s">
        <v>2380</v>
      </c>
      <c r="H197" t="s">
        <v>2382</v>
      </c>
      <c r="I197">
        <v>1</v>
      </c>
      <c r="J197" t="s">
        <v>2381</v>
      </c>
    </row>
    <row r="198" spans="1:10" x14ac:dyDescent="0.35">
      <c r="A198" t="s">
        <v>2176</v>
      </c>
      <c r="B198" t="str">
        <f t="shared" si="8"/>
        <v>Obesity</v>
      </c>
      <c r="C198">
        <v>31.73</v>
      </c>
      <c r="D198">
        <v>4.3</v>
      </c>
      <c r="E198" t="str">
        <f t="shared" si="9"/>
        <v>Normal</v>
      </c>
      <c r="F198" t="s">
        <v>2380</v>
      </c>
      <c r="G198" t="s">
        <v>2380</v>
      </c>
      <c r="H198" t="s">
        <v>2380</v>
      </c>
      <c r="I198">
        <v>0</v>
      </c>
      <c r="J198" t="s">
        <v>2381</v>
      </c>
    </row>
    <row r="199" spans="1:10" x14ac:dyDescent="0.35">
      <c r="A199" t="s">
        <v>2175</v>
      </c>
      <c r="B199" t="str">
        <f t="shared" si="8"/>
        <v>Obesity</v>
      </c>
      <c r="C199">
        <v>36.64</v>
      </c>
      <c r="D199">
        <v>11.34</v>
      </c>
      <c r="E199" t="str">
        <f t="shared" si="9"/>
        <v>Diabetes</v>
      </c>
      <c r="F199" t="s">
        <v>2380</v>
      </c>
      <c r="G199" t="s">
        <v>2380</v>
      </c>
      <c r="H199" t="s">
        <v>2380</v>
      </c>
      <c r="I199">
        <v>0</v>
      </c>
      <c r="J199" t="s">
        <v>2381</v>
      </c>
    </row>
    <row r="200" spans="1:10" x14ac:dyDescent="0.35">
      <c r="A200" t="s">
        <v>2174</v>
      </c>
      <c r="B200" t="str">
        <f t="shared" si="8"/>
        <v>Obesity</v>
      </c>
      <c r="C200">
        <v>36.85</v>
      </c>
      <c r="D200">
        <v>5.88</v>
      </c>
      <c r="E200" t="str">
        <f t="shared" si="9"/>
        <v>Prediabetes</v>
      </c>
      <c r="F200" t="s">
        <v>2380</v>
      </c>
      <c r="G200" t="s">
        <v>2381</v>
      </c>
      <c r="H200" t="s">
        <v>2380</v>
      </c>
      <c r="I200">
        <v>1</v>
      </c>
      <c r="J200" t="s">
        <v>2381</v>
      </c>
    </row>
    <row r="201" spans="1:10" x14ac:dyDescent="0.35">
      <c r="A201" t="s">
        <v>2173</v>
      </c>
      <c r="B201" t="str">
        <f t="shared" si="8"/>
        <v>Obesity</v>
      </c>
      <c r="C201">
        <v>33.33</v>
      </c>
      <c r="D201">
        <v>5.01</v>
      </c>
      <c r="E201" t="str">
        <f t="shared" si="9"/>
        <v>Normal</v>
      </c>
      <c r="F201" t="s">
        <v>2381</v>
      </c>
      <c r="G201" t="s">
        <v>2380</v>
      </c>
      <c r="H201" t="s">
        <v>2382</v>
      </c>
      <c r="I201">
        <v>1</v>
      </c>
      <c r="J201" t="s">
        <v>2381</v>
      </c>
    </row>
    <row r="202" spans="1:10" x14ac:dyDescent="0.35">
      <c r="A202" t="s">
        <v>2172</v>
      </c>
      <c r="B202" t="str">
        <f t="shared" si="8"/>
        <v>Obesity</v>
      </c>
      <c r="C202">
        <v>39.14</v>
      </c>
      <c r="D202">
        <v>4.4000000000000004</v>
      </c>
      <c r="E202" t="str">
        <f t="shared" si="9"/>
        <v>Normal</v>
      </c>
      <c r="F202" t="s">
        <v>2380</v>
      </c>
      <c r="G202" t="s">
        <v>2380</v>
      </c>
      <c r="H202" t="s">
        <v>2382</v>
      </c>
      <c r="I202">
        <v>1</v>
      </c>
      <c r="J202" t="s">
        <v>2381</v>
      </c>
    </row>
    <row r="203" spans="1:10" x14ac:dyDescent="0.35">
      <c r="A203" t="s">
        <v>2171</v>
      </c>
      <c r="B203" t="str">
        <f t="shared" si="8"/>
        <v>Obesity</v>
      </c>
      <c r="C203">
        <v>32.9</v>
      </c>
      <c r="D203">
        <v>6.26</v>
      </c>
      <c r="E203" t="str">
        <f t="shared" si="9"/>
        <v>Prediabetes</v>
      </c>
      <c r="F203" t="s">
        <v>2381</v>
      </c>
      <c r="G203" t="s">
        <v>2380</v>
      </c>
      <c r="H203" t="s">
        <v>2380</v>
      </c>
      <c r="I203">
        <v>0</v>
      </c>
      <c r="J203" t="s">
        <v>2381</v>
      </c>
    </row>
    <row r="204" spans="1:10" x14ac:dyDescent="0.35">
      <c r="A204" t="s">
        <v>2170</v>
      </c>
      <c r="B204" t="str">
        <f t="shared" si="8"/>
        <v>Overweight</v>
      </c>
      <c r="C204">
        <v>29.78</v>
      </c>
      <c r="D204">
        <v>10.27</v>
      </c>
      <c r="E204" t="str">
        <f t="shared" si="9"/>
        <v>Diabetes</v>
      </c>
      <c r="F204" t="s">
        <v>2381</v>
      </c>
      <c r="G204" t="s">
        <v>2380</v>
      </c>
      <c r="H204" t="s">
        <v>2382</v>
      </c>
      <c r="I204">
        <v>1</v>
      </c>
      <c r="J204" t="s">
        <v>2381</v>
      </c>
    </row>
    <row r="205" spans="1:10" x14ac:dyDescent="0.35">
      <c r="A205" t="s">
        <v>2169</v>
      </c>
      <c r="B205" t="str">
        <f t="shared" si="8"/>
        <v>Obesity</v>
      </c>
      <c r="C205">
        <v>32.78</v>
      </c>
      <c r="D205">
        <v>5.27</v>
      </c>
      <c r="E205" t="str">
        <f t="shared" si="9"/>
        <v>Normal</v>
      </c>
      <c r="F205" t="s">
        <v>2380</v>
      </c>
      <c r="G205" t="s">
        <v>2380</v>
      </c>
      <c r="H205" t="s">
        <v>2380</v>
      </c>
      <c r="I205">
        <v>0</v>
      </c>
      <c r="J205" t="s">
        <v>2381</v>
      </c>
    </row>
    <row r="206" spans="1:10" x14ac:dyDescent="0.35">
      <c r="A206" t="s">
        <v>2168</v>
      </c>
      <c r="B206" t="str">
        <f t="shared" si="8"/>
        <v>Obesity</v>
      </c>
      <c r="C206">
        <v>41.65</v>
      </c>
      <c r="D206">
        <v>10.73</v>
      </c>
      <c r="E206" t="str">
        <f t="shared" si="9"/>
        <v>Diabetes</v>
      </c>
      <c r="F206" t="s">
        <v>2381</v>
      </c>
      <c r="G206" t="s">
        <v>2380</v>
      </c>
      <c r="H206" t="s">
        <v>2380</v>
      </c>
      <c r="I206">
        <v>0</v>
      </c>
      <c r="J206" t="s">
        <v>2381</v>
      </c>
    </row>
    <row r="207" spans="1:10" x14ac:dyDescent="0.35">
      <c r="A207" t="s">
        <v>2167</v>
      </c>
      <c r="B207" t="str">
        <f t="shared" si="8"/>
        <v>Obesity</v>
      </c>
      <c r="C207">
        <v>50.79</v>
      </c>
      <c r="D207">
        <v>4.45</v>
      </c>
      <c r="E207" t="str">
        <f t="shared" si="9"/>
        <v>Normal</v>
      </c>
      <c r="F207" t="s">
        <v>2380</v>
      </c>
      <c r="G207" t="s">
        <v>2380</v>
      </c>
      <c r="H207" t="s">
        <v>2380</v>
      </c>
      <c r="I207">
        <v>1</v>
      </c>
      <c r="J207" t="s">
        <v>2381</v>
      </c>
    </row>
    <row r="208" spans="1:10" x14ac:dyDescent="0.35">
      <c r="A208" t="s">
        <v>2166</v>
      </c>
      <c r="B208" t="str">
        <f t="shared" si="8"/>
        <v>Obesity</v>
      </c>
      <c r="C208">
        <v>35.43</v>
      </c>
      <c r="D208">
        <v>5.25</v>
      </c>
      <c r="E208" t="str">
        <f t="shared" si="9"/>
        <v>Normal</v>
      </c>
      <c r="F208" t="s">
        <v>2381</v>
      </c>
      <c r="G208" t="s">
        <v>2380</v>
      </c>
      <c r="H208" t="s">
        <v>2380</v>
      </c>
      <c r="I208">
        <v>0</v>
      </c>
      <c r="J208" t="s">
        <v>2381</v>
      </c>
    </row>
    <row r="209" spans="1:10" x14ac:dyDescent="0.35">
      <c r="A209" t="s">
        <v>2165</v>
      </c>
      <c r="B209" t="str">
        <f t="shared" si="8"/>
        <v>Obesity</v>
      </c>
      <c r="C209">
        <v>35.25</v>
      </c>
      <c r="D209">
        <v>9.51</v>
      </c>
      <c r="E209" t="str">
        <f t="shared" si="9"/>
        <v>Diabetes</v>
      </c>
      <c r="F209" t="s">
        <v>2380</v>
      </c>
      <c r="G209" t="s">
        <v>2380</v>
      </c>
      <c r="H209" t="s">
        <v>2380</v>
      </c>
      <c r="I209">
        <v>0</v>
      </c>
      <c r="J209" t="s">
        <v>2381</v>
      </c>
    </row>
    <row r="210" spans="1:10" x14ac:dyDescent="0.35">
      <c r="A210" t="s">
        <v>2164</v>
      </c>
      <c r="B210" t="str">
        <f t="shared" si="8"/>
        <v>Obesity</v>
      </c>
      <c r="C210">
        <v>36.85</v>
      </c>
      <c r="D210">
        <v>11.12</v>
      </c>
      <c r="E210" t="str">
        <f t="shared" si="9"/>
        <v>Diabetes</v>
      </c>
      <c r="F210" t="s">
        <v>2380</v>
      </c>
      <c r="G210" t="s">
        <v>2380</v>
      </c>
      <c r="H210" t="s">
        <v>2380</v>
      </c>
      <c r="I210">
        <v>0</v>
      </c>
      <c r="J210" t="s">
        <v>2381</v>
      </c>
    </row>
    <row r="211" spans="1:10" x14ac:dyDescent="0.35">
      <c r="A211" t="s">
        <v>2163</v>
      </c>
      <c r="B211" t="str">
        <f t="shared" si="8"/>
        <v>Obesity</v>
      </c>
      <c r="C211">
        <v>31.02</v>
      </c>
      <c r="D211">
        <v>4.5599999999999996</v>
      </c>
      <c r="E211" t="str">
        <f t="shared" si="9"/>
        <v>Normal</v>
      </c>
      <c r="F211" t="s">
        <v>2380</v>
      </c>
      <c r="G211" t="s">
        <v>2381</v>
      </c>
      <c r="H211" t="s">
        <v>2380</v>
      </c>
      <c r="I211">
        <v>1</v>
      </c>
      <c r="J211" t="s">
        <v>2381</v>
      </c>
    </row>
    <row r="212" spans="1:10" x14ac:dyDescent="0.35">
      <c r="A212" t="s">
        <v>2162</v>
      </c>
      <c r="B212" t="str">
        <f t="shared" si="8"/>
        <v>Obesity</v>
      </c>
      <c r="C212">
        <v>35.6</v>
      </c>
      <c r="D212">
        <v>4.0199999999999996</v>
      </c>
      <c r="E212" t="str">
        <f t="shared" si="9"/>
        <v>Normal</v>
      </c>
      <c r="F212" t="s">
        <v>2381</v>
      </c>
      <c r="G212" t="s">
        <v>2381</v>
      </c>
      <c r="H212" t="s">
        <v>2380</v>
      </c>
      <c r="I212">
        <v>2</v>
      </c>
      <c r="J212" t="s">
        <v>2381</v>
      </c>
    </row>
    <row r="213" spans="1:10" x14ac:dyDescent="0.35">
      <c r="A213" t="s">
        <v>2161</v>
      </c>
      <c r="B213" t="str">
        <f t="shared" si="8"/>
        <v>Obesity</v>
      </c>
      <c r="C213">
        <v>34.39</v>
      </c>
      <c r="D213">
        <v>8.7200000000000006</v>
      </c>
      <c r="E213" t="str">
        <f t="shared" si="9"/>
        <v>Diabetes</v>
      </c>
      <c r="F213" t="s">
        <v>2380</v>
      </c>
      <c r="G213" t="s">
        <v>2380</v>
      </c>
      <c r="H213" t="s">
        <v>2380</v>
      </c>
      <c r="I213">
        <v>0</v>
      </c>
      <c r="J213" t="s">
        <v>2381</v>
      </c>
    </row>
    <row r="214" spans="1:10" x14ac:dyDescent="0.35">
      <c r="A214" t="s">
        <v>2160</v>
      </c>
      <c r="B214" t="str">
        <f t="shared" si="8"/>
        <v>Overweight</v>
      </c>
      <c r="C214">
        <v>29.06</v>
      </c>
      <c r="D214">
        <v>6.25</v>
      </c>
      <c r="E214" t="str">
        <f t="shared" si="9"/>
        <v>Prediabetes</v>
      </c>
      <c r="F214" t="s">
        <v>2381</v>
      </c>
      <c r="G214" t="s">
        <v>2380</v>
      </c>
      <c r="H214" t="s">
        <v>2380</v>
      </c>
      <c r="I214">
        <v>1</v>
      </c>
      <c r="J214" t="s">
        <v>2381</v>
      </c>
    </row>
    <row r="215" spans="1:10" x14ac:dyDescent="0.35">
      <c r="A215" t="s">
        <v>2159</v>
      </c>
      <c r="B215" t="str">
        <f t="shared" si="8"/>
        <v>Obesity</v>
      </c>
      <c r="C215">
        <v>35.799999999999997</v>
      </c>
      <c r="D215">
        <v>7.32</v>
      </c>
      <c r="E215" t="str">
        <f t="shared" si="9"/>
        <v>Diabetes</v>
      </c>
      <c r="F215" t="s">
        <v>2380</v>
      </c>
      <c r="G215" t="s">
        <v>2380</v>
      </c>
      <c r="H215" t="s">
        <v>2380</v>
      </c>
      <c r="I215">
        <v>2</v>
      </c>
      <c r="J215" t="s">
        <v>2381</v>
      </c>
    </row>
    <row r="216" spans="1:10" x14ac:dyDescent="0.35">
      <c r="A216" t="s">
        <v>2158</v>
      </c>
      <c r="B216" t="str">
        <f t="shared" si="8"/>
        <v>Obesity</v>
      </c>
      <c r="C216">
        <v>49.8</v>
      </c>
      <c r="D216">
        <v>4.24</v>
      </c>
      <c r="E216" t="str">
        <f t="shared" si="9"/>
        <v>Normal</v>
      </c>
      <c r="F216" t="s">
        <v>2380</v>
      </c>
      <c r="G216" t="s">
        <v>2380</v>
      </c>
      <c r="H216" t="s">
        <v>2380</v>
      </c>
      <c r="I216">
        <v>1</v>
      </c>
      <c r="J216" t="s">
        <v>2381</v>
      </c>
    </row>
    <row r="217" spans="1:10" x14ac:dyDescent="0.35">
      <c r="A217" t="s">
        <v>2157</v>
      </c>
      <c r="B217" t="str">
        <f t="shared" si="8"/>
        <v>Obesity</v>
      </c>
      <c r="C217">
        <v>35.71</v>
      </c>
      <c r="D217">
        <v>6.84</v>
      </c>
      <c r="E217" t="str">
        <f t="shared" si="9"/>
        <v>Diabetes</v>
      </c>
      <c r="F217" t="s">
        <v>2380</v>
      </c>
      <c r="G217" t="s">
        <v>2380</v>
      </c>
      <c r="H217" t="s">
        <v>2380</v>
      </c>
      <c r="I217">
        <v>2</v>
      </c>
      <c r="J217" t="s">
        <v>2381</v>
      </c>
    </row>
    <row r="218" spans="1:10" x14ac:dyDescent="0.35">
      <c r="A218" t="s">
        <v>2156</v>
      </c>
      <c r="B218" t="str">
        <f t="shared" si="8"/>
        <v>Obesity</v>
      </c>
      <c r="C218">
        <v>30.8</v>
      </c>
      <c r="D218">
        <v>5.23</v>
      </c>
      <c r="E218" t="str">
        <f t="shared" si="9"/>
        <v>Normal</v>
      </c>
      <c r="F218" t="s">
        <v>2381</v>
      </c>
      <c r="G218" t="s">
        <v>2380</v>
      </c>
      <c r="H218" t="s">
        <v>2380</v>
      </c>
      <c r="I218">
        <v>1</v>
      </c>
      <c r="J218" t="s">
        <v>2381</v>
      </c>
    </row>
    <row r="219" spans="1:10" x14ac:dyDescent="0.35">
      <c r="A219" t="s">
        <v>2155</v>
      </c>
      <c r="B219" t="str">
        <f t="shared" si="8"/>
        <v>Obesity</v>
      </c>
      <c r="C219">
        <v>33.69</v>
      </c>
      <c r="D219">
        <v>9.68</v>
      </c>
      <c r="E219" t="str">
        <f t="shared" si="9"/>
        <v>Diabetes</v>
      </c>
      <c r="F219" t="s">
        <v>2380</v>
      </c>
      <c r="G219" t="s">
        <v>2380</v>
      </c>
      <c r="H219" t="s">
        <v>2380</v>
      </c>
      <c r="I219">
        <v>0</v>
      </c>
      <c r="J219" t="s">
        <v>2381</v>
      </c>
    </row>
    <row r="220" spans="1:10" x14ac:dyDescent="0.35">
      <c r="A220" t="s">
        <v>2154</v>
      </c>
      <c r="B220" t="str">
        <f t="shared" si="8"/>
        <v>Obesity</v>
      </c>
      <c r="C220">
        <v>42.27</v>
      </c>
      <c r="D220">
        <v>6.05</v>
      </c>
      <c r="E220" t="str">
        <f t="shared" si="9"/>
        <v>Prediabetes</v>
      </c>
      <c r="F220" t="s">
        <v>2381</v>
      </c>
      <c r="G220" t="s">
        <v>2380</v>
      </c>
      <c r="H220" t="s">
        <v>2380</v>
      </c>
      <c r="I220">
        <v>1</v>
      </c>
      <c r="J220" t="s">
        <v>2381</v>
      </c>
    </row>
    <row r="221" spans="1:10" x14ac:dyDescent="0.35">
      <c r="A221" t="s">
        <v>2153</v>
      </c>
      <c r="B221" t="str">
        <f t="shared" si="8"/>
        <v>Obesity</v>
      </c>
      <c r="C221">
        <v>53.25</v>
      </c>
      <c r="D221">
        <v>6.11</v>
      </c>
      <c r="E221" t="str">
        <f t="shared" si="9"/>
        <v>Prediabetes</v>
      </c>
      <c r="F221" t="s">
        <v>2381</v>
      </c>
      <c r="G221" t="s">
        <v>2380</v>
      </c>
      <c r="H221" t="s">
        <v>2382</v>
      </c>
      <c r="I221">
        <v>1</v>
      </c>
      <c r="J221" t="s">
        <v>2381</v>
      </c>
    </row>
    <row r="222" spans="1:10" x14ac:dyDescent="0.35">
      <c r="A222" t="s">
        <v>2152</v>
      </c>
      <c r="B222" t="str">
        <f t="shared" si="8"/>
        <v>Overweight</v>
      </c>
      <c r="C222">
        <v>26.8</v>
      </c>
      <c r="D222">
        <v>10.93</v>
      </c>
      <c r="E222" t="str">
        <f t="shared" si="9"/>
        <v>Diabetes</v>
      </c>
      <c r="F222" t="s">
        <v>2381</v>
      </c>
      <c r="G222" t="s">
        <v>2380</v>
      </c>
      <c r="H222" t="s">
        <v>2380</v>
      </c>
      <c r="I222">
        <v>0</v>
      </c>
      <c r="J222" t="s">
        <v>2380</v>
      </c>
    </row>
    <row r="223" spans="1:10" x14ac:dyDescent="0.35">
      <c r="A223" t="s">
        <v>2151</v>
      </c>
      <c r="B223" t="str">
        <f t="shared" si="8"/>
        <v>Overweight</v>
      </c>
      <c r="C223">
        <v>28.5</v>
      </c>
      <c r="D223">
        <v>5.12</v>
      </c>
      <c r="E223" t="str">
        <f t="shared" si="9"/>
        <v>Normal</v>
      </c>
      <c r="F223" t="s">
        <v>2380</v>
      </c>
      <c r="G223" t="s">
        <v>2380</v>
      </c>
      <c r="H223" t="s">
        <v>2380</v>
      </c>
      <c r="I223">
        <v>1</v>
      </c>
      <c r="J223" t="s">
        <v>2381</v>
      </c>
    </row>
    <row r="224" spans="1:10" x14ac:dyDescent="0.35">
      <c r="A224" t="s">
        <v>2150</v>
      </c>
      <c r="B224" t="str">
        <f t="shared" si="8"/>
        <v>Normal Weight</v>
      </c>
      <c r="C224">
        <v>22.895</v>
      </c>
      <c r="D224">
        <v>5.72</v>
      </c>
      <c r="E224" t="str">
        <f t="shared" si="9"/>
        <v>Prediabetes</v>
      </c>
      <c r="F224" t="s">
        <v>2380</v>
      </c>
      <c r="G224" t="s">
        <v>2380</v>
      </c>
      <c r="H224" t="s">
        <v>2380</v>
      </c>
      <c r="I224">
        <v>0</v>
      </c>
      <c r="J224" t="s">
        <v>2381</v>
      </c>
    </row>
    <row r="225" spans="1:10" x14ac:dyDescent="0.35">
      <c r="A225" t="s">
        <v>2149</v>
      </c>
      <c r="B225" t="str">
        <f t="shared" si="8"/>
        <v>Obesity</v>
      </c>
      <c r="C225">
        <v>34.06</v>
      </c>
      <c r="D225">
        <v>11.83</v>
      </c>
      <c r="E225" t="str">
        <f t="shared" si="9"/>
        <v>Diabetes</v>
      </c>
      <c r="F225" t="s">
        <v>2381</v>
      </c>
      <c r="G225" t="s">
        <v>2380</v>
      </c>
      <c r="H225" t="s">
        <v>2380</v>
      </c>
      <c r="I225">
        <v>1</v>
      </c>
      <c r="J225" t="s">
        <v>2381</v>
      </c>
    </row>
    <row r="226" spans="1:10" x14ac:dyDescent="0.35">
      <c r="A226" t="s">
        <v>2148</v>
      </c>
      <c r="B226" t="str">
        <f t="shared" si="8"/>
        <v>Obesity</v>
      </c>
      <c r="C226">
        <v>36.409999999999997</v>
      </c>
      <c r="D226">
        <v>4.55</v>
      </c>
      <c r="E226" t="str">
        <f t="shared" si="9"/>
        <v>Normal</v>
      </c>
      <c r="F226" t="s">
        <v>2380</v>
      </c>
      <c r="G226" t="s">
        <v>2380</v>
      </c>
      <c r="H226" t="s">
        <v>2380</v>
      </c>
      <c r="I226">
        <v>0</v>
      </c>
      <c r="J226" t="s">
        <v>2381</v>
      </c>
    </row>
    <row r="227" spans="1:10" x14ac:dyDescent="0.35">
      <c r="A227" t="s">
        <v>2147</v>
      </c>
      <c r="B227" t="str">
        <f t="shared" si="8"/>
        <v>Obesity</v>
      </c>
      <c r="C227">
        <v>52.3</v>
      </c>
      <c r="D227">
        <v>4.87</v>
      </c>
      <c r="E227" t="str">
        <f t="shared" si="9"/>
        <v>Normal</v>
      </c>
      <c r="F227" t="s">
        <v>2381</v>
      </c>
      <c r="G227" t="s">
        <v>2380</v>
      </c>
      <c r="H227" t="s">
        <v>2382</v>
      </c>
      <c r="I227">
        <v>1</v>
      </c>
      <c r="J227" t="s">
        <v>2381</v>
      </c>
    </row>
    <row r="228" spans="1:10" x14ac:dyDescent="0.35">
      <c r="A228" t="s">
        <v>2146</v>
      </c>
      <c r="B228" t="str">
        <f t="shared" si="8"/>
        <v>Obesity</v>
      </c>
      <c r="C228">
        <v>52.66</v>
      </c>
      <c r="D228">
        <v>4.45</v>
      </c>
      <c r="E228" t="str">
        <f t="shared" si="9"/>
        <v>Normal</v>
      </c>
      <c r="F228" t="s">
        <v>2380</v>
      </c>
      <c r="G228" t="s">
        <v>2380</v>
      </c>
      <c r="H228" t="s">
        <v>2380</v>
      </c>
      <c r="I228">
        <v>1</v>
      </c>
      <c r="J228" t="s">
        <v>2381</v>
      </c>
    </row>
    <row r="229" spans="1:10" x14ac:dyDescent="0.35">
      <c r="A229" t="s">
        <v>2145</v>
      </c>
      <c r="B229" t="str">
        <f t="shared" si="8"/>
        <v>Overweight</v>
      </c>
      <c r="C229">
        <v>29.57</v>
      </c>
      <c r="D229">
        <v>9.42</v>
      </c>
      <c r="E229" t="str">
        <f t="shared" si="9"/>
        <v>Diabetes</v>
      </c>
      <c r="F229" t="s">
        <v>2381</v>
      </c>
      <c r="G229" t="s">
        <v>2380</v>
      </c>
      <c r="H229" t="s">
        <v>2380</v>
      </c>
      <c r="I229">
        <v>0</v>
      </c>
      <c r="J229" t="s">
        <v>2381</v>
      </c>
    </row>
    <row r="230" spans="1:10" x14ac:dyDescent="0.35">
      <c r="A230" t="s">
        <v>2144</v>
      </c>
      <c r="B230" t="str">
        <f t="shared" si="8"/>
        <v>Obesity</v>
      </c>
      <c r="C230">
        <v>36.99</v>
      </c>
      <c r="D230">
        <v>5.37</v>
      </c>
      <c r="E230" t="str">
        <f t="shared" si="9"/>
        <v>Normal</v>
      </c>
      <c r="F230" t="s">
        <v>2381</v>
      </c>
      <c r="G230" t="s">
        <v>2380</v>
      </c>
      <c r="H230" t="s">
        <v>2382</v>
      </c>
      <c r="I230">
        <v>1</v>
      </c>
      <c r="J230" t="s">
        <v>2381</v>
      </c>
    </row>
    <row r="231" spans="1:10" x14ac:dyDescent="0.35">
      <c r="A231" t="s">
        <v>2143</v>
      </c>
      <c r="B231" t="str">
        <f t="shared" si="8"/>
        <v>Obesity</v>
      </c>
      <c r="C231">
        <v>31.4</v>
      </c>
      <c r="D231">
        <v>4.5999999999999996</v>
      </c>
      <c r="E231" t="str">
        <f t="shared" si="9"/>
        <v>Normal</v>
      </c>
      <c r="F231" t="s">
        <v>2381</v>
      </c>
      <c r="G231" t="s">
        <v>2380</v>
      </c>
      <c r="H231" t="s">
        <v>2380</v>
      </c>
      <c r="I231">
        <v>1</v>
      </c>
      <c r="J231" t="s">
        <v>2381</v>
      </c>
    </row>
    <row r="232" spans="1:10" x14ac:dyDescent="0.35">
      <c r="A232" t="s">
        <v>2142</v>
      </c>
      <c r="B232" t="str">
        <f t="shared" si="8"/>
        <v>Obesity</v>
      </c>
      <c r="C232">
        <v>34.9</v>
      </c>
      <c r="D232">
        <v>6.22</v>
      </c>
      <c r="E232" t="str">
        <f t="shared" si="9"/>
        <v>Prediabetes</v>
      </c>
      <c r="F232" t="s">
        <v>2380</v>
      </c>
      <c r="G232" t="s">
        <v>2380</v>
      </c>
      <c r="H232" t="s">
        <v>2382</v>
      </c>
      <c r="I232">
        <v>1</v>
      </c>
      <c r="J232" t="s">
        <v>2381</v>
      </c>
    </row>
    <row r="233" spans="1:10" x14ac:dyDescent="0.35">
      <c r="A233" t="s">
        <v>2141</v>
      </c>
      <c r="B233" t="str">
        <f t="shared" si="8"/>
        <v>Obesity</v>
      </c>
      <c r="C233">
        <v>31.13</v>
      </c>
      <c r="D233">
        <v>4.5199999999999996</v>
      </c>
      <c r="E233" t="str">
        <f t="shared" si="9"/>
        <v>Normal</v>
      </c>
      <c r="F233" t="s">
        <v>2381</v>
      </c>
      <c r="G233" t="s">
        <v>2380</v>
      </c>
      <c r="H233" t="s">
        <v>2380</v>
      </c>
      <c r="I233">
        <v>1</v>
      </c>
      <c r="J233" t="s">
        <v>2381</v>
      </c>
    </row>
    <row r="234" spans="1:10" x14ac:dyDescent="0.35">
      <c r="A234" t="s">
        <v>2140</v>
      </c>
      <c r="B234" t="str">
        <f t="shared" si="8"/>
        <v>Obesity</v>
      </c>
      <c r="C234">
        <v>34.799999999999997</v>
      </c>
      <c r="D234">
        <v>6.18</v>
      </c>
      <c r="E234" t="str">
        <f t="shared" si="9"/>
        <v>Prediabetes</v>
      </c>
      <c r="F234" t="s">
        <v>2380</v>
      </c>
      <c r="G234" t="s">
        <v>2380</v>
      </c>
      <c r="H234" t="s">
        <v>2382</v>
      </c>
      <c r="I234">
        <v>1</v>
      </c>
      <c r="J234" t="s">
        <v>2381</v>
      </c>
    </row>
    <row r="235" spans="1:10" x14ac:dyDescent="0.35">
      <c r="A235" t="s">
        <v>2139</v>
      </c>
      <c r="B235" t="str">
        <f t="shared" si="8"/>
        <v>Obesity</v>
      </c>
      <c r="C235">
        <v>31.68</v>
      </c>
      <c r="D235">
        <v>4.4000000000000004</v>
      </c>
      <c r="E235" t="str">
        <f t="shared" si="9"/>
        <v>Normal</v>
      </c>
      <c r="F235" t="s">
        <v>2380</v>
      </c>
      <c r="G235" t="s">
        <v>2380</v>
      </c>
      <c r="H235" t="s">
        <v>2380</v>
      </c>
      <c r="I235">
        <v>0</v>
      </c>
      <c r="J235" t="s">
        <v>2381</v>
      </c>
    </row>
    <row r="236" spans="1:10" x14ac:dyDescent="0.35">
      <c r="A236" t="s">
        <v>2138</v>
      </c>
      <c r="B236" t="str">
        <f t="shared" si="8"/>
        <v>Obesity</v>
      </c>
      <c r="C236">
        <v>33.534999999999997</v>
      </c>
      <c r="D236">
        <v>6.23</v>
      </c>
      <c r="E236" t="str">
        <f t="shared" si="9"/>
        <v>Prediabetes</v>
      </c>
      <c r="F236" t="s">
        <v>2380</v>
      </c>
      <c r="G236" t="s">
        <v>2381</v>
      </c>
      <c r="H236" t="s">
        <v>2380</v>
      </c>
      <c r="I236">
        <v>1</v>
      </c>
      <c r="J236" t="s">
        <v>2381</v>
      </c>
    </row>
    <row r="237" spans="1:10" x14ac:dyDescent="0.35">
      <c r="A237" t="s">
        <v>2137</v>
      </c>
      <c r="B237" t="str">
        <f t="shared" si="8"/>
        <v>Obesity</v>
      </c>
      <c r="C237">
        <v>31.92</v>
      </c>
      <c r="D237">
        <v>5.33</v>
      </c>
      <c r="E237" t="str">
        <f t="shared" si="9"/>
        <v>Normal</v>
      </c>
      <c r="F237" t="s">
        <v>2381</v>
      </c>
      <c r="G237" t="s">
        <v>2380</v>
      </c>
      <c r="H237" t="s">
        <v>2380</v>
      </c>
      <c r="I237">
        <v>0</v>
      </c>
      <c r="J237" t="s">
        <v>2381</v>
      </c>
    </row>
    <row r="238" spans="1:10" x14ac:dyDescent="0.35">
      <c r="A238" t="s">
        <v>2136</v>
      </c>
      <c r="B238" t="str">
        <f t="shared" si="8"/>
        <v>Obesity</v>
      </c>
      <c r="C238">
        <v>32.700000000000003</v>
      </c>
      <c r="D238">
        <v>4.09</v>
      </c>
      <c r="E238" t="str">
        <f t="shared" si="9"/>
        <v>Normal</v>
      </c>
      <c r="F238" t="s">
        <v>2380</v>
      </c>
      <c r="G238" t="s">
        <v>2380</v>
      </c>
      <c r="H238" t="s">
        <v>2380</v>
      </c>
      <c r="I238">
        <v>1</v>
      </c>
      <c r="J238" t="s">
        <v>2381</v>
      </c>
    </row>
    <row r="239" spans="1:10" x14ac:dyDescent="0.35">
      <c r="A239" t="s">
        <v>2135</v>
      </c>
      <c r="B239" t="str">
        <f t="shared" si="8"/>
        <v>Obesity</v>
      </c>
      <c r="C239">
        <v>41.25</v>
      </c>
      <c r="D239">
        <v>5.19</v>
      </c>
      <c r="E239" t="str">
        <f t="shared" si="9"/>
        <v>Normal</v>
      </c>
      <c r="F239" t="s">
        <v>2380</v>
      </c>
      <c r="G239" t="s">
        <v>2380</v>
      </c>
      <c r="H239" t="s">
        <v>2380</v>
      </c>
      <c r="I239">
        <v>0</v>
      </c>
      <c r="J239" t="s">
        <v>2381</v>
      </c>
    </row>
    <row r="240" spans="1:10" x14ac:dyDescent="0.35">
      <c r="A240" t="s">
        <v>2134</v>
      </c>
      <c r="B240" t="str">
        <f t="shared" si="8"/>
        <v>Obesity</v>
      </c>
      <c r="C240">
        <v>33.11</v>
      </c>
      <c r="D240">
        <v>4.12</v>
      </c>
      <c r="E240" t="str">
        <f t="shared" si="9"/>
        <v>Normal</v>
      </c>
      <c r="F240" t="s">
        <v>2380</v>
      </c>
      <c r="G240" t="s">
        <v>2380</v>
      </c>
      <c r="H240" t="s">
        <v>2382</v>
      </c>
      <c r="I240">
        <v>1</v>
      </c>
      <c r="J240" t="s">
        <v>2381</v>
      </c>
    </row>
    <row r="241" spans="1:10" x14ac:dyDescent="0.35">
      <c r="A241" t="s">
        <v>2133</v>
      </c>
      <c r="B241" t="str">
        <f t="shared" si="8"/>
        <v>Obesity</v>
      </c>
      <c r="C241">
        <v>36.159999999999997</v>
      </c>
      <c r="D241">
        <v>5.0999999999999996</v>
      </c>
      <c r="E241" t="str">
        <f t="shared" si="9"/>
        <v>Normal</v>
      </c>
      <c r="F241" t="s">
        <v>2380</v>
      </c>
      <c r="G241" t="s">
        <v>2380</v>
      </c>
      <c r="H241" t="s">
        <v>2380</v>
      </c>
      <c r="I241">
        <v>1</v>
      </c>
      <c r="J241" t="s">
        <v>2381</v>
      </c>
    </row>
    <row r="242" spans="1:10" x14ac:dyDescent="0.35">
      <c r="A242" t="s">
        <v>2132</v>
      </c>
      <c r="B242" t="str">
        <f t="shared" si="8"/>
        <v>Obesity</v>
      </c>
      <c r="C242">
        <v>33.72</v>
      </c>
      <c r="D242">
        <v>6.21</v>
      </c>
      <c r="E242" t="str">
        <f t="shared" si="9"/>
        <v>Prediabetes</v>
      </c>
      <c r="F242" t="s">
        <v>2381</v>
      </c>
      <c r="G242" t="s">
        <v>2380</v>
      </c>
      <c r="H242" t="s">
        <v>2382</v>
      </c>
      <c r="I242">
        <v>1</v>
      </c>
      <c r="J242" t="s">
        <v>2381</v>
      </c>
    </row>
    <row r="243" spans="1:10" x14ac:dyDescent="0.35">
      <c r="A243" t="s">
        <v>2130</v>
      </c>
      <c r="B243" t="str">
        <f t="shared" si="8"/>
        <v>Obesity</v>
      </c>
      <c r="C243">
        <v>37.74</v>
      </c>
      <c r="D243">
        <v>9.5299999999999994</v>
      </c>
      <c r="E243" t="str">
        <f t="shared" si="9"/>
        <v>Diabetes</v>
      </c>
      <c r="F243" t="s">
        <v>2381</v>
      </c>
      <c r="G243" t="s">
        <v>2380</v>
      </c>
      <c r="H243" t="s">
        <v>2380</v>
      </c>
      <c r="I243">
        <v>1</v>
      </c>
      <c r="J243" t="s">
        <v>2381</v>
      </c>
    </row>
    <row r="244" spans="1:10" x14ac:dyDescent="0.35">
      <c r="A244" t="s">
        <v>2129</v>
      </c>
      <c r="B244" t="str">
        <f t="shared" si="8"/>
        <v>Obesity</v>
      </c>
      <c r="C244">
        <v>48.75</v>
      </c>
      <c r="D244">
        <v>4.6399999999999997</v>
      </c>
      <c r="E244" t="str">
        <f t="shared" si="9"/>
        <v>Normal</v>
      </c>
      <c r="F244" t="s">
        <v>2381</v>
      </c>
      <c r="G244" t="s">
        <v>2380</v>
      </c>
      <c r="H244" t="s">
        <v>2380</v>
      </c>
      <c r="I244">
        <v>1</v>
      </c>
      <c r="J244" t="s">
        <v>2381</v>
      </c>
    </row>
    <row r="245" spans="1:10" x14ac:dyDescent="0.35">
      <c r="A245" t="s">
        <v>2128</v>
      </c>
      <c r="B245" t="str">
        <f t="shared" si="8"/>
        <v>Obesity</v>
      </c>
      <c r="C245">
        <v>31.065000000000001</v>
      </c>
      <c r="D245">
        <v>5.05</v>
      </c>
      <c r="E245" t="str">
        <f t="shared" si="9"/>
        <v>Normal</v>
      </c>
      <c r="F245" t="s">
        <v>2380</v>
      </c>
      <c r="G245" t="s">
        <v>2380</v>
      </c>
      <c r="H245" t="s">
        <v>2380</v>
      </c>
      <c r="I245">
        <v>1</v>
      </c>
      <c r="J245" t="s">
        <v>2381</v>
      </c>
    </row>
    <row r="246" spans="1:10" x14ac:dyDescent="0.35">
      <c r="A246" t="s">
        <v>2127</v>
      </c>
      <c r="B246" t="str">
        <f t="shared" si="8"/>
        <v>Normal Weight</v>
      </c>
      <c r="C246">
        <v>23.55</v>
      </c>
      <c r="D246">
        <v>10.38</v>
      </c>
      <c r="E246" t="str">
        <f t="shared" si="9"/>
        <v>Diabetes</v>
      </c>
      <c r="F246" t="s">
        <v>2380</v>
      </c>
      <c r="G246" t="s">
        <v>2380</v>
      </c>
      <c r="H246" t="s">
        <v>2380</v>
      </c>
      <c r="I246">
        <v>0</v>
      </c>
      <c r="J246" t="s">
        <v>2381</v>
      </c>
    </row>
    <row r="247" spans="1:10" x14ac:dyDescent="0.35">
      <c r="A247" t="s">
        <v>2126</v>
      </c>
      <c r="B247" t="str">
        <f t="shared" si="8"/>
        <v>Obesity</v>
      </c>
      <c r="C247">
        <v>30.18</v>
      </c>
      <c r="D247">
        <v>8.31</v>
      </c>
      <c r="E247" t="str">
        <f t="shared" si="9"/>
        <v>Diabetes</v>
      </c>
      <c r="F247" t="s">
        <v>2381</v>
      </c>
      <c r="G247" t="s">
        <v>2380</v>
      </c>
      <c r="H247" t="s">
        <v>2380</v>
      </c>
      <c r="I247">
        <v>1</v>
      </c>
      <c r="J247" t="s">
        <v>2381</v>
      </c>
    </row>
    <row r="248" spans="1:10" x14ac:dyDescent="0.35">
      <c r="A248" t="s">
        <v>2125</v>
      </c>
      <c r="B248" t="str">
        <f t="shared" si="8"/>
        <v>Overweight</v>
      </c>
      <c r="C248">
        <v>29.94</v>
      </c>
      <c r="D248">
        <v>7.59</v>
      </c>
      <c r="E248" t="str">
        <f t="shared" si="9"/>
        <v>Diabetes</v>
      </c>
      <c r="F248" t="s">
        <v>2380</v>
      </c>
      <c r="G248" t="s">
        <v>2380</v>
      </c>
      <c r="H248" t="s">
        <v>2380</v>
      </c>
      <c r="I248">
        <v>0</v>
      </c>
      <c r="J248" t="s">
        <v>2381</v>
      </c>
    </row>
    <row r="249" spans="1:10" x14ac:dyDescent="0.35">
      <c r="A249" t="s">
        <v>2124</v>
      </c>
      <c r="B249" t="str">
        <f t="shared" si="8"/>
        <v>Obesity</v>
      </c>
      <c r="C249">
        <v>31.4</v>
      </c>
      <c r="D249">
        <v>5.49</v>
      </c>
      <c r="E249" t="str">
        <f t="shared" si="9"/>
        <v>Normal</v>
      </c>
      <c r="F249" t="s">
        <v>2380</v>
      </c>
      <c r="G249" t="s">
        <v>2380</v>
      </c>
      <c r="H249" t="s">
        <v>2380</v>
      </c>
      <c r="I249">
        <v>0</v>
      </c>
      <c r="J249" t="s">
        <v>2381</v>
      </c>
    </row>
    <row r="250" spans="1:10" x14ac:dyDescent="0.35">
      <c r="A250" t="s">
        <v>2123</v>
      </c>
      <c r="B250" t="str">
        <f t="shared" si="8"/>
        <v>Obesity</v>
      </c>
      <c r="C250">
        <v>53.06</v>
      </c>
      <c r="D250">
        <v>11.68</v>
      </c>
      <c r="E250" t="str">
        <f t="shared" si="9"/>
        <v>Diabetes</v>
      </c>
      <c r="F250" t="s">
        <v>2380</v>
      </c>
      <c r="G250" t="s">
        <v>2380</v>
      </c>
      <c r="H250" t="s">
        <v>2380</v>
      </c>
      <c r="I250">
        <v>0</v>
      </c>
      <c r="J250" t="s">
        <v>2381</v>
      </c>
    </row>
    <row r="251" spans="1:10" x14ac:dyDescent="0.35">
      <c r="A251" t="s">
        <v>2122</v>
      </c>
      <c r="B251" t="str">
        <f t="shared" si="8"/>
        <v>Obesity</v>
      </c>
      <c r="C251">
        <v>30.25</v>
      </c>
      <c r="D251">
        <v>4.1900000000000004</v>
      </c>
      <c r="E251" t="str">
        <f t="shared" si="9"/>
        <v>Normal</v>
      </c>
      <c r="F251" t="s">
        <v>2380</v>
      </c>
      <c r="G251" t="s">
        <v>2380</v>
      </c>
      <c r="H251" t="s">
        <v>2380</v>
      </c>
      <c r="I251">
        <v>2</v>
      </c>
      <c r="J251" t="s">
        <v>2381</v>
      </c>
    </row>
    <row r="252" spans="1:10" x14ac:dyDescent="0.35">
      <c r="A252" t="s">
        <v>2121</v>
      </c>
      <c r="B252" t="str">
        <f t="shared" si="8"/>
        <v>Obesity</v>
      </c>
      <c r="C252">
        <v>46.68</v>
      </c>
      <c r="D252">
        <v>4.01</v>
      </c>
      <c r="E252" t="str">
        <f t="shared" si="9"/>
        <v>Normal</v>
      </c>
      <c r="F252" t="s">
        <v>2380</v>
      </c>
      <c r="G252" t="s">
        <v>2380</v>
      </c>
      <c r="H252" t="s">
        <v>2380</v>
      </c>
      <c r="I252">
        <v>0</v>
      </c>
      <c r="J252" t="s">
        <v>2381</v>
      </c>
    </row>
    <row r="253" spans="1:10" x14ac:dyDescent="0.35">
      <c r="A253" t="s">
        <v>2120</v>
      </c>
      <c r="B253" t="str">
        <f t="shared" si="8"/>
        <v>Obesity</v>
      </c>
      <c r="C253">
        <v>30.4</v>
      </c>
      <c r="D253">
        <v>5.91</v>
      </c>
      <c r="E253" t="str">
        <f t="shared" si="9"/>
        <v>Prediabetes</v>
      </c>
      <c r="F253" t="s">
        <v>2380</v>
      </c>
      <c r="G253" t="s">
        <v>2381</v>
      </c>
      <c r="H253" t="s">
        <v>2380</v>
      </c>
      <c r="I253">
        <v>2</v>
      </c>
      <c r="J253" t="s">
        <v>2381</v>
      </c>
    </row>
    <row r="254" spans="1:10" x14ac:dyDescent="0.35">
      <c r="A254" t="s">
        <v>2119</v>
      </c>
      <c r="B254" t="str">
        <f t="shared" si="8"/>
        <v>Obesity</v>
      </c>
      <c r="C254">
        <v>30.2</v>
      </c>
      <c r="D254">
        <v>4.47</v>
      </c>
      <c r="E254" t="str">
        <f t="shared" si="9"/>
        <v>Normal</v>
      </c>
      <c r="F254" t="s">
        <v>2381</v>
      </c>
      <c r="G254" t="s">
        <v>2380</v>
      </c>
      <c r="H254" t="s">
        <v>2382</v>
      </c>
      <c r="I254">
        <v>1</v>
      </c>
      <c r="J254" t="s">
        <v>2381</v>
      </c>
    </row>
    <row r="255" spans="1:10" x14ac:dyDescent="0.35">
      <c r="A255" t="s">
        <v>2118</v>
      </c>
      <c r="B255" t="str">
        <f t="shared" si="8"/>
        <v>Obesity</v>
      </c>
      <c r="C255">
        <v>51.18</v>
      </c>
      <c r="D255">
        <v>4.5599999999999996</v>
      </c>
      <c r="E255" t="str">
        <f t="shared" si="9"/>
        <v>Normal</v>
      </c>
      <c r="F255" t="s">
        <v>2381</v>
      </c>
      <c r="G255" t="s">
        <v>2381</v>
      </c>
      <c r="H255" t="s">
        <v>2380</v>
      </c>
      <c r="I255">
        <v>2</v>
      </c>
      <c r="J255" t="s">
        <v>2381</v>
      </c>
    </row>
    <row r="256" spans="1:10" x14ac:dyDescent="0.35">
      <c r="A256" t="s">
        <v>2117</v>
      </c>
      <c r="B256" t="str">
        <f t="shared" si="8"/>
        <v>Normal Weight</v>
      </c>
      <c r="C256">
        <v>22.18</v>
      </c>
      <c r="D256">
        <v>9.9</v>
      </c>
      <c r="E256" t="str">
        <f t="shared" si="9"/>
        <v>Diabetes</v>
      </c>
      <c r="F256" t="s">
        <v>2380</v>
      </c>
      <c r="G256" t="s">
        <v>2380</v>
      </c>
      <c r="H256" t="s">
        <v>2380</v>
      </c>
      <c r="I256">
        <v>0</v>
      </c>
      <c r="J256" t="s">
        <v>2381</v>
      </c>
    </row>
    <row r="257" spans="1:10" x14ac:dyDescent="0.35">
      <c r="A257" t="s">
        <v>2116</v>
      </c>
      <c r="B257" t="str">
        <f t="shared" si="8"/>
        <v>Obesity</v>
      </c>
      <c r="C257">
        <v>31.92</v>
      </c>
      <c r="D257">
        <v>5.1100000000000003</v>
      </c>
      <c r="E257" t="str">
        <f t="shared" si="9"/>
        <v>Normal</v>
      </c>
      <c r="F257" t="s">
        <v>2380</v>
      </c>
      <c r="G257" t="s">
        <v>2380</v>
      </c>
      <c r="H257" t="s">
        <v>2382</v>
      </c>
      <c r="I257">
        <v>1</v>
      </c>
      <c r="J257" t="s">
        <v>2381</v>
      </c>
    </row>
    <row r="258" spans="1:10" x14ac:dyDescent="0.35">
      <c r="A258" t="s">
        <v>2115</v>
      </c>
      <c r="B258" t="str">
        <f t="shared" si="8"/>
        <v>Obesity</v>
      </c>
      <c r="C258">
        <v>31.73</v>
      </c>
      <c r="D258">
        <v>5.73</v>
      </c>
      <c r="E258" t="str">
        <f t="shared" si="9"/>
        <v>Prediabetes</v>
      </c>
      <c r="F258" t="s">
        <v>2380</v>
      </c>
      <c r="G258" t="s">
        <v>2381</v>
      </c>
      <c r="H258" t="s">
        <v>2380</v>
      </c>
      <c r="I258">
        <v>1</v>
      </c>
      <c r="J258" t="s">
        <v>2381</v>
      </c>
    </row>
    <row r="259" spans="1:10" x14ac:dyDescent="0.35">
      <c r="A259" t="s">
        <v>2114</v>
      </c>
      <c r="B259" t="str">
        <f t="shared" ref="B259:B322" si="10">IF(C259&lt;18.5,"Underweight",IF(C259&lt;25,"Normal Weight",IF(C259&lt;30,"Overweight","Obesity")))</f>
        <v>Obesity</v>
      </c>
      <c r="C259">
        <v>45.52</v>
      </c>
      <c r="D259">
        <v>6.04</v>
      </c>
      <c r="E259" t="str">
        <f t="shared" ref="E259:E322" si="11">IF(D259&lt;5.7,"Normal",IF(D259&lt;6.5,"Prediabetes","Diabetes"))</f>
        <v>Prediabetes</v>
      </c>
      <c r="F259" t="s">
        <v>2380</v>
      </c>
      <c r="G259" t="s">
        <v>2380</v>
      </c>
      <c r="H259" t="s">
        <v>2382</v>
      </c>
      <c r="I259">
        <v>1</v>
      </c>
      <c r="J259" t="s">
        <v>2381</v>
      </c>
    </row>
    <row r="260" spans="1:10" x14ac:dyDescent="0.35">
      <c r="A260" t="s">
        <v>2113</v>
      </c>
      <c r="B260" t="str">
        <f t="shared" si="10"/>
        <v>Obesity</v>
      </c>
      <c r="C260">
        <v>52.81</v>
      </c>
      <c r="D260">
        <v>5.19</v>
      </c>
      <c r="E260" t="str">
        <f t="shared" si="11"/>
        <v>Normal</v>
      </c>
      <c r="F260" t="s">
        <v>2380</v>
      </c>
      <c r="G260" t="s">
        <v>2380</v>
      </c>
      <c r="H260" t="s">
        <v>2382</v>
      </c>
      <c r="I260">
        <v>1</v>
      </c>
      <c r="J260" t="s">
        <v>2381</v>
      </c>
    </row>
    <row r="261" spans="1:10" x14ac:dyDescent="0.35">
      <c r="A261" t="s">
        <v>2112</v>
      </c>
      <c r="B261" t="str">
        <f t="shared" si="10"/>
        <v>Obesity</v>
      </c>
      <c r="C261">
        <v>33.58</v>
      </c>
      <c r="D261">
        <v>5.56</v>
      </c>
      <c r="E261" t="str">
        <f t="shared" si="11"/>
        <v>Normal</v>
      </c>
      <c r="F261" t="s">
        <v>2380</v>
      </c>
      <c r="G261" t="s">
        <v>2380</v>
      </c>
      <c r="H261" t="s">
        <v>2380</v>
      </c>
      <c r="I261">
        <v>1</v>
      </c>
      <c r="J261" t="s">
        <v>2381</v>
      </c>
    </row>
    <row r="262" spans="1:10" x14ac:dyDescent="0.35">
      <c r="A262" t="s">
        <v>2111</v>
      </c>
      <c r="B262" t="str">
        <f t="shared" si="10"/>
        <v>Obesity</v>
      </c>
      <c r="C262">
        <v>30.684999999999999</v>
      </c>
      <c r="D262">
        <v>8.23</v>
      </c>
      <c r="E262" t="str">
        <f t="shared" si="11"/>
        <v>Diabetes</v>
      </c>
      <c r="F262" t="s">
        <v>2380</v>
      </c>
      <c r="G262" t="s">
        <v>2380</v>
      </c>
      <c r="H262" t="s">
        <v>2380</v>
      </c>
      <c r="I262">
        <v>0</v>
      </c>
      <c r="J262" t="s">
        <v>2381</v>
      </c>
    </row>
    <row r="263" spans="1:10" x14ac:dyDescent="0.35">
      <c r="A263" t="s">
        <v>2110</v>
      </c>
      <c r="B263" t="str">
        <f t="shared" si="10"/>
        <v>Obesity</v>
      </c>
      <c r="C263">
        <v>37.524999999999999</v>
      </c>
      <c r="D263">
        <v>9.0299999999999994</v>
      </c>
      <c r="E263" t="str">
        <f t="shared" si="11"/>
        <v>Diabetes</v>
      </c>
      <c r="F263" t="s">
        <v>2381</v>
      </c>
      <c r="G263" t="s">
        <v>2380</v>
      </c>
      <c r="H263" t="s">
        <v>2380</v>
      </c>
      <c r="I263">
        <v>2</v>
      </c>
      <c r="J263" t="s">
        <v>2380</v>
      </c>
    </row>
    <row r="264" spans="1:10" x14ac:dyDescent="0.35">
      <c r="A264" t="s">
        <v>2109</v>
      </c>
      <c r="B264" t="str">
        <f t="shared" si="10"/>
        <v>Obesity</v>
      </c>
      <c r="C264">
        <v>34.5</v>
      </c>
      <c r="D264">
        <v>4.07</v>
      </c>
      <c r="E264" t="str">
        <f t="shared" si="11"/>
        <v>Normal</v>
      </c>
      <c r="F264" t="s">
        <v>2381</v>
      </c>
      <c r="G264" t="s">
        <v>2380</v>
      </c>
      <c r="H264" t="s">
        <v>2380</v>
      </c>
      <c r="I264">
        <v>0</v>
      </c>
      <c r="J264" t="s">
        <v>2381</v>
      </c>
    </row>
    <row r="265" spans="1:10" x14ac:dyDescent="0.35">
      <c r="A265" t="s">
        <v>2108</v>
      </c>
      <c r="B265" t="str">
        <f t="shared" si="10"/>
        <v>Overweight</v>
      </c>
      <c r="C265">
        <v>28.16</v>
      </c>
      <c r="D265">
        <v>5.77</v>
      </c>
      <c r="E265" t="str">
        <f t="shared" si="11"/>
        <v>Prediabetes</v>
      </c>
      <c r="F265" t="s">
        <v>2380</v>
      </c>
      <c r="G265" t="s">
        <v>2380</v>
      </c>
      <c r="H265" t="s">
        <v>2380</v>
      </c>
      <c r="I265">
        <v>2</v>
      </c>
      <c r="J265" t="s">
        <v>2381</v>
      </c>
    </row>
    <row r="266" spans="1:10" x14ac:dyDescent="0.35">
      <c r="A266" t="s">
        <v>2107</v>
      </c>
      <c r="B266" t="str">
        <f t="shared" si="10"/>
        <v>Obesity</v>
      </c>
      <c r="C266">
        <v>30.02</v>
      </c>
      <c r="D266">
        <v>5.98</v>
      </c>
      <c r="E266" t="str">
        <f t="shared" si="11"/>
        <v>Prediabetes</v>
      </c>
      <c r="F266" t="s">
        <v>2380</v>
      </c>
      <c r="G266" t="s">
        <v>2380</v>
      </c>
      <c r="H266" t="s">
        <v>2382</v>
      </c>
      <c r="I266">
        <v>1</v>
      </c>
      <c r="J266" t="s">
        <v>2381</v>
      </c>
    </row>
    <row r="267" spans="1:10" x14ac:dyDescent="0.35">
      <c r="A267" t="s">
        <v>2106</v>
      </c>
      <c r="B267" t="str">
        <f t="shared" si="10"/>
        <v>Obesity</v>
      </c>
      <c r="C267">
        <v>37.82</v>
      </c>
      <c r="D267">
        <v>6.01</v>
      </c>
      <c r="E267" t="str">
        <f t="shared" si="11"/>
        <v>Prediabetes</v>
      </c>
      <c r="F267" t="s">
        <v>2380</v>
      </c>
      <c r="G267" t="s">
        <v>2380</v>
      </c>
      <c r="H267" t="s">
        <v>2380</v>
      </c>
      <c r="I267">
        <v>0</v>
      </c>
      <c r="J267" t="s">
        <v>2381</v>
      </c>
    </row>
    <row r="268" spans="1:10" x14ac:dyDescent="0.35">
      <c r="A268" t="s">
        <v>2105</v>
      </c>
      <c r="B268" t="str">
        <f t="shared" si="10"/>
        <v>Obesity</v>
      </c>
      <c r="C268">
        <v>33.14</v>
      </c>
      <c r="D268">
        <v>5.67</v>
      </c>
      <c r="E268" t="str">
        <f t="shared" si="11"/>
        <v>Normal</v>
      </c>
      <c r="F268" t="s">
        <v>2381</v>
      </c>
      <c r="G268" t="s">
        <v>2380</v>
      </c>
      <c r="H268" t="s">
        <v>2380</v>
      </c>
      <c r="I268">
        <v>0</v>
      </c>
      <c r="J268" t="s">
        <v>2381</v>
      </c>
    </row>
    <row r="269" spans="1:10" x14ac:dyDescent="0.35">
      <c r="A269" t="s">
        <v>2104</v>
      </c>
      <c r="B269" t="str">
        <f t="shared" si="10"/>
        <v>Overweight</v>
      </c>
      <c r="C269">
        <v>25.14</v>
      </c>
      <c r="D269">
        <v>6.02</v>
      </c>
      <c r="E269" t="str">
        <f t="shared" si="11"/>
        <v>Prediabetes</v>
      </c>
      <c r="F269" t="s">
        <v>2381</v>
      </c>
      <c r="G269" t="s">
        <v>2380</v>
      </c>
      <c r="H269" t="s">
        <v>2382</v>
      </c>
      <c r="I269">
        <v>1</v>
      </c>
      <c r="J269" t="s">
        <v>2381</v>
      </c>
    </row>
    <row r="270" spans="1:10" x14ac:dyDescent="0.35">
      <c r="A270" t="s">
        <v>2103</v>
      </c>
      <c r="B270" t="str">
        <f t="shared" si="10"/>
        <v>Normal Weight</v>
      </c>
      <c r="C270">
        <v>20.18</v>
      </c>
      <c r="D270">
        <v>11.19</v>
      </c>
      <c r="E270" t="str">
        <f t="shared" si="11"/>
        <v>Diabetes</v>
      </c>
      <c r="F270" t="s">
        <v>2380</v>
      </c>
      <c r="G270" t="s">
        <v>2380</v>
      </c>
      <c r="H270" t="s">
        <v>2380</v>
      </c>
      <c r="I270">
        <v>0</v>
      </c>
      <c r="J270" t="s">
        <v>2381</v>
      </c>
    </row>
    <row r="271" spans="1:10" x14ac:dyDescent="0.35">
      <c r="A271" t="s">
        <v>2102</v>
      </c>
      <c r="B271" t="str">
        <f t="shared" si="10"/>
        <v>Obesity</v>
      </c>
      <c r="C271">
        <v>44.36</v>
      </c>
      <c r="D271">
        <v>5.1100000000000003</v>
      </c>
      <c r="E271" t="str">
        <f t="shared" si="11"/>
        <v>Normal</v>
      </c>
      <c r="F271" t="s">
        <v>2380</v>
      </c>
      <c r="G271" t="s">
        <v>2380</v>
      </c>
      <c r="H271" t="s">
        <v>2380</v>
      </c>
      <c r="I271">
        <v>0</v>
      </c>
      <c r="J271" t="s">
        <v>2381</v>
      </c>
    </row>
    <row r="272" spans="1:10" x14ac:dyDescent="0.35">
      <c r="A272" t="s">
        <v>2101</v>
      </c>
      <c r="B272" t="str">
        <f t="shared" si="10"/>
        <v>Normal Weight</v>
      </c>
      <c r="C272">
        <v>23.82</v>
      </c>
      <c r="D272">
        <v>10.85</v>
      </c>
      <c r="E272" t="str">
        <f t="shared" si="11"/>
        <v>Diabetes</v>
      </c>
      <c r="F272" t="s">
        <v>2381</v>
      </c>
      <c r="G272" t="s">
        <v>2380</v>
      </c>
      <c r="H272" t="s">
        <v>2380</v>
      </c>
      <c r="I272">
        <v>0</v>
      </c>
      <c r="J272" t="s">
        <v>2381</v>
      </c>
    </row>
    <row r="273" spans="1:10" x14ac:dyDescent="0.35">
      <c r="A273" t="s">
        <v>2100</v>
      </c>
      <c r="B273" t="str">
        <f t="shared" si="10"/>
        <v>Obesity</v>
      </c>
      <c r="C273">
        <v>45</v>
      </c>
      <c r="D273">
        <v>5.24</v>
      </c>
      <c r="E273" t="str">
        <f t="shared" si="11"/>
        <v>Normal</v>
      </c>
      <c r="F273" t="s">
        <v>2381</v>
      </c>
      <c r="G273" t="s">
        <v>2380</v>
      </c>
      <c r="H273" t="s">
        <v>2380</v>
      </c>
      <c r="I273">
        <v>1</v>
      </c>
      <c r="J273" t="s">
        <v>2381</v>
      </c>
    </row>
    <row r="274" spans="1:10" x14ac:dyDescent="0.35">
      <c r="A274" t="s">
        <v>2099</v>
      </c>
      <c r="B274" t="str">
        <f t="shared" si="10"/>
        <v>Overweight</v>
      </c>
      <c r="C274">
        <v>26.62</v>
      </c>
      <c r="D274">
        <v>10.08</v>
      </c>
      <c r="E274" t="str">
        <f t="shared" si="11"/>
        <v>Diabetes</v>
      </c>
      <c r="F274" t="s">
        <v>2380</v>
      </c>
      <c r="G274" t="s">
        <v>2380</v>
      </c>
      <c r="H274" t="s">
        <v>2380</v>
      </c>
      <c r="I274">
        <v>0</v>
      </c>
      <c r="J274" t="s">
        <v>2381</v>
      </c>
    </row>
    <row r="275" spans="1:10" x14ac:dyDescent="0.35">
      <c r="A275" t="s">
        <v>2098</v>
      </c>
      <c r="B275" t="str">
        <f t="shared" si="10"/>
        <v>Obesity</v>
      </c>
      <c r="C275">
        <v>32.67</v>
      </c>
      <c r="D275">
        <v>10.97</v>
      </c>
      <c r="E275" t="str">
        <f t="shared" si="11"/>
        <v>Diabetes</v>
      </c>
      <c r="F275" t="s">
        <v>2381</v>
      </c>
      <c r="G275" t="s">
        <v>2380</v>
      </c>
      <c r="H275" t="s">
        <v>2380</v>
      </c>
      <c r="I275">
        <v>0</v>
      </c>
      <c r="J275" t="s">
        <v>2381</v>
      </c>
    </row>
    <row r="276" spans="1:10" x14ac:dyDescent="0.35">
      <c r="A276" t="s">
        <v>2097</v>
      </c>
      <c r="B276" t="str">
        <f t="shared" si="10"/>
        <v>Obesity</v>
      </c>
      <c r="C276">
        <v>44.44</v>
      </c>
      <c r="D276">
        <v>4.9000000000000004</v>
      </c>
      <c r="E276" t="str">
        <f t="shared" si="11"/>
        <v>Normal</v>
      </c>
      <c r="F276" t="s">
        <v>2381</v>
      </c>
      <c r="G276" t="s">
        <v>2380</v>
      </c>
      <c r="H276" t="s">
        <v>2380</v>
      </c>
      <c r="I276">
        <v>1</v>
      </c>
      <c r="J276" t="s">
        <v>2381</v>
      </c>
    </row>
    <row r="277" spans="1:10" x14ac:dyDescent="0.35">
      <c r="A277" t="s">
        <v>2096</v>
      </c>
      <c r="B277" t="str">
        <f t="shared" si="10"/>
        <v>Overweight</v>
      </c>
      <c r="C277">
        <v>28.31</v>
      </c>
      <c r="D277">
        <v>5.33</v>
      </c>
      <c r="E277" t="str">
        <f t="shared" si="11"/>
        <v>Normal</v>
      </c>
      <c r="F277" t="s">
        <v>2380</v>
      </c>
      <c r="G277" t="s">
        <v>2380</v>
      </c>
      <c r="H277" t="s">
        <v>2380</v>
      </c>
      <c r="I277">
        <v>0</v>
      </c>
      <c r="J277" t="s">
        <v>2381</v>
      </c>
    </row>
    <row r="278" spans="1:10" x14ac:dyDescent="0.35">
      <c r="A278" t="s">
        <v>2095</v>
      </c>
      <c r="B278" t="str">
        <f t="shared" si="10"/>
        <v>Overweight</v>
      </c>
      <c r="C278">
        <v>25.05</v>
      </c>
      <c r="D278">
        <v>4.6100000000000003</v>
      </c>
      <c r="E278" t="str">
        <f t="shared" si="11"/>
        <v>Normal</v>
      </c>
      <c r="F278" t="s">
        <v>2380</v>
      </c>
      <c r="G278" t="s">
        <v>2380</v>
      </c>
      <c r="H278" t="s">
        <v>2380</v>
      </c>
      <c r="I278">
        <v>2</v>
      </c>
      <c r="J278" t="s">
        <v>2381</v>
      </c>
    </row>
    <row r="279" spans="1:10" x14ac:dyDescent="0.35">
      <c r="A279" t="s">
        <v>2094</v>
      </c>
      <c r="B279" t="str">
        <f t="shared" si="10"/>
        <v>Overweight</v>
      </c>
      <c r="C279">
        <v>28.34</v>
      </c>
      <c r="D279">
        <v>8.18</v>
      </c>
      <c r="E279" t="str">
        <f t="shared" si="11"/>
        <v>Diabetes</v>
      </c>
      <c r="F279" t="s">
        <v>2380</v>
      </c>
      <c r="G279" t="s">
        <v>2380</v>
      </c>
      <c r="H279" t="s">
        <v>2380</v>
      </c>
      <c r="I279">
        <v>0</v>
      </c>
      <c r="J279" t="s">
        <v>2381</v>
      </c>
    </row>
    <row r="280" spans="1:10" x14ac:dyDescent="0.35">
      <c r="A280" t="s">
        <v>2093</v>
      </c>
      <c r="B280" t="str">
        <f t="shared" si="10"/>
        <v>Underweight</v>
      </c>
      <c r="C280">
        <v>17.765000000000001</v>
      </c>
      <c r="D280">
        <v>5.62</v>
      </c>
      <c r="E280" t="str">
        <f t="shared" si="11"/>
        <v>Normal</v>
      </c>
      <c r="F280" t="s">
        <v>2380</v>
      </c>
      <c r="G280" t="s">
        <v>2380</v>
      </c>
      <c r="H280" t="s">
        <v>2380</v>
      </c>
      <c r="I280">
        <v>0</v>
      </c>
      <c r="J280" t="s">
        <v>2381</v>
      </c>
    </row>
    <row r="281" spans="1:10" x14ac:dyDescent="0.35">
      <c r="A281" t="s">
        <v>2092</v>
      </c>
      <c r="B281" t="str">
        <f t="shared" si="10"/>
        <v>Obesity</v>
      </c>
      <c r="C281">
        <v>36.119999999999997</v>
      </c>
      <c r="D281">
        <v>5.82</v>
      </c>
      <c r="E281" t="str">
        <f t="shared" si="11"/>
        <v>Prediabetes</v>
      </c>
      <c r="F281" t="s">
        <v>2380</v>
      </c>
      <c r="G281" t="s">
        <v>2380</v>
      </c>
      <c r="H281" t="s">
        <v>2380</v>
      </c>
      <c r="I281">
        <v>0</v>
      </c>
      <c r="J281" t="s">
        <v>2381</v>
      </c>
    </row>
    <row r="282" spans="1:10" x14ac:dyDescent="0.35">
      <c r="A282" t="s">
        <v>2091</v>
      </c>
      <c r="B282" t="str">
        <f t="shared" si="10"/>
        <v>Normal Weight</v>
      </c>
      <c r="C282">
        <v>23.19</v>
      </c>
      <c r="D282">
        <v>7.66</v>
      </c>
      <c r="E282" t="str">
        <f t="shared" si="11"/>
        <v>Diabetes</v>
      </c>
      <c r="F282" t="s">
        <v>2380</v>
      </c>
      <c r="G282" t="s">
        <v>2380</v>
      </c>
      <c r="H282" t="s">
        <v>2380</v>
      </c>
      <c r="I282">
        <v>0</v>
      </c>
      <c r="J282" t="s">
        <v>2381</v>
      </c>
    </row>
    <row r="283" spans="1:10" x14ac:dyDescent="0.35">
      <c r="A283" t="s">
        <v>2090</v>
      </c>
      <c r="B283" t="str">
        <f t="shared" si="10"/>
        <v>Obesity</v>
      </c>
      <c r="C283">
        <v>35.99</v>
      </c>
      <c r="D283">
        <v>4.2300000000000004</v>
      </c>
      <c r="E283" t="str">
        <f t="shared" si="11"/>
        <v>Normal</v>
      </c>
      <c r="F283" t="s">
        <v>2380</v>
      </c>
      <c r="G283" t="s">
        <v>2380</v>
      </c>
      <c r="H283" t="s">
        <v>2380</v>
      </c>
      <c r="I283">
        <v>0</v>
      </c>
      <c r="J283" t="s">
        <v>2381</v>
      </c>
    </row>
    <row r="284" spans="1:10" x14ac:dyDescent="0.35">
      <c r="A284" t="s">
        <v>2089</v>
      </c>
      <c r="B284" t="str">
        <f t="shared" si="10"/>
        <v>Obesity</v>
      </c>
      <c r="C284">
        <v>30.25</v>
      </c>
      <c r="D284">
        <v>5.58</v>
      </c>
      <c r="E284" t="str">
        <f t="shared" si="11"/>
        <v>Normal</v>
      </c>
      <c r="F284" t="s">
        <v>2380</v>
      </c>
      <c r="G284" t="s">
        <v>2380</v>
      </c>
      <c r="H284" t="s">
        <v>2382</v>
      </c>
      <c r="I284">
        <v>1</v>
      </c>
      <c r="J284" t="s">
        <v>2381</v>
      </c>
    </row>
    <row r="285" spans="1:10" x14ac:dyDescent="0.35">
      <c r="A285" t="s">
        <v>2088</v>
      </c>
      <c r="B285" t="str">
        <f t="shared" si="10"/>
        <v>Overweight</v>
      </c>
      <c r="C285">
        <v>26.24</v>
      </c>
      <c r="D285">
        <v>6.26</v>
      </c>
      <c r="E285" t="str">
        <f t="shared" si="11"/>
        <v>Prediabetes</v>
      </c>
      <c r="F285" t="s">
        <v>2381</v>
      </c>
      <c r="G285" t="s">
        <v>2380</v>
      </c>
      <c r="H285" t="s">
        <v>2380</v>
      </c>
      <c r="I285">
        <v>0</v>
      </c>
      <c r="J285" t="s">
        <v>2381</v>
      </c>
    </row>
    <row r="286" spans="1:10" x14ac:dyDescent="0.35">
      <c r="A286" t="s">
        <v>2087</v>
      </c>
      <c r="B286" t="str">
        <f t="shared" si="10"/>
        <v>Obesity</v>
      </c>
      <c r="C286">
        <v>31.36</v>
      </c>
      <c r="D286">
        <v>10.6</v>
      </c>
      <c r="E286" t="str">
        <f t="shared" si="11"/>
        <v>Diabetes</v>
      </c>
      <c r="F286" t="s">
        <v>2381</v>
      </c>
      <c r="G286" t="s">
        <v>2380</v>
      </c>
      <c r="H286" t="s">
        <v>2380</v>
      </c>
      <c r="I286">
        <v>0</v>
      </c>
      <c r="J286" t="s">
        <v>2381</v>
      </c>
    </row>
    <row r="287" spans="1:10" x14ac:dyDescent="0.35">
      <c r="A287" t="s">
        <v>2086</v>
      </c>
      <c r="B287" t="str">
        <f t="shared" si="10"/>
        <v>Overweight</v>
      </c>
      <c r="C287">
        <v>25.69</v>
      </c>
      <c r="D287">
        <v>4.78</v>
      </c>
      <c r="E287" t="str">
        <f t="shared" si="11"/>
        <v>Normal</v>
      </c>
      <c r="F287" t="s">
        <v>2381</v>
      </c>
      <c r="G287" t="s">
        <v>2380</v>
      </c>
      <c r="H287" t="s">
        <v>2380</v>
      </c>
      <c r="I287">
        <v>0</v>
      </c>
      <c r="J287" t="s">
        <v>2381</v>
      </c>
    </row>
    <row r="288" spans="1:10" x14ac:dyDescent="0.35">
      <c r="A288" t="s">
        <v>2085</v>
      </c>
      <c r="B288" t="str">
        <f t="shared" si="10"/>
        <v>Overweight</v>
      </c>
      <c r="C288">
        <v>25.46</v>
      </c>
      <c r="D288">
        <v>6.03</v>
      </c>
      <c r="E288" t="str">
        <f t="shared" si="11"/>
        <v>Prediabetes</v>
      </c>
      <c r="F288" t="s">
        <v>2380</v>
      </c>
      <c r="G288" t="s">
        <v>2380</v>
      </c>
      <c r="H288" t="s">
        <v>2380</v>
      </c>
      <c r="I288">
        <v>2</v>
      </c>
      <c r="J288" t="s">
        <v>2381</v>
      </c>
    </row>
    <row r="289" spans="1:10" x14ac:dyDescent="0.35">
      <c r="A289" t="s">
        <v>2084</v>
      </c>
      <c r="B289" t="str">
        <f t="shared" si="10"/>
        <v>Obesity</v>
      </c>
      <c r="C289">
        <v>31.83</v>
      </c>
      <c r="D289">
        <v>11.55</v>
      </c>
      <c r="E289" t="str">
        <f t="shared" si="11"/>
        <v>Diabetes</v>
      </c>
      <c r="F289" t="s">
        <v>2381</v>
      </c>
      <c r="G289" t="s">
        <v>2380</v>
      </c>
      <c r="H289" t="s">
        <v>2380</v>
      </c>
      <c r="I289">
        <v>1</v>
      </c>
      <c r="J289" t="s">
        <v>2381</v>
      </c>
    </row>
    <row r="290" spans="1:10" x14ac:dyDescent="0.35">
      <c r="A290" t="s">
        <v>2083</v>
      </c>
      <c r="B290" t="str">
        <f t="shared" si="10"/>
        <v>Normal Weight</v>
      </c>
      <c r="C290">
        <v>24.43</v>
      </c>
      <c r="D290">
        <v>7.59</v>
      </c>
      <c r="E290" t="str">
        <f t="shared" si="11"/>
        <v>Diabetes</v>
      </c>
      <c r="F290" t="s">
        <v>2381</v>
      </c>
      <c r="G290" t="s">
        <v>2380</v>
      </c>
      <c r="H290" t="s">
        <v>2380</v>
      </c>
      <c r="I290">
        <v>1</v>
      </c>
      <c r="J290" t="s">
        <v>2381</v>
      </c>
    </row>
    <row r="291" spans="1:10" x14ac:dyDescent="0.35">
      <c r="A291" t="s">
        <v>2082</v>
      </c>
      <c r="B291" t="str">
        <f t="shared" si="10"/>
        <v>Obesity</v>
      </c>
      <c r="C291">
        <v>41.9</v>
      </c>
      <c r="D291">
        <v>4.26</v>
      </c>
      <c r="E291" t="str">
        <f t="shared" si="11"/>
        <v>Normal</v>
      </c>
      <c r="F291" t="s">
        <v>2380</v>
      </c>
      <c r="G291" t="s">
        <v>2380</v>
      </c>
      <c r="H291" t="s">
        <v>2380</v>
      </c>
      <c r="I291">
        <v>0</v>
      </c>
      <c r="J291" t="s">
        <v>2381</v>
      </c>
    </row>
    <row r="292" spans="1:10" x14ac:dyDescent="0.35">
      <c r="A292" t="s">
        <v>2081</v>
      </c>
      <c r="B292" t="str">
        <f t="shared" si="10"/>
        <v>Normal Weight</v>
      </c>
      <c r="C292">
        <v>22.88</v>
      </c>
      <c r="D292">
        <v>5.9</v>
      </c>
      <c r="E292" t="str">
        <f t="shared" si="11"/>
        <v>Prediabetes</v>
      </c>
      <c r="F292" t="s">
        <v>2381</v>
      </c>
      <c r="G292" t="s">
        <v>2380</v>
      </c>
      <c r="H292" t="s">
        <v>2382</v>
      </c>
      <c r="I292">
        <v>1</v>
      </c>
      <c r="J292" t="s">
        <v>2381</v>
      </c>
    </row>
    <row r="293" spans="1:10" x14ac:dyDescent="0.35">
      <c r="A293" t="s">
        <v>2080</v>
      </c>
      <c r="B293" t="str">
        <f t="shared" si="10"/>
        <v>Overweight</v>
      </c>
      <c r="C293">
        <v>29.734999999999999</v>
      </c>
      <c r="D293">
        <v>7.79</v>
      </c>
      <c r="E293" t="str">
        <f t="shared" si="11"/>
        <v>Diabetes</v>
      </c>
      <c r="F293" t="s">
        <v>2380</v>
      </c>
      <c r="G293" t="s">
        <v>2380</v>
      </c>
      <c r="H293" t="s">
        <v>2380</v>
      </c>
      <c r="I293">
        <v>0</v>
      </c>
      <c r="J293" t="s">
        <v>2380</v>
      </c>
    </row>
    <row r="294" spans="1:10" x14ac:dyDescent="0.35">
      <c r="A294" t="s">
        <v>2079</v>
      </c>
      <c r="B294" t="str">
        <f t="shared" si="10"/>
        <v>Obesity</v>
      </c>
      <c r="C294">
        <v>40.74</v>
      </c>
      <c r="D294">
        <v>5.28</v>
      </c>
      <c r="E294" t="str">
        <f t="shared" si="11"/>
        <v>Normal</v>
      </c>
      <c r="F294" t="s">
        <v>2380</v>
      </c>
      <c r="G294" t="s">
        <v>2380</v>
      </c>
      <c r="H294" t="s">
        <v>2382</v>
      </c>
      <c r="I294">
        <v>1</v>
      </c>
      <c r="J294" t="s">
        <v>2381</v>
      </c>
    </row>
    <row r="295" spans="1:10" x14ac:dyDescent="0.35">
      <c r="A295" t="s">
        <v>2078</v>
      </c>
      <c r="B295" t="str">
        <f t="shared" si="10"/>
        <v>Normal Weight</v>
      </c>
      <c r="C295">
        <v>24.14</v>
      </c>
      <c r="D295">
        <v>5.87</v>
      </c>
      <c r="E295" t="str">
        <f t="shared" si="11"/>
        <v>Prediabetes</v>
      </c>
      <c r="F295" t="s">
        <v>2380</v>
      </c>
      <c r="G295" t="s">
        <v>2380</v>
      </c>
      <c r="H295" t="s">
        <v>2380</v>
      </c>
      <c r="I295">
        <v>2</v>
      </c>
      <c r="J295" t="s">
        <v>2381</v>
      </c>
    </row>
    <row r="296" spans="1:10" x14ac:dyDescent="0.35">
      <c r="A296" t="s">
        <v>2077</v>
      </c>
      <c r="B296" t="str">
        <f t="shared" si="10"/>
        <v>Overweight</v>
      </c>
      <c r="C296">
        <v>25.15</v>
      </c>
      <c r="D296">
        <v>9.08</v>
      </c>
      <c r="E296" t="str">
        <f t="shared" si="11"/>
        <v>Diabetes</v>
      </c>
      <c r="F296" t="s">
        <v>2381</v>
      </c>
      <c r="G296" t="s">
        <v>2380</v>
      </c>
      <c r="H296" t="s">
        <v>2380</v>
      </c>
      <c r="I296">
        <v>1</v>
      </c>
      <c r="J296" t="s">
        <v>2381</v>
      </c>
    </row>
    <row r="297" spans="1:10" x14ac:dyDescent="0.35">
      <c r="A297" t="s">
        <v>2076</v>
      </c>
      <c r="B297" t="str">
        <f t="shared" si="10"/>
        <v>Overweight</v>
      </c>
      <c r="C297">
        <v>28.71</v>
      </c>
      <c r="D297">
        <v>5.2</v>
      </c>
      <c r="E297" t="str">
        <f t="shared" si="11"/>
        <v>Normal</v>
      </c>
      <c r="F297" t="s">
        <v>2380</v>
      </c>
      <c r="G297" t="s">
        <v>2380</v>
      </c>
      <c r="H297" t="s">
        <v>2380</v>
      </c>
      <c r="I297">
        <v>1</v>
      </c>
      <c r="J297" t="s">
        <v>2381</v>
      </c>
    </row>
    <row r="298" spans="1:10" x14ac:dyDescent="0.35">
      <c r="A298" t="s">
        <v>2075</v>
      </c>
      <c r="B298" t="str">
        <f t="shared" si="10"/>
        <v>Normal Weight</v>
      </c>
      <c r="C298">
        <v>23</v>
      </c>
      <c r="D298">
        <v>5.48</v>
      </c>
      <c r="E298" t="str">
        <f t="shared" si="11"/>
        <v>Normal</v>
      </c>
      <c r="F298" t="s">
        <v>2380</v>
      </c>
      <c r="G298" t="s">
        <v>2380</v>
      </c>
      <c r="H298" t="s">
        <v>2380</v>
      </c>
      <c r="I298">
        <v>0</v>
      </c>
      <c r="J298" t="s">
        <v>2381</v>
      </c>
    </row>
    <row r="299" spans="1:10" x14ac:dyDescent="0.35">
      <c r="A299" t="s">
        <v>2074</v>
      </c>
      <c r="B299" t="str">
        <f t="shared" si="10"/>
        <v>Obesity</v>
      </c>
      <c r="C299">
        <v>36.86</v>
      </c>
      <c r="D299">
        <v>11.95</v>
      </c>
      <c r="E299" t="str">
        <f t="shared" si="11"/>
        <v>Diabetes</v>
      </c>
      <c r="F299" t="s">
        <v>2380</v>
      </c>
      <c r="G299" t="s">
        <v>2380</v>
      </c>
      <c r="H299" t="s">
        <v>2380</v>
      </c>
      <c r="I299">
        <v>0</v>
      </c>
      <c r="J299" t="s">
        <v>2380</v>
      </c>
    </row>
    <row r="300" spans="1:10" x14ac:dyDescent="0.35">
      <c r="A300" t="s">
        <v>2073</v>
      </c>
      <c r="B300" t="str">
        <f t="shared" si="10"/>
        <v>Normal Weight</v>
      </c>
      <c r="C300">
        <v>24.25</v>
      </c>
      <c r="D300">
        <v>8.6999999999999993</v>
      </c>
      <c r="E300" t="str">
        <f t="shared" si="11"/>
        <v>Diabetes</v>
      </c>
      <c r="F300" t="s">
        <v>2381</v>
      </c>
      <c r="G300" t="s">
        <v>2380</v>
      </c>
      <c r="H300" t="s">
        <v>2380</v>
      </c>
      <c r="I300">
        <v>1</v>
      </c>
      <c r="J300" t="s">
        <v>2381</v>
      </c>
    </row>
    <row r="301" spans="1:10" x14ac:dyDescent="0.35">
      <c r="A301" t="s">
        <v>2072</v>
      </c>
      <c r="B301" t="str">
        <f t="shared" si="10"/>
        <v>Normal Weight</v>
      </c>
      <c r="C301">
        <v>23.85</v>
      </c>
      <c r="D301">
        <v>7.84</v>
      </c>
      <c r="E301" t="str">
        <f t="shared" si="11"/>
        <v>Diabetes</v>
      </c>
      <c r="F301" t="s">
        <v>2380</v>
      </c>
      <c r="G301" t="s">
        <v>2380</v>
      </c>
      <c r="H301" t="s">
        <v>2380</v>
      </c>
      <c r="I301">
        <v>0</v>
      </c>
      <c r="J301" t="s">
        <v>2381</v>
      </c>
    </row>
    <row r="302" spans="1:10" x14ac:dyDescent="0.35">
      <c r="A302" t="s">
        <v>2071</v>
      </c>
      <c r="B302" t="str">
        <f t="shared" si="10"/>
        <v>Obesity</v>
      </c>
      <c r="C302">
        <v>40.020000000000003</v>
      </c>
      <c r="D302">
        <v>5.19</v>
      </c>
      <c r="E302" t="str">
        <f t="shared" si="11"/>
        <v>Normal</v>
      </c>
      <c r="F302" t="s">
        <v>2381</v>
      </c>
      <c r="G302" t="s">
        <v>2380</v>
      </c>
      <c r="H302" t="s">
        <v>2380</v>
      </c>
      <c r="I302">
        <v>1</v>
      </c>
      <c r="J302" t="s">
        <v>2381</v>
      </c>
    </row>
    <row r="303" spans="1:10" x14ac:dyDescent="0.35">
      <c r="A303" t="s">
        <v>2070</v>
      </c>
      <c r="B303" t="str">
        <f t="shared" si="10"/>
        <v>Normal Weight</v>
      </c>
      <c r="C303">
        <v>19.170000000000002</v>
      </c>
      <c r="D303">
        <v>8.41</v>
      </c>
      <c r="E303" t="str">
        <f t="shared" si="11"/>
        <v>Diabetes</v>
      </c>
      <c r="F303" t="s">
        <v>2380</v>
      </c>
      <c r="G303" t="s">
        <v>2380</v>
      </c>
      <c r="H303" t="s">
        <v>2380</v>
      </c>
      <c r="I303">
        <v>0</v>
      </c>
      <c r="J303" t="s">
        <v>2381</v>
      </c>
    </row>
    <row r="304" spans="1:10" x14ac:dyDescent="0.35">
      <c r="A304" t="s">
        <v>2069</v>
      </c>
      <c r="B304" t="str">
        <f t="shared" si="10"/>
        <v>Obesity</v>
      </c>
      <c r="C304">
        <v>43.53</v>
      </c>
      <c r="D304">
        <v>5.86</v>
      </c>
      <c r="E304" t="str">
        <f t="shared" si="11"/>
        <v>Prediabetes</v>
      </c>
      <c r="F304" t="s">
        <v>2381</v>
      </c>
      <c r="G304" t="s">
        <v>2381</v>
      </c>
      <c r="H304" t="s">
        <v>2380</v>
      </c>
      <c r="I304">
        <v>2</v>
      </c>
      <c r="J304" t="s">
        <v>2381</v>
      </c>
    </row>
    <row r="305" spans="1:10" x14ac:dyDescent="0.35">
      <c r="A305" t="s">
        <v>2068</v>
      </c>
      <c r="B305" t="str">
        <f t="shared" si="10"/>
        <v>Obesity</v>
      </c>
      <c r="C305">
        <v>46.06</v>
      </c>
      <c r="D305">
        <v>4.18</v>
      </c>
      <c r="E305" t="str">
        <f t="shared" si="11"/>
        <v>Normal</v>
      </c>
      <c r="F305" t="s">
        <v>2380</v>
      </c>
      <c r="G305" t="s">
        <v>2381</v>
      </c>
      <c r="H305" t="s">
        <v>2380</v>
      </c>
      <c r="I305">
        <v>1</v>
      </c>
      <c r="J305" t="s">
        <v>2381</v>
      </c>
    </row>
    <row r="306" spans="1:10" x14ac:dyDescent="0.35">
      <c r="A306" t="s">
        <v>2067</v>
      </c>
      <c r="B306" t="str">
        <f t="shared" si="10"/>
        <v>Overweight</v>
      </c>
      <c r="C306">
        <v>29.92</v>
      </c>
      <c r="D306">
        <v>11.99</v>
      </c>
      <c r="E306" t="str">
        <f t="shared" si="11"/>
        <v>Diabetes</v>
      </c>
      <c r="F306" t="s">
        <v>2381</v>
      </c>
      <c r="G306" t="s">
        <v>2380</v>
      </c>
      <c r="H306" t="s">
        <v>2380</v>
      </c>
      <c r="I306">
        <v>2</v>
      </c>
      <c r="J306" t="s">
        <v>2381</v>
      </c>
    </row>
    <row r="307" spans="1:10" x14ac:dyDescent="0.35">
      <c r="A307" t="s">
        <v>2066</v>
      </c>
      <c r="B307" t="str">
        <f t="shared" si="10"/>
        <v>Overweight</v>
      </c>
      <c r="C307">
        <v>28.46</v>
      </c>
      <c r="D307">
        <v>4.8499999999999996</v>
      </c>
      <c r="E307" t="str">
        <f t="shared" si="11"/>
        <v>Normal</v>
      </c>
      <c r="F307" t="s">
        <v>2381</v>
      </c>
      <c r="G307" t="s">
        <v>2380</v>
      </c>
      <c r="H307" t="s">
        <v>2380</v>
      </c>
      <c r="I307">
        <v>1</v>
      </c>
      <c r="J307" t="s">
        <v>2381</v>
      </c>
    </row>
    <row r="308" spans="1:10" x14ac:dyDescent="0.35">
      <c r="A308" t="s">
        <v>2065</v>
      </c>
      <c r="B308" t="str">
        <f t="shared" si="10"/>
        <v>Normal Weight</v>
      </c>
      <c r="C308">
        <v>24.56</v>
      </c>
      <c r="D308">
        <v>6.18</v>
      </c>
      <c r="E308" t="str">
        <f t="shared" si="11"/>
        <v>Prediabetes</v>
      </c>
      <c r="F308" t="s">
        <v>2381</v>
      </c>
      <c r="G308" t="s">
        <v>2380</v>
      </c>
      <c r="H308" t="s">
        <v>2382</v>
      </c>
      <c r="I308">
        <v>1</v>
      </c>
      <c r="J308" t="s">
        <v>2381</v>
      </c>
    </row>
    <row r="309" spans="1:10" x14ac:dyDescent="0.35">
      <c r="A309" t="s">
        <v>2064</v>
      </c>
      <c r="B309" t="str">
        <f t="shared" si="10"/>
        <v>Obesity</v>
      </c>
      <c r="C309">
        <v>41.19</v>
      </c>
      <c r="D309">
        <v>6.37</v>
      </c>
      <c r="E309" t="str">
        <f t="shared" si="11"/>
        <v>Prediabetes</v>
      </c>
      <c r="F309" t="s">
        <v>2380</v>
      </c>
      <c r="G309" t="s">
        <v>2380</v>
      </c>
      <c r="H309" t="s">
        <v>2380</v>
      </c>
      <c r="I309">
        <v>0</v>
      </c>
      <c r="J309" t="s">
        <v>2381</v>
      </c>
    </row>
    <row r="310" spans="1:10" x14ac:dyDescent="0.35">
      <c r="A310" t="s">
        <v>2063</v>
      </c>
      <c r="B310" t="str">
        <f t="shared" si="10"/>
        <v>Normal Weight</v>
      </c>
      <c r="C310">
        <v>18.63</v>
      </c>
      <c r="D310">
        <v>9.81</v>
      </c>
      <c r="E310" t="str">
        <f t="shared" si="11"/>
        <v>Diabetes</v>
      </c>
      <c r="F310" t="s">
        <v>2381</v>
      </c>
      <c r="G310" t="s">
        <v>2380</v>
      </c>
      <c r="H310" t="s">
        <v>2380</v>
      </c>
      <c r="I310">
        <v>2</v>
      </c>
      <c r="J310" t="s">
        <v>2381</v>
      </c>
    </row>
    <row r="311" spans="1:10" x14ac:dyDescent="0.35">
      <c r="A311" t="s">
        <v>2062</v>
      </c>
      <c r="B311" t="str">
        <f t="shared" si="10"/>
        <v>Overweight</v>
      </c>
      <c r="C311">
        <v>26.26</v>
      </c>
      <c r="D311">
        <v>11.8</v>
      </c>
      <c r="E311" t="str">
        <f t="shared" si="11"/>
        <v>Diabetes</v>
      </c>
      <c r="F311" t="s">
        <v>2381</v>
      </c>
      <c r="G311" t="s">
        <v>2380</v>
      </c>
      <c r="H311" t="s">
        <v>2380</v>
      </c>
      <c r="I311">
        <v>1</v>
      </c>
      <c r="J311" t="s">
        <v>2381</v>
      </c>
    </row>
    <row r="312" spans="1:10" x14ac:dyDescent="0.35">
      <c r="A312" t="s">
        <v>2061</v>
      </c>
      <c r="B312" t="str">
        <f t="shared" si="10"/>
        <v>Normal Weight</v>
      </c>
      <c r="C312">
        <v>22.37</v>
      </c>
      <c r="D312">
        <v>5.86</v>
      </c>
      <c r="E312" t="str">
        <f t="shared" si="11"/>
        <v>Prediabetes</v>
      </c>
      <c r="F312" t="s">
        <v>2381</v>
      </c>
      <c r="G312" t="s">
        <v>2380</v>
      </c>
      <c r="H312" t="s">
        <v>2382</v>
      </c>
      <c r="I312">
        <v>1</v>
      </c>
      <c r="J312" t="s">
        <v>2381</v>
      </c>
    </row>
    <row r="313" spans="1:10" x14ac:dyDescent="0.35">
      <c r="A313" t="s">
        <v>2060</v>
      </c>
      <c r="B313" t="str">
        <f t="shared" si="10"/>
        <v>Obesity</v>
      </c>
      <c r="C313">
        <v>39.619999999999997</v>
      </c>
      <c r="D313">
        <v>4.28</v>
      </c>
      <c r="E313" t="str">
        <f t="shared" si="11"/>
        <v>Normal</v>
      </c>
      <c r="F313" t="s">
        <v>2380</v>
      </c>
      <c r="G313" t="s">
        <v>2380</v>
      </c>
      <c r="H313" t="s">
        <v>2380</v>
      </c>
      <c r="I313">
        <v>1</v>
      </c>
      <c r="J313" t="s">
        <v>2381</v>
      </c>
    </row>
    <row r="314" spans="1:10" x14ac:dyDescent="0.35">
      <c r="A314" t="s">
        <v>2059</v>
      </c>
      <c r="B314" t="str">
        <f t="shared" si="10"/>
        <v>Underweight</v>
      </c>
      <c r="C314">
        <v>18.329999999999998</v>
      </c>
      <c r="D314">
        <v>4.16</v>
      </c>
      <c r="E314" t="str">
        <f t="shared" si="11"/>
        <v>Normal</v>
      </c>
      <c r="F314" t="s">
        <v>2381</v>
      </c>
      <c r="G314" t="s">
        <v>2380</v>
      </c>
      <c r="H314" t="s">
        <v>2380</v>
      </c>
      <c r="I314">
        <v>0</v>
      </c>
      <c r="J314" t="s">
        <v>2381</v>
      </c>
    </row>
    <row r="315" spans="1:10" x14ac:dyDescent="0.35">
      <c r="A315" t="s">
        <v>2058</v>
      </c>
      <c r="B315" t="str">
        <f t="shared" si="10"/>
        <v>Underweight</v>
      </c>
      <c r="C315">
        <v>17.11</v>
      </c>
      <c r="D315">
        <v>4.9800000000000004</v>
      </c>
      <c r="E315" t="str">
        <f t="shared" si="11"/>
        <v>Normal</v>
      </c>
      <c r="F315" t="s">
        <v>2381</v>
      </c>
      <c r="G315" t="s">
        <v>2380</v>
      </c>
      <c r="H315" t="s">
        <v>2382</v>
      </c>
      <c r="I315">
        <v>1</v>
      </c>
      <c r="J315" t="s">
        <v>2381</v>
      </c>
    </row>
    <row r="316" spans="1:10" x14ac:dyDescent="0.35">
      <c r="A316" t="s">
        <v>2057</v>
      </c>
      <c r="B316" t="str">
        <f t="shared" si="10"/>
        <v>Obesity</v>
      </c>
      <c r="C316">
        <v>43.5</v>
      </c>
      <c r="D316">
        <v>6.38</v>
      </c>
      <c r="E316" t="str">
        <f t="shared" si="11"/>
        <v>Prediabetes</v>
      </c>
      <c r="F316" t="s">
        <v>2380</v>
      </c>
      <c r="G316" t="s">
        <v>2381</v>
      </c>
      <c r="H316" t="s">
        <v>2380</v>
      </c>
      <c r="I316">
        <v>1</v>
      </c>
      <c r="J316" t="s">
        <v>2381</v>
      </c>
    </row>
    <row r="317" spans="1:10" x14ac:dyDescent="0.35">
      <c r="A317" t="s">
        <v>2056</v>
      </c>
      <c r="B317" t="str">
        <f t="shared" si="10"/>
        <v>Overweight</v>
      </c>
      <c r="C317">
        <v>25.364999999999998</v>
      </c>
      <c r="D317">
        <v>5.19</v>
      </c>
      <c r="E317" t="str">
        <f t="shared" si="11"/>
        <v>Normal</v>
      </c>
      <c r="F317" t="s">
        <v>2380</v>
      </c>
      <c r="G317" t="s">
        <v>2380</v>
      </c>
      <c r="H317" t="s">
        <v>2380</v>
      </c>
      <c r="I317">
        <v>2</v>
      </c>
      <c r="J317" t="s">
        <v>2380</v>
      </c>
    </row>
    <row r="318" spans="1:10" x14ac:dyDescent="0.35">
      <c r="A318" t="s">
        <v>2055</v>
      </c>
      <c r="B318" t="str">
        <f t="shared" si="10"/>
        <v>Overweight</v>
      </c>
      <c r="C318">
        <v>28.594999999999999</v>
      </c>
      <c r="D318">
        <v>10.210000000000001</v>
      </c>
      <c r="E318" t="str">
        <f t="shared" si="11"/>
        <v>Diabetes</v>
      </c>
      <c r="F318" t="s">
        <v>2380</v>
      </c>
      <c r="G318" t="s">
        <v>2380</v>
      </c>
      <c r="H318" t="s">
        <v>2380</v>
      </c>
      <c r="I318">
        <v>0</v>
      </c>
      <c r="J318" t="s">
        <v>2380</v>
      </c>
    </row>
    <row r="319" spans="1:10" x14ac:dyDescent="0.35">
      <c r="A319" t="s">
        <v>2054</v>
      </c>
      <c r="B319" t="str">
        <f t="shared" si="10"/>
        <v>Overweight</v>
      </c>
      <c r="C319">
        <v>29.83</v>
      </c>
      <c r="D319">
        <v>9.6999999999999993</v>
      </c>
      <c r="E319" t="str">
        <f t="shared" si="11"/>
        <v>Diabetes</v>
      </c>
      <c r="F319" t="s">
        <v>2381</v>
      </c>
      <c r="G319" t="s">
        <v>2380</v>
      </c>
      <c r="H319" t="s">
        <v>2382</v>
      </c>
      <c r="I319">
        <v>1</v>
      </c>
      <c r="J319" t="s">
        <v>2381</v>
      </c>
    </row>
    <row r="320" spans="1:10" x14ac:dyDescent="0.35">
      <c r="A320" t="s">
        <v>2053</v>
      </c>
      <c r="B320" t="str">
        <f t="shared" si="10"/>
        <v>Normal Weight</v>
      </c>
      <c r="C320">
        <v>24.7</v>
      </c>
      <c r="D320">
        <v>10.25</v>
      </c>
      <c r="E320" t="str">
        <f t="shared" si="11"/>
        <v>Diabetes</v>
      </c>
      <c r="F320" t="s">
        <v>2380</v>
      </c>
      <c r="G320" t="s">
        <v>2380</v>
      </c>
      <c r="H320" t="s">
        <v>2380</v>
      </c>
      <c r="I320">
        <v>3</v>
      </c>
      <c r="J320" t="s">
        <v>2380</v>
      </c>
    </row>
    <row r="321" spans="1:10" x14ac:dyDescent="0.35">
      <c r="A321" t="s">
        <v>2052</v>
      </c>
      <c r="B321" t="str">
        <f t="shared" si="10"/>
        <v>Underweight</v>
      </c>
      <c r="C321">
        <v>17.940000000000001</v>
      </c>
      <c r="D321">
        <v>9.77</v>
      </c>
      <c r="E321" t="str">
        <f t="shared" si="11"/>
        <v>Diabetes</v>
      </c>
      <c r="F321" t="s">
        <v>2380</v>
      </c>
      <c r="G321" t="s">
        <v>2380</v>
      </c>
      <c r="H321" t="s">
        <v>2380</v>
      </c>
      <c r="I321">
        <v>0</v>
      </c>
      <c r="J321" t="s">
        <v>2381</v>
      </c>
    </row>
    <row r="322" spans="1:10" x14ac:dyDescent="0.35">
      <c r="A322" t="s">
        <v>2051</v>
      </c>
      <c r="B322" t="str">
        <f t="shared" si="10"/>
        <v>Normal Weight</v>
      </c>
      <c r="C322">
        <v>21.08</v>
      </c>
      <c r="D322">
        <v>4.83</v>
      </c>
      <c r="E322" t="str">
        <f t="shared" si="11"/>
        <v>Normal</v>
      </c>
      <c r="F322" t="s">
        <v>2380</v>
      </c>
      <c r="G322" t="s">
        <v>2380</v>
      </c>
      <c r="H322" t="s">
        <v>2382</v>
      </c>
      <c r="I322">
        <v>1</v>
      </c>
      <c r="J322" t="s">
        <v>2381</v>
      </c>
    </row>
    <row r="323" spans="1:10" x14ac:dyDescent="0.35">
      <c r="A323" t="s">
        <v>2050</v>
      </c>
      <c r="B323" t="str">
        <f t="shared" ref="B323:B386" si="12">IF(C323&lt;18.5,"Underweight",IF(C323&lt;25,"Normal Weight",IF(C323&lt;30,"Overweight","Obesity")))</f>
        <v>Obesity</v>
      </c>
      <c r="C323">
        <v>37.715000000000003</v>
      </c>
      <c r="D323">
        <v>10.86</v>
      </c>
      <c r="E323" t="str">
        <f t="shared" ref="E323:E386" si="13">IF(D323&lt;5.7,"Normal",IF(D323&lt;6.5,"Prediabetes","Diabetes"))</f>
        <v>Diabetes</v>
      </c>
      <c r="F323" t="s">
        <v>2381</v>
      </c>
      <c r="G323" t="s">
        <v>2380</v>
      </c>
      <c r="H323" t="s">
        <v>2380</v>
      </c>
      <c r="I323">
        <v>0</v>
      </c>
      <c r="J323" t="s">
        <v>2380</v>
      </c>
    </row>
    <row r="324" spans="1:10" x14ac:dyDescent="0.35">
      <c r="A324" t="s">
        <v>2049</v>
      </c>
      <c r="B324" t="str">
        <f t="shared" si="12"/>
        <v>Normal Weight</v>
      </c>
      <c r="C324">
        <v>22.39</v>
      </c>
      <c r="D324">
        <v>9.5299999999999994</v>
      </c>
      <c r="E324" t="str">
        <f t="shared" si="13"/>
        <v>Diabetes</v>
      </c>
      <c r="F324" t="s">
        <v>2381</v>
      </c>
      <c r="G324" t="s">
        <v>2380</v>
      </c>
      <c r="H324" t="s">
        <v>2380</v>
      </c>
      <c r="I324">
        <v>0</v>
      </c>
      <c r="J324" t="s">
        <v>2381</v>
      </c>
    </row>
    <row r="325" spans="1:10" x14ac:dyDescent="0.35">
      <c r="A325" t="s">
        <v>2048</v>
      </c>
      <c r="B325" t="str">
        <f t="shared" si="12"/>
        <v>Overweight</v>
      </c>
      <c r="C325">
        <v>28.78</v>
      </c>
      <c r="D325">
        <v>5.68</v>
      </c>
      <c r="E325" t="str">
        <f t="shared" si="13"/>
        <v>Normal</v>
      </c>
      <c r="F325" t="s">
        <v>2380</v>
      </c>
      <c r="G325" t="s">
        <v>2380</v>
      </c>
      <c r="H325" t="s">
        <v>2380</v>
      </c>
      <c r="I325">
        <v>0</v>
      </c>
      <c r="J325" t="s">
        <v>2381</v>
      </c>
    </row>
    <row r="326" spans="1:10" x14ac:dyDescent="0.35">
      <c r="A326" t="s">
        <v>2047</v>
      </c>
      <c r="B326" t="str">
        <f t="shared" si="12"/>
        <v>Underweight</v>
      </c>
      <c r="C326">
        <v>18.329999999999998</v>
      </c>
      <c r="D326">
        <v>5.57</v>
      </c>
      <c r="E326" t="str">
        <f t="shared" si="13"/>
        <v>Normal</v>
      </c>
      <c r="F326" t="s">
        <v>2381</v>
      </c>
      <c r="G326" t="s">
        <v>2380</v>
      </c>
      <c r="H326" t="s">
        <v>2380</v>
      </c>
      <c r="I326">
        <v>0</v>
      </c>
      <c r="J326" t="s">
        <v>2381</v>
      </c>
    </row>
    <row r="327" spans="1:10" x14ac:dyDescent="0.35">
      <c r="A327" t="s">
        <v>2046</v>
      </c>
      <c r="B327" t="str">
        <f t="shared" si="12"/>
        <v>Overweight</v>
      </c>
      <c r="C327">
        <v>26.39</v>
      </c>
      <c r="D327">
        <v>4.58</v>
      </c>
      <c r="E327" t="str">
        <f t="shared" si="13"/>
        <v>Normal</v>
      </c>
      <c r="F327" t="s">
        <v>2381</v>
      </c>
      <c r="G327" t="s">
        <v>2380</v>
      </c>
      <c r="H327" t="s">
        <v>2380</v>
      </c>
      <c r="I327">
        <v>1</v>
      </c>
      <c r="J327" t="s">
        <v>2381</v>
      </c>
    </row>
    <row r="328" spans="1:10" x14ac:dyDescent="0.35">
      <c r="A328" t="s">
        <v>2045</v>
      </c>
      <c r="B328" t="str">
        <f t="shared" si="12"/>
        <v>Normal Weight</v>
      </c>
      <c r="C328">
        <v>19.260000000000002</v>
      </c>
      <c r="D328">
        <v>8.9600000000000009</v>
      </c>
      <c r="E328" t="str">
        <f t="shared" si="13"/>
        <v>Diabetes</v>
      </c>
      <c r="F328" t="s">
        <v>2381</v>
      </c>
      <c r="G328" t="s">
        <v>2380</v>
      </c>
      <c r="H328" t="s">
        <v>2380</v>
      </c>
      <c r="I328">
        <v>1</v>
      </c>
      <c r="J328" t="s">
        <v>2381</v>
      </c>
    </row>
    <row r="329" spans="1:10" x14ac:dyDescent="0.35">
      <c r="A329" t="s">
        <v>2044</v>
      </c>
      <c r="B329" t="str">
        <f t="shared" si="12"/>
        <v>Overweight</v>
      </c>
      <c r="C329">
        <v>26.92</v>
      </c>
      <c r="D329">
        <v>6.09</v>
      </c>
      <c r="E329" t="str">
        <f t="shared" si="13"/>
        <v>Prediabetes</v>
      </c>
      <c r="F329" t="s">
        <v>2380</v>
      </c>
      <c r="G329" t="s">
        <v>2380</v>
      </c>
      <c r="H329" t="s">
        <v>2380</v>
      </c>
      <c r="I329">
        <v>0</v>
      </c>
      <c r="J329" t="s">
        <v>2381</v>
      </c>
    </row>
    <row r="330" spans="1:10" x14ac:dyDescent="0.35">
      <c r="A330" t="s">
        <v>2043</v>
      </c>
      <c r="B330" t="str">
        <f t="shared" si="12"/>
        <v>Normal Weight</v>
      </c>
      <c r="C330">
        <v>19.73</v>
      </c>
      <c r="D330">
        <v>4.3600000000000003</v>
      </c>
      <c r="E330" t="str">
        <f t="shared" si="13"/>
        <v>Normal</v>
      </c>
      <c r="F330" t="s">
        <v>2380</v>
      </c>
      <c r="G330" t="s">
        <v>2380</v>
      </c>
      <c r="H330" t="s">
        <v>2380</v>
      </c>
      <c r="I330">
        <v>0</v>
      </c>
      <c r="J330" t="s">
        <v>2381</v>
      </c>
    </row>
    <row r="331" spans="1:10" x14ac:dyDescent="0.35">
      <c r="A331" t="s">
        <v>2042</v>
      </c>
      <c r="B331" t="str">
        <f t="shared" si="12"/>
        <v>Normal Weight</v>
      </c>
      <c r="C331">
        <v>23.56</v>
      </c>
      <c r="D331">
        <v>11.74</v>
      </c>
      <c r="E331" t="str">
        <f t="shared" si="13"/>
        <v>Diabetes</v>
      </c>
      <c r="F331" t="s">
        <v>2381</v>
      </c>
      <c r="G331" t="s">
        <v>2380</v>
      </c>
      <c r="H331" t="s">
        <v>2380</v>
      </c>
      <c r="I331">
        <v>0</v>
      </c>
      <c r="J331" t="s">
        <v>2381</v>
      </c>
    </row>
    <row r="332" spans="1:10" x14ac:dyDescent="0.35">
      <c r="A332" t="s">
        <v>2041</v>
      </c>
      <c r="B332" t="str">
        <f t="shared" si="12"/>
        <v>Obesity</v>
      </c>
      <c r="C332">
        <v>37.67</v>
      </c>
      <c r="D332">
        <v>5.89</v>
      </c>
      <c r="E332" t="str">
        <f t="shared" si="13"/>
        <v>Prediabetes</v>
      </c>
      <c r="F332" t="s">
        <v>2380</v>
      </c>
      <c r="G332" t="s">
        <v>2380</v>
      </c>
      <c r="H332" t="s">
        <v>2380</v>
      </c>
      <c r="I332">
        <v>1</v>
      </c>
      <c r="J332" t="s">
        <v>2381</v>
      </c>
    </row>
    <row r="333" spans="1:10" x14ac:dyDescent="0.35">
      <c r="A333" t="s">
        <v>2040</v>
      </c>
      <c r="B333" t="str">
        <f t="shared" si="12"/>
        <v>Normal Weight</v>
      </c>
      <c r="C333">
        <v>18.73</v>
      </c>
      <c r="D333">
        <v>10.64</v>
      </c>
      <c r="E333" t="str">
        <f t="shared" si="13"/>
        <v>Diabetes</v>
      </c>
      <c r="F333" t="s">
        <v>2380</v>
      </c>
      <c r="G333" t="s">
        <v>2380</v>
      </c>
      <c r="H333" t="s">
        <v>2380</v>
      </c>
      <c r="I333">
        <v>2</v>
      </c>
      <c r="J333" t="s">
        <v>2381</v>
      </c>
    </row>
    <row r="334" spans="1:10" x14ac:dyDescent="0.35">
      <c r="A334" t="s">
        <v>2039</v>
      </c>
      <c r="B334" t="str">
        <f t="shared" si="12"/>
        <v>Obesity</v>
      </c>
      <c r="C334">
        <v>33.090000000000003</v>
      </c>
      <c r="D334">
        <v>6.06</v>
      </c>
      <c r="E334" t="str">
        <f t="shared" si="13"/>
        <v>Prediabetes</v>
      </c>
      <c r="F334" t="s">
        <v>2380</v>
      </c>
      <c r="G334" t="s">
        <v>2380</v>
      </c>
      <c r="H334" t="s">
        <v>2382</v>
      </c>
      <c r="I334">
        <v>1</v>
      </c>
      <c r="J334" t="s">
        <v>2381</v>
      </c>
    </row>
    <row r="335" spans="1:10" x14ac:dyDescent="0.35">
      <c r="A335" t="s">
        <v>2038</v>
      </c>
      <c r="B335" t="str">
        <f t="shared" si="12"/>
        <v>Underweight</v>
      </c>
      <c r="C335">
        <v>18.329999999999998</v>
      </c>
      <c r="D335">
        <v>7.46</v>
      </c>
      <c r="E335" t="str">
        <f t="shared" si="13"/>
        <v>Diabetes</v>
      </c>
      <c r="F335" t="s">
        <v>2381</v>
      </c>
      <c r="G335" t="s">
        <v>2380</v>
      </c>
      <c r="H335" t="s">
        <v>2380</v>
      </c>
      <c r="I335">
        <v>1</v>
      </c>
      <c r="J335" t="s">
        <v>2381</v>
      </c>
    </row>
    <row r="336" spans="1:10" x14ac:dyDescent="0.35">
      <c r="A336" t="s">
        <v>2037</v>
      </c>
      <c r="B336" t="str">
        <f t="shared" si="12"/>
        <v>Overweight</v>
      </c>
      <c r="C336">
        <v>27.74</v>
      </c>
      <c r="D336">
        <v>4.68</v>
      </c>
      <c r="E336" t="str">
        <f t="shared" si="13"/>
        <v>Normal</v>
      </c>
      <c r="F336" t="s">
        <v>2381</v>
      </c>
      <c r="G336" t="s">
        <v>2380</v>
      </c>
      <c r="H336" t="s">
        <v>2380</v>
      </c>
      <c r="I336">
        <v>2</v>
      </c>
      <c r="J336" t="s">
        <v>2381</v>
      </c>
    </row>
    <row r="337" spans="1:10" x14ac:dyDescent="0.35">
      <c r="A337" t="s">
        <v>2036</v>
      </c>
      <c r="B337" t="str">
        <f t="shared" si="12"/>
        <v>Normal Weight</v>
      </c>
      <c r="C337">
        <v>24.2</v>
      </c>
      <c r="D337">
        <v>6.15</v>
      </c>
      <c r="E337" t="str">
        <f t="shared" si="13"/>
        <v>Prediabetes</v>
      </c>
      <c r="F337" t="s">
        <v>2380</v>
      </c>
      <c r="G337" t="s">
        <v>2380</v>
      </c>
      <c r="H337" t="s">
        <v>2380</v>
      </c>
      <c r="I337">
        <v>1</v>
      </c>
      <c r="J337" t="s">
        <v>2381</v>
      </c>
    </row>
    <row r="338" spans="1:10" x14ac:dyDescent="0.35">
      <c r="A338" t="s">
        <v>2035</v>
      </c>
      <c r="B338" t="str">
        <f t="shared" si="12"/>
        <v>Normal Weight</v>
      </c>
      <c r="C338">
        <v>22.03</v>
      </c>
      <c r="D338">
        <v>4.28</v>
      </c>
      <c r="E338" t="str">
        <f t="shared" si="13"/>
        <v>Normal</v>
      </c>
      <c r="F338" t="s">
        <v>2381</v>
      </c>
      <c r="G338" t="s">
        <v>2380</v>
      </c>
      <c r="H338" t="s">
        <v>2380</v>
      </c>
      <c r="I338">
        <v>0</v>
      </c>
      <c r="J338" t="s">
        <v>2381</v>
      </c>
    </row>
    <row r="339" spans="1:10" x14ac:dyDescent="0.35">
      <c r="A339" t="s">
        <v>2034</v>
      </c>
      <c r="B339" t="str">
        <f t="shared" si="12"/>
        <v>Overweight</v>
      </c>
      <c r="C339">
        <v>26.885000000000002</v>
      </c>
      <c r="D339">
        <v>9.86</v>
      </c>
      <c r="E339" t="str">
        <f t="shared" si="13"/>
        <v>Diabetes</v>
      </c>
      <c r="F339" t="s">
        <v>2380</v>
      </c>
      <c r="G339" t="s">
        <v>2380</v>
      </c>
      <c r="H339" t="s">
        <v>2380</v>
      </c>
      <c r="I339">
        <v>3</v>
      </c>
      <c r="J339" t="s">
        <v>2381</v>
      </c>
    </row>
    <row r="340" spans="1:10" x14ac:dyDescent="0.35">
      <c r="A340" t="s">
        <v>2033</v>
      </c>
      <c r="B340" t="str">
        <f t="shared" si="12"/>
        <v>Underweight</v>
      </c>
      <c r="C340">
        <v>16.36</v>
      </c>
      <c r="D340">
        <v>11.19</v>
      </c>
      <c r="E340" t="str">
        <f t="shared" si="13"/>
        <v>Diabetes</v>
      </c>
      <c r="F340" t="s">
        <v>2380</v>
      </c>
      <c r="G340" t="s">
        <v>2380</v>
      </c>
      <c r="H340" t="s">
        <v>2380</v>
      </c>
      <c r="I340">
        <v>0</v>
      </c>
      <c r="J340" t="s">
        <v>2381</v>
      </c>
    </row>
    <row r="341" spans="1:10" x14ac:dyDescent="0.35">
      <c r="A341" t="s">
        <v>2032</v>
      </c>
      <c r="B341" t="str">
        <f t="shared" si="12"/>
        <v>Obesity</v>
      </c>
      <c r="C341">
        <v>32.299999999999997</v>
      </c>
      <c r="D341">
        <v>4.8899999999999997</v>
      </c>
      <c r="E341" t="str">
        <f t="shared" si="13"/>
        <v>Normal</v>
      </c>
      <c r="F341" t="s">
        <v>2381</v>
      </c>
      <c r="G341" t="s">
        <v>2380</v>
      </c>
      <c r="H341" t="s">
        <v>2382</v>
      </c>
      <c r="I341">
        <v>1</v>
      </c>
      <c r="J341" t="s">
        <v>2380</v>
      </c>
    </row>
    <row r="342" spans="1:10" x14ac:dyDescent="0.35">
      <c r="A342" t="s">
        <v>2031</v>
      </c>
      <c r="B342" t="str">
        <f t="shared" si="12"/>
        <v>Underweight</v>
      </c>
      <c r="C342">
        <v>16.05</v>
      </c>
      <c r="D342">
        <v>4.3499999999999996</v>
      </c>
      <c r="E342" t="str">
        <f t="shared" si="13"/>
        <v>Normal</v>
      </c>
      <c r="F342" t="s">
        <v>2381</v>
      </c>
      <c r="G342" t="s">
        <v>2380</v>
      </c>
      <c r="H342" t="s">
        <v>2380</v>
      </c>
      <c r="I342">
        <v>0</v>
      </c>
      <c r="J342" t="s">
        <v>2381</v>
      </c>
    </row>
    <row r="343" spans="1:10" x14ac:dyDescent="0.35">
      <c r="A343" t="s">
        <v>2030</v>
      </c>
      <c r="B343" t="str">
        <f t="shared" si="12"/>
        <v>Overweight</v>
      </c>
      <c r="C343">
        <v>29.07</v>
      </c>
      <c r="D343">
        <v>8.66</v>
      </c>
      <c r="E343" t="str">
        <f t="shared" si="13"/>
        <v>Diabetes</v>
      </c>
      <c r="F343" t="s">
        <v>2381</v>
      </c>
      <c r="G343" t="s">
        <v>2380</v>
      </c>
      <c r="H343" t="s">
        <v>2380</v>
      </c>
      <c r="I343">
        <v>2</v>
      </c>
      <c r="J343" t="s">
        <v>2381</v>
      </c>
    </row>
    <row r="344" spans="1:10" x14ac:dyDescent="0.35">
      <c r="A344" t="s">
        <v>2029</v>
      </c>
      <c r="B344" t="str">
        <f t="shared" si="12"/>
        <v>Underweight</v>
      </c>
      <c r="C344">
        <v>17.43</v>
      </c>
      <c r="D344">
        <v>8.64</v>
      </c>
      <c r="E344" t="str">
        <f t="shared" si="13"/>
        <v>Diabetes</v>
      </c>
      <c r="F344" t="s">
        <v>2380</v>
      </c>
      <c r="G344" t="s">
        <v>2380</v>
      </c>
      <c r="H344" t="s">
        <v>2380</v>
      </c>
      <c r="I344">
        <v>0</v>
      </c>
      <c r="J344" t="s">
        <v>2381</v>
      </c>
    </row>
    <row r="345" spans="1:10" x14ac:dyDescent="0.35">
      <c r="A345" t="s">
        <v>2028</v>
      </c>
      <c r="B345" t="str">
        <f t="shared" si="12"/>
        <v>Normal Weight</v>
      </c>
      <c r="C345">
        <v>19.329999999999998</v>
      </c>
      <c r="D345">
        <v>4.2699999999999996</v>
      </c>
      <c r="E345" t="str">
        <f t="shared" si="13"/>
        <v>Normal</v>
      </c>
      <c r="F345" t="s">
        <v>2380</v>
      </c>
      <c r="G345" t="s">
        <v>2380</v>
      </c>
      <c r="H345" t="s">
        <v>2380</v>
      </c>
      <c r="I345">
        <v>0</v>
      </c>
      <c r="J345" t="s">
        <v>2381</v>
      </c>
    </row>
    <row r="346" spans="1:10" x14ac:dyDescent="0.35">
      <c r="A346" t="s">
        <v>2027</v>
      </c>
      <c r="B346" t="str">
        <f t="shared" si="12"/>
        <v>Obesity</v>
      </c>
      <c r="C346">
        <v>30.52</v>
      </c>
      <c r="D346">
        <v>4.21</v>
      </c>
      <c r="E346" t="str">
        <f t="shared" si="13"/>
        <v>Normal</v>
      </c>
      <c r="F346" t="s">
        <v>2380</v>
      </c>
      <c r="G346" t="s">
        <v>2380</v>
      </c>
      <c r="H346" t="s">
        <v>2380</v>
      </c>
      <c r="I346">
        <v>1</v>
      </c>
      <c r="J346" t="s">
        <v>2381</v>
      </c>
    </row>
    <row r="347" spans="1:10" x14ac:dyDescent="0.35">
      <c r="A347" t="s">
        <v>2026</v>
      </c>
      <c r="B347" t="str">
        <f t="shared" si="12"/>
        <v>Obesity</v>
      </c>
      <c r="C347">
        <v>39.21</v>
      </c>
      <c r="D347">
        <v>5.04</v>
      </c>
      <c r="E347" t="str">
        <f t="shared" si="13"/>
        <v>Normal</v>
      </c>
      <c r="F347" t="s">
        <v>2380</v>
      </c>
      <c r="G347" t="s">
        <v>2380</v>
      </c>
      <c r="H347" t="s">
        <v>2382</v>
      </c>
      <c r="I347">
        <v>1</v>
      </c>
      <c r="J347" t="s">
        <v>2381</v>
      </c>
    </row>
    <row r="348" spans="1:10" x14ac:dyDescent="0.35">
      <c r="A348" t="s">
        <v>2025</v>
      </c>
      <c r="B348" t="str">
        <f t="shared" si="12"/>
        <v>Overweight</v>
      </c>
      <c r="C348">
        <v>26.98</v>
      </c>
      <c r="D348">
        <v>5.21</v>
      </c>
      <c r="E348" t="str">
        <f t="shared" si="13"/>
        <v>Normal</v>
      </c>
      <c r="F348" t="s">
        <v>2381</v>
      </c>
      <c r="G348" t="s">
        <v>2380</v>
      </c>
      <c r="H348" t="s">
        <v>2380</v>
      </c>
      <c r="I348">
        <v>2</v>
      </c>
      <c r="J348" t="s">
        <v>2381</v>
      </c>
    </row>
    <row r="349" spans="1:10" x14ac:dyDescent="0.35">
      <c r="A349" t="s">
        <v>2024</v>
      </c>
      <c r="B349" t="str">
        <f t="shared" si="12"/>
        <v>Overweight</v>
      </c>
      <c r="C349">
        <v>25.84</v>
      </c>
      <c r="D349">
        <v>8.83</v>
      </c>
      <c r="E349" t="str">
        <f t="shared" si="13"/>
        <v>Diabetes</v>
      </c>
      <c r="F349" t="s">
        <v>2380</v>
      </c>
      <c r="G349" t="s">
        <v>2380</v>
      </c>
      <c r="H349" t="s">
        <v>2380</v>
      </c>
      <c r="I349">
        <v>0</v>
      </c>
      <c r="J349" t="s">
        <v>2380</v>
      </c>
    </row>
    <row r="350" spans="1:10" x14ac:dyDescent="0.35">
      <c r="A350" t="s">
        <v>2023</v>
      </c>
      <c r="B350" t="str">
        <f t="shared" si="12"/>
        <v>Overweight</v>
      </c>
      <c r="C350">
        <v>28.31</v>
      </c>
      <c r="D350">
        <v>8.4700000000000006</v>
      </c>
      <c r="E350" t="str">
        <f t="shared" si="13"/>
        <v>Diabetes</v>
      </c>
      <c r="F350" t="s">
        <v>2381</v>
      </c>
      <c r="G350" t="s">
        <v>2380</v>
      </c>
      <c r="H350" t="s">
        <v>2380</v>
      </c>
      <c r="I350">
        <v>2</v>
      </c>
      <c r="J350" t="s">
        <v>2381</v>
      </c>
    </row>
    <row r="351" spans="1:10" x14ac:dyDescent="0.35">
      <c r="A351" t="s">
        <v>2022</v>
      </c>
      <c r="B351" t="str">
        <f t="shared" si="12"/>
        <v>Normal Weight</v>
      </c>
      <c r="C351">
        <v>23.94</v>
      </c>
      <c r="D351">
        <v>4.2</v>
      </c>
      <c r="E351" t="str">
        <f t="shared" si="13"/>
        <v>Normal</v>
      </c>
      <c r="F351" t="s">
        <v>2380</v>
      </c>
      <c r="G351" t="s">
        <v>2380</v>
      </c>
      <c r="H351" t="s">
        <v>2380</v>
      </c>
      <c r="I351">
        <v>0</v>
      </c>
      <c r="J351" t="s">
        <v>2381</v>
      </c>
    </row>
    <row r="352" spans="1:10" x14ac:dyDescent="0.35">
      <c r="A352" t="s">
        <v>2021</v>
      </c>
      <c r="B352" t="str">
        <f t="shared" si="12"/>
        <v>Normal Weight</v>
      </c>
      <c r="C352">
        <v>20.03</v>
      </c>
      <c r="D352">
        <v>6.14</v>
      </c>
      <c r="E352" t="str">
        <f t="shared" si="13"/>
        <v>Prediabetes</v>
      </c>
      <c r="F352" t="s">
        <v>2381</v>
      </c>
      <c r="G352" t="s">
        <v>2380</v>
      </c>
      <c r="H352" t="s">
        <v>2380</v>
      </c>
      <c r="I352">
        <v>0</v>
      </c>
      <c r="J352" t="s">
        <v>2381</v>
      </c>
    </row>
    <row r="353" spans="1:10" x14ac:dyDescent="0.35">
      <c r="A353" t="s">
        <v>2020</v>
      </c>
      <c r="B353" t="str">
        <f t="shared" si="12"/>
        <v>Obesity</v>
      </c>
      <c r="C353">
        <v>41.42</v>
      </c>
      <c r="D353">
        <v>6.07</v>
      </c>
      <c r="E353" t="str">
        <f t="shared" si="13"/>
        <v>Prediabetes</v>
      </c>
      <c r="F353" t="s">
        <v>2380</v>
      </c>
      <c r="G353" t="s">
        <v>2380</v>
      </c>
      <c r="H353" t="s">
        <v>2380</v>
      </c>
      <c r="I353">
        <v>0</v>
      </c>
      <c r="J353" t="s">
        <v>2380</v>
      </c>
    </row>
    <row r="354" spans="1:10" x14ac:dyDescent="0.35">
      <c r="A354" t="s">
        <v>2019</v>
      </c>
      <c r="B354" t="str">
        <f t="shared" si="12"/>
        <v>Obesity</v>
      </c>
      <c r="C354">
        <v>36.67</v>
      </c>
      <c r="D354">
        <v>10.210000000000001</v>
      </c>
      <c r="E354" t="str">
        <f t="shared" si="13"/>
        <v>Diabetes</v>
      </c>
      <c r="F354" t="s">
        <v>2380</v>
      </c>
      <c r="G354" t="s">
        <v>2380</v>
      </c>
      <c r="H354" t="s">
        <v>2380</v>
      </c>
      <c r="I354">
        <v>0</v>
      </c>
      <c r="J354" t="s">
        <v>2380</v>
      </c>
    </row>
    <row r="355" spans="1:10" x14ac:dyDescent="0.35">
      <c r="A355" t="s">
        <v>2018</v>
      </c>
      <c r="B355" t="str">
        <f t="shared" si="12"/>
        <v>Overweight</v>
      </c>
      <c r="C355">
        <v>27.645</v>
      </c>
      <c r="D355">
        <v>4.6900000000000004</v>
      </c>
      <c r="E355" t="str">
        <f t="shared" si="13"/>
        <v>Normal</v>
      </c>
      <c r="F355" t="s">
        <v>2380</v>
      </c>
      <c r="G355" t="s">
        <v>2380</v>
      </c>
      <c r="H355" t="s">
        <v>2380</v>
      </c>
      <c r="I355">
        <v>0</v>
      </c>
      <c r="J355" t="s">
        <v>2380</v>
      </c>
    </row>
    <row r="356" spans="1:10" x14ac:dyDescent="0.35">
      <c r="A356" t="s">
        <v>2017</v>
      </c>
      <c r="B356" t="str">
        <f t="shared" si="12"/>
        <v>Normal Weight</v>
      </c>
      <c r="C356">
        <v>22.72</v>
      </c>
      <c r="D356">
        <v>5.71</v>
      </c>
      <c r="E356" t="str">
        <f t="shared" si="13"/>
        <v>Prediabetes</v>
      </c>
      <c r="F356" t="s">
        <v>2380</v>
      </c>
      <c r="G356" t="s">
        <v>2380</v>
      </c>
      <c r="H356" t="s">
        <v>2380</v>
      </c>
      <c r="I356">
        <v>0</v>
      </c>
      <c r="J356" t="s">
        <v>2381</v>
      </c>
    </row>
    <row r="357" spans="1:10" x14ac:dyDescent="0.35">
      <c r="A357" t="s">
        <v>2016</v>
      </c>
      <c r="B357" t="str">
        <f t="shared" si="12"/>
        <v>Obesity</v>
      </c>
      <c r="C357">
        <v>36.520000000000003</v>
      </c>
      <c r="D357">
        <v>9.07</v>
      </c>
      <c r="E357" t="str">
        <f t="shared" si="13"/>
        <v>Diabetes</v>
      </c>
      <c r="F357" t="s">
        <v>2381</v>
      </c>
      <c r="G357" t="s">
        <v>2380</v>
      </c>
      <c r="H357" t="s">
        <v>2382</v>
      </c>
      <c r="I357">
        <v>1</v>
      </c>
      <c r="J357" t="s">
        <v>2380</v>
      </c>
    </row>
    <row r="358" spans="1:10" x14ac:dyDescent="0.35">
      <c r="A358" t="s">
        <v>2015</v>
      </c>
      <c r="B358" t="str">
        <f t="shared" si="12"/>
        <v>Obesity</v>
      </c>
      <c r="C358">
        <v>33.96</v>
      </c>
      <c r="D358">
        <v>4.99</v>
      </c>
      <c r="E358" t="str">
        <f t="shared" si="13"/>
        <v>Normal</v>
      </c>
      <c r="F358" t="s">
        <v>2380</v>
      </c>
      <c r="G358" t="s">
        <v>2380</v>
      </c>
      <c r="H358" t="s">
        <v>2380</v>
      </c>
      <c r="I358">
        <v>0</v>
      </c>
      <c r="J358" t="s">
        <v>2381</v>
      </c>
    </row>
    <row r="359" spans="1:10" x14ac:dyDescent="0.35">
      <c r="A359" t="s">
        <v>2014</v>
      </c>
      <c r="B359" t="str">
        <f t="shared" si="12"/>
        <v>Overweight</v>
      </c>
      <c r="C359">
        <v>26.695</v>
      </c>
      <c r="D359">
        <v>8.31</v>
      </c>
      <c r="E359" t="str">
        <f t="shared" si="13"/>
        <v>Diabetes</v>
      </c>
      <c r="F359" t="s">
        <v>2380</v>
      </c>
      <c r="G359" t="s">
        <v>2380</v>
      </c>
      <c r="H359" t="s">
        <v>2380</v>
      </c>
      <c r="I359">
        <v>0</v>
      </c>
      <c r="J359" t="s">
        <v>2381</v>
      </c>
    </row>
    <row r="360" spans="1:10" x14ac:dyDescent="0.35">
      <c r="A360" t="s">
        <v>2013</v>
      </c>
      <c r="B360" t="str">
        <f t="shared" si="12"/>
        <v>Underweight</v>
      </c>
      <c r="C360">
        <v>18.45</v>
      </c>
      <c r="D360">
        <v>5.07</v>
      </c>
      <c r="E360" t="str">
        <f t="shared" si="13"/>
        <v>Normal</v>
      </c>
      <c r="F360" t="s">
        <v>2381</v>
      </c>
      <c r="G360" t="s">
        <v>2380</v>
      </c>
      <c r="H360" t="s">
        <v>2380</v>
      </c>
      <c r="I360">
        <v>0</v>
      </c>
      <c r="J360" t="s">
        <v>2381</v>
      </c>
    </row>
    <row r="361" spans="1:10" x14ac:dyDescent="0.35">
      <c r="A361" t="s">
        <v>2012</v>
      </c>
      <c r="B361" t="str">
        <f t="shared" si="12"/>
        <v>Obesity</v>
      </c>
      <c r="C361">
        <v>33.18</v>
      </c>
      <c r="D361">
        <v>4.79</v>
      </c>
      <c r="E361" t="str">
        <f t="shared" si="13"/>
        <v>Normal</v>
      </c>
      <c r="F361" t="s">
        <v>2380</v>
      </c>
      <c r="G361" t="s">
        <v>2380</v>
      </c>
      <c r="H361" t="s">
        <v>2380</v>
      </c>
      <c r="I361">
        <v>0</v>
      </c>
      <c r="J361" t="s">
        <v>2381</v>
      </c>
    </row>
    <row r="362" spans="1:10" x14ac:dyDescent="0.35">
      <c r="A362" t="s">
        <v>2011</v>
      </c>
      <c r="B362" t="str">
        <f t="shared" si="12"/>
        <v>Obesity</v>
      </c>
      <c r="C362">
        <v>36.1</v>
      </c>
      <c r="D362">
        <v>11.39</v>
      </c>
      <c r="E362" t="str">
        <f t="shared" si="13"/>
        <v>Diabetes</v>
      </c>
      <c r="F362" t="s">
        <v>2381</v>
      </c>
      <c r="G362" t="s">
        <v>2380</v>
      </c>
      <c r="H362" t="s">
        <v>2380</v>
      </c>
      <c r="I362">
        <v>2</v>
      </c>
      <c r="J362" t="s">
        <v>2380</v>
      </c>
    </row>
    <row r="363" spans="1:10" x14ac:dyDescent="0.35">
      <c r="A363" t="s">
        <v>2010</v>
      </c>
      <c r="B363" t="str">
        <f t="shared" si="12"/>
        <v>Normal Weight</v>
      </c>
      <c r="C363">
        <v>22.77</v>
      </c>
      <c r="D363">
        <v>6</v>
      </c>
      <c r="E363" t="str">
        <f t="shared" si="13"/>
        <v>Prediabetes</v>
      </c>
      <c r="F363" t="s">
        <v>2380</v>
      </c>
      <c r="G363" t="s">
        <v>2380</v>
      </c>
      <c r="H363" t="s">
        <v>2380</v>
      </c>
      <c r="I363">
        <v>0</v>
      </c>
      <c r="J363" t="s">
        <v>2381</v>
      </c>
    </row>
    <row r="364" spans="1:10" x14ac:dyDescent="0.35">
      <c r="A364" t="s">
        <v>2009</v>
      </c>
      <c r="B364" t="str">
        <f t="shared" si="12"/>
        <v>Normal Weight</v>
      </c>
      <c r="C364">
        <v>21.24</v>
      </c>
      <c r="D364">
        <v>5.13</v>
      </c>
      <c r="E364" t="str">
        <f t="shared" si="13"/>
        <v>Normal</v>
      </c>
      <c r="F364" t="s">
        <v>2380</v>
      </c>
      <c r="G364" t="s">
        <v>2380</v>
      </c>
      <c r="H364" t="s">
        <v>2380</v>
      </c>
      <c r="I364">
        <v>0</v>
      </c>
      <c r="J364" t="s">
        <v>2381</v>
      </c>
    </row>
    <row r="365" spans="1:10" x14ac:dyDescent="0.35">
      <c r="A365" t="s">
        <v>2008</v>
      </c>
      <c r="B365" t="str">
        <f t="shared" si="12"/>
        <v>Underweight</v>
      </c>
      <c r="C365">
        <v>17.600000000000001</v>
      </c>
      <c r="D365">
        <v>5.26</v>
      </c>
      <c r="E365" t="str">
        <f t="shared" si="13"/>
        <v>Normal</v>
      </c>
      <c r="F365" t="s">
        <v>2381</v>
      </c>
      <c r="G365" t="s">
        <v>2380</v>
      </c>
      <c r="H365" t="s">
        <v>2380</v>
      </c>
      <c r="I365">
        <v>0</v>
      </c>
      <c r="J365" t="s">
        <v>2381</v>
      </c>
    </row>
    <row r="366" spans="1:10" x14ac:dyDescent="0.35">
      <c r="A366" t="s">
        <v>2007</v>
      </c>
      <c r="B366" t="str">
        <f t="shared" si="12"/>
        <v>Overweight</v>
      </c>
      <c r="C366">
        <v>26.29</v>
      </c>
      <c r="D366">
        <v>6.84</v>
      </c>
      <c r="E366" t="str">
        <f t="shared" si="13"/>
        <v>Diabetes</v>
      </c>
      <c r="F366" t="s">
        <v>2380</v>
      </c>
      <c r="G366" t="s">
        <v>2380</v>
      </c>
      <c r="H366" t="s">
        <v>2380</v>
      </c>
      <c r="I366">
        <v>0</v>
      </c>
      <c r="J366" t="s">
        <v>2381</v>
      </c>
    </row>
    <row r="367" spans="1:10" x14ac:dyDescent="0.35">
      <c r="A367" t="s">
        <v>2006</v>
      </c>
      <c r="B367" t="str">
        <f t="shared" si="12"/>
        <v>Obesity</v>
      </c>
      <c r="C367">
        <v>35.31</v>
      </c>
      <c r="D367">
        <v>9.0399999999999991</v>
      </c>
      <c r="E367" t="str">
        <f t="shared" si="13"/>
        <v>Diabetes</v>
      </c>
      <c r="F367" t="s">
        <v>2380</v>
      </c>
      <c r="G367" t="s">
        <v>2380</v>
      </c>
      <c r="H367" t="s">
        <v>2380</v>
      </c>
      <c r="I367">
        <v>0</v>
      </c>
      <c r="J367" t="s">
        <v>2380</v>
      </c>
    </row>
    <row r="368" spans="1:10" x14ac:dyDescent="0.35">
      <c r="A368" t="s">
        <v>2005</v>
      </c>
      <c r="B368" t="str">
        <f t="shared" si="12"/>
        <v>Overweight</v>
      </c>
      <c r="C368">
        <v>27.04</v>
      </c>
      <c r="D368">
        <v>4.0999999999999996</v>
      </c>
      <c r="E368" t="str">
        <f t="shared" si="13"/>
        <v>Normal</v>
      </c>
      <c r="F368" t="s">
        <v>2380</v>
      </c>
      <c r="G368" t="s">
        <v>2380</v>
      </c>
      <c r="H368" t="s">
        <v>2380</v>
      </c>
      <c r="I368">
        <v>1</v>
      </c>
      <c r="J368" t="s">
        <v>2381</v>
      </c>
    </row>
    <row r="369" spans="1:10" x14ac:dyDescent="0.35">
      <c r="A369" t="s">
        <v>2004</v>
      </c>
      <c r="B369" t="str">
        <f t="shared" si="12"/>
        <v>Obesity</v>
      </c>
      <c r="C369">
        <v>30.23</v>
      </c>
      <c r="D369">
        <v>4.2300000000000004</v>
      </c>
      <c r="E369" t="str">
        <f t="shared" si="13"/>
        <v>Normal</v>
      </c>
      <c r="F369" t="s">
        <v>2381</v>
      </c>
      <c r="G369" t="s">
        <v>2380</v>
      </c>
      <c r="H369" t="s">
        <v>2382</v>
      </c>
      <c r="I369">
        <v>1</v>
      </c>
      <c r="J369" t="s">
        <v>2381</v>
      </c>
    </row>
    <row r="370" spans="1:10" x14ac:dyDescent="0.35">
      <c r="A370" t="s">
        <v>2003</v>
      </c>
      <c r="B370" t="str">
        <f t="shared" si="12"/>
        <v>Obesity</v>
      </c>
      <c r="C370">
        <v>30.6</v>
      </c>
      <c r="D370">
        <v>6.48</v>
      </c>
      <c r="E370" t="str">
        <f t="shared" si="13"/>
        <v>Prediabetes</v>
      </c>
      <c r="F370" t="s">
        <v>2381</v>
      </c>
      <c r="G370" t="s">
        <v>2380</v>
      </c>
      <c r="H370" t="s">
        <v>2382</v>
      </c>
      <c r="I370">
        <v>1</v>
      </c>
      <c r="J370" t="s">
        <v>2381</v>
      </c>
    </row>
    <row r="371" spans="1:10" x14ac:dyDescent="0.35">
      <c r="A371" t="s">
        <v>2002</v>
      </c>
      <c r="B371" t="str">
        <f t="shared" si="12"/>
        <v>Overweight</v>
      </c>
      <c r="C371">
        <v>26.8</v>
      </c>
      <c r="D371">
        <v>5.53</v>
      </c>
      <c r="E371" t="str">
        <f t="shared" si="13"/>
        <v>Normal</v>
      </c>
      <c r="F371" t="s">
        <v>2380</v>
      </c>
      <c r="G371" t="s">
        <v>2380</v>
      </c>
      <c r="H371" t="s">
        <v>2380</v>
      </c>
      <c r="I371">
        <v>1</v>
      </c>
      <c r="J371" t="s">
        <v>2381</v>
      </c>
    </row>
    <row r="372" spans="1:10" x14ac:dyDescent="0.35">
      <c r="A372" t="s">
        <v>2001</v>
      </c>
      <c r="B372" t="str">
        <f t="shared" si="12"/>
        <v>Underweight</v>
      </c>
      <c r="C372">
        <v>16.86</v>
      </c>
      <c r="D372">
        <v>4.07</v>
      </c>
      <c r="E372" t="str">
        <f t="shared" si="13"/>
        <v>Normal</v>
      </c>
      <c r="F372" t="s">
        <v>2381</v>
      </c>
      <c r="G372" t="s">
        <v>2380</v>
      </c>
      <c r="H372" t="s">
        <v>2380</v>
      </c>
      <c r="I372">
        <v>0</v>
      </c>
      <c r="J372" t="s">
        <v>2381</v>
      </c>
    </row>
    <row r="373" spans="1:10" x14ac:dyDescent="0.35">
      <c r="A373" t="s">
        <v>2000</v>
      </c>
      <c r="B373" t="str">
        <f t="shared" si="12"/>
        <v>Underweight</v>
      </c>
      <c r="C373">
        <v>16.3</v>
      </c>
      <c r="D373">
        <v>5.51</v>
      </c>
      <c r="E373" t="str">
        <f t="shared" si="13"/>
        <v>Normal</v>
      </c>
      <c r="F373" t="s">
        <v>2380</v>
      </c>
      <c r="G373" t="s">
        <v>2380</v>
      </c>
      <c r="H373" t="s">
        <v>2380</v>
      </c>
      <c r="I373">
        <v>1</v>
      </c>
      <c r="J373" t="s">
        <v>2381</v>
      </c>
    </row>
    <row r="374" spans="1:10" x14ac:dyDescent="0.35">
      <c r="A374" t="s">
        <v>1999</v>
      </c>
      <c r="B374" t="str">
        <f t="shared" si="12"/>
        <v>Overweight</v>
      </c>
      <c r="C374">
        <v>29.81</v>
      </c>
      <c r="D374">
        <v>11.66</v>
      </c>
      <c r="E374" t="str">
        <f t="shared" si="13"/>
        <v>Diabetes</v>
      </c>
      <c r="F374" t="s">
        <v>2380</v>
      </c>
      <c r="G374" t="s">
        <v>2380</v>
      </c>
      <c r="H374" t="s">
        <v>2380</v>
      </c>
      <c r="I374">
        <v>0</v>
      </c>
      <c r="J374" t="s">
        <v>2381</v>
      </c>
    </row>
    <row r="375" spans="1:10" x14ac:dyDescent="0.35">
      <c r="A375" t="s">
        <v>1998</v>
      </c>
      <c r="B375" t="str">
        <f t="shared" si="12"/>
        <v>Underweight</v>
      </c>
      <c r="C375">
        <v>16.329999999999998</v>
      </c>
      <c r="D375">
        <v>7.26</v>
      </c>
      <c r="E375" t="str">
        <f t="shared" si="13"/>
        <v>Diabetes</v>
      </c>
      <c r="F375" t="s">
        <v>2381</v>
      </c>
      <c r="G375" t="s">
        <v>2380</v>
      </c>
      <c r="H375" t="s">
        <v>2380</v>
      </c>
      <c r="I375">
        <v>0</v>
      </c>
      <c r="J375" t="s">
        <v>2381</v>
      </c>
    </row>
    <row r="376" spans="1:10" x14ac:dyDescent="0.35">
      <c r="A376" t="s">
        <v>1997</v>
      </c>
      <c r="B376" t="str">
        <f t="shared" si="12"/>
        <v>Underweight</v>
      </c>
      <c r="C376">
        <v>16.37</v>
      </c>
      <c r="D376">
        <v>4.79</v>
      </c>
      <c r="E376" t="str">
        <f t="shared" si="13"/>
        <v>Normal</v>
      </c>
      <c r="F376" t="s">
        <v>2381</v>
      </c>
      <c r="G376" t="s">
        <v>2380</v>
      </c>
      <c r="H376" t="s">
        <v>2380</v>
      </c>
      <c r="I376">
        <v>0</v>
      </c>
      <c r="J376" t="s">
        <v>2381</v>
      </c>
    </row>
    <row r="377" spans="1:10" x14ac:dyDescent="0.35">
      <c r="A377" t="s">
        <v>1996</v>
      </c>
      <c r="B377" t="str">
        <f t="shared" si="12"/>
        <v>Normal Weight</v>
      </c>
      <c r="C377">
        <v>22.42</v>
      </c>
      <c r="D377">
        <v>4.68</v>
      </c>
      <c r="E377" t="str">
        <f t="shared" si="13"/>
        <v>Normal</v>
      </c>
      <c r="F377" t="s">
        <v>2381</v>
      </c>
      <c r="G377" t="s">
        <v>2380</v>
      </c>
      <c r="H377" t="s">
        <v>2380</v>
      </c>
      <c r="I377">
        <v>1</v>
      </c>
      <c r="J377" t="s">
        <v>2380</v>
      </c>
    </row>
    <row r="378" spans="1:10" x14ac:dyDescent="0.35">
      <c r="A378" t="s">
        <v>1995</v>
      </c>
      <c r="B378" t="str">
        <f t="shared" si="12"/>
        <v>Obesity</v>
      </c>
      <c r="C378">
        <v>31.35</v>
      </c>
      <c r="D378">
        <v>4.33</v>
      </c>
      <c r="E378" t="str">
        <f t="shared" si="13"/>
        <v>Normal</v>
      </c>
      <c r="F378" t="s">
        <v>2381</v>
      </c>
      <c r="G378" t="s">
        <v>2380</v>
      </c>
      <c r="H378" t="s">
        <v>2382</v>
      </c>
      <c r="I378">
        <v>1</v>
      </c>
      <c r="J378" t="s">
        <v>2380</v>
      </c>
    </row>
    <row r="379" spans="1:10" x14ac:dyDescent="0.35">
      <c r="A379" t="s">
        <v>1994</v>
      </c>
      <c r="B379" t="str">
        <f t="shared" si="12"/>
        <v>Obesity</v>
      </c>
      <c r="C379">
        <v>31.9</v>
      </c>
      <c r="D379">
        <v>11.89</v>
      </c>
      <c r="E379" t="str">
        <f t="shared" si="13"/>
        <v>Diabetes</v>
      </c>
      <c r="F379" t="s">
        <v>2380</v>
      </c>
      <c r="G379" t="s">
        <v>2380</v>
      </c>
      <c r="H379" t="s">
        <v>2380</v>
      </c>
      <c r="I379">
        <v>0</v>
      </c>
      <c r="J379" t="s">
        <v>2380</v>
      </c>
    </row>
    <row r="380" spans="1:10" x14ac:dyDescent="0.35">
      <c r="A380" t="s">
        <v>1993</v>
      </c>
      <c r="B380" t="str">
        <f t="shared" si="12"/>
        <v>Obesity</v>
      </c>
      <c r="C380">
        <v>30.6</v>
      </c>
      <c r="D380">
        <v>5.24</v>
      </c>
      <c r="E380" t="str">
        <f t="shared" si="13"/>
        <v>Normal</v>
      </c>
      <c r="F380" t="s">
        <v>2380</v>
      </c>
      <c r="G380" t="s">
        <v>2380</v>
      </c>
      <c r="H380" t="s">
        <v>2380</v>
      </c>
      <c r="I380">
        <v>0</v>
      </c>
      <c r="J380" t="s">
        <v>2381</v>
      </c>
    </row>
    <row r="381" spans="1:10" x14ac:dyDescent="0.35">
      <c r="A381" t="s">
        <v>1992</v>
      </c>
      <c r="B381" t="str">
        <f t="shared" si="12"/>
        <v>Overweight</v>
      </c>
      <c r="C381">
        <v>28.975000000000001</v>
      </c>
      <c r="D381">
        <v>7.63</v>
      </c>
      <c r="E381" t="str">
        <f t="shared" si="13"/>
        <v>Diabetes</v>
      </c>
      <c r="F381" t="s">
        <v>2380</v>
      </c>
      <c r="G381" t="s">
        <v>2380</v>
      </c>
      <c r="H381" t="s">
        <v>2380</v>
      </c>
      <c r="I381">
        <v>0</v>
      </c>
      <c r="J381" t="s">
        <v>2381</v>
      </c>
    </row>
    <row r="382" spans="1:10" x14ac:dyDescent="0.35">
      <c r="A382" t="s">
        <v>1991</v>
      </c>
      <c r="B382" t="str">
        <f t="shared" si="12"/>
        <v>Normal Weight</v>
      </c>
      <c r="C382">
        <v>24.86</v>
      </c>
      <c r="D382">
        <v>8.92</v>
      </c>
      <c r="E382" t="str">
        <f t="shared" si="13"/>
        <v>Diabetes</v>
      </c>
      <c r="F382" t="s">
        <v>2381</v>
      </c>
      <c r="G382" t="s">
        <v>2380</v>
      </c>
      <c r="H382" t="s">
        <v>2380</v>
      </c>
      <c r="I382">
        <v>2</v>
      </c>
      <c r="J382" t="s">
        <v>2380</v>
      </c>
    </row>
    <row r="383" spans="1:10" x14ac:dyDescent="0.35">
      <c r="A383" t="s">
        <v>1990</v>
      </c>
      <c r="B383" t="str">
        <f t="shared" si="12"/>
        <v>Normal Weight</v>
      </c>
      <c r="C383">
        <v>19.54</v>
      </c>
      <c r="D383">
        <v>5.37</v>
      </c>
      <c r="E383" t="str">
        <f t="shared" si="13"/>
        <v>Normal</v>
      </c>
      <c r="F383" t="s">
        <v>2380</v>
      </c>
      <c r="G383" t="s">
        <v>2380</v>
      </c>
      <c r="H383" t="s">
        <v>2380</v>
      </c>
      <c r="I383">
        <v>0</v>
      </c>
      <c r="J383" t="s">
        <v>2381</v>
      </c>
    </row>
    <row r="384" spans="1:10" x14ac:dyDescent="0.35">
      <c r="A384" t="s">
        <v>1989</v>
      </c>
      <c r="B384" t="str">
        <f t="shared" si="12"/>
        <v>Overweight</v>
      </c>
      <c r="C384">
        <v>26.74</v>
      </c>
      <c r="D384">
        <v>4.3099999999999996</v>
      </c>
      <c r="E384" t="str">
        <f t="shared" si="13"/>
        <v>Normal</v>
      </c>
      <c r="F384" t="s">
        <v>2380</v>
      </c>
      <c r="G384" t="s">
        <v>2380</v>
      </c>
      <c r="H384" t="s">
        <v>2380</v>
      </c>
      <c r="I384">
        <v>0</v>
      </c>
      <c r="J384" t="s">
        <v>2381</v>
      </c>
    </row>
    <row r="385" spans="1:10" x14ac:dyDescent="0.35">
      <c r="A385" t="s">
        <v>1988</v>
      </c>
      <c r="B385" t="str">
        <f t="shared" si="12"/>
        <v>Normal Weight</v>
      </c>
      <c r="C385">
        <v>22.99</v>
      </c>
      <c r="D385">
        <v>10.46</v>
      </c>
      <c r="E385" t="str">
        <f t="shared" si="13"/>
        <v>Diabetes</v>
      </c>
      <c r="F385" t="s">
        <v>2380</v>
      </c>
      <c r="G385" t="s">
        <v>2380</v>
      </c>
      <c r="H385" t="s">
        <v>2380</v>
      </c>
      <c r="I385">
        <v>3</v>
      </c>
      <c r="J385" t="s">
        <v>2381</v>
      </c>
    </row>
    <row r="386" spans="1:10" x14ac:dyDescent="0.35">
      <c r="A386" t="s">
        <v>1987</v>
      </c>
      <c r="B386" t="str">
        <f t="shared" si="12"/>
        <v>Obesity</v>
      </c>
      <c r="C386">
        <v>31.46</v>
      </c>
      <c r="D386">
        <v>7.39</v>
      </c>
      <c r="E386" t="str">
        <f t="shared" si="13"/>
        <v>Diabetes</v>
      </c>
      <c r="F386" t="s">
        <v>2380</v>
      </c>
      <c r="G386" t="s">
        <v>2380</v>
      </c>
      <c r="H386" t="s">
        <v>2380</v>
      </c>
      <c r="I386">
        <v>0</v>
      </c>
      <c r="J386" t="s">
        <v>2380</v>
      </c>
    </row>
    <row r="387" spans="1:10" x14ac:dyDescent="0.35">
      <c r="A387" t="s">
        <v>1986</v>
      </c>
      <c r="B387" t="str">
        <f t="shared" ref="B387:B450" si="14">IF(C387&lt;18.5,"Underweight",IF(C387&lt;25,"Normal Weight",IF(C387&lt;30,"Overweight","Obesity")))</f>
        <v>Obesity</v>
      </c>
      <c r="C387">
        <v>30.86</v>
      </c>
      <c r="D387">
        <v>6.18</v>
      </c>
      <c r="E387" t="str">
        <f t="shared" ref="E387:E450" si="15">IF(D387&lt;5.7,"Normal",IF(D387&lt;6.5,"Prediabetes","Diabetes"))</f>
        <v>Prediabetes</v>
      </c>
      <c r="F387" t="s">
        <v>2380</v>
      </c>
      <c r="G387" t="s">
        <v>2381</v>
      </c>
      <c r="H387" t="s">
        <v>2380</v>
      </c>
      <c r="I387">
        <v>2</v>
      </c>
      <c r="J387" t="s">
        <v>2381</v>
      </c>
    </row>
    <row r="388" spans="1:10" x14ac:dyDescent="0.35">
      <c r="A388" t="s">
        <v>1985</v>
      </c>
      <c r="B388" t="str">
        <f t="shared" si="14"/>
        <v>Obesity</v>
      </c>
      <c r="C388">
        <v>31.96</v>
      </c>
      <c r="D388">
        <v>8.86</v>
      </c>
      <c r="E388" t="str">
        <f t="shared" si="15"/>
        <v>Diabetes</v>
      </c>
      <c r="F388" t="s">
        <v>2380</v>
      </c>
      <c r="G388" t="s">
        <v>2380</v>
      </c>
      <c r="H388" t="s">
        <v>2380</v>
      </c>
      <c r="I388">
        <v>0</v>
      </c>
      <c r="J388" t="s">
        <v>2381</v>
      </c>
    </row>
    <row r="389" spans="1:10" x14ac:dyDescent="0.35">
      <c r="A389" t="s">
        <v>1984</v>
      </c>
      <c r="B389" t="str">
        <f t="shared" si="14"/>
        <v>Normal Weight</v>
      </c>
      <c r="C389">
        <v>23.76</v>
      </c>
      <c r="D389">
        <v>10.96</v>
      </c>
      <c r="E389" t="str">
        <f t="shared" si="15"/>
        <v>Diabetes</v>
      </c>
      <c r="F389" t="s">
        <v>2380</v>
      </c>
      <c r="G389" t="s">
        <v>2380</v>
      </c>
      <c r="H389" t="s">
        <v>2380</v>
      </c>
      <c r="I389">
        <v>3</v>
      </c>
      <c r="J389" t="s">
        <v>2381</v>
      </c>
    </row>
    <row r="390" spans="1:10" x14ac:dyDescent="0.35">
      <c r="A390" t="s">
        <v>1983</v>
      </c>
      <c r="B390" t="str">
        <f t="shared" si="14"/>
        <v>Normal Weight</v>
      </c>
      <c r="C390">
        <v>19.38</v>
      </c>
      <c r="D390">
        <v>6.28</v>
      </c>
      <c r="E390" t="str">
        <f t="shared" si="15"/>
        <v>Prediabetes</v>
      </c>
      <c r="F390" t="s">
        <v>2380</v>
      </c>
      <c r="G390" t="s">
        <v>2380</v>
      </c>
      <c r="H390" t="s">
        <v>2380</v>
      </c>
      <c r="I390">
        <v>0</v>
      </c>
      <c r="J390" t="s">
        <v>2381</v>
      </c>
    </row>
    <row r="391" spans="1:10" x14ac:dyDescent="0.35">
      <c r="A391" t="s">
        <v>1982</v>
      </c>
      <c r="B391" t="str">
        <f t="shared" si="14"/>
        <v>Underweight</v>
      </c>
      <c r="C391">
        <v>16.21</v>
      </c>
      <c r="D391">
        <v>6.29</v>
      </c>
      <c r="E391" t="str">
        <f t="shared" si="15"/>
        <v>Prediabetes</v>
      </c>
      <c r="F391" t="s">
        <v>2381</v>
      </c>
      <c r="G391" t="s">
        <v>2380</v>
      </c>
      <c r="H391" t="s">
        <v>2380</v>
      </c>
      <c r="I391">
        <v>1</v>
      </c>
      <c r="J391" t="s">
        <v>2381</v>
      </c>
    </row>
    <row r="392" spans="1:10" x14ac:dyDescent="0.35">
      <c r="A392" t="s">
        <v>1981</v>
      </c>
      <c r="B392" t="str">
        <f t="shared" si="14"/>
        <v>Obesity</v>
      </c>
      <c r="C392">
        <v>32.54</v>
      </c>
      <c r="D392">
        <v>4.0199999999999996</v>
      </c>
      <c r="E392" t="str">
        <f t="shared" si="15"/>
        <v>Normal</v>
      </c>
      <c r="F392" t="s">
        <v>2380</v>
      </c>
      <c r="G392" t="s">
        <v>2381</v>
      </c>
      <c r="H392" t="s">
        <v>2380</v>
      </c>
      <c r="I392">
        <v>1</v>
      </c>
      <c r="J392" t="s">
        <v>2381</v>
      </c>
    </row>
    <row r="393" spans="1:10" x14ac:dyDescent="0.35">
      <c r="A393" t="s">
        <v>1980</v>
      </c>
      <c r="B393" t="str">
        <f t="shared" si="14"/>
        <v>Obesity</v>
      </c>
      <c r="C393">
        <v>36.765000000000001</v>
      </c>
      <c r="D393">
        <v>11.95</v>
      </c>
      <c r="E393" t="str">
        <f t="shared" si="15"/>
        <v>Diabetes</v>
      </c>
      <c r="F393" t="s">
        <v>2381</v>
      </c>
      <c r="G393" t="s">
        <v>2380</v>
      </c>
      <c r="H393" t="s">
        <v>2380</v>
      </c>
      <c r="I393">
        <v>2</v>
      </c>
      <c r="J393" t="s">
        <v>2380</v>
      </c>
    </row>
    <row r="394" spans="1:10" x14ac:dyDescent="0.35">
      <c r="A394" t="s">
        <v>1979</v>
      </c>
      <c r="B394" t="str">
        <f t="shared" si="14"/>
        <v>Obesity</v>
      </c>
      <c r="C394">
        <v>35.909999999999997</v>
      </c>
      <c r="D394">
        <v>8.7100000000000009</v>
      </c>
      <c r="E394" t="str">
        <f t="shared" si="15"/>
        <v>Diabetes</v>
      </c>
      <c r="F394" t="s">
        <v>2380</v>
      </c>
      <c r="G394" t="s">
        <v>2380</v>
      </c>
      <c r="H394" t="s">
        <v>2380</v>
      </c>
      <c r="I394">
        <v>0</v>
      </c>
      <c r="J394" t="s">
        <v>2380</v>
      </c>
    </row>
    <row r="395" spans="1:10" x14ac:dyDescent="0.35">
      <c r="A395" t="s">
        <v>1978</v>
      </c>
      <c r="B395" t="str">
        <f t="shared" si="14"/>
        <v>Obesity</v>
      </c>
      <c r="C395">
        <v>32.06</v>
      </c>
      <c r="D395">
        <v>4.67</v>
      </c>
      <c r="E395" t="str">
        <f t="shared" si="15"/>
        <v>Normal</v>
      </c>
      <c r="F395" t="s">
        <v>2380</v>
      </c>
      <c r="G395" t="s">
        <v>2381</v>
      </c>
      <c r="H395" t="s">
        <v>2380</v>
      </c>
      <c r="I395">
        <v>1</v>
      </c>
      <c r="J395" t="s">
        <v>2381</v>
      </c>
    </row>
    <row r="396" spans="1:10" x14ac:dyDescent="0.35">
      <c r="A396" t="s">
        <v>1977</v>
      </c>
      <c r="B396" t="str">
        <f t="shared" si="14"/>
        <v>Normal Weight</v>
      </c>
      <c r="C396">
        <v>24.1</v>
      </c>
      <c r="D396">
        <v>11.14</v>
      </c>
      <c r="E396" t="str">
        <f t="shared" si="15"/>
        <v>Diabetes</v>
      </c>
      <c r="F396" t="s">
        <v>2381</v>
      </c>
      <c r="G396" t="s">
        <v>2380</v>
      </c>
      <c r="H396" t="s">
        <v>2380</v>
      </c>
      <c r="I396">
        <v>1</v>
      </c>
      <c r="J396" t="s">
        <v>2380</v>
      </c>
    </row>
    <row r="397" spans="1:10" x14ac:dyDescent="0.35">
      <c r="A397" t="s">
        <v>1976</v>
      </c>
      <c r="B397" t="str">
        <f t="shared" si="14"/>
        <v>Overweight</v>
      </c>
      <c r="C397">
        <v>27.1</v>
      </c>
      <c r="D397">
        <v>9.0500000000000007</v>
      </c>
      <c r="E397" t="str">
        <f t="shared" si="15"/>
        <v>Diabetes</v>
      </c>
      <c r="F397" t="s">
        <v>2380</v>
      </c>
      <c r="G397" t="s">
        <v>2380</v>
      </c>
      <c r="H397" t="s">
        <v>2380</v>
      </c>
      <c r="I397">
        <v>2</v>
      </c>
      <c r="J397" t="s">
        <v>2380</v>
      </c>
    </row>
    <row r="398" spans="1:10" x14ac:dyDescent="0.35">
      <c r="A398" t="s">
        <v>1975</v>
      </c>
      <c r="B398" t="str">
        <f t="shared" si="14"/>
        <v>Normal Weight</v>
      </c>
      <c r="C398">
        <v>24.42</v>
      </c>
      <c r="D398">
        <v>11.31</v>
      </c>
      <c r="E398" t="str">
        <f t="shared" si="15"/>
        <v>Diabetes</v>
      </c>
      <c r="F398" t="s">
        <v>2380</v>
      </c>
      <c r="G398" t="s">
        <v>2380</v>
      </c>
      <c r="H398" t="s">
        <v>2380</v>
      </c>
      <c r="I398">
        <v>0</v>
      </c>
      <c r="J398" t="s">
        <v>2381</v>
      </c>
    </row>
    <row r="399" spans="1:10" x14ac:dyDescent="0.35">
      <c r="A399" t="s">
        <v>1974</v>
      </c>
      <c r="B399" t="str">
        <f t="shared" si="14"/>
        <v>Overweight</v>
      </c>
      <c r="C399">
        <v>26.695</v>
      </c>
      <c r="D399">
        <v>4.68</v>
      </c>
      <c r="E399" t="str">
        <f t="shared" si="15"/>
        <v>Normal</v>
      </c>
      <c r="F399" t="s">
        <v>2381</v>
      </c>
      <c r="G399" t="s">
        <v>2380</v>
      </c>
      <c r="H399" t="s">
        <v>2380</v>
      </c>
      <c r="I399">
        <v>2</v>
      </c>
      <c r="J399" t="s">
        <v>2381</v>
      </c>
    </row>
    <row r="400" spans="1:10" x14ac:dyDescent="0.35">
      <c r="A400" t="s">
        <v>1973</v>
      </c>
      <c r="B400" t="str">
        <f t="shared" si="14"/>
        <v>Overweight</v>
      </c>
      <c r="C400">
        <v>27.79</v>
      </c>
      <c r="D400">
        <v>6.05</v>
      </c>
      <c r="E400" t="str">
        <f t="shared" si="15"/>
        <v>Prediabetes</v>
      </c>
      <c r="F400" t="s">
        <v>2381</v>
      </c>
      <c r="G400" t="s">
        <v>2381</v>
      </c>
      <c r="H400" t="s">
        <v>2380</v>
      </c>
      <c r="I400">
        <v>1</v>
      </c>
      <c r="J400" t="s">
        <v>2381</v>
      </c>
    </row>
    <row r="401" spans="1:10" x14ac:dyDescent="0.35">
      <c r="A401" t="s">
        <v>1972</v>
      </c>
      <c r="B401" t="str">
        <f t="shared" si="14"/>
        <v>Obesity</v>
      </c>
      <c r="C401">
        <v>32.68</v>
      </c>
      <c r="D401">
        <v>4.68</v>
      </c>
      <c r="E401" t="str">
        <f t="shared" si="15"/>
        <v>Normal</v>
      </c>
      <c r="F401" t="s">
        <v>2381</v>
      </c>
      <c r="G401" t="s">
        <v>2380</v>
      </c>
      <c r="H401" t="s">
        <v>2380</v>
      </c>
      <c r="I401">
        <v>0</v>
      </c>
      <c r="J401" t="s">
        <v>2380</v>
      </c>
    </row>
    <row r="402" spans="1:10" x14ac:dyDescent="0.35">
      <c r="A402" t="s">
        <v>1971</v>
      </c>
      <c r="B402" t="str">
        <f t="shared" si="14"/>
        <v>Overweight</v>
      </c>
      <c r="C402">
        <v>26.4</v>
      </c>
      <c r="D402">
        <v>9.5</v>
      </c>
      <c r="E402" t="str">
        <f t="shared" si="15"/>
        <v>Diabetes</v>
      </c>
      <c r="F402" t="s">
        <v>2381</v>
      </c>
      <c r="G402" t="s">
        <v>2380</v>
      </c>
      <c r="H402" t="s">
        <v>2380</v>
      </c>
      <c r="I402">
        <v>2</v>
      </c>
      <c r="J402" t="s">
        <v>2380</v>
      </c>
    </row>
    <row r="403" spans="1:10" x14ac:dyDescent="0.35">
      <c r="A403" t="s">
        <v>1970</v>
      </c>
      <c r="B403" t="str">
        <f t="shared" si="14"/>
        <v>Normal Weight</v>
      </c>
      <c r="C403">
        <v>23.655000000000001</v>
      </c>
      <c r="D403">
        <v>10.84</v>
      </c>
      <c r="E403" t="str">
        <f t="shared" si="15"/>
        <v>Diabetes</v>
      </c>
      <c r="F403" t="s">
        <v>2381</v>
      </c>
      <c r="G403" t="s">
        <v>2380</v>
      </c>
      <c r="H403" t="s">
        <v>2382</v>
      </c>
      <c r="I403">
        <v>1</v>
      </c>
      <c r="J403" t="s">
        <v>2381</v>
      </c>
    </row>
    <row r="404" spans="1:10" x14ac:dyDescent="0.35">
      <c r="A404" t="s">
        <v>1969</v>
      </c>
      <c r="B404" t="str">
        <f t="shared" si="14"/>
        <v>Overweight</v>
      </c>
      <c r="C404">
        <v>27.36</v>
      </c>
      <c r="D404">
        <v>5.88</v>
      </c>
      <c r="E404" t="str">
        <f t="shared" si="15"/>
        <v>Prediabetes</v>
      </c>
      <c r="F404" t="s">
        <v>2380</v>
      </c>
      <c r="G404" t="s">
        <v>2380</v>
      </c>
      <c r="H404" t="s">
        <v>2380</v>
      </c>
      <c r="I404">
        <v>2</v>
      </c>
      <c r="J404" t="s">
        <v>2380</v>
      </c>
    </row>
    <row r="405" spans="1:10" x14ac:dyDescent="0.35">
      <c r="A405" t="s">
        <v>1968</v>
      </c>
      <c r="B405" t="str">
        <f t="shared" si="14"/>
        <v>Overweight</v>
      </c>
      <c r="C405">
        <v>27.82</v>
      </c>
      <c r="D405">
        <v>5.24</v>
      </c>
      <c r="E405" t="str">
        <f t="shared" si="15"/>
        <v>Normal</v>
      </c>
      <c r="F405" t="s">
        <v>2381</v>
      </c>
      <c r="G405" t="s">
        <v>2380</v>
      </c>
      <c r="H405" t="s">
        <v>2380</v>
      </c>
      <c r="I405">
        <v>0</v>
      </c>
      <c r="J405" t="s">
        <v>2381</v>
      </c>
    </row>
    <row r="406" spans="1:10" x14ac:dyDescent="0.35">
      <c r="A406" t="s">
        <v>1967</v>
      </c>
      <c r="B406" t="str">
        <f t="shared" si="14"/>
        <v>Overweight</v>
      </c>
      <c r="C406">
        <v>25.46</v>
      </c>
      <c r="D406">
        <v>11.75</v>
      </c>
      <c r="E406" t="str">
        <f t="shared" si="15"/>
        <v>Diabetes</v>
      </c>
      <c r="F406" t="s">
        <v>2380</v>
      </c>
      <c r="G406" t="s">
        <v>2380</v>
      </c>
      <c r="H406" t="s">
        <v>2380</v>
      </c>
      <c r="I406">
        <v>0</v>
      </c>
      <c r="J406" t="s">
        <v>2380</v>
      </c>
    </row>
    <row r="407" spans="1:10" x14ac:dyDescent="0.35">
      <c r="A407" t="s">
        <v>1966</v>
      </c>
      <c r="B407" t="str">
        <f t="shared" si="14"/>
        <v>Overweight</v>
      </c>
      <c r="C407">
        <v>25.1</v>
      </c>
      <c r="D407">
        <v>6.97</v>
      </c>
      <c r="E407" t="str">
        <f t="shared" si="15"/>
        <v>Diabetes</v>
      </c>
      <c r="F407" t="s">
        <v>2380</v>
      </c>
      <c r="G407" t="s">
        <v>2380</v>
      </c>
      <c r="H407" t="s">
        <v>2380</v>
      </c>
      <c r="I407">
        <v>0</v>
      </c>
      <c r="J407" t="s">
        <v>2381</v>
      </c>
    </row>
    <row r="408" spans="1:10" x14ac:dyDescent="0.35">
      <c r="A408" t="s">
        <v>1965</v>
      </c>
      <c r="B408" t="str">
        <f t="shared" si="14"/>
        <v>Obesity</v>
      </c>
      <c r="C408">
        <v>32.11</v>
      </c>
      <c r="D408">
        <v>4.76</v>
      </c>
      <c r="E408" t="str">
        <f t="shared" si="15"/>
        <v>Normal</v>
      </c>
      <c r="F408" t="s">
        <v>2380</v>
      </c>
      <c r="G408" t="s">
        <v>2380</v>
      </c>
      <c r="H408" t="s">
        <v>2380</v>
      </c>
      <c r="I408">
        <v>2</v>
      </c>
      <c r="J408" t="s">
        <v>2380</v>
      </c>
    </row>
    <row r="409" spans="1:10" x14ac:dyDescent="0.35">
      <c r="A409" t="s">
        <v>1964</v>
      </c>
      <c r="B409" t="str">
        <f t="shared" si="14"/>
        <v>Overweight</v>
      </c>
      <c r="C409">
        <v>29.8</v>
      </c>
      <c r="D409">
        <v>8.24</v>
      </c>
      <c r="E409" t="str">
        <f t="shared" si="15"/>
        <v>Diabetes</v>
      </c>
      <c r="F409" t="s">
        <v>2381</v>
      </c>
      <c r="G409" t="s">
        <v>2380</v>
      </c>
      <c r="H409" t="s">
        <v>2380</v>
      </c>
      <c r="I409">
        <v>1</v>
      </c>
      <c r="J409" t="s">
        <v>2381</v>
      </c>
    </row>
    <row r="410" spans="1:10" x14ac:dyDescent="0.35">
      <c r="A410" t="s">
        <v>1963</v>
      </c>
      <c r="B410" t="str">
        <f t="shared" si="14"/>
        <v>Normal Weight</v>
      </c>
      <c r="C410">
        <v>24.01</v>
      </c>
      <c r="D410">
        <v>4.76</v>
      </c>
      <c r="E410" t="str">
        <f t="shared" si="15"/>
        <v>Normal</v>
      </c>
      <c r="F410" t="s">
        <v>2380</v>
      </c>
      <c r="G410" t="s">
        <v>2380</v>
      </c>
      <c r="H410" t="s">
        <v>2380</v>
      </c>
      <c r="I410">
        <v>1</v>
      </c>
      <c r="J410" t="s">
        <v>2381</v>
      </c>
    </row>
    <row r="411" spans="1:10" x14ac:dyDescent="0.35">
      <c r="A411" t="s">
        <v>1962</v>
      </c>
      <c r="B411" t="str">
        <f t="shared" si="14"/>
        <v>Normal Weight</v>
      </c>
      <c r="C411">
        <v>23.21</v>
      </c>
      <c r="D411">
        <v>6.03</v>
      </c>
      <c r="E411" t="str">
        <f t="shared" si="15"/>
        <v>Prediabetes</v>
      </c>
      <c r="F411" t="s">
        <v>2380</v>
      </c>
      <c r="G411" t="s">
        <v>2380</v>
      </c>
      <c r="H411" t="s">
        <v>2380</v>
      </c>
      <c r="I411">
        <v>1</v>
      </c>
      <c r="J411" t="s">
        <v>2380</v>
      </c>
    </row>
    <row r="412" spans="1:10" x14ac:dyDescent="0.35">
      <c r="A412" t="s">
        <v>1961</v>
      </c>
      <c r="B412" t="str">
        <f t="shared" si="14"/>
        <v>Normal Weight</v>
      </c>
      <c r="C412">
        <v>21.2</v>
      </c>
      <c r="D412">
        <v>4.07</v>
      </c>
      <c r="E412" t="str">
        <f t="shared" si="15"/>
        <v>Normal</v>
      </c>
      <c r="F412" t="s">
        <v>2381</v>
      </c>
      <c r="G412" t="s">
        <v>2380</v>
      </c>
      <c r="H412" t="s">
        <v>2380</v>
      </c>
      <c r="I412">
        <v>1</v>
      </c>
      <c r="J412" t="s">
        <v>2381</v>
      </c>
    </row>
    <row r="413" spans="1:10" x14ac:dyDescent="0.35">
      <c r="A413" t="s">
        <v>1960</v>
      </c>
      <c r="B413" t="str">
        <f t="shared" si="14"/>
        <v>Overweight</v>
      </c>
      <c r="C413">
        <v>28.215</v>
      </c>
      <c r="D413">
        <v>8.26</v>
      </c>
      <c r="E413" t="str">
        <f t="shared" si="15"/>
        <v>Diabetes</v>
      </c>
      <c r="F413" t="s">
        <v>2381</v>
      </c>
      <c r="G413" t="s">
        <v>2380</v>
      </c>
      <c r="H413" t="s">
        <v>2380</v>
      </c>
      <c r="I413">
        <v>1</v>
      </c>
      <c r="J413" t="s">
        <v>2381</v>
      </c>
    </row>
    <row r="414" spans="1:10" x14ac:dyDescent="0.35">
      <c r="A414" t="s">
        <v>1959</v>
      </c>
      <c r="B414" t="str">
        <f t="shared" si="14"/>
        <v>Obesity</v>
      </c>
      <c r="C414">
        <v>38.094999999999999</v>
      </c>
      <c r="D414">
        <v>4.76</v>
      </c>
      <c r="E414" t="str">
        <f t="shared" si="15"/>
        <v>Normal</v>
      </c>
      <c r="F414" t="s">
        <v>2380</v>
      </c>
      <c r="G414" t="s">
        <v>2380</v>
      </c>
      <c r="H414" t="s">
        <v>2380</v>
      </c>
      <c r="I414">
        <v>1</v>
      </c>
      <c r="J414" t="s">
        <v>2380</v>
      </c>
    </row>
    <row r="415" spans="1:10" x14ac:dyDescent="0.35">
      <c r="A415" t="s">
        <v>1958</v>
      </c>
      <c r="B415" t="str">
        <f t="shared" si="14"/>
        <v>Normal Weight</v>
      </c>
      <c r="C415">
        <v>22.61</v>
      </c>
      <c r="D415">
        <v>6.13</v>
      </c>
      <c r="E415" t="str">
        <f t="shared" si="15"/>
        <v>Prediabetes</v>
      </c>
      <c r="F415" t="s">
        <v>2381</v>
      </c>
      <c r="G415" t="s">
        <v>2380</v>
      </c>
      <c r="H415" t="s">
        <v>2382</v>
      </c>
      <c r="I415">
        <v>1</v>
      </c>
      <c r="J415" t="s">
        <v>2381</v>
      </c>
    </row>
    <row r="416" spans="1:10" x14ac:dyDescent="0.35">
      <c r="A416" t="s">
        <v>1957</v>
      </c>
      <c r="B416" t="str">
        <f t="shared" si="14"/>
        <v>Normal Weight</v>
      </c>
      <c r="C416">
        <v>24.32</v>
      </c>
      <c r="D416">
        <v>10.47</v>
      </c>
      <c r="E416" t="str">
        <f t="shared" si="15"/>
        <v>Diabetes</v>
      </c>
      <c r="F416" t="s">
        <v>2381</v>
      </c>
      <c r="G416" t="s">
        <v>2380</v>
      </c>
      <c r="H416" t="s">
        <v>2380</v>
      </c>
      <c r="I416">
        <v>2</v>
      </c>
      <c r="J416" t="s">
        <v>2381</v>
      </c>
    </row>
    <row r="417" spans="1:10" x14ac:dyDescent="0.35">
      <c r="A417" t="s">
        <v>1956</v>
      </c>
      <c r="B417" t="str">
        <f t="shared" si="14"/>
        <v>Normal Weight</v>
      </c>
      <c r="C417">
        <v>20.96</v>
      </c>
      <c r="D417">
        <v>4.04</v>
      </c>
      <c r="E417" t="str">
        <f t="shared" si="15"/>
        <v>Normal</v>
      </c>
      <c r="F417" t="s">
        <v>2381</v>
      </c>
      <c r="G417" t="s">
        <v>2380</v>
      </c>
      <c r="H417" t="s">
        <v>2380</v>
      </c>
      <c r="I417">
        <v>1</v>
      </c>
      <c r="J417" t="s">
        <v>2381</v>
      </c>
    </row>
    <row r="418" spans="1:10" x14ac:dyDescent="0.35">
      <c r="A418" t="s">
        <v>1955</v>
      </c>
      <c r="B418" t="str">
        <f t="shared" si="14"/>
        <v>Normal Weight</v>
      </c>
      <c r="C418">
        <v>19.68</v>
      </c>
      <c r="D418">
        <v>5.74</v>
      </c>
      <c r="E418" t="str">
        <f t="shared" si="15"/>
        <v>Prediabetes</v>
      </c>
      <c r="F418" t="s">
        <v>2380</v>
      </c>
      <c r="G418" t="s">
        <v>2380</v>
      </c>
      <c r="H418" t="s">
        <v>2380</v>
      </c>
      <c r="I418">
        <v>0</v>
      </c>
      <c r="J418" t="s">
        <v>2381</v>
      </c>
    </row>
    <row r="419" spans="1:10" x14ac:dyDescent="0.35">
      <c r="A419" t="s">
        <v>1954</v>
      </c>
      <c r="B419" t="str">
        <f t="shared" si="14"/>
        <v>Underweight</v>
      </c>
      <c r="C419">
        <v>18.100000000000001</v>
      </c>
      <c r="D419">
        <v>6.33</v>
      </c>
      <c r="E419" t="str">
        <f t="shared" si="15"/>
        <v>Prediabetes</v>
      </c>
      <c r="F419" t="s">
        <v>2380</v>
      </c>
      <c r="G419" t="s">
        <v>2380</v>
      </c>
      <c r="H419" t="s">
        <v>2380</v>
      </c>
      <c r="I419">
        <v>1</v>
      </c>
      <c r="J419" t="s">
        <v>2381</v>
      </c>
    </row>
    <row r="420" spans="1:10" x14ac:dyDescent="0.35">
      <c r="A420" t="s">
        <v>1953</v>
      </c>
      <c r="B420" t="str">
        <f t="shared" si="14"/>
        <v>Overweight</v>
      </c>
      <c r="C420">
        <v>29.64</v>
      </c>
      <c r="D420">
        <v>4.28</v>
      </c>
      <c r="E420" t="str">
        <f t="shared" si="15"/>
        <v>Normal</v>
      </c>
      <c r="F420" t="s">
        <v>2381</v>
      </c>
      <c r="G420" t="s">
        <v>2380</v>
      </c>
      <c r="H420" t="s">
        <v>2380</v>
      </c>
      <c r="I420">
        <v>0</v>
      </c>
      <c r="J420" t="s">
        <v>2380</v>
      </c>
    </row>
    <row r="421" spans="1:10" x14ac:dyDescent="0.35">
      <c r="A421" t="s">
        <v>1952</v>
      </c>
      <c r="B421" t="str">
        <f t="shared" si="14"/>
        <v>Overweight</v>
      </c>
      <c r="C421">
        <v>25.3</v>
      </c>
      <c r="D421">
        <v>9.4700000000000006</v>
      </c>
      <c r="E421" t="str">
        <f t="shared" si="15"/>
        <v>Diabetes</v>
      </c>
      <c r="F421" t="s">
        <v>2381</v>
      </c>
      <c r="G421" t="s">
        <v>2380</v>
      </c>
      <c r="H421" t="s">
        <v>2380</v>
      </c>
      <c r="I421">
        <v>2</v>
      </c>
      <c r="J421" t="s">
        <v>2381</v>
      </c>
    </row>
    <row r="422" spans="1:10" x14ac:dyDescent="0.35">
      <c r="A422" t="s">
        <v>1951</v>
      </c>
      <c r="B422" t="str">
        <f t="shared" si="14"/>
        <v>Overweight</v>
      </c>
      <c r="C422">
        <v>27.6</v>
      </c>
      <c r="D422">
        <v>4.8499999999999996</v>
      </c>
      <c r="E422" t="str">
        <f t="shared" si="15"/>
        <v>Normal</v>
      </c>
      <c r="F422" t="s">
        <v>2381</v>
      </c>
      <c r="G422" t="s">
        <v>2380</v>
      </c>
      <c r="H422" t="s">
        <v>2380</v>
      </c>
      <c r="I422">
        <v>0</v>
      </c>
      <c r="J422" t="s">
        <v>2380</v>
      </c>
    </row>
    <row r="423" spans="1:10" x14ac:dyDescent="0.35">
      <c r="A423" t="s">
        <v>1950</v>
      </c>
      <c r="B423" t="str">
        <f t="shared" si="14"/>
        <v>Overweight</v>
      </c>
      <c r="C423">
        <v>27.645</v>
      </c>
      <c r="D423">
        <v>11.03</v>
      </c>
      <c r="E423" t="str">
        <f t="shared" si="15"/>
        <v>Diabetes</v>
      </c>
      <c r="F423" t="s">
        <v>2381</v>
      </c>
      <c r="G423" t="s">
        <v>2380</v>
      </c>
      <c r="H423" t="s">
        <v>2380</v>
      </c>
      <c r="I423">
        <v>1</v>
      </c>
      <c r="J423" t="s">
        <v>2381</v>
      </c>
    </row>
    <row r="424" spans="1:10" x14ac:dyDescent="0.35">
      <c r="A424" t="s">
        <v>1949</v>
      </c>
      <c r="B424" t="str">
        <f t="shared" si="14"/>
        <v>Overweight</v>
      </c>
      <c r="C424">
        <v>27.6</v>
      </c>
      <c r="D424">
        <v>5.22</v>
      </c>
      <c r="E424" t="str">
        <f t="shared" si="15"/>
        <v>Normal</v>
      </c>
      <c r="F424" t="s">
        <v>2380</v>
      </c>
      <c r="G424" t="s">
        <v>2380</v>
      </c>
      <c r="H424" t="s">
        <v>2380</v>
      </c>
      <c r="I424">
        <v>2</v>
      </c>
      <c r="J424" t="s">
        <v>2381</v>
      </c>
    </row>
    <row r="425" spans="1:10" x14ac:dyDescent="0.35">
      <c r="A425" t="s">
        <v>1948</v>
      </c>
      <c r="B425" t="str">
        <f t="shared" si="14"/>
        <v>Overweight</v>
      </c>
      <c r="C425">
        <v>25.08</v>
      </c>
      <c r="D425">
        <v>9.52</v>
      </c>
      <c r="E425" t="str">
        <f t="shared" si="15"/>
        <v>Diabetes</v>
      </c>
      <c r="F425" t="s">
        <v>2381</v>
      </c>
      <c r="G425" t="s">
        <v>2380</v>
      </c>
      <c r="H425" t="s">
        <v>2380</v>
      </c>
      <c r="I425">
        <v>2</v>
      </c>
      <c r="J425" t="s">
        <v>2380</v>
      </c>
    </row>
    <row r="426" spans="1:10" x14ac:dyDescent="0.35">
      <c r="A426" t="s">
        <v>1947</v>
      </c>
      <c r="B426" t="str">
        <f t="shared" si="14"/>
        <v>Obesity</v>
      </c>
      <c r="C426">
        <v>30.02</v>
      </c>
      <c r="D426">
        <v>11.09</v>
      </c>
      <c r="E426" t="str">
        <f t="shared" si="15"/>
        <v>Diabetes</v>
      </c>
      <c r="F426" t="s">
        <v>2380</v>
      </c>
      <c r="G426" t="s">
        <v>2380</v>
      </c>
      <c r="H426" t="s">
        <v>2380</v>
      </c>
      <c r="I426">
        <v>0</v>
      </c>
      <c r="J426" t="s">
        <v>2380</v>
      </c>
    </row>
    <row r="427" spans="1:10" x14ac:dyDescent="0.35">
      <c r="A427" t="s">
        <v>1946</v>
      </c>
      <c r="B427" t="str">
        <f t="shared" si="14"/>
        <v>Overweight</v>
      </c>
      <c r="C427">
        <v>27.36</v>
      </c>
      <c r="D427">
        <v>9.4499999999999993</v>
      </c>
      <c r="E427" t="str">
        <f t="shared" si="15"/>
        <v>Diabetes</v>
      </c>
      <c r="F427" t="s">
        <v>2381</v>
      </c>
      <c r="G427" t="s">
        <v>2380</v>
      </c>
      <c r="H427" t="s">
        <v>2380</v>
      </c>
      <c r="I427">
        <v>2</v>
      </c>
      <c r="J427" t="s">
        <v>2381</v>
      </c>
    </row>
    <row r="428" spans="1:10" x14ac:dyDescent="0.35">
      <c r="A428" t="s">
        <v>1945</v>
      </c>
      <c r="B428" t="str">
        <f t="shared" si="14"/>
        <v>Normal Weight</v>
      </c>
      <c r="C428">
        <v>22.2</v>
      </c>
      <c r="D428">
        <v>5.51</v>
      </c>
      <c r="E428" t="str">
        <f t="shared" si="15"/>
        <v>Normal</v>
      </c>
      <c r="F428" t="s">
        <v>2380</v>
      </c>
      <c r="G428" t="s">
        <v>2380</v>
      </c>
      <c r="H428" t="s">
        <v>2380</v>
      </c>
      <c r="I428">
        <v>0</v>
      </c>
      <c r="J428" t="s">
        <v>2381</v>
      </c>
    </row>
    <row r="429" spans="1:10" x14ac:dyDescent="0.35">
      <c r="A429" t="s">
        <v>1944</v>
      </c>
      <c r="B429" t="str">
        <f t="shared" si="14"/>
        <v>Overweight</v>
      </c>
      <c r="C429">
        <v>25.71</v>
      </c>
      <c r="D429">
        <v>4.18</v>
      </c>
      <c r="E429" t="str">
        <f t="shared" si="15"/>
        <v>Normal</v>
      </c>
      <c r="F429" t="s">
        <v>2380</v>
      </c>
      <c r="G429" t="s">
        <v>2381</v>
      </c>
      <c r="H429" t="s">
        <v>2380</v>
      </c>
      <c r="I429">
        <v>1</v>
      </c>
      <c r="J429" t="s">
        <v>2381</v>
      </c>
    </row>
    <row r="430" spans="1:10" x14ac:dyDescent="0.35">
      <c r="A430" t="s">
        <v>1943</v>
      </c>
      <c r="B430" t="str">
        <f t="shared" si="14"/>
        <v>Obesity</v>
      </c>
      <c r="C430">
        <v>41.91</v>
      </c>
      <c r="D430">
        <v>5.98</v>
      </c>
      <c r="E430" t="str">
        <f t="shared" si="15"/>
        <v>Prediabetes</v>
      </c>
      <c r="F430" t="s">
        <v>2381</v>
      </c>
      <c r="G430" t="s">
        <v>2380</v>
      </c>
      <c r="H430" t="s">
        <v>2380</v>
      </c>
      <c r="I430">
        <v>1</v>
      </c>
      <c r="J430" t="s">
        <v>2380</v>
      </c>
    </row>
    <row r="431" spans="1:10" x14ac:dyDescent="0.35">
      <c r="A431" t="s">
        <v>1942</v>
      </c>
      <c r="B431" t="str">
        <f t="shared" si="14"/>
        <v>Overweight</v>
      </c>
      <c r="C431">
        <v>25.85</v>
      </c>
      <c r="D431">
        <v>10.16</v>
      </c>
      <c r="E431" t="str">
        <f t="shared" si="15"/>
        <v>Diabetes</v>
      </c>
      <c r="F431" t="s">
        <v>2380</v>
      </c>
      <c r="G431" t="s">
        <v>2380</v>
      </c>
      <c r="H431" t="s">
        <v>2380</v>
      </c>
      <c r="I431">
        <v>0</v>
      </c>
      <c r="J431" t="s">
        <v>2381</v>
      </c>
    </row>
    <row r="432" spans="1:10" x14ac:dyDescent="0.35">
      <c r="A432" t="s">
        <v>1941</v>
      </c>
      <c r="B432" t="str">
        <f t="shared" si="14"/>
        <v>Normal Weight</v>
      </c>
      <c r="C432">
        <v>23.844999999999999</v>
      </c>
      <c r="D432">
        <v>11.71</v>
      </c>
      <c r="E432" t="str">
        <f t="shared" si="15"/>
        <v>Diabetes</v>
      </c>
      <c r="F432" t="s">
        <v>2380</v>
      </c>
      <c r="G432" t="s">
        <v>2380</v>
      </c>
      <c r="H432" t="s">
        <v>2380</v>
      </c>
      <c r="I432">
        <v>2</v>
      </c>
      <c r="J432" t="s">
        <v>2381</v>
      </c>
    </row>
    <row r="433" spans="1:10" x14ac:dyDescent="0.35">
      <c r="A433" t="s">
        <v>1940</v>
      </c>
      <c r="B433" t="str">
        <f t="shared" si="14"/>
        <v>Obesity</v>
      </c>
      <c r="C433">
        <v>30.59</v>
      </c>
      <c r="D433">
        <v>5.23</v>
      </c>
      <c r="E433" t="str">
        <f t="shared" si="15"/>
        <v>Normal</v>
      </c>
      <c r="F433" t="s">
        <v>2380</v>
      </c>
      <c r="G433" t="s">
        <v>2380</v>
      </c>
      <c r="H433" t="s">
        <v>2382</v>
      </c>
      <c r="I433">
        <v>1</v>
      </c>
      <c r="J433" t="s">
        <v>2380</v>
      </c>
    </row>
    <row r="434" spans="1:10" x14ac:dyDescent="0.35">
      <c r="A434" t="s">
        <v>1939</v>
      </c>
      <c r="B434" t="str">
        <f t="shared" si="14"/>
        <v>Normal Weight</v>
      </c>
      <c r="C434">
        <v>24.795000000000002</v>
      </c>
      <c r="D434">
        <v>6.85</v>
      </c>
      <c r="E434" t="str">
        <f t="shared" si="15"/>
        <v>Diabetes</v>
      </c>
      <c r="F434" t="s">
        <v>2380</v>
      </c>
      <c r="G434" t="s">
        <v>2380</v>
      </c>
      <c r="H434" t="s">
        <v>2380</v>
      </c>
      <c r="I434">
        <v>0</v>
      </c>
      <c r="J434" t="s">
        <v>2381</v>
      </c>
    </row>
    <row r="435" spans="1:10" x14ac:dyDescent="0.35">
      <c r="A435" t="s">
        <v>1938</v>
      </c>
      <c r="B435" t="str">
        <f t="shared" si="14"/>
        <v>Normal Weight</v>
      </c>
      <c r="C435">
        <v>24.13</v>
      </c>
      <c r="D435">
        <v>7.05</v>
      </c>
      <c r="E435" t="str">
        <f t="shared" si="15"/>
        <v>Diabetes</v>
      </c>
      <c r="F435" t="s">
        <v>2381</v>
      </c>
      <c r="G435" t="s">
        <v>2380</v>
      </c>
      <c r="H435" t="s">
        <v>2380</v>
      </c>
      <c r="I435">
        <v>2</v>
      </c>
      <c r="J435" t="s">
        <v>2381</v>
      </c>
    </row>
    <row r="436" spans="1:10" x14ac:dyDescent="0.35">
      <c r="A436" t="s">
        <v>1937</v>
      </c>
      <c r="B436" t="str">
        <f t="shared" si="14"/>
        <v>Overweight</v>
      </c>
      <c r="C436">
        <v>25.84</v>
      </c>
      <c r="D436">
        <v>11.64</v>
      </c>
      <c r="E436" t="str">
        <f t="shared" si="15"/>
        <v>Diabetes</v>
      </c>
      <c r="F436" t="s">
        <v>2380</v>
      </c>
      <c r="G436" t="s">
        <v>2380</v>
      </c>
      <c r="H436" t="s">
        <v>2380</v>
      </c>
      <c r="I436">
        <v>2</v>
      </c>
      <c r="J436" t="s">
        <v>2381</v>
      </c>
    </row>
    <row r="437" spans="1:10" x14ac:dyDescent="0.35">
      <c r="A437" t="s">
        <v>1936</v>
      </c>
      <c r="B437" t="str">
        <f t="shared" si="14"/>
        <v>Overweight</v>
      </c>
      <c r="C437">
        <v>28</v>
      </c>
      <c r="D437">
        <v>10.52</v>
      </c>
      <c r="E437" t="str">
        <f t="shared" si="15"/>
        <v>Diabetes</v>
      </c>
      <c r="F437" t="s">
        <v>2380</v>
      </c>
      <c r="G437" t="s">
        <v>2380</v>
      </c>
      <c r="H437" t="s">
        <v>2380</v>
      </c>
      <c r="I437">
        <v>0</v>
      </c>
      <c r="J437" t="s">
        <v>2381</v>
      </c>
    </row>
    <row r="438" spans="1:10" x14ac:dyDescent="0.35">
      <c r="A438" t="s">
        <v>1935</v>
      </c>
      <c r="B438" t="str">
        <f t="shared" si="14"/>
        <v>Obesity</v>
      </c>
      <c r="C438">
        <v>34.1</v>
      </c>
      <c r="D438">
        <v>4.01</v>
      </c>
      <c r="E438" t="str">
        <f t="shared" si="15"/>
        <v>Normal</v>
      </c>
      <c r="F438" t="s">
        <v>2381</v>
      </c>
      <c r="G438" t="s">
        <v>2380</v>
      </c>
      <c r="H438" t="s">
        <v>2382</v>
      </c>
      <c r="I438">
        <v>1</v>
      </c>
      <c r="J438" t="s">
        <v>2380</v>
      </c>
    </row>
    <row r="439" spans="1:10" x14ac:dyDescent="0.35">
      <c r="A439" t="s">
        <v>1934</v>
      </c>
      <c r="B439" t="str">
        <f t="shared" si="14"/>
        <v>Overweight</v>
      </c>
      <c r="C439">
        <v>26.125</v>
      </c>
      <c r="D439">
        <v>8.56</v>
      </c>
      <c r="E439" t="str">
        <f t="shared" si="15"/>
        <v>Diabetes</v>
      </c>
      <c r="F439" t="s">
        <v>2381</v>
      </c>
      <c r="G439" t="s">
        <v>2380</v>
      </c>
      <c r="H439" t="s">
        <v>2380</v>
      </c>
      <c r="I439">
        <v>1</v>
      </c>
      <c r="J439" t="s">
        <v>2381</v>
      </c>
    </row>
    <row r="440" spans="1:10" x14ac:dyDescent="0.35">
      <c r="A440" t="s">
        <v>1933</v>
      </c>
      <c r="B440" t="str">
        <f t="shared" si="14"/>
        <v>Overweight</v>
      </c>
      <c r="C440">
        <v>25.6</v>
      </c>
      <c r="D440">
        <v>10.5</v>
      </c>
      <c r="E440" t="str">
        <f t="shared" si="15"/>
        <v>Diabetes</v>
      </c>
      <c r="F440" t="s">
        <v>2380</v>
      </c>
      <c r="G440" t="s">
        <v>2380</v>
      </c>
      <c r="H440" t="s">
        <v>2380</v>
      </c>
      <c r="I440">
        <v>2</v>
      </c>
      <c r="J440" t="s">
        <v>2381</v>
      </c>
    </row>
    <row r="441" spans="1:10" x14ac:dyDescent="0.35">
      <c r="A441" t="s">
        <v>1932</v>
      </c>
      <c r="B441" t="str">
        <f t="shared" si="14"/>
        <v>Normal Weight</v>
      </c>
      <c r="C441">
        <v>24.32</v>
      </c>
      <c r="D441">
        <v>6.39</v>
      </c>
      <c r="E441" t="str">
        <f t="shared" si="15"/>
        <v>Prediabetes</v>
      </c>
      <c r="F441" t="s">
        <v>2380</v>
      </c>
      <c r="G441" t="s">
        <v>2380</v>
      </c>
      <c r="H441" t="s">
        <v>2380</v>
      </c>
      <c r="I441">
        <v>0</v>
      </c>
      <c r="J441" t="s">
        <v>2380</v>
      </c>
    </row>
    <row r="442" spans="1:10" x14ac:dyDescent="0.35">
      <c r="A442" t="s">
        <v>1931</v>
      </c>
      <c r="B442" t="str">
        <f t="shared" si="14"/>
        <v>Normal Weight</v>
      </c>
      <c r="C442">
        <v>22.88</v>
      </c>
      <c r="D442">
        <v>5.71</v>
      </c>
      <c r="E442" t="str">
        <f t="shared" si="15"/>
        <v>Prediabetes</v>
      </c>
      <c r="F442" t="s">
        <v>2381</v>
      </c>
      <c r="G442" t="s">
        <v>2380</v>
      </c>
      <c r="H442" t="s">
        <v>2382</v>
      </c>
      <c r="I442">
        <v>1</v>
      </c>
      <c r="J442" t="s">
        <v>2381</v>
      </c>
    </row>
    <row r="443" spans="1:10" x14ac:dyDescent="0.35">
      <c r="A443" t="s">
        <v>1930</v>
      </c>
      <c r="B443" t="str">
        <f t="shared" si="14"/>
        <v>Normal Weight</v>
      </c>
      <c r="C443">
        <v>24.984999999999999</v>
      </c>
      <c r="D443">
        <v>4.43</v>
      </c>
      <c r="E443" t="str">
        <f t="shared" si="15"/>
        <v>Normal</v>
      </c>
      <c r="F443" t="s">
        <v>2381</v>
      </c>
      <c r="G443" t="s">
        <v>2380</v>
      </c>
      <c r="H443" t="s">
        <v>2382</v>
      </c>
      <c r="I443">
        <v>1</v>
      </c>
      <c r="J443" t="s">
        <v>2380</v>
      </c>
    </row>
    <row r="444" spans="1:10" x14ac:dyDescent="0.35">
      <c r="A444" t="s">
        <v>1929</v>
      </c>
      <c r="B444" t="str">
        <f t="shared" si="14"/>
        <v>Obesity</v>
      </c>
      <c r="C444">
        <v>33.1</v>
      </c>
      <c r="D444">
        <v>5.52</v>
      </c>
      <c r="E444" t="str">
        <f t="shared" si="15"/>
        <v>Normal</v>
      </c>
      <c r="F444" t="s">
        <v>2380</v>
      </c>
      <c r="G444" t="s">
        <v>2380</v>
      </c>
      <c r="H444" t="s">
        <v>2382</v>
      </c>
      <c r="I444">
        <v>1</v>
      </c>
      <c r="J444" t="s">
        <v>2380</v>
      </c>
    </row>
    <row r="445" spans="1:10" x14ac:dyDescent="0.35">
      <c r="A445" t="s">
        <v>1928</v>
      </c>
      <c r="B445" t="str">
        <f t="shared" si="14"/>
        <v>Overweight</v>
      </c>
      <c r="C445">
        <v>27.83</v>
      </c>
      <c r="D445">
        <v>9.1999999999999993</v>
      </c>
      <c r="E445" t="str">
        <f t="shared" si="15"/>
        <v>Diabetes</v>
      </c>
      <c r="F445" t="s">
        <v>2381</v>
      </c>
      <c r="G445" t="s">
        <v>2380</v>
      </c>
      <c r="H445" t="s">
        <v>2380</v>
      </c>
      <c r="I445">
        <v>1</v>
      </c>
      <c r="J445" t="s">
        <v>2381</v>
      </c>
    </row>
    <row r="446" spans="1:10" x14ac:dyDescent="0.35">
      <c r="A446" t="s">
        <v>1927</v>
      </c>
      <c r="B446" t="str">
        <f t="shared" si="14"/>
        <v>Obesity</v>
      </c>
      <c r="C446">
        <v>30.875</v>
      </c>
      <c r="D446">
        <v>10.97</v>
      </c>
      <c r="E446" t="str">
        <f t="shared" si="15"/>
        <v>Diabetes</v>
      </c>
      <c r="F446" t="s">
        <v>2381</v>
      </c>
      <c r="G446" t="s">
        <v>2380</v>
      </c>
      <c r="H446" t="s">
        <v>2380</v>
      </c>
      <c r="I446">
        <v>2</v>
      </c>
      <c r="J446" t="s">
        <v>2380</v>
      </c>
    </row>
    <row r="447" spans="1:10" x14ac:dyDescent="0.35">
      <c r="A447" t="s">
        <v>1926</v>
      </c>
      <c r="B447" t="str">
        <f t="shared" si="14"/>
        <v>Overweight</v>
      </c>
      <c r="C447">
        <v>27.265000000000001</v>
      </c>
      <c r="D447">
        <v>4.25</v>
      </c>
      <c r="E447" t="str">
        <f t="shared" si="15"/>
        <v>Normal</v>
      </c>
      <c r="F447" t="s">
        <v>2380</v>
      </c>
      <c r="G447" t="s">
        <v>2380</v>
      </c>
      <c r="H447" t="s">
        <v>2382</v>
      </c>
      <c r="I447">
        <v>1</v>
      </c>
      <c r="J447" t="s">
        <v>2380</v>
      </c>
    </row>
    <row r="448" spans="1:10" x14ac:dyDescent="0.35">
      <c r="A448" t="s">
        <v>1925</v>
      </c>
      <c r="B448" t="str">
        <f t="shared" si="14"/>
        <v>Overweight</v>
      </c>
      <c r="C448">
        <v>26.7</v>
      </c>
      <c r="D448">
        <v>5.23</v>
      </c>
      <c r="E448" t="str">
        <f t="shared" si="15"/>
        <v>Normal</v>
      </c>
      <c r="F448" t="s">
        <v>2380</v>
      </c>
      <c r="G448" t="s">
        <v>2380</v>
      </c>
      <c r="H448" t="s">
        <v>2382</v>
      </c>
      <c r="I448">
        <v>1</v>
      </c>
      <c r="J448" t="s">
        <v>2381</v>
      </c>
    </row>
    <row r="449" spans="1:10" x14ac:dyDescent="0.35">
      <c r="A449" t="s">
        <v>1924</v>
      </c>
      <c r="B449" t="str">
        <f t="shared" si="14"/>
        <v>Overweight</v>
      </c>
      <c r="C449">
        <v>29.925000000000001</v>
      </c>
      <c r="D449">
        <v>5.96</v>
      </c>
      <c r="E449" t="str">
        <f t="shared" si="15"/>
        <v>Prediabetes</v>
      </c>
      <c r="F449" t="s">
        <v>2381</v>
      </c>
      <c r="G449" t="s">
        <v>2380</v>
      </c>
      <c r="H449" t="s">
        <v>2382</v>
      </c>
      <c r="I449">
        <v>1</v>
      </c>
      <c r="J449" t="s">
        <v>2381</v>
      </c>
    </row>
    <row r="450" spans="1:10" x14ac:dyDescent="0.35">
      <c r="A450" t="s">
        <v>1923</v>
      </c>
      <c r="B450" t="str">
        <f t="shared" si="14"/>
        <v>Normal Weight</v>
      </c>
      <c r="C450">
        <v>19.95</v>
      </c>
      <c r="D450">
        <v>4.29</v>
      </c>
      <c r="E450" t="str">
        <f t="shared" si="15"/>
        <v>Normal</v>
      </c>
      <c r="F450" t="s">
        <v>2381</v>
      </c>
      <c r="G450" t="s">
        <v>2380</v>
      </c>
      <c r="H450" t="s">
        <v>2380</v>
      </c>
      <c r="I450">
        <v>2</v>
      </c>
      <c r="J450" t="s">
        <v>2381</v>
      </c>
    </row>
    <row r="451" spans="1:10" x14ac:dyDescent="0.35">
      <c r="A451" t="s">
        <v>1922</v>
      </c>
      <c r="B451" t="str">
        <f t="shared" ref="B451:B514" si="16">IF(C451&lt;18.5,"Underweight",IF(C451&lt;25,"Normal Weight",IF(C451&lt;30,"Overweight","Obesity")))</f>
        <v>Normal Weight</v>
      </c>
      <c r="C451">
        <v>24.225000000000001</v>
      </c>
      <c r="D451">
        <v>4.09</v>
      </c>
      <c r="E451" t="str">
        <f t="shared" ref="E451:E514" si="17">IF(D451&lt;5.7,"Normal",IF(D451&lt;6.5,"Prediabetes","Diabetes"))</f>
        <v>Normal</v>
      </c>
      <c r="F451" t="s">
        <v>2380</v>
      </c>
      <c r="G451" t="s">
        <v>2380</v>
      </c>
      <c r="H451" t="s">
        <v>2380</v>
      </c>
      <c r="I451">
        <v>0</v>
      </c>
      <c r="J451" t="s">
        <v>2380</v>
      </c>
    </row>
    <row r="452" spans="1:10" x14ac:dyDescent="0.35">
      <c r="A452" t="s">
        <v>1921</v>
      </c>
      <c r="B452" t="str">
        <f t="shared" si="16"/>
        <v>Overweight</v>
      </c>
      <c r="C452">
        <v>28.12</v>
      </c>
      <c r="D452">
        <v>4.88</v>
      </c>
      <c r="E452" t="str">
        <f t="shared" si="17"/>
        <v>Normal</v>
      </c>
      <c r="F452" t="s">
        <v>2380</v>
      </c>
      <c r="G452" t="s">
        <v>2380</v>
      </c>
      <c r="H452" t="s">
        <v>2380</v>
      </c>
      <c r="I452">
        <v>0</v>
      </c>
      <c r="J452" t="s">
        <v>2381</v>
      </c>
    </row>
    <row r="453" spans="1:10" x14ac:dyDescent="0.35">
      <c r="A453" t="s">
        <v>1920</v>
      </c>
      <c r="B453" t="str">
        <f t="shared" si="16"/>
        <v>Normal Weight</v>
      </c>
      <c r="C453">
        <v>23.21</v>
      </c>
      <c r="D453">
        <v>6.76</v>
      </c>
      <c r="E453" t="str">
        <f t="shared" si="17"/>
        <v>Diabetes</v>
      </c>
      <c r="F453" t="s">
        <v>2380</v>
      </c>
      <c r="G453" t="s">
        <v>2380</v>
      </c>
      <c r="H453" t="s">
        <v>2380</v>
      </c>
      <c r="I453">
        <v>0</v>
      </c>
      <c r="J453" t="s">
        <v>2381</v>
      </c>
    </row>
    <row r="454" spans="1:10" x14ac:dyDescent="0.35">
      <c r="A454" t="s">
        <v>1919</v>
      </c>
      <c r="B454" t="str">
        <f t="shared" si="16"/>
        <v>Normal Weight</v>
      </c>
      <c r="C454">
        <v>23.98</v>
      </c>
      <c r="D454">
        <v>10.67</v>
      </c>
      <c r="E454" t="str">
        <f t="shared" si="17"/>
        <v>Diabetes</v>
      </c>
      <c r="F454" t="s">
        <v>2380</v>
      </c>
      <c r="G454" t="s">
        <v>2380</v>
      </c>
      <c r="H454" t="s">
        <v>2380</v>
      </c>
      <c r="I454">
        <v>0</v>
      </c>
      <c r="J454" t="s">
        <v>2380</v>
      </c>
    </row>
    <row r="455" spans="1:10" x14ac:dyDescent="0.35">
      <c r="A455" t="s">
        <v>1918</v>
      </c>
      <c r="B455" t="str">
        <f t="shared" si="16"/>
        <v>Obesity</v>
      </c>
      <c r="C455">
        <v>30</v>
      </c>
      <c r="D455">
        <v>6.21</v>
      </c>
      <c r="E455" t="str">
        <f t="shared" si="17"/>
        <v>Prediabetes</v>
      </c>
      <c r="F455" t="s">
        <v>2380</v>
      </c>
      <c r="G455" t="s">
        <v>2380</v>
      </c>
      <c r="H455" t="s">
        <v>2380</v>
      </c>
      <c r="I455">
        <v>0</v>
      </c>
      <c r="J455" t="s">
        <v>2381</v>
      </c>
    </row>
    <row r="456" spans="1:10" x14ac:dyDescent="0.35">
      <c r="A456" t="s">
        <v>1917</v>
      </c>
      <c r="B456" t="str">
        <f t="shared" si="16"/>
        <v>Underweight</v>
      </c>
      <c r="C456">
        <v>17.350000000000001</v>
      </c>
      <c r="D456">
        <v>5.03</v>
      </c>
      <c r="E456" t="str">
        <f t="shared" si="17"/>
        <v>Normal</v>
      </c>
      <c r="F456" t="s">
        <v>2381</v>
      </c>
      <c r="G456" t="s">
        <v>2380</v>
      </c>
      <c r="H456" t="s">
        <v>2380</v>
      </c>
      <c r="I456">
        <v>0</v>
      </c>
      <c r="J456" t="s">
        <v>2381</v>
      </c>
    </row>
    <row r="457" spans="1:10" x14ac:dyDescent="0.35">
      <c r="A457" t="s">
        <v>1916</v>
      </c>
      <c r="B457" t="str">
        <f t="shared" si="16"/>
        <v>Normal Weight</v>
      </c>
      <c r="C457">
        <v>22.704999999999998</v>
      </c>
      <c r="D457">
        <v>5.27</v>
      </c>
      <c r="E457" t="str">
        <f t="shared" si="17"/>
        <v>Normal</v>
      </c>
      <c r="F457" t="s">
        <v>2380</v>
      </c>
      <c r="G457" t="s">
        <v>2380</v>
      </c>
      <c r="H457" t="s">
        <v>2380</v>
      </c>
      <c r="I457">
        <v>0</v>
      </c>
      <c r="J457" t="s">
        <v>2380</v>
      </c>
    </row>
    <row r="458" spans="1:10" x14ac:dyDescent="0.35">
      <c r="A458" t="s">
        <v>1915</v>
      </c>
      <c r="B458" t="str">
        <f t="shared" si="16"/>
        <v>Overweight</v>
      </c>
      <c r="C458">
        <v>25.41</v>
      </c>
      <c r="D458">
        <v>10.53</v>
      </c>
      <c r="E458" t="str">
        <f t="shared" si="17"/>
        <v>Diabetes</v>
      </c>
      <c r="F458" t="s">
        <v>2381</v>
      </c>
      <c r="G458" t="s">
        <v>2380</v>
      </c>
      <c r="H458" t="s">
        <v>2380</v>
      </c>
      <c r="I458">
        <v>1</v>
      </c>
      <c r="J458" t="s">
        <v>2381</v>
      </c>
    </row>
    <row r="459" spans="1:10" x14ac:dyDescent="0.35">
      <c r="A459" t="s">
        <v>1914</v>
      </c>
      <c r="B459" t="str">
        <f t="shared" si="16"/>
        <v>Underweight</v>
      </c>
      <c r="C459">
        <v>18.23</v>
      </c>
      <c r="D459">
        <v>5.78</v>
      </c>
      <c r="E459" t="str">
        <f t="shared" si="17"/>
        <v>Prediabetes</v>
      </c>
      <c r="F459" t="s">
        <v>2380</v>
      </c>
      <c r="G459" t="s">
        <v>2380</v>
      </c>
      <c r="H459" t="s">
        <v>2382</v>
      </c>
      <c r="I459">
        <v>1</v>
      </c>
      <c r="J459" t="s">
        <v>2381</v>
      </c>
    </row>
    <row r="460" spans="1:10" x14ac:dyDescent="0.35">
      <c r="A460" t="s">
        <v>1913</v>
      </c>
      <c r="B460" t="str">
        <f t="shared" si="16"/>
        <v>Normal Weight</v>
      </c>
      <c r="C460">
        <v>24.7</v>
      </c>
      <c r="D460">
        <v>4.3600000000000003</v>
      </c>
      <c r="E460" t="str">
        <f t="shared" si="17"/>
        <v>Normal</v>
      </c>
      <c r="F460" t="s">
        <v>2380</v>
      </c>
      <c r="G460" t="s">
        <v>2380</v>
      </c>
      <c r="H460" t="s">
        <v>2382</v>
      </c>
      <c r="I460">
        <v>1</v>
      </c>
      <c r="J460" t="s">
        <v>2381</v>
      </c>
    </row>
    <row r="461" spans="1:10" x14ac:dyDescent="0.35">
      <c r="A461" t="s">
        <v>1912</v>
      </c>
      <c r="B461" t="str">
        <f t="shared" si="16"/>
        <v>Obesity</v>
      </c>
      <c r="C461">
        <v>37.4</v>
      </c>
      <c r="D461">
        <v>9.7200000000000006</v>
      </c>
      <c r="E461" t="str">
        <f t="shared" si="17"/>
        <v>Diabetes</v>
      </c>
      <c r="F461" t="s">
        <v>2381</v>
      </c>
      <c r="G461" t="s">
        <v>2380</v>
      </c>
      <c r="H461" t="s">
        <v>2382</v>
      </c>
      <c r="I461">
        <v>1</v>
      </c>
      <c r="J461" t="s">
        <v>2380</v>
      </c>
    </row>
    <row r="462" spans="1:10" x14ac:dyDescent="0.35">
      <c r="A462" t="s">
        <v>1911</v>
      </c>
      <c r="B462" t="str">
        <f t="shared" si="16"/>
        <v>Overweight</v>
      </c>
      <c r="C462">
        <v>26.885000000000002</v>
      </c>
      <c r="D462">
        <v>5.18</v>
      </c>
      <c r="E462" t="str">
        <f t="shared" si="17"/>
        <v>Normal</v>
      </c>
      <c r="F462" t="s">
        <v>2380</v>
      </c>
      <c r="G462" t="s">
        <v>2380</v>
      </c>
      <c r="H462" t="s">
        <v>2382</v>
      </c>
      <c r="I462">
        <v>1</v>
      </c>
      <c r="J462" t="s">
        <v>2381</v>
      </c>
    </row>
    <row r="463" spans="1:10" x14ac:dyDescent="0.35">
      <c r="A463" t="s">
        <v>1910</v>
      </c>
      <c r="B463" t="str">
        <f t="shared" si="16"/>
        <v>Overweight</v>
      </c>
      <c r="C463">
        <v>25.27</v>
      </c>
      <c r="D463">
        <v>5.29</v>
      </c>
      <c r="E463" t="str">
        <f t="shared" si="17"/>
        <v>Normal</v>
      </c>
      <c r="F463" t="s">
        <v>2380</v>
      </c>
      <c r="G463" t="s">
        <v>2380</v>
      </c>
      <c r="H463" t="s">
        <v>2382</v>
      </c>
      <c r="I463">
        <v>1</v>
      </c>
      <c r="J463" t="s">
        <v>2381</v>
      </c>
    </row>
    <row r="464" spans="1:10" x14ac:dyDescent="0.35">
      <c r="A464" t="s">
        <v>1909</v>
      </c>
      <c r="B464" t="str">
        <f t="shared" si="16"/>
        <v>Normal Weight</v>
      </c>
      <c r="C464">
        <v>23.655000000000001</v>
      </c>
      <c r="D464">
        <v>4.8600000000000003</v>
      </c>
      <c r="E464" t="str">
        <f t="shared" si="17"/>
        <v>Normal</v>
      </c>
      <c r="F464" t="s">
        <v>2381</v>
      </c>
      <c r="G464" t="s">
        <v>2380</v>
      </c>
      <c r="H464" t="s">
        <v>2380</v>
      </c>
      <c r="I464">
        <v>0</v>
      </c>
      <c r="J464" t="s">
        <v>2381</v>
      </c>
    </row>
    <row r="465" spans="1:10" x14ac:dyDescent="0.35">
      <c r="A465" t="s">
        <v>1908</v>
      </c>
      <c r="B465" t="str">
        <f t="shared" si="16"/>
        <v>Obesity</v>
      </c>
      <c r="C465">
        <v>55.05</v>
      </c>
      <c r="D465">
        <v>7.66</v>
      </c>
      <c r="E465" t="str">
        <f t="shared" si="17"/>
        <v>Diabetes</v>
      </c>
      <c r="F465" t="s">
        <v>2380</v>
      </c>
      <c r="G465" t="s">
        <v>2380</v>
      </c>
      <c r="H465" t="s">
        <v>2380</v>
      </c>
      <c r="I465">
        <v>0</v>
      </c>
      <c r="J465" t="s">
        <v>2380</v>
      </c>
    </row>
    <row r="466" spans="1:10" x14ac:dyDescent="0.35">
      <c r="A466" t="s">
        <v>1907</v>
      </c>
      <c r="B466" t="str">
        <f t="shared" si="16"/>
        <v>Normal Weight</v>
      </c>
      <c r="C466">
        <v>24.89</v>
      </c>
      <c r="D466">
        <v>6.1</v>
      </c>
      <c r="E466" t="str">
        <f t="shared" si="17"/>
        <v>Prediabetes</v>
      </c>
      <c r="F466" t="s">
        <v>2381</v>
      </c>
      <c r="G466" t="s">
        <v>2380</v>
      </c>
      <c r="H466" t="s">
        <v>2382</v>
      </c>
      <c r="I466">
        <v>1</v>
      </c>
      <c r="J466" t="s">
        <v>2381</v>
      </c>
    </row>
    <row r="467" spans="1:10" x14ac:dyDescent="0.35">
      <c r="A467" t="s">
        <v>1906</v>
      </c>
      <c r="B467" t="str">
        <f t="shared" si="16"/>
        <v>Normal Weight</v>
      </c>
      <c r="C467">
        <v>18.715</v>
      </c>
      <c r="D467">
        <v>4.4400000000000004</v>
      </c>
      <c r="E467" t="str">
        <f t="shared" si="17"/>
        <v>Normal</v>
      </c>
      <c r="F467" t="s">
        <v>2380</v>
      </c>
      <c r="G467" t="s">
        <v>2380</v>
      </c>
      <c r="H467" t="s">
        <v>2380</v>
      </c>
      <c r="I467">
        <v>0</v>
      </c>
      <c r="J467" t="s">
        <v>2380</v>
      </c>
    </row>
    <row r="468" spans="1:10" x14ac:dyDescent="0.35">
      <c r="A468" t="s">
        <v>1905</v>
      </c>
      <c r="B468" t="str">
        <f t="shared" si="16"/>
        <v>Overweight</v>
      </c>
      <c r="C468">
        <v>28.12</v>
      </c>
      <c r="D468">
        <v>6.15</v>
      </c>
      <c r="E468" t="str">
        <f t="shared" si="17"/>
        <v>Prediabetes</v>
      </c>
      <c r="F468" t="s">
        <v>2380</v>
      </c>
      <c r="G468" t="s">
        <v>2380</v>
      </c>
      <c r="H468" t="s">
        <v>2380</v>
      </c>
      <c r="I468">
        <v>0</v>
      </c>
      <c r="J468" t="s">
        <v>2381</v>
      </c>
    </row>
    <row r="469" spans="1:10" x14ac:dyDescent="0.35">
      <c r="A469" t="s">
        <v>1904</v>
      </c>
      <c r="B469" t="str">
        <f t="shared" si="16"/>
        <v>Overweight</v>
      </c>
      <c r="C469">
        <v>26.6</v>
      </c>
      <c r="D469">
        <v>4.53</v>
      </c>
      <c r="E469" t="str">
        <f t="shared" si="17"/>
        <v>Normal</v>
      </c>
      <c r="F469" t="s">
        <v>2380</v>
      </c>
      <c r="G469" t="s">
        <v>2380</v>
      </c>
      <c r="H469" t="s">
        <v>2380</v>
      </c>
      <c r="I469">
        <v>0</v>
      </c>
      <c r="J469" t="s">
        <v>2381</v>
      </c>
    </row>
    <row r="470" spans="1:10" x14ac:dyDescent="0.35">
      <c r="A470" t="s">
        <v>1903</v>
      </c>
      <c r="B470" t="str">
        <f t="shared" si="16"/>
        <v>Obesity</v>
      </c>
      <c r="C470">
        <v>30.114999999999998</v>
      </c>
      <c r="D470">
        <v>5.48</v>
      </c>
      <c r="E470" t="str">
        <f t="shared" si="17"/>
        <v>Normal</v>
      </c>
      <c r="F470" t="s">
        <v>2380</v>
      </c>
      <c r="G470" t="s">
        <v>2381</v>
      </c>
      <c r="H470" t="s">
        <v>2380</v>
      </c>
      <c r="I470">
        <v>1</v>
      </c>
      <c r="J470" t="s">
        <v>2380</v>
      </c>
    </row>
    <row r="471" spans="1:10" x14ac:dyDescent="0.35">
      <c r="A471" t="s">
        <v>1902</v>
      </c>
      <c r="B471" t="str">
        <f t="shared" si="16"/>
        <v>Normal Weight</v>
      </c>
      <c r="C471">
        <v>24.605</v>
      </c>
      <c r="D471">
        <v>5.48</v>
      </c>
      <c r="E471" t="str">
        <f t="shared" si="17"/>
        <v>Normal</v>
      </c>
      <c r="F471" t="s">
        <v>2380</v>
      </c>
      <c r="G471" t="s">
        <v>2380</v>
      </c>
      <c r="H471" t="s">
        <v>2380</v>
      </c>
      <c r="I471">
        <v>0</v>
      </c>
      <c r="J471" t="s">
        <v>2381</v>
      </c>
    </row>
    <row r="472" spans="1:10" x14ac:dyDescent="0.35">
      <c r="A472" t="s">
        <v>1901</v>
      </c>
      <c r="B472" t="str">
        <f t="shared" si="16"/>
        <v>Overweight</v>
      </c>
      <c r="C472">
        <v>29.6</v>
      </c>
      <c r="D472">
        <v>8.1</v>
      </c>
      <c r="E472" t="str">
        <f t="shared" si="17"/>
        <v>Diabetes</v>
      </c>
      <c r="F472" t="s">
        <v>2380</v>
      </c>
      <c r="G472" t="s">
        <v>2380</v>
      </c>
      <c r="H472" t="s">
        <v>2380</v>
      </c>
      <c r="I472">
        <v>0</v>
      </c>
      <c r="J472" t="s">
        <v>2380</v>
      </c>
    </row>
    <row r="473" spans="1:10" x14ac:dyDescent="0.35">
      <c r="A473" t="s">
        <v>1900</v>
      </c>
      <c r="B473" t="str">
        <f t="shared" si="16"/>
        <v>Normal Weight</v>
      </c>
      <c r="C473">
        <v>24.42</v>
      </c>
      <c r="D473">
        <v>7.16</v>
      </c>
      <c r="E473" t="str">
        <f t="shared" si="17"/>
        <v>Diabetes</v>
      </c>
      <c r="F473" t="s">
        <v>2380</v>
      </c>
      <c r="G473" t="s">
        <v>2380</v>
      </c>
      <c r="H473" t="s">
        <v>2380</v>
      </c>
      <c r="I473">
        <v>0</v>
      </c>
      <c r="J473" t="s">
        <v>2381</v>
      </c>
    </row>
    <row r="474" spans="1:10" x14ac:dyDescent="0.35">
      <c r="A474" t="s">
        <v>1899</v>
      </c>
      <c r="B474" t="str">
        <f t="shared" si="16"/>
        <v>Normal Weight</v>
      </c>
      <c r="C474">
        <v>20.9</v>
      </c>
      <c r="D474">
        <v>4.55</v>
      </c>
      <c r="E474" t="str">
        <f t="shared" si="17"/>
        <v>Normal</v>
      </c>
      <c r="F474" t="s">
        <v>2381</v>
      </c>
      <c r="G474" t="s">
        <v>2380</v>
      </c>
      <c r="H474" t="s">
        <v>2382</v>
      </c>
      <c r="I474">
        <v>1</v>
      </c>
      <c r="J474" t="s">
        <v>2381</v>
      </c>
    </row>
    <row r="475" spans="1:10" x14ac:dyDescent="0.35">
      <c r="A475" t="s">
        <v>1898</v>
      </c>
      <c r="B475" t="str">
        <f t="shared" si="16"/>
        <v>Normal Weight</v>
      </c>
      <c r="C475">
        <v>22.895</v>
      </c>
      <c r="D475">
        <v>6.03</v>
      </c>
      <c r="E475" t="str">
        <f t="shared" si="17"/>
        <v>Prediabetes</v>
      </c>
      <c r="F475" t="s">
        <v>2380</v>
      </c>
      <c r="G475" t="s">
        <v>2380</v>
      </c>
      <c r="H475" t="s">
        <v>2380</v>
      </c>
      <c r="I475">
        <v>0</v>
      </c>
      <c r="J475" t="s">
        <v>2381</v>
      </c>
    </row>
    <row r="476" spans="1:10" x14ac:dyDescent="0.35">
      <c r="A476" t="s">
        <v>1897</v>
      </c>
      <c r="B476" t="str">
        <f t="shared" si="16"/>
        <v>Overweight</v>
      </c>
      <c r="C476">
        <v>28.3</v>
      </c>
      <c r="D476">
        <v>5.47</v>
      </c>
      <c r="E476" t="str">
        <f t="shared" si="17"/>
        <v>Normal</v>
      </c>
      <c r="F476" t="s">
        <v>2381</v>
      </c>
      <c r="G476" t="s">
        <v>2380</v>
      </c>
      <c r="H476" t="s">
        <v>2382</v>
      </c>
      <c r="I476">
        <v>1</v>
      </c>
      <c r="J476" t="s">
        <v>2381</v>
      </c>
    </row>
    <row r="477" spans="1:10" x14ac:dyDescent="0.35">
      <c r="A477" t="s">
        <v>1895</v>
      </c>
      <c r="B477" t="str">
        <f t="shared" si="16"/>
        <v>Obesity</v>
      </c>
      <c r="C477">
        <v>54.3</v>
      </c>
      <c r="D477">
        <v>4.1500000000000004</v>
      </c>
      <c r="E477" t="str">
        <f t="shared" si="17"/>
        <v>Normal</v>
      </c>
      <c r="F477" t="s">
        <v>2381</v>
      </c>
      <c r="G477" t="s">
        <v>2380</v>
      </c>
      <c r="H477" t="s">
        <v>2380</v>
      </c>
      <c r="I477">
        <v>1</v>
      </c>
      <c r="J477" t="s">
        <v>2380</v>
      </c>
    </row>
    <row r="478" spans="1:10" x14ac:dyDescent="0.35">
      <c r="A478" t="s">
        <v>1894</v>
      </c>
      <c r="B478" t="str">
        <f t="shared" si="16"/>
        <v>Obesity</v>
      </c>
      <c r="C478">
        <v>33.344999999999999</v>
      </c>
      <c r="D478">
        <v>11.32</v>
      </c>
      <c r="E478" t="str">
        <f t="shared" si="17"/>
        <v>Diabetes</v>
      </c>
      <c r="F478" t="s">
        <v>2381</v>
      </c>
      <c r="G478" t="s">
        <v>2380</v>
      </c>
      <c r="H478" t="s">
        <v>2380</v>
      </c>
      <c r="I478">
        <v>1</v>
      </c>
      <c r="J478" t="s">
        <v>2380</v>
      </c>
    </row>
    <row r="479" spans="1:10" x14ac:dyDescent="0.35">
      <c r="A479" t="s">
        <v>1893</v>
      </c>
      <c r="B479" t="str">
        <f t="shared" si="16"/>
        <v>Obesity</v>
      </c>
      <c r="C479">
        <v>33</v>
      </c>
      <c r="D479">
        <v>9.51</v>
      </c>
      <c r="E479" t="str">
        <f t="shared" si="17"/>
        <v>Diabetes</v>
      </c>
      <c r="F479" t="s">
        <v>2381</v>
      </c>
      <c r="G479" t="s">
        <v>2380</v>
      </c>
      <c r="H479" t="s">
        <v>2380</v>
      </c>
      <c r="I479">
        <v>0</v>
      </c>
      <c r="J479" t="s">
        <v>2380</v>
      </c>
    </row>
    <row r="480" spans="1:10" x14ac:dyDescent="0.35">
      <c r="A480" t="s">
        <v>1892</v>
      </c>
      <c r="B480" t="str">
        <f t="shared" si="16"/>
        <v>Overweight</v>
      </c>
      <c r="C480">
        <v>28.024999999999999</v>
      </c>
      <c r="D480">
        <v>7.67</v>
      </c>
      <c r="E480" t="str">
        <f t="shared" si="17"/>
        <v>Diabetes</v>
      </c>
      <c r="F480" t="s">
        <v>2381</v>
      </c>
      <c r="G480" t="s">
        <v>2380</v>
      </c>
      <c r="H480" t="s">
        <v>2380</v>
      </c>
      <c r="I480">
        <v>1</v>
      </c>
      <c r="J480" t="s">
        <v>2381</v>
      </c>
    </row>
    <row r="481" spans="1:10" x14ac:dyDescent="0.35">
      <c r="A481" t="s">
        <v>1891</v>
      </c>
      <c r="B481" t="str">
        <f t="shared" si="16"/>
        <v>Overweight</v>
      </c>
      <c r="C481">
        <v>28.69</v>
      </c>
      <c r="D481">
        <v>6.23</v>
      </c>
      <c r="E481" t="str">
        <f t="shared" si="17"/>
        <v>Prediabetes</v>
      </c>
      <c r="F481" t="s">
        <v>2380</v>
      </c>
      <c r="G481" t="s">
        <v>2380</v>
      </c>
      <c r="H481" t="s">
        <v>2380</v>
      </c>
      <c r="I481">
        <v>1</v>
      </c>
      <c r="J481" t="s">
        <v>2381</v>
      </c>
    </row>
    <row r="482" spans="1:10" x14ac:dyDescent="0.35">
      <c r="A482" t="s">
        <v>1890</v>
      </c>
      <c r="B482" t="str">
        <f t="shared" si="16"/>
        <v>Obesity</v>
      </c>
      <c r="C482">
        <v>40.28</v>
      </c>
      <c r="D482">
        <v>8.9</v>
      </c>
      <c r="E482" t="str">
        <f t="shared" si="17"/>
        <v>Diabetes</v>
      </c>
      <c r="F482" t="s">
        <v>2380</v>
      </c>
      <c r="G482" t="s">
        <v>2380</v>
      </c>
      <c r="H482" t="s">
        <v>2380</v>
      </c>
      <c r="I482">
        <v>0</v>
      </c>
      <c r="J482" t="s">
        <v>2380</v>
      </c>
    </row>
    <row r="483" spans="1:10" x14ac:dyDescent="0.35">
      <c r="A483" t="s">
        <v>1889</v>
      </c>
      <c r="B483" t="str">
        <f t="shared" si="16"/>
        <v>Obesity</v>
      </c>
      <c r="C483">
        <v>37.299999999999997</v>
      </c>
      <c r="D483">
        <v>7.79</v>
      </c>
      <c r="E483" t="str">
        <f t="shared" si="17"/>
        <v>Diabetes</v>
      </c>
      <c r="F483" t="s">
        <v>2381</v>
      </c>
      <c r="G483" t="s">
        <v>2380</v>
      </c>
      <c r="H483" t="s">
        <v>2380</v>
      </c>
      <c r="I483">
        <v>0</v>
      </c>
      <c r="J483" t="s">
        <v>2380</v>
      </c>
    </row>
    <row r="484" spans="1:10" x14ac:dyDescent="0.35">
      <c r="A484" t="s">
        <v>1888</v>
      </c>
      <c r="B484" t="str">
        <f t="shared" si="16"/>
        <v>Obesity</v>
      </c>
      <c r="C484">
        <v>54.47</v>
      </c>
      <c r="D484">
        <v>4.49</v>
      </c>
      <c r="E484" t="str">
        <f t="shared" si="17"/>
        <v>Normal</v>
      </c>
      <c r="F484" t="s">
        <v>2381</v>
      </c>
      <c r="G484" t="s">
        <v>2380</v>
      </c>
      <c r="H484" t="s">
        <v>2380</v>
      </c>
      <c r="I484">
        <v>2</v>
      </c>
      <c r="J484" t="s">
        <v>2380</v>
      </c>
    </row>
    <row r="485" spans="1:10" x14ac:dyDescent="0.35">
      <c r="A485" t="s">
        <v>1887</v>
      </c>
      <c r="B485" t="str">
        <f t="shared" si="16"/>
        <v>Obesity</v>
      </c>
      <c r="C485">
        <v>38.06</v>
      </c>
      <c r="D485">
        <v>5.24</v>
      </c>
      <c r="E485" t="str">
        <f t="shared" si="17"/>
        <v>Normal</v>
      </c>
      <c r="F485" t="s">
        <v>2381</v>
      </c>
      <c r="G485" t="s">
        <v>2380</v>
      </c>
      <c r="H485" t="s">
        <v>2382</v>
      </c>
      <c r="I485">
        <v>1</v>
      </c>
      <c r="J485" t="s">
        <v>2380</v>
      </c>
    </row>
    <row r="486" spans="1:10" x14ac:dyDescent="0.35">
      <c r="A486" t="s">
        <v>1886</v>
      </c>
      <c r="B486" t="str">
        <f t="shared" si="16"/>
        <v>Obesity</v>
      </c>
      <c r="C486">
        <v>51.47</v>
      </c>
      <c r="D486">
        <v>9.6</v>
      </c>
      <c r="E486" t="str">
        <f t="shared" si="17"/>
        <v>Diabetes</v>
      </c>
      <c r="F486" t="s">
        <v>2380</v>
      </c>
      <c r="G486" t="s">
        <v>2380</v>
      </c>
      <c r="H486" t="s">
        <v>2380</v>
      </c>
      <c r="I486">
        <v>0</v>
      </c>
      <c r="J486" t="s">
        <v>2380</v>
      </c>
    </row>
    <row r="487" spans="1:10" x14ac:dyDescent="0.35">
      <c r="A487" t="s">
        <v>1885</v>
      </c>
      <c r="B487" t="str">
        <f t="shared" si="16"/>
        <v>Overweight</v>
      </c>
      <c r="C487">
        <v>29.8</v>
      </c>
      <c r="D487">
        <v>5.78</v>
      </c>
      <c r="E487" t="str">
        <f t="shared" si="17"/>
        <v>Prediabetes</v>
      </c>
      <c r="F487" t="s">
        <v>2381</v>
      </c>
      <c r="G487" t="s">
        <v>2380</v>
      </c>
      <c r="H487" t="s">
        <v>2380</v>
      </c>
      <c r="I487">
        <v>0</v>
      </c>
      <c r="J487" t="s">
        <v>2380</v>
      </c>
    </row>
    <row r="488" spans="1:10" x14ac:dyDescent="0.35">
      <c r="A488" t="s">
        <v>1884</v>
      </c>
      <c r="B488" t="str">
        <f t="shared" si="16"/>
        <v>Obesity</v>
      </c>
      <c r="C488">
        <v>49.77</v>
      </c>
      <c r="D488">
        <v>7.02</v>
      </c>
      <c r="E488" t="str">
        <f t="shared" si="17"/>
        <v>Diabetes</v>
      </c>
      <c r="F488" t="s">
        <v>2380</v>
      </c>
      <c r="G488" t="s">
        <v>2380</v>
      </c>
      <c r="H488" t="s">
        <v>2380</v>
      </c>
      <c r="I488">
        <v>0</v>
      </c>
      <c r="J488" t="s">
        <v>2380</v>
      </c>
    </row>
    <row r="489" spans="1:10" x14ac:dyDescent="0.35">
      <c r="A489" t="s">
        <v>1883</v>
      </c>
      <c r="B489" t="str">
        <f t="shared" si="16"/>
        <v>Overweight</v>
      </c>
      <c r="C489">
        <v>25.555</v>
      </c>
      <c r="D489">
        <v>4.09</v>
      </c>
      <c r="E489" t="str">
        <f t="shared" si="17"/>
        <v>Normal</v>
      </c>
      <c r="F489" t="s">
        <v>2381</v>
      </c>
      <c r="G489" t="s">
        <v>2380</v>
      </c>
      <c r="H489" t="s">
        <v>2380</v>
      </c>
      <c r="I489">
        <v>0</v>
      </c>
      <c r="J489" t="s">
        <v>2381</v>
      </c>
    </row>
    <row r="490" spans="1:10" x14ac:dyDescent="0.35">
      <c r="A490" t="s">
        <v>1882</v>
      </c>
      <c r="B490" t="str">
        <f t="shared" si="16"/>
        <v>Overweight</v>
      </c>
      <c r="C490">
        <v>29.64</v>
      </c>
      <c r="D490">
        <v>4.93</v>
      </c>
      <c r="E490" t="str">
        <f t="shared" si="17"/>
        <v>Normal</v>
      </c>
      <c r="F490" t="s">
        <v>2380</v>
      </c>
      <c r="G490" t="s">
        <v>2380</v>
      </c>
      <c r="H490" t="s">
        <v>2382</v>
      </c>
      <c r="I490">
        <v>1</v>
      </c>
      <c r="J490" t="s">
        <v>2380</v>
      </c>
    </row>
    <row r="491" spans="1:10" x14ac:dyDescent="0.35">
      <c r="A491" t="s">
        <v>1881</v>
      </c>
      <c r="B491" t="str">
        <f t="shared" si="16"/>
        <v>Obesity</v>
      </c>
      <c r="C491">
        <v>53.93</v>
      </c>
      <c r="D491">
        <v>5.34</v>
      </c>
      <c r="E491" t="str">
        <f t="shared" si="17"/>
        <v>Normal</v>
      </c>
      <c r="F491" t="s">
        <v>2381</v>
      </c>
      <c r="G491" t="s">
        <v>2380</v>
      </c>
      <c r="H491" t="s">
        <v>2380</v>
      </c>
      <c r="I491">
        <v>2</v>
      </c>
      <c r="J491" t="s">
        <v>2380</v>
      </c>
    </row>
    <row r="492" spans="1:10" x14ac:dyDescent="0.35">
      <c r="A492" t="s">
        <v>1880</v>
      </c>
      <c r="B492" t="str">
        <f t="shared" si="16"/>
        <v>Overweight</v>
      </c>
      <c r="C492">
        <v>28.024999999999999</v>
      </c>
      <c r="D492">
        <v>5.65</v>
      </c>
      <c r="E492" t="str">
        <f t="shared" si="17"/>
        <v>Normal</v>
      </c>
      <c r="F492" t="s">
        <v>2380</v>
      </c>
      <c r="G492" t="s">
        <v>2380</v>
      </c>
      <c r="H492" t="s">
        <v>2380</v>
      </c>
      <c r="I492">
        <v>1</v>
      </c>
      <c r="J492" t="s">
        <v>2381</v>
      </c>
    </row>
    <row r="493" spans="1:10" x14ac:dyDescent="0.35">
      <c r="A493" t="s">
        <v>1879</v>
      </c>
      <c r="B493" t="str">
        <f t="shared" si="16"/>
        <v>Overweight</v>
      </c>
      <c r="C493">
        <v>27.5</v>
      </c>
      <c r="D493">
        <v>4.49</v>
      </c>
      <c r="E493" t="str">
        <f t="shared" si="17"/>
        <v>Normal</v>
      </c>
      <c r="F493" t="s">
        <v>2380</v>
      </c>
      <c r="G493" t="s">
        <v>2380</v>
      </c>
      <c r="H493" t="s">
        <v>2380</v>
      </c>
      <c r="I493">
        <v>0</v>
      </c>
      <c r="J493" t="s">
        <v>2380</v>
      </c>
    </row>
    <row r="494" spans="1:10" x14ac:dyDescent="0.35">
      <c r="A494" t="s">
        <v>1878</v>
      </c>
      <c r="B494" t="str">
        <f t="shared" si="16"/>
        <v>Normal Weight</v>
      </c>
      <c r="C494">
        <v>21.8</v>
      </c>
      <c r="D494">
        <v>10.55</v>
      </c>
      <c r="E494" t="str">
        <f t="shared" si="17"/>
        <v>Diabetes</v>
      </c>
      <c r="F494" t="s">
        <v>2380</v>
      </c>
      <c r="G494" t="s">
        <v>2380</v>
      </c>
      <c r="H494" t="s">
        <v>2380</v>
      </c>
      <c r="I494">
        <v>0</v>
      </c>
      <c r="J494" t="s">
        <v>2381</v>
      </c>
    </row>
    <row r="495" spans="1:10" x14ac:dyDescent="0.35">
      <c r="A495" t="s">
        <v>1877</v>
      </c>
      <c r="B495" t="str">
        <f t="shared" si="16"/>
        <v>Overweight</v>
      </c>
      <c r="C495">
        <v>26.41</v>
      </c>
      <c r="D495">
        <v>4.92</v>
      </c>
      <c r="E495" t="str">
        <f t="shared" si="17"/>
        <v>Normal</v>
      </c>
      <c r="F495" t="s">
        <v>2381</v>
      </c>
      <c r="G495" t="s">
        <v>2380</v>
      </c>
      <c r="H495" t="s">
        <v>2382</v>
      </c>
      <c r="I495">
        <v>1</v>
      </c>
      <c r="J495" t="s">
        <v>2381</v>
      </c>
    </row>
    <row r="496" spans="1:10" x14ac:dyDescent="0.35">
      <c r="A496" t="s">
        <v>1876</v>
      </c>
      <c r="B496" t="str">
        <f t="shared" si="16"/>
        <v>Overweight</v>
      </c>
      <c r="C496">
        <v>27.835000000000001</v>
      </c>
      <c r="D496">
        <v>5.9</v>
      </c>
      <c r="E496" t="str">
        <f t="shared" si="17"/>
        <v>Prediabetes</v>
      </c>
      <c r="F496" t="s">
        <v>2381</v>
      </c>
      <c r="G496" t="s">
        <v>2380</v>
      </c>
      <c r="H496" t="s">
        <v>2380</v>
      </c>
      <c r="I496">
        <v>1</v>
      </c>
      <c r="J496" t="s">
        <v>2381</v>
      </c>
    </row>
    <row r="497" spans="1:10" x14ac:dyDescent="0.35">
      <c r="A497" t="s">
        <v>1875</v>
      </c>
      <c r="B497" t="str">
        <f t="shared" si="16"/>
        <v>Obesity</v>
      </c>
      <c r="C497">
        <v>51.74</v>
      </c>
      <c r="D497">
        <v>4.9800000000000004</v>
      </c>
      <c r="E497" t="str">
        <f t="shared" si="17"/>
        <v>Normal</v>
      </c>
      <c r="F497" t="s">
        <v>2381</v>
      </c>
      <c r="G497" t="s">
        <v>2380</v>
      </c>
      <c r="H497" t="s">
        <v>2380</v>
      </c>
      <c r="I497">
        <v>2</v>
      </c>
      <c r="J497" t="s">
        <v>2380</v>
      </c>
    </row>
    <row r="498" spans="1:10" x14ac:dyDescent="0.35">
      <c r="A498" t="s">
        <v>1874</v>
      </c>
      <c r="B498" t="str">
        <f t="shared" si="16"/>
        <v>Normal Weight</v>
      </c>
      <c r="C498">
        <v>23.37</v>
      </c>
      <c r="D498">
        <v>5.8</v>
      </c>
      <c r="E498" t="str">
        <f t="shared" si="17"/>
        <v>Prediabetes</v>
      </c>
      <c r="F498" t="s">
        <v>2380</v>
      </c>
      <c r="G498" t="s">
        <v>2380</v>
      </c>
      <c r="H498" t="s">
        <v>2380</v>
      </c>
      <c r="I498">
        <v>0</v>
      </c>
      <c r="J498" t="s">
        <v>2381</v>
      </c>
    </row>
    <row r="499" spans="1:10" x14ac:dyDescent="0.35">
      <c r="A499" t="s">
        <v>1873</v>
      </c>
      <c r="B499" t="str">
        <f t="shared" si="16"/>
        <v>Overweight</v>
      </c>
      <c r="C499">
        <v>29.7</v>
      </c>
      <c r="D499">
        <v>6.21</v>
      </c>
      <c r="E499" t="str">
        <f t="shared" si="17"/>
        <v>Prediabetes</v>
      </c>
      <c r="F499" t="s">
        <v>2381</v>
      </c>
      <c r="G499" t="s">
        <v>2380</v>
      </c>
      <c r="H499" t="s">
        <v>2382</v>
      </c>
      <c r="I499">
        <v>1</v>
      </c>
      <c r="J499" t="s">
        <v>2381</v>
      </c>
    </row>
    <row r="500" spans="1:10" x14ac:dyDescent="0.35">
      <c r="A500" t="s">
        <v>1872</v>
      </c>
      <c r="B500" t="str">
        <f t="shared" si="16"/>
        <v>Normal Weight</v>
      </c>
      <c r="C500">
        <v>20.045000000000002</v>
      </c>
      <c r="D500">
        <v>6.17</v>
      </c>
      <c r="E500" t="str">
        <f t="shared" si="17"/>
        <v>Prediabetes</v>
      </c>
      <c r="F500" t="s">
        <v>2380</v>
      </c>
      <c r="G500" t="s">
        <v>2380</v>
      </c>
      <c r="H500" t="s">
        <v>2382</v>
      </c>
      <c r="I500">
        <v>1</v>
      </c>
      <c r="J500" t="s">
        <v>2381</v>
      </c>
    </row>
    <row r="501" spans="1:10" x14ac:dyDescent="0.35">
      <c r="A501" t="s">
        <v>1871</v>
      </c>
      <c r="B501" t="str">
        <f t="shared" si="16"/>
        <v>Overweight</v>
      </c>
      <c r="C501">
        <v>27.83</v>
      </c>
      <c r="D501">
        <v>5.36</v>
      </c>
      <c r="E501" t="str">
        <f t="shared" si="17"/>
        <v>Normal</v>
      </c>
      <c r="F501" t="s">
        <v>2380</v>
      </c>
      <c r="G501" t="s">
        <v>2380</v>
      </c>
      <c r="H501" t="s">
        <v>2380</v>
      </c>
      <c r="I501">
        <v>2</v>
      </c>
      <c r="J501" t="s">
        <v>2380</v>
      </c>
    </row>
    <row r="502" spans="1:10" x14ac:dyDescent="0.35">
      <c r="A502" t="s">
        <v>1870</v>
      </c>
      <c r="B502" t="str">
        <f t="shared" si="16"/>
        <v>Overweight</v>
      </c>
      <c r="C502">
        <v>28.93</v>
      </c>
      <c r="D502">
        <v>5.2</v>
      </c>
      <c r="E502" t="str">
        <f t="shared" si="17"/>
        <v>Normal</v>
      </c>
      <c r="F502" t="s">
        <v>2380</v>
      </c>
      <c r="G502" t="s">
        <v>2380</v>
      </c>
      <c r="H502" t="s">
        <v>2380</v>
      </c>
      <c r="I502">
        <v>0</v>
      </c>
      <c r="J502" t="s">
        <v>2381</v>
      </c>
    </row>
    <row r="503" spans="1:10" x14ac:dyDescent="0.35">
      <c r="A503" t="s">
        <v>1869</v>
      </c>
      <c r="B503" t="str">
        <f t="shared" si="16"/>
        <v>Obesity</v>
      </c>
      <c r="C503">
        <v>33.82</v>
      </c>
      <c r="D503">
        <v>5.42</v>
      </c>
      <c r="E503" t="str">
        <f t="shared" si="17"/>
        <v>Normal</v>
      </c>
      <c r="F503" t="s">
        <v>2380</v>
      </c>
      <c r="G503" t="s">
        <v>2380</v>
      </c>
      <c r="H503" t="s">
        <v>2380</v>
      </c>
      <c r="I503">
        <v>0</v>
      </c>
      <c r="J503" t="s">
        <v>2380</v>
      </c>
    </row>
    <row r="504" spans="1:10" x14ac:dyDescent="0.35">
      <c r="A504" t="s">
        <v>1868</v>
      </c>
      <c r="B504" t="str">
        <f t="shared" si="16"/>
        <v>Normal Weight</v>
      </c>
      <c r="C504">
        <v>20.234999999999999</v>
      </c>
      <c r="D504">
        <v>6.84</v>
      </c>
      <c r="E504" t="str">
        <f t="shared" si="17"/>
        <v>Diabetes</v>
      </c>
      <c r="F504" t="s">
        <v>2380</v>
      </c>
      <c r="G504" t="s">
        <v>2380</v>
      </c>
      <c r="H504" t="s">
        <v>2380</v>
      </c>
      <c r="I504">
        <v>0</v>
      </c>
      <c r="J504" t="s">
        <v>2381</v>
      </c>
    </row>
    <row r="505" spans="1:10" x14ac:dyDescent="0.35">
      <c r="A505" t="s">
        <v>1867</v>
      </c>
      <c r="B505" t="str">
        <f t="shared" si="16"/>
        <v>Obesity</v>
      </c>
      <c r="C505">
        <v>49.2</v>
      </c>
      <c r="D505">
        <v>10.9</v>
      </c>
      <c r="E505" t="str">
        <f t="shared" si="17"/>
        <v>Diabetes</v>
      </c>
      <c r="F505" t="s">
        <v>2381</v>
      </c>
      <c r="G505" t="s">
        <v>2380</v>
      </c>
      <c r="H505" t="s">
        <v>2382</v>
      </c>
      <c r="I505">
        <v>1</v>
      </c>
      <c r="J505" t="s">
        <v>2380</v>
      </c>
    </row>
    <row r="506" spans="1:10" x14ac:dyDescent="0.35">
      <c r="A506" t="s">
        <v>1866</v>
      </c>
      <c r="B506" t="str">
        <f t="shared" si="16"/>
        <v>Overweight</v>
      </c>
      <c r="C506">
        <v>26.4</v>
      </c>
      <c r="D506">
        <v>4.87</v>
      </c>
      <c r="E506" t="str">
        <f t="shared" si="17"/>
        <v>Normal</v>
      </c>
      <c r="F506" t="s">
        <v>2381</v>
      </c>
      <c r="G506" t="s">
        <v>2380</v>
      </c>
      <c r="H506" t="s">
        <v>2380</v>
      </c>
      <c r="I506">
        <v>0</v>
      </c>
      <c r="J506" t="s">
        <v>2381</v>
      </c>
    </row>
    <row r="507" spans="1:10" x14ac:dyDescent="0.35">
      <c r="A507" t="s">
        <v>1865</v>
      </c>
      <c r="B507" t="str">
        <f t="shared" si="16"/>
        <v>Overweight</v>
      </c>
      <c r="C507">
        <v>28.38</v>
      </c>
      <c r="D507">
        <v>6.07</v>
      </c>
      <c r="E507" t="str">
        <f t="shared" si="17"/>
        <v>Prediabetes</v>
      </c>
      <c r="F507" t="s">
        <v>2380</v>
      </c>
      <c r="G507" t="s">
        <v>2380</v>
      </c>
      <c r="H507" t="s">
        <v>2380</v>
      </c>
      <c r="I507">
        <v>1</v>
      </c>
      <c r="J507" t="s">
        <v>2381</v>
      </c>
    </row>
    <row r="508" spans="1:10" x14ac:dyDescent="0.35">
      <c r="A508" t="s">
        <v>1864</v>
      </c>
      <c r="B508" t="str">
        <f t="shared" si="16"/>
        <v>Normal Weight</v>
      </c>
      <c r="C508">
        <v>24.64</v>
      </c>
      <c r="D508">
        <v>4.33</v>
      </c>
      <c r="E508" t="str">
        <f t="shared" si="17"/>
        <v>Normal</v>
      </c>
      <c r="F508" t="s">
        <v>2380</v>
      </c>
      <c r="G508" t="s">
        <v>2380</v>
      </c>
      <c r="H508" t="s">
        <v>2380</v>
      </c>
      <c r="I508">
        <v>0</v>
      </c>
      <c r="J508" t="s">
        <v>2381</v>
      </c>
    </row>
    <row r="509" spans="1:10" x14ac:dyDescent="0.35">
      <c r="A509" t="s">
        <v>1863</v>
      </c>
      <c r="B509" t="str">
        <f t="shared" si="16"/>
        <v>Obesity</v>
      </c>
      <c r="C509">
        <v>39.71</v>
      </c>
      <c r="D509">
        <v>5.83</v>
      </c>
      <c r="E509" t="str">
        <f t="shared" si="17"/>
        <v>Prediabetes</v>
      </c>
      <c r="F509" t="s">
        <v>2380</v>
      </c>
      <c r="G509" t="s">
        <v>2380</v>
      </c>
      <c r="H509" t="s">
        <v>2380</v>
      </c>
      <c r="I509">
        <v>1</v>
      </c>
      <c r="J509" t="s">
        <v>2380</v>
      </c>
    </row>
    <row r="510" spans="1:10" x14ac:dyDescent="0.35">
      <c r="A510" t="s">
        <v>1862</v>
      </c>
      <c r="B510" t="str">
        <f t="shared" si="16"/>
        <v>Normal Weight</v>
      </c>
      <c r="C510">
        <v>22.22</v>
      </c>
      <c r="D510">
        <v>5.5</v>
      </c>
      <c r="E510" t="str">
        <f t="shared" si="17"/>
        <v>Normal</v>
      </c>
      <c r="F510" t="s">
        <v>2380</v>
      </c>
      <c r="G510" t="s">
        <v>2380</v>
      </c>
      <c r="H510" t="s">
        <v>2380</v>
      </c>
      <c r="I510">
        <v>0</v>
      </c>
      <c r="J510" t="s">
        <v>2381</v>
      </c>
    </row>
    <row r="511" spans="1:10" x14ac:dyDescent="0.35">
      <c r="A511" t="s">
        <v>1861</v>
      </c>
      <c r="B511" t="str">
        <f t="shared" si="16"/>
        <v>Obesity</v>
      </c>
      <c r="C511">
        <v>33.344999999999999</v>
      </c>
      <c r="D511">
        <v>4.79</v>
      </c>
      <c r="E511" t="str">
        <f t="shared" si="17"/>
        <v>Normal</v>
      </c>
      <c r="F511" t="s">
        <v>2380</v>
      </c>
      <c r="G511" t="s">
        <v>2380</v>
      </c>
      <c r="H511" t="s">
        <v>2382</v>
      </c>
      <c r="I511">
        <v>1</v>
      </c>
      <c r="J511" t="s">
        <v>2380</v>
      </c>
    </row>
    <row r="512" spans="1:10" x14ac:dyDescent="0.35">
      <c r="A512" t="s">
        <v>1860</v>
      </c>
      <c r="B512" t="str">
        <f t="shared" si="16"/>
        <v>Normal Weight</v>
      </c>
      <c r="C512">
        <v>24.42</v>
      </c>
      <c r="D512">
        <v>5.81</v>
      </c>
      <c r="E512" t="str">
        <f t="shared" si="17"/>
        <v>Prediabetes</v>
      </c>
      <c r="F512" t="s">
        <v>2380</v>
      </c>
      <c r="G512" t="s">
        <v>2380</v>
      </c>
      <c r="H512" t="s">
        <v>2380</v>
      </c>
      <c r="I512">
        <v>1</v>
      </c>
      <c r="J512" t="s">
        <v>2381</v>
      </c>
    </row>
    <row r="513" spans="1:10" x14ac:dyDescent="0.35">
      <c r="A513" t="s">
        <v>1859</v>
      </c>
      <c r="B513" t="str">
        <f t="shared" si="16"/>
        <v>Overweight</v>
      </c>
      <c r="C513">
        <v>29.81</v>
      </c>
      <c r="D513">
        <v>5.58</v>
      </c>
      <c r="E513" t="str">
        <f t="shared" si="17"/>
        <v>Normal</v>
      </c>
      <c r="F513" t="s">
        <v>2380</v>
      </c>
      <c r="G513" t="s">
        <v>2380</v>
      </c>
      <c r="H513" t="s">
        <v>2380</v>
      </c>
      <c r="I513">
        <v>0</v>
      </c>
      <c r="J513" t="s">
        <v>2381</v>
      </c>
    </row>
    <row r="514" spans="1:10" x14ac:dyDescent="0.35">
      <c r="A514" t="s">
        <v>1858</v>
      </c>
      <c r="B514" t="str">
        <f t="shared" si="16"/>
        <v>Obesity</v>
      </c>
      <c r="C514">
        <v>51.18</v>
      </c>
      <c r="D514">
        <v>4.4000000000000004</v>
      </c>
      <c r="E514" t="str">
        <f t="shared" si="17"/>
        <v>Normal</v>
      </c>
      <c r="F514" t="s">
        <v>2381</v>
      </c>
      <c r="G514" t="s">
        <v>2380</v>
      </c>
      <c r="H514" t="s">
        <v>2380</v>
      </c>
      <c r="I514">
        <v>2</v>
      </c>
      <c r="J514" t="s">
        <v>2380</v>
      </c>
    </row>
    <row r="515" spans="1:10" x14ac:dyDescent="0.35">
      <c r="A515" t="s">
        <v>1857</v>
      </c>
      <c r="B515" t="str">
        <f t="shared" ref="B515:B578" si="18">IF(C515&lt;18.5,"Underweight",IF(C515&lt;25,"Normal Weight",IF(C515&lt;30,"Overweight","Obesity")))</f>
        <v>Obesity</v>
      </c>
      <c r="C515">
        <v>51.37</v>
      </c>
      <c r="D515">
        <v>8.18</v>
      </c>
      <c r="E515" t="str">
        <f t="shared" ref="E515:E578" si="19">IF(D515&lt;5.7,"Normal",IF(D515&lt;6.5,"Prediabetes","Diabetes"))</f>
        <v>Diabetes</v>
      </c>
      <c r="F515" t="s">
        <v>2381</v>
      </c>
      <c r="G515" t="s">
        <v>2380</v>
      </c>
      <c r="H515" t="s">
        <v>2380</v>
      </c>
      <c r="I515">
        <v>0</v>
      </c>
      <c r="J515" t="s">
        <v>2380</v>
      </c>
    </row>
    <row r="516" spans="1:10" x14ac:dyDescent="0.35">
      <c r="A516" t="s">
        <v>1856</v>
      </c>
      <c r="B516" t="str">
        <f t="shared" si="18"/>
        <v>Obesity</v>
      </c>
      <c r="C516">
        <v>36.19</v>
      </c>
      <c r="D516">
        <v>5.52</v>
      </c>
      <c r="E516" t="str">
        <f t="shared" si="19"/>
        <v>Normal</v>
      </c>
      <c r="F516" t="s">
        <v>2381</v>
      </c>
      <c r="G516" t="s">
        <v>2380</v>
      </c>
      <c r="H516" t="s">
        <v>2380</v>
      </c>
      <c r="I516">
        <v>0</v>
      </c>
      <c r="J516" t="s">
        <v>2380</v>
      </c>
    </row>
    <row r="517" spans="1:10" x14ac:dyDescent="0.35">
      <c r="A517" t="s">
        <v>1855</v>
      </c>
      <c r="B517" t="str">
        <f t="shared" si="18"/>
        <v>Overweight</v>
      </c>
      <c r="C517">
        <v>25.9</v>
      </c>
      <c r="D517">
        <v>4.84</v>
      </c>
      <c r="E517" t="str">
        <f t="shared" si="19"/>
        <v>Normal</v>
      </c>
      <c r="F517" t="s">
        <v>2380</v>
      </c>
      <c r="G517" t="s">
        <v>2380</v>
      </c>
      <c r="H517" t="s">
        <v>2380</v>
      </c>
      <c r="I517">
        <v>0</v>
      </c>
      <c r="J517" t="s">
        <v>2381</v>
      </c>
    </row>
    <row r="518" spans="1:10" x14ac:dyDescent="0.35">
      <c r="A518" t="s">
        <v>1854</v>
      </c>
      <c r="B518" t="str">
        <f t="shared" si="18"/>
        <v>Obesity</v>
      </c>
      <c r="C518">
        <v>35.72</v>
      </c>
      <c r="D518">
        <v>4.08</v>
      </c>
      <c r="E518" t="str">
        <f t="shared" si="19"/>
        <v>Normal</v>
      </c>
      <c r="F518" t="s">
        <v>2380</v>
      </c>
      <c r="G518" t="s">
        <v>2380</v>
      </c>
      <c r="H518" t="s">
        <v>2382</v>
      </c>
      <c r="I518">
        <v>1</v>
      </c>
      <c r="J518" t="s">
        <v>2380</v>
      </c>
    </row>
    <row r="519" spans="1:10" x14ac:dyDescent="0.35">
      <c r="A519" t="s">
        <v>1853</v>
      </c>
      <c r="B519" t="str">
        <f t="shared" si="18"/>
        <v>Overweight</v>
      </c>
      <c r="C519">
        <v>27.94</v>
      </c>
      <c r="D519">
        <v>4.4800000000000004</v>
      </c>
      <c r="E519" t="str">
        <f t="shared" si="19"/>
        <v>Normal</v>
      </c>
      <c r="F519" t="s">
        <v>2380</v>
      </c>
      <c r="G519" t="s">
        <v>2380</v>
      </c>
      <c r="H519" t="s">
        <v>2382</v>
      </c>
      <c r="I519">
        <v>1</v>
      </c>
      <c r="J519" t="s">
        <v>2381</v>
      </c>
    </row>
    <row r="520" spans="1:10" x14ac:dyDescent="0.35">
      <c r="A520" t="s">
        <v>1852</v>
      </c>
      <c r="B520" t="str">
        <f t="shared" si="18"/>
        <v>Overweight</v>
      </c>
      <c r="C520">
        <v>27.1</v>
      </c>
      <c r="D520">
        <v>5.73</v>
      </c>
      <c r="E520" t="str">
        <f t="shared" si="19"/>
        <v>Prediabetes</v>
      </c>
      <c r="F520" t="s">
        <v>2380</v>
      </c>
      <c r="G520" t="s">
        <v>2380</v>
      </c>
      <c r="H520" t="s">
        <v>2380</v>
      </c>
      <c r="I520">
        <v>0</v>
      </c>
      <c r="J520" t="s">
        <v>2381</v>
      </c>
    </row>
    <row r="521" spans="1:10" x14ac:dyDescent="0.35">
      <c r="A521" t="s">
        <v>1851</v>
      </c>
      <c r="B521" t="str">
        <f t="shared" si="18"/>
        <v>Underweight</v>
      </c>
      <c r="C521">
        <v>18.3</v>
      </c>
      <c r="D521">
        <v>5.46</v>
      </c>
      <c r="E521" t="str">
        <f t="shared" si="19"/>
        <v>Normal</v>
      </c>
      <c r="F521" t="s">
        <v>2381</v>
      </c>
      <c r="G521" t="s">
        <v>2380</v>
      </c>
      <c r="H521" t="s">
        <v>2382</v>
      </c>
      <c r="I521">
        <v>1</v>
      </c>
      <c r="J521" t="s">
        <v>2381</v>
      </c>
    </row>
    <row r="522" spans="1:10" x14ac:dyDescent="0.35">
      <c r="A522" t="s">
        <v>1850</v>
      </c>
      <c r="B522" t="str">
        <f t="shared" si="18"/>
        <v>Overweight</v>
      </c>
      <c r="C522">
        <v>25.3</v>
      </c>
      <c r="D522">
        <v>5.0199999999999996</v>
      </c>
      <c r="E522" t="str">
        <f t="shared" si="19"/>
        <v>Normal</v>
      </c>
      <c r="F522" t="s">
        <v>2381</v>
      </c>
      <c r="G522" t="s">
        <v>2380</v>
      </c>
      <c r="H522" t="s">
        <v>2380</v>
      </c>
      <c r="I522">
        <v>1</v>
      </c>
      <c r="J522" t="s">
        <v>2381</v>
      </c>
    </row>
    <row r="523" spans="1:10" x14ac:dyDescent="0.35">
      <c r="A523" t="s">
        <v>1849</v>
      </c>
      <c r="B523" t="str">
        <f t="shared" si="18"/>
        <v>Obesity</v>
      </c>
      <c r="C523">
        <v>38.83</v>
      </c>
      <c r="D523">
        <v>6.36</v>
      </c>
      <c r="E523" t="str">
        <f t="shared" si="19"/>
        <v>Prediabetes</v>
      </c>
      <c r="F523" t="s">
        <v>2380</v>
      </c>
      <c r="G523" t="s">
        <v>2380</v>
      </c>
      <c r="H523" t="s">
        <v>2380</v>
      </c>
      <c r="I523">
        <v>1</v>
      </c>
      <c r="J523" t="s">
        <v>2380</v>
      </c>
    </row>
    <row r="524" spans="1:10" x14ac:dyDescent="0.35">
      <c r="A524" t="s">
        <v>1848</v>
      </c>
      <c r="B524" t="str">
        <f t="shared" si="18"/>
        <v>Overweight</v>
      </c>
      <c r="C524">
        <v>27.6</v>
      </c>
      <c r="D524">
        <v>5.36</v>
      </c>
      <c r="E524" t="str">
        <f t="shared" si="19"/>
        <v>Normal</v>
      </c>
      <c r="F524" t="s">
        <v>2380</v>
      </c>
      <c r="G524" t="s">
        <v>2380</v>
      </c>
      <c r="H524" t="s">
        <v>2380</v>
      </c>
      <c r="I524">
        <v>1</v>
      </c>
      <c r="J524" t="s">
        <v>2380</v>
      </c>
    </row>
    <row r="525" spans="1:10" x14ac:dyDescent="0.35">
      <c r="A525" t="s">
        <v>1847</v>
      </c>
      <c r="B525" t="str">
        <f t="shared" si="18"/>
        <v>Obesity</v>
      </c>
      <c r="C525">
        <v>46.4</v>
      </c>
      <c r="D525">
        <v>8.3699999999999992</v>
      </c>
      <c r="E525" t="str">
        <f t="shared" si="19"/>
        <v>Diabetes</v>
      </c>
      <c r="F525" t="s">
        <v>2381</v>
      </c>
      <c r="G525" t="s">
        <v>2380</v>
      </c>
      <c r="H525" t="s">
        <v>2382</v>
      </c>
      <c r="I525">
        <v>1</v>
      </c>
      <c r="J525" t="s">
        <v>2380</v>
      </c>
    </row>
    <row r="526" spans="1:10" x14ac:dyDescent="0.35">
      <c r="A526" t="s">
        <v>1846</v>
      </c>
      <c r="B526" t="str">
        <f t="shared" si="18"/>
        <v>Obesity</v>
      </c>
      <c r="C526">
        <v>51.92</v>
      </c>
      <c r="D526">
        <v>5.18</v>
      </c>
      <c r="E526" t="str">
        <f t="shared" si="19"/>
        <v>Normal</v>
      </c>
      <c r="F526" t="s">
        <v>2381</v>
      </c>
      <c r="G526" t="s">
        <v>2380</v>
      </c>
      <c r="H526" t="s">
        <v>2382</v>
      </c>
      <c r="I526">
        <v>1</v>
      </c>
      <c r="J526" t="s">
        <v>2380</v>
      </c>
    </row>
    <row r="527" spans="1:10" x14ac:dyDescent="0.35">
      <c r="A527" t="s">
        <v>1845</v>
      </c>
      <c r="B527" t="str">
        <f t="shared" si="18"/>
        <v>Obesity</v>
      </c>
      <c r="C527">
        <v>32.395000000000003</v>
      </c>
      <c r="D527">
        <v>5.68</v>
      </c>
      <c r="E527" t="str">
        <f t="shared" si="19"/>
        <v>Normal</v>
      </c>
      <c r="F527" t="s">
        <v>2381</v>
      </c>
      <c r="G527" t="s">
        <v>2380</v>
      </c>
      <c r="H527" t="s">
        <v>2380</v>
      </c>
      <c r="I527">
        <v>1</v>
      </c>
      <c r="J527" t="s">
        <v>2380</v>
      </c>
    </row>
    <row r="528" spans="1:10" x14ac:dyDescent="0.35">
      <c r="A528" t="s">
        <v>1844</v>
      </c>
      <c r="B528" t="str">
        <f t="shared" si="18"/>
        <v>Obesity</v>
      </c>
      <c r="C528">
        <v>46.19</v>
      </c>
      <c r="D528">
        <v>7.31</v>
      </c>
      <c r="E528" t="str">
        <f t="shared" si="19"/>
        <v>Diabetes</v>
      </c>
      <c r="F528" t="s">
        <v>2381</v>
      </c>
      <c r="G528" t="s">
        <v>2380</v>
      </c>
      <c r="H528" t="s">
        <v>2382</v>
      </c>
      <c r="I528">
        <v>1</v>
      </c>
      <c r="J528" t="s">
        <v>2380</v>
      </c>
    </row>
    <row r="529" spans="1:10" x14ac:dyDescent="0.35">
      <c r="A529" t="s">
        <v>1843</v>
      </c>
      <c r="B529" t="str">
        <f t="shared" si="18"/>
        <v>Overweight</v>
      </c>
      <c r="C529">
        <v>27.93</v>
      </c>
      <c r="D529">
        <v>4.67</v>
      </c>
      <c r="E529" t="str">
        <f t="shared" si="19"/>
        <v>Normal</v>
      </c>
      <c r="F529" t="s">
        <v>2380</v>
      </c>
      <c r="G529" t="s">
        <v>2380</v>
      </c>
      <c r="H529" t="s">
        <v>2382</v>
      </c>
      <c r="I529">
        <v>1</v>
      </c>
      <c r="J529" t="s">
        <v>2380</v>
      </c>
    </row>
    <row r="530" spans="1:10" x14ac:dyDescent="0.35">
      <c r="A530" t="s">
        <v>1842</v>
      </c>
      <c r="B530" t="str">
        <f t="shared" si="18"/>
        <v>Obesity</v>
      </c>
      <c r="C530">
        <v>45.62</v>
      </c>
      <c r="D530">
        <v>6.87</v>
      </c>
      <c r="E530" t="str">
        <f t="shared" si="19"/>
        <v>Diabetes</v>
      </c>
      <c r="F530" t="s">
        <v>2380</v>
      </c>
      <c r="G530" t="s">
        <v>2380</v>
      </c>
      <c r="H530" t="s">
        <v>2380</v>
      </c>
      <c r="I530">
        <v>0</v>
      </c>
      <c r="J530" t="s">
        <v>2380</v>
      </c>
    </row>
    <row r="531" spans="1:10" x14ac:dyDescent="0.35">
      <c r="A531" t="s">
        <v>1841</v>
      </c>
      <c r="B531" t="str">
        <f t="shared" si="18"/>
        <v>Obesity</v>
      </c>
      <c r="C531">
        <v>35.31</v>
      </c>
      <c r="D531">
        <v>5.87</v>
      </c>
      <c r="E531" t="str">
        <f t="shared" si="19"/>
        <v>Prediabetes</v>
      </c>
      <c r="F531" t="s">
        <v>2380</v>
      </c>
      <c r="G531" t="s">
        <v>2380</v>
      </c>
      <c r="H531" t="s">
        <v>2382</v>
      </c>
      <c r="I531">
        <v>1</v>
      </c>
      <c r="J531" t="s">
        <v>2380</v>
      </c>
    </row>
    <row r="532" spans="1:10" x14ac:dyDescent="0.35">
      <c r="A532" t="s">
        <v>1840</v>
      </c>
      <c r="B532" t="str">
        <f t="shared" si="18"/>
        <v>Obesity</v>
      </c>
      <c r="C532">
        <v>30.4</v>
      </c>
      <c r="D532">
        <v>4.07</v>
      </c>
      <c r="E532" t="str">
        <f t="shared" si="19"/>
        <v>Normal</v>
      </c>
      <c r="F532" t="s">
        <v>2381</v>
      </c>
      <c r="G532" t="s">
        <v>2380</v>
      </c>
      <c r="H532" t="s">
        <v>2380</v>
      </c>
      <c r="I532">
        <v>1</v>
      </c>
      <c r="J532" t="s">
        <v>2380</v>
      </c>
    </row>
    <row r="533" spans="1:10" x14ac:dyDescent="0.35">
      <c r="A533" t="s">
        <v>1839</v>
      </c>
      <c r="B533" t="str">
        <f t="shared" si="18"/>
        <v>Normal Weight</v>
      </c>
      <c r="C533">
        <v>20.13</v>
      </c>
      <c r="D533">
        <v>6.47</v>
      </c>
      <c r="E533" t="str">
        <f t="shared" si="19"/>
        <v>Prediabetes</v>
      </c>
      <c r="F533" t="s">
        <v>2380</v>
      </c>
      <c r="G533" t="s">
        <v>2380</v>
      </c>
      <c r="H533" t="s">
        <v>2382</v>
      </c>
      <c r="I533">
        <v>1</v>
      </c>
      <c r="J533" t="s">
        <v>2381</v>
      </c>
    </row>
    <row r="534" spans="1:10" x14ac:dyDescent="0.35">
      <c r="A534" t="s">
        <v>1838</v>
      </c>
      <c r="B534" t="str">
        <f t="shared" si="18"/>
        <v>Normal Weight</v>
      </c>
      <c r="C534">
        <v>23.655000000000001</v>
      </c>
      <c r="D534">
        <v>5.14</v>
      </c>
      <c r="E534" t="str">
        <f t="shared" si="19"/>
        <v>Normal</v>
      </c>
      <c r="F534" t="s">
        <v>2380</v>
      </c>
      <c r="G534" t="s">
        <v>2380</v>
      </c>
      <c r="H534" t="s">
        <v>2380</v>
      </c>
      <c r="I534">
        <v>1</v>
      </c>
      <c r="J534" t="s">
        <v>2381</v>
      </c>
    </row>
    <row r="535" spans="1:10" x14ac:dyDescent="0.35">
      <c r="A535" t="s">
        <v>1837</v>
      </c>
      <c r="B535" t="str">
        <f t="shared" si="18"/>
        <v>Obesity</v>
      </c>
      <c r="C535">
        <v>49.05</v>
      </c>
      <c r="D535">
        <v>9.77</v>
      </c>
      <c r="E535" t="str">
        <f t="shared" si="19"/>
        <v>Diabetes</v>
      </c>
      <c r="F535" t="s">
        <v>2381</v>
      </c>
      <c r="G535" t="s">
        <v>2380</v>
      </c>
      <c r="H535" t="s">
        <v>2380</v>
      </c>
      <c r="I535">
        <v>0</v>
      </c>
      <c r="J535" t="s">
        <v>2380</v>
      </c>
    </row>
    <row r="536" spans="1:10" x14ac:dyDescent="0.35">
      <c r="A536" t="s">
        <v>1836</v>
      </c>
      <c r="B536" t="str">
        <f t="shared" si="18"/>
        <v>Obesity</v>
      </c>
      <c r="C536">
        <v>51.94</v>
      </c>
      <c r="D536">
        <v>8.8000000000000007</v>
      </c>
      <c r="E536" t="str">
        <f t="shared" si="19"/>
        <v>Diabetes</v>
      </c>
      <c r="F536" t="s">
        <v>2381</v>
      </c>
      <c r="G536" t="s">
        <v>2380</v>
      </c>
      <c r="H536" t="s">
        <v>2380</v>
      </c>
      <c r="I536">
        <v>2</v>
      </c>
      <c r="J536" t="s">
        <v>2380</v>
      </c>
    </row>
    <row r="537" spans="1:10" x14ac:dyDescent="0.35">
      <c r="A537" t="s">
        <v>1835</v>
      </c>
      <c r="B537" t="str">
        <f t="shared" si="18"/>
        <v>Overweight</v>
      </c>
      <c r="C537">
        <v>29.83</v>
      </c>
      <c r="D537">
        <v>5.84</v>
      </c>
      <c r="E537" t="str">
        <f t="shared" si="19"/>
        <v>Prediabetes</v>
      </c>
      <c r="F537" t="s">
        <v>2380</v>
      </c>
      <c r="G537" t="s">
        <v>2380</v>
      </c>
      <c r="H537" t="s">
        <v>2380</v>
      </c>
      <c r="I537">
        <v>1</v>
      </c>
      <c r="J537" t="s">
        <v>2381</v>
      </c>
    </row>
    <row r="538" spans="1:10" x14ac:dyDescent="0.35">
      <c r="A538" t="s">
        <v>1834</v>
      </c>
      <c r="B538" t="str">
        <f t="shared" si="18"/>
        <v>Normal Weight</v>
      </c>
      <c r="C538">
        <v>22.6</v>
      </c>
      <c r="D538">
        <v>10.43</v>
      </c>
      <c r="E538" t="str">
        <f t="shared" si="19"/>
        <v>Diabetes</v>
      </c>
      <c r="F538" t="s">
        <v>2381</v>
      </c>
      <c r="G538" t="s">
        <v>2380</v>
      </c>
      <c r="H538" t="s">
        <v>2380</v>
      </c>
      <c r="I538">
        <v>1</v>
      </c>
      <c r="J538" t="s">
        <v>2381</v>
      </c>
    </row>
    <row r="539" spans="1:10" x14ac:dyDescent="0.35">
      <c r="A539" t="s">
        <v>1833</v>
      </c>
      <c r="B539" t="str">
        <f t="shared" si="18"/>
        <v>Obesity</v>
      </c>
      <c r="C539">
        <v>46.69</v>
      </c>
      <c r="D539">
        <v>4.25</v>
      </c>
      <c r="E539" t="str">
        <f t="shared" si="19"/>
        <v>Normal</v>
      </c>
      <c r="F539" t="s">
        <v>2381</v>
      </c>
      <c r="G539" t="s">
        <v>2380</v>
      </c>
      <c r="H539" t="s">
        <v>2380</v>
      </c>
      <c r="I539">
        <v>1</v>
      </c>
      <c r="J539" t="s">
        <v>2380</v>
      </c>
    </row>
    <row r="540" spans="1:10" x14ac:dyDescent="0.35">
      <c r="A540" t="s">
        <v>1832</v>
      </c>
      <c r="B540" t="str">
        <f t="shared" si="18"/>
        <v>Overweight</v>
      </c>
      <c r="C540">
        <v>28.49</v>
      </c>
      <c r="D540">
        <v>4.8899999999999997</v>
      </c>
      <c r="E540" t="str">
        <f t="shared" si="19"/>
        <v>Normal</v>
      </c>
      <c r="F540" t="s">
        <v>2380</v>
      </c>
      <c r="G540" t="s">
        <v>2380</v>
      </c>
      <c r="H540" t="s">
        <v>2380</v>
      </c>
      <c r="I540">
        <v>0</v>
      </c>
      <c r="J540" t="s">
        <v>2381</v>
      </c>
    </row>
    <row r="541" spans="1:10" x14ac:dyDescent="0.35">
      <c r="A541" t="s">
        <v>1831</v>
      </c>
      <c r="B541" t="str">
        <f t="shared" si="18"/>
        <v>Overweight</v>
      </c>
      <c r="C541">
        <v>28.5</v>
      </c>
      <c r="D541">
        <v>5.55</v>
      </c>
      <c r="E541" t="str">
        <f t="shared" si="19"/>
        <v>Normal</v>
      </c>
      <c r="F541" t="s">
        <v>2381</v>
      </c>
      <c r="G541" t="s">
        <v>2380</v>
      </c>
      <c r="H541" t="s">
        <v>2380</v>
      </c>
      <c r="I541">
        <v>1</v>
      </c>
      <c r="J541" t="s">
        <v>2381</v>
      </c>
    </row>
    <row r="542" spans="1:10" x14ac:dyDescent="0.35">
      <c r="A542" t="s">
        <v>1830</v>
      </c>
      <c r="B542" t="str">
        <f t="shared" si="18"/>
        <v>Normal Weight</v>
      </c>
      <c r="C542">
        <v>24.4</v>
      </c>
      <c r="D542">
        <v>4.5199999999999996</v>
      </c>
      <c r="E542" t="str">
        <f t="shared" si="19"/>
        <v>Normal</v>
      </c>
      <c r="F542" t="s">
        <v>2380</v>
      </c>
      <c r="G542" t="s">
        <v>2380</v>
      </c>
      <c r="H542" t="s">
        <v>2380</v>
      </c>
      <c r="I542">
        <v>1</v>
      </c>
      <c r="J542" t="s">
        <v>2381</v>
      </c>
    </row>
    <row r="543" spans="1:10" x14ac:dyDescent="0.35">
      <c r="A543" t="s">
        <v>1829</v>
      </c>
      <c r="B543" t="str">
        <f t="shared" si="18"/>
        <v>Overweight</v>
      </c>
      <c r="C543">
        <v>29.15</v>
      </c>
      <c r="D543">
        <v>4.45</v>
      </c>
      <c r="E543" t="str">
        <f t="shared" si="19"/>
        <v>Normal</v>
      </c>
      <c r="F543" t="s">
        <v>2381</v>
      </c>
      <c r="G543" t="s">
        <v>2380</v>
      </c>
      <c r="H543" t="s">
        <v>2380</v>
      </c>
      <c r="I543">
        <v>1</v>
      </c>
      <c r="J543" t="s">
        <v>2381</v>
      </c>
    </row>
    <row r="544" spans="1:10" x14ac:dyDescent="0.35">
      <c r="A544" t="s">
        <v>1828</v>
      </c>
      <c r="B544" t="str">
        <f t="shared" si="18"/>
        <v>Overweight</v>
      </c>
      <c r="C544">
        <v>27.28</v>
      </c>
      <c r="D544">
        <v>4.72</v>
      </c>
      <c r="E544" t="str">
        <f t="shared" si="19"/>
        <v>Normal</v>
      </c>
      <c r="F544" t="s">
        <v>2380</v>
      </c>
      <c r="G544" t="s">
        <v>2381</v>
      </c>
      <c r="H544" t="s">
        <v>2380</v>
      </c>
      <c r="I544">
        <v>1</v>
      </c>
      <c r="J544" t="s">
        <v>2381</v>
      </c>
    </row>
    <row r="545" spans="1:10" x14ac:dyDescent="0.35">
      <c r="A545" t="s">
        <v>1827</v>
      </c>
      <c r="B545" t="str">
        <f t="shared" si="18"/>
        <v>Obesity</v>
      </c>
      <c r="C545">
        <v>32.229999999999997</v>
      </c>
      <c r="D545">
        <v>4.6500000000000004</v>
      </c>
      <c r="E545" t="str">
        <f t="shared" si="19"/>
        <v>Normal</v>
      </c>
      <c r="F545" t="s">
        <v>2381</v>
      </c>
      <c r="G545" t="s">
        <v>2380</v>
      </c>
      <c r="H545" t="s">
        <v>2382</v>
      </c>
      <c r="I545">
        <v>1</v>
      </c>
      <c r="J545" t="s">
        <v>2380</v>
      </c>
    </row>
    <row r="546" spans="1:10" x14ac:dyDescent="0.35">
      <c r="A546" t="s">
        <v>1826</v>
      </c>
      <c r="B546" t="str">
        <f t="shared" si="18"/>
        <v>Obesity</v>
      </c>
      <c r="C546">
        <v>44.2</v>
      </c>
      <c r="D546">
        <v>11.34</v>
      </c>
      <c r="E546" t="str">
        <f t="shared" si="19"/>
        <v>Diabetes</v>
      </c>
      <c r="F546" t="s">
        <v>2381</v>
      </c>
      <c r="G546" t="s">
        <v>2380</v>
      </c>
      <c r="H546" t="s">
        <v>2382</v>
      </c>
      <c r="I546">
        <v>1</v>
      </c>
      <c r="J546" t="s">
        <v>2380</v>
      </c>
    </row>
    <row r="547" spans="1:10" x14ac:dyDescent="0.35">
      <c r="A547" t="s">
        <v>1825</v>
      </c>
      <c r="B547" t="str">
        <f t="shared" si="18"/>
        <v>Overweight</v>
      </c>
      <c r="C547">
        <v>29.734999999999999</v>
      </c>
      <c r="D547">
        <v>4.53</v>
      </c>
      <c r="E547" t="str">
        <f t="shared" si="19"/>
        <v>Normal</v>
      </c>
      <c r="F547" t="s">
        <v>2380</v>
      </c>
      <c r="G547" t="s">
        <v>2380</v>
      </c>
      <c r="H547" t="s">
        <v>2382</v>
      </c>
      <c r="I547">
        <v>1</v>
      </c>
      <c r="J547" t="s">
        <v>2380</v>
      </c>
    </row>
    <row r="548" spans="1:10" x14ac:dyDescent="0.35">
      <c r="A548" t="s">
        <v>1824</v>
      </c>
      <c r="B548" t="str">
        <f t="shared" si="18"/>
        <v>Overweight</v>
      </c>
      <c r="C548">
        <v>28.31</v>
      </c>
      <c r="D548">
        <v>6.35</v>
      </c>
      <c r="E548" t="str">
        <f t="shared" si="19"/>
        <v>Prediabetes</v>
      </c>
      <c r="F548" t="s">
        <v>2380</v>
      </c>
      <c r="G548" t="s">
        <v>2380</v>
      </c>
      <c r="H548" t="s">
        <v>2380</v>
      </c>
      <c r="I548">
        <v>0</v>
      </c>
      <c r="J548" t="s">
        <v>2381</v>
      </c>
    </row>
    <row r="549" spans="1:10" x14ac:dyDescent="0.35">
      <c r="A549" t="s">
        <v>1823</v>
      </c>
      <c r="B549" t="str">
        <f t="shared" si="18"/>
        <v>Obesity</v>
      </c>
      <c r="C549">
        <v>46.62</v>
      </c>
      <c r="D549">
        <v>8.51</v>
      </c>
      <c r="E549" t="str">
        <f t="shared" si="19"/>
        <v>Diabetes</v>
      </c>
      <c r="F549" t="s">
        <v>2380</v>
      </c>
      <c r="G549" t="s">
        <v>2380</v>
      </c>
      <c r="H549" t="s">
        <v>2380</v>
      </c>
      <c r="I549">
        <v>0</v>
      </c>
      <c r="J549" t="s">
        <v>2380</v>
      </c>
    </row>
    <row r="550" spans="1:10" x14ac:dyDescent="0.35">
      <c r="A550" t="s">
        <v>1822</v>
      </c>
      <c r="B550" t="str">
        <f t="shared" si="18"/>
        <v>Obesity</v>
      </c>
      <c r="C550">
        <v>51.75</v>
      </c>
      <c r="D550">
        <v>8.59</v>
      </c>
      <c r="E550" t="str">
        <f t="shared" si="19"/>
        <v>Diabetes</v>
      </c>
      <c r="F550" t="s">
        <v>2381</v>
      </c>
      <c r="G550" t="s">
        <v>2380</v>
      </c>
      <c r="H550" t="s">
        <v>2380</v>
      </c>
      <c r="I550">
        <v>1</v>
      </c>
      <c r="J550" t="s">
        <v>2380</v>
      </c>
    </row>
    <row r="551" spans="1:10" x14ac:dyDescent="0.35">
      <c r="A551" t="s">
        <v>1821</v>
      </c>
      <c r="B551" t="str">
        <f t="shared" si="18"/>
        <v>Overweight</v>
      </c>
      <c r="C551">
        <v>25.7</v>
      </c>
      <c r="D551">
        <v>4.13</v>
      </c>
      <c r="E551" t="str">
        <f t="shared" si="19"/>
        <v>Normal</v>
      </c>
      <c r="F551" t="s">
        <v>2381</v>
      </c>
      <c r="G551" t="s">
        <v>2380</v>
      </c>
      <c r="H551" t="s">
        <v>2380</v>
      </c>
      <c r="I551">
        <v>0</v>
      </c>
      <c r="J551" t="s">
        <v>2381</v>
      </c>
    </row>
    <row r="552" spans="1:10" x14ac:dyDescent="0.35">
      <c r="A552" t="s">
        <v>1820</v>
      </c>
      <c r="B552" t="str">
        <f t="shared" si="18"/>
        <v>Obesity</v>
      </c>
      <c r="C552">
        <v>31.79</v>
      </c>
      <c r="D552">
        <v>4.55</v>
      </c>
      <c r="E552" t="str">
        <f t="shared" si="19"/>
        <v>Normal</v>
      </c>
      <c r="F552" t="s">
        <v>2380</v>
      </c>
      <c r="G552" t="s">
        <v>2380</v>
      </c>
      <c r="H552" t="s">
        <v>2380</v>
      </c>
      <c r="I552">
        <v>0</v>
      </c>
      <c r="J552" t="s">
        <v>2380</v>
      </c>
    </row>
    <row r="553" spans="1:10" x14ac:dyDescent="0.35">
      <c r="A553" t="s">
        <v>1819</v>
      </c>
      <c r="B553" t="str">
        <f t="shared" si="18"/>
        <v>Normal Weight</v>
      </c>
      <c r="C553">
        <v>24.795000000000002</v>
      </c>
      <c r="D553">
        <v>4.5199999999999996</v>
      </c>
      <c r="E553" t="str">
        <f t="shared" si="19"/>
        <v>Normal</v>
      </c>
      <c r="F553" t="s">
        <v>2380</v>
      </c>
      <c r="G553" t="s">
        <v>2380</v>
      </c>
      <c r="H553" t="s">
        <v>2380</v>
      </c>
      <c r="I553">
        <v>0</v>
      </c>
      <c r="J553" t="s">
        <v>2381</v>
      </c>
    </row>
    <row r="554" spans="1:10" x14ac:dyDescent="0.35">
      <c r="A554" t="s">
        <v>1818</v>
      </c>
      <c r="B554" t="str">
        <f t="shared" si="18"/>
        <v>Obesity</v>
      </c>
      <c r="C554">
        <v>53.98</v>
      </c>
      <c r="D554">
        <v>5.07</v>
      </c>
      <c r="E554" t="str">
        <f t="shared" si="19"/>
        <v>Normal</v>
      </c>
      <c r="F554" t="s">
        <v>2380</v>
      </c>
      <c r="G554" t="s">
        <v>2380</v>
      </c>
      <c r="H554" t="s">
        <v>2382</v>
      </c>
      <c r="I554">
        <v>1</v>
      </c>
      <c r="J554" t="s">
        <v>2380</v>
      </c>
    </row>
    <row r="555" spans="1:10" x14ac:dyDescent="0.35">
      <c r="A555" t="s">
        <v>1817</v>
      </c>
      <c r="B555" t="str">
        <f t="shared" si="18"/>
        <v>Obesity</v>
      </c>
      <c r="C555">
        <v>41.325000000000003</v>
      </c>
      <c r="D555">
        <v>4.04</v>
      </c>
      <c r="E555" t="str">
        <f t="shared" si="19"/>
        <v>Normal</v>
      </c>
      <c r="F555" t="s">
        <v>2381</v>
      </c>
      <c r="G555" t="s">
        <v>2380</v>
      </c>
      <c r="H555" t="s">
        <v>2382</v>
      </c>
      <c r="I555">
        <v>1</v>
      </c>
      <c r="J555" t="s">
        <v>2380</v>
      </c>
    </row>
    <row r="556" spans="1:10" x14ac:dyDescent="0.35">
      <c r="A556" t="s">
        <v>1816</v>
      </c>
      <c r="B556" t="str">
        <f t="shared" si="18"/>
        <v>Obesity</v>
      </c>
      <c r="C556">
        <v>51.65</v>
      </c>
      <c r="D556">
        <v>5.3</v>
      </c>
      <c r="E556" t="str">
        <f t="shared" si="19"/>
        <v>Normal</v>
      </c>
      <c r="F556" t="s">
        <v>2381</v>
      </c>
      <c r="G556" t="s">
        <v>2380</v>
      </c>
      <c r="H556" t="s">
        <v>2380</v>
      </c>
      <c r="I556">
        <v>0</v>
      </c>
      <c r="J556" t="s">
        <v>2380</v>
      </c>
    </row>
    <row r="557" spans="1:10" x14ac:dyDescent="0.35">
      <c r="A557" t="s">
        <v>1815</v>
      </c>
      <c r="B557" t="str">
        <f t="shared" si="18"/>
        <v>Obesity</v>
      </c>
      <c r="C557">
        <v>44.52</v>
      </c>
      <c r="D557">
        <v>8.64</v>
      </c>
      <c r="E557" t="str">
        <f t="shared" si="19"/>
        <v>Diabetes</v>
      </c>
      <c r="F557" t="s">
        <v>2381</v>
      </c>
      <c r="G557" t="s">
        <v>2380</v>
      </c>
      <c r="H557" t="s">
        <v>2382</v>
      </c>
      <c r="I557">
        <v>1</v>
      </c>
      <c r="J557" t="s">
        <v>2380</v>
      </c>
    </row>
    <row r="558" spans="1:10" x14ac:dyDescent="0.35">
      <c r="A558" t="s">
        <v>1814</v>
      </c>
      <c r="B558" t="str">
        <f t="shared" si="18"/>
        <v>Obesity</v>
      </c>
      <c r="C558">
        <v>53.29</v>
      </c>
      <c r="D558">
        <v>4.03</v>
      </c>
      <c r="E558" t="str">
        <f t="shared" si="19"/>
        <v>Normal</v>
      </c>
      <c r="F558" t="s">
        <v>2380</v>
      </c>
      <c r="G558" t="s">
        <v>2380</v>
      </c>
      <c r="H558" t="s">
        <v>2382</v>
      </c>
      <c r="I558">
        <v>1</v>
      </c>
      <c r="J558" t="s">
        <v>2380</v>
      </c>
    </row>
    <row r="559" spans="1:10" x14ac:dyDescent="0.35">
      <c r="A559" t="s">
        <v>1813</v>
      </c>
      <c r="B559" t="str">
        <f t="shared" si="18"/>
        <v>Obesity</v>
      </c>
      <c r="C559">
        <v>46.63</v>
      </c>
      <c r="D559">
        <v>4.26</v>
      </c>
      <c r="E559" t="str">
        <f t="shared" si="19"/>
        <v>Normal</v>
      </c>
      <c r="F559" t="s">
        <v>2381</v>
      </c>
      <c r="G559" t="s">
        <v>2380</v>
      </c>
      <c r="H559" t="s">
        <v>2380</v>
      </c>
      <c r="I559">
        <v>2</v>
      </c>
      <c r="J559" t="s">
        <v>2380</v>
      </c>
    </row>
    <row r="560" spans="1:10" x14ac:dyDescent="0.35">
      <c r="A560" t="s">
        <v>1812</v>
      </c>
      <c r="B560" t="str">
        <f t="shared" si="18"/>
        <v>Overweight</v>
      </c>
      <c r="C560">
        <v>28.88</v>
      </c>
      <c r="D560">
        <v>5.35</v>
      </c>
      <c r="E560" t="str">
        <f t="shared" si="19"/>
        <v>Normal</v>
      </c>
      <c r="F560" t="s">
        <v>2380</v>
      </c>
      <c r="G560" t="s">
        <v>2380</v>
      </c>
      <c r="H560" t="s">
        <v>2382</v>
      </c>
      <c r="I560">
        <v>1</v>
      </c>
      <c r="J560" t="s">
        <v>2381</v>
      </c>
    </row>
    <row r="561" spans="1:10" x14ac:dyDescent="0.35">
      <c r="A561" t="s">
        <v>1811</v>
      </c>
      <c r="B561" t="str">
        <f t="shared" si="18"/>
        <v>Normal Weight</v>
      </c>
      <c r="C561">
        <v>23.98</v>
      </c>
      <c r="D561">
        <v>4.9000000000000004</v>
      </c>
      <c r="E561" t="str">
        <f t="shared" si="19"/>
        <v>Normal</v>
      </c>
      <c r="F561" t="s">
        <v>2380</v>
      </c>
      <c r="G561" t="s">
        <v>2380</v>
      </c>
      <c r="H561" t="s">
        <v>2380</v>
      </c>
      <c r="I561">
        <v>0</v>
      </c>
      <c r="J561" t="s">
        <v>2380</v>
      </c>
    </row>
    <row r="562" spans="1:10" x14ac:dyDescent="0.35">
      <c r="A562" t="s">
        <v>1810</v>
      </c>
      <c r="B562" t="str">
        <f t="shared" si="18"/>
        <v>Normal Weight</v>
      </c>
      <c r="C562">
        <v>23.65</v>
      </c>
      <c r="D562">
        <v>4.5</v>
      </c>
      <c r="E562" t="str">
        <f t="shared" si="19"/>
        <v>Normal</v>
      </c>
      <c r="F562" t="s">
        <v>2380</v>
      </c>
      <c r="G562" t="s">
        <v>2380</v>
      </c>
      <c r="H562" t="s">
        <v>2380</v>
      </c>
      <c r="I562">
        <v>0</v>
      </c>
      <c r="J562" t="s">
        <v>2380</v>
      </c>
    </row>
    <row r="563" spans="1:10" x14ac:dyDescent="0.35">
      <c r="A563" t="s">
        <v>1809</v>
      </c>
      <c r="B563" t="str">
        <f t="shared" si="18"/>
        <v>Obesity</v>
      </c>
      <c r="C563">
        <v>49.09</v>
      </c>
      <c r="D563">
        <v>8.3800000000000008</v>
      </c>
      <c r="E563" t="str">
        <f t="shared" si="19"/>
        <v>Diabetes</v>
      </c>
      <c r="F563" t="s">
        <v>2381</v>
      </c>
      <c r="G563" t="s">
        <v>2380</v>
      </c>
      <c r="H563" t="s">
        <v>2380</v>
      </c>
      <c r="I563">
        <v>2</v>
      </c>
      <c r="J563" t="s">
        <v>2380</v>
      </c>
    </row>
    <row r="564" spans="1:10" x14ac:dyDescent="0.35">
      <c r="A564" t="s">
        <v>1808</v>
      </c>
      <c r="B564" t="str">
        <f t="shared" si="18"/>
        <v>Overweight</v>
      </c>
      <c r="C564">
        <v>28.024999999999999</v>
      </c>
      <c r="D564">
        <v>7.03</v>
      </c>
      <c r="E564" t="str">
        <f t="shared" si="19"/>
        <v>Diabetes</v>
      </c>
      <c r="F564" t="s">
        <v>2380</v>
      </c>
      <c r="G564" t="s">
        <v>2380</v>
      </c>
      <c r="H564" t="s">
        <v>2380</v>
      </c>
      <c r="I564">
        <v>0</v>
      </c>
      <c r="J564" t="s">
        <v>2381</v>
      </c>
    </row>
    <row r="565" spans="1:10" x14ac:dyDescent="0.35">
      <c r="A565" t="s">
        <v>1807</v>
      </c>
      <c r="B565" t="str">
        <f t="shared" si="18"/>
        <v>Obesity</v>
      </c>
      <c r="C565">
        <v>43.32</v>
      </c>
      <c r="D565">
        <v>8.75</v>
      </c>
      <c r="E565" t="str">
        <f t="shared" si="19"/>
        <v>Diabetes</v>
      </c>
      <c r="F565" t="s">
        <v>2381</v>
      </c>
      <c r="G565" t="s">
        <v>2380</v>
      </c>
      <c r="H565" t="s">
        <v>2382</v>
      </c>
      <c r="I565">
        <v>1</v>
      </c>
      <c r="J565" t="s">
        <v>2380</v>
      </c>
    </row>
    <row r="566" spans="1:10" x14ac:dyDescent="0.35">
      <c r="A566" t="s">
        <v>1806</v>
      </c>
      <c r="B566" t="str">
        <f t="shared" si="18"/>
        <v>Obesity</v>
      </c>
      <c r="C566">
        <v>45.92</v>
      </c>
      <c r="D566">
        <v>9.51</v>
      </c>
      <c r="E566" t="str">
        <f t="shared" si="19"/>
        <v>Diabetes</v>
      </c>
      <c r="F566" t="s">
        <v>2380</v>
      </c>
      <c r="G566" t="s">
        <v>2380</v>
      </c>
      <c r="H566" t="s">
        <v>2380</v>
      </c>
      <c r="I566">
        <v>0</v>
      </c>
      <c r="J566" t="s">
        <v>2380</v>
      </c>
    </row>
    <row r="567" spans="1:10" x14ac:dyDescent="0.35">
      <c r="A567" t="s">
        <v>1805</v>
      </c>
      <c r="B567" t="str">
        <f t="shared" si="18"/>
        <v>Obesity</v>
      </c>
      <c r="C567">
        <v>44.03</v>
      </c>
      <c r="D567">
        <v>9.36</v>
      </c>
      <c r="E567" t="str">
        <f t="shared" si="19"/>
        <v>Diabetes</v>
      </c>
      <c r="F567" t="s">
        <v>2380</v>
      </c>
      <c r="G567" t="s">
        <v>2380</v>
      </c>
      <c r="H567" t="s">
        <v>2380</v>
      </c>
      <c r="I567">
        <v>0</v>
      </c>
      <c r="J567" t="s">
        <v>2380</v>
      </c>
    </row>
    <row r="568" spans="1:10" x14ac:dyDescent="0.35">
      <c r="A568" t="s">
        <v>1804</v>
      </c>
      <c r="B568" t="str">
        <f t="shared" si="18"/>
        <v>Normal Weight</v>
      </c>
      <c r="C568">
        <v>24.6</v>
      </c>
      <c r="D568">
        <v>4.8099999999999996</v>
      </c>
      <c r="E568" t="str">
        <f t="shared" si="19"/>
        <v>Normal</v>
      </c>
      <c r="F568" t="s">
        <v>2380</v>
      </c>
      <c r="G568" t="s">
        <v>2380</v>
      </c>
      <c r="H568" t="s">
        <v>2380</v>
      </c>
      <c r="I568">
        <v>0</v>
      </c>
      <c r="J568" t="s">
        <v>2381</v>
      </c>
    </row>
    <row r="569" spans="1:10" x14ac:dyDescent="0.35">
      <c r="A569" t="s">
        <v>1803</v>
      </c>
      <c r="B569" t="str">
        <f t="shared" si="18"/>
        <v>Obesity</v>
      </c>
      <c r="C569">
        <v>49.15</v>
      </c>
      <c r="D569">
        <v>8.08</v>
      </c>
      <c r="E569" t="str">
        <f t="shared" si="19"/>
        <v>Diabetes</v>
      </c>
      <c r="F569" t="s">
        <v>2380</v>
      </c>
      <c r="G569" t="s">
        <v>2380</v>
      </c>
      <c r="H569" t="s">
        <v>2380</v>
      </c>
      <c r="I569">
        <v>0</v>
      </c>
      <c r="J569" t="s">
        <v>2380</v>
      </c>
    </row>
    <row r="570" spans="1:10" x14ac:dyDescent="0.35">
      <c r="A570" t="s">
        <v>1802</v>
      </c>
      <c r="B570" t="str">
        <f t="shared" si="18"/>
        <v>Overweight</v>
      </c>
      <c r="C570">
        <v>28.31</v>
      </c>
      <c r="D570">
        <v>6.29</v>
      </c>
      <c r="E570" t="str">
        <f t="shared" si="19"/>
        <v>Prediabetes</v>
      </c>
      <c r="F570" t="s">
        <v>2380</v>
      </c>
      <c r="G570" t="s">
        <v>2380</v>
      </c>
      <c r="H570" t="s">
        <v>2382</v>
      </c>
      <c r="I570">
        <v>1</v>
      </c>
      <c r="J570" t="s">
        <v>2381</v>
      </c>
    </row>
    <row r="571" spans="1:10" x14ac:dyDescent="0.35">
      <c r="A571" t="s">
        <v>1801</v>
      </c>
      <c r="B571" t="str">
        <f t="shared" si="18"/>
        <v>Normal Weight</v>
      </c>
      <c r="C571">
        <v>22.99</v>
      </c>
      <c r="D571">
        <v>6.29</v>
      </c>
      <c r="E571" t="str">
        <f t="shared" si="19"/>
        <v>Prediabetes</v>
      </c>
      <c r="F571" t="s">
        <v>2380</v>
      </c>
      <c r="G571" t="s">
        <v>2380</v>
      </c>
      <c r="H571" t="s">
        <v>2380</v>
      </c>
      <c r="I571">
        <v>1</v>
      </c>
      <c r="J571" t="s">
        <v>2381</v>
      </c>
    </row>
    <row r="572" spans="1:10" x14ac:dyDescent="0.35">
      <c r="A572" t="s">
        <v>1800</v>
      </c>
      <c r="B572" t="str">
        <f t="shared" si="18"/>
        <v>Overweight</v>
      </c>
      <c r="C572">
        <v>29.07</v>
      </c>
      <c r="D572">
        <v>5.12</v>
      </c>
      <c r="E572" t="str">
        <f t="shared" si="19"/>
        <v>Normal</v>
      </c>
      <c r="F572" t="s">
        <v>2380</v>
      </c>
      <c r="G572" t="s">
        <v>2380</v>
      </c>
      <c r="H572" t="s">
        <v>2382</v>
      </c>
      <c r="I572">
        <v>1</v>
      </c>
      <c r="J572" t="s">
        <v>2381</v>
      </c>
    </row>
    <row r="573" spans="1:10" x14ac:dyDescent="0.35">
      <c r="A573" t="s">
        <v>1799</v>
      </c>
      <c r="B573" t="str">
        <f t="shared" si="18"/>
        <v>Obesity</v>
      </c>
      <c r="C573">
        <v>42.02</v>
      </c>
      <c r="D573">
        <v>9.9499999999999993</v>
      </c>
      <c r="E573" t="str">
        <f t="shared" si="19"/>
        <v>Diabetes</v>
      </c>
      <c r="F573" t="s">
        <v>2381</v>
      </c>
      <c r="G573" t="s">
        <v>2380</v>
      </c>
      <c r="H573" t="s">
        <v>2382</v>
      </c>
      <c r="I573">
        <v>1</v>
      </c>
      <c r="J573" t="s">
        <v>2380</v>
      </c>
    </row>
    <row r="574" spans="1:10" x14ac:dyDescent="0.35">
      <c r="A574" t="s">
        <v>1798</v>
      </c>
      <c r="B574" t="str">
        <f t="shared" si="18"/>
        <v>Obesity</v>
      </c>
      <c r="C574">
        <v>49.07</v>
      </c>
      <c r="D574">
        <v>9.08</v>
      </c>
      <c r="E574" t="str">
        <f t="shared" si="19"/>
        <v>Diabetes</v>
      </c>
      <c r="F574" t="s">
        <v>2381</v>
      </c>
      <c r="G574" t="s">
        <v>2380</v>
      </c>
      <c r="H574" t="s">
        <v>2380</v>
      </c>
      <c r="I574">
        <v>1</v>
      </c>
      <c r="J574" t="s">
        <v>2380</v>
      </c>
    </row>
    <row r="575" spans="1:10" x14ac:dyDescent="0.35">
      <c r="A575" t="s">
        <v>1797</v>
      </c>
      <c r="B575" t="str">
        <f t="shared" si="18"/>
        <v>Normal Weight</v>
      </c>
      <c r="C575">
        <v>19.8</v>
      </c>
      <c r="D575">
        <v>4.82</v>
      </c>
      <c r="E575" t="str">
        <f t="shared" si="19"/>
        <v>Normal</v>
      </c>
      <c r="F575" t="s">
        <v>2380</v>
      </c>
      <c r="G575" t="s">
        <v>2380</v>
      </c>
      <c r="H575" t="s">
        <v>2380</v>
      </c>
      <c r="I575">
        <v>0</v>
      </c>
      <c r="J575" t="s">
        <v>2381</v>
      </c>
    </row>
    <row r="576" spans="1:10" x14ac:dyDescent="0.35">
      <c r="A576" t="s">
        <v>1796</v>
      </c>
      <c r="B576" t="str">
        <f t="shared" si="18"/>
        <v>Overweight</v>
      </c>
      <c r="C576">
        <v>27.36</v>
      </c>
      <c r="D576">
        <v>4.6500000000000004</v>
      </c>
      <c r="E576" t="str">
        <f t="shared" si="19"/>
        <v>Normal</v>
      </c>
      <c r="F576" t="s">
        <v>2380</v>
      </c>
      <c r="G576" t="s">
        <v>2381</v>
      </c>
      <c r="H576" t="s">
        <v>2380</v>
      </c>
      <c r="I576">
        <v>1</v>
      </c>
      <c r="J576" t="s">
        <v>2381</v>
      </c>
    </row>
    <row r="577" spans="1:10" x14ac:dyDescent="0.35">
      <c r="A577" t="s">
        <v>1795</v>
      </c>
      <c r="B577" t="str">
        <f t="shared" si="18"/>
        <v>Obesity</v>
      </c>
      <c r="C577">
        <v>42.95</v>
      </c>
      <c r="D577">
        <v>5.16</v>
      </c>
      <c r="E577" t="str">
        <f t="shared" si="19"/>
        <v>Normal</v>
      </c>
      <c r="F577" t="s">
        <v>2381</v>
      </c>
      <c r="G577" t="s">
        <v>2380</v>
      </c>
      <c r="H577" t="s">
        <v>2380</v>
      </c>
      <c r="I577">
        <v>1</v>
      </c>
      <c r="J577" t="s">
        <v>2380</v>
      </c>
    </row>
    <row r="578" spans="1:10" x14ac:dyDescent="0.35">
      <c r="A578" t="s">
        <v>1794</v>
      </c>
      <c r="B578" t="str">
        <f t="shared" si="18"/>
        <v>Obesity</v>
      </c>
      <c r="C578">
        <v>42.66</v>
      </c>
      <c r="D578">
        <v>10.44</v>
      </c>
      <c r="E578" t="str">
        <f t="shared" si="19"/>
        <v>Diabetes</v>
      </c>
      <c r="F578" t="s">
        <v>2380</v>
      </c>
      <c r="G578" t="s">
        <v>2380</v>
      </c>
      <c r="H578" t="s">
        <v>2380</v>
      </c>
      <c r="I578">
        <v>0</v>
      </c>
      <c r="J578" t="s">
        <v>2380</v>
      </c>
    </row>
    <row r="579" spans="1:10" x14ac:dyDescent="0.35">
      <c r="A579" t="s">
        <v>1793</v>
      </c>
      <c r="B579" t="str">
        <f t="shared" ref="B579:B642" si="20">IF(C579&lt;18.5,"Underweight",IF(C579&lt;25,"Normal Weight",IF(C579&lt;30,"Overweight","Obesity")))</f>
        <v>Obesity</v>
      </c>
      <c r="C579">
        <v>33.630000000000003</v>
      </c>
      <c r="D579">
        <v>5.69</v>
      </c>
      <c r="E579" t="str">
        <f t="shared" ref="E579:E642" si="21">IF(D579&lt;5.7,"Normal",IF(D579&lt;6.5,"Prediabetes","Diabetes"))</f>
        <v>Normal</v>
      </c>
      <c r="F579" t="s">
        <v>2380</v>
      </c>
      <c r="G579" t="s">
        <v>2380</v>
      </c>
      <c r="H579" t="s">
        <v>2380</v>
      </c>
      <c r="I579">
        <v>1</v>
      </c>
      <c r="J579" t="s">
        <v>2380</v>
      </c>
    </row>
    <row r="580" spans="1:10" x14ac:dyDescent="0.35">
      <c r="A580" t="s">
        <v>1792</v>
      </c>
      <c r="B580" t="str">
        <f t="shared" si="20"/>
        <v>Overweight</v>
      </c>
      <c r="C580">
        <v>26.84</v>
      </c>
      <c r="D580">
        <v>6.5</v>
      </c>
      <c r="E580" t="str">
        <f t="shared" si="21"/>
        <v>Diabetes</v>
      </c>
      <c r="F580" t="s">
        <v>2380</v>
      </c>
      <c r="G580" t="s">
        <v>2380</v>
      </c>
      <c r="H580" t="s">
        <v>2380</v>
      </c>
      <c r="I580">
        <v>0</v>
      </c>
      <c r="J580" t="s">
        <v>2381</v>
      </c>
    </row>
    <row r="581" spans="1:10" x14ac:dyDescent="0.35">
      <c r="A581" t="s">
        <v>1791</v>
      </c>
      <c r="B581" t="str">
        <f t="shared" si="20"/>
        <v>Overweight</v>
      </c>
      <c r="C581">
        <v>28.3</v>
      </c>
      <c r="D581">
        <v>5.73</v>
      </c>
      <c r="E581" t="str">
        <f t="shared" si="21"/>
        <v>Prediabetes</v>
      </c>
      <c r="F581" t="s">
        <v>2380</v>
      </c>
      <c r="G581" t="s">
        <v>2380</v>
      </c>
      <c r="H581" t="s">
        <v>2382</v>
      </c>
      <c r="I581">
        <v>1</v>
      </c>
      <c r="J581" t="s">
        <v>2381</v>
      </c>
    </row>
    <row r="582" spans="1:10" x14ac:dyDescent="0.35">
      <c r="A582" t="s">
        <v>1790</v>
      </c>
      <c r="B582" t="str">
        <f t="shared" si="20"/>
        <v>Overweight</v>
      </c>
      <c r="C582">
        <v>27.06</v>
      </c>
      <c r="D582">
        <v>5.74</v>
      </c>
      <c r="E582" t="str">
        <f t="shared" si="21"/>
        <v>Prediabetes</v>
      </c>
      <c r="F582" t="s">
        <v>2381</v>
      </c>
      <c r="G582" t="s">
        <v>2380</v>
      </c>
      <c r="H582" t="s">
        <v>2380</v>
      </c>
      <c r="I582">
        <v>0</v>
      </c>
      <c r="J582" t="s">
        <v>2381</v>
      </c>
    </row>
    <row r="583" spans="1:10" x14ac:dyDescent="0.35">
      <c r="A583" t="s">
        <v>1789</v>
      </c>
      <c r="B583" t="str">
        <f t="shared" si="20"/>
        <v>Obesity</v>
      </c>
      <c r="C583">
        <v>47.13</v>
      </c>
      <c r="D583">
        <v>8.6999999999999993</v>
      </c>
      <c r="E583" t="str">
        <f t="shared" si="21"/>
        <v>Diabetes</v>
      </c>
      <c r="F583" t="s">
        <v>2380</v>
      </c>
      <c r="G583" t="s">
        <v>2380</v>
      </c>
      <c r="H583" t="s">
        <v>2380</v>
      </c>
      <c r="I583">
        <v>0</v>
      </c>
      <c r="J583" t="s">
        <v>2380</v>
      </c>
    </row>
    <row r="584" spans="1:10" x14ac:dyDescent="0.35">
      <c r="A584" t="s">
        <v>1788</v>
      </c>
      <c r="B584" t="str">
        <f t="shared" si="20"/>
        <v>Obesity</v>
      </c>
      <c r="C584">
        <v>51.72</v>
      </c>
      <c r="D584">
        <v>5.09</v>
      </c>
      <c r="E584" t="str">
        <f t="shared" si="21"/>
        <v>Normal</v>
      </c>
      <c r="F584" t="s">
        <v>2380</v>
      </c>
      <c r="G584" t="s">
        <v>2380</v>
      </c>
      <c r="H584" t="s">
        <v>2380</v>
      </c>
      <c r="I584">
        <v>0</v>
      </c>
      <c r="J584" t="s">
        <v>2380</v>
      </c>
    </row>
    <row r="585" spans="1:10" x14ac:dyDescent="0.35">
      <c r="A585" t="s">
        <v>1787</v>
      </c>
      <c r="B585" t="str">
        <f t="shared" si="20"/>
        <v>Obesity</v>
      </c>
      <c r="C585">
        <v>48.59</v>
      </c>
      <c r="D585">
        <v>5.57</v>
      </c>
      <c r="E585" t="str">
        <f t="shared" si="21"/>
        <v>Normal</v>
      </c>
      <c r="F585" t="s">
        <v>2380</v>
      </c>
      <c r="G585" t="s">
        <v>2380</v>
      </c>
      <c r="H585" t="s">
        <v>2380</v>
      </c>
      <c r="I585">
        <v>0</v>
      </c>
      <c r="J585" t="s">
        <v>2380</v>
      </c>
    </row>
    <row r="586" spans="1:10" x14ac:dyDescent="0.35">
      <c r="A586" t="s">
        <v>1786</v>
      </c>
      <c r="B586" t="str">
        <f t="shared" si="20"/>
        <v>Obesity</v>
      </c>
      <c r="C586">
        <v>45.18</v>
      </c>
      <c r="D586">
        <v>10.87</v>
      </c>
      <c r="E586" t="str">
        <f t="shared" si="21"/>
        <v>Diabetes</v>
      </c>
      <c r="F586" t="s">
        <v>2380</v>
      </c>
      <c r="G586" t="s">
        <v>2380</v>
      </c>
      <c r="H586" t="s">
        <v>2380</v>
      </c>
      <c r="I586">
        <v>0</v>
      </c>
      <c r="J586" t="s">
        <v>2380</v>
      </c>
    </row>
    <row r="587" spans="1:10" x14ac:dyDescent="0.35">
      <c r="A587" t="s">
        <v>1785</v>
      </c>
      <c r="B587" t="str">
        <f t="shared" si="20"/>
        <v>Overweight</v>
      </c>
      <c r="C587">
        <v>27.9</v>
      </c>
      <c r="D587">
        <v>6.02</v>
      </c>
      <c r="E587" t="str">
        <f t="shared" si="21"/>
        <v>Prediabetes</v>
      </c>
      <c r="F587" t="s">
        <v>2380</v>
      </c>
      <c r="G587" t="s">
        <v>2380</v>
      </c>
      <c r="H587" t="s">
        <v>2382</v>
      </c>
      <c r="I587">
        <v>1</v>
      </c>
      <c r="J587" t="s">
        <v>2381</v>
      </c>
    </row>
    <row r="588" spans="1:10" x14ac:dyDescent="0.35">
      <c r="A588" t="s">
        <v>1784</v>
      </c>
      <c r="B588" t="str">
        <f t="shared" si="20"/>
        <v>Obesity</v>
      </c>
      <c r="C588">
        <v>51.33</v>
      </c>
      <c r="D588">
        <v>7</v>
      </c>
      <c r="E588" t="str">
        <f t="shared" si="21"/>
        <v>Diabetes</v>
      </c>
      <c r="F588" t="s">
        <v>2380</v>
      </c>
      <c r="G588" t="s">
        <v>2380</v>
      </c>
      <c r="H588" t="s">
        <v>2380</v>
      </c>
      <c r="I588">
        <v>0</v>
      </c>
      <c r="J588" t="s">
        <v>2380</v>
      </c>
    </row>
    <row r="589" spans="1:10" x14ac:dyDescent="0.35">
      <c r="A589" t="s">
        <v>1783</v>
      </c>
      <c r="B589" t="str">
        <f t="shared" si="20"/>
        <v>Obesity</v>
      </c>
      <c r="C589">
        <v>30.59</v>
      </c>
      <c r="D589">
        <v>5.56</v>
      </c>
      <c r="E589" t="str">
        <f t="shared" si="21"/>
        <v>Normal</v>
      </c>
      <c r="F589" t="s">
        <v>2381</v>
      </c>
      <c r="G589" t="s">
        <v>2380</v>
      </c>
      <c r="H589" t="s">
        <v>2380</v>
      </c>
      <c r="I589">
        <v>1</v>
      </c>
      <c r="J589" t="s">
        <v>2380</v>
      </c>
    </row>
    <row r="590" spans="1:10" x14ac:dyDescent="0.35">
      <c r="A590" t="s">
        <v>1782</v>
      </c>
      <c r="B590" t="str">
        <f t="shared" si="20"/>
        <v>Obesity</v>
      </c>
      <c r="C590">
        <v>39.229999999999997</v>
      </c>
      <c r="D590">
        <v>8.4499999999999993</v>
      </c>
      <c r="E590" t="str">
        <f t="shared" si="21"/>
        <v>Diabetes</v>
      </c>
      <c r="F590" t="s">
        <v>2380</v>
      </c>
      <c r="G590" t="s">
        <v>2380</v>
      </c>
      <c r="H590" t="s">
        <v>2380</v>
      </c>
      <c r="I590">
        <v>0</v>
      </c>
      <c r="J590" t="s">
        <v>2380</v>
      </c>
    </row>
    <row r="591" spans="1:10" x14ac:dyDescent="0.35">
      <c r="A591" t="s">
        <v>1781</v>
      </c>
      <c r="B591" t="str">
        <f t="shared" si="20"/>
        <v>Normal Weight</v>
      </c>
      <c r="C591">
        <v>19.094999999999999</v>
      </c>
      <c r="D591">
        <v>6.19</v>
      </c>
      <c r="E591" t="str">
        <f t="shared" si="21"/>
        <v>Prediabetes</v>
      </c>
      <c r="F591" t="s">
        <v>2380</v>
      </c>
      <c r="G591" t="s">
        <v>2380</v>
      </c>
      <c r="H591" t="s">
        <v>2380</v>
      </c>
      <c r="I591">
        <v>0</v>
      </c>
      <c r="J591" t="s">
        <v>2381</v>
      </c>
    </row>
    <row r="592" spans="1:10" x14ac:dyDescent="0.35">
      <c r="A592" t="s">
        <v>1780</v>
      </c>
      <c r="B592" t="str">
        <f t="shared" si="20"/>
        <v>Obesity</v>
      </c>
      <c r="C592">
        <v>49.72</v>
      </c>
      <c r="D592">
        <v>7.71</v>
      </c>
      <c r="E592" t="str">
        <f t="shared" si="21"/>
        <v>Diabetes</v>
      </c>
      <c r="F592" t="s">
        <v>2380</v>
      </c>
      <c r="G592" t="s">
        <v>2380</v>
      </c>
      <c r="H592" t="s">
        <v>2380</v>
      </c>
      <c r="I592">
        <v>0</v>
      </c>
      <c r="J592" t="s">
        <v>2380</v>
      </c>
    </row>
    <row r="593" spans="1:10" x14ac:dyDescent="0.35">
      <c r="A593" t="s">
        <v>1779</v>
      </c>
      <c r="B593" t="str">
        <f t="shared" si="20"/>
        <v>Normal Weight</v>
      </c>
      <c r="C593">
        <v>21.754999999999999</v>
      </c>
      <c r="D593">
        <v>4.63</v>
      </c>
      <c r="E593" t="str">
        <f t="shared" si="21"/>
        <v>Normal</v>
      </c>
      <c r="F593" t="s">
        <v>2380</v>
      </c>
      <c r="G593" t="s">
        <v>2380</v>
      </c>
      <c r="H593" t="s">
        <v>2382</v>
      </c>
      <c r="I593">
        <v>1</v>
      </c>
      <c r="J593" t="s">
        <v>2381</v>
      </c>
    </row>
    <row r="594" spans="1:10" x14ac:dyDescent="0.35">
      <c r="A594" t="s">
        <v>1778</v>
      </c>
      <c r="B594" t="str">
        <f t="shared" si="20"/>
        <v>Obesity</v>
      </c>
      <c r="C594">
        <v>48.39</v>
      </c>
      <c r="D594">
        <v>4.6100000000000003</v>
      </c>
      <c r="E594" t="str">
        <f t="shared" si="21"/>
        <v>Normal</v>
      </c>
      <c r="F594" t="s">
        <v>2380</v>
      </c>
      <c r="G594" t="s">
        <v>2380</v>
      </c>
      <c r="H594" t="s">
        <v>2380</v>
      </c>
      <c r="I594">
        <v>0</v>
      </c>
      <c r="J594" t="s">
        <v>2380</v>
      </c>
    </row>
    <row r="595" spans="1:10" x14ac:dyDescent="0.35">
      <c r="A595" t="s">
        <v>1777</v>
      </c>
      <c r="B595" t="str">
        <f t="shared" si="20"/>
        <v>Obesity</v>
      </c>
      <c r="C595">
        <v>47.15</v>
      </c>
      <c r="D595">
        <v>9.5299999999999994</v>
      </c>
      <c r="E595" t="str">
        <f t="shared" si="21"/>
        <v>Diabetes</v>
      </c>
      <c r="F595" t="s">
        <v>2381</v>
      </c>
      <c r="G595" t="s">
        <v>2380</v>
      </c>
      <c r="H595" t="s">
        <v>2380</v>
      </c>
      <c r="I595">
        <v>1</v>
      </c>
      <c r="J595" t="s">
        <v>2380</v>
      </c>
    </row>
    <row r="596" spans="1:10" x14ac:dyDescent="0.35">
      <c r="A596" t="s">
        <v>1776</v>
      </c>
      <c r="B596" t="str">
        <f t="shared" si="20"/>
        <v>Obesity</v>
      </c>
      <c r="C596">
        <v>47.59</v>
      </c>
      <c r="D596">
        <v>11.43</v>
      </c>
      <c r="E596" t="str">
        <f t="shared" si="21"/>
        <v>Diabetes</v>
      </c>
      <c r="F596" t="s">
        <v>2381</v>
      </c>
      <c r="G596" t="s">
        <v>2380</v>
      </c>
      <c r="H596" t="s">
        <v>2380</v>
      </c>
      <c r="I596">
        <v>2</v>
      </c>
      <c r="J596" t="s">
        <v>2380</v>
      </c>
    </row>
    <row r="597" spans="1:10" x14ac:dyDescent="0.35">
      <c r="A597" t="s">
        <v>1775</v>
      </c>
      <c r="B597" t="str">
        <f t="shared" si="20"/>
        <v>Obesity</v>
      </c>
      <c r="C597">
        <v>39.81</v>
      </c>
      <c r="D597">
        <v>7.65</v>
      </c>
      <c r="E597" t="str">
        <f t="shared" si="21"/>
        <v>Diabetes</v>
      </c>
      <c r="F597" t="s">
        <v>2381</v>
      </c>
      <c r="G597" t="s">
        <v>2380</v>
      </c>
      <c r="H597" t="s">
        <v>2382</v>
      </c>
      <c r="I597">
        <v>1</v>
      </c>
      <c r="J597" t="s">
        <v>2380</v>
      </c>
    </row>
    <row r="598" spans="1:10" x14ac:dyDescent="0.35">
      <c r="A598" t="s">
        <v>1774</v>
      </c>
      <c r="B598" t="str">
        <f t="shared" si="20"/>
        <v>Obesity</v>
      </c>
      <c r="C598">
        <v>31.02</v>
      </c>
      <c r="D598">
        <v>5.87</v>
      </c>
      <c r="E598" t="str">
        <f t="shared" si="21"/>
        <v>Prediabetes</v>
      </c>
      <c r="F598" t="s">
        <v>2381</v>
      </c>
      <c r="G598" t="s">
        <v>2380</v>
      </c>
      <c r="H598" t="s">
        <v>2380</v>
      </c>
      <c r="I598">
        <v>0</v>
      </c>
      <c r="J598" t="s">
        <v>2380</v>
      </c>
    </row>
    <row r="599" spans="1:10" x14ac:dyDescent="0.35">
      <c r="A599" t="s">
        <v>1773</v>
      </c>
      <c r="B599" t="str">
        <f t="shared" si="20"/>
        <v>Normal Weight</v>
      </c>
      <c r="C599">
        <v>24.75</v>
      </c>
      <c r="D599">
        <v>4.3600000000000003</v>
      </c>
      <c r="E599" t="str">
        <f t="shared" si="21"/>
        <v>Normal</v>
      </c>
      <c r="F599" t="s">
        <v>2381</v>
      </c>
      <c r="G599" t="s">
        <v>2380</v>
      </c>
      <c r="H599" t="s">
        <v>2380</v>
      </c>
      <c r="I599">
        <v>1</v>
      </c>
      <c r="J599" t="s">
        <v>2381</v>
      </c>
    </row>
    <row r="600" spans="1:10" x14ac:dyDescent="0.35">
      <c r="A600" t="s">
        <v>1772</v>
      </c>
      <c r="B600" t="str">
        <f t="shared" si="20"/>
        <v>Obesity</v>
      </c>
      <c r="C600">
        <v>30.114999999999998</v>
      </c>
      <c r="D600">
        <v>10.119999999999999</v>
      </c>
      <c r="E600" t="str">
        <f t="shared" si="21"/>
        <v>Diabetes</v>
      </c>
      <c r="F600" t="s">
        <v>2380</v>
      </c>
      <c r="G600" t="s">
        <v>2380</v>
      </c>
      <c r="H600" t="s">
        <v>2380</v>
      </c>
      <c r="I600">
        <v>3</v>
      </c>
      <c r="J600" t="s">
        <v>2380</v>
      </c>
    </row>
    <row r="601" spans="1:10" x14ac:dyDescent="0.35">
      <c r="A601" t="s">
        <v>1771</v>
      </c>
      <c r="B601" t="str">
        <f t="shared" si="20"/>
        <v>Overweight</v>
      </c>
      <c r="C601">
        <v>26.03</v>
      </c>
      <c r="D601">
        <v>4.01</v>
      </c>
      <c r="E601" t="str">
        <f t="shared" si="21"/>
        <v>Normal</v>
      </c>
      <c r="F601" t="s">
        <v>2380</v>
      </c>
      <c r="G601" t="s">
        <v>2380</v>
      </c>
      <c r="H601" t="s">
        <v>2382</v>
      </c>
      <c r="I601">
        <v>1</v>
      </c>
      <c r="J601" t="s">
        <v>2381</v>
      </c>
    </row>
    <row r="602" spans="1:10" x14ac:dyDescent="0.35">
      <c r="A602" t="s">
        <v>1770</v>
      </c>
      <c r="B602" t="str">
        <f t="shared" si="20"/>
        <v>Normal Weight</v>
      </c>
      <c r="C602">
        <v>20.045000000000002</v>
      </c>
      <c r="D602">
        <v>4.7699999999999996</v>
      </c>
      <c r="E602" t="str">
        <f t="shared" si="21"/>
        <v>Normal</v>
      </c>
      <c r="F602" t="s">
        <v>2381</v>
      </c>
      <c r="G602" t="s">
        <v>2380</v>
      </c>
      <c r="H602" t="s">
        <v>2380</v>
      </c>
      <c r="I602">
        <v>1</v>
      </c>
      <c r="J602" t="s">
        <v>2381</v>
      </c>
    </row>
    <row r="603" spans="1:10" x14ac:dyDescent="0.35">
      <c r="A603" t="s">
        <v>1769</v>
      </c>
      <c r="B603" t="str">
        <f t="shared" si="20"/>
        <v>Obesity</v>
      </c>
      <c r="C603">
        <v>40.24</v>
      </c>
      <c r="D603">
        <v>6.83</v>
      </c>
      <c r="E603" t="str">
        <f t="shared" si="21"/>
        <v>Diabetes</v>
      </c>
      <c r="F603" t="s">
        <v>2380</v>
      </c>
      <c r="G603" t="s">
        <v>2380</v>
      </c>
      <c r="H603" t="s">
        <v>2380</v>
      </c>
      <c r="I603">
        <v>0</v>
      </c>
      <c r="J603" t="s">
        <v>2380</v>
      </c>
    </row>
    <row r="604" spans="1:10" x14ac:dyDescent="0.35">
      <c r="A604" t="s">
        <v>1768</v>
      </c>
      <c r="B604" t="str">
        <f t="shared" si="20"/>
        <v>Obesity</v>
      </c>
      <c r="C604">
        <v>43.15</v>
      </c>
      <c r="D604">
        <v>6.14</v>
      </c>
      <c r="E604" t="str">
        <f t="shared" si="21"/>
        <v>Prediabetes</v>
      </c>
      <c r="F604" t="s">
        <v>2381</v>
      </c>
      <c r="G604" t="s">
        <v>2380</v>
      </c>
      <c r="H604" t="s">
        <v>2382</v>
      </c>
      <c r="I604">
        <v>1</v>
      </c>
      <c r="J604" t="s">
        <v>2380</v>
      </c>
    </row>
    <row r="605" spans="1:10" x14ac:dyDescent="0.35">
      <c r="A605" t="s">
        <v>1767</v>
      </c>
      <c r="B605" t="str">
        <f t="shared" si="20"/>
        <v>Overweight</v>
      </c>
      <c r="C605">
        <v>27.7</v>
      </c>
      <c r="D605">
        <v>5.6</v>
      </c>
      <c r="E605" t="str">
        <f t="shared" si="21"/>
        <v>Normal</v>
      </c>
      <c r="F605" t="s">
        <v>2380</v>
      </c>
      <c r="G605" t="s">
        <v>2380</v>
      </c>
      <c r="H605" t="s">
        <v>2382</v>
      </c>
      <c r="I605">
        <v>1</v>
      </c>
      <c r="J605" t="s">
        <v>2381</v>
      </c>
    </row>
    <row r="606" spans="1:10" x14ac:dyDescent="0.35">
      <c r="A606" t="s">
        <v>1766</v>
      </c>
      <c r="B606" t="str">
        <f t="shared" si="20"/>
        <v>Obesity</v>
      </c>
      <c r="C606">
        <v>45.68</v>
      </c>
      <c r="D606">
        <v>4.8</v>
      </c>
      <c r="E606" t="str">
        <f t="shared" si="21"/>
        <v>Normal</v>
      </c>
      <c r="F606" t="s">
        <v>2380</v>
      </c>
      <c r="G606" t="s">
        <v>2380</v>
      </c>
      <c r="H606" t="s">
        <v>2380</v>
      </c>
      <c r="I606">
        <v>2</v>
      </c>
      <c r="J606" t="s">
        <v>2380</v>
      </c>
    </row>
    <row r="607" spans="1:10" x14ac:dyDescent="0.35">
      <c r="A607" t="s">
        <v>1765</v>
      </c>
      <c r="B607" t="str">
        <f t="shared" si="20"/>
        <v>Overweight</v>
      </c>
      <c r="C607">
        <v>27.3</v>
      </c>
      <c r="D607">
        <v>11.89</v>
      </c>
      <c r="E607" t="str">
        <f t="shared" si="21"/>
        <v>Diabetes</v>
      </c>
      <c r="F607" t="s">
        <v>2380</v>
      </c>
      <c r="G607" t="s">
        <v>2380</v>
      </c>
      <c r="H607" t="s">
        <v>2380</v>
      </c>
      <c r="I607">
        <v>0</v>
      </c>
      <c r="J607" t="s">
        <v>2381</v>
      </c>
    </row>
    <row r="608" spans="1:10" x14ac:dyDescent="0.35">
      <c r="A608" t="s">
        <v>1764</v>
      </c>
      <c r="B608" t="str">
        <f t="shared" si="20"/>
        <v>Obesity</v>
      </c>
      <c r="C608">
        <v>54.45</v>
      </c>
      <c r="D608">
        <v>4.7300000000000004</v>
      </c>
      <c r="E608" t="str">
        <f t="shared" si="21"/>
        <v>Normal</v>
      </c>
      <c r="F608" t="s">
        <v>2381</v>
      </c>
      <c r="G608" t="s">
        <v>2380</v>
      </c>
      <c r="H608" t="s">
        <v>2380</v>
      </c>
      <c r="I608">
        <v>1</v>
      </c>
      <c r="J608" t="s">
        <v>2380</v>
      </c>
    </row>
    <row r="609" spans="1:10" x14ac:dyDescent="0.35">
      <c r="A609" t="s">
        <v>1763</v>
      </c>
      <c r="B609" t="str">
        <f t="shared" si="20"/>
        <v>Obesity</v>
      </c>
      <c r="C609">
        <v>54.43</v>
      </c>
      <c r="D609">
        <v>4.6100000000000003</v>
      </c>
      <c r="E609" t="str">
        <f t="shared" si="21"/>
        <v>Normal</v>
      </c>
      <c r="F609" t="s">
        <v>2381</v>
      </c>
      <c r="G609" t="s">
        <v>2380</v>
      </c>
      <c r="H609" t="s">
        <v>2380</v>
      </c>
      <c r="I609">
        <v>1</v>
      </c>
      <c r="J609" t="s">
        <v>2380</v>
      </c>
    </row>
    <row r="610" spans="1:10" x14ac:dyDescent="0.35">
      <c r="A610" t="s">
        <v>1762</v>
      </c>
      <c r="B610" t="str">
        <f t="shared" si="20"/>
        <v>Obesity</v>
      </c>
      <c r="C610">
        <v>48.01</v>
      </c>
      <c r="D610">
        <v>7.3</v>
      </c>
      <c r="E610" t="str">
        <f t="shared" si="21"/>
        <v>Diabetes</v>
      </c>
      <c r="F610" t="s">
        <v>2380</v>
      </c>
      <c r="G610" t="s">
        <v>2380</v>
      </c>
      <c r="H610" t="s">
        <v>2380</v>
      </c>
      <c r="I610">
        <v>0</v>
      </c>
      <c r="J610" t="s">
        <v>2380</v>
      </c>
    </row>
    <row r="611" spans="1:10" x14ac:dyDescent="0.35">
      <c r="A611" t="s">
        <v>1761</v>
      </c>
      <c r="B611" t="str">
        <f t="shared" si="20"/>
        <v>Obesity</v>
      </c>
      <c r="C611">
        <v>48.32</v>
      </c>
      <c r="D611">
        <v>5.88</v>
      </c>
      <c r="E611" t="str">
        <f t="shared" si="21"/>
        <v>Prediabetes</v>
      </c>
      <c r="F611" t="s">
        <v>2380</v>
      </c>
      <c r="G611" t="s">
        <v>2380</v>
      </c>
      <c r="H611" t="s">
        <v>2380</v>
      </c>
      <c r="I611">
        <v>0</v>
      </c>
      <c r="J611" t="s">
        <v>2380</v>
      </c>
    </row>
    <row r="612" spans="1:10" x14ac:dyDescent="0.35">
      <c r="A612" t="s">
        <v>1760</v>
      </c>
      <c r="B612" t="str">
        <f t="shared" si="20"/>
        <v>Normal Weight</v>
      </c>
      <c r="C612">
        <v>22.895</v>
      </c>
      <c r="D612">
        <v>4.0599999999999996</v>
      </c>
      <c r="E612" t="str">
        <f t="shared" si="21"/>
        <v>Normal</v>
      </c>
      <c r="F612" t="s">
        <v>2380</v>
      </c>
      <c r="G612" t="s">
        <v>2380</v>
      </c>
      <c r="H612" t="s">
        <v>2382</v>
      </c>
      <c r="I612">
        <v>1</v>
      </c>
      <c r="J612" t="s">
        <v>2381</v>
      </c>
    </row>
    <row r="613" spans="1:10" x14ac:dyDescent="0.35">
      <c r="A613" t="s">
        <v>1759</v>
      </c>
      <c r="B613" t="str">
        <f t="shared" si="20"/>
        <v>Obesity</v>
      </c>
      <c r="C613">
        <v>54.85</v>
      </c>
      <c r="D613">
        <v>4.9000000000000004</v>
      </c>
      <c r="E613" t="str">
        <f t="shared" si="21"/>
        <v>Normal</v>
      </c>
      <c r="F613" t="s">
        <v>2380</v>
      </c>
      <c r="G613" t="s">
        <v>2380</v>
      </c>
      <c r="H613" t="s">
        <v>2380</v>
      </c>
      <c r="I613">
        <v>1</v>
      </c>
      <c r="J613" t="s">
        <v>2380</v>
      </c>
    </row>
    <row r="614" spans="1:10" x14ac:dyDescent="0.35">
      <c r="A614" t="s">
        <v>1758</v>
      </c>
      <c r="B614" t="str">
        <f t="shared" si="20"/>
        <v>Normal Weight</v>
      </c>
      <c r="C614">
        <v>21.85</v>
      </c>
      <c r="D614">
        <v>5.52</v>
      </c>
      <c r="E614" t="str">
        <f t="shared" si="21"/>
        <v>Normal</v>
      </c>
      <c r="F614" t="s">
        <v>2380</v>
      </c>
      <c r="G614" t="s">
        <v>2380</v>
      </c>
      <c r="H614" t="s">
        <v>2382</v>
      </c>
      <c r="I614">
        <v>1</v>
      </c>
      <c r="J614" t="s">
        <v>2381</v>
      </c>
    </row>
    <row r="615" spans="1:10" x14ac:dyDescent="0.35">
      <c r="A615" t="s">
        <v>1757</v>
      </c>
      <c r="B615" t="str">
        <f t="shared" si="20"/>
        <v>Obesity</v>
      </c>
      <c r="C615">
        <v>51.86</v>
      </c>
      <c r="D615">
        <v>5.2</v>
      </c>
      <c r="E615" t="str">
        <f t="shared" si="21"/>
        <v>Normal</v>
      </c>
      <c r="F615" t="s">
        <v>2381</v>
      </c>
      <c r="G615" t="s">
        <v>2380</v>
      </c>
      <c r="H615" t="s">
        <v>2380</v>
      </c>
      <c r="I615">
        <v>0</v>
      </c>
      <c r="J615" t="s">
        <v>2380</v>
      </c>
    </row>
    <row r="616" spans="1:10" x14ac:dyDescent="0.35">
      <c r="A616" t="s">
        <v>1756</v>
      </c>
      <c r="B616" t="str">
        <f t="shared" si="20"/>
        <v>Obesity</v>
      </c>
      <c r="C616">
        <v>39.049999999999997</v>
      </c>
      <c r="D616">
        <v>7.59</v>
      </c>
      <c r="E616" t="str">
        <f t="shared" si="21"/>
        <v>Diabetes</v>
      </c>
      <c r="F616" t="s">
        <v>2380</v>
      </c>
      <c r="G616" t="s">
        <v>2380</v>
      </c>
      <c r="H616" t="s">
        <v>2380</v>
      </c>
      <c r="I616">
        <v>3</v>
      </c>
      <c r="J616" t="s">
        <v>2380</v>
      </c>
    </row>
    <row r="617" spans="1:10" x14ac:dyDescent="0.35">
      <c r="A617" t="s">
        <v>1755</v>
      </c>
      <c r="B617" t="str">
        <f t="shared" si="20"/>
        <v>Obesity</v>
      </c>
      <c r="C617">
        <v>31.824999999999999</v>
      </c>
      <c r="D617">
        <v>8.2799999999999994</v>
      </c>
      <c r="E617" t="str">
        <f t="shared" si="21"/>
        <v>Diabetes</v>
      </c>
      <c r="F617" t="s">
        <v>2380</v>
      </c>
      <c r="G617" t="s">
        <v>2380</v>
      </c>
      <c r="H617" t="s">
        <v>2380</v>
      </c>
      <c r="I617">
        <v>3</v>
      </c>
      <c r="J617" t="s">
        <v>2380</v>
      </c>
    </row>
    <row r="618" spans="1:10" x14ac:dyDescent="0.35">
      <c r="A618" t="s">
        <v>1754</v>
      </c>
      <c r="B618" t="str">
        <f t="shared" si="20"/>
        <v>Obesity</v>
      </c>
      <c r="C618">
        <v>46.43</v>
      </c>
      <c r="D618">
        <v>6.72</v>
      </c>
      <c r="E618" t="str">
        <f t="shared" si="21"/>
        <v>Diabetes</v>
      </c>
      <c r="F618" t="s">
        <v>2380</v>
      </c>
      <c r="G618" t="s">
        <v>2380</v>
      </c>
      <c r="H618" t="s">
        <v>2380</v>
      </c>
      <c r="I618">
        <v>0</v>
      </c>
      <c r="J618" t="s">
        <v>2380</v>
      </c>
    </row>
    <row r="619" spans="1:10" x14ac:dyDescent="0.35">
      <c r="A619" t="s">
        <v>1753</v>
      </c>
      <c r="B619" t="str">
        <f t="shared" si="20"/>
        <v>Obesity</v>
      </c>
      <c r="C619">
        <v>53.63</v>
      </c>
      <c r="D619">
        <v>5.47</v>
      </c>
      <c r="E619" t="str">
        <f t="shared" si="21"/>
        <v>Normal</v>
      </c>
      <c r="F619" t="s">
        <v>2381</v>
      </c>
      <c r="G619" t="s">
        <v>2380</v>
      </c>
      <c r="H619" t="s">
        <v>2380</v>
      </c>
      <c r="I619">
        <v>1</v>
      </c>
      <c r="J619" t="s">
        <v>2380</v>
      </c>
    </row>
    <row r="620" spans="1:10" x14ac:dyDescent="0.35">
      <c r="A620" t="s">
        <v>1752</v>
      </c>
      <c r="B620" t="str">
        <f t="shared" si="20"/>
        <v>Obesity</v>
      </c>
      <c r="C620">
        <v>48.7</v>
      </c>
      <c r="D620">
        <v>4.71</v>
      </c>
      <c r="E620" t="str">
        <f t="shared" si="21"/>
        <v>Normal</v>
      </c>
      <c r="F620" t="s">
        <v>2380</v>
      </c>
      <c r="G620" t="s">
        <v>2380</v>
      </c>
      <c r="H620" t="s">
        <v>2380</v>
      </c>
      <c r="I620">
        <v>0</v>
      </c>
      <c r="J620" t="s">
        <v>2380</v>
      </c>
    </row>
    <row r="621" spans="1:10" x14ac:dyDescent="0.35">
      <c r="A621" t="s">
        <v>1751</v>
      </c>
      <c r="B621" t="str">
        <f t="shared" si="20"/>
        <v>Obesity</v>
      </c>
      <c r="C621">
        <v>48.81</v>
      </c>
      <c r="D621">
        <v>5.49</v>
      </c>
      <c r="E621" t="str">
        <f t="shared" si="21"/>
        <v>Normal</v>
      </c>
      <c r="F621" t="s">
        <v>2380</v>
      </c>
      <c r="G621" t="s">
        <v>2380</v>
      </c>
      <c r="H621" t="s">
        <v>2380</v>
      </c>
      <c r="I621">
        <v>0</v>
      </c>
      <c r="J621" t="s">
        <v>2380</v>
      </c>
    </row>
    <row r="622" spans="1:10" x14ac:dyDescent="0.35">
      <c r="A622" t="s">
        <v>1750</v>
      </c>
      <c r="B622" t="str">
        <f t="shared" si="20"/>
        <v>Obesity</v>
      </c>
      <c r="C622">
        <v>47.53</v>
      </c>
      <c r="D622">
        <v>4.72</v>
      </c>
      <c r="E622" t="str">
        <f t="shared" si="21"/>
        <v>Normal</v>
      </c>
      <c r="F622" t="s">
        <v>2380</v>
      </c>
      <c r="G622" t="s">
        <v>2380</v>
      </c>
      <c r="H622" t="s">
        <v>2380</v>
      </c>
      <c r="I622">
        <v>0</v>
      </c>
      <c r="J622" t="s">
        <v>2380</v>
      </c>
    </row>
    <row r="623" spans="1:10" x14ac:dyDescent="0.35">
      <c r="A623" t="s">
        <v>1749</v>
      </c>
      <c r="B623" t="str">
        <f t="shared" si="20"/>
        <v>Obesity</v>
      </c>
      <c r="C623">
        <v>36.85</v>
      </c>
      <c r="D623">
        <v>6.7</v>
      </c>
      <c r="E623" t="str">
        <f t="shared" si="21"/>
        <v>Diabetes</v>
      </c>
      <c r="F623" t="s">
        <v>2380</v>
      </c>
      <c r="G623" t="s">
        <v>2380</v>
      </c>
      <c r="H623" t="s">
        <v>2380</v>
      </c>
      <c r="I623">
        <v>0</v>
      </c>
      <c r="J623" t="s">
        <v>2380</v>
      </c>
    </row>
    <row r="624" spans="1:10" x14ac:dyDescent="0.35">
      <c r="A624" t="s">
        <v>1748</v>
      </c>
      <c r="B624" t="str">
        <f t="shared" si="20"/>
        <v>Overweight</v>
      </c>
      <c r="C624">
        <v>29.3</v>
      </c>
      <c r="D624">
        <v>5.5</v>
      </c>
      <c r="E624" t="str">
        <f t="shared" si="21"/>
        <v>Normal</v>
      </c>
      <c r="F624" t="s">
        <v>2380</v>
      </c>
      <c r="G624" t="s">
        <v>2380</v>
      </c>
      <c r="H624" t="s">
        <v>2380</v>
      </c>
      <c r="I624">
        <v>0</v>
      </c>
      <c r="J624" t="s">
        <v>2380</v>
      </c>
    </row>
    <row r="625" spans="1:10" x14ac:dyDescent="0.35">
      <c r="A625" t="s">
        <v>1747</v>
      </c>
      <c r="B625" t="str">
        <f t="shared" si="20"/>
        <v>Normal Weight</v>
      </c>
      <c r="C625">
        <v>19.3</v>
      </c>
      <c r="D625">
        <v>4.46</v>
      </c>
      <c r="E625" t="str">
        <f t="shared" si="21"/>
        <v>Normal</v>
      </c>
      <c r="F625" t="s">
        <v>2380</v>
      </c>
      <c r="G625" t="s">
        <v>2380</v>
      </c>
      <c r="H625" t="s">
        <v>2380</v>
      </c>
      <c r="I625">
        <v>1</v>
      </c>
      <c r="J625" t="s">
        <v>2381</v>
      </c>
    </row>
    <row r="626" spans="1:10" x14ac:dyDescent="0.35">
      <c r="A626" t="s">
        <v>1746</v>
      </c>
      <c r="B626" t="str">
        <f t="shared" si="20"/>
        <v>Normal Weight</v>
      </c>
      <c r="C626">
        <v>24.13</v>
      </c>
      <c r="D626">
        <v>5.29</v>
      </c>
      <c r="E626" t="str">
        <f t="shared" si="21"/>
        <v>Normal</v>
      </c>
      <c r="F626" t="s">
        <v>2381</v>
      </c>
      <c r="G626" t="s">
        <v>2380</v>
      </c>
      <c r="H626" t="s">
        <v>2382</v>
      </c>
      <c r="I626">
        <v>1</v>
      </c>
      <c r="J626" t="s">
        <v>2381</v>
      </c>
    </row>
    <row r="627" spans="1:10" x14ac:dyDescent="0.35">
      <c r="A627" t="s">
        <v>1745</v>
      </c>
      <c r="B627" t="str">
        <f t="shared" si="20"/>
        <v>Obesity</v>
      </c>
      <c r="C627">
        <v>46.7</v>
      </c>
      <c r="D627">
        <v>10.99</v>
      </c>
      <c r="E627" t="str">
        <f t="shared" si="21"/>
        <v>Diabetes</v>
      </c>
      <c r="F627" t="s">
        <v>2380</v>
      </c>
      <c r="G627" t="s">
        <v>2380</v>
      </c>
      <c r="H627" t="s">
        <v>2380</v>
      </c>
      <c r="I627">
        <v>0</v>
      </c>
      <c r="J627" t="s">
        <v>2380</v>
      </c>
    </row>
    <row r="628" spans="1:10" x14ac:dyDescent="0.35">
      <c r="A628" t="s">
        <v>1744</v>
      </c>
      <c r="B628" t="str">
        <f t="shared" si="20"/>
        <v>Obesity</v>
      </c>
      <c r="C628">
        <v>45.27</v>
      </c>
      <c r="D628">
        <v>5.2</v>
      </c>
      <c r="E628" t="str">
        <f t="shared" si="21"/>
        <v>Normal</v>
      </c>
      <c r="F628" t="s">
        <v>2381</v>
      </c>
      <c r="G628" t="s">
        <v>2380</v>
      </c>
      <c r="H628" t="s">
        <v>2380</v>
      </c>
      <c r="I628">
        <v>0</v>
      </c>
      <c r="J628" t="s">
        <v>2380</v>
      </c>
    </row>
    <row r="629" spans="1:10" x14ac:dyDescent="0.35">
      <c r="A629" t="s">
        <v>1743</v>
      </c>
      <c r="B629" t="str">
        <f t="shared" si="20"/>
        <v>Obesity</v>
      </c>
      <c r="C629">
        <v>44.29</v>
      </c>
      <c r="D629">
        <v>9.66</v>
      </c>
      <c r="E629" t="str">
        <f t="shared" si="21"/>
        <v>Diabetes</v>
      </c>
      <c r="F629" t="s">
        <v>2380</v>
      </c>
      <c r="G629" t="s">
        <v>2380</v>
      </c>
      <c r="H629" t="s">
        <v>2380</v>
      </c>
      <c r="I629">
        <v>2</v>
      </c>
      <c r="J629" t="s">
        <v>2380</v>
      </c>
    </row>
    <row r="630" spans="1:10" x14ac:dyDescent="0.35">
      <c r="A630" t="s">
        <v>1742</v>
      </c>
      <c r="B630" t="str">
        <f t="shared" si="20"/>
        <v>Obesity</v>
      </c>
      <c r="C630">
        <v>54.59</v>
      </c>
      <c r="D630">
        <v>4.22</v>
      </c>
      <c r="E630" t="str">
        <f t="shared" si="21"/>
        <v>Normal</v>
      </c>
      <c r="F630" t="s">
        <v>2381</v>
      </c>
      <c r="G630" t="s">
        <v>2380</v>
      </c>
      <c r="H630" t="s">
        <v>2380</v>
      </c>
      <c r="I630">
        <v>1</v>
      </c>
      <c r="J630" t="s">
        <v>2380</v>
      </c>
    </row>
    <row r="631" spans="1:10" x14ac:dyDescent="0.35">
      <c r="A631" t="s">
        <v>1741</v>
      </c>
      <c r="B631" t="str">
        <f t="shared" si="20"/>
        <v>Obesity</v>
      </c>
      <c r="C631">
        <v>32.965000000000003</v>
      </c>
      <c r="D631">
        <v>11.78</v>
      </c>
      <c r="E631" t="str">
        <f t="shared" si="21"/>
        <v>Diabetes</v>
      </c>
      <c r="F631" t="s">
        <v>2380</v>
      </c>
      <c r="G631" t="s">
        <v>2380</v>
      </c>
      <c r="H631" t="s">
        <v>2380</v>
      </c>
      <c r="I631">
        <v>0</v>
      </c>
      <c r="J631" t="s">
        <v>2380</v>
      </c>
    </row>
    <row r="632" spans="1:10" x14ac:dyDescent="0.35">
      <c r="A632" t="s">
        <v>1740</v>
      </c>
      <c r="B632" t="str">
        <f t="shared" si="20"/>
        <v>Obesity</v>
      </c>
      <c r="C632">
        <v>38.049999999999997</v>
      </c>
      <c r="D632">
        <v>9.6199999999999992</v>
      </c>
      <c r="E632" t="str">
        <f t="shared" si="21"/>
        <v>Diabetes</v>
      </c>
      <c r="F632" t="s">
        <v>2380</v>
      </c>
      <c r="G632" t="s">
        <v>2380</v>
      </c>
      <c r="H632" t="s">
        <v>2380</v>
      </c>
      <c r="I632">
        <v>0</v>
      </c>
      <c r="J632" t="s">
        <v>2380</v>
      </c>
    </row>
    <row r="633" spans="1:10" x14ac:dyDescent="0.35">
      <c r="A633" t="s">
        <v>1739</v>
      </c>
      <c r="B633" t="str">
        <f t="shared" si="20"/>
        <v>Obesity</v>
      </c>
      <c r="C633">
        <v>46.14</v>
      </c>
      <c r="D633">
        <v>10.78</v>
      </c>
      <c r="E633" t="str">
        <f t="shared" si="21"/>
        <v>Diabetes</v>
      </c>
      <c r="F633" t="s">
        <v>2380</v>
      </c>
      <c r="G633" t="s">
        <v>2380</v>
      </c>
      <c r="H633" t="s">
        <v>2380</v>
      </c>
      <c r="I633">
        <v>0</v>
      </c>
      <c r="J633" t="s">
        <v>2380</v>
      </c>
    </row>
    <row r="634" spans="1:10" x14ac:dyDescent="0.35">
      <c r="A634" t="s">
        <v>1738</v>
      </c>
      <c r="B634" t="str">
        <f t="shared" si="20"/>
        <v>Obesity</v>
      </c>
      <c r="C634">
        <v>41.325000000000003</v>
      </c>
      <c r="D634">
        <v>5.1100000000000003</v>
      </c>
      <c r="E634" t="str">
        <f t="shared" si="21"/>
        <v>Normal</v>
      </c>
      <c r="F634" t="s">
        <v>2381</v>
      </c>
      <c r="G634" t="s">
        <v>2380</v>
      </c>
      <c r="H634" t="s">
        <v>2380</v>
      </c>
      <c r="I634">
        <v>2</v>
      </c>
      <c r="J634" t="s">
        <v>2380</v>
      </c>
    </row>
    <row r="635" spans="1:10" x14ac:dyDescent="0.35">
      <c r="A635" t="s">
        <v>1737</v>
      </c>
      <c r="B635" t="str">
        <f t="shared" si="20"/>
        <v>Obesity</v>
      </c>
      <c r="C635">
        <v>44.64</v>
      </c>
      <c r="D635">
        <v>7.18</v>
      </c>
      <c r="E635" t="str">
        <f t="shared" si="21"/>
        <v>Diabetes</v>
      </c>
      <c r="F635" t="s">
        <v>2380</v>
      </c>
      <c r="G635" t="s">
        <v>2380</v>
      </c>
      <c r="H635" t="s">
        <v>2380</v>
      </c>
      <c r="I635">
        <v>0</v>
      </c>
      <c r="J635" t="s">
        <v>2380</v>
      </c>
    </row>
    <row r="636" spans="1:10" x14ac:dyDescent="0.35">
      <c r="A636" t="s">
        <v>1736</v>
      </c>
      <c r="B636" t="str">
        <f t="shared" si="20"/>
        <v>Overweight</v>
      </c>
      <c r="C636">
        <v>25.175000000000001</v>
      </c>
      <c r="D636">
        <v>4.96</v>
      </c>
      <c r="E636" t="str">
        <f t="shared" si="21"/>
        <v>Normal</v>
      </c>
      <c r="F636" t="s">
        <v>2380</v>
      </c>
      <c r="G636" t="s">
        <v>2381</v>
      </c>
      <c r="H636" t="s">
        <v>2380</v>
      </c>
      <c r="I636">
        <v>1</v>
      </c>
      <c r="J636" t="s">
        <v>2380</v>
      </c>
    </row>
    <row r="637" spans="1:10" x14ac:dyDescent="0.35">
      <c r="A637" t="s">
        <v>1735</v>
      </c>
      <c r="B637" t="str">
        <f t="shared" si="20"/>
        <v>Obesity</v>
      </c>
      <c r="C637">
        <v>43.11</v>
      </c>
      <c r="D637">
        <v>4.67</v>
      </c>
      <c r="E637" t="str">
        <f t="shared" si="21"/>
        <v>Normal</v>
      </c>
      <c r="F637" t="s">
        <v>2381</v>
      </c>
      <c r="G637" t="s">
        <v>2380</v>
      </c>
      <c r="H637" t="s">
        <v>2380</v>
      </c>
      <c r="I637">
        <v>0</v>
      </c>
      <c r="J637" t="s">
        <v>2380</v>
      </c>
    </row>
    <row r="638" spans="1:10" x14ac:dyDescent="0.35">
      <c r="A638" t="s">
        <v>1734</v>
      </c>
      <c r="B638" t="str">
        <f t="shared" si="20"/>
        <v>Obesity</v>
      </c>
      <c r="C638">
        <v>53.32</v>
      </c>
      <c r="D638">
        <v>5.0599999999999996</v>
      </c>
      <c r="E638" t="str">
        <f t="shared" si="21"/>
        <v>Normal</v>
      </c>
      <c r="F638" t="s">
        <v>2380</v>
      </c>
      <c r="G638" t="s">
        <v>2380</v>
      </c>
      <c r="H638" t="s">
        <v>2380</v>
      </c>
      <c r="I638">
        <v>0</v>
      </c>
      <c r="J638" t="s">
        <v>2380</v>
      </c>
    </row>
    <row r="639" spans="1:10" x14ac:dyDescent="0.35">
      <c r="A639" t="s">
        <v>1733</v>
      </c>
      <c r="B639" t="str">
        <f t="shared" si="20"/>
        <v>Obesity</v>
      </c>
      <c r="C639">
        <v>38.04</v>
      </c>
      <c r="D639">
        <v>5.0199999999999996</v>
      </c>
      <c r="E639" t="str">
        <f t="shared" si="21"/>
        <v>Normal</v>
      </c>
      <c r="F639" t="s">
        <v>2381</v>
      </c>
      <c r="G639" t="s">
        <v>2380</v>
      </c>
      <c r="H639" t="s">
        <v>2380</v>
      </c>
      <c r="I639">
        <v>1</v>
      </c>
      <c r="J639" t="s">
        <v>2380</v>
      </c>
    </row>
    <row r="640" spans="1:10" x14ac:dyDescent="0.35">
      <c r="A640" t="s">
        <v>1732</v>
      </c>
      <c r="B640" t="str">
        <f t="shared" si="20"/>
        <v>Obesity</v>
      </c>
      <c r="C640">
        <v>37.9</v>
      </c>
      <c r="D640">
        <v>7.76</v>
      </c>
      <c r="E640" t="str">
        <f t="shared" si="21"/>
        <v>Diabetes</v>
      </c>
      <c r="F640" t="s">
        <v>2380</v>
      </c>
      <c r="G640" t="s">
        <v>2380</v>
      </c>
      <c r="H640" t="s">
        <v>2380</v>
      </c>
      <c r="I640">
        <v>0</v>
      </c>
      <c r="J640" t="s">
        <v>2380</v>
      </c>
    </row>
    <row r="641" spans="1:10" x14ac:dyDescent="0.35">
      <c r="A641" t="s">
        <v>1731</v>
      </c>
      <c r="B641" t="str">
        <f t="shared" si="20"/>
        <v>Obesity</v>
      </c>
      <c r="C641">
        <v>39.6</v>
      </c>
      <c r="D641">
        <v>9.32</v>
      </c>
      <c r="E641" t="str">
        <f t="shared" si="21"/>
        <v>Diabetes</v>
      </c>
      <c r="F641" t="s">
        <v>2380</v>
      </c>
      <c r="G641" t="s">
        <v>2380</v>
      </c>
      <c r="H641" t="s">
        <v>2380</v>
      </c>
      <c r="I641">
        <v>0</v>
      </c>
      <c r="J641" t="s">
        <v>2380</v>
      </c>
    </row>
    <row r="642" spans="1:10" x14ac:dyDescent="0.35">
      <c r="A642" t="s">
        <v>1730</v>
      </c>
      <c r="B642" t="str">
        <f t="shared" si="20"/>
        <v>Obesity</v>
      </c>
      <c r="C642">
        <v>50.92</v>
      </c>
      <c r="D642">
        <v>5.31</v>
      </c>
      <c r="E642" t="str">
        <f t="shared" si="21"/>
        <v>Normal</v>
      </c>
      <c r="F642" t="s">
        <v>2381</v>
      </c>
      <c r="G642" t="s">
        <v>2380</v>
      </c>
      <c r="H642" t="s">
        <v>2380</v>
      </c>
      <c r="I642">
        <v>1</v>
      </c>
      <c r="J642" t="s">
        <v>2380</v>
      </c>
    </row>
    <row r="643" spans="1:10" x14ac:dyDescent="0.35">
      <c r="A643" t="s">
        <v>1729</v>
      </c>
      <c r="B643" t="str">
        <f t="shared" ref="B643:B706" si="22">IF(C643&lt;18.5,"Underweight",IF(C643&lt;25,"Normal Weight",IF(C643&lt;30,"Overweight","Obesity")))</f>
        <v>Normal Weight</v>
      </c>
      <c r="C643">
        <v>21.85</v>
      </c>
      <c r="D643">
        <v>5.56</v>
      </c>
      <c r="E643" t="str">
        <f t="shared" ref="E643:E706" si="23">IF(D643&lt;5.7,"Normal",IF(D643&lt;6.5,"Prediabetes","Diabetes"))</f>
        <v>Normal</v>
      </c>
      <c r="F643" t="s">
        <v>2381</v>
      </c>
      <c r="G643" t="s">
        <v>2380</v>
      </c>
      <c r="H643" t="s">
        <v>2380</v>
      </c>
      <c r="I643">
        <v>0</v>
      </c>
      <c r="J643" t="s">
        <v>2381</v>
      </c>
    </row>
    <row r="644" spans="1:10" x14ac:dyDescent="0.35">
      <c r="A644" t="s">
        <v>1728</v>
      </c>
      <c r="B644" t="str">
        <f t="shared" si="22"/>
        <v>Obesity</v>
      </c>
      <c r="C644">
        <v>36.08</v>
      </c>
      <c r="D644">
        <v>7.11</v>
      </c>
      <c r="E644" t="str">
        <f t="shared" si="23"/>
        <v>Diabetes</v>
      </c>
      <c r="F644" t="s">
        <v>2381</v>
      </c>
      <c r="G644" t="s">
        <v>2380</v>
      </c>
      <c r="H644" t="s">
        <v>2382</v>
      </c>
      <c r="I644">
        <v>1</v>
      </c>
      <c r="J644" t="s">
        <v>2380</v>
      </c>
    </row>
    <row r="645" spans="1:10" x14ac:dyDescent="0.35">
      <c r="A645" t="s">
        <v>1727</v>
      </c>
      <c r="B645" t="str">
        <f t="shared" si="22"/>
        <v>Obesity</v>
      </c>
      <c r="C645">
        <v>40.44</v>
      </c>
      <c r="D645">
        <v>5.13</v>
      </c>
      <c r="E645" t="str">
        <f t="shared" si="23"/>
        <v>Normal</v>
      </c>
      <c r="F645" t="s">
        <v>2381</v>
      </c>
      <c r="G645" t="s">
        <v>2380</v>
      </c>
      <c r="H645" t="s">
        <v>2382</v>
      </c>
      <c r="I645">
        <v>1</v>
      </c>
      <c r="J645" t="s">
        <v>2380</v>
      </c>
    </row>
    <row r="646" spans="1:10" x14ac:dyDescent="0.35">
      <c r="A646" t="s">
        <v>1726</v>
      </c>
      <c r="B646" t="str">
        <f t="shared" si="22"/>
        <v>Obesity</v>
      </c>
      <c r="C646">
        <v>38.094999999999999</v>
      </c>
      <c r="D646">
        <v>10.199999999999999</v>
      </c>
      <c r="E646" t="str">
        <f t="shared" si="23"/>
        <v>Diabetes</v>
      </c>
      <c r="F646" t="s">
        <v>2380</v>
      </c>
      <c r="G646" t="s">
        <v>2380</v>
      </c>
      <c r="H646" t="s">
        <v>2380</v>
      </c>
      <c r="I646">
        <v>0</v>
      </c>
      <c r="J646" t="s">
        <v>2380</v>
      </c>
    </row>
    <row r="647" spans="1:10" x14ac:dyDescent="0.35">
      <c r="A647" t="s">
        <v>1725</v>
      </c>
      <c r="B647" t="str">
        <f t="shared" si="22"/>
        <v>Obesity</v>
      </c>
      <c r="C647">
        <v>44.95</v>
      </c>
      <c r="D647">
        <v>10.4</v>
      </c>
      <c r="E647" t="str">
        <f t="shared" si="23"/>
        <v>Diabetes</v>
      </c>
      <c r="F647" t="s">
        <v>2380</v>
      </c>
      <c r="G647" t="s">
        <v>2380</v>
      </c>
      <c r="H647" t="s">
        <v>2380</v>
      </c>
      <c r="I647">
        <v>0</v>
      </c>
      <c r="J647" t="s">
        <v>2380</v>
      </c>
    </row>
    <row r="648" spans="1:10" x14ac:dyDescent="0.35">
      <c r="A648" t="s">
        <v>1724</v>
      </c>
      <c r="B648" t="str">
        <f t="shared" si="22"/>
        <v>Obesity</v>
      </c>
      <c r="C648">
        <v>35.54</v>
      </c>
      <c r="D648">
        <v>10.67</v>
      </c>
      <c r="E648" t="str">
        <f t="shared" si="23"/>
        <v>Diabetes</v>
      </c>
      <c r="F648" t="s">
        <v>2380</v>
      </c>
      <c r="G648" t="s">
        <v>2380</v>
      </c>
      <c r="H648" t="s">
        <v>2380</v>
      </c>
      <c r="I648">
        <v>0</v>
      </c>
      <c r="J648" t="s">
        <v>2380</v>
      </c>
    </row>
    <row r="649" spans="1:10" x14ac:dyDescent="0.35">
      <c r="A649" t="s">
        <v>1723</v>
      </c>
      <c r="B649" t="str">
        <f t="shared" si="22"/>
        <v>Obesity</v>
      </c>
      <c r="C649">
        <v>39.799999999999997</v>
      </c>
      <c r="D649">
        <v>4.6500000000000004</v>
      </c>
      <c r="E649" t="str">
        <f t="shared" si="23"/>
        <v>Normal</v>
      </c>
      <c r="F649" t="s">
        <v>2381</v>
      </c>
      <c r="G649" t="s">
        <v>2380</v>
      </c>
      <c r="H649" t="s">
        <v>2380</v>
      </c>
      <c r="I649">
        <v>2</v>
      </c>
      <c r="J649" t="s">
        <v>2380</v>
      </c>
    </row>
    <row r="650" spans="1:10" x14ac:dyDescent="0.35">
      <c r="A650" t="s">
        <v>1722</v>
      </c>
      <c r="B650" t="str">
        <f t="shared" si="22"/>
        <v>Obesity</v>
      </c>
      <c r="C650">
        <v>33.659999999999997</v>
      </c>
      <c r="D650">
        <v>5.65</v>
      </c>
      <c r="E650" t="str">
        <f t="shared" si="23"/>
        <v>Normal</v>
      </c>
      <c r="F650" t="s">
        <v>2381</v>
      </c>
      <c r="G650" t="s">
        <v>2380</v>
      </c>
      <c r="H650" t="s">
        <v>2380</v>
      </c>
      <c r="I650">
        <v>2</v>
      </c>
      <c r="J650" t="s">
        <v>2380</v>
      </c>
    </row>
    <row r="651" spans="1:10" x14ac:dyDescent="0.35">
      <c r="A651" t="s">
        <v>1721</v>
      </c>
      <c r="B651" t="str">
        <f t="shared" si="22"/>
        <v>Obesity</v>
      </c>
      <c r="C651">
        <v>35.5</v>
      </c>
      <c r="D651">
        <v>11.97</v>
      </c>
      <c r="E651" t="str">
        <f t="shared" si="23"/>
        <v>Diabetes</v>
      </c>
      <c r="F651" t="s">
        <v>2380</v>
      </c>
      <c r="G651" t="s">
        <v>2380</v>
      </c>
      <c r="H651" t="s">
        <v>2380</v>
      </c>
      <c r="I651">
        <v>0</v>
      </c>
      <c r="J651" t="s">
        <v>2380</v>
      </c>
    </row>
    <row r="652" spans="1:10" x14ac:dyDescent="0.35">
      <c r="A652" t="s">
        <v>1720</v>
      </c>
      <c r="B652" t="str">
        <f t="shared" si="22"/>
        <v>Obesity</v>
      </c>
      <c r="C652">
        <v>41.63</v>
      </c>
      <c r="D652">
        <v>6.71</v>
      </c>
      <c r="E652" t="str">
        <f t="shared" si="23"/>
        <v>Diabetes</v>
      </c>
      <c r="F652" t="s">
        <v>2380</v>
      </c>
      <c r="G652" t="s">
        <v>2380</v>
      </c>
      <c r="H652" t="s">
        <v>2380</v>
      </c>
      <c r="I652">
        <v>0</v>
      </c>
      <c r="J652" t="s">
        <v>2380</v>
      </c>
    </row>
    <row r="653" spans="1:10" x14ac:dyDescent="0.35">
      <c r="A653" t="s">
        <v>1719</v>
      </c>
      <c r="B653" t="str">
        <f t="shared" si="22"/>
        <v>Obesity</v>
      </c>
      <c r="C653">
        <v>46.49</v>
      </c>
      <c r="D653">
        <v>11.92</v>
      </c>
      <c r="E653" t="str">
        <f t="shared" si="23"/>
        <v>Diabetes</v>
      </c>
      <c r="F653" t="s">
        <v>2380</v>
      </c>
      <c r="G653" t="s">
        <v>2380</v>
      </c>
      <c r="H653" t="s">
        <v>2380</v>
      </c>
      <c r="I653">
        <v>0</v>
      </c>
      <c r="J653" t="s">
        <v>2380</v>
      </c>
    </row>
    <row r="654" spans="1:10" x14ac:dyDescent="0.35">
      <c r="A654" t="s">
        <v>1718</v>
      </c>
      <c r="B654" t="str">
        <f t="shared" si="22"/>
        <v>Obesity</v>
      </c>
      <c r="C654">
        <v>43.29</v>
      </c>
      <c r="D654">
        <v>5.35</v>
      </c>
      <c r="E654" t="str">
        <f t="shared" si="23"/>
        <v>Normal</v>
      </c>
      <c r="F654" t="s">
        <v>2380</v>
      </c>
      <c r="G654" t="s">
        <v>2380</v>
      </c>
      <c r="H654" t="s">
        <v>2380</v>
      </c>
      <c r="I654">
        <v>2</v>
      </c>
      <c r="J654" t="s">
        <v>2380</v>
      </c>
    </row>
    <row r="655" spans="1:10" x14ac:dyDescent="0.35">
      <c r="A655" t="s">
        <v>1717</v>
      </c>
      <c r="B655" t="str">
        <f t="shared" si="22"/>
        <v>Obesity</v>
      </c>
      <c r="C655">
        <v>43.08</v>
      </c>
      <c r="D655">
        <v>8.9600000000000009</v>
      </c>
      <c r="E655" t="str">
        <f t="shared" si="23"/>
        <v>Diabetes</v>
      </c>
      <c r="F655" t="s">
        <v>2381</v>
      </c>
      <c r="G655" t="s">
        <v>2380</v>
      </c>
      <c r="H655" t="s">
        <v>2380</v>
      </c>
      <c r="I655">
        <v>1</v>
      </c>
      <c r="J655" t="s">
        <v>2380</v>
      </c>
    </row>
    <row r="656" spans="1:10" x14ac:dyDescent="0.35">
      <c r="A656" t="s">
        <v>1716</v>
      </c>
      <c r="B656" t="str">
        <f t="shared" si="22"/>
        <v>Obesity</v>
      </c>
      <c r="C656">
        <v>39.07</v>
      </c>
      <c r="D656">
        <v>11.93</v>
      </c>
      <c r="E656" t="str">
        <f t="shared" si="23"/>
        <v>Diabetes</v>
      </c>
      <c r="F656" t="s">
        <v>2380</v>
      </c>
      <c r="G656" t="s">
        <v>2380</v>
      </c>
      <c r="H656" t="s">
        <v>2380</v>
      </c>
      <c r="I656">
        <v>0</v>
      </c>
      <c r="J656" t="s">
        <v>2380</v>
      </c>
    </row>
    <row r="657" spans="1:10" x14ac:dyDescent="0.35">
      <c r="A657" t="s">
        <v>1715</v>
      </c>
      <c r="B657" t="str">
        <f t="shared" si="22"/>
        <v>Obesity</v>
      </c>
      <c r="C657">
        <v>41.3</v>
      </c>
      <c r="D657">
        <v>9.59</v>
      </c>
      <c r="E657" t="str">
        <f t="shared" si="23"/>
        <v>Diabetes</v>
      </c>
      <c r="F657" t="s">
        <v>2380</v>
      </c>
      <c r="G657" t="s">
        <v>2380</v>
      </c>
      <c r="H657" t="s">
        <v>2380</v>
      </c>
      <c r="I657">
        <v>0</v>
      </c>
      <c r="J657" t="s">
        <v>2380</v>
      </c>
    </row>
    <row r="658" spans="1:10" x14ac:dyDescent="0.35">
      <c r="A658" t="s">
        <v>1714</v>
      </c>
      <c r="B658" t="str">
        <f t="shared" si="22"/>
        <v>Obesity</v>
      </c>
      <c r="C658">
        <v>42.95</v>
      </c>
      <c r="D658">
        <v>11.88</v>
      </c>
      <c r="E658" t="str">
        <f t="shared" si="23"/>
        <v>Diabetes</v>
      </c>
      <c r="F658" t="s">
        <v>2381</v>
      </c>
      <c r="G658" t="s">
        <v>2380</v>
      </c>
      <c r="H658" t="s">
        <v>2380</v>
      </c>
      <c r="I658">
        <v>2</v>
      </c>
      <c r="J658" t="s">
        <v>2380</v>
      </c>
    </row>
    <row r="659" spans="1:10" x14ac:dyDescent="0.35">
      <c r="A659" t="s">
        <v>1713</v>
      </c>
      <c r="B659" t="str">
        <f t="shared" si="22"/>
        <v>Obesity</v>
      </c>
      <c r="C659">
        <v>46.96</v>
      </c>
      <c r="D659">
        <v>4.6399999999999997</v>
      </c>
      <c r="E659" t="str">
        <f t="shared" si="23"/>
        <v>Normal</v>
      </c>
      <c r="F659" t="s">
        <v>2380</v>
      </c>
      <c r="G659" t="s">
        <v>2380</v>
      </c>
      <c r="H659" t="s">
        <v>2382</v>
      </c>
      <c r="I659">
        <v>1</v>
      </c>
      <c r="J659" t="s">
        <v>2380</v>
      </c>
    </row>
    <row r="660" spans="1:10" x14ac:dyDescent="0.35">
      <c r="A660" t="s">
        <v>1712</v>
      </c>
      <c r="B660" t="str">
        <f t="shared" si="22"/>
        <v>Obesity</v>
      </c>
      <c r="C660">
        <v>30.495000000000001</v>
      </c>
      <c r="D660">
        <v>9.5299999999999994</v>
      </c>
      <c r="E660" t="str">
        <f t="shared" si="23"/>
        <v>Diabetes</v>
      </c>
      <c r="F660" t="s">
        <v>2380</v>
      </c>
      <c r="G660" t="s">
        <v>2380</v>
      </c>
      <c r="H660" t="s">
        <v>2380</v>
      </c>
      <c r="I660">
        <v>0</v>
      </c>
      <c r="J660" t="s">
        <v>2380</v>
      </c>
    </row>
    <row r="661" spans="1:10" x14ac:dyDescent="0.35">
      <c r="A661" t="s">
        <v>1711</v>
      </c>
      <c r="B661" t="str">
        <f t="shared" si="22"/>
        <v>Underweight</v>
      </c>
      <c r="C661">
        <v>17.954999999999998</v>
      </c>
      <c r="D661">
        <v>5.29</v>
      </c>
      <c r="E661" t="str">
        <f t="shared" si="23"/>
        <v>Normal</v>
      </c>
      <c r="F661" t="s">
        <v>2381</v>
      </c>
      <c r="G661" t="s">
        <v>2380</v>
      </c>
      <c r="H661" t="s">
        <v>2380</v>
      </c>
      <c r="I661">
        <v>1</v>
      </c>
      <c r="J661" t="s">
        <v>2381</v>
      </c>
    </row>
    <row r="662" spans="1:10" x14ac:dyDescent="0.35">
      <c r="A662" t="s">
        <v>1710</v>
      </c>
      <c r="B662" t="str">
        <f t="shared" si="22"/>
        <v>Overweight</v>
      </c>
      <c r="C662">
        <v>25.6</v>
      </c>
      <c r="D662">
        <v>10.95</v>
      </c>
      <c r="E662" t="str">
        <f t="shared" si="23"/>
        <v>Diabetes</v>
      </c>
      <c r="F662" t="s">
        <v>2380</v>
      </c>
      <c r="G662" t="s">
        <v>2380</v>
      </c>
      <c r="H662" t="s">
        <v>2380</v>
      </c>
      <c r="I662">
        <v>3</v>
      </c>
      <c r="J662" t="s">
        <v>2380</v>
      </c>
    </row>
    <row r="663" spans="1:10" x14ac:dyDescent="0.35">
      <c r="A663" t="s">
        <v>1709</v>
      </c>
      <c r="B663" t="str">
        <f t="shared" si="22"/>
        <v>Obesity</v>
      </c>
      <c r="C663">
        <v>34.21</v>
      </c>
      <c r="D663">
        <v>9.17</v>
      </c>
      <c r="E663" t="str">
        <f t="shared" si="23"/>
        <v>Diabetes</v>
      </c>
      <c r="F663" t="s">
        <v>2380</v>
      </c>
      <c r="G663" t="s">
        <v>2380</v>
      </c>
      <c r="H663" t="s">
        <v>2380</v>
      </c>
      <c r="I663">
        <v>0</v>
      </c>
      <c r="J663" t="s">
        <v>2380</v>
      </c>
    </row>
    <row r="664" spans="1:10" x14ac:dyDescent="0.35">
      <c r="A664" t="s">
        <v>1708</v>
      </c>
      <c r="B664" t="str">
        <f t="shared" si="22"/>
        <v>Obesity</v>
      </c>
      <c r="C664">
        <v>39.74</v>
      </c>
      <c r="D664">
        <v>7.39</v>
      </c>
      <c r="E664" t="str">
        <f t="shared" si="23"/>
        <v>Diabetes</v>
      </c>
      <c r="F664" t="s">
        <v>2380</v>
      </c>
      <c r="G664" t="s">
        <v>2380</v>
      </c>
      <c r="H664" t="s">
        <v>2380</v>
      </c>
      <c r="I664">
        <v>0</v>
      </c>
      <c r="J664" t="s">
        <v>2380</v>
      </c>
    </row>
    <row r="665" spans="1:10" x14ac:dyDescent="0.35">
      <c r="A665" t="s">
        <v>1707</v>
      </c>
      <c r="B665" t="str">
        <f t="shared" si="22"/>
        <v>Obesity</v>
      </c>
      <c r="C665">
        <v>49.53</v>
      </c>
      <c r="D665">
        <v>9.1300000000000008</v>
      </c>
      <c r="E665" t="str">
        <f t="shared" si="23"/>
        <v>Diabetes</v>
      </c>
      <c r="F665" t="s">
        <v>2381</v>
      </c>
      <c r="G665" t="s">
        <v>2380</v>
      </c>
      <c r="H665" t="s">
        <v>2380</v>
      </c>
      <c r="I665">
        <v>0</v>
      </c>
      <c r="J665" t="s">
        <v>2380</v>
      </c>
    </row>
    <row r="666" spans="1:10" x14ac:dyDescent="0.35">
      <c r="A666" t="s">
        <v>1706</v>
      </c>
      <c r="B666" t="str">
        <f t="shared" si="22"/>
        <v>Obesity</v>
      </c>
      <c r="C666">
        <v>39.33</v>
      </c>
      <c r="D666">
        <v>10.4</v>
      </c>
      <c r="E666" t="str">
        <f t="shared" si="23"/>
        <v>Diabetes</v>
      </c>
      <c r="F666" t="s">
        <v>2380</v>
      </c>
      <c r="G666" t="s">
        <v>2380</v>
      </c>
      <c r="H666" t="s">
        <v>2380</v>
      </c>
      <c r="I666">
        <v>3</v>
      </c>
      <c r="J666" t="s">
        <v>2380</v>
      </c>
    </row>
    <row r="667" spans="1:10" x14ac:dyDescent="0.35">
      <c r="A667" t="s">
        <v>1705</v>
      </c>
      <c r="B667" t="str">
        <f t="shared" si="22"/>
        <v>Obesity</v>
      </c>
      <c r="C667">
        <v>39.979999999999997</v>
      </c>
      <c r="D667">
        <v>9.4600000000000009</v>
      </c>
      <c r="E667" t="str">
        <f t="shared" si="23"/>
        <v>Diabetes</v>
      </c>
      <c r="F667" t="s">
        <v>2381</v>
      </c>
      <c r="G667" t="s">
        <v>2380</v>
      </c>
      <c r="H667" t="s">
        <v>2380</v>
      </c>
      <c r="I667">
        <v>2</v>
      </c>
      <c r="J667" t="s">
        <v>2380</v>
      </c>
    </row>
    <row r="668" spans="1:10" x14ac:dyDescent="0.35">
      <c r="A668" t="s">
        <v>1704</v>
      </c>
      <c r="B668" t="str">
        <f t="shared" si="22"/>
        <v>Obesity</v>
      </c>
      <c r="C668">
        <v>46.51</v>
      </c>
      <c r="D668">
        <v>8.69</v>
      </c>
      <c r="E668" t="str">
        <f t="shared" si="23"/>
        <v>Diabetes</v>
      </c>
      <c r="F668" t="s">
        <v>2381</v>
      </c>
      <c r="G668" t="s">
        <v>2380</v>
      </c>
      <c r="H668" t="s">
        <v>2380</v>
      </c>
      <c r="I668">
        <v>0</v>
      </c>
      <c r="J668" t="s">
        <v>2380</v>
      </c>
    </row>
    <row r="669" spans="1:10" x14ac:dyDescent="0.35">
      <c r="A669" t="s">
        <v>1703</v>
      </c>
      <c r="B669" t="str">
        <f t="shared" si="22"/>
        <v>Obesity</v>
      </c>
      <c r="C669">
        <v>43.58</v>
      </c>
      <c r="D669">
        <v>4.2300000000000004</v>
      </c>
      <c r="E669" t="str">
        <f t="shared" si="23"/>
        <v>Normal</v>
      </c>
      <c r="F669" t="s">
        <v>2380</v>
      </c>
      <c r="G669" t="s">
        <v>2380</v>
      </c>
      <c r="H669" t="s">
        <v>2382</v>
      </c>
      <c r="I669">
        <v>1</v>
      </c>
      <c r="J669" t="s">
        <v>2380</v>
      </c>
    </row>
    <row r="670" spans="1:10" x14ac:dyDescent="0.35">
      <c r="A670" t="s">
        <v>1702</v>
      </c>
      <c r="B670" t="str">
        <f t="shared" si="22"/>
        <v>Obesity</v>
      </c>
      <c r="C670">
        <v>42.28</v>
      </c>
      <c r="D670">
        <v>9.16</v>
      </c>
      <c r="E670" t="str">
        <f t="shared" si="23"/>
        <v>Diabetes</v>
      </c>
      <c r="F670" t="s">
        <v>2381</v>
      </c>
      <c r="G670" t="s">
        <v>2380</v>
      </c>
      <c r="H670" t="s">
        <v>2380</v>
      </c>
      <c r="I670">
        <v>1</v>
      </c>
      <c r="J670" t="s">
        <v>2380</v>
      </c>
    </row>
    <row r="671" spans="1:10" x14ac:dyDescent="0.35">
      <c r="A671" t="s">
        <v>1701</v>
      </c>
      <c r="B671" t="str">
        <f t="shared" si="22"/>
        <v>Obesity</v>
      </c>
      <c r="C671">
        <v>35.520000000000003</v>
      </c>
      <c r="D671">
        <v>8.26</v>
      </c>
      <c r="E671" t="str">
        <f t="shared" si="23"/>
        <v>Diabetes</v>
      </c>
      <c r="F671" t="s">
        <v>2380</v>
      </c>
      <c r="G671" t="s">
        <v>2380</v>
      </c>
      <c r="H671" t="s">
        <v>2380</v>
      </c>
      <c r="I671">
        <v>0</v>
      </c>
      <c r="J671" t="s">
        <v>2380</v>
      </c>
    </row>
    <row r="672" spans="1:10" x14ac:dyDescent="0.35">
      <c r="A672" t="s">
        <v>1700</v>
      </c>
      <c r="B672" t="str">
        <f t="shared" si="22"/>
        <v>Obesity</v>
      </c>
      <c r="C672">
        <v>33.6</v>
      </c>
      <c r="D672">
        <v>11.25</v>
      </c>
      <c r="E672" t="str">
        <f t="shared" si="23"/>
        <v>Diabetes</v>
      </c>
      <c r="F672" t="s">
        <v>2380</v>
      </c>
      <c r="G672" t="s">
        <v>2380</v>
      </c>
      <c r="H672" t="s">
        <v>2380</v>
      </c>
      <c r="I672">
        <v>0</v>
      </c>
      <c r="J672" t="s">
        <v>2380</v>
      </c>
    </row>
    <row r="673" spans="1:10" x14ac:dyDescent="0.35">
      <c r="A673" t="s">
        <v>1699</v>
      </c>
      <c r="B673" t="str">
        <f t="shared" si="22"/>
        <v>Normal Weight</v>
      </c>
      <c r="C673">
        <v>22.42</v>
      </c>
      <c r="D673">
        <v>6.74</v>
      </c>
      <c r="E673" t="str">
        <f t="shared" si="23"/>
        <v>Diabetes</v>
      </c>
      <c r="F673" t="s">
        <v>2380</v>
      </c>
      <c r="G673" t="s">
        <v>2380</v>
      </c>
      <c r="H673" t="s">
        <v>2380</v>
      </c>
      <c r="I673">
        <v>0</v>
      </c>
      <c r="J673" t="s">
        <v>2381</v>
      </c>
    </row>
    <row r="674" spans="1:10" x14ac:dyDescent="0.35">
      <c r="A674" t="s">
        <v>1698</v>
      </c>
      <c r="B674" t="str">
        <f t="shared" si="22"/>
        <v>Obesity</v>
      </c>
      <c r="C674">
        <v>46.86</v>
      </c>
      <c r="D674">
        <v>4.87</v>
      </c>
      <c r="E674" t="str">
        <f t="shared" si="23"/>
        <v>Normal</v>
      </c>
      <c r="F674" t="s">
        <v>2380</v>
      </c>
      <c r="G674" t="s">
        <v>2380</v>
      </c>
      <c r="H674" t="s">
        <v>2380</v>
      </c>
      <c r="I674">
        <v>0</v>
      </c>
      <c r="J674" t="s">
        <v>2380</v>
      </c>
    </row>
    <row r="675" spans="1:10" x14ac:dyDescent="0.35">
      <c r="A675" t="s">
        <v>1697</v>
      </c>
      <c r="B675" t="str">
        <f t="shared" si="22"/>
        <v>Obesity</v>
      </c>
      <c r="C675">
        <v>32.965000000000003</v>
      </c>
      <c r="D675">
        <v>6.68</v>
      </c>
      <c r="E675" t="str">
        <f t="shared" si="23"/>
        <v>Diabetes</v>
      </c>
      <c r="F675" t="s">
        <v>2380</v>
      </c>
      <c r="G675" t="s">
        <v>2380</v>
      </c>
      <c r="H675" t="s">
        <v>2380</v>
      </c>
      <c r="I675">
        <v>3</v>
      </c>
      <c r="J675" t="s">
        <v>2380</v>
      </c>
    </row>
    <row r="676" spans="1:10" x14ac:dyDescent="0.35">
      <c r="A676" t="s">
        <v>1696</v>
      </c>
      <c r="B676" t="str">
        <f t="shared" si="22"/>
        <v>Obesity</v>
      </c>
      <c r="C676">
        <v>39.340000000000003</v>
      </c>
      <c r="D676">
        <v>5.0199999999999996</v>
      </c>
      <c r="E676" t="str">
        <f t="shared" si="23"/>
        <v>Normal</v>
      </c>
      <c r="F676" t="s">
        <v>2381</v>
      </c>
      <c r="G676" t="s">
        <v>2380</v>
      </c>
      <c r="H676" t="s">
        <v>2382</v>
      </c>
      <c r="I676">
        <v>1</v>
      </c>
      <c r="J676" t="s">
        <v>2380</v>
      </c>
    </row>
    <row r="677" spans="1:10" x14ac:dyDescent="0.35">
      <c r="A677" t="s">
        <v>1695</v>
      </c>
      <c r="B677" t="str">
        <f t="shared" si="22"/>
        <v>Obesity</v>
      </c>
      <c r="C677">
        <v>47</v>
      </c>
      <c r="D677">
        <v>10.64</v>
      </c>
      <c r="E677" t="str">
        <f t="shared" si="23"/>
        <v>Diabetes</v>
      </c>
      <c r="F677" t="s">
        <v>2381</v>
      </c>
      <c r="G677" t="s">
        <v>2380</v>
      </c>
      <c r="H677" t="s">
        <v>2380</v>
      </c>
      <c r="I677">
        <v>0</v>
      </c>
      <c r="J677" t="s">
        <v>2380</v>
      </c>
    </row>
    <row r="678" spans="1:10" x14ac:dyDescent="0.35">
      <c r="A678" t="s">
        <v>1694</v>
      </c>
      <c r="B678" t="str">
        <f t="shared" si="22"/>
        <v>Obesity</v>
      </c>
      <c r="C678">
        <v>36.71</v>
      </c>
      <c r="D678">
        <v>8.74</v>
      </c>
      <c r="E678" t="str">
        <f t="shared" si="23"/>
        <v>Diabetes</v>
      </c>
      <c r="F678" t="s">
        <v>2381</v>
      </c>
      <c r="G678" t="s">
        <v>2380</v>
      </c>
      <c r="H678" t="s">
        <v>2380</v>
      </c>
      <c r="I678">
        <v>0</v>
      </c>
      <c r="J678" t="s">
        <v>2380</v>
      </c>
    </row>
    <row r="679" spans="1:10" x14ac:dyDescent="0.35">
      <c r="A679" t="s">
        <v>1693</v>
      </c>
      <c r="B679" t="str">
        <f t="shared" si="22"/>
        <v>Obesity</v>
      </c>
      <c r="C679">
        <v>53.48</v>
      </c>
      <c r="D679">
        <v>5.64</v>
      </c>
      <c r="E679" t="str">
        <f t="shared" si="23"/>
        <v>Normal</v>
      </c>
      <c r="F679" t="s">
        <v>2380</v>
      </c>
      <c r="G679" t="s">
        <v>2380</v>
      </c>
      <c r="H679" t="s">
        <v>2380</v>
      </c>
      <c r="I679">
        <v>0</v>
      </c>
      <c r="J679" t="s">
        <v>2380</v>
      </c>
    </row>
    <row r="680" spans="1:10" x14ac:dyDescent="0.35">
      <c r="A680" t="s">
        <v>1692</v>
      </c>
      <c r="B680" t="str">
        <f t="shared" si="22"/>
        <v>Obesity</v>
      </c>
      <c r="C680">
        <v>35.5</v>
      </c>
      <c r="D680">
        <v>10.37</v>
      </c>
      <c r="E680" t="str">
        <f t="shared" si="23"/>
        <v>Diabetes</v>
      </c>
      <c r="F680" t="s">
        <v>2380</v>
      </c>
      <c r="G680" t="s">
        <v>2380</v>
      </c>
      <c r="H680" t="s">
        <v>2380</v>
      </c>
      <c r="I680">
        <v>0</v>
      </c>
      <c r="J680" t="s">
        <v>2380</v>
      </c>
    </row>
    <row r="681" spans="1:10" x14ac:dyDescent="0.35">
      <c r="A681" t="s">
        <v>1691</v>
      </c>
      <c r="B681" t="str">
        <f t="shared" si="22"/>
        <v>Obesity</v>
      </c>
      <c r="C681">
        <v>36.979999999999997</v>
      </c>
      <c r="D681">
        <v>9.56</v>
      </c>
      <c r="E681" t="str">
        <f t="shared" si="23"/>
        <v>Diabetes</v>
      </c>
      <c r="F681" t="s">
        <v>2381</v>
      </c>
      <c r="G681" t="s">
        <v>2380</v>
      </c>
      <c r="H681" t="s">
        <v>2380</v>
      </c>
      <c r="I681">
        <v>0</v>
      </c>
      <c r="J681" t="s">
        <v>2380</v>
      </c>
    </row>
    <row r="682" spans="1:10" x14ac:dyDescent="0.35">
      <c r="A682" t="s">
        <v>1690</v>
      </c>
      <c r="B682" t="str">
        <f t="shared" si="22"/>
        <v>Obesity</v>
      </c>
      <c r="C682">
        <v>32.395000000000003</v>
      </c>
      <c r="D682">
        <v>8.23</v>
      </c>
      <c r="E682" t="str">
        <f t="shared" si="23"/>
        <v>Diabetes</v>
      </c>
      <c r="F682" t="s">
        <v>2381</v>
      </c>
      <c r="G682" t="s">
        <v>2380</v>
      </c>
      <c r="H682" t="s">
        <v>2382</v>
      </c>
      <c r="I682">
        <v>1</v>
      </c>
      <c r="J682" t="s">
        <v>2380</v>
      </c>
    </row>
    <row r="683" spans="1:10" x14ac:dyDescent="0.35">
      <c r="A683" t="s">
        <v>1689</v>
      </c>
      <c r="B683" t="str">
        <f t="shared" si="22"/>
        <v>Obesity</v>
      </c>
      <c r="C683">
        <v>32.729999999999997</v>
      </c>
      <c r="D683">
        <v>7.03</v>
      </c>
      <c r="E683" t="str">
        <f t="shared" si="23"/>
        <v>Diabetes</v>
      </c>
      <c r="F683" t="s">
        <v>2380</v>
      </c>
      <c r="G683" t="s">
        <v>2380</v>
      </c>
      <c r="H683" t="s">
        <v>2380</v>
      </c>
      <c r="I683">
        <v>0</v>
      </c>
      <c r="J683" t="s">
        <v>2380</v>
      </c>
    </row>
    <row r="684" spans="1:10" x14ac:dyDescent="0.35">
      <c r="A684" t="s">
        <v>1688</v>
      </c>
      <c r="B684" t="str">
        <f t="shared" si="22"/>
        <v>Normal Weight</v>
      </c>
      <c r="C684">
        <v>20.52</v>
      </c>
      <c r="D684">
        <v>5.45</v>
      </c>
      <c r="E684" t="str">
        <f t="shared" si="23"/>
        <v>Normal</v>
      </c>
      <c r="F684" t="s">
        <v>2380</v>
      </c>
      <c r="G684" t="s">
        <v>2380</v>
      </c>
      <c r="H684" t="s">
        <v>2380</v>
      </c>
      <c r="I684">
        <v>1</v>
      </c>
      <c r="J684" t="s">
        <v>2381</v>
      </c>
    </row>
    <row r="685" spans="1:10" x14ac:dyDescent="0.35">
      <c r="A685" t="s">
        <v>1687</v>
      </c>
      <c r="B685" t="str">
        <f t="shared" si="22"/>
        <v>Obesity</v>
      </c>
      <c r="C685">
        <v>51.72</v>
      </c>
      <c r="D685">
        <v>5.76</v>
      </c>
      <c r="E685" t="str">
        <f t="shared" si="23"/>
        <v>Prediabetes</v>
      </c>
      <c r="F685" t="s">
        <v>2380</v>
      </c>
      <c r="G685" t="s">
        <v>2380</v>
      </c>
      <c r="H685" t="s">
        <v>2380</v>
      </c>
      <c r="I685">
        <v>0</v>
      </c>
      <c r="J685" t="s">
        <v>2380</v>
      </c>
    </row>
    <row r="686" spans="1:10" x14ac:dyDescent="0.35">
      <c r="A686" t="s">
        <v>1686</v>
      </c>
      <c r="B686" t="str">
        <f t="shared" si="22"/>
        <v>Obesity</v>
      </c>
      <c r="C686">
        <v>50.2</v>
      </c>
      <c r="D686">
        <v>5.4</v>
      </c>
      <c r="E686" t="str">
        <f t="shared" si="23"/>
        <v>Normal</v>
      </c>
      <c r="F686" t="s">
        <v>2380</v>
      </c>
      <c r="G686" t="s">
        <v>2380</v>
      </c>
      <c r="H686" t="s">
        <v>2380</v>
      </c>
      <c r="I686">
        <v>0</v>
      </c>
      <c r="J686" t="s">
        <v>2380</v>
      </c>
    </row>
    <row r="687" spans="1:10" x14ac:dyDescent="0.35">
      <c r="A687" t="s">
        <v>1685</v>
      </c>
      <c r="B687" t="str">
        <f t="shared" si="22"/>
        <v>Overweight</v>
      </c>
      <c r="C687">
        <v>25.52</v>
      </c>
      <c r="D687">
        <v>6.35</v>
      </c>
      <c r="E687" t="str">
        <f t="shared" si="23"/>
        <v>Prediabetes</v>
      </c>
      <c r="F687" t="s">
        <v>2380</v>
      </c>
      <c r="G687" t="s">
        <v>2380</v>
      </c>
      <c r="H687" t="s">
        <v>2382</v>
      </c>
      <c r="I687">
        <v>1</v>
      </c>
      <c r="J687" t="s">
        <v>2380</v>
      </c>
    </row>
    <row r="688" spans="1:10" x14ac:dyDescent="0.35">
      <c r="A688" t="s">
        <v>1684</v>
      </c>
      <c r="B688" t="str">
        <f t="shared" si="22"/>
        <v>Obesity</v>
      </c>
      <c r="C688">
        <v>35.200000000000003</v>
      </c>
      <c r="D688">
        <v>6.26</v>
      </c>
      <c r="E688" t="str">
        <f t="shared" si="23"/>
        <v>Prediabetes</v>
      </c>
      <c r="F688" t="s">
        <v>2381</v>
      </c>
      <c r="G688" t="s">
        <v>2380</v>
      </c>
      <c r="H688" t="s">
        <v>2380</v>
      </c>
      <c r="I688">
        <v>2</v>
      </c>
      <c r="J688" t="s">
        <v>2380</v>
      </c>
    </row>
    <row r="689" spans="1:10" x14ac:dyDescent="0.35">
      <c r="A689" t="s">
        <v>1683</v>
      </c>
      <c r="B689" t="str">
        <f t="shared" si="22"/>
        <v>Obesity</v>
      </c>
      <c r="C689">
        <v>41.26</v>
      </c>
      <c r="D689">
        <v>5.97</v>
      </c>
      <c r="E689" t="str">
        <f t="shared" si="23"/>
        <v>Prediabetes</v>
      </c>
      <c r="F689" t="s">
        <v>2381</v>
      </c>
      <c r="G689" t="s">
        <v>2380</v>
      </c>
      <c r="H689" t="s">
        <v>2380</v>
      </c>
      <c r="I689">
        <v>0</v>
      </c>
      <c r="J689" t="s">
        <v>2380</v>
      </c>
    </row>
    <row r="690" spans="1:10" x14ac:dyDescent="0.35">
      <c r="A690" t="s">
        <v>1682</v>
      </c>
      <c r="B690" t="str">
        <f t="shared" si="22"/>
        <v>Underweight</v>
      </c>
      <c r="C690">
        <v>17.195</v>
      </c>
      <c r="D690">
        <v>5.29</v>
      </c>
      <c r="E690" t="str">
        <f t="shared" si="23"/>
        <v>Normal</v>
      </c>
      <c r="F690" t="s">
        <v>2381</v>
      </c>
      <c r="G690" t="s">
        <v>2380</v>
      </c>
      <c r="H690" t="s">
        <v>2380</v>
      </c>
      <c r="I690">
        <v>0</v>
      </c>
      <c r="J690" t="s">
        <v>2381</v>
      </c>
    </row>
    <row r="691" spans="1:10" x14ac:dyDescent="0.35">
      <c r="A691" t="s">
        <v>1681</v>
      </c>
      <c r="B691" t="str">
        <f t="shared" si="22"/>
        <v>Normal Weight</v>
      </c>
      <c r="C691">
        <v>23.085000000000001</v>
      </c>
      <c r="D691">
        <v>4.2699999999999996</v>
      </c>
      <c r="E691" t="str">
        <f t="shared" si="23"/>
        <v>Normal</v>
      </c>
      <c r="F691" t="s">
        <v>2381</v>
      </c>
      <c r="G691" t="s">
        <v>2380</v>
      </c>
      <c r="H691" t="s">
        <v>2380</v>
      </c>
      <c r="I691">
        <v>2</v>
      </c>
      <c r="J691" t="s">
        <v>2380</v>
      </c>
    </row>
    <row r="692" spans="1:10" x14ac:dyDescent="0.35">
      <c r="A692" t="s">
        <v>1680</v>
      </c>
      <c r="B692" t="str">
        <f t="shared" si="22"/>
        <v>Normal Weight</v>
      </c>
      <c r="C692">
        <v>21.66</v>
      </c>
      <c r="D692">
        <v>5.2</v>
      </c>
      <c r="E692" t="str">
        <f t="shared" si="23"/>
        <v>Normal</v>
      </c>
      <c r="F692" t="s">
        <v>2381</v>
      </c>
      <c r="G692" t="s">
        <v>2380</v>
      </c>
      <c r="H692" t="s">
        <v>2380</v>
      </c>
      <c r="I692">
        <v>2</v>
      </c>
      <c r="J692" t="s">
        <v>2380</v>
      </c>
    </row>
    <row r="693" spans="1:10" x14ac:dyDescent="0.35">
      <c r="A693" t="s">
        <v>1679</v>
      </c>
      <c r="B693" t="str">
        <f t="shared" si="22"/>
        <v>Obesity</v>
      </c>
      <c r="C693">
        <v>36.47</v>
      </c>
      <c r="D693">
        <v>8.23</v>
      </c>
      <c r="E693" t="str">
        <f t="shared" si="23"/>
        <v>Diabetes</v>
      </c>
      <c r="F693" t="s">
        <v>2381</v>
      </c>
      <c r="G693" t="s">
        <v>2380</v>
      </c>
      <c r="H693" t="s">
        <v>2380</v>
      </c>
      <c r="I693">
        <v>0</v>
      </c>
      <c r="J693" t="s">
        <v>2380</v>
      </c>
    </row>
    <row r="694" spans="1:10" x14ac:dyDescent="0.35">
      <c r="A694" t="s">
        <v>1678</v>
      </c>
      <c r="B694" t="str">
        <f t="shared" si="22"/>
        <v>Obesity</v>
      </c>
      <c r="C694">
        <v>36.08</v>
      </c>
      <c r="D694">
        <v>10.33</v>
      </c>
      <c r="E694" t="str">
        <f t="shared" si="23"/>
        <v>Diabetes</v>
      </c>
      <c r="F694" t="s">
        <v>2381</v>
      </c>
      <c r="G694" t="s">
        <v>2380</v>
      </c>
      <c r="H694" t="s">
        <v>2380</v>
      </c>
      <c r="I694">
        <v>0</v>
      </c>
      <c r="J694" t="s">
        <v>2380</v>
      </c>
    </row>
    <row r="695" spans="1:10" x14ac:dyDescent="0.35">
      <c r="A695" t="s">
        <v>1677</v>
      </c>
      <c r="B695" t="str">
        <f t="shared" si="22"/>
        <v>Normal Weight</v>
      </c>
      <c r="C695">
        <v>23.18</v>
      </c>
      <c r="D695">
        <v>6.13</v>
      </c>
      <c r="E695" t="str">
        <f t="shared" si="23"/>
        <v>Prediabetes</v>
      </c>
      <c r="F695" t="s">
        <v>2380</v>
      </c>
      <c r="G695" t="s">
        <v>2380</v>
      </c>
      <c r="H695" t="s">
        <v>2380</v>
      </c>
      <c r="I695">
        <v>0</v>
      </c>
      <c r="J695" t="s">
        <v>2380</v>
      </c>
    </row>
    <row r="696" spans="1:10" x14ac:dyDescent="0.35">
      <c r="A696" t="s">
        <v>1676</v>
      </c>
      <c r="B696" t="str">
        <f t="shared" si="22"/>
        <v>Obesity</v>
      </c>
      <c r="C696">
        <v>39.159999999999997</v>
      </c>
      <c r="D696">
        <v>8.08</v>
      </c>
      <c r="E696" t="str">
        <f t="shared" si="23"/>
        <v>Diabetes</v>
      </c>
      <c r="F696" t="s">
        <v>2380</v>
      </c>
      <c r="G696" t="s">
        <v>2380</v>
      </c>
      <c r="H696" t="s">
        <v>2380</v>
      </c>
      <c r="I696">
        <v>3</v>
      </c>
      <c r="J696" t="s">
        <v>2380</v>
      </c>
    </row>
    <row r="697" spans="1:10" x14ac:dyDescent="0.35">
      <c r="A697" t="s">
        <v>1675</v>
      </c>
      <c r="B697" t="str">
        <f t="shared" si="22"/>
        <v>Obesity</v>
      </c>
      <c r="C697">
        <v>38.19</v>
      </c>
      <c r="D697">
        <v>10.49</v>
      </c>
      <c r="E697" t="str">
        <f t="shared" si="23"/>
        <v>Diabetes</v>
      </c>
      <c r="F697" t="s">
        <v>2380</v>
      </c>
      <c r="G697" t="s">
        <v>2380</v>
      </c>
      <c r="H697" t="s">
        <v>2380</v>
      </c>
      <c r="I697">
        <v>3</v>
      </c>
      <c r="J697" t="s">
        <v>2380</v>
      </c>
    </row>
    <row r="698" spans="1:10" x14ac:dyDescent="0.35">
      <c r="A698" t="s">
        <v>1674</v>
      </c>
      <c r="B698" t="str">
        <f t="shared" si="22"/>
        <v>Overweight</v>
      </c>
      <c r="C698">
        <v>26.41</v>
      </c>
      <c r="D698">
        <v>8.11</v>
      </c>
      <c r="E698" t="str">
        <f t="shared" si="23"/>
        <v>Diabetes</v>
      </c>
      <c r="F698" t="s">
        <v>2380</v>
      </c>
      <c r="G698" t="s">
        <v>2380</v>
      </c>
      <c r="H698" t="s">
        <v>2380</v>
      </c>
      <c r="I698">
        <v>3</v>
      </c>
      <c r="J698" t="s">
        <v>2380</v>
      </c>
    </row>
    <row r="699" spans="1:10" x14ac:dyDescent="0.35">
      <c r="A699" t="s">
        <v>1673</v>
      </c>
      <c r="B699" t="str">
        <f t="shared" si="22"/>
        <v>Overweight</v>
      </c>
      <c r="C699">
        <v>28.785</v>
      </c>
      <c r="D699">
        <v>6.6</v>
      </c>
      <c r="E699" t="str">
        <f t="shared" si="23"/>
        <v>Diabetes</v>
      </c>
      <c r="F699" t="s">
        <v>2380</v>
      </c>
      <c r="G699" t="s">
        <v>2380</v>
      </c>
      <c r="H699" t="s">
        <v>2380</v>
      </c>
      <c r="I699">
        <v>0</v>
      </c>
      <c r="J699" t="s">
        <v>2380</v>
      </c>
    </row>
    <row r="700" spans="1:10" x14ac:dyDescent="0.35">
      <c r="A700" t="s">
        <v>1672</v>
      </c>
      <c r="B700" t="str">
        <f t="shared" si="22"/>
        <v>Overweight</v>
      </c>
      <c r="C700">
        <v>26.695</v>
      </c>
      <c r="D700">
        <v>10.14</v>
      </c>
      <c r="E700" t="str">
        <f t="shared" si="23"/>
        <v>Diabetes</v>
      </c>
      <c r="F700" t="s">
        <v>2381</v>
      </c>
      <c r="G700" t="s">
        <v>2380</v>
      </c>
      <c r="H700" t="s">
        <v>2382</v>
      </c>
      <c r="I700">
        <v>1</v>
      </c>
      <c r="J700" t="s">
        <v>2380</v>
      </c>
    </row>
    <row r="701" spans="1:10" x14ac:dyDescent="0.35">
      <c r="A701" t="s">
        <v>1671</v>
      </c>
      <c r="B701" t="str">
        <f t="shared" si="22"/>
        <v>Obesity</v>
      </c>
      <c r="C701">
        <v>32.799999999999997</v>
      </c>
      <c r="D701">
        <v>6.06</v>
      </c>
      <c r="E701" t="str">
        <f t="shared" si="23"/>
        <v>Prediabetes</v>
      </c>
      <c r="F701" t="s">
        <v>2381</v>
      </c>
      <c r="G701" t="s">
        <v>2380</v>
      </c>
      <c r="H701" t="s">
        <v>2380</v>
      </c>
      <c r="I701">
        <v>1</v>
      </c>
      <c r="J701" t="s">
        <v>2380</v>
      </c>
    </row>
    <row r="702" spans="1:10" x14ac:dyDescent="0.35">
      <c r="A702" t="s">
        <v>1670</v>
      </c>
      <c r="B702" t="str">
        <f t="shared" si="22"/>
        <v>Obesity</v>
      </c>
      <c r="C702">
        <v>35.869999999999997</v>
      </c>
      <c r="D702">
        <v>9.91</v>
      </c>
      <c r="E702" t="str">
        <f t="shared" si="23"/>
        <v>Diabetes</v>
      </c>
      <c r="F702" t="s">
        <v>2381</v>
      </c>
      <c r="G702" t="s">
        <v>2380</v>
      </c>
      <c r="H702" t="s">
        <v>2380</v>
      </c>
      <c r="I702">
        <v>0</v>
      </c>
      <c r="J702" t="s">
        <v>2380</v>
      </c>
    </row>
    <row r="703" spans="1:10" x14ac:dyDescent="0.35">
      <c r="A703" t="s">
        <v>1669</v>
      </c>
      <c r="B703" t="str">
        <f t="shared" si="22"/>
        <v>Normal Weight</v>
      </c>
      <c r="C703">
        <v>21.66</v>
      </c>
      <c r="D703">
        <v>4.1399999999999997</v>
      </c>
      <c r="E703" t="str">
        <f t="shared" si="23"/>
        <v>Normal</v>
      </c>
      <c r="F703" t="s">
        <v>2381</v>
      </c>
      <c r="G703" t="s">
        <v>2380</v>
      </c>
      <c r="H703" t="s">
        <v>2380</v>
      </c>
      <c r="I703">
        <v>2</v>
      </c>
      <c r="J703" t="s">
        <v>2380</v>
      </c>
    </row>
    <row r="704" spans="1:10" x14ac:dyDescent="0.35">
      <c r="A704" t="s">
        <v>1668</v>
      </c>
      <c r="B704" t="str">
        <f t="shared" si="22"/>
        <v>Obesity</v>
      </c>
      <c r="C704">
        <v>37.72</v>
      </c>
      <c r="D704">
        <v>4.38</v>
      </c>
      <c r="E704" t="str">
        <f t="shared" si="23"/>
        <v>Normal</v>
      </c>
      <c r="F704" t="s">
        <v>2381</v>
      </c>
      <c r="G704" t="s">
        <v>2380</v>
      </c>
      <c r="H704" t="s">
        <v>2382</v>
      </c>
      <c r="I704">
        <v>1</v>
      </c>
      <c r="J704" t="s">
        <v>2380</v>
      </c>
    </row>
    <row r="705" spans="1:10" x14ac:dyDescent="0.35">
      <c r="A705" t="s">
        <v>1667</v>
      </c>
      <c r="B705" t="str">
        <f t="shared" si="22"/>
        <v>Obesity</v>
      </c>
      <c r="C705">
        <v>39.700000000000003</v>
      </c>
      <c r="D705">
        <v>9.83</v>
      </c>
      <c r="E705" t="str">
        <f t="shared" si="23"/>
        <v>Diabetes</v>
      </c>
      <c r="F705" t="s">
        <v>2380</v>
      </c>
      <c r="G705" t="s">
        <v>2380</v>
      </c>
      <c r="H705" t="s">
        <v>2380</v>
      </c>
      <c r="I705">
        <v>3</v>
      </c>
      <c r="J705" t="s">
        <v>2380</v>
      </c>
    </row>
    <row r="706" spans="1:10" x14ac:dyDescent="0.35">
      <c r="A706" t="s">
        <v>1666</v>
      </c>
      <c r="B706" t="str">
        <f t="shared" si="22"/>
        <v>Obesity</v>
      </c>
      <c r="C706">
        <v>35.97</v>
      </c>
      <c r="D706">
        <v>11.08</v>
      </c>
      <c r="E706" t="str">
        <f t="shared" si="23"/>
        <v>Diabetes</v>
      </c>
      <c r="F706" t="s">
        <v>2380</v>
      </c>
      <c r="G706" t="s">
        <v>2380</v>
      </c>
      <c r="H706" t="s">
        <v>2380</v>
      </c>
      <c r="I706">
        <v>3</v>
      </c>
      <c r="J706" t="s">
        <v>2380</v>
      </c>
    </row>
    <row r="707" spans="1:10" x14ac:dyDescent="0.35">
      <c r="A707" t="s">
        <v>1665</v>
      </c>
      <c r="B707" t="str">
        <f t="shared" ref="B707:B770" si="24">IF(C707&lt;18.5,"Underweight",IF(C707&lt;25,"Normal Weight",IF(C707&lt;30,"Overweight","Obesity")))</f>
        <v>Obesity</v>
      </c>
      <c r="C707">
        <v>37.85</v>
      </c>
      <c r="D707">
        <v>11.01</v>
      </c>
      <c r="E707" t="str">
        <f t="shared" ref="E707:E770" si="25">IF(D707&lt;5.7,"Normal",IF(D707&lt;6.5,"Prediabetes","Diabetes"))</f>
        <v>Diabetes</v>
      </c>
      <c r="F707" t="s">
        <v>2380</v>
      </c>
      <c r="G707" t="s">
        <v>2380</v>
      </c>
      <c r="H707" t="s">
        <v>2380</v>
      </c>
      <c r="I707">
        <v>0</v>
      </c>
      <c r="J707" t="s">
        <v>2380</v>
      </c>
    </row>
    <row r="708" spans="1:10" x14ac:dyDescent="0.35">
      <c r="A708" t="s">
        <v>1664</v>
      </c>
      <c r="B708" t="str">
        <f t="shared" si="24"/>
        <v>Normal Weight</v>
      </c>
      <c r="C708">
        <v>21.66</v>
      </c>
      <c r="D708">
        <v>4.37</v>
      </c>
      <c r="E708" t="str">
        <f t="shared" si="25"/>
        <v>Normal</v>
      </c>
      <c r="F708" t="s">
        <v>2380</v>
      </c>
      <c r="G708" t="s">
        <v>2381</v>
      </c>
      <c r="H708" t="s">
        <v>2380</v>
      </c>
      <c r="I708">
        <v>1</v>
      </c>
      <c r="J708" t="s">
        <v>2381</v>
      </c>
    </row>
    <row r="709" spans="1:10" x14ac:dyDescent="0.35">
      <c r="A709" t="s">
        <v>1663</v>
      </c>
      <c r="B709" t="str">
        <f t="shared" si="24"/>
        <v>Obesity</v>
      </c>
      <c r="C709">
        <v>39.369999999999997</v>
      </c>
      <c r="D709">
        <v>5.91</v>
      </c>
      <c r="E709" t="str">
        <f t="shared" si="25"/>
        <v>Prediabetes</v>
      </c>
      <c r="F709" t="s">
        <v>2380</v>
      </c>
      <c r="G709" t="s">
        <v>2380</v>
      </c>
      <c r="H709" t="s">
        <v>2380</v>
      </c>
      <c r="I709">
        <v>2</v>
      </c>
      <c r="J709" t="s">
        <v>2380</v>
      </c>
    </row>
    <row r="710" spans="1:10" x14ac:dyDescent="0.35">
      <c r="A710" t="s">
        <v>1662</v>
      </c>
      <c r="B710" t="str">
        <f t="shared" si="24"/>
        <v>Obesity</v>
      </c>
      <c r="C710">
        <v>40.880000000000003</v>
      </c>
      <c r="D710">
        <v>7.65</v>
      </c>
      <c r="E710" t="str">
        <f t="shared" si="25"/>
        <v>Diabetes</v>
      </c>
      <c r="F710" t="s">
        <v>2380</v>
      </c>
      <c r="G710" t="s">
        <v>2380</v>
      </c>
      <c r="H710" t="s">
        <v>2380</v>
      </c>
      <c r="I710">
        <v>0</v>
      </c>
      <c r="J710" t="s">
        <v>2380</v>
      </c>
    </row>
    <row r="711" spans="1:10" x14ac:dyDescent="0.35">
      <c r="A711" t="s">
        <v>1661</v>
      </c>
      <c r="B711" t="str">
        <f t="shared" si="24"/>
        <v>Overweight</v>
      </c>
      <c r="C711">
        <v>26.22</v>
      </c>
      <c r="D711">
        <v>5.37</v>
      </c>
      <c r="E711" t="str">
        <f t="shared" si="25"/>
        <v>Normal</v>
      </c>
      <c r="F711" t="s">
        <v>2381</v>
      </c>
      <c r="G711" t="s">
        <v>2380</v>
      </c>
      <c r="H711" t="s">
        <v>2380</v>
      </c>
      <c r="I711">
        <v>2</v>
      </c>
      <c r="J711" t="s">
        <v>2380</v>
      </c>
    </row>
    <row r="712" spans="1:10" x14ac:dyDescent="0.35">
      <c r="A712" t="s">
        <v>1660</v>
      </c>
      <c r="B712" t="str">
        <f t="shared" si="24"/>
        <v>Overweight</v>
      </c>
      <c r="C712">
        <v>25.08</v>
      </c>
      <c r="D712">
        <v>5.75</v>
      </c>
      <c r="E712" t="str">
        <f t="shared" si="25"/>
        <v>Prediabetes</v>
      </c>
      <c r="F712" t="s">
        <v>2381</v>
      </c>
      <c r="G712" t="s">
        <v>2380</v>
      </c>
      <c r="H712" t="s">
        <v>2380</v>
      </c>
      <c r="I712">
        <v>2</v>
      </c>
      <c r="J712" t="s">
        <v>2380</v>
      </c>
    </row>
    <row r="713" spans="1:10" x14ac:dyDescent="0.35">
      <c r="A713" t="s">
        <v>1659</v>
      </c>
      <c r="B713" t="str">
        <f t="shared" si="24"/>
        <v>Obesity</v>
      </c>
      <c r="C713">
        <v>39.1</v>
      </c>
      <c r="D713">
        <v>6.79</v>
      </c>
      <c r="E713" t="str">
        <f t="shared" si="25"/>
        <v>Diabetes</v>
      </c>
      <c r="F713" t="s">
        <v>2381</v>
      </c>
      <c r="G713" t="s">
        <v>2380</v>
      </c>
      <c r="H713" t="s">
        <v>2380</v>
      </c>
      <c r="I713">
        <v>2</v>
      </c>
      <c r="J713" t="s">
        <v>2380</v>
      </c>
    </row>
    <row r="714" spans="1:10" x14ac:dyDescent="0.35">
      <c r="A714" t="s">
        <v>1658</v>
      </c>
      <c r="B714" t="str">
        <f t="shared" si="24"/>
        <v>Obesity</v>
      </c>
      <c r="C714">
        <v>37.905000000000001</v>
      </c>
      <c r="D714">
        <v>7.03</v>
      </c>
      <c r="E714" t="str">
        <f t="shared" si="25"/>
        <v>Diabetes</v>
      </c>
      <c r="F714" t="s">
        <v>2380</v>
      </c>
      <c r="G714" t="s">
        <v>2380</v>
      </c>
      <c r="H714" t="s">
        <v>2380</v>
      </c>
      <c r="I714">
        <v>3</v>
      </c>
      <c r="J714" t="s">
        <v>2380</v>
      </c>
    </row>
    <row r="715" spans="1:10" x14ac:dyDescent="0.35">
      <c r="A715" t="s">
        <v>1657</v>
      </c>
      <c r="B715" t="str">
        <f t="shared" si="24"/>
        <v>Obesity</v>
      </c>
      <c r="C715">
        <v>43.35</v>
      </c>
      <c r="D715">
        <v>5.41</v>
      </c>
      <c r="E715" t="str">
        <f t="shared" si="25"/>
        <v>Normal</v>
      </c>
      <c r="F715" t="s">
        <v>2381</v>
      </c>
      <c r="G715" t="s">
        <v>2380</v>
      </c>
      <c r="H715" t="s">
        <v>2382</v>
      </c>
      <c r="I715">
        <v>1</v>
      </c>
      <c r="J715" t="s">
        <v>2380</v>
      </c>
    </row>
    <row r="716" spans="1:10" x14ac:dyDescent="0.35">
      <c r="A716" t="s">
        <v>1656</v>
      </c>
      <c r="B716" t="str">
        <f t="shared" si="24"/>
        <v>Obesity</v>
      </c>
      <c r="C716">
        <v>36.15</v>
      </c>
      <c r="D716">
        <v>8.0500000000000007</v>
      </c>
      <c r="E716" t="str">
        <f t="shared" si="25"/>
        <v>Diabetes</v>
      </c>
      <c r="F716" t="s">
        <v>2380</v>
      </c>
      <c r="G716" t="s">
        <v>2380</v>
      </c>
      <c r="H716" t="s">
        <v>2380</v>
      </c>
      <c r="I716">
        <v>0</v>
      </c>
      <c r="J716" t="s">
        <v>2380</v>
      </c>
    </row>
    <row r="717" spans="1:10" x14ac:dyDescent="0.35">
      <c r="A717" t="s">
        <v>1655</v>
      </c>
      <c r="B717" t="str">
        <f t="shared" si="24"/>
        <v>Obesity</v>
      </c>
      <c r="C717">
        <v>44.98</v>
      </c>
      <c r="D717">
        <v>5.94</v>
      </c>
      <c r="E717" t="str">
        <f t="shared" si="25"/>
        <v>Prediabetes</v>
      </c>
      <c r="F717" t="s">
        <v>2380</v>
      </c>
      <c r="G717" t="s">
        <v>2380</v>
      </c>
      <c r="H717" t="s">
        <v>2380</v>
      </c>
      <c r="I717">
        <v>1</v>
      </c>
      <c r="J717" t="s">
        <v>2380</v>
      </c>
    </row>
    <row r="718" spans="1:10" x14ac:dyDescent="0.35">
      <c r="A718" t="s">
        <v>1654</v>
      </c>
      <c r="B718" t="str">
        <f t="shared" si="24"/>
        <v>Obesity</v>
      </c>
      <c r="C718">
        <v>38.28</v>
      </c>
      <c r="D718">
        <v>5.51</v>
      </c>
      <c r="E718" t="str">
        <f t="shared" si="25"/>
        <v>Normal</v>
      </c>
      <c r="F718" t="s">
        <v>2380</v>
      </c>
      <c r="G718" t="s">
        <v>2381</v>
      </c>
      <c r="H718" t="s">
        <v>2380</v>
      </c>
      <c r="I718">
        <v>1</v>
      </c>
      <c r="J718" t="s">
        <v>2380</v>
      </c>
    </row>
    <row r="719" spans="1:10" x14ac:dyDescent="0.35">
      <c r="A719" t="s">
        <v>1653</v>
      </c>
      <c r="B719" t="str">
        <f t="shared" si="24"/>
        <v>Obesity</v>
      </c>
      <c r="C719">
        <v>32.299999999999997</v>
      </c>
      <c r="D719">
        <v>6.55</v>
      </c>
      <c r="E719" t="str">
        <f t="shared" si="25"/>
        <v>Diabetes</v>
      </c>
      <c r="F719" t="s">
        <v>2381</v>
      </c>
      <c r="G719" t="s">
        <v>2380</v>
      </c>
      <c r="H719" t="s">
        <v>2380</v>
      </c>
      <c r="I719">
        <v>2</v>
      </c>
      <c r="J719" t="s">
        <v>2380</v>
      </c>
    </row>
    <row r="720" spans="1:10" x14ac:dyDescent="0.35">
      <c r="A720" t="s">
        <v>1652</v>
      </c>
      <c r="B720" t="str">
        <f t="shared" si="24"/>
        <v>Obesity</v>
      </c>
      <c r="C720">
        <v>39.51</v>
      </c>
      <c r="D720">
        <v>5.79</v>
      </c>
      <c r="E720" t="str">
        <f t="shared" si="25"/>
        <v>Prediabetes</v>
      </c>
      <c r="F720" t="s">
        <v>2381</v>
      </c>
      <c r="G720" t="s">
        <v>2380</v>
      </c>
      <c r="H720" t="s">
        <v>2380</v>
      </c>
      <c r="I720">
        <v>0</v>
      </c>
      <c r="J720" t="s">
        <v>2380</v>
      </c>
    </row>
    <row r="721" spans="1:10" x14ac:dyDescent="0.35">
      <c r="A721" t="s">
        <v>1651</v>
      </c>
      <c r="B721" t="str">
        <f t="shared" si="24"/>
        <v>Obesity</v>
      </c>
      <c r="C721">
        <v>50.46</v>
      </c>
      <c r="D721">
        <v>4.5599999999999996</v>
      </c>
      <c r="E721" t="str">
        <f t="shared" si="25"/>
        <v>Normal</v>
      </c>
      <c r="F721" t="s">
        <v>2380</v>
      </c>
      <c r="G721" t="s">
        <v>2380</v>
      </c>
      <c r="H721" t="s">
        <v>2380</v>
      </c>
      <c r="I721">
        <v>0</v>
      </c>
      <c r="J721" t="s">
        <v>2380</v>
      </c>
    </row>
    <row r="722" spans="1:10" x14ac:dyDescent="0.35">
      <c r="A722" t="s">
        <v>1650</v>
      </c>
      <c r="B722" t="str">
        <f t="shared" si="24"/>
        <v>Obesity</v>
      </c>
      <c r="C722">
        <v>31.73</v>
      </c>
      <c r="D722">
        <v>7</v>
      </c>
      <c r="E722" t="str">
        <f t="shared" si="25"/>
        <v>Diabetes</v>
      </c>
      <c r="F722" t="s">
        <v>2380</v>
      </c>
      <c r="G722" t="s">
        <v>2380</v>
      </c>
      <c r="H722" t="s">
        <v>2380</v>
      </c>
      <c r="I722">
        <v>0</v>
      </c>
      <c r="J722" t="s">
        <v>2380</v>
      </c>
    </row>
    <row r="723" spans="1:10" x14ac:dyDescent="0.35">
      <c r="A723" t="s">
        <v>1649</v>
      </c>
      <c r="B723" t="str">
        <f t="shared" si="24"/>
        <v>Obesity</v>
      </c>
      <c r="C723">
        <v>32.1</v>
      </c>
      <c r="D723">
        <v>6.57</v>
      </c>
      <c r="E723" t="str">
        <f t="shared" si="25"/>
        <v>Diabetes</v>
      </c>
      <c r="F723" t="s">
        <v>2381</v>
      </c>
      <c r="G723" t="s">
        <v>2380</v>
      </c>
      <c r="H723" t="s">
        <v>2382</v>
      </c>
      <c r="I723">
        <v>1</v>
      </c>
      <c r="J723" t="s">
        <v>2380</v>
      </c>
    </row>
    <row r="724" spans="1:10" x14ac:dyDescent="0.35">
      <c r="A724" t="s">
        <v>1648</v>
      </c>
      <c r="B724" t="str">
        <f t="shared" si="24"/>
        <v>Overweight</v>
      </c>
      <c r="C724">
        <v>27.83</v>
      </c>
      <c r="D724">
        <v>11.61</v>
      </c>
      <c r="E724" t="str">
        <f t="shared" si="25"/>
        <v>Diabetes</v>
      </c>
      <c r="F724" t="s">
        <v>2381</v>
      </c>
      <c r="G724" t="s">
        <v>2380</v>
      </c>
      <c r="H724" t="s">
        <v>2382</v>
      </c>
      <c r="I724">
        <v>1</v>
      </c>
      <c r="J724" t="s">
        <v>2380</v>
      </c>
    </row>
    <row r="725" spans="1:10" x14ac:dyDescent="0.35">
      <c r="A725" t="s">
        <v>1647</v>
      </c>
      <c r="B725" t="str">
        <f t="shared" si="24"/>
        <v>Overweight</v>
      </c>
      <c r="C725">
        <v>27.72</v>
      </c>
      <c r="D725">
        <v>8.16</v>
      </c>
      <c r="E725" t="str">
        <f t="shared" si="25"/>
        <v>Diabetes</v>
      </c>
      <c r="F725" t="s">
        <v>2381</v>
      </c>
      <c r="G725" t="s">
        <v>2380</v>
      </c>
      <c r="H725" t="s">
        <v>2382</v>
      </c>
      <c r="I725">
        <v>1</v>
      </c>
      <c r="J725" t="s">
        <v>2380</v>
      </c>
    </row>
    <row r="726" spans="1:10" x14ac:dyDescent="0.35">
      <c r="A726" t="s">
        <v>1646</v>
      </c>
      <c r="B726" t="str">
        <f t="shared" si="24"/>
        <v>Obesity</v>
      </c>
      <c r="C726">
        <v>36.765000000000001</v>
      </c>
      <c r="D726">
        <v>4.4800000000000004</v>
      </c>
      <c r="E726" t="str">
        <f t="shared" si="25"/>
        <v>Normal</v>
      </c>
      <c r="F726" t="s">
        <v>2381</v>
      </c>
      <c r="G726" t="s">
        <v>2380</v>
      </c>
      <c r="H726" t="s">
        <v>2380</v>
      </c>
      <c r="I726">
        <v>2</v>
      </c>
      <c r="J726" t="s">
        <v>2380</v>
      </c>
    </row>
    <row r="727" spans="1:10" x14ac:dyDescent="0.35">
      <c r="A727" t="s">
        <v>1645</v>
      </c>
      <c r="B727" t="str">
        <f t="shared" si="24"/>
        <v>Obesity</v>
      </c>
      <c r="C727">
        <v>48.36</v>
      </c>
      <c r="D727">
        <v>4.08</v>
      </c>
      <c r="E727" t="str">
        <f t="shared" si="25"/>
        <v>Normal</v>
      </c>
      <c r="F727" t="s">
        <v>2380</v>
      </c>
      <c r="G727" t="s">
        <v>2380</v>
      </c>
      <c r="H727" t="s">
        <v>2380</v>
      </c>
      <c r="I727">
        <v>0</v>
      </c>
      <c r="J727" t="s">
        <v>2380</v>
      </c>
    </row>
    <row r="728" spans="1:10" x14ac:dyDescent="0.35">
      <c r="A728" t="s">
        <v>1644</v>
      </c>
      <c r="B728" t="str">
        <f t="shared" si="24"/>
        <v>Obesity</v>
      </c>
      <c r="C728">
        <v>31.445</v>
      </c>
      <c r="D728">
        <v>4.4000000000000004</v>
      </c>
      <c r="E728" t="str">
        <f t="shared" si="25"/>
        <v>Normal</v>
      </c>
      <c r="F728" t="s">
        <v>2381</v>
      </c>
      <c r="G728" t="s">
        <v>2380</v>
      </c>
      <c r="H728" t="s">
        <v>2380</v>
      </c>
      <c r="I728">
        <v>2</v>
      </c>
      <c r="J728" t="s">
        <v>2380</v>
      </c>
    </row>
    <row r="729" spans="1:10" x14ac:dyDescent="0.35">
      <c r="A729" t="s">
        <v>1643</v>
      </c>
      <c r="B729" t="str">
        <f t="shared" si="24"/>
        <v>Overweight</v>
      </c>
      <c r="C729">
        <v>27.55</v>
      </c>
      <c r="D729">
        <v>9.02</v>
      </c>
      <c r="E729" t="str">
        <f t="shared" si="25"/>
        <v>Diabetes</v>
      </c>
      <c r="F729" t="s">
        <v>2380</v>
      </c>
      <c r="G729" t="s">
        <v>2380</v>
      </c>
      <c r="H729" t="s">
        <v>2380</v>
      </c>
      <c r="I729">
        <v>0</v>
      </c>
      <c r="J729" t="s">
        <v>2380</v>
      </c>
    </row>
    <row r="730" spans="1:10" x14ac:dyDescent="0.35">
      <c r="A730" t="s">
        <v>1642</v>
      </c>
      <c r="B730" t="str">
        <f t="shared" si="24"/>
        <v>Obesity</v>
      </c>
      <c r="C730">
        <v>33.11</v>
      </c>
      <c r="D730">
        <v>8.06</v>
      </c>
      <c r="E730" t="str">
        <f t="shared" si="25"/>
        <v>Diabetes</v>
      </c>
      <c r="F730" t="s">
        <v>2380</v>
      </c>
      <c r="G730" t="s">
        <v>2380</v>
      </c>
      <c r="H730" t="s">
        <v>2380</v>
      </c>
      <c r="I730">
        <v>0</v>
      </c>
      <c r="J730" t="s">
        <v>2380</v>
      </c>
    </row>
    <row r="731" spans="1:10" x14ac:dyDescent="0.35">
      <c r="A731" t="s">
        <v>1641</v>
      </c>
      <c r="B731" t="str">
        <f t="shared" si="24"/>
        <v>Obesity</v>
      </c>
      <c r="C731">
        <v>36.85</v>
      </c>
      <c r="D731">
        <v>6.21</v>
      </c>
      <c r="E731" t="str">
        <f t="shared" si="25"/>
        <v>Prediabetes</v>
      </c>
      <c r="F731" t="s">
        <v>2381</v>
      </c>
      <c r="G731" t="s">
        <v>2380</v>
      </c>
      <c r="H731" t="s">
        <v>2380</v>
      </c>
      <c r="I731">
        <v>2</v>
      </c>
      <c r="J731" t="s">
        <v>2380</v>
      </c>
    </row>
    <row r="732" spans="1:10" x14ac:dyDescent="0.35">
      <c r="A732" t="s">
        <v>1640</v>
      </c>
      <c r="B732" t="str">
        <f t="shared" si="24"/>
        <v>Obesity</v>
      </c>
      <c r="C732">
        <v>36.299999999999997</v>
      </c>
      <c r="D732">
        <v>5.79</v>
      </c>
      <c r="E732" t="str">
        <f t="shared" si="25"/>
        <v>Prediabetes</v>
      </c>
      <c r="F732" t="s">
        <v>2381</v>
      </c>
      <c r="G732" t="s">
        <v>2380</v>
      </c>
      <c r="H732" t="s">
        <v>2380</v>
      </c>
      <c r="I732">
        <v>2</v>
      </c>
      <c r="J732" t="s">
        <v>2380</v>
      </c>
    </row>
    <row r="733" spans="1:10" x14ac:dyDescent="0.35">
      <c r="A733" t="s">
        <v>1639</v>
      </c>
      <c r="B733" t="str">
        <f t="shared" si="24"/>
        <v>Obesity</v>
      </c>
      <c r="C733">
        <v>45.34</v>
      </c>
      <c r="D733">
        <v>5.69</v>
      </c>
      <c r="E733" t="str">
        <f t="shared" si="25"/>
        <v>Normal</v>
      </c>
      <c r="F733" t="s">
        <v>2381</v>
      </c>
      <c r="G733" t="s">
        <v>2380</v>
      </c>
      <c r="H733" t="s">
        <v>2380</v>
      </c>
      <c r="I733">
        <v>0</v>
      </c>
      <c r="J733" t="s">
        <v>2380</v>
      </c>
    </row>
    <row r="734" spans="1:10" x14ac:dyDescent="0.35">
      <c r="A734" t="s">
        <v>1638</v>
      </c>
      <c r="B734" t="str">
        <f t="shared" si="24"/>
        <v>Obesity</v>
      </c>
      <c r="C734">
        <v>31.8</v>
      </c>
      <c r="D734">
        <v>5.36</v>
      </c>
      <c r="E734" t="str">
        <f t="shared" si="25"/>
        <v>Normal</v>
      </c>
      <c r="F734" t="s">
        <v>2381</v>
      </c>
      <c r="G734" t="s">
        <v>2380</v>
      </c>
      <c r="H734" t="s">
        <v>2380</v>
      </c>
      <c r="I734">
        <v>2</v>
      </c>
      <c r="J734" t="s">
        <v>2380</v>
      </c>
    </row>
    <row r="735" spans="1:10" x14ac:dyDescent="0.35">
      <c r="A735" t="s">
        <v>1637</v>
      </c>
      <c r="B735" t="str">
        <f t="shared" si="24"/>
        <v>Obesity</v>
      </c>
      <c r="C735">
        <v>41.02</v>
      </c>
      <c r="D735">
        <v>11.37</v>
      </c>
      <c r="E735" t="str">
        <f t="shared" si="25"/>
        <v>Diabetes</v>
      </c>
      <c r="F735" t="s">
        <v>2380</v>
      </c>
      <c r="G735" t="s">
        <v>2380</v>
      </c>
      <c r="H735" t="s">
        <v>2380</v>
      </c>
      <c r="I735">
        <v>0</v>
      </c>
      <c r="J735" t="s">
        <v>2380</v>
      </c>
    </row>
    <row r="736" spans="1:10" x14ac:dyDescent="0.35">
      <c r="A736" t="s">
        <v>1636</v>
      </c>
      <c r="B736" t="str">
        <f t="shared" si="24"/>
        <v>Obesity</v>
      </c>
      <c r="C736">
        <v>32.68</v>
      </c>
      <c r="D736">
        <v>11.87</v>
      </c>
      <c r="E736" t="str">
        <f t="shared" si="25"/>
        <v>Diabetes</v>
      </c>
      <c r="F736" t="s">
        <v>2380</v>
      </c>
      <c r="G736" t="s">
        <v>2380</v>
      </c>
      <c r="H736" t="s">
        <v>2380</v>
      </c>
      <c r="I736">
        <v>0</v>
      </c>
      <c r="J736" t="s">
        <v>2380</v>
      </c>
    </row>
    <row r="737" spans="1:10" x14ac:dyDescent="0.35">
      <c r="A737" t="s">
        <v>1635</v>
      </c>
      <c r="B737" t="str">
        <f t="shared" si="24"/>
        <v>Normal Weight</v>
      </c>
      <c r="C737">
        <v>21.7</v>
      </c>
      <c r="D737">
        <v>4.9000000000000004</v>
      </c>
      <c r="E737" t="str">
        <f t="shared" si="25"/>
        <v>Normal</v>
      </c>
      <c r="F737" t="s">
        <v>2380</v>
      </c>
      <c r="G737" t="s">
        <v>2380</v>
      </c>
      <c r="H737" t="s">
        <v>2382</v>
      </c>
      <c r="I737">
        <v>1</v>
      </c>
      <c r="J737" t="s">
        <v>2381</v>
      </c>
    </row>
    <row r="738" spans="1:10" x14ac:dyDescent="0.35">
      <c r="A738" t="s">
        <v>1634</v>
      </c>
      <c r="B738" t="str">
        <f t="shared" si="24"/>
        <v>Obesity</v>
      </c>
      <c r="C738">
        <v>40.479999999999997</v>
      </c>
      <c r="D738">
        <v>6.7</v>
      </c>
      <c r="E738" t="str">
        <f t="shared" si="25"/>
        <v>Diabetes</v>
      </c>
      <c r="F738" t="s">
        <v>2380</v>
      </c>
      <c r="G738" t="s">
        <v>2380</v>
      </c>
      <c r="H738" t="s">
        <v>2380</v>
      </c>
      <c r="I738">
        <v>3</v>
      </c>
      <c r="J738" t="s">
        <v>2380</v>
      </c>
    </row>
    <row r="739" spans="1:10" x14ac:dyDescent="0.35">
      <c r="A739" t="s">
        <v>1633</v>
      </c>
      <c r="B739" t="str">
        <f t="shared" si="24"/>
        <v>Obesity</v>
      </c>
      <c r="C739">
        <v>34.5</v>
      </c>
      <c r="D739">
        <v>10.3</v>
      </c>
      <c r="E739" t="str">
        <f t="shared" si="25"/>
        <v>Diabetes</v>
      </c>
      <c r="F739" t="s">
        <v>2380</v>
      </c>
      <c r="G739" t="s">
        <v>2380</v>
      </c>
      <c r="H739" t="s">
        <v>2380</v>
      </c>
      <c r="I739">
        <v>3</v>
      </c>
      <c r="J739" t="s">
        <v>2380</v>
      </c>
    </row>
    <row r="740" spans="1:10" x14ac:dyDescent="0.35">
      <c r="A740" t="s">
        <v>1632</v>
      </c>
      <c r="B740" t="str">
        <f t="shared" si="24"/>
        <v>Obesity</v>
      </c>
      <c r="C740">
        <v>45.9</v>
      </c>
      <c r="D740">
        <v>11.14</v>
      </c>
      <c r="E740" t="str">
        <f t="shared" si="25"/>
        <v>Diabetes</v>
      </c>
      <c r="F740" t="s">
        <v>2381</v>
      </c>
      <c r="G740" t="s">
        <v>2380</v>
      </c>
      <c r="H740" t="s">
        <v>2380</v>
      </c>
      <c r="I740">
        <v>1</v>
      </c>
      <c r="J740" t="s">
        <v>2380</v>
      </c>
    </row>
    <row r="741" spans="1:10" x14ac:dyDescent="0.35">
      <c r="A741" t="s">
        <v>1631</v>
      </c>
      <c r="B741" t="str">
        <f t="shared" si="24"/>
        <v>Obesity</v>
      </c>
      <c r="C741">
        <v>33.479999999999997</v>
      </c>
      <c r="D741">
        <v>4.74</v>
      </c>
      <c r="E741" t="str">
        <f t="shared" si="25"/>
        <v>Normal</v>
      </c>
      <c r="F741" t="s">
        <v>2381</v>
      </c>
      <c r="G741" t="s">
        <v>2380</v>
      </c>
      <c r="H741" t="s">
        <v>2380</v>
      </c>
      <c r="I741">
        <v>2</v>
      </c>
      <c r="J741" t="s">
        <v>2380</v>
      </c>
    </row>
    <row r="742" spans="1:10" x14ac:dyDescent="0.35">
      <c r="A742" t="s">
        <v>1630</v>
      </c>
      <c r="B742" t="str">
        <f t="shared" si="24"/>
        <v>Overweight</v>
      </c>
      <c r="C742">
        <v>28.31</v>
      </c>
      <c r="D742">
        <v>5.96</v>
      </c>
      <c r="E742" t="str">
        <f t="shared" si="25"/>
        <v>Prediabetes</v>
      </c>
      <c r="F742" t="s">
        <v>2381</v>
      </c>
      <c r="G742" t="s">
        <v>2380</v>
      </c>
      <c r="H742" t="s">
        <v>2380</v>
      </c>
      <c r="I742">
        <v>2</v>
      </c>
      <c r="J742" t="s">
        <v>2380</v>
      </c>
    </row>
    <row r="743" spans="1:10" x14ac:dyDescent="0.35">
      <c r="A743" t="s">
        <v>1629</v>
      </c>
      <c r="B743" t="str">
        <f t="shared" si="24"/>
        <v>Normal Weight</v>
      </c>
      <c r="C743">
        <v>21.565000000000001</v>
      </c>
      <c r="D743">
        <v>4.95</v>
      </c>
      <c r="E743" t="str">
        <f t="shared" si="25"/>
        <v>Normal</v>
      </c>
      <c r="F743" t="s">
        <v>2380</v>
      </c>
      <c r="G743" t="s">
        <v>2381</v>
      </c>
      <c r="H743" t="s">
        <v>2380</v>
      </c>
      <c r="I743">
        <v>1</v>
      </c>
      <c r="J743" t="s">
        <v>2381</v>
      </c>
    </row>
    <row r="744" spans="1:10" x14ac:dyDescent="0.35">
      <c r="A744" t="s">
        <v>1628</v>
      </c>
      <c r="B744" t="str">
        <f t="shared" si="24"/>
        <v>Obesity</v>
      </c>
      <c r="C744">
        <v>35.590000000000003</v>
      </c>
      <c r="D744">
        <v>5.21</v>
      </c>
      <c r="E744" t="str">
        <f t="shared" si="25"/>
        <v>Normal</v>
      </c>
      <c r="F744" t="s">
        <v>2381</v>
      </c>
      <c r="G744" t="s">
        <v>2380</v>
      </c>
      <c r="H744" t="s">
        <v>2382</v>
      </c>
      <c r="I744">
        <v>1</v>
      </c>
      <c r="J744" t="s">
        <v>2380</v>
      </c>
    </row>
    <row r="745" spans="1:10" x14ac:dyDescent="0.35">
      <c r="A745" t="s">
        <v>1627</v>
      </c>
      <c r="B745" t="str">
        <f t="shared" si="24"/>
        <v>Obesity</v>
      </c>
      <c r="C745">
        <v>43.44</v>
      </c>
      <c r="D745">
        <v>4.8600000000000003</v>
      </c>
      <c r="E745" t="str">
        <f t="shared" si="25"/>
        <v>Normal</v>
      </c>
      <c r="F745" t="s">
        <v>2381</v>
      </c>
      <c r="G745" t="s">
        <v>2380</v>
      </c>
      <c r="H745" t="s">
        <v>2380</v>
      </c>
      <c r="I745">
        <v>0</v>
      </c>
      <c r="J745" t="s">
        <v>2380</v>
      </c>
    </row>
    <row r="746" spans="1:10" x14ac:dyDescent="0.35">
      <c r="A746" t="s">
        <v>1626</v>
      </c>
      <c r="B746" t="str">
        <f t="shared" si="24"/>
        <v>Normal Weight</v>
      </c>
      <c r="C746">
        <v>21.754999999999999</v>
      </c>
      <c r="D746">
        <v>7.79</v>
      </c>
      <c r="E746" t="str">
        <f t="shared" si="25"/>
        <v>Diabetes</v>
      </c>
      <c r="F746" t="s">
        <v>2381</v>
      </c>
      <c r="G746" t="s">
        <v>2380</v>
      </c>
      <c r="H746" t="s">
        <v>2380</v>
      </c>
      <c r="I746">
        <v>0</v>
      </c>
      <c r="J746" t="s">
        <v>2380</v>
      </c>
    </row>
    <row r="747" spans="1:10" x14ac:dyDescent="0.35">
      <c r="A747" t="s">
        <v>1625</v>
      </c>
      <c r="B747" t="str">
        <f t="shared" si="24"/>
        <v>Obesity</v>
      </c>
      <c r="C747">
        <v>44.55</v>
      </c>
      <c r="D747">
        <v>7.12</v>
      </c>
      <c r="E747" t="str">
        <f t="shared" si="25"/>
        <v>Diabetes</v>
      </c>
      <c r="F747" t="s">
        <v>2381</v>
      </c>
      <c r="G747" t="s">
        <v>2380</v>
      </c>
      <c r="H747" t="s">
        <v>2380</v>
      </c>
      <c r="I747">
        <v>1</v>
      </c>
      <c r="J747" t="s">
        <v>2380</v>
      </c>
    </row>
    <row r="748" spans="1:10" x14ac:dyDescent="0.35">
      <c r="A748" t="s">
        <v>1624</v>
      </c>
      <c r="B748" t="str">
        <f t="shared" si="24"/>
        <v>Obesity</v>
      </c>
      <c r="C748">
        <v>43.32</v>
      </c>
      <c r="D748">
        <v>4.67</v>
      </c>
      <c r="E748" t="str">
        <f t="shared" si="25"/>
        <v>Normal</v>
      </c>
      <c r="F748" t="s">
        <v>2381</v>
      </c>
      <c r="G748" t="s">
        <v>2380</v>
      </c>
      <c r="H748" t="s">
        <v>2380</v>
      </c>
      <c r="I748">
        <v>0</v>
      </c>
      <c r="J748" t="s">
        <v>2380</v>
      </c>
    </row>
    <row r="749" spans="1:10" x14ac:dyDescent="0.35">
      <c r="A749" t="s">
        <v>1623</v>
      </c>
      <c r="B749" t="str">
        <f t="shared" si="24"/>
        <v>Obesity</v>
      </c>
      <c r="C749">
        <v>31.23</v>
      </c>
      <c r="D749">
        <v>9.1199999999999992</v>
      </c>
      <c r="E749" t="str">
        <f t="shared" si="25"/>
        <v>Diabetes</v>
      </c>
      <c r="F749" t="s">
        <v>2381</v>
      </c>
      <c r="G749" t="s">
        <v>2380</v>
      </c>
      <c r="H749" t="s">
        <v>2382</v>
      </c>
      <c r="I749">
        <v>1</v>
      </c>
      <c r="J749" t="s">
        <v>2380</v>
      </c>
    </row>
    <row r="750" spans="1:10" x14ac:dyDescent="0.35">
      <c r="A750" t="s">
        <v>1622</v>
      </c>
      <c r="B750" t="str">
        <f t="shared" si="24"/>
        <v>Obesity</v>
      </c>
      <c r="C750">
        <v>42.81</v>
      </c>
      <c r="D750">
        <v>4.1500000000000004</v>
      </c>
      <c r="E750" t="str">
        <f t="shared" si="25"/>
        <v>Normal</v>
      </c>
      <c r="F750" t="s">
        <v>2380</v>
      </c>
      <c r="G750" t="s">
        <v>2380</v>
      </c>
      <c r="H750" t="s">
        <v>2380</v>
      </c>
      <c r="I750">
        <v>1</v>
      </c>
      <c r="J750" t="s">
        <v>2380</v>
      </c>
    </row>
    <row r="751" spans="1:10" x14ac:dyDescent="0.35">
      <c r="A751" t="s">
        <v>1621</v>
      </c>
      <c r="B751" t="str">
        <f t="shared" si="24"/>
        <v>Obesity</v>
      </c>
      <c r="C751">
        <v>35.909999999999997</v>
      </c>
      <c r="D751">
        <v>6.72</v>
      </c>
      <c r="E751" t="str">
        <f t="shared" si="25"/>
        <v>Diabetes</v>
      </c>
      <c r="F751" t="s">
        <v>2381</v>
      </c>
      <c r="G751" t="s">
        <v>2380</v>
      </c>
      <c r="H751" t="s">
        <v>2380</v>
      </c>
      <c r="I751">
        <v>2</v>
      </c>
      <c r="J751" t="s">
        <v>2380</v>
      </c>
    </row>
    <row r="752" spans="1:10" x14ac:dyDescent="0.35">
      <c r="A752" t="s">
        <v>1620</v>
      </c>
      <c r="B752" t="str">
        <f t="shared" si="24"/>
        <v>Obesity</v>
      </c>
      <c r="C752">
        <v>36.65</v>
      </c>
      <c r="D752">
        <v>5.01</v>
      </c>
      <c r="E752" t="str">
        <f t="shared" si="25"/>
        <v>Normal</v>
      </c>
      <c r="F752" t="s">
        <v>2381</v>
      </c>
      <c r="G752" t="s">
        <v>2380</v>
      </c>
      <c r="H752" t="s">
        <v>2382</v>
      </c>
      <c r="I752">
        <v>1</v>
      </c>
      <c r="J752" t="s">
        <v>2380</v>
      </c>
    </row>
    <row r="753" spans="1:10" x14ac:dyDescent="0.35">
      <c r="A753" t="s">
        <v>1619</v>
      </c>
      <c r="B753" t="str">
        <f t="shared" si="24"/>
        <v>Normal Weight</v>
      </c>
      <c r="C753">
        <v>22.04</v>
      </c>
      <c r="D753">
        <v>10.9</v>
      </c>
      <c r="E753" t="str">
        <f t="shared" si="25"/>
        <v>Diabetes</v>
      </c>
      <c r="F753" t="s">
        <v>2381</v>
      </c>
      <c r="G753" t="s">
        <v>2380</v>
      </c>
      <c r="H753" t="s">
        <v>2380</v>
      </c>
      <c r="I753">
        <v>2</v>
      </c>
      <c r="J753" t="s">
        <v>2380</v>
      </c>
    </row>
    <row r="754" spans="1:10" x14ac:dyDescent="0.35">
      <c r="A754" t="s">
        <v>1618</v>
      </c>
      <c r="B754" t="str">
        <f t="shared" si="24"/>
        <v>Obesity</v>
      </c>
      <c r="C754">
        <v>31.824999999999999</v>
      </c>
      <c r="D754">
        <v>5.52</v>
      </c>
      <c r="E754" t="str">
        <f t="shared" si="25"/>
        <v>Normal</v>
      </c>
      <c r="F754" t="s">
        <v>2381</v>
      </c>
      <c r="G754" t="s">
        <v>2380</v>
      </c>
      <c r="H754" t="s">
        <v>2380</v>
      </c>
      <c r="I754">
        <v>1</v>
      </c>
      <c r="J754" t="s">
        <v>2380</v>
      </c>
    </row>
    <row r="755" spans="1:10" x14ac:dyDescent="0.35">
      <c r="A755" t="s">
        <v>1617</v>
      </c>
      <c r="B755" t="str">
        <f t="shared" si="24"/>
        <v>Obesity</v>
      </c>
      <c r="C755">
        <v>53.58</v>
      </c>
      <c r="D755">
        <v>4.55</v>
      </c>
      <c r="E755" t="str">
        <f t="shared" si="25"/>
        <v>Normal</v>
      </c>
      <c r="F755" t="s">
        <v>2380</v>
      </c>
      <c r="G755" t="s">
        <v>2380</v>
      </c>
      <c r="H755" t="s">
        <v>2380</v>
      </c>
      <c r="I755">
        <v>1</v>
      </c>
      <c r="J755" t="s">
        <v>2380</v>
      </c>
    </row>
    <row r="756" spans="1:10" x14ac:dyDescent="0.35">
      <c r="A756" t="s">
        <v>1616</v>
      </c>
      <c r="B756" t="str">
        <f t="shared" si="24"/>
        <v>Obesity</v>
      </c>
      <c r="C756">
        <v>34.299999999999997</v>
      </c>
      <c r="D756">
        <v>11.76</v>
      </c>
      <c r="E756" t="str">
        <f t="shared" si="25"/>
        <v>Diabetes</v>
      </c>
      <c r="F756" t="s">
        <v>2380</v>
      </c>
      <c r="G756" t="s">
        <v>2380</v>
      </c>
      <c r="H756" t="s">
        <v>2380</v>
      </c>
      <c r="I756">
        <v>0</v>
      </c>
      <c r="J756" t="s">
        <v>2380</v>
      </c>
    </row>
    <row r="757" spans="1:10" x14ac:dyDescent="0.35">
      <c r="A757" t="s">
        <v>1615</v>
      </c>
      <c r="B757" t="str">
        <f t="shared" si="24"/>
        <v>Obesity</v>
      </c>
      <c r="C757">
        <v>32.11</v>
      </c>
      <c r="D757">
        <v>7.06</v>
      </c>
      <c r="E757" t="str">
        <f t="shared" si="25"/>
        <v>Diabetes</v>
      </c>
      <c r="F757" t="s">
        <v>2380</v>
      </c>
      <c r="G757" t="s">
        <v>2380</v>
      </c>
      <c r="H757" t="s">
        <v>2380</v>
      </c>
      <c r="I757">
        <v>0</v>
      </c>
      <c r="J757" t="s">
        <v>2380</v>
      </c>
    </row>
    <row r="758" spans="1:10" x14ac:dyDescent="0.35">
      <c r="A758" t="s">
        <v>1614</v>
      </c>
      <c r="B758" t="str">
        <f t="shared" si="24"/>
        <v>Obesity</v>
      </c>
      <c r="C758">
        <v>31.78</v>
      </c>
      <c r="D758">
        <v>11.35</v>
      </c>
      <c r="E758" t="str">
        <f t="shared" si="25"/>
        <v>Diabetes</v>
      </c>
      <c r="F758" t="s">
        <v>2381</v>
      </c>
      <c r="G758" t="s">
        <v>2380</v>
      </c>
      <c r="H758" t="s">
        <v>2382</v>
      </c>
      <c r="I758">
        <v>1</v>
      </c>
      <c r="J758" t="s">
        <v>2380</v>
      </c>
    </row>
    <row r="759" spans="1:10" x14ac:dyDescent="0.35">
      <c r="A759" t="s">
        <v>1613</v>
      </c>
      <c r="B759" t="str">
        <f t="shared" si="24"/>
        <v>Obesity</v>
      </c>
      <c r="C759">
        <v>46.89</v>
      </c>
      <c r="D759">
        <v>5.52</v>
      </c>
      <c r="E759" t="str">
        <f t="shared" si="25"/>
        <v>Normal</v>
      </c>
      <c r="F759" t="s">
        <v>2380</v>
      </c>
      <c r="G759" t="s">
        <v>2380</v>
      </c>
      <c r="H759" t="s">
        <v>2380</v>
      </c>
      <c r="I759">
        <v>0</v>
      </c>
      <c r="J759" t="s">
        <v>2380</v>
      </c>
    </row>
    <row r="760" spans="1:10" x14ac:dyDescent="0.35">
      <c r="A760" t="s">
        <v>1612</v>
      </c>
      <c r="B760" t="str">
        <f t="shared" si="24"/>
        <v>Obesity</v>
      </c>
      <c r="C760">
        <v>39.35</v>
      </c>
      <c r="D760">
        <v>7.86</v>
      </c>
      <c r="E760" t="str">
        <f t="shared" si="25"/>
        <v>Diabetes</v>
      </c>
      <c r="F760" t="s">
        <v>2381</v>
      </c>
      <c r="G760" t="s">
        <v>2380</v>
      </c>
      <c r="H760" t="s">
        <v>2380</v>
      </c>
      <c r="I760">
        <v>1</v>
      </c>
      <c r="J760" t="s">
        <v>2380</v>
      </c>
    </row>
    <row r="761" spans="1:10" x14ac:dyDescent="0.35">
      <c r="A761" t="s">
        <v>1611</v>
      </c>
      <c r="B761" t="str">
        <f t="shared" si="24"/>
        <v>Obesity</v>
      </c>
      <c r="C761">
        <v>39.200000000000003</v>
      </c>
      <c r="D761">
        <v>11.38</v>
      </c>
      <c r="E761" t="str">
        <f t="shared" si="25"/>
        <v>Diabetes</v>
      </c>
      <c r="F761" t="s">
        <v>2380</v>
      </c>
      <c r="G761" t="s">
        <v>2380</v>
      </c>
      <c r="H761" t="s">
        <v>2380</v>
      </c>
      <c r="I761">
        <v>0</v>
      </c>
      <c r="J761" t="s">
        <v>2380</v>
      </c>
    </row>
    <row r="762" spans="1:10" x14ac:dyDescent="0.35">
      <c r="A762" t="s">
        <v>1610</v>
      </c>
      <c r="B762" t="str">
        <f t="shared" si="24"/>
        <v>Obesity</v>
      </c>
      <c r="C762">
        <v>39.159999999999997</v>
      </c>
      <c r="D762">
        <v>10.48</v>
      </c>
      <c r="E762" t="str">
        <f t="shared" si="25"/>
        <v>Diabetes</v>
      </c>
      <c r="F762" t="s">
        <v>2380</v>
      </c>
      <c r="G762" t="s">
        <v>2380</v>
      </c>
      <c r="H762" t="s">
        <v>2380</v>
      </c>
      <c r="I762">
        <v>0</v>
      </c>
      <c r="J762" t="s">
        <v>2380</v>
      </c>
    </row>
    <row r="763" spans="1:10" x14ac:dyDescent="0.35">
      <c r="A763" t="s">
        <v>1609</v>
      </c>
      <c r="B763" t="str">
        <f t="shared" si="24"/>
        <v>Obesity</v>
      </c>
      <c r="C763">
        <v>44.1</v>
      </c>
      <c r="D763">
        <v>5.04</v>
      </c>
      <c r="E763" t="str">
        <f t="shared" si="25"/>
        <v>Normal</v>
      </c>
      <c r="F763" t="s">
        <v>2381</v>
      </c>
      <c r="G763" t="s">
        <v>2380</v>
      </c>
      <c r="H763" t="s">
        <v>2380</v>
      </c>
      <c r="I763">
        <v>0</v>
      </c>
      <c r="J763" t="s">
        <v>2380</v>
      </c>
    </row>
    <row r="764" spans="1:10" x14ac:dyDescent="0.35">
      <c r="A764" t="s">
        <v>1608</v>
      </c>
      <c r="B764" t="str">
        <f t="shared" si="24"/>
        <v>Obesity</v>
      </c>
      <c r="C764">
        <v>33.200000000000003</v>
      </c>
      <c r="D764">
        <v>9.06</v>
      </c>
      <c r="E764" t="str">
        <f t="shared" si="25"/>
        <v>Diabetes</v>
      </c>
      <c r="F764" t="s">
        <v>2380</v>
      </c>
      <c r="G764" t="s">
        <v>2380</v>
      </c>
      <c r="H764" t="s">
        <v>2380</v>
      </c>
      <c r="I764">
        <v>0</v>
      </c>
      <c r="J764" t="s">
        <v>2380</v>
      </c>
    </row>
    <row r="765" spans="1:10" x14ac:dyDescent="0.35">
      <c r="A765" t="s">
        <v>1607</v>
      </c>
      <c r="B765" t="str">
        <f t="shared" si="24"/>
        <v>Overweight</v>
      </c>
      <c r="C765">
        <v>29.92</v>
      </c>
      <c r="D765">
        <v>11.07</v>
      </c>
      <c r="E765" t="str">
        <f t="shared" si="25"/>
        <v>Diabetes</v>
      </c>
      <c r="F765" t="s">
        <v>2380</v>
      </c>
      <c r="G765" t="s">
        <v>2380</v>
      </c>
      <c r="H765" t="s">
        <v>2380</v>
      </c>
      <c r="I765">
        <v>0</v>
      </c>
      <c r="J765" t="s">
        <v>2380</v>
      </c>
    </row>
    <row r="766" spans="1:10" x14ac:dyDescent="0.35">
      <c r="A766" t="s">
        <v>1606</v>
      </c>
      <c r="B766" t="str">
        <f t="shared" si="24"/>
        <v>Overweight</v>
      </c>
      <c r="C766">
        <v>25</v>
      </c>
      <c r="D766">
        <v>10.45</v>
      </c>
      <c r="E766" t="str">
        <f t="shared" si="25"/>
        <v>Diabetes</v>
      </c>
      <c r="F766" t="s">
        <v>2380</v>
      </c>
      <c r="G766" t="s">
        <v>2380</v>
      </c>
      <c r="H766" t="s">
        <v>2380</v>
      </c>
      <c r="I766">
        <v>0</v>
      </c>
      <c r="J766" t="s">
        <v>2380</v>
      </c>
    </row>
    <row r="767" spans="1:10" x14ac:dyDescent="0.35">
      <c r="A767" t="s">
        <v>1605</v>
      </c>
      <c r="B767" t="str">
        <f t="shared" si="24"/>
        <v>Obesity</v>
      </c>
      <c r="C767">
        <v>38.869999999999997</v>
      </c>
      <c r="D767">
        <v>8.6300000000000008</v>
      </c>
      <c r="E767" t="str">
        <f t="shared" si="25"/>
        <v>Diabetes</v>
      </c>
      <c r="F767" t="s">
        <v>2381</v>
      </c>
      <c r="G767" t="s">
        <v>2380</v>
      </c>
      <c r="H767" t="s">
        <v>2380</v>
      </c>
      <c r="I767">
        <v>1</v>
      </c>
      <c r="J767" t="s">
        <v>2380</v>
      </c>
    </row>
    <row r="768" spans="1:10" x14ac:dyDescent="0.35">
      <c r="A768" t="s">
        <v>1604</v>
      </c>
      <c r="B768" t="str">
        <f t="shared" si="24"/>
        <v>Obesity</v>
      </c>
      <c r="C768">
        <v>32.299999999999997</v>
      </c>
      <c r="D768">
        <v>5.28</v>
      </c>
      <c r="E768" t="str">
        <f t="shared" si="25"/>
        <v>Normal</v>
      </c>
      <c r="F768" t="s">
        <v>2381</v>
      </c>
      <c r="G768" t="s">
        <v>2380</v>
      </c>
      <c r="H768" t="s">
        <v>2380</v>
      </c>
      <c r="I768">
        <v>2</v>
      </c>
      <c r="J768" t="s">
        <v>2380</v>
      </c>
    </row>
    <row r="769" spans="1:10" x14ac:dyDescent="0.35">
      <c r="A769" t="s">
        <v>1603</v>
      </c>
      <c r="B769" t="str">
        <f t="shared" si="24"/>
        <v>Obesity</v>
      </c>
      <c r="C769">
        <v>31.16</v>
      </c>
      <c r="D769">
        <v>7.49</v>
      </c>
      <c r="E769" t="str">
        <f t="shared" si="25"/>
        <v>Diabetes</v>
      </c>
      <c r="F769" t="s">
        <v>2381</v>
      </c>
      <c r="G769" t="s">
        <v>2380</v>
      </c>
      <c r="H769" t="s">
        <v>2380</v>
      </c>
      <c r="I769">
        <v>2</v>
      </c>
      <c r="J769" t="s">
        <v>2380</v>
      </c>
    </row>
    <row r="770" spans="1:10" x14ac:dyDescent="0.35">
      <c r="A770" t="s">
        <v>1602</v>
      </c>
      <c r="B770" t="str">
        <f t="shared" si="24"/>
        <v>Obesity</v>
      </c>
      <c r="C770">
        <v>54.59</v>
      </c>
      <c r="D770">
        <v>4.2699999999999996</v>
      </c>
      <c r="E770" t="str">
        <f t="shared" si="25"/>
        <v>Normal</v>
      </c>
      <c r="F770" t="s">
        <v>2380</v>
      </c>
      <c r="G770" t="s">
        <v>2380</v>
      </c>
      <c r="H770" t="s">
        <v>2380</v>
      </c>
      <c r="I770">
        <v>0</v>
      </c>
      <c r="J770" t="s">
        <v>2380</v>
      </c>
    </row>
    <row r="771" spans="1:10" x14ac:dyDescent="0.35">
      <c r="A771" t="s">
        <v>1601</v>
      </c>
      <c r="B771" t="str">
        <f t="shared" ref="B771:B834" si="26">IF(C771&lt;18.5,"Underweight",IF(C771&lt;25,"Normal Weight",IF(C771&lt;30,"Overweight","Obesity")))</f>
        <v>Normal Weight</v>
      </c>
      <c r="C771">
        <v>21.09</v>
      </c>
      <c r="D771">
        <v>9.2200000000000006</v>
      </c>
      <c r="E771" t="str">
        <f t="shared" ref="E771:E834" si="27">IF(D771&lt;5.7,"Normal",IF(D771&lt;6.5,"Prediabetes","Diabetes"))</f>
        <v>Diabetes</v>
      </c>
      <c r="F771" t="s">
        <v>2381</v>
      </c>
      <c r="G771" t="s">
        <v>2380</v>
      </c>
      <c r="H771" t="s">
        <v>2380</v>
      </c>
      <c r="I771">
        <v>2</v>
      </c>
      <c r="J771" t="s">
        <v>2380</v>
      </c>
    </row>
    <row r="772" spans="1:10" x14ac:dyDescent="0.35">
      <c r="A772" t="s">
        <v>1600</v>
      </c>
      <c r="B772" t="str">
        <f t="shared" si="26"/>
        <v>Obesity</v>
      </c>
      <c r="C772">
        <v>52.41</v>
      </c>
      <c r="D772">
        <v>5.99</v>
      </c>
      <c r="E772" t="str">
        <f t="shared" si="27"/>
        <v>Prediabetes</v>
      </c>
      <c r="F772" t="s">
        <v>2380</v>
      </c>
      <c r="G772" t="s">
        <v>2380</v>
      </c>
      <c r="H772" t="s">
        <v>2380</v>
      </c>
      <c r="I772">
        <v>1</v>
      </c>
      <c r="J772" t="s">
        <v>2380</v>
      </c>
    </row>
    <row r="773" spans="1:10" x14ac:dyDescent="0.35">
      <c r="A773" t="s">
        <v>1599</v>
      </c>
      <c r="B773" t="str">
        <f t="shared" si="26"/>
        <v>Obesity</v>
      </c>
      <c r="C773">
        <v>41.47</v>
      </c>
      <c r="D773">
        <v>5.86</v>
      </c>
      <c r="E773" t="str">
        <f t="shared" si="27"/>
        <v>Prediabetes</v>
      </c>
      <c r="F773" t="s">
        <v>2381</v>
      </c>
      <c r="G773" t="s">
        <v>2380</v>
      </c>
      <c r="H773" t="s">
        <v>2380</v>
      </c>
      <c r="I773">
        <v>2</v>
      </c>
      <c r="J773" t="s">
        <v>2380</v>
      </c>
    </row>
    <row r="774" spans="1:10" x14ac:dyDescent="0.35">
      <c r="A774" t="s">
        <v>1598</v>
      </c>
      <c r="B774" t="str">
        <f t="shared" si="26"/>
        <v>Obesity</v>
      </c>
      <c r="C774">
        <v>33.1</v>
      </c>
      <c r="D774">
        <v>5.19</v>
      </c>
      <c r="E774" t="str">
        <f t="shared" si="27"/>
        <v>Normal</v>
      </c>
      <c r="F774" t="s">
        <v>2381</v>
      </c>
      <c r="G774" t="s">
        <v>2380</v>
      </c>
      <c r="H774" t="s">
        <v>2380</v>
      </c>
      <c r="I774">
        <v>2</v>
      </c>
      <c r="J774" t="s">
        <v>2380</v>
      </c>
    </row>
    <row r="775" spans="1:10" x14ac:dyDescent="0.35">
      <c r="A775" t="s">
        <v>1597</v>
      </c>
      <c r="B775" t="str">
        <f t="shared" si="26"/>
        <v>Obesity</v>
      </c>
      <c r="C775">
        <v>30.8</v>
      </c>
      <c r="D775">
        <v>4.37</v>
      </c>
      <c r="E775" t="str">
        <f t="shared" si="27"/>
        <v>Normal</v>
      </c>
      <c r="F775" t="s">
        <v>2381</v>
      </c>
      <c r="G775" t="s">
        <v>2380</v>
      </c>
      <c r="H775" t="s">
        <v>2380</v>
      </c>
      <c r="I775">
        <v>2</v>
      </c>
      <c r="J775" t="s">
        <v>2380</v>
      </c>
    </row>
    <row r="776" spans="1:10" x14ac:dyDescent="0.35">
      <c r="A776" t="s">
        <v>1596</v>
      </c>
      <c r="B776" t="str">
        <f t="shared" si="26"/>
        <v>Obesity</v>
      </c>
      <c r="C776">
        <v>42.06</v>
      </c>
      <c r="D776">
        <v>5.32</v>
      </c>
      <c r="E776" t="str">
        <f t="shared" si="27"/>
        <v>Normal</v>
      </c>
      <c r="F776" t="s">
        <v>2380</v>
      </c>
      <c r="G776" t="s">
        <v>2380</v>
      </c>
      <c r="H776" t="s">
        <v>2380</v>
      </c>
      <c r="I776">
        <v>1</v>
      </c>
      <c r="J776" t="s">
        <v>2380</v>
      </c>
    </row>
    <row r="777" spans="1:10" x14ac:dyDescent="0.35">
      <c r="A777" t="s">
        <v>1595</v>
      </c>
      <c r="B777" t="str">
        <f t="shared" si="26"/>
        <v>Obesity</v>
      </c>
      <c r="C777">
        <v>39.270000000000003</v>
      </c>
      <c r="D777">
        <v>5.64</v>
      </c>
      <c r="E777" t="str">
        <f t="shared" si="27"/>
        <v>Normal</v>
      </c>
      <c r="F777" t="s">
        <v>2380</v>
      </c>
      <c r="G777" t="s">
        <v>2380</v>
      </c>
      <c r="H777" t="s">
        <v>2382</v>
      </c>
      <c r="I777">
        <v>1</v>
      </c>
      <c r="J777" t="s">
        <v>2380</v>
      </c>
    </row>
    <row r="778" spans="1:10" x14ac:dyDescent="0.35">
      <c r="A778" t="s">
        <v>1594</v>
      </c>
      <c r="B778" t="str">
        <f t="shared" si="26"/>
        <v>Obesity</v>
      </c>
      <c r="C778">
        <v>30.71</v>
      </c>
      <c r="D778">
        <v>5.59</v>
      </c>
      <c r="E778" t="str">
        <f t="shared" si="27"/>
        <v>Normal</v>
      </c>
      <c r="F778" t="s">
        <v>2381</v>
      </c>
      <c r="G778" t="s">
        <v>2380</v>
      </c>
      <c r="H778" t="s">
        <v>2380</v>
      </c>
      <c r="I778">
        <v>1</v>
      </c>
      <c r="J778" t="s">
        <v>2380</v>
      </c>
    </row>
    <row r="779" spans="1:10" x14ac:dyDescent="0.35">
      <c r="A779" t="s">
        <v>1593</v>
      </c>
      <c r="B779" t="str">
        <f t="shared" si="26"/>
        <v>Obesity</v>
      </c>
      <c r="C779">
        <v>47.19</v>
      </c>
      <c r="D779">
        <v>5.29</v>
      </c>
      <c r="E779" t="str">
        <f t="shared" si="27"/>
        <v>Normal</v>
      </c>
      <c r="F779" t="s">
        <v>2380</v>
      </c>
      <c r="G779" t="s">
        <v>2380</v>
      </c>
      <c r="H779" t="s">
        <v>2380</v>
      </c>
      <c r="I779">
        <v>0</v>
      </c>
      <c r="J779" t="s">
        <v>2380</v>
      </c>
    </row>
    <row r="780" spans="1:10" x14ac:dyDescent="0.35">
      <c r="A780" t="s">
        <v>1592</v>
      </c>
      <c r="B780" t="str">
        <f t="shared" si="26"/>
        <v>Obesity</v>
      </c>
      <c r="C780">
        <v>30.02</v>
      </c>
      <c r="D780">
        <v>6.65</v>
      </c>
      <c r="E780" t="str">
        <f t="shared" si="27"/>
        <v>Diabetes</v>
      </c>
      <c r="F780" t="s">
        <v>2380</v>
      </c>
      <c r="G780" t="s">
        <v>2380</v>
      </c>
      <c r="H780" t="s">
        <v>2380</v>
      </c>
      <c r="I780">
        <v>0</v>
      </c>
      <c r="J780" t="s">
        <v>2380</v>
      </c>
    </row>
    <row r="781" spans="1:10" x14ac:dyDescent="0.35">
      <c r="A781" t="s">
        <v>1591</v>
      </c>
      <c r="B781" t="str">
        <f t="shared" si="26"/>
        <v>Obesity</v>
      </c>
      <c r="C781">
        <v>37.909999999999997</v>
      </c>
      <c r="D781">
        <v>5.68</v>
      </c>
      <c r="E781" t="str">
        <f t="shared" si="27"/>
        <v>Normal</v>
      </c>
      <c r="F781" t="s">
        <v>2381</v>
      </c>
      <c r="G781" t="s">
        <v>2380</v>
      </c>
      <c r="H781" t="s">
        <v>2380</v>
      </c>
      <c r="I781">
        <v>0</v>
      </c>
      <c r="J781" t="s">
        <v>2380</v>
      </c>
    </row>
    <row r="782" spans="1:10" x14ac:dyDescent="0.35">
      <c r="A782" t="s">
        <v>1590</v>
      </c>
      <c r="B782" t="str">
        <f t="shared" si="26"/>
        <v>Obesity</v>
      </c>
      <c r="C782">
        <v>54.61</v>
      </c>
      <c r="D782">
        <v>4.49</v>
      </c>
      <c r="E782" t="str">
        <f t="shared" si="27"/>
        <v>Normal</v>
      </c>
      <c r="F782" t="s">
        <v>2380</v>
      </c>
      <c r="G782" t="s">
        <v>2380</v>
      </c>
      <c r="H782" t="s">
        <v>2380</v>
      </c>
      <c r="I782">
        <v>0</v>
      </c>
      <c r="J782" t="s">
        <v>2380</v>
      </c>
    </row>
    <row r="783" spans="1:10" x14ac:dyDescent="0.35">
      <c r="A783" t="s">
        <v>1589</v>
      </c>
      <c r="B783" t="str">
        <f t="shared" si="26"/>
        <v>Obesity</v>
      </c>
      <c r="C783">
        <v>36.005000000000003</v>
      </c>
      <c r="D783">
        <v>6.9</v>
      </c>
      <c r="E783" t="str">
        <f t="shared" si="27"/>
        <v>Diabetes</v>
      </c>
      <c r="F783" t="s">
        <v>2380</v>
      </c>
      <c r="G783" t="s">
        <v>2380</v>
      </c>
      <c r="H783" t="s">
        <v>2380</v>
      </c>
      <c r="I783">
        <v>0</v>
      </c>
      <c r="J783" t="s">
        <v>2380</v>
      </c>
    </row>
    <row r="784" spans="1:10" x14ac:dyDescent="0.35">
      <c r="A784" t="s">
        <v>1588</v>
      </c>
      <c r="B784" t="str">
        <f t="shared" si="26"/>
        <v>Overweight</v>
      </c>
      <c r="C784">
        <v>28.7</v>
      </c>
      <c r="D784">
        <v>11.52</v>
      </c>
      <c r="E784" t="str">
        <f t="shared" si="27"/>
        <v>Diabetes</v>
      </c>
      <c r="F784" t="s">
        <v>2380</v>
      </c>
      <c r="G784" t="s">
        <v>2380</v>
      </c>
      <c r="H784" t="s">
        <v>2380</v>
      </c>
      <c r="I784">
        <v>0</v>
      </c>
      <c r="J784" t="s">
        <v>2380</v>
      </c>
    </row>
    <row r="785" spans="1:10" x14ac:dyDescent="0.35">
      <c r="A785" t="s">
        <v>1587</v>
      </c>
      <c r="B785" t="str">
        <f t="shared" si="26"/>
        <v>Obesity</v>
      </c>
      <c r="C785">
        <v>34.295000000000002</v>
      </c>
      <c r="D785">
        <v>11.24</v>
      </c>
      <c r="E785" t="str">
        <f t="shared" si="27"/>
        <v>Diabetes</v>
      </c>
      <c r="F785" t="s">
        <v>2380</v>
      </c>
      <c r="G785" t="s">
        <v>2380</v>
      </c>
      <c r="H785" t="s">
        <v>2380</v>
      </c>
      <c r="I785">
        <v>0</v>
      </c>
      <c r="J785" t="s">
        <v>2380</v>
      </c>
    </row>
    <row r="786" spans="1:10" x14ac:dyDescent="0.35">
      <c r="A786" t="s">
        <v>1586</v>
      </c>
      <c r="B786" t="str">
        <f t="shared" si="26"/>
        <v>Overweight</v>
      </c>
      <c r="C786">
        <v>27.55</v>
      </c>
      <c r="D786">
        <v>10.98</v>
      </c>
      <c r="E786" t="str">
        <f t="shared" si="27"/>
        <v>Diabetes</v>
      </c>
      <c r="F786" t="s">
        <v>2380</v>
      </c>
      <c r="G786" t="s">
        <v>2380</v>
      </c>
      <c r="H786" t="s">
        <v>2380</v>
      </c>
      <c r="I786">
        <v>0</v>
      </c>
      <c r="J786" t="s">
        <v>2380</v>
      </c>
    </row>
    <row r="787" spans="1:10" x14ac:dyDescent="0.35">
      <c r="A787" t="s">
        <v>1585</v>
      </c>
      <c r="B787" t="str">
        <f t="shared" si="26"/>
        <v>Obesity</v>
      </c>
      <c r="C787">
        <v>40.700000000000003</v>
      </c>
      <c r="D787">
        <v>5.42</v>
      </c>
      <c r="E787" t="str">
        <f t="shared" si="27"/>
        <v>Normal</v>
      </c>
      <c r="F787" t="s">
        <v>2380</v>
      </c>
      <c r="G787" t="s">
        <v>2380</v>
      </c>
      <c r="H787" t="s">
        <v>2380</v>
      </c>
      <c r="I787">
        <v>0</v>
      </c>
      <c r="J787" t="s">
        <v>2380</v>
      </c>
    </row>
    <row r="788" spans="1:10" x14ac:dyDescent="0.35">
      <c r="A788" t="s">
        <v>1584</v>
      </c>
      <c r="B788" t="str">
        <f t="shared" si="26"/>
        <v>Underweight</v>
      </c>
      <c r="C788">
        <v>18.335000000000001</v>
      </c>
      <c r="D788">
        <v>10.97</v>
      </c>
      <c r="E788" t="str">
        <f t="shared" si="27"/>
        <v>Diabetes</v>
      </c>
      <c r="F788" t="s">
        <v>2380</v>
      </c>
      <c r="G788" t="s">
        <v>2380</v>
      </c>
      <c r="H788" t="s">
        <v>2380</v>
      </c>
      <c r="I788">
        <v>0</v>
      </c>
      <c r="J788" t="s">
        <v>2380</v>
      </c>
    </row>
    <row r="789" spans="1:10" x14ac:dyDescent="0.35">
      <c r="A789" t="s">
        <v>1583</v>
      </c>
      <c r="B789" t="str">
        <f t="shared" si="26"/>
        <v>Obesity</v>
      </c>
      <c r="C789">
        <v>33.914999999999999</v>
      </c>
      <c r="D789">
        <v>9.56</v>
      </c>
      <c r="E789" t="str">
        <f t="shared" si="27"/>
        <v>Diabetes</v>
      </c>
      <c r="F789" t="s">
        <v>2381</v>
      </c>
      <c r="G789" t="s">
        <v>2380</v>
      </c>
      <c r="H789" t="s">
        <v>2380</v>
      </c>
      <c r="I789">
        <v>2</v>
      </c>
      <c r="J789" t="s">
        <v>2380</v>
      </c>
    </row>
    <row r="790" spans="1:10" x14ac:dyDescent="0.35">
      <c r="A790" t="s">
        <v>1582</v>
      </c>
      <c r="B790" t="str">
        <f t="shared" si="26"/>
        <v>Obesity</v>
      </c>
      <c r="C790">
        <v>33.534999999999997</v>
      </c>
      <c r="D790">
        <v>9.4</v>
      </c>
      <c r="E790" t="str">
        <f t="shared" si="27"/>
        <v>Diabetes</v>
      </c>
      <c r="F790" t="s">
        <v>2381</v>
      </c>
      <c r="G790" t="s">
        <v>2380</v>
      </c>
      <c r="H790" t="s">
        <v>2380</v>
      </c>
      <c r="I790">
        <v>2</v>
      </c>
      <c r="J790" t="s">
        <v>2380</v>
      </c>
    </row>
    <row r="791" spans="1:10" x14ac:dyDescent="0.35">
      <c r="A791" t="s">
        <v>1581</v>
      </c>
      <c r="B791" t="str">
        <f t="shared" si="26"/>
        <v>Normal Weight</v>
      </c>
      <c r="C791">
        <v>23.655000000000001</v>
      </c>
      <c r="D791">
        <v>8.48</v>
      </c>
      <c r="E791" t="str">
        <f t="shared" si="27"/>
        <v>Diabetes</v>
      </c>
      <c r="F791" t="s">
        <v>2381</v>
      </c>
      <c r="G791" t="s">
        <v>2380</v>
      </c>
      <c r="H791" t="s">
        <v>2380</v>
      </c>
      <c r="I791">
        <v>2</v>
      </c>
      <c r="J791" t="s">
        <v>2380</v>
      </c>
    </row>
    <row r="792" spans="1:10" x14ac:dyDescent="0.35">
      <c r="A792" t="s">
        <v>1580</v>
      </c>
      <c r="B792" t="str">
        <f t="shared" si="26"/>
        <v>Overweight</v>
      </c>
      <c r="C792">
        <v>28</v>
      </c>
      <c r="D792">
        <v>5.57</v>
      </c>
      <c r="E792" t="str">
        <f t="shared" si="27"/>
        <v>Normal</v>
      </c>
      <c r="F792" t="s">
        <v>2380</v>
      </c>
      <c r="G792" t="s">
        <v>2380</v>
      </c>
      <c r="H792" t="s">
        <v>2380</v>
      </c>
      <c r="I792">
        <v>0</v>
      </c>
      <c r="J792" t="s">
        <v>2380</v>
      </c>
    </row>
    <row r="793" spans="1:10" x14ac:dyDescent="0.35">
      <c r="A793" t="s">
        <v>1579</v>
      </c>
      <c r="B793" t="str">
        <f t="shared" si="26"/>
        <v>Obesity</v>
      </c>
      <c r="C793">
        <v>30.23</v>
      </c>
      <c r="D793">
        <v>6.94</v>
      </c>
      <c r="E793" t="str">
        <f t="shared" si="27"/>
        <v>Diabetes</v>
      </c>
      <c r="F793" t="s">
        <v>2381</v>
      </c>
      <c r="G793" t="s">
        <v>2380</v>
      </c>
      <c r="H793" t="s">
        <v>2382</v>
      </c>
      <c r="I793">
        <v>1</v>
      </c>
      <c r="J793" t="s">
        <v>2380</v>
      </c>
    </row>
    <row r="794" spans="1:10" x14ac:dyDescent="0.35">
      <c r="A794" t="s">
        <v>1578</v>
      </c>
      <c r="B794" t="str">
        <f t="shared" si="26"/>
        <v>Obesity</v>
      </c>
      <c r="C794">
        <v>51.14</v>
      </c>
      <c r="D794">
        <v>4.05</v>
      </c>
      <c r="E794" t="str">
        <f t="shared" si="27"/>
        <v>Normal</v>
      </c>
      <c r="F794" t="s">
        <v>2380</v>
      </c>
      <c r="G794" t="s">
        <v>2380</v>
      </c>
      <c r="H794" t="s">
        <v>2380</v>
      </c>
      <c r="I794">
        <v>1</v>
      </c>
      <c r="J794" t="s">
        <v>2380</v>
      </c>
    </row>
    <row r="795" spans="1:10" x14ac:dyDescent="0.35">
      <c r="A795" t="s">
        <v>1577</v>
      </c>
      <c r="B795" t="str">
        <f t="shared" si="26"/>
        <v>Normal Weight</v>
      </c>
      <c r="C795">
        <v>24.32</v>
      </c>
      <c r="D795">
        <v>10.220000000000001</v>
      </c>
      <c r="E795" t="str">
        <f t="shared" si="27"/>
        <v>Diabetes</v>
      </c>
      <c r="F795" t="s">
        <v>2380</v>
      </c>
      <c r="G795" t="s">
        <v>2380</v>
      </c>
      <c r="H795" t="s">
        <v>2380</v>
      </c>
      <c r="I795">
        <v>0</v>
      </c>
      <c r="J795" t="s">
        <v>2380</v>
      </c>
    </row>
    <row r="796" spans="1:10" x14ac:dyDescent="0.35">
      <c r="A796" t="s">
        <v>1576</v>
      </c>
      <c r="B796" t="str">
        <f t="shared" si="26"/>
        <v>Obesity</v>
      </c>
      <c r="C796">
        <v>38.06</v>
      </c>
      <c r="D796">
        <v>9.24</v>
      </c>
      <c r="E796" t="str">
        <f t="shared" si="27"/>
        <v>Diabetes</v>
      </c>
      <c r="F796" t="s">
        <v>2380</v>
      </c>
      <c r="G796" t="s">
        <v>2380</v>
      </c>
      <c r="H796" t="s">
        <v>2380</v>
      </c>
      <c r="I796">
        <v>0</v>
      </c>
      <c r="J796" t="s">
        <v>2380</v>
      </c>
    </row>
    <row r="797" spans="1:10" x14ac:dyDescent="0.35">
      <c r="A797" t="s">
        <v>1575</v>
      </c>
      <c r="B797" t="str">
        <f t="shared" si="26"/>
        <v>Obesity</v>
      </c>
      <c r="C797">
        <v>37.700000000000003</v>
      </c>
      <c r="D797">
        <v>8.6</v>
      </c>
      <c r="E797" t="str">
        <f t="shared" si="27"/>
        <v>Diabetes</v>
      </c>
      <c r="F797" t="s">
        <v>2380</v>
      </c>
      <c r="G797" t="s">
        <v>2380</v>
      </c>
      <c r="H797" t="s">
        <v>2380</v>
      </c>
      <c r="I797">
        <v>0</v>
      </c>
      <c r="J797" t="s">
        <v>2380</v>
      </c>
    </row>
    <row r="798" spans="1:10" x14ac:dyDescent="0.35">
      <c r="A798" t="s">
        <v>1574</v>
      </c>
      <c r="B798" t="str">
        <f t="shared" si="26"/>
        <v>Obesity</v>
      </c>
      <c r="C798">
        <v>44</v>
      </c>
      <c r="D798">
        <v>9.32</v>
      </c>
      <c r="E798" t="str">
        <f t="shared" si="27"/>
        <v>Diabetes</v>
      </c>
      <c r="F798" t="s">
        <v>2381</v>
      </c>
      <c r="G798" t="s">
        <v>2380</v>
      </c>
      <c r="H798" t="s">
        <v>2380</v>
      </c>
      <c r="I798">
        <v>2</v>
      </c>
      <c r="J798" t="s">
        <v>2380</v>
      </c>
    </row>
    <row r="799" spans="1:10" x14ac:dyDescent="0.35">
      <c r="A799" t="s">
        <v>1573</v>
      </c>
      <c r="B799" t="str">
        <f t="shared" si="26"/>
        <v>Obesity</v>
      </c>
      <c r="C799">
        <v>41.45</v>
      </c>
      <c r="D799">
        <v>6.12</v>
      </c>
      <c r="E799" t="str">
        <f t="shared" si="27"/>
        <v>Prediabetes</v>
      </c>
      <c r="F799" t="s">
        <v>2381</v>
      </c>
      <c r="G799" t="s">
        <v>2380</v>
      </c>
      <c r="H799" t="s">
        <v>2380</v>
      </c>
      <c r="I799">
        <v>0</v>
      </c>
      <c r="J799" t="s">
        <v>2380</v>
      </c>
    </row>
    <row r="800" spans="1:10" x14ac:dyDescent="0.35">
      <c r="A800" t="s">
        <v>1572</v>
      </c>
      <c r="B800" t="str">
        <f t="shared" si="26"/>
        <v>Overweight</v>
      </c>
      <c r="C800">
        <v>25.364999999999998</v>
      </c>
      <c r="D800">
        <v>9.19</v>
      </c>
      <c r="E800" t="str">
        <f t="shared" si="27"/>
        <v>Diabetes</v>
      </c>
      <c r="F800" t="s">
        <v>2381</v>
      </c>
      <c r="G800" t="s">
        <v>2380</v>
      </c>
      <c r="H800" t="s">
        <v>2380</v>
      </c>
      <c r="I800">
        <v>0</v>
      </c>
      <c r="J800" t="s">
        <v>2380</v>
      </c>
    </row>
    <row r="801" spans="1:10" x14ac:dyDescent="0.35">
      <c r="A801" t="s">
        <v>1571</v>
      </c>
      <c r="B801" t="str">
        <f t="shared" si="26"/>
        <v>Obesity</v>
      </c>
      <c r="C801">
        <v>34.56</v>
      </c>
      <c r="D801">
        <v>5.84</v>
      </c>
      <c r="E801" t="str">
        <f t="shared" si="27"/>
        <v>Prediabetes</v>
      </c>
      <c r="F801" t="s">
        <v>2381</v>
      </c>
      <c r="G801" t="s">
        <v>2380</v>
      </c>
      <c r="H801" t="s">
        <v>2382</v>
      </c>
      <c r="I801">
        <v>1</v>
      </c>
      <c r="J801" t="s">
        <v>2380</v>
      </c>
    </row>
    <row r="802" spans="1:10" x14ac:dyDescent="0.35">
      <c r="A802" t="s">
        <v>1570</v>
      </c>
      <c r="B802" t="str">
        <f t="shared" si="26"/>
        <v>Overweight</v>
      </c>
      <c r="C802">
        <v>28.2</v>
      </c>
      <c r="D802">
        <v>7.19</v>
      </c>
      <c r="E802" t="str">
        <f t="shared" si="27"/>
        <v>Diabetes</v>
      </c>
      <c r="F802" t="s">
        <v>2381</v>
      </c>
      <c r="G802" t="s">
        <v>2380</v>
      </c>
      <c r="H802" t="s">
        <v>2380</v>
      </c>
      <c r="I802">
        <v>2</v>
      </c>
      <c r="J802" t="s">
        <v>2380</v>
      </c>
    </row>
    <row r="803" spans="1:10" x14ac:dyDescent="0.35">
      <c r="A803" t="s">
        <v>1569</v>
      </c>
      <c r="B803" t="str">
        <f t="shared" si="26"/>
        <v>Obesity</v>
      </c>
      <c r="C803">
        <v>30.43</v>
      </c>
      <c r="D803">
        <v>9.39</v>
      </c>
      <c r="E803" t="str">
        <f t="shared" si="27"/>
        <v>Diabetes</v>
      </c>
      <c r="F803" t="s">
        <v>2380</v>
      </c>
      <c r="G803" t="s">
        <v>2380</v>
      </c>
      <c r="H803" t="s">
        <v>2380</v>
      </c>
      <c r="I803">
        <v>0</v>
      </c>
      <c r="J803" t="s">
        <v>2380</v>
      </c>
    </row>
    <row r="804" spans="1:10" x14ac:dyDescent="0.35">
      <c r="A804" t="s">
        <v>1568</v>
      </c>
      <c r="B804" t="str">
        <f t="shared" si="26"/>
        <v>Obesity</v>
      </c>
      <c r="C804">
        <v>32.395000000000003</v>
      </c>
      <c r="D804">
        <v>4.2699999999999996</v>
      </c>
      <c r="E804" t="str">
        <f t="shared" si="27"/>
        <v>Normal</v>
      </c>
      <c r="F804" t="s">
        <v>2381</v>
      </c>
      <c r="G804" t="s">
        <v>2380</v>
      </c>
      <c r="H804" t="s">
        <v>2380</v>
      </c>
      <c r="I804">
        <v>1</v>
      </c>
      <c r="J804" t="s">
        <v>2380</v>
      </c>
    </row>
    <row r="805" spans="1:10" x14ac:dyDescent="0.35">
      <c r="A805" t="s">
        <v>1567</v>
      </c>
      <c r="B805" t="str">
        <f t="shared" si="26"/>
        <v>Normal Weight</v>
      </c>
      <c r="C805">
        <v>24.035</v>
      </c>
      <c r="D805">
        <v>11.71</v>
      </c>
      <c r="E805" t="str">
        <f t="shared" si="27"/>
        <v>Diabetes</v>
      </c>
      <c r="F805" t="s">
        <v>2380</v>
      </c>
      <c r="G805" t="s">
        <v>2380</v>
      </c>
      <c r="H805" t="s">
        <v>2380</v>
      </c>
      <c r="I805">
        <v>0</v>
      </c>
      <c r="J805" t="s">
        <v>2380</v>
      </c>
    </row>
    <row r="806" spans="1:10" x14ac:dyDescent="0.35">
      <c r="A806" t="s">
        <v>1566</v>
      </c>
      <c r="B806" t="str">
        <f t="shared" si="26"/>
        <v>Obesity</v>
      </c>
      <c r="C806">
        <v>37.119999999999997</v>
      </c>
      <c r="D806">
        <v>5.29</v>
      </c>
      <c r="E806" t="str">
        <f t="shared" si="27"/>
        <v>Normal</v>
      </c>
      <c r="F806" t="s">
        <v>2380</v>
      </c>
      <c r="G806" t="s">
        <v>2380</v>
      </c>
      <c r="H806" t="s">
        <v>2380</v>
      </c>
      <c r="I806">
        <v>2</v>
      </c>
      <c r="J806" t="s">
        <v>2380</v>
      </c>
    </row>
    <row r="807" spans="1:10" x14ac:dyDescent="0.35">
      <c r="A807" t="s">
        <v>1565</v>
      </c>
      <c r="B807" t="str">
        <f t="shared" si="26"/>
        <v>Obesity</v>
      </c>
      <c r="C807">
        <v>34.840000000000003</v>
      </c>
      <c r="D807">
        <v>6</v>
      </c>
      <c r="E807" t="str">
        <f t="shared" si="27"/>
        <v>Prediabetes</v>
      </c>
      <c r="F807" t="s">
        <v>2381</v>
      </c>
      <c r="G807" t="s">
        <v>2380</v>
      </c>
      <c r="H807" t="s">
        <v>2382</v>
      </c>
      <c r="I807">
        <v>1</v>
      </c>
      <c r="J807" t="s">
        <v>2380</v>
      </c>
    </row>
    <row r="808" spans="1:10" x14ac:dyDescent="0.35">
      <c r="A808" t="s">
        <v>1564</v>
      </c>
      <c r="B808" t="str">
        <f t="shared" si="26"/>
        <v>Overweight</v>
      </c>
      <c r="C808">
        <v>29.53</v>
      </c>
      <c r="D808">
        <v>10.64</v>
      </c>
      <c r="E808" t="str">
        <f t="shared" si="27"/>
        <v>Diabetes</v>
      </c>
      <c r="F808" t="s">
        <v>2380</v>
      </c>
      <c r="G808" t="s">
        <v>2380</v>
      </c>
      <c r="H808" t="s">
        <v>2380</v>
      </c>
      <c r="I808">
        <v>0</v>
      </c>
      <c r="J808" t="s">
        <v>2380</v>
      </c>
    </row>
    <row r="809" spans="1:10" x14ac:dyDescent="0.35">
      <c r="A809" t="s">
        <v>1563</v>
      </c>
      <c r="B809" t="str">
        <f t="shared" si="26"/>
        <v>Obesity</v>
      </c>
      <c r="C809">
        <v>42.51</v>
      </c>
      <c r="D809">
        <v>8.2100000000000009</v>
      </c>
      <c r="E809" t="str">
        <f t="shared" si="27"/>
        <v>Diabetes</v>
      </c>
      <c r="F809" t="s">
        <v>2381</v>
      </c>
      <c r="G809" t="s">
        <v>2380</v>
      </c>
      <c r="H809" t="s">
        <v>2380</v>
      </c>
      <c r="I809">
        <v>0</v>
      </c>
      <c r="J809" t="s">
        <v>2380</v>
      </c>
    </row>
    <row r="810" spans="1:10" x14ac:dyDescent="0.35">
      <c r="A810" t="s">
        <v>1562</v>
      </c>
      <c r="B810" t="str">
        <f t="shared" si="26"/>
        <v>Obesity</v>
      </c>
      <c r="C810">
        <v>38.14</v>
      </c>
      <c r="D810">
        <v>5.58</v>
      </c>
      <c r="E810" t="str">
        <f t="shared" si="27"/>
        <v>Normal</v>
      </c>
      <c r="F810" t="s">
        <v>2380</v>
      </c>
      <c r="G810" t="s">
        <v>2380</v>
      </c>
      <c r="H810" t="s">
        <v>2382</v>
      </c>
      <c r="I810">
        <v>1</v>
      </c>
      <c r="J810" t="s">
        <v>2380</v>
      </c>
    </row>
    <row r="811" spans="1:10" x14ac:dyDescent="0.35">
      <c r="A811" t="s">
        <v>1561</v>
      </c>
      <c r="B811" t="str">
        <f t="shared" si="26"/>
        <v>Obesity</v>
      </c>
      <c r="C811">
        <v>39.93</v>
      </c>
      <c r="D811">
        <v>8.75</v>
      </c>
      <c r="E811" t="str">
        <f t="shared" si="27"/>
        <v>Diabetes</v>
      </c>
      <c r="F811" t="s">
        <v>2380</v>
      </c>
      <c r="G811" t="s">
        <v>2380</v>
      </c>
      <c r="H811" t="s">
        <v>2380</v>
      </c>
      <c r="I811">
        <v>0</v>
      </c>
      <c r="J811" t="s">
        <v>2380</v>
      </c>
    </row>
    <row r="812" spans="1:10" x14ac:dyDescent="0.35">
      <c r="A812" t="s">
        <v>1560</v>
      </c>
      <c r="B812" t="str">
        <f t="shared" si="26"/>
        <v>Obesity</v>
      </c>
      <c r="C812">
        <v>38.83</v>
      </c>
      <c r="D812">
        <v>11.86</v>
      </c>
      <c r="E812" t="str">
        <f t="shared" si="27"/>
        <v>Diabetes</v>
      </c>
      <c r="F812" t="s">
        <v>2380</v>
      </c>
      <c r="G812" t="s">
        <v>2380</v>
      </c>
      <c r="H812" t="s">
        <v>2380</v>
      </c>
      <c r="I812">
        <v>0</v>
      </c>
      <c r="J812" t="s">
        <v>2380</v>
      </c>
    </row>
    <row r="813" spans="1:10" x14ac:dyDescent="0.35">
      <c r="A813" t="s">
        <v>1559</v>
      </c>
      <c r="B813" t="str">
        <f t="shared" si="26"/>
        <v>Obesity</v>
      </c>
      <c r="C813">
        <v>37.4</v>
      </c>
      <c r="D813">
        <v>11.46</v>
      </c>
      <c r="E813" t="str">
        <f t="shared" si="27"/>
        <v>Diabetes</v>
      </c>
      <c r="F813" t="s">
        <v>2380</v>
      </c>
      <c r="G813" t="s">
        <v>2380</v>
      </c>
      <c r="H813" t="s">
        <v>2380</v>
      </c>
      <c r="I813">
        <v>0</v>
      </c>
      <c r="J813" t="s">
        <v>2380</v>
      </c>
    </row>
    <row r="814" spans="1:10" x14ac:dyDescent="0.35">
      <c r="A814" t="s">
        <v>1558</v>
      </c>
      <c r="B814" t="str">
        <f t="shared" si="26"/>
        <v>Normal Weight</v>
      </c>
      <c r="C814">
        <v>21.4</v>
      </c>
      <c r="D814">
        <v>9.0299999999999994</v>
      </c>
      <c r="E814" t="str">
        <f t="shared" si="27"/>
        <v>Diabetes</v>
      </c>
      <c r="F814" t="s">
        <v>2380</v>
      </c>
      <c r="G814" t="s">
        <v>2380</v>
      </c>
      <c r="H814" t="s">
        <v>2380</v>
      </c>
      <c r="I814">
        <v>0</v>
      </c>
      <c r="J814" t="s">
        <v>2380</v>
      </c>
    </row>
    <row r="815" spans="1:10" x14ac:dyDescent="0.35">
      <c r="A815" t="s">
        <v>1557</v>
      </c>
      <c r="B815" t="str">
        <f t="shared" si="26"/>
        <v>Obesity</v>
      </c>
      <c r="C815">
        <v>38.380000000000003</v>
      </c>
      <c r="D815">
        <v>8.26</v>
      </c>
      <c r="E815" t="str">
        <f t="shared" si="27"/>
        <v>Diabetes</v>
      </c>
      <c r="F815" t="s">
        <v>2381</v>
      </c>
      <c r="G815" t="s">
        <v>2380</v>
      </c>
      <c r="H815" t="s">
        <v>2380</v>
      </c>
      <c r="I815">
        <v>2</v>
      </c>
      <c r="J815" t="s">
        <v>2380</v>
      </c>
    </row>
    <row r="816" spans="1:10" x14ac:dyDescent="0.35">
      <c r="A816" t="s">
        <v>1556</v>
      </c>
      <c r="B816" t="str">
        <f t="shared" si="26"/>
        <v>Obesity</v>
      </c>
      <c r="C816">
        <v>33.659999999999997</v>
      </c>
      <c r="D816">
        <v>5.42</v>
      </c>
      <c r="E816" t="str">
        <f t="shared" si="27"/>
        <v>Normal</v>
      </c>
      <c r="F816" t="s">
        <v>2381</v>
      </c>
      <c r="G816" t="s">
        <v>2380</v>
      </c>
      <c r="H816" t="s">
        <v>2380</v>
      </c>
      <c r="I816">
        <v>2</v>
      </c>
      <c r="J816" t="s">
        <v>2380</v>
      </c>
    </row>
    <row r="817" spans="1:10" x14ac:dyDescent="0.35">
      <c r="A817" t="s">
        <v>1555</v>
      </c>
      <c r="B817" t="str">
        <f t="shared" si="26"/>
        <v>Obesity</v>
      </c>
      <c r="C817">
        <v>31.79</v>
      </c>
      <c r="D817">
        <v>11.33</v>
      </c>
      <c r="E817" t="str">
        <f t="shared" si="27"/>
        <v>Diabetes</v>
      </c>
      <c r="F817" t="s">
        <v>2381</v>
      </c>
      <c r="G817" t="s">
        <v>2380</v>
      </c>
      <c r="H817" t="s">
        <v>2382</v>
      </c>
      <c r="I817">
        <v>1</v>
      </c>
      <c r="J817" t="s">
        <v>2380</v>
      </c>
    </row>
    <row r="818" spans="1:10" x14ac:dyDescent="0.35">
      <c r="A818" t="s">
        <v>1554</v>
      </c>
      <c r="B818" t="str">
        <f t="shared" si="26"/>
        <v>Overweight</v>
      </c>
      <c r="C818">
        <v>29.7</v>
      </c>
      <c r="D818">
        <v>7.69</v>
      </c>
      <c r="E818" t="str">
        <f t="shared" si="27"/>
        <v>Diabetes</v>
      </c>
      <c r="F818" t="s">
        <v>2381</v>
      </c>
      <c r="G818" t="s">
        <v>2380</v>
      </c>
      <c r="H818" t="s">
        <v>2382</v>
      </c>
      <c r="I818">
        <v>1</v>
      </c>
      <c r="J818" t="s">
        <v>2380</v>
      </c>
    </row>
    <row r="819" spans="1:10" x14ac:dyDescent="0.35">
      <c r="A819" t="s">
        <v>1553</v>
      </c>
      <c r="B819" t="str">
        <f t="shared" si="26"/>
        <v>Overweight</v>
      </c>
      <c r="C819">
        <v>25.46</v>
      </c>
      <c r="D819">
        <v>8.77</v>
      </c>
      <c r="E819" t="str">
        <f t="shared" si="27"/>
        <v>Diabetes</v>
      </c>
      <c r="F819" t="s">
        <v>2381</v>
      </c>
      <c r="G819" t="s">
        <v>2380</v>
      </c>
      <c r="H819" t="s">
        <v>2382</v>
      </c>
      <c r="I819">
        <v>1</v>
      </c>
      <c r="J819" t="s">
        <v>2380</v>
      </c>
    </row>
    <row r="820" spans="1:10" x14ac:dyDescent="0.35">
      <c r="A820" t="s">
        <v>1552</v>
      </c>
      <c r="B820" t="str">
        <f t="shared" si="26"/>
        <v>Obesity</v>
      </c>
      <c r="C820">
        <v>39.14</v>
      </c>
      <c r="D820">
        <v>4.91</v>
      </c>
      <c r="E820" t="str">
        <f t="shared" si="27"/>
        <v>Normal</v>
      </c>
      <c r="F820" t="s">
        <v>2380</v>
      </c>
      <c r="G820" t="s">
        <v>2381</v>
      </c>
      <c r="H820" t="s">
        <v>2380</v>
      </c>
      <c r="I820">
        <v>1</v>
      </c>
      <c r="J820" t="s">
        <v>2380</v>
      </c>
    </row>
    <row r="821" spans="1:10" x14ac:dyDescent="0.35">
      <c r="A821" t="s">
        <v>1551</v>
      </c>
      <c r="B821" t="str">
        <f t="shared" si="26"/>
        <v>Obesity</v>
      </c>
      <c r="C821">
        <v>41.2</v>
      </c>
      <c r="D821">
        <v>4.95</v>
      </c>
      <c r="E821" t="str">
        <f t="shared" si="27"/>
        <v>Normal</v>
      </c>
      <c r="F821" t="s">
        <v>2380</v>
      </c>
      <c r="G821" t="s">
        <v>2380</v>
      </c>
      <c r="H821" t="s">
        <v>2380</v>
      </c>
      <c r="I821">
        <v>1</v>
      </c>
      <c r="J821" t="s">
        <v>2380</v>
      </c>
    </row>
    <row r="822" spans="1:10" x14ac:dyDescent="0.35">
      <c r="A822" t="s">
        <v>1550</v>
      </c>
      <c r="B822" t="str">
        <f t="shared" si="26"/>
        <v>Overweight</v>
      </c>
      <c r="C822">
        <v>28.81</v>
      </c>
      <c r="D822">
        <v>10.8</v>
      </c>
      <c r="E822" t="str">
        <f t="shared" si="27"/>
        <v>Diabetes</v>
      </c>
      <c r="F822" t="s">
        <v>2381</v>
      </c>
      <c r="G822" t="s">
        <v>2380</v>
      </c>
      <c r="H822" t="s">
        <v>2382</v>
      </c>
      <c r="I822">
        <v>1</v>
      </c>
      <c r="J822" t="s">
        <v>2380</v>
      </c>
    </row>
    <row r="823" spans="1:10" x14ac:dyDescent="0.35">
      <c r="A823" t="s">
        <v>1549</v>
      </c>
      <c r="B823" t="str">
        <f t="shared" si="26"/>
        <v>Obesity</v>
      </c>
      <c r="C823">
        <v>37.409999999999997</v>
      </c>
      <c r="D823">
        <v>7.21</v>
      </c>
      <c r="E823" t="str">
        <f t="shared" si="27"/>
        <v>Diabetes</v>
      </c>
      <c r="F823" t="s">
        <v>2380</v>
      </c>
      <c r="G823" t="s">
        <v>2380</v>
      </c>
      <c r="H823" t="s">
        <v>2380</v>
      </c>
      <c r="I823">
        <v>2</v>
      </c>
      <c r="J823" t="s">
        <v>2380</v>
      </c>
    </row>
    <row r="824" spans="1:10" x14ac:dyDescent="0.35">
      <c r="A824" t="s">
        <v>1548</v>
      </c>
      <c r="B824" t="str">
        <f t="shared" si="26"/>
        <v>Obesity</v>
      </c>
      <c r="C824">
        <v>52.54</v>
      </c>
      <c r="D824">
        <v>5.12</v>
      </c>
      <c r="E824" t="str">
        <f t="shared" si="27"/>
        <v>Normal</v>
      </c>
      <c r="F824" t="s">
        <v>2380</v>
      </c>
      <c r="G824" t="s">
        <v>2380</v>
      </c>
      <c r="H824" t="s">
        <v>2382</v>
      </c>
      <c r="I824">
        <v>1</v>
      </c>
      <c r="J824" t="s">
        <v>2380</v>
      </c>
    </row>
    <row r="825" spans="1:10" x14ac:dyDescent="0.35">
      <c r="A825" t="s">
        <v>1547</v>
      </c>
      <c r="B825" t="str">
        <f t="shared" si="26"/>
        <v>Underweight</v>
      </c>
      <c r="C825">
        <v>17.29</v>
      </c>
      <c r="D825">
        <v>4.62</v>
      </c>
      <c r="E825" t="str">
        <f t="shared" si="27"/>
        <v>Normal</v>
      </c>
      <c r="F825" t="s">
        <v>2380</v>
      </c>
      <c r="G825" t="s">
        <v>2381</v>
      </c>
      <c r="H825" t="s">
        <v>2380</v>
      </c>
      <c r="I825">
        <v>1</v>
      </c>
      <c r="J825" t="s">
        <v>2381</v>
      </c>
    </row>
    <row r="826" spans="1:10" x14ac:dyDescent="0.35">
      <c r="A826" t="s">
        <v>1546</v>
      </c>
      <c r="B826" t="str">
        <f t="shared" si="26"/>
        <v>Obesity</v>
      </c>
      <c r="C826">
        <v>31.74</v>
      </c>
      <c r="D826">
        <v>7.68</v>
      </c>
      <c r="E826" t="str">
        <f t="shared" si="27"/>
        <v>Diabetes</v>
      </c>
      <c r="F826" t="s">
        <v>2381</v>
      </c>
      <c r="G826" t="s">
        <v>2380</v>
      </c>
      <c r="H826" t="s">
        <v>2380</v>
      </c>
      <c r="I826">
        <v>0</v>
      </c>
      <c r="J826" t="s">
        <v>2380</v>
      </c>
    </row>
    <row r="827" spans="1:10" x14ac:dyDescent="0.35">
      <c r="A827" t="s">
        <v>1545</v>
      </c>
      <c r="B827" t="str">
        <f t="shared" si="26"/>
        <v>Overweight</v>
      </c>
      <c r="C827">
        <v>26.504999999999999</v>
      </c>
      <c r="D827">
        <v>6.79</v>
      </c>
      <c r="E827" t="str">
        <f t="shared" si="27"/>
        <v>Diabetes</v>
      </c>
      <c r="F827" t="s">
        <v>2381</v>
      </c>
      <c r="G827" t="s">
        <v>2380</v>
      </c>
      <c r="H827" t="s">
        <v>2382</v>
      </c>
      <c r="I827">
        <v>1</v>
      </c>
      <c r="J827" t="s">
        <v>2380</v>
      </c>
    </row>
    <row r="828" spans="1:10" x14ac:dyDescent="0.35">
      <c r="A828" t="s">
        <v>1544</v>
      </c>
      <c r="B828" t="str">
        <f t="shared" si="26"/>
        <v>Obesity</v>
      </c>
      <c r="C828">
        <v>36.479999999999997</v>
      </c>
      <c r="D828">
        <v>11.09</v>
      </c>
      <c r="E828" t="str">
        <f t="shared" si="27"/>
        <v>Diabetes</v>
      </c>
      <c r="F828" t="s">
        <v>2380</v>
      </c>
      <c r="G828" t="s">
        <v>2380</v>
      </c>
      <c r="H828" t="s">
        <v>2380</v>
      </c>
      <c r="I828">
        <v>0</v>
      </c>
      <c r="J828" t="s">
        <v>2380</v>
      </c>
    </row>
    <row r="829" spans="1:10" x14ac:dyDescent="0.35">
      <c r="A829" t="s">
        <v>1543</v>
      </c>
      <c r="B829" t="str">
        <f t="shared" si="26"/>
        <v>Obesity</v>
      </c>
      <c r="C829">
        <v>39.159999999999997</v>
      </c>
      <c r="D829">
        <v>5.24</v>
      </c>
      <c r="E829" t="str">
        <f t="shared" si="27"/>
        <v>Normal</v>
      </c>
      <c r="F829" t="s">
        <v>2381</v>
      </c>
      <c r="G829" t="s">
        <v>2380</v>
      </c>
      <c r="H829" t="s">
        <v>2382</v>
      </c>
      <c r="I829">
        <v>1</v>
      </c>
      <c r="J829" t="s">
        <v>2380</v>
      </c>
    </row>
    <row r="830" spans="1:10" x14ac:dyDescent="0.35">
      <c r="A830" t="s">
        <v>1542</v>
      </c>
      <c r="B830" t="str">
        <f t="shared" si="26"/>
        <v>Overweight</v>
      </c>
      <c r="C830">
        <v>28.22</v>
      </c>
      <c r="D830">
        <v>7.51</v>
      </c>
      <c r="E830" t="str">
        <f t="shared" si="27"/>
        <v>Diabetes</v>
      </c>
      <c r="F830" t="s">
        <v>2381</v>
      </c>
      <c r="G830" t="s">
        <v>2380</v>
      </c>
      <c r="H830" t="s">
        <v>2382</v>
      </c>
      <c r="I830">
        <v>1</v>
      </c>
      <c r="J830" t="s">
        <v>2380</v>
      </c>
    </row>
    <row r="831" spans="1:10" x14ac:dyDescent="0.35">
      <c r="A831" t="s">
        <v>1541</v>
      </c>
      <c r="B831" t="str">
        <f t="shared" si="26"/>
        <v>Obesity</v>
      </c>
      <c r="C831">
        <v>35</v>
      </c>
      <c r="D831">
        <v>4.13</v>
      </c>
      <c r="E831" t="str">
        <f t="shared" si="27"/>
        <v>Normal</v>
      </c>
      <c r="F831" t="s">
        <v>2380</v>
      </c>
      <c r="G831" t="s">
        <v>2380</v>
      </c>
      <c r="H831" t="s">
        <v>2380</v>
      </c>
      <c r="I831">
        <v>2</v>
      </c>
      <c r="J831" t="s">
        <v>2380</v>
      </c>
    </row>
    <row r="832" spans="1:10" x14ac:dyDescent="0.35">
      <c r="A832" t="s">
        <v>1540</v>
      </c>
      <c r="B832" t="str">
        <f t="shared" si="26"/>
        <v>Obesity</v>
      </c>
      <c r="C832">
        <v>36.24</v>
      </c>
      <c r="D832">
        <v>8.3800000000000008</v>
      </c>
      <c r="E832" t="str">
        <f t="shared" si="27"/>
        <v>Diabetes</v>
      </c>
      <c r="F832" t="s">
        <v>2381</v>
      </c>
      <c r="G832" t="s">
        <v>2380</v>
      </c>
      <c r="H832" t="s">
        <v>2380</v>
      </c>
      <c r="I832">
        <v>1</v>
      </c>
      <c r="J832" t="s">
        <v>2380</v>
      </c>
    </row>
    <row r="833" spans="1:10" x14ac:dyDescent="0.35">
      <c r="A833" t="s">
        <v>1539</v>
      </c>
      <c r="B833" t="str">
        <f t="shared" si="26"/>
        <v>Obesity</v>
      </c>
      <c r="C833">
        <v>36.954999999999998</v>
      </c>
      <c r="D833">
        <v>8.07</v>
      </c>
      <c r="E833" t="str">
        <f t="shared" si="27"/>
        <v>Diabetes</v>
      </c>
      <c r="F833" t="s">
        <v>2380</v>
      </c>
      <c r="G833" t="s">
        <v>2380</v>
      </c>
      <c r="H833" t="s">
        <v>2380</v>
      </c>
      <c r="I833">
        <v>0</v>
      </c>
      <c r="J833" t="s">
        <v>2380</v>
      </c>
    </row>
    <row r="834" spans="1:10" x14ac:dyDescent="0.35">
      <c r="A834" t="s">
        <v>1538</v>
      </c>
      <c r="B834" t="str">
        <f t="shared" si="26"/>
        <v>Overweight</v>
      </c>
      <c r="C834">
        <v>29.64</v>
      </c>
      <c r="D834">
        <v>8.9499999999999993</v>
      </c>
      <c r="E834" t="str">
        <f t="shared" si="27"/>
        <v>Diabetes</v>
      </c>
      <c r="F834" t="s">
        <v>2380</v>
      </c>
      <c r="G834" t="s">
        <v>2380</v>
      </c>
      <c r="H834" t="s">
        <v>2380</v>
      </c>
      <c r="I834">
        <v>0</v>
      </c>
      <c r="J834" t="s">
        <v>2380</v>
      </c>
    </row>
    <row r="835" spans="1:10" x14ac:dyDescent="0.35">
      <c r="A835" t="s">
        <v>1537</v>
      </c>
      <c r="B835" t="str">
        <f t="shared" ref="B835:B898" si="28">IF(C835&lt;18.5,"Underweight",IF(C835&lt;25,"Normal Weight",IF(C835&lt;30,"Overweight","Obesity")))</f>
        <v>Obesity</v>
      </c>
      <c r="C835">
        <v>42.74</v>
      </c>
      <c r="D835">
        <v>6.31</v>
      </c>
      <c r="E835" t="str">
        <f t="shared" ref="E835:E898" si="29">IF(D835&lt;5.7,"Normal",IF(D835&lt;6.5,"Prediabetes","Diabetes"))</f>
        <v>Prediabetes</v>
      </c>
      <c r="F835" t="s">
        <v>2381</v>
      </c>
      <c r="G835" t="s">
        <v>2380</v>
      </c>
      <c r="H835" t="s">
        <v>2380</v>
      </c>
      <c r="I835">
        <v>1</v>
      </c>
      <c r="J835" t="s">
        <v>2380</v>
      </c>
    </row>
    <row r="836" spans="1:10" x14ac:dyDescent="0.35">
      <c r="A836" t="s">
        <v>1536</v>
      </c>
      <c r="B836" t="str">
        <f t="shared" si="28"/>
        <v>Obesity</v>
      </c>
      <c r="C836">
        <v>36.130000000000003</v>
      </c>
      <c r="D836">
        <v>7.19</v>
      </c>
      <c r="E836" t="str">
        <f t="shared" si="29"/>
        <v>Diabetes</v>
      </c>
      <c r="F836" t="s">
        <v>2381</v>
      </c>
      <c r="G836" t="s">
        <v>2380</v>
      </c>
      <c r="H836" t="s">
        <v>2380</v>
      </c>
      <c r="I836">
        <v>2</v>
      </c>
      <c r="J836" t="s">
        <v>2380</v>
      </c>
    </row>
    <row r="837" spans="1:10" x14ac:dyDescent="0.35">
      <c r="A837" t="s">
        <v>1535</v>
      </c>
      <c r="B837" t="str">
        <f t="shared" si="28"/>
        <v>Obesity</v>
      </c>
      <c r="C837">
        <v>31.55</v>
      </c>
      <c r="D837">
        <v>6.11</v>
      </c>
      <c r="E837" t="str">
        <f t="shared" si="29"/>
        <v>Prediabetes</v>
      </c>
      <c r="F837" t="s">
        <v>2381</v>
      </c>
      <c r="G837" t="s">
        <v>2380</v>
      </c>
      <c r="H837" t="s">
        <v>2380</v>
      </c>
      <c r="I837">
        <v>1</v>
      </c>
      <c r="J837" t="s">
        <v>2380</v>
      </c>
    </row>
    <row r="838" spans="1:10" x14ac:dyDescent="0.35">
      <c r="A838" t="s">
        <v>1534</v>
      </c>
      <c r="B838" t="str">
        <f t="shared" si="28"/>
        <v>Obesity</v>
      </c>
      <c r="C838">
        <v>52.75</v>
      </c>
      <c r="D838">
        <v>6.02</v>
      </c>
      <c r="E838" t="str">
        <f t="shared" si="29"/>
        <v>Prediabetes</v>
      </c>
      <c r="F838" t="s">
        <v>2380</v>
      </c>
      <c r="G838" t="s">
        <v>2380</v>
      </c>
      <c r="H838" t="s">
        <v>2380</v>
      </c>
      <c r="I838">
        <v>1</v>
      </c>
      <c r="J838" t="s">
        <v>2380</v>
      </c>
    </row>
    <row r="839" spans="1:10" x14ac:dyDescent="0.35">
      <c r="A839" t="s">
        <v>1533</v>
      </c>
      <c r="B839" t="str">
        <f t="shared" si="28"/>
        <v>Obesity</v>
      </c>
      <c r="C839">
        <v>36.67</v>
      </c>
      <c r="D839">
        <v>11.86</v>
      </c>
      <c r="E839" t="str">
        <f t="shared" si="29"/>
        <v>Diabetes</v>
      </c>
      <c r="F839" t="s">
        <v>2380</v>
      </c>
      <c r="G839" t="s">
        <v>2380</v>
      </c>
      <c r="H839" t="s">
        <v>2380</v>
      </c>
      <c r="I839">
        <v>0</v>
      </c>
      <c r="J839" t="s">
        <v>2380</v>
      </c>
    </row>
    <row r="840" spans="1:10" x14ac:dyDescent="0.35">
      <c r="A840" t="s">
        <v>1532</v>
      </c>
      <c r="B840" t="str">
        <f t="shared" si="28"/>
        <v>Obesity</v>
      </c>
      <c r="C840">
        <v>38.06</v>
      </c>
      <c r="D840">
        <v>8.25</v>
      </c>
      <c r="E840" t="str">
        <f t="shared" si="29"/>
        <v>Diabetes</v>
      </c>
      <c r="F840" t="s">
        <v>2380</v>
      </c>
      <c r="G840" t="s">
        <v>2380</v>
      </c>
      <c r="H840" t="s">
        <v>2380</v>
      </c>
      <c r="I840">
        <v>0</v>
      </c>
      <c r="J840" t="s">
        <v>2380</v>
      </c>
    </row>
    <row r="841" spans="1:10" x14ac:dyDescent="0.35">
      <c r="A841" t="s">
        <v>1531</v>
      </c>
      <c r="B841" t="str">
        <f t="shared" si="28"/>
        <v>Obesity</v>
      </c>
      <c r="C841">
        <v>38</v>
      </c>
      <c r="D841">
        <v>8.1300000000000008</v>
      </c>
      <c r="E841" t="str">
        <f t="shared" si="29"/>
        <v>Diabetes</v>
      </c>
      <c r="F841" t="s">
        <v>2380</v>
      </c>
      <c r="G841" t="s">
        <v>2380</v>
      </c>
      <c r="H841" t="s">
        <v>2380</v>
      </c>
      <c r="I841">
        <v>0</v>
      </c>
      <c r="J841" t="s">
        <v>2380</v>
      </c>
    </row>
    <row r="842" spans="1:10" x14ac:dyDescent="0.35">
      <c r="A842" t="s">
        <v>1530</v>
      </c>
      <c r="B842" t="str">
        <f t="shared" si="28"/>
        <v>Obesity</v>
      </c>
      <c r="C842">
        <v>35.1</v>
      </c>
      <c r="D842">
        <v>10.1</v>
      </c>
      <c r="E842" t="str">
        <f t="shared" si="29"/>
        <v>Diabetes</v>
      </c>
      <c r="F842" t="s">
        <v>2380</v>
      </c>
      <c r="G842" t="s">
        <v>2380</v>
      </c>
      <c r="H842" t="s">
        <v>2380</v>
      </c>
      <c r="I842">
        <v>0</v>
      </c>
      <c r="J842" t="s">
        <v>2380</v>
      </c>
    </row>
    <row r="843" spans="1:10" x14ac:dyDescent="0.35">
      <c r="A843" t="s">
        <v>1529</v>
      </c>
      <c r="B843" t="str">
        <f t="shared" si="28"/>
        <v>Obesity</v>
      </c>
      <c r="C843">
        <v>33.82</v>
      </c>
      <c r="D843">
        <v>5.89</v>
      </c>
      <c r="E843" t="str">
        <f t="shared" si="29"/>
        <v>Prediabetes</v>
      </c>
      <c r="F843" t="s">
        <v>2381</v>
      </c>
      <c r="G843" t="s">
        <v>2380</v>
      </c>
      <c r="H843" t="s">
        <v>2380</v>
      </c>
      <c r="I843">
        <v>2</v>
      </c>
      <c r="J843" t="s">
        <v>2380</v>
      </c>
    </row>
    <row r="844" spans="1:10" x14ac:dyDescent="0.35">
      <c r="A844" t="s">
        <v>1528</v>
      </c>
      <c r="B844" t="str">
        <f t="shared" si="28"/>
        <v>Obesity</v>
      </c>
      <c r="C844">
        <v>37.43</v>
      </c>
      <c r="D844">
        <v>4.97</v>
      </c>
      <c r="E844" t="str">
        <f t="shared" si="29"/>
        <v>Normal</v>
      </c>
      <c r="F844" t="s">
        <v>2380</v>
      </c>
      <c r="G844" t="s">
        <v>2380</v>
      </c>
      <c r="H844" t="s">
        <v>2380</v>
      </c>
      <c r="I844">
        <v>2</v>
      </c>
      <c r="J844" t="s">
        <v>2380</v>
      </c>
    </row>
    <row r="845" spans="1:10" x14ac:dyDescent="0.35">
      <c r="A845" t="s">
        <v>1527</v>
      </c>
      <c r="B845" t="str">
        <f t="shared" si="28"/>
        <v>Obesity</v>
      </c>
      <c r="C845">
        <v>30.5</v>
      </c>
      <c r="D845">
        <v>9.9</v>
      </c>
      <c r="E845" t="str">
        <f t="shared" si="29"/>
        <v>Diabetes</v>
      </c>
      <c r="F845" t="s">
        <v>2380</v>
      </c>
      <c r="G845" t="s">
        <v>2380</v>
      </c>
      <c r="H845" t="s">
        <v>2380</v>
      </c>
      <c r="I845">
        <v>0</v>
      </c>
      <c r="J845" t="s">
        <v>2380</v>
      </c>
    </row>
    <row r="846" spans="1:10" x14ac:dyDescent="0.35">
      <c r="A846" t="s">
        <v>1526</v>
      </c>
      <c r="B846" t="str">
        <f t="shared" si="28"/>
        <v>Normal Weight</v>
      </c>
      <c r="C846">
        <v>24.53</v>
      </c>
      <c r="D846">
        <v>9.0500000000000007</v>
      </c>
      <c r="E846" t="str">
        <f t="shared" si="29"/>
        <v>Diabetes</v>
      </c>
      <c r="F846" t="s">
        <v>2380</v>
      </c>
      <c r="G846" t="s">
        <v>2380</v>
      </c>
      <c r="H846" t="s">
        <v>2380</v>
      </c>
      <c r="I846">
        <v>0</v>
      </c>
      <c r="J846" t="s">
        <v>2380</v>
      </c>
    </row>
    <row r="847" spans="1:10" x14ac:dyDescent="0.35">
      <c r="A847" t="s">
        <v>1525</v>
      </c>
      <c r="B847" t="str">
        <f t="shared" si="28"/>
        <v>Overweight</v>
      </c>
      <c r="C847">
        <v>25.74</v>
      </c>
      <c r="D847">
        <v>10.93</v>
      </c>
      <c r="E847" t="str">
        <f t="shared" si="29"/>
        <v>Diabetes</v>
      </c>
      <c r="F847" t="s">
        <v>2380</v>
      </c>
      <c r="G847" t="s">
        <v>2380</v>
      </c>
      <c r="H847" t="s">
        <v>2380</v>
      </c>
      <c r="I847">
        <v>0</v>
      </c>
      <c r="J847" t="s">
        <v>2380</v>
      </c>
    </row>
    <row r="848" spans="1:10" x14ac:dyDescent="0.35">
      <c r="A848" t="s">
        <v>1524</v>
      </c>
      <c r="B848" t="str">
        <f t="shared" si="28"/>
        <v>Obesity</v>
      </c>
      <c r="C848">
        <v>34.08</v>
      </c>
      <c r="D848">
        <v>7.58</v>
      </c>
      <c r="E848" t="str">
        <f t="shared" si="29"/>
        <v>Diabetes</v>
      </c>
      <c r="F848" t="s">
        <v>2381</v>
      </c>
      <c r="G848" t="s">
        <v>2380</v>
      </c>
      <c r="H848" t="s">
        <v>2380</v>
      </c>
      <c r="I848">
        <v>2</v>
      </c>
      <c r="J848" t="s">
        <v>2380</v>
      </c>
    </row>
    <row r="849" spans="1:10" x14ac:dyDescent="0.35">
      <c r="A849" t="s">
        <v>1523</v>
      </c>
      <c r="B849" t="str">
        <f t="shared" si="28"/>
        <v>Obesity</v>
      </c>
      <c r="C849">
        <v>31.35</v>
      </c>
      <c r="D849">
        <v>11</v>
      </c>
      <c r="E849" t="str">
        <f t="shared" si="29"/>
        <v>Diabetes</v>
      </c>
      <c r="F849" t="s">
        <v>2381</v>
      </c>
      <c r="G849" t="s">
        <v>2380</v>
      </c>
      <c r="H849" t="s">
        <v>2382</v>
      </c>
      <c r="I849">
        <v>1</v>
      </c>
      <c r="J849" t="s">
        <v>2380</v>
      </c>
    </row>
    <row r="850" spans="1:10" x14ac:dyDescent="0.35">
      <c r="A850" t="s">
        <v>1522</v>
      </c>
      <c r="B850" t="str">
        <f t="shared" si="28"/>
        <v>Overweight</v>
      </c>
      <c r="C850">
        <v>26.79</v>
      </c>
      <c r="D850">
        <v>5.0599999999999996</v>
      </c>
      <c r="E850" t="str">
        <f t="shared" si="29"/>
        <v>Normal</v>
      </c>
      <c r="F850" t="s">
        <v>2380</v>
      </c>
      <c r="G850" t="s">
        <v>2380</v>
      </c>
      <c r="H850" t="s">
        <v>2380</v>
      </c>
      <c r="I850">
        <v>1</v>
      </c>
      <c r="J850" t="s">
        <v>2380</v>
      </c>
    </row>
    <row r="851" spans="1:10" x14ac:dyDescent="0.35">
      <c r="A851" t="s">
        <v>1521</v>
      </c>
      <c r="B851" t="str">
        <f t="shared" si="28"/>
        <v>Obesity</v>
      </c>
      <c r="C851">
        <v>42.78</v>
      </c>
      <c r="D851">
        <v>6.11</v>
      </c>
      <c r="E851" t="str">
        <f t="shared" si="29"/>
        <v>Prediabetes</v>
      </c>
      <c r="F851" t="s">
        <v>2381</v>
      </c>
      <c r="G851" t="s">
        <v>2380</v>
      </c>
      <c r="H851" t="s">
        <v>2380</v>
      </c>
      <c r="I851">
        <v>1</v>
      </c>
      <c r="J851" t="s">
        <v>2380</v>
      </c>
    </row>
    <row r="852" spans="1:10" x14ac:dyDescent="0.35">
      <c r="A852" t="s">
        <v>1520</v>
      </c>
      <c r="B852" t="str">
        <f t="shared" si="28"/>
        <v>Obesity</v>
      </c>
      <c r="C852">
        <v>46.75</v>
      </c>
      <c r="D852">
        <v>6.66</v>
      </c>
      <c r="E852" t="str">
        <f t="shared" si="29"/>
        <v>Diabetes</v>
      </c>
      <c r="F852" t="s">
        <v>2381</v>
      </c>
      <c r="G852" t="s">
        <v>2380</v>
      </c>
      <c r="H852" t="s">
        <v>2380</v>
      </c>
      <c r="I852">
        <v>2</v>
      </c>
      <c r="J852" t="s">
        <v>2380</v>
      </c>
    </row>
    <row r="853" spans="1:10" x14ac:dyDescent="0.35">
      <c r="A853" t="s">
        <v>1519</v>
      </c>
      <c r="B853" t="str">
        <f t="shared" si="28"/>
        <v>Obesity</v>
      </c>
      <c r="C853">
        <v>32.15</v>
      </c>
      <c r="D853">
        <v>4.0199999999999996</v>
      </c>
      <c r="E853" t="str">
        <f t="shared" si="29"/>
        <v>Normal</v>
      </c>
      <c r="F853" t="s">
        <v>2381</v>
      </c>
      <c r="G853" t="s">
        <v>2380</v>
      </c>
      <c r="H853" t="s">
        <v>2382</v>
      </c>
      <c r="I853">
        <v>1</v>
      </c>
      <c r="J853" t="s">
        <v>2380</v>
      </c>
    </row>
    <row r="854" spans="1:10" x14ac:dyDescent="0.35">
      <c r="A854" t="s">
        <v>1518</v>
      </c>
      <c r="B854" t="str">
        <f t="shared" si="28"/>
        <v>Obesity</v>
      </c>
      <c r="C854">
        <v>43.4</v>
      </c>
      <c r="D854">
        <v>8.81</v>
      </c>
      <c r="E854" t="str">
        <f t="shared" si="29"/>
        <v>Diabetes</v>
      </c>
      <c r="F854" t="s">
        <v>2381</v>
      </c>
      <c r="G854" t="s">
        <v>2380</v>
      </c>
      <c r="H854" t="s">
        <v>2380</v>
      </c>
      <c r="I854">
        <v>2</v>
      </c>
      <c r="J854" t="s">
        <v>2380</v>
      </c>
    </row>
    <row r="855" spans="1:10" x14ac:dyDescent="0.35">
      <c r="A855" t="s">
        <v>1517</v>
      </c>
      <c r="B855" t="str">
        <f t="shared" si="28"/>
        <v>Obesity</v>
      </c>
      <c r="C855">
        <v>31.57</v>
      </c>
      <c r="D855">
        <v>7.92</v>
      </c>
      <c r="E855" t="str">
        <f t="shared" si="29"/>
        <v>Diabetes</v>
      </c>
      <c r="F855" t="s">
        <v>2381</v>
      </c>
      <c r="G855" t="s">
        <v>2380</v>
      </c>
      <c r="H855" t="s">
        <v>2380</v>
      </c>
      <c r="I855">
        <v>2</v>
      </c>
      <c r="J855" t="s">
        <v>2380</v>
      </c>
    </row>
    <row r="856" spans="1:10" x14ac:dyDescent="0.35">
      <c r="A856" t="s">
        <v>1516</v>
      </c>
      <c r="B856" t="str">
        <f t="shared" si="28"/>
        <v>Normal Weight</v>
      </c>
      <c r="C856">
        <v>24.32</v>
      </c>
      <c r="D856">
        <v>7.48</v>
      </c>
      <c r="E856" t="str">
        <f t="shared" si="29"/>
        <v>Diabetes</v>
      </c>
      <c r="F856" t="s">
        <v>2380</v>
      </c>
      <c r="G856" t="s">
        <v>2380</v>
      </c>
      <c r="H856" t="s">
        <v>2380</v>
      </c>
      <c r="I856">
        <v>0</v>
      </c>
      <c r="J856" t="s">
        <v>2380</v>
      </c>
    </row>
    <row r="857" spans="1:10" x14ac:dyDescent="0.35">
      <c r="A857" t="s">
        <v>1515</v>
      </c>
      <c r="B857" t="str">
        <f t="shared" si="28"/>
        <v>Obesity</v>
      </c>
      <c r="C857">
        <v>31.07</v>
      </c>
      <c r="D857">
        <v>4.62</v>
      </c>
      <c r="E857" t="str">
        <f t="shared" si="29"/>
        <v>Normal</v>
      </c>
      <c r="F857" t="s">
        <v>2381</v>
      </c>
      <c r="G857" t="s">
        <v>2380</v>
      </c>
      <c r="H857" t="s">
        <v>2380</v>
      </c>
      <c r="I857">
        <v>2</v>
      </c>
      <c r="J857" t="s">
        <v>2380</v>
      </c>
    </row>
    <row r="858" spans="1:10" x14ac:dyDescent="0.35">
      <c r="A858" t="s">
        <v>1514</v>
      </c>
      <c r="B858" t="str">
        <f t="shared" si="28"/>
        <v>Obesity</v>
      </c>
      <c r="C858">
        <v>35.814999999999998</v>
      </c>
      <c r="D858">
        <v>8.4700000000000006</v>
      </c>
      <c r="E858" t="str">
        <f t="shared" si="29"/>
        <v>Diabetes</v>
      </c>
      <c r="F858" t="s">
        <v>2380</v>
      </c>
      <c r="G858" t="s">
        <v>2380</v>
      </c>
      <c r="H858" t="s">
        <v>2380</v>
      </c>
      <c r="I858">
        <v>0</v>
      </c>
      <c r="J858" t="s">
        <v>2380</v>
      </c>
    </row>
    <row r="859" spans="1:10" x14ac:dyDescent="0.35">
      <c r="A859" t="s">
        <v>1513</v>
      </c>
      <c r="B859" t="str">
        <f t="shared" si="28"/>
        <v>Obesity</v>
      </c>
      <c r="C859">
        <v>40.81</v>
      </c>
      <c r="D859">
        <v>10.58</v>
      </c>
      <c r="E859" t="str">
        <f t="shared" si="29"/>
        <v>Diabetes</v>
      </c>
      <c r="F859" t="s">
        <v>2381</v>
      </c>
      <c r="G859" t="s">
        <v>2380</v>
      </c>
      <c r="H859" t="s">
        <v>2380</v>
      </c>
      <c r="I859">
        <v>0</v>
      </c>
      <c r="J859" t="s">
        <v>2380</v>
      </c>
    </row>
    <row r="860" spans="1:10" x14ac:dyDescent="0.35">
      <c r="A860" t="s">
        <v>1512</v>
      </c>
      <c r="B860" t="str">
        <f t="shared" si="28"/>
        <v>Normal Weight</v>
      </c>
      <c r="C860">
        <v>24.605</v>
      </c>
      <c r="D860">
        <v>7.48</v>
      </c>
      <c r="E860" t="str">
        <f t="shared" si="29"/>
        <v>Diabetes</v>
      </c>
      <c r="F860" t="s">
        <v>2380</v>
      </c>
      <c r="G860" t="s">
        <v>2380</v>
      </c>
      <c r="H860" t="s">
        <v>2380</v>
      </c>
      <c r="I860">
        <v>0</v>
      </c>
      <c r="J860" t="s">
        <v>2380</v>
      </c>
    </row>
    <row r="861" spans="1:10" x14ac:dyDescent="0.35">
      <c r="A861" t="s">
        <v>1511</v>
      </c>
      <c r="B861" t="str">
        <f t="shared" si="28"/>
        <v>Normal Weight</v>
      </c>
      <c r="C861">
        <v>21.47</v>
      </c>
      <c r="D861">
        <v>7.82</v>
      </c>
      <c r="E861" t="str">
        <f t="shared" si="29"/>
        <v>Diabetes</v>
      </c>
      <c r="F861" t="s">
        <v>2380</v>
      </c>
      <c r="G861" t="s">
        <v>2380</v>
      </c>
      <c r="H861" t="s">
        <v>2380</v>
      </c>
      <c r="I861">
        <v>0</v>
      </c>
      <c r="J861" t="s">
        <v>2380</v>
      </c>
    </row>
    <row r="862" spans="1:10" x14ac:dyDescent="0.35">
      <c r="A862" t="s">
        <v>1510</v>
      </c>
      <c r="B862" t="str">
        <f t="shared" si="28"/>
        <v>Obesity</v>
      </c>
      <c r="C862">
        <v>52.89</v>
      </c>
      <c r="D862">
        <v>4.96</v>
      </c>
      <c r="E862" t="str">
        <f t="shared" si="29"/>
        <v>Normal</v>
      </c>
      <c r="F862" t="s">
        <v>2381</v>
      </c>
      <c r="G862" t="s">
        <v>2380</v>
      </c>
      <c r="H862" t="s">
        <v>2380</v>
      </c>
      <c r="I862">
        <v>1</v>
      </c>
      <c r="J862" t="s">
        <v>2380</v>
      </c>
    </row>
    <row r="863" spans="1:10" x14ac:dyDescent="0.35">
      <c r="A863" t="s">
        <v>1509</v>
      </c>
      <c r="B863" t="str">
        <f t="shared" si="28"/>
        <v>Obesity</v>
      </c>
      <c r="C863">
        <v>32.965000000000003</v>
      </c>
      <c r="D863">
        <v>6.15</v>
      </c>
      <c r="E863" t="str">
        <f t="shared" si="29"/>
        <v>Prediabetes</v>
      </c>
      <c r="F863" t="s">
        <v>2381</v>
      </c>
      <c r="G863" t="s">
        <v>2380</v>
      </c>
      <c r="H863" t="s">
        <v>2380</v>
      </c>
      <c r="I863">
        <v>1</v>
      </c>
      <c r="J863" t="s">
        <v>2380</v>
      </c>
    </row>
    <row r="864" spans="1:10" x14ac:dyDescent="0.35">
      <c r="A864" t="s">
        <v>1508</v>
      </c>
      <c r="B864" t="str">
        <f t="shared" si="28"/>
        <v>Obesity</v>
      </c>
      <c r="C864">
        <v>36.799999999999997</v>
      </c>
      <c r="D864">
        <v>4.62</v>
      </c>
      <c r="E864" t="str">
        <f t="shared" si="29"/>
        <v>Normal</v>
      </c>
      <c r="F864" t="s">
        <v>2380</v>
      </c>
      <c r="G864" t="s">
        <v>2380</v>
      </c>
      <c r="H864" t="s">
        <v>2382</v>
      </c>
      <c r="I864">
        <v>1</v>
      </c>
      <c r="J864" t="s">
        <v>2380</v>
      </c>
    </row>
    <row r="865" spans="1:10" x14ac:dyDescent="0.35">
      <c r="A865" t="s">
        <v>1507</v>
      </c>
      <c r="B865" t="str">
        <f t="shared" si="28"/>
        <v>Obesity</v>
      </c>
      <c r="C865">
        <v>34.299999999999997</v>
      </c>
      <c r="D865">
        <v>4.87</v>
      </c>
      <c r="E865" t="str">
        <f t="shared" si="29"/>
        <v>Normal</v>
      </c>
      <c r="F865" t="s">
        <v>2380</v>
      </c>
      <c r="G865" t="s">
        <v>2380</v>
      </c>
      <c r="H865" t="s">
        <v>2380</v>
      </c>
      <c r="I865">
        <v>2</v>
      </c>
      <c r="J865" t="s">
        <v>2380</v>
      </c>
    </row>
    <row r="866" spans="1:10" x14ac:dyDescent="0.35">
      <c r="A866" t="s">
        <v>1506</v>
      </c>
      <c r="B866" t="str">
        <f t="shared" si="28"/>
        <v>Obesity</v>
      </c>
      <c r="C866">
        <v>35.244999999999997</v>
      </c>
      <c r="D866">
        <v>4.63</v>
      </c>
      <c r="E866" t="str">
        <f t="shared" si="29"/>
        <v>Normal</v>
      </c>
      <c r="F866" t="s">
        <v>2380</v>
      </c>
      <c r="G866" t="s">
        <v>2380</v>
      </c>
      <c r="H866" t="s">
        <v>2380</v>
      </c>
      <c r="I866">
        <v>0</v>
      </c>
      <c r="J866" t="s">
        <v>2380</v>
      </c>
    </row>
    <row r="867" spans="1:10" x14ac:dyDescent="0.35">
      <c r="A867" t="s">
        <v>1505</v>
      </c>
      <c r="B867" t="str">
        <f t="shared" si="28"/>
        <v>Overweight</v>
      </c>
      <c r="C867">
        <v>26.23</v>
      </c>
      <c r="D867">
        <v>11.93</v>
      </c>
      <c r="E867" t="str">
        <f t="shared" si="29"/>
        <v>Diabetes</v>
      </c>
      <c r="F867" t="s">
        <v>2380</v>
      </c>
      <c r="G867" t="s">
        <v>2380</v>
      </c>
      <c r="H867" t="s">
        <v>2380</v>
      </c>
      <c r="I867">
        <v>0</v>
      </c>
      <c r="J867" t="s">
        <v>2380</v>
      </c>
    </row>
    <row r="868" spans="1:10" x14ac:dyDescent="0.35">
      <c r="A868" t="s">
        <v>1504</v>
      </c>
      <c r="B868" t="str">
        <f t="shared" si="28"/>
        <v>Obesity</v>
      </c>
      <c r="C868">
        <v>36.1</v>
      </c>
      <c r="D868">
        <v>5.65</v>
      </c>
      <c r="E868" t="str">
        <f t="shared" si="29"/>
        <v>Normal</v>
      </c>
      <c r="F868" t="s">
        <v>2381</v>
      </c>
      <c r="G868" t="s">
        <v>2380</v>
      </c>
      <c r="H868" t="s">
        <v>2380</v>
      </c>
      <c r="I868">
        <v>2</v>
      </c>
      <c r="J868" t="s">
        <v>2380</v>
      </c>
    </row>
    <row r="869" spans="1:10" x14ac:dyDescent="0.35">
      <c r="A869" t="s">
        <v>1503</v>
      </c>
      <c r="B869" t="str">
        <f t="shared" si="28"/>
        <v>Obesity</v>
      </c>
      <c r="C869">
        <v>37.1</v>
      </c>
      <c r="D869">
        <v>11.21</v>
      </c>
      <c r="E869" t="str">
        <f t="shared" si="29"/>
        <v>Diabetes</v>
      </c>
      <c r="F869" t="s">
        <v>2381</v>
      </c>
      <c r="G869" t="s">
        <v>2380</v>
      </c>
      <c r="H869" t="s">
        <v>2382</v>
      </c>
      <c r="I869">
        <v>1</v>
      </c>
      <c r="J869" t="s">
        <v>2380</v>
      </c>
    </row>
    <row r="870" spans="1:10" x14ac:dyDescent="0.35">
      <c r="A870" t="s">
        <v>1502</v>
      </c>
      <c r="B870" t="str">
        <f t="shared" si="28"/>
        <v>Overweight</v>
      </c>
      <c r="C870">
        <v>27.5</v>
      </c>
      <c r="D870">
        <v>10.62</v>
      </c>
      <c r="E870" t="str">
        <f t="shared" si="29"/>
        <v>Diabetes</v>
      </c>
      <c r="F870" t="s">
        <v>2381</v>
      </c>
      <c r="G870" t="s">
        <v>2380</v>
      </c>
      <c r="H870" t="s">
        <v>2382</v>
      </c>
      <c r="I870">
        <v>1</v>
      </c>
      <c r="J870" t="s">
        <v>2380</v>
      </c>
    </row>
    <row r="871" spans="1:10" x14ac:dyDescent="0.35">
      <c r="A871" t="s">
        <v>1501</v>
      </c>
      <c r="B871" t="str">
        <f t="shared" si="28"/>
        <v>Normal Weight</v>
      </c>
      <c r="C871">
        <v>24.7</v>
      </c>
      <c r="D871">
        <v>10.7</v>
      </c>
      <c r="E871" t="str">
        <f t="shared" si="29"/>
        <v>Diabetes</v>
      </c>
      <c r="F871" t="s">
        <v>2381</v>
      </c>
      <c r="G871" t="s">
        <v>2380</v>
      </c>
      <c r="H871" t="s">
        <v>2382</v>
      </c>
      <c r="I871">
        <v>1</v>
      </c>
      <c r="J871" t="s">
        <v>2380</v>
      </c>
    </row>
    <row r="872" spans="1:10" x14ac:dyDescent="0.35">
      <c r="A872" t="s">
        <v>1500</v>
      </c>
      <c r="B872" t="str">
        <f t="shared" si="28"/>
        <v>Overweight</v>
      </c>
      <c r="C872">
        <v>26.78</v>
      </c>
      <c r="D872">
        <v>10.02</v>
      </c>
      <c r="E872" t="str">
        <f t="shared" si="29"/>
        <v>Diabetes</v>
      </c>
      <c r="F872" t="s">
        <v>2381</v>
      </c>
      <c r="G872" t="s">
        <v>2380</v>
      </c>
      <c r="H872" t="s">
        <v>2382</v>
      </c>
      <c r="I872">
        <v>1</v>
      </c>
      <c r="J872" t="s">
        <v>2380</v>
      </c>
    </row>
    <row r="873" spans="1:10" x14ac:dyDescent="0.35">
      <c r="A873" t="s">
        <v>1499</v>
      </c>
      <c r="B873" t="str">
        <f t="shared" si="28"/>
        <v>Obesity</v>
      </c>
      <c r="C873">
        <v>45.8</v>
      </c>
      <c r="D873">
        <v>4.8499999999999996</v>
      </c>
      <c r="E873" t="str">
        <f t="shared" si="29"/>
        <v>Normal</v>
      </c>
      <c r="F873" t="s">
        <v>2380</v>
      </c>
      <c r="G873" t="s">
        <v>2380</v>
      </c>
      <c r="H873" t="s">
        <v>2380</v>
      </c>
      <c r="I873">
        <v>0</v>
      </c>
      <c r="J873" t="s">
        <v>2380</v>
      </c>
    </row>
    <row r="874" spans="1:10" x14ac:dyDescent="0.35">
      <c r="A874" t="s">
        <v>1498</v>
      </c>
      <c r="B874" t="str">
        <f t="shared" si="28"/>
        <v>Overweight</v>
      </c>
      <c r="C874">
        <v>29</v>
      </c>
      <c r="D874">
        <v>4.3899999999999997</v>
      </c>
      <c r="E874" t="str">
        <f t="shared" si="29"/>
        <v>Normal</v>
      </c>
      <c r="F874" t="s">
        <v>2381</v>
      </c>
      <c r="G874" t="s">
        <v>2380</v>
      </c>
      <c r="H874" t="s">
        <v>2380</v>
      </c>
      <c r="I874">
        <v>2</v>
      </c>
      <c r="J874" t="s">
        <v>2380</v>
      </c>
    </row>
    <row r="875" spans="1:10" x14ac:dyDescent="0.35">
      <c r="A875" t="s">
        <v>1497</v>
      </c>
      <c r="B875" t="str">
        <f t="shared" si="28"/>
        <v>Obesity</v>
      </c>
      <c r="C875">
        <v>33.534999999999997</v>
      </c>
      <c r="D875">
        <v>8.24</v>
      </c>
      <c r="E875" t="str">
        <f t="shared" si="29"/>
        <v>Diabetes</v>
      </c>
      <c r="F875" t="s">
        <v>2381</v>
      </c>
      <c r="G875" t="s">
        <v>2380</v>
      </c>
      <c r="H875" t="s">
        <v>2380</v>
      </c>
      <c r="I875">
        <v>0</v>
      </c>
      <c r="J875" t="s">
        <v>2380</v>
      </c>
    </row>
    <row r="876" spans="1:10" x14ac:dyDescent="0.35">
      <c r="A876" t="s">
        <v>1496</v>
      </c>
      <c r="B876" t="str">
        <f t="shared" si="28"/>
        <v>Obesity</v>
      </c>
      <c r="C876">
        <v>32.774999999999999</v>
      </c>
      <c r="D876">
        <v>9.77</v>
      </c>
      <c r="E876" t="str">
        <f t="shared" si="29"/>
        <v>Diabetes</v>
      </c>
      <c r="F876" t="s">
        <v>2381</v>
      </c>
      <c r="G876" t="s">
        <v>2380</v>
      </c>
      <c r="H876" t="s">
        <v>2380</v>
      </c>
      <c r="I876">
        <v>0</v>
      </c>
      <c r="J876" t="s">
        <v>2380</v>
      </c>
    </row>
    <row r="877" spans="1:10" x14ac:dyDescent="0.35">
      <c r="A877" t="s">
        <v>1495</v>
      </c>
      <c r="B877" t="str">
        <f t="shared" si="28"/>
        <v>Obesity</v>
      </c>
      <c r="C877">
        <v>37.51</v>
      </c>
      <c r="D877">
        <v>5.5</v>
      </c>
      <c r="E877" t="str">
        <f t="shared" si="29"/>
        <v>Normal</v>
      </c>
      <c r="F877" t="s">
        <v>2381</v>
      </c>
      <c r="G877" t="s">
        <v>2380</v>
      </c>
      <c r="H877" t="s">
        <v>2380</v>
      </c>
      <c r="I877">
        <v>2</v>
      </c>
      <c r="J877" t="s">
        <v>2380</v>
      </c>
    </row>
    <row r="878" spans="1:10" x14ac:dyDescent="0.35">
      <c r="A878" t="s">
        <v>1494</v>
      </c>
      <c r="B878" t="str">
        <f t="shared" si="28"/>
        <v>Obesity</v>
      </c>
      <c r="C878">
        <v>39.86</v>
      </c>
      <c r="D878">
        <v>11.84</v>
      </c>
      <c r="E878" t="str">
        <f t="shared" si="29"/>
        <v>Diabetes</v>
      </c>
      <c r="F878" t="s">
        <v>2381</v>
      </c>
      <c r="G878" t="s">
        <v>2380</v>
      </c>
      <c r="H878" t="s">
        <v>2380</v>
      </c>
      <c r="I878">
        <v>1</v>
      </c>
      <c r="J878" t="s">
        <v>2380</v>
      </c>
    </row>
    <row r="879" spans="1:10" x14ac:dyDescent="0.35">
      <c r="A879" t="s">
        <v>1493</v>
      </c>
      <c r="B879" t="str">
        <f t="shared" si="28"/>
        <v>Obesity</v>
      </c>
      <c r="C879">
        <v>42.13</v>
      </c>
      <c r="D879">
        <v>4.66</v>
      </c>
      <c r="E879" t="str">
        <f t="shared" si="29"/>
        <v>Normal</v>
      </c>
      <c r="F879" t="s">
        <v>2380</v>
      </c>
      <c r="G879" t="s">
        <v>2380</v>
      </c>
      <c r="H879" t="s">
        <v>2380</v>
      </c>
      <c r="I879">
        <v>0</v>
      </c>
      <c r="J879" t="s">
        <v>2380</v>
      </c>
    </row>
    <row r="880" spans="1:10" x14ac:dyDescent="0.35">
      <c r="A880" t="s">
        <v>1492</v>
      </c>
      <c r="B880" t="str">
        <f t="shared" si="28"/>
        <v>Obesity</v>
      </c>
      <c r="C880">
        <v>35.99</v>
      </c>
      <c r="D880">
        <v>11.11</v>
      </c>
      <c r="E880" t="str">
        <f t="shared" si="29"/>
        <v>Diabetes</v>
      </c>
      <c r="F880" t="s">
        <v>2380</v>
      </c>
      <c r="G880" t="s">
        <v>2380</v>
      </c>
      <c r="H880" t="s">
        <v>2380</v>
      </c>
      <c r="I880">
        <v>0</v>
      </c>
      <c r="J880" t="s">
        <v>2380</v>
      </c>
    </row>
    <row r="881" spans="1:10" x14ac:dyDescent="0.35">
      <c r="A881" t="s">
        <v>1491</v>
      </c>
      <c r="B881" t="str">
        <f t="shared" si="28"/>
        <v>Obesity</v>
      </c>
      <c r="C881">
        <v>35.200000000000003</v>
      </c>
      <c r="D881">
        <v>7.72</v>
      </c>
      <c r="E881" t="str">
        <f t="shared" si="29"/>
        <v>Diabetes</v>
      </c>
      <c r="F881" t="s">
        <v>2381</v>
      </c>
      <c r="G881" t="s">
        <v>2380</v>
      </c>
      <c r="H881" t="s">
        <v>2382</v>
      </c>
      <c r="I881">
        <v>1</v>
      </c>
      <c r="J881" t="s">
        <v>2380</v>
      </c>
    </row>
    <row r="882" spans="1:10" x14ac:dyDescent="0.35">
      <c r="A882" t="s">
        <v>1490</v>
      </c>
      <c r="B882" t="str">
        <f t="shared" si="28"/>
        <v>Overweight</v>
      </c>
      <c r="C882">
        <v>29.91</v>
      </c>
      <c r="D882">
        <v>5.55</v>
      </c>
      <c r="E882" t="str">
        <f t="shared" si="29"/>
        <v>Normal</v>
      </c>
      <c r="F882" t="s">
        <v>2381</v>
      </c>
      <c r="G882" t="s">
        <v>2380</v>
      </c>
      <c r="H882" t="s">
        <v>2380</v>
      </c>
      <c r="I882">
        <v>2</v>
      </c>
      <c r="J882" t="s">
        <v>2380</v>
      </c>
    </row>
    <row r="883" spans="1:10" x14ac:dyDescent="0.35">
      <c r="A883" t="s">
        <v>1489</v>
      </c>
      <c r="B883" t="str">
        <f t="shared" si="28"/>
        <v>Obesity</v>
      </c>
      <c r="C883">
        <v>36.479999999999997</v>
      </c>
      <c r="D883">
        <v>5.05</v>
      </c>
      <c r="E883" t="str">
        <f t="shared" si="29"/>
        <v>Normal</v>
      </c>
      <c r="F883" t="s">
        <v>2381</v>
      </c>
      <c r="G883" t="s">
        <v>2380</v>
      </c>
      <c r="H883" t="s">
        <v>2380</v>
      </c>
      <c r="I883">
        <v>1</v>
      </c>
      <c r="J883" t="s">
        <v>2380</v>
      </c>
    </row>
    <row r="884" spans="1:10" x14ac:dyDescent="0.35">
      <c r="A884" t="s">
        <v>1488</v>
      </c>
      <c r="B884" t="str">
        <f t="shared" si="28"/>
        <v>Overweight</v>
      </c>
      <c r="C884">
        <v>27.5</v>
      </c>
      <c r="D884">
        <v>8.69</v>
      </c>
      <c r="E884" t="str">
        <f t="shared" si="29"/>
        <v>Diabetes</v>
      </c>
      <c r="F884" t="s">
        <v>2381</v>
      </c>
      <c r="G884" t="s">
        <v>2380</v>
      </c>
      <c r="H884" t="s">
        <v>2382</v>
      </c>
      <c r="I884">
        <v>1</v>
      </c>
      <c r="J884" t="s">
        <v>2380</v>
      </c>
    </row>
    <row r="885" spans="1:10" x14ac:dyDescent="0.35">
      <c r="A885" t="s">
        <v>1487</v>
      </c>
      <c r="B885" t="str">
        <f t="shared" si="28"/>
        <v>Obesity</v>
      </c>
      <c r="C885">
        <v>33.44</v>
      </c>
      <c r="D885">
        <v>5.9</v>
      </c>
      <c r="E885" t="str">
        <f t="shared" si="29"/>
        <v>Prediabetes</v>
      </c>
      <c r="F885" t="s">
        <v>2381</v>
      </c>
      <c r="G885" t="s">
        <v>2380</v>
      </c>
      <c r="H885" t="s">
        <v>2380</v>
      </c>
      <c r="I885">
        <v>1</v>
      </c>
      <c r="J885" t="s">
        <v>2380</v>
      </c>
    </row>
    <row r="886" spans="1:10" x14ac:dyDescent="0.35">
      <c r="A886" t="s">
        <v>1486</v>
      </c>
      <c r="B886" t="str">
        <f t="shared" si="28"/>
        <v>Overweight</v>
      </c>
      <c r="C886">
        <v>28.215</v>
      </c>
      <c r="D886">
        <v>6.29</v>
      </c>
      <c r="E886" t="str">
        <f t="shared" si="29"/>
        <v>Prediabetes</v>
      </c>
      <c r="F886" t="s">
        <v>2381</v>
      </c>
      <c r="G886" t="s">
        <v>2380</v>
      </c>
      <c r="H886" t="s">
        <v>2380</v>
      </c>
      <c r="I886">
        <v>1</v>
      </c>
      <c r="J886" t="s">
        <v>2380</v>
      </c>
    </row>
    <row r="887" spans="1:10" x14ac:dyDescent="0.35">
      <c r="A887" t="s">
        <v>1485</v>
      </c>
      <c r="B887" t="str">
        <f t="shared" si="28"/>
        <v>Overweight</v>
      </c>
      <c r="C887">
        <v>27.17</v>
      </c>
      <c r="D887">
        <v>5.84</v>
      </c>
      <c r="E887" t="str">
        <f t="shared" si="29"/>
        <v>Prediabetes</v>
      </c>
      <c r="F887" t="s">
        <v>2381</v>
      </c>
      <c r="G887" t="s">
        <v>2380</v>
      </c>
      <c r="H887" t="s">
        <v>2380</v>
      </c>
      <c r="I887">
        <v>1</v>
      </c>
      <c r="J887" t="s">
        <v>2380</v>
      </c>
    </row>
    <row r="888" spans="1:10" x14ac:dyDescent="0.35">
      <c r="A888" t="s">
        <v>1484</v>
      </c>
      <c r="B888" t="str">
        <f t="shared" si="28"/>
        <v>Obesity</v>
      </c>
      <c r="C888">
        <v>35.380000000000003</v>
      </c>
      <c r="D888">
        <v>6.12</v>
      </c>
      <c r="E888" t="str">
        <f t="shared" si="29"/>
        <v>Prediabetes</v>
      </c>
      <c r="F888" t="s">
        <v>2380</v>
      </c>
      <c r="G888" t="s">
        <v>2380</v>
      </c>
      <c r="H888" t="s">
        <v>2380</v>
      </c>
      <c r="I888">
        <v>0</v>
      </c>
      <c r="J888" t="s">
        <v>2380</v>
      </c>
    </row>
    <row r="889" spans="1:10" x14ac:dyDescent="0.35">
      <c r="A889" t="s">
        <v>1483</v>
      </c>
      <c r="B889" t="str">
        <f t="shared" si="28"/>
        <v>Obesity</v>
      </c>
      <c r="C889">
        <v>43.48</v>
      </c>
      <c r="D889">
        <v>6.24</v>
      </c>
      <c r="E889" t="str">
        <f t="shared" si="29"/>
        <v>Prediabetes</v>
      </c>
      <c r="F889" t="s">
        <v>2380</v>
      </c>
      <c r="G889" t="s">
        <v>2380</v>
      </c>
      <c r="H889" t="s">
        <v>2380</v>
      </c>
      <c r="I889">
        <v>0</v>
      </c>
      <c r="J889" t="s">
        <v>2380</v>
      </c>
    </row>
    <row r="890" spans="1:10" x14ac:dyDescent="0.35">
      <c r="A890" t="s">
        <v>1482</v>
      </c>
      <c r="B890" t="str">
        <f t="shared" si="28"/>
        <v>Obesity</v>
      </c>
      <c r="C890">
        <v>41.73</v>
      </c>
      <c r="D890">
        <v>6.25</v>
      </c>
      <c r="E890" t="str">
        <f t="shared" si="29"/>
        <v>Prediabetes</v>
      </c>
      <c r="F890" t="s">
        <v>2380</v>
      </c>
      <c r="G890" t="s">
        <v>2380</v>
      </c>
      <c r="H890" t="s">
        <v>2380</v>
      </c>
      <c r="I890">
        <v>1</v>
      </c>
      <c r="J890" t="s">
        <v>2380</v>
      </c>
    </row>
    <row r="891" spans="1:10" x14ac:dyDescent="0.35">
      <c r="A891" t="s">
        <v>1481</v>
      </c>
      <c r="B891" t="str">
        <f t="shared" si="28"/>
        <v>Overweight</v>
      </c>
      <c r="C891">
        <v>28.9</v>
      </c>
      <c r="D891">
        <v>11.96</v>
      </c>
      <c r="E891" t="str">
        <f t="shared" si="29"/>
        <v>Diabetes</v>
      </c>
      <c r="F891" t="s">
        <v>2380</v>
      </c>
      <c r="G891" t="s">
        <v>2380</v>
      </c>
      <c r="H891" t="s">
        <v>2380</v>
      </c>
      <c r="I891">
        <v>0</v>
      </c>
      <c r="J891" t="s">
        <v>2380</v>
      </c>
    </row>
    <row r="892" spans="1:10" x14ac:dyDescent="0.35">
      <c r="A892" t="s">
        <v>1480</v>
      </c>
      <c r="B892" t="str">
        <f t="shared" si="28"/>
        <v>Overweight</v>
      </c>
      <c r="C892">
        <v>25.74</v>
      </c>
      <c r="D892">
        <v>7.69</v>
      </c>
      <c r="E892" t="str">
        <f t="shared" si="29"/>
        <v>Diabetes</v>
      </c>
      <c r="F892" t="s">
        <v>2380</v>
      </c>
      <c r="G892" t="s">
        <v>2380</v>
      </c>
      <c r="H892" t="s">
        <v>2380</v>
      </c>
      <c r="I892">
        <v>0</v>
      </c>
      <c r="J892" t="s">
        <v>2380</v>
      </c>
    </row>
    <row r="893" spans="1:10" x14ac:dyDescent="0.35">
      <c r="A893" t="s">
        <v>1479</v>
      </c>
      <c r="B893" t="str">
        <f t="shared" si="28"/>
        <v>Obesity</v>
      </c>
      <c r="C893">
        <v>36.06</v>
      </c>
      <c r="D893">
        <v>8.83</v>
      </c>
      <c r="E893" t="str">
        <f t="shared" si="29"/>
        <v>Diabetes</v>
      </c>
      <c r="F893" t="s">
        <v>2380</v>
      </c>
      <c r="G893" t="s">
        <v>2380</v>
      </c>
      <c r="H893" t="s">
        <v>2380</v>
      </c>
      <c r="I893">
        <v>0</v>
      </c>
      <c r="J893" t="s">
        <v>2380</v>
      </c>
    </row>
    <row r="894" spans="1:10" x14ac:dyDescent="0.35">
      <c r="A894" t="s">
        <v>1478</v>
      </c>
      <c r="B894" t="str">
        <f t="shared" si="28"/>
        <v>Obesity</v>
      </c>
      <c r="C894">
        <v>43.28</v>
      </c>
      <c r="D894">
        <v>4.41</v>
      </c>
      <c r="E894" t="str">
        <f t="shared" si="29"/>
        <v>Normal</v>
      </c>
      <c r="F894" t="s">
        <v>2380</v>
      </c>
      <c r="G894" t="s">
        <v>2380</v>
      </c>
      <c r="H894" t="s">
        <v>2380</v>
      </c>
      <c r="I894">
        <v>0</v>
      </c>
      <c r="J894" t="s">
        <v>2380</v>
      </c>
    </row>
    <row r="895" spans="1:10" x14ac:dyDescent="0.35">
      <c r="A895" t="s">
        <v>1477</v>
      </c>
      <c r="B895" t="str">
        <f t="shared" si="28"/>
        <v>Overweight</v>
      </c>
      <c r="C895">
        <v>28.785</v>
      </c>
      <c r="D895">
        <v>9.1</v>
      </c>
      <c r="E895" t="str">
        <f t="shared" si="29"/>
        <v>Diabetes</v>
      </c>
      <c r="F895" t="s">
        <v>2381</v>
      </c>
      <c r="G895" t="s">
        <v>2380</v>
      </c>
      <c r="H895" t="s">
        <v>2382</v>
      </c>
      <c r="I895">
        <v>1</v>
      </c>
      <c r="J895" t="s">
        <v>2380</v>
      </c>
    </row>
    <row r="896" spans="1:10" x14ac:dyDescent="0.35">
      <c r="A896" t="s">
        <v>1476</v>
      </c>
      <c r="B896" t="str">
        <f t="shared" si="28"/>
        <v>Overweight</v>
      </c>
      <c r="C896">
        <v>25.46</v>
      </c>
      <c r="D896">
        <v>11.52</v>
      </c>
      <c r="E896" t="str">
        <f t="shared" si="29"/>
        <v>Diabetes</v>
      </c>
      <c r="F896" t="s">
        <v>2381</v>
      </c>
      <c r="G896" t="s">
        <v>2380</v>
      </c>
      <c r="H896" t="s">
        <v>2382</v>
      </c>
      <c r="I896">
        <v>1</v>
      </c>
      <c r="J896" t="s">
        <v>2380</v>
      </c>
    </row>
    <row r="897" spans="1:10" x14ac:dyDescent="0.35">
      <c r="A897" t="s">
        <v>1475</v>
      </c>
      <c r="B897" t="str">
        <f t="shared" si="28"/>
        <v>Obesity</v>
      </c>
      <c r="C897">
        <v>30.8</v>
      </c>
      <c r="D897">
        <v>10.95</v>
      </c>
      <c r="E897" t="str">
        <f t="shared" si="29"/>
        <v>Diabetes</v>
      </c>
      <c r="F897" t="s">
        <v>2380</v>
      </c>
      <c r="G897" t="s">
        <v>2380</v>
      </c>
      <c r="H897" t="s">
        <v>2380</v>
      </c>
      <c r="I897">
        <v>0</v>
      </c>
      <c r="J897" t="s">
        <v>2380</v>
      </c>
    </row>
    <row r="898" spans="1:10" x14ac:dyDescent="0.35">
      <c r="A898" t="s">
        <v>1474</v>
      </c>
      <c r="B898" t="str">
        <f t="shared" si="28"/>
        <v>Overweight</v>
      </c>
      <c r="C898">
        <v>28.88</v>
      </c>
      <c r="D898">
        <v>11.5</v>
      </c>
      <c r="E898" t="str">
        <f t="shared" si="29"/>
        <v>Diabetes</v>
      </c>
      <c r="F898" t="s">
        <v>2380</v>
      </c>
      <c r="G898" t="s">
        <v>2380</v>
      </c>
      <c r="H898" t="s">
        <v>2380</v>
      </c>
      <c r="I898">
        <v>0</v>
      </c>
      <c r="J898" t="s">
        <v>2380</v>
      </c>
    </row>
    <row r="899" spans="1:10" x14ac:dyDescent="0.35">
      <c r="A899" t="s">
        <v>1473</v>
      </c>
      <c r="B899" t="str">
        <f t="shared" ref="B899:B962" si="30">IF(C899&lt;18.5,"Underweight",IF(C899&lt;25,"Normal Weight",IF(C899&lt;30,"Overweight","Obesity")))</f>
        <v>Normal Weight</v>
      </c>
      <c r="C899">
        <v>23</v>
      </c>
      <c r="D899">
        <v>9.8800000000000008</v>
      </c>
      <c r="E899" t="str">
        <f t="shared" ref="E899:E962" si="31">IF(D899&lt;5.7,"Normal",IF(D899&lt;6.5,"Prediabetes","Diabetes"))</f>
        <v>Diabetes</v>
      </c>
      <c r="F899" t="s">
        <v>2380</v>
      </c>
      <c r="G899" t="s">
        <v>2380</v>
      </c>
      <c r="H899" t="s">
        <v>2380</v>
      </c>
      <c r="I899">
        <v>0</v>
      </c>
      <c r="J899" t="s">
        <v>2380</v>
      </c>
    </row>
    <row r="900" spans="1:10" x14ac:dyDescent="0.35">
      <c r="A900" t="s">
        <v>1472</v>
      </c>
      <c r="B900" t="str">
        <f t="shared" si="30"/>
        <v>Obesity</v>
      </c>
      <c r="C900">
        <v>38.25</v>
      </c>
      <c r="D900">
        <v>6.2</v>
      </c>
      <c r="E900" t="str">
        <f t="shared" si="31"/>
        <v>Prediabetes</v>
      </c>
      <c r="F900" t="s">
        <v>2380</v>
      </c>
      <c r="G900" t="s">
        <v>2380</v>
      </c>
      <c r="H900" t="s">
        <v>2380</v>
      </c>
      <c r="I900">
        <v>1</v>
      </c>
      <c r="J900" t="s">
        <v>2380</v>
      </c>
    </row>
    <row r="901" spans="1:10" x14ac:dyDescent="0.35">
      <c r="A901" t="s">
        <v>1471</v>
      </c>
      <c r="B901" t="str">
        <f t="shared" si="30"/>
        <v>Obesity</v>
      </c>
      <c r="C901">
        <v>39.25</v>
      </c>
      <c r="D901">
        <v>8.41</v>
      </c>
      <c r="E901" t="str">
        <f t="shared" si="31"/>
        <v>Diabetes</v>
      </c>
      <c r="F901" t="s">
        <v>2381</v>
      </c>
      <c r="G901" t="s">
        <v>2380</v>
      </c>
      <c r="H901" t="s">
        <v>2380</v>
      </c>
      <c r="I901">
        <v>1</v>
      </c>
      <c r="J901" t="s">
        <v>2380</v>
      </c>
    </row>
    <row r="902" spans="1:10" x14ac:dyDescent="0.35">
      <c r="A902" t="s">
        <v>1470</v>
      </c>
      <c r="B902" t="str">
        <f t="shared" si="30"/>
        <v>Overweight</v>
      </c>
      <c r="C902">
        <v>26.6</v>
      </c>
      <c r="D902">
        <v>5.07</v>
      </c>
      <c r="E902" t="str">
        <f t="shared" si="31"/>
        <v>Normal</v>
      </c>
      <c r="F902" t="s">
        <v>2381</v>
      </c>
      <c r="G902" t="s">
        <v>2380</v>
      </c>
      <c r="H902" t="s">
        <v>2380</v>
      </c>
      <c r="I902">
        <v>2</v>
      </c>
      <c r="J902" t="s">
        <v>2380</v>
      </c>
    </row>
    <row r="903" spans="1:10" x14ac:dyDescent="0.35">
      <c r="A903" t="s">
        <v>1469</v>
      </c>
      <c r="B903" t="str">
        <f t="shared" si="30"/>
        <v>Obesity</v>
      </c>
      <c r="C903">
        <v>35.700000000000003</v>
      </c>
      <c r="D903">
        <v>4.0599999999999996</v>
      </c>
      <c r="E903" t="str">
        <f t="shared" si="31"/>
        <v>Normal</v>
      </c>
      <c r="F903" t="s">
        <v>2380</v>
      </c>
      <c r="G903" t="s">
        <v>2380</v>
      </c>
      <c r="H903" t="s">
        <v>2382</v>
      </c>
      <c r="I903">
        <v>1</v>
      </c>
      <c r="J903" t="s">
        <v>2380</v>
      </c>
    </row>
    <row r="904" spans="1:10" x14ac:dyDescent="0.35">
      <c r="A904" t="s">
        <v>1468</v>
      </c>
      <c r="B904" t="str">
        <f t="shared" si="30"/>
        <v>Normal Weight</v>
      </c>
      <c r="C904">
        <v>20.100000000000001</v>
      </c>
      <c r="D904">
        <v>10.52</v>
      </c>
      <c r="E904" t="str">
        <f t="shared" si="31"/>
        <v>Diabetes</v>
      </c>
      <c r="F904" t="s">
        <v>2380</v>
      </c>
      <c r="G904" t="s">
        <v>2380</v>
      </c>
      <c r="H904" t="s">
        <v>2380</v>
      </c>
      <c r="I904">
        <v>0</v>
      </c>
      <c r="J904" t="s">
        <v>2380</v>
      </c>
    </row>
    <row r="905" spans="1:10" x14ac:dyDescent="0.35">
      <c r="A905" t="s">
        <v>1467</v>
      </c>
      <c r="B905" t="str">
        <f t="shared" si="30"/>
        <v>Normal Weight</v>
      </c>
      <c r="C905">
        <v>22.23</v>
      </c>
      <c r="D905">
        <v>9.65</v>
      </c>
      <c r="E905" t="str">
        <f t="shared" si="31"/>
        <v>Diabetes</v>
      </c>
      <c r="F905" t="s">
        <v>2380</v>
      </c>
      <c r="G905" t="s">
        <v>2380</v>
      </c>
      <c r="H905" t="s">
        <v>2380</v>
      </c>
      <c r="I905">
        <v>0</v>
      </c>
      <c r="J905" t="s">
        <v>2380</v>
      </c>
    </row>
    <row r="906" spans="1:10" x14ac:dyDescent="0.35">
      <c r="A906" t="s">
        <v>1466</v>
      </c>
      <c r="B906" t="str">
        <f t="shared" si="30"/>
        <v>Obesity</v>
      </c>
      <c r="C906">
        <v>36.47</v>
      </c>
      <c r="D906">
        <v>6.21</v>
      </c>
      <c r="E906" t="str">
        <f t="shared" si="31"/>
        <v>Prediabetes</v>
      </c>
      <c r="F906" t="s">
        <v>2380</v>
      </c>
      <c r="G906" t="s">
        <v>2380</v>
      </c>
      <c r="H906" t="s">
        <v>2380</v>
      </c>
      <c r="I906">
        <v>0</v>
      </c>
      <c r="J906" t="s">
        <v>2380</v>
      </c>
    </row>
    <row r="907" spans="1:10" x14ac:dyDescent="0.35">
      <c r="A907" t="s">
        <v>1465</v>
      </c>
      <c r="B907" t="str">
        <f t="shared" si="30"/>
        <v>Obesity</v>
      </c>
      <c r="C907">
        <v>49.64</v>
      </c>
      <c r="D907">
        <v>4.76</v>
      </c>
      <c r="E907" t="str">
        <f t="shared" si="31"/>
        <v>Normal</v>
      </c>
      <c r="F907" t="s">
        <v>2380</v>
      </c>
      <c r="G907" t="s">
        <v>2380</v>
      </c>
      <c r="H907" t="s">
        <v>2382</v>
      </c>
      <c r="I907">
        <v>1</v>
      </c>
      <c r="J907" t="s">
        <v>2380</v>
      </c>
    </row>
    <row r="908" spans="1:10" x14ac:dyDescent="0.35">
      <c r="A908" t="s">
        <v>1464</v>
      </c>
      <c r="B908" t="str">
        <f t="shared" si="30"/>
        <v>Obesity</v>
      </c>
      <c r="C908">
        <v>36.799999999999997</v>
      </c>
      <c r="D908">
        <v>5.73</v>
      </c>
      <c r="E908" t="str">
        <f t="shared" si="31"/>
        <v>Prediabetes</v>
      </c>
      <c r="F908" t="s">
        <v>2381</v>
      </c>
      <c r="G908" t="s">
        <v>2380</v>
      </c>
      <c r="H908" t="s">
        <v>2382</v>
      </c>
      <c r="I908">
        <v>1</v>
      </c>
      <c r="J908" t="s">
        <v>2380</v>
      </c>
    </row>
    <row r="909" spans="1:10" x14ac:dyDescent="0.35">
      <c r="A909" t="s">
        <v>1463</v>
      </c>
      <c r="B909" t="str">
        <f t="shared" si="30"/>
        <v>Obesity</v>
      </c>
      <c r="C909">
        <v>33.880000000000003</v>
      </c>
      <c r="D909">
        <v>10.78</v>
      </c>
      <c r="E909" t="str">
        <f t="shared" si="31"/>
        <v>Diabetes</v>
      </c>
      <c r="F909" t="s">
        <v>2381</v>
      </c>
      <c r="G909" t="s">
        <v>2380</v>
      </c>
      <c r="H909" t="s">
        <v>2380</v>
      </c>
      <c r="I909">
        <v>0</v>
      </c>
      <c r="J909" t="s">
        <v>2380</v>
      </c>
    </row>
    <row r="910" spans="1:10" x14ac:dyDescent="0.35">
      <c r="A910" t="s">
        <v>1462</v>
      </c>
      <c r="B910" t="str">
        <f t="shared" si="30"/>
        <v>Obesity</v>
      </c>
      <c r="C910">
        <v>32.01</v>
      </c>
      <c r="D910">
        <v>5.08</v>
      </c>
      <c r="E910" t="str">
        <f t="shared" si="31"/>
        <v>Normal</v>
      </c>
      <c r="F910" t="s">
        <v>2381</v>
      </c>
      <c r="G910" t="s">
        <v>2380</v>
      </c>
      <c r="H910" t="s">
        <v>2380</v>
      </c>
      <c r="I910">
        <v>1</v>
      </c>
      <c r="J910" t="s">
        <v>2380</v>
      </c>
    </row>
    <row r="911" spans="1:10" x14ac:dyDescent="0.35">
      <c r="A911" t="s">
        <v>1461</v>
      </c>
      <c r="B911" t="str">
        <f t="shared" si="30"/>
        <v>Obesity</v>
      </c>
      <c r="C911">
        <v>33.630000000000003</v>
      </c>
      <c r="D911">
        <v>11.39</v>
      </c>
      <c r="E911" t="str">
        <f t="shared" si="31"/>
        <v>Diabetes</v>
      </c>
      <c r="F911" t="s">
        <v>2380</v>
      </c>
      <c r="G911" t="s">
        <v>2380</v>
      </c>
      <c r="H911" t="s">
        <v>2380</v>
      </c>
      <c r="I911">
        <v>0</v>
      </c>
      <c r="J911" t="s">
        <v>2380</v>
      </c>
    </row>
    <row r="912" spans="1:10" x14ac:dyDescent="0.35">
      <c r="A912" t="s">
        <v>1460</v>
      </c>
      <c r="B912" t="str">
        <f t="shared" si="30"/>
        <v>Obesity</v>
      </c>
      <c r="C912">
        <v>34.865000000000002</v>
      </c>
      <c r="D912">
        <v>5.35</v>
      </c>
      <c r="E912" t="str">
        <f t="shared" si="31"/>
        <v>Normal</v>
      </c>
      <c r="F912" t="s">
        <v>2381</v>
      </c>
      <c r="G912" t="s">
        <v>2380</v>
      </c>
      <c r="H912" t="s">
        <v>2380</v>
      </c>
      <c r="I912">
        <v>1</v>
      </c>
      <c r="J912" t="s">
        <v>2380</v>
      </c>
    </row>
    <row r="913" spans="1:10" x14ac:dyDescent="0.35">
      <c r="A913" t="s">
        <v>1459</v>
      </c>
      <c r="B913" t="str">
        <f t="shared" si="30"/>
        <v>Obesity</v>
      </c>
      <c r="C913">
        <v>43.11</v>
      </c>
      <c r="D913">
        <v>5.6</v>
      </c>
      <c r="E913" t="str">
        <f t="shared" si="31"/>
        <v>Normal</v>
      </c>
      <c r="F913" t="s">
        <v>2380</v>
      </c>
      <c r="G913" t="s">
        <v>2380</v>
      </c>
      <c r="H913" t="s">
        <v>2380</v>
      </c>
      <c r="I913">
        <v>0</v>
      </c>
      <c r="J913" t="s">
        <v>2380</v>
      </c>
    </row>
    <row r="914" spans="1:10" x14ac:dyDescent="0.35">
      <c r="A914" t="s">
        <v>1458</v>
      </c>
      <c r="B914" t="str">
        <f t="shared" si="30"/>
        <v>Obesity</v>
      </c>
      <c r="C914">
        <v>30.305</v>
      </c>
      <c r="D914">
        <v>4.2699999999999996</v>
      </c>
      <c r="E914" t="str">
        <f t="shared" si="31"/>
        <v>Normal</v>
      </c>
      <c r="F914" t="s">
        <v>2381</v>
      </c>
      <c r="G914" t="s">
        <v>2380</v>
      </c>
      <c r="H914" t="s">
        <v>2380</v>
      </c>
      <c r="I914">
        <v>1</v>
      </c>
      <c r="J914" t="s">
        <v>2380</v>
      </c>
    </row>
    <row r="915" spans="1:10" x14ac:dyDescent="0.35">
      <c r="A915" t="s">
        <v>1457</v>
      </c>
      <c r="B915" t="str">
        <f t="shared" si="30"/>
        <v>Overweight</v>
      </c>
      <c r="C915">
        <v>25.175000000000001</v>
      </c>
      <c r="D915">
        <v>5.57</v>
      </c>
      <c r="E915" t="str">
        <f t="shared" si="31"/>
        <v>Normal</v>
      </c>
      <c r="F915" t="s">
        <v>2381</v>
      </c>
      <c r="G915" t="s">
        <v>2380</v>
      </c>
      <c r="H915" t="s">
        <v>2380</v>
      </c>
      <c r="I915">
        <v>1</v>
      </c>
      <c r="J915" t="s">
        <v>2380</v>
      </c>
    </row>
    <row r="916" spans="1:10" x14ac:dyDescent="0.35">
      <c r="A916" t="s">
        <v>1456</v>
      </c>
      <c r="B916" t="str">
        <f t="shared" si="30"/>
        <v>Overweight</v>
      </c>
      <c r="C916">
        <v>26.8</v>
      </c>
      <c r="D916">
        <v>5.68</v>
      </c>
      <c r="E916" t="str">
        <f t="shared" si="31"/>
        <v>Normal</v>
      </c>
      <c r="F916" t="s">
        <v>2381</v>
      </c>
      <c r="G916" t="s">
        <v>2380</v>
      </c>
      <c r="H916" t="s">
        <v>2380</v>
      </c>
      <c r="I916">
        <v>1</v>
      </c>
      <c r="J916" t="s">
        <v>2380</v>
      </c>
    </row>
    <row r="917" spans="1:10" x14ac:dyDescent="0.35">
      <c r="A917" t="s">
        <v>1455</v>
      </c>
      <c r="B917" t="str">
        <f t="shared" si="30"/>
        <v>Normal Weight</v>
      </c>
      <c r="C917">
        <v>21.78</v>
      </c>
      <c r="D917">
        <v>5.3</v>
      </c>
      <c r="E917" t="str">
        <f t="shared" si="31"/>
        <v>Normal</v>
      </c>
      <c r="F917" t="s">
        <v>2380</v>
      </c>
      <c r="G917" t="s">
        <v>2381</v>
      </c>
      <c r="H917" t="s">
        <v>2380</v>
      </c>
      <c r="I917">
        <v>1</v>
      </c>
      <c r="J917" t="s">
        <v>2380</v>
      </c>
    </row>
    <row r="918" spans="1:10" x14ac:dyDescent="0.35">
      <c r="A918" t="s">
        <v>1454</v>
      </c>
      <c r="B918" t="str">
        <f t="shared" si="30"/>
        <v>Obesity</v>
      </c>
      <c r="C918">
        <v>30.14</v>
      </c>
      <c r="D918">
        <v>9.4499999999999993</v>
      </c>
      <c r="E918" t="str">
        <f t="shared" si="31"/>
        <v>Diabetes</v>
      </c>
      <c r="F918" t="s">
        <v>2381</v>
      </c>
      <c r="G918" t="s">
        <v>2380</v>
      </c>
      <c r="H918" t="s">
        <v>2380</v>
      </c>
      <c r="I918">
        <v>0</v>
      </c>
      <c r="J918" t="s">
        <v>2380</v>
      </c>
    </row>
    <row r="919" spans="1:10" x14ac:dyDescent="0.35">
      <c r="A919" t="s">
        <v>1453</v>
      </c>
      <c r="B919" t="str">
        <f t="shared" si="30"/>
        <v>Overweight</v>
      </c>
      <c r="C919">
        <v>29.7</v>
      </c>
      <c r="D919">
        <v>6.79</v>
      </c>
      <c r="E919" t="str">
        <f t="shared" si="31"/>
        <v>Diabetes</v>
      </c>
      <c r="F919" t="s">
        <v>2381</v>
      </c>
      <c r="G919" t="s">
        <v>2380</v>
      </c>
      <c r="H919" t="s">
        <v>2380</v>
      </c>
      <c r="I919">
        <v>0</v>
      </c>
      <c r="J919" t="s">
        <v>2380</v>
      </c>
    </row>
    <row r="920" spans="1:10" x14ac:dyDescent="0.35">
      <c r="A920" t="s">
        <v>1452</v>
      </c>
      <c r="B920" t="str">
        <f t="shared" si="30"/>
        <v>Obesity</v>
      </c>
      <c r="C920">
        <v>32.395000000000003</v>
      </c>
      <c r="D920">
        <v>11.1</v>
      </c>
      <c r="E920" t="str">
        <f t="shared" si="31"/>
        <v>Diabetes</v>
      </c>
      <c r="F920" t="s">
        <v>2381</v>
      </c>
      <c r="G920" t="s">
        <v>2380</v>
      </c>
      <c r="H920" t="s">
        <v>2380</v>
      </c>
      <c r="I920">
        <v>0</v>
      </c>
      <c r="J920" t="s">
        <v>2380</v>
      </c>
    </row>
    <row r="921" spans="1:10" x14ac:dyDescent="0.35">
      <c r="A921" t="s">
        <v>1451</v>
      </c>
      <c r="B921" t="str">
        <f t="shared" si="30"/>
        <v>Obesity</v>
      </c>
      <c r="C921">
        <v>36.64</v>
      </c>
      <c r="D921">
        <v>7.26</v>
      </c>
      <c r="E921" t="str">
        <f t="shared" si="31"/>
        <v>Diabetes</v>
      </c>
      <c r="F921" t="s">
        <v>2380</v>
      </c>
      <c r="G921" t="s">
        <v>2380</v>
      </c>
      <c r="H921" t="s">
        <v>2380</v>
      </c>
      <c r="I921">
        <v>0</v>
      </c>
      <c r="J921" t="s">
        <v>2380</v>
      </c>
    </row>
    <row r="922" spans="1:10" x14ac:dyDescent="0.35">
      <c r="A922" t="s">
        <v>1450</v>
      </c>
      <c r="B922" t="str">
        <f t="shared" si="30"/>
        <v>Obesity</v>
      </c>
      <c r="C922">
        <v>39.049999999999997</v>
      </c>
      <c r="D922">
        <v>5.27</v>
      </c>
      <c r="E922" t="str">
        <f t="shared" si="31"/>
        <v>Normal</v>
      </c>
      <c r="F922" t="s">
        <v>2381</v>
      </c>
      <c r="G922" t="s">
        <v>2380</v>
      </c>
      <c r="H922" t="s">
        <v>2380</v>
      </c>
      <c r="I922">
        <v>1</v>
      </c>
      <c r="J922" t="s">
        <v>2380</v>
      </c>
    </row>
    <row r="923" spans="1:10" x14ac:dyDescent="0.35">
      <c r="A923" t="s">
        <v>1449</v>
      </c>
      <c r="B923" t="str">
        <f t="shared" si="30"/>
        <v>Obesity</v>
      </c>
      <c r="C923">
        <v>33.1</v>
      </c>
      <c r="D923">
        <v>5.46</v>
      </c>
      <c r="E923" t="str">
        <f t="shared" si="31"/>
        <v>Normal</v>
      </c>
      <c r="F923" t="s">
        <v>2381</v>
      </c>
      <c r="G923" t="s">
        <v>2380</v>
      </c>
      <c r="H923" t="s">
        <v>2380</v>
      </c>
      <c r="I923">
        <v>1</v>
      </c>
      <c r="J923" t="s">
        <v>2380</v>
      </c>
    </row>
    <row r="924" spans="1:10" x14ac:dyDescent="0.35">
      <c r="A924" t="s">
        <v>1448</v>
      </c>
      <c r="B924" t="str">
        <f t="shared" si="30"/>
        <v>Obesity</v>
      </c>
      <c r="C924">
        <v>31.824999999999999</v>
      </c>
      <c r="D924">
        <v>8.1300000000000008</v>
      </c>
      <c r="E924" t="str">
        <f t="shared" si="31"/>
        <v>Diabetes</v>
      </c>
      <c r="F924" t="s">
        <v>2380</v>
      </c>
      <c r="G924" t="s">
        <v>2380</v>
      </c>
      <c r="H924" t="s">
        <v>2380</v>
      </c>
      <c r="I924">
        <v>0</v>
      </c>
      <c r="J924" t="s">
        <v>2380</v>
      </c>
    </row>
    <row r="925" spans="1:10" x14ac:dyDescent="0.35">
      <c r="A925" t="s">
        <v>1447</v>
      </c>
      <c r="B925" t="str">
        <f t="shared" si="30"/>
        <v>Overweight</v>
      </c>
      <c r="C925">
        <v>29</v>
      </c>
      <c r="D925">
        <v>4.25</v>
      </c>
      <c r="E925" t="str">
        <f t="shared" si="31"/>
        <v>Normal</v>
      </c>
      <c r="F925" t="s">
        <v>2381</v>
      </c>
      <c r="G925" t="s">
        <v>2380</v>
      </c>
      <c r="H925" t="s">
        <v>2380</v>
      </c>
      <c r="I925">
        <v>1</v>
      </c>
      <c r="J925" t="s">
        <v>2380</v>
      </c>
    </row>
    <row r="926" spans="1:10" x14ac:dyDescent="0.35">
      <c r="A926" t="s">
        <v>1446</v>
      </c>
      <c r="B926" t="str">
        <f t="shared" si="30"/>
        <v>Obesity</v>
      </c>
      <c r="C926">
        <v>30.495000000000001</v>
      </c>
      <c r="D926">
        <v>8.68</v>
      </c>
      <c r="E926" t="str">
        <f t="shared" si="31"/>
        <v>Diabetes</v>
      </c>
      <c r="F926" t="s">
        <v>2380</v>
      </c>
      <c r="G926" t="s">
        <v>2380</v>
      </c>
      <c r="H926" t="s">
        <v>2380</v>
      </c>
      <c r="I926">
        <v>0</v>
      </c>
      <c r="J926" t="s">
        <v>2380</v>
      </c>
    </row>
    <row r="927" spans="1:10" x14ac:dyDescent="0.35">
      <c r="A927" t="s">
        <v>1445</v>
      </c>
      <c r="B927" t="str">
        <f t="shared" si="30"/>
        <v>Overweight</v>
      </c>
      <c r="C927">
        <v>25.2</v>
      </c>
      <c r="D927">
        <v>6.25</v>
      </c>
      <c r="E927" t="str">
        <f t="shared" si="31"/>
        <v>Prediabetes</v>
      </c>
      <c r="F927" t="s">
        <v>2381</v>
      </c>
      <c r="G927" t="s">
        <v>2380</v>
      </c>
      <c r="H927" t="s">
        <v>2380</v>
      </c>
      <c r="I927">
        <v>1</v>
      </c>
      <c r="J927" t="s">
        <v>2380</v>
      </c>
    </row>
    <row r="928" spans="1:10" x14ac:dyDescent="0.35">
      <c r="A928" t="s">
        <v>1444</v>
      </c>
      <c r="B928" t="str">
        <f t="shared" si="30"/>
        <v>Normal Weight</v>
      </c>
      <c r="C928">
        <v>22.77</v>
      </c>
      <c r="D928">
        <v>4.47</v>
      </c>
      <c r="E928" t="str">
        <f t="shared" si="31"/>
        <v>Normal</v>
      </c>
      <c r="F928" t="s">
        <v>2381</v>
      </c>
      <c r="G928" t="s">
        <v>2380</v>
      </c>
      <c r="H928" t="s">
        <v>2380</v>
      </c>
      <c r="I928">
        <v>1</v>
      </c>
      <c r="J928" t="s">
        <v>2380</v>
      </c>
    </row>
    <row r="929" spans="1:10" x14ac:dyDescent="0.35">
      <c r="A929" t="s">
        <v>1443</v>
      </c>
      <c r="B929" t="str">
        <f t="shared" si="30"/>
        <v>Normal Weight</v>
      </c>
      <c r="C929">
        <v>23.18</v>
      </c>
      <c r="D929">
        <v>8.31</v>
      </c>
      <c r="E929" t="str">
        <f t="shared" si="31"/>
        <v>Diabetes</v>
      </c>
      <c r="F929" t="s">
        <v>2380</v>
      </c>
      <c r="G929" t="s">
        <v>2380</v>
      </c>
      <c r="H929" t="s">
        <v>2380</v>
      </c>
      <c r="I929">
        <v>0</v>
      </c>
      <c r="J929" t="s">
        <v>2380</v>
      </c>
    </row>
    <row r="930" spans="1:10" x14ac:dyDescent="0.35">
      <c r="A930" t="s">
        <v>1442</v>
      </c>
      <c r="B930" t="str">
        <f t="shared" si="30"/>
        <v>Obesity</v>
      </c>
      <c r="C930">
        <v>35.409999999999997</v>
      </c>
      <c r="D930">
        <v>5.68</v>
      </c>
      <c r="E930" t="str">
        <f t="shared" si="31"/>
        <v>Normal</v>
      </c>
      <c r="F930" t="s">
        <v>2380</v>
      </c>
      <c r="G930" t="s">
        <v>2380</v>
      </c>
      <c r="H930" t="s">
        <v>2380</v>
      </c>
      <c r="I930">
        <v>0</v>
      </c>
      <c r="J930" t="s">
        <v>2380</v>
      </c>
    </row>
    <row r="931" spans="1:10" x14ac:dyDescent="0.35">
      <c r="A931" t="s">
        <v>1441</v>
      </c>
      <c r="B931" t="str">
        <f t="shared" si="30"/>
        <v>Obesity</v>
      </c>
      <c r="C931">
        <v>32.11</v>
      </c>
      <c r="D931">
        <v>4.75</v>
      </c>
      <c r="E931" t="str">
        <f t="shared" si="31"/>
        <v>Normal</v>
      </c>
      <c r="F931" t="s">
        <v>2381</v>
      </c>
      <c r="G931" t="s">
        <v>2380</v>
      </c>
      <c r="H931" t="s">
        <v>2380</v>
      </c>
      <c r="I931">
        <v>2</v>
      </c>
      <c r="J931" t="s">
        <v>2380</v>
      </c>
    </row>
    <row r="932" spans="1:10" x14ac:dyDescent="0.35">
      <c r="A932" t="s">
        <v>1440</v>
      </c>
      <c r="B932" t="str">
        <f t="shared" si="30"/>
        <v>Obesity</v>
      </c>
      <c r="C932">
        <v>34.479999999999997</v>
      </c>
      <c r="D932">
        <v>6.31</v>
      </c>
      <c r="E932" t="str">
        <f t="shared" si="31"/>
        <v>Prediabetes</v>
      </c>
      <c r="F932" t="s">
        <v>2380</v>
      </c>
      <c r="G932" t="s">
        <v>2380</v>
      </c>
      <c r="H932" t="s">
        <v>2382</v>
      </c>
      <c r="I932">
        <v>1</v>
      </c>
      <c r="J932" t="s">
        <v>2380</v>
      </c>
    </row>
    <row r="933" spans="1:10" x14ac:dyDescent="0.35">
      <c r="A933" t="s">
        <v>1439</v>
      </c>
      <c r="B933" t="str">
        <f t="shared" si="30"/>
        <v>Obesity</v>
      </c>
      <c r="C933">
        <v>34.39</v>
      </c>
      <c r="D933">
        <v>6.28</v>
      </c>
      <c r="E933" t="str">
        <f t="shared" si="31"/>
        <v>Prediabetes</v>
      </c>
      <c r="F933" t="s">
        <v>2381</v>
      </c>
      <c r="G933" t="s">
        <v>2380</v>
      </c>
      <c r="H933" t="s">
        <v>2380</v>
      </c>
      <c r="I933">
        <v>1</v>
      </c>
      <c r="J933" t="s">
        <v>2380</v>
      </c>
    </row>
    <row r="934" spans="1:10" x14ac:dyDescent="0.35">
      <c r="A934" t="s">
        <v>1438</v>
      </c>
      <c r="B934" t="str">
        <f t="shared" si="30"/>
        <v>Overweight</v>
      </c>
      <c r="C934">
        <v>26.4</v>
      </c>
      <c r="D934">
        <v>9.2899999999999991</v>
      </c>
      <c r="E934" t="str">
        <f t="shared" si="31"/>
        <v>Diabetes</v>
      </c>
      <c r="F934" t="s">
        <v>2381</v>
      </c>
      <c r="G934" t="s">
        <v>2380</v>
      </c>
      <c r="H934" t="s">
        <v>2382</v>
      </c>
      <c r="I934">
        <v>1</v>
      </c>
      <c r="J934" t="s">
        <v>2380</v>
      </c>
    </row>
    <row r="935" spans="1:10" x14ac:dyDescent="0.35">
      <c r="A935" t="s">
        <v>1437</v>
      </c>
      <c r="B935" t="str">
        <f t="shared" si="30"/>
        <v>Overweight</v>
      </c>
      <c r="C935">
        <v>28.1</v>
      </c>
      <c r="D935">
        <v>5.79</v>
      </c>
      <c r="E935" t="str">
        <f t="shared" si="31"/>
        <v>Prediabetes</v>
      </c>
      <c r="F935" t="s">
        <v>2381</v>
      </c>
      <c r="G935" t="s">
        <v>2380</v>
      </c>
      <c r="H935" t="s">
        <v>2382</v>
      </c>
      <c r="I935">
        <v>1</v>
      </c>
      <c r="J935" t="s">
        <v>2380</v>
      </c>
    </row>
    <row r="936" spans="1:10" x14ac:dyDescent="0.35">
      <c r="A936" t="s">
        <v>1436</v>
      </c>
      <c r="B936" t="str">
        <f t="shared" si="30"/>
        <v>Overweight</v>
      </c>
      <c r="C936">
        <v>27</v>
      </c>
      <c r="D936">
        <v>4.54</v>
      </c>
      <c r="E936" t="str">
        <f t="shared" si="31"/>
        <v>Normal</v>
      </c>
      <c r="F936" t="s">
        <v>2381</v>
      </c>
      <c r="G936" t="s">
        <v>2380</v>
      </c>
      <c r="H936" t="s">
        <v>2380</v>
      </c>
      <c r="I936">
        <v>1</v>
      </c>
      <c r="J936" t="s">
        <v>2380</v>
      </c>
    </row>
    <row r="937" spans="1:10" x14ac:dyDescent="0.35">
      <c r="A937" t="s">
        <v>1435</v>
      </c>
      <c r="B937" t="str">
        <f t="shared" si="30"/>
        <v>Overweight</v>
      </c>
      <c r="C937">
        <v>28.594999999999999</v>
      </c>
      <c r="D937">
        <v>4.68</v>
      </c>
      <c r="E937" t="str">
        <f t="shared" si="31"/>
        <v>Normal</v>
      </c>
      <c r="F937" t="s">
        <v>2381</v>
      </c>
      <c r="G937" t="s">
        <v>2380</v>
      </c>
      <c r="H937" t="s">
        <v>2380</v>
      </c>
      <c r="I937">
        <v>1</v>
      </c>
      <c r="J937" t="s">
        <v>2380</v>
      </c>
    </row>
    <row r="938" spans="1:10" x14ac:dyDescent="0.35">
      <c r="A938" t="s">
        <v>1434</v>
      </c>
      <c r="B938" t="str">
        <f t="shared" si="30"/>
        <v>Obesity</v>
      </c>
      <c r="C938">
        <v>36.799999999999997</v>
      </c>
      <c r="D938">
        <v>5.88</v>
      </c>
      <c r="E938" t="str">
        <f t="shared" si="31"/>
        <v>Prediabetes</v>
      </c>
      <c r="F938" t="s">
        <v>2380</v>
      </c>
      <c r="G938" t="s">
        <v>2380</v>
      </c>
      <c r="H938" t="s">
        <v>2380</v>
      </c>
      <c r="I938">
        <v>1</v>
      </c>
      <c r="J938" t="s">
        <v>2380</v>
      </c>
    </row>
    <row r="939" spans="1:10" x14ac:dyDescent="0.35">
      <c r="A939" t="s">
        <v>1433</v>
      </c>
      <c r="B939" t="str">
        <f t="shared" si="30"/>
        <v>Normal Weight</v>
      </c>
      <c r="C939">
        <v>23.75</v>
      </c>
      <c r="D939">
        <v>5.42</v>
      </c>
      <c r="E939" t="str">
        <f t="shared" si="31"/>
        <v>Normal</v>
      </c>
      <c r="F939" t="s">
        <v>2381</v>
      </c>
      <c r="G939" t="s">
        <v>2380</v>
      </c>
      <c r="H939" t="s">
        <v>2382</v>
      </c>
      <c r="I939">
        <v>1</v>
      </c>
      <c r="J939" t="s">
        <v>2380</v>
      </c>
    </row>
    <row r="940" spans="1:10" x14ac:dyDescent="0.35">
      <c r="A940" t="s">
        <v>1432</v>
      </c>
      <c r="B940" t="str">
        <f t="shared" si="30"/>
        <v>Obesity</v>
      </c>
      <c r="C940">
        <v>35.619999999999997</v>
      </c>
      <c r="D940">
        <v>4.16</v>
      </c>
      <c r="E940" t="str">
        <f t="shared" si="31"/>
        <v>Normal</v>
      </c>
      <c r="F940" t="s">
        <v>2380</v>
      </c>
      <c r="G940" t="s">
        <v>2380</v>
      </c>
      <c r="H940" t="s">
        <v>2380</v>
      </c>
      <c r="I940">
        <v>0</v>
      </c>
      <c r="J940" t="s">
        <v>2380</v>
      </c>
    </row>
    <row r="941" spans="1:10" x14ac:dyDescent="0.35">
      <c r="A941" t="s">
        <v>1431</v>
      </c>
      <c r="B941" t="str">
        <f t="shared" si="30"/>
        <v>Obesity</v>
      </c>
      <c r="C941">
        <v>30.69</v>
      </c>
      <c r="D941">
        <v>7.05</v>
      </c>
      <c r="E941" t="str">
        <f t="shared" si="31"/>
        <v>Diabetes</v>
      </c>
      <c r="F941" t="s">
        <v>2381</v>
      </c>
      <c r="G941" t="s">
        <v>2380</v>
      </c>
      <c r="H941" t="s">
        <v>2380</v>
      </c>
      <c r="I941">
        <v>2</v>
      </c>
      <c r="J941" t="s">
        <v>2380</v>
      </c>
    </row>
    <row r="942" spans="1:10" x14ac:dyDescent="0.35">
      <c r="A942" t="s">
        <v>1430</v>
      </c>
      <c r="B942" t="str">
        <f t="shared" si="30"/>
        <v>Obesity</v>
      </c>
      <c r="C942">
        <v>35.799999999999997</v>
      </c>
      <c r="D942">
        <v>5.63</v>
      </c>
      <c r="E942" t="str">
        <f t="shared" si="31"/>
        <v>Normal</v>
      </c>
      <c r="F942" t="s">
        <v>2381</v>
      </c>
      <c r="G942" t="s">
        <v>2380</v>
      </c>
      <c r="H942" t="s">
        <v>2380</v>
      </c>
      <c r="I942">
        <v>2</v>
      </c>
      <c r="J942" t="s">
        <v>2380</v>
      </c>
    </row>
    <row r="943" spans="1:10" x14ac:dyDescent="0.35">
      <c r="A943" t="s">
        <v>1429</v>
      </c>
      <c r="B943" t="str">
        <f t="shared" si="30"/>
        <v>Overweight</v>
      </c>
      <c r="C943">
        <v>28.785</v>
      </c>
      <c r="D943">
        <v>4.24</v>
      </c>
      <c r="E943" t="str">
        <f t="shared" si="31"/>
        <v>Normal</v>
      </c>
      <c r="F943" t="s">
        <v>2381</v>
      </c>
      <c r="G943" t="s">
        <v>2380</v>
      </c>
      <c r="H943" t="s">
        <v>2380</v>
      </c>
      <c r="I943">
        <v>2</v>
      </c>
      <c r="J943" t="s">
        <v>2380</v>
      </c>
    </row>
    <row r="944" spans="1:10" x14ac:dyDescent="0.35">
      <c r="A944" t="s">
        <v>1428</v>
      </c>
      <c r="B944" t="str">
        <f t="shared" si="30"/>
        <v>Overweight</v>
      </c>
      <c r="C944">
        <v>28.594999999999999</v>
      </c>
      <c r="D944">
        <v>4.96</v>
      </c>
      <c r="E944" t="str">
        <f t="shared" si="31"/>
        <v>Normal</v>
      </c>
      <c r="F944" t="s">
        <v>2381</v>
      </c>
      <c r="G944" t="s">
        <v>2380</v>
      </c>
      <c r="H944" t="s">
        <v>2380</v>
      </c>
      <c r="I944">
        <v>2</v>
      </c>
      <c r="J944" t="s">
        <v>2380</v>
      </c>
    </row>
    <row r="945" spans="1:10" x14ac:dyDescent="0.35">
      <c r="A945" t="s">
        <v>1427</v>
      </c>
      <c r="B945" t="str">
        <f t="shared" si="30"/>
        <v>Obesity</v>
      </c>
      <c r="C945">
        <v>48.75</v>
      </c>
      <c r="D945">
        <v>4.34</v>
      </c>
      <c r="E945" t="str">
        <f t="shared" si="31"/>
        <v>Normal</v>
      </c>
      <c r="F945" t="s">
        <v>2380</v>
      </c>
      <c r="G945" t="s">
        <v>2380</v>
      </c>
      <c r="H945" t="s">
        <v>2380</v>
      </c>
      <c r="I945">
        <v>0</v>
      </c>
      <c r="J945" t="s">
        <v>2380</v>
      </c>
    </row>
    <row r="946" spans="1:10" x14ac:dyDescent="0.35">
      <c r="A946" t="s">
        <v>1426</v>
      </c>
      <c r="B946" t="str">
        <f t="shared" si="30"/>
        <v>Overweight</v>
      </c>
      <c r="C946">
        <v>28.31</v>
      </c>
      <c r="D946">
        <v>5.43</v>
      </c>
      <c r="E946" t="str">
        <f t="shared" si="31"/>
        <v>Normal</v>
      </c>
      <c r="F946" t="s">
        <v>2381</v>
      </c>
      <c r="G946" t="s">
        <v>2380</v>
      </c>
      <c r="H946" t="s">
        <v>2380</v>
      </c>
      <c r="I946">
        <v>2</v>
      </c>
      <c r="J946" t="s">
        <v>2380</v>
      </c>
    </row>
    <row r="947" spans="1:10" x14ac:dyDescent="0.35">
      <c r="A947" t="s">
        <v>1425</v>
      </c>
      <c r="B947" t="str">
        <f t="shared" si="30"/>
        <v>Obesity</v>
      </c>
      <c r="C947">
        <v>38.39</v>
      </c>
      <c r="D947">
        <v>8.33</v>
      </c>
      <c r="E947" t="str">
        <f t="shared" si="31"/>
        <v>Diabetes</v>
      </c>
      <c r="F947" t="s">
        <v>2381</v>
      </c>
      <c r="G947" t="s">
        <v>2380</v>
      </c>
      <c r="H947" t="s">
        <v>2380</v>
      </c>
      <c r="I947">
        <v>1</v>
      </c>
      <c r="J947" t="s">
        <v>2380</v>
      </c>
    </row>
    <row r="948" spans="1:10" x14ac:dyDescent="0.35">
      <c r="A948" t="s">
        <v>1424</v>
      </c>
      <c r="B948" t="str">
        <f t="shared" si="30"/>
        <v>Overweight</v>
      </c>
      <c r="C948">
        <v>25.87</v>
      </c>
      <c r="D948">
        <v>5.63</v>
      </c>
      <c r="E948" t="str">
        <f t="shared" si="31"/>
        <v>Normal</v>
      </c>
      <c r="F948" t="s">
        <v>2381</v>
      </c>
      <c r="G948" t="s">
        <v>2380</v>
      </c>
      <c r="H948" t="s">
        <v>2380</v>
      </c>
      <c r="I948">
        <v>1</v>
      </c>
      <c r="J948" t="s">
        <v>2380</v>
      </c>
    </row>
    <row r="949" spans="1:10" x14ac:dyDescent="0.35">
      <c r="A949" t="s">
        <v>1423</v>
      </c>
      <c r="B949" t="str">
        <f t="shared" si="30"/>
        <v>Obesity</v>
      </c>
      <c r="C949">
        <v>43.7</v>
      </c>
      <c r="D949">
        <v>7.23</v>
      </c>
      <c r="E949" t="str">
        <f t="shared" si="31"/>
        <v>Diabetes</v>
      </c>
      <c r="F949" t="s">
        <v>2380</v>
      </c>
      <c r="G949" t="s">
        <v>2380</v>
      </c>
      <c r="H949" t="s">
        <v>2380</v>
      </c>
      <c r="I949">
        <v>0</v>
      </c>
      <c r="J949" t="s">
        <v>2380</v>
      </c>
    </row>
    <row r="950" spans="1:10" x14ac:dyDescent="0.35">
      <c r="A950" t="s">
        <v>1422</v>
      </c>
      <c r="B950" t="str">
        <f t="shared" si="30"/>
        <v>Obesity</v>
      </c>
      <c r="C950">
        <v>40.945</v>
      </c>
      <c r="D950">
        <v>10.57</v>
      </c>
      <c r="E950" t="str">
        <f t="shared" si="31"/>
        <v>Diabetes</v>
      </c>
      <c r="F950" t="s">
        <v>2380</v>
      </c>
      <c r="G950" t="s">
        <v>2380</v>
      </c>
      <c r="H950" t="s">
        <v>2380</v>
      </c>
      <c r="I950">
        <v>0</v>
      </c>
      <c r="J950" t="s">
        <v>2380</v>
      </c>
    </row>
    <row r="951" spans="1:10" x14ac:dyDescent="0.35">
      <c r="A951" t="s">
        <v>1421</v>
      </c>
      <c r="B951" t="str">
        <f t="shared" si="30"/>
        <v>Overweight</v>
      </c>
      <c r="C951">
        <v>27.94</v>
      </c>
      <c r="D951">
        <v>7.92</v>
      </c>
      <c r="E951" t="str">
        <f t="shared" si="31"/>
        <v>Diabetes</v>
      </c>
      <c r="F951" t="s">
        <v>2380</v>
      </c>
      <c r="G951" t="s">
        <v>2380</v>
      </c>
      <c r="H951" t="s">
        <v>2380</v>
      </c>
      <c r="I951">
        <v>0</v>
      </c>
      <c r="J951" t="s">
        <v>2380</v>
      </c>
    </row>
    <row r="952" spans="1:10" x14ac:dyDescent="0.35">
      <c r="A952" t="s">
        <v>1420</v>
      </c>
      <c r="B952" t="str">
        <f t="shared" si="30"/>
        <v>Obesity</v>
      </c>
      <c r="C952">
        <v>31.9</v>
      </c>
      <c r="D952">
        <v>10.119999999999999</v>
      </c>
      <c r="E952" t="str">
        <f t="shared" si="31"/>
        <v>Diabetes</v>
      </c>
      <c r="F952" t="s">
        <v>2380</v>
      </c>
      <c r="G952" t="s">
        <v>2380</v>
      </c>
      <c r="H952" t="s">
        <v>2380</v>
      </c>
      <c r="I952">
        <v>2</v>
      </c>
      <c r="J952" t="s">
        <v>2380</v>
      </c>
    </row>
    <row r="953" spans="1:10" x14ac:dyDescent="0.35">
      <c r="A953" t="s">
        <v>1419</v>
      </c>
      <c r="B953" t="str">
        <f t="shared" si="30"/>
        <v>Obesity</v>
      </c>
      <c r="C953">
        <v>31.64</v>
      </c>
      <c r="D953">
        <v>7.91</v>
      </c>
      <c r="E953" t="str">
        <f t="shared" si="31"/>
        <v>Diabetes</v>
      </c>
      <c r="F953" t="s">
        <v>2380</v>
      </c>
      <c r="G953" t="s">
        <v>2380</v>
      </c>
      <c r="H953" t="s">
        <v>2380</v>
      </c>
      <c r="I953">
        <v>0</v>
      </c>
      <c r="J953" t="s">
        <v>2380</v>
      </c>
    </row>
    <row r="954" spans="1:10" x14ac:dyDescent="0.35">
      <c r="A954" t="s">
        <v>1418</v>
      </c>
      <c r="B954" t="str">
        <f t="shared" si="30"/>
        <v>Obesity</v>
      </c>
      <c r="C954">
        <v>46.7</v>
      </c>
      <c r="D954">
        <v>10.9</v>
      </c>
      <c r="E954" t="str">
        <f t="shared" si="31"/>
        <v>Diabetes</v>
      </c>
      <c r="F954" t="s">
        <v>2380</v>
      </c>
      <c r="G954" t="s">
        <v>2380</v>
      </c>
      <c r="H954" t="s">
        <v>2380</v>
      </c>
      <c r="I954">
        <v>0</v>
      </c>
      <c r="J954" t="s">
        <v>2380</v>
      </c>
    </row>
    <row r="955" spans="1:10" x14ac:dyDescent="0.35">
      <c r="A955" t="s">
        <v>1417</v>
      </c>
      <c r="B955" t="str">
        <f t="shared" si="30"/>
        <v>Underweight</v>
      </c>
      <c r="C955">
        <v>18.335000000000001</v>
      </c>
      <c r="D955">
        <v>11.83</v>
      </c>
      <c r="E955" t="str">
        <f t="shared" si="31"/>
        <v>Diabetes</v>
      </c>
      <c r="F955" t="s">
        <v>2380</v>
      </c>
      <c r="G955" t="s">
        <v>2380</v>
      </c>
      <c r="H955" t="s">
        <v>2380</v>
      </c>
      <c r="I955">
        <v>0</v>
      </c>
      <c r="J955" t="s">
        <v>2380</v>
      </c>
    </row>
    <row r="956" spans="1:10" x14ac:dyDescent="0.35">
      <c r="A956" t="s">
        <v>1416</v>
      </c>
      <c r="B956" t="str">
        <f t="shared" si="30"/>
        <v>Obesity</v>
      </c>
      <c r="C956">
        <v>31.24</v>
      </c>
      <c r="D956">
        <v>7.42</v>
      </c>
      <c r="E956" t="str">
        <f t="shared" si="31"/>
        <v>Diabetes</v>
      </c>
      <c r="F956" t="s">
        <v>2381</v>
      </c>
      <c r="G956" t="s">
        <v>2380</v>
      </c>
      <c r="H956" t="s">
        <v>2380</v>
      </c>
      <c r="I956">
        <v>2</v>
      </c>
      <c r="J956" t="s">
        <v>2380</v>
      </c>
    </row>
    <row r="957" spans="1:10" x14ac:dyDescent="0.35">
      <c r="A957" t="s">
        <v>1415</v>
      </c>
      <c r="B957" t="str">
        <f t="shared" si="30"/>
        <v>Obesity</v>
      </c>
      <c r="C957">
        <v>39.22</v>
      </c>
      <c r="D957">
        <v>5.62</v>
      </c>
      <c r="E957" t="str">
        <f t="shared" si="31"/>
        <v>Normal</v>
      </c>
      <c r="F957" t="s">
        <v>2381</v>
      </c>
      <c r="G957" t="s">
        <v>2380</v>
      </c>
      <c r="H957" t="s">
        <v>2380</v>
      </c>
      <c r="I957">
        <v>1</v>
      </c>
      <c r="J957" t="s">
        <v>2380</v>
      </c>
    </row>
    <row r="958" spans="1:10" x14ac:dyDescent="0.35">
      <c r="A958" t="s">
        <v>1414</v>
      </c>
      <c r="B958" t="str">
        <f t="shared" si="30"/>
        <v>Normal Weight</v>
      </c>
      <c r="C958">
        <v>24.414999999999999</v>
      </c>
      <c r="D958">
        <v>7.16</v>
      </c>
      <c r="E958" t="str">
        <f t="shared" si="31"/>
        <v>Diabetes</v>
      </c>
      <c r="F958" t="s">
        <v>2380</v>
      </c>
      <c r="G958" t="s">
        <v>2380</v>
      </c>
      <c r="H958" t="s">
        <v>2380</v>
      </c>
      <c r="I958">
        <v>0</v>
      </c>
      <c r="J958" t="s">
        <v>2380</v>
      </c>
    </row>
    <row r="959" spans="1:10" x14ac:dyDescent="0.35">
      <c r="A959" t="s">
        <v>1413</v>
      </c>
      <c r="B959" t="str">
        <f t="shared" si="30"/>
        <v>Obesity</v>
      </c>
      <c r="C959">
        <v>32.299999999999997</v>
      </c>
      <c r="D959">
        <v>9.89</v>
      </c>
      <c r="E959" t="str">
        <f t="shared" si="31"/>
        <v>Diabetes</v>
      </c>
      <c r="F959" t="s">
        <v>2380</v>
      </c>
      <c r="G959" t="s">
        <v>2380</v>
      </c>
      <c r="H959" t="s">
        <v>2380</v>
      </c>
      <c r="I959">
        <v>0</v>
      </c>
      <c r="J959" t="s">
        <v>2380</v>
      </c>
    </row>
    <row r="960" spans="1:10" x14ac:dyDescent="0.35">
      <c r="A960" t="s">
        <v>1412</v>
      </c>
      <c r="B960" t="str">
        <f t="shared" si="30"/>
        <v>Obesity</v>
      </c>
      <c r="C960">
        <v>39.94</v>
      </c>
      <c r="D960">
        <v>5.14</v>
      </c>
      <c r="E960" t="str">
        <f t="shared" si="31"/>
        <v>Normal</v>
      </c>
      <c r="F960" t="s">
        <v>2380</v>
      </c>
      <c r="G960" t="s">
        <v>2380</v>
      </c>
      <c r="H960" t="s">
        <v>2380</v>
      </c>
      <c r="I960">
        <v>0</v>
      </c>
      <c r="J960" t="s">
        <v>2380</v>
      </c>
    </row>
    <row r="961" spans="1:10" x14ac:dyDescent="0.35">
      <c r="A961" t="s">
        <v>1411</v>
      </c>
      <c r="B961" t="str">
        <f t="shared" si="30"/>
        <v>Obesity</v>
      </c>
      <c r="C961">
        <v>30</v>
      </c>
      <c r="D961">
        <v>5.61</v>
      </c>
      <c r="E961" t="str">
        <f t="shared" si="31"/>
        <v>Normal</v>
      </c>
      <c r="F961" t="s">
        <v>2381</v>
      </c>
      <c r="G961" t="s">
        <v>2380</v>
      </c>
      <c r="H961" t="s">
        <v>2382</v>
      </c>
      <c r="I961">
        <v>1</v>
      </c>
      <c r="J961" t="s">
        <v>2380</v>
      </c>
    </row>
    <row r="962" spans="1:10" x14ac:dyDescent="0.35">
      <c r="A962" t="s">
        <v>1410</v>
      </c>
      <c r="B962" t="str">
        <f t="shared" si="30"/>
        <v>Obesity</v>
      </c>
      <c r="C962">
        <v>35.340000000000003</v>
      </c>
      <c r="D962">
        <v>5.51</v>
      </c>
      <c r="E962" t="str">
        <f t="shared" si="31"/>
        <v>Normal</v>
      </c>
      <c r="F962" t="s">
        <v>2381</v>
      </c>
      <c r="G962" t="s">
        <v>2380</v>
      </c>
      <c r="H962" t="s">
        <v>2382</v>
      </c>
      <c r="I962">
        <v>1</v>
      </c>
      <c r="J962" t="s">
        <v>2380</v>
      </c>
    </row>
    <row r="963" spans="1:10" x14ac:dyDescent="0.35">
      <c r="A963" t="s">
        <v>1409</v>
      </c>
      <c r="B963" t="str">
        <f t="shared" ref="B963:B1026" si="32">IF(C963&lt;18.5,"Underweight",IF(C963&lt;25,"Normal Weight",IF(C963&lt;30,"Overweight","Obesity")))</f>
        <v>Obesity</v>
      </c>
      <c r="C963">
        <v>32.204999999999998</v>
      </c>
      <c r="D963">
        <v>8.3800000000000008</v>
      </c>
      <c r="E963" t="str">
        <f t="shared" ref="E963:E1026" si="33">IF(D963&lt;5.7,"Normal",IF(D963&lt;6.5,"Prediabetes","Diabetes"))</f>
        <v>Diabetes</v>
      </c>
      <c r="F963" t="s">
        <v>2381</v>
      </c>
      <c r="G963" t="s">
        <v>2380</v>
      </c>
      <c r="H963" t="s">
        <v>2380</v>
      </c>
      <c r="I963">
        <v>2</v>
      </c>
      <c r="J963" t="s">
        <v>2380</v>
      </c>
    </row>
    <row r="964" spans="1:10" x14ac:dyDescent="0.35">
      <c r="A964" t="s">
        <v>1408</v>
      </c>
      <c r="B964" t="str">
        <f t="shared" si="32"/>
        <v>Obesity</v>
      </c>
      <c r="C964">
        <v>33.880000000000003</v>
      </c>
      <c r="D964">
        <v>4.68</v>
      </c>
      <c r="E964" t="str">
        <f t="shared" si="33"/>
        <v>Normal</v>
      </c>
      <c r="F964" t="s">
        <v>2380</v>
      </c>
      <c r="G964" t="s">
        <v>2381</v>
      </c>
      <c r="H964" t="s">
        <v>2380</v>
      </c>
      <c r="I964">
        <v>1</v>
      </c>
      <c r="J964" t="s">
        <v>2380</v>
      </c>
    </row>
    <row r="965" spans="1:10" x14ac:dyDescent="0.35">
      <c r="A965" t="s">
        <v>1407</v>
      </c>
      <c r="B965" t="str">
        <f t="shared" si="32"/>
        <v>Overweight</v>
      </c>
      <c r="C965">
        <v>26.63</v>
      </c>
      <c r="D965">
        <v>4.3600000000000003</v>
      </c>
      <c r="E965" t="str">
        <f t="shared" si="33"/>
        <v>Normal</v>
      </c>
      <c r="F965" t="s">
        <v>2381</v>
      </c>
      <c r="G965" t="s">
        <v>2380</v>
      </c>
      <c r="H965" t="s">
        <v>2380</v>
      </c>
      <c r="I965">
        <v>2</v>
      </c>
      <c r="J965" t="s">
        <v>2380</v>
      </c>
    </row>
    <row r="966" spans="1:10" x14ac:dyDescent="0.35">
      <c r="A966" t="s">
        <v>1406</v>
      </c>
      <c r="B966" t="str">
        <f t="shared" si="32"/>
        <v>Overweight</v>
      </c>
      <c r="C966">
        <v>28.7</v>
      </c>
      <c r="D966">
        <v>7.74</v>
      </c>
      <c r="E966" t="str">
        <f t="shared" si="33"/>
        <v>Diabetes</v>
      </c>
      <c r="F966" t="s">
        <v>2380</v>
      </c>
      <c r="G966" t="s">
        <v>2380</v>
      </c>
      <c r="H966" t="s">
        <v>2380</v>
      </c>
      <c r="I966">
        <v>0</v>
      </c>
      <c r="J966" t="s">
        <v>2380</v>
      </c>
    </row>
    <row r="967" spans="1:10" x14ac:dyDescent="0.35">
      <c r="A967" t="s">
        <v>1405</v>
      </c>
      <c r="B967" t="str">
        <f t="shared" si="32"/>
        <v>Overweight</v>
      </c>
      <c r="C967">
        <v>25.65</v>
      </c>
      <c r="D967">
        <v>4.05</v>
      </c>
      <c r="E967" t="str">
        <f t="shared" si="33"/>
        <v>Normal</v>
      </c>
      <c r="F967" t="s">
        <v>2381</v>
      </c>
      <c r="G967" t="s">
        <v>2380</v>
      </c>
      <c r="H967" t="s">
        <v>2380</v>
      </c>
      <c r="I967">
        <v>2</v>
      </c>
      <c r="J967" t="s">
        <v>2380</v>
      </c>
    </row>
    <row r="968" spans="1:10" x14ac:dyDescent="0.35">
      <c r="A968" t="s">
        <v>1404</v>
      </c>
      <c r="B968" t="str">
        <f t="shared" si="32"/>
        <v>Obesity</v>
      </c>
      <c r="C968">
        <v>36.384999999999998</v>
      </c>
      <c r="D968">
        <v>11.49</v>
      </c>
      <c r="E968" t="str">
        <f t="shared" si="33"/>
        <v>Diabetes</v>
      </c>
      <c r="F968" t="s">
        <v>2380</v>
      </c>
      <c r="G968" t="s">
        <v>2380</v>
      </c>
      <c r="H968" t="s">
        <v>2380</v>
      </c>
      <c r="I968">
        <v>0</v>
      </c>
      <c r="J968" t="s">
        <v>2380</v>
      </c>
    </row>
    <row r="969" spans="1:10" x14ac:dyDescent="0.35">
      <c r="A969" t="s">
        <v>1403</v>
      </c>
      <c r="B969" t="str">
        <f t="shared" si="32"/>
        <v>Obesity</v>
      </c>
      <c r="C969">
        <v>34.69</v>
      </c>
      <c r="D969">
        <v>5.65</v>
      </c>
      <c r="E969" t="str">
        <f t="shared" si="33"/>
        <v>Normal</v>
      </c>
      <c r="F969" t="s">
        <v>2380</v>
      </c>
      <c r="G969" t="s">
        <v>2380</v>
      </c>
      <c r="H969" t="s">
        <v>2380</v>
      </c>
      <c r="I969">
        <v>0</v>
      </c>
      <c r="J969" t="s">
        <v>2380</v>
      </c>
    </row>
    <row r="970" spans="1:10" x14ac:dyDescent="0.35">
      <c r="A970" t="s">
        <v>1402</v>
      </c>
      <c r="B970" t="str">
        <f t="shared" si="32"/>
        <v>Obesity</v>
      </c>
      <c r="C970">
        <v>37.68</v>
      </c>
      <c r="D970">
        <v>4.29</v>
      </c>
      <c r="E970" t="str">
        <f t="shared" si="33"/>
        <v>Normal</v>
      </c>
      <c r="F970" t="s">
        <v>2381</v>
      </c>
      <c r="G970" t="s">
        <v>2380</v>
      </c>
      <c r="H970" t="s">
        <v>2380</v>
      </c>
      <c r="I970">
        <v>0</v>
      </c>
      <c r="J970" t="s">
        <v>2380</v>
      </c>
    </row>
    <row r="971" spans="1:10" x14ac:dyDescent="0.35">
      <c r="A971" t="s">
        <v>1401</v>
      </c>
      <c r="B971" t="str">
        <f t="shared" si="32"/>
        <v>Obesity</v>
      </c>
      <c r="C971">
        <v>35.49</v>
      </c>
      <c r="D971">
        <v>4.74</v>
      </c>
      <c r="E971" t="str">
        <f t="shared" si="33"/>
        <v>Normal</v>
      </c>
      <c r="F971" t="s">
        <v>2381</v>
      </c>
      <c r="G971" t="s">
        <v>2380</v>
      </c>
      <c r="H971" t="s">
        <v>2382</v>
      </c>
      <c r="I971">
        <v>1</v>
      </c>
      <c r="J971" t="s">
        <v>2380</v>
      </c>
    </row>
    <row r="972" spans="1:10" x14ac:dyDescent="0.35">
      <c r="A972" t="s">
        <v>1400</v>
      </c>
      <c r="B972" t="str">
        <f t="shared" si="32"/>
        <v>Obesity</v>
      </c>
      <c r="C972">
        <v>44.7</v>
      </c>
      <c r="D972">
        <v>7.6</v>
      </c>
      <c r="E972" t="str">
        <f t="shared" si="33"/>
        <v>Diabetes</v>
      </c>
      <c r="F972" t="s">
        <v>2381</v>
      </c>
      <c r="G972" t="s">
        <v>2380</v>
      </c>
      <c r="H972" t="s">
        <v>2380</v>
      </c>
      <c r="I972">
        <v>2</v>
      </c>
      <c r="J972" t="s">
        <v>2380</v>
      </c>
    </row>
    <row r="973" spans="1:10" x14ac:dyDescent="0.35">
      <c r="A973" t="s">
        <v>1399</v>
      </c>
      <c r="B973" t="str">
        <f t="shared" si="32"/>
        <v>Obesity</v>
      </c>
      <c r="C973">
        <v>38.380000000000003</v>
      </c>
      <c r="D973">
        <v>8.5</v>
      </c>
      <c r="E973" t="str">
        <f t="shared" si="33"/>
        <v>Diabetes</v>
      </c>
      <c r="F973" t="s">
        <v>2381</v>
      </c>
      <c r="G973" t="s">
        <v>2380</v>
      </c>
      <c r="H973" t="s">
        <v>2380</v>
      </c>
      <c r="I973">
        <v>2</v>
      </c>
      <c r="J973" t="s">
        <v>2380</v>
      </c>
    </row>
    <row r="974" spans="1:10" x14ac:dyDescent="0.35">
      <c r="A974" t="s">
        <v>1398</v>
      </c>
      <c r="B974" t="str">
        <f t="shared" si="32"/>
        <v>Obesity</v>
      </c>
      <c r="C974">
        <v>35.244999999999997</v>
      </c>
      <c r="D974">
        <v>11.22</v>
      </c>
      <c r="E974" t="str">
        <f t="shared" si="33"/>
        <v>Diabetes</v>
      </c>
      <c r="F974" t="s">
        <v>2381</v>
      </c>
      <c r="G974" t="s">
        <v>2380</v>
      </c>
      <c r="H974" t="s">
        <v>2380</v>
      </c>
      <c r="I974">
        <v>0</v>
      </c>
      <c r="J974" t="s">
        <v>2380</v>
      </c>
    </row>
    <row r="975" spans="1:10" x14ac:dyDescent="0.35">
      <c r="A975" t="s">
        <v>1397</v>
      </c>
      <c r="B975" t="str">
        <f t="shared" si="32"/>
        <v>Obesity</v>
      </c>
      <c r="C975">
        <v>49.84</v>
      </c>
      <c r="D975">
        <v>5.0999999999999996</v>
      </c>
      <c r="E975" t="str">
        <f t="shared" si="33"/>
        <v>Normal</v>
      </c>
      <c r="F975" t="s">
        <v>2381</v>
      </c>
      <c r="G975" t="s">
        <v>2380</v>
      </c>
      <c r="H975" t="s">
        <v>2382</v>
      </c>
      <c r="I975">
        <v>1</v>
      </c>
      <c r="J975" t="s">
        <v>2380</v>
      </c>
    </row>
    <row r="976" spans="1:10" x14ac:dyDescent="0.35">
      <c r="A976" t="s">
        <v>1396</v>
      </c>
      <c r="B976" t="str">
        <f t="shared" si="32"/>
        <v>Obesity</v>
      </c>
      <c r="C976">
        <v>49.06</v>
      </c>
      <c r="D976">
        <v>5.43</v>
      </c>
      <c r="E976" t="str">
        <f t="shared" si="33"/>
        <v>Normal</v>
      </c>
      <c r="F976" t="s">
        <v>2381</v>
      </c>
      <c r="G976" t="s">
        <v>2380</v>
      </c>
      <c r="H976" t="s">
        <v>2380</v>
      </c>
      <c r="I976">
        <v>1</v>
      </c>
      <c r="J976" t="s">
        <v>2380</v>
      </c>
    </row>
    <row r="977" spans="1:10" x14ac:dyDescent="0.35">
      <c r="A977" t="s">
        <v>1395</v>
      </c>
      <c r="B977" t="str">
        <f t="shared" si="32"/>
        <v>Obesity</v>
      </c>
      <c r="C977">
        <v>30.88</v>
      </c>
      <c r="D977">
        <v>5.82</v>
      </c>
      <c r="E977" t="str">
        <f t="shared" si="33"/>
        <v>Prediabetes</v>
      </c>
      <c r="F977" t="s">
        <v>2380</v>
      </c>
      <c r="G977" t="s">
        <v>2380</v>
      </c>
      <c r="H977" t="s">
        <v>2380</v>
      </c>
      <c r="I977">
        <v>2</v>
      </c>
      <c r="J977" t="s">
        <v>2380</v>
      </c>
    </row>
    <row r="978" spans="1:10" x14ac:dyDescent="0.35">
      <c r="A978" t="s">
        <v>1394</v>
      </c>
      <c r="B978" t="str">
        <f t="shared" si="32"/>
        <v>Obesity</v>
      </c>
      <c r="C978">
        <v>33.35</v>
      </c>
      <c r="D978">
        <v>6.05</v>
      </c>
      <c r="E978" t="str">
        <f t="shared" si="33"/>
        <v>Prediabetes</v>
      </c>
      <c r="F978" t="s">
        <v>2380</v>
      </c>
      <c r="G978" t="s">
        <v>2380</v>
      </c>
      <c r="H978" t="s">
        <v>2382</v>
      </c>
      <c r="I978">
        <v>1</v>
      </c>
      <c r="J978" t="s">
        <v>2380</v>
      </c>
    </row>
    <row r="979" spans="1:10" x14ac:dyDescent="0.35">
      <c r="A979" t="s">
        <v>1393</v>
      </c>
      <c r="B979" t="str">
        <f t="shared" si="32"/>
        <v>Obesity</v>
      </c>
      <c r="C979">
        <v>38</v>
      </c>
      <c r="D979">
        <v>6.38</v>
      </c>
      <c r="E979" t="str">
        <f t="shared" si="33"/>
        <v>Prediabetes</v>
      </c>
      <c r="F979" t="s">
        <v>2381</v>
      </c>
      <c r="G979" t="s">
        <v>2380</v>
      </c>
      <c r="H979" t="s">
        <v>2380</v>
      </c>
      <c r="I979">
        <v>1</v>
      </c>
      <c r="J979" t="s">
        <v>2380</v>
      </c>
    </row>
    <row r="980" spans="1:10" x14ac:dyDescent="0.35">
      <c r="A980" t="s">
        <v>1392</v>
      </c>
      <c r="B980" t="str">
        <f t="shared" si="32"/>
        <v>Obesity</v>
      </c>
      <c r="C980">
        <v>36.08</v>
      </c>
      <c r="D980">
        <v>5.73</v>
      </c>
      <c r="E980" t="str">
        <f t="shared" si="33"/>
        <v>Prediabetes</v>
      </c>
      <c r="F980" t="s">
        <v>2381</v>
      </c>
      <c r="G980" t="s">
        <v>2380</v>
      </c>
      <c r="H980" t="s">
        <v>2380</v>
      </c>
      <c r="I980">
        <v>1</v>
      </c>
      <c r="J980" t="s">
        <v>2380</v>
      </c>
    </row>
    <row r="981" spans="1:10" x14ac:dyDescent="0.35">
      <c r="A981" t="s">
        <v>1391</v>
      </c>
      <c r="B981" t="str">
        <f t="shared" si="32"/>
        <v>Obesity</v>
      </c>
      <c r="C981">
        <v>35.700000000000003</v>
      </c>
      <c r="D981">
        <v>5.47</v>
      </c>
      <c r="E981" t="str">
        <f t="shared" si="33"/>
        <v>Normal</v>
      </c>
      <c r="F981" t="s">
        <v>2381</v>
      </c>
      <c r="G981" t="s">
        <v>2380</v>
      </c>
      <c r="H981" t="s">
        <v>2380</v>
      </c>
      <c r="I981">
        <v>1</v>
      </c>
      <c r="J981" t="s">
        <v>2380</v>
      </c>
    </row>
    <row r="982" spans="1:10" x14ac:dyDescent="0.35">
      <c r="A982" t="s">
        <v>1390</v>
      </c>
      <c r="B982" t="str">
        <f t="shared" si="32"/>
        <v>Obesity</v>
      </c>
      <c r="C982">
        <v>34.01</v>
      </c>
      <c r="D982">
        <v>11.3</v>
      </c>
      <c r="E982" t="str">
        <f t="shared" si="33"/>
        <v>Diabetes</v>
      </c>
      <c r="F982" t="s">
        <v>2380</v>
      </c>
      <c r="G982" t="s">
        <v>2380</v>
      </c>
      <c r="H982" t="s">
        <v>2380</v>
      </c>
      <c r="I982">
        <v>0</v>
      </c>
      <c r="J982" t="s">
        <v>2380</v>
      </c>
    </row>
    <row r="983" spans="1:10" x14ac:dyDescent="0.35">
      <c r="A983" t="s">
        <v>1389</v>
      </c>
      <c r="B983" t="str">
        <f t="shared" si="32"/>
        <v>Obesity</v>
      </c>
      <c r="C983">
        <v>31.54</v>
      </c>
      <c r="D983">
        <v>6.72</v>
      </c>
      <c r="E983" t="str">
        <f t="shared" si="33"/>
        <v>Diabetes</v>
      </c>
      <c r="F983" t="s">
        <v>2380</v>
      </c>
      <c r="G983" t="s">
        <v>2380</v>
      </c>
      <c r="H983" t="s">
        <v>2380</v>
      </c>
      <c r="I983">
        <v>0</v>
      </c>
      <c r="J983" t="s">
        <v>2380</v>
      </c>
    </row>
    <row r="984" spans="1:10" x14ac:dyDescent="0.35">
      <c r="A984" t="s">
        <v>1388</v>
      </c>
      <c r="B984" t="str">
        <f t="shared" si="32"/>
        <v>Normal Weight</v>
      </c>
      <c r="C984">
        <v>23.3</v>
      </c>
      <c r="D984">
        <v>5.36</v>
      </c>
      <c r="E984" t="str">
        <f t="shared" si="33"/>
        <v>Normal</v>
      </c>
      <c r="F984" t="s">
        <v>2381</v>
      </c>
      <c r="G984" t="s">
        <v>2380</v>
      </c>
      <c r="H984" t="s">
        <v>2380</v>
      </c>
      <c r="I984">
        <v>1</v>
      </c>
      <c r="J984" t="s">
        <v>2380</v>
      </c>
    </row>
    <row r="985" spans="1:10" x14ac:dyDescent="0.35">
      <c r="A985" t="s">
        <v>1387</v>
      </c>
      <c r="B985" t="str">
        <f t="shared" si="32"/>
        <v>Overweight</v>
      </c>
      <c r="C985">
        <v>27.75</v>
      </c>
      <c r="D985">
        <v>9.8800000000000008</v>
      </c>
      <c r="E985" t="str">
        <f t="shared" si="33"/>
        <v>Diabetes</v>
      </c>
      <c r="F985" t="s">
        <v>2380</v>
      </c>
      <c r="G985" t="s">
        <v>2380</v>
      </c>
      <c r="H985" t="s">
        <v>2380</v>
      </c>
      <c r="I985">
        <v>0</v>
      </c>
      <c r="J985" t="s">
        <v>2380</v>
      </c>
    </row>
    <row r="986" spans="1:10" x14ac:dyDescent="0.35">
      <c r="A986" t="s">
        <v>1386</v>
      </c>
      <c r="B986" t="str">
        <f t="shared" si="32"/>
        <v>Obesity</v>
      </c>
      <c r="C986">
        <v>42.46</v>
      </c>
      <c r="D986">
        <v>4.1100000000000003</v>
      </c>
      <c r="E986" t="str">
        <f t="shared" si="33"/>
        <v>Normal</v>
      </c>
      <c r="F986" t="s">
        <v>2380</v>
      </c>
      <c r="G986" t="s">
        <v>2380</v>
      </c>
      <c r="H986" t="s">
        <v>2380</v>
      </c>
      <c r="I986">
        <v>0</v>
      </c>
      <c r="J986" t="s">
        <v>2380</v>
      </c>
    </row>
    <row r="987" spans="1:10" x14ac:dyDescent="0.35">
      <c r="A987" t="s">
        <v>1385</v>
      </c>
      <c r="B987" t="str">
        <f t="shared" si="32"/>
        <v>Obesity</v>
      </c>
      <c r="C987">
        <v>54.47</v>
      </c>
      <c r="D987">
        <v>7.48</v>
      </c>
      <c r="E987" t="str">
        <f t="shared" si="33"/>
        <v>Diabetes</v>
      </c>
      <c r="F987" t="s">
        <v>2380</v>
      </c>
      <c r="G987" t="s">
        <v>2380</v>
      </c>
      <c r="H987" t="s">
        <v>2380</v>
      </c>
      <c r="I987">
        <v>0</v>
      </c>
      <c r="J987" t="s">
        <v>2380</v>
      </c>
    </row>
    <row r="988" spans="1:10" x14ac:dyDescent="0.35">
      <c r="A988" t="s">
        <v>1384</v>
      </c>
      <c r="B988" t="str">
        <f t="shared" si="32"/>
        <v>Normal Weight</v>
      </c>
      <c r="C988">
        <v>24.93</v>
      </c>
      <c r="D988">
        <v>9.18</v>
      </c>
      <c r="E988" t="str">
        <f t="shared" si="33"/>
        <v>Diabetes</v>
      </c>
      <c r="F988" t="s">
        <v>2381</v>
      </c>
      <c r="G988" t="s">
        <v>2380</v>
      </c>
      <c r="H988" t="s">
        <v>2382</v>
      </c>
      <c r="I988">
        <v>1</v>
      </c>
      <c r="J988" t="s">
        <v>2380</v>
      </c>
    </row>
    <row r="989" spans="1:10" x14ac:dyDescent="0.35">
      <c r="A989" t="s">
        <v>1383</v>
      </c>
      <c r="B989" t="str">
        <f t="shared" si="32"/>
        <v>Obesity</v>
      </c>
      <c r="C989">
        <v>48.12</v>
      </c>
      <c r="D989">
        <v>4.51</v>
      </c>
      <c r="E989" t="str">
        <f t="shared" si="33"/>
        <v>Normal</v>
      </c>
      <c r="F989" t="s">
        <v>2381</v>
      </c>
      <c r="G989" t="s">
        <v>2380</v>
      </c>
      <c r="H989" t="s">
        <v>2380</v>
      </c>
      <c r="I989">
        <v>1</v>
      </c>
      <c r="J989" t="s">
        <v>2380</v>
      </c>
    </row>
    <row r="990" spans="1:10" x14ac:dyDescent="0.35">
      <c r="A990" t="s">
        <v>1382</v>
      </c>
      <c r="B990" t="str">
        <f t="shared" si="32"/>
        <v>Normal Weight</v>
      </c>
      <c r="C990">
        <v>24.91</v>
      </c>
      <c r="D990">
        <v>7.33</v>
      </c>
      <c r="E990" t="str">
        <f t="shared" si="33"/>
        <v>Diabetes</v>
      </c>
      <c r="F990" t="s">
        <v>2381</v>
      </c>
      <c r="G990" t="s">
        <v>2380</v>
      </c>
      <c r="H990" t="s">
        <v>2382</v>
      </c>
      <c r="I990">
        <v>1</v>
      </c>
      <c r="J990" t="s">
        <v>2380</v>
      </c>
    </row>
    <row r="991" spans="1:10" x14ac:dyDescent="0.35">
      <c r="A991" t="s">
        <v>1381</v>
      </c>
      <c r="B991" t="str">
        <f t="shared" si="32"/>
        <v>Overweight</v>
      </c>
      <c r="C991">
        <v>27.645</v>
      </c>
      <c r="D991">
        <v>10.56</v>
      </c>
      <c r="E991" t="str">
        <f t="shared" si="33"/>
        <v>Diabetes</v>
      </c>
      <c r="F991" t="s">
        <v>2380</v>
      </c>
      <c r="G991" t="s">
        <v>2380</v>
      </c>
      <c r="H991" t="s">
        <v>2380</v>
      </c>
      <c r="I991">
        <v>0</v>
      </c>
      <c r="J991" t="s">
        <v>2380</v>
      </c>
    </row>
    <row r="992" spans="1:10" x14ac:dyDescent="0.35">
      <c r="A992" t="s">
        <v>1380</v>
      </c>
      <c r="B992" t="str">
        <f t="shared" si="32"/>
        <v>Obesity</v>
      </c>
      <c r="C992">
        <v>33.700000000000003</v>
      </c>
      <c r="D992">
        <v>4.01</v>
      </c>
      <c r="E992" t="str">
        <f t="shared" si="33"/>
        <v>Normal</v>
      </c>
      <c r="F992" t="s">
        <v>2380</v>
      </c>
      <c r="G992" t="s">
        <v>2380</v>
      </c>
      <c r="H992" t="s">
        <v>2380</v>
      </c>
      <c r="I992">
        <v>2</v>
      </c>
      <c r="J992" t="s">
        <v>2380</v>
      </c>
    </row>
    <row r="993" spans="1:10" x14ac:dyDescent="0.35">
      <c r="A993" t="s">
        <v>1379</v>
      </c>
      <c r="B993" t="str">
        <f t="shared" si="32"/>
        <v>Obesity</v>
      </c>
      <c r="C993">
        <v>38.93</v>
      </c>
      <c r="D993">
        <v>5.64</v>
      </c>
      <c r="E993" t="str">
        <f t="shared" si="33"/>
        <v>Normal</v>
      </c>
      <c r="F993" t="s">
        <v>2381</v>
      </c>
      <c r="G993" t="s">
        <v>2380</v>
      </c>
      <c r="H993" t="s">
        <v>2380</v>
      </c>
      <c r="I993">
        <v>1</v>
      </c>
      <c r="J993" t="s">
        <v>2380</v>
      </c>
    </row>
    <row r="994" spans="1:10" x14ac:dyDescent="0.35">
      <c r="A994" t="s">
        <v>1378</v>
      </c>
      <c r="B994" t="str">
        <f t="shared" si="32"/>
        <v>Obesity</v>
      </c>
      <c r="C994">
        <v>32.774999999999999</v>
      </c>
      <c r="D994">
        <v>8.02</v>
      </c>
      <c r="E994" t="str">
        <f t="shared" si="33"/>
        <v>Diabetes</v>
      </c>
      <c r="F994" t="s">
        <v>2381</v>
      </c>
      <c r="G994" t="s">
        <v>2380</v>
      </c>
      <c r="H994" t="s">
        <v>2380</v>
      </c>
      <c r="I994">
        <v>2</v>
      </c>
      <c r="J994" t="s">
        <v>2380</v>
      </c>
    </row>
    <row r="995" spans="1:10" x14ac:dyDescent="0.35">
      <c r="A995" t="s">
        <v>1377</v>
      </c>
      <c r="B995" t="str">
        <f t="shared" si="32"/>
        <v>Overweight</v>
      </c>
      <c r="C995">
        <v>29.83</v>
      </c>
      <c r="D995">
        <v>7.2</v>
      </c>
      <c r="E995" t="str">
        <f t="shared" si="33"/>
        <v>Diabetes</v>
      </c>
      <c r="F995" t="s">
        <v>2381</v>
      </c>
      <c r="G995" t="s">
        <v>2380</v>
      </c>
      <c r="H995" t="s">
        <v>2380</v>
      </c>
      <c r="I995">
        <v>0</v>
      </c>
      <c r="J995" t="s">
        <v>2380</v>
      </c>
    </row>
    <row r="996" spans="1:10" x14ac:dyDescent="0.35">
      <c r="A996" t="s">
        <v>1376</v>
      </c>
      <c r="B996" t="str">
        <f t="shared" si="32"/>
        <v>Overweight</v>
      </c>
      <c r="C996">
        <v>28.31</v>
      </c>
      <c r="D996">
        <v>4.55</v>
      </c>
      <c r="E996" t="str">
        <f t="shared" si="33"/>
        <v>Normal</v>
      </c>
      <c r="F996" t="s">
        <v>2380</v>
      </c>
      <c r="G996" t="s">
        <v>2381</v>
      </c>
      <c r="H996" t="s">
        <v>2380</v>
      </c>
      <c r="I996">
        <v>1</v>
      </c>
      <c r="J996" t="s">
        <v>2380</v>
      </c>
    </row>
    <row r="997" spans="1:10" x14ac:dyDescent="0.35">
      <c r="A997" t="s">
        <v>1375</v>
      </c>
      <c r="B997" t="str">
        <f t="shared" si="32"/>
        <v>Overweight</v>
      </c>
      <c r="C997">
        <v>29.79</v>
      </c>
      <c r="D997">
        <v>9.0299999999999994</v>
      </c>
      <c r="E997" t="str">
        <f t="shared" si="33"/>
        <v>Diabetes</v>
      </c>
      <c r="F997" t="s">
        <v>2380</v>
      </c>
      <c r="G997" t="s">
        <v>2380</v>
      </c>
      <c r="H997" t="s">
        <v>2380</v>
      </c>
      <c r="I997">
        <v>0</v>
      </c>
      <c r="J997" t="s">
        <v>2380</v>
      </c>
    </row>
    <row r="998" spans="1:10" x14ac:dyDescent="0.35">
      <c r="A998" t="s">
        <v>1374</v>
      </c>
      <c r="B998" t="str">
        <f t="shared" si="32"/>
        <v>Obesity</v>
      </c>
      <c r="C998">
        <v>36.6</v>
      </c>
      <c r="D998">
        <v>5.2</v>
      </c>
      <c r="E998" t="str">
        <f t="shared" si="33"/>
        <v>Normal</v>
      </c>
      <c r="F998" t="s">
        <v>2381</v>
      </c>
      <c r="G998" t="s">
        <v>2380</v>
      </c>
      <c r="H998" t="s">
        <v>2382</v>
      </c>
      <c r="I998">
        <v>1</v>
      </c>
      <c r="J998" t="s">
        <v>2380</v>
      </c>
    </row>
    <row r="999" spans="1:10" x14ac:dyDescent="0.35">
      <c r="A999" t="s">
        <v>1373</v>
      </c>
      <c r="B999" t="str">
        <f t="shared" si="32"/>
        <v>Obesity</v>
      </c>
      <c r="C999">
        <v>35.93</v>
      </c>
      <c r="D999">
        <v>8.3000000000000007</v>
      </c>
      <c r="E999" t="str">
        <f t="shared" si="33"/>
        <v>Diabetes</v>
      </c>
      <c r="F999" t="s">
        <v>2381</v>
      </c>
      <c r="G999" t="s">
        <v>2380</v>
      </c>
      <c r="H999" t="s">
        <v>2380</v>
      </c>
      <c r="I999">
        <v>0</v>
      </c>
      <c r="J999" t="s">
        <v>2380</v>
      </c>
    </row>
    <row r="1000" spans="1:10" x14ac:dyDescent="0.35">
      <c r="A1000" t="s">
        <v>1372</v>
      </c>
      <c r="B1000" t="str">
        <f t="shared" si="32"/>
        <v>Overweight</v>
      </c>
      <c r="C1000">
        <v>28.6</v>
      </c>
      <c r="D1000">
        <v>5.56</v>
      </c>
      <c r="E1000" t="str">
        <f t="shared" si="33"/>
        <v>Normal</v>
      </c>
      <c r="F1000" t="s">
        <v>2381</v>
      </c>
      <c r="G1000" t="s">
        <v>2380</v>
      </c>
      <c r="H1000" t="s">
        <v>2382</v>
      </c>
      <c r="I1000">
        <v>1</v>
      </c>
      <c r="J1000" t="s">
        <v>2380</v>
      </c>
    </row>
    <row r="1001" spans="1:10" x14ac:dyDescent="0.35">
      <c r="A1001" t="s">
        <v>1371</v>
      </c>
      <c r="B1001" t="str">
        <f t="shared" si="32"/>
        <v>Obesity</v>
      </c>
      <c r="C1001">
        <v>39.17</v>
      </c>
      <c r="D1001">
        <v>4.1500000000000004</v>
      </c>
      <c r="E1001" t="str">
        <f t="shared" si="33"/>
        <v>Normal</v>
      </c>
      <c r="F1001" t="s">
        <v>2380</v>
      </c>
      <c r="G1001" t="s">
        <v>2380</v>
      </c>
      <c r="H1001" t="s">
        <v>2380</v>
      </c>
      <c r="I1001">
        <v>0</v>
      </c>
      <c r="J1001" t="s">
        <v>2380</v>
      </c>
    </row>
    <row r="1002" spans="1:10" x14ac:dyDescent="0.35">
      <c r="A1002" t="s">
        <v>1370</v>
      </c>
      <c r="B1002" t="str">
        <f t="shared" si="32"/>
        <v>Overweight</v>
      </c>
      <c r="C1002">
        <v>26.41</v>
      </c>
      <c r="D1002">
        <v>5.99</v>
      </c>
      <c r="E1002" t="str">
        <f t="shared" si="33"/>
        <v>Prediabetes</v>
      </c>
      <c r="F1002" t="s">
        <v>2381</v>
      </c>
      <c r="G1002" t="s">
        <v>2380</v>
      </c>
      <c r="H1002" t="s">
        <v>2382</v>
      </c>
      <c r="I1002">
        <v>1</v>
      </c>
      <c r="J1002" t="s">
        <v>2380</v>
      </c>
    </row>
    <row r="1003" spans="1:10" x14ac:dyDescent="0.35">
      <c r="A1003" t="s">
        <v>1369</v>
      </c>
      <c r="B1003" t="str">
        <f t="shared" si="32"/>
        <v>Obesity</v>
      </c>
      <c r="C1003">
        <v>30.63</v>
      </c>
      <c r="D1003">
        <v>5.8</v>
      </c>
      <c r="E1003" t="str">
        <f t="shared" si="33"/>
        <v>Prediabetes</v>
      </c>
      <c r="F1003" t="s">
        <v>2381</v>
      </c>
      <c r="G1003" t="s">
        <v>2380</v>
      </c>
      <c r="H1003" t="s">
        <v>2380</v>
      </c>
      <c r="I1003">
        <v>0</v>
      </c>
      <c r="J1003" t="s">
        <v>2380</v>
      </c>
    </row>
    <row r="1004" spans="1:10" x14ac:dyDescent="0.35">
      <c r="A1004" t="s">
        <v>1368</v>
      </c>
      <c r="B1004" t="str">
        <f t="shared" si="32"/>
        <v>Obesity</v>
      </c>
      <c r="C1004">
        <v>31.73</v>
      </c>
      <c r="D1004">
        <v>7.32</v>
      </c>
      <c r="E1004" t="str">
        <f t="shared" si="33"/>
        <v>Diabetes</v>
      </c>
      <c r="F1004" t="s">
        <v>2381</v>
      </c>
      <c r="G1004" t="s">
        <v>2380</v>
      </c>
      <c r="H1004" t="s">
        <v>2380</v>
      </c>
      <c r="I1004">
        <v>2</v>
      </c>
      <c r="J1004" t="s">
        <v>2380</v>
      </c>
    </row>
    <row r="1005" spans="1:10" x14ac:dyDescent="0.35">
      <c r="A1005" t="s">
        <v>1367</v>
      </c>
      <c r="B1005" t="str">
        <f t="shared" si="32"/>
        <v>Obesity</v>
      </c>
      <c r="C1005">
        <v>30.7</v>
      </c>
      <c r="D1005">
        <v>5.16</v>
      </c>
      <c r="E1005" t="str">
        <f t="shared" si="33"/>
        <v>Normal</v>
      </c>
      <c r="F1005" t="s">
        <v>2380</v>
      </c>
      <c r="G1005" t="s">
        <v>2380</v>
      </c>
      <c r="H1005" t="s">
        <v>2380</v>
      </c>
      <c r="I1005">
        <v>2</v>
      </c>
      <c r="J1005" t="s">
        <v>2380</v>
      </c>
    </row>
    <row r="1006" spans="1:10" x14ac:dyDescent="0.35">
      <c r="A1006" t="s">
        <v>1366</v>
      </c>
      <c r="B1006" t="str">
        <f t="shared" si="32"/>
        <v>Overweight</v>
      </c>
      <c r="C1006">
        <v>25.934999999999999</v>
      </c>
      <c r="D1006">
        <v>5.96</v>
      </c>
      <c r="E1006" t="str">
        <f t="shared" si="33"/>
        <v>Prediabetes</v>
      </c>
      <c r="F1006" t="s">
        <v>2381</v>
      </c>
      <c r="G1006" t="s">
        <v>2380</v>
      </c>
      <c r="H1006" t="s">
        <v>2380</v>
      </c>
      <c r="I1006">
        <v>2</v>
      </c>
      <c r="J1006" t="s">
        <v>2380</v>
      </c>
    </row>
    <row r="1007" spans="1:10" x14ac:dyDescent="0.35">
      <c r="A1007" t="s">
        <v>1365</v>
      </c>
      <c r="B1007" t="str">
        <f t="shared" si="32"/>
        <v>Obesity</v>
      </c>
      <c r="C1007">
        <v>35.9</v>
      </c>
      <c r="D1007">
        <v>4.8499999999999996</v>
      </c>
      <c r="E1007" t="str">
        <f t="shared" si="33"/>
        <v>Normal</v>
      </c>
      <c r="F1007" t="s">
        <v>2381</v>
      </c>
      <c r="G1007" t="s">
        <v>2380</v>
      </c>
      <c r="H1007" t="s">
        <v>2382</v>
      </c>
      <c r="I1007">
        <v>1</v>
      </c>
      <c r="J1007" t="s">
        <v>2380</v>
      </c>
    </row>
    <row r="1008" spans="1:10" x14ac:dyDescent="0.35">
      <c r="A1008" t="s">
        <v>1364</v>
      </c>
      <c r="B1008" t="str">
        <f t="shared" si="32"/>
        <v>Overweight</v>
      </c>
      <c r="C1008">
        <v>26.7</v>
      </c>
      <c r="D1008">
        <v>5.09</v>
      </c>
      <c r="E1008" t="str">
        <f t="shared" si="33"/>
        <v>Normal</v>
      </c>
      <c r="F1008" t="s">
        <v>2381</v>
      </c>
      <c r="G1008" t="s">
        <v>2380</v>
      </c>
      <c r="H1008" t="s">
        <v>2382</v>
      </c>
      <c r="I1008">
        <v>1</v>
      </c>
      <c r="J1008" t="s">
        <v>2380</v>
      </c>
    </row>
    <row r="1009" spans="1:10" x14ac:dyDescent="0.35">
      <c r="A1009" t="s">
        <v>1363</v>
      </c>
      <c r="B1009" t="str">
        <f t="shared" si="32"/>
        <v>Obesity</v>
      </c>
      <c r="C1009">
        <v>33.71</v>
      </c>
      <c r="D1009">
        <v>4.9400000000000004</v>
      </c>
      <c r="E1009" t="str">
        <f t="shared" si="33"/>
        <v>Normal</v>
      </c>
      <c r="F1009" t="s">
        <v>2380</v>
      </c>
      <c r="G1009" t="s">
        <v>2380</v>
      </c>
      <c r="H1009" t="s">
        <v>2380</v>
      </c>
      <c r="I1009">
        <v>0</v>
      </c>
      <c r="J1009" t="s">
        <v>2380</v>
      </c>
    </row>
    <row r="1010" spans="1:10" x14ac:dyDescent="0.35">
      <c r="A1010" t="s">
        <v>1362</v>
      </c>
      <c r="B1010" t="str">
        <f t="shared" si="32"/>
        <v>Obesity</v>
      </c>
      <c r="C1010">
        <v>41.91</v>
      </c>
      <c r="D1010">
        <v>4.92</v>
      </c>
      <c r="E1010" t="str">
        <f t="shared" si="33"/>
        <v>Normal</v>
      </c>
      <c r="F1010" t="s">
        <v>2381</v>
      </c>
      <c r="G1010" t="s">
        <v>2380</v>
      </c>
      <c r="H1010" t="s">
        <v>2380</v>
      </c>
      <c r="I1010">
        <v>2</v>
      </c>
      <c r="J1010" t="s">
        <v>2380</v>
      </c>
    </row>
    <row r="1011" spans="1:10" x14ac:dyDescent="0.35">
      <c r="A1011" t="s">
        <v>1361</v>
      </c>
      <c r="B1011" t="str">
        <f t="shared" si="32"/>
        <v>Obesity</v>
      </c>
      <c r="C1011">
        <v>39.82</v>
      </c>
      <c r="D1011">
        <v>6.05</v>
      </c>
      <c r="E1011" t="str">
        <f t="shared" si="33"/>
        <v>Prediabetes</v>
      </c>
      <c r="F1011" t="s">
        <v>2381</v>
      </c>
      <c r="G1011" t="s">
        <v>2380</v>
      </c>
      <c r="H1011" t="s">
        <v>2380</v>
      </c>
      <c r="I1011">
        <v>2</v>
      </c>
      <c r="J1011" t="s">
        <v>2380</v>
      </c>
    </row>
    <row r="1012" spans="1:10" x14ac:dyDescent="0.35">
      <c r="A1012" t="s">
        <v>1360</v>
      </c>
      <c r="B1012" t="str">
        <f t="shared" si="32"/>
        <v>Overweight</v>
      </c>
      <c r="C1012">
        <v>28.12</v>
      </c>
      <c r="D1012">
        <v>4.67</v>
      </c>
      <c r="E1012" t="str">
        <f t="shared" si="33"/>
        <v>Normal</v>
      </c>
      <c r="F1012" t="s">
        <v>2380</v>
      </c>
      <c r="G1012" t="s">
        <v>2380</v>
      </c>
      <c r="H1012" t="s">
        <v>2380</v>
      </c>
      <c r="I1012">
        <v>2</v>
      </c>
      <c r="J1012" t="s">
        <v>2380</v>
      </c>
    </row>
    <row r="1013" spans="1:10" x14ac:dyDescent="0.35">
      <c r="A1013" t="s">
        <v>1359</v>
      </c>
      <c r="B1013" t="str">
        <f t="shared" si="32"/>
        <v>Overweight</v>
      </c>
      <c r="C1013">
        <v>26.98</v>
      </c>
      <c r="D1013">
        <v>9.81</v>
      </c>
      <c r="E1013" t="str">
        <f t="shared" si="33"/>
        <v>Diabetes</v>
      </c>
      <c r="F1013" t="s">
        <v>2381</v>
      </c>
      <c r="G1013" t="s">
        <v>2380</v>
      </c>
      <c r="H1013" t="s">
        <v>2380</v>
      </c>
      <c r="I1013">
        <v>0</v>
      </c>
      <c r="J1013" t="s">
        <v>2380</v>
      </c>
    </row>
    <row r="1014" spans="1:10" x14ac:dyDescent="0.35">
      <c r="A1014" t="s">
        <v>1358</v>
      </c>
      <c r="B1014" t="str">
        <f t="shared" si="32"/>
        <v>Overweight</v>
      </c>
      <c r="C1014">
        <v>27.2</v>
      </c>
      <c r="D1014">
        <v>6.06</v>
      </c>
      <c r="E1014" t="str">
        <f t="shared" si="33"/>
        <v>Prediabetes</v>
      </c>
      <c r="F1014" t="s">
        <v>2381</v>
      </c>
      <c r="G1014" t="s">
        <v>2380</v>
      </c>
      <c r="H1014" t="s">
        <v>2380</v>
      </c>
      <c r="I1014">
        <v>2</v>
      </c>
      <c r="J1014" t="s">
        <v>2380</v>
      </c>
    </row>
    <row r="1015" spans="1:10" x14ac:dyDescent="0.35">
      <c r="A1015" t="s">
        <v>1357</v>
      </c>
      <c r="B1015" t="str">
        <f t="shared" si="32"/>
        <v>Overweight</v>
      </c>
      <c r="C1015">
        <v>25.3</v>
      </c>
      <c r="D1015">
        <v>5.19</v>
      </c>
      <c r="E1015" t="str">
        <f t="shared" si="33"/>
        <v>Normal</v>
      </c>
      <c r="F1015" t="s">
        <v>2381</v>
      </c>
      <c r="G1015" t="s">
        <v>2380</v>
      </c>
      <c r="H1015" t="s">
        <v>2380</v>
      </c>
      <c r="I1015">
        <v>2</v>
      </c>
      <c r="J1015" t="s">
        <v>2380</v>
      </c>
    </row>
    <row r="1016" spans="1:10" x14ac:dyDescent="0.35">
      <c r="A1016" t="s">
        <v>1356</v>
      </c>
      <c r="B1016" t="str">
        <f t="shared" si="32"/>
        <v>Obesity</v>
      </c>
      <c r="C1016">
        <v>30.25</v>
      </c>
      <c r="D1016">
        <v>10.16</v>
      </c>
      <c r="E1016" t="str">
        <f t="shared" si="33"/>
        <v>Diabetes</v>
      </c>
      <c r="F1016" t="s">
        <v>2380</v>
      </c>
      <c r="G1016" t="s">
        <v>2380</v>
      </c>
      <c r="H1016" t="s">
        <v>2380</v>
      </c>
      <c r="I1016">
        <v>0</v>
      </c>
      <c r="J1016" t="s">
        <v>2380</v>
      </c>
    </row>
    <row r="1017" spans="1:10" x14ac:dyDescent="0.35">
      <c r="A1017" t="s">
        <v>1355</v>
      </c>
      <c r="B1017" t="str">
        <f t="shared" si="32"/>
        <v>Obesity</v>
      </c>
      <c r="C1017">
        <v>54</v>
      </c>
      <c r="D1017">
        <v>4.68</v>
      </c>
      <c r="E1017" t="str">
        <f t="shared" si="33"/>
        <v>Normal</v>
      </c>
      <c r="F1017" t="s">
        <v>2381</v>
      </c>
      <c r="G1017" t="s">
        <v>2381</v>
      </c>
      <c r="H1017" t="s">
        <v>2380</v>
      </c>
      <c r="I1017">
        <v>2</v>
      </c>
      <c r="J1017" t="s">
        <v>2380</v>
      </c>
    </row>
    <row r="1018" spans="1:10" x14ac:dyDescent="0.35">
      <c r="A1018" t="s">
        <v>1354</v>
      </c>
      <c r="B1018" t="str">
        <f t="shared" si="32"/>
        <v>Obesity</v>
      </c>
      <c r="C1018">
        <v>51.86</v>
      </c>
      <c r="D1018">
        <v>5.32</v>
      </c>
      <c r="E1018" t="str">
        <f t="shared" si="33"/>
        <v>Normal</v>
      </c>
      <c r="F1018" t="s">
        <v>2381</v>
      </c>
      <c r="G1018" t="s">
        <v>2380</v>
      </c>
      <c r="H1018" t="s">
        <v>2380</v>
      </c>
      <c r="I1018">
        <v>0</v>
      </c>
      <c r="J1018" t="s">
        <v>2380</v>
      </c>
    </row>
    <row r="1019" spans="1:10" x14ac:dyDescent="0.35">
      <c r="A1019" t="s">
        <v>1353</v>
      </c>
      <c r="B1019" t="str">
        <f t="shared" si="32"/>
        <v>Obesity</v>
      </c>
      <c r="C1019">
        <v>31.39</v>
      </c>
      <c r="D1019">
        <v>6.99</v>
      </c>
      <c r="E1019" t="str">
        <f t="shared" si="33"/>
        <v>Diabetes</v>
      </c>
      <c r="F1019" t="s">
        <v>2380</v>
      </c>
      <c r="G1019" t="s">
        <v>2380</v>
      </c>
      <c r="H1019" t="s">
        <v>2380</v>
      </c>
      <c r="I1019">
        <v>0</v>
      </c>
      <c r="J1019" t="s">
        <v>2380</v>
      </c>
    </row>
    <row r="1020" spans="1:10" x14ac:dyDescent="0.35">
      <c r="A1020" t="s">
        <v>1352</v>
      </c>
      <c r="B1020" t="str">
        <f t="shared" si="32"/>
        <v>Obesity</v>
      </c>
      <c r="C1020">
        <v>39.97</v>
      </c>
      <c r="D1020">
        <v>5.55</v>
      </c>
      <c r="E1020" t="str">
        <f t="shared" si="33"/>
        <v>Normal</v>
      </c>
      <c r="F1020" t="s">
        <v>2380</v>
      </c>
      <c r="G1020" t="s">
        <v>2380</v>
      </c>
      <c r="H1020" t="s">
        <v>2380</v>
      </c>
      <c r="I1020">
        <v>0</v>
      </c>
      <c r="J1020" t="s">
        <v>2380</v>
      </c>
    </row>
    <row r="1021" spans="1:10" x14ac:dyDescent="0.35">
      <c r="A1021" t="s">
        <v>1351</v>
      </c>
      <c r="B1021" t="str">
        <f t="shared" si="32"/>
        <v>Obesity</v>
      </c>
      <c r="C1021">
        <v>41.23</v>
      </c>
      <c r="D1021">
        <v>6.94</v>
      </c>
      <c r="E1021" t="str">
        <f t="shared" si="33"/>
        <v>Diabetes</v>
      </c>
      <c r="F1021" t="s">
        <v>2380</v>
      </c>
      <c r="G1021" t="s">
        <v>2380</v>
      </c>
      <c r="H1021" t="s">
        <v>2380</v>
      </c>
      <c r="I1021">
        <v>0</v>
      </c>
      <c r="J1021" t="s">
        <v>2380</v>
      </c>
    </row>
    <row r="1022" spans="1:10" x14ac:dyDescent="0.35">
      <c r="A1022" t="s">
        <v>1350</v>
      </c>
      <c r="B1022" t="str">
        <f t="shared" si="32"/>
        <v>Obesity</v>
      </c>
      <c r="C1022">
        <v>49.45</v>
      </c>
      <c r="D1022">
        <v>4.2</v>
      </c>
      <c r="E1022" t="str">
        <f t="shared" si="33"/>
        <v>Normal</v>
      </c>
      <c r="F1022" t="s">
        <v>2381</v>
      </c>
      <c r="G1022" t="s">
        <v>2380</v>
      </c>
      <c r="H1022" t="s">
        <v>2380</v>
      </c>
      <c r="I1022">
        <v>0</v>
      </c>
      <c r="J1022" t="s">
        <v>2380</v>
      </c>
    </row>
    <row r="1023" spans="1:10" x14ac:dyDescent="0.35">
      <c r="A1023" t="s">
        <v>1349</v>
      </c>
      <c r="B1023" t="str">
        <f t="shared" si="32"/>
        <v>Obesity</v>
      </c>
      <c r="C1023">
        <v>41.04</v>
      </c>
      <c r="D1023">
        <v>5.59</v>
      </c>
      <c r="E1023" t="str">
        <f t="shared" si="33"/>
        <v>Normal</v>
      </c>
      <c r="F1023" t="s">
        <v>2380</v>
      </c>
      <c r="G1023" t="s">
        <v>2380</v>
      </c>
      <c r="H1023" t="s">
        <v>2380</v>
      </c>
      <c r="I1023">
        <v>0</v>
      </c>
      <c r="J1023" t="s">
        <v>2380</v>
      </c>
    </row>
    <row r="1024" spans="1:10" x14ac:dyDescent="0.35">
      <c r="A1024" t="s">
        <v>1348</v>
      </c>
      <c r="B1024" t="str">
        <f t="shared" si="32"/>
        <v>Overweight</v>
      </c>
      <c r="C1024">
        <v>27.93</v>
      </c>
      <c r="D1024">
        <v>9.9600000000000009</v>
      </c>
      <c r="E1024" t="str">
        <f t="shared" si="33"/>
        <v>Diabetes</v>
      </c>
      <c r="F1024" t="s">
        <v>2380</v>
      </c>
      <c r="G1024" t="s">
        <v>2380</v>
      </c>
      <c r="H1024" t="s">
        <v>2380</v>
      </c>
      <c r="I1024">
        <v>0</v>
      </c>
      <c r="J1024" t="s">
        <v>2380</v>
      </c>
    </row>
    <row r="1025" spans="1:10" x14ac:dyDescent="0.35">
      <c r="A1025" t="s">
        <v>1347</v>
      </c>
      <c r="B1025" t="str">
        <f t="shared" si="32"/>
        <v>Normal Weight</v>
      </c>
      <c r="C1025">
        <v>21.01</v>
      </c>
      <c r="D1025">
        <v>7.37</v>
      </c>
      <c r="E1025" t="str">
        <f t="shared" si="33"/>
        <v>Diabetes</v>
      </c>
      <c r="F1025" t="s">
        <v>2380</v>
      </c>
      <c r="G1025" t="s">
        <v>2380</v>
      </c>
      <c r="H1025" t="s">
        <v>2380</v>
      </c>
      <c r="I1025">
        <v>0</v>
      </c>
      <c r="J1025" t="s">
        <v>2380</v>
      </c>
    </row>
    <row r="1026" spans="1:10" x14ac:dyDescent="0.35">
      <c r="A1026" t="s">
        <v>1346</v>
      </c>
      <c r="B1026" t="str">
        <f t="shared" si="32"/>
        <v>Obesity</v>
      </c>
      <c r="C1026">
        <v>52.37</v>
      </c>
      <c r="D1026">
        <v>5.0599999999999996</v>
      </c>
      <c r="E1026" t="str">
        <f t="shared" si="33"/>
        <v>Normal</v>
      </c>
      <c r="F1026" t="s">
        <v>2381</v>
      </c>
      <c r="G1026" t="s">
        <v>2381</v>
      </c>
      <c r="H1026" t="s">
        <v>2380</v>
      </c>
      <c r="I1026">
        <v>2</v>
      </c>
      <c r="J1026" t="s">
        <v>2380</v>
      </c>
    </row>
    <row r="1027" spans="1:10" x14ac:dyDescent="0.35">
      <c r="A1027" t="s">
        <v>1345</v>
      </c>
      <c r="B1027" t="str">
        <f t="shared" ref="B1027:B1090" si="34">IF(C1027&lt;18.5,"Underweight",IF(C1027&lt;25,"Normal Weight",IF(C1027&lt;30,"Overweight","Obesity")))</f>
        <v>Obesity</v>
      </c>
      <c r="C1027">
        <v>40.369999999999997</v>
      </c>
      <c r="D1027">
        <v>8.2100000000000009</v>
      </c>
      <c r="E1027" t="str">
        <f t="shared" ref="E1027:E1090" si="35">IF(D1027&lt;5.7,"Normal",IF(D1027&lt;6.5,"Prediabetes","Diabetes"))</f>
        <v>Diabetes</v>
      </c>
      <c r="F1027" t="s">
        <v>2380</v>
      </c>
      <c r="G1027" t="s">
        <v>2380</v>
      </c>
      <c r="H1027" t="s">
        <v>2380</v>
      </c>
      <c r="I1027">
        <v>0</v>
      </c>
      <c r="J1027" t="s">
        <v>2380</v>
      </c>
    </row>
    <row r="1028" spans="1:10" x14ac:dyDescent="0.35">
      <c r="A1028" t="s">
        <v>1344</v>
      </c>
      <c r="B1028" t="str">
        <f t="shared" si="34"/>
        <v>Obesity</v>
      </c>
      <c r="C1028">
        <v>41.47</v>
      </c>
      <c r="D1028">
        <v>10.34</v>
      </c>
      <c r="E1028" t="str">
        <f t="shared" si="35"/>
        <v>Diabetes</v>
      </c>
      <c r="F1028" t="s">
        <v>2380</v>
      </c>
      <c r="G1028" t="s">
        <v>2380</v>
      </c>
      <c r="H1028" t="s">
        <v>2380</v>
      </c>
      <c r="I1028">
        <v>2</v>
      </c>
      <c r="J1028" t="s">
        <v>2380</v>
      </c>
    </row>
    <row r="1029" spans="1:10" x14ac:dyDescent="0.35">
      <c r="A1029" t="s">
        <v>1343</v>
      </c>
      <c r="B1029" t="str">
        <f t="shared" si="34"/>
        <v>Obesity</v>
      </c>
      <c r="C1029">
        <v>33.725000000000001</v>
      </c>
      <c r="D1029">
        <v>5.51</v>
      </c>
      <c r="E1029" t="str">
        <f t="shared" si="35"/>
        <v>Normal</v>
      </c>
      <c r="F1029" t="s">
        <v>2381</v>
      </c>
      <c r="G1029" t="s">
        <v>2380</v>
      </c>
      <c r="H1029" t="s">
        <v>2380</v>
      </c>
      <c r="I1029">
        <v>2</v>
      </c>
      <c r="J1029" t="s">
        <v>2380</v>
      </c>
    </row>
    <row r="1030" spans="1:10" x14ac:dyDescent="0.35">
      <c r="A1030" t="s">
        <v>1342</v>
      </c>
      <c r="B1030" t="str">
        <f t="shared" si="34"/>
        <v>Overweight</v>
      </c>
      <c r="C1030">
        <v>28.1</v>
      </c>
      <c r="D1030">
        <v>11.2</v>
      </c>
      <c r="E1030" t="str">
        <f t="shared" si="35"/>
        <v>Diabetes</v>
      </c>
      <c r="F1030" t="s">
        <v>2380</v>
      </c>
      <c r="G1030" t="s">
        <v>2380</v>
      </c>
      <c r="H1030" t="s">
        <v>2380</v>
      </c>
      <c r="I1030">
        <v>0</v>
      </c>
      <c r="J1030" t="s">
        <v>2380</v>
      </c>
    </row>
    <row r="1031" spans="1:10" x14ac:dyDescent="0.35">
      <c r="A1031" t="s">
        <v>1341</v>
      </c>
      <c r="B1031" t="str">
        <f t="shared" si="34"/>
        <v>Obesity</v>
      </c>
      <c r="C1031">
        <v>37.43</v>
      </c>
      <c r="D1031">
        <v>4.3499999999999996</v>
      </c>
      <c r="E1031" t="str">
        <f t="shared" si="35"/>
        <v>Normal</v>
      </c>
      <c r="F1031" t="s">
        <v>2381</v>
      </c>
      <c r="G1031" t="s">
        <v>2380</v>
      </c>
      <c r="H1031" t="s">
        <v>2382</v>
      </c>
      <c r="I1031">
        <v>1</v>
      </c>
      <c r="J1031" t="s">
        <v>2380</v>
      </c>
    </row>
    <row r="1032" spans="1:10" x14ac:dyDescent="0.35">
      <c r="A1032" t="s">
        <v>1340</v>
      </c>
      <c r="B1032" t="str">
        <f t="shared" si="34"/>
        <v>Normal Weight</v>
      </c>
      <c r="C1032">
        <v>23.7</v>
      </c>
      <c r="D1032">
        <v>10.45</v>
      </c>
      <c r="E1032" t="str">
        <f t="shared" si="35"/>
        <v>Diabetes</v>
      </c>
      <c r="F1032" t="s">
        <v>2380</v>
      </c>
      <c r="G1032" t="s">
        <v>2380</v>
      </c>
      <c r="H1032" t="s">
        <v>2380</v>
      </c>
      <c r="I1032">
        <v>0</v>
      </c>
      <c r="J1032" t="s">
        <v>2380</v>
      </c>
    </row>
    <row r="1033" spans="1:10" x14ac:dyDescent="0.35">
      <c r="A1033" t="s">
        <v>1339</v>
      </c>
      <c r="B1033" t="str">
        <f t="shared" si="34"/>
        <v>Normal Weight</v>
      </c>
      <c r="C1033">
        <v>24.795000000000002</v>
      </c>
      <c r="D1033">
        <v>4.07</v>
      </c>
      <c r="E1033" t="str">
        <f t="shared" si="35"/>
        <v>Normal</v>
      </c>
      <c r="F1033" t="s">
        <v>2381</v>
      </c>
      <c r="G1033" t="s">
        <v>2380</v>
      </c>
      <c r="H1033" t="s">
        <v>2382</v>
      </c>
      <c r="I1033">
        <v>1</v>
      </c>
      <c r="J1033" t="s">
        <v>2380</v>
      </c>
    </row>
    <row r="1034" spans="1:10" x14ac:dyDescent="0.35">
      <c r="A1034" t="s">
        <v>1338</v>
      </c>
      <c r="B1034" t="str">
        <f t="shared" si="34"/>
        <v>Obesity</v>
      </c>
      <c r="C1034">
        <v>31.9</v>
      </c>
      <c r="D1034">
        <v>8.34</v>
      </c>
      <c r="E1034" t="str">
        <f t="shared" si="35"/>
        <v>Diabetes</v>
      </c>
      <c r="F1034" t="s">
        <v>2380</v>
      </c>
      <c r="G1034" t="s">
        <v>2380</v>
      </c>
      <c r="H1034" t="s">
        <v>2380</v>
      </c>
      <c r="I1034">
        <v>0</v>
      </c>
      <c r="J1034" t="s">
        <v>2380</v>
      </c>
    </row>
    <row r="1035" spans="1:10" x14ac:dyDescent="0.35">
      <c r="A1035" t="s">
        <v>1337</v>
      </c>
      <c r="B1035" t="str">
        <f t="shared" si="34"/>
        <v>Obesity</v>
      </c>
      <c r="C1035">
        <v>32.68</v>
      </c>
      <c r="D1035">
        <v>7.41</v>
      </c>
      <c r="E1035" t="str">
        <f t="shared" si="35"/>
        <v>Diabetes</v>
      </c>
      <c r="F1035" t="s">
        <v>2380</v>
      </c>
      <c r="G1035" t="s">
        <v>2380</v>
      </c>
      <c r="H1035" t="s">
        <v>2380</v>
      </c>
      <c r="I1035">
        <v>0</v>
      </c>
      <c r="J1035" t="s">
        <v>2380</v>
      </c>
    </row>
    <row r="1036" spans="1:10" x14ac:dyDescent="0.35">
      <c r="A1036" t="s">
        <v>1336</v>
      </c>
      <c r="B1036" t="str">
        <f t="shared" si="34"/>
        <v>Obesity</v>
      </c>
      <c r="C1036">
        <v>47.13</v>
      </c>
      <c r="D1036">
        <v>4.3099999999999996</v>
      </c>
      <c r="E1036" t="str">
        <f t="shared" si="35"/>
        <v>Normal</v>
      </c>
      <c r="F1036" t="s">
        <v>2380</v>
      </c>
      <c r="G1036" t="s">
        <v>2380</v>
      </c>
      <c r="H1036" t="s">
        <v>2380</v>
      </c>
      <c r="I1036">
        <v>0</v>
      </c>
      <c r="J1036" t="s">
        <v>2380</v>
      </c>
    </row>
    <row r="1037" spans="1:10" x14ac:dyDescent="0.35">
      <c r="A1037" t="s">
        <v>1335</v>
      </c>
      <c r="B1037" t="str">
        <f t="shared" si="34"/>
        <v>Obesity</v>
      </c>
      <c r="C1037">
        <v>36.67</v>
      </c>
      <c r="D1037">
        <v>10.83</v>
      </c>
      <c r="E1037" t="str">
        <f t="shared" si="35"/>
        <v>Diabetes</v>
      </c>
      <c r="F1037" t="s">
        <v>2380</v>
      </c>
      <c r="G1037" t="s">
        <v>2380</v>
      </c>
      <c r="H1037" t="s">
        <v>2380</v>
      </c>
      <c r="I1037">
        <v>0</v>
      </c>
      <c r="J1037" t="s">
        <v>2380</v>
      </c>
    </row>
    <row r="1038" spans="1:10" x14ac:dyDescent="0.35">
      <c r="A1038" t="s">
        <v>1334</v>
      </c>
      <c r="B1038" t="str">
        <f t="shared" si="34"/>
        <v>Obesity</v>
      </c>
      <c r="C1038">
        <v>33.630000000000003</v>
      </c>
      <c r="D1038">
        <v>11.31</v>
      </c>
      <c r="E1038" t="str">
        <f t="shared" si="35"/>
        <v>Diabetes</v>
      </c>
      <c r="F1038" t="s">
        <v>2380</v>
      </c>
      <c r="G1038" t="s">
        <v>2380</v>
      </c>
      <c r="H1038" t="s">
        <v>2380</v>
      </c>
      <c r="I1038">
        <v>0</v>
      </c>
      <c r="J1038" t="s">
        <v>2380</v>
      </c>
    </row>
    <row r="1039" spans="1:10" x14ac:dyDescent="0.35">
      <c r="A1039" t="s">
        <v>1333</v>
      </c>
      <c r="B1039" t="str">
        <f t="shared" si="34"/>
        <v>Obesity</v>
      </c>
      <c r="C1039">
        <v>32.67</v>
      </c>
      <c r="D1039">
        <v>11.81</v>
      </c>
      <c r="E1039" t="str">
        <f t="shared" si="35"/>
        <v>Diabetes</v>
      </c>
      <c r="F1039" t="s">
        <v>2381</v>
      </c>
      <c r="G1039" t="s">
        <v>2380</v>
      </c>
      <c r="H1039" t="s">
        <v>2380</v>
      </c>
      <c r="I1039">
        <v>0</v>
      </c>
      <c r="J1039" t="s">
        <v>2380</v>
      </c>
    </row>
    <row r="1040" spans="1:10" x14ac:dyDescent="0.35">
      <c r="A1040" t="s">
        <v>1332</v>
      </c>
      <c r="B1040" t="str">
        <f t="shared" si="34"/>
        <v>Obesity</v>
      </c>
      <c r="C1040">
        <v>33.299999999999997</v>
      </c>
      <c r="D1040">
        <v>8.26</v>
      </c>
      <c r="E1040" t="str">
        <f t="shared" si="35"/>
        <v>Diabetes</v>
      </c>
      <c r="F1040" t="s">
        <v>2381</v>
      </c>
      <c r="G1040" t="s">
        <v>2380</v>
      </c>
      <c r="H1040" t="s">
        <v>2380</v>
      </c>
      <c r="I1040">
        <v>2</v>
      </c>
      <c r="J1040" t="s">
        <v>2380</v>
      </c>
    </row>
    <row r="1041" spans="1:10" x14ac:dyDescent="0.35">
      <c r="A1041" t="s">
        <v>1331</v>
      </c>
      <c r="B1041" t="str">
        <f t="shared" si="34"/>
        <v>Obesity</v>
      </c>
      <c r="C1041">
        <v>30.78</v>
      </c>
      <c r="D1041">
        <v>10.74</v>
      </c>
      <c r="E1041" t="str">
        <f t="shared" si="35"/>
        <v>Diabetes</v>
      </c>
      <c r="F1041" t="s">
        <v>2381</v>
      </c>
      <c r="G1041" t="s">
        <v>2380</v>
      </c>
      <c r="H1041" t="s">
        <v>2380</v>
      </c>
      <c r="I1041">
        <v>2</v>
      </c>
      <c r="J1041" t="s">
        <v>2380</v>
      </c>
    </row>
    <row r="1042" spans="1:10" x14ac:dyDescent="0.35">
      <c r="A1042" t="s">
        <v>1330</v>
      </c>
      <c r="B1042" t="str">
        <f t="shared" si="34"/>
        <v>Overweight</v>
      </c>
      <c r="C1042">
        <v>28.975000000000001</v>
      </c>
      <c r="D1042">
        <v>7.69</v>
      </c>
      <c r="E1042" t="str">
        <f t="shared" si="35"/>
        <v>Diabetes</v>
      </c>
      <c r="F1042" t="s">
        <v>2381</v>
      </c>
      <c r="G1042" t="s">
        <v>2380</v>
      </c>
      <c r="H1042" t="s">
        <v>2380</v>
      </c>
      <c r="I1042">
        <v>0</v>
      </c>
      <c r="J1042" t="s">
        <v>2380</v>
      </c>
    </row>
    <row r="1043" spans="1:10" x14ac:dyDescent="0.35">
      <c r="A1043" t="s">
        <v>1329</v>
      </c>
      <c r="B1043" t="str">
        <f t="shared" si="34"/>
        <v>Obesity</v>
      </c>
      <c r="C1043">
        <v>33.4</v>
      </c>
      <c r="D1043">
        <v>4.84</v>
      </c>
      <c r="E1043" t="str">
        <f t="shared" si="35"/>
        <v>Normal</v>
      </c>
      <c r="F1043" t="s">
        <v>2380</v>
      </c>
      <c r="G1043" t="s">
        <v>2380</v>
      </c>
      <c r="H1043" t="s">
        <v>2380</v>
      </c>
      <c r="I1043">
        <v>0</v>
      </c>
      <c r="J1043" t="s">
        <v>2380</v>
      </c>
    </row>
    <row r="1044" spans="1:10" x14ac:dyDescent="0.35">
      <c r="A1044" t="s">
        <v>1328</v>
      </c>
      <c r="B1044" t="str">
        <f t="shared" si="34"/>
        <v>Normal Weight</v>
      </c>
      <c r="C1044">
        <v>21.5</v>
      </c>
      <c r="D1044">
        <v>9.77</v>
      </c>
      <c r="E1044" t="str">
        <f t="shared" si="35"/>
        <v>Diabetes</v>
      </c>
      <c r="F1044" t="s">
        <v>2381</v>
      </c>
      <c r="G1044" t="s">
        <v>2380</v>
      </c>
      <c r="H1044" t="s">
        <v>2380</v>
      </c>
      <c r="I1044">
        <v>0</v>
      </c>
      <c r="J1044" t="s">
        <v>2380</v>
      </c>
    </row>
    <row r="1045" spans="1:10" x14ac:dyDescent="0.35">
      <c r="A1045" t="s">
        <v>1327</v>
      </c>
      <c r="B1045" t="str">
        <f t="shared" si="34"/>
        <v>Obesity</v>
      </c>
      <c r="C1045">
        <v>38.14</v>
      </c>
      <c r="D1045">
        <v>5.84</v>
      </c>
      <c r="E1045" t="str">
        <f t="shared" si="35"/>
        <v>Prediabetes</v>
      </c>
      <c r="F1045" t="s">
        <v>2380</v>
      </c>
      <c r="G1045" t="s">
        <v>2380</v>
      </c>
      <c r="H1045" t="s">
        <v>2380</v>
      </c>
      <c r="I1045">
        <v>0</v>
      </c>
      <c r="J1045" t="s">
        <v>2380</v>
      </c>
    </row>
    <row r="1046" spans="1:10" x14ac:dyDescent="0.35">
      <c r="A1046" t="s">
        <v>1326</v>
      </c>
      <c r="B1046" t="str">
        <f t="shared" si="34"/>
        <v>Obesity</v>
      </c>
      <c r="C1046">
        <v>35.42</v>
      </c>
      <c r="D1046">
        <v>8.6999999999999993</v>
      </c>
      <c r="E1046" t="str">
        <f t="shared" si="35"/>
        <v>Diabetes</v>
      </c>
      <c r="F1046" t="s">
        <v>2381</v>
      </c>
      <c r="G1046" t="s">
        <v>2380</v>
      </c>
      <c r="H1046" t="s">
        <v>2380</v>
      </c>
      <c r="I1046">
        <v>1</v>
      </c>
      <c r="J1046" t="s">
        <v>2380</v>
      </c>
    </row>
    <row r="1047" spans="1:10" x14ac:dyDescent="0.35">
      <c r="A1047" t="s">
        <v>1325</v>
      </c>
      <c r="B1047" t="str">
        <f t="shared" si="34"/>
        <v>Obesity</v>
      </c>
      <c r="C1047">
        <v>35.625</v>
      </c>
      <c r="D1047">
        <v>10.79</v>
      </c>
      <c r="E1047" t="str">
        <f t="shared" si="35"/>
        <v>Diabetes</v>
      </c>
      <c r="F1047" t="s">
        <v>2380</v>
      </c>
      <c r="G1047" t="s">
        <v>2380</v>
      </c>
      <c r="H1047" t="s">
        <v>2380</v>
      </c>
      <c r="I1047">
        <v>0</v>
      </c>
      <c r="J1047" t="s">
        <v>2380</v>
      </c>
    </row>
    <row r="1048" spans="1:10" x14ac:dyDescent="0.35">
      <c r="A1048" t="s">
        <v>1324</v>
      </c>
      <c r="B1048" t="str">
        <f t="shared" si="34"/>
        <v>Obesity</v>
      </c>
      <c r="C1048">
        <v>45.51</v>
      </c>
      <c r="D1048">
        <v>4.32</v>
      </c>
      <c r="E1048" t="str">
        <f t="shared" si="35"/>
        <v>Normal</v>
      </c>
      <c r="F1048" t="s">
        <v>2380</v>
      </c>
      <c r="G1048" t="s">
        <v>2380</v>
      </c>
      <c r="H1048" t="s">
        <v>2380</v>
      </c>
      <c r="I1048">
        <v>1</v>
      </c>
      <c r="J1048" t="s">
        <v>2380</v>
      </c>
    </row>
    <row r="1049" spans="1:10" x14ac:dyDescent="0.35">
      <c r="A1049" t="s">
        <v>1323</v>
      </c>
      <c r="B1049" t="str">
        <f t="shared" si="34"/>
        <v>Obesity</v>
      </c>
      <c r="C1049">
        <v>37.1</v>
      </c>
      <c r="D1049">
        <v>7.19</v>
      </c>
      <c r="E1049" t="str">
        <f t="shared" si="35"/>
        <v>Diabetes</v>
      </c>
      <c r="F1049" t="s">
        <v>2381</v>
      </c>
      <c r="G1049" t="s">
        <v>2380</v>
      </c>
      <c r="H1049" t="s">
        <v>2380</v>
      </c>
      <c r="I1049">
        <v>0</v>
      </c>
      <c r="J1049" t="s">
        <v>2380</v>
      </c>
    </row>
    <row r="1050" spans="1:10" x14ac:dyDescent="0.35">
      <c r="A1050" t="s">
        <v>1322</v>
      </c>
      <c r="B1050" t="str">
        <f t="shared" si="34"/>
        <v>Obesity</v>
      </c>
      <c r="C1050">
        <v>30.5</v>
      </c>
      <c r="D1050">
        <v>11.94</v>
      </c>
      <c r="E1050" t="str">
        <f t="shared" si="35"/>
        <v>Diabetes</v>
      </c>
      <c r="F1050" t="s">
        <v>2381</v>
      </c>
      <c r="G1050" t="s">
        <v>2380</v>
      </c>
      <c r="H1050" t="s">
        <v>2380</v>
      </c>
      <c r="I1050">
        <v>0</v>
      </c>
      <c r="J1050" t="s">
        <v>2380</v>
      </c>
    </row>
    <row r="1051" spans="1:10" x14ac:dyDescent="0.35">
      <c r="A1051" t="s">
        <v>1321</v>
      </c>
      <c r="B1051" t="str">
        <f t="shared" si="34"/>
        <v>Overweight</v>
      </c>
      <c r="C1051">
        <v>28.16</v>
      </c>
      <c r="D1051">
        <v>5.56</v>
      </c>
      <c r="E1051" t="str">
        <f t="shared" si="35"/>
        <v>Normal</v>
      </c>
      <c r="F1051" t="s">
        <v>2380</v>
      </c>
      <c r="G1051" t="s">
        <v>2380</v>
      </c>
      <c r="H1051" t="s">
        <v>2380</v>
      </c>
      <c r="I1051">
        <v>2</v>
      </c>
      <c r="J1051" t="s">
        <v>2380</v>
      </c>
    </row>
    <row r="1052" spans="1:10" x14ac:dyDescent="0.35">
      <c r="A1052" t="s">
        <v>1320</v>
      </c>
      <c r="B1052" t="str">
        <f t="shared" si="34"/>
        <v>Overweight</v>
      </c>
      <c r="C1052">
        <v>29.1</v>
      </c>
      <c r="D1052">
        <v>5.64</v>
      </c>
      <c r="E1052" t="str">
        <f t="shared" si="35"/>
        <v>Normal</v>
      </c>
      <c r="F1052" t="s">
        <v>2381</v>
      </c>
      <c r="G1052" t="s">
        <v>2380</v>
      </c>
      <c r="H1052" t="s">
        <v>2380</v>
      </c>
      <c r="I1052">
        <v>0</v>
      </c>
      <c r="J1052" t="s">
        <v>2380</v>
      </c>
    </row>
    <row r="1053" spans="1:10" x14ac:dyDescent="0.35">
      <c r="A1053" t="s">
        <v>1319</v>
      </c>
      <c r="B1053" t="str">
        <f t="shared" si="34"/>
        <v>Obesity</v>
      </c>
      <c r="C1053">
        <v>30.22</v>
      </c>
      <c r="D1053">
        <v>4.6500000000000004</v>
      </c>
      <c r="E1053" t="str">
        <f t="shared" si="35"/>
        <v>Normal</v>
      </c>
      <c r="F1053" t="s">
        <v>2380</v>
      </c>
      <c r="G1053" t="s">
        <v>2380</v>
      </c>
      <c r="H1053" t="s">
        <v>2380</v>
      </c>
      <c r="I1053">
        <v>0</v>
      </c>
      <c r="J1053" t="s">
        <v>2380</v>
      </c>
    </row>
    <row r="1054" spans="1:10" x14ac:dyDescent="0.35">
      <c r="A1054" t="s">
        <v>1318</v>
      </c>
      <c r="B1054" t="str">
        <f t="shared" si="34"/>
        <v>Normal Weight</v>
      </c>
      <c r="C1054">
        <v>24.29</v>
      </c>
      <c r="D1054">
        <v>9.0500000000000007</v>
      </c>
      <c r="E1054" t="str">
        <f t="shared" si="35"/>
        <v>Diabetes</v>
      </c>
      <c r="F1054" t="s">
        <v>2380</v>
      </c>
      <c r="G1054" t="s">
        <v>2380</v>
      </c>
      <c r="H1054" t="s">
        <v>2380</v>
      </c>
      <c r="I1054">
        <v>0</v>
      </c>
      <c r="J1054" t="s">
        <v>2380</v>
      </c>
    </row>
    <row r="1055" spans="1:10" x14ac:dyDescent="0.35">
      <c r="A1055" t="s">
        <v>1317</v>
      </c>
      <c r="B1055" t="str">
        <f t="shared" si="34"/>
        <v>Overweight</v>
      </c>
      <c r="C1055">
        <v>29.39</v>
      </c>
      <c r="D1055">
        <v>4.5199999999999996</v>
      </c>
      <c r="E1055" t="str">
        <f t="shared" si="35"/>
        <v>Normal</v>
      </c>
      <c r="F1055" t="s">
        <v>2381</v>
      </c>
      <c r="G1055" t="s">
        <v>2380</v>
      </c>
      <c r="H1055" t="s">
        <v>2380</v>
      </c>
      <c r="I1055">
        <v>0</v>
      </c>
      <c r="J1055" t="s">
        <v>2380</v>
      </c>
    </row>
    <row r="1056" spans="1:10" x14ac:dyDescent="0.35">
      <c r="A1056" t="s">
        <v>1316</v>
      </c>
      <c r="B1056" t="str">
        <f t="shared" si="34"/>
        <v>Overweight</v>
      </c>
      <c r="C1056">
        <v>25.66</v>
      </c>
      <c r="D1056">
        <v>4.62</v>
      </c>
      <c r="E1056" t="str">
        <f t="shared" si="35"/>
        <v>Normal</v>
      </c>
      <c r="F1056" t="s">
        <v>2381</v>
      </c>
      <c r="G1056" t="s">
        <v>2380</v>
      </c>
      <c r="H1056" t="s">
        <v>2380</v>
      </c>
      <c r="I1056">
        <v>1</v>
      </c>
      <c r="J1056" t="s">
        <v>2380</v>
      </c>
    </row>
    <row r="1057" spans="1:10" x14ac:dyDescent="0.35">
      <c r="A1057" t="s">
        <v>1315</v>
      </c>
      <c r="B1057" t="str">
        <f t="shared" si="34"/>
        <v>Obesity</v>
      </c>
      <c r="C1057">
        <v>39.11</v>
      </c>
      <c r="D1057">
        <v>5.87</v>
      </c>
      <c r="E1057" t="str">
        <f t="shared" si="35"/>
        <v>Prediabetes</v>
      </c>
      <c r="F1057" t="s">
        <v>2380</v>
      </c>
      <c r="G1057" t="s">
        <v>2380</v>
      </c>
      <c r="H1057" t="s">
        <v>2380</v>
      </c>
      <c r="I1057">
        <v>0</v>
      </c>
      <c r="J1057" t="s">
        <v>2380</v>
      </c>
    </row>
    <row r="1058" spans="1:10" x14ac:dyDescent="0.35">
      <c r="A1058" t="s">
        <v>1314</v>
      </c>
      <c r="B1058" t="str">
        <f t="shared" si="34"/>
        <v>Obesity</v>
      </c>
      <c r="C1058">
        <v>43.78</v>
      </c>
      <c r="D1058">
        <v>5.71</v>
      </c>
      <c r="E1058" t="str">
        <f t="shared" si="35"/>
        <v>Prediabetes</v>
      </c>
      <c r="F1058" t="s">
        <v>2380</v>
      </c>
      <c r="G1058" t="s">
        <v>2380</v>
      </c>
      <c r="H1058" t="s">
        <v>2380</v>
      </c>
      <c r="I1058">
        <v>1</v>
      </c>
      <c r="J1058" t="s">
        <v>2380</v>
      </c>
    </row>
    <row r="1059" spans="1:10" x14ac:dyDescent="0.35">
      <c r="A1059" t="s">
        <v>1313</v>
      </c>
      <c r="B1059" t="str">
        <f t="shared" si="34"/>
        <v>Normal Weight</v>
      </c>
      <c r="C1059">
        <v>24.35</v>
      </c>
      <c r="D1059">
        <v>9.08</v>
      </c>
      <c r="E1059" t="str">
        <f t="shared" si="35"/>
        <v>Diabetes</v>
      </c>
      <c r="F1059" t="s">
        <v>2380</v>
      </c>
      <c r="G1059" t="s">
        <v>2380</v>
      </c>
      <c r="H1059" t="s">
        <v>2380</v>
      </c>
      <c r="I1059">
        <v>0</v>
      </c>
      <c r="J1059" t="s">
        <v>2380</v>
      </c>
    </row>
    <row r="1060" spans="1:10" x14ac:dyDescent="0.35">
      <c r="A1060" t="s">
        <v>1312</v>
      </c>
      <c r="B1060" t="str">
        <f t="shared" si="34"/>
        <v>Obesity</v>
      </c>
      <c r="C1060">
        <v>40.299999999999997</v>
      </c>
      <c r="D1060">
        <v>5.3</v>
      </c>
      <c r="E1060" t="str">
        <f t="shared" si="35"/>
        <v>Normal</v>
      </c>
      <c r="F1060" t="s">
        <v>2381</v>
      </c>
      <c r="G1060" t="s">
        <v>2380</v>
      </c>
      <c r="H1060" t="s">
        <v>2380</v>
      </c>
      <c r="I1060">
        <v>2</v>
      </c>
      <c r="J1060" t="s">
        <v>2380</v>
      </c>
    </row>
    <row r="1061" spans="1:10" x14ac:dyDescent="0.35">
      <c r="A1061" t="s">
        <v>1311</v>
      </c>
      <c r="B1061" t="str">
        <f t="shared" si="34"/>
        <v>Obesity</v>
      </c>
      <c r="C1061">
        <v>32.774999999999999</v>
      </c>
      <c r="D1061">
        <v>11.76</v>
      </c>
      <c r="E1061" t="str">
        <f t="shared" si="35"/>
        <v>Diabetes</v>
      </c>
      <c r="F1061" t="s">
        <v>2381</v>
      </c>
      <c r="G1061" t="s">
        <v>2380</v>
      </c>
      <c r="H1061" t="s">
        <v>2380</v>
      </c>
      <c r="I1061">
        <v>0</v>
      </c>
      <c r="J1061" t="s">
        <v>2380</v>
      </c>
    </row>
    <row r="1062" spans="1:10" x14ac:dyDescent="0.35">
      <c r="A1062" t="s">
        <v>1310</v>
      </c>
      <c r="B1062" t="str">
        <f t="shared" si="34"/>
        <v>Obesity</v>
      </c>
      <c r="C1062">
        <v>39.6</v>
      </c>
      <c r="D1062">
        <v>5.1100000000000003</v>
      </c>
      <c r="E1062" t="str">
        <f t="shared" si="35"/>
        <v>Normal</v>
      </c>
      <c r="F1062" t="s">
        <v>2381</v>
      </c>
      <c r="G1062" t="s">
        <v>2380</v>
      </c>
      <c r="H1062" t="s">
        <v>2380</v>
      </c>
      <c r="I1062">
        <v>2</v>
      </c>
      <c r="J1062" t="s">
        <v>2380</v>
      </c>
    </row>
    <row r="1063" spans="1:10" x14ac:dyDescent="0.35">
      <c r="A1063" t="s">
        <v>1309</v>
      </c>
      <c r="B1063" t="str">
        <f t="shared" si="34"/>
        <v>Obesity</v>
      </c>
      <c r="C1063">
        <v>30.97</v>
      </c>
      <c r="D1063">
        <v>5.54</v>
      </c>
      <c r="E1063" t="str">
        <f t="shared" si="35"/>
        <v>Normal</v>
      </c>
      <c r="F1063" t="s">
        <v>2380</v>
      </c>
      <c r="G1063" t="s">
        <v>2380</v>
      </c>
      <c r="H1063" t="s">
        <v>2380</v>
      </c>
      <c r="I1063">
        <v>2</v>
      </c>
      <c r="J1063" t="s">
        <v>2380</v>
      </c>
    </row>
    <row r="1064" spans="1:10" x14ac:dyDescent="0.35">
      <c r="A1064" t="s">
        <v>1308</v>
      </c>
      <c r="B1064" t="str">
        <f t="shared" si="34"/>
        <v>Overweight</v>
      </c>
      <c r="C1064">
        <v>27.645</v>
      </c>
      <c r="D1064">
        <v>8.8699999999999992</v>
      </c>
      <c r="E1064" t="str">
        <f t="shared" si="35"/>
        <v>Diabetes</v>
      </c>
      <c r="F1064" t="s">
        <v>2381</v>
      </c>
      <c r="G1064" t="s">
        <v>2380</v>
      </c>
      <c r="H1064" t="s">
        <v>2380</v>
      </c>
      <c r="I1064">
        <v>0</v>
      </c>
      <c r="J1064" t="s">
        <v>2380</v>
      </c>
    </row>
    <row r="1065" spans="1:10" x14ac:dyDescent="0.35">
      <c r="A1065" t="s">
        <v>1307</v>
      </c>
      <c r="B1065" t="str">
        <f t="shared" si="34"/>
        <v>Obesity</v>
      </c>
      <c r="C1065">
        <v>34.43</v>
      </c>
      <c r="D1065">
        <v>5.96</v>
      </c>
      <c r="E1065" t="str">
        <f t="shared" si="35"/>
        <v>Prediabetes</v>
      </c>
      <c r="F1065" t="s">
        <v>2381</v>
      </c>
      <c r="G1065" t="s">
        <v>2380</v>
      </c>
      <c r="H1065" t="s">
        <v>2380</v>
      </c>
      <c r="I1065">
        <v>2</v>
      </c>
      <c r="J1065" t="s">
        <v>2380</v>
      </c>
    </row>
    <row r="1066" spans="1:10" x14ac:dyDescent="0.35">
      <c r="A1066" t="s">
        <v>1306</v>
      </c>
      <c r="B1066" t="str">
        <f t="shared" si="34"/>
        <v>Obesity</v>
      </c>
      <c r="C1066">
        <v>39.6</v>
      </c>
      <c r="D1066">
        <v>4.4400000000000004</v>
      </c>
      <c r="E1066" t="str">
        <f t="shared" si="35"/>
        <v>Normal</v>
      </c>
      <c r="F1066" t="s">
        <v>2381</v>
      </c>
      <c r="G1066" t="s">
        <v>2380</v>
      </c>
      <c r="H1066" t="s">
        <v>2382</v>
      </c>
      <c r="I1066">
        <v>1</v>
      </c>
      <c r="J1066" t="s">
        <v>2380</v>
      </c>
    </row>
    <row r="1067" spans="1:10" x14ac:dyDescent="0.35">
      <c r="A1067" t="s">
        <v>1305</v>
      </c>
      <c r="B1067" t="str">
        <f t="shared" si="34"/>
        <v>Normal Weight</v>
      </c>
      <c r="C1067">
        <v>22.1</v>
      </c>
      <c r="D1067">
        <v>4.6500000000000004</v>
      </c>
      <c r="E1067" t="str">
        <f t="shared" si="35"/>
        <v>Normal</v>
      </c>
      <c r="F1067" t="s">
        <v>2381</v>
      </c>
      <c r="G1067" t="s">
        <v>2380</v>
      </c>
      <c r="H1067" t="s">
        <v>2380</v>
      </c>
      <c r="I1067">
        <v>2</v>
      </c>
      <c r="J1067" t="s">
        <v>2380</v>
      </c>
    </row>
    <row r="1068" spans="1:10" x14ac:dyDescent="0.35">
      <c r="A1068" t="s">
        <v>1304</v>
      </c>
      <c r="B1068" t="str">
        <f t="shared" si="34"/>
        <v>Obesity</v>
      </c>
      <c r="C1068">
        <v>33.25</v>
      </c>
      <c r="D1068">
        <v>5.64</v>
      </c>
      <c r="E1068" t="str">
        <f t="shared" si="35"/>
        <v>Normal</v>
      </c>
      <c r="F1068" t="s">
        <v>2381</v>
      </c>
      <c r="G1068" t="s">
        <v>2380</v>
      </c>
      <c r="H1068" t="s">
        <v>2382</v>
      </c>
      <c r="I1068">
        <v>1</v>
      </c>
      <c r="J1068" t="s">
        <v>2380</v>
      </c>
    </row>
    <row r="1069" spans="1:10" x14ac:dyDescent="0.35">
      <c r="A1069" t="s">
        <v>1303</v>
      </c>
      <c r="B1069" t="str">
        <f t="shared" si="34"/>
        <v>Obesity</v>
      </c>
      <c r="C1069">
        <v>33.33</v>
      </c>
      <c r="D1069">
        <v>10.19</v>
      </c>
      <c r="E1069" t="str">
        <f t="shared" si="35"/>
        <v>Diabetes</v>
      </c>
      <c r="F1069" t="s">
        <v>2380</v>
      </c>
      <c r="G1069" t="s">
        <v>2380</v>
      </c>
      <c r="H1069" t="s">
        <v>2380</v>
      </c>
      <c r="I1069">
        <v>0</v>
      </c>
      <c r="J1069" t="s">
        <v>2380</v>
      </c>
    </row>
    <row r="1070" spans="1:10" x14ac:dyDescent="0.35">
      <c r="A1070" t="s">
        <v>1302</v>
      </c>
      <c r="B1070" t="str">
        <f t="shared" si="34"/>
        <v>Obesity</v>
      </c>
      <c r="C1070">
        <v>30.5</v>
      </c>
      <c r="D1070">
        <v>10.79</v>
      </c>
      <c r="E1070" t="str">
        <f t="shared" si="35"/>
        <v>Diabetes</v>
      </c>
      <c r="F1070" t="s">
        <v>2380</v>
      </c>
      <c r="G1070" t="s">
        <v>2380</v>
      </c>
      <c r="H1070" t="s">
        <v>2380</v>
      </c>
      <c r="I1070">
        <v>0</v>
      </c>
      <c r="J1070" t="s">
        <v>2380</v>
      </c>
    </row>
    <row r="1071" spans="1:10" x14ac:dyDescent="0.35">
      <c r="A1071" t="s">
        <v>1301</v>
      </c>
      <c r="B1071" t="str">
        <f t="shared" si="34"/>
        <v>Obesity</v>
      </c>
      <c r="C1071">
        <v>30.3</v>
      </c>
      <c r="D1071">
        <v>4.24</v>
      </c>
      <c r="E1071" t="str">
        <f t="shared" si="35"/>
        <v>Normal</v>
      </c>
      <c r="F1071" t="s">
        <v>2380</v>
      </c>
      <c r="G1071" t="s">
        <v>2380</v>
      </c>
      <c r="H1071" t="s">
        <v>2380</v>
      </c>
      <c r="I1071">
        <v>0</v>
      </c>
      <c r="J1071" t="s">
        <v>2380</v>
      </c>
    </row>
    <row r="1072" spans="1:10" x14ac:dyDescent="0.35">
      <c r="A1072" t="s">
        <v>1300</v>
      </c>
      <c r="B1072" t="str">
        <f t="shared" si="34"/>
        <v>Overweight</v>
      </c>
      <c r="C1072">
        <v>26.22</v>
      </c>
      <c r="D1072">
        <v>5.83</v>
      </c>
      <c r="E1072" t="str">
        <f t="shared" si="35"/>
        <v>Prediabetes</v>
      </c>
      <c r="F1072" t="s">
        <v>2380</v>
      </c>
      <c r="G1072" t="s">
        <v>2380</v>
      </c>
      <c r="H1072" t="s">
        <v>2380</v>
      </c>
      <c r="I1072">
        <v>2</v>
      </c>
      <c r="J1072" t="s">
        <v>2380</v>
      </c>
    </row>
    <row r="1073" spans="1:10" x14ac:dyDescent="0.35">
      <c r="A1073" t="s">
        <v>1299</v>
      </c>
      <c r="B1073" t="str">
        <f t="shared" si="34"/>
        <v>Overweight</v>
      </c>
      <c r="C1073">
        <v>29.99</v>
      </c>
      <c r="D1073">
        <v>11.85</v>
      </c>
      <c r="E1073" t="str">
        <f t="shared" si="35"/>
        <v>Diabetes</v>
      </c>
      <c r="F1073" t="s">
        <v>2380</v>
      </c>
      <c r="G1073" t="s">
        <v>2380</v>
      </c>
      <c r="H1073" t="s">
        <v>2380</v>
      </c>
      <c r="I1073">
        <v>0</v>
      </c>
      <c r="J1073" t="s">
        <v>2380</v>
      </c>
    </row>
    <row r="1074" spans="1:10" x14ac:dyDescent="0.35">
      <c r="A1074" t="s">
        <v>1298</v>
      </c>
      <c r="B1074" t="str">
        <f t="shared" si="34"/>
        <v>Obesity</v>
      </c>
      <c r="C1074">
        <v>36.380000000000003</v>
      </c>
      <c r="D1074">
        <v>5.98</v>
      </c>
      <c r="E1074" t="str">
        <f t="shared" si="35"/>
        <v>Prediabetes</v>
      </c>
      <c r="F1074" t="s">
        <v>2380</v>
      </c>
      <c r="G1074" t="s">
        <v>2380</v>
      </c>
      <c r="H1074" t="s">
        <v>2380</v>
      </c>
      <c r="I1074">
        <v>1</v>
      </c>
      <c r="J1074" t="s">
        <v>2380</v>
      </c>
    </row>
    <row r="1075" spans="1:10" x14ac:dyDescent="0.35">
      <c r="A1075" t="s">
        <v>1297</v>
      </c>
      <c r="B1075" t="str">
        <f t="shared" si="34"/>
        <v>Obesity</v>
      </c>
      <c r="C1075">
        <v>31.16</v>
      </c>
      <c r="D1075">
        <v>4.26</v>
      </c>
      <c r="E1075" t="str">
        <f t="shared" si="35"/>
        <v>Normal</v>
      </c>
      <c r="F1075" t="s">
        <v>2381</v>
      </c>
      <c r="G1075" t="s">
        <v>2380</v>
      </c>
      <c r="H1075" t="s">
        <v>2382</v>
      </c>
      <c r="I1075">
        <v>1</v>
      </c>
      <c r="J1075" t="s">
        <v>2380</v>
      </c>
    </row>
    <row r="1076" spans="1:10" x14ac:dyDescent="0.35">
      <c r="A1076" t="s">
        <v>1296</v>
      </c>
      <c r="B1076" t="str">
        <f t="shared" si="34"/>
        <v>Overweight</v>
      </c>
      <c r="C1076">
        <v>25.55</v>
      </c>
      <c r="D1076">
        <v>4.96</v>
      </c>
      <c r="E1076" t="str">
        <f t="shared" si="35"/>
        <v>Normal</v>
      </c>
      <c r="F1076" t="s">
        <v>2381</v>
      </c>
      <c r="G1076" t="s">
        <v>2380</v>
      </c>
      <c r="H1076" t="s">
        <v>2380</v>
      </c>
      <c r="I1076">
        <v>1</v>
      </c>
      <c r="J1076" t="s">
        <v>2380</v>
      </c>
    </row>
    <row r="1077" spans="1:10" x14ac:dyDescent="0.35">
      <c r="A1077" t="s">
        <v>1295</v>
      </c>
      <c r="B1077" t="str">
        <f t="shared" si="34"/>
        <v>Overweight</v>
      </c>
      <c r="C1077">
        <v>28.77</v>
      </c>
      <c r="D1077">
        <v>4</v>
      </c>
      <c r="E1077" t="str">
        <f t="shared" si="35"/>
        <v>Normal</v>
      </c>
      <c r="F1077" t="s">
        <v>2381</v>
      </c>
      <c r="G1077" t="s">
        <v>2380</v>
      </c>
      <c r="H1077" t="s">
        <v>2380</v>
      </c>
      <c r="I1077">
        <v>0</v>
      </c>
      <c r="J1077" t="s">
        <v>2380</v>
      </c>
    </row>
    <row r="1078" spans="1:10" x14ac:dyDescent="0.35">
      <c r="A1078" t="s">
        <v>1294</v>
      </c>
      <c r="B1078" t="str">
        <f t="shared" si="34"/>
        <v>Normal Weight</v>
      </c>
      <c r="C1078">
        <v>23.14</v>
      </c>
      <c r="D1078">
        <v>4.1500000000000004</v>
      </c>
      <c r="E1078" t="str">
        <f t="shared" si="35"/>
        <v>Normal</v>
      </c>
      <c r="F1078" t="s">
        <v>2381</v>
      </c>
      <c r="G1078" t="s">
        <v>2380</v>
      </c>
      <c r="H1078" t="s">
        <v>2380</v>
      </c>
      <c r="I1078">
        <v>1</v>
      </c>
      <c r="J1078" t="s">
        <v>2380</v>
      </c>
    </row>
    <row r="1079" spans="1:10" x14ac:dyDescent="0.35">
      <c r="A1079" t="s">
        <v>1293</v>
      </c>
      <c r="B1079" t="str">
        <f t="shared" si="34"/>
        <v>Obesity</v>
      </c>
      <c r="C1079">
        <v>39.6</v>
      </c>
      <c r="D1079">
        <v>11.36</v>
      </c>
      <c r="E1079" t="str">
        <f t="shared" si="35"/>
        <v>Diabetes</v>
      </c>
      <c r="F1079" t="s">
        <v>2380</v>
      </c>
      <c r="G1079" t="s">
        <v>2380</v>
      </c>
      <c r="H1079" t="s">
        <v>2380</v>
      </c>
      <c r="I1079">
        <v>0</v>
      </c>
      <c r="J1079" t="s">
        <v>2380</v>
      </c>
    </row>
    <row r="1080" spans="1:10" x14ac:dyDescent="0.35">
      <c r="A1080" t="s">
        <v>1292</v>
      </c>
      <c r="B1080" t="str">
        <f t="shared" si="34"/>
        <v>Overweight</v>
      </c>
      <c r="C1080">
        <v>29.2</v>
      </c>
      <c r="D1080">
        <v>7.53</v>
      </c>
      <c r="E1080" t="str">
        <f t="shared" si="35"/>
        <v>Diabetes</v>
      </c>
      <c r="F1080" t="s">
        <v>2380</v>
      </c>
      <c r="G1080" t="s">
        <v>2380</v>
      </c>
      <c r="H1080" t="s">
        <v>2380</v>
      </c>
      <c r="I1080">
        <v>0</v>
      </c>
      <c r="J1080" t="s">
        <v>2380</v>
      </c>
    </row>
    <row r="1081" spans="1:10" x14ac:dyDescent="0.35">
      <c r="A1081" t="s">
        <v>1291</v>
      </c>
      <c r="B1081" t="str">
        <f t="shared" si="34"/>
        <v>Obesity</v>
      </c>
      <c r="C1081">
        <v>32.774999999999999</v>
      </c>
      <c r="D1081">
        <v>7.95</v>
      </c>
      <c r="E1081" t="str">
        <f t="shared" si="35"/>
        <v>Diabetes</v>
      </c>
      <c r="F1081" t="s">
        <v>2380</v>
      </c>
      <c r="G1081" t="s">
        <v>2380</v>
      </c>
      <c r="H1081" t="s">
        <v>2380</v>
      </c>
      <c r="I1081">
        <v>0</v>
      </c>
      <c r="J1081" t="s">
        <v>2380</v>
      </c>
    </row>
    <row r="1082" spans="1:10" x14ac:dyDescent="0.35">
      <c r="A1082" t="s">
        <v>1290</v>
      </c>
      <c r="B1082" t="str">
        <f t="shared" si="34"/>
        <v>Normal Weight</v>
      </c>
      <c r="C1082">
        <v>24.035</v>
      </c>
      <c r="D1082">
        <v>8.5</v>
      </c>
      <c r="E1082" t="str">
        <f t="shared" si="35"/>
        <v>Diabetes</v>
      </c>
      <c r="F1082" t="s">
        <v>2380</v>
      </c>
      <c r="G1082" t="s">
        <v>2380</v>
      </c>
      <c r="H1082" t="s">
        <v>2380</v>
      </c>
      <c r="I1082">
        <v>0</v>
      </c>
      <c r="J1082" t="s">
        <v>2380</v>
      </c>
    </row>
    <row r="1083" spans="1:10" x14ac:dyDescent="0.35">
      <c r="A1083" t="s">
        <v>1289</v>
      </c>
      <c r="B1083" t="str">
        <f t="shared" si="34"/>
        <v>Obesity</v>
      </c>
      <c r="C1083">
        <v>30.55</v>
      </c>
      <c r="D1083">
        <v>5.89</v>
      </c>
      <c r="E1083" t="str">
        <f t="shared" si="35"/>
        <v>Prediabetes</v>
      </c>
      <c r="F1083" t="s">
        <v>2380</v>
      </c>
      <c r="G1083" t="s">
        <v>2380</v>
      </c>
      <c r="H1083" t="s">
        <v>2382</v>
      </c>
      <c r="I1083">
        <v>1</v>
      </c>
      <c r="J1083" t="s">
        <v>2380</v>
      </c>
    </row>
    <row r="1084" spans="1:10" x14ac:dyDescent="0.35">
      <c r="A1084" t="s">
        <v>1288</v>
      </c>
      <c r="B1084" t="str">
        <f t="shared" si="34"/>
        <v>Overweight</v>
      </c>
      <c r="C1084">
        <v>28.81</v>
      </c>
      <c r="D1084">
        <v>8.76</v>
      </c>
      <c r="E1084" t="str">
        <f t="shared" si="35"/>
        <v>Diabetes</v>
      </c>
      <c r="F1084" t="s">
        <v>2380</v>
      </c>
      <c r="G1084" t="s">
        <v>2380</v>
      </c>
      <c r="H1084" t="s">
        <v>2380</v>
      </c>
      <c r="I1084">
        <v>2</v>
      </c>
      <c r="J1084" t="s">
        <v>2380</v>
      </c>
    </row>
    <row r="1085" spans="1:10" x14ac:dyDescent="0.35">
      <c r="A1085" t="s">
        <v>1287</v>
      </c>
      <c r="B1085" t="str">
        <f t="shared" si="34"/>
        <v>Obesity</v>
      </c>
      <c r="C1085">
        <v>31.66</v>
      </c>
      <c r="D1085">
        <v>4.1100000000000003</v>
      </c>
      <c r="E1085" t="str">
        <f t="shared" si="35"/>
        <v>Normal</v>
      </c>
      <c r="F1085" t="s">
        <v>2380</v>
      </c>
      <c r="G1085" t="s">
        <v>2380</v>
      </c>
      <c r="H1085" t="s">
        <v>2380</v>
      </c>
      <c r="I1085">
        <v>0</v>
      </c>
      <c r="J1085" t="s">
        <v>2380</v>
      </c>
    </row>
    <row r="1086" spans="1:10" x14ac:dyDescent="0.35">
      <c r="A1086" t="s">
        <v>1286</v>
      </c>
      <c r="B1086" t="str">
        <f t="shared" si="34"/>
        <v>Overweight</v>
      </c>
      <c r="C1086">
        <v>28.215</v>
      </c>
      <c r="D1086">
        <v>7.56</v>
      </c>
      <c r="E1086" t="str">
        <f t="shared" si="35"/>
        <v>Diabetes</v>
      </c>
      <c r="F1086" t="s">
        <v>2381</v>
      </c>
      <c r="G1086" t="s">
        <v>2380</v>
      </c>
      <c r="H1086" t="s">
        <v>2380</v>
      </c>
      <c r="I1086">
        <v>1</v>
      </c>
      <c r="J1086" t="s">
        <v>2380</v>
      </c>
    </row>
    <row r="1087" spans="1:10" x14ac:dyDescent="0.35">
      <c r="A1087" t="s">
        <v>1285</v>
      </c>
      <c r="B1087" t="str">
        <f t="shared" si="34"/>
        <v>Overweight</v>
      </c>
      <c r="C1087">
        <v>26.12</v>
      </c>
      <c r="D1087">
        <v>4.17</v>
      </c>
      <c r="E1087" t="str">
        <f t="shared" si="35"/>
        <v>Normal</v>
      </c>
      <c r="F1087" t="s">
        <v>2381</v>
      </c>
      <c r="G1087" t="s">
        <v>2380</v>
      </c>
      <c r="H1087" t="s">
        <v>2382</v>
      </c>
      <c r="I1087">
        <v>1</v>
      </c>
      <c r="J1087" t="s">
        <v>2380</v>
      </c>
    </row>
    <row r="1088" spans="1:10" x14ac:dyDescent="0.35">
      <c r="A1088" t="s">
        <v>1284</v>
      </c>
      <c r="B1088" t="str">
        <f t="shared" si="34"/>
        <v>Obesity</v>
      </c>
      <c r="C1088">
        <v>36.630000000000003</v>
      </c>
      <c r="D1088">
        <v>11.42</v>
      </c>
      <c r="E1088" t="str">
        <f t="shared" si="35"/>
        <v>Diabetes</v>
      </c>
      <c r="F1088" t="s">
        <v>2380</v>
      </c>
      <c r="G1088" t="s">
        <v>2380</v>
      </c>
      <c r="H1088" t="s">
        <v>2380</v>
      </c>
      <c r="I1088">
        <v>2</v>
      </c>
      <c r="J1088" t="s">
        <v>2380</v>
      </c>
    </row>
    <row r="1089" spans="1:10" x14ac:dyDescent="0.35">
      <c r="A1089" t="s">
        <v>1283</v>
      </c>
      <c r="B1089" t="str">
        <f t="shared" si="34"/>
        <v>Obesity</v>
      </c>
      <c r="C1089">
        <v>33.344999999999999</v>
      </c>
      <c r="D1089">
        <v>7.33</v>
      </c>
      <c r="E1089" t="str">
        <f t="shared" si="35"/>
        <v>Diabetes</v>
      </c>
      <c r="F1089" t="s">
        <v>2380</v>
      </c>
      <c r="G1089" t="s">
        <v>2380</v>
      </c>
      <c r="H1089" t="s">
        <v>2380</v>
      </c>
      <c r="I1089">
        <v>2</v>
      </c>
      <c r="J1089" t="s">
        <v>2380</v>
      </c>
    </row>
    <row r="1090" spans="1:10" x14ac:dyDescent="0.35">
      <c r="A1090" t="s">
        <v>1282</v>
      </c>
      <c r="B1090" t="str">
        <f t="shared" si="34"/>
        <v>Overweight</v>
      </c>
      <c r="C1090">
        <v>27.11</v>
      </c>
      <c r="D1090">
        <v>6.7</v>
      </c>
      <c r="E1090" t="str">
        <f t="shared" si="35"/>
        <v>Diabetes</v>
      </c>
      <c r="F1090" t="s">
        <v>2380</v>
      </c>
      <c r="G1090" t="s">
        <v>2380</v>
      </c>
      <c r="H1090" t="s">
        <v>2380</v>
      </c>
      <c r="I1090">
        <v>0</v>
      </c>
      <c r="J1090" t="s">
        <v>2380</v>
      </c>
    </row>
    <row r="1091" spans="1:10" x14ac:dyDescent="0.35">
      <c r="A1091" t="s">
        <v>1281</v>
      </c>
      <c r="B1091" t="str">
        <f t="shared" ref="B1091:B1154" si="36">IF(C1091&lt;18.5,"Underweight",IF(C1091&lt;25,"Normal Weight",IF(C1091&lt;30,"Overweight","Obesity")))</f>
        <v>Overweight</v>
      </c>
      <c r="C1091">
        <v>26.6</v>
      </c>
      <c r="D1091">
        <v>5.27</v>
      </c>
      <c r="E1091" t="str">
        <f t="shared" ref="E1091:E1154" si="37">IF(D1091&lt;5.7,"Normal",IF(D1091&lt;6.5,"Prediabetes","Diabetes"))</f>
        <v>Normal</v>
      </c>
      <c r="F1091" t="s">
        <v>2381</v>
      </c>
      <c r="G1091" t="s">
        <v>2380</v>
      </c>
      <c r="H1091" t="s">
        <v>2382</v>
      </c>
      <c r="I1091">
        <v>1</v>
      </c>
      <c r="J1091" t="s">
        <v>2380</v>
      </c>
    </row>
    <row r="1092" spans="1:10" x14ac:dyDescent="0.35">
      <c r="A1092" t="s">
        <v>1280</v>
      </c>
      <c r="B1092" t="str">
        <f t="shared" si="36"/>
        <v>Obesity</v>
      </c>
      <c r="C1092">
        <v>30.41</v>
      </c>
      <c r="D1092">
        <v>7.72</v>
      </c>
      <c r="E1092" t="str">
        <f t="shared" si="37"/>
        <v>Diabetes</v>
      </c>
      <c r="F1092" t="s">
        <v>2380</v>
      </c>
      <c r="G1092" t="s">
        <v>2380</v>
      </c>
      <c r="H1092" t="s">
        <v>2380</v>
      </c>
      <c r="I1092">
        <v>0</v>
      </c>
      <c r="J1092" t="s">
        <v>2380</v>
      </c>
    </row>
    <row r="1093" spans="1:10" x14ac:dyDescent="0.35">
      <c r="A1093" t="s">
        <v>1279</v>
      </c>
      <c r="B1093" t="str">
        <f t="shared" si="36"/>
        <v>Overweight</v>
      </c>
      <c r="C1093">
        <v>28.98</v>
      </c>
      <c r="D1093">
        <v>8.68</v>
      </c>
      <c r="E1093" t="str">
        <f t="shared" si="37"/>
        <v>Diabetes</v>
      </c>
      <c r="F1093" t="s">
        <v>2380</v>
      </c>
      <c r="G1093" t="s">
        <v>2380</v>
      </c>
      <c r="H1093" t="s">
        <v>2380</v>
      </c>
      <c r="I1093">
        <v>2</v>
      </c>
      <c r="J1093" t="s">
        <v>2380</v>
      </c>
    </row>
    <row r="1094" spans="1:10" x14ac:dyDescent="0.35">
      <c r="A1094" t="s">
        <v>1278</v>
      </c>
      <c r="B1094" t="str">
        <f t="shared" si="36"/>
        <v>Obesity</v>
      </c>
      <c r="C1094">
        <v>31.24</v>
      </c>
      <c r="D1094">
        <v>9.8000000000000007</v>
      </c>
      <c r="E1094" t="str">
        <f t="shared" si="37"/>
        <v>Diabetes</v>
      </c>
      <c r="F1094" t="s">
        <v>2380</v>
      </c>
      <c r="G1094" t="s">
        <v>2380</v>
      </c>
      <c r="H1094" t="s">
        <v>2380</v>
      </c>
      <c r="I1094">
        <v>0</v>
      </c>
      <c r="J1094" t="s">
        <v>2380</v>
      </c>
    </row>
    <row r="1095" spans="1:10" x14ac:dyDescent="0.35">
      <c r="A1095" t="s">
        <v>1277</v>
      </c>
      <c r="B1095" t="str">
        <f t="shared" si="36"/>
        <v>Obesity</v>
      </c>
      <c r="C1095">
        <v>31.54</v>
      </c>
      <c r="D1095">
        <v>4.4400000000000004</v>
      </c>
      <c r="E1095" t="str">
        <f t="shared" si="37"/>
        <v>Normal</v>
      </c>
      <c r="F1095" t="s">
        <v>2380</v>
      </c>
      <c r="G1095" t="s">
        <v>2380</v>
      </c>
      <c r="H1095" t="s">
        <v>2380</v>
      </c>
      <c r="I1095">
        <v>0</v>
      </c>
      <c r="J1095" t="s">
        <v>2380</v>
      </c>
    </row>
    <row r="1096" spans="1:10" x14ac:dyDescent="0.35">
      <c r="A1096" t="s">
        <v>1276</v>
      </c>
      <c r="B1096" t="str">
        <f t="shared" si="36"/>
        <v>Obesity</v>
      </c>
      <c r="C1096">
        <v>38.6</v>
      </c>
      <c r="D1096">
        <v>7.19</v>
      </c>
      <c r="E1096" t="str">
        <f t="shared" si="37"/>
        <v>Diabetes</v>
      </c>
      <c r="F1096" t="s">
        <v>2381</v>
      </c>
      <c r="G1096" t="s">
        <v>2380</v>
      </c>
      <c r="H1096" t="s">
        <v>2380</v>
      </c>
      <c r="I1096">
        <v>2</v>
      </c>
      <c r="J1096" t="s">
        <v>2380</v>
      </c>
    </row>
    <row r="1097" spans="1:10" x14ac:dyDescent="0.35">
      <c r="A1097" t="s">
        <v>1275</v>
      </c>
      <c r="B1097" t="str">
        <f t="shared" si="36"/>
        <v>Obesity</v>
      </c>
      <c r="C1097">
        <v>37.950000000000003</v>
      </c>
      <c r="D1097">
        <v>6.06</v>
      </c>
      <c r="E1097" t="str">
        <f t="shared" si="37"/>
        <v>Prediabetes</v>
      </c>
      <c r="F1097" t="s">
        <v>2380</v>
      </c>
      <c r="G1097" t="s">
        <v>2380</v>
      </c>
      <c r="H1097" t="s">
        <v>2380</v>
      </c>
      <c r="I1097">
        <v>0</v>
      </c>
      <c r="J1097" t="s">
        <v>2380</v>
      </c>
    </row>
    <row r="1098" spans="1:10" x14ac:dyDescent="0.35">
      <c r="A1098" t="s">
        <v>1274</v>
      </c>
      <c r="B1098" t="str">
        <f t="shared" si="36"/>
        <v>Obesity</v>
      </c>
      <c r="C1098">
        <v>38.97</v>
      </c>
      <c r="D1098">
        <v>5.12</v>
      </c>
      <c r="E1098" t="str">
        <f t="shared" si="37"/>
        <v>Normal</v>
      </c>
      <c r="F1098" t="s">
        <v>2380</v>
      </c>
      <c r="G1098" t="s">
        <v>2380</v>
      </c>
      <c r="H1098" t="s">
        <v>2380</v>
      </c>
      <c r="I1098">
        <v>0</v>
      </c>
      <c r="J1098" t="s">
        <v>2380</v>
      </c>
    </row>
    <row r="1099" spans="1:10" x14ac:dyDescent="0.35">
      <c r="A1099" t="s">
        <v>1273</v>
      </c>
      <c r="B1099" t="str">
        <f t="shared" si="36"/>
        <v>Normal Weight</v>
      </c>
      <c r="C1099">
        <v>21.2</v>
      </c>
      <c r="D1099">
        <v>10.72</v>
      </c>
      <c r="E1099" t="str">
        <f t="shared" si="37"/>
        <v>Diabetes</v>
      </c>
      <c r="F1099" t="s">
        <v>2380</v>
      </c>
      <c r="G1099" t="s">
        <v>2380</v>
      </c>
      <c r="H1099" t="s">
        <v>2380</v>
      </c>
      <c r="I1099">
        <v>0</v>
      </c>
      <c r="J1099" t="s">
        <v>2380</v>
      </c>
    </row>
    <row r="1100" spans="1:10" x14ac:dyDescent="0.35">
      <c r="A1100" t="s">
        <v>1272</v>
      </c>
      <c r="B1100" t="str">
        <f t="shared" si="36"/>
        <v>Normal Weight</v>
      </c>
      <c r="C1100">
        <v>23.96</v>
      </c>
      <c r="D1100">
        <v>9.58</v>
      </c>
      <c r="E1100" t="str">
        <f t="shared" si="37"/>
        <v>Diabetes</v>
      </c>
      <c r="F1100" t="s">
        <v>2381</v>
      </c>
      <c r="G1100" t="s">
        <v>2380</v>
      </c>
      <c r="H1100" t="s">
        <v>2382</v>
      </c>
      <c r="I1100">
        <v>1</v>
      </c>
      <c r="J1100" t="s">
        <v>2380</v>
      </c>
    </row>
    <row r="1101" spans="1:10" x14ac:dyDescent="0.35">
      <c r="A1101" t="s">
        <v>1271</v>
      </c>
      <c r="B1101" t="str">
        <f t="shared" si="36"/>
        <v>Obesity</v>
      </c>
      <c r="C1101">
        <v>35.93</v>
      </c>
      <c r="D1101">
        <v>6.4</v>
      </c>
      <c r="E1101" t="str">
        <f t="shared" si="37"/>
        <v>Prediabetes</v>
      </c>
      <c r="F1101" t="s">
        <v>2381</v>
      </c>
      <c r="G1101" t="s">
        <v>2380</v>
      </c>
      <c r="H1101" t="s">
        <v>2380</v>
      </c>
      <c r="I1101">
        <v>1</v>
      </c>
      <c r="J1101" t="s">
        <v>2380</v>
      </c>
    </row>
    <row r="1102" spans="1:10" x14ac:dyDescent="0.35">
      <c r="A1102" t="s">
        <v>1270</v>
      </c>
      <c r="B1102" t="str">
        <f t="shared" si="36"/>
        <v>Overweight</v>
      </c>
      <c r="C1102">
        <v>26.11</v>
      </c>
      <c r="D1102">
        <v>6.8</v>
      </c>
      <c r="E1102" t="str">
        <f t="shared" si="37"/>
        <v>Diabetes</v>
      </c>
      <c r="F1102" t="s">
        <v>2381</v>
      </c>
      <c r="G1102" t="s">
        <v>2380</v>
      </c>
      <c r="H1102" t="s">
        <v>2380</v>
      </c>
      <c r="I1102">
        <v>2</v>
      </c>
      <c r="J1102" t="s">
        <v>2380</v>
      </c>
    </row>
    <row r="1103" spans="1:10" x14ac:dyDescent="0.35">
      <c r="A1103" t="s">
        <v>1269</v>
      </c>
      <c r="B1103" t="str">
        <f t="shared" si="36"/>
        <v>Obesity</v>
      </c>
      <c r="C1103">
        <v>32.299999999999997</v>
      </c>
      <c r="D1103">
        <v>9.48</v>
      </c>
      <c r="E1103" t="str">
        <f t="shared" si="37"/>
        <v>Diabetes</v>
      </c>
      <c r="F1103" t="s">
        <v>2380</v>
      </c>
      <c r="G1103" t="s">
        <v>2380</v>
      </c>
      <c r="H1103" t="s">
        <v>2380</v>
      </c>
      <c r="I1103">
        <v>2</v>
      </c>
      <c r="J1103" t="s">
        <v>2380</v>
      </c>
    </row>
    <row r="1104" spans="1:10" x14ac:dyDescent="0.35">
      <c r="A1104" t="s">
        <v>1268</v>
      </c>
      <c r="B1104" t="str">
        <f t="shared" si="36"/>
        <v>Overweight</v>
      </c>
      <c r="C1104">
        <v>28.69</v>
      </c>
      <c r="D1104">
        <v>7.45</v>
      </c>
      <c r="E1104" t="str">
        <f t="shared" si="37"/>
        <v>Diabetes</v>
      </c>
      <c r="F1104" t="s">
        <v>2380</v>
      </c>
      <c r="G1104" t="s">
        <v>2380</v>
      </c>
      <c r="H1104" t="s">
        <v>2380</v>
      </c>
      <c r="I1104">
        <v>2</v>
      </c>
      <c r="J1104" t="s">
        <v>2380</v>
      </c>
    </row>
    <row r="1105" spans="1:10" x14ac:dyDescent="0.35">
      <c r="A1105" t="s">
        <v>1267</v>
      </c>
      <c r="B1105" t="str">
        <f t="shared" si="36"/>
        <v>Obesity</v>
      </c>
      <c r="C1105">
        <v>31.28</v>
      </c>
      <c r="D1105">
        <v>6.94</v>
      </c>
      <c r="E1105" t="str">
        <f t="shared" si="37"/>
        <v>Diabetes</v>
      </c>
      <c r="F1105" t="s">
        <v>2381</v>
      </c>
      <c r="G1105" t="s">
        <v>2380</v>
      </c>
      <c r="H1105" t="s">
        <v>2380</v>
      </c>
      <c r="I1105">
        <v>1</v>
      </c>
      <c r="J1105" t="s">
        <v>2380</v>
      </c>
    </row>
    <row r="1106" spans="1:10" x14ac:dyDescent="0.35">
      <c r="A1106" t="s">
        <v>1266</v>
      </c>
      <c r="B1106" t="str">
        <f t="shared" si="36"/>
        <v>Obesity</v>
      </c>
      <c r="C1106">
        <v>30.21</v>
      </c>
      <c r="D1106">
        <v>7.83</v>
      </c>
      <c r="E1106" t="str">
        <f t="shared" si="37"/>
        <v>Diabetes</v>
      </c>
      <c r="F1106" t="s">
        <v>2380</v>
      </c>
      <c r="G1106" t="s">
        <v>2380</v>
      </c>
      <c r="H1106" t="s">
        <v>2380</v>
      </c>
      <c r="I1106">
        <v>0</v>
      </c>
      <c r="J1106" t="s">
        <v>2380</v>
      </c>
    </row>
    <row r="1107" spans="1:10" x14ac:dyDescent="0.35">
      <c r="A1107" t="s">
        <v>1265</v>
      </c>
      <c r="B1107" t="str">
        <f t="shared" si="36"/>
        <v>Obesity</v>
      </c>
      <c r="C1107">
        <v>38.28</v>
      </c>
      <c r="D1107">
        <v>10.17</v>
      </c>
      <c r="E1107" t="str">
        <f t="shared" si="37"/>
        <v>Diabetes</v>
      </c>
      <c r="F1107" t="s">
        <v>2381</v>
      </c>
      <c r="G1107" t="s">
        <v>2380</v>
      </c>
      <c r="H1107" t="s">
        <v>2380</v>
      </c>
      <c r="I1107">
        <v>0</v>
      </c>
      <c r="J1107" t="s">
        <v>2380</v>
      </c>
    </row>
    <row r="1108" spans="1:10" x14ac:dyDescent="0.35">
      <c r="A1108" t="s">
        <v>1264</v>
      </c>
      <c r="B1108" t="str">
        <f t="shared" si="36"/>
        <v>Overweight</v>
      </c>
      <c r="C1108">
        <v>29.9</v>
      </c>
      <c r="D1108">
        <v>8.9600000000000009</v>
      </c>
      <c r="E1108" t="str">
        <f t="shared" si="37"/>
        <v>Diabetes</v>
      </c>
      <c r="F1108" t="s">
        <v>2381</v>
      </c>
      <c r="G1108" t="s">
        <v>2380</v>
      </c>
      <c r="H1108" t="s">
        <v>2380</v>
      </c>
      <c r="I1108">
        <v>0</v>
      </c>
      <c r="J1108" t="s">
        <v>2380</v>
      </c>
    </row>
    <row r="1109" spans="1:10" x14ac:dyDescent="0.35">
      <c r="A1109" t="s">
        <v>1263</v>
      </c>
      <c r="B1109" t="str">
        <f t="shared" si="36"/>
        <v>Normal Weight</v>
      </c>
      <c r="C1109">
        <v>23.18</v>
      </c>
      <c r="D1109">
        <v>6.96</v>
      </c>
      <c r="E1109" t="str">
        <f t="shared" si="37"/>
        <v>Diabetes</v>
      </c>
      <c r="F1109" t="s">
        <v>2381</v>
      </c>
      <c r="G1109" t="s">
        <v>2380</v>
      </c>
      <c r="H1109" t="s">
        <v>2380</v>
      </c>
      <c r="I1109">
        <v>2</v>
      </c>
      <c r="J1109" t="s">
        <v>2380</v>
      </c>
    </row>
    <row r="1110" spans="1:10" x14ac:dyDescent="0.35">
      <c r="A1110" t="s">
        <v>1262</v>
      </c>
      <c r="B1110" t="str">
        <f t="shared" si="36"/>
        <v>Obesity</v>
      </c>
      <c r="C1110">
        <v>33.020000000000003</v>
      </c>
      <c r="D1110">
        <v>5.07</v>
      </c>
      <c r="E1110" t="str">
        <f t="shared" si="37"/>
        <v>Normal</v>
      </c>
      <c r="F1110" t="s">
        <v>2381</v>
      </c>
      <c r="G1110" t="s">
        <v>2380</v>
      </c>
      <c r="H1110" t="s">
        <v>2380</v>
      </c>
      <c r="I1110">
        <v>0</v>
      </c>
      <c r="J1110" t="s">
        <v>2380</v>
      </c>
    </row>
    <row r="1111" spans="1:10" x14ac:dyDescent="0.35">
      <c r="A1111" t="s">
        <v>1261</v>
      </c>
      <c r="B1111" t="str">
        <f t="shared" si="36"/>
        <v>Overweight</v>
      </c>
      <c r="C1111">
        <v>27.29</v>
      </c>
      <c r="D1111">
        <v>5.85</v>
      </c>
      <c r="E1111" t="str">
        <f t="shared" si="37"/>
        <v>Prediabetes</v>
      </c>
      <c r="F1111" t="s">
        <v>2380</v>
      </c>
      <c r="G1111" t="s">
        <v>2380</v>
      </c>
      <c r="H1111" t="s">
        <v>2380</v>
      </c>
      <c r="I1111">
        <v>2</v>
      </c>
      <c r="J1111" t="s">
        <v>2380</v>
      </c>
    </row>
    <row r="1112" spans="1:10" x14ac:dyDescent="0.35">
      <c r="A1112" t="s">
        <v>1260</v>
      </c>
      <c r="B1112" t="str">
        <f t="shared" si="36"/>
        <v>Normal Weight</v>
      </c>
      <c r="C1112">
        <v>23.18</v>
      </c>
      <c r="D1112">
        <v>10.56</v>
      </c>
      <c r="E1112" t="str">
        <f t="shared" si="37"/>
        <v>Diabetes</v>
      </c>
      <c r="F1112" t="s">
        <v>2380</v>
      </c>
      <c r="G1112" t="s">
        <v>2380</v>
      </c>
      <c r="H1112" t="s">
        <v>2380</v>
      </c>
      <c r="I1112">
        <v>2</v>
      </c>
      <c r="J1112" t="s">
        <v>2380</v>
      </c>
    </row>
    <row r="1113" spans="1:10" x14ac:dyDescent="0.35">
      <c r="A1113" t="s">
        <v>1259</v>
      </c>
      <c r="B1113" t="str">
        <f t="shared" si="36"/>
        <v>Obesity</v>
      </c>
      <c r="C1113">
        <v>32.659999999999997</v>
      </c>
      <c r="D1113">
        <v>8.92</v>
      </c>
      <c r="E1113" t="str">
        <f t="shared" si="37"/>
        <v>Diabetes</v>
      </c>
      <c r="F1113" t="s">
        <v>2381</v>
      </c>
      <c r="G1113" t="s">
        <v>2380</v>
      </c>
      <c r="H1113" t="s">
        <v>2380</v>
      </c>
      <c r="I1113">
        <v>0</v>
      </c>
      <c r="J1113" t="s">
        <v>2380</v>
      </c>
    </row>
    <row r="1114" spans="1:10" x14ac:dyDescent="0.35">
      <c r="A1114" t="s">
        <v>1258</v>
      </c>
      <c r="B1114" t="str">
        <f t="shared" si="36"/>
        <v>Obesity</v>
      </c>
      <c r="C1114">
        <v>30.78</v>
      </c>
      <c r="D1114">
        <v>8.6300000000000008</v>
      </c>
      <c r="E1114" t="str">
        <f t="shared" si="37"/>
        <v>Diabetes</v>
      </c>
      <c r="F1114" t="s">
        <v>2380</v>
      </c>
      <c r="G1114" t="s">
        <v>2380</v>
      </c>
      <c r="H1114" t="s">
        <v>2380</v>
      </c>
      <c r="I1114">
        <v>0</v>
      </c>
      <c r="J1114" t="s">
        <v>2380</v>
      </c>
    </row>
    <row r="1115" spans="1:10" x14ac:dyDescent="0.35">
      <c r="A1115" t="s">
        <v>1257</v>
      </c>
      <c r="B1115" t="str">
        <f t="shared" si="36"/>
        <v>Obesity</v>
      </c>
      <c r="C1115">
        <v>47.2</v>
      </c>
      <c r="D1115">
        <v>6.29</v>
      </c>
      <c r="E1115" t="str">
        <f t="shared" si="37"/>
        <v>Prediabetes</v>
      </c>
      <c r="F1115" t="s">
        <v>2381</v>
      </c>
      <c r="G1115" t="s">
        <v>2380</v>
      </c>
      <c r="H1115" t="s">
        <v>2382</v>
      </c>
      <c r="I1115">
        <v>1</v>
      </c>
      <c r="J1115" t="s">
        <v>2380</v>
      </c>
    </row>
    <row r="1116" spans="1:10" x14ac:dyDescent="0.35">
      <c r="A1116" t="s">
        <v>1256</v>
      </c>
      <c r="B1116" t="str">
        <f t="shared" si="36"/>
        <v>Obesity</v>
      </c>
      <c r="C1116">
        <v>31.6</v>
      </c>
      <c r="D1116">
        <v>5.75</v>
      </c>
      <c r="E1116" t="str">
        <f t="shared" si="37"/>
        <v>Prediabetes</v>
      </c>
      <c r="F1116" t="s">
        <v>2380</v>
      </c>
      <c r="G1116" t="s">
        <v>2380</v>
      </c>
      <c r="H1116" t="s">
        <v>2380</v>
      </c>
      <c r="I1116">
        <v>2</v>
      </c>
      <c r="J1116" t="s">
        <v>2380</v>
      </c>
    </row>
    <row r="1117" spans="1:10" x14ac:dyDescent="0.35">
      <c r="A1117" t="s">
        <v>1255</v>
      </c>
      <c r="B1117" t="str">
        <f t="shared" si="36"/>
        <v>Obesity</v>
      </c>
      <c r="C1117">
        <v>33.914999999999999</v>
      </c>
      <c r="D1117">
        <v>6.66</v>
      </c>
      <c r="E1117" t="str">
        <f t="shared" si="37"/>
        <v>Diabetes</v>
      </c>
      <c r="F1117" t="s">
        <v>2381</v>
      </c>
      <c r="G1117" t="s">
        <v>2380</v>
      </c>
      <c r="H1117" t="s">
        <v>2380</v>
      </c>
      <c r="I1117">
        <v>1</v>
      </c>
      <c r="J1117" t="s">
        <v>2380</v>
      </c>
    </row>
    <row r="1118" spans="1:10" x14ac:dyDescent="0.35">
      <c r="A1118" t="s">
        <v>1254</v>
      </c>
      <c r="B1118" t="str">
        <f t="shared" si="36"/>
        <v>Normal Weight</v>
      </c>
      <c r="C1118">
        <v>23.54</v>
      </c>
      <c r="D1118">
        <v>5.0999999999999996</v>
      </c>
      <c r="E1118" t="str">
        <f t="shared" si="37"/>
        <v>Normal</v>
      </c>
      <c r="F1118" t="s">
        <v>2380</v>
      </c>
      <c r="G1118" t="s">
        <v>2380</v>
      </c>
      <c r="H1118" t="s">
        <v>2380</v>
      </c>
      <c r="I1118">
        <v>2</v>
      </c>
      <c r="J1118" t="s">
        <v>2380</v>
      </c>
    </row>
    <row r="1119" spans="1:10" x14ac:dyDescent="0.35">
      <c r="A1119" t="s">
        <v>1253</v>
      </c>
      <c r="B1119" t="str">
        <f t="shared" si="36"/>
        <v>Overweight</v>
      </c>
      <c r="C1119">
        <v>27.074999999999999</v>
      </c>
      <c r="D1119">
        <v>4.41</v>
      </c>
      <c r="E1119" t="str">
        <f t="shared" si="37"/>
        <v>Normal</v>
      </c>
      <c r="F1119" t="s">
        <v>2380</v>
      </c>
      <c r="G1119" t="s">
        <v>2380</v>
      </c>
      <c r="H1119" t="s">
        <v>2380</v>
      </c>
      <c r="I1119">
        <v>2</v>
      </c>
      <c r="J1119" t="s">
        <v>2380</v>
      </c>
    </row>
    <row r="1120" spans="1:10" x14ac:dyDescent="0.35">
      <c r="A1120" t="s">
        <v>1252</v>
      </c>
      <c r="B1120" t="str">
        <f t="shared" si="36"/>
        <v>Overweight</v>
      </c>
      <c r="C1120">
        <v>25.8</v>
      </c>
      <c r="D1120">
        <v>5.52</v>
      </c>
      <c r="E1120" t="str">
        <f t="shared" si="37"/>
        <v>Normal</v>
      </c>
      <c r="F1120" t="s">
        <v>2381</v>
      </c>
      <c r="G1120" t="s">
        <v>2380</v>
      </c>
      <c r="H1120" t="s">
        <v>2380</v>
      </c>
      <c r="I1120">
        <v>0</v>
      </c>
      <c r="J1120" t="s">
        <v>2380</v>
      </c>
    </row>
    <row r="1121" spans="1:10" x14ac:dyDescent="0.35">
      <c r="A1121" t="s">
        <v>1251</v>
      </c>
      <c r="B1121" t="str">
        <f t="shared" si="36"/>
        <v>Obesity</v>
      </c>
      <c r="C1121">
        <v>36.1</v>
      </c>
      <c r="D1121">
        <v>4.62</v>
      </c>
      <c r="E1121" t="str">
        <f t="shared" si="37"/>
        <v>Normal</v>
      </c>
      <c r="F1121" t="s">
        <v>2381</v>
      </c>
      <c r="G1121" t="s">
        <v>2380</v>
      </c>
      <c r="H1121" t="s">
        <v>2382</v>
      </c>
      <c r="I1121">
        <v>1</v>
      </c>
      <c r="J1121" t="s">
        <v>2380</v>
      </c>
    </row>
    <row r="1122" spans="1:10" x14ac:dyDescent="0.35">
      <c r="A1122" t="s">
        <v>1250</v>
      </c>
      <c r="B1122" t="str">
        <f t="shared" si="36"/>
        <v>Obesity</v>
      </c>
      <c r="C1122">
        <v>30.495000000000001</v>
      </c>
      <c r="D1122">
        <v>5.74</v>
      </c>
      <c r="E1122" t="str">
        <f t="shared" si="37"/>
        <v>Prediabetes</v>
      </c>
      <c r="F1122" t="s">
        <v>2381</v>
      </c>
      <c r="G1122" t="s">
        <v>2380</v>
      </c>
      <c r="H1122" t="s">
        <v>2382</v>
      </c>
      <c r="I1122">
        <v>1</v>
      </c>
      <c r="J1122" t="s">
        <v>2380</v>
      </c>
    </row>
    <row r="1123" spans="1:10" x14ac:dyDescent="0.35">
      <c r="A1123" t="s">
        <v>1249</v>
      </c>
      <c r="B1123" t="str">
        <f t="shared" si="36"/>
        <v>Normal Weight</v>
      </c>
      <c r="C1123">
        <v>21.4</v>
      </c>
      <c r="D1123">
        <v>6.3</v>
      </c>
      <c r="E1123" t="str">
        <f t="shared" si="37"/>
        <v>Prediabetes</v>
      </c>
      <c r="F1123" t="s">
        <v>2381</v>
      </c>
      <c r="G1123" t="s">
        <v>2380</v>
      </c>
      <c r="H1123" t="s">
        <v>2382</v>
      </c>
      <c r="I1123">
        <v>1</v>
      </c>
      <c r="J1123" t="s">
        <v>2380</v>
      </c>
    </row>
    <row r="1124" spans="1:10" x14ac:dyDescent="0.35">
      <c r="A1124" t="s">
        <v>1248</v>
      </c>
      <c r="B1124" t="str">
        <f t="shared" si="36"/>
        <v>Obesity</v>
      </c>
      <c r="C1124">
        <v>32.299999999999997</v>
      </c>
      <c r="D1124">
        <v>10.27</v>
      </c>
      <c r="E1124" t="str">
        <f t="shared" si="37"/>
        <v>Diabetes</v>
      </c>
      <c r="F1124" t="s">
        <v>2380</v>
      </c>
      <c r="G1124" t="s">
        <v>2380</v>
      </c>
      <c r="H1124" t="s">
        <v>2380</v>
      </c>
      <c r="I1124">
        <v>0</v>
      </c>
      <c r="J1124" t="s">
        <v>2380</v>
      </c>
    </row>
    <row r="1125" spans="1:10" x14ac:dyDescent="0.35">
      <c r="A1125" t="s">
        <v>1247</v>
      </c>
      <c r="B1125" t="str">
        <f t="shared" si="36"/>
        <v>Overweight</v>
      </c>
      <c r="C1125">
        <v>29.78</v>
      </c>
      <c r="D1125">
        <v>5.85</v>
      </c>
      <c r="E1125" t="str">
        <f t="shared" si="37"/>
        <v>Prediabetes</v>
      </c>
      <c r="F1125" t="s">
        <v>2380</v>
      </c>
      <c r="G1125" t="s">
        <v>2380</v>
      </c>
      <c r="H1125" t="s">
        <v>2382</v>
      </c>
      <c r="I1125">
        <v>1</v>
      </c>
      <c r="J1125" t="s">
        <v>2380</v>
      </c>
    </row>
    <row r="1126" spans="1:10" x14ac:dyDescent="0.35">
      <c r="A1126" t="s">
        <v>1246</v>
      </c>
      <c r="B1126" t="str">
        <f t="shared" si="36"/>
        <v>Obesity</v>
      </c>
      <c r="C1126">
        <v>34.76</v>
      </c>
      <c r="D1126">
        <v>5.92</v>
      </c>
      <c r="E1126" t="str">
        <f t="shared" si="37"/>
        <v>Prediabetes</v>
      </c>
      <c r="F1126" t="s">
        <v>2381</v>
      </c>
      <c r="G1126" t="s">
        <v>2380</v>
      </c>
      <c r="H1126" t="s">
        <v>2380</v>
      </c>
      <c r="I1126">
        <v>1</v>
      </c>
      <c r="J1126" t="s">
        <v>2380</v>
      </c>
    </row>
    <row r="1127" spans="1:10" x14ac:dyDescent="0.35">
      <c r="A1127" t="s">
        <v>1245</v>
      </c>
      <c r="B1127" t="str">
        <f t="shared" si="36"/>
        <v>Underweight</v>
      </c>
      <c r="C1127">
        <v>18.335000000000001</v>
      </c>
      <c r="D1127">
        <v>10.01</v>
      </c>
      <c r="E1127" t="str">
        <f t="shared" si="37"/>
        <v>Diabetes</v>
      </c>
      <c r="F1127" t="s">
        <v>2381</v>
      </c>
      <c r="G1127" t="s">
        <v>2380</v>
      </c>
      <c r="H1127" t="s">
        <v>2380</v>
      </c>
      <c r="I1127">
        <v>2</v>
      </c>
      <c r="J1127" t="s">
        <v>2380</v>
      </c>
    </row>
    <row r="1128" spans="1:10" x14ac:dyDescent="0.35">
      <c r="A1128" t="s">
        <v>1244</v>
      </c>
      <c r="B1128" t="str">
        <f t="shared" si="36"/>
        <v>Obesity</v>
      </c>
      <c r="C1128">
        <v>32.299999999999997</v>
      </c>
      <c r="D1128">
        <v>9.59</v>
      </c>
      <c r="E1128" t="str">
        <f t="shared" si="37"/>
        <v>Diabetes</v>
      </c>
      <c r="F1128" t="s">
        <v>2380</v>
      </c>
      <c r="G1128" t="s">
        <v>2380</v>
      </c>
      <c r="H1128" t="s">
        <v>2380</v>
      </c>
      <c r="I1128">
        <v>0</v>
      </c>
      <c r="J1128" t="s">
        <v>2380</v>
      </c>
    </row>
    <row r="1129" spans="1:10" x14ac:dyDescent="0.35">
      <c r="A1129" t="s">
        <v>1243</v>
      </c>
      <c r="B1129" t="str">
        <f t="shared" si="36"/>
        <v>Overweight</v>
      </c>
      <c r="C1129">
        <v>27.74</v>
      </c>
      <c r="D1129">
        <v>10.37</v>
      </c>
      <c r="E1129" t="str">
        <f t="shared" si="37"/>
        <v>Diabetes</v>
      </c>
      <c r="F1129" t="s">
        <v>2380</v>
      </c>
      <c r="G1129" t="s">
        <v>2380</v>
      </c>
      <c r="H1129" t="s">
        <v>2380</v>
      </c>
      <c r="I1129">
        <v>0</v>
      </c>
      <c r="J1129" t="s">
        <v>2380</v>
      </c>
    </row>
    <row r="1130" spans="1:10" x14ac:dyDescent="0.35">
      <c r="A1130" t="s">
        <v>1242</v>
      </c>
      <c r="B1130" t="str">
        <f t="shared" si="36"/>
        <v>Normal Weight</v>
      </c>
      <c r="C1130">
        <v>24</v>
      </c>
      <c r="D1130">
        <v>4.01</v>
      </c>
      <c r="E1130" t="str">
        <f t="shared" si="37"/>
        <v>Normal</v>
      </c>
      <c r="F1130" t="s">
        <v>2381</v>
      </c>
      <c r="G1130" t="s">
        <v>2380</v>
      </c>
      <c r="H1130" t="s">
        <v>2380</v>
      </c>
      <c r="I1130">
        <v>1</v>
      </c>
      <c r="J1130" t="s">
        <v>2380</v>
      </c>
    </row>
    <row r="1131" spans="1:10" x14ac:dyDescent="0.35">
      <c r="A1131" t="s">
        <v>1241</v>
      </c>
      <c r="B1131" t="str">
        <f t="shared" si="36"/>
        <v>Obesity</v>
      </c>
      <c r="C1131">
        <v>31.78</v>
      </c>
      <c r="D1131">
        <v>4.24</v>
      </c>
      <c r="E1131" t="str">
        <f t="shared" si="37"/>
        <v>Normal</v>
      </c>
      <c r="F1131" t="s">
        <v>2381</v>
      </c>
      <c r="G1131" t="s">
        <v>2380</v>
      </c>
      <c r="H1131" t="s">
        <v>2382</v>
      </c>
      <c r="I1131">
        <v>1</v>
      </c>
      <c r="J1131" t="s">
        <v>2380</v>
      </c>
    </row>
    <row r="1132" spans="1:10" x14ac:dyDescent="0.35">
      <c r="A1132" t="s">
        <v>1240</v>
      </c>
      <c r="B1132" t="str">
        <f t="shared" si="36"/>
        <v>Obesity</v>
      </c>
      <c r="C1132">
        <v>32.25</v>
      </c>
      <c r="D1132">
        <v>5.36</v>
      </c>
      <c r="E1132" t="str">
        <f t="shared" si="37"/>
        <v>Normal</v>
      </c>
      <c r="F1132" t="s">
        <v>2381</v>
      </c>
      <c r="G1132" t="s">
        <v>2380</v>
      </c>
      <c r="H1132" t="s">
        <v>2380</v>
      </c>
      <c r="I1132">
        <v>0</v>
      </c>
      <c r="J1132" t="s">
        <v>2380</v>
      </c>
    </row>
    <row r="1133" spans="1:10" x14ac:dyDescent="0.35">
      <c r="A1133" t="s">
        <v>1239</v>
      </c>
      <c r="B1133" t="str">
        <f t="shared" si="36"/>
        <v>Obesity</v>
      </c>
      <c r="C1133">
        <v>30.114999999999998</v>
      </c>
      <c r="D1133">
        <v>4.99</v>
      </c>
      <c r="E1133" t="str">
        <f t="shared" si="37"/>
        <v>Normal</v>
      </c>
      <c r="F1133" t="s">
        <v>2380</v>
      </c>
      <c r="G1133" t="s">
        <v>2380</v>
      </c>
      <c r="H1133" t="s">
        <v>2380</v>
      </c>
      <c r="I1133">
        <v>2</v>
      </c>
      <c r="J1133" t="s">
        <v>2380</v>
      </c>
    </row>
    <row r="1134" spans="1:10" x14ac:dyDescent="0.35">
      <c r="A1134" t="s">
        <v>1238</v>
      </c>
      <c r="B1134" t="str">
        <f t="shared" si="36"/>
        <v>Normal Weight</v>
      </c>
      <c r="C1134">
        <v>22.41</v>
      </c>
      <c r="D1134">
        <v>8.68</v>
      </c>
      <c r="E1134" t="str">
        <f t="shared" si="37"/>
        <v>Diabetes</v>
      </c>
      <c r="F1134" t="s">
        <v>2380</v>
      </c>
      <c r="G1134" t="s">
        <v>2380</v>
      </c>
      <c r="H1134" t="s">
        <v>2380</v>
      </c>
      <c r="I1134">
        <v>0</v>
      </c>
      <c r="J1134" t="s">
        <v>2380</v>
      </c>
    </row>
    <row r="1135" spans="1:10" x14ac:dyDescent="0.35">
      <c r="A1135" t="s">
        <v>1237</v>
      </c>
      <c r="B1135" t="str">
        <f t="shared" si="36"/>
        <v>Obesity</v>
      </c>
      <c r="C1135">
        <v>45.72</v>
      </c>
      <c r="D1135">
        <v>4.2300000000000004</v>
      </c>
      <c r="E1135" t="str">
        <f t="shared" si="37"/>
        <v>Normal</v>
      </c>
      <c r="F1135" t="s">
        <v>2381</v>
      </c>
      <c r="G1135" t="s">
        <v>2380</v>
      </c>
      <c r="H1135" t="s">
        <v>2380</v>
      </c>
      <c r="I1135">
        <v>0</v>
      </c>
      <c r="J1135" t="s">
        <v>2380</v>
      </c>
    </row>
    <row r="1136" spans="1:10" x14ac:dyDescent="0.35">
      <c r="A1136" t="s">
        <v>1236</v>
      </c>
      <c r="B1136" t="str">
        <f t="shared" si="36"/>
        <v>Overweight</v>
      </c>
      <c r="C1136">
        <v>25</v>
      </c>
      <c r="D1136">
        <v>5.32</v>
      </c>
      <c r="E1136" t="str">
        <f t="shared" si="37"/>
        <v>Normal</v>
      </c>
      <c r="F1136" t="s">
        <v>2381</v>
      </c>
      <c r="G1136" t="s">
        <v>2380</v>
      </c>
      <c r="H1136" t="s">
        <v>2380</v>
      </c>
      <c r="I1136">
        <v>2</v>
      </c>
      <c r="J1136" t="s">
        <v>2380</v>
      </c>
    </row>
    <row r="1137" spans="1:10" x14ac:dyDescent="0.35">
      <c r="A1137" t="s">
        <v>1235</v>
      </c>
      <c r="B1137" t="str">
        <f t="shared" si="36"/>
        <v>Obesity</v>
      </c>
      <c r="C1137">
        <v>39.5</v>
      </c>
      <c r="D1137">
        <v>6.66</v>
      </c>
      <c r="E1137" t="str">
        <f t="shared" si="37"/>
        <v>Diabetes</v>
      </c>
      <c r="F1137" t="s">
        <v>2380</v>
      </c>
      <c r="G1137" t="s">
        <v>2380</v>
      </c>
      <c r="H1137" t="s">
        <v>2380</v>
      </c>
      <c r="I1137">
        <v>0</v>
      </c>
      <c r="J1137" t="s">
        <v>2380</v>
      </c>
    </row>
    <row r="1138" spans="1:10" x14ac:dyDescent="0.35">
      <c r="A1138" t="s">
        <v>1234</v>
      </c>
      <c r="B1138" t="str">
        <f t="shared" si="36"/>
        <v>Obesity</v>
      </c>
      <c r="C1138">
        <v>37.729999999999997</v>
      </c>
      <c r="D1138">
        <v>7.4</v>
      </c>
      <c r="E1138" t="str">
        <f t="shared" si="37"/>
        <v>Diabetes</v>
      </c>
      <c r="F1138" t="s">
        <v>2380</v>
      </c>
      <c r="G1138" t="s">
        <v>2380</v>
      </c>
      <c r="H1138" t="s">
        <v>2380</v>
      </c>
      <c r="I1138">
        <v>0</v>
      </c>
      <c r="J1138" t="s">
        <v>2380</v>
      </c>
    </row>
    <row r="1139" spans="1:10" x14ac:dyDescent="0.35">
      <c r="A1139" t="s">
        <v>1233</v>
      </c>
      <c r="B1139" t="str">
        <f t="shared" si="36"/>
        <v>Obesity</v>
      </c>
      <c r="C1139">
        <v>40.659999999999997</v>
      </c>
      <c r="D1139">
        <v>10.08</v>
      </c>
      <c r="E1139" t="str">
        <f t="shared" si="37"/>
        <v>Diabetes</v>
      </c>
      <c r="F1139" t="s">
        <v>2380</v>
      </c>
      <c r="G1139" t="s">
        <v>2380</v>
      </c>
      <c r="H1139" t="s">
        <v>2380</v>
      </c>
      <c r="I1139">
        <v>0</v>
      </c>
      <c r="J1139" t="s">
        <v>2380</v>
      </c>
    </row>
    <row r="1140" spans="1:10" x14ac:dyDescent="0.35">
      <c r="A1140" t="s">
        <v>1232</v>
      </c>
      <c r="B1140" t="str">
        <f t="shared" si="36"/>
        <v>Obesity</v>
      </c>
      <c r="C1140">
        <v>34.200000000000003</v>
      </c>
      <c r="D1140">
        <v>8.58</v>
      </c>
      <c r="E1140" t="str">
        <f t="shared" si="37"/>
        <v>Diabetes</v>
      </c>
      <c r="F1140" t="s">
        <v>2380</v>
      </c>
      <c r="G1140" t="s">
        <v>2380</v>
      </c>
      <c r="H1140" t="s">
        <v>2380</v>
      </c>
      <c r="I1140">
        <v>0</v>
      </c>
      <c r="J1140" t="s">
        <v>2380</v>
      </c>
    </row>
    <row r="1141" spans="1:10" x14ac:dyDescent="0.35">
      <c r="A1141" t="s">
        <v>1231</v>
      </c>
      <c r="B1141" t="str">
        <f t="shared" si="36"/>
        <v>Obesity</v>
      </c>
      <c r="C1141">
        <v>46.51</v>
      </c>
      <c r="D1141">
        <v>5.84</v>
      </c>
      <c r="E1141" t="str">
        <f t="shared" si="37"/>
        <v>Prediabetes</v>
      </c>
      <c r="F1141" t="s">
        <v>2380</v>
      </c>
      <c r="G1141" t="s">
        <v>2380</v>
      </c>
      <c r="H1141" t="s">
        <v>2380</v>
      </c>
      <c r="I1141">
        <v>1</v>
      </c>
      <c r="J1141" t="s">
        <v>2380</v>
      </c>
    </row>
    <row r="1142" spans="1:10" x14ac:dyDescent="0.35">
      <c r="A1142" t="s">
        <v>1230</v>
      </c>
      <c r="B1142" t="str">
        <f t="shared" si="36"/>
        <v>Overweight</v>
      </c>
      <c r="C1142">
        <v>28.88</v>
      </c>
      <c r="D1142">
        <v>4.8600000000000003</v>
      </c>
      <c r="E1142" t="str">
        <f t="shared" si="37"/>
        <v>Normal</v>
      </c>
      <c r="F1142" t="s">
        <v>2381</v>
      </c>
      <c r="G1142" t="s">
        <v>2380</v>
      </c>
      <c r="H1142" t="s">
        <v>2382</v>
      </c>
      <c r="I1142">
        <v>1</v>
      </c>
      <c r="J1142" t="s">
        <v>2380</v>
      </c>
    </row>
    <row r="1143" spans="1:10" x14ac:dyDescent="0.35">
      <c r="A1143" t="s">
        <v>1229</v>
      </c>
      <c r="B1143" t="str">
        <f t="shared" si="36"/>
        <v>Obesity</v>
      </c>
      <c r="C1143">
        <v>33.914999999999999</v>
      </c>
      <c r="D1143">
        <v>11.52</v>
      </c>
      <c r="E1143" t="str">
        <f t="shared" si="37"/>
        <v>Diabetes</v>
      </c>
      <c r="F1143" t="s">
        <v>2380</v>
      </c>
      <c r="G1143" t="s">
        <v>2380</v>
      </c>
      <c r="H1143" t="s">
        <v>2380</v>
      </c>
      <c r="I1143">
        <v>0</v>
      </c>
      <c r="J1143" t="s">
        <v>2380</v>
      </c>
    </row>
    <row r="1144" spans="1:10" x14ac:dyDescent="0.35">
      <c r="A1144" t="s">
        <v>1228</v>
      </c>
      <c r="B1144" t="str">
        <f t="shared" si="36"/>
        <v>Normal Weight</v>
      </c>
      <c r="C1144">
        <v>24.32</v>
      </c>
      <c r="D1144">
        <v>6.15</v>
      </c>
      <c r="E1144" t="str">
        <f t="shared" si="37"/>
        <v>Prediabetes</v>
      </c>
      <c r="F1144" t="s">
        <v>2381</v>
      </c>
      <c r="G1144" t="s">
        <v>2380</v>
      </c>
      <c r="H1144" t="s">
        <v>2382</v>
      </c>
      <c r="I1144">
        <v>1</v>
      </c>
      <c r="J1144" t="s">
        <v>2380</v>
      </c>
    </row>
    <row r="1145" spans="1:10" x14ac:dyDescent="0.35">
      <c r="A1145" t="s">
        <v>1227</v>
      </c>
      <c r="B1145" t="str">
        <f t="shared" si="36"/>
        <v>Overweight</v>
      </c>
      <c r="C1145">
        <v>25.8</v>
      </c>
      <c r="D1145">
        <v>9.94</v>
      </c>
      <c r="E1145" t="str">
        <f t="shared" si="37"/>
        <v>Diabetes</v>
      </c>
      <c r="F1145" t="s">
        <v>2380</v>
      </c>
      <c r="G1145" t="s">
        <v>2380</v>
      </c>
      <c r="H1145" t="s">
        <v>2380</v>
      </c>
      <c r="I1145">
        <v>0</v>
      </c>
      <c r="J1145" t="s">
        <v>2380</v>
      </c>
    </row>
    <row r="1146" spans="1:10" x14ac:dyDescent="0.35">
      <c r="A1146" t="s">
        <v>1226</v>
      </c>
      <c r="B1146" t="str">
        <f t="shared" si="36"/>
        <v>Normal Weight</v>
      </c>
      <c r="C1146">
        <v>21.56</v>
      </c>
      <c r="D1146">
        <v>10.56</v>
      </c>
      <c r="E1146" t="str">
        <f t="shared" si="37"/>
        <v>Diabetes</v>
      </c>
      <c r="F1146" t="s">
        <v>2380</v>
      </c>
      <c r="G1146" t="s">
        <v>2380</v>
      </c>
      <c r="H1146" t="s">
        <v>2380</v>
      </c>
      <c r="I1146">
        <v>0</v>
      </c>
      <c r="J1146" t="s">
        <v>2380</v>
      </c>
    </row>
    <row r="1147" spans="1:10" x14ac:dyDescent="0.35">
      <c r="A1147" t="s">
        <v>1225</v>
      </c>
      <c r="B1147" t="str">
        <f t="shared" si="36"/>
        <v>Obesity</v>
      </c>
      <c r="C1147">
        <v>31.6</v>
      </c>
      <c r="D1147">
        <v>6.79</v>
      </c>
      <c r="E1147" t="str">
        <f t="shared" si="37"/>
        <v>Diabetes</v>
      </c>
      <c r="F1147" t="s">
        <v>2380</v>
      </c>
      <c r="G1147" t="s">
        <v>2380</v>
      </c>
      <c r="H1147" t="s">
        <v>2380</v>
      </c>
      <c r="I1147">
        <v>0</v>
      </c>
      <c r="J1147" t="s">
        <v>2380</v>
      </c>
    </row>
    <row r="1148" spans="1:10" x14ac:dyDescent="0.35">
      <c r="A1148" t="s">
        <v>1224</v>
      </c>
      <c r="B1148" t="str">
        <f t="shared" si="36"/>
        <v>Obesity</v>
      </c>
      <c r="C1148">
        <v>42.93</v>
      </c>
      <c r="D1148">
        <v>4.8</v>
      </c>
      <c r="E1148" t="str">
        <f t="shared" si="37"/>
        <v>Normal</v>
      </c>
      <c r="F1148" t="s">
        <v>2380</v>
      </c>
      <c r="G1148" t="s">
        <v>2380</v>
      </c>
      <c r="H1148" t="s">
        <v>2380</v>
      </c>
      <c r="I1148">
        <v>1</v>
      </c>
      <c r="J1148" t="s">
        <v>2380</v>
      </c>
    </row>
    <row r="1149" spans="1:10" x14ac:dyDescent="0.35">
      <c r="A1149" t="s">
        <v>1223</v>
      </c>
      <c r="B1149" t="str">
        <f t="shared" si="36"/>
        <v>Overweight</v>
      </c>
      <c r="C1149">
        <v>26.72</v>
      </c>
      <c r="D1149">
        <v>5.75</v>
      </c>
      <c r="E1149" t="str">
        <f t="shared" si="37"/>
        <v>Prediabetes</v>
      </c>
      <c r="F1149" t="s">
        <v>2380</v>
      </c>
      <c r="G1149" t="s">
        <v>2380</v>
      </c>
      <c r="H1149" t="s">
        <v>2380</v>
      </c>
      <c r="I1149">
        <v>2</v>
      </c>
      <c r="J1149" t="s">
        <v>2380</v>
      </c>
    </row>
    <row r="1150" spans="1:10" x14ac:dyDescent="0.35">
      <c r="A1150" t="s">
        <v>1222</v>
      </c>
      <c r="B1150" t="str">
        <f t="shared" si="36"/>
        <v>Overweight</v>
      </c>
      <c r="C1150">
        <v>26.67</v>
      </c>
      <c r="D1150">
        <v>5.81</v>
      </c>
      <c r="E1150" t="str">
        <f t="shared" si="37"/>
        <v>Prediabetes</v>
      </c>
      <c r="F1150" t="s">
        <v>2380</v>
      </c>
      <c r="G1150" t="s">
        <v>2380</v>
      </c>
      <c r="H1150" t="s">
        <v>2380</v>
      </c>
      <c r="I1150">
        <v>2</v>
      </c>
      <c r="J1150" t="s">
        <v>2380</v>
      </c>
    </row>
    <row r="1151" spans="1:10" x14ac:dyDescent="0.35">
      <c r="A1151" t="s">
        <v>1221</v>
      </c>
      <c r="B1151" t="str">
        <f t="shared" si="36"/>
        <v>Obesity</v>
      </c>
      <c r="C1151">
        <v>42.68</v>
      </c>
      <c r="D1151">
        <v>9.2799999999999994</v>
      </c>
      <c r="E1151" t="str">
        <f t="shared" si="37"/>
        <v>Diabetes</v>
      </c>
      <c r="F1151" t="s">
        <v>2380</v>
      </c>
      <c r="G1151" t="s">
        <v>2380</v>
      </c>
      <c r="H1151" t="s">
        <v>2380</v>
      </c>
      <c r="I1151">
        <v>2</v>
      </c>
      <c r="J1151" t="s">
        <v>2380</v>
      </c>
    </row>
    <row r="1152" spans="1:10" x14ac:dyDescent="0.35">
      <c r="A1152" t="s">
        <v>1220</v>
      </c>
      <c r="B1152" t="str">
        <f t="shared" si="36"/>
        <v>Normal Weight</v>
      </c>
      <c r="C1152">
        <v>24.31</v>
      </c>
      <c r="D1152">
        <v>6.37</v>
      </c>
      <c r="E1152" t="str">
        <f t="shared" si="37"/>
        <v>Prediabetes</v>
      </c>
      <c r="F1152" t="s">
        <v>2380</v>
      </c>
      <c r="G1152" t="s">
        <v>2380</v>
      </c>
      <c r="H1152" t="s">
        <v>2380</v>
      </c>
      <c r="I1152">
        <v>0</v>
      </c>
      <c r="J1152" t="s">
        <v>2380</v>
      </c>
    </row>
    <row r="1153" spans="1:10" x14ac:dyDescent="0.35">
      <c r="A1153" t="s">
        <v>1219</v>
      </c>
      <c r="B1153" t="str">
        <f t="shared" si="36"/>
        <v>Obesity</v>
      </c>
      <c r="C1153">
        <v>44.75</v>
      </c>
      <c r="D1153">
        <v>5.09</v>
      </c>
      <c r="E1153" t="str">
        <f t="shared" si="37"/>
        <v>Normal</v>
      </c>
      <c r="F1153" t="s">
        <v>2381</v>
      </c>
      <c r="G1153" t="s">
        <v>2380</v>
      </c>
      <c r="H1153" t="s">
        <v>2380</v>
      </c>
      <c r="I1153">
        <v>0</v>
      </c>
      <c r="J1153" t="s">
        <v>2380</v>
      </c>
    </row>
    <row r="1154" spans="1:10" x14ac:dyDescent="0.35">
      <c r="A1154" t="s">
        <v>1218</v>
      </c>
      <c r="B1154" t="str">
        <f t="shared" si="36"/>
        <v>Obesity</v>
      </c>
      <c r="C1154">
        <v>30.78</v>
      </c>
      <c r="D1154">
        <v>7.94</v>
      </c>
      <c r="E1154" t="str">
        <f t="shared" si="37"/>
        <v>Diabetes</v>
      </c>
      <c r="F1154" t="s">
        <v>2380</v>
      </c>
      <c r="G1154" t="s">
        <v>2380</v>
      </c>
      <c r="H1154" t="s">
        <v>2380</v>
      </c>
      <c r="I1154">
        <v>2</v>
      </c>
      <c r="J1154" t="s">
        <v>2380</v>
      </c>
    </row>
    <row r="1155" spans="1:10" x14ac:dyDescent="0.35">
      <c r="A1155" t="s">
        <v>1217</v>
      </c>
      <c r="B1155" t="str">
        <f t="shared" ref="B1155:B1218" si="38">IF(C1155&lt;18.5,"Underweight",IF(C1155&lt;25,"Normal Weight",IF(C1155&lt;30,"Overweight","Obesity")))</f>
        <v>Normal Weight</v>
      </c>
      <c r="C1155">
        <v>21.86</v>
      </c>
      <c r="D1155">
        <v>10.95</v>
      </c>
      <c r="E1155" t="str">
        <f t="shared" ref="E1155:E1218" si="39">IF(D1155&lt;5.7,"Normal",IF(D1155&lt;6.5,"Prediabetes","Diabetes"))</f>
        <v>Diabetes</v>
      </c>
      <c r="F1155" t="s">
        <v>2380</v>
      </c>
      <c r="G1155" t="s">
        <v>2380</v>
      </c>
      <c r="H1155" t="s">
        <v>2380</v>
      </c>
      <c r="I1155">
        <v>0</v>
      </c>
      <c r="J1155" t="s">
        <v>2380</v>
      </c>
    </row>
    <row r="1156" spans="1:10" x14ac:dyDescent="0.35">
      <c r="A1156" t="s">
        <v>1216</v>
      </c>
      <c r="B1156" t="str">
        <f t="shared" si="38"/>
        <v>Obesity</v>
      </c>
      <c r="C1156">
        <v>49.09</v>
      </c>
      <c r="D1156">
        <v>6.3</v>
      </c>
      <c r="E1156" t="str">
        <f t="shared" si="39"/>
        <v>Prediabetes</v>
      </c>
      <c r="F1156" t="s">
        <v>2381</v>
      </c>
      <c r="G1156" t="s">
        <v>2380</v>
      </c>
      <c r="H1156" t="s">
        <v>2380</v>
      </c>
      <c r="I1156">
        <v>0</v>
      </c>
      <c r="J1156" t="s">
        <v>2380</v>
      </c>
    </row>
    <row r="1157" spans="1:10" x14ac:dyDescent="0.35">
      <c r="A1157" t="s">
        <v>1215</v>
      </c>
      <c r="B1157" t="str">
        <f t="shared" si="38"/>
        <v>Obesity</v>
      </c>
      <c r="C1157">
        <v>47.74</v>
      </c>
      <c r="D1157">
        <v>8.0500000000000007</v>
      </c>
      <c r="E1157" t="str">
        <f t="shared" si="39"/>
        <v>Diabetes</v>
      </c>
      <c r="F1157" t="s">
        <v>2381</v>
      </c>
      <c r="G1157" t="s">
        <v>2380</v>
      </c>
      <c r="H1157" t="s">
        <v>2380</v>
      </c>
      <c r="I1157">
        <v>2</v>
      </c>
      <c r="J1157" t="s">
        <v>2380</v>
      </c>
    </row>
    <row r="1158" spans="1:10" x14ac:dyDescent="0.35">
      <c r="A1158" t="s">
        <v>1214</v>
      </c>
      <c r="B1158" t="str">
        <f t="shared" si="38"/>
        <v>Obesity</v>
      </c>
      <c r="C1158">
        <v>30.2</v>
      </c>
      <c r="D1158">
        <v>9.8800000000000008</v>
      </c>
      <c r="E1158" t="str">
        <f t="shared" si="39"/>
        <v>Diabetes</v>
      </c>
      <c r="F1158" t="s">
        <v>2381</v>
      </c>
      <c r="G1158" t="s">
        <v>2380</v>
      </c>
      <c r="H1158" t="s">
        <v>2380</v>
      </c>
      <c r="I1158">
        <v>2</v>
      </c>
      <c r="J1158" t="s">
        <v>2380</v>
      </c>
    </row>
    <row r="1159" spans="1:10" x14ac:dyDescent="0.35">
      <c r="A1159" t="s">
        <v>1213</v>
      </c>
      <c r="B1159" t="str">
        <f t="shared" si="38"/>
        <v>Obesity</v>
      </c>
      <c r="C1159">
        <v>33.25</v>
      </c>
      <c r="D1159">
        <v>7.42</v>
      </c>
      <c r="E1159" t="str">
        <f t="shared" si="39"/>
        <v>Diabetes</v>
      </c>
      <c r="F1159" t="s">
        <v>2381</v>
      </c>
      <c r="G1159" t="s">
        <v>2380</v>
      </c>
      <c r="H1159" t="s">
        <v>2380</v>
      </c>
      <c r="I1159">
        <v>2</v>
      </c>
      <c r="J1159" t="s">
        <v>2380</v>
      </c>
    </row>
    <row r="1160" spans="1:10" x14ac:dyDescent="0.35">
      <c r="A1160" t="s">
        <v>1212</v>
      </c>
      <c r="B1160" t="str">
        <f t="shared" si="38"/>
        <v>Overweight</v>
      </c>
      <c r="C1160">
        <v>26.6</v>
      </c>
      <c r="D1160">
        <v>8.4499999999999993</v>
      </c>
      <c r="E1160" t="str">
        <f t="shared" si="39"/>
        <v>Diabetes</v>
      </c>
      <c r="F1160" t="s">
        <v>2381</v>
      </c>
      <c r="G1160" t="s">
        <v>2380</v>
      </c>
      <c r="H1160" t="s">
        <v>2380</v>
      </c>
      <c r="I1160">
        <v>1</v>
      </c>
      <c r="J1160" t="s">
        <v>2380</v>
      </c>
    </row>
    <row r="1161" spans="1:10" x14ac:dyDescent="0.35">
      <c r="A1161" t="s">
        <v>1211</v>
      </c>
      <c r="B1161" t="str">
        <f t="shared" si="38"/>
        <v>Overweight</v>
      </c>
      <c r="C1161">
        <v>26.35</v>
      </c>
      <c r="D1161">
        <v>6.21</v>
      </c>
      <c r="E1161" t="str">
        <f t="shared" si="39"/>
        <v>Prediabetes</v>
      </c>
      <c r="F1161" t="s">
        <v>2380</v>
      </c>
      <c r="G1161" t="s">
        <v>2380</v>
      </c>
      <c r="H1161" t="s">
        <v>2380</v>
      </c>
      <c r="I1161">
        <v>2</v>
      </c>
      <c r="J1161" t="s">
        <v>2380</v>
      </c>
    </row>
    <row r="1162" spans="1:10" x14ac:dyDescent="0.35">
      <c r="A1162" t="s">
        <v>1210</v>
      </c>
      <c r="B1162" t="str">
        <f t="shared" si="38"/>
        <v>Obesity</v>
      </c>
      <c r="C1162">
        <v>39.994999999999997</v>
      </c>
      <c r="D1162">
        <v>4.6500000000000004</v>
      </c>
      <c r="E1162" t="str">
        <f t="shared" si="39"/>
        <v>Normal</v>
      </c>
      <c r="F1162" t="s">
        <v>2380</v>
      </c>
      <c r="G1162" t="s">
        <v>2380</v>
      </c>
      <c r="H1162" t="s">
        <v>2380</v>
      </c>
      <c r="I1162">
        <v>0</v>
      </c>
      <c r="J1162" t="s">
        <v>2380</v>
      </c>
    </row>
    <row r="1163" spans="1:10" x14ac:dyDescent="0.35">
      <c r="A1163" t="s">
        <v>1209</v>
      </c>
      <c r="B1163" t="str">
        <f t="shared" si="38"/>
        <v>Normal Weight</v>
      </c>
      <c r="C1163">
        <v>22.92</v>
      </c>
      <c r="D1163">
        <v>5.87</v>
      </c>
      <c r="E1163" t="str">
        <f t="shared" si="39"/>
        <v>Prediabetes</v>
      </c>
      <c r="F1163" t="s">
        <v>2381</v>
      </c>
      <c r="G1163" t="s">
        <v>2380</v>
      </c>
      <c r="H1163" t="s">
        <v>2380</v>
      </c>
      <c r="I1163">
        <v>1</v>
      </c>
      <c r="J1163" t="s">
        <v>2380</v>
      </c>
    </row>
    <row r="1164" spans="1:10" x14ac:dyDescent="0.35">
      <c r="A1164" t="s">
        <v>1208</v>
      </c>
      <c r="B1164" t="str">
        <f t="shared" si="38"/>
        <v>Normal Weight</v>
      </c>
      <c r="C1164">
        <v>24.78</v>
      </c>
      <c r="D1164">
        <v>4.24</v>
      </c>
      <c r="E1164" t="str">
        <f t="shared" si="39"/>
        <v>Normal</v>
      </c>
      <c r="F1164" t="s">
        <v>2381</v>
      </c>
      <c r="G1164" t="s">
        <v>2380</v>
      </c>
      <c r="H1164" t="s">
        <v>2380</v>
      </c>
      <c r="I1164">
        <v>2</v>
      </c>
      <c r="J1164" t="s">
        <v>2380</v>
      </c>
    </row>
    <row r="1165" spans="1:10" x14ac:dyDescent="0.35">
      <c r="A1165" t="s">
        <v>1207</v>
      </c>
      <c r="B1165" t="str">
        <f t="shared" si="38"/>
        <v>Obesity</v>
      </c>
      <c r="C1165">
        <v>34.07</v>
      </c>
      <c r="D1165">
        <v>7.81</v>
      </c>
      <c r="E1165" t="str">
        <f t="shared" si="39"/>
        <v>Diabetes</v>
      </c>
      <c r="F1165" t="s">
        <v>2381</v>
      </c>
      <c r="G1165" t="s">
        <v>2380</v>
      </c>
      <c r="H1165" t="s">
        <v>2380</v>
      </c>
      <c r="I1165">
        <v>0</v>
      </c>
      <c r="J1165" t="s">
        <v>2380</v>
      </c>
    </row>
    <row r="1166" spans="1:10" x14ac:dyDescent="0.35">
      <c r="A1166" t="s">
        <v>1206</v>
      </c>
      <c r="B1166" t="str">
        <f t="shared" si="38"/>
        <v>Obesity</v>
      </c>
      <c r="C1166">
        <v>30.14</v>
      </c>
      <c r="D1166">
        <v>9.85</v>
      </c>
      <c r="E1166" t="str">
        <f t="shared" si="39"/>
        <v>Diabetes</v>
      </c>
      <c r="F1166" t="s">
        <v>2380</v>
      </c>
      <c r="G1166" t="s">
        <v>2380</v>
      </c>
      <c r="H1166" t="s">
        <v>2380</v>
      </c>
      <c r="I1166">
        <v>0</v>
      </c>
      <c r="J1166" t="s">
        <v>2380</v>
      </c>
    </row>
    <row r="1167" spans="1:10" x14ac:dyDescent="0.35">
      <c r="A1167" t="s">
        <v>1205</v>
      </c>
      <c r="B1167" t="str">
        <f t="shared" si="38"/>
        <v>Underweight</v>
      </c>
      <c r="C1167">
        <v>18.05</v>
      </c>
      <c r="D1167">
        <v>6.94</v>
      </c>
      <c r="E1167" t="str">
        <f t="shared" si="39"/>
        <v>Diabetes</v>
      </c>
      <c r="F1167" t="s">
        <v>2380</v>
      </c>
      <c r="G1167" t="s">
        <v>2380</v>
      </c>
      <c r="H1167" t="s">
        <v>2380</v>
      </c>
      <c r="I1167">
        <v>0</v>
      </c>
      <c r="J1167" t="s">
        <v>2380</v>
      </c>
    </row>
    <row r="1168" spans="1:10" x14ac:dyDescent="0.35">
      <c r="A1168" t="s">
        <v>1204</v>
      </c>
      <c r="B1168" t="str">
        <f t="shared" si="38"/>
        <v>Obesity</v>
      </c>
      <c r="C1168">
        <v>37.4</v>
      </c>
      <c r="D1168">
        <v>11.3</v>
      </c>
      <c r="E1168" t="str">
        <f t="shared" si="39"/>
        <v>Diabetes</v>
      </c>
      <c r="F1168" t="s">
        <v>2381</v>
      </c>
      <c r="G1168" t="s">
        <v>2380</v>
      </c>
      <c r="H1168" t="s">
        <v>2380</v>
      </c>
      <c r="I1168">
        <v>2</v>
      </c>
      <c r="J1168" t="s">
        <v>2380</v>
      </c>
    </row>
    <row r="1169" spans="1:10" x14ac:dyDescent="0.35">
      <c r="A1169" t="s">
        <v>1203</v>
      </c>
      <c r="B1169" t="str">
        <f t="shared" si="38"/>
        <v>Overweight</v>
      </c>
      <c r="C1169">
        <v>25.75</v>
      </c>
      <c r="D1169">
        <v>9.23</v>
      </c>
      <c r="E1169" t="str">
        <f t="shared" si="39"/>
        <v>Diabetes</v>
      </c>
      <c r="F1169" t="s">
        <v>2380</v>
      </c>
      <c r="G1169" t="s">
        <v>2380</v>
      </c>
      <c r="H1169" t="s">
        <v>2380</v>
      </c>
      <c r="I1169">
        <v>0</v>
      </c>
      <c r="J1169" t="s">
        <v>2380</v>
      </c>
    </row>
    <row r="1170" spans="1:10" x14ac:dyDescent="0.35">
      <c r="A1170" t="s">
        <v>1202</v>
      </c>
      <c r="B1170" t="str">
        <f t="shared" si="38"/>
        <v>Obesity</v>
      </c>
      <c r="C1170">
        <v>32.299999999999997</v>
      </c>
      <c r="D1170">
        <v>4.37</v>
      </c>
      <c r="E1170" t="str">
        <f t="shared" si="39"/>
        <v>Normal</v>
      </c>
      <c r="F1170" t="s">
        <v>2380</v>
      </c>
      <c r="G1170" t="s">
        <v>2380</v>
      </c>
      <c r="H1170" t="s">
        <v>2380</v>
      </c>
      <c r="I1170">
        <v>2</v>
      </c>
      <c r="J1170" t="s">
        <v>2380</v>
      </c>
    </row>
    <row r="1171" spans="1:10" x14ac:dyDescent="0.35">
      <c r="A1171" t="s">
        <v>1201</v>
      </c>
      <c r="B1171" t="str">
        <f t="shared" si="38"/>
        <v>Overweight</v>
      </c>
      <c r="C1171">
        <v>28.61</v>
      </c>
      <c r="D1171">
        <v>5.76</v>
      </c>
      <c r="E1171" t="str">
        <f t="shared" si="39"/>
        <v>Prediabetes</v>
      </c>
      <c r="F1171" t="s">
        <v>2380</v>
      </c>
      <c r="G1171" t="s">
        <v>2380</v>
      </c>
      <c r="H1171" t="s">
        <v>2382</v>
      </c>
      <c r="I1171">
        <v>1</v>
      </c>
      <c r="J1171" t="s">
        <v>2380</v>
      </c>
    </row>
    <row r="1172" spans="1:10" x14ac:dyDescent="0.35">
      <c r="A1172" t="s">
        <v>1200</v>
      </c>
      <c r="B1172" t="str">
        <f t="shared" si="38"/>
        <v>Obesity</v>
      </c>
      <c r="C1172">
        <v>45.41</v>
      </c>
      <c r="D1172">
        <v>4.96</v>
      </c>
      <c r="E1172" t="str">
        <f t="shared" si="39"/>
        <v>Normal</v>
      </c>
      <c r="F1172" t="s">
        <v>2380</v>
      </c>
      <c r="G1172" t="s">
        <v>2380</v>
      </c>
      <c r="H1172" t="s">
        <v>2380</v>
      </c>
      <c r="I1172">
        <v>1</v>
      </c>
      <c r="J1172" t="s">
        <v>2380</v>
      </c>
    </row>
    <row r="1173" spans="1:10" x14ac:dyDescent="0.35">
      <c r="A1173" t="s">
        <v>1199</v>
      </c>
      <c r="B1173" t="str">
        <f t="shared" si="38"/>
        <v>Obesity</v>
      </c>
      <c r="C1173">
        <v>31.2</v>
      </c>
      <c r="D1173">
        <v>11.04</v>
      </c>
      <c r="E1173" t="str">
        <f t="shared" si="39"/>
        <v>Diabetes</v>
      </c>
      <c r="F1173" t="s">
        <v>2381</v>
      </c>
      <c r="G1173" t="s">
        <v>2380</v>
      </c>
      <c r="H1173" t="s">
        <v>2380</v>
      </c>
      <c r="I1173">
        <v>2</v>
      </c>
      <c r="J1173" t="s">
        <v>2380</v>
      </c>
    </row>
    <row r="1174" spans="1:10" x14ac:dyDescent="0.35">
      <c r="A1174" t="s">
        <v>1198</v>
      </c>
      <c r="B1174" t="str">
        <f t="shared" si="38"/>
        <v>Overweight</v>
      </c>
      <c r="C1174">
        <v>29.83</v>
      </c>
      <c r="D1174">
        <v>7.81</v>
      </c>
      <c r="E1174" t="str">
        <f t="shared" si="39"/>
        <v>Diabetes</v>
      </c>
      <c r="F1174" t="s">
        <v>2381</v>
      </c>
      <c r="G1174" t="s">
        <v>2380</v>
      </c>
      <c r="H1174" t="s">
        <v>2380</v>
      </c>
      <c r="I1174">
        <v>1</v>
      </c>
      <c r="J1174" t="s">
        <v>2380</v>
      </c>
    </row>
    <row r="1175" spans="1:10" x14ac:dyDescent="0.35">
      <c r="A1175" t="s">
        <v>1197</v>
      </c>
      <c r="B1175" t="str">
        <f t="shared" si="38"/>
        <v>Overweight</v>
      </c>
      <c r="C1175">
        <v>29.06</v>
      </c>
      <c r="D1175">
        <v>4.55</v>
      </c>
      <c r="E1175" t="str">
        <f t="shared" si="39"/>
        <v>Normal</v>
      </c>
      <c r="F1175" t="s">
        <v>2380</v>
      </c>
      <c r="G1175" t="s">
        <v>2380</v>
      </c>
      <c r="H1175" t="s">
        <v>2380</v>
      </c>
      <c r="I1175">
        <v>0</v>
      </c>
      <c r="J1175" t="s">
        <v>2380</v>
      </c>
    </row>
    <row r="1176" spans="1:10" x14ac:dyDescent="0.35">
      <c r="A1176" t="s">
        <v>1196</v>
      </c>
      <c r="B1176" t="str">
        <f t="shared" si="38"/>
        <v>Overweight</v>
      </c>
      <c r="C1176">
        <v>27.454999999999998</v>
      </c>
      <c r="D1176">
        <v>6.13</v>
      </c>
      <c r="E1176" t="str">
        <f t="shared" si="39"/>
        <v>Prediabetes</v>
      </c>
      <c r="F1176" t="s">
        <v>2380</v>
      </c>
      <c r="G1176" t="s">
        <v>2380</v>
      </c>
      <c r="H1176" t="s">
        <v>2380</v>
      </c>
      <c r="I1176">
        <v>2</v>
      </c>
      <c r="J1176" t="s">
        <v>2380</v>
      </c>
    </row>
    <row r="1177" spans="1:10" x14ac:dyDescent="0.35">
      <c r="A1177" t="s">
        <v>1195</v>
      </c>
      <c r="B1177" t="str">
        <f t="shared" si="38"/>
        <v>Normal Weight</v>
      </c>
      <c r="C1177">
        <v>23.01</v>
      </c>
      <c r="D1177">
        <v>6.04</v>
      </c>
      <c r="E1177" t="str">
        <f t="shared" si="39"/>
        <v>Prediabetes</v>
      </c>
      <c r="F1177" t="s">
        <v>2381</v>
      </c>
      <c r="G1177" t="s">
        <v>2380</v>
      </c>
      <c r="H1177" t="s">
        <v>2380</v>
      </c>
      <c r="I1177">
        <v>1</v>
      </c>
      <c r="J1177" t="s">
        <v>2380</v>
      </c>
    </row>
    <row r="1178" spans="1:10" x14ac:dyDescent="0.35">
      <c r="A1178" t="s">
        <v>1194</v>
      </c>
      <c r="B1178" t="str">
        <f t="shared" si="38"/>
        <v>Obesity</v>
      </c>
      <c r="C1178">
        <v>31.39</v>
      </c>
      <c r="D1178">
        <v>8.85</v>
      </c>
      <c r="E1178" t="str">
        <f t="shared" si="39"/>
        <v>Diabetes</v>
      </c>
      <c r="F1178" t="s">
        <v>2381</v>
      </c>
      <c r="G1178" t="s">
        <v>2380</v>
      </c>
      <c r="H1178" t="s">
        <v>2380</v>
      </c>
      <c r="I1178">
        <v>0</v>
      </c>
      <c r="J1178" t="s">
        <v>2380</v>
      </c>
    </row>
    <row r="1179" spans="1:10" x14ac:dyDescent="0.35">
      <c r="A1179" t="s">
        <v>1193</v>
      </c>
      <c r="B1179" t="str">
        <f t="shared" si="38"/>
        <v>Obesity</v>
      </c>
      <c r="C1179">
        <v>34.770000000000003</v>
      </c>
      <c r="D1179">
        <v>10.54</v>
      </c>
      <c r="E1179" t="str">
        <f t="shared" si="39"/>
        <v>Diabetes</v>
      </c>
      <c r="F1179" t="s">
        <v>2380</v>
      </c>
      <c r="G1179" t="s">
        <v>2380</v>
      </c>
      <c r="H1179" t="s">
        <v>2380</v>
      </c>
      <c r="I1179">
        <v>2</v>
      </c>
      <c r="J1179" t="s">
        <v>2380</v>
      </c>
    </row>
    <row r="1180" spans="1:10" x14ac:dyDescent="0.35">
      <c r="A1180" t="s">
        <v>1192</v>
      </c>
      <c r="B1180" t="str">
        <f t="shared" si="38"/>
        <v>Normal Weight</v>
      </c>
      <c r="C1180">
        <v>24.48</v>
      </c>
      <c r="D1180">
        <v>4.37</v>
      </c>
      <c r="E1180" t="str">
        <f t="shared" si="39"/>
        <v>Normal</v>
      </c>
      <c r="F1180" t="s">
        <v>2381</v>
      </c>
      <c r="G1180" t="s">
        <v>2380</v>
      </c>
      <c r="H1180" t="s">
        <v>2380</v>
      </c>
      <c r="I1180">
        <v>2</v>
      </c>
      <c r="J1180" t="s">
        <v>2380</v>
      </c>
    </row>
    <row r="1181" spans="1:10" x14ac:dyDescent="0.35">
      <c r="A1181" t="s">
        <v>1191</v>
      </c>
      <c r="B1181" t="str">
        <f t="shared" si="38"/>
        <v>Normal Weight</v>
      </c>
      <c r="C1181">
        <v>22.61</v>
      </c>
      <c r="D1181">
        <v>9.6300000000000008</v>
      </c>
      <c r="E1181" t="str">
        <f t="shared" si="39"/>
        <v>Diabetes</v>
      </c>
      <c r="F1181" t="s">
        <v>2380</v>
      </c>
      <c r="G1181" t="s">
        <v>2380</v>
      </c>
      <c r="H1181" t="s">
        <v>2380</v>
      </c>
      <c r="I1181">
        <v>2</v>
      </c>
      <c r="J1181" t="s">
        <v>2380</v>
      </c>
    </row>
    <row r="1182" spans="1:10" x14ac:dyDescent="0.35">
      <c r="A1182" t="s">
        <v>1190</v>
      </c>
      <c r="B1182" t="str">
        <f t="shared" si="38"/>
        <v>Obesity</v>
      </c>
      <c r="C1182">
        <v>34.299999999999997</v>
      </c>
      <c r="D1182">
        <v>10.37</v>
      </c>
      <c r="E1182" t="str">
        <f t="shared" si="39"/>
        <v>Diabetes</v>
      </c>
      <c r="F1182" t="s">
        <v>2380</v>
      </c>
      <c r="G1182" t="s">
        <v>2380</v>
      </c>
      <c r="H1182" t="s">
        <v>2380</v>
      </c>
      <c r="I1182">
        <v>0</v>
      </c>
      <c r="J1182" t="s">
        <v>2380</v>
      </c>
    </row>
    <row r="1183" spans="1:10" x14ac:dyDescent="0.35">
      <c r="A1183" t="s">
        <v>1189</v>
      </c>
      <c r="B1183" t="str">
        <f t="shared" si="38"/>
        <v>Obesity</v>
      </c>
      <c r="C1183">
        <v>46.09</v>
      </c>
      <c r="D1183">
        <v>5.44</v>
      </c>
      <c r="E1183" t="str">
        <f t="shared" si="39"/>
        <v>Normal</v>
      </c>
      <c r="F1183" t="s">
        <v>2380</v>
      </c>
      <c r="G1183" t="s">
        <v>2380</v>
      </c>
      <c r="H1183" t="s">
        <v>2380</v>
      </c>
      <c r="I1183">
        <v>2</v>
      </c>
      <c r="J1183" t="s">
        <v>2380</v>
      </c>
    </row>
    <row r="1184" spans="1:10" x14ac:dyDescent="0.35">
      <c r="A1184" t="s">
        <v>1188</v>
      </c>
      <c r="B1184" t="str">
        <f t="shared" si="38"/>
        <v>Obesity</v>
      </c>
      <c r="C1184">
        <v>44.744999999999997</v>
      </c>
      <c r="D1184">
        <v>5.19</v>
      </c>
      <c r="E1184" t="str">
        <f t="shared" si="39"/>
        <v>Normal</v>
      </c>
      <c r="F1184" t="s">
        <v>2380</v>
      </c>
      <c r="G1184" t="s">
        <v>2380</v>
      </c>
      <c r="H1184" t="s">
        <v>2380</v>
      </c>
      <c r="I1184">
        <v>2</v>
      </c>
      <c r="J1184" t="s">
        <v>2380</v>
      </c>
    </row>
    <row r="1185" spans="1:10" x14ac:dyDescent="0.35">
      <c r="A1185" t="s">
        <v>1187</v>
      </c>
      <c r="B1185" t="str">
        <f t="shared" si="38"/>
        <v>Overweight</v>
      </c>
      <c r="C1185">
        <v>26.33</v>
      </c>
      <c r="D1185">
        <v>11.8</v>
      </c>
      <c r="E1185" t="str">
        <f t="shared" si="39"/>
        <v>Diabetes</v>
      </c>
      <c r="F1185" t="s">
        <v>2381</v>
      </c>
      <c r="G1185" t="s">
        <v>2380</v>
      </c>
      <c r="H1185" t="s">
        <v>2380</v>
      </c>
      <c r="I1185">
        <v>1</v>
      </c>
      <c r="J1185" t="s">
        <v>2380</v>
      </c>
    </row>
    <row r="1186" spans="1:10" x14ac:dyDescent="0.35">
      <c r="A1186" t="s">
        <v>1186</v>
      </c>
      <c r="B1186" t="str">
        <f t="shared" si="38"/>
        <v>Overweight</v>
      </c>
      <c r="C1186">
        <v>26.6</v>
      </c>
      <c r="D1186">
        <v>8.3800000000000008</v>
      </c>
      <c r="E1186" t="str">
        <f t="shared" si="39"/>
        <v>Diabetes</v>
      </c>
      <c r="F1186" t="s">
        <v>2380</v>
      </c>
      <c r="G1186" t="s">
        <v>2380</v>
      </c>
      <c r="H1186" t="s">
        <v>2380</v>
      </c>
      <c r="I1186">
        <v>2</v>
      </c>
      <c r="J1186" t="s">
        <v>2380</v>
      </c>
    </row>
    <row r="1187" spans="1:10" x14ac:dyDescent="0.35">
      <c r="A1187" t="s">
        <v>1185</v>
      </c>
      <c r="B1187" t="str">
        <f t="shared" si="38"/>
        <v>Overweight</v>
      </c>
      <c r="C1187">
        <v>27.5</v>
      </c>
      <c r="D1187">
        <v>7.58</v>
      </c>
      <c r="E1187" t="str">
        <f t="shared" si="39"/>
        <v>Diabetes</v>
      </c>
      <c r="F1187" t="s">
        <v>2380</v>
      </c>
      <c r="G1187" t="s">
        <v>2380</v>
      </c>
      <c r="H1187" t="s">
        <v>2380</v>
      </c>
      <c r="I1187">
        <v>0</v>
      </c>
      <c r="J1187" t="s">
        <v>2380</v>
      </c>
    </row>
    <row r="1188" spans="1:10" x14ac:dyDescent="0.35">
      <c r="A1188" t="s">
        <v>1184</v>
      </c>
      <c r="B1188" t="str">
        <f t="shared" si="38"/>
        <v>Obesity</v>
      </c>
      <c r="C1188">
        <v>41.55</v>
      </c>
      <c r="D1188">
        <v>4.6100000000000003</v>
      </c>
      <c r="E1188" t="str">
        <f t="shared" si="39"/>
        <v>Normal</v>
      </c>
      <c r="F1188" t="s">
        <v>2380</v>
      </c>
      <c r="G1188" t="s">
        <v>2380</v>
      </c>
      <c r="H1188" t="s">
        <v>2380</v>
      </c>
      <c r="I1188">
        <v>1</v>
      </c>
      <c r="J1188" t="s">
        <v>2380</v>
      </c>
    </row>
    <row r="1189" spans="1:10" x14ac:dyDescent="0.35">
      <c r="A1189" t="s">
        <v>1183</v>
      </c>
      <c r="B1189" t="str">
        <f t="shared" si="38"/>
        <v>Obesity</v>
      </c>
      <c r="C1189">
        <v>41.47</v>
      </c>
      <c r="D1189">
        <v>4.7</v>
      </c>
      <c r="E1189" t="str">
        <f t="shared" si="39"/>
        <v>Normal</v>
      </c>
      <c r="F1189" t="s">
        <v>2381</v>
      </c>
      <c r="G1189" t="s">
        <v>2380</v>
      </c>
      <c r="H1189" t="s">
        <v>2382</v>
      </c>
      <c r="I1189">
        <v>1</v>
      </c>
      <c r="J1189" t="s">
        <v>2380</v>
      </c>
    </row>
    <row r="1190" spans="1:10" x14ac:dyDescent="0.35">
      <c r="A1190" t="s">
        <v>1182</v>
      </c>
      <c r="B1190" t="str">
        <f t="shared" si="38"/>
        <v>Normal Weight</v>
      </c>
      <c r="C1190">
        <v>24.795000000000002</v>
      </c>
      <c r="D1190">
        <v>6.05</v>
      </c>
      <c r="E1190" t="str">
        <f t="shared" si="39"/>
        <v>Prediabetes</v>
      </c>
      <c r="F1190" t="s">
        <v>2381</v>
      </c>
      <c r="G1190" t="s">
        <v>2380</v>
      </c>
      <c r="H1190" t="s">
        <v>2380</v>
      </c>
      <c r="I1190">
        <v>0</v>
      </c>
      <c r="J1190" t="s">
        <v>2380</v>
      </c>
    </row>
    <row r="1191" spans="1:10" x14ac:dyDescent="0.35">
      <c r="A1191" t="s">
        <v>1181</v>
      </c>
      <c r="B1191" t="str">
        <f t="shared" si="38"/>
        <v>Overweight</v>
      </c>
      <c r="C1191">
        <v>29.48</v>
      </c>
      <c r="D1191">
        <v>5.63</v>
      </c>
      <c r="E1191" t="str">
        <f t="shared" si="39"/>
        <v>Normal</v>
      </c>
      <c r="F1191" t="s">
        <v>2381</v>
      </c>
      <c r="G1191" t="s">
        <v>2380</v>
      </c>
      <c r="H1191" t="s">
        <v>2382</v>
      </c>
      <c r="I1191">
        <v>1</v>
      </c>
      <c r="J1191" t="s">
        <v>2380</v>
      </c>
    </row>
    <row r="1192" spans="1:10" x14ac:dyDescent="0.35">
      <c r="A1192" t="s">
        <v>1180</v>
      </c>
      <c r="B1192" t="str">
        <f t="shared" si="38"/>
        <v>Overweight</v>
      </c>
      <c r="C1192">
        <v>28.09</v>
      </c>
      <c r="D1192">
        <v>6.06</v>
      </c>
      <c r="E1192" t="str">
        <f t="shared" si="39"/>
        <v>Prediabetes</v>
      </c>
      <c r="F1192" t="s">
        <v>2380</v>
      </c>
      <c r="G1192" t="s">
        <v>2380</v>
      </c>
      <c r="H1192" t="s">
        <v>2382</v>
      </c>
      <c r="I1192">
        <v>1</v>
      </c>
      <c r="J1192" t="s">
        <v>2380</v>
      </c>
    </row>
    <row r="1193" spans="1:10" x14ac:dyDescent="0.35">
      <c r="A1193" t="s">
        <v>1179</v>
      </c>
      <c r="B1193" t="str">
        <f t="shared" si="38"/>
        <v>Obesity</v>
      </c>
      <c r="C1193">
        <v>32.729999999999997</v>
      </c>
      <c r="D1193">
        <v>5.19</v>
      </c>
      <c r="E1193" t="str">
        <f t="shared" si="39"/>
        <v>Normal</v>
      </c>
      <c r="F1193" t="s">
        <v>2380</v>
      </c>
      <c r="G1193" t="s">
        <v>2380</v>
      </c>
      <c r="H1193" t="s">
        <v>2380</v>
      </c>
      <c r="I1193">
        <v>1</v>
      </c>
      <c r="J1193" t="s">
        <v>2380</v>
      </c>
    </row>
    <row r="1194" spans="1:10" x14ac:dyDescent="0.35">
      <c r="A1194" t="s">
        <v>1178</v>
      </c>
      <c r="B1194" t="str">
        <f t="shared" si="38"/>
        <v>Overweight</v>
      </c>
      <c r="C1194">
        <v>27.36</v>
      </c>
      <c r="D1194">
        <v>8.9600000000000009</v>
      </c>
      <c r="E1194" t="str">
        <f t="shared" si="39"/>
        <v>Diabetes</v>
      </c>
      <c r="F1194" t="s">
        <v>2380</v>
      </c>
      <c r="G1194" t="s">
        <v>2380</v>
      </c>
      <c r="H1194" t="s">
        <v>2380</v>
      </c>
      <c r="I1194">
        <v>0</v>
      </c>
      <c r="J1194" t="s">
        <v>2380</v>
      </c>
    </row>
    <row r="1195" spans="1:10" x14ac:dyDescent="0.35">
      <c r="A1195" t="s">
        <v>1177</v>
      </c>
      <c r="B1195" t="str">
        <f t="shared" si="38"/>
        <v>Overweight</v>
      </c>
      <c r="C1195">
        <v>27.265000000000001</v>
      </c>
      <c r="D1195">
        <v>11.39</v>
      </c>
      <c r="E1195" t="str">
        <f t="shared" si="39"/>
        <v>Diabetes</v>
      </c>
      <c r="F1195" t="s">
        <v>2380</v>
      </c>
      <c r="G1195" t="s">
        <v>2380</v>
      </c>
      <c r="H1195" t="s">
        <v>2380</v>
      </c>
      <c r="I1195">
        <v>0</v>
      </c>
      <c r="J1195" t="s">
        <v>2380</v>
      </c>
    </row>
    <row r="1196" spans="1:10" x14ac:dyDescent="0.35">
      <c r="A1196" t="s">
        <v>1176</v>
      </c>
      <c r="B1196" t="str">
        <f t="shared" si="38"/>
        <v>Obesity</v>
      </c>
      <c r="C1196">
        <v>48.07</v>
      </c>
      <c r="D1196">
        <v>4.0599999999999996</v>
      </c>
      <c r="E1196" t="str">
        <f t="shared" si="39"/>
        <v>Normal</v>
      </c>
      <c r="F1196" t="s">
        <v>2381</v>
      </c>
      <c r="G1196" t="s">
        <v>2380</v>
      </c>
      <c r="H1196" t="s">
        <v>2380</v>
      </c>
      <c r="I1196">
        <v>0</v>
      </c>
      <c r="J1196" t="s">
        <v>2380</v>
      </c>
    </row>
    <row r="1197" spans="1:10" x14ac:dyDescent="0.35">
      <c r="A1197" t="s">
        <v>1175</v>
      </c>
      <c r="B1197" t="str">
        <f t="shared" si="38"/>
        <v>Obesity</v>
      </c>
      <c r="C1197">
        <v>30.8</v>
      </c>
      <c r="D1197">
        <v>5.23</v>
      </c>
      <c r="E1197" t="str">
        <f t="shared" si="39"/>
        <v>Normal</v>
      </c>
      <c r="F1197" t="s">
        <v>2381</v>
      </c>
      <c r="G1197" t="s">
        <v>2380</v>
      </c>
      <c r="H1197" t="s">
        <v>2380</v>
      </c>
      <c r="I1197">
        <v>0</v>
      </c>
      <c r="J1197" t="s">
        <v>2380</v>
      </c>
    </row>
    <row r="1198" spans="1:10" x14ac:dyDescent="0.35">
      <c r="A1198" t="s">
        <v>1174</v>
      </c>
      <c r="B1198" t="str">
        <f t="shared" si="38"/>
        <v>Obesity</v>
      </c>
      <c r="C1198">
        <v>32.299999999999997</v>
      </c>
      <c r="D1198">
        <v>5.05</v>
      </c>
      <c r="E1198" t="str">
        <f t="shared" si="39"/>
        <v>Normal</v>
      </c>
      <c r="F1198" t="s">
        <v>2381</v>
      </c>
      <c r="G1198" t="s">
        <v>2380</v>
      </c>
      <c r="H1198" t="s">
        <v>2380</v>
      </c>
      <c r="I1198">
        <v>0</v>
      </c>
      <c r="J1198" t="s">
        <v>2380</v>
      </c>
    </row>
    <row r="1199" spans="1:10" x14ac:dyDescent="0.35">
      <c r="A1199" t="s">
        <v>1173</v>
      </c>
      <c r="B1199" t="str">
        <f t="shared" si="38"/>
        <v>Obesity</v>
      </c>
      <c r="C1199">
        <v>39.700000000000003</v>
      </c>
      <c r="D1199">
        <v>7.34</v>
      </c>
      <c r="E1199" t="str">
        <f t="shared" si="39"/>
        <v>Diabetes</v>
      </c>
      <c r="F1199" t="s">
        <v>2380</v>
      </c>
      <c r="G1199" t="s">
        <v>2380</v>
      </c>
      <c r="H1199" t="s">
        <v>2380</v>
      </c>
      <c r="I1199">
        <v>0</v>
      </c>
      <c r="J1199" t="s">
        <v>2380</v>
      </c>
    </row>
    <row r="1200" spans="1:10" x14ac:dyDescent="0.35">
      <c r="A1200" t="s">
        <v>1172</v>
      </c>
      <c r="B1200" t="str">
        <f t="shared" si="38"/>
        <v>Obesity</v>
      </c>
      <c r="C1200">
        <v>35.97</v>
      </c>
      <c r="D1200">
        <v>8.1300000000000008</v>
      </c>
      <c r="E1200" t="str">
        <f t="shared" si="39"/>
        <v>Diabetes</v>
      </c>
      <c r="F1200" t="s">
        <v>2380</v>
      </c>
      <c r="G1200" t="s">
        <v>2380</v>
      </c>
      <c r="H1200" t="s">
        <v>2380</v>
      </c>
      <c r="I1200">
        <v>0</v>
      </c>
      <c r="J1200" t="s">
        <v>2380</v>
      </c>
    </row>
    <row r="1201" spans="1:10" x14ac:dyDescent="0.35">
      <c r="A1201" t="s">
        <v>1171</v>
      </c>
      <c r="B1201" t="str">
        <f t="shared" si="38"/>
        <v>Overweight</v>
      </c>
      <c r="C1201">
        <v>25.86</v>
      </c>
      <c r="D1201">
        <v>6.68</v>
      </c>
      <c r="E1201" t="str">
        <f t="shared" si="39"/>
        <v>Diabetes</v>
      </c>
      <c r="F1201" t="s">
        <v>2381</v>
      </c>
      <c r="G1201" t="s">
        <v>2380</v>
      </c>
      <c r="H1201" t="s">
        <v>2380</v>
      </c>
      <c r="I1201">
        <v>1</v>
      </c>
      <c r="J1201" t="s">
        <v>2380</v>
      </c>
    </row>
    <row r="1202" spans="1:10" x14ac:dyDescent="0.35">
      <c r="A1202" t="s">
        <v>1170</v>
      </c>
      <c r="B1202" t="str">
        <f t="shared" si="38"/>
        <v>Obesity</v>
      </c>
      <c r="C1202">
        <v>30.03</v>
      </c>
      <c r="D1202">
        <v>11.51</v>
      </c>
      <c r="E1202" t="str">
        <f t="shared" si="39"/>
        <v>Diabetes</v>
      </c>
      <c r="F1202" t="s">
        <v>2380</v>
      </c>
      <c r="G1202" t="s">
        <v>2380</v>
      </c>
      <c r="H1202" t="s">
        <v>2380</v>
      </c>
      <c r="I1202">
        <v>0</v>
      </c>
      <c r="J1202" t="s">
        <v>2380</v>
      </c>
    </row>
    <row r="1203" spans="1:10" x14ac:dyDescent="0.35">
      <c r="A1203" t="s">
        <v>1169</v>
      </c>
      <c r="B1203" t="str">
        <f t="shared" si="38"/>
        <v>Overweight</v>
      </c>
      <c r="C1203">
        <v>25.76</v>
      </c>
      <c r="D1203">
        <v>6.02</v>
      </c>
      <c r="E1203" t="str">
        <f t="shared" si="39"/>
        <v>Prediabetes</v>
      </c>
      <c r="F1203" t="s">
        <v>2381</v>
      </c>
      <c r="G1203" t="s">
        <v>2380</v>
      </c>
      <c r="H1203" t="s">
        <v>2382</v>
      </c>
      <c r="I1203">
        <v>1</v>
      </c>
      <c r="J1203" t="s">
        <v>2380</v>
      </c>
    </row>
    <row r="1204" spans="1:10" x14ac:dyDescent="0.35">
      <c r="A1204" t="s">
        <v>1168</v>
      </c>
      <c r="B1204" t="str">
        <f t="shared" si="38"/>
        <v>Normal Weight</v>
      </c>
      <c r="C1204">
        <v>22.42</v>
      </c>
      <c r="D1204">
        <v>7.96</v>
      </c>
      <c r="E1204" t="str">
        <f t="shared" si="39"/>
        <v>Diabetes</v>
      </c>
      <c r="F1204" t="s">
        <v>2380</v>
      </c>
      <c r="G1204" t="s">
        <v>2380</v>
      </c>
      <c r="H1204" t="s">
        <v>2380</v>
      </c>
      <c r="I1204">
        <v>0</v>
      </c>
      <c r="J1204" t="s">
        <v>2380</v>
      </c>
    </row>
    <row r="1205" spans="1:10" x14ac:dyDescent="0.35">
      <c r="A1205" t="s">
        <v>1167</v>
      </c>
      <c r="B1205" t="str">
        <f t="shared" si="38"/>
        <v>Obesity</v>
      </c>
      <c r="C1205">
        <v>33.18</v>
      </c>
      <c r="D1205">
        <v>6.01</v>
      </c>
      <c r="E1205" t="str">
        <f t="shared" si="39"/>
        <v>Prediabetes</v>
      </c>
      <c r="F1205" t="s">
        <v>2381</v>
      </c>
      <c r="G1205" t="s">
        <v>2380</v>
      </c>
      <c r="H1205" t="s">
        <v>2380</v>
      </c>
      <c r="I1205">
        <v>1</v>
      </c>
      <c r="J1205" t="s">
        <v>2380</v>
      </c>
    </row>
    <row r="1206" spans="1:10" x14ac:dyDescent="0.35">
      <c r="A1206" t="s">
        <v>1166</v>
      </c>
      <c r="B1206" t="str">
        <f t="shared" si="38"/>
        <v>Obesity</v>
      </c>
      <c r="C1206">
        <v>43.04</v>
      </c>
      <c r="D1206">
        <v>5.9</v>
      </c>
      <c r="E1206" t="str">
        <f t="shared" si="39"/>
        <v>Prediabetes</v>
      </c>
      <c r="F1206" t="s">
        <v>2381</v>
      </c>
      <c r="G1206" t="s">
        <v>2380</v>
      </c>
      <c r="H1206" t="s">
        <v>2380</v>
      </c>
      <c r="I1206">
        <v>0</v>
      </c>
      <c r="J1206" t="s">
        <v>2380</v>
      </c>
    </row>
    <row r="1207" spans="1:10" x14ac:dyDescent="0.35">
      <c r="A1207" t="s">
        <v>1165</v>
      </c>
      <c r="B1207" t="str">
        <f t="shared" si="38"/>
        <v>Obesity</v>
      </c>
      <c r="C1207">
        <v>34.15</v>
      </c>
      <c r="D1207">
        <v>4.49</v>
      </c>
      <c r="E1207" t="str">
        <f t="shared" si="39"/>
        <v>Normal</v>
      </c>
      <c r="F1207" t="s">
        <v>2381</v>
      </c>
      <c r="G1207" t="s">
        <v>2380</v>
      </c>
      <c r="H1207" t="s">
        <v>2380</v>
      </c>
      <c r="I1207">
        <v>1</v>
      </c>
      <c r="J1207" t="s">
        <v>2380</v>
      </c>
    </row>
    <row r="1208" spans="1:10" x14ac:dyDescent="0.35">
      <c r="A1208" t="s">
        <v>1164</v>
      </c>
      <c r="B1208" t="str">
        <f t="shared" si="38"/>
        <v>Overweight</v>
      </c>
      <c r="C1208">
        <v>25.78</v>
      </c>
      <c r="D1208">
        <v>6.25</v>
      </c>
      <c r="E1208" t="str">
        <f t="shared" si="39"/>
        <v>Prediabetes</v>
      </c>
      <c r="F1208" t="s">
        <v>2380</v>
      </c>
      <c r="G1208" t="s">
        <v>2380</v>
      </c>
      <c r="H1208" t="s">
        <v>2380</v>
      </c>
      <c r="I1208">
        <v>0</v>
      </c>
      <c r="J1208" t="s">
        <v>2380</v>
      </c>
    </row>
    <row r="1209" spans="1:10" x14ac:dyDescent="0.35">
      <c r="A1209" t="s">
        <v>1163</v>
      </c>
      <c r="B1209" t="str">
        <f t="shared" si="38"/>
        <v>Normal Weight</v>
      </c>
      <c r="C1209">
        <v>21.02</v>
      </c>
      <c r="D1209">
        <v>9.6199999999999992</v>
      </c>
      <c r="E1209" t="str">
        <f t="shared" si="39"/>
        <v>Diabetes</v>
      </c>
      <c r="F1209" t="s">
        <v>2381</v>
      </c>
      <c r="G1209" t="s">
        <v>2380</v>
      </c>
      <c r="H1209" t="s">
        <v>2382</v>
      </c>
      <c r="I1209">
        <v>1</v>
      </c>
      <c r="J1209" t="s">
        <v>2380</v>
      </c>
    </row>
    <row r="1210" spans="1:10" x14ac:dyDescent="0.35">
      <c r="A1210" t="s">
        <v>1162</v>
      </c>
      <c r="B1210" t="str">
        <f t="shared" si="38"/>
        <v>Obesity</v>
      </c>
      <c r="C1210">
        <v>37.51</v>
      </c>
      <c r="D1210">
        <v>11.06</v>
      </c>
      <c r="E1210" t="str">
        <f t="shared" si="39"/>
        <v>Diabetes</v>
      </c>
      <c r="F1210" t="s">
        <v>2380</v>
      </c>
      <c r="G1210" t="s">
        <v>2380</v>
      </c>
      <c r="H1210" t="s">
        <v>2380</v>
      </c>
      <c r="I1210">
        <v>2</v>
      </c>
      <c r="J1210" t="s">
        <v>2380</v>
      </c>
    </row>
    <row r="1211" spans="1:10" x14ac:dyDescent="0.35">
      <c r="A1211" t="s">
        <v>1161</v>
      </c>
      <c r="B1211" t="str">
        <f t="shared" si="38"/>
        <v>Overweight</v>
      </c>
      <c r="C1211">
        <v>25.745000000000001</v>
      </c>
      <c r="D1211">
        <v>6.11</v>
      </c>
      <c r="E1211" t="str">
        <f t="shared" si="39"/>
        <v>Prediabetes</v>
      </c>
      <c r="F1211" t="s">
        <v>2381</v>
      </c>
      <c r="G1211" t="s">
        <v>2380</v>
      </c>
      <c r="H1211" t="s">
        <v>2380</v>
      </c>
      <c r="I1211">
        <v>0</v>
      </c>
      <c r="J1211" t="s">
        <v>2380</v>
      </c>
    </row>
    <row r="1212" spans="1:10" x14ac:dyDescent="0.35">
      <c r="A1212" t="s">
        <v>1160</v>
      </c>
      <c r="B1212" t="str">
        <f t="shared" si="38"/>
        <v>Obesity</v>
      </c>
      <c r="C1212">
        <v>31.35</v>
      </c>
      <c r="D1212">
        <v>11.49</v>
      </c>
      <c r="E1212" t="str">
        <f t="shared" si="39"/>
        <v>Diabetes</v>
      </c>
      <c r="F1212" t="s">
        <v>2380</v>
      </c>
      <c r="G1212" t="s">
        <v>2380</v>
      </c>
      <c r="H1212" t="s">
        <v>2380</v>
      </c>
      <c r="I1212">
        <v>2</v>
      </c>
      <c r="J1212" t="s">
        <v>2380</v>
      </c>
    </row>
    <row r="1213" spans="1:10" x14ac:dyDescent="0.35">
      <c r="A1213" t="s">
        <v>1159</v>
      </c>
      <c r="B1213" t="str">
        <f t="shared" si="38"/>
        <v>Overweight</v>
      </c>
      <c r="C1213">
        <v>29.83</v>
      </c>
      <c r="D1213">
        <v>8.68</v>
      </c>
      <c r="E1213" t="str">
        <f t="shared" si="39"/>
        <v>Diabetes</v>
      </c>
      <c r="F1213" t="s">
        <v>2380</v>
      </c>
      <c r="G1213" t="s">
        <v>2380</v>
      </c>
      <c r="H1213" t="s">
        <v>2380</v>
      </c>
      <c r="I1213">
        <v>2</v>
      </c>
      <c r="J1213" t="s">
        <v>2380</v>
      </c>
    </row>
    <row r="1214" spans="1:10" x14ac:dyDescent="0.35">
      <c r="A1214" t="s">
        <v>1158</v>
      </c>
      <c r="B1214" t="str">
        <f t="shared" si="38"/>
        <v>Overweight</v>
      </c>
      <c r="C1214">
        <v>25.49</v>
      </c>
      <c r="D1214">
        <v>5.68</v>
      </c>
      <c r="E1214" t="str">
        <f t="shared" si="39"/>
        <v>Normal</v>
      </c>
      <c r="F1214" t="s">
        <v>2381</v>
      </c>
      <c r="G1214" t="s">
        <v>2380</v>
      </c>
      <c r="H1214" t="s">
        <v>2382</v>
      </c>
      <c r="I1214">
        <v>1</v>
      </c>
      <c r="J1214" t="s">
        <v>2380</v>
      </c>
    </row>
    <row r="1215" spans="1:10" x14ac:dyDescent="0.35">
      <c r="A1215" t="s">
        <v>1157</v>
      </c>
      <c r="B1215" t="str">
        <f t="shared" si="38"/>
        <v>Obesity</v>
      </c>
      <c r="C1215">
        <v>34.1</v>
      </c>
      <c r="D1215">
        <v>8.4499999999999993</v>
      </c>
      <c r="E1215" t="str">
        <f t="shared" si="39"/>
        <v>Diabetes</v>
      </c>
      <c r="F1215" t="s">
        <v>2380</v>
      </c>
      <c r="G1215" t="s">
        <v>2380</v>
      </c>
      <c r="H1215" t="s">
        <v>2380</v>
      </c>
      <c r="I1215">
        <v>0</v>
      </c>
      <c r="J1215" t="s">
        <v>2380</v>
      </c>
    </row>
    <row r="1216" spans="1:10" x14ac:dyDescent="0.35">
      <c r="A1216" t="s">
        <v>1156</v>
      </c>
      <c r="B1216" t="str">
        <f t="shared" si="38"/>
        <v>Overweight</v>
      </c>
      <c r="C1216">
        <v>25.84</v>
      </c>
      <c r="D1216">
        <v>8.51</v>
      </c>
      <c r="E1216" t="str">
        <f t="shared" si="39"/>
        <v>Diabetes</v>
      </c>
      <c r="F1216" t="s">
        <v>2380</v>
      </c>
      <c r="G1216" t="s">
        <v>2380</v>
      </c>
      <c r="H1216" t="s">
        <v>2380</v>
      </c>
      <c r="I1216">
        <v>2</v>
      </c>
      <c r="J1216" t="s">
        <v>2380</v>
      </c>
    </row>
    <row r="1217" spans="1:10" x14ac:dyDescent="0.35">
      <c r="A1217" t="s">
        <v>1155</v>
      </c>
      <c r="B1217" t="str">
        <f t="shared" si="38"/>
        <v>Normal Weight</v>
      </c>
      <c r="C1217">
        <v>20.6</v>
      </c>
      <c r="D1217">
        <v>7.62</v>
      </c>
      <c r="E1217" t="str">
        <f t="shared" si="39"/>
        <v>Diabetes</v>
      </c>
      <c r="F1217" t="s">
        <v>2380</v>
      </c>
      <c r="G1217" t="s">
        <v>2380</v>
      </c>
      <c r="H1217" t="s">
        <v>2380</v>
      </c>
      <c r="I1217">
        <v>0</v>
      </c>
      <c r="J1217" t="s">
        <v>2380</v>
      </c>
    </row>
    <row r="1218" spans="1:10" x14ac:dyDescent="0.35">
      <c r="A1218" t="s">
        <v>1154</v>
      </c>
      <c r="B1218" t="str">
        <f t="shared" si="38"/>
        <v>Overweight</v>
      </c>
      <c r="C1218">
        <v>28.88</v>
      </c>
      <c r="D1218">
        <v>10.18</v>
      </c>
      <c r="E1218" t="str">
        <f t="shared" si="39"/>
        <v>Diabetes</v>
      </c>
      <c r="F1218" t="s">
        <v>2380</v>
      </c>
      <c r="G1218" t="s">
        <v>2380</v>
      </c>
      <c r="H1218" t="s">
        <v>2380</v>
      </c>
      <c r="I1218">
        <v>0</v>
      </c>
      <c r="J1218" t="s">
        <v>2380</v>
      </c>
    </row>
    <row r="1219" spans="1:10" x14ac:dyDescent="0.35">
      <c r="A1219" t="s">
        <v>1153</v>
      </c>
      <c r="B1219" t="str">
        <f t="shared" ref="B1219:B1282" si="40">IF(C1219&lt;18.5,"Underweight",IF(C1219&lt;25,"Normal Weight",IF(C1219&lt;30,"Overweight","Obesity")))</f>
        <v>Overweight</v>
      </c>
      <c r="C1219">
        <v>28.24</v>
      </c>
      <c r="D1219">
        <v>5.36</v>
      </c>
      <c r="E1219" t="str">
        <f t="shared" ref="E1219:E1282" si="41">IF(D1219&lt;5.7,"Normal",IF(D1219&lt;6.5,"Prediabetes","Diabetes"))</f>
        <v>Normal</v>
      </c>
      <c r="F1219" t="s">
        <v>2380</v>
      </c>
      <c r="G1219" t="s">
        <v>2380</v>
      </c>
      <c r="H1219" t="s">
        <v>2380</v>
      </c>
      <c r="I1219">
        <v>0</v>
      </c>
      <c r="J1219" t="s">
        <v>2380</v>
      </c>
    </row>
    <row r="1220" spans="1:10" x14ac:dyDescent="0.35">
      <c r="A1220" t="s">
        <v>1152</v>
      </c>
      <c r="B1220" t="str">
        <f t="shared" si="40"/>
        <v>Overweight</v>
      </c>
      <c r="C1220">
        <v>25.46</v>
      </c>
      <c r="D1220">
        <v>11.78</v>
      </c>
      <c r="E1220" t="str">
        <f t="shared" si="41"/>
        <v>Diabetes</v>
      </c>
      <c r="F1220" t="s">
        <v>2381</v>
      </c>
      <c r="G1220" t="s">
        <v>2380</v>
      </c>
      <c r="H1220" t="s">
        <v>2380</v>
      </c>
      <c r="I1220">
        <v>1</v>
      </c>
      <c r="J1220" t="s">
        <v>2380</v>
      </c>
    </row>
    <row r="1221" spans="1:10" x14ac:dyDescent="0.35">
      <c r="A1221" t="s">
        <v>1151</v>
      </c>
      <c r="B1221" t="str">
        <f t="shared" si="40"/>
        <v>Overweight</v>
      </c>
      <c r="C1221">
        <v>29.64</v>
      </c>
      <c r="D1221">
        <v>10.82</v>
      </c>
      <c r="E1221" t="str">
        <f t="shared" si="41"/>
        <v>Diabetes</v>
      </c>
      <c r="F1221" t="s">
        <v>2381</v>
      </c>
      <c r="G1221" t="s">
        <v>2380</v>
      </c>
      <c r="H1221" t="s">
        <v>2380</v>
      </c>
      <c r="I1221">
        <v>0</v>
      </c>
      <c r="J1221" t="s">
        <v>2380</v>
      </c>
    </row>
    <row r="1222" spans="1:10" x14ac:dyDescent="0.35">
      <c r="A1222" t="s">
        <v>1150</v>
      </c>
      <c r="B1222" t="str">
        <f t="shared" si="40"/>
        <v>Obesity</v>
      </c>
      <c r="C1222">
        <v>31.27</v>
      </c>
      <c r="D1222">
        <v>7.73</v>
      </c>
      <c r="E1222" t="str">
        <f t="shared" si="41"/>
        <v>Diabetes</v>
      </c>
      <c r="F1222" t="s">
        <v>2381</v>
      </c>
      <c r="G1222" t="s">
        <v>2380</v>
      </c>
      <c r="H1222" t="s">
        <v>2380</v>
      </c>
      <c r="I1222">
        <v>1</v>
      </c>
      <c r="J1222" t="s">
        <v>2380</v>
      </c>
    </row>
    <row r="1223" spans="1:10" x14ac:dyDescent="0.35">
      <c r="A1223" t="s">
        <v>1149</v>
      </c>
      <c r="B1223" t="str">
        <f t="shared" si="40"/>
        <v>Normal Weight</v>
      </c>
      <c r="C1223">
        <v>19.95</v>
      </c>
      <c r="D1223">
        <v>6.24</v>
      </c>
      <c r="E1223" t="str">
        <f t="shared" si="41"/>
        <v>Prediabetes</v>
      </c>
      <c r="F1223" t="s">
        <v>2381</v>
      </c>
      <c r="G1223" t="s">
        <v>2380</v>
      </c>
      <c r="H1223" t="s">
        <v>2380</v>
      </c>
      <c r="I1223">
        <v>0</v>
      </c>
      <c r="J1223" t="s">
        <v>2380</v>
      </c>
    </row>
    <row r="1224" spans="1:10" x14ac:dyDescent="0.35">
      <c r="A1224" t="s">
        <v>1148</v>
      </c>
      <c r="B1224" t="str">
        <f t="shared" si="40"/>
        <v>Normal Weight</v>
      </c>
      <c r="C1224">
        <v>21.3</v>
      </c>
      <c r="D1224">
        <v>10.42</v>
      </c>
      <c r="E1224" t="str">
        <f t="shared" si="41"/>
        <v>Diabetes</v>
      </c>
      <c r="F1224" t="s">
        <v>2380</v>
      </c>
      <c r="G1224" t="s">
        <v>2380</v>
      </c>
      <c r="H1224" t="s">
        <v>2380</v>
      </c>
      <c r="I1224">
        <v>2</v>
      </c>
      <c r="J1224" t="s">
        <v>2380</v>
      </c>
    </row>
    <row r="1225" spans="1:10" x14ac:dyDescent="0.35">
      <c r="A1225" t="s">
        <v>1147</v>
      </c>
      <c r="B1225" t="str">
        <f t="shared" si="40"/>
        <v>Obesity</v>
      </c>
      <c r="C1225">
        <v>31.635000000000002</v>
      </c>
      <c r="D1225">
        <v>11.11</v>
      </c>
      <c r="E1225" t="str">
        <f t="shared" si="41"/>
        <v>Diabetes</v>
      </c>
      <c r="F1225" t="s">
        <v>2380</v>
      </c>
      <c r="G1225" t="s">
        <v>2380</v>
      </c>
      <c r="H1225" t="s">
        <v>2380</v>
      </c>
      <c r="I1225">
        <v>0</v>
      </c>
      <c r="J1225" t="s">
        <v>2380</v>
      </c>
    </row>
    <row r="1226" spans="1:10" x14ac:dyDescent="0.35">
      <c r="A1226" t="s">
        <v>1146</v>
      </c>
      <c r="B1226" t="str">
        <f t="shared" si="40"/>
        <v>Normal Weight</v>
      </c>
      <c r="C1226">
        <v>23.9</v>
      </c>
      <c r="D1226">
        <v>7.67</v>
      </c>
      <c r="E1226" t="str">
        <f t="shared" si="41"/>
        <v>Diabetes</v>
      </c>
      <c r="F1226" t="s">
        <v>2381</v>
      </c>
      <c r="G1226" t="s">
        <v>2380</v>
      </c>
      <c r="H1226" t="s">
        <v>2380</v>
      </c>
      <c r="I1226">
        <v>2</v>
      </c>
      <c r="J1226" t="s">
        <v>2380</v>
      </c>
    </row>
    <row r="1227" spans="1:10" x14ac:dyDescent="0.35">
      <c r="A1227" t="s">
        <v>1145</v>
      </c>
      <c r="B1227" t="str">
        <f t="shared" si="40"/>
        <v>Obesity</v>
      </c>
      <c r="C1227">
        <v>34.15</v>
      </c>
      <c r="D1227">
        <v>6.15</v>
      </c>
      <c r="E1227" t="str">
        <f t="shared" si="41"/>
        <v>Prediabetes</v>
      </c>
      <c r="F1227" t="s">
        <v>2380</v>
      </c>
      <c r="G1227" t="s">
        <v>2380</v>
      </c>
      <c r="H1227" t="s">
        <v>2380</v>
      </c>
      <c r="I1227">
        <v>0</v>
      </c>
      <c r="J1227" t="s">
        <v>2380</v>
      </c>
    </row>
    <row r="1228" spans="1:10" x14ac:dyDescent="0.35">
      <c r="A1228" t="s">
        <v>1144</v>
      </c>
      <c r="B1228" t="str">
        <f t="shared" si="40"/>
        <v>Overweight</v>
      </c>
      <c r="C1228">
        <v>28.71</v>
      </c>
      <c r="D1228">
        <v>5.71</v>
      </c>
      <c r="E1228" t="str">
        <f t="shared" si="41"/>
        <v>Prediabetes</v>
      </c>
      <c r="F1228" t="s">
        <v>2380</v>
      </c>
      <c r="G1228" t="s">
        <v>2380</v>
      </c>
      <c r="H1228" t="s">
        <v>2380</v>
      </c>
      <c r="I1228">
        <v>0</v>
      </c>
      <c r="J1228" t="s">
        <v>2380</v>
      </c>
    </row>
    <row r="1229" spans="1:10" x14ac:dyDescent="0.35">
      <c r="A1229" t="s">
        <v>1143</v>
      </c>
      <c r="B1229" t="str">
        <f t="shared" si="40"/>
        <v>Obesity</v>
      </c>
      <c r="C1229">
        <v>36.700000000000003</v>
      </c>
      <c r="D1229">
        <v>8.6999999999999993</v>
      </c>
      <c r="E1229" t="str">
        <f t="shared" si="41"/>
        <v>Diabetes</v>
      </c>
      <c r="F1229" t="s">
        <v>2381</v>
      </c>
      <c r="G1229" t="s">
        <v>2380</v>
      </c>
      <c r="H1229" t="s">
        <v>2380</v>
      </c>
      <c r="I1229">
        <v>2</v>
      </c>
      <c r="J1229" t="s">
        <v>2380</v>
      </c>
    </row>
    <row r="1230" spans="1:10" x14ac:dyDescent="0.35">
      <c r="A1230" t="s">
        <v>1142</v>
      </c>
      <c r="B1230" t="str">
        <f t="shared" si="40"/>
        <v>Obesity</v>
      </c>
      <c r="C1230">
        <v>34.1</v>
      </c>
      <c r="D1230">
        <v>9.0399999999999991</v>
      </c>
      <c r="E1230" t="str">
        <f t="shared" si="41"/>
        <v>Diabetes</v>
      </c>
      <c r="F1230" t="s">
        <v>2381</v>
      </c>
      <c r="G1230" t="s">
        <v>2380</v>
      </c>
      <c r="H1230" t="s">
        <v>2380</v>
      </c>
      <c r="I1230">
        <v>2</v>
      </c>
      <c r="J1230" t="s">
        <v>2380</v>
      </c>
    </row>
    <row r="1231" spans="1:10" x14ac:dyDescent="0.35">
      <c r="A1231" t="s">
        <v>1141</v>
      </c>
      <c r="B1231" t="str">
        <f t="shared" si="40"/>
        <v>Overweight</v>
      </c>
      <c r="C1231">
        <v>25.7</v>
      </c>
      <c r="D1231">
        <v>5.61</v>
      </c>
      <c r="E1231" t="str">
        <f t="shared" si="41"/>
        <v>Normal</v>
      </c>
      <c r="F1231" t="s">
        <v>2380</v>
      </c>
      <c r="G1231" t="s">
        <v>2380</v>
      </c>
      <c r="H1231" t="s">
        <v>2380</v>
      </c>
      <c r="I1231">
        <v>0</v>
      </c>
      <c r="J1231" t="s">
        <v>2380</v>
      </c>
    </row>
    <row r="1232" spans="1:10" x14ac:dyDescent="0.35">
      <c r="A1232" t="s">
        <v>1140</v>
      </c>
      <c r="B1232" t="str">
        <f t="shared" si="40"/>
        <v>Normal Weight</v>
      </c>
      <c r="C1232">
        <v>21.68</v>
      </c>
      <c r="D1232">
        <v>8.1199999999999992</v>
      </c>
      <c r="E1232" t="str">
        <f t="shared" si="41"/>
        <v>Diabetes</v>
      </c>
      <c r="F1232" t="s">
        <v>2380</v>
      </c>
      <c r="G1232" t="s">
        <v>2380</v>
      </c>
      <c r="H1232" t="s">
        <v>2380</v>
      </c>
      <c r="I1232">
        <v>0</v>
      </c>
      <c r="J1232" t="s">
        <v>2380</v>
      </c>
    </row>
    <row r="1233" spans="1:10" x14ac:dyDescent="0.35">
      <c r="A1233" t="s">
        <v>1139</v>
      </c>
      <c r="B1233" t="str">
        <f t="shared" si="40"/>
        <v>Overweight</v>
      </c>
      <c r="C1233">
        <v>25.175000000000001</v>
      </c>
      <c r="D1233">
        <v>4.74</v>
      </c>
      <c r="E1233" t="str">
        <f t="shared" si="41"/>
        <v>Normal</v>
      </c>
      <c r="F1233" t="s">
        <v>2380</v>
      </c>
      <c r="G1233" t="s">
        <v>2380</v>
      </c>
      <c r="H1233" t="s">
        <v>2380</v>
      </c>
      <c r="I1233">
        <v>0</v>
      </c>
      <c r="J1233" t="s">
        <v>2380</v>
      </c>
    </row>
    <row r="1234" spans="1:10" x14ac:dyDescent="0.35">
      <c r="A1234" t="s">
        <v>1138</v>
      </c>
      <c r="B1234" t="str">
        <f t="shared" si="40"/>
        <v>Obesity</v>
      </c>
      <c r="C1234">
        <v>44.77</v>
      </c>
      <c r="D1234">
        <v>4.0599999999999996</v>
      </c>
      <c r="E1234" t="str">
        <f t="shared" si="41"/>
        <v>Normal</v>
      </c>
      <c r="F1234" t="s">
        <v>2380</v>
      </c>
      <c r="G1234" t="s">
        <v>2380</v>
      </c>
      <c r="H1234" t="s">
        <v>2380</v>
      </c>
      <c r="I1234">
        <v>2</v>
      </c>
      <c r="J1234" t="s">
        <v>2380</v>
      </c>
    </row>
    <row r="1235" spans="1:10" x14ac:dyDescent="0.35">
      <c r="A1235" t="s">
        <v>1137</v>
      </c>
      <c r="B1235" t="str">
        <f t="shared" si="40"/>
        <v>Obesity</v>
      </c>
      <c r="C1235">
        <v>37.07</v>
      </c>
      <c r="D1235">
        <v>5.69</v>
      </c>
      <c r="E1235" t="str">
        <f t="shared" si="41"/>
        <v>Normal</v>
      </c>
      <c r="F1235" t="s">
        <v>2380</v>
      </c>
      <c r="G1235" t="s">
        <v>2380</v>
      </c>
      <c r="H1235" t="s">
        <v>2380</v>
      </c>
      <c r="I1235">
        <v>2</v>
      </c>
      <c r="J1235" t="s">
        <v>2380</v>
      </c>
    </row>
    <row r="1236" spans="1:10" x14ac:dyDescent="0.35">
      <c r="A1236" t="s">
        <v>1136</v>
      </c>
      <c r="B1236" t="str">
        <f t="shared" si="40"/>
        <v>Obesity</v>
      </c>
      <c r="C1236">
        <v>39.799999999999997</v>
      </c>
      <c r="D1236">
        <v>5.66</v>
      </c>
      <c r="E1236" t="str">
        <f t="shared" si="41"/>
        <v>Normal</v>
      </c>
      <c r="F1236" t="s">
        <v>2380</v>
      </c>
      <c r="G1236" t="s">
        <v>2380</v>
      </c>
      <c r="H1236" t="s">
        <v>2382</v>
      </c>
      <c r="I1236">
        <v>1</v>
      </c>
      <c r="J1236" t="s">
        <v>2380</v>
      </c>
    </row>
    <row r="1237" spans="1:10" x14ac:dyDescent="0.35">
      <c r="A1237" t="s">
        <v>1135</v>
      </c>
      <c r="B1237" t="str">
        <f t="shared" si="40"/>
        <v>Overweight</v>
      </c>
      <c r="C1237">
        <v>26.36</v>
      </c>
      <c r="D1237">
        <v>4.32</v>
      </c>
      <c r="E1237" t="str">
        <f t="shared" si="41"/>
        <v>Normal</v>
      </c>
      <c r="F1237" t="s">
        <v>2380</v>
      </c>
      <c r="G1237" t="s">
        <v>2380</v>
      </c>
      <c r="H1237" t="s">
        <v>2382</v>
      </c>
      <c r="I1237">
        <v>1</v>
      </c>
      <c r="J1237" t="s">
        <v>2380</v>
      </c>
    </row>
    <row r="1238" spans="1:10" x14ac:dyDescent="0.35">
      <c r="A1238" t="s">
        <v>1134</v>
      </c>
      <c r="B1238" t="str">
        <f t="shared" si="40"/>
        <v>Overweight</v>
      </c>
      <c r="C1238">
        <v>29.925000000000001</v>
      </c>
      <c r="D1238">
        <v>8.2899999999999991</v>
      </c>
      <c r="E1238" t="str">
        <f t="shared" si="41"/>
        <v>Diabetes</v>
      </c>
      <c r="F1238" t="s">
        <v>2380</v>
      </c>
      <c r="G1238" t="s">
        <v>2380</v>
      </c>
      <c r="H1238" t="s">
        <v>2380</v>
      </c>
      <c r="I1238">
        <v>2</v>
      </c>
      <c r="J1238" t="s">
        <v>2380</v>
      </c>
    </row>
    <row r="1239" spans="1:10" x14ac:dyDescent="0.35">
      <c r="A1239" t="s">
        <v>1133</v>
      </c>
      <c r="B1239" t="str">
        <f t="shared" si="40"/>
        <v>Obesity</v>
      </c>
      <c r="C1239">
        <v>37.29</v>
      </c>
      <c r="D1239">
        <v>10.46</v>
      </c>
      <c r="E1239" t="str">
        <f t="shared" si="41"/>
        <v>Diabetes</v>
      </c>
      <c r="F1239" t="s">
        <v>2380</v>
      </c>
      <c r="G1239" t="s">
        <v>2380</v>
      </c>
      <c r="H1239" t="s">
        <v>2380</v>
      </c>
      <c r="I1239">
        <v>0</v>
      </c>
      <c r="J1239" t="s">
        <v>2380</v>
      </c>
    </row>
    <row r="1240" spans="1:10" x14ac:dyDescent="0.35">
      <c r="A1240" t="s">
        <v>1132</v>
      </c>
      <c r="B1240" t="str">
        <f t="shared" si="40"/>
        <v>Obesity</v>
      </c>
      <c r="C1240">
        <v>30.2</v>
      </c>
      <c r="D1240">
        <v>11.96</v>
      </c>
      <c r="E1240" t="str">
        <f t="shared" si="41"/>
        <v>Diabetes</v>
      </c>
      <c r="F1240" t="s">
        <v>2380</v>
      </c>
      <c r="G1240" t="s">
        <v>2380</v>
      </c>
      <c r="H1240" t="s">
        <v>2380</v>
      </c>
      <c r="I1240">
        <v>0</v>
      </c>
      <c r="J1240" t="s">
        <v>2380</v>
      </c>
    </row>
    <row r="1241" spans="1:10" x14ac:dyDescent="0.35">
      <c r="A1241" t="s">
        <v>1131</v>
      </c>
      <c r="B1241" t="str">
        <f t="shared" si="40"/>
        <v>Normal Weight</v>
      </c>
      <c r="C1241">
        <v>24.225000000000001</v>
      </c>
      <c r="D1241">
        <v>4.25</v>
      </c>
      <c r="E1241" t="str">
        <f t="shared" si="41"/>
        <v>Normal</v>
      </c>
      <c r="F1241" t="s">
        <v>2381</v>
      </c>
      <c r="G1241" t="s">
        <v>2380</v>
      </c>
      <c r="H1241" t="s">
        <v>2382</v>
      </c>
      <c r="I1241">
        <v>1</v>
      </c>
      <c r="J1241" t="s">
        <v>2380</v>
      </c>
    </row>
    <row r="1242" spans="1:10" x14ac:dyDescent="0.35">
      <c r="A1242" t="s">
        <v>1130</v>
      </c>
      <c r="B1242" t="str">
        <f t="shared" si="40"/>
        <v>Obesity</v>
      </c>
      <c r="C1242">
        <v>31.445</v>
      </c>
      <c r="D1242">
        <v>8.33</v>
      </c>
      <c r="E1242" t="str">
        <f t="shared" si="41"/>
        <v>Diabetes</v>
      </c>
      <c r="F1242" t="s">
        <v>2380</v>
      </c>
      <c r="G1242" t="s">
        <v>2380</v>
      </c>
      <c r="H1242" t="s">
        <v>2380</v>
      </c>
      <c r="I1242">
        <v>0</v>
      </c>
      <c r="J1242" t="s">
        <v>2380</v>
      </c>
    </row>
    <row r="1243" spans="1:10" x14ac:dyDescent="0.35">
      <c r="A1243" t="s">
        <v>1129</v>
      </c>
      <c r="B1243" t="str">
        <f t="shared" si="40"/>
        <v>Obesity</v>
      </c>
      <c r="C1243">
        <v>38.880000000000003</v>
      </c>
      <c r="D1243">
        <v>4.29</v>
      </c>
      <c r="E1243" t="str">
        <f t="shared" si="41"/>
        <v>Normal</v>
      </c>
      <c r="F1243" t="s">
        <v>2380</v>
      </c>
      <c r="G1243" t="s">
        <v>2380</v>
      </c>
      <c r="H1243" t="s">
        <v>2380</v>
      </c>
      <c r="I1243">
        <v>1</v>
      </c>
      <c r="J1243" t="s">
        <v>2380</v>
      </c>
    </row>
    <row r="1244" spans="1:10" x14ac:dyDescent="0.35">
      <c r="A1244" t="s">
        <v>1128</v>
      </c>
      <c r="B1244" t="str">
        <f t="shared" si="40"/>
        <v>Obesity</v>
      </c>
      <c r="C1244">
        <v>43.89</v>
      </c>
      <c r="D1244">
        <v>6.32</v>
      </c>
      <c r="E1244" t="str">
        <f t="shared" si="41"/>
        <v>Prediabetes</v>
      </c>
      <c r="F1244" t="s">
        <v>2381</v>
      </c>
      <c r="G1244" t="s">
        <v>2380</v>
      </c>
      <c r="H1244" t="s">
        <v>2380</v>
      </c>
      <c r="I1244">
        <v>0</v>
      </c>
      <c r="J1244" t="s">
        <v>2380</v>
      </c>
    </row>
    <row r="1245" spans="1:10" x14ac:dyDescent="0.35">
      <c r="A1245" t="s">
        <v>1127</v>
      </c>
      <c r="B1245" t="str">
        <f t="shared" si="40"/>
        <v>Overweight</v>
      </c>
      <c r="C1245">
        <v>25.6</v>
      </c>
      <c r="D1245">
        <v>5.65</v>
      </c>
      <c r="E1245" t="str">
        <f t="shared" si="41"/>
        <v>Normal</v>
      </c>
      <c r="F1245" t="s">
        <v>2380</v>
      </c>
      <c r="G1245" t="s">
        <v>2380</v>
      </c>
      <c r="H1245" t="s">
        <v>2380</v>
      </c>
      <c r="I1245">
        <v>2</v>
      </c>
      <c r="J1245" t="s">
        <v>2380</v>
      </c>
    </row>
    <row r="1246" spans="1:10" x14ac:dyDescent="0.35">
      <c r="A1246" t="s">
        <v>1126</v>
      </c>
      <c r="B1246" t="str">
        <f t="shared" si="40"/>
        <v>Overweight</v>
      </c>
      <c r="C1246">
        <v>29.545000000000002</v>
      </c>
      <c r="D1246">
        <v>8.41</v>
      </c>
      <c r="E1246" t="str">
        <f t="shared" si="41"/>
        <v>Diabetes</v>
      </c>
      <c r="F1246" t="s">
        <v>2381</v>
      </c>
      <c r="G1246" t="s">
        <v>2380</v>
      </c>
      <c r="H1246" t="s">
        <v>2380</v>
      </c>
      <c r="I1246">
        <v>1</v>
      </c>
      <c r="J1246" t="s">
        <v>2380</v>
      </c>
    </row>
    <row r="1247" spans="1:10" x14ac:dyDescent="0.35">
      <c r="A1247" t="s">
        <v>1125</v>
      </c>
      <c r="B1247" t="str">
        <f t="shared" si="40"/>
        <v>Normal Weight</v>
      </c>
      <c r="C1247">
        <v>23.25</v>
      </c>
      <c r="D1247">
        <v>11.96</v>
      </c>
      <c r="E1247" t="str">
        <f t="shared" si="41"/>
        <v>Diabetes</v>
      </c>
      <c r="F1247" t="s">
        <v>2381</v>
      </c>
      <c r="G1247" t="s">
        <v>2380</v>
      </c>
      <c r="H1247" t="s">
        <v>2380</v>
      </c>
      <c r="I1247">
        <v>0</v>
      </c>
      <c r="J1247" t="s">
        <v>2380</v>
      </c>
    </row>
    <row r="1248" spans="1:10" x14ac:dyDescent="0.35">
      <c r="A1248" t="s">
        <v>1124</v>
      </c>
      <c r="B1248" t="str">
        <f t="shared" si="40"/>
        <v>Obesity</v>
      </c>
      <c r="C1248">
        <v>43.95</v>
      </c>
      <c r="D1248">
        <v>5.17</v>
      </c>
      <c r="E1248" t="str">
        <f t="shared" si="41"/>
        <v>Normal</v>
      </c>
      <c r="F1248" t="s">
        <v>2381</v>
      </c>
      <c r="G1248" t="s">
        <v>2380</v>
      </c>
      <c r="H1248" t="s">
        <v>2382</v>
      </c>
      <c r="I1248">
        <v>1</v>
      </c>
      <c r="J1248" t="s">
        <v>2380</v>
      </c>
    </row>
    <row r="1249" spans="1:10" x14ac:dyDescent="0.35">
      <c r="A1249" t="s">
        <v>1123</v>
      </c>
      <c r="B1249" t="str">
        <f t="shared" si="40"/>
        <v>Normal Weight</v>
      </c>
      <c r="C1249">
        <v>21.85</v>
      </c>
      <c r="D1249">
        <v>8.76</v>
      </c>
      <c r="E1249" t="str">
        <f t="shared" si="41"/>
        <v>Diabetes</v>
      </c>
      <c r="F1249" t="s">
        <v>2380</v>
      </c>
      <c r="G1249" t="s">
        <v>2380</v>
      </c>
      <c r="H1249" t="s">
        <v>2380</v>
      </c>
      <c r="I1249">
        <v>0</v>
      </c>
      <c r="J1249" t="s">
        <v>2380</v>
      </c>
    </row>
    <row r="1250" spans="1:10" x14ac:dyDescent="0.35">
      <c r="A1250" t="s">
        <v>1122</v>
      </c>
      <c r="B1250" t="str">
        <f t="shared" si="40"/>
        <v>Overweight</v>
      </c>
      <c r="C1250">
        <v>25.73</v>
      </c>
      <c r="D1250">
        <v>7.99</v>
      </c>
      <c r="E1250" t="str">
        <f t="shared" si="41"/>
        <v>Diabetes</v>
      </c>
      <c r="F1250" t="s">
        <v>2380</v>
      </c>
      <c r="G1250" t="s">
        <v>2380</v>
      </c>
      <c r="H1250" t="s">
        <v>2380</v>
      </c>
      <c r="I1250">
        <v>2</v>
      </c>
      <c r="J1250" t="s">
        <v>2380</v>
      </c>
    </row>
    <row r="1251" spans="1:10" x14ac:dyDescent="0.35">
      <c r="A1251" t="s">
        <v>1121</v>
      </c>
      <c r="B1251" t="str">
        <f t="shared" si="40"/>
        <v>Obesity</v>
      </c>
      <c r="C1251">
        <v>32.229999999999997</v>
      </c>
      <c r="D1251">
        <v>8.59</v>
      </c>
      <c r="E1251" t="str">
        <f t="shared" si="41"/>
        <v>Diabetes</v>
      </c>
      <c r="F1251" t="s">
        <v>2380</v>
      </c>
      <c r="G1251" t="s">
        <v>2380</v>
      </c>
      <c r="H1251" t="s">
        <v>2380</v>
      </c>
      <c r="I1251">
        <v>0</v>
      </c>
      <c r="J1251" t="s">
        <v>2380</v>
      </c>
    </row>
    <row r="1252" spans="1:10" x14ac:dyDescent="0.35">
      <c r="A1252" t="s">
        <v>1120</v>
      </c>
      <c r="B1252" t="str">
        <f t="shared" si="40"/>
        <v>Obesity</v>
      </c>
      <c r="C1252">
        <v>32.204999999999998</v>
      </c>
      <c r="D1252">
        <v>6.14</v>
      </c>
      <c r="E1252" t="str">
        <f t="shared" si="41"/>
        <v>Prediabetes</v>
      </c>
      <c r="F1252" t="s">
        <v>2380</v>
      </c>
      <c r="G1252" t="s">
        <v>2380</v>
      </c>
      <c r="H1252" t="s">
        <v>2380</v>
      </c>
      <c r="I1252">
        <v>2</v>
      </c>
      <c r="J1252" t="s">
        <v>2380</v>
      </c>
    </row>
    <row r="1253" spans="1:10" x14ac:dyDescent="0.35">
      <c r="A1253" t="s">
        <v>1119</v>
      </c>
      <c r="B1253" t="str">
        <f t="shared" si="40"/>
        <v>Overweight</v>
      </c>
      <c r="C1253">
        <v>26.41</v>
      </c>
      <c r="D1253">
        <v>4.08</v>
      </c>
      <c r="E1253" t="str">
        <f t="shared" si="41"/>
        <v>Normal</v>
      </c>
      <c r="F1253" t="s">
        <v>2380</v>
      </c>
      <c r="G1253" t="s">
        <v>2380</v>
      </c>
      <c r="H1253" t="s">
        <v>2380</v>
      </c>
      <c r="I1253">
        <v>2</v>
      </c>
      <c r="J1253" t="s">
        <v>2380</v>
      </c>
    </row>
    <row r="1254" spans="1:10" x14ac:dyDescent="0.35">
      <c r="A1254" t="s">
        <v>1118</v>
      </c>
      <c r="B1254" t="str">
        <f t="shared" si="40"/>
        <v>Obesity</v>
      </c>
      <c r="C1254">
        <v>30.2</v>
      </c>
      <c r="D1254">
        <v>6.25</v>
      </c>
      <c r="E1254" t="str">
        <f t="shared" si="41"/>
        <v>Prediabetes</v>
      </c>
      <c r="F1254" t="s">
        <v>2381</v>
      </c>
      <c r="G1254" t="s">
        <v>2380</v>
      </c>
      <c r="H1254" t="s">
        <v>2380</v>
      </c>
      <c r="I1254">
        <v>0</v>
      </c>
      <c r="J1254" t="s">
        <v>2380</v>
      </c>
    </row>
    <row r="1255" spans="1:10" x14ac:dyDescent="0.35">
      <c r="A1255" t="s">
        <v>1117</v>
      </c>
      <c r="B1255" t="str">
        <f t="shared" si="40"/>
        <v>Obesity</v>
      </c>
      <c r="C1255">
        <v>31.26</v>
      </c>
      <c r="D1255">
        <v>5.94</v>
      </c>
      <c r="E1255" t="str">
        <f t="shared" si="41"/>
        <v>Prediabetes</v>
      </c>
      <c r="F1255" t="s">
        <v>2381</v>
      </c>
      <c r="G1255" t="s">
        <v>2380</v>
      </c>
      <c r="H1255" t="s">
        <v>2380</v>
      </c>
      <c r="I1255">
        <v>1</v>
      </c>
      <c r="J1255" t="s">
        <v>2380</v>
      </c>
    </row>
    <row r="1256" spans="1:10" x14ac:dyDescent="0.35">
      <c r="A1256" t="s">
        <v>1116</v>
      </c>
      <c r="B1256" t="str">
        <f t="shared" si="40"/>
        <v>Obesity</v>
      </c>
      <c r="C1256">
        <v>33.725000000000001</v>
      </c>
      <c r="D1256">
        <v>6.45</v>
      </c>
      <c r="E1256" t="str">
        <f t="shared" si="41"/>
        <v>Prediabetes</v>
      </c>
      <c r="F1256" t="s">
        <v>2381</v>
      </c>
      <c r="G1256" t="s">
        <v>2380</v>
      </c>
      <c r="H1256" t="s">
        <v>2380</v>
      </c>
      <c r="I1256">
        <v>0</v>
      </c>
      <c r="J1256" t="s">
        <v>2380</v>
      </c>
    </row>
    <row r="1257" spans="1:10" x14ac:dyDescent="0.35">
      <c r="A1257" t="s">
        <v>1115</v>
      </c>
      <c r="B1257" t="str">
        <f t="shared" si="40"/>
        <v>Overweight</v>
      </c>
      <c r="C1257">
        <v>28.9</v>
      </c>
      <c r="D1257">
        <v>5.74</v>
      </c>
      <c r="E1257" t="str">
        <f t="shared" si="41"/>
        <v>Prediabetes</v>
      </c>
      <c r="F1257" t="s">
        <v>2381</v>
      </c>
      <c r="G1257" t="s">
        <v>2380</v>
      </c>
      <c r="H1257" t="s">
        <v>2380</v>
      </c>
      <c r="I1257">
        <v>0</v>
      </c>
      <c r="J1257" t="s">
        <v>2380</v>
      </c>
    </row>
    <row r="1258" spans="1:10" x14ac:dyDescent="0.35">
      <c r="A1258" t="s">
        <v>1114</v>
      </c>
      <c r="B1258" t="str">
        <f t="shared" si="40"/>
        <v>Obesity</v>
      </c>
      <c r="C1258">
        <v>45.69</v>
      </c>
      <c r="D1258">
        <v>4.43</v>
      </c>
      <c r="E1258" t="str">
        <f t="shared" si="41"/>
        <v>Normal</v>
      </c>
      <c r="F1258" t="s">
        <v>2381</v>
      </c>
      <c r="G1258" t="s">
        <v>2380</v>
      </c>
      <c r="H1258" t="s">
        <v>2380</v>
      </c>
      <c r="I1258">
        <v>0</v>
      </c>
      <c r="J1258" t="s">
        <v>2380</v>
      </c>
    </row>
    <row r="1259" spans="1:10" x14ac:dyDescent="0.35">
      <c r="A1259" t="s">
        <v>1113</v>
      </c>
      <c r="B1259" t="str">
        <f t="shared" si="40"/>
        <v>Normal Weight</v>
      </c>
      <c r="C1259">
        <v>21.03</v>
      </c>
      <c r="D1259">
        <v>6.5</v>
      </c>
      <c r="E1259" t="str">
        <f t="shared" si="41"/>
        <v>Diabetes</v>
      </c>
      <c r="F1259" t="s">
        <v>2380</v>
      </c>
      <c r="G1259" t="s">
        <v>2380</v>
      </c>
      <c r="H1259" t="s">
        <v>2380</v>
      </c>
      <c r="I1259">
        <v>0</v>
      </c>
      <c r="J1259" t="s">
        <v>2380</v>
      </c>
    </row>
    <row r="1260" spans="1:10" x14ac:dyDescent="0.35">
      <c r="A1260" t="s">
        <v>1112</v>
      </c>
      <c r="B1260" t="str">
        <f t="shared" si="40"/>
        <v>Obesity</v>
      </c>
      <c r="C1260">
        <v>37</v>
      </c>
      <c r="D1260">
        <v>8.75</v>
      </c>
      <c r="E1260" t="str">
        <f t="shared" si="41"/>
        <v>Diabetes</v>
      </c>
      <c r="F1260" t="s">
        <v>2380</v>
      </c>
      <c r="G1260" t="s">
        <v>2380</v>
      </c>
      <c r="H1260" t="s">
        <v>2380</v>
      </c>
      <c r="I1260">
        <v>0</v>
      </c>
      <c r="J1260" t="s">
        <v>2380</v>
      </c>
    </row>
    <row r="1261" spans="1:10" x14ac:dyDescent="0.35">
      <c r="A1261" t="s">
        <v>1111</v>
      </c>
      <c r="B1261" t="str">
        <f t="shared" si="40"/>
        <v>Overweight</v>
      </c>
      <c r="C1261">
        <v>25.4</v>
      </c>
      <c r="D1261">
        <v>11.96</v>
      </c>
      <c r="E1261" t="str">
        <f t="shared" si="41"/>
        <v>Diabetes</v>
      </c>
      <c r="F1261" t="s">
        <v>2380</v>
      </c>
      <c r="G1261" t="s">
        <v>2380</v>
      </c>
      <c r="H1261" t="s">
        <v>2380</v>
      </c>
      <c r="I1261">
        <v>0</v>
      </c>
      <c r="J1261" t="s">
        <v>2380</v>
      </c>
    </row>
    <row r="1262" spans="1:10" x14ac:dyDescent="0.35">
      <c r="A1262" t="s">
        <v>1110</v>
      </c>
      <c r="B1262" t="str">
        <f t="shared" si="40"/>
        <v>Obesity</v>
      </c>
      <c r="C1262">
        <v>32.299999999999997</v>
      </c>
      <c r="D1262">
        <v>10.54</v>
      </c>
      <c r="E1262" t="str">
        <f t="shared" si="41"/>
        <v>Diabetes</v>
      </c>
      <c r="F1262" t="s">
        <v>2380</v>
      </c>
      <c r="G1262" t="s">
        <v>2380</v>
      </c>
      <c r="H1262" t="s">
        <v>2380</v>
      </c>
      <c r="I1262">
        <v>0</v>
      </c>
      <c r="J1262" t="s">
        <v>2380</v>
      </c>
    </row>
    <row r="1263" spans="1:10" x14ac:dyDescent="0.35">
      <c r="A1263" t="s">
        <v>1109</v>
      </c>
      <c r="B1263" t="str">
        <f t="shared" si="40"/>
        <v>Normal Weight</v>
      </c>
      <c r="C1263">
        <v>23.94</v>
      </c>
      <c r="D1263">
        <v>4.54</v>
      </c>
      <c r="E1263" t="str">
        <f t="shared" si="41"/>
        <v>Normal</v>
      </c>
      <c r="F1263" t="s">
        <v>2381</v>
      </c>
      <c r="G1263" t="s">
        <v>2380</v>
      </c>
      <c r="H1263" t="s">
        <v>2382</v>
      </c>
      <c r="I1263">
        <v>1</v>
      </c>
      <c r="J1263" t="s">
        <v>2380</v>
      </c>
    </row>
    <row r="1264" spans="1:10" x14ac:dyDescent="0.35">
      <c r="A1264" t="s">
        <v>1108</v>
      </c>
      <c r="B1264" t="str">
        <f t="shared" si="40"/>
        <v>Obesity</v>
      </c>
      <c r="C1264">
        <v>46.4</v>
      </c>
      <c r="D1264">
        <v>5.71</v>
      </c>
      <c r="E1264" t="str">
        <f t="shared" si="41"/>
        <v>Prediabetes</v>
      </c>
      <c r="F1264" t="s">
        <v>2380</v>
      </c>
      <c r="G1264" t="s">
        <v>2380</v>
      </c>
      <c r="H1264" t="s">
        <v>2380</v>
      </c>
      <c r="I1264">
        <v>0</v>
      </c>
      <c r="J1264" t="s">
        <v>2380</v>
      </c>
    </row>
    <row r="1265" spans="1:10" x14ac:dyDescent="0.35">
      <c r="A1265" t="s">
        <v>1107</v>
      </c>
      <c r="B1265" t="str">
        <f t="shared" si="40"/>
        <v>Obesity</v>
      </c>
      <c r="C1265">
        <v>40.375</v>
      </c>
      <c r="D1265">
        <v>6.25</v>
      </c>
      <c r="E1265" t="str">
        <f t="shared" si="41"/>
        <v>Prediabetes</v>
      </c>
      <c r="F1265" t="s">
        <v>2381</v>
      </c>
      <c r="G1265" t="s">
        <v>2380</v>
      </c>
      <c r="H1265" t="s">
        <v>2380</v>
      </c>
      <c r="I1265">
        <v>0</v>
      </c>
      <c r="J1265" t="s">
        <v>2380</v>
      </c>
    </row>
    <row r="1266" spans="1:10" x14ac:dyDescent="0.35">
      <c r="A1266" t="s">
        <v>1106</v>
      </c>
      <c r="B1266" t="str">
        <f t="shared" si="40"/>
        <v>Overweight</v>
      </c>
      <c r="C1266">
        <v>28.7</v>
      </c>
      <c r="D1266">
        <v>9.4700000000000006</v>
      </c>
      <c r="E1266" t="str">
        <f t="shared" si="41"/>
        <v>Diabetes</v>
      </c>
      <c r="F1266" t="s">
        <v>2380</v>
      </c>
      <c r="G1266" t="s">
        <v>2380</v>
      </c>
      <c r="H1266" t="s">
        <v>2380</v>
      </c>
      <c r="I1266">
        <v>2</v>
      </c>
      <c r="J1266" t="s">
        <v>2380</v>
      </c>
    </row>
    <row r="1267" spans="1:10" x14ac:dyDescent="0.35">
      <c r="A1267" t="s">
        <v>1105</v>
      </c>
      <c r="B1267" t="str">
        <f t="shared" si="40"/>
        <v>Overweight</v>
      </c>
      <c r="C1267">
        <v>26.63</v>
      </c>
      <c r="D1267">
        <v>5.7</v>
      </c>
      <c r="E1267" t="str">
        <f t="shared" si="41"/>
        <v>Prediabetes</v>
      </c>
      <c r="F1267" t="s">
        <v>2380</v>
      </c>
      <c r="G1267" t="s">
        <v>2380</v>
      </c>
      <c r="H1267" t="s">
        <v>2380</v>
      </c>
      <c r="I1267">
        <v>0</v>
      </c>
      <c r="J1267" t="s">
        <v>2380</v>
      </c>
    </row>
    <row r="1268" spans="1:10" x14ac:dyDescent="0.35">
      <c r="A1268" t="s">
        <v>1104</v>
      </c>
      <c r="B1268" t="str">
        <f t="shared" si="40"/>
        <v>Normal Weight</v>
      </c>
      <c r="C1268">
        <v>22.515000000000001</v>
      </c>
      <c r="D1268">
        <v>11.18</v>
      </c>
      <c r="E1268" t="str">
        <f t="shared" si="41"/>
        <v>Diabetes</v>
      </c>
      <c r="F1268" t="s">
        <v>2380</v>
      </c>
      <c r="G1268" t="s">
        <v>2380</v>
      </c>
      <c r="H1268" t="s">
        <v>2380</v>
      </c>
      <c r="I1268">
        <v>2</v>
      </c>
      <c r="J1268" t="s">
        <v>2380</v>
      </c>
    </row>
    <row r="1269" spans="1:10" x14ac:dyDescent="0.35">
      <c r="A1269" t="s">
        <v>1103</v>
      </c>
      <c r="B1269" t="str">
        <f t="shared" si="40"/>
        <v>Obesity</v>
      </c>
      <c r="C1269">
        <v>36.575000000000003</v>
      </c>
      <c r="D1269">
        <v>10.98</v>
      </c>
      <c r="E1269" t="str">
        <f t="shared" si="41"/>
        <v>Diabetes</v>
      </c>
      <c r="F1269" t="s">
        <v>2380</v>
      </c>
      <c r="G1269" t="s">
        <v>2380</v>
      </c>
      <c r="H1269" t="s">
        <v>2380</v>
      </c>
      <c r="I1269">
        <v>0</v>
      </c>
      <c r="J1269" t="s">
        <v>2380</v>
      </c>
    </row>
    <row r="1270" spans="1:10" x14ac:dyDescent="0.35">
      <c r="A1270" t="s">
        <v>1102</v>
      </c>
      <c r="B1270" t="str">
        <f t="shared" si="40"/>
        <v>Normal Weight</v>
      </c>
      <c r="C1270">
        <v>23.66</v>
      </c>
      <c r="D1270">
        <v>5.1100000000000003</v>
      </c>
      <c r="E1270" t="str">
        <f t="shared" si="41"/>
        <v>Normal</v>
      </c>
      <c r="F1270" t="s">
        <v>2381</v>
      </c>
      <c r="G1270" t="s">
        <v>2380</v>
      </c>
      <c r="H1270" t="s">
        <v>2382</v>
      </c>
      <c r="I1270">
        <v>1</v>
      </c>
      <c r="J1270" t="s">
        <v>2380</v>
      </c>
    </row>
    <row r="1271" spans="1:10" x14ac:dyDescent="0.35">
      <c r="A1271" t="s">
        <v>1101</v>
      </c>
      <c r="B1271" t="str">
        <f t="shared" si="40"/>
        <v>Normal Weight</v>
      </c>
      <c r="C1271">
        <v>18.62</v>
      </c>
      <c r="D1271">
        <v>10.24</v>
      </c>
      <c r="E1271" t="str">
        <f t="shared" si="41"/>
        <v>Diabetes</v>
      </c>
      <c r="F1271" t="s">
        <v>2380</v>
      </c>
      <c r="G1271" t="s">
        <v>2380</v>
      </c>
      <c r="H1271" t="s">
        <v>2380</v>
      </c>
      <c r="I1271">
        <v>0</v>
      </c>
      <c r="J1271" t="s">
        <v>2380</v>
      </c>
    </row>
    <row r="1272" spans="1:10" x14ac:dyDescent="0.35">
      <c r="A1272" t="s">
        <v>1100</v>
      </c>
      <c r="B1272" t="str">
        <f t="shared" si="40"/>
        <v>Normal Weight</v>
      </c>
      <c r="C1272">
        <v>19.190000000000001</v>
      </c>
      <c r="D1272">
        <v>7.71</v>
      </c>
      <c r="E1272" t="str">
        <f t="shared" si="41"/>
        <v>Diabetes</v>
      </c>
      <c r="F1272" t="s">
        <v>2381</v>
      </c>
      <c r="G1272" t="s">
        <v>2380</v>
      </c>
      <c r="H1272" t="s">
        <v>2380</v>
      </c>
      <c r="I1272">
        <v>1</v>
      </c>
      <c r="J1272" t="s">
        <v>2380</v>
      </c>
    </row>
    <row r="1273" spans="1:10" x14ac:dyDescent="0.35">
      <c r="A1273" t="s">
        <v>1099</v>
      </c>
      <c r="B1273" t="str">
        <f t="shared" si="40"/>
        <v>Overweight</v>
      </c>
      <c r="C1273">
        <v>27.5</v>
      </c>
      <c r="D1273">
        <v>6.03</v>
      </c>
      <c r="E1273" t="str">
        <f t="shared" si="41"/>
        <v>Prediabetes</v>
      </c>
      <c r="F1273" t="s">
        <v>2380</v>
      </c>
      <c r="G1273" t="s">
        <v>2380</v>
      </c>
      <c r="H1273" t="s">
        <v>2380</v>
      </c>
      <c r="I1273">
        <v>0</v>
      </c>
      <c r="J1273" t="s">
        <v>2380</v>
      </c>
    </row>
    <row r="1274" spans="1:10" x14ac:dyDescent="0.35">
      <c r="A1274" t="s">
        <v>1098</v>
      </c>
      <c r="B1274" t="str">
        <f t="shared" si="40"/>
        <v>Overweight</v>
      </c>
      <c r="C1274">
        <v>27.36</v>
      </c>
      <c r="D1274">
        <v>5.96</v>
      </c>
      <c r="E1274" t="str">
        <f t="shared" si="41"/>
        <v>Prediabetes</v>
      </c>
      <c r="F1274" t="s">
        <v>2380</v>
      </c>
      <c r="G1274" t="s">
        <v>2380</v>
      </c>
      <c r="H1274" t="s">
        <v>2382</v>
      </c>
      <c r="I1274">
        <v>1</v>
      </c>
      <c r="J1274" t="s">
        <v>2380</v>
      </c>
    </row>
    <row r="1275" spans="1:10" x14ac:dyDescent="0.35">
      <c r="A1275" t="s">
        <v>1097</v>
      </c>
      <c r="B1275" t="str">
        <f t="shared" si="40"/>
        <v>Normal Weight</v>
      </c>
      <c r="C1275">
        <v>20.350000000000001</v>
      </c>
      <c r="D1275">
        <v>4.16</v>
      </c>
      <c r="E1275" t="str">
        <f t="shared" si="41"/>
        <v>Normal</v>
      </c>
      <c r="F1275" t="s">
        <v>2380</v>
      </c>
      <c r="G1275" t="s">
        <v>2380</v>
      </c>
      <c r="H1275" t="s">
        <v>2380</v>
      </c>
      <c r="I1275">
        <v>0</v>
      </c>
      <c r="J1275" t="s">
        <v>2380</v>
      </c>
    </row>
    <row r="1276" spans="1:10" x14ac:dyDescent="0.35">
      <c r="A1276" t="s">
        <v>1096</v>
      </c>
      <c r="B1276" t="str">
        <f t="shared" si="40"/>
        <v>Normal Weight</v>
      </c>
      <c r="C1276">
        <v>24.035</v>
      </c>
      <c r="D1276">
        <v>6.11</v>
      </c>
      <c r="E1276" t="str">
        <f t="shared" si="41"/>
        <v>Prediabetes</v>
      </c>
      <c r="F1276" t="s">
        <v>2380</v>
      </c>
      <c r="G1276" t="s">
        <v>2380</v>
      </c>
      <c r="H1276" t="s">
        <v>2380</v>
      </c>
      <c r="I1276">
        <v>0</v>
      </c>
      <c r="J1276" t="s">
        <v>2380</v>
      </c>
    </row>
    <row r="1277" spans="1:10" x14ac:dyDescent="0.35">
      <c r="A1277" t="s">
        <v>1095</v>
      </c>
      <c r="B1277" t="str">
        <f t="shared" si="40"/>
        <v>Normal Weight</v>
      </c>
      <c r="C1277">
        <v>23.56</v>
      </c>
      <c r="D1277">
        <v>5.97</v>
      </c>
      <c r="E1277" t="str">
        <f t="shared" si="41"/>
        <v>Prediabetes</v>
      </c>
      <c r="F1277" t="s">
        <v>2380</v>
      </c>
      <c r="G1277" t="s">
        <v>2380</v>
      </c>
      <c r="H1277" t="s">
        <v>2380</v>
      </c>
      <c r="I1277">
        <v>0</v>
      </c>
      <c r="J1277" t="s">
        <v>2380</v>
      </c>
    </row>
    <row r="1278" spans="1:10" x14ac:dyDescent="0.35">
      <c r="A1278" t="s">
        <v>1094</v>
      </c>
      <c r="B1278" t="str">
        <f t="shared" si="40"/>
        <v>Overweight</v>
      </c>
      <c r="C1278">
        <v>27.17</v>
      </c>
      <c r="D1278">
        <v>10.81</v>
      </c>
      <c r="E1278" t="str">
        <f t="shared" si="41"/>
        <v>Diabetes</v>
      </c>
      <c r="F1278" t="s">
        <v>2380</v>
      </c>
      <c r="G1278" t="s">
        <v>2380</v>
      </c>
      <c r="H1278" t="s">
        <v>2380</v>
      </c>
      <c r="I1278">
        <v>2</v>
      </c>
      <c r="J1278" t="s">
        <v>2380</v>
      </c>
    </row>
    <row r="1279" spans="1:10" x14ac:dyDescent="0.35">
      <c r="A1279" t="s">
        <v>1093</v>
      </c>
      <c r="B1279" t="str">
        <f t="shared" si="40"/>
        <v>Obesity</v>
      </c>
      <c r="C1279">
        <v>34.32</v>
      </c>
      <c r="D1279">
        <v>5.7</v>
      </c>
      <c r="E1279" t="str">
        <f t="shared" si="41"/>
        <v>Prediabetes</v>
      </c>
      <c r="F1279" t="s">
        <v>2381</v>
      </c>
      <c r="G1279" t="s">
        <v>2380</v>
      </c>
      <c r="H1279" t="s">
        <v>2382</v>
      </c>
      <c r="I1279">
        <v>1</v>
      </c>
      <c r="J1279" t="s">
        <v>2380</v>
      </c>
    </row>
    <row r="1280" spans="1:10" x14ac:dyDescent="0.35">
      <c r="A1280" t="s">
        <v>1092</v>
      </c>
      <c r="B1280" t="str">
        <f t="shared" si="40"/>
        <v>Normal Weight</v>
      </c>
      <c r="C1280">
        <v>23.87</v>
      </c>
      <c r="D1280">
        <v>4.7699999999999996</v>
      </c>
      <c r="E1280" t="str">
        <f t="shared" si="41"/>
        <v>Normal</v>
      </c>
      <c r="F1280" t="s">
        <v>2381</v>
      </c>
      <c r="G1280" t="s">
        <v>2380</v>
      </c>
      <c r="H1280" t="s">
        <v>2382</v>
      </c>
      <c r="I1280">
        <v>1</v>
      </c>
      <c r="J1280" t="s">
        <v>2380</v>
      </c>
    </row>
    <row r="1281" spans="1:10" x14ac:dyDescent="0.35">
      <c r="A1281" t="s">
        <v>1091</v>
      </c>
      <c r="B1281" t="str">
        <f t="shared" si="40"/>
        <v>Obesity</v>
      </c>
      <c r="C1281">
        <v>30.15</v>
      </c>
      <c r="D1281">
        <v>4.25</v>
      </c>
      <c r="E1281" t="str">
        <f t="shared" si="41"/>
        <v>Normal</v>
      </c>
      <c r="F1281" t="s">
        <v>2380</v>
      </c>
      <c r="G1281" t="s">
        <v>2380</v>
      </c>
      <c r="H1281" t="s">
        <v>2380</v>
      </c>
      <c r="I1281">
        <v>1</v>
      </c>
      <c r="J1281" t="s">
        <v>2380</v>
      </c>
    </row>
    <row r="1282" spans="1:10" x14ac:dyDescent="0.35">
      <c r="A1282" t="s">
        <v>1090</v>
      </c>
      <c r="B1282" t="str">
        <f t="shared" si="40"/>
        <v>Overweight</v>
      </c>
      <c r="C1282">
        <v>26.36</v>
      </c>
      <c r="D1282">
        <v>5.52</v>
      </c>
      <c r="E1282" t="str">
        <f t="shared" si="41"/>
        <v>Normal</v>
      </c>
      <c r="F1282" t="s">
        <v>2380</v>
      </c>
      <c r="G1282" t="s">
        <v>2380</v>
      </c>
      <c r="H1282" t="s">
        <v>2380</v>
      </c>
      <c r="I1282">
        <v>0</v>
      </c>
      <c r="J1282" t="s">
        <v>2380</v>
      </c>
    </row>
    <row r="1283" spans="1:10" x14ac:dyDescent="0.35">
      <c r="A1283" t="s">
        <v>1089</v>
      </c>
      <c r="B1283" t="str">
        <f t="shared" ref="B1283:B1346" si="42">IF(C1283&lt;18.5,"Underweight",IF(C1283&lt;25,"Normal Weight",IF(C1283&lt;30,"Overweight","Obesity")))</f>
        <v>Obesity</v>
      </c>
      <c r="C1283">
        <v>45.32</v>
      </c>
      <c r="D1283">
        <v>6.53</v>
      </c>
      <c r="E1283" t="str">
        <f t="shared" ref="E1283:E1346" si="43">IF(D1283&lt;5.7,"Normal",IF(D1283&lt;6.5,"Prediabetes","Diabetes"))</f>
        <v>Diabetes</v>
      </c>
      <c r="F1283" t="s">
        <v>2381</v>
      </c>
      <c r="G1283" t="s">
        <v>2380</v>
      </c>
      <c r="H1283" t="s">
        <v>2380</v>
      </c>
      <c r="I1283">
        <v>1</v>
      </c>
      <c r="J1283" t="s">
        <v>2380</v>
      </c>
    </row>
    <row r="1284" spans="1:10" x14ac:dyDescent="0.35">
      <c r="A1284" t="s">
        <v>1088</v>
      </c>
      <c r="B1284" t="str">
        <f t="shared" si="42"/>
        <v>Obesity</v>
      </c>
      <c r="C1284">
        <v>31.93</v>
      </c>
      <c r="D1284">
        <v>4.82</v>
      </c>
      <c r="E1284" t="str">
        <f t="shared" si="43"/>
        <v>Normal</v>
      </c>
      <c r="F1284" t="s">
        <v>2381</v>
      </c>
      <c r="G1284" t="s">
        <v>2380</v>
      </c>
      <c r="H1284" t="s">
        <v>2380</v>
      </c>
      <c r="I1284">
        <v>1</v>
      </c>
      <c r="J1284" t="s">
        <v>2380</v>
      </c>
    </row>
    <row r="1285" spans="1:10" x14ac:dyDescent="0.35">
      <c r="A1285" t="s">
        <v>1087</v>
      </c>
      <c r="B1285" t="str">
        <f t="shared" si="42"/>
        <v>Obesity</v>
      </c>
      <c r="C1285">
        <v>36</v>
      </c>
      <c r="D1285">
        <v>11.94</v>
      </c>
      <c r="E1285" t="str">
        <f t="shared" si="43"/>
        <v>Diabetes</v>
      </c>
      <c r="F1285" t="s">
        <v>2381</v>
      </c>
      <c r="G1285" t="s">
        <v>2380</v>
      </c>
      <c r="H1285" t="s">
        <v>2380</v>
      </c>
      <c r="I1285">
        <v>1</v>
      </c>
      <c r="J1285" t="s">
        <v>2380</v>
      </c>
    </row>
    <row r="1286" spans="1:10" x14ac:dyDescent="0.35">
      <c r="A1286" t="s">
        <v>1086</v>
      </c>
      <c r="B1286" t="str">
        <f t="shared" si="42"/>
        <v>Obesity</v>
      </c>
      <c r="C1286">
        <v>32</v>
      </c>
      <c r="D1286">
        <v>7.85</v>
      </c>
      <c r="E1286" t="str">
        <f t="shared" si="43"/>
        <v>Diabetes</v>
      </c>
      <c r="F1286" t="s">
        <v>2381</v>
      </c>
      <c r="G1286" t="s">
        <v>2380</v>
      </c>
      <c r="H1286" t="s">
        <v>2380</v>
      </c>
      <c r="I1286">
        <v>1</v>
      </c>
      <c r="J1286" t="s">
        <v>2380</v>
      </c>
    </row>
    <row r="1287" spans="1:10" x14ac:dyDescent="0.35">
      <c r="A1287" t="s">
        <v>1085</v>
      </c>
      <c r="B1287" t="str">
        <f t="shared" si="42"/>
        <v>Overweight</v>
      </c>
      <c r="C1287">
        <v>29.37</v>
      </c>
      <c r="D1287">
        <v>8.01</v>
      </c>
      <c r="E1287" t="str">
        <f t="shared" si="43"/>
        <v>Diabetes</v>
      </c>
      <c r="F1287" t="s">
        <v>2381</v>
      </c>
      <c r="G1287" t="s">
        <v>2380</v>
      </c>
      <c r="H1287" t="s">
        <v>2380</v>
      </c>
      <c r="I1287">
        <v>1</v>
      </c>
      <c r="J1287" t="s">
        <v>2380</v>
      </c>
    </row>
    <row r="1288" spans="1:10" x14ac:dyDescent="0.35">
      <c r="A1288" t="s">
        <v>1084</v>
      </c>
      <c r="B1288" t="str">
        <f t="shared" si="42"/>
        <v>Normal Weight</v>
      </c>
      <c r="C1288">
        <v>23.6</v>
      </c>
      <c r="D1288">
        <v>7.4</v>
      </c>
      <c r="E1288" t="str">
        <f t="shared" si="43"/>
        <v>Diabetes</v>
      </c>
      <c r="F1288" t="s">
        <v>2381</v>
      </c>
      <c r="G1288" t="s">
        <v>2380</v>
      </c>
      <c r="H1288" t="s">
        <v>2380</v>
      </c>
      <c r="I1288">
        <v>1</v>
      </c>
      <c r="J1288" t="s">
        <v>2380</v>
      </c>
    </row>
    <row r="1289" spans="1:10" x14ac:dyDescent="0.35">
      <c r="A1289" t="s">
        <v>1083</v>
      </c>
      <c r="B1289" t="str">
        <f t="shared" si="42"/>
        <v>Obesity</v>
      </c>
      <c r="C1289">
        <v>33.155000000000001</v>
      </c>
      <c r="D1289">
        <v>8.3800000000000008</v>
      </c>
      <c r="E1289" t="str">
        <f t="shared" si="43"/>
        <v>Diabetes</v>
      </c>
      <c r="F1289" t="s">
        <v>2381</v>
      </c>
      <c r="G1289" t="s">
        <v>2380</v>
      </c>
      <c r="H1289" t="s">
        <v>2380</v>
      </c>
      <c r="I1289">
        <v>0</v>
      </c>
      <c r="J1289" t="s">
        <v>2380</v>
      </c>
    </row>
    <row r="1290" spans="1:10" x14ac:dyDescent="0.35">
      <c r="A1290" t="s">
        <v>1082</v>
      </c>
      <c r="B1290" t="str">
        <f t="shared" si="42"/>
        <v>Normal Weight</v>
      </c>
      <c r="C1290">
        <v>24.32</v>
      </c>
      <c r="D1290">
        <v>11.56</v>
      </c>
      <c r="E1290" t="str">
        <f t="shared" si="43"/>
        <v>Diabetes</v>
      </c>
      <c r="F1290" t="s">
        <v>2381</v>
      </c>
      <c r="G1290" t="s">
        <v>2380</v>
      </c>
      <c r="H1290" t="s">
        <v>2380</v>
      </c>
      <c r="I1290">
        <v>1</v>
      </c>
      <c r="J1290" t="s">
        <v>2380</v>
      </c>
    </row>
    <row r="1291" spans="1:10" x14ac:dyDescent="0.35">
      <c r="A1291" t="s">
        <v>1081</v>
      </c>
      <c r="B1291" t="str">
        <f t="shared" si="42"/>
        <v>Obesity</v>
      </c>
      <c r="C1291">
        <v>36.299999999999997</v>
      </c>
      <c r="D1291">
        <v>4.6100000000000003</v>
      </c>
      <c r="E1291" t="str">
        <f t="shared" si="43"/>
        <v>Normal</v>
      </c>
      <c r="F1291" t="s">
        <v>2380</v>
      </c>
      <c r="G1291" t="s">
        <v>2380</v>
      </c>
      <c r="H1291" t="s">
        <v>2380</v>
      </c>
      <c r="I1291">
        <v>0</v>
      </c>
      <c r="J1291" t="s">
        <v>2380</v>
      </c>
    </row>
    <row r="1292" spans="1:10" x14ac:dyDescent="0.35">
      <c r="A1292" t="s">
        <v>1080</v>
      </c>
      <c r="B1292" t="str">
        <f t="shared" si="42"/>
        <v>Obesity</v>
      </c>
      <c r="C1292">
        <v>34.4</v>
      </c>
      <c r="D1292">
        <v>4.95</v>
      </c>
      <c r="E1292" t="str">
        <f t="shared" si="43"/>
        <v>Normal</v>
      </c>
      <c r="F1292" t="s">
        <v>2380</v>
      </c>
      <c r="G1292" t="s">
        <v>2380</v>
      </c>
      <c r="H1292" t="s">
        <v>2382</v>
      </c>
      <c r="I1292">
        <v>1</v>
      </c>
      <c r="J1292" t="s">
        <v>2380</v>
      </c>
    </row>
    <row r="1293" spans="1:10" x14ac:dyDescent="0.35">
      <c r="A1293" t="s">
        <v>1079</v>
      </c>
      <c r="B1293" t="str">
        <f t="shared" si="42"/>
        <v>Obesity</v>
      </c>
      <c r="C1293">
        <v>30.9</v>
      </c>
      <c r="D1293">
        <v>5.04</v>
      </c>
      <c r="E1293" t="str">
        <f t="shared" si="43"/>
        <v>Normal</v>
      </c>
      <c r="F1293" t="s">
        <v>2380</v>
      </c>
      <c r="G1293" t="s">
        <v>2380</v>
      </c>
      <c r="H1293" t="s">
        <v>2380</v>
      </c>
      <c r="I1293">
        <v>0</v>
      </c>
      <c r="J1293" t="s">
        <v>2380</v>
      </c>
    </row>
    <row r="1294" spans="1:10" x14ac:dyDescent="0.35">
      <c r="A1294" t="s">
        <v>1078</v>
      </c>
      <c r="B1294" t="str">
        <f t="shared" si="42"/>
        <v>Overweight</v>
      </c>
      <c r="C1294">
        <v>28.6</v>
      </c>
      <c r="D1294">
        <v>5.42</v>
      </c>
      <c r="E1294" t="str">
        <f t="shared" si="43"/>
        <v>Normal</v>
      </c>
      <c r="F1294" t="s">
        <v>2380</v>
      </c>
      <c r="G1294" t="s">
        <v>2380</v>
      </c>
      <c r="H1294" t="s">
        <v>2380</v>
      </c>
      <c r="I1294">
        <v>0</v>
      </c>
      <c r="J1294" t="s">
        <v>2380</v>
      </c>
    </row>
    <row r="1295" spans="1:10" x14ac:dyDescent="0.35">
      <c r="A1295" t="s">
        <v>1077</v>
      </c>
      <c r="B1295" t="str">
        <f t="shared" si="42"/>
        <v>Overweight</v>
      </c>
      <c r="C1295">
        <v>27.83</v>
      </c>
      <c r="D1295">
        <v>5.39</v>
      </c>
      <c r="E1295" t="str">
        <f t="shared" si="43"/>
        <v>Normal</v>
      </c>
      <c r="F1295" t="s">
        <v>2380</v>
      </c>
      <c r="G1295" t="s">
        <v>2380</v>
      </c>
      <c r="H1295" t="s">
        <v>2380</v>
      </c>
      <c r="I1295">
        <v>0</v>
      </c>
      <c r="J1295" t="s">
        <v>2380</v>
      </c>
    </row>
    <row r="1296" spans="1:10" x14ac:dyDescent="0.35">
      <c r="A1296" t="s">
        <v>1076</v>
      </c>
      <c r="B1296" t="str">
        <f t="shared" si="42"/>
        <v>Obesity</v>
      </c>
      <c r="C1296">
        <v>39.64</v>
      </c>
      <c r="D1296">
        <v>6</v>
      </c>
      <c r="E1296" t="str">
        <f t="shared" si="43"/>
        <v>Prediabetes</v>
      </c>
      <c r="F1296" t="s">
        <v>2380</v>
      </c>
      <c r="G1296" t="s">
        <v>2380</v>
      </c>
      <c r="H1296" t="s">
        <v>2382</v>
      </c>
      <c r="I1296">
        <v>1</v>
      </c>
      <c r="J1296" t="s">
        <v>2380</v>
      </c>
    </row>
    <row r="1297" spans="1:10" x14ac:dyDescent="0.35">
      <c r="A1297" t="s">
        <v>1075</v>
      </c>
      <c r="B1297" t="str">
        <f t="shared" si="42"/>
        <v>Obesity</v>
      </c>
      <c r="C1297">
        <v>38.479999999999997</v>
      </c>
      <c r="D1297">
        <v>6.02</v>
      </c>
      <c r="E1297" t="str">
        <f t="shared" si="43"/>
        <v>Prediabetes</v>
      </c>
      <c r="F1297" t="s">
        <v>2380</v>
      </c>
      <c r="G1297" t="s">
        <v>2380</v>
      </c>
      <c r="H1297" t="s">
        <v>2380</v>
      </c>
      <c r="I1297">
        <v>1</v>
      </c>
      <c r="J1297" t="s">
        <v>2380</v>
      </c>
    </row>
    <row r="1298" spans="1:10" x14ac:dyDescent="0.35">
      <c r="A1298" t="s">
        <v>1074</v>
      </c>
      <c r="B1298" t="str">
        <f t="shared" si="42"/>
        <v>Obesity</v>
      </c>
      <c r="C1298">
        <v>36.200000000000003</v>
      </c>
      <c r="D1298">
        <v>4.62</v>
      </c>
      <c r="E1298" t="str">
        <f t="shared" si="43"/>
        <v>Normal</v>
      </c>
      <c r="F1298" t="s">
        <v>2380</v>
      </c>
      <c r="G1298" t="s">
        <v>2380</v>
      </c>
      <c r="H1298" t="s">
        <v>2380</v>
      </c>
      <c r="I1298">
        <v>2</v>
      </c>
      <c r="J1298" t="s">
        <v>2380</v>
      </c>
    </row>
    <row r="1299" spans="1:10" x14ac:dyDescent="0.35">
      <c r="A1299" t="s">
        <v>1073</v>
      </c>
      <c r="B1299" t="str">
        <f t="shared" si="42"/>
        <v>Overweight</v>
      </c>
      <c r="C1299">
        <v>27.13</v>
      </c>
      <c r="D1299">
        <v>5.59</v>
      </c>
      <c r="E1299" t="str">
        <f t="shared" si="43"/>
        <v>Normal</v>
      </c>
      <c r="F1299" t="s">
        <v>2380</v>
      </c>
      <c r="G1299" t="s">
        <v>2380</v>
      </c>
      <c r="H1299" t="s">
        <v>2380</v>
      </c>
      <c r="I1299">
        <v>1</v>
      </c>
      <c r="J1299" t="s">
        <v>2380</v>
      </c>
    </row>
    <row r="1300" spans="1:10" x14ac:dyDescent="0.35">
      <c r="A1300" t="s">
        <v>1072</v>
      </c>
      <c r="B1300" t="str">
        <f t="shared" si="42"/>
        <v>Normal Weight</v>
      </c>
      <c r="C1300">
        <v>20.75</v>
      </c>
      <c r="D1300">
        <v>5.18</v>
      </c>
      <c r="E1300" t="str">
        <f t="shared" si="43"/>
        <v>Normal</v>
      </c>
      <c r="F1300" t="s">
        <v>2381</v>
      </c>
      <c r="G1300" t="s">
        <v>2380</v>
      </c>
      <c r="H1300" t="s">
        <v>2380</v>
      </c>
      <c r="I1300">
        <v>2</v>
      </c>
      <c r="J1300" t="s">
        <v>2380</v>
      </c>
    </row>
    <row r="1301" spans="1:10" x14ac:dyDescent="0.35">
      <c r="A1301" t="s">
        <v>1071</v>
      </c>
      <c r="B1301" t="str">
        <f t="shared" si="42"/>
        <v>Overweight</v>
      </c>
      <c r="C1301">
        <v>26.6</v>
      </c>
      <c r="D1301">
        <v>6.29</v>
      </c>
      <c r="E1301" t="str">
        <f t="shared" si="43"/>
        <v>Prediabetes</v>
      </c>
      <c r="F1301" t="s">
        <v>2380</v>
      </c>
      <c r="G1301" t="s">
        <v>2380</v>
      </c>
      <c r="H1301" t="s">
        <v>2380</v>
      </c>
      <c r="I1301">
        <v>2</v>
      </c>
      <c r="J1301" t="s">
        <v>2380</v>
      </c>
    </row>
    <row r="1302" spans="1:10" x14ac:dyDescent="0.35">
      <c r="A1302" t="s">
        <v>1070</v>
      </c>
      <c r="B1302" t="str">
        <f t="shared" si="42"/>
        <v>Overweight</v>
      </c>
      <c r="C1302">
        <v>25.3</v>
      </c>
      <c r="D1302">
        <v>4.49</v>
      </c>
      <c r="E1302" t="str">
        <f t="shared" si="43"/>
        <v>Normal</v>
      </c>
      <c r="F1302" t="s">
        <v>2380</v>
      </c>
      <c r="G1302" t="s">
        <v>2380</v>
      </c>
      <c r="H1302" t="s">
        <v>2380</v>
      </c>
      <c r="I1302">
        <v>2</v>
      </c>
      <c r="J1302" t="s">
        <v>2380</v>
      </c>
    </row>
    <row r="1303" spans="1:10" x14ac:dyDescent="0.35">
      <c r="A1303" t="s">
        <v>1069</v>
      </c>
      <c r="B1303" t="str">
        <f t="shared" si="42"/>
        <v>Normal Weight</v>
      </c>
      <c r="C1303">
        <v>18.84</v>
      </c>
      <c r="D1303">
        <v>11.82</v>
      </c>
      <c r="E1303" t="str">
        <f t="shared" si="43"/>
        <v>Diabetes</v>
      </c>
      <c r="F1303" t="s">
        <v>2381</v>
      </c>
      <c r="G1303" t="s">
        <v>2380</v>
      </c>
      <c r="H1303" t="s">
        <v>2382</v>
      </c>
      <c r="I1303">
        <v>1</v>
      </c>
      <c r="J1303" t="s">
        <v>2380</v>
      </c>
    </row>
    <row r="1304" spans="1:10" x14ac:dyDescent="0.35">
      <c r="A1304" t="s">
        <v>1068</v>
      </c>
      <c r="B1304" t="str">
        <f t="shared" si="42"/>
        <v>Normal Weight</v>
      </c>
      <c r="C1304">
        <v>19.57</v>
      </c>
      <c r="D1304">
        <v>7.41</v>
      </c>
      <c r="E1304" t="str">
        <f t="shared" si="43"/>
        <v>Diabetes</v>
      </c>
      <c r="F1304" t="s">
        <v>2381</v>
      </c>
      <c r="G1304" t="s">
        <v>2380</v>
      </c>
      <c r="H1304" t="s">
        <v>2380</v>
      </c>
      <c r="I1304">
        <v>1</v>
      </c>
      <c r="J1304" t="s">
        <v>2380</v>
      </c>
    </row>
    <row r="1305" spans="1:10" x14ac:dyDescent="0.35">
      <c r="A1305" t="s">
        <v>1067</v>
      </c>
      <c r="B1305" t="str">
        <f t="shared" si="42"/>
        <v>Obesity</v>
      </c>
      <c r="C1305">
        <v>30.495000000000001</v>
      </c>
      <c r="D1305">
        <v>5.97</v>
      </c>
      <c r="E1305" t="str">
        <f t="shared" si="43"/>
        <v>Prediabetes</v>
      </c>
      <c r="F1305" t="s">
        <v>2380</v>
      </c>
      <c r="G1305" t="s">
        <v>2380</v>
      </c>
      <c r="H1305" t="s">
        <v>2380</v>
      </c>
      <c r="I1305">
        <v>0</v>
      </c>
      <c r="J1305" t="s">
        <v>2380</v>
      </c>
    </row>
    <row r="1306" spans="1:10" x14ac:dyDescent="0.35">
      <c r="A1306" t="s">
        <v>1066</v>
      </c>
      <c r="B1306" t="str">
        <f t="shared" si="42"/>
        <v>Obesity</v>
      </c>
      <c r="C1306">
        <v>30.114999999999998</v>
      </c>
      <c r="D1306">
        <v>5.74</v>
      </c>
      <c r="E1306" t="str">
        <f t="shared" si="43"/>
        <v>Prediabetes</v>
      </c>
      <c r="F1306" t="s">
        <v>2380</v>
      </c>
      <c r="G1306" t="s">
        <v>2380</v>
      </c>
      <c r="H1306" t="s">
        <v>2382</v>
      </c>
      <c r="I1306">
        <v>1</v>
      </c>
      <c r="J1306" t="s">
        <v>2380</v>
      </c>
    </row>
    <row r="1307" spans="1:10" x14ac:dyDescent="0.35">
      <c r="A1307" t="s">
        <v>1065</v>
      </c>
      <c r="B1307" t="str">
        <f t="shared" si="42"/>
        <v>Normal Weight</v>
      </c>
      <c r="C1307">
        <v>24.78</v>
      </c>
      <c r="D1307">
        <v>9.85</v>
      </c>
      <c r="E1307" t="str">
        <f t="shared" si="43"/>
        <v>Diabetes</v>
      </c>
      <c r="F1307" t="s">
        <v>2380</v>
      </c>
      <c r="G1307" t="s">
        <v>2380</v>
      </c>
      <c r="H1307" t="s">
        <v>2380</v>
      </c>
      <c r="I1307">
        <v>0</v>
      </c>
      <c r="J1307" t="s">
        <v>2380</v>
      </c>
    </row>
    <row r="1308" spans="1:10" x14ac:dyDescent="0.35">
      <c r="A1308" t="s">
        <v>1064</v>
      </c>
      <c r="B1308" t="str">
        <f t="shared" si="42"/>
        <v>Normal Weight</v>
      </c>
      <c r="C1308">
        <v>24.77</v>
      </c>
      <c r="D1308">
        <v>7.59</v>
      </c>
      <c r="E1308" t="str">
        <f t="shared" si="43"/>
        <v>Diabetes</v>
      </c>
      <c r="F1308" t="s">
        <v>2380</v>
      </c>
      <c r="G1308" t="s">
        <v>2380</v>
      </c>
      <c r="H1308" t="s">
        <v>2380</v>
      </c>
      <c r="I1308">
        <v>0</v>
      </c>
      <c r="J1308" t="s">
        <v>2380</v>
      </c>
    </row>
    <row r="1309" spans="1:10" x14ac:dyDescent="0.35">
      <c r="A1309" t="s">
        <v>1063</v>
      </c>
      <c r="B1309" t="str">
        <f t="shared" si="42"/>
        <v>Underweight</v>
      </c>
      <c r="C1309">
        <v>16.579999999999998</v>
      </c>
      <c r="D1309">
        <v>6.98</v>
      </c>
      <c r="E1309" t="str">
        <f t="shared" si="43"/>
        <v>Diabetes</v>
      </c>
      <c r="F1309" t="s">
        <v>2381</v>
      </c>
      <c r="G1309" t="s">
        <v>2380</v>
      </c>
      <c r="H1309" t="s">
        <v>2382</v>
      </c>
      <c r="I1309">
        <v>1</v>
      </c>
      <c r="J1309" t="s">
        <v>2380</v>
      </c>
    </row>
    <row r="1310" spans="1:10" x14ac:dyDescent="0.35">
      <c r="A1310" t="s">
        <v>1062</v>
      </c>
      <c r="B1310" t="str">
        <f t="shared" si="42"/>
        <v>Obesity</v>
      </c>
      <c r="C1310">
        <v>38.17</v>
      </c>
      <c r="D1310">
        <v>4.7300000000000004</v>
      </c>
      <c r="E1310" t="str">
        <f t="shared" si="43"/>
        <v>Normal</v>
      </c>
      <c r="F1310" t="s">
        <v>2381</v>
      </c>
      <c r="G1310" t="s">
        <v>2380</v>
      </c>
      <c r="H1310" t="s">
        <v>2380</v>
      </c>
      <c r="I1310">
        <v>0</v>
      </c>
      <c r="J1310" t="s">
        <v>2380</v>
      </c>
    </row>
    <row r="1311" spans="1:10" x14ac:dyDescent="0.35">
      <c r="A1311" t="s">
        <v>1061</v>
      </c>
      <c r="B1311" t="str">
        <f t="shared" si="42"/>
        <v>Obesity</v>
      </c>
      <c r="C1311">
        <v>39.424999999999997</v>
      </c>
      <c r="D1311">
        <v>4.76</v>
      </c>
      <c r="E1311" t="str">
        <f t="shared" si="43"/>
        <v>Normal</v>
      </c>
      <c r="F1311" t="s">
        <v>2381</v>
      </c>
      <c r="G1311" t="s">
        <v>2380</v>
      </c>
      <c r="H1311" t="s">
        <v>2380</v>
      </c>
      <c r="I1311">
        <v>0</v>
      </c>
      <c r="J1311" t="s">
        <v>2380</v>
      </c>
    </row>
    <row r="1312" spans="1:10" x14ac:dyDescent="0.35">
      <c r="A1312" t="s">
        <v>1060</v>
      </c>
      <c r="B1312" t="str">
        <f t="shared" si="42"/>
        <v>Obesity</v>
      </c>
      <c r="C1312">
        <v>33.44</v>
      </c>
      <c r="D1312">
        <v>6.24</v>
      </c>
      <c r="E1312" t="str">
        <f t="shared" si="43"/>
        <v>Prediabetes</v>
      </c>
      <c r="F1312" t="s">
        <v>2381</v>
      </c>
      <c r="G1312" t="s">
        <v>2380</v>
      </c>
      <c r="H1312" t="s">
        <v>2380</v>
      </c>
      <c r="I1312">
        <v>0</v>
      </c>
      <c r="J1312" t="s">
        <v>2380</v>
      </c>
    </row>
    <row r="1313" spans="1:10" x14ac:dyDescent="0.35">
      <c r="A1313" t="s">
        <v>1059</v>
      </c>
      <c r="B1313" t="str">
        <f t="shared" si="42"/>
        <v>Obesity</v>
      </c>
      <c r="C1313">
        <v>33.344999999999999</v>
      </c>
      <c r="D1313">
        <v>5.44</v>
      </c>
      <c r="E1313" t="str">
        <f t="shared" si="43"/>
        <v>Normal</v>
      </c>
      <c r="F1313" t="s">
        <v>2381</v>
      </c>
      <c r="G1313" t="s">
        <v>2380</v>
      </c>
      <c r="H1313" t="s">
        <v>2380</v>
      </c>
      <c r="I1313">
        <v>0</v>
      </c>
      <c r="J1313" t="s">
        <v>2380</v>
      </c>
    </row>
    <row r="1314" spans="1:10" x14ac:dyDescent="0.35">
      <c r="A1314" t="s">
        <v>1058</v>
      </c>
      <c r="B1314" t="str">
        <f t="shared" si="42"/>
        <v>Obesity</v>
      </c>
      <c r="C1314">
        <v>38.79</v>
      </c>
      <c r="D1314">
        <v>5.08</v>
      </c>
      <c r="E1314" t="str">
        <f t="shared" si="43"/>
        <v>Normal</v>
      </c>
      <c r="F1314" t="s">
        <v>2380</v>
      </c>
      <c r="G1314" t="s">
        <v>2380</v>
      </c>
      <c r="H1314" t="s">
        <v>2382</v>
      </c>
      <c r="I1314">
        <v>1</v>
      </c>
      <c r="J1314" t="s">
        <v>2380</v>
      </c>
    </row>
    <row r="1315" spans="1:10" x14ac:dyDescent="0.35">
      <c r="A1315" t="s">
        <v>1057</v>
      </c>
      <c r="B1315" t="str">
        <f t="shared" si="42"/>
        <v>Obesity</v>
      </c>
      <c r="C1315">
        <v>30.684999999999999</v>
      </c>
      <c r="D1315">
        <v>4.87</v>
      </c>
      <c r="E1315" t="str">
        <f t="shared" si="43"/>
        <v>Normal</v>
      </c>
      <c r="F1315" t="s">
        <v>2380</v>
      </c>
      <c r="G1315" t="s">
        <v>2380</v>
      </c>
      <c r="H1315" t="s">
        <v>2382</v>
      </c>
      <c r="I1315">
        <v>1</v>
      </c>
      <c r="J1315" t="s">
        <v>2380</v>
      </c>
    </row>
    <row r="1316" spans="1:10" x14ac:dyDescent="0.35">
      <c r="A1316" t="s">
        <v>1056</v>
      </c>
      <c r="B1316" t="str">
        <f t="shared" si="42"/>
        <v>Normal Weight</v>
      </c>
      <c r="C1316">
        <v>22.135000000000002</v>
      </c>
      <c r="D1316">
        <v>8.17</v>
      </c>
      <c r="E1316" t="str">
        <f t="shared" si="43"/>
        <v>Diabetes</v>
      </c>
      <c r="F1316" t="s">
        <v>2380</v>
      </c>
      <c r="G1316" t="s">
        <v>2380</v>
      </c>
      <c r="H1316" t="s">
        <v>2380</v>
      </c>
      <c r="I1316">
        <v>0</v>
      </c>
      <c r="J1316" t="s">
        <v>2380</v>
      </c>
    </row>
    <row r="1317" spans="1:10" x14ac:dyDescent="0.35">
      <c r="A1317" t="s">
        <v>1055</v>
      </c>
      <c r="B1317" t="str">
        <f t="shared" si="42"/>
        <v>Obesity</v>
      </c>
      <c r="C1317">
        <v>33.33</v>
      </c>
      <c r="D1317">
        <v>7.61</v>
      </c>
      <c r="E1317" t="str">
        <f t="shared" si="43"/>
        <v>Diabetes</v>
      </c>
      <c r="F1317" t="s">
        <v>2380</v>
      </c>
      <c r="G1317" t="s">
        <v>2380</v>
      </c>
      <c r="H1317" t="s">
        <v>2380</v>
      </c>
      <c r="I1317">
        <v>0</v>
      </c>
      <c r="J1317" t="s">
        <v>2380</v>
      </c>
    </row>
    <row r="1318" spans="1:10" x14ac:dyDescent="0.35">
      <c r="A1318" t="s">
        <v>1054</v>
      </c>
      <c r="B1318" t="str">
        <f t="shared" si="42"/>
        <v>Obesity</v>
      </c>
      <c r="C1318">
        <v>31.13</v>
      </c>
      <c r="D1318">
        <v>10.1</v>
      </c>
      <c r="E1318" t="str">
        <f t="shared" si="43"/>
        <v>Diabetes</v>
      </c>
      <c r="F1318" t="s">
        <v>2380</v>
      </c>
      <c r="G1318" t="s">
        <v>2380</v>
      </c>
      <c r="H1318" t="s">
        <v>2380</v>
      </c>
      <c r="I1318">
        <v>0</v>
      </c>
      <c r="J1318" t="s">
        <v>2380</v>
      </c>
    </row>
    <row r="1319" spans="1:10" x14ac:dyDescent="0.35">
      <c r="A1319" t="s">
        <v>1053</v>
      </c>
      <c r="B1319" t="str">
        <f t="shared" si="42"/>
        <v>Overweight</v>
      </c>
      <c r="C1319">
        <v>28.9</v>
      </c>
      <c r="D1319">
        <v>11.24</v>
      </c>
      <c r="E1319" t="str">
        <f t="shared" si="43"/>
        <v>Diabetes</v>
      </c>
      <c r="F1319" t="s">
        <v>2380</v>
      </c>
      <c r="G1319" t="s">
        <v>2380</v>
      </c>
      <c r="H1319" t="s">
        <v>2380</v>
      </c>
      <c r="I1319">
        <v>0</v>
      </c>
      <c r="J1319" t="s">
        <v>2380</v>
      </c>
    </row>
    <row r="1320" spans="1:10" x14ac:dyDescent="0.35">
      <c r="A1320" t="s">
        <v>1052</v>
      </c>
      <c r="B1320" t="str">
        <f t="shared" si="42"/>
        <v>Obesity</v>
      </c>
      <c r="C1320">
        <v>43.31</v>
      </c>
      <c r="D1320">
        <v>6.1</v>
      </c>
      <c r="E1320" t="str">
        <f t="shared" si="43"/>
        <v>Prediabetes</v>
      </c>
      <c r="F1320" t="s">
        <v>2381</v>
      </c>
      <c r="G1320" t="s">
        <v>2381</v>
      </c>
      <c r="H1320" t="s">
        <v>2380</v>
      </c>
      <c r="I1320">
        <v>1</v>
      </c>
      <c r="J1320" t="s">
        <v>2380</v>
      </c>
    </row>
    <row r="1321" spans="1:10" x14ac:dyDescent="0.35">
      <c r="A1321" t="s">
        <v>1051</v>
      </c>
      <c r="B1321" t="str">
        <f t="shared" si="42"/>
        <v>Normal Weight</v>
      </c>
      <c r="C1321">
        <v>22.8</v>
      </c>
      <c r="D1321">
        <v>6.98</v>
      </c>
      <c r="E1321" t="str">
        <f t="shared" si="43"/>
        <v>Diabetes</v>
      </c>
      <c r="F1321" t="s">
        <v>2380</v>
      </c>
      <c r="G1321" t="s">
        <v>2380</v>
      </c>
      <c r="H1321" t="s">
        <v>2380</v>
      </c>
      <c r="I1321">
        <v>0</v>
      </c>
      <c r="J1321" t="s">
        <v>2380</v>
      </c>
    </row>
    <row r="1322" spans="1:10" x14ac:dyDescent="0.35">
      <c r="A1322" t="s">
        <v>1050</v>
      </c>
      <c r="B1322" t="str">
        <f t="shared" si="42"/>
        <v>Normal Weight</v>
      </c>
      <c r="C1322">
        <v>19.09</v>
      </c>
      <c r="D1322">
        <v>4</v>
      </c>
      <c r="E1322" t="str">
        <f t="shared" si="43"/>
        <v>Normal</v>
      </c>
      <c r="F1322" t="s">
        <v>2381</v>
      </c>
      <c r="G1322" t="s">
        <v>2380</v>
      </c>
      <c r="H1322" t="s">
        <v>2380</v>
      </c>
      <c r="I1322">
        <v>1</v>
      </c>
      <c r="J1322" t="s">
        <v>2380</v>
      </c>
    </row>
    <row r="1323" spans="1:10" x14ac:dyDescent="0.35">
      <c r="A1323" t="s">
        <v>1049</v>
      </c>
      <c r="B1323" t="str">
        <f t="shared" si="42"/>
        <v>Normal Weight</v>
      </c>
      <c r="C1323">
        <v>23.37</v>
      </c>
      <c r="D1323">
        <v>4.2300000000000004</v>
      </c>
      <c r="E1323" t="str">
        <f t="shared" si="43"/>
        <v>Normal</v>
      </c>
      <c r="F1323" t="s">
        <v>2380</v>
      </c>
      <c r="G1323" t="s">
        <v>2380</v>
      </c>
      <c r="H1323" t="s">
        <v>2380</v>
      </c>
      <c r="I1323">
        <v>0</v>
      </c>
      <c r="J1323" t="s">
        <v>2380</v>
      </c>
    </row>
    <row r="1324" spans="1:10" x14ac:dyDescent="0.35">
      <c r="A1324" t="s">
        <v>1048</v>
      </c>
      <c r="B1324" t="str">
        <f t="shared" si="42"/>
        <v>Obesity</v>
      </c>
      <c r="C1324">
        <v>33.44</v>
      </c>
      <c r="D1324">
        <v>4.72</v>
      </c>
      <c r="E1324" t="str">
        <f t="shared" si="43"/>
        <v>Normal</v>
      </c>
      <c r="F1324" t="s">
        <v>2381</v>
      </c>
      <c r="G1324" t="s">
        <v>2380</v>
      </c>
      <c r="H1324" t="s">
        <v>2380</v>
      </c>
      <c r="I1324">
        <v>0</v>
      </c>
      <c r="J1324" t="s">
        <v>2380</v>
      </c>
    </row>
    <row r="1325" spans="1:10" x14ac:dyDescent="0.35">
      <c r="A1325" t="s">
        <v>1047</v>
      </c>
      <c r="B1325" t="str">
        <f t="shared" si="42"/>
        <v>Overweight</v>
      </c>
      <c r="C1325">
        <v>28.05</v>
      </c>
      <c r="D1325">
        <v>5.63</v>
      </c>
      <c r="E1325" t="str">
        <f t="shared" si="43"/>
        <v>Normal</v>
      </c>
      <c r="F1325" t="s">
        <v>2381</v>
      </c>
      <c r="G1325" t="s">
        <v>2380</v>
      </c>
      <c r="H1325" t="s">
        <v>2380</v>
      </c>
      <c r="I1325">
        <v>0</v>
      </c>
      <c r="J1325" t="s">
        <v>2380</v>
      </c>
    </row>
    <row r="1326" spans="1:10" x14ac:dyDescent="0.35">
      <c r="A1326" t="s">
        <v>1046</v>
      </c>
      <c r="B1326" t="str">
        <f t="shared" si="42"/>
        <v>Overweight</v>
      </c>
      <c r="C1326">
        <v>27.72</v>
      </c>
      <c r="D1326">
        <v>5.83</v>
      </c>
      <c r="E1326" t="str">
        <f t="shared" si="43"/>
        <v>Prediabetes</v>
      </c>
      <c r="F1326" t="s">
        <v>2381</v>
      </c>
      <c r="G1326" t="s">
        <v>2380</v>
      </c>
      <c r="H1326" t="s">
        <v>2380</v>
      </c>
      <c r="I1326">
        <v>0</v>
      </c>
      <c r="J1326" t="s">
        <v>2380</v>
      </c>
    </row>
    <row r="1327" spans="1:10" x14ac:dyDescent="0.35">
      <c r="A1327" t="s">
        <v>1045</v>
      </c>
      <c r="B1327" t="str">
        <f t="shared" si="42"/>
        <v>Overweight</v>
      </c>
      <c r="C1327">
        <v>29.81</v>
      </c>
      <c r="D1327">
        <v>9.23</v>
      </c>
      <c r="E1327" t="str">
        <f t="shared" si="43"/>
        <v>Diabetes</v>
      </c>
      <c r="F1327" t="s">
        <v>2380</v>
      </c>
      <c r="G1327" t="s">
        <v>2380</v>
      </c>
      <c r="H1327" t="s">
        <v>2380</v>
      </c>
      <c r="I1327">
        <v>0</v>
      </c>
      <c r="J1327" t="s">
        <v>2380</v>
      </c>
    </row>
    <row r="1328" spans="1:10" x14ac:dyDescent="0.35">
      <c r="A1328" t="s">
        <v>1044</v>
      </c>
      <c r="B1328" t="str">
        <f t="shared" si="42"/>
        <v>Normal Weight</v>
      </c>
      <c r="C1328">
        <v>23.98</v>
      </c>
      <c r="D1328">
        <v>9.89</v>
      </c>
      <c r="E1328" t="str">
        <f t="shared" si="43"/>
        <v>Diabetes</v>
      </c>
      <c r="F1328" t="s">
        <v>2380</v>
      </c>
      <c r="G1328" t="s">
        <v>2380</v>
      </c>
      <c r="H1328" t="s">
        <v>2380</v>
      </c>
      <c r="I1328">
        <v>0</v>
      </c>
      <c r="J1328" t="s">
        <v>2380</v>
      </c>
    </row>
    <row r="1329" spans="1:10" x14ac:dyDescent="0.35">
      <c r="A1329" t="s">
        <v>1043</v>
      </c>
      <c r="B1329" t="str">
        <f t="shared" si="42"/>
        <v>Underweight</v>
      </c>
      <c r="C1329">
        <v>17.34</v>
      </c>
      <c r="D1329">
        <v>12</v>
      </c>
      <c r="E1329" t="str">
        <f t="shared" si="43"/>
        <v>Diabetes</v>
      </c>
      <c r="F1329" t="s">
        <v>2380</v>
      </c>
      <c r="G1329" t="s">
        <v>2380</v>
      </c>
      <c r="H1329" t="s">
        <v>2380</v>
      </c>
      <c r="I1329">
        <v>0</v>
      </c>
      <c r="J1329" t="s">
        <v>2380</v>
      </c>
    </row>
    <row r="1330" spans="1:10" x14ac:dyDescent="0.35">
      <c r="A1330" t="s">
        <v>1042</v>
      </c>
      <c r="B1330" t="str">
        <f t="shared" si="42"/>
        <v>Obesity</v>
      </c>
      <c r="C1330">
        <v>40.39</v>
      </c>
      <c r="D1330">
        <v>4.24</v>
      </c>
      <c r="E1330" t="str">
        <f t="shared" si="43"/>
        <v>Normal</v>
      </c>
      <c r="F1330" t="s">
        <v>2381</v>
      </c>
      <c r="G1330" t="s">
        <v>2380</v>
      </c>
      <c r="H1330" t="s">
        <v>2382</v>
      </c>
      <c r="I1330">
        <v>1</v>
      </c>
      <c r="J1330" t="s">
        <v>2380</v>
      </c>
    </row>
    <row r="1331" spans="1:10" x14ac:dyDescent="0.35">
      <c r="A1331" t="s">
        <v>1041</v>
      </c>
      <c r="B1331" t="str">
        <f t="shared" si="42"/>
        <v>Overweight</v>
      </c>
      <c r="C1331">
        <v>25.96</v>
      </c>
      <c r="D1331">
        <v>4.68</v>
      </c>
      <c r="E1331" t="str">
        <f t="shared" si="43"/>
        <v>Normal</v>
      </c>
      <c r="F1331" t="s">
        <v>2381</v>
      </c>
      <c r="G1331" t="s">
        <v>2380</v>
      </c>
      <c r="H1331" t="s">
        <v>2382</v>
      </c>
      <c r="I1331">
        <v>1</v>
      </c>
      <c r="J1331" t="s">
        <v>2380</v>
      </c>
    </row>
    <row r="1332" spans="1:10" x14ac:dyDescent="0.35">
      <c r="A1332" t="s">
        <v>1040</v>
      </c>
      <c r="B1332" t="str">
        <f t="shared" si="42"/>
        <v>Underweight</v>
      </c>
      <c r="C1332">
        <v>17.68</v>
      </c>
      <c r="D1332">
        <v>8.57</v>
      </c>
      <c r="E1332" t="str">
        <f t="shared" si="43"/>
        <v>Diabetes</v>
      </c>
      <c r="F1332" t="s">
        <v>2381</v>
      </c>
      <c r="G1332" t="s">
        <v>2380</v>
      </c>
      <c r="H1332" t="s">
        <v>2382</v>
      </c>
      <c r="I1332">
        <v>1</v>
      </c>
      <c r="J1332" t="s">
        <v>2380</v>
      </c>
    </row>
    <row r="1333" spans="1:10" x14ac:dyDescent="0.35">
      <c r="A1333" t="s">
        <v>1039</v>
      </c>
      <c r="B1333" t="str">
        <f t="shared" si="42"/>
        <v>Obesity</v>
      </c>
      <c r="C1333">
        <v>30.875</v>
      </c>
      <c r="D1333">
        <v>4.0999999999999996</v>
      </c>
      <c r="E1333" t="str">
        <f t="shared" si="43"/>
        <v>Normal</v>
      </c>
      <c r="F1333" t="s">
        <v>2380</v>
      </c>
      <c r="G1333" t="s">
        <v>2380</v>
      </c>
      <c r="H1333" t="s">
        <v>2380</v>
      </c>
      <c r="I1333">
        <v>0</v>
      </c>
      <c r="J1333" t="s">
        <v>2380</v>
      </c>
    </row>
    <row r="1334" spans="1:10" x14ac:dyDescent="0.35">
      <c r="A1334" t="s">
        <v>1038</v>
      </c>
      <c r="B1334" t="str">
        <f t="shared" si="42"/>
        <v>Obesity</v>
      </c>
      <c r="C1334">
        <v>30.81</v>
      </c>
      <c r="D1334">
        <v>4.49</v>
      </c>
      <c r="E1334" t="str">
        <f t="shared" si="43"/>
        <v>Normal</v>
      </c>
      <c r="F1334" t="s">
        <v>2380</v>
      </c>
      <c r="G1334" t="s">
        <v>2380</v>
      </c>
      <c r="H1334" t="s">
        <v>2380</v>
      </c>
      <c r="I1334">
        <v>0</v>
      </c>
      <c r="J1334" t="s">
        <v>2380</v>
      </c>
    </row>
    <row r="1335" spans="1:10" x14ac:dyDescent="0.35">
      <c r="A1335" t="s">
        <v>1037</v>
      </c>
      <c r="B1335" t="str">
        <f t="shared" si="42"/>
        <v>Obesity</v>
      </c>
      <c r="C1335">
        <v>36.85</v>
      </c>
      <c r="D1335">
        <v>8.8000000000000007</v>
      </c>
      <c r="E1335" t="str">
        <f t="shared" si="43"/>
        <v>Diabetes</v>
      </c>
      <c r="F1335" t="s">
        <v>2380</v>
      </c>
      <c r="G1335" t="s">
        <v>2380</v>
      </c>
      <c r="H1335" t="s">
        <v>2380</v>
      </c>
      <c r="I1335">
        <v>2</v>
      </c>
      <c r="J1335" t="s">
        <v>2380</v>
      </c>
    </row>
    <row r="1336" spans="1:10" x14ac:dyDescent="0.35">
      <c r="A1336" t="s">
        <v>1036</v>
      </c>
      <c r="B1336" t="str">
        <f t="shared" si="42"/>
        <v>Obesity</v>
      </c>
      <c r="C1336">
        <v>35.86</v>
      </c>
      <c r="D1336">
        <v>7.93</v>
      </c>
      <c r="E1336" t="str">
        <f t="shared" si="43"/>
        <v>Diabetes</v>
      </c>
      <c r="F1336" t="s">
        <v>2380</v>
      </c>
      <c r="G1336" t="s">
        <v>2380</v>
      </c>
      <c r="H1336" t="s">
        <v>2380</v>
      </c>
      <c r="I1336">
        <v>2</v>
      </c>
      <c r="J1336" t="s">
        <v>2380</v>
      </c>
    </row>
    <row r="1337" spans="1:10" x14ac:dyDescent="0.35">
      <c r="A1337" t="s">
        <v>1035</v>
      </c>
      <c r="B1337" t="str">
        <f t="shared" si="42"/>
        <v>Obesity</v>
      </c>
      <c r="C1337">
        <v>30.3</v>
      </c>
      <c r="D1337">
        <v>9.4499999999999993</v>
      </c>
      <c r="E1337" t="str">
        <f t="shared" si="43"/>
        <v>Diabetes</v>
      </c>
      <c r="F1337" t="s">
        <v>2380</v>
      </c>
      <c r="G1337" t="s">
        <v>2380</v>
      </c>
      <c r="H1337" t="s">
        <v>2380</v>
      </c>
      <c r="I1337">
        <v>2</v>
      </c>
      <c r="J1337" t="s">
        <v>2380</v>
      </c>
    </row>
    <row r="1338" spans="1:10" x14ac:dyDescent="0.35">
      <c r="A1338" t="s">
        <v>1034</v>
      </c>
      <c r="B1338" t="str">
        <f t="shared" si="42"/>
        <v>Obesity</v>
      </c>
      <c r="C1338">
        <v>32.015000000000001</v>
      </c>
      <c r="D1338">
        <v>7.67</v>
      </c>
      <c r="E1338" t="str">
        <f t="shared" si="43"/>
        <v>Diabetes</v>
      </c>
      <c r="F1338" t="s">
        <v>2380</v>
      </c>
      <c r="G1338" t="s">
        <v>2380</v>
      </c>
      <c r="H1338" t="s">
        <v>2380</v>
      </c>
      <c r="I1338">
        <v>0</v>
      </c>
      <c r="J1338" t="s">
        <v>2380</v>
      </c>
    </row>
    <row r="1339" spans="1:10" x14ac:dyDescent="0.35">
      <c r="A1339" t="s">
        <v>1033</v>
      </c>
      <c r="B1339" t="str">
        <f t="shared" si="42"/>
        <v>Overweight</v>
      </c>
      <c r="C1339">
        <v>25.06</v>
      </c>
      <c r="D1339">
        <v>10.53</v>
      </c>
      <c r="E1339" t="str">
        <f t="shared" si="43"/>
        <v>Diabetes</v>
      </c>
      <c r="F1339" t="s">
        <v>2380</v>
      </c>
      <c r="G1339" t="s">
        <v>2380</v>
      </c>
      <c r="H1339" t="s">
        <v>2380</v>
      </c>
      <c r="I1339">
        <v>2</v>
      </c>
      <c r="J1339" t="s">
        <v>2380</v>
      </c>
    </row>
    <row r="1340" spans="1:10" x14ac:dyDescent="0.35">
      <c r="A1340" t="s">
        <v>1032</v>
      </c>
      <c r="B1340" t="str">
        <f t="shared" si="42"/>
        <v>Normal Weight</v>
      </c>
      <c r="C1340">
        <v>18.829999999999998</v>
      </c>
      <c r="D1340">
        <v>10.08</v>
      </c>
      <c r="E1340" t="str">
        <f t="shared" si="43"/>
        <v>Diabetes</v>
      </c>
      <c r="F1340" t="s">
        <v>2381</v>
      </c>
      <c r="G1340" t="s">
        <v>2380</v>
      </c>
      <c r="H1340" t="s">
        <v>2380</v>
      </c>
      <c r="I1340">
        <v>0</v>
      </c>
      <c r="J1340" t="s">
        <v>2380</v>
      </c>
    </row>
    <row r="1341" spans="1:10" x14ac:dyDescent="0.35">
      <c r="A1341" t="s">
        <v>1031</v>
      </c>
      <c r="B1341" t="str">
        <f t="shared" si="42"/>
        <v>Obesity</v>
      </c>
      <c r="C1341">
        <v>47.52</v>
      </c>
      <c r="D1341">
        <v>11.39</v>
      </c>
      <c r="E1341" t="str">
        <f t="shared" si="43"/>
        <v>Diabetes</v>
      </c>
      <c r="F1341" t="s">
        <v>2381</v>
      </c>
      <c r="G1341" t="s">
        <v>2380</v>
      </c>
      <c r="H1341" t="s">
        <v>2380</v>
      </c>
      <c r="I1341">
        <v>1</v>
      </c>
      <c r="J1341" t="s">
        <v>2380</v>
      </c>
    </row>
    <row r="1342" spans="1:10" x14ac:dyDescent="0.35">
      <c r="A1342" t="s">
        <v>1030</v>
      </c>
      <c r="B1342" t="str">
        <f t="shared" si="42"/>
        <v>Obesity</v>
      </c>
      <c r="C1342">
        <v>37.82</v>
      </c>
      <c r="D1342">
        <v>6.36</v>
      </c>
      <c r="E1342" t="str">
        <f t="shared" si="43"/>
        <v>Prediabetes</v>
      </c>
      <c r="F1342" t="s">
        <v>2380</v>
      </c>
      <c r="G1342" t="s">
        <v>2380</v>
      </c>
      <c r="H1342" t="s">
        <v>2380</v>
      </c>
      <c r="I1342">
        <v>0</v>
      </c>
      <c r="J1342" t="s">
        <v>2380</v>
      </c>
    </row>
    <row r="1343" spans="1:10" x14ac:dyDescent="0.35">
      <c r="A1343" t="s">
        <v>1029</v>
      </c>
      <c r="B1343" t="str">
        <f t="shared" si="42"/>
        <v>Obesity</v>
      </c>
      <c r="C1343">
        <v>44.16</v>
      </c>
      <c r="D1343">
        <v>5.31</v>
      </c>
      <c r="E1343" t="str">
        <f t="shared" si="43"/>
        <v>Normal</v>
      </c>
      <c r="F1343" t="s">
        <v>2381</v>
      </c>
      <c r="G1343" t="s">
        <v>2380</v>
      </c>
      <c r="H1343" t="s">
        <v>2380</v>
      </c>
      <c r="I1343">
        <v>0</v>
      </c>
      <c r="J1343" t="s">
        <v>2380</v>
      </c>
    </row>
    <row r="1344" spans="1:10" x14ac:dyDescent="0.35">
      <c r="A1344" t="s">
        <v>1028</v>
      </c>
      <c r="B1344" t="str">
        <f t="shared" si="42"/>
        <v>Obesity</v>
      </c>
      <c r="C1344">
        <v>37.049999999999997</v>
      </c>
      <c r="D1344">
        <v>4.74</v>
      </c>
      <c r="E1344" t="str">
        <f t="shared" si="43"/>
        <v>Normal</v>
      </c>
      <c r="F1344" t="s">
        <v>2380</v>
      </c>
      <c r="G1344" t="s">
        <v>2380</v>
      </c>
      <c r="H1344" t="s">
        <v>2382</v>
      </c>
      <c r="I1344">
        <v>1</v>
      </c>
      <c r="J1344" t="s">
        <v>2380</v>
      </c>
    </row>
    <row r="1345" spans="1:10" x14ac:dyDescent="0.35">
      <c r="A1345" t="s">
        <v>1027</v>
      </c>
      <c r="B1345" t="str">
        <f t="shared" si="42"/>
        <v>Normal Weight</v>
      </c>
      <c r="C1345">
        <v>18.66</v>
      </c>
      <c r="D1345">
        <v>11.35</v>
      </c>
      <c r="E1345" t="str">
        <f t="shared" si="43"/>
        <v>Diabetes</v>
      </c>
      <c r="F1345" t="s">
        <v>2380</v>
      </c>
      <c r="G1345" t="s">
        <v>2380</v>
      </c>
      <c r="H1345" t="s">
        <v>2380</v>
      </c>
      <c r="I1345">
        <v>0</v>
      </c>
      <c r="J1345" t="s">
        <v>2380</v>
      </c>
    </row>
    <row r="1346" spans="1:10" x14ac:dyDescent="0.35">
      <c r="A1346" t="s">
        <v>1026</v>
      </c>
      <c r="B1346" t="str">
        <f t="shared" si="42"/>
        <v>Obesity</v>
      </c>
      <c r="C1346">
        <v>36.200000000000003</v>
      </c>
      <c r="D1346">
        <v>6.81</v>
      </c>
      <c r="E1346" t="str">
        <f t="shared" si="43"/>
        <v>Diabetes</v>
      </c>
      <c r="F1346" t="s">
        <v>2381</v>
      </c>
      <c r="G1346" t="s">
        <v>2380</v>
      </c>
      <c r="H1346" t="s">
        <v>2380</v>
      </c>
      <c r="I1346">
        <v>1</v>
      </c>
      <c r="J1346" t="s">
        <v>2380</v>
      </c>
    </row>
    <row r="1347" spans="1:10" x14ac:dyDescent="0.35">
      <c r="A1347" t="s">
        <v>1025</v>
      </c>
      <c r="B1347" t="str">
        <f t="shared" ref="B1347:B1410" si="44">IF(C1347&lt;18.5,"Underweight",IF(C1347&lt;25,"Normal Weight",IF(C1347&lt;30,"Overweight","Obesity")))</f>
        <v>Normal Weight</v>
      </c>
      <c r="C1347">
        <v>18.87</v>
      </c>
      <c r="D1347">
        <v>8.06</v>
      </c>
      <c r="E1347" t="str">
        <f t="shared" ref="E1347:E1410" si="45">IF(D1347&lt;5.7,"Normal",IF(D1347&lt;6.5,"Prediabetes","Diabetes"))</f>
        <v>Diabetes</v>
      </c>
      <c r="F1347" t="s">
        <v>2380</v>
      </c>
      <c r="G1347" t="s">
        <v>2380</v>
      </c>
      <c r="H1347" t="s">
        <v>2380</v>
      </c>
      <c r="I1347">
        <v>0</v>
      </c>
      <c r="J1347" t="s">
        <v>2380</v>
      </c>
    </row>
    <row r="1348" spans="1:10" x14ac:dyDescent="0.35">
      <c r="A1348" t="s">
        <v>1024</v>
      </c>
      <c r="B1348" t="str">
        <f t="shared" si="44"/>
        <v>Obesity</v>
      </c>
      <c r="C1348">
        <v>32.299999999999997</v>
      </c>
      <c r="D1348">
        <v>6.74</v>
      </c>
      <c r="E1348" t="str">
        <f t="shared" si="45"/>
        <v>Diabetes</v>
      </c>
      <c r="F1348" t="s">
        <v>2381</v>
      </c>
      <c r="G1348" t="s">
        <v>2380</v>
      </c>
      <c r="H1348" t="s">
        <v>2380</v>
      </c>
      <c r="I1348">
        <v>1</v>
      </c>
      <c r="J1348" t="s">
        <v>2380</v>
      </c>
    </row>
    <row r="1349" spans="1:10" x14ac:dyDescent="0.35">
      <c r="A1349" t="s">
        <v>1023</v>
      </c>
      <c r="B1349" t="str">
        <f t="shared" si="44"/>
        <v>Normal Weight</v>
      </c>
      <c r="C1349">
        <v>22.64</v>
      </c>
      <c r="D1349">
        <v>6.54</v>
      </c>
      <c r="E1349" t="str">
        <f t="shared" si="45"/>
        <v>Diabetes</v>
      </c>
      <c r="F1349" t="s">
        <v>2381</v>
      </c>
      <c r="G1349" t="s">
        <v>2380</v>
      </c>
      <c r="H1349" t="s">
        <v>2380</v>
      </c>
      <c r="I1349">
        <v>2</v>
      </c>
      <c r="J1349" t="s">
        <v>2380</v>
      </c>
    </row>
    <row r="1350" spans="1:10" x14ac:dyDescent="0.35">
      <c r="A1350" t="s">
        <v>1022</v>
      </c>
      <c r="B1350" t="str">
        <f t="shared" si="44"/>
        <v>Overweight</v>
      </c>
      <c r="C1350">
        <v>28.69</v>
      </c>
      <c r="D1350">
        <v>5.4</v>
      </c>
      <c r="E1350" t="str">
        <f t="shared" si="45"/>
        <v>Normal</v>
      </c>
      <c r="F1350" t="s">
        <v>2380</v>
      </c>
      <c r="G1350" t="s">
        <v>2380</v>
      </c>
      <c r="H1350" t="s">
        <v>2380</v>
      </c>
      <c r="I1350">
        <v>0</v>
      </c>
      <c r="J1350" t="s">
        <v>2380</v>
      </c>
    </row>
    <row r="1351" spans="1:10" x14ac:dyDescent="0.35">
      <c r="A1351" t="s">
        <v>1021</v>
      </c>
      <c r="B1351" t="str">
        <f t="shared" si="44"/>
        <v>Overweight</v>
      </c>
      <c r="C1351">
        <v>28.16</v>
      </c>
      <c r="D1351">
        <v>5.58</v>
      </c>
      <c r="E1351" t="str">
        <f t="shared" si="45"/>
        <v>Normal</v>
      </c>
      <c r="F1351" t="s">
        <v>2381</v>
      </c>
      <c r="G1351" t="s">
        <v>2380</v>
      </c>
      <c r="H1351" t="s">
        <v>2380</v>
      </c>
      <c r="I1351">
        <v>0</v>
      </c>
      <c r="J1351" t="s">
        <v>2380</v>
      </c>
    </row>
    <row r="1352" spans="1:10" x14ac:dyDescent="0.35">
      <c r="A1352" t="s">
        <v>1020</v>
      </c>
      <c r="B1352" t="str">
        <f t="shared" si="44"/>
        <v>Obesity</v>
      </c>
      <c r="C1352">
        <v>45.54</v>
      </c>
      <c r="D1352">
        <v>5.84</v>
      </c>
      <c r="E1352" t="str">
        <f t="shared" si="45"/>
        <v>Prediabetes</v>
      </c>
      <c r="F1352" t="s">
        <v>2380</v>
      </c>
      <c r="G1352" t="s">
        <v>2380</v>
      </c>
      <c r="H1352" t="s">
        <v>2382</v>
      </c>
      <c r="I1352">
        <v>1</v>
      </c>
      <c r="J1352" t="s">
        <v>2380</v>
      </c>
    </row>
    <row r="1353" spans="1:10" x14ac:dyDescent="0.35">
      <c r="A1353" t="s">
        <v>1019</v>
      </c>
      <c r="B1353" t="str">
        <f t="shared" si="44"/>
        <v>Overweight</v>
      </c>
      <c r="C1353">
        <v>28.7</v>
      </c>
      <c r="D1353">
        <v>4.2</v>
      </c>
      <c r="E1353" t="str">
        <f t="shared" si="45"/>
        <v>Normal</v>
      </c>
      <c r="F1353" t="s">
        <v>2380</v>
      </c>
      <c r="G1353" t="s">
        <v>2380</v>
      </c>
      <c r="H1353" t="s">
        <v>2380</v>
      </c>
      <c r="I1353">
        <v>0</v>
      </c>
      <c r="J1353" t="s">
        <v>2380</v>
      </c>
    </row>
    <row r="1354" spans="1:10" x14ac:dyDescent="0.35">
      <c r="A1354" t="s">
        <v>1018</v>
      </c>
      <c r="B1354" t="str">
        <f t="shared" si="44"/>
        <v>Overweight</v>
      </c>
      <c r="C1354">
        <v>27.74</v>
      </c>
      <c r="D1354">
        <v>6.06</v>
      </c>
      <c r="E1354" t="str">
        <f t="shared" si="45"/>
        <v>Prediabetes</v>
      </c>
      <c r="F1354" t="s">
        <v>2381</v>
      </c>
      <c r="G1354" t="s">
        <v>2380</v>
      </c>
      <c r="H1354" t="s">
        <v>2380</v>
      </c>
      <c r="I1354">
        <v>0</v>
      </c>
      <c r="J1354" t="s">
        <v>2380</v>
      </c>
    </row>
    <row r="1355" spans="1:10" x14ac:dyDescent="0.35">
      <c r="A1355" t="s">
        <v>1017</v>
      </c>
      <c r="B1355" t="str">
        <f t="shared" si="44"/>
        <v>Obesity</v>
      </c>
      <c r="C1355">
        <v>36.954999999999998</v>
      </c>
      <c r="D1355">
        <v>7.57</v>
      </c>
      <c r="E1355" t="str">
        <f t="shared" si="45"/>
        <v>Diabetes</v>
      </c>
      <c r="F1355" t="s">
        <v>2380</v>
      </c>
      <c r="G1355" t="s">
        <v>2380</v>
      </c>
      <c r="H1355" t="s">
        <v>2380</v>
      </c>
      <c r="I1355">
        <v>0</v>
      </c>
      <c r="J1355" t="s">
        <v>2380</v>
      </c>
    </row>
    <row r="1356" spans="1:10" x14ac:dyDescent="0.35">
      <c r="A1356" t="s">
        <v>1016</v>
      </c>
      <c r="B1356" t="str">
        <f t="shared" si="44"/>
        <v>Obesity</v>
      </c>
      <c r="C1356">
        <v>30.69</v>
      </c>
      <c r="D1356">
        <v>6.15</v>
      </c>
      <c r="E1356" t="str">
        <f t="shared" si="45"/>
        <v>Prediabetes</v>
      </c>
      <c r="F1356" t="s">
        <v>2380</v>
      </c>
      <c r="G1356" t="s">
        <v>2380</v>
      </c>
      <c r="H1356" t="s">
        <v>2380</v>
      </c>
      <c r="I1356">
        <v>0</v>
      </c>
      <c r="J1356" t="s">
        <v>2380</v>
      </c>
    </row>
    <row r="1357" spans="1:10" x14ac:dyDescent="0.35">
      <c r="A1357" t="s">
        <v>1015</v>
      </c>
      <c r="B1357" t="str">
        <f t="shared" si="44"/>
        <v>Normal Weight</v>
      </c>
      <c r="C1357">
        <v>24.984999999999999</v>
      </c>
      <c r="D1357">
        <v>4.5599999999999996</v>
      </c>
      <c r="E1357" t="str">
        <f t="shared" si="45"/>
        <v>Normal</v>
      </c>
      <c r="F1357" t="s">
        <v>2380</v>
      </c>
      <c r="G1357" t="s">
        <v>2380</v>
      </c>
      <c r="H1357" t="s">
        <v>2380</v>
      </c>
      <c r="I1357">
        <v>0</v>
      </c>
      <c r="J1357" t="s">
        <v>2380</v>
      </c>
    </row>
    <row r="1358" spans="1:10" x14ac:dyDescent="0.35">
      <c r="A1358" t="s">
        <v>1014</v>
      </c>
      <c r="B1358" t="str">
        <f t="shared" si="44"/>
        <v>Obesity</v>
      </c>
      <c r="C1358">
        <v>39.42</v>
      </c>
      <c r="D1358">
        <v>4.72</v>
      </c>
      <c r="E1358" t="str">
        <f t="shared" si="45"/>
        <v>Normal</v>
      </c>
      <c r="F1358" t="s">
        <v>2381</v>
      </c>
      <c r="G1358" t="s">
        <v>2380</v>
      </c>
      <c r="H1358" t="s">
        <v>2380</v>
      </c>
      <c r="I1358">
        <v>1</v>
      </c>
      <c r="J1358" t="s">
        <v>2380</v>
      </c>
    </row>
    <row r="1359" spans="1:10" x14ac:dyDescent="0.35">
      <c r="A1359" t="s">
        <v>1013</v>
      </c>
      <c r="B1359" t="str">
        <f t="shared" si="44"/>
        <v>Underweight</v>
      </c>
      <c r="C1359">
        <v>16.8</v>
      </c>
      <c r="D1359">
        <v>7.98</v>
      </c>
      <c r="E1359" t="str">
        <f t="shared" si="45"/>
        <v>Diabetes</v>
      </c>
      <c r="F1359" t="s">
        <v>2380</v>
      </c>
      <c r="G1359" t="s">
        <v>2380</v>
      </c>
      <c r="H1359" t="s">
        <v>2380</v>
      </c>
      <c r="I1359">
        <v>0</v>
      </c>
      <c r="J1359" t="s">
        <v>2380</v>
      </c>
    </row>
    <row r="1360" spans="1:10" x14ac:dyDescent="0.35">
      <c r="A1360" t="s">
        <v>1012</v>
      </c>
      <c r="B1360" t="str">
        <f t="shared" si="44"/>
        <v>Normal Weight</v>
      </c>
      <c r="C1360">
        <v>23.274999999999999</v>
      </c>
      <c r="D1360">
        <v>6.26</v>
      </c>
      <c r="E1360" t="str">
        <f t="shared" si="45"/>
        <v>Prediabetes</v>
      </c>
      <c r="F1360" t="s">
        <v>2381</v>
      </c>
      <c r="G1360" t="s">
        <v>2380</v>
      </c>
      <c r="H1360" t="s">
        <v>2382</v>
      </c>
      <c r="I1360">
        <v>1</v>
      </c>
      <c r="J1360" t="s">
        <v>2380</v>
      </c>
    </row>
    <row r="1361" spans="1:10" x14ac:dyDescent="0.35">
      <c r="A1361" t="s">
        <v>1011</v>
      </c>
      <c r="B1361" t="str">
        <f t="shared" si="44"/>
        <v>Normal Weight</v>
      </c>
      <c r="C1361">
        <v>22.8</v>
      </c>
      <c r="D1361">
        <v>4.29</v>
      </c>
      <c r="E1361" t="str">
        <f t="shared" si="45"/>
        <v>Normal</v>
      </c>
      <c r="F1361" t="s">
        <v>2381</v>
      </c>
      <c r="G1361" t="s">
        <v>2380</v>
      </c>
      <c r="H1361" t="s">
        <v>2382</v>
      </c>
      <c r="I1361">
        <v>1</v>
      </c>
      <c r="J1361" t="s">
        <v>2380</v>
      </c>
    </row>
    <row r="1362" spans="1:10" x14ac:dyDescent="0.35">
      <c r="A1362" t="s">
        <v>1010</v>
      </c>
      <c r="B1362" t="str">
        <f t="shared" si="44"/>
        <v>Normal Weight</v>
      </c>
      <c r="C1362">
        <v>24.3</v>
      </c>
      <c r="D1362">
        <v>5.43</v>
      </c>
      <c r="E1362" t="str">
        <f t="shared" si="45"/>
        <v>Normal</v>
      </c>
      <c r="F1362" t="s">
        <v>2380</v>
      </c>
      <c r="G1362" t="s">
        <v>2380</v>
      </c>
      <c r="H1362" t="s">
        <v>2380</v>
      </c>
      <c r="I1362">
        <v>2</v>
      </c>
      <c r="J1362" t="s">
        <v>2380</v>
      </c>
    </row>
    <row r="1363" spans="1:10" x14ac:dyDescent="0.35">
      <c r="A1363" t="s">
        <v>1009</v>
      </c>
      <c r="B1363" t="str">
        <f t="shared" si="44"/>
        <v>Overweight</v>
      </c>
      <c r="C1363">
        <v>25.13</v>
      </c>
      <c r="D1363">
        <v>8</v>
      </c>
      <c r="E1363" t="str">
        <f t="shared" si="45"/>
        <v>Diabetes</v>
      </c>
      <c r="F1363" t="s">
        <v>2381</v>
      </c>
      <c r="G1363" t="s">
        <v>2380</v>
      </c>
      <c r="H1363" t="s">
        <v>2380</v>
      </c>
      <c r="I1363">
        <v>1</v>
      </c>
      <c r="J1363" t="s">
        <v>2380</v>
      </c>
    </row>
    <row r="1364" spans="1:10" x14ac:dyDescent="0.35">
      <c r="A1364" t="s">
        <v>1008</v>
      </c>
      <c r="B1364" t="str">
        <f t="shared" si="44"/>
        <v>Normal Weight</v>
      </c>
      <c r="C1364">
        <v>22.72</v>
      </c>
      <c r="D1364">
        <v>9.9600000000000009</v>
      </c>
      <c r="E1364" t="str">
        <f t="shared" si="45"/>
        <v>Diabetes</v>
      </c>
      <c r="F1364" t="s">
        <v>2381</v>
      </c>
      <c r="G1364" t="s">
        <v>2380</v>
      </c>
      <c r="H1364" t="s">
        <v>2380</v>
      </c>
      <c r="I1364">
        <v>2</v>
      </c>
      <c r="J1364" t="s">
        <v>2380</v>
      </c>
    </row>
    <row r="1365" spans="1:10" x14ac:dyDescent="0.35">
      <c r="A1365" t="s">
        <v>1007</v>
      </c>
      <c r="B1365" t="str">
        <f t="shared" si="44"/>
        <v>Obesity</v>
      </c>
      <c r="C1365">
        <v>32.6</v>
      </c>
      <c r="D1365">
        <v>6.8</v>
      </c>
      <c r="E1365" t="str">
        <f t="shared" si="45"/>
        <v>Diabetes</v>
      </c>
      <c r="F1365" t="s">
        <v>2381</v>
      </c>
      <c r="G1365" t="s">
        <v>2380</v>
      </c>
      <c r="H1365" t="s">
        <v>2380</v>
      </c>
      <c r="I1365">
        <v>0</v>
      </c>
      <c r="J1365" t="s">
        <v>2380</v>
      </c>
    </row>
    <row r="1366" spans="1:10" x14ac:dyDescent="0.35">
      <c r="A1366" t="s">
        <v>1006</v>
      </c>
      <c r="B1366" t="str">
        <f t="shared" si="44"/>
        <v>Underweight</v>
      </c>
      <c r="C1366">
        <v>17.28</v>
      </c>
      <c r="D1366">
        <v>6.22</v>
      </c>
      <c r="E1366" t="str">
        <f t="shared" si="45"/>
        <v>Prediabetes</v>
      </c>
      <c r="F1366" t="s">
        <v>2381</v>
      </c>
      <c r="G1366" t="s">
        <v>2380</v>
      </c>
      <c r="H1366" t="s">
        <v>2380</v>
      </c>
      <c r="I1366">
        <v>2</v>
      </c>
      <c r="J1366" t="s">
        <v>2380</v>
      </c>
    </row>
    <row r="1367" spans="1:10" x14ac:dyDescent="0.35">
      <c r="A1367" t="s">
        <v>1005</v>
      </c>
      <c r="B1367" t="str">
        <f t="shared" si="44"/>
        <v>Overweight</v>
      </c>
      <c r="C1367">
        <v>27.92</v>
      </c>
      <c r="D1367">
        <v>5.79</v>
      </c>
      <c r="E1367" t="str">
        <f t="shared" si="45"/>
        <v>Prediabetes</v>
      </c>
      <c r="F1367" t="s">
        <v>2380</v>
      </c>
      <c r="G1367" t="s">
        <v>2380</v>
      </c>
      <c r="H1367" t="s">
        <v>2380</v>
      </c>
      <c r="I1367">
        <v>1</v>
      </c>
      <c r="J1367" t="s">
        <v>2380</v>
      </c>
    </row>
    <row r="1368" spans="1:10" x14ac:dyDescent="0.35">
      <c r="A1368" t="s">
        <v>1004</v>
      </c>
      <c r="B1368" t="str">
        <f t="shared" si="44"/>
        <v>Obesity</v>
      </c>
      <c r="C1368">
        <v>38.284999999999997</v>
      </c>
      <c r="D1368">
        <v>5.41</v>
      </c>
      <c r="E1368" t="str">
        <f t="shared" si="45"/>
        <v>Normal</v>
      </c>
      <c r="F1368" t="s">
        <v>2380</v>
      </c>
      <c r="G1368" t="s">
        <v>2380</v>
      </c>
      <c r="H1368" t="s">
        <v>2380</v>
      </c>
      <c r="I1368">
        <v>0</v>
      </c>
      <c r="J1368" t="s">
        <v>2380</v>
      </c>
    </row>
    <row r="1369" spans="1:10" x14ac:dyDescent="0.35">
      <c r="A1369" t="s">
        <v>1003</v>
      </c>
      <c r="B1369" t="str">
        <f t="shared" si="44"/>
        <v>Underweight</v>
      </c>
      <c r="C1369">
        <v>16.48</v>
      </c>
      <c r="D1369">
        <v>11.05</v>
      </c>
      <c r="E1369" t="str">
        <f t="shared" si="45"/>
        <v>Diabetes</v>
      </c>
      <c r="F1369" t="s">
        <v>2380</v>
      </c>
      <c r="G1369" t="s">
        <v>2380</v>
      </c>
      <c r="H1369" t="s">
        <v>2380</v>
      </c>
      <c r="I1369">
        <v>0</v>
      </c>
      <c r="J1369" t="s">
        <v>2380</v>
      </c>
    </row>
    <row r="1370" spans="1:10" x14ac:dyDescent="0.35">
      <c r="A1370" t="s">
        <v>1002</v>
      </c>
      <c r="B1370" t="str">
        <f t="shared" si="44"/>
        <v>Obesity</v>
      </c>
      <c r="C1370">
        <v>38.57</v>
      </c>
      <c r="D1370">
        <v>6.27</v>
      </c>
      <c r="E1370" t="str">
        <f t="shared" si="45"/>
        <v>Prediabetes</v>
      </c>
      <c r="F1370" t="s">
        <v>2380</v>
      </c>
      <c r="G1370" t="s">
        <v>2380</v>
      </c>
      <c r="H1370" t="s">
        <v>2380</v>
      </c>
      <c r="I1370">
        <v>0</v>
      </c>
      <c r="J1370" t="s">
        <v>2380</v>
      </c>
    </row>
    <row r="1371" spans="1:10" x14ac:dyDescent="0.35">
      <c r="A1371" t="s">
        <v>1001</v>
      </c>
      <c r="B1371" t="str">
        <f t="shared" si="44"/>
        <v>Obesity</v>
      </c>
      <c r="C1371">
        <v>43.85</v>
      </c>
      <c r="D1371">
        <v>4.7699999999999996</v>
      </c>
      <c r="E1371" t="str">
        <f t="shared" si="45"/>
        <v>Normal</v>
      </c>
      <c r="F1371" t="s">
        <v>2381</v>
      </c>
      <c r="G1371" t="s">
        <v>2380</v>
      </c>
      <c r="H1371" t="s">
        <v>2380</v>
      </c>
      <c r="I1371">
        <v>0</v>
      </c>
      <c r="J1371" t="s">
        <v>2380</v>
      </c>
    </row>
    <row r="1372" spans="1:10" x14ac:dyDescent="0.35">
      <c r="A1372" t="s">
        <v>1000</v>
      </c>
      <c r="B1372" t="str">
        <f t="shared" si="44"/>
        <v>Obesity</v>
      </c>
      <c r="C1372">
        <v>30.11</v>
      </c>
      <c r="D1372">
        <v>4.08</v>
      </c>
      <c r="E1372" t="str">
        <f t="shared" si="45"/>
        <v>Normal</v>
      </c>
      <c r="F1372" t="s">
        <v>2380</v>
      </c>
      <c r="G1372" t="s">
        <v>2380</v>
      </c>
      <c r="H1372" t="s">
        <v>2380</v>
      </c>
      <c r="I1372">
        <v>0</v>
      </c>
      <c r="J1372" t="s">
        <v>2380</v>
      </c>
    </row>
    <row r="1373" spans="1:10" x14ac:dyDescent="0.35">
      <c r="A1373" t="s">
        <v>999</v>
      </c>
      <c r="B1373" t="str">
        <f t="shared" si="44"/>
        <v>Obesity</v>
      </c>
      <c r="C1373">
        <v>31.59</v>
      </c>
      <c r="D1373">
        <v>6.01</v>
      </c>
      <c r="E1373" t="str">
        <f t="shared" si="45"/>
        <v>Prediabetes</v>
      </c>
      <c r="F1373" t="s">
        <v>2380</v>
      </c>
      <c r="G1373" t="s">
        <v>2380</v>
      </c>
      <c r="H1373" t="s">
        <v>2380</v>
      </c>
      <c r="I1373">
        <v>0</v>
      </c>
      <c r="J1373" t="s">
        <v>2380</v>
      </c>
    </row>
    <row r="1374" spans="1:10" x14ac:dyDescent="0.35">
      <c r="A1374" t="s">
        <v>998</v>
      </c>
      <c r="B1374" t="str">
        <f t="shared" si="44"/>
        <v>Obesity</v>
      </c>
      <c r="C1374">
        <v>40.15</v>
      </c>
      <c r="D1374">
        <v>11.84</v>
      </c>
      <c r="E1374" t="str">
        <f t="shared" si="45"/>
        <v>Diabetes</v>
      </c>
      <c r="F1374" t="s">
        <v>2380</v>
      </c>
      <c r="G1374" t="s">
        <v>2380</v>
      </c>
      <c r="H1374" t="s">
        <v>2380</v>
      </c>
      <c r="I1374">
        <v>0</v>
      </c>
      <c r="J1374" t="s">
        <v>2380</v>
      </c>
    </row>
    <row r="1375" spans="1:10" x14ac:dyDescent="0.35">
      <c r="A1375" t="s">
        <v>997</v>
      </c>
      <c r="B1375" t="str">
        <f t="shared" si="44"/>
        <v>Obesity</v>
      </c>
      <c r="C1375">
        <v>40.700000000000003</v>
      </c>
      <c r="D1375">
        <v>6.27</v>
      </c>
      <c r="E1375" t="str">
        <f t="shared" si="45"/>
        <v>Prediabetes</v>
      </c>
      <c r="F1375" t="s">
        <v>2381</v>
      </c>
      <c r="G1375" t="s">
        <v>2380</v>
      </c>
      <c r="H1375" t="s">
        <v>2382</v>
      </c>
      <c r="I1375">
        <v>1</v>
      </c>
      <c r="J1375" t="s">
        <v>2380</v>
      </c>
    </row>
    <row r="1376" spans="1:10" x14ac:dyDescent="0.35">
      <c r="A1376" t="s">
        <v>996</v>
      </c>
      <c r="B1376" t="str">
        <f t="shared" si="44"/>
        <v>Obesity</v>
      </c>
      <c r="C1376">
        <v>40.76</v>
      </c>
      <c r="D1376">
        <v>5.28</v>
      </c>
      <c r="E1376" t="str">
        <f t="shared" si="45"/>
        <v>Normal</v>
      </c>
      <c r="F1376" t="s">
        <v>2380</v>
      </c>
      <c r="G1376" t="s">
        <v>2380</v>
      </c>
      <c r="H1376" t="s">
        <v>2380</v>
      </c>
      <c r="I1376">
        <v>0</v>
      </c>
      <c r="J1376" t="s">
        <v>2380</v>
      </c>
    </row>
    <row r="1377" spans="1:10" x14ac:dyDescent="0.35">
      <c r="A1377" t="s">
        <v>995</v>
      </c>
      <c r="B1377" t="str">
        <f t="shared" si="44"/>
        <v>Overweight</v>
      </c>
      <c r="C1377">
        <v>29.7</v>
      </c>
      <c r="D1377">
        <v>7.03</v>
      </c>
      <c r="E1377" t="str">
        <f t="shared" si="45"/>
        <v>Diabetes</v>
      </c>
      <c r="F1377" t="s">
        <v>2380</v>
      </c>
      <c r="G1377" t="s">
        <v>2380</v>
      </c>
      <c r="H1377" t="s">
        <v>2380</v>
      </c>
      <c r="I1377">
        <v>0</v>
      </c>
      <c r="J1377" t="s">
        <v>2380</v>
      </c>
    </row>
    <row r="1378" spans="1:10" x14ac:dyDescent="0.35">
      <c r="A1378" t="s">
        <v>994</v>
      </c>
      <c r="B1378" t="str">
        <f t="shared" si="44"/>
        <v>Obesity</v>
      </c>
      <c r="C1378">
        <v>40.58</v>
      </c>
      <c r="D1378">
        <v>5.32</v>
      </c>
      <c r="E1378" t="str">
        <f t="shared" si="45"/>
        <v>Normal</v>
      </c>
      <c r="F1378" t="s">
        <v>2381</v>
      </c>
      <c r="G1378" t="s">
        <v>2380</v>
      </c>
      <c r="H1378" t="s">
        <v>2382</v>
      </c>
      <c r="I1378">
        <v>1</v>
      </c>
      <c r="J1378" t="s">
        <v>2380</v>
      </c>
    </row>
    <row r="1379" spans="1:10" x14ac:dyDescent="0.35">
      <c r="A1379" t="s">
        <v>993</v>
      </c>
      <c r="B1379" t="str">
        <f t="shared" si="44"/>
        <v>Obesity</v>
      </c>
      <c r="C1379">
        <v>33.06</v>
      </c>
      <c r="D1379">
        <v>9.59</v>
      </c>
      <c r="E1379" t="str">
        <f t="shared" si="45"/>
        <v>Diabetes</v>
      </c>
      <c r="F1379" t="s">
        <v>2381</v>
      </c>
      <c r="G1379" t="s">
        <v>2380</v>
      </c>
      <c r="H1379" t="s">
        <v>2380</v>
      </c>
      <c r="I1379">
        <v>0</v>
      </c>
      <c r="J1379" t="s">
        <v>2380</v>
      </c>
    </row>
    <row r="1380" spans="1:10" x14ac:dyDescent="0.35">
      <c r="A1380" t="s">
        <v>992</v>
      </c>
      <c r="B1380" t="str">
        <f t="shared" si="44"/>
        <v>Overweight</v>
      </c>
      <c r="C1380">
        <v>26.62</v>
      </c>
      <c r="D1380">
        <v>6.15</v>
      </c>
      <c r="E1380" t="str">
        <f t="shared" si="45"/>
        <v>Prediabetes</v>
      </c>
      <c r="F1380" t="s">
        <v>2381</v>
      </c>
      <c r="G1380" t="s">
        <v>2380</v>
      </c>
      <c r="H1380" t="s">
        <v>2380</v>
      </c>
      <c r="I1380">
        <v>0</v>
      </c>
      <c r="J1380" t="s">
        <v>2380</v>
      </c>
    </row>
    <row r="1381" spans="1:10" x14ac:dyDescent="0.35">
      <c r="A1381" t="s">
        <v>991</v>
      </c>
      <c r="B1381" t="str">
        <f t="shared" si="44"/>
        <v>Obesity</v>
      </c>
      <c r="C1381">
        <v>37.1</v>
      </c>
      <c r="D1381">
        <v>11.08</v>
      </c>
      <c r="E1381" t="str">
        <f t="shared" si="45"/>
        <v>Diabetes</v>
      </c>
      <c r="F1381" t="s">
        <v>2380</v>
      </c>
      <c r="G1381" t="s">
        <v>2380</v>
      </c>
      <c r="H1381" t="s">
        <v>2380</v>
      </c>
      <c r="I1381">
        <v>0</v>
      </c>
      <c r="J1381" t="s">
        <v>2380</v>
      </c>
    </row>
    <row r="1382" spans="1:10" x14ac:dyDescent="0.35">
      <c r="A1382" t="s">
        <v>990</v>
      </c>
      <c r="B1382" t="str">
        <f t="shared" si="44"/>
        <v>Underweight</v>
      </c>
      <c r="C1382">
        <v>18.28</v>
      </c>
      <c r="D1382">
        <v>7.95</v>
      </c>
      <c r="E1382" t="str">
        <f t="shared" si="45"/>
        <v>Diabetes</v>
      </c>
      <c r="F1382" t="s">
        <v>2380</v>
      </c>
      <c r="G1382" t="s">
        <v>2380</v>
      </c>
      <c r="H1382" t="s">
        <v>2380</v>
      </c>
      <c r="I1382">
        <v>0</v>
      </c>
      <c r="J1382" t="s">
        <v>2380</v>
      </c>
    </row>
    <row r="1383" spans="1:10" x14ac:dyDescent="0.35">
      <c r="A1383" t="s">
        <v>989</v>
      </c>
      <c r="B1383" t="str">
        <f t="shared" si="44"/>
        <v>Obesity</v>
      </c>
      <c r="C1383">
        <v>35.814999999999998</v>
      </c>
      <c r="D1383">
        <v>6.23</v>
      </c>
      <c r="E1383" t="str">
        <f t="shared" si="45"/>
        <v>Prediabetes</v>
      </c>
      <c r="F1383" t="s">
        <v>2380</v>
      </c>
      <c r="G1383" t="s">
        <v>2380</v>
      </c>
      <c r="H1383" t="s">
        <v>2380</v>
      </c>
      <c r="I1383">
        <v>0</v>
      </c>
      <c r="J1383" t="s">
        <v>2380</v>
      </c>
    </row>
    <row r="1384" spans="1:10" x14ac:dyDescent="0.35">
      <c r="A1384" t="s">
        <v>988</v>
      </c>
      <c r="B1384" t="str">
        <f t="shared" si="44"/>
        <v>Obesity</v>
      </c>
      <c r="C1384">
        <v>30.69</v>
      </c>
      <c r="D1384">
        <v>6.5</v>
      </c>
      <c r="E1384" t="str">
        <f t="shared" si="45"/>
        <v>Diabetes</v>
      </c>
      <c r="F1384" t="s">
        <v>2380</v>
      </c>
      <c r="G1384" t="s">
        <v>2380</v>
      </c>
      <c r="H1384" t="s">
        <v>2380</v>
      </c>
      <c r="I1384">
        <v>0</v>
      </c>
      <c r="J1384" t="s">
        <v>2380</v>
      </c>
    </row>
    <row r="1385" spans="1:10" x14ac:dyDescent="0.35">
      <c r="A1385" t="s">
        <v>987</v>
      </c>
      <c r="B1385" t="str">
        <f t="shared" si="44"/>
        <v>Overweight</v>
      </c>
      <c r="C1385">
        <v>26.125</v>
      </c>
      <c r="D1385">
        <v>5.22</v>
      </c>
      <c r="E1385" t="str">
        <f t="shared" si="45"/>
        <v>Normal</v>
      </c>
      <c r="F1385" t="s">
        <v>2380</v>
      </c>
      <c r="G1385" t="s">
        <v>2380</v>
      </c>
      <c r="H1385" t="s">
        <v>2380</v>
      </c>
      <c r="I1385">
        <v>0</v>
      </c>
      <c r="J1385" t="s">
        <v>2380</v>
      </c>
    </row>
    <row r="1386" spans="1:10" x14ac:dyDescent="0.35">
      <c r="A1386" t="s">
        <v>986</v>
      </c>
      <c r="B1386" t="str">
        <f t="shared" si="44"/>
        <v>Obesity</v>
      </c>
      <c r="C1386">
        <v>34.58</v>
      </c>
      <c r="D1386">
        <v>6.3</v>
      </c>
      <c r="E1386" t="str">
        <f t="shared" si="45"/>
        <v>Prediabetes</v>
      </c>
      <c r="F1386" t="s">
        <v>2380</v>
      </c>
      <c r="G1386" t="s">
        <v>2380</v>
      </c>
      <c r="H1386" t="s">
        <v>2382</v>
      </c>
      <c r="I1386">
        <v>1</v>
      </c>
      <c r="J1386" t="s">
        <v>2380</v>
      </c>
    </row>
    <row r="1387" spans="1:10" x14ac:dyDescent="0.35">
      <c r="A1387" t="s">
        <v>985</v>
      </c>
      <c r="B1387" t="str">
        <f t="shared" si="44"/>
        <v>Overweight</v>
      </c>
      <c r="C1387">
        <v>27.4</v>
      </c>
      <c r="D1387">
        <v>8.84</v>
      </c>
      <c r="E1387" t="str">
        <f t="shared" si="45"/>
        <v>Diabetes</v>
      </c>
      <c r="F1387" t="s">
        <v>2380</v>
      </c>
      <c r="G1387" t="s">
        <v>2380</v>
      </c>
      <c r="H1387" t="s">
        <v>2380</v>
      </c>
      <c r="I1387">
        <v>0</v>
      </c>
      <c r="J1387" t="s">
        <v>2380</v>
      </c>
    </row>
    <row r="1388" spans="1:10" x14ac:dyDescent="0.35">
      <c r="A1388" t="s">
        <v>984</v>
      </c>
      <c r="B1388" t="str">
        <f t="shared" si="44"/>
        <v>Overweight</v>
      </c>
      <c r="C1388">
        <v>27.53</v>
      </c>
      <c r="D1388">
        <v>4.1100000000000003</v>
      </c>
      <c r="E1388" t="str">
        <f t="shared" si="45"/>
        <v>Normal</v>
      </c>
      <c r="F1388" t="s">
        <v>2380</v>
      </c>
      <c r="G1388" t="s">
        <v>2380</v>
      </c>
      <c r="H1388" t="s">
        <v>2380</v>
      </c>
      <c r="I1388">
        <v>1</v>
      </c>
      <c r="J1388" t="s">
        <v>2380</v>
      </c>
    </row>
    <row r="1389" spans="1:10" x14ac:dyDescent="0.35">
      <c r="A1389" t="s">
        <v>983</v>
      </c>
      <c r="B1389" t="str">
        <f t="shared" si="44"/>
        <v>Obesity</v>
      </c>
      <c r="C1389">
        <v>33</v>
      </c>
      <c r="D1389">
        <v>4.57</v>
      </c>
      <c r="E1389" t="str">
        <f t="shared" si="45"/>
        <v>Normal</v>
      </c>
      <c r="F1389" t="s">
        <v>2380</v>
      </c>
      <c r="G1389" t="s">
        <v>2380</v>
      </c>
      <c r="H1389" t="s">
        <v>2380</v>
      </c>
      <c r="I1389">
        <v>0</v>
      </c>
      <c r="J1389" t="s">
        <v>2380</v>
      </c>
    </row>
    <row r="1390" spans="1:10" x14ac:dyDescent="0.35">
      <c r="A1390" t="s">
        <v>982</v>
      </c>
      <c r="B1390" t="str">
        <f t="shared" si="44"/>
        <v>Overweight</v>
      </c>
      <c r="C1390">
        <v>25.78</v>
      </c>
      <c r="D1390">
        <v>11.06</v>
      </c>
      <c r="E1390" t="str">
        <f t="shared" si="45"/>
        <v>Diabetes</v>
      </c>
      <c r="F1390" t="s">
        <v>2381</v>
      </c>
      <c r="G1390" t="s">
        <v>2380</v>
      </c>
      <c r="H1390" t="s">
        <v>2380</v>
      </c>
      <c r="I1390">
        <v>0</v>
      </c>
      <c r="J1390" t="s">
        <v>2380</v>
      </c>
    </row>
    <row r="1391" spans="1:10" x14ac:dyDescent="0.35">
      <c r="A1391" t="s">
        <v>981</v>
      </c>
      <c r="B1391" t="str">
        <f t="shared" si="44"/>
        <v>Normal Weight</v>
      </c>
      <c r="C1391">
        <v>22.66</v>
      </c>
      <c r="D1391">
        <v>10.68</v>
      </c>
      <c r="E1391" t="str">
        <f t="shared" si="45"/>
        <v>Diabetes</v>
      </c>
      <c r="F1391" t="s">
        <v>2380</v>
      </c>
      <c r="G1391" t="s">
        <v>2380</v>
      </c>
      <c r="H1391" t="s">
        <v>2380</v>
      </c>
      <c r="I1391">
        <v>0</v>
      </c>
      <c r="J1391" t="s">
        <v>2380</v>
      </c>
    </row>
    <row r="1392" spans="1:10" x14ac:dyDescent="0.35">
      <c r="A1392" t="s">
        <v>980</v>
      </c>
      <c r="B1392" t="str">
        <f t="shared" si="44"/>
        <v>Obesity</v>
      </c>
      <c r="C1392">
        <v>38.81</v>
      </c>
      <c r="D1392">
        <v>6.14</v>
      </c>
      <c r="E1392" t="str">
        <f t="shared" si="45"/>
        <v>Prediabetes</v>
      </c>
      <c r="F1392" t="s">
        <v>2381</v>
      </c>
      <c r="G1392" t="s">
        <v>2380</v>
      </c>
      <c r="H1392" t="s">
        <v>2380</v>
      </c>
      <c r="I1392">
        <v>1</v>
      </c>
      <c r="J1392" t="s">
        <v>2380</v>
      </c>
    </row>
    <row r="1393" spans="1:10" x14ac:dyDescent="0.35">
      <c r="A1393" t="s">
        <v>979</v>
      </c>
      <c r="B1393" t="str">
        <f t="shared" si="44"/>
        <v>Obesity</v>
      </c>
      <c r="C1393">
        <v>38.51</v>
      </c>
      <c r="D1393">
        <v>5.45</v>
      </c>
      <c r="E1393" t="str">
        <f t="shared" si="45"/>
        <v>Normal</v>
      </c>
      <c r="F1393" t="s">
        <v>2381</v>
      </c>
      <c r="G1393" t="s">
        <v>2380</v>
      </c>
      <c r="H1393" t="s">
        <v>2380</v>
      </c>
      <c r="I1393">
        <v>0</v>
      </c>
      <c r="J1393" t="s">
        <v>2380</v>
      </c>
    </row>
    <row r="1394" spans="1:10" x14ac:dyDescent="0.35">
      <c r="A1394" t="s">
        <v>978</v>
      </c>
      <c r="B1394" t="str">
        <f t="shared" si="44"/>
        <v>Normal Weight</v>
      </c>
      <c r="C1394">
        <v>22.98</v>
      </c>
      <c r="D1394">
        <v>6.14</v>
      </c>
      <c r="E1394" t="str">
        <f t="shared" si="45"/>
        <v>Prediabetes</v>
      </c>
      <c r="F1394" t="s">
        <v>2381</v>
      </c>
      <c r="G1394" t="s">
        <v>2380</v>
      </c>
      <c r="H1394" t="s">
        <v>2380</v>
      </c>
      <c r="I1394">
        <v>0</v>
      </c>
      <c r="J1394" t="s">
        <v>2380</v>
      </c>
    </row>
    <row r="1395" spans="1:10" x14ac:dyDescent="0.35">
      <c r="A1395" t="s">
        <v>977</v>
      </c>
      <c r="B1395" t="str">
        <f t="shared" si="44"/>
        <v>Underweight</v>
      </c>
      <c r="C1395">
        <v>15.65</v>
      </c>
      <c r="D1395">
        <v>7.85</v>
      </c>
      <c r="E1395" t="str">
        <f t="shared" si="45"/>
        <v>Diabetes</v>
      </c>
      <c r="F1395" t="s">
        <v>2380</v>
      </c>
      <c r="G1395" t="s">
        <v>2380</v>
      </c>
      <c r="H1395" t="s">
        <v>2380</v>
      </c>
      <c r="I1395">
        <v>0</v>
      </c>
      <c r="J1395" t="s">
        <v>2380</v>
      </c>
    </row>
    <row r="1396" spans="1:10" x14ac:dyDescent="0.35">
      <c r="A1396" t="s">
        <v>976</v>
      </c>
      <c r="B1396" t="str">
        <f t="shared" si="44"/>
        <v>Obesity</v>
      </c>
      <c r="C1396">
        <v>39.97</v>
      </c>
      <c r="D1396">
        <v>4.09</v>
      </c>
      <c r="E1396" t="str">
        <f t="shared" si="45"/>
        <v>Normal</v>
      </c>
      <c r="F1396" t="s">
        <v>2380</v>
      </c>
      <c r="G1396" t="s">
        <v>2380</v>
      </c>
      <c r="H1396" t="s">
        <v>2380</v>
      </c>
      <c r="I1396">
        <v>1</v>
      </c>
      <c r="J1396" t="s">
        <v>2380</v>
      </c>
    </row>
    <row r="1397" spans="1:10" x14ac:dyDescent="0.35">
      <c r="A1397" t="s">
        <v>975</v>
      </c>
      <c r="B1397" t="str">
        <f t="shared" si="44"/>
        <v>Obesity</v>
      </c>
      <c r="C1397">
        <v>37.22</v>
      </c>
      <c r="D1397">
        <v>4.62</v>
      </c>
      <c r="E1397" t="str">
        <f t="shared" si="45"/>
        <v>Normal</v>
      </c>
      <c r="F1397" t="s">
        <v>2380</v>
      </c>
      <c r="G1397" t="s">
        <v>2380</v>
      </c>
      <c r="H1397" t="s">
        <v>2382</v>
      </c>
      <c r="I1397">
        <v>1</v>
      </c>
      <c r="J1397" t="s">
        <v>2380</v>
      </c>
    </row>
    <row r="1398" spans="1:10" x14ac:dyDescent="0.35">
      <c r="A1398" t="s">
        <v>974</v>
      </c>
      <c r="B1398" t="str">
        <f t="shared" si="44"/>
        <v>Obesity</v>
      </c>
      <c r="C1398">
        <v>41.325000000000003</v>
      </c>
      <c r="D1398">
        <v>5.77</v>
      </c>
      <c r="E1398" t="str">
        <f t="shared" si="45"/>
        <v>Prediabetes</v>
      </c>
      <c r="F1398" t="s">
        <v>2380</v>
      </c>
      <c r="G1398" t="s">
        <v>2380</v>
      </c>
      <c r="H1398" t="s">
        <v>2380</v>
      </c>
      <c r="I1398">
        <v>0</v>
      </c>
      <c r="J1398" t="s">
        <v>2380</v>
      </c>
    </row>
    <row r="1399" spans="1:10" x14ac:dyDescent="0.35">
      <c r="A1399" t="s">
        <v>973</v>
      </c>
      <c r="B1399" t="str">
        <f t="shared" si="44"/>
        <v>Obesity</v>
      </c>
      <c r="C1399">
        <v>40.31</v>
      </c>
      <c r="D1399">
        <v>5.84</v>
      </c>
      <c r="E1399" t="str">
        <f t="shared" si="45"/>
        <v>Prediabetes</v>
      </c>
      <c r="F1399" t="s">
        <v>2380</v>
      </c>
      <c r="G1399" t="s">
        <v>2380</v>
      </c>
      <c r="H1399" t="s">
        <v>2380</v>
      </c>
      <c r="I1399">
        <v>0</v>
      </c>
      <c r="J1399" t="s">
        <v>2380</v>
      </c>
    </row>
    <row r="1400" spans="1:10" x14ac:dyDescent="0.35">
      <c r="A1400" t="s">
        <v>972</v>
      </c>
      <c r="B1400" t="str">
        <f t="shared" si="44"/>
        <v>Overweight</v>
      </c>
      <c r="C1400">
        <v>29.48</v>
      </c>
      <c r="D1400">
        <v>4.91</v>
      </c>
      <c r="E1400" t="str">
        <f t="shared" si="45"/>
        <v>Normal</v>
      </c>
      <c r="F1400" t="s">
        <v>2380</v>
      </c>
      <c r="G1400" t="s">
        <v>2380</v>
      </c>
      <c r="H1400" t="s">
        <v>2380</v>
      </c>
      <c r="I1400">
        <v>0</v>
      </c>
      <c r="J1400" t="s">
        <v>2380</v>
      </c>
    </row>
    <row r="1401" spans="1:10" x14ac:dyDescent="0.35">
      <c r="A1401" t="s">
        <v>971</v>
      </c>
      <c r="B1401" t="str">
        <f t="shared" si="44"/>
        <v>Obesity</v>
      </c>
      <c r="C1401">
        <v>33.155000000000001</v>
      </c>
      <c r="D1401">
        <v>5.07</v>
      </c>
      <c r="E1401" t="str">
        <f t="shared" si="45"/>
        <v>Normal</v>
      </c>
      <c r="F1401" t="s">
        <v>2380</v>
      </c>
      <c r="G1401" t="s">
        <v>2380</v>
      </c>
      <c r="H1401" t="s">
        <v>2380</v>
      </c>
      <c r="I1401">
        <v>0</v>
      </c>
      <c r="J1401" t="s">
        <v>2380</v>
      </c>
    </row>
    <row r="1402" spans="1:10" x14ac:dyDescent="0.35">
      <c r="A1402" t="s">
        <v>970</v>
      </c>
      <c r="B1402" t="str">
        <f t="shared" si="44"/>
        <v>Obesity</v>
      </c>
      <c r="C1402">
        <v>42.85</v>
      </c>
      <c r="D1402">
        <v>5.81</v>
      </c>
      <c r="E1402" t="str">
        <f t="shared" si="45"/>
        <v>Prediabetes</v>
      </c>
      <c r="F1402" t="s">
        <v>2381</v>
      </c>
      <c r="G1402" t="s">
        <v>2380</v>
      </c>
      <c r="H1402" t="s">
        <v>2380</v>
      </c>
      <c r="I1402">
        <v>0</v>
      </c>
      <c r="J1402" t="s">
        <v>2380</v>
      </c>
    </row>
    <row r="1403" spans="1:10" x14ac:dyDescent="0.35">
      <c r="A1403" t="s">
        <v>969</v>
      </c>
      <c r="B1403" t="str">
        <f t="shared" si="44"/>
        <v>Obesity</v>
      </c>
      <c r="C1403">
        <v>32.340000000000003</v>
      </c>
      <c r="D1403">
        <v>11.2</v>
      </c>
      <c r="E1403" t="str">
        <f t="shared" si="45"/>
        <v>Diabetes</v>
      </c>
      <c r="F1403" t="s">
        <v>2380</v>
      </c>
      <c r="G1403" t="s">
        <v>2380</v>
      </c>
      <c r="H1403" t="s">
        <v>2380</v>
      </c>
      <c r="I1403">
        <v>0</v>
      </c>
      <c r="J1403" t="s">
        <v>2380</v>
      </c>
    </row>
    <row r="1404" spans="1:10" x14ac:dyDescent="0.35">
      <c r="A1404" t="s">
        <v>968</v>
      </c>
      <c r="B1404" t="str">
        <f t="shared" si="44"/>
        <v>Overweight</v>
      </c>
      <c r="C1404">
        <v>27.5</v>
      </c>
      <c r="D1404">
        <v>10.75</v>
      </c>
      <c r="E1404" t="str">
        <f t="shared" si="45"/>
        <v>Diabetes</v>
      </c>
      <c r="F1404" t="s">
        <v>2380</v>
      </c>
      <c r="G1404" t="s">
        <v>2380</v>
      </c>
      <c r="H1404" t="s">
        <v>2380</v>
      </c>
      <c r="I1404">
        <v>0</v>
      </c>
      <c r="J1404" t="s">
        <v>2380</v>
      </c>
    </row>
    <row r="1405" spans="1:10" x14ac:dyDescent="0.35">
      <c r="A1405" t="s">
        <v>967</v>
      </c>
      <c r="B1405" t="str">
        <f t="shared" si="44"/>
        <v>Overweight</v>
      </c>
      <c r="C1405">
        <v>25.8</v>
      </c>
      <c r="D1405">
        <v>7.8</v>
      </c>
      <c r="E1405" t="str">
        <f t="shared" si="45"/>
        <v>Diabetes</v>
      </c>
      <c r="F1405" t="s">
        <v>2380</v>
      </c>
      <c r="G1405" t="s">
        <v>2380</v>
      </c>
      <c r="H1405" t="s">
        <v>2380</v>
      </c>
      <c r="I1405">
        <v>0</v>
      </c>
      <c r="J1405" t="s">
        <v>2380</v>
      </c>
    </row>
    <row r="1406" spans="1:10" x14ac:dyDescent="0.35">
      <c r="A1406" t="s">
        <v>966</v>
      </c>
      <c r="B1406" t="str">
        <f t="shared" si="44"/>
        <v>Overweight</v>
      </c>
      <c r="C1406">
        <v>25</v>
      </c>
      <c r="D1406">
        <v>7.04</v>
      </c>
      <c r="E1406" t="str">
        <f t="shared" si="45"/>
        <v>Diabetes</v>
      </c>
      <c r="F1406" t="s">
        <v>2380</v>
      </c>
      <c r="G1406" t="s">
        <v>2380</v>
      </c>
      <c r="H1406" t="s">
        <v>2380</v>
      </c>
      <c r="I1406">
        <v>0</v>
      </c>
      <c r="J1406" t="s">
        <v>2380</v>
      </c>
    </row>
    <row r="1407" spans="1:10" x14ac:dyDescent="0.35">
      <c r="A1407" t="s">
        <v>965</v>
      </c>
      <c r="B1407" t="str">
        <f t="shared" si="44"/>
        <v>Obesity</v>
      </c>
      <c r="C1407">
        <v>41.2</v>
      </c>
      <c r="D1407">
        <v>4.18</v>
      </c>
      <c r="E1407" t="str">
        <f t="shared" si="45"/>
        <v>Normal</v>
      </c>
      <c r="F1407" t="s">
        <v>2381</v>
      </c>
      <c r="G1407" t="s">
        <v>2380</v>
      </c>
      <c r="H1407" t="s">
        <v>2380</v>
      </c>
      <c r="I1407">
        <v>0</v>
      </c>
      <c r="J1407" t="s">
        <v>2380</v>
      </c>
    </row>
    <row r="1408" spans="1:10" x14ac:dyDescent="0.35">
      <c r="A1408" t="s">
        <v>964</v>
      </c>
      <c r="B1408" t="str">
        <f t="shared" si="44"/>
        <v>Underweight</v>
      </c>
      <c r="C1408">
        <v>17.78</v>
      </c>
      <c r="D1408">
        <v>8.19</v>
      </c>
      <c r="E1408" t="str">
        <f t="shared" si="45"/>
        <v>Diabetes</v>
      </c>
      <c r="F1408" t="s">
        <v>2380</v>
      </c>
      <c r="G1408" t="s">
        <v>2380</v>
      </c>
      <c r="H1408" t="s">
        <v>2380</v>
      </c>
      <c r="I1408">
        <v>0</v>
      </c>
      <c r="J1408" t="s">
        <v>2380</v>
      </c>
    </row>
    <row r="1409" spans="1:10" x14ac:dyDescent="0.35">
      <c r="A1409" t="s">
        <v>963</v>
      </c>
      <c r="B1409" t="str">
        <f t="shared" si="44"/>
        <v>Obesity</v>
      </c>
      <c r="C1409">
        <v>40.119999999999997</v>
      </c>
      <c r="D1409">
        <v>6.22</v>
      </c>
      <c r="E1409" t="str">
        <f t="shared" si="45"/>
        <v>Prediabetes</v>
      </c>
      <c r="F1409" t="s">
        <v>2381</v>
      </c>
      <c r="G1409" t="s">
        <v>2380</v>
      </c>
      <c r="H1409" t="s">
        <v>2382</v>
      </c>
      <c r="I1409">
        <v>1</v>
      </c>
      <c r="J1409" t="s">
        <v>2380</v>
      </c>
    </row>
    <row r="1410" spans="1:10" x14ac:dyDescent="0.35">
      <c r="A1410" t="s">
        <v>962</v>
      </c>
      <c r="B1410" t="str">
        <f t="shared" si="44"/>
        <v>Normal Weight</v>
      </c>
      <c r="C1410">
        <v>19.350000000000001</v>
      </c>
      <c r="D1410">
        <v>8.2200000000000006</v>
      </c>
      <c r="E1410" t="str">
        <f t="shared" si="45"/>
        <v>Diabetes</v>
      </c>
      <c r="F1410" t="s">
        <v>2381</v>
      </c>
      <c r="G1410" t="s">
        <v>2380</v>
      </c>
      <c r="H1410" t="s">
        <v>2380</v>
      </c>
      <c r="I1410">
        <v>0</v>
      </c>
      <c r="J1410" t="s">
        <v>2380</v>
      </c>
    </row>
    <row r="1411" spans="1:10" x14ac:dyDescent="0.35">
      <c r="A1411" t="s">
        <v>961</v>
      </c>
      <c r="B1411" t="str">
        <f t="shared" ref="B1411:B1474" si="46">IF(C1411&lt;18.5,"Underweight",IF(C1411&lt;25,"Normal Weight",IF(C1411&lt;30,"Overweight","Obesity")))</f>
        <v>Obesity</v>
      </c>
      <c r="C1411">
        <v>36.69</v>
      </c>
      <c r="D1411">
        <v>6.15</v>
      </c>
      <c r="E1411" t="str">
        <f t="shared" ref="E1411:E1474" si="47">IF(D1411&lt;5.7,"Normal",IF(D1411&lt;6.5,"Prediabetes","Diabetes"))</f>
        <v>Prediabetes</v>
      </c>
      <c r="F1411" t="s">
        <v>2380</v>
      </c>
      <c r="G1411" t="s">
        <v>2380</v>
      </c>
      <c r="H1411" t="s">
        <v>2380</v>
      </c>
      <c r="I1411">
        <v>0</v>
      </c>
      <c r="J1411" t="s">
        <v>2380</v>
      </c>
    </row>
    <row r="1412" spans="1:10" x14ac:dyDescent="0.35">
      <c r="A1412" t="s">
        <v>960</v>
      </c>
      <c r="B1412" t="str">
        <f t="shared" si="46"/>
        <v>Overweight</v>
      </c>
      <c r="C1412">
        <v>28.51</v>
      </c>
      <c r="D1412">
        <v>5.65</v>
      </c>
      <c r="E1412" t="str">
        <f t="shared" si="47"/>
        <v>Normal</v>
      </c>
      <c r="F1412" t="s">
        <v>2381</v>
      </c>
      <c r="G1412" t="s">
        <v>2380</v>
      </c>
      <c r="H1412" t="s">
        <v>2380</v>
      </c>
      <c r="I1412">
        <v>1</v>
      </c>
      <c r="J1412" t="s">
        <v>2380</v>
      </c>
    </row>
    <row r="1413" spans="1:10" x14ac:dyDescent="0.35">
      <c r="A1413" t="s">
        <v>959</v>
      </c>
      <c r="B1413" t="str">
        <f t="shared" si="46"/>
        <v>Obesity</v>
      </c>
      <c r="C1413">
        <v>30.21</v>
      </c>
      <c r="D1413">
        <v>5.5</v>
      </c>
      <c r="E1413" t="str">
        <f t="shared" si="47"/>
        <v>Normal</v>
      </c>
      <c r="F1413" t="s">
        <v>2380</v>
      </c>
      <c r="G1413" t="s">
        <v>2380</v>
      </c>
      <c r="H1413" t="s">
        <v>2380</v>
      </c>
      <c r="I1413">
        <v>1</v>
      </c>
      <c r="J1413" t="s">
        <v>2380</v>
      </c>
    </row>
    <row r="1414" spans="1:10" x14ac:dyDescent="0.35">
      <c r="A1414" t="s">
        <v>958</v>
      </c>
      <c r="B1414" t="str">
        <f t="shared" si="46"/>
        <v>Normal Weight</v>
      </c>
      <c r="C1414">
        <v>24.33</v>
      </c>
      <c r="D1414">
        <v>8</v>
      </c>
      <c r="E1414" t="str">
        <f t="shared" si="47"/>
        <v>Diabetes</v>
      </c>
      <c r="F1414" t="s">
        <v>2380</v>
      </c>
      <c r="G1414" t="s">
        <v>2380</v>
      </c>
      <c r="H1414" t="s">
        <v>2380</v>
      </c>
      <c r="I1414">
        <v>0</v>
      </c>
      <c r="J1414" t="s">
        <v>2380</v>
      </c>
    </row>
    <row r="1415" spans="1:10" x14ac:dyDescent="0.35">
      <c r="A1415" t="s">
        <v>957</v>
      </c>
      <c r="B1415" t="str">
        <f t="shared" si="46"/>
        <v>Normal Weight</v>
      </c>
      <c r="C1415">
        <v>19.855</v>
      </c>
      <c r="D1415">
        <v>5.71</v>
      </c>
      <c r="E1415" t="str">
        <f t="shared" si="47"/>
        <v>Prediabetes</v>
      </c>
      <c r="F1415" t="s">
        <v>2381</v>
      </c>
      <c r="G1415" t="s">
        <v>2380</v>
      </c>
      <c r="H1415" t="s">
        <v>2380</v>
      </c>
      <c r="I1415">
        <v>0</v>
      </c>
      <c r="J1415" t="s">
        <v>2380</v>
      </c>
    </row>
    <row r="1416" spans="1:10" x14ac:dyDescent="0.35">
      <c r="A1416" t="s">
        <v>956</v>
      </c>
      <c r="B1416" t="str">
        <f t="shared" si="46"/>
        <v>Overweight</v>
      </c>
      <c r="C1416">
        <v>25.364999999999998</v>
      </c>
      <c r="D1416">
        <v>11.71</v>
      </c>
      <c r="E1416" t="str">
        <f t="shared" si="47"/>
        <v>Diabetes</v>
      </c>
      <c r="F1416" t="s">
        <v>2380</v>
      </c>
      <c r="G1416" t="s">
        <v>2380</v>
      </c>
      <c r="H1416" t="s">
        <v>2380</v>
      </c>
      <c r="I1416">
        <v>0</v>
      </c>
      <c r="J1416" t="s">
        <v>2380</v>
      </c>
    </row>
    <row r="1417" spans="1:10" x14ac:dyDescent="0.35">
      <c r="A1417" t="s">
        <v>955</v>
      </c>
      <c r="B1417" t="str">
        <f t="shared" si="46"/>
        <v>Overweight</v>
      </c>
      <c r="C1417">
        <v>29.6</v>
      </c>
      <c r="D1417">
        <v>6.17</v>
      </c>
      <c r="E1417" t="str">
        <f t="shared" si="47"/>
        <v>Prediabetes</v>
      </c>
      <c r="F1417" t="s">
        <v>2381</v>
      </c>
      <c r="G1417" t="s">
        <v>2380</v>
      </c>
      <c r="H1417" t="s">
        <v>2382</v>
      </c>
      <c r="I1417">
        <v>1</v>
      </c>
      <c r="J1417" t="s">
        <v>2380</v>
      </c>
    </row>
    <row r="1418" spans="1:10" x14ac:dyDescent="0.35">
      <c r="A1418" t="s">
        <v>954</v>
      </c>
      <c r="B1418" t="str">
        <f t="shared" si="46"/>
        <v>Obesity</v>
      </c>
      <c r="C1418">
        <v>39.43</v>
      </c>
      <c r="D1418">
        <v>6.1</v>
      </c>
      <c r="E1418" t="str">
        <f t="shared" si="47"/>
        <v>Prediabetes</v>
      </c>
      <c r="F1418" t="s">
        <v>2381</v>
      </c>
      <c r="G1418" t="s">
        <v>2380</v>
      </c>
      <c r="H1418" t="s">
        <v>2382</v>
      </c>
      <c r="I1418">
        <v>1</v>
      </c>
      <c r="J1418" t="s">
        <v>2380</v>
      </c>
    </row>
    <row r="1419" spans="1:10" x14ac:dyDescent="0.35">
      <c r="A1419" t="s">
        <v>953</v>
      </c>
      <c r="B1419" t="str">
        <f t="shared" si="46"/>
        <v>Overweight</v>
      </c>
      <c r="C1419">
        <v>27.34</v>
      </c>
      <c r="D1419">
        <v>5.19</v>
      </c>
      <c r="E1419" t="str">
        <f t="shared" si="47"/>
        <v>Normal</v>
      </c>
      <c r="F1419" t="s">
        <v>2381</v>
      </c>
      <c r="G1419" t="s">
        <v>2380</v>
      </c>
      <c r="H1419" t="s">
        <v>2380</v>
      </c>
      <c r="I1419">
        <v>1</v>
      </c>
      <c r="J1419" t="s">
        <v>2380</v>
      </c>
    </row>
    <row r="1420" spans="1:10" x14ac:dyDescent="0.35">
      <c r="A1420" t="s">
        <v>952</v>
      </c>
      <c r="B1420" t="str">
        <f t="shared" si="46"/>
        <v>Obesity</v>
      </c>
      <c r="C1420">
        <v>39.01</v>
      </c>
      <c r="D1420">
        <v>5.37</v>
      </c>
      <c r="E1420" t="str">
        <f t="shared" si="47"/>
        <v>Normal</v>
      </c>
      <c r="F1420" t="s">
        <v>2381</v>
      </c>
      <c r="G1420" t="s">
        <v>2380</v>
      </c>
      <c r="H1420" t="s">
        <v>2380</v>
      </c>
      <c r="I1420">
        <v>0</v>
      </c>
      <c r="J1420" t="s">
        <v>2380</v>
      </c>
    </row>
    <row r="1421" spans="1:10" x14ac:dyDescent="0.35">
      <c r="A1421" t="s">
        <v>951</v>
      </c>
      <c r="B1421" t="str">
        <f t="shared" si="46"/>
        <v>Normal Weight</v>
      </c>
      <c r="C1421">
        <v>18.989999999999998</v>
      </c>
      <c r="D1421">
        <v>10.82</v>
      </c>
      <c r="E1421" t="str">
        <f t="shared" si="47"/>
        <v>Diabetes</v>
      </c>
      <c r="F1421" t="s">
        <v>2381</v>
      </c>
      <c r="G1421" t="s">
        <v>2380</v>
      </c>
      <c r="H1421" t="s">
        <v>2380</v>
      </c>
      <c r="I1421">
        <v>0</v>
      </c>
      <c r="J1421" t="s">
        <v>2380</v>
      </c>
    </row>
    <row r="1422" spans="1:10" x14ac:dyDescent="0.35">
      <c r="A1422" t="s">
        <v>950</v>
      </c>
      <c r="B1422" t="str">
        <f t="shared" si="46"/>
        <v>Obesity</v>
      </c>
      <c r="C1422">
        <v>42.3</v>
      </c>
      <c r="D1422">
        <v>6.06</v>
      </c>
      <c r="E1422" t="str">
        <f t="shared" si="47"/>
        <v>Prediabetes</v>
      </c>
      <c r="F1422" t="s">
        <v>2381</v>
      </c>
      <c r="G1422" t="s">
        <v>2380</v>
      </c>
      <c r="H1422" t="s">
        <v>2380</v>
      </c>
      <c r="I1422">
        <v>0</v>
      </c>
      <c r="J1422" t="s">
        <v>2380</v>
      </c>
    </row>
    <row r="1423" spans="1:10" x14ac:dyDescent="0.35">
      <c r="A1423" t="s">
        <v>949</v>
      </c>
      <c r="B1423" t="str">
        <f t="shared" si="46"/>
        <v>Obesity</v>
      </c>
      <c r="C1423">
        <v>39.805</v>
      </c>
      <c r="D1423">
        <v>5.91</v>
      </c>
      <c r="E1423" t="str">
        <f t="shared" si="47"/>
        <v>Prediabetes</v>
      </c>
      <c r="F1423" t="s">
        <v>2380</v>
      </c>
      <c r="G1423" t="s">
        <v>2380</v>
      </c>
      <c r="H1423" t="s">
        <v>2380</v>
      </c>
      <c r="I1423">
        <v>0</v>
      </c>
      <c r="J1423" t="s">
        <v>2380</v>
      </c>
    </row>
    <row r="1424" spans="1:10" x14ac:dyDescent="0.35">
      <c r="A1424" t="s">
        <v>948</v>
      </c>
      <c r="B1424" t="str">
        <f t="shared" si="46"/>
        <v>Obesity</v>
      </c>
      <c r="C1424">
        <v>33.700000000000003</v>
      </c>
      <c r="D1424">
        <v>5.87</v>
      </c>
      <c r="E1424" t="str">
        <f t="shared" si="47"/>
        <v>Prediabetes</v>
      </c>
      <c r="F1424" t="s">
        <v>2380</v>
      </c>
      <c r="G1424" t="s">
        <v>2380</v>
      </c>
      <c r="H1424" t="s">
        <v>2380</v>
      </c>
      <c r="I1424">
        <v>0</v>
      </c>
      <c r="J1424" t="s">
        <v>2380</v>
      </c>
    </row>
    <row r="1425" spans="1:10" x14ac:dyDescent="0.35">
      <c r="A1425" t="s">
        <v>947</v>
      </c>
      <c r="B1425" t="str">
        <f t="shared" si="46"/>
        <v>Obesity</v>
      </c>
      <c r="C1425">
        <v>36.195</v>
      </c>
      <c r="D1425">
        <v>6.22</v>
      </c>
      <c r="E1425" t="str">
        <f t="shared" si="47"/>
        <v>Prediabetes</v>
      </c>
      <c r="F1425" t="s">
        <v>2380</v>
      </c>
      <c r="G1425" t="s">
        <v>2380</v>
      </c>
      <c r="H1425" t="s">
        <v>2380</v>
      </c>
      <c r="I1425">
        <v>0</v>
      </c>
      <c r="J1425" t="s">
        <v>2380</v>
      </c>
    </row>
    <row r="1426" spans="1:10" x14ac:dyDescent="0.35">
      <c r="A1426" t="s">
        <v>946</v>
      </c>
      <c r="B1426" t="str">
        <f t="shared" si="46"/>
        <v>Obesity</v>
      </c>
      <c r="C1426">
        <v>32.6</v>
      </c>
      <c r="D1426">
        <v>5.73</v>
      </c>
      <c r="E1426" t="str">
        <f t="shared" si="47"/>
        <v>Prediabetes</v>
      </c>
      <c r="F1426" t="s">
        <v>2380</v>
      </c>
      <c r="G1426" t="s">
        <v>2380</v>
      </c>
      <c r="H1426" t="s">
        <v>2382</v>
      </c>
      <c r="I1426">
        <v>1</v>
      </c>
      <c r="J1426" t="s">
        <v>2380</v>
      </c>
    </row>
    <row r="1427" spans="1:10" x14ac:dyDescent="0.35">
      <c r="A1427" t="s">
        <v>945</v>
      </c>
      <c r="B1427" t="str">
        <f t="shared" si="46"/>
        <v>Obesity</v>
      </c>
      <c r="C1427">
        <v>30.2</v>
      </c>
      <c r="D1427">
        <v>5.7</v>
      </c>
      <c r="E1427" t="str">
        <f t="shared" si="47"/>
        <v>Prediabetes</v>
      </c>
      <c r="F1427" t="s">
        <v>2380</v>
      </c>
      <c r="G1427" t="s">
        <v>2380</v>
      </c>
      <c r="H1427" t="s">
        <v>2380</v>
      </c>
      <c r="I1427">
        <v>0</v>
      </c>
      <c r="J1427" t="s">
        <v>2380</v>
      </c>
    </row>
    <row r="1428" spans="1:10" x14ac:dyDescent="0.35">
      <c r="A1428" t="s">
        <v>944</v>
      </c>
      <c r="B1428" t="str">
        <f t="shared" si="46"/>
        <v>Overweight</v>
      </c>
      <c r="C1428">
        <v>27.645</v>
      </c>
      <c r="D1428">
        <v>9.91</v>
      </c>
      <c r="E1428" t="str">
        <f t="shared" si="47"/>
        <v>Diabetes</v>
      </c>
      <c r="F1428" t="s">
        <v>2380</v>
      </c>
      <c r="G1428" t="s">
        <v>2380</v>
      </c>
      <c r="H1428" t="s">
        <v>2380</v>
      </c>
      <c r="I1428">
        <v>0</v>
      </c>
      <c r="J1428" t="s">
        <v>2380</v>
      </c>
    </row>
    <row r="1429" spans="1:10" x14ac:dyDescent="0.35">
      <c r="A1429" t="s">
        <v>943</v>
      </c>
      <c r="B1429" t="str">
        <f t="shared" si="46"/>
        <v>Overweight</v>
      </c>
      <c r="C1429">
        <v>26.41</v>
      </c>
      <c r="D1429">
        <v>11.4</v>
      </c>
      <c r="E1429" t="str">
        <f t="shared" si="47"/>
        <v>Diabetes</v>
      </c>
      <c r="F1429" t="s">
        <v>2380</v>
      </c>
      <c r="G1429" t="s">
        <v>2380</v>
      </c>
      <c r="H1429" t="s">
        <v>2380</v>
      </c>
      <c r="I1429">
        <v>0</v>
      </c>
      <c r="J1429" t="s">
        <v>2380</v>
      </c>
    </row>
    <row r="1430" spans="1:10" x14ac:dyDescent="0.35">
      <c r="A1430" t="s">
        <v>942</v>
      </c>
      <c r="B1430" t="str">
        <f t="shared" si="46"/>
        <v>Obesity</v>
      </c>
      <c r="C1430">
        <v>34.1</v>
      </c>
      <c r="D1430">
        <v>6.29</v>
      </c>
      <c r="E1430" t="str">
        <f t="shared" si="47"/>
        <v>Prediabetes</v>
      </c>
      <c r="F1430" t="s">
        <v>2381</v>
      </c>
      <c r="G1430" t="s">
        <v>2380</v>
      </c>
      <c r="H1430" t="s">
        <v>2382</v>
      </c>
      <c r="I1430">
        <v>1</v>
      </c>
      <c r="J1430" t="s">
        <v>2380</v>
      </c>
    </row>
    <row r="1431" spans="1:10" x14ac:dyDescent="0.35">
      <c r="A1431" t="s">
        <v>941</v>
      </c>
      <c r="B1431" t="str">
        <f t="shared" si="46"/>
        <v>Underweight</v>
      </c>
      <c r="C1431">
        <v>17.3</v>
      </c>
      <c r="D1431">
        <v>9.2799999999999994</v>
      </c>
      <c r="E1431" t="str">
        <f t="shared" si="47"/>
        <v>Diabetes</v>
      </c>
      <c r="F1431" t="s">
        <v>2380</v>
      </c>
      <c r="G1431" t="s">
        <v>2380</v>
      </c>
      <c r="H1431" t="s">
        <v>2380</v>
      </c>
      <c r="I1431">
        <v>0</v>
      </c>
      <c r="J1431" t="s">
        <v>2380</v>
      </c>
    </row>
    <row r="1432" spans="1:10" x14ac:dyDescent="0.35">
      <c r="A1432" t="s">
        <v>940</v>
      </c>
      <c r="B1432" t="str">
        <f t="shared" si="46"/>
        <v>Obesity</v>
      </c>
      <c r="C1432">
        <v>35.020000000000003</v>
      </c>
      <c r="D1432">
        <v>4.78</v>
      </c>
      <c r="E1432" t="str">
        <f t="shared" si="47"/>
        <v>Normal</v>
      </c>
      <c r="F1432" t="s">
        <v>2380</v>
      </c>
      <c r="G1432" t="s">
        <v>2380</v>
      </c>
      <c r="H1432" t="s">
        <v>2382</v>
      </c>
      <c r="I1432">
        <v>1</v>
      </c>
      <c r="J1432" t="s">
        <v>2380</v>
      </c>
    </row>
    <row r="1433" spans="1:10" x14ac:dyDescent="0.35">
      <c r="A1433" t="s">
        <v>939</v>
      </c>
      <c r="B1433" t="str">
        <f t="shared" si="46"/>
        <v>Obesity</v>
      </c>
      <c r="C1433">
        <v>37.1</v>
      </c>
      <c r="D1433">
        <v>8.8699999999999992</v>
      </c>
      <c r="E1433" t="str">
        <f t="shared" si="47"/>
        <v>Diabetes</v>
      </c>
      <c r="F1433" t="s">
        <v>2381</v>
      </c>
      <c r="G1433" t="s">
        <v>2380</v>
      </c>
      <c r="H1433" t="s">
        <v>2380</v>
      </c>
      <c r="I1433">
        <v>0</v>
      </c>
      <c r="J1433" t="s">
        <v>2380</v>
      </c>
    </row>
    <row r="1434" spans="1:10" x14ac:dyDescent="0.35">
      <c r="A1434" t="s">
        <v>938</v>
      </c>
      <c r="B1434" t="str">
        <f t="shared" si="46"/>
        <v>Underweight</v>
      </c>
      <c r="C1434">
        <v>16.79</v>
      </c>
      <c r="D1434">
        <v>11.4</v>
      </c>
      <c r="E1434" t="str">
        <f t="shared" si="47"/>
        <v>Diabetes</v>
      </c>
      <c r="F1434" t="s">
        <v>2380</v>
      </c>
      <c r="G1434" t="s">
        <v>2380</v>
      </c>
      <c r="H1434" t="s">
        <v>2380</v>
      </c>
      <c r="I1434">
        <v>0</v>
      </c>
      <c r="J1434" t="s">
        <v>2380</v>
      </c>
    </row>
    <row r="1435" spans="1:10" x14ac:dyDescent="0.35">
      <c r="A1435" t="s">
        <v>937</v>
      </c>
      <c r="B1435" t="str">
        <f t="shared" si="46"/>
        <v>Obesity</v>
      </c>
      <c r="C1435">
        <v>31.635000000000002</v>
      </c>
      <c r="D1435">
        <v>9.1300000000000008</v>
      </c>
      <c r="E1435" t="str">
        <f t="shared" si="47"/>
        <v>Diabetes</v>
      </c>
      <c r="F1435" t="s">
        <v>2381</v>
      </c>
      <c r="G1435" t="s">
        <v>2380</v>
      </c>
      <c r="H1435" t="s">
        <v>2380</v>
      </c>
      <c r="I1435">
        <v>0</v>
      </c>
      <c r="J1435" t="s">
        <v>2380</v>
      </c>
    </row>
    <row r="1436" spans="1:10" x14ac:dyDescent="0.35">
      <c r="A1436" t="s">
        <v>936</v>
      </c>
      <c r="B1436" t="str">
        <f t="shared" si="46"/>
        <v>Normal Weight</v>
      </c>
      <c r="C1436">
        <v>24.19</v>
      </c>
      <c r="D1436">
        <v>6.22</v>
      </c>
      <c r="E1436" t="str">
        <f t="shared" si="47"/>
        <v>Prediabetes</v>
      </c>
      <c r="F1436" t="s">
        <v>2381</v>
      </c>
      <c r="G1436" t="s">
        <v>2380</v>
      </c>
      <c r="H1436" t="s">
        <v>2382</v>
      </c>
      <c r="I1436">
        <v>1</v>
      </c>
      <c r="J1436" t="s">
        <v>2380</v>
      </c>
    </row>
    <row r="1437" spans="1:10" x14ac:dyDescent="0.35">
      <c r="A1437" t="s">
        <v>935</v>
      </c>
      <c r="B1437" t="str">
        <f t="shared" si="46"/>
        <v>Obesity</v>
      </c>
      <c r="C1437">
        <v>35.29</v>
      </c>
      <c r="D1437">
        <v>5.9</v>
      </c>
      <c r="E1437" t="str">
        <f t="shared" si="47"/>
        <v>Prediabetes</v>
      </c>
      <c r="F1437" t="s">
        <v>2380</v>
      </c>
      <c r="G1437" t="s">
        <v>2380</v>
      </c>
      <c r="H1437" t="s">
        <v>2382</v>
      </c>
      <c r="I1437">
        <v>1</v>
      </c>
      <c r="J1437" t="s">
        <v>2380</v>
      </c>
    </row>
    <row r="1438" spans="1:10" x14ac:dyDescent="0.35">
      <c r="A1438" t="s">
        <v>934</v>
      </c>
      <c r="B1438" t="str">
        <f t="shared" si="46"/>
        <v>Obesity</v>
      </c>
      <c r="C1438">
        <v>35.299999999999997</v>
      </c>
      <c r="D1438">
        <v>4.45</v>
      </c>
      <c r="E1438" t="str">
        <f t="shared" si="47"/>
        <v>Normal</v>
      </c>
      <c r="F1438" t="s">
        <v>2380</v>
      </c>
      <c r="G1438" t="s">
        <v>2380</v>
      </c>
      <c r="H1438" t="s">
        <v>2380</v>
      </c>
      <c r="I1438">
        <v>0</v>
      </c>
      <c r="J1438" t="s">
        <v>2380</v>
      </c>
    </row>
    <row r="1439" spans="1:10" x14ac:dyDescent="0.35">
      <c r="A1439" t="s">
        <v>933</v>
      </c>
      <c r="B1439" t="str">
        <f t="shared" si="46"/>
        <v>Obesity</v>
      </c>
      <c r="C1439">
        <v>35.64</v>
      </c>
      <c r="D1439">
        <v>6.17</v>
      </c>
      <c r="E1439" t="str">
        <f t="shared" si="47"/>
        <v>Prediabetes</v>
      </c>
      <c r="F1439" t="s">
        <v>2380</v>
      </c>
      <c r="G1439" t="s">
        <v>2380</v>
      </c>
      <c r="H1439" t="s">
        <v>2382</v>
      </c>
      <c r="I1439">
        <v>1</v>
      </c>
      <c r="J1439" t="s">
        <v>2380</v>
      </c>
    </row>
    <row r="1440" spans="1:10" x14ac:dyDescent="0.35">
      <c r="A1440" t="s">
        <v>932</v>
      </c>
      <c r="B1440" t="str">
        <f t="shared" si="46"/>
        <v>Obesity</v>
      </c>
      <c r="C1440">
        <v>33.1</v>
      </c>
      <c r="D1440">
        <v>4.93</v>
      </c>
      <c r="E1440" t="str">
        <f t="shared" si="47"/>
        <v>Normal</v>
      </c>
      <c r="F1440" t="s">
        <v>2380</v>
      </c>
      <c r="G1440" t="s">
        <v>2380</v>
      </c>
      <c r="H1440" t="s">
        <v>2380</v>
      </c>
      <c r="I1440">
        <v>0</v>
      </c>
      <c r="J1440" t="s">
        <v>2380</v>
      </c>
    </row>
    <row r="1441" spans="1:10" x14ac:dyDescent="0.35">
      <c r="A1441" t="s">
        <v>931</v>
      </c>
      <c r="B1441" t="str">
        <f t="shared" si="46"/>
        <v>Overweight</v>
      </c>
      <c r="C1441">
        <v>26.41</v>
      </c>
      <c r="D1441">
        <v>7.32</v>
      </c>
      <c r="E1441" t="str">
        <f t="shared" si="47"/>
        <v>Diabetes</v>
      </c>
      <c r="F1441" t="s">
        <v>2381</v>
      </c>
      <c r="G1441" t="s">
        <v>2380</v>
      </c>
      <c r="H1441" t="s">
        <v>2380</v>
      </c>
      <c r="I1441">
        <v>1</v>
      </c>
      <c r="J1441" t="s">
        <v>2380</v>
      </c>
    </row>
    <row r="1442" spans="1:10" x14ac:dyDescent="0.35">
      <c r="A1442" t="s">
        <v>930</v>
      </c>
      <c r="B1442" t="str">
        <f t="shared" si="46"/>
        <v>Overweight</v>
      </c>
      <c r="C1442">
        <v>29.9</v>
      </c>
      <c r="D1442">
        <v>5.27</v>
      </c>
      <c r="E1442" t="str">
        <f t="shared" si="47"/>
        <v>Normal</v>
      </c>
      <c r="F1442" t="s">
        <v>2380</v>
      </c>
      <c r="G1442" t="s">
        <v>2380</v>
      </c>
      <c r="H1442" t="s">
        <v>2382</v>
      </c>
      <c r="I1442">
        <v>1</v>
      </c>
      <c r="J1442" t="s">
        <v>2380</v>
      </c>
    </row>
    <row r="1443" spans="1:10" x14ac:dyDescent="0.35">
      <c r="A1443" t="s">
        <v>929</v>
      </c>
      <c r="B1443" t="str">
        <f t="shared" si="46"/>
        <v>Overweight</v>
      </c>
      <c r="C1443">
        <v>25.24</v>
      </c>
      <c r="D1443">
        <v>5.82</v>
      </c>
      <c r="E1443" t="str">
        <f t="shared" si="47"/>
        <v>Prediabetes</v>
      </c>
      <c r="F1443" t="s">
        <v>2380</v>
      </c>
      <c r="G1443" t="s">
        <v>2380</v>
      </c>
      <c r="H1443" t="s">
        <v>2380</v>
      </c>
      <c r="I1443">
        <v>1</v>
      </c>
      <c r="J1443" t="s">
        <v>2380</v>
      </c>
    </row>
    <row r="1444" spans="1:10" x14ac:dyDescent="0.35">
      <c r="A1444" t="s">
        <v>928</v>
      </c>
      <c r="B1444" t="str">
        <f t="shared" si="46"/>
        <v>Overweight</v>
      </c>
      <c r="C1444">
        <v>25.08</v>
      </c>
      <c r="D1444">
        <v>5.8</v>
      </c>
      <c r="E1444" t="str">
        <f t="shared" si="47"/>
        <v>Prediabetes</v>
      </c>
      <c r="F1444" t="s">
        <v>2380</v>
      </c>
      <c r="G1444" t="s">
        <v>2380</v>
      </c>
      <c r="H1444" t="s">
        <v>2382</v>
      </c>
      <c r="I1444">
        <v>1</v>
      </c>
      <c r="J1444" t="s">
        <v>2380</v>
      </c>
    </row>
    <row r="1445" spans="1:10" x14ac:dyDescent="0.35">
      <c r="A1445" t="s">
        <v>927</v>
      </c>
      <c r="B1445" t="str">
        <f t="shared" si="46"/>
        <v>Overweight</v>
      </c>
      <c r="C1445">
        <v>29.164999999999999</v>
      </c>
      <c r="D1445">
        <v>4.87</v>
      </c>
      <c r="E1445" t="str">
        <f t="shared" si="47"/>
        <v>Normal</v>
      </c>
      <c r="F1445" t="s">
        <v>2380</v>
      </c>
      <c r="G1445" t="s">
        <v>2381</v>
      </c>
      <c r="H1445" t="s">
        <v>2380</v>
      </c>
      <c r="I1445">
        <v>1</v>
      </c>
      <c r="J1445" t="s">
        <v>2380</v>
      </c>
    </row>
    <row r="1446" spans="1:10" x14ac:dyDescent="0.35">
      <c r="A1446" t="s">
        <v>926</v>
      </c>
      <c r="B1446" t="str">
        <f t="shared" si="46"/>
        <v>Underweight</v>
      </c>
      <c r="C1446">
        <v>15.05</v>
      </c>
      <c r="D1446">
        <v>8.1199999999999992</v>
      </c>
      <c r="E1446" t="str">
        <f t="shared" si="47"/>
        <v>Diabetes</v>
      </c>
      <c r="F1446" t="s">
        <v>2380</v>
      </c>
      <c r="G1446" t="s">
        <v>2380</v>
      </c>
      <c r="H1446" t="s">
        <v>2380</v>
      </c>
      <c r="I1446">
        <v>0</v>
      </c>
      <c r="J1446" t="s">
        <v>2380</v>
      </c>
    </row>
    <row r="1447" spans="1:10" x14ac:dyDescent="0.35">
      <c r="A1447" t="s">
        <v>925</v>
      </c>
      <c r="B1447" t="str">
        <f t="shared" si="46"/>
        <v>Normal Weight</v>
      </c>
      <c r="C1447">
        <v>19.95</v>
      </c>
      <c r="D1447">
        <v>4.3600000000000003</v>
      </c>
      <c r="E1447" t="str">
        <f t="shared" si="47"/>
        <v>Normal</v>
      </c>
      <c r="F1447" t="s">
        <v>2380</v>
      </c>
      <c r="G1447" t="s">
        <v>2380</v>
      </c>
      <c r="H1447" t="s">
        <v>2380</v>
      </c>
      <c r="I1447">
        <v>2</v>
      </c>
      <c r="J1447" t="s">
        <v>2380</v>
      </c>
    </row>
    <row r="1448" spans="1:10" x14ac:dyDescent="0.35">
      <c r="A1448" t="s">
        <v>924</v>
      </c>
      <c r="B1448" t="str">
        <f t="shared" si="46"/>
        <v>Underweight</v>
      </c>
      <c r="C1448">
        <v>16.66</v>
      </c>
      <c r="D1448">
        <v>9.16</v>
      </c>
      <c r="E1448" t="str">
        <f t="shared" si="47"/>
        <v>Diabetes</v>
      </c>
      <c r="F1448" t="s">
        <v>2380</v>
      </c>
      <c r="G1448" t="s">
        <v>2380</v>
      </c>
      <c r="H1448" t="s">
        <v>2380</v>
      </c>
      <c r="I1448">
        <v>0</v>
      </c>
      <c r="J1448" t="s">
        <v>2380</v>
      </c>
    </row>
    <row r="1449" spans="1:10" x14ac:dyDescent="0.35">
      <c r="A1449" t="s">
        <v>923</v>
      </c>
      <c r="B1449" t="str">
        <f t="shared" si="46"/>
        <v>Underweight</v>
      </c>
      <c r="C1449">
        <v>16.62</v>
      </c>
      <c r="D1449">
        <v>9.14</v>
      </c>
      <c r="E1449" t="str">
        <f t="shared" si="47"/>
        <v>Diabetes</v>
      </c>
      <c r="F1449" t="s">
        <v>2380</v>
      </c>
      <c r="G1449" t="s">
        <v>2380</v>
      </c>
      <c r="H1449" t="s">
        <v>2380</v>
      </c>
      <c r="I1449">
        <v>0</v>
      </c>
      <c r="J1449" t="s">
        <v>2380</v>
      </c>
    </row>
    <row r="1450" spans="1:10" x14ac:dyDescent="0.35">
      <c r="A1450" t="s">
        <v>922</v>
      </c>
      <c r="B1450" t="str">
        <f t="shared" si="46"/>
        <v>Underweight</v>
      </c>
      <c r="C1450">
        <v>15.36</v>
      </c>
      <c r="D1450">
        <v>5.49</v>
      </c>
      <c r="E1450" t="str">
        <f t="shared" si="47"/>
        <v>Normal</v>
      </c>
      <c r="F1450" t="s">
        <v>2381</v>
      </c>
      <c r="G1450" t="s">
        <v>2380</v>
      </c>
      <c r="H1450" t="s">
        <v>2380</v>
      </c>
      <c r="I1450">
        <v>2</v>
      </c>
      <c r="J1450" t="s">
        <v>2380</v>
      </c>
    </row>
    <row r="1451" spans="1:10" x14ac:dyDescent="0.35">
      <c r="A1451" t="s">
        <v>921</v>
      </c>
      <c r="B1451" t="str">
        <f t="shared" si="46"/>
        <v>Overweight</v>
      </c>
      <c r="C1451">
        <v>27.74</v>
      </c>
      <c r="D1451">
        <v>5.96</v>
      </c>
      <c r="E1451" t="str">
        <f t="shared" si="47"/>
        <v>Prediabetes</v>
      </c>
      <c r="F1451" t="s">
        <v>2381</v>
      </c>
      <c r="G1451" t="s">
        <v>2380</v>
      </c>
      <c r="H1451" t="s">
        <v>2380</v>
      </c>
      <c r="I1451">
        <v>0</v>
      </c>
      <c r="J1451" t="s">
        <v>2380</v>
      </c>
    </row>
    <row r="1452" spans="1:10" x14ac:dyDescent="0.35">
      <c r="A1452" t="s">
        <v>920</v>
      </c>
      <c r="B1452" t="str">
        <f t="shared" si="46"/>
        <v>Normal Weight</v>
      </c>
      <c r="C1452">
        <v>22.44</v>
      </c>
      <c r="D1452">
        <v>4.62</v>
      </c>
      <c r="E1452" t="str">
        <f t="shared" si="47"/>
        <v>Normal</v>
      </c>
      <c r="F1452" t="s">
        <v>2381</v>
      </c>
      <c r="G1452" t="s">
        <v>2380</v>
      </c>
      <c r="H1452" t="s">
        <v>2380</v>
      </c>
      <c r="I1452">
        <v>0</v>
      </c>
      <c r="J1452" t="s">
        <v>2380</v>
      </c>
    </row>
    <row r="1453" spans="1:10" x14ac:dyDescent="0.35">
      <c r="A1453" t="s">
        <v>919</v>
      </c>
      <c r="B1453" t="str">
        <f t="shared" si="46"/>
        <v>Obesity</v>
      </c>
      <c r="C1453">
        <v>37.049999999999997</v>
      </c>
      <c r="D1453">
        <v>9.9600000000000009</v>
      </c>
      <c r="E1453" t="str">
        <f t="shared" si="47"/>
        <v>Diabetes</v>
      </c>
      <c r="F1453" t="s">
        <v>2381</v>
      </c>
      <c r="G1453" t="s">
        <v>2380</v>
      </c>
      <c r="H1453" t="s">
        <v>2380</v>
      </c>
      <c r="I1453">
        <v>0</v>
      </c>
      <c r="J1453" t="s">
        <v>2380</v>
      </c>
    </row>
    <row r="1454" spans="1:10" x14ac:dyDescent="0.35">
      <c r="A1454" t="s">
        <v>918</v>
      </c>
      <c r="B1454" t="str">
        <f t="shared" si="46"/>
        <v>Normal Weight</v>
      </c>
      <c r="C1454">
        <v>22.95</v>
      </c>
      <c r="D1454">
        <v>10.53</v>
      </c>
      <c r="E1454" t="str">
        <f t="shared" si="47"/>
        <v>Diabetes</v>
      </c>
      <c r="F1454" t="s">
        <v>2380</v>
      </c>
      <c r="G1454" t="s">
        <v>2380</v>
      </c>
      <c r="H1454" t="s">
        <v>2380</v>
      </c>
      <c r="I1454">
        <v>2</v>
      </c>
      <c r="J1454" t="s">
        <v>2380</v>
      </c>
    </row>
    <row r="1455" spans="1:10" x14ac:dyDescent="0.35">
      <c r="A1455" t="s">
        <v>917</v>
      </c>
      <c r="B1455" t="str">
        <f t="shared" si="46"/>
        <v>Obesity</v>
      </c>
      <c r="C1455">
        <v>34.200000000000003</v>
      </c>
      <c r="D1455">
        <v>6.69</v>
      </c>
      <c r="E1455" t="str">
        <f t="shared" si="47"/>
        <v>Diabetes</v>
      </c>
      <c r="F1455" t="s">
        <v>2381</v>
      </c>
      <c r="G1455" t="s">
        <v>2380</v>
      </c>
      <c r="H1455" t="s">
        <v>2380</v>
      </c>
      <c r="I1455">
        <v>0</v>
      </c>
      <c r="J1455" t="s">
        <v>2380</v>
      </c>
    </row>
    <row r="1456" spans="1:10" x14ac:dyDescent="0.35">
      <c r="A1456" t="s">
        <v>916</v>
      </c>
      <c r="B1456" t="str">
        <f t="shared" si="46"/>
        <v>Obesity</v>
      </c>
      <c r="C1456">
        <v>30.59</v>
      </c>
      <c r="D1456">
        <v>9.5500000000000007</v>
      </c>
      <c r="E1456" t="str">
        <f t="shared" si="47"/>
        <v>Diabetes</v>
      </c>
      <c r="F1456" t="s">
        <v>2381</v>
      </c>
      <c r="G1456" t="s">
        <v>2380</v>
      </c>
      <c r="H1456" t="s">
        <v>2380</v>
      </c>
      <c r="I1456">
        <v>0</v>
      </c>
      <c r="J1456" t="s">
        <v>2380</v>
      </c>
    </row>
    <row r="1457" spans="1:10" x14ac:dyDescent="0.35">
      <c r="A1457" t="s">
        <v>915</v>
      </c>
      <c r="B1457" t="str">
        <f t="shared" si="46"/>
        <v>Overweight</v>
      </c>
      <c r="C1457">
        <v>25.51</v>
      </c>
      <c r="D1457">
        <v>6.05</v>
      </c>
      <c r="E1457" t="str">
        <f t="shared" si="47"/>
        <v>Prediabetes</v>
      </c>
      <c r="F1457" t="s">
        <v>2380</v>
      </c>
      <c r="G1457" t="s">
        <v>2380</v>
      </c>
      <c r="H1457" t="s">
        <v>2380</v>
      </c>
      <c r="I1457">
        <v>0</v>
      </c>
      <c r="J1457" t="s">
        <v>2380</v>
      </c>
    </row>
    <row r="1458" spans="1:10" x14ac:dyDescent="0.35">
      <c r="A1458" t="s">
        <v>914</v>
      </c>
      <c r="B1458" t="str">
        <f t="shared" si="46"/>
        <v>Overweight</v>
      </c>
      <c r="C1458">
        <v>29.04</v>
      </c>
      <c r="D1458">
        <v>10.56</v>
      </c>
      <c r="E1458" t="str">
        <f t="shared" si="47"/>
        <v>Diabetes</v>
      </c>
      <c r="F1458" t="s">
        <v>2381</v>
      </c>
      <c r="G1458" t="s">
        <v>2380</v>
      </c>
      <c r="H1458" t="s">
        <v>2380</v>
      </c>
      <c r="I1458">
        <v>1</v>
      </c>
      <c r="J1458" t="s">
        <v>2380</v>
      </c>
    </row>
    <row r="1459" spans="1:10" x14ac:dyDescent="0.35">
      <c r="A1459" t="s">
        <v>913</v>
      </c>
      <c r="B1459" t="str">
        <f t="shared" si="46"/>
        <v>Normal Weight</v>
      </c>
      <c r="C1459">
        <v>22.135000000000002</v>
      </c>
      <c r="D1459">
        <v>10.81</v>
      </c>
      <c r="E1459" t="str">
        <f t="shared" si="47"/>
        <v>Diabetes</v>
      </c>
      <c r="F1459" t="s">
        <v>2381</v>
      </c>
      <c r="G1459" t="s">
        <v>2380</v>
      </c>
      <c r="H1459" t="s">
        <v>2380</v>
      </c>
      <c r="I1459">
        <v>1</v>
      </c>
      <c r="J1459" t="s">
        <v>2380</v>
      </c>
    </row>
    <row r="1460" spans="1:10" x14ac:dyDescent="0.35">
      <c r="A1460" t="s">
        <v>912</v>
      </c>
      <c r="B1460" t="str">
        <f t="shared" si="46"/>
        <v>Normal Weight</v>
      </c>
      <c r="C1460">
        <v>21.375</v>
      </c>
      <c r="D1460">
        <v>4.32</v>
      </c>
      <c r="E1460" t="str">
        <f t="shared" si="47"/>
        <v>Normal</v>
      </c>
      <c r="F1460" t="s">
        <v>2380</v>
      </c>
      <c r="G1460" t="s">
        <v>2380</v>
      </c>
      <c r="H1460" t="s">
        <v>2380</v>
      </c>
      <c r="I1460">
        <v>0</v>
      </c>
      <c r="J1460" t="s">
        <v>2380</v>
      </c>
    </row>
    <row r="1461" spans="1:10" x14ac:dyDescent="0.35">
      <c r="A1461" t="s">
        <v>911</v>
      </c>
      <c r="B1461" t="str">
        <f t="shared" si="46"/>
        <v>Overweight</v>
      </c>
      <c r="C1461">
        <v>29.19</v>
      </c>
      <c r="D1461">
        <v>4.37</v>
      </c>
      <c r="E1461" t="str">
        <f t="shared" si="47"/>
        <v>Normal</v>
      </c>
      <c r="F1461" t="s">
        <v>2380</v>
      </c>
      <c r="G1461" t="s">
        <v>2380</v>
      </c>
      <c r="H1461" t="s">
        <v>2380</v>
      </c>
      <c r="I1461">
        <v>0</v>
      </c>
      <c r="J1461" t="s">
        <v>2380</v>
      </c>
    </row>
    <row r="1462" spans="1:10" x14ac:dyDescent="0.35">
      <c r="A1462" t="s">
        <v>910</v>
      </c>
      <c r="B1462" t="str">
        <f t="shared" si="46"/>
        <v>Obesity</v>
      </c>
      <c r="C1462">
        <v>31.92</v>
      </c>
      <c r="D1462">
        <v>4.8099999999999996</v>
      </c>
      <c r="E1462" t="str">
        <f t="shared" si="47"/>
        <v>Normal</v>
      </c>
      <c r="F1462" t="s">
        <v>2381</v>
      </c>
      <c r="G1462" t="s">
        <v>2380</v>
      </c>
      <c r="H1462" t="s">
        <v>2382</v>
      </c>
      <c r="I1462">
        <v>1</v>
      </c>
      <c r="J1462" t="s">
        <v>2380</v>
      </c>
    </row>
    <row r="1463" spans="1:10" x14ac:dyDescent="0.35">
      <c r="A1463" t="s">
        <v>909</v>
      </c>
      <c r="B1463" t="str">
        <f t="shared" si="46"/>
        <v>Overweight</v>
      </c>
      <c r="C1463">
        <v>26.315000000000001</v>
      </c>
      <c r="D1463">
        <v>4.5599999999999996</v>
      </c>
      <c r="E1463" t="str">
        <f t="shared" si="47"/>
        <v>Normal</v>
      </c>
      <c r="F1463" t="s">
        <v>2381</v>
      </c>
      <c r="G1463" t="s">
        <v>2380</v>
      </c>
      <c r="H1463" t="s">
        <v>2382</v>
      </c>
      <c r="I1463">
        <v>1</v>
      </c>
      <c r="J1463" t="s">
        <v>2380</v>
      </c>
    </row>
    <row r="1464" spans="1:10" x14ac:dyDescent="0.35">
      <c r="A1464" t="s">
        <v>908</v>
      </c>
      <c r="B1464" t="str">
        <f t="shared" si="46"/>
        <v>Obesity</v>
      </c>
      <c r="C1464">
        <v>35.299999999999997</v>
      </c>
      <c r="D1464">
        <v>4.3899999999999997</v>
      </c>
      <c r="E1464" t="str">
        <f t="shared" si="47"/>
        <v>Normal</v>
      </c>
      <c r="F1464" t="s">
        <v>2380</v>
      </c>
      <c r="G1464" t="s">
        <v>2380</v>
      </c>
      <c r="H1464" t="s">
        <v>2380</v>
      </c>
      <c r="I1464">
        <v>0</v>
      </c>
      <c r="J1464" t="s">
        <v>2380</v>
      </c>
    </row>
    <row r="1465" spans="1:10" x14ac:dyDescent="0.35">
      <c r="A1465" t="s">
        <v>907</v>
      </c>
      <c r="B1465" t="str">
        <f t="shared" si="46"/>
        <v>Normal Weight</v>
      </c>
      <c r="C1465">
        <v>18.91</v>
      </c>
      <c r="D1465">
        <v>11.44</v>
      </c>
      <c r="E1465" t="str">
        <f t="shared" si="47"/>
        <v>Diabetes</v>
      </c>
      <c r="F1465" t="s">
        <v>2380</v>
      </c>
      <c r="G1465" t="s">
        <v>2380</v>
      </c>
      <c r="H1465" t="s">
        <v>2380</v>
      </c>
      <c r="I1465">
        <v>0</v>
      </c>
      <c r="J1465" t="s">
        <v>2380</v>
      </c>
    </row>
    <row r="1466" spans="1:10" x14ac:dyDescent="0.35">
      <c r="A1466" t="s">
        <v>906</v>
      </c>
      <c r="B1466" t="str">
        <f t="shared" si="46"/>
        <v>Normal Weight</v>
      </c>
      <c r="C1466">
        <v>22.41</v>
      </c>
      <c r="D1466">
        <v>11.37</v>
      </c>
      <c r="E1466" t="str">
        <f t="shared" si="47"/>
        <v>Diabetes</v>
      </c>
      <c r="F1466" t="s">
        <v>2381</v>
      </c>
      <c r="G1466" t="s">
        <v>2380</v>
      </c>
      <c r="H1466" t="s">
        <v>2380</v>
      </c>
      <c r="I1466">
        <v>1</v>
      </c>
      <c r="J1466" t="s">
        <v>2380</v>
      </c>
    </row>
    <row r="1467" spans="1:10" x14ac:dyDescent="0.35">
      <c r="A1467" t="s">
        <v>905</v>
      </c>
      <c r="B1467" t="str">
        <f t="shared" si="46"/>
        <v>Normal Weight</v>
      </c>
      <c r="C1467">
        <v>22.704999999999998</v>
      </c>
      <c r="D1467">
        <v>6.14</v>
      </c>
      <c r="E1467" t="str">
        <f t="shared" si="47"/>
        <v>Prediabetes</v>
      </c>
      <c r="F1467" t="s">
        <v>2380</v>
      </c>
      <c r="G1467" t="s">
        <v>2380</v>
      </c>
      <c r="H1467" t="s">
        <v>2380</v>
      </c>
      <c r="I1467">
        <v>0</v>
      </c>
      <c r="J1467" t="s">
        <v>2380</v>
      </c>
    </row>
    <row r="1468" spans="1:10" x14ac:dyDescent="0.35">
      <c r="A1468" t="s">
        <v>904</v>
      </c>
      <c r="B1468" t="str">
        <f t="shared" si="46"/>
        <v>Obesity</v>
      </c>
      <c r="C1468">
        <v>37.18</v>
      </c>
      <c r="D1468">
        <v>4.8899999999999997</v>
      </c>
      <c r="E1468" t="str">
        <f t="shared" si="47"/>
        <v>Normal</v>
      </c>
      <c r="F1468" t="s">
        <v>2380</v>
      </c>
      <c r="G1468" t="s">
        <v>2380</v>
      </c>
      <c r="H1468" t="s">
        <v>2380</v>
      </c>
      <c r="I1468">
        <v>0</v>
      </c>
      <c r="J1468" t="s">
        <v>2380</v>
      </c>
    </row>
    <row r="1469" spans="1:10" x14ac:dyDescent="0.35">
      <c r="A1469" t="s">
        <v>903</v>
      </c>
      <c r="B1469" t="str">
        <f t="shared" si="46"/>
        <v>Obesity</v>
      </c>
      <c r="C1469">
        <v>35.97</v>
      </c>
      <c r="D1469">
        <v>4.5999999999999996</v>
      </c>
      <c r="E1469" t="str">
        <f t="shared" si="47"/>
        <v>Normal</v>
      </c>
      <c r="F1469" t="s">
        <v>2380</v>
      </c>
      <c r="G1469" t="s">
        <v>2380</v>
      </c>
      <c r="H1469" t="s">
        <v>2380</v>
      </c>
      <c r="I1469">
        <v>0</v>
      </c>
      <c r="J1469" t="s">
        <v>2380</v>
      </c>
    </row>
    <row r="1470" spans="1:10" x14ac:dyDescent="0.35">
      <c r="A1470" t="s">
        <v>902</v>
      </c>
      <c r="B1470" t="str">
        <f t="shared" si="46"/>
        <v>Obesity</v>
      </c>
      <c r="C1470">
        <v>35.799999999999997</v>
      </c>
      <c r="D1470">
        <v>4.42</v>
      </c>
      <c r="E1470" t="str">
        <f t="shared" si="47"/>
        <v>Normal</v>
      </c>
      <c r="F1470" t="s">
        <v>2380</v>
      </c>
      <c r="G1470" t="s">
        <v>2380</v>
      </c>
      <c r="H1470" t="s">
        <v>2380</v>
      </c>
      <c r="I1470">
        <v>0</v>
      </c>
      <c r="J1470" t="s">
        <v>2380</v>
      </c>
    </row>
    <row r="1471" spans="1:10" x14ac:dyDescent="0.35">
      <c r="A1471" t="s">
        <v>901</v>
      </c>
      <c r="B1471" t="str">
        <f t="shared" si="46"/>
        <v>Overweight</v>
      </c>
      <c r="C1471">
        <v>28.31</v>
      </c>
      <c r="D1471">
        <v>7.48</v>
      </c>
      <c r="E1471" t="str">
        <f t="shared" si="47"/>
        <v>Diabetes</v>
      </c>
      <c r="F1471" t="s">
        <v>2381</v>
      </c>
      <c r="G1471" t="s">
        <v>2380</v>
      </c>
      <c r="H1471" t="s">
        <v>2380</v>
      </c>
      <c r="I1471">
        <v>0</v>
      </c>
      <c r="J1471" t="s">
        <v>2380</v>
      </c>
    </row>
    <row r="1472" spans="1:10" x14ac:dyDescent="0.35">
      <c r="A1472" t="s">
        <v>900</v>
      </c>
      <c r="B1472" t="str">
        <f t="shared" si="46"/>
        <v>Obesity</v>
      </c>
      <c r="C1472">
        <v>38.06</v>
      </c>
      <c r="D1472">
        <v>10.74</v>
      </c>
      <c r="E1472" t="str">
        <f t="shared" si="47"/>
        <v>Diabetes</v>
      </c>
      <c r="F1472" t="s">
        <v>2380</v>
      </c>
      <c r="G1472" t="s">
        <v>2380</v>
      </c>
      <c r="H1472" t="s">
        <v>2380</v>
      </c>
      <c r="I1472">
        <v>0</v>
      </c>
      <c r="J1472" t="s">
        <v>2380</v>
      </c>
    </row>
    <row r="1473" spans="1:10" x14ac:dyDescent="0.35">
      <c r="A1473" t="s">
        <v>899</v>
      </c>
      <c r="B1473" t="str">
        <f t="shared" si="46"/>
        <v>Overweight</v>
      </c>
      <c r="C1473">
        <v>28</v>
      </c>
      <c r="D1473">
        <v>5.19</v>
      </c>
      <c r="E1473" t="str">
        <f t="shared" si="47"/>
        <v>Normal</v>
      </c>
      <c r="F1473" t="s">
        <v>2380</v>
      </c>
      <c r="G1473" t="s">
        <v>2380</v>
      </c>
      <c r="H1473" t="s">
        <v>2380</v>
      </c>
      <c r="I1473">
        <v>1</v>
      </c>
      <c r="J1473" t="s">
        <v>2380</v>
      </c>
    </row>
    <row r="1474" spans="1:10" x14ac:dyDescent="0.35">
      <c r="A1474" t="s">
        <v>898</v>
      </c>
      <c r="B1474" t="str">
        <f t="shared" si="46"/>
        <v>Obesity</v>
      </c>
      <c r="C1474">
        <v>34.32</v>
      </c>
      <c r="D1474">
        <v>9.17</v>
      </c>
      <c r="E1474" t="str">
        <f t="shared" si="47"/>
        <v>Diabetes</v>
      </c>
      <c r="F1474" t="s">
        <v>2380</v>
      </c>
      <c r="G1474" t="s">
        <v>2380</v>
      </c>
      <c r="H1474" t="s">
        <v>2380</v>
      </c>
      <c r="I1474">
        <v>0</v>
      </c>
      <c r="J1474" t="s">
        <v>2380</v>
      </c>
    </row>
    <row r="1475" spans="1:10" x14ac:dyDescent="0.35">
      <c r="A1475" t="s">
        <v>897</v>
      </c>
      <c r="B1475" t="str">
        <f t="shared" ref="B1475:B1538" si="48">IF(C1475&lt;18.5,"Underweight",IF(C1475&lt;25,"Normal Weight",IF(C1475&lt;30,"Overweight","Obesity")))</f>
        <v>Normal Weight</v>
      </c>
      <c r="C1475">
        <v>22.3</v>
      </c>
      <c r="D1475">
        <v>4.95</v>
      </c>
      <c r="E1475" t="str">
        <f t="shared" ref="E1475:E1538" si="49">IF(D1475&lt;5.7,"Normal",IF(D1475&lt;6.5,"Prediabetes","Diabetes"))</f>
        <v>Normal</v>
      </c>
      <c r="F1475" t="s">
        <v>2381</v>
      </c>
      <c r="G1475" t="s">
        <v>2380</v>
      </c>
      <c r="H1475" t="s">
        <v>2380</v>
      </c>
      <c r="I1475">
        <v>0</v>
      </c>
      <c r="J1475" t="s">
        <v>2380</v>
      </c>
    </row>
    <row r="1476" spans="1:10" x14ac:dyDescent="0.35">
      <c r="A1476" t="s">
        <v>896</v>
      </c>
      <c r="B1476" t="str">
        <f t="shared" si="48"/>
        <v>Overweight</v>
      </c>
      <c r="C1476">
        <v>27.835000000000001</v>
      </c>
      <c r="D1476">
        <v>6.03</v>
      </c>
      <c r="E1476" t="str">
        <f t="shared" si="49"/>
        <v>Prediabetes</v>
      </c>
      <c r="F1476" t="s">
        <v>2380</v>
      </c>
      <c r="G1476" t="s">
        <v>2380</v>
      </c>
      <c r="H1476" t="s">
        <v>2380</v>
      </c>
      <c r="I1476">
        <v>1</v>
      </c>
      <c r="J1476" t="s">
        <v>2380</v>
      </c>
    </row>
    <row r="1477" spans="1:10" x14ac:dyDescent="0.35">
      <c r="A1477" t="s">
        <v>895</v>
      </c>
      <c r="B1477" t="str">
        <f t="shared" si="48"/>
        <v>Obesity</v>
      </c>
      <c r="C1477">
        <v>39.229999999999997</v>
      </c>
      <c r="D1477">
        <v>5.36</v>
      </c>
      <c r="E1477" t="str">
        <f t="shared" si="49"/>
        <v>Normal</v>
      </c>
      <c r="F1477" t="s">
        <v>2380</v>
      </c>
      <c r="G1477" t="s">
        <v>2380</v>
      </c>
      <c r="H1477" t="s">
        <v>2380</v>
      </c>
      <c r="I1477">
        <v>0</v>
      </c>
      <c r="J1477" t="s">
        <v>2380</v>
      </c>
    </row>
    <row r="1478" spans="1:10" x14ac:dyDescent="0.35">
      <c r="A1478" t="s">
        <v>894</v>
      </c>
      <c r="B1478" t="str">
        <f t="shared" si="48"/>
        <v>Normal Weight</v>
      </c>
      <c r="C1478">
        <v>19.95</v>
      </c>
      <c r="D1478">
        <v>6.11</v>
      </c>
      <c r="E1478" t="str">
        <f t="shared" si="49"/>
        <v>Prediabetes</v>
      </c>
      <c r="F1478" t="s">
        <v>2380</v>
      </c>
      <c r="G1478" t="s">
        <v>2380</v>
      </c>
      <c r="H1478" t="s">
        <v>2380</v>
      </c>
      <c r="I1478">
        <v>1</v>
      </c>
      <c r="J1478" t="s">
        <v>2380</v>
      </c>
    </row>
    <row r="1479" spans="1:10" x14ac:dyDescent="0.35">
      <c r="A1479" t="s">
        <v>893</v>
      </c>
      <c r="B1479" t="str">
        <f t="shared" si="48"/>
        <v>Obesity</v>
      </c>
      <c r="C1479">
        <v>34.64</v>
      </c>
      <c r="D1479">
        <v>4.88</v>
      </c>
      <c r="E1479" t="str">
        <f t="shared" si="49"/>
        <v>Normal</v>
      </c>
      <c r="F1479" t="s">
        <v>2380</v>
      </c>
      <c r="G1479" t="s">
        <v>2380</v>
      </c>
      <c r="H1479" t="s">
        <v>2382</v>
      </c>
      <c r="I1479">
        <v>1</v>
      </c>
      <c r="J1479" t="s">
        <v>2380</v>
      </c>
    </row>
    <row r="1480" spans="1:10" x14ac:dyDescent="0.35">
      <c r="A1480" t="s">
        <v>892</v>
      </c>
      <c r="B1480" t="str">
        <f t="shared" si="48"/>
        <v>Normal Weight</v>
      </c>
      <c r="C1480">
        <v>18.75</v>
      </c>
      <c r="D1480">
        <v>6.72</v>
      </c>
      <c r="E1480" t="str">
        <f t="shared" si="49"/>
        <v>Diabetes</v>
      </c>
      <c r="F1480" t="s">
        <v>2380</v>
      </c>
      <c r="G1480" t="s">
        <v>2380</v>
      </c>
      <c r="H1480" t="s">
        <v>2380</v>
      </c>
      <c r="I1480">
        <v>0</v>
      </c>
      <c r="J1480" t="s">
        <v>2380</v>
      </c>
    </row>
    <row r="1481" spans="1:10" x14ac:dyDescent="0.35">
      <c r="A1481" t="s">
        <v>891</v>
      </c>
      <c r="B1481" t="str">
        <f t="shared" si="48"/>
        <v>Overweight</v>
      </c>
      <c r="C1481">
        <v>26.48</v>
      </c>
      <c r="D1481">
        <v>4.2</v>
      </c>
      <c r="E1481" t="str">
        <f t="shared" si="49"/>
        <v>Normal</v>
      </c>
      <c r="F1481" t="s">
        <v>2380</v>
      </c>
      <c r="G1481" t="s">
        <v>2380</v>
      </c>
      <c r="H1481" t="s">
        <v>2380</v>
      </c>
      <c r="I1481">
        <v>1</v>
      </c>
      <c r="J1481" t="s">
        <v>2380</v>
      </c>
    </row>
    <row r="1482" spans="1:10" x14ac:dyDescent="0.35">
      <c r="A1482" t="s">
        <v>890</v>
      </c>
      <c r="B1482" t="str">
        <f t="shared" si="48"/>
        <v>Obesity</v>
      </c>
      <c r="C1482">
        <v>34.83</v>
      </c>
      <c r="D1482">
        <v>5.79</v>
      </c>
      <c r="E1482" t="str">
        <f t="shared" si="49"/>
        <v>Prediabetes</v>
      </c>
      <c r="F1482" t="s">
        <v>2380</v>
      </c>
      <c r="G1482" t="s">
        <v>2380</v>
      </c>
      <c r="H1482" t="s">
        <v>2380</v>
      </c>
      <c r="I1482">
        <v>1</v>
      </c>
      <c r="J1482" t="s">
        <v>2380</v>
      </c>
    </row>
    <row r="1483" spans="1:10" x14ac:dyDescent="0.35">
      <c r="A1483" t="s">
        <v>889</v>
      </c>
      <c r="B1483" t="str">
        <f t="shared" si="48"/>
        <v>Overweight</v>
      </c>
      <c r="C1483">
        <v>25.46</v>
      </c>
      <c r="D1483">
        <v>4.29</v>
      </c>
      <c r="E1483" t="str">
        <f t="shared" si="49"/>
        <v>Normal</v>
      </c>
      <c r="F1483" t="s">
        <v>2380</v>
      </c>
      <c r="G1483" t="s">
        <v>2380</v>
      </c>
      <c r="H1483" t="s">
        <v>2380</v>
      </c>
      <c r="I1483">
        <v>0</v>
      </c>
      <c r="J1483" t="s">
        <v>2380</v>
      </c>
    </row>
    <row r="1484" spans="1:10" x14ac:dyDescent="0.35">
      <c r="A1484" t="s">
        <v>888</v>
      </c>
      <c r="B1484" t="str">
        <f t="shared" si="48"/>
        <v>Normal Weight</v>
      </c>
      <c r="C1484">
        <v>23.31</v>
      </c>
      <c r="D1484">
        <v>8.27</v>
      </c>
      <c r="E1484" t="str">
        <f t="shared" si="49"/>
        <v>Diabetes</v>
      </c>
      <c r="F1484" t="s">
        <v>2380</v>
      </c>
      <c r="G1484" t="s">
        <v>2380</v>
      </c>
      <c r="H1484" t="s">
        <v>2380</v>
      </c>
      <c r="I1484">
        <v>0</v>
      </c>
      <c r="J1484" t="s">
        <v>2380</v>
      </c>
    </row>
    <row r="1485" spans="1:10" x14ac:dyDescent="0.35">
      <c r="A1485" t="s">
        <v>887</v>
      </c>
      <c r="B1485" t="str">
        <f t="shared" si="48"/>
        <v>Overweight</v>
      </c>
      <c r="C1485">
        <v>29</v>
      </c>
      <c r="D1485">
        <v>4.5599999999999996</v>
      </c>
      <c r="E1485" t="str">
        <f t="shared" si="49"/>
        <v>Normal</v>
      </c>
      <c r="F1485" t="s">
        <v>2380</v>
      </c>
      <c r="G1485" t="s">
        <v>2380</v>
      </c>
      <c r="H1485" t="s">
        <v>2380</v>
      </c>
      <c r="I1485">
        <v>0</v>
      </c>
      <c r="J1485" t="s">
        <v>2380</v>
      </c>
    </row>
    <row r="1486" spans="1:10" x14ac:dyDescent="0.35">
      <c r="A1486" t="s">
        <v>886</v>
      </c>
      <c r="B1486" t="str">
        <f t="shared" si="48"/>
        <v>Obesity</v>
      </c>
      <c r="C1486">
        <v>32.869999999999997</v>
      </c>
      <c r="D1486">
        <v>5.33</v>
      </c>
      <c r="E1486" t="str">
        <f t="shared" si="49"/>
        <v>Normal</v>
      </c>
      <c r="F1486" t="s">
        <v>2380</v>
      </c>
      <c r="G1486" t="s">
        <v>2380</v>
      </c>
      <c r="H1486" t="s">
        <v>2380</v>
      </c>
      <c r="I1486">
        <v>0</v>
      </c>
      <c r="J1486" t="s">
        <v>2380</v>
      </c>
    </row>
    <row r="1487" spans="1:10" x14ac:dyDescent="0.35">
      <c r="A1487" t="s">
        <v>885</v>
      </c>
      <c r="B1487" t="str">
        <f t="shared" si="48"/>
        <v>Overweight</v>
      </c>
      <c r="C1487">
        <v>26.18</v>
      </c>
      <c r="D1487">
        <v>5.63</v>
      </c>
      <c r="E1487" t="str">
        <f t="shared" si="49"/>
        <v>Normal</v>
      </c>
      <c r="F1487" t="s">
        <v>2380</v>
      </c>
      <c r="G1487" t="s">
        <v>2380</v>
      </c>
      <c r="H1487" t="s">
        <v>2380</v>
      </c>
      <c r="I1487">
        <v>0</v>
      </c>
      <c r="J1487" t="s">
        <v>2380</v>
      </c>
    </row>
    <row r="1488" spans="1:10" x14ac:dyDescent="0.35">
      <c r="A1488" t="s">
        <v>884</v>
      </c>
      <c r="B1488" t="str">
        <f t="shared" si="48"/>
        <v>Overweight</v>
      </c>
      <c r="C1488">
        <v>25.3</v>
      </c>
      <c r="D1488">
        <v>5.12</v>
      </c>
      <c r="E1488" t="str">
        <f t="shared" si="49"/>
        <v>Normal</v>
      </c>
      <c r="F1488" t="s">
        <v>2380</v>
      </c>
      <c r="G1488" t="s">
        <v>2380</v>
      </c>
      <c r="H1488" t="s">
        <v>2380</v>
      </c>
      <c r="I1488">
        <v>0</v>
      </c>
      <c r="J1488" t="s">
        <v>2380</v>
      </c>
    </row>
    <row r="1489" spans="1:10" x14ac:dyDescent="0.35">
      <c r="A1489" t="s">
        <v>883</v>
      </c>
      <c r="B1489" t="str">
        <f t="shared" si="48"/>
        <v>Obesity</v>
      </c>
      <c r="C1489">
        <v>36.94</v>
      </c>
      <c r="D1489">
        <v>5.15</v>
      </c>
      <c r="E1489" t="str">
        <f t="shared" si="49"/>
        <v>Normal</v>
      </c>
      <c r="F1489" t="s">
        <v>2381</v>
      </c>
      <c r="G1489" t="s">
        <v>2380</v>
      </c>
      <c r="H1489" t="s">
        <v>2380</v>
      </c>
      <c r="I1489">
        <v>1</v>
      </c>
      <c r="J1489" t="s">
        <v>2380</v>
      </c>
    </row>
    <row r="1490" spans="1:10" x14ac:dyDescent="0.35">
      <c r="A1490" t="s">
        <v>882</v>
      </c>
      <c r="B1490" t="str">
        <f t="shared" si="48"/>
        <v>Normal Weight</v>
      </c>
      <c r="C1490">
        <v>22.86</v>
      </c>
      <c r="D1490">
        <v>7.5</v>
      </c>
      <c r="E1490" t="str">
        <f t="shared" si="49"/>
        <v>Diabetes</v>
      </c>
      <c r="F1490" t="s">
        <v>2380</v>
      </c>
      <c r="G1490" t="s">
        <v>2380</v>
      </c>
      <c r="H1490" t="s">
        <v>2380</v>
      </c>
      <c r="I1490">
        <v>0</v>
      </c>
      <c r="J1490" t="s">
        <v>2380</v>
      </c>
    </row>
    <row r="1491" spans="1:10" x14ac:dyDescent="0.35">
      <c r="A1491" t="s">
        <v>881</v>
      </c>
      <c r="B1491" t="str">
        <f t="shared" si="48"/>
        <v>Normal Weight</v>
      </c>
      <c r="C1491">
        <v>18.760000000000002</v>
      </c>
      <c r="D1491">
        <v>4.88</v>
      </c>
      <c r="E1491" t="str">
        <f t="shared" si="49"/>
        <v>Normal</v>
      </c>
      <c r="F1491" t="s">
        <v>2381</v>
      </c>
      <c r="G1491" t="s">
        <v>2380</v>
      </c>
      <c r="H1491" t="s">
        <v>2382</v>
      </c>
      <c r="I1491">
        <v>1</v>
      </c>
      <c r="J1491" t="s">
        <v>2380</v>
      </c>
    </row>
    <row r="1492" spans="1:10" x14ac:dyDescent="0.35">
      <c r="A1492" t="s">
        <v>880</v>
      </c>
      <c r="B1492" t="str">
        <f t="shared" si="48"/>
        <v>Normal Weight</v>
      </c>
      <c r="C1492">
        <v>24.36</v>
      </c>
      <c r="D1492">
        <v>5.57</v>
      </c>
      <c r="E1492" t="str">
        <f t="shared" si="49"/>
        <v>Normal</v>
      </c>
      <c r="F1492" t="s">
        <v>2380</v>
      </c>
      <c r="G1492" t="s">
        <v>2380</v>
      </c>
      <c r="H1492" t="s">
        <v>2380</v>
      </c>
      <c r="I1492">
        <v>0</v>
      </c>
      <c r="J1492" t="s">
        <v>2380</v>
      </c>
    </row>
    <row r="1493" spans="1:10" x14ac:dyDescent="0.35">
      <c r="A1493" t="s">
        <v>879</v>
      </c>
      <c r="B1493" t="str">
        <f t="shared" si="48"/>
        <v>Obesity</v>
      </c>
      <c r="C1493">
        <v>32.299999999999997</v>
      </c>
      <c r="D1493">
        <v>5.31</v>
      </c>
      <c r="E1493" t="str">
        <f t="shared" si="49"/>
        <v>Normal</v>
      </c>
      <c r="F1493" t="s">
        <v>2380</v>
      </c>
      <c r="G1493" t="s">
        <v>2380</v>
      </c>
      <c r="H1493" t="s">
        <v>2380</v>
      </c>
      <c r="I1493">
        <v>0</v>
      </c>
      <c r="J1493" t="s">
        <v>2380</v>
      </c>
    </row>
    <row r="1494" spans="1:10" x14ac:dyDescent="0.35">
      <c r="A1494" t="s">
        <v>878</v>
      </c>
      <c r="B1494" t="str">
        <f t="shared" si="48"/>
        <v>Normal Weight</v>
      </c>
      <c r="C1494">
        <v>22.704999999999998</v>
      </c>
      <c r="D1494">
        <v>4.57</v>
      </c>
      <c r="E1494" t="str">
        <f t="shared" si="49"/>
        <v>Normal</v>
      </c>
      <c r="F1494" t="s">
        <v>2381</v>
      </c>
      <c r="G1494" t="s">
        <v>2380</v>
      </c>
      <c r="H1494" t="s">
        <v>2380</v>
      </c>
      <c r="I1494">
        <v>0</v>
      </c>
      <c r="J1494" t="s">
        <v>2380</v>
      </c>
    </row>
    <row r="1495" spans="1:10" x14ac:dyDescent="0.35">
      <c r="A1495" t="s">
        <v>877</v>
      </c>
      <c r="B1495" t="str">
        <f t="shared" si="48"/>
        <v>Normal Weight</v>
      </c>
      <c r="C1495">
        <v>21.79</v>
      </c>
      <c r="D1495">
        <v>8.6999999999999993</v>
      </c>
      <c r="E1495" t="str">
        <f t="shared" si="49"/>
        <v>Diabetes</v>
      </c>
      <c r="F1495" t="s">
        <v>2381</v>
      </c>
      <c r="G1495" t="s">
        <v>2380</v>
      </c>
      <c r="H1495" t="s">
        <v>2380</v>
      </c>
      <c r="I1495">
        <v>1</v>
      </c>
      <c r="J1495" t="s">
        <v>2380</v>
      </c>
    </row>
    <row r="1496" spans="1:10" x14ac:dyDescent="0.35">
      <c r="A1496" t="s">
        <v>876</v>
      </c>
      <c r="B1496" t="str">
        <f t="shared" si="48"/>
        <v>Normal Weight</v>
      </c>
      <c r="C1496">
        <v>24.52</v>
      </c>
      <c r="D1496">
        <v>4.76</v>
      </c>
      <c r="E1496" t="str">
        <f t="shared" si="49"/>
        <v>Normal</v>
      </c>
      <c r="F1496" t="s">
        <v>2380</v>
      </c>
      <c r="G1496" t="s">
        <v>2380</v>
      </c>
      <c r="H1496" t="s">
        <v>2380</v>
      </c>
      <c r="I1496">
        <v>0</v>
      </c>
      <c r="J1496" t="s">
        <v>2380</v>
      </c>
    </row>
    <row r="1497" spans="1:10" x14ac:dyDescent="0.35">
      <c r="A1497" t="s">
        <v>875</v>
      </c>
      <c r="B1497" t="str">
        <f t="shared" si="48"/>
        <v>Obesity</v>
      </c>
      <c r="C1497">
        <v>39.520000000000003</v>
      </c>
      <c r="D1497">
        <v>11.81</v>
      </c>
      <c r="E1497" t="str">
        <f t="shared" si="49"/>
        <v>Diabetes</v>
      </c>
      <c r="F1497" t="s">
        <v>2380</v>
      </c>
      <c r="G1497" t="s">
        <v>2380</v>
      </c>
      <c r="H1497" t="s">
        <v>2380</v>
      </c>
      <c r="I1497">
        <v>0</v>
      </c>
      <c r="J1497" t="s">
        <v>2380</v>
      </c>
    </row>
    <row r="1498" spans="1:10" x14ac:dyDescent="0.35">
      <c r="A1498" t="s">
        <v>874</v>
      </c>
      <c r="B1498" t="str">
        <f t="shared" si="48"/>
        <v>Normal Weight</v>
      </c>
      <c r="C1498">
        <v>24.49</v>
      </c>
      <c r="D1498">
        <v>4.67</v>
      </c>
      <c r="E1498" t="str">
        <f t="shared" si="49"/>
        <v>Normal</v>
      </c>
      <c r="F1498" t="s">
        <v>2380</v>
      </c>
      <c r="G1498" t="s">
        <v>2380</v>
      </c>
      <c r="H1498" t="s">
        <v>2380</v>
      </c>
      <c r="I1498">
        <v>0</v>
      </c>
      <c r="J1498" t="s">
        <v>2380</v>
      </c>
    </row>
    <row r="1499" spans="1:10" x14ac:dyDescent="0.35">
      <c r="A1499" t="s">
        <v>873</v>
      </c>
      <c r="B1499" t="str">
        <f t="shared" si="48"/>
        <v>Overweight</v>
      </c>
      <c r="C1499">
        <v>26.315000000000001</v>
      </c>
      <c r="D1499">
        <v>6.02</v>
      </c>
      <c r="E1499" t="str">
        <f t="shared" si="49"/>
        <v>Prediabetes</v>
      </c>
      <c r="F1499" t="s">
        <v>2380</v>
      </c>
      <c r="G1499" t="s">
        <v>2380</v>
      </c>
      <c r="H1499" t="s">
        <v>2380</v>
      </c>
      <c r="I1499">
        <v>0</v>
      </c>
      <c r="J1499" t="s">
        <v>2380</v>
      </c>
    </row>
    <row r="1500" spans="1:10" x14ac:dyDescent="0.35">
      <c r="A1500" t="s">
        <v>872</v>
      </c>
      <c r="B1500" t="str">
        <f t="shared" si="48"/>
        <v>Normal Weight</v>
      </c>
      <c r="C1500">
        <v>22.58</v>
      </c>
      <c r="D1500">
        <v>7.46</v>
      </c>
      <c r="E1500" t="str">
        <f t="shared" si="49"/>
        <v>Diabetes</v>
      </c>
      <c r="F1500" t="s">
        <v>2380</v>
      </c>
      <c r="G1500" t="s">
        <v>2380</v>
      </c>
      <c r="H1500" t="s">
        <v>2380</v>
      </c>
      <c r="I1500">
        <v>0</v>
      </c>
      <c r="J1500" t="s">
        <v>2380</v>
      </c>
    </row>
    <row r="1501" spans="1:10" x14ac:dyDescent="0.35">
      <c r="A1501" t="s">
        <v>871</v>
      </c>
      <c r="B1501" t="str">
        <f t="shared" si="48"/>
        <v>Normal Weight</v>
      </c>
      <c r="C1501">
        <v>19.475000000000001</v>
      </c>
      <c r="D1501">
        <v>4.74</v>
      </c>
      <c r="E1501" t="str">
        <f t="shared" si="49"/>
        <v>Normal</v>
      </c>
      <c r="F1501" t="s">
        <v>2380</v>
      </c>
      <c r="G1501" t="s">
        <v>2380</v>
      </c>
      <c r="H1501" t="s">
        <v>2380</v>
      </c>
      <c r="I1501">
        <v>1</v>
      </c>
      <c r="J1501" t="s">
        <v>2380</v>
      </c>
    </row>
    <row r="1502" spans="1:10" x14ac:dyDescent="0.35">
      <c r="A1502" t="s">
        <v>870</v>
      </c>
      <c r="B1502" t="str">
        <f t="shared" si="48"/>
        <v>Overweight</v>
      </c>
      <c r="C1502">
        <v>26.33</v>
      </c>
      <c r="D1502">
        <v>4.79</v>
      </c>
      <c r="E1502" t="str">
        <f t="shared" si="49"/>
        <v>Normal</v>
      </c>
      <c r="F1502" t="s">
        <v>2380</v>
      </c>
      <c r="G1502" t="s">
        <v>2380</v>
      </c>
      <c r="H1502" t="s">
        <v>2380</v>
      </c>
      <c r="I1502">
        <v>0</v>
      </c>
      <c r="J1502" t="s">
        <v>2380</v>
      </c>
    </row>
    <row r="1503" spans="1:10" x14ac:dyDescent="0.35">
      <c r="A1503" t="s">
        <v>869</v>
      </c>
      <c r="B1503" t="str">
        <f t="shared" si="48"/>
        <v>Underweight</v>
      </c>
      <c r="C1503">
        <v>17.29</v>
      </c>
      <c r="D1503">
        <v>5.35</v>
      </c>
      <c r="E1503" t="str">
        <f t="shared" si="49"/>
        <v>Normal</v>
      </c>
      <c r="F1503" t="s">
        <v>2381</v>
      </c>
      <c r="G1503" t="s">
        <v>2380</v>
      </c>
      <c r="H1503" t="s">
        <v>2380</v>
      </c>
      <c r="I1503">
        <v>0</v>
      </c>
      <c r="J1503" t="s">
        <v>2380</v>
      </c>
    </row>
    <row r="1504" spans="1:10" x14ac:dyDescent="0.35">
      <c r="A1504" t="s">
        <v>868</v>
      </c>
      <c r="B1504" t="str">
        <f t="shared" si="48"/>
        <v>Obesity</v>
      </c>
      <c r="C1504">
        <v>42.88</v>
      </c>
      <c r="D1504">
        <v>4.87</v>
      </c>
      <c r="E1504" t="str">
        <f t="shared" si="49"/>
        <v>Normal</v>
      </c>
      <c r="F1504" t="s">
        <v>2380</v>
      </c>
      <c r="G1504" t="s">
        <v>2381</v>
      </c>
      <c r="H1504" t="s">
        <v>2380</v>
      </c>
      <c r="I1504">
        <v>1</v>
      </c>
      <c r="J1504" t="s">
        <v>2380</v>
      </c>
    </row>
    <row r="1505" spans="1:10" x14ac:dyDescent="0.35">
      <c r="A1505" t="s">
        <v>867</v>
      </c>
      <c r="B1505" t="str">
        <f t="shared" si="48"/>
        <v>Obesity</v>
      </c>
      <c r="C1505">
        <v>32.200000000000003</v>
      </c>
      <c r="D1505">
        <v>10.09</v>
      </c>
      <c r="E1505" t="str">
        <f t="shared" si="49"/>
        <v>Diabetes</v>
      </c>
      <c r="F1505" t="s">
        <v>2381</v>
      </c>
      <c r="G1505" t="s">
        <v>2380</v>
      </c>
      <c r="H1505" t="s">
        <v>2380</v>
      </c>
      <c r="I1505">
        <v>0</v>
      </c>
      <c r="J1505" t="s">
        <v>2380</v>
      </c>
    </row>
    <row r="1506" spans="1:10" x14ac:dyDescent="0.35">
      <c r="A1506" t="s">
        <v>866</v>
      </c>
      <c r="B1506" t="str">
        <f t="shared" si="48"/>
        <v>Normal Weight</v>
      </c>
      <c r="C1506">
        <v>18.75</v>
      </c>
      <c r="D1506">
        <v>5.47</v>
      </c>
      <c r="E1506" t="str">
        <f t="shared" si="49"/>
        <v>Normal</v>
      </c>
      <c r="F1506" t="s">
        <v>2381</v>
      </c>
      <c r="G1506" t="s">
        <v>2380</v>
      </c>
      <c r="H1506" t="s">
        <v>2382</v>
      </c>
      <c r="I1506">
        <v>1</v>
      </c>
      <c r="J1506" t="s">
        <v>2380</v>
      </c>
    </row>
    <row r="1507" spans="1:10" x14ac:dyDescent="0.35">
      <c r="A1507" t="s">
        <v>865</v>
      </c>
      <c r="B1507" t="str">
        <f t="shared" si="48"/>
        <v>Normal Weight</v>
      </c>
      <c r="C1507">
        <v>22.36</v>
      </c>
      <c r="D1507">
        <v>8.6</v>
      </c>
      <c r="E1507" t="str">
        <f t="shared" si="49"/>
        <v>Diabetes</v>
      </c>
      <c r="F1507" t="s">
        <v>2380</v>
      </c>
      <c r="G1507" t="s">
        <v>2380</v>
      </c>
      <c r="H1507" t="s">
        <v>2380</v>
      </c>
      <c r="I1507">
        <v>0</v>
      </c>
      <c r="J1507" t="s">
        <v>2380</v>
      </c>
    </row>
    <row r="1508" spans="1:10" x14ac:dyDescent="0.35">
      <c r="A1508" t="s">
        <v>864</v>
      </c>
      <c r="B1508" t="str">
        <f t="shared" si="48"/>
        <v>Normal Weight</v>
      </c>
      <c r="C1508">
        <v>23.94</v>
      </c>
      <c r="D1508">
        <v>10.74</v>
      </c>
      <c r="E1508" t="str">
        <f t="shared" si="49"/>
        <v>Diabetes</v>
      </c>
      <c r="F1508" t="s">
        <v>2381</v>
      </c>
      <c r="G1508" t="s">
        <v>2380</v>
      </c>
      <c r="H1508" t="s">
        <v>2380</v>
      </c>
      <c r="I1508">
        <v>0</v>
      </c>
      <c r="J1508" t="s">
        <v>2380</v>
      </c>
    </row>
    <row r="1509" spans="1:10" x14ac:dyDescent="0.35">
      <c r="A1509" t="s">
        <v>863</v>
      </c>
      <c r="B1509" t="str">
        <f t="shared" si="48"/>
        <v>Obesity</v>
      </c>
      <c r="C1509">
        <v>30.1</v>
      </c>
      <c r="D1509">
        <v>4.3899999999999997</v>
      </c>
      <c r="E1509" t="str">
        <f t="shared" si="49"/>
        <v>Normal</v>
      </c>
      <c r="F1509" t="s">
        <v>2380</v>
      </c>
      <c r="G1509" t="s">
        <v>2380</v>
      </c>
      <c r="H1509" t="s">
        <v>2382</v>
      </c>
      <c r="I1509">
        <v>1</v>
      </c>
      <c r="J1509" t="s">
        <v>2380</v>
      </c>
    </row>
    <row r="1510" spans="1:10" x14ac:dyDescent="0.35">
      <c r="A1510" t="s">
        <v>862</v>
      </c>
      <c r="B1510" t="str">
        <f t="shared" si="48"/>
        <v>Normal Weight</v>
      </c>
      <c r="C1510">
        <v>21.93</v>
      </c>
      <c r="D1510">
        <v>6.3</v>
      </c>
      <c r="E1510" t="str">
        <f t="shared" si="49"/>
        <v>Prediabetes</v>
      </c>
      <c r="F1510" t="s">
        <v>2380</v>
      </c>
      <c r="G1510" t="s">
        <v>2380</v>
      </c>
      <c r="H1510" t="s">
        <v>2380</v>
      </c>
      <c r="I1510">
        <v>0</v>
      </c>
      <c r="J1510" t="s">
        <v>2380</v>
      </c>
    </row>
    <row r="1511" spans="1:10" x14ac:dyDescent="0.35">
      <c r="A1511" t="s">
        <v>861</v>
      </c>
      <c r="B1511" t="str">
        <f t="shared" si="48"/>
        <v>Obesity</v>
      </c>
      <c r="C1511">
        <v>39.75</v>
      </c>
      <c r="D1511">
        <v>5.41</v>
      </c>
      <c r="E1511" t="str">
        <f t="shared" si="49"/>
        <v>Normal</v>
      </c>
      <c r="F1511" t="s">
        <v>2380</v>
      </c>
      <c r="G1511" t="s">
        <v>2381</v>
      </c>
      <c r="H1511" t="s">
        <v>2380</v>
      </c>
      <c r="I1511">
        <v>1</v>
      </c>
      <c r="J1511" t="s">
        <v>2380</v>
      </c>
    </row>
    <row r="1512" spans="1:10" x14ac:dyDescent="0.35">
      <c r="A1512" t="s">
        <v>860</v>
      </c>
      <c r="B1512" t="str">
        <f t="shared" si="48"/>
        <v>Overweight</v>
      </c>
      <c r="C1512">
        <v>26.03</v>
      </c>
      <c r="D1512">
        <v>4.47</v>
      </c>
      <c r="E1512" t="str">
        <f t="shared" si="49"/>
        <v>Normal</v>
      </c>
      <c r="F1512" t="s">
        <v>2380</v>
      </c>
      <c r="G1512" t="s">
        <v>2380</v>
      </c>
      <c r="H1512" t="s">
        <v>2382</v>
      </c>
      <c r="I1512">
        <v>1</v>
      </c>
      <c r="J1512" t="s">
        <v>2380</v>
      </c>
    </row>
    <row r="1513" spans="1:10" x14ac:dyDescent="0.35">
      <c r="A1513" t="s">
        <v>859</v>
      </c>
      <c r="B1513" t="str">
        <f t="shared" si="48"/>
        <v>Obesity</v>
      </c>
      <c r="C1513">
        <v>34.51</v>
      </c>
      <c r="D1513">
        <v>6.26</v>
      </c>
      <c r="E1513" t="str">
        <f t="shared" si="49"/>
        <v>Prediabetes</v>
      </c>
      <c r="F1513" t="s">
        <v>2380</v>
      </c>
      <c r="G1513" t="s">
        <v>2380</v>
      </c>
      <c r="H1513" t="s">
        <v>2380</v>
      </c>
      <c r="I1513">
        <v>0</v>
      </c>
      <c r="J1513" t="s">
        <v>2380</v>
      </c>
    </row>
    <row r="1514" spans="1:10" x14ac:dyDescent="0.35">
      <c r="A1514" t="s">
        <v>858</v>
      </c>
      <c r="B1514" t="str">
        <f t="shared" si="48"/>
        <v>Normal Weight</v>
      </c>
      <c r="C1514">
        <v>19.32</v>
      </c>
      <c r="D1514">
        <v>11.58</v>
      </c>
      <c r="E1514" t="str">
        <f t="shared" si="49"/>
        <v>Diabetes</v>
      </c>
      <c r="F1514" t="s">
        <v>2381</v>
      </c>
      <c r="G1514" t="s">
        <v>2380</v>
      </c>
      <c r="H1514" t="s">
        <v>2380</v>
      </c>
      <c r="I1514">
        <v>1</v>
      </c>
      <c r="J1514" t="s">
        <v>2380</v>
      </c>
    </row>
    <row r="1515" spans="1:10" x14ac:dyDescent="0.35">
      <c r="A1515" t="s">
        <v>857</v>
      </c>
      <c r="B1515" t="str">
        <f t="shared" si="48"/>
        <v>Overweight</v>
      </c>
      <c r="C1515">
        <v>28.5</v>
      </c>
      <c r="D1515">
        <v>4.3600000000000003</v>
      </c>
      <c r="E1515" t="str">
        <f t="shared" si="49"/>
        <v>Normal</v>
      </c>
      <c r="F1515" t="s">
        <v>2380</v>
      </c>
      <c r="G1515" t="s">
        <v>2380</v>
      </c>
      <c r="H1515" t="s">
        <v>2380</v>
      </c>
      <c r="I1515">
        <v>0</v>
      </c>
      <c r="J1515" t="s">
        <v>2380</v>
      </c>
    </row>
    <row r="1516" spans="1:10" x14ac:dyDescent="0.35">
      <c r="A1516" t="s">
        <v>856</v>
      </c>
      <c r="B1516" t="str">
        <f t="shared" si="48"/>
        <v>Obesity</v>
      </c>
      <c r="C1516">
        <v>30.875</v>
      </c>
      <c r="D1516">
        <v>4.1399999999999997</v>
      </c>
      <c r="E1516" t="str">
        <f t="shared" si="49"/>
        <v>Normal</v>
      </c>
      <c r="F1516" t="s">
        <v>2381</v>
      </c>
      <c r="G1516" t="s">
        <v>2380</v>
      </c>
      <c r="H1516" t="s">
        <v>2380</v>
      </c>
      <c r="I1516">
        <v>0</v>
      </c>
      <c r="J1516" t="s">
        <v>2380</v>
      </c>
    </row>
    <row r="1517" spans="1:10" x14ac:dyDescent="0.35">
      <c r="A1517" t="s">
        <v>855</v>
      </c>
      <c r="B1517" t="str">
        <f t="shared" si="48"/>
        <v>Normal Weight</v>
      </c>
      <c r="C1517">
        <v>24.02</v>
      </c>
      <c r="D1517">
        <v>4.38</v>
      </c>
      <c r="E1517" t="str">
        <f t="shared" si="49"/>
        <v>Normal</v>
      </c>
      <c r="F1517" t="s">
        <v>2380</v>
      </c>
      <c r="G1517" t="s">
        <v>2380</v>
      </c>
      <c r="H1517" t="s">
        <v>2380</v>
      </c>
      <c r="I1517">
        <v>0</v>
      </c>
      <c r="J1517" t="s">
        <v>2380</v>
      </c>
    </row>
    <row r="1518" spans="1:10" x14ac:dyDescent="0.35">
      <c r="A1518" t="s">
        <v>854</v>
      </c>
      <c r="B1518" t="str">
        <f t="shared" si="48"/>
        <v>Obesity</v>
      </c>
      <c r="C1518">
        <v>36.08</v>
      </c>
      <c r="D1518">
        <v>11.61</v>
      </c>
      <c r="E1518" t="str">
        <f t="shared" si="49"/>
        <v>Diabetes</v>
      </c>
      <c r="F1518" t="s">
        <v>2381</v>
      </c>
      <c r="G1518" t="s">
        <v>2380</v>
      </c>
      <c r="H1518" t="s">
        <v>2380</v>
      </c>
      <c r="I1518">
        <v>0</v>
      </c>
      <c r="J1518" t="s">
        <v>2380</v>
      </c>
    </row>
    <row r="1519" spans="1:10" x14ac:dyDescent="0.35">
      <c r="A1519" t="s">
        <v>853</v>
      </c>
      <c r="B1519" t="str">
        <f t="shared" si="48"/>
        <v>Obesity</v>
      </c>
      <c r="C1519">
        <v>32.200000000000003</v>
      </c>
      <c r="D1519">
        <v>10.59</v>
      </c>
      <c r="E1519" t="str">
        <f t="shared" si="49"/>
        <v>Diabetes</v>
      </c>
      <c r="F1519" t="s">
        <v>2381</v>
      </c>
      <c r="G1519" t="s">
        <v>2380</v>
      </c>
      <c r="H1519" t="s">
        <v>2380</v>
      </c>
      <c r="I1519">
        <v>0</v>
      </c>
      <c r="J1519" t="s">
        <v>2380</v>
      </c>
    </row>
    <row r="1520" spans="1:10" x14ac:dyDescent="0.35">
      <c r="A1520" t="s">
        <v>852</v>
      </c>
      <c r="B1520" t="str">
        <f t="shared" si="48"/>
        <v>Overweight</v>
      </c>
      <c r="C1520">
        <v>28.05</v>
      </c>
      <c r="D1520">
        <v>11.85</v>
      </c>
      <c r="E1520" t="str">
        <f t="shared" si="49"/>
        <v>Diabetes</v>
      </c>
      <c r="F1520" t="s">
        <v>2381</v>
      </c>
      <c r="G1520" t="s">
        <v>2380</v>
      </c>
      <c r="H1520" t="s">
        <v>2380</v>
      </c>
      <c r="I1520">
        <v>0</v>
      </c>
      <c r="J1520" t="s">
        <v>2380</v>
      </c>
    </row>
    <row r="1521" spans="1:10" x14ac:dyDescent="0.35">
      <c r="A1521" t="s">
        <v>851</v>
      </c>
      <c r="B1521" t="str">
        <f t="shared" si="48"/>
        <v>Normal Weight</v>
      </c>
      <c r="C1521">
        <v>19</v>
      </c>
      <c r="D1521">
        <v>5.46</v>
      </c>
      <c r="E1521" t="str">
        <f t="shared" si="49"/>
        <v>Normal</v>
      </c>
      <c r="F1521" t="s">
        <v>2381</v>
      </c>
      <c r="G1521" t="s">
        <v>2380</v>
      </c>
      <c r="H1521" t="s">
        <v>2380</v>
      </c>
      <c r="I1521">
        <v>1</v>
      </c>
      <c r="J1521" t="s">
        <v>2380</v>
      </c>
    </row>
    <row r="1522" spans="1:10" x14ac:dyDescent="0.35">
      <c r="A1522" t="s">
        <v>850</v>
      </c>
      <c r="B1522" t="str">
        <f t="shared" si="48"/>
        <v>Underweight</v>
      </c>
      <c r="C1522">
        <v>16.13</v>
      </c>
      <c r="D1522">
        <v>4.54</v>
      </c>
      <c r="E1522" t="str">
        <f t="shared" si="49"/>
        <v>Normal</v>
      </c>
      <c r="F1522" t="s">
        <v>2381</v>
      </c>
      <c r="G1522" t="s">
        <v>2380</v>
      </c>
      <c r="H1522" t="s">
        <v>2380</v>
      </c>
      <c r="I1522">
        <v>2</v>
      </c>
      <c r="J1522" t="s">
        <v>2380</v>
      </c>
    </row>
    <row r="1523" spans="1:10" x14ac:dyDescent="0.35">
      <c r="A1523" t="s">
        <v>849</v>
      </c>
      <c r="B1523" t="str">
        <f t="shared" si="48"/>
        <v>Normal Weight</v>
      </c>
      <c r="C1523">
        <v>18.77</v>
      </c>
      <c r="D1523">
        <v>11.98</v>
      </c>
      <c r="E1523" t="str">
        <f t="shared" si="49"/>
        <v>Diabetes</v>
      </c>
      <c r="F1523" t="s">
        <v>2381</v>
      </c>
      <c r="G1523" t="s">
        <v>2380</v>
      </c>
      <c r="H1523" t="s">
        <v>2380</v>
      </c>
      <c r="I1523">
        <v>2</v>
      </c>
      <c r="J1523" t="s">
        <v>2380</v>
      </c>
    </row>
    <row r="1524" spans="1:10" x14ac:dyDescent="0.35">
      <c r="A1524" t="s">
        <v>848</v>
      </c>
      <c r="B1524" t="str">
        <f t="shared" si="48"/>
        <v>Overweight</v>
      </c>
      <c r="C1524">
        <v>28.88</v>
      </c>
      <c r="D1524">
        <v>6.59</v>
      </c>
      <c r="E1524" t="str">
        <f t="shared" si="49"/>
        <v>Diabetes</v>
      </c>
      <c r="F1524" t="s">
        <v>2381</v>
      </c>
      <c r="G1524" t="s">
        <v>2380</v>
      </c>
      <c r="H1524" t="s">
        <v>2380</v>
      </c>
      <c r="I1524">
        <v>1</v>
      </c>
      <c r="J1524" t="s">
        <v>2380</v>
      </c>
    </row>
    <row r="1525" spans="1:10" x14ac:dyDescent="0.35">
      <c r="A1525" t="s">
        <v>847</v>
      </c>
      <c r="B1525" t="str">
        <f t="shared" si="48"/>
        <v>Overweight</v>
      </c>
      <c r="C1525">
        <v>27.55</v>
      </c>
      <c r="D1525">
        <v>10.83</v>
      </c>
      <c r="E1525" t="str">
        <f t="shared" si="49"/>
        <v>Diabetes</v>
      </c>
      <c r="F1525" t="s">
        <v>2381</v>
      </c>
      <c r="G1525" t="s">
        <v>2380</v>
      </c>
      <c r="H1525" t="s">
        <v>2380</v>
      </c>
      <c r="I1525">
        <v>1</v>
      </c>
      <c r="J1525" t="s">
        <v>2380</v>
      </c>
    </row>
    <row r="1526" spans="1:10" x14ac:dyDescent="0.35">
      <c r="A1526" t="s">
        <v>846</v>
      </c>
      <c r="B1526" t="str">
        <f t="shared" si="48"/>
        <v>Underweight</v>
      </c>
      <c r="C1526">
        <v>15.6</v>
      </c>
      <c r="D1526">
        <v>8.6</v>
      </c>
      <c r="E1526" t="str">
        <f t="shared" si="49"/>
        <v>Diabetes</v>
      </c>
      <c r="F1526" t="s">
        <v>2380</v>
      </c>
      <c r="G1526" t="s">
        <v>2380</v>
      </c>
      <c r="H1526" t="s">
        <v>2380</v>
      </c>
      <c r="I1526">
        <v>0</v>
      </c>
      <c r="J1526" t="s">
        <v>2380</v>
      </c>
    </row>
    <row r="1527" spans="1:10" x14ac:dyDescent="0.35">
      <c r="A1527" t="s">
        <v>845</v>
      </c>
      <c r="B1527" t="str">
        <f t="shared" si="48"/>
        <v>Normal Weight</v>
      </c>
      <c r="C1527">
        <v>21.99</v>
      </c>
      <c r="D1527">
        <v>11.17</v>
      </c>
      <c r="E1527" t="str">
        <f t="shared" si="49"/>
        <v>Diabetes</v>
      </c>
      <c r="F1527" t="s">
        <v>2380</v>
      </c>
      <c r="G1527" t="s">
        <v>2380</v>
      </c>
      <c r="H1527" t="s">
        <v>2380</v>
      </c>
      <c r="I1527">
        <v>0</v>
      </c>
      <c r="J1527" t="s">
        <v>2380</v>
      </c>
    </row>
    <row r="1528" spans="1:10" x14ac:dyDescent="0.35">
      <c r="A1528" t="s">
        <v>844</v>
      </c>
      <c r="B1528" t="str">
        <f t="shared" si="48"/>
        <v>Obesity</v>
      </c>
      <c r="C1528">
        <v>34.85</v>
      </c>
      <c r="D1528">
        <v>5.75</v>
      </c>
      <c r="E1528" t="str">
        <f t="shared" si="49"/>
        <v>Prediabetes</v>
      </c>
      <c r="F1528" t="s">
        <v>2380</v>
      </c>
      <c r="G1528" t="s">
        <v>2380</v>
      </c>
      <c r="H1528" t="s">
        <v>2380</v>
      </c>
      <c r="I1528">
        <v>0</v>
      </c>
      <c r="J1528" t="s">
        <v>2380</v>
      </c>
    </row>
    <row r="1529" spans="1:10" x14ac:dyDescent="0.35">
      <c r="A1529" t="s">
        <v>843</v>
      </c>
      <c r="B1529" t="str">
        <f t="shared" si="48"/>
        <v>Normal Weight</v>
      </c>
      <c r="C1529">
        <v>24.51</v>
      </c>
      <c r="D1529">
        <v>4.83</v>
      </c>
      <c r="E1529" t="str">
        <f t="shared" si="49"/>
        <v>Normal</v>
      </c>
      <c r="F1529" t="s">
        <v>2381</v>
      </c>
      <c r="G1529" t="s">
        <v>2380</v>
      </c>
      <c r="H1529" t="s">
        <v>2382</v>
      </c>
      <c r="I1529">
        <v>1</v>
      </c>
      <c r="J1529" t="s">
        <v>2380</v>
      </c>
    </row>
    <row r="1530" spans="1:10" x14ac:dyDescent="0.35">
      <c r="A1530" t="s">
        <v>842</v>
      </c>
      <c r="B1530" t="str">
        <f t="shared" si="48"/>
        <v>Normal Weight</v>
      </c>
      <c r="C1530">
        <v>19.399999999999999</v>
      </c>
      <c r="D1530">
        <v>11.93</v>
      </c>
      <c r="E1530" t="str">
        <f t="shared" si="49"/>
        <v>Diabetes</v>
      </c>
      <c r="F1530" t="s">
        <v>2380</v>
      </c>
      <c r="G1530" t="s">
        <v>2380</v>
      </c>
      <c r="H1530" t="s">
        <v>2380</v>
      </c>
      <c r="I1530">
        <v>0</v>
      </c>
      <c r="J1530" t="s">
        <v>2380</v>
      </c>
    </row>
    <row r="1531" spans="1:10" x14ac:dyDescent="0.35">
      <c r="A1531" t="s">
        <v>841</v>
      </c>
      <c r="B1531" t="str">
        <f t="shared" si="48"/>
        <v>Underweight</v>
      </c>
      <c r="C1531">
        <v>15.1</v>
      </c>
      <c r="D1531">
        <v>8.41</v>
      </c>
      <c r="E1531" t="str">
        <f t="shared" si="49"/>
        <v>Diabetes</v>
      </c>
      <c r="F1531" t="s">
        <v>2380</v>
      </c>
      <c r="G1531" t="s">
        <v>2380</v>
      </c>
      <c r="H1531" t="s">
        <v>2380</v>
      </c>
      <c r="I1531">
        <v>0</v>
      </c>
      <c r="J1531" t="s">
        <v>2380</v>
      </c>
    </row>
    <row r="1532" spans="1:10" x14ac:dyDescent="0.35">
      <c r="A1532" t="s">
        <v>840</v>
      </c>
      <c r="B1532" t="str">
        <f t="shared" si="48"/>
        <v>Normal Weight</v>
      </c>
      <c r="C1532">
        <v>23.37</v>
      </c>
      <c r="D1532">
        <v>5.59</v>
      </c>
      <c r="E1532" t="str">
        <f t="shared" si="49"/>
        <v>Normal</v>
      </c>
      <c r="F1532" t="s">
        <v>2381</v>
      </c>
      <c r="G1532" t="s">
        <v>2380</v>
      </c>
      <c r="H1532" t="s">
        <v>2380</v>
      </c>
      <c r="I1532">
        <v>0</v>
      </c>
      <c r="J1532" t="s">
        <v>2380</v>
      </c>
    </row>
    <row r="1533" spans="1:10" x14ac:dyDescent="0.35">
      <c r="A1533" t="s">
        <v>839</v>
      </c>
      <c r="B1533" t="str">
        <f t="shared" si="48"/>
        <v>Obesity</v>
      </c>
      <c r="C1533">
        <v>42.4</v>
      </c>
      <c r="D1533">
        <v>4.0599999999999996</v>
      </c>
      <c r="E1533" t="str">
        <f t="shared" si="49"/>
        <v>Normal</v>
      </c>
      <c r="F1533" t="s">
        <v>2380</v>
      </c>
      <c r="G1533" t="s">
        <v>2380</v>
      </c>
      <c r="H1533" t="s">
        <v>2380</v>
      </c>
      <c r="I1533">
        <v>0</v>
      </c>
      <c r="J1533" t="s">
        <v>2380</v>
      </c>
    </row>
    <row r="1534" spans="1:10" x14ac:dyDescent="0.35">
      <c r="A1534" t="s">
        <v>838</v>
      </c>
      <c r="B1534" t="str">
        <f t="shared" si="48"/>
        <v>Overweight</v>
      </c>
      <c r="C1534">
        <v>28.405000000000001</v>
      </c>
      <c r="D1534">
        <v>7.02</v>
      </c>
      <c r="E1534" t="str">
        <f t="shared" si="49"/>
        <v>Diabetes</v>
      </c>
      <c r="F1534" t="s">
        <v>2381</v>
      </c>
      <c r="G1534" t="s">
        <v>2380</v>
      </c>
      <c r="H1534" t="s">
        <v>2380</v>
      </c>
      <c r="I1534">
        <v>0</v>
      </c>
      <c r="J1534" t="s">
        <v>2380</v>
      </c>
    </row>
    <row r="1535" spans="1:10" x14ac:dyDescent="0.35">
      <c r="A1535" t="s">
        <v>837</v>
      </c>
      <c r="B1535" t="str">
        <f t="shared" si="48"/>
        <v>Normal Weight</v>
      </c>
      <c r="C1535">
        <v>23.4</v>
      </c>
      <c r="D1535">
        <v>4.47</v>
      </c>
      <c r="E1535" t="str">
        <f t="shared" si="49"/>
        <v>Normal</v>
      </c>
      <c r="F1535" t="s">
        <v>2380</v>
      </c>
      <c r="G1535" t="s">
        <v>2380</v>
      </c>
      <c r="H1535" t="s">
        <v>2380</v>
      </c>
      <c r="I1535">
        <v>0</v>
      </c>
      <c r="J1535" t="s">
        <v>2380</v>
      </c>
    </row>
    <row r="1536" spans="1:10" x14ac:dyDescent="0.35">
      <c r="A1536" t="s">
        <v>836</v>
      </c>
      <c r="B1536" t="str">
        <f t="shared" si="48"/>
        <v>Obesity</v>
      </c>
      <c r="C1536">
        <v>33.44</v>
      </c>
      <c r="D1536">
        <v>4.54</v>
      </c>
      <c r="E1536" t="str">
        <f t="shared" si="49"/>
        <v>Normal</v>
      </c>
      <c r="F1536" t="s">
        <v>2380</v>
      </c>
      <c r="G1536" t="s">
        <v>2380</v>
      </c>
      <c r="H1536" t="s">
        <v>2380</v>
      </c>
      <c r="I1536">
        <v>0</v>
      </c>
      <c r="J1536" t="s">
        <v>2380</v>
      </c>
    </row>
    <row r="1537" spans="1:10" x14ac:dyDescent="0.35">
      <c r="A1537" t="s">
        <v>835</v>
      </c>
      <c r="B1537" t="str">
        <f t="shared" si="48"/>
        <v>Normal Weight</v>
      </c>
      <c r="C1537">
        <v>21.12</v>
      </c>
      <c r="D1537">
        <v>4.99</v>
      </c>
      <c r="E1537" t="str">
        <f t="shared" si="49"/>
        <v>Normal</v>
      </c>
      <c r="F1537" t="s">
        <v>2380</v>
      </c>
      <c r="G1537" t="s">
        <v>2380</v>
      </c>
      <c r="H1537" t="s">
        <v>2380</v>
      </c>
      <c r="I1537">
        <v>1</v>
      </c>
      <c r="J1537" t="s">
        <v>2380</v>
      </c>
    </row>
    <row r="1538" spans="1:10" x14ac:dyDescent="0.35">
      <c r="A1538" t="s">
        <v>834</v>
      </c>
      <c r="B1538" t="str">
        <f t="shared" si="48"/>
        <v>Underweight</v>
      </c>
      <c r="C1538">
        <v>18.48</v>
      </c>
      <c r="D1538">
        <v>10.84</v>
      </c>
      <c r="E1538" t="str">
        <f t="shared" si="49"/>
        <v>Diabetes</v>
      </c>
      <c r="F1538" t="s">
        <v>2381</v>
      </c>
      <c r="G1538" t="s">
        <v>2380</v>
      </c>
      <c r="H1538" t="s">
        <v>2380</v>
      </c>
      <c r="I1538">
        <v>2</v>
      </c>
      <c r="J1538" t="s">
        <v>2380</v>
      </c>
    </row>
    <row r="1539" spans="1:10" x14ac:dyDescent="0.35">
      <c r="A1539" t="s">
        <v>833</v>
      </c>
      <c r="B1539" t="str">
        <f t="shared" ref="B1539:B1602" si="50">IF(C1539&lt;18.5,"Underweight",IF(C1539&lt;25,"Normal Weight",IF(C1539&lt;30,"Overweight","Obesity")))</f>
        <v>Underweight</v>
      </c>
      <c r="C1539">
        <v>16.815000000000001</v>
      </c>
      <c r="D1539">
        <v>5.63</v>
      </c>
      <c r="E1539" t="str">
        <f t="shared" ref="E1539:E1602" si="51">IF(D1539&lt;5.7,"Normal",IF(D1539&lt;6.5,"Prediabetes","Diabetes"))</f>
        <v>Normal</v>
      </c>
      <c r="F1539" t="s">
        <v>2380</v>
      </c>
      <c r="G1539" t="s">
        <v>2380</v>
      </c>
      <c r="H1539" t="s">
        <v>2380</v>
      </c>
      <c r="I1539">
        <v>1</v>
      </c>
      <c r="J1539" t="s">
        <v>2380</v>
      </c>
    </row>
    <row r="1540" spans="1:10" x14ac:dyDescent="0.35">
      <c r="A1540" t="s">
        <v>832</v>
      </c>
      <c r="B1540" t="str">
        <f t="shared" si="50"/>
        <v>Overweight</v>
      </c>
      <c r="C1540">
        <v>26.72</v>
      </c>
      <c r="D1540">
        <v>4.1399999999999997</v>
      </c>
      <c r="E1540" t="str">
        <f t="shared" si="51"/>
        <v>Normal</v>
      </c>
      <c r="F1540" t="s">
        <v>2380</v>
      </c>
      <c r="G1540" t="s">
        <v>2380</v>
      </c>
      <c r="H1540" t="s">
        <v>2380</v>
      </c>
      <c r="I1540">
        <v>0</v>
      </c>
      <c r="J1540" t="s">
        <v>2380</v>
      </c>
    </row>
    <row r="1541" spans="1:10" x14ac:dyDescent="0.35">
      <c r="A1541" t="s">
        <v>831</v>
      </c>
      <c r="B1541" t="str">
        <f t="shared" si="50"/>
        <v>Obesity</v>
      </c>
      <c r="C1541">
        <v>41.42</v>
      </c>
      <c r="D1541">
        <v>5.17</v>
      </c>
      <c r="E1541" t="str">
        <f t="shared" si="51"/>
        <v>Normal</v>
      </c>
      <c r="F1541" t="s">
        <v>2380</v>
      </c>
      <c r="G1541" t="s">
        <v>2380</v>
      </c>
      <c r="H1541" t="s">
        <v>2382</v>
      </c>
      <c r="I1541">
        <v>1</v>
      </c>
      <c r="J1541" t="s">
        <v>2380</v>
      </c>
    </row>
    <row r="1542" spans="1:10" x14ac:dyDescent="0.35">
      <c r="A1542" t="s">
        <v>830</v>
      </c>
      <c r="B1542" t="str">
        <f t="shared" si="50"/>
        <v>Normal Weight</v>
      </c>
      <c r="C1542">
        <v>20.69</v>
      </c>
      <c r="D1542">
        <v>6.93</v>
      </c>
      <c r="E1542" t="str">
        <f t="shared" si="51"/>
        <v>Diabetes</v>
      </c>
      <c r="F1542" t="s">
        <v>2380</v>
      </c>
      <c r="G1542" t="s">
        <v>2380</v>
      </c>
      <c r="H1542" t="s">
        <v>2380</v>
      </c>
      <c r="I1542">
        <v>2</v>
      </c>
      <c r="J1542" t="s">
        <v>2380</v>
      </c>
    </row>
    <row r="1543" spans="1:10" x14ac:dyDescent="0.35">
      <c r="A1543" t="s">
        <v>829</v>
      </c>
      <c r="B1543" t="str">
        <f t="shared" si="50"/>
        <v>Obesity</v>
      </c>
      <c r="C1543">
        <v>41.23</v>
      </c>
      <c r="D1543">
        <v>4.24</v>
      </c>
      <c r="E1543" t="str">
        <f t="shared" si="51"/>
        <v>Normal</v>
      </c>
      <c r="F1543" t="s">
        <v>2380</v>
      </c>
      <c r="G1543" t="s">
        <v>2380</v>
      </c>
      <c r="H1543" t="s">
        <v>2380</v>
      </c>
      <c r="I1543">
        <v>0</v>
      </c>
      <c r="J1543" t="s">
        <v>2380</v>
      </c>
    </row>
    <row r="1544" spans="1:10" x14ac:dyDescent="0.35">
      <c r="A1544" t="s">
        <v>828</v>
      </c>
      <c r="B1544" t="str">
        <f t="shared" si="50"/>
        <v>Overweight</v>
      </c>
      <c r="C1544">
        <v>29.9</v>
      </c>
      <c r="D1544">
        <v>5.91</v>
      </c>
      <c r="E1544" t="str">
        <f t="shared" si="51"/>
        <v>Prediabetes</v>
      </c>
      <c r="F1544" t="s">
        <v>2380</v>
      </c>
      <c r="G1544" t="s">
        <v>2380</v>
      </c>
      <c r="H1544" t="s">
        <v>2380</v>
      </c>
      <c r="I1544">
        <v>0</v>
      </c>
      <c r="J1544" t="s">
        <v>2380</v>
      </c>
    </row>
    <row r="1545" spans="1:10" x14ac:dyDescent="0.35">
      <c r="A1545" t="s">
        <v>827</v>
      </c>
      <c r="B1545" t="str">
        <f t="shared" si="50"/>
        <v>Obesity</v>
      </c>
      <c r="C1545">
        <v>34.104999999999997</v>
      </c>
      <c r="D1545">
        <v>5.93</v>
      </c>
      <c r="E1545" t="str">
        <f t="shared" si="51"/>
        <v>Prediabetes</v>
      </c>
      <c r="F1545" t="s">
        <v>2380</v>
      </c>
      <c r="G1545" t="s">
        <v>2380</v>
      </c>
      <c r="H1545" t="s">
        <v>2380</v>
      </c>
      <c r="I1545">
        <v>0</v>
      </c>
      <c r="J1545" t="s">
        <v>2380</v>
      </c>
    </row>
    <row r="1546" spans="1:10" x14ac:dyDescent="0.35">
      <c r="A1546" t="s">
        <v>826</v>
      </c>
      <c r="B1546" t="str">
        <f t="shared" si="50"/>
        <v>Normal Weight</v>
      </c>
      <c r="C1546">
        <v>24.97</v>
      </c>
      <c r="D1546">
        <v>5.66</v>
      </c>
      <c r="E1546" t="str">
        <f t="shared" si="51"/>
        <v>Normal</v>
      </c>
      <c r="F1546" t="s">
        <v>2380</v>
      </c>
      <c r="G1546" t="s">
        <v>2380</v>
      </c>
      <c r="H1546" t="s">
        <v>2380</v>
      </c>
      <c r="I1546">
        <v>0</v>
      </c>
      <c r="J1546" t="s">
        <v>2380</v>
      </c>
    </row>
    <row r="1547" spans="1:10" x14ac:dyDescent="0.35">
      <c r="A1547" t="s">
        <v>825</v>
      </c>
      <c r="B1547" t="str">
        <f t="shared" si="50"/>
        <v>Obesity</v>
      </c>
      <c r="C1547">
        <v>34.799999999999997</v>
      </c>
      <c r="D1547">
        <v>4.1900000000000004</v>
      </c>
      <c r="E1547" t="str">
        <f t="shared" si="51"/>
        <v>Normal</v>
      </c>
      <c r="F1547" t="s">
        <v>2380</v>
      </c>
      <c r="G1547" t="s">
        <v>2380</v>
      </c>
      <c r="H1547" t="s">
        <v>2380</v>
      </c>
      <c r="I1547">
        <v>1</v>
      </c>
      <c r="J1547" t="s">
        <v>2380</v>
      </c>
    </row>
    <row r="1548" spans="1:10" x14ac:dyDescent="0.35">
      <c r="A1548" t="s">
        <v>824</v>
      </c>
      <c r="B1548" t="str">
        <f t="shared" si="50"/>
        <v>Obesity</v>
      </c>
      <c r="C1548">
        <v>32.965000000000003</v>
      </c>
      <c r="D1548">
        <v>9.2100000000000009</v>
      </c>
      <c r="E1548" t="str">
        <f t="shared" si="51"/>
        <v>Diabetes</v>
      </c>
      <c r="F1548" t="s">
        <v>2381</v>
      </c>
      <c r="G1548" t="s">
        <v>2380</v>
      </c>
      <c r="H1548" t="s">
        <v>2380</v>
      </c>
      <c r="I1548">
        <v>0</v>
      </c>
      <c r="J1548" t="s">
        <v>2380</v>
      </c>
    </row>
    <row r="1549" spans="1:10" x14ac:dyDescent="0.35">
      <c r="A1549" t="s">
        <v>823</v>
      </c>
      <c r="B1549" t="str">
        <f t="shared" si="50"/>
        <v>Overweight</v>
      </c>
      <c r="C1549">
        <v>27.265000000000001</v>
      </c>
      <c r="D1549">
        <v>5.51</v>
      </c>
      <c r="E1549" t="str">
        <f t="shared" si="51"/>
        <v>Normal</v>
      </c>
      <c r="F1549" t="s">
        <v>2380</v>
      </c>
      <c r="G1549" t="s">
        <v>2380</v>
      </c>
      <c r="H1549" t="s">
        <v>2380</v>
      </c>
      <c r="I1549">
        <v>1</v>
      </c>
      <c r="J1549" t="s">
        <v>2380</v>
      </c>
    </row>
    <row r="1550" spans="1:10" x14ac:dyDescent="0.35">
      <c r="A1550" t="s">
        <v>822</v>
      </c>
      <c r="B1550" t="str">
        <f t="shared" si="50"/>
        <v>Underweight</v>
      </c>
      <c r="C1550">
        <v>17.059999999999999</v>
      </c>
      <c r="D1550">
        <v>8.5</v>
      </c>
      <c r="E1550" t="str">
        <f t="shared" si="51"/>
        <v>Diabetes</v>
      </c>
      <c r="F1550" t="s">
        <v>2380</v>
      </c>
      <c r="G1550" t="s">
        <v>2380</v>
      </c>
      <c r="H1550" t="s">
        <v>2380</v>
      </c>
      <c r="I1550">
        <v>0</v>
      </c>
      <c r="J1550" t="s">
        <v>2380</v>
      </c>
    </row>
    <row r="1551" spans="1:10" x14ac:dyDescent="0.35">
      <c r="A1551" t="s">
        <v>821</v>
      </c>
      <c r="B1551" t="str">
        <f t="shared" si="50"/>
        <v>Obesity</v>
      </c>
      <c r="C1551">
        <v>36.29</v>
      </c>
      <c r="D1551">
        <v>6.23</v>
      </c>
      <c r="E1551" t="str">
        <f t="shared" si="51"/>
        <v>Prediabetes</v>
      </c>
      <c r="F1551" t="s">
        <v>2380</v>
      </c>
      <c r="G1551" t="s">
        <v>2380</v>
      </c>
      <c r="H1551" t="s">
        <v>2380</v>
      </c>
      <c r="I1551">
        <v>0</v>
      </c>
      <c r="J1551" t="s">
        <v>2380</v>
      </c>
    </row>
    <row r="1552" spans="1:10" x14ac:dyDescent="0.35">
      <c r="A1552" t="s">
        <v>820</v>
      </c>
      <c r="B1552" t="str">
        <f t="shared" si="50"/>
        <v>Overweight</v>
      </c>
      <c r="C1552">
        <v>28.594999999999999</v>
      </c>
      <c r="D1552">
        <v>8.5299999999999994</v>
      </c>
      <c r="E1552" t="str">
        <f t="shared" si="51"/>
        <v>Diabetes</v>
      </c>
      <c r="F1552" t="s">
        <v>2381</v>
      </c>
      <c r="G1552" t="s">
        <v>2380</v>
      </c>
      <c r="H1552" t="s">
        <v>2380</v>
      </c>
      <c r="I1552">
        <v>1</v>
      </c>
      <c r="J1552" t="s">
        <v>2380</v>
      </c>
    </row>
    <row r="1553" spans="1:10" x14ac:dyDescent="0.35">
      <c r="A1553" t="s">
        <v>819</v>
      </c>
      <c r="B1553" t="str">
        <f t="shared" si="50"/>
        <v>Underweight</v>
      </c>
      <c r="C1553">
        <v>17.8</v>
      </c>
      <c r="D1553">
        <v>5.75</v>
      </c>
      <c r="E1553" t="str">
        <f t="shared" si="51"/>
        <v>Prediabetes</v>
      </c>
      <c r="F1553" t="s">
        <v>2381</v>
      </c>
      <c r="G1553" t="s">
        <v>2380</v>
      </c>
      <c r="H1553" t="s">
        <v>2382</v>
      </c>
      <c r="I1553">
        <v>1</v>
      </c>
      <c r="J1553" t="s">
        <v>2380</v>
      </c>
    </row>
    <row r="1554" spans="1:10" x14ac:dyDescent="0.35">
      <c r="A1554" t="s">
        <v>818</v>
      </c>
      <c r="B1554" t="str">
        <f t="shared" si="50"/>
        <v>Normal Weight</v>
      </c>
      <c r="C1554">
        <v>21.4</v>
      </c>
      <c r="D1554">
        <v>5.6</v>
      </c>
      <c r="E1554" t="str">
        <f t="shared" si="51"/>
        <v>Normal</v>
      </c>
      <c r="F1554" t="s">
        <v>2380</v>
      </c>
      <c r="G1554" t="s">
        <v>2380</v>
      </c>
      <c r="H1554" t="s">
        <v>2380</v>
      </c>
      <c r="I1554">
        <v>0</v>
      </c>
      <c r="J1554" t="s">
        <v>2380</v>
      </c>
    </row>
    <row r="1555" spans="1:10" x14ac:dyDescent="0.35">
      <c r="A1555" t="s">
        <v>817</v>
      </c>
      <c r="B1555" t="str">
        <f t="shared" si="50"/>
        <v>Normal Weight</v>
      </c>
      <c r="C1555">
        <v>23.01</v>
      </c>
      <c r="D1555">
        <v>4.68</v>
      </c>
      <c r="E1555" t="str">
        <f t="shared" si="51"/>
        <v>Normal</v>
      </c>
      <c r="F1555" t="s">
        <v>2380</v>
      </c>
      <c r="G1555" t="s">
        <v>2380</v>
      </c>
      <c r="H1555" t="s">
        <v>2380</v>
      </c>
      <c r="I1555">
        <v>0</v>
      </c>
      <c r="J1555" t="s">
        <v>2380</v>
      </c>
    </row>
    <row r="1556" spans="1:10" x14ac:dyDescent="0.35">
      <c r="A1556" t="s">
        <v>816</v>
      </c>
      <c r="B1556" t="str">
        <f t="shared" si="50"/>
        <v>Normal Weight</v>
      </c>
      <c r="C1556">
        <v>19.86</v>
      </c>
      <c r="D1556">
        <v>5.62</v>
      </c>
      <c r="E1556" t="str">
        <f t="shared" si="51"/>
        <v>Normal</v>
      </c>
      <c r="F1556" t="s">
        <v>2381</v>
      </c>
      <c r="G1556" t="s">
        <v>2380</v>
      </c>
      <c r="H1556" t="s">
        <v>2380</v>
      </c>
      <c r="I1556">
        <v>0</v>
      </c>
      <c r="J1556" t="s">
        <v>2380</v>
      </c>
    </row>
    <row r="1557" spans="1:10" x14ac:dyDescent="0.35">
      <c r="A1557" t="s">
        <v>815</v>
      </c>
      <c r="B1557" t="str">
        <f t="shared" si="50"/>
        <v>Obesity</v>
      </c>
      <c r="C1557">
        <v>33.58</v>
      </c>
      <c r="D1557">
        <v>5.08</v>
      </c>
      <c r="E1557" t="str">
        <f t="shared" si="51"/>
        <v>Normal</v>
      </c>
      <c r="F1557" t="s">
        <v>2380</v>
      </c>
      <c r="G1557" t="s">
        <v>2380</v>
      </c>
      <c r="H1557" t="s">
        <v>2380</v>
      </c>
      <c r="I1557">
        <v>0</v>
      </c>
      <c r="J1557" t="s">
        <v>2380</v>
      </c>
    </row>
    <row r="1558" spans="1:10" x14ac:dyDescent="0.35">
      <c r="A1558" t="s">
        <v>814</v>
      </c>
      <c r="B1558" t="str">
        <f t="shared" si="50"/>
        <v>Overweight</v>
      </c>
      <c r="C1558">
        <v>29.81</v>
      </c>
      <c r="D1558">
        <v>5.28</v>
      </c>
      <c r="E1558" t="str">
        <f t="shared" si="51"/>
        <v>Normal</v>
      </c>
      <c r="F1558" t="s">
        <v>2380</v>
      </c>
      <c r="G1558" t="s">
        <v>2380</v>
      </c>
      <c r="H1558" t="s">
        <v>2380</v>
      </c>
      <c r="I1558">
        <v>0</v>
      </c>
      <c r="J1558" t="s">
        <v>2380</v>
      </c>
    </row>
    <row r="1559" spans="1:10" x14ac:dyDescent="0.35">
      <c r="A1559" t="s">
        <v>813</v>
      </c>
      <c r="B1559" t="str">
        <f t="shared" si="50"/>
        <v>Overweight</v>
      </c>
      <c r="C1559">
        <v>27.4</v>
      </c>
      <c r="D1559">
        <v>4.6100000000000003</v>
      </c>
      <c r="E1559" t="str">
        <f t="shared" si="51"/>
        <v>Normal</v>
      </c>
      <c r="F1559" t="s">
        <v>2380</v>
      </c>
      <c r="G1559" t="s">
        <v>2380</v>
      </c>
      <c r="H1559" t="s">
        <v>2380</v>
      </c>
      <c r="I1559">
        <v>0</v>
      </c>
      <c r="J1559" t="s">
        <v>2380</v>
      </c>
    </row>
    <row r="1560" spans="1:10" x14ac:dyDescent="0.35">
      <c r="A1560" t="s">
        <v>812</v>
      </c>
      <c r="B1560" t="str">
        <f t="shared" si="50"/>
        <v>Underweight</v>
      </c>
      <c r="C1560">
        <v>17.98</v>
      </c>
      <c r="D1560">
        <v>6.57</v>
      </c>
      <c r="E1560" t="str">
        <f t="shared" si="51"/>
        <v>Diabetes</v>
      </c>
      <c r="F1560" t="s">
        <v>2381</v>
      </c>
      <c r="G1560" t="s">
        <v>2380</v>
      </c>
      <c r="H1560" t="s">
        <v>2380</v>
      </c>
      <c r="I1560">
        <v>2</v>
      </c>
      <c r="J1560" t="s">
        <v>2380</v>
      </c>
    </row>
    <row r="1561" spans="1:10" x14ac:dyDescent="0.35">
      <c r="A1561" t="s">
        <v>811</v>
      </c>
      <c r="B1561" t="str">
        <f t="shared" si="50"/>
        <v>Obesity</v>
      </c>
      <c r="C1561">
        <v>37.9</v>
      </c>
      <c r="D1561">
        <v>5.83</v>
      </c>
      <c r="E1561" t="str">
        <f t="shared" si="51"/>
        <v>Prediabetes</v>
      </c>
      <c r="F1561" t="s">
        <v>2380</v>
      </c>
      <c r="G1561" t="s">
        <v>2380</v>
      </c>
      <c r="H1561" t="s">
        <v>2380</v>
      </c>
      <c r="I1561">
        <v>0</v>
      </c>
      <c r="J1561" t="s">
        <v>2380</v>
      </c>
    </row>
    <row r="1562" spans="1:10" x14ac:dyDescent="0.35">
      <c r="A1562" t="s">
        <v>810</v>
      </c>
      <c r="B1562" t="str">
        <f t="shared" si="50"/>
        <v>Overweight</v>
      </c>
      <c r="C1562">
        <v>25.27</v>
      </c>
      <c r="D1562">
        <v>6.98</v>
      </c>
      <c r="E1562" t="str">
        <f t="shared" si="51"/>
        <v>Diabetes</v>
      </c>
      <c r="F1562" t="s">
        <v>2381</v>
      </c>
      <c r="G1562" t="s">
        <v>2380</v>
      </c>
      <c r="H1562" t="s">
        <v>2380</v>
      </c>
      <c r="I1562">
        <v>0</v>
      </c>
      <c r="J1562" t="s">
        <v>2380</v>
      </c>
    </row>
    <row r="1563" spans="1:10" x14ac:dyDescent="0.35">
      <c r="A1563" t="s">
        <v>809</v>
      </c>
      <c r="B1563" t="str">
        <f t="shared" si="50"/>
        <v>Overweight</v>
      </c>
      <c r="C1563">
        <v>29.26</v>
      </c>
      <c r="D1563">
        <v>4.03</v>
      </c>
      <c r="E1563" t="str">
        <f t="shared" si="51"/>
        <v>Normal</v>
      </c>
      <c r="F1563" t="s">
        <v>2380</v>
      </c>
      <c r="G1563" t="s">
        <v>2380</v>
      </c>
      <c r="H1563" t="s">
        <v>2380</v>
      </c>
      <c r="I1563">
        <v>1</v>
      </c>
      <c r="J1563" t="s">
        <v>2380</v>
      </c>
    </row>
    <row r="1564" spans="1:10" x14ac:dyDescent="0.35">
      <c r="A1564" t="s">
        <v>808</v>
      </c>
      <c r="B1564" t="str">
        <f t="shared" si="50"/>
        <v>Overweight</v>
      </c>
      <c r="C1564">
        <v>27.835000000000001</v>
      </c>
      <c r="D1564">
        <v>4.5599999999999996</v>
      </c>
      <c r="E1564" t="str">
        <f t="shared" si="51"/>
        <v>Normal</v>
      </c>
      <c r="F1564" t="s">
        <v>2380</v>
      </c>
      <c r="G1564" t="s">
        <v>2380</v>
      </c>
      <c r="H1564" t="s">
        <v>2380</v>
      </c>
      <c r="I1564">
        <v>1</v>
      </c>
      <c r="J1564" t="s">
        <v>2380</v>
      </c>
    </row>
    <row r="1565" spans="1:10" x14ac:dyDescent="0.35">
      <c r="A1565" t="s">
        <v>807</v>
      </c>
      <c r="B1565" t="str">
        <f t="shared" si="50"/>
        <v>Obesity</v>
      </c>
      <c r="C1565">
        <v>46.53</v>
      </c>
      <c r="D1565">
        <v>5.38</v>
      </c>
      <c r="E1565" t="str">
        <f t="shared" si="51"/>
        <v>Normal</v>
      </c>
      <c r="F1565" t="s">
        <v>2381</v>
      </c>
      <c r="G1565" t="s">
        <v>2380</v>
      </c>
      <c r="H1565" t="s">
        <v>2380</v>
      </c>
      <c r="I1565">
        <v>0</v>
      </c>
      <c r="J1565" t="s">
        <v>2380</v>
      </c>
    </row>
    <row r="1566" spans="1:10" x14ac:dyDescent="0.35">
      <c r="A1566" t="s">
        <v>806</v>
      </c>
      <c r="B1566" t="str">
        <f t="shared" si="50"/>
        <v>Normal Weight</v>
      </c>
      <c r="C1566">
        <v>20.58</v>
      </c>
      <c r="D1566">
        <v>11.04</v>
      </c>
      <c r="E1566" t="str">
        <f t="shared" si="51"/>
        <v>Diabetes</v>
      </c>
      <c r="F1566" t="s">
        <v>2381</v>
      </c>
      <c r="G1566" t="s">
        <v>2380</v>
      </c>
      <c r="H1566" t="s">
        <v>2380</v>
      </c>
      <c r="I1566">
        <v>1</v>
      </c>
      <c r="J1566" t="s">
        <v>2380</v>
      </c>
    </row>
    <row r="1567" spans="1:10" x14ac:dyDescent="0.35">
      <c r="A1567" t="s">
        <v>805</v>
      </c>
      <c r="B1567" t="str">
        <f t="shared" si="50"/>
        <v>Normal Weight</v>
      </c>
      <c r="C1567">
        <v>19.53</v>
      </c>
      <c r="D1567">
        <v>6.09</v>
      </c>
      <c r="E1567" t="str">
        <f t="shared" si="51"/>
        <v>Prediabetes</v>
      </c>
      <c r="F1567" t="s">
        <v>2381</v>
      </c>
      <c r="G1567" t="s">
        <v>2380</v>
      </c>
      <c r="H1567" t="s">
        <v>2380</v>
      </c>
      <c r="I1567">
        <v>0</v>
      </c>
      <c r="J1567" t="s">
        <v>2380</v>
      </c>
    </row>
    <row r="1568" spans="1:10" x14ac:dyDescent="0.35">
      <c r="A1568" t="s">
        <v>804</v>
      </c>
      <c r="B1568" t="str">
        <f t="shared" si="50"/>
        <v>Overweight</v>
      </c>
      <c r="C1568">
        <v>27.7</v>
      </c>
      <c r="D1568">
        <v>4.71</v>
      </c>
      <c r="E1568" t="str">
        <f t="shared" si="51"/>
        <v>Normal</v>
      </c>
      <c r="F1568" t="s">
        <v>2380</v>
      </c>
      <c r="G1568" t="s">
        <v>2380</v>
      </c>
      <c r="H1568" t="s">
        <v>2380</v>
      </c>
      <c r="I1568">
        <v>1</v>
      </c>
      <c r="J1568" t="s">
        <v>2380</v>
      </c>
    </row>
    <row r="1569" spans="1:10" x14ac:dyDescent="0.35">
      <c r="A1569" t="s">
        <v>803</v>
      </c>
      <c r="B1569" t="str">
        <f t="shared" si="50"/>
        <v>Normal Weight</v>
      </c>
      <c r="C1569">
        <v>18.920000000000002</v>
      </c>
      <c r="D1569">
        <v>8.18</v>
      </c>
      <c r="E1569" t="str">
        <f t="shared" si="51"/>
        <v>Diabetes</v>
      </c>
      <c r="F1569" t="s">
        <v>2380</v>
      </c>
      <c r="G1569" t="s">
        <v>2380</v>
      </c>
      <c r="H1569" t="s">
        <v>2380</v>
      </c>
      <c r="I1569">
        <v>0</v>
      </c>
      <c r="J1569" t="s">
        <v>2380</v>
      </c>
    </row>
    <row r="1570" spans="1:10" x14ac:dyDescent="0.35">
      <c r="A1570" t="s">
        <v>802</v>
      </c>
      <c r="B1570" t="str">
        <f t="shared" si="50"/>
        <v>Underweight</v>
      </c>
      <c r="C1570">
        <v>17.760000000000002</v>
      </c>
      <c r="D1570">
        <v>11.18</v>
      </c>
      <c r="E1570" t="str">
        <f t="shared" si="51"/>
        <v>Diabetes</v>
      </c>
      <c r="F1570" t="s">
        <v>2381</v>
      </c>
      <c r="G1570" t="s">
        <v>2380</v>
      </c>
      <c r="H1570" t="s">
        <v>2380</v>
      </c>
      <c r="I1570">
        <v>2</v>
      </c>
      <c r="J1570" t="s">
        <v>2380</v>
      </c>
    </row>
    <row r="1571" spans="1:10" x14ac:dyDescent="0.35">
      <c r="A1571" t="s">
        <v>801</v>
      </c>
      <c r="B1571" t="str">
        <f t="shared" si="50"/>
        <v>Overweight</v>
      </c>
      <c r="C1571">
        <v>29.83</v>
      </c>
      <c r="D1571">
        <v>5.03</v>
      </c>
      <c r="E1571" t="str">
        <f t="shared" si="51"/>
        <v>Normal</v>
      </c>
      <c r="F1571" t="s">
        <v>2381</v>
      </c>
      <c r="G1571" t="s">
        <v>2380</v>
      </c>
      <c r="H1571" t="s">
        <v>2380</v>
      </c>
      <c r="I1571">
        <v>0</v>
      </c>
      <c r="J1571" t="s">
        <v>2380</v>
      </c>
    </row>
    <row r="1572" spans="1:10" x14ac:dyDescent="0.35">
      <c r="A1572" t="s">
        <v>800</v>
      </c>
      <c r="B1572" t="str">
        <f t="shared" si="50"/>
        <v>Normal Weight</v>
      </c>
      <c r="C1572">
        <v>23.465</v>
      </c>
      <c r="D1572">
        <v>5.56</v>
      </c>
      <c r="E1572" t="str">
        <f t="shared" si="51"/>
        <v>Normal</v>
      </c>
      <c r="F1572" t="s">
        <v>2380</v>
      </c>
      <c r="G1572" t="s">
        <v>2380</v>
      </c>
      <c r="H1572" t="s">
        <v>2380</v>
      </c>
      <c r="I1572">
        <v>1</v>
      </c>
      <c r="J1572" t="s">
        <v>2380</v>
      </c>
    </row>
    <row r="1573" spans="1:10" x14ac:dyDescent="0.35">
      <c r="A1573" t="s">
        <v>799</v>
      </c>
      <c r="B1573" t="str">
        <f t="shared" si="50"/>
        <v>Overweight</v>
      </c>
      <c r="C1573">
        <v>29.355</v>
      </c>
      <c r="D1573">
        <v>4.33</v>
      </c>
      <c r="E1573" t="str">
        <f t="shared" si="51"/>
        <v>Normal</v>
      </c>
      <c r="F1573" t="s">
        <v>2380</v>
      </c>
      <c r="G1573" t="s">
        <v>2380</v>
      </c>
      <c r="H1573" t="s">
        <v>2380</v>
      </c>
      <c r="I1573">
        <v>0</v>
      </c>
      <c r="J1573" t="s">
        <v>2380</v>
      </c>
    </row>
    <row r="1574" spans="1:10" x14ac:dyDescent="0.35">
      <c r="A1574" t="s">
        <v>798</v>
      </c>
      <c r="B1574" t="str">
        <f t="shared" si="50"/>
        <v>Obesity</v>
      </c>
      <c r="C1574">
        <v>35.49</v>
      </c>
      <c r="D1574">
        <v>5.21</v>
      </c>
      <c r="E1574" t="str">
        <f t="shared" si="51"/>
        <v>Normal</v>
      </c>
      <c r="F1574" t="s">
        <v>2381</v>
      </c>
      <c r="G1574" t="s">
        <v>2380</v>
      </c>
      <c r="H1574" t="s">
        <v>2382</v>
      </c>
      <c r="I1574">
        <v>1</v>
      </c>
      <c r="J1574" t="s">
        <v>2380</v>
      </c>
    </row>
    <row r="1575" spans="1:10" x14ac:dyDescent="0.35">
      <c r="A1575" t="s">
        <v>797</v>
      </c>
      <c r="B1575" t="str">
        <f t="shared" si="50"/>
        <v>Overweight</v>
      </c>
      <c r="C1575">
        <v>26.315000000000001</v>
      </c>
      <c r="D1575">
        <v>5.89</v>
      </c>
      <c r="E1575" t="str">
        <f t="shared" si="51"/>
        <v>Prediabetes</v>
      </c>
      <c r="F1575" t="s">
        <v>2380</v>
      </c>
      <c r="G1575" t="s">
        <v>2380</v>
      </c>
      <c r="H1575" t="s">
        <v>2380</v>
      </c>
      <c r="I1575">
        <v>0</v>
      </c>
      <c r="J1575" t="s">
        <v>2380</v>
      </c>
    </row>
    <row r="1576" spans="1:10" x14ac:dyDescent="0.35">
      <c r="A1576" t="s">
        <v>796</v>
      </c>
      <c r="B1576" t="str">
        <f t="shared" si="50"/>
        <v>Normal Weight</v>
      </c>
      <c r="C1576">
        <v>19.79</v>
      </c>
      <c r="D1576">
        <v>4.8099999999999996</v>
      </c>
      <c r="E1576" t="str">
        <f t="shared" si="51"/>
        <v>Normal</v>
      </c>
      <c r="F1576" t="s">
        <v>2381</v>
      </c>
      <c r="G1576" t="s">
        <v>2380</v>
      </c>
      <c r="H1576" t="s">
        <v>2380</v>
      </c>
      <c r="I1576">
        <v>0</v>
      </c>
      <c r="J1576" t="s">
        <v>2380</v>
      </c>
    </row>
    <row r="1577" spans="1:10" x14ac:dyDescent="0.35">
      <c r="A1577" t="s">
        <v>795</v>
      </c>
      <c r="B1577" t="str">
        <f t="shared" si="50"/>
        <v>Obesity</v>
      </c>
      <c r="C1577">
        <v>40.564999999999998</v>
      </c>
      <c r="D1577">
        <v>5.66</v>
      </c>
      <c r="E1577" t="str">
        <f t="shared" si="51"/>
        <v>Normal</v>
      </c>
      <c r="F1577" t="s">
        <v>2380</v>
      </c>
      <c r="G1577" t="s">
        <v>2380</v>
      </c>
      <c r="H1577" t="s">
        <v>2380</v>
      </c>
      <c r="I1577">
        <v>1</v>
      </c>
      <c r="J1577" t="s">
        <v>2380</v>
      </c>
    </row>
    <row r="1578" spans="1:10" x14ac:dyDescent="0.35">
      <c r="A1578" t="s">
        <v>794</v>
      </c>
      <c r="B1578" t="str">
        <f t="shared" si="50"/>
        <v>Underweight</v>
      </c>
      <c r="C1578">
        <v>18.03</v>
      </c>
      <c r="D1578">
        <v>10.66</v>
      </c>
      <c r="E1578" t="str">
        <f t="shared" si="51"/>
        <v>Diabetes</v>
      </c>
      <c r="F1578" t="s">
        <v>2381</v>
      </c>
      <c r="G1578" t="s">
        <v>2380</v>
      </c>
      <c r="H1578" t="s">
        <v>2380</v>
      </c>
      <c r="I1578">
        <v>2</v>
      </c>
      <c r="J1578" t="s">
        <v>2380</v>
      </c>
    </row>
    <row r="1579" spans="1:10" x14ac:dyDescent="0.35">
      <c r="A1579" t="s">
        <v>793</v>
      </c>
      <c r="B1579" t="str">
        <f t="shared" si="50"/>
        <v>Obesity</v>
      </c>
      <c r="C1579">
        <v>34.65</v>
      </c>
      <c r="D1579">
        <v>5.98</v>
      </c>
      <c r="E1579" t="str">
        <f t="shared" si="51"/>
        <v>Prediabetes</v>
      </c>
      <c r="F1579" t="s">
        <v>2381</v>
      </c>
      <c r="G1579" t="s">
        <v>2380</v>
      </c>
      <c r="H1579" t="s">
        <v>2380</v>
      </c>
      <c r="I1579">
        <v>0</v>
      </c>
      <c r="J1579" t="s">
        <v>2380</v>
      </c>
    </row>
    <row r="1580" spans="1:10" x14ac:dyDescent="0.35">
      <c r="A1580" t="s">
        <v>792</v>
      </c>
      <c r="B1580" t="str">
        <f t="shared" si="50"/>
        <v>Obesity</v>
      </c>
      <c r="C1580">
        <v>42.94</v>
      </c>
      <c r="D1580">
        <v>4.34</v>
      </c>
      <c r="E1580" t="str">
        <f t="shared" si="51"/>
        <v>Normal</v>
      </c>
      <c r="F1580" t="s">
        <v>2380</v>
      </c>
      <c r="G1580" t="s">
        <v>2380</v>
      </c>
      <c r="H1580" t="s">
        <v>2380</v>
      </c>
      <c r="I1580">
        <v>0</v>
      </c>
      <c r="J1580" t="s">
        <v>2380</v>
      </c>
    </row>
    <row r="1581" spans="1:10" x14ac:dyDescent="0.35">
      <c r="A1581" t="s">
        <v>791</v>
      </c>
      <c r="B1581" t="str">
        <f t="shared" si="50"/>
        <v>Obesity</v>
      </c>
      <c r="C1581">
        <v>31.254999999999999</v>
      </c>
      <c r="D1581">
        <v>5.17</v>
      </c>
      <c r="E1581" t="str">
        <f t="shared" si="51"/>
        <v>Normal</v>
      </c>
      <c r="F1581" t="s">
        <v>2380</v>
      </c>
      <c r="G1581" t="s">
        <v>2380</v>
      </c>
      <c r="H1581" t="s">
        <v>2380</v>
      </c>
      <c r="I1581">
        <v>0</v>
      </c>
      <c r="J1581" t="s">
        <v>2380</v>
      </c>
    </row>
    <row r="1582" spans="1:10" x14ac:dyDescent="0.35">
      <c r="A1582" t="s">
        <v>790</v>
      </c>
      <c r="B1582" t="str">
        <f t="shared" si="50"/>
        <v>Obesity</v>
      </c>
      <c r="C1582">
        <v>45.43</v>
      </c>
      <c r="D1582">
        <v>4.2300000000000004</v>
      </c>
      <c r="E1582" t="str">
        <f t="shared" si="51"/>
        <v>Normal</v>
      </c>
      <c r="F1582" t="s">
        <v>2381</v>
      </c>
      <c r="G1582" t="s">
        <v>2380</v>
      </c>
      <c r="H1582" t="s">
        <v>2382</v>
      </c>
      <c r="I1582">
        <v>1</v>
      </c>
      <c r="J1582" t="s">
        <v>2380</v>
      </c>
    </row>
    <row r="1583" spans="1:10" x14ac:dyDescent="0.35">
      <c r="A1583" t="s">
        <v>789</v>
      </c>
      <c r="B1583" t="str">
        <f t="shared" si="50"/>
        <v>Obesity</v>
      </c>
      <c r="C1583">
        <v>32.340000000000003</v>
      </c>
      <c r="D1583">
        <v>4.88</v>
      </c>
      <c r="E1583" t="str">
        <f t="shared" si="51"/>
        <v>Normal</v>
      </c>
      <c r="F1583" t="s">
        <v>2381</v>
      </c>
      <c r="G1583" t="s">
        <v>2380</v>
      </c>
      <c r="H1583" t="s">
        <v>2382</v>
      </c>
      <c r="I1583">
        <v>1</v>
      </c>
      <c r="J1583" t="s">
        <v>2380</v>
      </c>
    </row>
    <row r="1584" spans="1:10" x14ac:dyDescent="0.35">
      <c r="A1584" t="s">
        <v>788</v>
      </c>
      <c r="B1584" t="str">
        <f t="shared" si="50"/>
        <v>Overweight</v>
      </c>
      <c r="C1584">
        <v>25.46</v>
      </c>
      <c r="D1584">
        <v>9.7100000000000009</v>
      </c>
      <c r="E1584" t="str">
        <f t="shared" si="51"/>
        <v>Diabetes</v>
      </c>
      <c r="F1584" t="s">
        <v>2381</v>
      </c>
      <c r="G1584" t="s">
        <v>2380</v>
      </c>
      <c r="H1584" t="s">
        <v>2380</v>
      </c>
      <c r="I1584">
        <v>1</v>
      </c>
      <c r="J1584" t="s">
        <v>2380</v>
      </c>
    </row>
    <row r="1585" spans="1:10" x14ac:dyDescent="0.35">
      <c r="A1585" t="s">
        <v>787</v>
      </c>
      <c r="B1585" t="str">
        <f t="shared" si="50"/>
        <v>Obesity</v>
      </c>
      <c r="C1585">
        <v>37.145000000000003</v>
      </c>
      <c r="D1585">
        <v>5.32</v>
      </c>
      <c r="E1585" t="str">
        <f t="shared" si="51"/>
        <v>Normal</v>
      </c>
      <c r="F1585" t="s">
        <v>2380</v>
      </c>
      <c r="G1585" t="s">
        <v>2380</v>
      </c>
      <c r="H1585" t="s">
        <v>2380</v>
      </c>
      <c r="I1585">
        <v>0</v>
      </c>
      <c r="J1585" t="s">
        <v>2380</v>
      </c>
    </row>
    <row r="1586" spans="1:10" x14ac:dyDescent="0.35">
      <c r="A1586" t="s">
        <v>786</v>
      </c>
      <c r="B1586" t="str">
        <f t="shared" si="50"/>
        <v>Obesity</v>
      </c>
      <c r="C1586">
        <v>30.8</v>
      </c>
      <c r="D1586">
        <v>5.83</v>
      </c>
      <c r="E1586" t="str">
        <f t="shared" si="51"/>
        <v>Prediabetes</v>
      </c>
      <c r="F1586" t="s">
        <v>2381</v>
      </c>
      <c r="G1586" t="s">
        <v>2380</v>
      </c>
      <c r="H1586" t="s">
        <v>2380</v>
      </c>
      <c r="I1586">
        <v>0</v>
      </c>
      <c r="J1586" t="s">
        <v>2380</v>
      </c>
    </row>
    <row r="1587" spans="1:10" x14ac:dyDescent="0.35">
      <c r="A1587" t="s">
        <v>785</v>
      </c>
      <c r="B1587" t="str">
        <f t="shared" si="50"/>
        <v>Overweight</v>
      </c>
      <c r="C1587">
        <v>29.5</v>
      </c>
      <c r="D1587">
        <v>5.54</v>
      </c>
      <c r="E1587" t="str">
        <f t="shared" si="51"/>
        <v>Normal</v>
      </c>
      <c r="F1587" t="s">
        <v>2381</v>
      </c>
      <c r="G1587" t="s">
        <v>2380</v>
      </c>
      <c r="H1587" t="s">
        <v>2380</v>
      </c>
      <c r="I1587">
        <v>0</v>
      </c>
      <c r="J1587" t="s">
        <v>2380</v>
      </c>
    </row>
    <row r="1588" spans="1:10" x14ac:dyDescent="0.35">
      <c r="A1588" t="s">
        <v>784</v>
      </c>
      <c r="B1588" t="str">
        <f t="shared" si="50"/>
        <v>Obesity</v>
      </c>
      <c r="C1588">
        <v>43.39</v>
      </c>
      <c r="D1588">
        <v>5.85</v>
      </c>
      <c r="E1588" t="str">
        <f t="shared" si="51"/>
        <v>Prediabetes</v>
      </c>
      <c r="F1588" t="s">
        <v>2380</v>
      </c>
      <c r="G1588" t="s">
        <v>2381</v>
      </c>
      <c r="H1588" t="s">
        <v>2380</v>
      </c>
      <c r="I1588">
        <v>1</v>
      </c>
      <c r="J1588" t="s">
        <v>2380</v>
      </c>
    </row>
    <row r="1589" spans="1:10" x14ac:dyDescent="0.35">
      <c r="A1589" t="s">
        <v>783</v>
      </c>
      <c r="B1589" t="str">
        <f t="shared" si="50"/>
        <v>Underweight</v>
      </c>
      <c r="C1589">
        <v>15.08</v>
      </c>
      <c r="D1589">
        <v>4.8499999999999996</v>
      </c>
      <c r="E1589" t="str">
        <f t="shared" si="51"/>
        <v>Normal</v>
      </c>
      <c r="F1589" t="s">
        <v>2381</v>
      </c>
      <c r="G1589" t="s">
        <v>2380</v>
      </c>
      <c r="H1589" t="s">
        <v>2382</v>
      </c>
      <c r="I1589">
        <v>1</v>
      </c>
      <c r="J1589" t="s">
        <v>2380</v>
      </c>
    </row>
    <row r="1590" spans="1:10" x14ac:dyDescent="0.35">
      <c r="A1590" t="s">
        <v>782</v>
      </c>
      <c r="B1590" t="str">
        <f t="shared" si="50"/>
        <v>Normal Weight</v>
      </c>
      <c r="C1590">
        <v>20.48</v>
      </c>
      <c r="D1590">
        <v>11.09</v>
      </c>
      <c r="E1590" t="str">
        <f t="shared" si="51"/>
        <v>Diabetes</v>
      </c>
      <c r="F1590" t="s">
        <v>2380</v>
      </c>
      <c r="G1590" t="s">
        <v>2380</v>
      </c>
      <c r="H1590" t="s">
        <v>2380</v>
      </c>
      <c r="I1590">
        <v>0</v>
      </c>
      <c r="J1590" t="s">
        <v>2380</v>
      </c>
    </row>
    <row r="1591" spans="1:10" x14ac:dyDescent="0.35">
      <c r="A1591" t="s">
        <v>781</v>
      </c>
      <c r="B1591" t="str">
        <f t="shared" si="50"/>
        <v>Obesity</v>
      </c>
      <c r="C1591">
        <v>34.450000000000003</v>
      </c>
      <c r="D1591">
        <v>5.58</v>
      </c>
      <c r="E1591" t="str">
        <f t="shared" si="51"/>
        <v>Normal</v>
      </c>
      <c r="F1591" t="s">
        <v>2381</v>
      </c>
      <c r="G1591" t="s">
        <v>2380</v>
      </c>
      <c r="H1591" t="s">
        <v>2380</v>
      </c>
      <c r="I1591">
        <v>0</v>
      </c>
      <c r="J1591" t="s">
        <v>2380</v>
      </c>
    </row>
    <row r="1592" spans="1:10" x14ac:dyDescent="0.35">
      <c r="A1592" t="s">
        <v>780</v>
      </c>
      <c r="B1592" t="str">
        <f t="shared" si="50"/>
        <v>Obesity</v>
      </c>
      <c r="C1592">
        <v>34.21</v>
      </c>
      <c r="D1592">
        <v>9.7200000000000006</v>
      </c>
      <c r="E1592" t="str">
        <f t="shared" si="51"/>
        <v>Diabetes</v>
      </c>
      <c r="F1592" t="s">
        <v>2381</v>
      </c>
      <c r="G1592" t="s">
        <v>2380</v>
      </c>
      <c r="H1592" t="s">
        <v>2380</v>
      </c>
      <c r="I1592">
        <v>0</v>
      </c>
      <c r="J1592" t="s">
        <v>2380</v>
      </c>
    </row>
    <row r="1593" spans="1:10" x14ac:dyDescent="0.35">
      <c r="A1593" t="s">
        <v>779</v>
      </c>
      <c r="B1593" t="str">
        <f t="shared" si="50"/>
        <v>Overweight</v>
      </c>
      <c r="C1593">
        <v>28.8</v>
      </c>
      <c r="D1593">
        <v>11.41</v>
      </c>
      <c r="E1593" t="str">
        <f t="shared" si="51"/>
        <v>Diabetes</v>
      </c>
      <c r="F1593" t="s">
        <v>2381</v>
      </c>
      <c r="G1593" t="s">
        <v>2380</v>
      </c>
      <c r="H1593" t="s">
        <v>2380</v>
      </c>
      <c r="I1593">
        <v>0</v>
      </c>
      <c r="J1593" t="s">
        <v>2380</v>
      </c>
    </row>
    <row r="1594" spans="1:10" x14ac:dyDescent="0.35">
      <c r="A1594" t="s">
        <v>778</v>
      </c>
      <c r="B1594" t="str">
        <f t="shared" si="50"/>
        <v>Obesity</v>
      </c>
      <c r="C1594">
        <v>31.74</v>
      </c>
      <c r="D1594">
        <v>4.46</v>
      </c>
      <c r="E1594" t="str">
        <f t="shared" si="51"/>
        <v>Normal</v>
      </c>
      <c r="F1594" t="s">
        <v>2380</v>
      </c>
      <c r="G1594" t="s">
        <v>2380</v>
      </c>
      <c r="H1594" t="s">
        <v>2382</v>
      </c>
      <c r="I1594">
        <v>1</v>
      </c>
      <c r="J1594" t="s">
        <v>2380</v>
      </c>
    </row>
    <row r="1595" spans="1:10" x14ac:dyDescent="0.35">
      <c r="A1595" t="s">
        <v>777</v>
      </c>
      <c r="B1595" t="str">
        <f t="shared" si="50"/>
        <v>Normal Weight</v>
      </c>
      <c r="C1595">
        <v>21.78</v>
      </c>
      <c r="D1595">
        <v>9.31</v>
      </c>
      <c r="E1595" t="str">
        <f t="shared" si="51"/>
        <v>Diabetes</v>
      </c>
      <c r="F1595" t="s">
        <v>2381</v>
      </c>
      <c r="G1595" t="s">
        <v>2380</v>
      </c>
      <c r="H1595" t="s">
        <v>2380</v>
      </c>
      <c r="I1595">
        <v>0</v>
      </c>
      <c r="J1595" t="s">
        <v>2380</v>
      </c>
    </row>
    <row r="1596" spans="1:10" x14ac:dyDescent="0.35">
      <c r="A1596" t="s">
        <v>776</v>
      </c>
      <c r="B1596" t="str">
        <f t="shared" si="50"/>
        <v>Normal Weight</v>
      </c>
      <c r="C1596">
        <v>23.75</v>
      </c>
      <c r="D1596">
        <v>5.03</v>
      </c>
      <c r="E1596" t="str">
        <f t="shared" si="51"/>
        <v>Normal</v>
      </c>
      <c r="F1596" t="s">
        <v>2380</v>
      </c>
      <c r="G1596" t="s">
        <v>2380</v>
      </c>
      <c r="H1596" t="s">
        <v>2380</v>
      </c>
      <c r="I1596">
        <v>1</v>
      </c>
      <c r="J1596" t="s">
        <v>2380</v>
      </c>
    </row>
    <row r="1597" spans="1:10" x14ac:dyDescent="0.35">
      <c r="A1597" t="s">
        <v>775</v>
      </c>
      <c r="B1597" t="str">
        <f t="shared" si="50"/>
        <v>Obesity</v>
      </c>
      <c r="C1597">
        <v>33.21</v>
      </c>
      <c r="D1597">
        <v>5.07</v>
      </c>
      <c r="E1597" t="str">
        <f t="shared" si="51"/>
        <v>Normal</v>
      </c>
      <c r="F1597" t="s">
        <v>2381</v>
      </c>
      <c r="G1597" t="s">
        <v>2380</v>
      </c>
      <c r="H1597" t="s">
        <v>2380</v>
      </c>
      <c r="I1597">
        <v>1</v>
      </c>
      <c r="J1597" t="s">
        <v>2380</v>
      </c>
    </row>
    <row r="1598" spans="1:10" x14ac:dyDescent="0.35">
      <c r="A1598" t="s">
        <v>774</v>
      </c>
      <c r="B1598" t="str">
        <f t="shared" si="50"/>
        <v>Underweight</v>
      </c>
      <c r="C1598">
        <v>17.7</v>
      </c>
      <c r="D1598">
        <v>10.42</v>
      </c>
      <c r="E1598" t="str">
        <f t="shared" si="51"/>
        <v>Diabetes</v>
      </c>
      <c r="F1598" t="s">
        <v>2381</v>
      </c>
      <c r="G1598" t="s">
        <v>2380</v>
      </c>
      <c r="H1598" t="s">
        <v>2380</v>
      </c>
      <c r="I1598">
        <v>2</v>
      </c>
      <c r="J1598" t="s">
        <v>2380</v>
      </c>
    </row>
    <row r="1599" spans="1:10" x14ac:dyDescent="0.35">
      <c r="A1599" t="s">
        <v>773</v>
      </c>
      <c r="B1599" t="str">
        <f t="shared" si="50"/>
        <v>Underweight</v>
      </c>
      <c r="C1599">
        <v>17.2</v>
      </c>
      <c r="D1599">
        <v>6.45</v>
      </c>
      <c r="E1599" t="str">
        <f t="shared" si="51"/>
        <v>Prediabetes</v>
      </c>
      <c r="F1599" t="s">
        <v>2380</v>
      </c>
      <c r="G1599" t="s">
        <v>2380</v>
      </c>
      <c r="H1599" t="s">
        <v>2380</v>
      </c>
      <c r="I1599">
        <v>2</v>
      </c>
      <c r="J1599" t="s">
        <v>2380</v>
      </c>
    </row>
    <row r="1600" spans="1:10" x14ac:dyDescent="0.35">
      <c r="A1600" t="s">
        <v>772</v>
      </c>
      <c r="B1600" t="str">
        <f t="shared" si="50"/>
        <v>Normal Weight</v>
      </c>
      <c r="C1600">
        <v>19.21</v>
      </c>
      <c r="D1600">
        <v>5.52</v>
      </c>
      <c r="E1600" t="str">
        <f t="shared" si="51"/>
        <v>Normal</v>
      </c>
      <c r="F1600" t="s">
        <v>2380</v>
      </c>
      <c r="G1600" t="s">
        <v>2380</v>
      </c>
      <c r="H1600" t="s">
        <v>2380</v>
      </c>
      <c r="I1600">
        <v>2</v>
      </c>
      <c r="J1600" t="s">
        <v>2380</v>
      </c>
    </row>
    <row r="1601" spans="1:10" x14ac:dyDescent="0.35">
      <c r="A1601" t="s">
        <v>771</v>
      </c>
      <c r="B1601" t="str">
        <f t="shared" si="50"/>
        <v>Normal Weight</v>
      </c>
      <c r="C1601">
        <v>23.2</v>
      </c>
      <c r="D1601">
        <v>4.41</v>
      </c>
      <c r="E1601" t="str">
        <f t="shared" si="51"/>
        <v>Normal</v>
      </c>
      <c r="F1601" t="s">
        <v>2380</v>
      </c>
      <c r="G1601" t="s">
        <v>2380</v>
      </c>
      <c r="H1601" t="s">
        <v>2382</v>
      </c>
      <c r="I1601">
        <v>1</v>
      </c>
      <c r="J1601" t="s">
        <v>2380</v>
      </c>
    </row>
    <row r="1602" spans="1:10" x14ac:dyDescent="0.35">
      <c r="A1602" t="s">
        <v>770</v>
      </c>
      <c r="B1602" t="str">
        <f t="shared" si="50"/>
        <v>Obesity</v>
      </c>
      <c r="C1602">
        <v>32.5</v>
      </c>
      <c r="D1602">
        <v>4.6900000000000004</v>
      </c>
      <c r="E1602" t="str">
        <f t="shared" si="51"/>
        <v>Normal</v>
      </c>
      <c r="F1602" t="s">
        <v>2381</v>
      </c>
      <c r="G1602" t="s">
        <v>2380</v>
      </c>
      <c r="H1602" t="s">
        <v>2382</v>
      </c>
      <c r="I1602">
        <v>1</v>
      </c>
      <c r="J1602" t="s">
        <v>2380</v>
      </c>
    </row>
    <row r="1603" spans="1:10" x14ac:dyDescent="0.35">
      <c r="A1603" t="s">
        <v>769</v>
      </c>
      <c r="B1603" t="str">
        <f t="shared" ref="B1603:B1666" si="52">IF(C1603&lt;18.5,"Underweight",IF(C1603&lt;25,"Normal Weight",IF(C1603&lt;30,"Overweight","Obesity")))</f>
        <v>Normal Weight</v>
      </c>
      <c r="C1603">
        <v>20.9</v>
      </c>
      <c r="D1603">
        <v>6.94</v>
      </c>
      <c r="E1603" t="str">
        <f t="shared" ref="E1603:E1666" si="53">IF(D1603&lt;5.7,"Normal",IF(D1603&lt;6.5,"Prediabetes","Diabetes"))</f>
        <v>Diabetes</v>
      </c>
      <c r="F1603" t="s">
        <v>2380</v>
      </c>
      <c r="G1603" t="s">
        <v>2380</v>
      </c>
      <c r="H1603" t="s">
        <v>2380</v>
      </c>
      <c r="I1603">
        <v>0</v>
      </c>
      <c r="J1603" t="s">
        <v>2380</v>
      </c>
    </row>
    <row r="1604" spans="1:10" x14ac:dyDescent="0.35">
      <c r="A1604" t="s">
        <v>768</v>
      </c>
      <c r="B1604" t="str">
        <f t="shared" si="52"/>
        <v>Normal Weight</v>
      </c>
      <c r="C1604">
        <v>19.11</v>
      </c>
      <c r="D1604">
        <v>4.3499999999999996</v>
      </c>
      <c r="E1604" t="str">
        <f t="shared" si="53"/>
        <v>Normal</v>
      </c>
      <c r="F1604" t="s">
        <v>2380</v>
      </c>
      <c r="G1604" t="s">
        <v>2380</v>
      </c>
      <c r="H1604" t="s">
        <v>2380</v>
      </c>
      <c r="I1604">
        <v>2</v>
      </c>
      <c r="J1604" t="s">
        <v>2380</v>
      </c>
    </row>
    <row r="1605" spans="1:10" x14ac:dyDescent="0.35">
      <c r="A1605" t="s">
        <v>767</v>
      </c>
      <c r="B1605" t="str">
        <f t="shared" si="52"/>
        <v>Obesity</v>
      </c>
      <c r="C1605">
        <v>31.17</v>
      </c>
      <c r="D1605">
        <v>5.28</v>
      </c>
      <c r="E1605" t="str">
        <f t="shared" si="53"/>
        <v>Normal</v>
      </c>
      <c r="F1605" t="s">
        <v>2380</v>
      </c>
      <c r="G1605" t="s">
        <v>2380</v>
      </c>
      <c r="H1605" t="s">
        <v>2380</v>
      </c>
      <c r="I1605">
        <v>1</v>
      </c>
      <c r="J1605" t="s">
        <v>2380</v>
      </c>
    </row>
    <row r="1606" spans="1:10" x14ac:dyDescent="0.35">
      <c r="A1606" t="s">
        <v>766</v>
      </c>
      <c r="B1606" t="str">
        <f t="shared" si="52"/>
        <v>Obesity</v>
      </c>
      <c r="C1606">
        <v>36.08</v>
      </c>
      <c r="D1606">
        <v>4.29</v>
      </c>
      <c r="E1606" t="str">
        <f t="shared" si="53"/>
        <v>Normal</v>
      </c>
      <c r="F1606" t="s">
        <v>2380</v>
      </c>
      <c r="G1606" t="s">
        <v>2380</v>
      </c>
      <c r="H1606" t="s">
        <v>2380</v>
      </c>
      <c r="I1606">
        <v>0</v>
      </c>
      <c r="J1606" t="s">
        <v>2380</v>
      </c>
    </row>
    <row r="1607" spans="1:10" x14ac:dyDescent="0.35">
      <c r="A1607" t="s">
        <v>765</v>
      </c>
      <c r="B1607" t="str">
        <f t="shared" si="52"/>
        <v>Overweight</v>
      </c>
      <c r="C1607">
        <v>28.024999999999999</v>
      </c>
      <c r="D1607">
        <v>5.69</v>
      </c>
      <c r="E1607" t="str">
        <f t="shared" si="53"/>
        <v>Normal</v>
      </c>
      <c r="F1607" t="s">
        <v>2381</v>
      </c>
      <c r="G1607" t="s">
        <v>2380</v>
      </c>
      <c r="H1607" t="s">
        <v>2380</v>
      </c>
      <c r="I1607">
        <v>0</v>
      </c>
      <c r="J1607" t="s">
        <v>2380</v>
      </c>
    </row>
    <row r="1608" spans="1:10" x14ac:dyDescent="0.35">
      <c r="A1608" t="s">
        <v>764</v>
      </c>
      <c r="B1608" t="str">
        <f t="shared" si="52"/>
        <v>Normal Weight</v>
      </c>
      <c r="C1608">
        <v>24.32</v>
      </c>
      <c r="D1608">
        <v>5.56</v>
      </c>
      <c r="E1608" t="str">
        <f t="shared" si="53"/>
        <v>Normal</v>
      </c>
      <c r="F1608" t="s">
        <v>2381</v>
      </c>
      <c r="G1608" t="s">
        <v>2380</v>
      </c>
      <c r="H1608" t="s">
        <v>2380</v>
      </c>
      <c r="I1608">
        <v>0</v>
      </c>
      <c r="J1608" t="s">
        <v>2380</v>
      </c>
    </row>
    <row r="1609" spans="1:10" x14ac:dyDescent="0.35">
      <c r="A1609" t="s">
        <v>763</v>
      </c>
      <c r="B1609" t="str">
        <f t="shared" si="52"/>
        <v>Obesity</v>
      </c>
      <c r="C1609">
        <v>38</v>
      </c>
      <c r="D1609">
        <v>5.41</v>
      </c>
      <c r="E1609" t="str">
        <f t="shared" si="53"/>
        <v>Normal</v>
      </c>
      <c r="F1609" t="s">
        <v>2381</v>
      </c>
      <c r="G1609" t="s">
        <v>2380</v>
      </c>
      <c r="H1609" t="s">
        <v>2380</v>
      </c>
      <c r="I1609">
        <v>1</v>
      </c>
      <c r="J1609" t="s">
        <v>2380</v>
      </c>
    </row>
    <row r="1610" spans="1:10" x14ac:dyDescent="0.35">
      <c r="A1610" t="s">
        <v>762</v>
      </c>
      <c r="B1610" t="str">
        <f t="shared" si="52"/>
        <v>Obesity</v>
      </c>
      <c r="C1610">
        <v>31.6</v>
      </c>
      <c r="D1610">
        <v>10.85</v>
      </c>
      <c r="E1610" t="str">
        <f t="shared" si="53"/>
        <v>Diabetes</v>
      </c>
      <c r="F1610" t="s">
        <v>2381</v>
      </c>
      <c r="G1610" t="s">
        <v>2380</v>
      </c>
      <c r="H1610" t="s">
        <v>2380</v>
      </c>
      <c r="I1610">
        <v>0</v>
      </c>
      <c r="J1610" t="s">
        <v>2380</v>
      </c>
    </row>
    <row r="1611" spans="1:10" x14ac:dyDescent="0.35">
      <c r="A1611" t="s">
        <v>761</v>
      </c>
      <c r="B1611" t="str">
        <f t="shared" si="52"/>
        <v>Obesity</v>
      </c>
      <c r="C1611">
        <v>31.02</v>
      </c>
      <c r="D1611">
        <v>11.63</v>
      </c>
      <c r="E1611" t="str">
        <f t="shared" si="53"/>
        <v>Diabetes</v>
      </c>
      <c r="F1611" t="s">
        <v>2381</v>
      </c>
      <c r="G1611" t="s">
        <v>2380</v>
      </c>
      <c r="H1611" t="s">
        <v>2380</v>
      </c>
      <c r="I1611">
        <v>0</v>
      </c>
      <c r="J1611" t="s">
        <v>2380</v>
      </c>
    </row>
    <row r="1612" spans="1:10" x14ac:dyDescent="0.35">
      <c r="A1612" t="s">
        <v>760</v>
      </c>
      <c r="B1612" t="str">
        <f t="shared" si="52"/>
        <v>Overweight</v>
      </c>
      <c r="C1612">
        <v>29.26</v>
      </c>
      <c r="D1612">
        <v>5.68</v>
      </c>
      <c r="E1612" t="str">
        <f t="shared" si="53"/>
        <v>Normal</v>
      </c>
      <c r="F1612" t="s">
        <v>2381</v>
      </c>
      <c r="G1612" t="s">
        <v>2380</v>
      </c>
      <c r="H1612" t="s">
        <v>2380</v>
      </c>
      <c r="I1612">
        <v>1</v>
      </c>
      <c r="J1612" t="s">
        <v>2380</v>
      </c>
    </row>
    <row r="1613" spans="1:10" x14ac:dyDescent="0.35">
      <c r="A1613" t="s">
        <v>759</v>
      </c>
      <c r="B1613" t="str">
        <f t="shared" si="52"/>
        <v>Underweight</v>
      </c>
      <c r="C1613">
        <v>15.09</v>
      </c>
      <c r="D1613">
        <v>7.59</v>
      </c>
      <c r="E1613" t="str">
        <f t="shared" si="53"/>
        <v>Diabetes</v>
      </c>
      <c r="F1613" t="s">
        <v>2381</v>
      </c>
      <c r="G1613" t="s">
        <v>2380</v>
      </c>
      <c r="H1613" t="s">
        <v>2380</v>
      </c>
      <c r="I1613">
        <v>2</v>
      </c>
      <c r="J1613" t="s">
        <v>2380</v>
      </c>
    </row>
    <row r="1614" spans="1:10" x14ac:dyDescent="0.35">
      <c r="A1614" t="s">
        <v>758</v>
      </c>
      <c r="B1614" t="str">
        <f t="shared" si="52"/>
        <v>Normal Weight</v>
      </c>
      <c r="C1614">
        <v>22.63</v>
      </c>
      <c r="D1614">
        <v>5.09</v>
      </c>
      <c r="E1614" t="str">
        <f t="shared" si="53"/>
        <v>Normal</v>
      </c>
      <c r="F1614" t="s">
        <v>2381</v>
      </c>
      <c r="G1614" t="s">
        <v>2380</v>
      </c>
      <c r="H1614" t="s">
        <v>2380</v>
      </c>
      <c r="I1614">
        <v>0</v>
      </c>
      <c r="J1614" t="s">
        <v>2380</v>
      </c>
    </row>
    <row r="1615" spans="1:10" x14ac:dyDescent="0.35">
      <c r="A1615" t="s">
        <v>757</v>
      </c>
      <c r="B1615" t="str">
        <f t="shared" si="52"/>
        <v>Normal Weight</v>
      </c>
      <c r="C1615">
        <v>23.46</v>
      </c>
      <c r="D1615">
        <v>4.21</v>
      </c>
      <c r="E1615" t="str">
        <f t="shared" si="53"/>
        <v>Normal</v>
      </c>
      <c r="F1615" t="s">
        <v>2380</v>
      </c>
      <c r="G1615" t="s">
        <v>2380</v>
      </c>
      <c r="H1615" t="s">
        <v>2380</v>
      </c>
      <c r="I1615">
        <v>1</v>
      </c>
      <c r="J1615" t="s">
        <v>2380</v>
      </c>
    </row>
    <row r="1616" spans="1:10" x14ac:dyDescent="0.35">
      <c r="A1616" t="s">
        <v>756</v>
      </c>
      <c r="B1616" t="str">
        <f t="shared" si="52"/>
        <v>Normal Weight</v>
      </c>
      <c r="C1616">
        <v>22.56</v>
      </c>
      <c r="D1616">
        <v>4.34</v>
      </c>
      <c r="E1616" t="str">
        <f t="shared" si="53"/>
        <v>Normal</v>
      </c>
      <c r="F1616" t="s">
        <v>2381</v>
      </c>
      <c r="G1616" t="s">
        <v>2380</v>
      </c>
      <c r="H1616" t="s">
        <v>2380</v>
      </c>
      <c r="I1616">
        <v>0</v>
      </c>
      <c r="J1616" t="s">
        <v>2380</v>
      </c>
    </row>
    <row r="1617" spans="1:10" x14ac:dyDescent="0.35">
      <c r="A1617" t="s">
        <v>755</v>
      </c>
      <c r="B1617" t="str">
        <f t="shared" si="52"/>
        <v>Normal Weight</v>
      </c>
      <c r="C1617">
        <v>19.28</v>
      </c>
      <c r="D1617">
        <v>11.85</v>
      </c>
      <c r="E1617" t="str">
        <f t="shared" si="53"/>
        <v>Diabetes</v>
      </c>
      <c r="F1617" t="s">
        <v>2380</v>
      </c>
      <c r="G1617" t="s">
        <v>2380</v>
      </c>
      <c r="H1617" t="s">
        <v>2380</v>
      </c>
      <c r="I1617">
        <v>2</v>
      </c>
      <c r="J1617" t="s">
        <v>2380</v>
      </c>
    </row>
    <row r="1618" spans="1:10" x14ac:dyDescent="0.35">
      <c r="A1618" t="s">
        <v>754</v>
      </c>
      <c r="B1618" t="str">
        <f t="shared" si="52"/>
        <v>Underweight</v>
      </c>
      <c r="C1618">
        <v>15.37</v>
      </c>
      <c r="D1618">
        <v>9.61</v>
      </c>
      <c r="E1618" t="str">
        <f t="shared" si="53"/>
        <v>Diabetes</v>
      </c>
      <c r="F1618" t="s">
        <v>2381</v>
      </c>
      <c r="G1618" t="s">
        <v>2380</v>
      </c>
      <c r="H1618" t="s">
        <v>2380</v>
      </c>
      <c r="I1618">
        <v>2</v>
      </c>
      <c r="J1618" t="s">
        <v>2380</v>
      </c>
    </row>
    <row r="1619" spans="1:10" x14ac:dyDescent="0.35">
      <c r="A1619" t="s">
        <v>753</v>
      </c>
      <c r="B1619" t="str">
        <f t="shared" si="52"/>
        <v>Normal Weight</v>
      </c>
      <c r="C1619">
        <v>18.71</v>
      </c>
      <c r="D1619">
        <v>5.29</v>
      </c>
      <c r="E1619" t="str">
        <f t="shared" si="53"/>
        <v>Normal</v>
      </c>
      <c r="F1619" t="s">
        <v>2381</v>
      </c>
      <c r="G1619" t="s">
        <v>2380</v>
      </c>
      <c r="H1619" t="s">
        <v>2380</v>
      </c>
      <c r="I1619">
        <v>0</v>
      </c>
      <c r="J1619" t="s">
        <v>2380</v>
      </c>
    </row>
    <row r="1620" spans="1:10" x14ac:dyDescent="0.35">
      <c r="A1620" t="s">
        <v>752</v>
      </c>
      <c r="B1620" t="str">
        <f t="shared" si="52"/>
        <v>Normal Weight</v>
      </c>
      <c r="C1620">
        <v>20.61</v>
      </c>
      <c r="D1620">
        <v>6.89</v>
      </c>
      <c r="E1620" t="str">
        <f t="shared" si="53"/>
        <v>Diabetes</v>
      </c>
      <c r="F1620" t="s">
        <v>2380</v>
      </c>
      <c r="G1620" t="s">
        <v>2380</v>
      </c>
      <c r="H1620" t="s">
        <v>2380</v>
      </c>
      <c r="I1620">
        <v>0</v>
      </c>
      <c r="J1620" t="s">
        <v>2380</v>
      </c>
    </row>
    <row r="1621" spans="1:10" x14ac:dyDescent="0.35">
      <c r="A1621" t="s">
        <v>751</v>
      </c>
      <c r="B1621" t="str">
        <f t="shared" si="52"/>
        <v>Underweight</v>
      </c>
      <c r="C1621">
        <v>15.99</v>
      </c>
      <c r="D1621">
        <v>4.57</v>
      </c>
      <c r="E1621" t="str">
        <f t="shared" si="53"/>
        <v>Normal</v>
      </c>
      <c r="F1621" t="s">
        <v>2381</v>
      </c>
      <c r="G1621" t="s">
        <v>2380</v>
      </c>
      <c r="H1621" t="s">
        <v>2382</v>
      </c>
      <c r="I1621">
        <v>1</v>
      </c>
      <c r="J1621" t="s">
        <v>2380</v>
      </c>
    </row>
    <row r="1622" spans="1:10" x14ac:dyDescent="0.35">
      <c r="A1622" t="s">
        <v>750</v>
      </c>
      <c r="B1622" t="str">
        <f t="shared" si="52"/>
        <v>Obesity</v>
      </c>
      <c r="C1622">
        <v>33.155000000000001</v>
      </c>
      <c r="D1622">
        <v>4.32</v>
      </c>
      <c r="E1622" t="str">
        <f t="shared" si="53"/>
        <v>Normal</v>
      </c>
      <c r="F1622" t="s">
        <v>2380</v>
      </c>
      <c r="G1622" t="s">
        <v>2380</v>
      </c>
      <c r="H1622" t="s">
        <v>2380</v>
      </c>
      <c r="I1622">
        <v>0</v>
      </c>
      <c r="J1622" t="s">
        <v>2380</v>
      </c>
    </row>
    <row r="1623" spans="1:10" x14ac:dyDescent="0.35">
      <c r="A1623" t="s">
        <v>749</v>
      </c>
      <c r="B1623" t="str">
        <f t="shared" si="52"/>
        <v>Overweight</v>
      </c>
      <c r="C1623">
        <v>26.22</v>
      </c>
      <c r="D1623">
        <v>5.57</v>
      </c>
      <c r="E1623" t="str">
        <f t="shared" si="53"/>
        <v>Normal</v>
      </c>
      <c r="F1623" t="s">
        <v>2381</v>
      </c>
      <c r="G1623" t="s">
        <v>2380</v>
      </c>
      <c r="H1623" t="s">
        <v>2382</v>
      </c>
      <c r="I1623">
        <v>1</v>
      </c>
      <c r="J1623" t="s">
        <v>2380</v>
      </c>
    </row>
    <row r="1624" spans="1:10" x14ac:dyDescent="0.35">
      <c r="A1624" t="s">
        <v>748</v>
      </c>
      <c r="B1624" t="str">
        <f t="shared" si="52"/>
        <v>Normal Weight</v>
      </c>
      <c r="C1624">
        <v>21.85</v>
      </c>
      <c r="D1624">
        <v>5.26</v>
      </c>
      <c r="E1624" t="str">
        <f t="shared" si="53"/>
        <v>Normal</v>
      </c>
      <c r="F1624" t="s">
        <v>2381</v>
      </c>
      <c r="G1624" t="s">
        <v>2380</v>
      </c>
      <c r="H1624" t="s">
        <v>2382</v>
      </c>
      <c r="I1624">
        <v>1</v>
      </c>
      <c r="J1624" t="s">
        <v>2380</v>
      </c>
    </row>
    <row r="1625" spans="1:10" x14ac:dyDescent="0.35">
      <c r="A1625" t="s">
        <v>747</v>
      </c>
      <c r="B1625" t="str">
        <f t="shared" si="52"/>
        <v>Obesity</v>
      </c>
      <c r="C1625">
        <v>30.495000000000001</v>
      </c>
      <c r="D1625">
        <v>6.25</v>
      </c>
      <c r="E1625" t="str">
        <f t="shared" si="53"/>
        <v>Prediabetes</v>
      </c>
      <c r="F1625" t="s">
        <v>2380</v>
      </c>
      <c r="G1625" t="s">
        <v>2380</v>
      </c>
      <c r="H1625" t="s">
        <v>2380</v>
      </c>
      <c r="I1625">
        <v>0</v>
      </c>
      <c r="J1625" t="s">
        <v>2380</v>
      </c>
    </row>
    <row r="1626" spans="1:10" x14ac:dyDescent="0.35">
      <c r="A1626" t="s">
        <v>746</v>
      </c>
      <c r="B1626" t="str">
        <f t="shared" si="52"/>
        <v>Obesity</v>
      </c>
      <c r="C1626">
        <v>34.104999999999997</v>
      </c>
      <c r="D1626">
        <v>5.67</v>
      </c>
      <c r="E1626" t="str">
        <f t="shared" si="53"/>
        <v>Normal</v>
      </c>
      <c r="F1626" t="s">
        <v>2381</v>
      </c>
      <c r="G1626" t="s">
        <v>2380</v>
      </c>
      <c r="H1626" t="s">
        <v>2380</v>
      </c>
      <c r="I1626">
        <v>0</v>
      </c>
      <c r="J1626" t="s">
        <v>2380</v>
      </c>
    </row>
    <row r="1627" spans="1:10" x14ac:dyDescent="0.35">
      <c r="A1627" t="s">
        <v>745</v>
      </c>
      <c r="B1627" t="str">
        <f t="shared" si="52"/>
        <v>Obesity</v>
      </c>
      <c r="C1627">
        <v>32.770000000000003</v>
      </c>
      <c r="D1627">
        <v>4.42</v>
      </c>
      <c r="E1627" t="str">
        <f t="shared" si="53"/>
        <v>Normal</v>
      </c>
      <c r="F1627" t="s">
        <v>2381</v>
      </c>
      <c r="G1627" t="s">
        <v>2380</v>
      </c>
      <c r="H1627" t="s">
        <v>2380</v>
      </c>
      <c r="I1627">
        <v>1</v>
      </c>
      <c r="J1627" t="s">
        <v>2380</v>
      </c>
    </row>
    <row r="1628" spans="1:10" x14ac:dyDescent="0.35">
      <c r="A1628" t="s">
        <v>744</v>
      </c>
      <c r="B1628" t="str">
        <f t="shared" si="52"/>
        <v>Underweight</v>
      </c>
      <c r="C1628">
        <v>16.850000000000001</v>
      </c>
      <c r="D1628">
        <v>11.75</v>
      </c>
      <c r="E1628" t="str">
        <f t="shared" si="53"/>
        <v>Diabetes</v>
      </c>
      <c r="F1628" t="s">
        <v>2381</v>
      </c>
      <c r="G1628" t="s">
        <v>2380</v>
      </c>
      <c r="H1628" t="s">
        <v>2380</v>
      </c>
      <c r="I1628">
        <v>2</v>
      </c>
      <c r="J1628" t="s">
        <v>2380</v>
      </c>
    </row>
    <row r="1629" spans="1:10" x14ac:dyDescent="0.35">
      <c r="A1629" t="s">
        <v>743</v>
      </c>
      <c r="B1629" t="str">
        <f t="shared" si="52"/>
        <v>Obesity</v>
      </c>
      <c r="C1629">
        <v>34.700000000000003</v>
      </c>
      <c r="D1629">
        <v>6.06</v>
      </c>
      <c r="E1629" t="str">
        <f t="shared" si="53"/>
        <v>Prediabetes</v>
      </c>
      <c r="F1629" t="s">
        <v>2380</v>
      </c>
      <c r="G1629" t="s">
        <v>2380</v>
      </c>
      <c r="H1629" t="s">
        <v>2380</v>
      </c>
      <c r="I1629">
        <v>1</v>
      </c>
      <c r="J1629" t="s">
        <v>2380</v>
      </c>
    </row>
    <row r="1630" spans="1:10" x14ac:dyDescent="0.35">
      <c r="A1630" t="s">
        <v>742</v>
      </c>
      <c r="B1630" t="str">
        <f t="shared" si="52"/>
        <v>Obesity</v>
      </c>
      <c r="C1630">
        <v>37.049999999999997</v>
      </c>
      <c r="D1630">
        <v>5.48</v>
      </c>
      <c r="E1630" t="str">
        <f t="shared" si="53"/>
        <v>Normal</v>
      </c>
      <c r="F1630" t="s">
        <v>2380</v>
      </c>
      <c r="G1630" t="s">
        <v>2380</v>
      </c>
      <c r="H1630" t="s">
        <v>2380</v>
      </c>
      <c r="I1630">
        <v>1</v>
      </c>
      <c r="J1630" t="s">
        <v>2380</v>
      </c>
    </row>
    <row r="1631" spans="1:10" x14ac:dyDescent="0.35">
      <c r="A1631" t="s">
        <v>741</v>
      </c>
      <c r="B1631" t="str">
        <f t="shared" si="52"/>
        <v>Normal Weight</v>
      </c>
      <c r="C1631">
        <v>18.78</v>
      </c>
      <c r="D1631">
        <v>4.45</v>
      </c>
      <c r="E1631" t="str">
        <f t="shared" si="53"/>
        <v>Normal</v>
      </c>
      <c r="F1631" t="s">
        <v>2380</v>
      </c>
      <c r="G1631" t="s">
        <v>2380</v>
      </c>
      <c r="H1631" t="s">
        <v>2382</v>
      </c>
      <c r="I1631">
        <v>1</v>
      </c>
      <c r="J1631" t="s">
        <v>2380</v>
      </c>
    </row>
    <row r="1632" spans="1:10" x14ac:dyDescent="0.35">
      <c r="A1632" t="s">
        <v>740</v>
      </c>
      <c r="B1632" t="str">
        <f t="shared" si="52"/>
        <v>Overweight</v>
      </c>
      <c r="C1632">
        <v>28.024999999999999</v>
      </c>
      <c r="D1632">
        <v>5</v>
      </c>
      <c r="E1632" t="str">
        <f t="shared" si="53"/>
        <v>Normal</v>
      </c>
      <c r="F1632" t="s">
        <v>2380</v>
      </c>
      <c r="G1632" t="s">
        <v>2380</v>
      </c>
      <c r="H1632" t="s">
        <v>2380</v>
      </c>
      <c r="I1632">
        <v>1</v>
      </c>
      <c r="J1632" t="s">
        <v>2380</v>
      </c>
    </row>
    <row r="1633" spans="1:10" x14ac:dyDescent="0.35">
      <c r="A1633" t="s">
        <v>739</v>
      </c>
      <c r="B1633" t="str">
        <f t="shared" si="52"/>
        <v>Obesity</v>
      </c>
      <c r="C1633">
        <v>35.090000000000003</v>
      </c>
      <c r="D1633">
        <v>5.84</v>
      </c>
      <c r="E1633" t="str">
        <f t="shared" si="53"/>
        <v>Prediabetes</v>
      </c>
      <c r="F1633" t="s">
        <v>2380</v>
      </c>
      <c r="G1633" t="s">
        <v>2380</v>
      </c>
      <c r="H1633" t="s">
        <v>2380</v>
      </c>
      <c r="I1633">
        <v>0</v>
      </c>
      <c r="J1633" t="s">
        <v>2380</v>
      </c>
    </row>
    <row r="1634" spans="1:10" x14ac:dyDescent="0.35">
      <c r="A1634" t="s">
        <v>738</v>
      </c>
      <c r="B1634" t="str">
        <f t="shared" si="52"/>
        <v>Obesity</v>
      </c>
      <c r="C1634">
        <v>34.42</v>
      </c>
      <c r="D1634">
        <v>5.21</v>
      </c>
      <c r="E1634" t="str">
        <f t="shared" si="53"/>
        <v>Normal</v>
      </c>
      <c r="F1634" t="s">
        <v>2381</v>
      </c>
      <c r="G1634" t="s">
        <v>2380</v>
      </c>
      <c r="H1634" t="s">
        <v>2380</v>
      </c>
      <c r="I1634">
        <v>0</v>
      </c>
      <c r="J1634" t="s">
        <v>2380</v>
      </c>
    </row>
    <row r="1635" spans="1:10" x14ac:dyDescent="0.35">
      <c r="A1635" t="s">
        <v>737</v>
      </c>
      <c r="B1635" t="str">
        <f t="shared" si="52"/>
        <v>Overweight</v>
      </c>
      <c r="C1635">
        <v>29.4</v>
      </c>
      <c r="D1635">
        <v>4.26</v>
      </c>
      <c r="E1635" t="str">
        <f t="shared" si="53"/>
        <v>Normal</v>
      </c>
      <c r="F1635" t="s">
        <v>2380</v>
      </c>
      <c r="G1635" t="s">
        <v>2380</v>
      </c>
      <c r="H1635" t="s">
        <v>2380</v>
      </c>
      <c r="I1635">
        <v>0</v>
      </c>
      <c r="J1635" t="s">
        <v>2380</v>
      </c>
    </row>
    <row r="1636" spans="1:10" x14ac:dyDescent="0.35">
      <c r="A1636" t="s">
        <v>736</v>
      </c>
      <c r="B1636" t="str">
        <f t="shared" si="52"/>
        <v>Normal Weight</v>
      </c>
      <c r="C1636">
        <v>21.31</v>
      </c>
      <c r="D1636">
        <v>4.17</v>
      </c>
      <c r="E1636" t="str">
        <f t="shared" si="53"/>
        <v>Normal</v>
      </c>
      <c r="F1636" t="s">
        <v>2380</v>
      </c>
      <c r="G1636" t="s">
        <v>2380</v>
      </c>
      <c r="H1636" t="s">
        <v>2380</v>
      </c>
      <c r="I1636">
        <v>0</v>
      </c>
      <c r="J1636" t="s">
        <v>2380</v>
      </c>
    </row>
    <row r="1637" spans="1:10" x14ac:dyDescent="0.35">
      <c r="A1637" t="s">
        <v>735</v>
      </c>
      <c r="B1637" t="str">
        <f t="shared" si="52"/>
        <v>Normal Weight</v>
      </c>
      <c r="C1637">
        <v>19.559999999999999</v>
      </c>
      <c r="D1637">
        <v>11.96</v>
      </c>
      <c r="E1637" t="str">
        <f t="shared" si="53"/>
        <v>Diabetes</v>
      </c>
      <c r="F1637" t="s">
        <v>2380</v>
      </c>
      <c r="G1637" t="s">
        <v>2380</v>
      </c>
      <c r="H1637" t="s">
        <v>2380</v>
      </c>
      <c r="I1637">
        <v>0</v>
      </c>
      <c r="J1637" t="s">
        <v>2380</v>
      </c>
    </row>
    <row r="1638" spans="1:10" x14ac:dyDescent="0.35">
      <c r="A1638" t="s">
        <v>734</v>
      </c>
      <c r="B1638" t="str">
        <f t="shared" si="52"/>
        <v>Obesity</v>
      </c>
      <c r="C1638">
        <v>37.335000000000001</v>
      </c>
      <c r="D1638">
        <v>6.26</v>
      </c>
      <c r="E1638" t="str">
        <f t="shared" si="53"/>
        <v>Prediabetes</v>
      </c>
      <c r="F1638" t="s">
        <v>2381</v>
      </c>
      <c r="G1638" t="s">
        <v>2380</v>
      </c>
      <c r="H1638" t="s">
        <v>2380</v>
      </c>
      <c r="I1638">
        <v>1</v>
      </c>
      <c r="J1638" t="s">
        <v>2380</v>
      </c>
    </row>
    <row r="1639" spans="1:10" x14ac:dyDescent="0.35">
      <c r="A1639" t="s">
        <v>733</v>
      </c>
      <c r="B1639" t="str">
        <f t="shared" si="52"/>
        <v>Normal Weight</v>
      </c>
      <c r="C1639">
        <v>19.53</v>
      </c>
      <c r="D1639">
        <v>11.68</v>
      </c>
      <c r="E1639" t="str">
        <f t="shared" si="53"/>
        <v>Diabetes</v>
      </c>
      <c r="F1639" t="s">
        <v>2380</v>
      </c>
      <c r="G1639" t="s">
        <v>2380</v>
      </c>
      <c r="H1639" t="s">
        <v>2380</v>
      </c>
      <c r="I1639">
        <v>0</v>
      </c>
      <c r="J1639" t="s">
        <v>2380</v>
      </c>
    </row>
    <row r="1640" spans="1:10" x14ac:dyDescent="0.35">
      <c r="A1640" t="s">
        <v>732</v>
      </c>
      <c r="B1640" t="str">
        <f t="shared" si="52"/>
        <v>Obesity</v>
      </c>
      <c r="C1640">
        <v>34.1</v>
      </c>
      <c r="D1640">
        <v>5.16</v>
      </c>
      <c r="E1640" t="str">
        <f t="shared" si="53"/>
        <v>Normal</v>
      </c>
      <c r="F1640" t="s">
        <v>2380</v>
      </c>
      <c r="G1640" t="s">
        <v>2380</v>
      </c>
      <c r="H1640" t="s">
        <v>2380</v>
      </c>
      <c r="I1640">
        <v>0</v>
      </c>
      <c r="J1640" t="s">
        <v>2380</v>
      </c>
    </row>
    <row r="1641" spans="1:10" x14ac:dyDescent="0.35">
      <c r="A1641" t="s">
        <v>731</v>
      </c>
      <c r="B1641" t="str">
        <f t="shared" si="52"/>
        <v>Underweight</v>
      </c>
      <c r="C1641">
        <v>16.5</v>
      </c>
      <c r="D1641">
        <v>6.9</v>
      </c>
      <c r="E1641" t="str">
        <f t="shared" si="53"/>
        <v>Diabetes</v>
      </c>
      <c r="F1641" t="s">
        <v>2381</v>
      </c>
      <c r="G1641" t="s">
        <v>2380</v>
      </c>
      <c r="H1641" t="s">
        <v>2380</v>
      </c>
      <c r="I1641">
        <v>2</v>
      </c>
      <c r="J1641" t="s">
        <v>2380</v>
      </c>
    </row>
    <row r="1642" spans="1:10" x14ac:dyDescent="0.35">
      <c r="A1642" t="s">
        <v>730</v>
      </c>
      <c r="B1642" t="str">
        <f t="shared" si="52"/>
        <v>Obesity</v>
      </c>
      <c r="C1642">
        <v>30.69</v>
      </c>
      <c r="D1642">
        <v>4.83</v>
      </c>
      <c r="E1642" t="str">
        <f t="shared" si="53"/>
        <v>Normal</v>
      </c>
      <c r="F1642" t="s">
        <v>2380</v>
      </c>
      <c r="G1642" t="s">
        <v>2380</v>
      </c>
      <c r="H1642" t="s">
        <v>2380</v>
      </c>
      <c r="I1642">
        <v>1</v>
      </c>
      <c r="J1642" t="s">
        <v>2380</v>
      </c>
    </row>
    <row r="1643" spans="1:10" x14ac:dyDescent="0.35">
      <c r="A1643" t="s">
        <v>729</v>
      </c>
      <c r="B1643" t="str">
        <f t="shared" si="52"/>
        <v>Overweight</v>
      </c>
      <c r="C1643">
        <v>28.93</v>
      </c>
      <c r="D1643">
        <v>4.87</v>
      </c>
      <c r="E1643" t="str">
        <f t="shared" si="53"/>
        <v>Normal</v>
      </c>
      <c r="F1643" t="s">
        <v>2380</v>
      </c>
      <c r="G1643" t="s">
        <v>2380</v>
      </c>
      <c r="H1643" t="s">
        <v>2380</v>
      </c>
      <c r="I1643">
        <v>1</v>
      </c>
      <c r="J1643" t="s">
        <v>2380</v>
      </c>
    </row>
    <row r="1644" spans="1:10" x14ac:dyDescent="0.35">
      <c r="A1644" t="s">
        <v>728</v>
      </c>
      <c r="B1644" t="str">
        <f t="shared" si="52"/>
        <v>Obesity</v>
      </c>
      <c r="C1644">
        <v>38.9</v>
      </c>
      <c r="D1644">
        <v>4.28</v>
      </c>
      <c r="E1644" t="str">
        <f t="shared" si="53"/>
        <v>Normal</v>
      </c>
      <c r="F1644" t="s">
        <v>2380</v>
      </c>
      <c r="G1644" t="s">
        <v>2380</v>
      </c>
      <c r="H1644" t="s">
        <v>2380</v>
      </c>
      <c r="I1644">
        <v>0</v>
      </c>
      <c r="J1644" t="s">
        <v>2380</v>
      </c>
    </row>
    <row r="1645" spans="1:10" x14ac:dyDescent="0.35">
      <c r="A1645" t="s">
        <v>727</v>
      </c>
      <c r="B1645" t="str">
        <f t="shared" si="52"/>
        <v>Overweight</v>
      </c>
      <c r="C1645">
        <v>26.9</v>
      </c>
      <c r="D1645">
        <v>4.07</v>
      </c>
      <c r="E1645" t="str">
        <f t="shared" si="53"/>
        <v>Normal</v>
      </c>
      <c r="F1645" t="s">
        <v>2380</v>
      </c>
      <c r="G1645" t="s">
        <v>2380</v>
      </c>
      <c r="H1645" t="s">
        <v>2380</v>
      </c>
      <c r="I1645">
        <v>0</v>
      </c>
      <c r="J1645" t="s">
        <v>2380</v>
      </c>
    </row>
    <row r="1646" spans="1:10" x14ac:dyDescent="0.35">
      <c r="A1646" t="s">
        <v>726</v>
      </c>
      <c r="B1646" t="str">
        <f t="shared" si="52"/>
        <v>Normal Weight</v>
      </c>
      <c r="C1646">
        <v>24.86</v>
      </c>
      <c r="D1646">
        <v>6.23</v>
      </c>
      <c r="E1646" t="str">
        <f t="shared" si="53"/>
        <v>Prediabetes</v>
      </c>
      <c r="F1646" t="s">
        <v>2380</v>
      </c>
      <c r="G1646" t="s">
        <v>2380</v>
      </c>
      <c r="H1646" t="s">
        <v>2380</v>
      </c>
      <c r="I1646">
        <v>0</v>
      </c>
      <c r="J1646" t="s">
        <v>2380</v>
      </c>
    </row>
    <row r="1647" spans="1:10" x14ac:dyDescent="0.35">
      <c r="A1647" t="s">
        <v>725</v>
      </c>
      <c r="B1647" t="str">
        <f t="shared" si="52"/>
        <v>Obesity</v>
      </c>
      <c r="C1647">
        <v>39.14</v>
      </c>
      <c r="D1647">
        <v>6.24</v>
      </c>
      <c r="E1647" t="str">
        <f t="shared" si="53"/>
        <v>Prediabetes</v>
      </c>
      <c r="F1647" t="s">
        <v>2380</v>
      </c>
      <c r="G1647" t="s">
        <v>2381</v>
      </c>
      <c r="H1647" t="s">
        <v>2380</v>
      </c>
      <c r="I1647">
        <v>1</v>
      </c>
      <c r="J1647" t="s">
        <v>2380</v>
      </c>
    </row>
    <row r="1648" spans="1:10" x14ac:dyDescent="0.35">
      <c r="A1648" t="s">
        <v>724</v>
      </c>
      <c r="B1648" t="str">
        <f t="shared" si="52"/>
        <v>Obesity</v>
      </c>
      <c r="C1648">
        <v>39.799999999999997</v>
      </c>
      <c r="D1648">
        <v>6.17</v>
      </c>
      <c r="E1648" t="str">
        <f t="shared" si="53"/>
        <v>Prediabetes</v>
      </c>
      <c r="F1648" t="s">
        <v>2380</v>
      </c>
      <c r="G1648" t="s">
        <v>2380</v>
      </c>
      <c r="H1648" t="s">
        <v>2382</v>
      </c>
      <c r="I1648">
        <v>1</v>
      </c>
      <c r="J1648" t="s">
        <v>2380</v>
      </c>
    </row>
    <row r="1649" spans="1:10" x14ac:dyDescent="0.35">
      <c r="A1649" t="s">
        <v>723</v>
      </c>
      <c r="B1649" t="str">
        <f t="shared" si="52"/>
        <v>Obesity</v>
      </c>
      <c r="C1649">
        <v>34.32</v>
      </c>
      <c r="D1649">
        <v>5.16</v>
      </c>
      <c r="E1649" t="str">
        <f t="shared" si="53"/>
        <v>Normal</v>
      </c>
      <c r="F1649" t="s">
        <v>2380</v>
      </c>
      <c r="G1649" t="s">
        <v>2380</v>
      </c>
      <c r="H1649" t="s">
        <v>2380</v>
      </c>
      <c r="I1649">
        <v>1</v>
      </c>
      <c r="J1649" t="s">
        <v>2380</v>
      </c>
    </row>
    <row r="1650" spans="1:10" x14ac:dyDescent="0.35">
      <c r="A1650" t="s">
        <v>722</v>
      </c>
      <c r="B1650" t="str">
        <f t="shared" si="52"/>
        <v>Obesity</v>
      </c>
      <c r="C1650">
        <v>32.51</v>
      </c>
      <c r="D1650">
        <v>4.3</v>
      </c>
      <c r="E1650" t="str">
        <f t="shared" si="53"/>
        <v>Normal</v>
      </c>
      <c r="F1650" t="s">
        <v>2380</v>
      </c>
      <c r="G1650" t="s">
        <v>2380</v>
      </c>
      <c r="H1650" t="s">
        <v>2380</v>
      </c>
      <c r="I1650">
        <v>0</v>
      </c>
      <c r="J1650" t="s">
        <v>2380</v>
      </c>
    </row>
    <row r="1651" spans="1:10" x14ac:dyDescent="0.35">
      <c r="A1651" t="s">
        <v>721</v>
      </c>
      <c r="B1651" t="str">
        <f t="shared" si="52"/>
        <v>Obesity</v>
      </c>
      <c r="C1651">
        <v>30.71</v>
      </c>
      <c r="D1651">
        <v>6.14</v>
      </c>
      <c r="E1651" t="str">
        <f t="shared" si="53"/>
        <v>Prediabetes</v>
      </c>
      <c r="F1651" t="s">
        <v>2380</v>
      </c>
      <c r="G1651" t="s">
        <v>2380</v>
      </c>
      <c r="H1651" t="s">
        <v>2382</v>
      </c>
      <c r="I1651">
        <v>1</v>
      </c>
      <c r="J1651" t="s">
        <v>2380</v>
      </c>
    </row>
    <row r="1652" spans="1:10" x14ac:dyDescent="0.35">
      <c r="A1652" t="s">
        <v>720</v>
      </c>
      <c r="B1652" t="str">
        <f t="shared" si="52"/>
        <v>Overweight</v>
      </c>
      <c r="C1652">
        <v>28.9</v>
      </c>
      <c r="D1652">
        <v>5.36</v>
      </c>
      <c r="E1652" t="str">
        <f t="shared" si="53"/>
        <v>Normal</v>
      </c>
      <c r="F1652" t="s">
        <v>2380</v>
      </c>
      <c r="G1652" t="s">
        <v>2380</v>
      </c>
      <c r="H1652" t="s">
        <v>2380</v>
      </c>
      <c r="I1652">
        <v>1</v>
      </c>
      <c r="J1652" t="s">
        <v>2380</v>
      </c>
    </row>
    <row r="1653" spans="1:10" x14ac:dyDescent="0.35">
      <c r="A1653" t="s">
        <v>719</v>
      </c>
      <c r="B1653" t="str">
        <f t="shared" si="52"/>
        <v>Obesity</v>
      </c>
      <c r="C1653">
        <v>36.19</v>
      </c>
      <c r="D1653">
        <v>4.3</v>
      </c>
      <c r="E1653" t="str">
        <f t="shared" si="53"/>
        <v>Normal</v>
      </c>
      <c r="F1653" t="s">
        <v>2380</v>
      </c>
      <c r="G1653" t="s">
        <v>2380</v>
      </c>
      <c r="H1653" t="s">
        <v>2380</v>
      </c>
      <c r="I1653">
        <v>0</v>
      </c>
      <c r="J1653" t="s">
        <v>2380</v>
      </c>
    </row>
    <row r="1654" spans="1:10" x14ac:dyDescent="0.35">
      <c r="A1654" t="s">
        <v>718</v>
      </c>
      <c r="B1654" t="str">
        <f t="shared" si="52"/>
        <v>Overweight</v>
      </c>
      <c r="C1654">
        <v>29.6</v>
      </c>
      <c r="D1654">
        <v>4.09</v>
      </c>
      <c r="E1654" t="str">
        <f t="shared" si="53"/>
        <v>Normal</v>
      </c>
      <c r="F1654" t="s">
        <v>2380</v>
      </c>
      <c r="G1654" t="s">
        <v>2380</v>
      </c>
      <c r="H1654" t="s">
        <v>2380</v>
      </c>
      <c r="I1654">
        <v>0</v>
      </c>
      <c r="J1654" t="s">
        <v>2380</v>
      </c>
    </row>
    <row r="1655" spans="1:10" x14ac:dyDescent="0.35">
      <c r="A1655" t="s">
        <v>717</v>
      </c>
      <c r="B1655" t="str">
        <f t="shared" si="52"/>
        <v>Obesity</v>
      </c>
      <c r="C1655">
        <v>30.95</v>
      </c>
      <c r="D1655">
        <v>6.27</v>
      </c>
      <c r="E1655" t="str">
        <f t="shared" si="53"/>
        <v>Prediabetes</v>
      </c>
      <c r="F1655" t="s">
        <v>2380</v>
      </c>
      <c r="G1655" t="s">
        <v>2380</v>
      </c>
      <c r="H1655" t="s">
        <v>2382</v>
      </c>
      <c r="I1655">
        <v>1</v>
      </c>
      <c r="J1655" t="s">
        <v>2380</v>
      </c>
    </row>
    <row r="1656" spans="1:10" x14ac:dyDescent="0.35">
      <c r="A1656" t="s">
        <v>716</v>
      </c>
      <c r="B1656" t="str">
        <f t="shared" si="52"/>
        <v>Normal Weight</v>
      </c>
      <c r="C1656">
        <v>19.95</v>
      </c>
      <c r="D1656">
        <v>5.39</v>
      </c>
      <c r="E1656" t="str">
        <f t="shared" si="53"/>
        <v>Normal</v>
      </c>
      <c r="F1656" t="s">
        <v>2380</v>
      </c>
      <c r="G1656" t="s">
        <v>2380</v>
      </c>
      <c r="H1656" t="s">
        <v>2380</v>
      </c>
      <c r="I1656">
        <v>1</v>
      </c>
      <c r="J1656" t="s">
        <v>2380</v>
      </c>
    </row>
    <row r="1657" spans="1:10" x14ac:dyDescent="0.35">
      <c r="A1657" t="s">
        <v>715</v>
      </c>
      <c r="B1657" t="str">
        <f t="shared" si="52"/>
        <v>Normal Weight</v>
      </c>
      <c r="C1657">
        <v>23.65</v>
      </c>
      <c r="D1657">
        <v>5.75</v>
      </c>
      <c r="E1657" t="str">
        <f t="shared" si="53"/>
        <v>Prediabetes</v>
      </c>
      <c r="F1657" t="s">
        <v>2381</v>
      </c>
      <c r="G1657" t="s">
        <v>2380</v>
      </c>
      <c r="H1657" t="s">
        <v>2380</v>
      </c>
      <c r="I1657">
        <v>0</v>
      </c>
      <c r="J1657" t="s">
        <v>2380</v>
      </c>
    </row>
    <row r="1658" spans="1:10" x14ac:dyDescent="0.35">
      <c r="A1658" t="s">
        <v>714</v>
      </c>
      <c r="B1658" t="str">
        <f t="shared" si="52"/>
        <v>Obesity</v>
      </c>
      <c r="C1658">
        <v>43.34</v>
      </c>
      <c r="D1658">
        <v>4.91</v>
      </c>
      <c r="E1658" t="str">
        <f t="shared" si="53"/>
        <v>Normal</v>
      </c>
      <c r="F1658" t="s">
        <v>2380</v>
      </c>
      <c r="G1658" t="s">
        <v>2380</v>
      </c>
      <c r="H1658" t="s">
        <v>2380</v>
      </c>
      <c r="I1658">
        <v>1</v>
      </c>
      <c r="J1658" t="s">
        <v>2380</v>
      </c>
    </row>
    <row r="1659" spans="1:10" x14ac:dyDescent="0.35">
      <c r="A1659" t="s">
        <v>713</v>
      </c>
      <c r="B1659" t="str">
        <f t="shared" si="52"/>
        <v>Obesity</v>
      </c>
      <c r="C1659">
        <v>31.98</v>
      </c>
      <c r="D1659">
        <v>4.46</v>
      </c>
      <c r="E1659" t="str">
        <f t="shared" si="53"/>
        <v>Normal</v>
      </c>
      <c r="F1659" t="s">
        <v>2381</v>
      </c>
      <c r="G1659" t="s">
        <v>2380</v>
      </c>
      <c r="H1659" t="s">
        <v>2380</v>
      </c>
      <c r="I1659">
        <v>1</v>
      </c>
      <c r="J1659" t="s">
        <v>2380</v>
      </c>
    </row>
    <row r="1660" spans="1:10" x14ac:dyDescent="0.35">
      <c r="A1660" t="s">
        <v>712</v>
      </c>
      <c r="B1660" t="str">
        <f t="shared" si="52"/>
        <v>Obesity</v>
      </c>
      <c r="C1660">
        <v>35.86</v>
      </c>
      <c r="D1660">
        <v>6.22</v>
      </c>
      <c r="E1660" t="str">
        <f t="shared" si="53"/>
        <v>Prediabetes</v>
      </c>
      <c r="F1660" t="s">
        <v>2380</v>
      </c>
      <c r="G1660" t="s">
        <v>2380</v>
      </c>
      <c r="H1660" t="s">
        <v>2380</v>
      </c>
      <c r="I1660">
        <v>1</v>
      </c>
      <c r="J1660" t="s">
        <v>2380</v>
      </c>
    </row>
    <row r="1661" spans="1:10" x14ac:dyDescent="0.35">
      <c r="A1661" t="s">
        <v>711</v>
      </c>
      <c r="B1661" t="str">
        <f t="shared" si="52"/>
        <v>Underweight</v>
      </c>
      <c r="C1661">
        <v>15.2</v>
      </c>
      <c r="D1661">
        <v>8.82</v>
      </c>
      <c r="E1661" t="str">
        <f t="shared" si="53"/>
        <v>Diabetes</v>
      </c>
      <c r="F1661" t="s">
        <v>2380</v>
      </c>
      <c r="G1661" t="s">
        <v>2380</v>
      </c>
      <c r="H1661" t="s">
        <v>2380</v>
      </c>
      <c r="I1661">
        <v>0</v>
      </c>
      <c r="J1661" t="s">
        <v>2380</v>
      </c>
    </row>
    <row r="1662" spans="1:10" x14ac:dyDescent="0.35">
      <c r="A1662" t="s">
        <v>710</v>
      </c>
      <c r="B1662" t="str">
        <f t="shared" si="52"/>
        <v>Obesity</v>
      </c>
      <c r="C1662">
        <v>37.200000000000003</v>
      </c>
      <c r="D1662">
        <v>10.14</v>
      </c>
      <c r="E1662" t="str">
        <f t="shared" si="53"/>
        <v>Diabetes</v>
      </c>
      <c r="F1662" t="s">
        <v>2380</v>
      </c>
      <c r="G1662" t="s">
        <v>2380</v>
      </c>
      <c r="H1662" t="s">
        <v>2380</v>
      </c>
      <c r="I1662">
        <v>0</v>
      </c>
      <c r="J1662" t="s">
        <v>2380</v>
      </c>
    </row>
    <row r="1663" spans="1:10" x14ac:dyDescent="0.35">
      <c r="A1663" t="s">
        <v>709</v>
      </c>
      <c r="B1663" t="str">
        <f t="shared" si="52"/>
        <v>Underweight</v>
      </c>
      <c r="C1663">
        <v>17.91</v>
      </c>
      <c r="D1663">
        <v>4.66</v>
      </c>
      <c r="E1663" t="str">
        <f t="shared" si="53"/>
        <v>Normal</v>
      </c>
      <c r="F1663" t="s">
        <v>2380</v>
      </c>
      <c r="G1663" t="s">
        <v>2380</v>
      </c>
      <c r="H1663" t="s">
        <v>2380</v>
      </c>
      <c r="I1663">
        <v>2</v>
      </c>
      <c r="J1663" t="s">
        <v>2380</v>
      </c>
    </row>
    <row r="1664" spans="1:10" x14ac:dyDescent="0.35">
      <c r="A1664" t="s">
        <v>708</v>
      </c>
      <c r="B1664" t="str">
        <f t="shared" si="52"/>
        <v>Normal Weight</v>
      </c>
      <c r="C1664">
        <v>20.76</v>
      </c>
      <c r="D1664">
        <v>6.26</v>
      </c>
      <c r="E1664" t="str">
        <f t="shared" si="53"/>
        <v>Prediabetes</v>
      </c>
      <c r="F1664" t="s">
        <v>2380</v>
      </c>
      <c r="G1664" t="s">
        <v>2380</v>
      </c>
      <c r="H1664" t="s">
        <v>2380</v>
      </c>
      <c r="I1664">
        <v>0</v>
      </c>
      <c r="J1664" t="s">
        <v>2380</v>
      </c>
    </row>
    <row r="1665" spans="1:10" x14ac:dyDescent="0.35">
      <c r="A1665" t="s">
        <v>707</v>
      </c>
      <c r="B1665" t="str">
        <f t="shared" si="52"/>
        <v>Obesity</v>
      </c>
      <c r="C1665">
        <v>38.99</v>
      </c>
      <c r="D1665">
        <v>5.21</v>
      </c>
      <c r="E1665" t="str">
        <f t="shared" si="53"/>
        <v>Normal</v>
      </c>
      <c r="F1665" t="s">
        <v>2380</v>
      </c>
      <c r="G1665" t="s">
        <v>2381</v>
      </c>
      <c r="H1665" t="s">
        <v>2380</v>
      </c>
      <c r="I1665">
        <v>1</v>
      </c>
      <c r="J1665" t="s">
        <v>2380</v>
      </c>
    </row>
    <row r="1666" spans="1:10" x14ac:dyDescent="0.35">
      <c r="A1666" t="s">
        <v>706</v>
      </c>
      <c r="B1666" t="str">
        <f t="shared" si="52"/>
        <v>Obesity</v>
      </c>
      <c r="C1666">
        <v>42.655000000000001</v>
      </c>
      <c r="D1666">
        <v>5.94</v>
      </c>
      <c r="E1666" t="str">
        <f t="shared" si="53"/>
        <v>Prediabetes</v>
      </c>
      <c r="F1666" t="s">
        <v>2381</v>
      </c>
      <c r="G1666" t="s">
        <v>2380</v>
      </c>
      <c r="H1666" t="s">
        <v>2382</v>
      </c>
      <c r="I1666">
        <v>1</v>
      </c>
      <c r="J1666" t="s">
        <v>2380</v>
      </c>
    </row>
    <row r="1667" spans="1:10" x14ac:dyDescent="0.35">
      <c r="A1667" t="s">
        <v>705</v>
      </c>
      <c r="B1667" t="str">
        <f t="shared" ref="B1667:B1730" si="54">IF(C1667&lt;18.5,"Underweight",IF(C1667&lt;25,"Normal Weight",IF(C1667&lt;30,"Overweight","Obesity")))</f>
        <v>Obesity</v>
      </c>
      <c r="C1667">
        <v>30.57</v>
      </c>
      <c r="D1667">
        <v>5.34</v>
      </c>
      <c r="E1667" t="str">
        <f t="shared" ref="E1667:E1730" si="55">IF(D1667&lt;5.7,"Normal",IF(D1667&lt;6.5,"Prediabetes","Diabetes"))</f>
        <v>Normal</v>
      </c>
      <c r="F1667" t="s">
        <v>2380</v>
      </c>
      <c r="G1667" t="s">
        <v>2380</v>
      </c>
      <c r="H1667" t="s">
        <v>2382</v>
      </c>
      <c r="I1667">
        <v>1</v>
      </c>
      <c r="J1667" t="s">
        <v>2380</v>
      </c>
    </row>
    <row r="1668" spans="1:10" x14ac:dyDescent="0.35">
      <c r="A1668" t="s">
        <v>704</v>
      </c>
      <c r="B1668" t="str">
        <f t="shared" si="54"/>
        <v>Underweight</v>
      </c>
      <c r="C1668">
        <v>17.7</v>
      </c>
      <c r="D1668">
        <v>6.38</v>
      </c>
      <c r="E1668" t="str">
        <f t="shared" si="55"/>
        <v>Prediabetes</v>
      </c>
      <c r="F1668" t="s">
        <v>2380</v>
      </c>
      <c r="G1668" t="s">
        <v>2380</v>
      </c>
      <c r="H1668" t="s">
        <v>2380</v>
      </c>
      <c r="I1668">
        <v>2</v>
      </c>
      <c r="J1668" t="s">
        <v>2380</v>
      </c>
    </row>
    <row r="1669" spans="1:10" x14ac:dyDescent="0.35">
      <c r="A1669" t="s">
        <v>703</v>
      </c>
      <c r="B1669" t="str">
        <f t="shared" si="54"/>
        <v>Obesity</v>
      </c>
      <c r="C1669">
        <v>34.770000000000003</v>
      </c>
      <c r="D1669">
        <v>4.47</v>
      </c>
      <c r="E1669" t="str">
        <f t="shared" si="55"/>
        <v>Normal</v>
      </c>
      <c r="F1669" t="s">
        <v>2380</v>
      </c>
      <c r="G1669" t="s">
        <v>2380</v>
      </c>
      <c r="H1669" t="s">
        <v>2380</v>
      </c>
      <c r="I1669">
        <v>1</v>
      </c>
      <c r="J1669" t="s">
        <v>2380</v>
      </c>
    </row>
    <row r="1670" spans="1:10" x14ac:dyDescent="0.35">
      <c r="A1670" t="s">
        <v>702</v>
      </c>
      <c r="B1670" t="str">
        <f t="shared" si="54"/>
        <v>Underweight</v>
      </c>
      <c r="C1670">
        <v>16.88</v>
      </c>
      <c r="D1670">
        <v>9.9600000000000009</v>
      </c>
      <c r="E1670" t="str">
        <f t="shared" si="55"/>
        <v>Diabetes</v>
      </c>
      <c r="F1670" t="s">
        <v>2380</v>
      </c>
      <c r="G1670" t="s">
        <v>2380</v>
      </c>
      <c r="H1670" t="s">
        <v>2380</v>
      </c>
      <c r="I1670">
        <v>0</v>
      </c>
      <c r="J1670" t="s">
        <v>2380</v>
      </c>
    </row>
    <row r="1671" spans="1:10" x14ac:dyDescent="0.35">
      <c r="A1671" t="s">
        <v>701</v>
      </c>
      <c r="B1671" t="str">
        <f t="shared" si="54"/>
        <v>Obesity</v>
      </c>
      <c r="C1671">
        <v>40.26</v>
      </c>
      <c r="D1671">
        <v>9.92</v>
      </c>
      <c r="E1671" t="str">
        <f t="shared" si="55"/>
        <v>Diabetes</v>
      </c>
      <c r="F1671" t="s">
        <v>2381</v>
      </c>
      <c r="G1671" t="s">
        <v>2380</v>
      </c>
      <c r="H1671" t="s">
        <v>2380</v>
      </c>
      <c r="I1671">
        <v>0</v>
      </c>
      <c r="J1671" t="s">
        <v>2380</v>
      </c>
    </row>
    <row r="1672" spans="1:10" x14ac:dyDescent="0.35">
      <c r="A1672" t="s">
        <v>700</v>
      </c>
      <c r="B1672" t="str">
        <f t="shared" si="54"/>
        <v>Overweight</v>
      </c>
      <c r="C1672">
        <v>25.6</v>
      </c>
      <c r="D1672">
        <v>6.03</v>
      </c>
      <c r="E1672" t="str">
        <f t="shared" si="55"/>
        <v>Prediabetes</v>
      </c>
      <c r="F1672" t="s">
        <v>2380</v>
      </c>
      <c r="G1672" t="s">
        <v>2380</v>
      </c>
      <c r="H1672" t="s">
        <v>2382</v>
      </c>
      <c r="I1672">
        <v>1</v>
      </c>
      <c r="J1672" t="s">
        <v>2380</v>
      </c>
    </row>
    <row r="1673" spans="1:10" x14ac:dyDescent="0.35">
      <c r="A1673" t="s">
        <v>699</v>
      </c>
      <c r="B1673" t="str">
        <f t="shared" si="54"/>
        <v>Obesity</v>
      </c>
      <c r="C1673">
        <v>33.549999999999997</v>
      </c>
      <c r="D1673">
        <v>10.9</v>
      </c>
      <c r="E1673" t="str">
        <f t="shared" si="55"/>
        <v>Diabetes</v>
      </c>
      <c r="F1673" t="s">
        <v>2381</v>
      </c>
      <c r="G1673" t="s">
        <v>2380</v>
      </c>
      <c r="H1673" t="s">
        <v>2380</v>
      </c>
      <c r="I1673">
        <v>0</v>
      </c>
      <c r="J1673" t="s">
        <v>2380</v>
      </c>
    </row>
    <row r="1674" spans="1:10" x14ac:dyDescent="0.35">
      <c r="A1674" t="s">
        <v>698</v>
      </c>
      <c r="B1674" t="str">
        <f t="shared" si="54"/>
        <v>Underweight</v>
      </c>
      <c r="C1674">
        <v>16.690000000000001</v>
      </c>
      <c r="D1674">
        <v>10.66</v>
      </c>
      <c r="E1674" t="str">
        <f t="shared" si="55"/>
        <v>Diabetes</v>
      </c>
      <c r="F1674" t="s">
        <v>2380</v>
      </c>
      <c r="G1674" t="s">
        <v>2380</v>
      </c>
      <c r="H1674" t="s">
        <v>2380</v>
      </c>
      <c r="I1674">
        <v>0</v>
      </c>
      <c r="J1674" t="s">
        <v>2380</v>
      </c>
    </row>
    <row r="1675" spans="1:10" x14ac:dyDescent="0.35">
      <c r="A1675" t="s">
        <v>697</v>
      </c>
      <c r="B1675" t="str">
        <f t="shared" si="54"/>
        <v>Normal Weight</v>
      </c>
      <c r="C1675">
        <v>19.95</v>
      </c>
      <c r="D1675">
        <v>4.05</v>
      </c>
      <c r="E1675" t="str">
        <f t="shared" si="55"/>
        <v>Normal</v>
      </c>
      <c r="F1675" t="s">
        <v>2380</v>
      </c>
      <c r="G1675" t="s">
        <v>2380</v>
      </c>
      <c r="H1675" t="s">
        <v>2380</v>
      </c>
      <c r="I1675">
        <v>1</v>
      </c>
      <c r="J1675" t="s">
        <v>2380</v>
      </c>
    </row>
    <row r="1676" spans="1:10" x14ac:dyDescent="0.35">
      <c r="A1676" t="s">
        <v>696</v>
      </c>
      <c r="B1676" t="str">
        <f t="shared" si="54"/>
        <v>Underweight</v>
      </c>
      <c r="C1676">
        <v>17.55</v>
      </c>
      <c r="D1676">
        <v>4.2300000000000004</v>
      </c>
      <c r="E1676" t="str">
        <f t="shared" si="55"/>
        <v>Normal</v>
      </c>
      <c r="F1676" t="s">
        <v>2380</v>
      </c>
      <c r="G1676" t="s">
        <v>2380</v>
      </c>
      <c r="H1676" t="s">
        <v>2380</v>
      </c>
      <c r="I1676">
        <v>2</v>
      </c>
      <c r="J1676" t="s">
        <v>2380</v>
      </c>
    </row>
    <row r="1677" spans="1:10" x14ac:dyDescent="0.35">
      <c r="A1677" t="s">
        <v>695</v>
      </c>
      <c r="B1677" t="str">
        <f t="shared" si="54"/>
        <v>Normal Weight</v>
      </c>
      <c r="C1677">
        <v>22.01</v>
      </c>
      <c r="D1677">
        <v>5.01</v>
      </c>
      <c r="E1677" t="str">
        <f t="shared" si="55"/>
        <v>Normal</v>
      </c>
      <c r="F1677" t="s">
        <v>2380</v>
      </c>
      <c r="G1677" t="s">
        <v>2380</v>
      </c>
      <c r="H1677" t="s">
        <v>2380</v>
      </c>
      <c r="I1677">
        <v>1</v>
      </c>
      <c r="J1677" t="s">
        <v>2380</v>
      </c>
    </row>
    <row r="1678" spans="1:10" x14ac:dyDescent="0.35">
      <c r="A1678" t="s">
        <v>694</v>
      </c>
      <c r="B1678" t="str">
        <f t="shared" si="54"/>
        <v>Obesity</v>
      </c>
      <c r="C1678">
        <v>41.8</v>
      </c>
      <c r="D1678">
        <v>5.82</v>
      </c>
      <c r="E1678" t="str">
        <f t="shared" si="55"/>
        <v>Prediabetes</v>
      </c>
      <c r="F1678" t="s">
        <v>2381</v>
      </c>
      <c r="G1678" t="s">
        <v>2380</v>
      </c>
      <c r="H1678" t="s">
        <v>2382</v>
      </c>
      <c r="I1678">
        <v>1</v>
      </c>
      <c r="J1678" t="s">
        <v>2380</v>
      </c>
    </row>
    <row r="1679" spans="1:10" x14ac:dyDescent="0.35">
      <c r="A1679" t="s">
        <v>693</v>
      </c>
      <c r="B1679" t="str">
        <f t="shared" si="54"/>
        <v>Normal Weight</v>
      </c>
      <c r="C1679">
        <v>19.170000000000002</v>
      </c>
      <c r="D1679">
        <v>7.94</v>
      </c>
      <c r="E1679" t="str">
        <f t="shared" si="55"/>
        <v>Diabetes</v>
      </c>
      <c r="F1679" t="s">
        <v>2380</v>
      </c>
      <c r="G1679" t="s">
        <v>2380</v>
      </c>
      <c r="H1679" t="s">
        <v>2380</v>
      </c>
      <c r="I1679">
        <v>0</v>
      </c>
      <c r="J1679" t="s">
        <v>2380</v>
      </c>
    </row>
    <row r="1680" spans="1:10" x14ac:dyDescent="0.35">
      <c r="A1680" t="s">
        <v>692</v>
      </c>
      <c r="B1680" t="str">
        <f t="shared" si="54"/>
        <v>Obesity</v>
      </c>
      <c r="C1680">
        <v>32.799999999999997</v>
      </c>
      <c r="D1680">
        <v>6.16</v>
      </c>
      <c r="E1680" t="str">
        <f t="shared" si="55"/>
        <v>Prediabetes</v>
      </c>
      <c r="F1680" t="s">
        <v>2381</v>
      </c>
      <c r="G1680" t="s">
        <v>2380</v>
      </c>
      <c r="H1680" t="s">
        <v>2382</v>
      </c>
      <c r="I1680">
        <v>1</v>
      </c>
      <c r="J1680" t="s">
        <v>2380</v>
      </c>
    </row>
    <row r="1681" spans="1:10" x14ac:dyDescent="0.35">
      <c r="A1681" t="s">
        <v>691</v>
      </c>
      <c r="B1681" t="str">
        <f t="shared" si="54"/>
        <v>Obesity</v>
      </c>
      <c r="C1681">
        <v>35.814999999999998</v>
      </c>
      <c r="D1681">
        <v>4.1500000000000004</v>
      </c>
      <c r="E1681" t="str">
        <f t="shared" si="55"/>
        <v>Normal</v>
      </c>
      <c r="F1681" t="s">
        <v>2380</v>
      </c>
      <c r="G1681" t="s">
        <v>2380</v>
      </c>
      <c r="H1681" t="s">
        <v>2380</v>
      </c>
      <c r="I1681">
        <v>1</v>
      </c>
      <c r="J1681" t="s">
        <v>2380</v>
      </c>
    </row>
    <row r="1682" spans="1:10" x14ac:dyDescent="0.35">
      <c r="A1682" t="s">
        <v>690</v>
      </c>
      <c r="B1682" t="str">
        <f t="shared" si="54"/>
        <v>Normal Weight</v>
      </c>
      <c r="C1682">
        <v>24.3</v>
      </c>
      <c r="D1682">
        <v>6.23</v>
      </c>
      <c r="E1682" t="str">
        <f t="shared" si="55"/>
        <v>Prediabetes</v>
      </c>
      <c r="F1682" t="s">
        <v>2380</v>
      </c>
      <c r="G1682" t="s">
        <v>2380</v>
      </c>
      <c r="H1682" t="s">
        <v>2380</v>
      </c>
      <c r="I1682">
        <v>0</v>
      </c>
      <c r="J1682" t="s">
        <v>2380</v>
      </c>
    </row>
    <row r="1683" spans="1:10" x14ac:dyDescent="0.35">
      <c r="A1683" t="s">
        <v>689</v>
      </c>
      <c r="B1683" t="str">
        <f t="shared" si="54"/>
        <v>Normal Weight</v>
      </c>
      <c r="C1683">
        <v>19.059999999999999</v>
      </c>
      <c r="D1683">
        <v>7.41</v>
      </c>
      <c r="E1683" t="str">
        <f t="shared" si="55"/>
        <v>Diabetes</v>
      </c>
      <c r="F1683" t="s">
        <v>2380</v>
      </c>
      <c r="G1683" t="s">
        <v>2380</v>
      </c>
      <c r="H1683" t="s">
        <v>2380</v>
      </c>
      <c r="I1683">
        <v>0</v>
      </c>
      <c r="J1683" t="s">
        <v>2380</v>
      </c>
    </row>
    <row r="1684" spans="1:10" x14ac:dyDescent="0.35">
      <c r="A1684" t="s">
        <v>688</v>
      </c>
      <c r="B1684" t="str">
        <f t="shared" si="54"/>
        <v>Obesity</v>
      </c>
      <c r="C1684">
        <v>33.25</v>
      </c>
      <c r="D1684">
        <v>5.62</v>
      </c>
      <c r="E1684" t="str">
        <f t="shared" si="55"/>
        <v>Normal</v>
      </c>
      <c r="F1684" t="s">
        <v>2381</v>
      </c>
      <c r="G1684" t="s">
        <v>2380</v>
      </c>
      <c r="H1684" t="s">
        <v>2380</v>
      </c>
      <c r="I1684">
        <v>1</v>
      </c>
      <c r="J1684" t="s">
        <v>2380</v>
      </c>
    </row>
    <row r="1685" spans="1:10" x14ac:dyDescent="0.35">
      <c r="A1685" t="s">
        <v>687</v>
      </c>
      <c r="B1685" t="str">
        <f t="shared" si="54"/>
        <v>Normal Weight</v>
      </c>
      <c r="C1685">
        <v>21.37</v>
      </c>
      <c r="D1685">
        <v>4.54</v>
      </c>
      <c r="E1685" t="str">
        <f t="shared" si="55"/>
        <v>Normal</v>
      </c>
      <c r="F1685" t="s">
        <v>2381</v>
      </c>
      <c r="G1685" t="s">
        <v>2380</v>
      </c>
      <c r="H1685" t="s">
        <v>2382</v>
      </c>
      <c r="I1685">
        <v>1</v>
      </c>
      <c r="J1685" t="s">
        <v>2380</v>
      </c>
    </row>
    <row r="1686" spans="1:10" x14ac:dyDescent="0.35">
      <c r="A1686" t="s">
        <v>686</v>
      </c>
      <c r="B1686" t="str">
        <f t="shared" si="54"/>
        <v>Obesity</v>
      </c>
      <c r="C1686">
        <v>34.43</v>
      </c>
      <c r="D1686">
        <v>8.6199999999999992</v>
      </c>
      <c r="E1686" t="str">
        <f t="shared" si="55"/>
        <v>Diabetes</v>
      </c>
      <c r="F1686" t="s">
        <v>2381</v>
      </c>
      <c r="G1686" t="s">
        <v>2380</v>
      </c>
      <c r="H1686" t="s">
        <v>2380</v>
      </c>
      <c r="I1686">
        <v>1</v>
      </c>
      <c r="J1686" t="s">
        <v>2380</v>
      </c>
    </row>
    <row r="1687" spans="1:10" x14ac:dyDescent="0.35">
      <c r="A1687" t="s">
        <v>685</v>
      </c>
      <c r="B1687" t="str">
        <f t="shared" si="54"/>
        <v>Normal Weight</v>
      </c>
      <c r="C1687">
        <v>20.86</v>
      </c>
      <c r="D1687">
        <v>4.3600000000000003</v>
      </c>
      <c r="E1687" t="str">
        <f t="shared" si="55"/>
        <v>Normal</v>
      </c>
      <c r="F1687" t="s">
        <v>2381</v>
      </c>
      <c r="G1687" t="s">
        <v>2380</v>
      </c>
      <c r="H1687" t="s">
        <v>2380</v>
      </c>
      <c r="I1687">
        <v>0</v>
      </c>
      <c r="J1687" t="s">
        <v>2380</v>
      </c>
    </row>
    <row r="1688" spans="1:10" x14ac:dyDescent="0.35">
      <c r="A1688" t="s">
        <v>684</v>
      </c>
      <c r="B1688" t="str">
        <f t="shared" si="54"/>
        <v>Underweight</v>
      </c>
      <c r="C1688">
        <v>18.34</v>
      </c>
      <c r="D1688">
        <v>10.01</v>
      </c>
      <c r="E1688" t="str">
        <f t="shared" si="55"/>
        <v>Diabetes</v>
      </c>
      <c r="F1688" t="s">
        <v>2380</v>
      </c>
      <c r="G1688" t="s">
        <v>2380</v>
      </c>
      <c r="H1688" t="s">
        <v>2380</v>
      </c>
      <c r="I1688">
        <v>0</v>
      </c>
      <c r="J1688" t="s">
        <v>2380</v>
      </c>
    </row>
    <row r="1689" spans="1:10" x14ac:dyDescent="0.35">
      <c r="A1689" t="s">
        <v>683</v>
      </c>
      <c r="B1689" t="str">
        <f t="shared" si="54"/>
        <v>Obesity</v>
      </c>
      <c r="C1689">
        <v>34.15</v>
      </c>
      <c r="D1689">
        <v>5.42</v>
      </c>
      <c r="E1689" t="str">
        <f t="shared" si="55"/>
        <v>Normal</v>
      </c>
      <c r="F1689" t="s">
        <v>2380</v>
      </c>
      <c r="G1689" t="s">
        <v>2380</v>
      </c>
      <c r="H1689" t="s">
        <v>2380</v>
      </c>
      <c r="I1689">
        <v>0</v>
      </c>
      <c r="J1689" t="s">
        <v>2380</v>
      </c>
    </row>
    <row r="1690" spans="1:10" x14ac:dyDescent="0.35">
      <c r="A1690" t="s">
        <v>682</v>
      </c>
      <c r="B1690" t="str">
        <f t="shared" si="54"/>
        <v>Underweight</v>
      </c>
      <c r="C1690">
        <v>18.350000000000001</v>
      </c>
      <c r="D1690">
        <v>5.12</v>
      </c>
      <c r="E1690" t="str">
        <f t="shared" si="55"/>
        <v>Normal</v>
      </c>
      <c r="F1690" t="s">
        <v>2380</v>
      </c>
      <c r="G1690" t="s">
        <v>2380</v>
      </c>
      <c r="H1690" t="s">
        <v>2380</v>
      </c>
      <c r="I1690">
        <v>0</v>
      </c>
      <c r="J1690" t="s">
        <v>2380</v>
      </c>
    </row>
    <row r="1691" spans="1:10" x14ac:dyDescent="0.35">
      <c r="A1691" t="s">
        <v>681</v>
      </c>
      <c r="B1691" t="str">
        <f t="shared" si="54"/>
        <v>Normal Weight</v>
      </c>
      <c r="C1691">
        <v>22.13</v>
      </c>
      <c r="D1691">
        <v>9.1999999999999993</v>
      </c>
      <c r="E1691" t="str">
        <f t="shared" si="55"/>
        <v>Diabetes</v>
      </c>
      <c r="F1691" t="s">
        <v>2381</v>
      </c>
      <c r="G1691" t="s">
        <v>2380</v>
      </c>
      <c r="H1691" t="s">
        <v>2380</v>
      </c>
      <c r="I1691">
        <v>0</v>
      </c>
      <c r="J1691" t="s">
        <v>2380</v>
      </c>
    </row>
    <row r="1692" spans="1:10" x14ac:dyDescent="0.35">
      <c r="A1692" t="s">
        <v>680</v>
      </c>
      <c r="B1692" t="str">
        <f t="shared" si="54"/>
        <v>Normal Weight</v>
      </c>
      <c r="C1692">
        <v>22.51</v>
      </c>
      <c r="D1692">
        <v>6.08</v>
      </c>
      <c r="E1692" t="str">
        <f t="shared" si="55"/>
        <v>Prediabetes</v>
      </c>
      <c r="F1692" t="s">
        <v>2381</v>
      </c>
      <c r="G1692" t="s">
        <v>2380</v>
      </c>
      <c r="H1692" t="s">
        <v>2380</v>
      </c>
      <c r="I1692">
        <v>1</v>
      </c>
      <c r="J1692" t="s">
        <v>2380</v>
      </c>
    </row>
    <row r="1693" spans="1:10" x14ac:dyDescent="0.35">
      <c r="A1693" t="s">
        <v>679</v>
      </c>
      <c r="B1693" t="str">
        <f t="shared" si="54"/>
        <v>Obesity</v>
      </c>
      <c r="C1693">
        <v>31</v>
      </c>
      <c r="D1693">
        <v>4.7699999999999996</v>
      </c>
      <c r="E1693" t="str">
        <f t="shared" si="55"/>
        <v>Normal</v>
      </c>
      <c r="F1693" t="s">
        <v>2380</v>
      </c>
      <c r="G1693" t="s">
        <v>2380</v>
      </c>
      <c r="H1693" t="s">
        <v>2380</v>
      </c>
      <c r="I1693">
        <v>1</v>
      </c>
      <c r="J1693" t="s">
        <v>2380</v>
      </c>
    </row>
    <row r="1694" spans="1:10" x14ac:dyDescent="0.35">
      <c r="A1694" t="s">
        <v>678</v>
      </c>
      <c r="B1694" t="str">
        <f t="shared" si="54"/>
        <v>Overweight</v>
      </c>
      <c r="C1694">
        <v>28.27</v>
      </c>
      <c r="D1694">
        <v>4.62</v>
      </c>
      <c r="E1694" t="str">
        <f t="shared" si="55"/>
        <v>Normal</v>
      </c>
      <c r="F1694" t="s">
        <v>2380</v>
      </c>
      <c r="G1694" t="s">
        <v>2380</v>
      </c>
      <c r="H1694" t="s">
        <v>2380</v>
      </c>
      <c r="I1694">
        <v>1</v>
      </c>
      <c r="J1694" t="s">
        <v>2380</v>
      </c>
    </row>
    <row r="1695" spans="1:10" x14ac:dyDescent="0.35">
      <c r="A1695" t="s">
        <v>677</v>
      </c>
      <c r="B1695" t="str">
        <f t="shared" si="54"/>
        <v>Overweight</v>
      </c>
      <c r="C1695">
        <v>29.92</v>
      </c>
      <c r="D1695">
        <v>9.07</v>
      </c>
      <c r="E1695" t="str">
        <f t="shared" si="55"/>
        <v>Diabetes</v>
      </c>
      <c r="F1695" t="s">
        <v>2381</v>
      </c>
      <c r="G1695" t="s">
        <v>2380</v>
      </c>
      <c r="H1695" t="s">
        <v>2380</v>
      </c>
      <c r="I1695">
        <v>1</v>
      </c>
      <c r="J1695" t="s">
        <v>2380</v>
      </c>
    </row>
    <row r="1696" spans="1:10" x14ac:dyDescent="0.35">
      <c r="A1696" t="s">
        <v>676</v>
      </c>
      <c r="B1696" t="str">
        <f t="shared" si="54"/>
        <v>Overweight</v>
      </c>
      <c r="C1696">
        <v>25.9</v>
      </c>
      <c r="D1696">
        <v>9.1199999999999992</v>
      </c>
      <c r="E1696" t="str">
        <f t="shared" si="55"/>
        <v>Diabetes</v>
      </c>
      <c r="F1696" t="s">
        <v>2381</v>
      </c>
      <c r="G1696" t="s">
        <v>2380</v>
      </c>
      <c r="H1696" t="s">
        <v>2380</v>
      </c>
      <c r="I1696">
        <v>1</v>
      </c>
      <c r="J1696" t="s">
        <v>2380</v>
      </c>
    </row>
    <row r="1697" spans="1:10" x14ac:dyDescent="0.35">
      <c r="A1697" t="s">
        <v>675</v>
      </c>
      <c r="B1697" t="str">
        <f t="shared" si="54"/>
        <v>Overweight</v>
      </c>
      <c r="C1697">
        <v>27.74</v>
      </c>
      <c r="D1697">
        <v>7.32</v>
      </c>
      <c r="E1697" t="str">
        <f t="shared" si="55"/>
        <v>Diabetes</v>
      </c>
      <c r="F1697" t="s">
        <v>2381</v>
      </c>
      <c r="G1697" t="s">
        <v>2380</v>
      </c>
      <c r="H1697" t="s">
        <v>2380</v>
      </c>
      <c r="I1697">
        <v>1</v>
      </c>
      <c r="J1697" t="s">
        <v>2380</v>
      </c>
    </row>
    <row r="1698" spans="1:10" x14ac:dyDescent="0.35">
      <c r="A1698" t="s">
        <v>674</v>
      </c>
      <c r="B1698" t="str">
        <f t="shared" si="54"/>
        <v>Underweight</v>
      </c>
      <c r="C1698">
        <v>17.260000000000002</v>
      </c>
      <c r="D1698">
        <v>11.73</v>
      </c>
      <c r="E1698" t="str">
        <f t="shared" si="55"/>
        <v>Diabetes</v>
      </c>
      <c r="F1698" t="s">
        <v>2380</v>
      </c>
      <c r="G1698" t="s">
        <v>2380</v>
      </c>
      <c r="H1698" t="s">
        <v>2380</v>
      </c>
      <c r="I1698">
        <v>2</v>
      </c>
      <c r="J1698" t="s">
        <v>2380</v>
      </c>
    </row>
    <row r="1699" spans="1:10" x14ac:dyDescent="0.35">
      <c r="A1699" t="s">
        <v>673</v>
      </c>
      <c r="B1699" t="str">
        <f t="shared" si="54"/>
        <v>Normal Weight</v>
      </c>
      <c r="C1699">
        <v>19.855</v>
      </c>
      <c r="D1699">
        <v>6.64</v>
      </c>
      <c r="E1699" t="str">
        <f t="shared" si="55"/>
        <v>Diabetes</v>
      </c>
      <c r="F1699" t="s">
        <v>2381</v>
      </c>
      <c r="G1699" t="s">
        <v>2380</v>
      </c>
      <c r="H1699" t="s">
        <v>2380</v>
      </c>
      <c r="I1699">
        <v>1</v>
      </c>
      <c r="J1699" t="s">
        <v>2380</v>
      </c>
    </row>
    <row r="1700" spans="1:10" x14ac:dyDescent="0.35">
      <c r="A1700" t="s">
        <v>672</v>
      </c>
      <c r="B1700" t="str">
        <f t="shared" si="54"/>
        <v>Obesity</v>
      </c>
      <c r="C1700">
        <v>41.69</v>
      </c>
      <c r="D1700">
        <v>5.78</v>
      </c>
      <c r="E1700" t="str">
        <f t="shared" si="55"/>
        <v>Prediabetes</v>
      </c>
      <c r="F1700" t="s">
        <v>2380</v>
      </c>
      <c r="G1700" t="s">
        <v>2380</v>
      </c>
      <c r="H1700" t="s">
        <v>2380</v>
      </c>
      <c r="I1700">
        <v>0</v>
      </c>
      <c r="J1700" t="s">
        <v>2380</v>
      </c>
    </row>
    <row r="1701" spans="1:10" x14ac:dyDescent="0.35">
      <c r="A1701" t="s">
        <v>671</v>
      </c>
      <c r="B1701" t="str">
        <f t="shared" si="54"/>
        <v>Underweight</v>
      </c>
      <c r="C1701">
        <v>16.12</v>
      </c>
      <c r="D1701">
        <v>10.45</v>
      </c>
      <c r="E1701" t="str">
        <f t="shared" si="55"/>
        <v>Diabetes</v>
      </c>
      <c r="F1701" t="s">
        <v>2380</v>
      </c>
      <c r="G1701" t="s">
        <v>2380</v>
      </c>
      <c r="H1701" t="s">
        <v>2380</v>
      </c>
      <c r="I1701">
        <v>0</v>
      </c>
      <c r="J1701" t="s">
        <v>2380</v>
      </c>
    </row>
    <row r="1702" spans="1:10" x14ac:dyDescent="0.35">
      <c r="A1702" t="s">
        <v>670</v>
      </c>
      <c r="B1702" t="str">
        <f t="shared" si="54"/>
        <v>Obesity</v>
      </c>
      <c r="C1702">
        <v>37.43</v>
      </c>
      <c r="D1702">
        <v>4.5199999999999996</v>
      </c>
      <c r="E1702" t="str">
        <f t="shared" si="55"/>
        <v>Normal</v>
      </c>
      <c r="F1702" t="s">
        <v>2380</v>
      </c>
      <c r="G1702" t="s">
        <v>2380</v>
      </c>
      <c r="H1702" t="s">
        <v>2380</v>
      </c>
      <c r="I1702">
        <v>1</v>
      </c>
      <c r="J1702" t="s">
        <v>2380</v>
      </c>
    </row>
    <row r="1703" spans="1:10" x14ac:dyDescent="0.35">
      <c r="A1703" t="s">
        <v>669</v>
      </c>
      <c r="B1703" t="str">
        <f t="shared" si="54"/>
        <v>Obesity</v>
      </c>
      <c r="C1703">
        <v>31.065000000000001</v>
      </c>
      <c r="D1703">
        <v>5.71</v>
      </c>
      <c r="E1703" t="str">
        <f t="shared" si="55"/>
        <v>Prediabetes</v>
      </c>
      <c r="F1703" t="s">
        <v>2380</v>
      </c>
      <c r="G1703" t="s">
        <v>2380</v>
      </c>
      <c r="H1703" t="s">
        <v>2380</v>
      </c>
      <c r="I1703">
        <v>0</v>
      </c>
      <c r="J1703" t="s">
        <v>2380</v>
      </c>
    </row>
    <row r="1704" spans="1:10" x14ac:dyDescent="0.35">
      <c r="A1704" t="s">
        <v>668</v>
      </c>
      <c r="B1704" t="str">
        <f t="shared" si="54"/>
        <v>Overweight</v>
      </c>
      <c r="C1704">
        <v>25.08</v>
      </c>
      <c r="D1704">
        <v>4.7699999999999996</v>
      </c>
      <c r="E1704" t="str">
        <f t="shared" si="55"/>
        <v>Normal</v>
      </c>
      <c r="F1704" t="s">
        <v>2380</v>
      </c>
      <c r="G1704" t="s">
        <v>2380</v>
      </c>
      <c r="H1704" t="s">
        <v>2380</v>
      </c>
      <c r="I1704">
        <v>0</v>
      </c>
      <c r="J1704" t="s">
        <v>2380</v>
      </c>
    </row>
    <row r="1705" spans="1:10" x14ac:dyDescent="0.35">
      <c r="A1705" t="s">
        <v>667</v>
      </c>
      <c r="B1705" t="str">
        <f t="shared" si="54"/>
        <v>Underweight</v>
      </c>
      <c r="C1705">
        <v>15.2</v>
      </c>
      <c r="D1705">
        <v>7.81</v>
      </c>
      <c r="E1705" t="str">
        <f t="shared" si="55"/>
        <v>Diabetes</v>
      </c>
      <c r="F1705" t="s">
        <v>2381</v>
      </c>
      <c r="G1705" t="s">
        <v>2380</v>
      </c>
      <c r="H1705" t="s">
        <v>2380</v>
      </c>
      <c r="I1705">
        <v>1</v>
      </c>
      <c r="J1705" t="s">
        <v>2380</v>
      </c>
    </row>
    <row r="1706" spans="1:10" x14ac:dyDescent="0.35">
      <c r="A1706" t="s">
        <v>666</v>
      </c>
      <c r="B1706" t="str">
        <f t="shared" si="54"/>
        <v>Normal Weight</v>
      </c>
      <c r="C1706">
        <v>22.34</v>
      </c>
      <c r="D1706">
        <v>5.19</v>
      </c>
      <c r="E1706" t="str">
        <f t="shared" si="55"/>
        <v>Normal</v>
      </c>
      <c r="F1706" t="s">
        <v>2381</v>
      </c>
      <c r="G1706" t="s">
        <v>2380</v>
      </c>
      <c r="H1706" t="s">
        <v>2380</v>
      </c>
      <c r="I1706">
        <v>0</v>
      </c>
      <c r="J1706" t="s">
        <v>2380</v>
      </c>
    </row>
    <row r="1707" spans="1:10" x14ac:dyDescent="0.35">
      <c r="A1707" t="s">
        <v>665</v>
      </c>
      <c r="B1707" t="str">
        <f t="shared" si="54"/>
        <v>Obesity</v>
      </c>
      <c r="C1707">
        <v>40.15</v>
      </c>
      <c r="D1707">
        <v>5.93</v>
      </c>
      <c r="E1707" t="str">
        <f t="shared" si="55"/>
        <v>Prediabetes</v>
      </c>
      <c r="F1707" t="s">
        <v>2380</v>
      </c>
      <c r="G1707" t="s">
        <v>2380</v>
      </c>
      <c r="H1707" t="s">
        <v>2380</v>
      </c>
      <c r="I1707">
        <v>1</v>
      </c>
      <c r="J1707" t="s">
        <v>2380</v>
      </c>
    </row>
    <row r="1708" spans="1:10" x14ac:dyDescent="0.35">
      <c r="A1708" t="s">
        <v>664</v>
      </c>
      <c r="B1708" t="str">
        <f t="shared" si="54"/>
        <v>Obesity</v>
      </c>
      <c r="C1708">
        <v>37.729999999999997</v>
      </c>
      <c r="D1708">
        <v>6.29</v>
      </c>
      <c r="E1708" t="str">
        <f t="shared" si="55"/>
        <v>Prediabetes</v>
      </c>
      <c r="F1708" t="s">
        <v>2380</v>
      </c>
      <c r="G1708" t="s">
        <v>2380</v>
      </c>
      <c r="H1708" t="s">
        <v>2380</v>
      </c>
      <c r="I1708">
        <v>1</v>
      </c>
      <c r="J1708" t="s">
        <v>2380</v>
      </c>
    </row>
    <row r="1709" spans="1:10" x14ac:dyDescent="0.35">
      <c r="A1709" t="s">
        <v>663</v>
      </c>
      <c r="B1709" t="str">
        <f t="shared" si="54"/>
        <v>Overweight</v>
      </c>
      <c r="C1709">
        <v>25.35</v>
      </c>
      <c r="D1709">
        <v>4.9000000000000004</v>
      </c>
      <c r="E1709" t="str">
        <f t="shared" si="55"/>
        <v>Normal</v>
      </c>
      <c r="F1709" t="s">
        <v>2380</v>
      </c>
      <c r="G1709" t="s">
        <v>2380</v>
      </c>
      <c r="H1709" t="s">
        <v>2380</v>
      </c>
      <c r="I1709">
        <v>0</v>
      </c>
      <c r="J1709" t="s">
        <v>2380</v>
      </c>
    </row>
    <row r="1710" spans="1:10" x14ac:dyDescent="0.35">
      <c r="A1710" t="s">
        <v>662</v>
      </c>
      <c r="B1710" t="str">
        <f t="shared" si="54"/>
        <v>Overweight</v>
      </c>
      <c r="C1710">
        <v>26.41</v>
      </c>
      <c r="D1710">
        <v>5.07</v>
      </c>
      <c r="E1710" t="str">
        <f t="shared" si="55"/>
        <v>Normal</v>
      </c>
      <c r="F1710" t="s">
        <v>2381</v>
      </c>
      <c r="G1710" t="s">
        <v>2380</v>
      </c>
      <c r="H1710" t="s">
        <v>2380</v>
      </c>
      <c r="I1710">
        <v>1</v>
      </c>
      <c r="J1710" t="s">
        <v>2380</v>
      </c>
    </row>
    <row r="1711" spans="1:10" x14ac:dyDescent="0.35">
      <c r="A1711" t="s">
        <v>661</v>
      </c>
      <c r="B1711" t="str">
        <f t="shared" si="54"/>
        <v>Overweight</v>
      </c>
      <c r="C1711">
        <v>27.6</v>
      </c>
      <c r="D1711">
        <v>5.33</v>
      </c>
      <c r="E1711" t="str">
        <f t="shared" si="55"/>
        <v>Normal</v>
      </c>
      <c r="F1711" t="s">
        <v>2380</v>
      </c>
      <c r="G1711" t="s">
        <v>2380</v>
      </c>
      <c r="H1711" t="s">
        <v>2380</v>
      </c>
      <c r="I1711">
        <v>1</v>
      </c>
      <c r="J1711" t="s">
        <v>2380</v>
      </c>
    </row>
    <row r="1712" spans="1:10" x14ac:dyDescent="0.35">
      <c r="A1712" t="s">
        <v>660</v>
      </c>
      <c r="B1712" t="str">
        <f t="shared" si="54"/>
        <v>Obesity</v>
      </c>
      <c r="C1712">
        <v>33.82</v>
      </c>
      <c r="D1712">
        <v>8.93</v>
      </c>
      <c r="E1712" t="str">
        <f t="shared" si="55"/>
        <v>Diabetes</v>
      </c>
      <c r="F1712" t="s">
        <v>2381</v>
      </c>
      <c r="G1712" t="s">
        <v>2380</v>
      </c>
      <c r="H1712" t="s">
        <v>2380</v>
      </c>
      <c r="I1712">
        <v>1</v>
      </c>
      <c r="J1712" t="s">
        <v>2380</v>
      </c>
    </row>
    <row r="1713" spans="1:10" x14ac:dyDescent="0.35">
      <c r="A1713" t="s">
        <v>659</v>
      </c>
      <c r="B1713" t="str">
        <f t="shared" si="54"/>
        <v>Obesity</v>
      </c>
      <c r="C1713">
        <v>32.9</v>
      </c>
      <c r="D1713">
        <v>4.3499999999999996</v>
      </c>
      <c r="E1713" t="str">
        <f t="shared" si="55"/>
        <v>Normal</v>
      </c>
      <c r="F1713" t="s">
        <v>2380</v>
      </c>
      <c r="G1713" t="s">
        <v>2380</v>
      </c>
      <c r="H1713" t="s">
        <v>2380</v>
      </c>
      <c r="I1713">
        <v>0</v>
      </c>
      <c r="J1713" t="s">
        <v>2380</v>
      </c>
    </row>
    <row r="1714" spans="1:10" x14ac:dyDescent="0.35">
      <c r="A1714" t="s">
        <v>658</v>
      </c>
      <c r="B1714" t="str">
        <f t="shared" si="54"/>
        <v>Obesity</v>
      </c>
      <c r="C1714">
        <v>30.875</v>
      </c>
      <c r="D1714">
        <v>9.5399999999999991</v>
      </c>
      <c r="E1714" t="str">
        <f t="shared" si="55"/>
        <v>Diabetes</v>
      </c>
      <c r="F1714" t="s">
        <v>2381</v>
      </c>
      <c r="G1714" t="s">
        <v>2380</v>
      </c>
      <c r="H1714" t="s">
        <v>2380</v>
      </c>
      <c r="I1714">
        <v>1</v>
      </c>
      <c r="J1714" t="s">
        <v>2380</v>
      </c>
    </row>
    <row r="1715" spans="1:10" x14ac:dyDescent="0.35">
      <c r="A1715" t="s">
        <v>657</v>
      </c>
      <c r="B1715" t="str">
        <f t="shared" si="54"/>
        <v>Obesity</v>
      </c>
      <c r="C1715">
        <v>32.64</v>
      </c>
      <c r="D1715">
        <v>5.91</v>
      </c>
      <c r="E1715" t="str">
        <f t="shared" si="55"/>
        <v>Prediabetes</v>
      </c>
      <c r="F1715" t="s">
        <v>2380</v>
      </c>
      <c r="G1715" t="s">
        <v>2380</v>
      </c>
      <c r="H1715" t="s">
        <v>2380</v>
      </c>
      <c r="I1715">
        <v>0</v>
      </c>
      <c r="J1715" t="s">
        <v>2380</v>
      </c>
    </row>
    <row r="1716" spans="1:10" x14ac:dyDescent="0.35">
      <c r="A1716" t="s">
        <v>656</v>
      </c>
      <c r="B1716" t="str">
        <f t="shared" si="54"/>
        <v>Normal Weight</v>
      </c>
      <c r="C1716">
        <v>22.135000000000002</v>
      </c>
      <c r="D1716">
        <v>5.0999999999999996</v>
      </c>
      <c r="E1716" t="str">
        <f t="shared" si="55"/>
        <v>Normal</v>
      </c>
      <c r="F1716" t="s">
        <v>2380</v>
      </c>
      <c r="G1716" t="s">
        <v>2380</v>
      </c>
      <c r="H1716" t="s">
        <v>2380</v>
      </c>
      <c r="I1716">
        <v>0</v>
      </c>
      <c r="J1716" t="s">
        <v>2380</v>
      </c>
    </row>
    <row r="1717" spans="1:10" x14ac:dyDescent="0.35">
      <c r="A1717" t="s">
        <v>655</v>
      </c>
      <c r="B1717" t="str">
        <f t="shared" si="54"/>
        <v>Underweight</v>
      </c>
      <c r="C1717">
        <v>16.53</v>
      </c>
      <c r="D1717">
        <v>5.08</v>
      </c>
      <c r="E1717" t="str">
        <f t="shared" si="55"/>
        <v>Normal</v>
      </c>
      <c r="F1717" t="s">
        <v>2380</v>
      </c>
      <c r="G1717" t="s">
        <v>2380</v>
      </c>
      <c r="H1717" t="s">
        <v>2380</v>
      </c>
      <c r="I1717">
        <v>2</v>
      </c>
      <c r="J1717" t="s">
        <v>2380</v>
      </c>
    </row>
    <row r="1718" spans="1:10" x14ac:dyDescent="0.35">
      <c r="A1718" t="s">
        <v>654</v>
      </c>
      <c r="B1718" t="str">
        <f t="shared" si="54"/>
        <v>Obesity</v>
      </c>
      <c r="C1718">
        <v>32.774999999999999</v>
      </c>
      <c r="D1718">
        <v>4.75</v>
      </c>
      <c r="E1718" t="str">
        <f t="shared" si="55"/>
        <v>Normal</v>
      </c>
      <c r="F1718" t="s">
        <v>2380</v>
      </c>
      <c r="G1718" t="s">
        <v>2380</v>
      </c>
      <c r="H1718" t="s">
        <v>2380</v>
      </c>
      <c r="I1718">
        <v>0</v>
      </c>
      <c r="J1718" t="s">
        <v>2380</v>
      </c>
    </row>
    <row r="1719" spans="1:10" x14ac:dyDescent="0.35">
      <c r="A1719" t="s">
        <v>653</v>
      </c>
      <c r="B1719" t="str">
        <f t="shared" si="54"/>
        <v>Obesity</v>
      </c>
      <c r="C1719">
        <v>30.9</v>
      </c>
      <c r="D1719">
        <v>6.05</v>
      </c>
      <c r="E1719" t="str">
        <f t="shared" si="55"/>
        <v>Prediabetes</v>
      </c>
      <c r="F1719" t="s">
        <v>2380</v>
      </c>
      <c r="G1719" t="s">
        <v>2380</v>
      </c>
      <c r="H1719" t="s">
        <v>2380</v>
      </c>
      <c r="I1719">
        <v>1</v>
      </c>
      <c r="J1719" t="s">
        <v>2380</v>
      </c>
    </row>
    <row r="1720" spans="1:10" x14ac:dyDescent="0.35">
      <c r="A1720" t="s">
        <v>652</v>
      </c>
      <c r="B1720" t="str">
        <f t="shared" si="54"/>
        <v>Underweight</v>
      </c>
      <c r="C1720">
        <v>15.58</v>
      </c>
      <c r="D1720">
        <v>11.56</v>
      </c>
      <c r="E1720" t="str">
        <f t="shared" si="55"/>
        <v>Diabetes</v>
      </c>
      <c r="F1720" t="s">
        <v>2380</v>
      </c>
      <c r="G1720" t="s">
        <v>2380</v>
      </c>
      <c r="H1720" t="s">
        <v>2380</v>
      </c>
      <c r="I1720">
        <v>0</v>
      </c>
      <c r="J1720" t="s">
        <v>2380</v>
      </c>
    </row>
    <row r="1721" spans="1:10" x14ac:dyDescent="0.35">
      <c r="A1721" t="s">
        <v>651</v>
      </c>
      <c r="B1721" t="str">
        <f t="shared" si="54"/>
        <v>Overweight</v>
      </c>
      <c r="C1721">
        <v>26.315000000000001</v>
      </c>
      <c r="D1721">
        <v>5.76</v>
      </c>
      <c r="E1721" t="str">
        <f t="shared" si="55"/>
        <v>Prediabetes</v>
      </c>
      <c r="F1721" t="s">
        <v>2380</v>
      </c>
      <c r="G1721" t="s">
        <v>2380</v>
      </c>
      <c r="H1721" t="s">
        <v>2380</v>
      </c>
      <c r="I1721">
        <v>0</v>
      </c>
      <c r="J1721" t="s">
        <v>2380</v>
      </c>
    </row>
    <row r="1722" spans="1:10" x14ac:dyDescent="0.35">
      <c r="A1722" t="s">
        <v>650</v>
      </c>
      <c r="B1722" t="str">
        <f t="shared" si="54"/>
        <v>Obesity</v>
      </c>
      <c r="C1722">
        <v>35.61</v>
      </c>
      <c r="D1722">
        <v>5.65</v>
      </c>
      <c r="E1722" t="str">
        <f t="shared" si="55"/>
        <v>Normal</v>
      </c>
      <c r="F1722" t="s">
        <v>2380</v>
      </c>
      <c r="G1722" t="s">
        <v>2381</v>
      </c>
      <c r="H1722" t="s">
        <v>2380</v>
      </c>
      <c r="I1722">
        <v>1</v>
      </c>
      <c r="J1722" t="s">
        <v>2380</v>
      </c>
    </row>
    <row r="1723" spans="1:10" x14ac:dyDescent="0.35">
      <c r="A1723" t="s">
        <v>649</v>
      </c>
      <c r="B1723" t="str">
        <f t="shared" si="54"/>
        <v>Obesity</v>
      </c>
      <c r="C1723">
        <v>37.56</v>
      </c>
      <c r="D1723">
        <v>5.88</v>
      </c>
      <c r="E1723" t="str">
        <f t="shared" si="55"/>
        <v>Prediabetes</v>
      </c>
      <c r="F1723" t="s">
        <v>2380</v>
      </c>
      <c r="G1723" t="s">
        <v>2381</v>
      </c>
      <c r="H1723" t="s">
        <v>2380</v>
      </c>
      <c r="I1723">
        <v>1</v>
      </c>
      <c r="J1723" t="s">
        <v>2380</v>
      </c>
    </row>
    <row r="1724" spans="1:10" x14ac:dyDescent="0.35">
      <c r="A1724" t="s">
        <v>648</v>
      </c>
      <c r="B1724" t="str">
        <f t="shared" si="54"/>
        <v>Underweight</v>
      </c>
      <c r="C1724">
        <v>15.49</v>
      </c>
      <c r="D1724">
        <v>9.6</v>
      </c>
      <c r="E1724" t="str">
        <f t="shared" si="55"/>
        <v>Diabetes</v>
      </c>
      <c r="F1724" t="s">
        <v>2380</v>
      </c>
      <c r="G1724" t="s">
        <v>2380</v>
      </c>
      <c r="H1724" t="s">
        <v>2380</v>
      </c>
      <c r="I1724">
        <v>0</v>
      </c>
      <c r="J1724" t="s">
        <v>2380</v>
      </c>
    </row>
    <row r="1725" spans="1:10" x14ac:dyDescent="0.35">
      <c r="A1725" t="s">
        <v>647</v>
      </c>
      <c r="B1725" t="str">
        <f t="shared" si="54"/>
        <v>Normal Weight</v>
      </c>
      <c r="C1725">
        <v>23.48</v>
      </c>
      <c r="D1725">
        <v>6.24</v>
      </c>
      <c r="E1725" t="str">
        <f t="shared" si="55"/>
        <v>Prediabetes</v>
      </c>
      <c r="F1725" t="s">
        <v>2380</v>
      </c>
      <c r="G1725" t="s">
        <v>2380</v>
      </c>
      <c r="H1725" t="s">
        <v>2380</v>
      </c>
      <c r="I1725">
        <v>1</v>
      </c>
      <c r="J1725" t="s">
        <v>2380</v>
      </c>
    </row>
    <row r="1726" spans="1:10" x14ac:dyDescent="0.35">
      <c r="A1726" t="s">
        <v>646</v>
      </c>
      <c r="B1726" t="str">
        <f t="shared" si="54"/>
        <v>Obesity</v>
      </c>
      <c r="C1726">
        <v>30.02</v>
      </c>
      <c r="D1726">
        <v>7.63</v>
      </c>
      <c r="E1726" t="str">
        <f t="shared" si="55"/>
        <v>Diabetes</v>
      </c>
      <c r="F1726" t="s">
        <v>2381</v>
      </c>
      <c r="G1726" t="s">
        <v>2380</v>
      </c>
      <c r="H1726" t="s">
        <v>2380</v>
      </c>
      <c r="I1726">
        <v>1</v>
      </c>
      <c r="J1726" t="s">
        <v>2380</v>
      </c>
    </row>
    <row r="1727" spans="1:10" x14ac:dyDescent="0.35">
      <c r="A1727" t="s">
        <v>645</v>
      </c>
      <c r="B1727" t="str">
        <f t="shared" si="54"/>
        <v>Overweight</v>
      </c>
      <c r="C1727">
        <v>26.885000000000002</v>
      </c>
      <c r="D1727">
        <v>8.66</v>
      </c>
      <c r="E1727" t="str">
        <f t="shared" si="55"/>
        <v>Diabetes</v>
      </c>
      <c r="F1727" t="s">
        <v>2381</v>
      </c>
      <c r="G1727" t="s">
        <v>2380</v>
      </c>
      <c r="H1727" t="s">
        <v>2380</v>
      </c>
      <c r="I1727">
        <v>1</v>
      </c>
      <c r="J1727" t="s">
        <v>2380</v>
      </c>
    </row>
    <row r="1728" spans="1:10" x14ac:dyDescent="0.35">
      <c r="A1728" t="s">
        <v>644</v>
      </c>
      <c r="B1728" t="str">
        <f t="shared" si="54"/>
        <v>Overweight</v>
      </c>
      <c r="C1728">
        <v>25.84</v>
      </c>
      <c r="D1728">
        <v>8.5500000000000007</v>
      </c>
      <c r="E1728" t="str">
        <f t="shared" si="55"/>
        <v>Diabetes</v>
      </c>
      <c r="F1728" t="s">
        <v>2381</v>
      </c>
      <c r="G1728" t="s">
        <v>2380</v>
      </c>
      <c r="H1728" t="s">
        <v>2380</v>
      </c>
      <c r="I1728">
        <v>1</v>
      </c>
      <c r="J1728" t="s">
        <v>2380</v>
      </c>
    </row>
    <row r="1729" spans="1:10" x14ac:dyDescent="0.35">
      <c r="A1729" t="s">
        <v>643</v>
      </c>
      <c r="B1729" t="str">
        <f t="shared" si="54"/>
        <v>Overweight</v>
      </c>
      <c r="C1729">
        <v>27.454999999999998</v>
      </c>
      <c r="D1729">
        <v>4.54</v>
      </c>
      <c r="E1729" t="str">
        <f t="shared" si="55"/>
        <v>Normal</v>
      </c>
      <c r="F1729" t="s">
        <v>2380</v>
      </c>
      <c r="G1729" t="s">
        <v>2380</v>
      </c>
      <c r="H1729" t="s">
        <v>2380</v>
      </c>
      <c r="I1729">
        <v>0</v>
      </c>
      <c r="J1729" t="s">
        <v>2380</v>
      </c>
    </row>
    <row r="1730" spans="1:10" x14ac:dyDescent="0.35">
      <c r="A1730" t="s">
        <v>642</v>
      </c>
      <c r="B1730" t="str">
        <f t="shared" si="54"/>
        <v>Normal Weight</v>
      </c>
      <c r="C1730">
        <v>24.605</v>
      </c>
      <c r="D1730">
        <v>5.7</v>
      </c>
      <c r="E1730" t="str">
        <f t="shared" si="55"/>
        <v>Prediabetes</v>
      </c>
      <c r="F1730" t="s">
        <v>2380</v>
      </c>
      <c r="G1730" t="s">
        <v>2380</v>
      </c>
      <c r="H1730" t="s">
        <v>2380</v>
      </c>
      <c r="I1730">
        <v>0</v>
      </c>
      <c r="J1730" t="s">
        <v>2380</v>
      </c>
    </row>
    <row r="1731" spans="1:10" x14ac:dyDescent="0.35">
      <c r="A1731" t="s">
        <v>641</v>
      </c>
      <c r="B1731" t="str">
        <f t="shared" ref="B1731:B1794" si="56">IF(C1731&lt;18.5,"Underweight",IF(C1731&lt;25,"Normal Weight",IF(C1731&lt;30,"Overweight","Obesity")))</f>
        <v>Obesity</v>
      </c>
      <c r="C1731">
        <v>30.8</v>
      </c>
      <c r="D1731">
        <v>5.07</v>
      </c>
      <c r="E1731" t="str">
        <f t="shared" ref="E1731:E1794" si="57">IF(D1731&lt;5.7,"Normal",IF(D1731&lt;6.5,"Prediabetes","Diabetes"))</f>
        <v>Normal</v>
      </c>
      <c r="F1731" t="s">
        <v>2380</v>
      </c>
      <c r="G1731" t="s">
        <v>2380</v>
      </c>
      <c r="H1731" t="s">
        <v>2380</v>
      </c>
      <c r="I1731">
        <v>0</v>
      </c>
      <c r="J1731" t="s">
        <v>2380</v>
      </c>
    </row>
    <row r="1732" spans="1:10" x14ac:dyDescent="0.35">
      <c r="A1732" t="s">
        <v>640</v>
      </c>
      <c r="B1732" t="str">
        <f t="shared" si="56"/>
        <v>Obesity</v>
      </c>
      <c r="C1732">
        <v>34.799999999999997</v>
      </c>
      <c r="D1732">
        <v>4.38</v>
      </c>
      <c r="E1732" t="str">
        <f t="shared" si="57"/>
        <v>Normal</v>
      </c>
      <c r="F1732" t="s">
        <v>2380</v>
      </c>
      <c r="G1732" t="s">
        <v>2380</v>
      </c>
      <c r="H1732" t="s">
        <v>2380</v>
      </c>
      <c r="I1732">
        <v>1</v>
      </c>
      <c r="J1732" t="s">
        <v>2380</v>
      </c>
    </row>
    <row r="1733" spans="1:10" x14ac:dyDescent="0.35">
      <c r="A1733" t="s">
        <v>639</v>
      </c>
      <c r="B1733" t="str">
        <f t="shared" si="56"/>
        <v>Obesity</v>
      </c>
      <c r="C1733">
        <v>34.21</v>
      </c>
      <c r="D1733">
        <v>4.54</v>
      </c>
      <c r="E1733" t="str">
        <f t="shared" si="57"/>
        <v>Normal</v>
      </c>
      <c r="F1733" t="s">
        <v>2380</v>
      </c>
      <c r="G1733" t="s">
        <v>2380</v>
      </c>
      <c r="H1733" t="s">
        <v>2380</v>
      </c>
      <c r="I1733">
        <v>1</v>
      </c>
      <c r="J1733" t="s">
        <v>2380</v>
      </c>
    </row>
    <row r="1734" spans="1:10" x14ac:dyDescent="0.35">
      <c r="A1734" t="s">
        <v>638</v>
      </c>
      <c r="B1734" t="str">
        <f t="shared" si="56"/>
        <v>Obesity</v>
      </c>
      <c r="C1734">
        <v>31</v>
      </c>
      <c r="D1734">
        <v>5.38</v>
      </c>
      <c r="E1734" t="str">
        <f t="shared" si="57"/>
        <v>Normal</v>
      </c>
      <c r="F1734" t="s">
        <v>2380</v>
      </c>
      <c r="G1734" t="s">
        <v>2380</v>
      </c>
      <c r="H1734" t="s">
        <v>2380</v>
      </c>
      <c r="I1734">
        <v>1</v>
      </c>
      <c r="J1734" t="s">
        <v>2380</v>
      </c>
    </row>
    <row r="1735" spans="1:10" x14ac:dyDescent="0.35">
      <c r="A1735" t="s">
        <v>637</v>
      </c>
      <c r="B1735" t="str">
        <f t="shared" si="56"/>
        <v>Overweight</v>
      </c>
      <c r="C1735">
        <v>26.125</v>
      </c>
      <c r="D1735">
        <v>5.55</v>
      </c>
      <c r="E1735" t="str">
        <f t="shared" si="57"/>
        <v>Normal</v>
      </c>
      <c r="F1735" t="s">
        <v>2380</v>
      </c>
      <c r="G1735" t="s">
        <v>2380</v>
      </c>
      <c r="H1735" t="s">
        <v>2380</v>
      </c>
      <c r="I1735">
        <v>1</v>
      </c>
      <c r="J1735" t="s">
        <v>2380</v>
      </c>
    </row>
    <row r="1736" spans="1:10" x14ac:dyDescent="0.35">
      <c r="A1736" t="s">
        <v>636</v>
      </c>
      <c r="B1736" t="str">
        <f t="shared" si="56"/>
        <v>Obesity</v>
      </c>
      <c r="C1736">
        <v>30.13</v>
      </c>
      <c r="D1736">
        <v>4.03</v>
      </c>
      <c r="E1736" t="str">
        <f t="shared" si="57"/>
        <v>Normal</v>
      </c>
      <c r="F1736" t="s">
        <v>2381</v>
      </c>
      <c r="G1736" t="s">
        <v>2380</v>
      </c>
      <c r="H1736" t="s">
        <v>2380</v>
      </c>
      <c r="I1736">
        <v>1</v>
      </c>
      <c r="J1736" t="s">
        <v>2380</v>
      </c>
    </row>
    <row r="1737" spans="1:10" x14ac:dyDescent="0.35">
      <c r="A1737" t="s">
        <v>635</v>
      </c>
      <c r="B1737" t="str">
        <f t="shared" si="56"/>
        <v>Obesity</v>
      </c>
      <c r="C1737">
        <v>34.19</v>
      </c>
      <c r="D1737">
        <v>4.1900000000000004</v>
      </c>
      <c r="E1737" t="str">
        <f t="shared" si="57"/>
        <v>Normal</v>
      </c>
      <c r="F1737" t="s">
        <v>2380</v>
      </c>
      <c r="G1737" t="s">
        <v>2380</v>
      </c>
      <c r="H1737" t="s">
        <v>2380</v>
      </c>
      <c r="I1737">
        <v>0</v>
      </c>
      <c r="J1737" t="s">
        <v>2380</v>
      </c>
    </row>
    <row r="1738" spans="1:10" x14ac:dyDescent="0.35">
      <c r="A1738" t="s">
        <v>634</v>
      </c>
      <c r="B1738" t="str">
        <f t="shared" si="56"/>
        <v>Normal Weight</v>
      </c>
      <c r="C1738">
        <v>22.515000000000001</v>
      </c>
      <c r="D1738">
        <v>4.37</v>
      </c>
      <c r="E1738" t="str">
        <f t="shared" si="57"/>
        <v>Normal</v>
      </c>
      <c r="F1738" t="s">
        <v>2380</v>
      </c>
      <c r="G1738" t="s">
        <v>2380</v>
      </c>
      <c r="H1738" t="s">
        <v>2382</v>
      </c>
      <c r="I1738">
        <v>1</v>
      </c>
      <c r="J1738" t="s">
        <v>2380</v>
      </c>
    </row>
    <row r="1739" spans="1:10" x14ac:dyDescent="0.35">
      <c r="A1739" t="s">
        <v>633</v>
      </c>
      <c r="B1739" t="str">
        <f t="shared" si="56"/>
        <v>Underweight</v>
      </c>
      <c r="C1739">
        <v>18.239999999999998</v>
      </c>
      <c r="D1739">
        <v>5.31</v>
      </c>
      <c r="E1739" t="str">
        <f t="shared" si="57"/>
        <v>Normal</v>
      </c>
      <c r="F1739" t="s">
        <v>2381</v>
      </c>
      <c r="G1739" t="s">
        <v>2380</v>
      </c>
      <c r="H1739" t="s">
        <v>2382</v>
      </c>
      <c r="I1739">
        <v>1</v>
      </c>
      <c r="J1739" t="s">
        <v>2380</v>
      </c>
    </row>
    <row r="1740" spans="1:10" x14ac:dyDescent="0.35">
      <c r="A1740" t="s">
        <v>631</v>
      </c>
      <c r="B1740" t="str">
        <f t="shared" si="56"/>
        <v>Obesity</v>
      </c>
      <c r="C1740">
        <v>37.28</v>
      </c>
      <c r="D1740">
        <v>4.66</v>
      </c>
      <c r="E1740" t="str">
        <f t="shared" si="57"/>
        <v>Normal</v>
      </c>
      <c r="F1740" t="s">
        <v>2380</v>
      </c>
      <c r="G1740" t="s">
        <v>2381</v>
      </c>
      <c r="H1740" t="s">
        <v>2380</v>
      </c>
      <c r="I1740">
        <v>1</v>
      </c>
      <c r="J1740" t="s">
        <v>2380</v>
      </c>
    </row>
    <row r="1741" spans="1:10" x14ac:dyDescent="0.35">
      <c r="A1741" t="s">
        <v>630</v>
      </c>
      <c r="B1741" t="str">
        <f t="shared" si="56"/>
        <v>Underweight</v>
      </c>
      <c r="C1741">
        <v>18.2</v>
      </c>
      <c r="D1741">
        <v>6.19</v>
      </c>
      <c r="E1741" t="str">
        <f t="shared" si="57"/>
        <v>Prediabetes</v>
      </c>
      <c r="F1741" t="s">
        <v>2380</v>
      </c>
      <c r="G1741" t="s">
        <v>2380</v>
      </c>
      <c r="H1741" t="s">
        <v>2382</v>
      </c>
      <c r="I1741">
        <v>1</v>
      </c>
      <c r="J1741" t="s">
        <v>2380</v>
      </c>
    </row>
    <row r="1742" spans="1:10" x14ac:dyDescent="0.35">
      <c r="A1742" t="s">
        <v>629</v>
      </c>
      <c r="B1742" t="str">
        <f t="shared" si="56"/>
        <v>Normal Weight</v>
      </c>
      <c r="C1742">
        <v>20.53</v>
      </c>
      <c r="D1742">
        <v>4.8600000000000003</v>
      </c>
      <c r="E1742" t="str">
        <f t="shared" si="57"/>
        <v>Normal</v>
      </c>
      <c r="F1742" t="s">
        <v>2380</v>
      </c>
      <c r="G1742" t="s">
        <v>2380</v>
      </c>
      <c r="H1742" t="s">
        <v>2380</v>
      </c>
      <c r="I1742">
        <v>1</v>
      </c>
      <c r="J1742" t="s">
        <v>2380</v>
      </c>
    </row>
    <row r="1743" spans="1:10" x14ac:dyDescent="0.35">
      <c r="A1743" t="s">
        <v>628</v>
      </c>
      <c r="B1743" t="str">
        <f t="shared" si="56"/>
        <v>Normal Weight</v>
      </c>
      <c r="C1743">
        <v>23.79</v>
      </c>
      <c r="D1743">
        <v>4.74</v>
      </c>
      <c r="E1743" t="str">
        <f t="shared" si="57"/>
        <v>Normal</v>
      </c>
      <c r="F1743" t="s">
        <v>2380</v>
      </c>
      <c r="G1743" t="s">
        <v>2380</v>
      </c>
      <c r="H1743" t="s">
        <v>2380</v>
      </c>
      <c r="I1743">
        <v>0</v>
      </c>
      <c r="J1743" t="s">
        <v>2380</v>
      </c>
    </row>
    <row r="1744" spans="1:10" x14ac:dyDescent="0.35">
      <c r="A1744" t="s">
        <v>627</v>
      </c>
      <c r="B1744" t="str">
        <f t="shared" si="56"/>
        <v>Overweight</v>
      </c>
      <c r="C1744">
        <v>29.8</v>
      </c>
      <c r="D1744">
        <v>6.03</v>
      </c>
      <c r="E1744" t="str">
        <f t="shared" si="57"/>
        <v>Prediabetes</v>
      </c>
      <c r="F1744" t="s">
        <v>2380</v>
      </c>
      <c r="G1744" t="s">
        <v>2380</v>
      </c>
      <c r="H1744" t="s">
        <v>2380</v>
      </c>
      <c r="I1744">
        <v>0</v>
      </c>
      <c r="J1744" t="s">
        <v>2380</v>
      </c>
    </row>
    <row r="1745" spans="1:10" x14ac:dyDescent="0.35">
      <c r="A1745" t="s">
        <v>626</v>
      </c>
      <c r="B1745" t="str">
        <f t="shared" si="56"/>
        <v>Obesity</v>
      </c>
      <c r="C1745">
        <v>31.54</v>
      </c>
      <c r="D1745">
        <v>4.71</v>
      </c>
      <c r="E1745" t="str">
        <f t="shared" si="57"/>
        <v>Normal</v>
      </c>
      <c r="F1745" t="s">
        <v>2380</v>
      </c>
      <c r="G1745" t="s">
        <v>2380</v>
      </c>
      <c r="H1745" t="s">
        <v>2380</v>
      </c>
      <c r="I1745">
        <v>0</v>
      </c>
      <c r="J1745" t="s">
        <v>2380</v>
      </c>
    </row>
    <row r="1746" spans="1:10" x14ac:dyDescent="0.35">
      <c r="A1746" t="s">
        <v>625</v>
      </c>
      <c r="B1746" t="str">
        <f t="shared" si="56"/>
        <v>Normal Weight</v>
      </c>
      <c r="C1746">
        <v>20.82</v>
      </c>
      <c r="D1746">
        <v>5.55</v>
      </c>
      <c r="E1746" t="str">
        <f t="shared" si="57"/>
        <v>Normal</v>
      </c>
      <c r="F1746" t="s">
        <v>2380</v>
      </c>
      <c r="G1746" t="s">
        <v>2380</v>
      </c>
      <c r="H1746" t="s">
        <v>2380</v>
      </c>
      <c r="I1746">
        <v>1</v>
      </c>
      <c r="J1746" t="s">
        <v>2380</v>
      </c>
    </row>
    <row r="1747" spans="1:10" x14ac:dyDescent="0.35">
      <c r="A1747" t="s">
        <v>624</v>
      </c>
      <c r="B1747" t="str">
        <f t="shared" si="56"/>
        <v>Obesity</v>
      </c>
      <c r="C1747">
        <v>38.83</v>
      </c>
      <c r="D1747">
        <v>4.78</v>
      </c>
      <c r="E1747" t="str">
        <f t="shared" si="57"/>
        <v>Normal</v>
      </c>
      <c r="F1747" t="s">
        <v>2380</v>
      </c>
      <c r="G1747" t="s">
        <v>2380</v>
      </c>
      <c r="H1747" t="s">
        <v>2382</v>
      </c>
      <c r="I1747">
        <v>1</v>
      </c>
      <c r="J1747" t="s">
        <v>2380</v>
      </c>
    </row>
    <row r="1748" spans="1:10" x14ac:dyDescent="0.35">
      <c r="A1748" t="s">
        <v>623</v>
      </c>
      <c r="B1748" t="str">
        <f t="shared" si="56"/>
        <v>Normal Weight</v>
      </c>
      <c r="C1748">
        <v>23.44</v>
      </c>
      <c r="D1748">
        <v>4.6500000000000004</v>
      </c>
      <c r="E1748" t="str">
        <f t="shared" si="57"/>
        <v>Normal</v>
      </c>
      <c r="F1748" t="s">
        <v>2381</v>
      </c>
      <c r="G1748" t="s">
        <v>2380</v>
      </c>
      <c r="H1748" t="s">
        <v>2380</v>
      </c>
      <c r="I1748">
        <v>1</v>
      </c>
      <c r="J1748" t="s">
        <v>2380</v>
      </c>
    </row>
    <row r="1749" spans="1:10" x14ac:dyDescent="0.35">
      <c r="A1749" t="s">
        <v>622</v>
      </c>
      <c r="B1749" t="str">
        <f t="shared" si="56"/>
        <v>Normal Weight</v>
      </c>
      <c r="C1749">
        <v>24.13</v>
      </c>
      <c r="D1749">
        <v>5.2</v>
      </c>
      <c r="E1749" t="str">
        <f t="shared" si="57"/>
        <v>Normal</v>
      </c>
      <c r="F1749" t="s">
        <v>2380</v>
      </c>
      <c r="G1749" t="s">
        <v>2380</v>
      </c>
      <c r="H1749" t="s">
        <v>2380</v>
      </c>
      <c r="I1749">
        <v>1</v>
      </c>
      <c r="J1749" t="s">
        <v>2380</v>
      </c>
    </row>
    <row r="1750" spans="1:10" x14ac:dyDescent="0.35">
      <c r="A1750" t="s">
        <v>621</v>
      </c>
      <c r="B1750" t="str">
        <f t="shared" si="56"/>
        <v>Obesity</v>
      </c>
      <c r="C1750">
        <v>42.13</v>
      </c>
      <c r="D1750">
        <v>4.54</v>
      </c>
      <c r="E1750" t="str">
        <f t="shared" si="57"/>
        <v>Normal</v>
      </c>
      <c r="F1750" t="s">
        <v>2381</v>
      </c>
      <c r="G1750" t="s">
        <v>2380</v>
      </c>
      <c r="H1750" t="s">
        <v>2380</v>
      </c>
      <c r="I1750">
        <v>1</v>
      </c>
      <c r="J1750" t="s">
        <v>2380</v>
      </c>
    </row>
    <row r="1751" spans="1:10" x14ac:dyDescent="0.35">
      <c r="A1751" t="s">
        <v>620</v>
      </c>
      <c r="B1751" t="str">
        <f t="shared" si="56"/>
        <v>Underweight</v>
      </c>
      <c r="C1751">
        <v>17.86</v>
      </c>
      <c r="D1751">
        <v>4.1100000000000003</v>
      </c>
      <c r="E1751" t="str">
        <f t="shared" si="57"/>
        <v>Normal</v>
      </c>
      <c r="F1751" t="s">
        <v>2380</v>
      </c>
      <c r="G1751" t="s">
        <v>2380</v>
      </c>
      <c r="H1751" t="s">
        <v>2380</v>
      </c>
      <c r="I1751">
        <v>1</v>
      </c>
      <c r="J1751" t="s">
        <v>2380</v>
      </c>
    </row>
    <row r="1752" spans="1:10" x14ac:dyDescent="0.35">
      <c r="A1752" t="s">
        <v>619</v>
      </c>
      <c r="B1752" t="str">
        <f t="shared" si="56"/>
        <v>Obesity</v>
      </c>
      <c r="C1752">
        <v>32.78</v>
      </c>
      <c r="D1752">
        <v>4.63</v>
      </c>
      <c r="E1752" t="str">
        <f t="shared" si="57"/>
        <v>Normal</v>
      </c>
      <c r="F1752" t="s">
        <v>2380</v>
      </c>
      <c r="G1752" t="s">
        <v>2380</v>
      </c>
      <c r="H1752" t="s">
        <v>2380</v>
      </c>
      <c r="I1752">
        <v>0</v>
      </c>
      <c r="J1752" t="s">
        <v>2380</v>
      </c>
    </row>
    <row r="1753" spans="1:10" x14ac:dyDescent="0.35">
      <c r="A1753" t="s">
        <v>618</v>
      </c>
      <c r="B1753" t="str">
        <f t="shared" si="56"/>
        <v>Normal Weight</v>
      </c>
      <c r="C1753">
        <v>23.9</v>
      </c>
      <c r="D1753">
        <v>6.06</v>
      </c>
      <c r="E1753" t="str">
        <f t="shared" si="57"/>
        <v>Prediabetes</v>
      </c>
      <c r="F1753" t="s">
        <v>2381</v>
      </c>
      <c r="G1753" t="s">
        <v>2380</v>
      </c>
      <c r="H1753" t="s">
        <v>2382</v>
      </c>
      <c r="I1753">
        <v>1</v>
      </c>
      <c r="J1753" t="s">
        <v>2380</v>
      </c>
    </row>
    <row r="1754" spans="1:10" x14ac:dyDescent="0.35">
      <c r="A1754" t="s">
        <v>617</v>
      </c>
      <c r="B1754" t="str">
        <f t="shared" si="56"/>
        <v>Underweight</v>
      </c>
      <c r="C1754">
        <v>15.47</v>
      </c>
      <c r="D1754">
        <v>8.43</v>
      </c>
      <c r="E1754" t="str">
        <f t="shared" si="57"/>
        <v>Diabetes</v>
      </c>
      <c r="F1754" t="s">
        <v>2380</v>
      </c>
      <c r="G1754" t="s">
        <v>2380</v>
      </c>
      <c r="H1754" t="s">
        <v>2380</v>
      </c>
      <c r="I1754">
        <v>0</v>
      </c>
      <c r="J1754" t="s">
        <v>2380</v>
      </c>
    </row>
    <row r="1755" spans="1:10" x14ac:dyDescent="0.35">
      <c r="A1755" t="s">
        <v>616</v>
      </c>
      <c r="B1755" t="str">
        <f t="shared" si="56"/>
        <v>Overweight</v>
      </c>
      <c r="C1755">
        <v>28.54</v>
      </c>
      <c r="D1755">
        <v>5.51</v>
      </c>
      <c r="E1755" t="str">
        <f t="shared" si="57"/>
        <v>Normal</v>
      </c>
      <c r="F1755" t="s">
        <v>2380</v>
      </c>
      <c r="G1755" t="s">
        <v>2380</v>
      </c>
      <c r="H1755" t="s">
        <v>2382</v>
      </c>
      <c r="I1755">
        <v>1</v>
      </c>
      <c r="J1755" t="s">
        <v>2380</v>
      </c>
    </row>
    <row r="1756" spans="1:10" x14ac:dyDescent="0.35">
      <c r="A1756" t="s">
        <v>615</v>
      </c>
      <c r="B1756" t="str">
        <f t="shared" si="56"/>
        <v>Normal Weight</v>
      </c>
      <c r="C1756">
        <v>18.54</v>
      </c>
      <c r="D1756">
        <v>4.95</v>
      </c>
      <c r="E1756" t="str">
        <f t="shared" si="57"/>
        <v>Normal</v>
      </c>
      <c r="F1756" t="s">
        <v>2380</v>
      </c>
      <c r="G1756" t="s">
        <v>2380</v>
      </c>
      <c r="H1756" t="s">
        <v>2380</v>
      </c>
      <c r="I1756">
        <v>0</v>
      </c>
      <c r="J1756" t="s">
        <v>2380</v>
      </c>
    </row>
    <row r="1757" spans="1:10" x14ac:dyDescent="0.35">
      <c r="A1757" t="s">
        <v>614</v>
      </c>
      <c r="B1757" t="str">
        <f t="shared" si="56"/>
        <v>Obesity</v>
      </c>
      <c r="C1757">
        <v>32.18</v>
      </c>
      <c r="D1757">
        <v>6.44</v>
      </c>
      <c r="E1757" t="str">
        <f t="shared" si="57"/>
        <v>Prediabetes</v>
      </c>
      <c r="F1757" t="s">
        <v>2381</v>
      </c>
      <c r="G1757" t="s">
        <v>2380</v>
      </c>
      <c r="H1757" t="s">
        <v>2382</v>
      </c>
      <c r="I1757">
        <v>1</v>
      </c>
      <c r="J1757" t="s">
        <v>2380</v>
      </c>
    </row>
    <row r="1758" spans="1:10" x14ac:dyDescent="0.35">
      <c r="A1758" t="s">
        <v>613</v>
      </c>
      <c r="B1758" t="str">
        <f t="shared" si="56"/>
        <v>Obesity</v>
      </c>
      <c r="C1758">
        <v>37.380000000000003</v>
      </c>
      <c r="D1758">
        <v>6.05</v>
      </c>
      <c r="E1758" t="str">
        <f t="shared" si="57"/>
        <v>Prediabetes</v>
      </c>
      <c r="F1758" t="s">
        <v>2381</v>
      </c>
      <c r="G1758" t="s">
        <v>2380</v>
      </c>
      <c r="H1758" t="s">
        <v>2380</v>
      </c>
      <c r="I1758">
        <v>0</v>
      </c>
      <c r="J1758" t="s">
        <v>2380</v>
      </c>
    </row>
    <row r="1759" spans="1:10" x14ac:dyDescent="0.35">
      <c r="A1759" t="s">
        <v>612</v>
      </c>
      <c r="B1759" t="str">
        <f t="shared" si="56"/>
        <v>Obesity</v>
      </c>
      <c r="C1759">
        <v>31.12</v>
      </c>
      <c r="D1759">
        <v>4.76</v>
      </c>
      <c r="E1759" t="str">
        <f t="shared" si="57"/>
        <v>Normal</v>
      </c>
      <c r="F1759" t="s">
        <v>2381</v>
      </c>
      <c r="G1759" t="s">
        <v>2380</v>
      </c>
      <c r="H1759" t="s">
        <v>2382</v>
      </c>
      <c r="I1759">
        <v>1</v>
      </c>
      <c r="J1759" t="s">
        <v>2380</v>
      </c>
    </row>
    <row r="1760" spans="1:10" x14ac:dyDescent="0.35">
      <c r="A1760" t="s">
        <v>611</v>
      </c>
      <c r="B1760" t="str">
        <f t="shared" si="56"/>
        <v>Normal Weight</v>
      </c>
      <c r="C1760">
        <v>22.01</v>
      </c>
      <c r="D1760">
        <v>6.72</v>
      </c>
      <c r="E1760" t="str">
        <f t="shared" si="57"/>
        <v>Diabetes</v>
      </c>
      <c r="F1760" t="s">
        <v>2381</v>
      </c>
      <c r="G1760" t="s">
        <v>2380</v>
      </c>
      <c r="H1760" t="s">
        <v>2380</v>
      </c>
      <c r="I1760">
        <v>1</v>
      </c>
      <c r="J1760" t="s">
        <v>2380</v>
      </c>
    </row>
    <row r="1761" spans="1:10" x14ac:dyDescent="0.35">
      <c r="A1761" t="s">
        <v>610</v>
      </c>
      <c r="B1761" t="str">
        <f t="shared" si="56"/>
        <v>Overweight</v>
      </c>
      <c r="C1761">
        <v>27.645</v>
      </c>
      <c r="D1761">
        <v>5.7</v>
      </c>
      <c r="E1761" t="str">
        <f t="shared" si="57"/>
        <v>Prediabetes</v>
      </c>
      <c r="F1761" t="s">
        <v>2380</v>
      </c>
      <c r="G1761" t="s">
        <v>2380</v>
      </c>
      <c r="H1761" t="s">
        <v>2380</v>
      </c>
      <c r="I1761">
        <v>0</v>
      </c>
      <c r="J1761" t="s">
        <v>2380</v>
      </c>
    </row>
    <row r="1762" spans="1:10" x14ac:dyDescent="0.35">
      <c r="A1762" t="s">
        <v>609</v>
      </c>
      <c r="B1762" t="str">
        <f t="shared" si="56"/>
        <v>Overweight</v>
      </c>
      <c r="C1762">
        <v>29.64</v>
      </c>
      <c r="D1762">
        <v>5.31</v>
      </c>
      <c r="E1762" t="str">
        <f t="shared" si="57"/>
        <v>Normal</v>
      </c>
      <c r="F1762" t="s">
        <v>2381</v>
      </c>
      <c r="G1762" t="s">
        <v>2380</v>
      </c>
      <c r="H1762" t="s">
        <v>2380</v>
      </c>
      <c r="I1762">
        <v>0</v>
      </c>
      <c r="J1762" t="s">
        <v>2380</v>
      </c>
    </row>
    <row r="1763" spans="1:10" x14ac:dyDescent="0.35">
      <c r="A1763" t="s">
        <v>608</v>
      </c>
      <c r="B1763" t="str">
        <f t="shared" si="56"/>
        <v>Obesity</v>
      </c>
      <c r="C1763">
        <v>33.700000000000003</v>
      </c>
      <c r="D1763">
        <v>4.32</v>
      </c>
      <c r="E1763" t="str">
        <f t="shared" si="57"/>
        <v>Normal</v>
      </c>
      <c r="F1763" t="s">
        <v>2381</v>
      </c>
      <c r="G1763" t="s">
        <v>2380</v>
      </c>
      <c r="H1763" t="s">
        <v>2380</v>
      </c>
      <c r="I1763">
        <v>1</v>
      </c>
      <c r="J1763" t="s">
        <v>2380</v>
      </c>
    </row>
    <row r="1764" spans="1:10" x14ac:dyDescent="0.35">
      <c r="A1764" t="s">
        <v>607</v>
      </c>
      <c r="B1764" t="str">
        <f t="shared" si="56"/>
        <v>Overweight</v>
      </c>
      <c r="C1764">
        <v>27.5</v>
      </c>
      <c r="D1764">
        <v>4.2300000000000004</v>
      </c>
      <c r="E1764" t="str">
        <f t="shared" si="57"/>
        <v>Normal</v>
      </c>
      <c r="F1764" t="s">
        <v>2381</v>
      </c>
      <c r="G1764" t="s">
        <v>2380</v>
      </c>
      <c r="H1764" t="s">
        <v>2380</v>
      </c>
      <c r="I1764">
        <v>1</v>
      </c>
      <c r="J1764" t="s">
        <v>2380</v>
      </c>
    </row>
    <row r="1765" spans="1:10" x14ac:dyDescent="0.35">
      <c r="A1765" t="s">
        <v>606</v>
      </c>
      <c r="B1765" t="str">
        <f t="shared" si="56"/>
        <v>Underweight</v>
      </c>
      <c r="C1765">
        <v>16.12</v>
      </c>
      <c r="D1765">
        <v>6.09</v>
      </c>
      <c r="E1765" t="str">
        <f t="shared" si="57"/>
        <v>Prediabetes</v>
      </c>
      <c r="F1765" t="s">
        <v>2380</v>
      </c>
      <c r="G1765" t="s">
        <v>2380</v>
      </c>
      <c r="H1765" t="s">
        <v>2380</v>
      </c>
      <c r="I1765">
        <v>0</v>
      </c>
      <c r="J1765" t="s">
        <v>2380</v>
      </c>
    </row>
    <row r="1766" spans="1:10" x14ac:dyDescent="0.35">
      <c r="A1766" t="s">
        <v>605</v>
      </c>
      <c r="B1766" t="str">
        <f t="shared" si="56"/>
        <v>Overweight</v>
      </c>
      <c r="C1766">
        <v>26.73</v>
      </c>
      <c r="D1766">
        <v>4.74</v>
      </c>
      <c r="E1766" t="str">
        <f t="shared" si="57"/>
        <v>Normal</v>
      </c>
      <c r="F1766" t="s">
        <v>2381</v>
      </c>
      <c r="G1766" t="s">
        <v>2380</v>
      </c>
      <c r="H1766" t="s">
        <v>2380</v>
      </c>
      <c r="I1766">
        <v>1</v>
      </c>
      <c r="J1766" t="s">
        <v>2380</v>
      </c>
    </row>
    <row r="1767" spans="1:10" x14ac:dyDescent="0.35">
      <c r="A1767" t="s">
        <v>604</v>
      </c>
      <c r="B1767" t="str">
        <f t="shared" si="56"/>
        <v>Obesity</v>
      </c>
      <c r="C1767">
        <v>37.25</v>
      </c>
      <c r="D1767">
        <v>6.23</v>
      </c>
      <c r="E1767" t="str">
        <f t="shared" si="57"/>
        <v>Prediabetes</v>
      </c>
      <c r="F1767" t="s">
        <v>2381</v>
      </c>
      <c r="G1767" t="s">
        <v>2380</v>
      </c>
      <c r="H1767" t="s">
        <v>2380</v>
      </c>
      <c r="I1767">
        <v>0</v>
      </c>
      <c r="J1767" t="s">
        <v>2380</v>
      </c>
    </row>
    <row r="1768" spans="1:10" x14ac:dyDescent="0.35">
      <c r="A1768" t="s">
        <v>603</v>
      </c>
      <c r="B1768" t="str">
        <f t="shared" si="56"/>
        <v>Normal Weight</v>
      </c>
      <c r="C1768">
        <v>23.56</v>
      </c>
      <c r="D1768">
        <v>5.45</v>
      </c>
      <c r="E1768" t="str">
        <f t="shared" si="57"/>
        <v>Normal</v>
      </c>
      <c r="F1768" t="s">
        <v>2381</v>
      </c>
      <c r="G1768" t="s">
        <v>2380</v>
      </c>
      <c r="H1768" t="s">
        <v>2380</v>
      </c>
      <c r="I1768">
        <v>1</v>
      </c>
      <c r="J1768" t="s">
        <v>2380</v>
      </c>
    </row>
    <row r="1769" spans="1:10" x14ac:dyDescent="0.35">
      <c r="A1769" t="s">
        <v>602</v>
      </c>
      <c r="B1769" t="str">
        <f t="shared" si="56"/>
        <v>Underweight</v>
      </c>
      <c r="C1769">
        <v>15.84</v>
      </c>
      <c r="D1769">
        <v>10.34</v>
      </c>
      <c r="E1769" t="str">
        <f t="shared" si="57"/>
        <v>Diabetes</v>
      </c>
      <c r="F1769" t="s">
        <v>2380</v>
      </c>
      <c r="G1769" t="s">
        <v>2380</v>
      </c>
      <c r="H1769" t="s">
        <v>2380</v>
      </c>
      <c r="I1769">
        <v>2</v>
      </c>
      <c r="J1769" t="s">
        <v>2380</v>
      </c>
    </row>
    <row r="1770" spans="1:10" x14ac:dyDescent="0.35">
      <c r="A1770" t="s">
        <v>601</v>
      </c>
      <c r="B1770" t="str">
        <f t="shared" si="56"/>
        <v>Obesity</v>
      </c>
      <c r="C1770">
        <v>36.630000000000003</v>
      </c>
      <c r="D1770">
        <v>5.15</v>
      </c>
      <c r="E1770" t="str">
        <f t="shared" si="57"/>
        <v>Normal</v>
      </c>
      <c r="F1770" t="s">
        <v>2380</v>
      </c>
      <c r="G1770" t="s">
        <v>2380</v>
      </c>
      <c r="H1770" t="s">
        <v>2380</v>
      </c>
      <c r="I1770">
        <v>0</v>
      </c>
      <c r="J1770" t="s">
        <v>2380</v>
      </c>
    </row>
    <row r="1771" spans="1:10" x14ac:dyDescent="0.35">
      <c r="A1771" t="s">
        <v>600</v>
      </c>
      <c r="B1771" t="str">
        <f t="shared" si="56"/>
        <v>Underweight</v>
      </c>
      <c r="C1771">
        <v>16.47</v>
      </c>
      <c r="D1771">
        <v>11.72</v>
      </c>
      <c r="E1771" t="str">
        <f t="shared" si="57"/>
        <v>Diabetes</v>
      </c>
      <c r="F1771" t="s">
        <v>2380</v>
      </c>
      <c r="G1771" t="s">
        <v>2380</v>
      </c>
      <c r="H1771" t="s">
        <v>2380</v>
      </c>
      <c r="I1771">
        <v>0</v>
      </c>
      <c r="J1771" t="s">
        <v>2380</v>
      </c>
    </row>
    <row r="1772" spans="1:10" x14ac:dyDescent="0.35">
      <c r="A1772" t="s">
        <v>599</v>
      </c>
      <c r="B1772" t="str">
        <f t="shared" si="56"/>
        <v>Overweight</v>
      </c>
      <c r="C1772">
        <v>25.8</v>
      </c>
      <c r="D1772">
        <v>5.29</v>
      </c>
      <c r="E1772" t="str">
        <f t="shared" si="57"/>
        <v>Normal</v>
      </c>
      <c r="F1772" t="s">
        <v>2380</v>
      </c>
      <c r="G1772" t="s">
        <v>2380</v>
      </c>
      <c r="H1772" t="s">
        <v>2380</v>
      </c>
      <c r="I1772">
        <v>0</v>
      </c>
      <c r="J1772" t="s">
        <v>2380</v>
      </c>
    </row>
    <row r="1773" spans="1:10" x14ac:dyDescent="0.35">
      <c r="A1773" t="s">
        <v>598</v>
      </c>
      <c r="B1773" t="str">
        <f t="shared" si="56"/>
        <v>Normal Weight</v>
      </c>
      <c r="C1773">
        <v>23.6</v>
      </c>
      <c r="D1773">
        <v>4.33</v>
      </c>
      <c r="E1773" t="str">
        <f t="shared" si="57"/>
        <v>Normal</v>
      </c>
      <c r="F1773" t="s">
        <v>2380</v>
      </c>
      <c r="G1773" t="s">
        <v>2380</v>
      </c>
      <c r="H1773" t="s">
        <v>2380</v>
      </c>
      <c r="I1773">
        <v>0</v>
      </c>
      <c r="J1773" t="s">
        <v>2380</v>
      </c>
    </row>
    <row r="1774" spans="1:10" x14ac:dyDescent="0.35">
      <c r="A1774" t="s">
        <v>597</v>
      </c>
      <c r="B1774" t="str">
        <f t="shared" si="56"/>
        <v>Obesity</v>
      </c>
      <c r="C1774">
        <v>32.11</v>
      </c>
      <c r="D1774">
        <v>6.24</v>
      </c>
      <c r="E1774" t="str">
        <f t="shared" si="57"/>
        <v>Prediabetes</v>
      </c>
      <c r="F1774" t="s">
        <v>2380</v>
      </c>
      <c r="G1774" t="s">
        <v>2380</v>
      </c>
      <c r="H1774" t="s">
        <v>2382</v>
      </c>
      <c r="I1774">
        <v>1</v>
      </c>
      <c r="J1774" t="s">
        <v>2380</v>
      </c>
    </row>
    <row r="1775" spans="1:10" x14ac:dyDescent="0.35">
      <c r="A1775" t="s">
        <v>596</v>
      </c>
      <c r="B1775" t="str">
        <f t="shared" si="56"/>
        <v>Obesity</v>
      </c>
      <c r="C1775">
        <v>30.114999999999998</v>
      </c>
      <c r="D1775">
        <v>11.61</v>
      </c>
      <c r="E1775" t="str">
        <f t="shared" si="57"/>
        <v>Diabetes</v>
      </c>
      <c r="F1775" t="s">
        <v>2380</v>
      </c>
      <c r="G1775" t="s">
        <v>2380</v>
      </c>
      <c r="H1775" t="s">
        <v>2380</v>
      </c>
      <c r="I1775">
        <v>0</v>
      </c>
      <c r="J1775" t="s">
        <v>2380</v>
      </c>
    </row>
    <row r="1776" spans="1:10" x14ac:dyDescent="0.35">
      <c r="A1776" t="s">
        <v>595</v>
      </c>
      <c r="B1776" t="str">
        <f t="shared" si="56"/>
        <v>Normal Weight</v>
      </c>
      <c r="C1776">
        <v>20.28</v>
      </c>
      <c r="D1776">
        <v>11.07</v>
      </c>
      <c r="E1776" t="str">
        <f t="shared" si="57"/>
        <v>Diabetes</v>
      </c>
      <c r="F1776" t="s">
        <v>2381</v>
      </c>
      <c r="G1776" t="s">
        <v>2380</v>
      </c>
      <c r="H1776" t="s">
        <v>2380</v>
      </c>
      <c r="I1776">
        <v>0</v>
      </c>
      <c r="J1776" t="s">
        <v>2380</v>
      </c>
    </row>
    <row r="1777" spans="1:10" x14ac:dyDescent="0.35">
      <c r="A1777" t="s">
        <v>594</v>
      </c>
      <c r="B1777" t="str">
        <f t="shared" si="56"/>
        <v>Normal Weight</v>
      </c>
      <c r="C1777">
        <v>20.234999999999999</v>
      </c>
      <c r="D1777">
        <v>5.19</v>
      </c>
      <c r="E1777" t="str">
        <f t="shared" si="57"/>
        <v>Normal</v>
      </c>
      <c r="F1777" t="s">
        <v>2380</v>
      </c>
      <c r="G1777" t="s">
        <v>2380</v>
      </c>
      <c r="H1777" t="s">
        <v>2382</v>
      </c>
      <c r="I1777">
        <v>1</v>
      </c>
      <c r="J1777" t="s">
        <v>2380</v>
      </c>
    </row>
    <row r="1778" spans="1:10" x14ac:dyDescent="0.35">
      <c r="A1778" t="s">
        <v>593</v>
      </c>
      <c r="B1778" t="str">
        <f t="shared" si="56"/>
        <v>Overweight</v>
      </c>
      <c r="C1778">
        <v>25.27</v>
      </c>
      <c r="D1778">
        <v>5.7</v>
      </c>
      <c r="E1778" t="str">
        <f t="shared" si="57"/>
        <v>Prediabetes</v>
      </c>
      <c r="F1778" t="s">
        <v>2381</v>
      </c>
      <c r="G1778" t="s">
        <v>2380</v>
      </c>
      <c r="H1778" t="s">
        <v>2380</v>
      </c>
      <c r="I1778">
        <v>1</v>
      </c>
      <c r="J1778" t="s">
        <v>2380</v>
      </c>
    </row>
    <row r="1779" spans="1:10" x14ac:dyDescent="0.35">
      <c r="A1779" t="s">
        <v>592</v>
      </c>
      <c r="B1779" t="str">
        <f t="shared" si="56"/>
        <v>Normal Weight</v>
      </c>
      <c r="C1779">
        <v>24.24</v>
      </c>
      <c r="D1779">
        <v>6.15</v>
      </c>
      <c r="E1779" t="str">
        <f t="shared" si="57"/>
        <v>Prediabetes</v>
      </c>
      <c r="F1779" t="s">
        <v>2380</v>
      </c>
      <c r="G1779" t="s">
        <v>2380</v>
      </c>
      <c r="H1779" t="s">
        <v>2380</v>
      </c>
      <c r="I1779">
        <v>0</v>
      </c>
      <c r="J1779" t="s">
        <v>2380</v>
      </c>
    </row>
    <row r="1780" spans="1:10" x14ac:dyDescent="0.35">
      <c r="A1780" t="s">
        <v>591</v>
      </c>
      <c r="B1780" t="str">
        <f t="shared" si="56"/>
        <v>Obesity</v>
      </c>
      <c r="C1780">
        <v>35.75</v>
      </c>
      <c r="D1780">
        <v>5.07</v>
      </c>
      <c r="E1780" t="str">
        <f t="shared" si="57"/>
        <v>Normal</v>
      </c>
      <c r="F1780" t="s">
        <v>2380</v>
      </c>
      <c r="G1780" t="s">
        <v>2380</v>
      </c>
      <c r="H1780" t="s">
        <v>2380</v>
      </c>
      <c r="I1780">
        <v>0</v>
      </c>
      <c r="J1780" t="s">
        <v>2380</v>
      </c>
    </row>
    <row r="1781" spans="1:10" x14ac:dyDescent="0.35">
      <c r="A1781" t="s">
        <v>590</v>
      </c>
      <c r="B1781" t="str">
        <f t="shared" si="56"/>
        <v>Overweight</v>
      </c>
      <c r="C1781">
        <v>29.92</v>
      </c>
      <c r="D1781">
        <v>10.97</v>
      </c>
      <c r="E1781" t="str">
        <f t="shared" si="57"/>
        <v>Diabetes</v>
      </c>
      <c r="F1781" t="s">
        <v>2381</v>
      </c>
      <c r="G1781" t="s">
        <v>2380</v>
      </c>
      <c r="H1781" t="s">
        <v>2380</v>
      </c>
      <c r="I1781">
        <v>1</v>
      </c>
      <c r="J1781" t="s">
        <v>2380</v>
      </c>
    </row>
    <row r="1782" spans="1:10" x14ac:dyDescent="0.35">
      <c r="A1782" t="s">
        <v>589</v>
      </c>
      <c r="B1782" t="str">
        <f t="shared" si="56"/>
        <v>Overweight</v>
      </c>
      <c r="C1782">
        <v>26.2</v>
      </c>
      <c r="D1782">
        <v>10.93</v>
      </c>
      <c r="E1782" t="str">
        <f t="shared" si="57"/>
        <v>Diabetes</v>
      </c>
      <c r="F1782" t="s">
        <v>2381</v>
      </c>
      <c r="G1782" t="s">
        <v>2380</v>
      </c>
      <c r="H1782" t="s">
        <v>2380</v>
      </c>
      <c r="I1782">
        <v>1</v>
      </c>
      <c r="J1782" t="s">
        <v>2380</v>
      </c>
    </row>
    <row r="1783" spans="1:10" x14ac:dyDescent="0.35">
      <c r="A1783" t="s">
        <v>588</v>
      </c>
      <c r="B1783" t="str">
        <f t="shared" si="56"/>
        <v>Overweight</v>
      </c>
      <c r="C1783">
        <v>26.695</v>
      </c>
      <c r="D1783">
        <v>4.21</v>
      </c>
      <c r="E1783" t="str">
        <f t="shared" si="57"/>
        <v>Normal</v>
      </c>
      <c r="F1783" t="s">
        <v>2381</v>
      </c>
      <c r="G1783" t="s">
        <v>2380</v>
      </c>
      <c r="H1783" t="s">
        <v>2382</v>
      </c>
      <c r="I1783">
        <v>1</v>
      </c>
      <c r="J1783" t="s">
        <v>2380</v>
      </c>
    </row>
    <row r="1784" spans="1:10" x14ac:dyDescent="0.35">
      <c r="A1784" t="s">
        <v>587</v>
      </c>
      <c r="B1784" t="str">
        <f t="shared" si="56"/>
        <v>Normal Weight</v>
      </c>
      <c r="C1784">
        <v>23.16</v>
      </c>
      <c r="D1784">
        <v>5.5</v>
      </c>
      <c r="E1784" t="str">
        <f t="shared" si="57"/>
        <v>Normal</v>
      </c>
      <c r="F1784" t="s">
        <v>2380</v>
      </c>
      <c r="G1784" t="s">
        <v>2380</v>
      </c>
      <c r="H1784" t="s">
        <v>2380</v>
      </c>
      <c r="I1784">
        <v>0</v>
      </c>
      <c r="J1784" t="s">
        <v>2380</v>
      </c>
    </row>
    <row r="1785" spans="1:10" x14ac:dyDescent="0.35">
      <c r="A1785" t="s">
        <v>586</v>
      </c>
      <c r="B1785" t="str">
        <f t="shared" si="56"/>
        <v>Obesity</v>
      </c>
      <c r="C1785">
        <v>32.585000000000001</v>
      </c>
      <c r="D1785">
        <v>4.93</v>
      </c>
      <c r="E1785" t="str">
        <f t="shared" si="57"/>
        <v>Normal</v>
      </c>
      <c r="F1785" t="s">
        <v>2381</v>
      </c>
      <c r="G1785" t="s">
        <v>2380</v>
      </c>
      <c r="H1785" t="s">
        <v>2380</v>
      </c>
      <c r="I1785">
        <v>1</v>
      </c>
      <c r="J1785" t="s">
        <v>2380</v>
      </c>
    </row>
    <row r="1786" spans="1:10" x14ac:dyDescent="0.35">
      <c r="A1786" t="s">
        <v>585</v>
      </c>
      <c r="B1786" t="str">
        <f t="shared" si="56"/>
        <v>Obesity</v>
      </c>
      <c r="C1786">
        <v>33.97</v>
      </c>
      <c r="D1786">
        <v>5.6</v>
      </c>
      <c r="E1786" t="str">
        <f t="shared" si="57"/>
        <v>Normal</v>
      </c>
      <c r="F1786" t="s">
        <v>2381</v>
      </c>
      <c r="G1786" t="s">
        <v>2380</v>
      </c>
      <c r="H1786" t="s">
        <v>2380</v>
      </c>
      <c r="I1786">
        <v>0</v>
      </c>
      <c r="J1786" t="s">
        <v>2380</v>
      </c>
    </row>
    <row r="1787" spans="1:10" x14ac:dyDescent="0.35">
      <c r="A1787" t="s">
        <v>584</v>
      </c>
      <c r="B1787" t="str">
        <f t="shared" si="56"/>
        <v>Underweight</v>
      </c>
      <c r="C1787">
        <v>16.57</v>
      </c>
      <c r="D1787">
        <v>9.99</v>
      </c>
      <c r="E1787" t="str">
        <f t="shared" si="57"/>
        <v>Diabetes</v>
      </c>
      <c r="F1787" t="s">
        <v>2380</v>
      </c>
      <c r="G1787" t="s">
        <v>2380</v>
      </c>
      <c r="H1787" t="s">
        <v>2380</v>
      </c>
      <c r="I1787">
        <v>0</v>
      </c>
      <c r="J1787" t="s">
        <v>2380</v>
      </c>
    </row>
    <row r="1788" spans="1:10" x14ac:dyDescent="0.35">
      <c r="A1788" t="s">
        <v>583</v>
      </c>
      <c r="B1788" t="str">
        <f t="shared" si="56"/>
        <v>Underweight</v>
      </c>
      <c r="C1788">
        <v>17.55</v>
      </c>
      <c r="D1788">
        <v>5.93</v>
      </c>
      <c r="E1788" t="str">
        <f t="shared" si="57"/>
        <v>Prediabetes</v>
      </c>
      <c r="F1788" t="s">
        <v>2380</v>
      </c>
      <c r="G1788" t="s">
        <v>2380</v>
      </c>
      <c r="H1788" t="s">
        <v>2382</v>
      </c>
      <c r="I1788">
        <v>1</v>
      </c>
      <c r="J1788" t="s">
        <v>2380</v>
      </c>
    </row>
    <row r="1789" spans="1:10" x14ac:dyDescent="0.35">
      <c r="A1789" t="s">
        <v>582</v>
      </c>
      <c r="B1789" t="str">
        <f t="shared" si="56"/>
        <v>Overweight</v>
      </c>
      <c r="C1789">
        <v>29.41</v>
      </c>
      <c r="D1789">
        <v>6.29</v>
      </c>
      <c r="E1789" t="str">
        <f t="shared" si="57"/>
        <v>Prediabetes</v>
      </c>
      <c r="F1789" t="s">
        <v>2381</v>
      </c>
      <c r="G1789" t="s">
        <v>2380</v>
      </c>
      <c r="H1789" t="s">
        <v>2380</v>
      </c>
      <c r="I1789">
        <v>1</v>
      </c>
      <c r="J1789" t="s">
        <v>2380</v>
      </c>
    </row>
    <row r="1790" spans="1:10" x14ac:dyDescent="0.35">
      <c r="A1790" t="s">
        <v>581</v>
      </c>
      <c r="B1790" t="str">
        <f t="shared" si="56"/>
        <v>Underweight</v>
      </c>
      <c r="C1790">
        <v>17.91</v>
      </c>
      <c r="D1790">
        <v>5.65</v>
      </c>
      <c r="E1790" t="str">
        <f t="shared" si="57"/>
        <v>Normal</v>
      </c>
      <c r="F1790" t="s">
        <v>2380</v>
      </c>
      <c r="G1790" t="s">
        <v>2380</v>
      </c>
      <c r="H1790" t="s">
        <v>2380</v>
      </c>
      <c r="I1790">
        <v>1</v>
      </c>
      <c r="J1790" t="s">
        <v>2380</v>
      </c>
    </row>
    <row r="1791" spans="1:10" x14ac:dyDescent="0.35">
      <c r="A1791" t="s">
        <v>580</v>
      </c>
      <c r="B1791" t="str">
        <f t="shared" si="56"/>
        <v>Obesity</v>
      </c>
      <c r="C1791">
        <v>31.57</v>
      </c>
      <c r="D1791">
        <v>6.15</v>
      </c>
      <c r="E1791" t="str">
        <f t="shared" si="57"/>
        <v>Prediabetes</v>
      </c>
      <c r="F1791" t="s">
        <v>2380</v>
      </c>
      <c r="G1791" t="s">
        <v>2380</v>
      </c>
      <c r="H1791" t="s">
        <v>2380</v>
      </c>
      <c r="I1791">
        <v>1</v>
      </c>
      <c r="J1791" t="s">
        <v>2380</v>
      </c>
    </row>
    <row r="1792" spans="1:10" x14ac:dyDescent="0.35">
      <c r="A1792" t="s">
        <v>579</v>
      </c>
      <c r="B1792" t="str">
        <f t="shared" si="56"/>
        <v>Obesity</v>
      </c>
      <c r="C1792">
        <v>33.18</v>
      </c>
      <c r="D1792">
        <v>5.22</v>
      </c>
      <c r="E1792" t="str">
        <f t="shared" si="57"/>
        <v>Normal</v>
      </c>
      <c r="F1792" t="s">
        <v>2380</v>
      </c>
      <c r="G1792" t="s">
        <v>2381</v>
      </c>
      <c r="H1792" t="s">
        <v>2380</v>
      </c>
      <c r="I1792">
        <v>1</v>
      </c>
      <c r="J1792" t="s">
        <v>2380</v>
      </c>
    </row>
    <row r="1793" spans="1:10" x14ac:dyDescent="0.35">
      <c r="A1793" t="s">
        <v>578</v>
      </c>
      <c r="B1793" t="str">
        <f t="shared" si="56"/>
        <v>Obesity</v>
      </c>
      <c r="C1793">
        <v>37</v>
      </c>
      <c r="D1793">
        <v>11.66</v>
      </c>
      <c r="E1793" t="str">
        <f t="shared" si="57"/>
        <v>Diabetes</v>
      </c>
      <c r="F1793" t="s">
        <v>2380</v>
      </c>
      <c r="G1793" t="s">
        <v>2380</v>
      </c>
      <c r="H1793" t="s">
        <v>2380</v>
      </c>
      <c r="I1793">
        <v>0</v>
      </c>
      <c r="J1793" t="s">
        <v>2380</v>
      </c>
    </row>
    <row r="1794" spans="1:10" x14ac:dyDescent="0.35">
      <c r="A1794" t="s">
        <v>577</v>
      </c>
      <c r="B1794" t="str">
        <f t="shared" si="56"/>
        <v>Normal Weight</v>
      </c>
      <c r="C1794">
        <v>18.905000000000001</v>
      </c>
      <c r="D1794">
        <v>4.91</v>
      </c>
      <c r="E1794" t="str">
        <f t="shared" si="57"/>
        <v>Normal</v>
      </c>
      <c r="F1794" t="s">
        <v>2381</v>
      </c>
      <c r="G1794" t="s">
        <v>2380</v>
      </c>
      <c r="H1794" t="s">
        <v>2380</v>
      </c>
      <c r="I1794">
        <v>1</v>
      </c>
      <c r="J1794" t="s">
        <v>2380</v>
      </c>
    </row>
    <row r="1795" spans="1:10" x14ac:dyDescent="0.35">
      <c r="A1795" t="s">
        <v>576</v>
      </c>
      <c r="B1795" t="str">
        <f t="shared" ref="B1795:B1858" si="58">IF(C1795&lt;18.5,"Underweight",IF(C1795&lt;25,"Normal Weight",IF(C1795&lt;30,"Overweight","Obesity")))</f>
        <v>Normal Weight</v>
      </c>
      <c r="C1795">
        <v>20.03</v>
      </c>
      <c r="D1795">
        <v>9.25</v>
      </c>
      <c r="E1795" t="str">
        <f t="shared" ref="E1795:E1858" si="59">IF(D1795&lt;5.7,"Normal",IF(D1795&lt;6.5,"Prediabetes","Diabetes"))</f>
        <v>Diabetes</v>
      </c>
      <c r="F1795" t="s">
        <v>2381</v>
      </c>
      <c r="G1795" t="s">
        <v>2380</v>
      </c>
      <c r="H1795" t="s">
        <v>2380</v>
      </c>
      <c r="I1795">
        <v>0</v>
      </c>
      <c r="J1795" t="s">
        <v>2380</v>
      </c>
    </row>
    <row r="1796" spans="1:10" x14ac:dyDescent="0.35">
      <c r="A1796" t="s">
        <v>575</v>
      </c>
      <c r="B1796" t="str">
        <f t="shared" si="58"/>
        <v>Underweight</v>
      </c>
      <c r="C1796">
        <v>16.7</v>
      </c>
      <c r="D1796">
        <v>11.48</v>
      </c>
      <c r="E1796" t="str">
        <f t="shared" si="59"/>
        <v>Diabetes</v>
      </c>
      <c r="F1796" t="s">
        <v>2380</v>
      </c>
      <c r="G1796" t="s">
        <v>2380</v>
      </c>
      <c r="H1796" t="s">
        <v>2380</v>
      </c>
      <c r="I1796">
        <v>0</v>
      </c>
      <c r="J1796" t="s">
        <v>2380</v>
      </c>
    </row>
    <row r="1797" spans="1:10" x14ac:dyDescent="0.35">
      <c r="A1797" t="s">
        <v>574</v>
      </c>
      <c r="B1797" t="str">
        <f t="shared" si="58"/>
        <v>Obesity</v>
      </c>
      <c r="C1797">
        <v>39.82</v>
      </c>
      <c r="D1797">
        <v>6.06</v>
      </c>
      <c r="E1797" t="str">
        <f t="shared" si="59"/>
        <v>Prediabetes</v>
      </c>
      <c r="F1797" t="s">
        <v>2380</v>
      </c>
      <c r="G1797" t="s">
        <v>2380</v>
      </c>
      <c r="H1797" t="s">
        <v>2380</v>
      </c>
      <c r="I1797">
        <v>0</v>
      </c>
      <c r="J1797" t="s">
        <v>2380</v>
      </c>
    </row>
    <row r="1798" spans="1:10" x14ac:dyDescent="0.35">
      <c r="A1798" t="s">
        <v>573</v>
      </c>
      <c r="B1798" t="str">
        <f t="shared" si="58"/>
        <v>Normal Weight</v>
      </c>
      <c r="C1798">
        <v>22.04</v>
      </c>
      <c r="D1798">
        <v>5.86</v>
      </c>
      <c r="E1798" t="str">
        <f t="shared" si="59"/>
        <v>Prediabetes</v>
      </c>
      <c r="F1798" t="s">
        <v>2380</v>
      </c>
      <c r="G1798" t="s">
        <v>2380</v>
      </c>
      <c r="H1798" t="s">
        <v>2380</v>
      </c>
      <c r="I1798">
        <v>1</v>
      </c>
      <c r="J1798" t="s">
        <v>2380</v>
      </c>
    </row>
    <row r="1799" spans="1:10" x14ac:dyDescent="0.35">
      <c r="A1799" t="s">
        <v>572</v>
      </c>
      <c r="B1799" t="str">
        <f t="shared" si="58"/>
        <v>Overweight</v>
      </c>
      <c r="C1799">
        <v>28.27</v>
      </c>
      <c r="D1799">
        <v>5.33</v>
      </c>
      <c r="E1799" t="str">
        <f t="shared" si="59"/>
        <v>Normal</v>
      </c>
      <c r="F1799" t="s">
        <v>2380</v>
      </c>
      <c r="G1799" t="s">
        <v>2380</v>
      </c>
      <c r="H1799" t="s">
        <v>2380</v>
      </c>
      <c r="I1799">
        <v>0</v>
      </c>
      <c r="J1799" t="s">
        <v>2380</v>
      </c>
    </row>
    <row r="1800" spans="1:10" x14ac:dyDescent="0.35">
      <c r="A1800" t="s">
        <v>571</v>
      </c>
      <c r="B1800" t="str">
        <f t="shared" si="58"/>
        <v>Normal Weight</v>
      </c>
      <c r="C1800">
        <v>18.5</v>
      </c>
      <c r="D1800">
        <v>5.33</v>
      </c>
      <c r="E1800" t="str">
        <f t="shared" si="59"/>
        <v>Normal</v>
      </c>
      <c r="F1800" t="s">
        <v>2380</v>
      </c>
      <c r="G1800" t="s">
        <v>2380</v>
      </c>
      <c r="H1800" t="s">
        <v>2380</v>
      </c>
      <c r="I1800">
        <v>0</v>
      </c>
      <c r="J1800" t="s">
        <v>2380</v>
      </c>
    </row>
    <row r="1801" spans="1:10" x14ac:dyDescent="0.35">
      <c r="A1801" t="s">
        <v>570</v>
      </c>
      <c r="B1801" t="str">
        <f t="shared" si="58"/>
        <v>Obesity</v>
      </c>
      <c r="C1801">
        <v>38.6</v>
      </c>
      <c r="D1801">
        <v>6.02</v>
      </c>
      <c r="E1801" t="str">
        <f t="shared" si="59"/>
        <v>Prediabetes</v>
      </c>
      <c r="F1801" t="s">
        <v>2380</v>
      </c>
      <c r="G1801" t="s">
        <v>2380</v>
      </c>
      <c r="H1801" t="s">
        <v>2380</v>
      </c>
      <c r="I1801">
        <v>1</v>
      </c>
      <c r="J1801" t="s">
        <v>2380</v>
      </c>
    </row>
    <row r="1802" spans="1:10" x14ac:dyDescent="0.35">
      <c r="A1802" t="s">
        <v>569</v>
      </c>
      <c r="B1802" t="str">
        <f t="shared" si="58"/>
        <v>Obesity</v>
      </c>
      <c r="C1802">
        <v>43.12</v>
      </c>
      <c r="D1802">
        <v>6.25</v>
      </c>
      <c r="E1802" t="str">
        <f t="shared" si="59"/>
        <v>Prediabetes</v>
      </c>
      <c r="F1802" t="s">
        <v>2380</v>
      </c>
      <c r="G1802" t="s">
        <v>2380</v>
      </c>
      <c r="H1802" t="s">
        <v>2380</v>
      </c>
      <c r="I1802">
        <v>1</v>
      </c>
      <c r="J1802" t="s">
        <v>2380</v>
      </c>
    </row>
    <row r="1803" spans="1:10" x14ac:dyDescent="0.35">
      <c r="A1803" t="s">
        <v>568</v>
      </c>
      <c r="B1803" t="str">
        <f t="shared" si="58"/>
        <v>Obesity</v>
      </c>
      <c r="C1803">
        <v>30.5</v>
      </c>
      <c r="D1803">
        <v>4.8099999999999996</v>
      </c>
      <c r="E1803" t="str">
        <f t="shared" si="59"/>
        <v>Normal</v>
      </c>
      <c r="F1803" t="s">
        <v>2380</v>
      </c>
      <c r="G1803" t="s">
        <v>2380</v>
      </c>
      <c r="H1803" t="s">
        <v>2380</v>
      </c>
      <c r="I1803">
        <v>1</v>
      </c>
      <c r="J1803" t="s">
        <v>2380</v>
      </c>
    </row>
    <row r="1804" spans="1:10" x14ac:dyDescent="0.35">
      <c r="A1804" t="s">
        <v>567</v>
      </c>
      <c r="B1804" t="str">
        <f t="shared" si="58"/>
        <v>Overweight</v>
      </c>
      <c r="C1804">
        <v>27.61</v>
      </c>
      <c r="D1804">
        <v>4.5999999999999996</v>
      </c>
      <c r="E1804" t="str">
        <f t="shared" si="59"/>
        <v>Normal</v>
      </c>
      <c r="F1804" t="s">
        <v>2380</v>
      </c>
      <c r="G1804" t="s">
        <v>2380</v>
      </c>
      <c r="H1804" t="s">
        <v>2380</v>
      </c>
      <c r="I1804">
        <v>1</v>
      </c>
      <c r="J1804" t="s">
        <v>2380</v>
      </c>
    </row>
    <row r="1805" spans="1:10" x14ac:dyDescent="0.35">
      <c r="A1805" t="s">
        <v>566</v>
      </c>
      <c r="B1805" t="str">
        <f t="shared" si="58"/>
        <v>Overweight</v>
      </c>
      <c r="C1805">
        <v>27.1</v>
      </c>
      <c r="D1805">
        <v>5.08</v>
      </c>
      <c r="E1805" t="str">
        <f t="shared" si="59"/>
        <v>Normal</v>
      </c>
      <c r="F1805" t="s">
        <v>2380</v>
      </c>
      <c r="G1805" t="s">
        <v>2380</v>
      </c>
      <c r="H1805" t="s">
        <v>2380</v>
      </c>
      <c r="I1805">
        <v>1</v>
      </c>
      <c r="J1805" t="s">
        <v>2380</v>
      </c>
    </row>
    <row r="1806" spans="1:10" x14ac:dyDescent="0.35">
      <c r="A1806" t="s">
        <v>565</v>
      </c>
      <c r="B1806" t="str">
        <f t="shared" si="58"/>
        <v>Obesity</v>
      </c>
      <c r="C1806">
        <v>35.93</v>
      </c>
      <c r="D1806">
        <v>5.43</v>
      </c>
      <c r="E1806" t="str">
        <f t="shared" si="59"/>
        <v>Normal</v>
      </c>
      <c r="F1806" t="s">
        <v>2380</v>
      </c>
      <c r="G1806" t="s">
        <v>2381</v>
      </c>
      <c r="H1806" t="s">
        <v>2380</v>
      </c>
      <c r="I1806">
        <v>1</v>
      </c>
      <c r="J1806" t="s">
        <v>2380</v>
      </c>
    </row>
    <row r="1807" spans="1:10" x14ac:dyDescent="0.35">
      <c r="A1807" t="s">
        <v>564</v>
      </c>
      <c r="B1807" t="str">
        <f t="shared" si="58"/>
        <v>Obesity</v>
      </c>
      <c r="C1807">
        <v>32.68</v>
      </c>
      <c r="D1807">
        <v>5.44</v>
      </c>
      <c r="E1807" t="str">
        <f t="shared" si="59"/>
        <v>Normal</v>
      </c>
      <c r="F1807" t="s">
        <v>2380</v>
      </c>
      <c r="G1807" t="s">
        <v>2380</v>
      </c>
      <c r="H1807" t="s">
        <v>2380</v>
      </c>
      <c r="I1807">
        <v>0</v>
      </c>
      <c r="J1807" t="s">
        <v>2380</v>
      </c>
    </row>
    <row r="1808" spans="1:10" x14ac:dyDescent="0.35">
      <c r="A1808" t="s">
        <v>563</v>
      </c>
      <c r="B1808" t="str">
        <f t="shared" si="58"/>
        <v>Normal Weight</v>
      </c>
      <c r="C1808">
        <v>20.74</v>
      </c>
      <c r="D1808">
        <v>11.69</v>
      </c>
      <c r="E1808" t="str">
        <f t="shared" si="59"/>
        <v>Diabetes</v>
      </c>
      <c r="F1808" t="s">
        <v>2381</v>
      </c>
      <c r="G1808" t="s">
        <v>2380</v>
      </c>
      <c r="H1808" t="s">
        <v>2380</v>
      </c>
      <c r="I1808">
        <v>1</v>
      </c>
      <c r="J1808" t="s">
        <v>2380</v>
      </c>
    </row>
    <row r="1809" spans="1:10" x14ac:dyDescent="0.35">
      <c r="A1809" t="s">
        <v>562</v>
      </c>
      <c r="B1809" t="str">
        <f t="shared" si="58"/>
        <v>Underweight</v>
      </c>
      <c r="C1809">
        <v>15.57</v>
      </c>
      <c r="D1809">
        <v>6.07</v>
      </c>
      <c r="E1809" t="str">
        <f t="shared" si="59"/>
        <v>Prediabetes</v>
      </c>
      <c r="F1809" t="s">
        <v>2380</v>
      </c>
      <c r="G1809" t="s">
        <v>2380</v>
      </c>
      <c r="H1809" t="s">
        <v>2380</v>
      </c>
      <c r="I1809">
        <v>0</v>
      </c>
      <c r="J1809" t="s">
        <v>2380</v>
      </c>
    </row>
    <row r="1810" spans="1:10" x14ac:dyDescent="0.35">
      <c r="A1810" t="s">
        <v>561</v>
      </c>
      <c r="B1810" t="str">
        <f t="shared" si="58"/>
        <v>Normal Weight</v>
      </c>
      <c r="C1810">
        <v>23.844999999999999</v>
      </c>
      <c r="D1810">
        <v>4.3600000000000003</v>
      </c>
      <c r="E1810" t="str">
        <f t="shared" si="59"/>
        <v>Normal</v>
      </c>
      <c r="F1810" t="s">
        <v>2380</v>
      </c>
      <c r="G1810" t="s">
        <v>2380</v>
      </c>
      <c r="H1810" t="s">
        <v>2380</v>
      </c>
      <c r="I1810">
        <v>0</v>
      </c>
      <c r="J1810" t="s">
        <v>2380</v>
      </c>
    </row>
    <row r="1811" spans="1:10" x14ac:dyDescent="0.35">
      <c r="A1811" t="s">
        <v>560</v>
      </c>
      <c r="B1811" t="str">
        <f t="shared" si="58"/>
        <v>Normal Weight</v>
      </c>
      <c r="C1811">
        <v>22.895</v>
      </c>
      <c r="D1811">
        <v>5.24</v>
      </c>
      <c r="E1811" t="str">
        <f t="shared" si="59"/>
        <v>Normal</v>
      </c>
      <c r="F1811" t="s">
        <v>2380</v>
      </c>
      <c r="G1811" t="s">
        <v>2380</v>
      </c>
      <c r="H1811" t="s">
        <v>2380</v>
      </c>
      <c r="I1811">
        <v>1</v>
      </c>
      <c r="J1811" t="s">
        <v>2380</v>
      </c>
    </row>
    <row r="1812" spans="1:10" x14ac:dyDescent="0.35">
      <c r="A1812" t="s">
        <v>559</v>
      </c>
      <c r="B1812" t="str">
        <f t="shared" si="58"/>
        <v>Normal Weight</v>
      </c>
      <c r="C1812">
        <v>21.945</v>
      </c>
      <c r="D1812">
        <v>5.37</v>
      </c>
      <c r="E1812" t="str">
        <f t="shared" si="59"/>
        <v>Normal</v>
      </c>
      <c r="F1812" t="s">
        <v>2380</v>
      </c>
      <c r="G1812" t="s">
        <v>2380</v>
      </c>
      <c r="H1812" t="s">
        <v>2380</v>
      </c>
      <c r="I1812">
        <v>1</v>
      </c>
      <c r="J1812" t="s">
        <v>2380</v>
      </c>
    </row>
    <row r="1813" spans="1:10" x14ac:dyDescent="0.35">
      <c r="A1813" t="s">
        <v>558</v>
      </c>
      <c r="B1813" t="str">
        <f t="shared" si="58"/>
        <v>Normal Weight</v>
      </c>
      <c r="C1813">
        <v>19.47</v>
      </c>
      <c r="D1813">
        <v>6.6</v>
      </c>
      <c r="E1813" t="str">
        <f t="shared" si="59"/>
        <v>Diabetes</v>
      </c>
      <c r="F1813" t="s">
        <v>2381</v>
      </c>
      <c r="G1813" t="s">
        <v>2380</v>
      </c>
      <c r="H1813" t="s">
        <v>2380</v>
      </c>
      <c r="I1813">
        <v>0</v>
      </c>
      <c r="J1813" t="s">
        <v>2380</v>
      </c>
    </row>
    <row r="1814" spans="1:10" x14ac:dyDescent="0.35">
      <c r="A1814" t="s">
        <v>557</v>
      </c>
      <c r="B1814" t="str">
        <f t="shared" si="58"/>
        <v>Underweight</v>
      </c>
      <c r="C1814">
        <v>15.61</v>
      </c>
      <c r="D1814">
        <v>5.77</v>
      </c>
      <c r="E1814" t="str">
        <f t="shared" si="59"/>
        <v>Prediabetes</v>
      </c>
      <c r="F1814" t="s">
        <v>2380</v>
      </c>
      <c r="G1814" t="s">
        <v>2380</v>
      </c>
      <c r="H1814" t="s">
        <v>2380</v>
      </c>
      <c r="I1814">
        <v>0</v>
      </c>
      <c r="J1814" t="s">
        <v>2380</v>
      </c>
    </row>
    <row r="1815" spans="1:10" x14ac:dyDescent="0.35">
      <c r="A1815" t="s">
        <v>556</v>
      </c>
      <c r="B1815" t="str">
        <f t="shared" si="58"/>
        <v>Overweight</v>
      </c>
      <c r="C1815">
        <v>28.6</v>
      </c>
      <c r="D1815">
        <v>6.08</v>
      </c>
      <c r="E1815" t="str">
        <f t="shared" si="59"/>
        <v>Prediabetes</v>
      </c>
      <c r="F1815" t="s">
        <v>2380</v>
      </c>
      <c r="G1815" t="s">
        <v>2380</v>
      </c>
      <c r="H1815" t="s">
        <v>2382</v>
      </c>
      <c r="I1815">
        <v>1</v>
      </c>
      <c r="J1815" t="s">
        <v>2380</v>
      </c>
    </row>
    <row r="1816" spans="1:10" x14ac:dyDescent="0.35">
      <c r="A1816" t="s">
        <v>555</v>
      </c>
      <c r="B1816" t="str">
        <f t="shared" si="58"/>
        <v>Obesity</v>
      </c>
      <c r="C1816">
        <v>46.53</v>
      </c>
      <c r="D1816">
        <v>4.16</v>
      </c>
      <c r="E1816" t="str">
        <f t="shared" si="59"/>
        <v>Normal</v>
      </c>
      <c r="F1816" t="s">
        <v>2380</v>
      </c>
      <c r="G1816" t="s">
        <v>2380</v>
      </c>
      <c r="H1816" t="s">
        <v>2380</v>
      </c>
      <c r="I1816">
        <v>0</v>
      </c>
      <c r="J1816" t="s">
        <v>2380</v>
      </c>
    </row>
    <row r="1817" spans="1:10" x14ac:dyDescent="0.35">
      <c r="A1817" t="s">
        <v>554</v>
      </c>
      <c r="B1817" t="str">
        <f t="shared" si="58"/>
        <v>Obesity</v>
      </c>
      <c r="C1817">
        <v>34.99</v>
      </c>
      <c r="D1817">
        <v>5.0999999999999996</v>
      </c>
      <c r="E1817" t="str">
        <f t="shared" si="59"/>
        <v>Normal</v>
      </c>
      <c r="F1817" t="s">
        <v>2380</v>
      </c>
      <c r="G1817" t="s">
        <v>2380</v>
      </c>
      <c r="H1817" t="s">
        <v>2382</v>
      </c>
      <c r="I1817">
        <v>1</v>
      </c>
      <c r="J1817" t="s">
        <v>2380</v>
      </c>
    </row>
    <row r="1818" spans="1:10" x14ac:dyDescent="0.35">
      <c r="A1818" t="s">
        <v>553</v>
      </c>
      <c r="B1818" t="str">
        <f t="shared" si="58"/>
        <v>Underweight</v>
      </c>
      <c r="C1818">
        <v>17.05</v>
      </c>
      <c r="D1818">
        <v>5.3</v>
      </c>
      <c r="E1818" t="str">
        <f t="shared" si="59"/>
        <v>Normal</v>
      </c>
      <c r="F1818" t="s">
        <v>2380</v>
      </c>
      <c r="G1818" t="s">
        <v>2380</v>
      </c>
      <c r="H1818" t="s">
        <v>2382</v>
      </c>
      <c r="I1818">
        <v>1</v>
      </c>
      <c r="J1818" t="s">
        <v>2380</v>
      </c>
    </row>
    <row r="1819" spans="1:10" x14ac:dyDescent="0.35">
      <c r="A1819" t="s">
        <v>552</v>
      </c>
      <c r="B1819" t="str">
        <f t="shared" si="58"/>
        <v>Obesity</v>
      </c>
      <c r="C1819">
        <v>37.18</v>
      </c>
      <c r="D1819">
        <v>4.9000000000000004</v>
      </c>
      <c r="E1819" t="str">
        <f t="shared" si="59"/>
        <v>Normal</v>
      </c>
      <c r="F1819" t="s">
        <v>2380</v>
      </c>
      <c r="G1819" t="s">
        <v>2380</v>
      </c>
      <c r="H1819" t="s">
        <v>2380</v>
      </c>
      <c r="I1819">
        <v>0</v>
      </c>
      <c r="J1819" t="s">
        <v>2380</v>
      </c>
    </row>
    <row r="1820" spans="1:10" x14ac:dyDescent="0.35">
      <c r="A1820" t="s">
        <v>551</v>
      </c>
      <c r="B1820" t="str">
        <f t="shared" si="58"/>
        <v>Obesity</v>
      </c>
      <c r="C1820">
        <v>35.200000000000003</v>
      </c>
      <c r="D1820">
        <v>5.55</v>
      </c>
      <c r="E1820" t="str">
        <f t="shared" si="59"/>
        <v>Normal</v>
      </c>
      <c r="F1820" t="s">
        <v>2380</v>
      </c>
      <c r="G1820" t="s">
        <v>2380</v>
      </c>
      <c r="H1820" t="s">
        <v>2380</v>
      </c>
      <c r="I1820">
        <v>0</v>
      </c>
      <c r="J1820" t="s">
        <v>2380</v>
      </c>
    </row>
    <row r="1821" spans="1:10" x14ac:dyDescent="0.35">
      <c r="A1821" t="s">
        <v>550</v>
      </c>
      <c r="B1821" t="str">
        <f t="shared" si="58"/>
        <v>Obesity</v>
      </c>
      <c r="C1821">
        <v>37.335000000000001</v>
      </c>
      <c r="D1821">
        <v>4.95</v>
      </c>
      <c r="E1821" t="str">
        <f t="shared" si="59"/>
        <v>Normal</v>
      </c>
      <c r="F1821" t="s">
        <v>2380</v>
      </c>
      <c r="G1821" t="s">
        <v>2380</v>
      </c>
      <c r="H1821" t="s">
        <v>2380</v>
      </c>
      <c r="I1821">
        <v>0</v>
      </c>
      <c r="J1821" t="s">
        <v>2380</v>
      </c>
    </row>
    <row r="1822" spans="1:10" x14ac:dyDescent="0.35">
      <c r="A1822" t="s">
        <v>549</v>
      </c>
      <c r="B1822" t="str">
        <f t="shared" si="58"/>
        <v>Overweight</v>
      </c>
      <c r="C1822">
        <v>27.265000000000001</v>
      </c>
      <c r="D1822">
        <v>6.46</v>
      </c>
      <c r="E1822" t="str">
        <f t="shared" si="59"/>
        <v>Prediabetes</v>
      </c>
      <c r="F1822" t="s">
        <v>2381</v>
      </c>
      <c r="G1822" t="s">
        <v>2380</v>
      </c>
      <c r="H1822" t="s">
        <v>2380</v>
      </c>
      <c r="I1822">
        <v>0</v>
      </c>
      <c r="J1822" t="s">
        <v>2380</v>
      </c>
    </row>
    <row r="1823" spans="1:10" x14ac:dyDescent="0.35">
      <c r="A1823" t="s">
        <v>548</v>
      </c>
      <c r="B1823" t="str">
        <f t="shared" si="58"/>
        <v>Obesity</v>
      </c>
      <c r="C1823">
        <v>30.8</v>
      </c>
      <c r="D1823">
        <v>4.9000000000000004</v>
      </c>
      <c r="E1823" t="str">
        <f t="shared" si="59"/>
        <v>Normal</v>
      </c>
      <c r="F1823" t="s">
        <v>2381</v>
      </c>
      <c r="G1823" t="s">
        <v>2380</v>
      </c>
      <c r="H1823" t="s">
        <v>2380</v>
      </c>
      <c r="I1823">
        <v>0</v>
      </c>
      <c r="J1823" t="s">
        <v>2380</v>
      </c>
    </row>
    <row r="1824" spans="1:10" x14ac:dyDescent="0.35">
      <c r="A1824" t="s">
        <v>547</v>
      </c>
      <c r="B1824" t="str">
        <f t="shared" si="58"/>
        <v>Obesity</v>
      </c>
      <c r="C1824">
        <v>30.21</v>
      </c>
      <c r="D1824">
        <v>5.21</v>
      </c>
      <c r="E1824" t="str">
        <f t="shared" si="59"/>
        <v>Normal</v>
      </c>
      <c r="F1824" t="s">
        <v>2380</v>
      </c>
      <c r="G1824" t="s">
        <v>2380</v>
      </c>
      <c r="H1824" t="s">
        <v>2380</v>
      </c>
      <c r="I1824">
        <v>1</v>
      </c>
      <c r="J1824" t="s">
        <v>2380</v>
      </c>
    </row>
    <row r="1825" spans="1:10" x14ac:dyDescent="0.35">
      <c r="A1825" t="s">
        <v>546</v>
      </c>
      <c r="B1825" t="str">
        <f t="shared" si="58"/>
        <v>Obesity</v>
      </c>
      <c r="C1825">
        <v>35.340000000000003</v>
      </c>
      <c r="D1825">
        <v>4.13</v>
      </c>
      <c r="E1825" t="str">
        <f t="shared" si="59"/>
        <v>Normal</v>
      </c>
      <c r="F1825" t="s">
        <v>2380</v>
      </c>
      <c r="G1825" t="s">
        <v>2381</v>
      </c>
      <c r="H1825" t="s">
        <v>2380</v>
      </c>
      <c r="I1825">
        <v>1</v>
      </c>
      <c r="J1825" t="s">
        <v>2380</v>
      </c>
    </row>
    <row r="1826" spans="1:10" x14ac:dyDescent="0.35">
      <c r="A1826" t="s">
        <v>545</v>
      </c>
      <c r="B1826" t="str">
        <f t="shared" si="58"/>
        <v>Overweight</v>
      </c>
      <c r="C1826">
        <v>26.695</v>
      </c>
      <c r="D1826">
        <v>5.28</v>
      </c>
      <c r="E1826" t="str">
        <f t="shared" si="59"/>
        <v>Normal</v>
      </c>
      <c r="F1826" t="s">
        <v>2380</v>
      </c>
      <c r="G1826" t="s">
        <v>2380</v>
      </c>
      <c r="H1826" t="s">
        <v>2380</v>
      </c>
      <c r="I1826">
        <v>0</v>
      </c>
      <c r="J1826" t="s">
        <v>2380</v>
      </c>
    </row>
    <row r="1827" spans="1:10" x14ac:dyDescent="0.35">
      <c r="A1827" t="s">
        <v>544</v>
      </c>
      <c r="B1827" t="str">
        <f t="shared" si="58"/>
        <v>Overweight</v>
      </c>
      <c r="C1827">
        <v>29.355</v>
      </c>
      <c r="D1827">
        <v>4.68</v>
      </c>
      <c r="E1827" t="str">
        <f t="shared" si="59"/>
        <v>Normal</v>
      </c>
      <c r="F1827" t="s">
        <v>2381</v>
      </c>
      <c r="G1827" t="s">
        <v>2380</v>
      </c>
      <c r="H1827" t="s">
        <v>2380</v>
      </c>
      <c r="I1827">
        <v>0</v>
      </c>
      <c r="J1827" t="s">
        <v>2380</v>
      </c>
    </row>
    <row r="1828" spans="1:10" x14ac:dyDescent="0.35">
      <c r="A1828" t="s">
        <v>543</v>
      </c>
      <c r="B1828" t="str">
        <f t="shared" si="58"/>
        <v>Overweight</v>
      </c>
      <c r="C1828">
        <v>29.59</v>
      </c>
      <c r="D1828">
        <v>4.0599999999999996</v>
      </c>
      <c r="E1828" t="str">
        <f t="shared" si="59"/>
        <v>Normal</v>
      </c>
      <c r="F1828" t="s">
        <v>2380</v>
      </c>
      <c r="G1828" t="s">
        <v>2380</v>
      </c>
      <c r="H1828" t="s">
        <v>2380</v>
      </c>
      <c r="I1828">
        <v>0</v>
      </c>
      <c r="J1828" t="s">
        <v>2380</v>
      </c>
    </row>
    <row r="1829" spans="1:10" x14ac:dyDescent="0.35">
      <c r="A1829" t="s">
        <v>542</v>
      </c>
      <c r="B1829" t="str">
        <f t="shared" si="58"/>
        <v>Obesity</v>
      </c>
      <c r="C1829">
        <v>31.35</v>
      </c>
      <c r="D1829">
        <v>4.2</v>
      </c>
      <c r="E1829" t="str">
        <f t="shared" si="59"/>
        <v>Normal</v>
      </c>
      <c r="F1829" t="s">
        <v>2380</v>
      </c>
      <c r="G1829" t="s">
        <v>2381</v>
      </c>
      <c r="H1829" t="s">
        <v>2380</v>
      </c>
      <c r="I1829">
        <v>1</v>
      </c>
      <c r="J1829" t="s">
        <v>2380</v>
      </c>
    </row>
    <row r="1830" spans="1:10" x14ac:dyDescent="0.35">
      <c r="A1830" t="s">
        <v>541</v>
      </c>
      <c r="B1830" t="str">
        <f t="shared" si="58"/>
        <v>Normal Weight</v>
      </c>
      <c r="C1830">
        <v>20.52</v>
      </c>
      <c r="D1830">
        <v>4.83</v>
      </c>
      <c r="E1830" t="str">
        <f t="shared" si="59"/>
        <v>Normal</v>
      </c>
      <c r="F1830" t="s">
        <v>2380</v>
      </c>
      <c r="G1830" t="s">
        <v>2380</v>
      </c>
      <c r="H1830" t="s">
        <v>2380</v>
      </c>
      <c r="I1830">
        <v>0</v>
      </c>
      <c r="J1830" t="s">
        <v>2380</v>
      </c>
    </row>
    <row r="1831" spans="1:10" x14ac:dyDescent="0.35">
      <c r="A1831" t="s">
        <v>540</v>
      </c>
      <c r="B1831" t="str">
        <f t="shared" si="58"/>
        <v>Obesity</v>
      </c>
      <c r="C1831">
        <v>42.9</v>
      </c>
      <c r="D1831">
        <v>4.87</v>
      </c>
      <c r="E1831" t="str">
        <f t="shared" si="59"/>
        <v>Normal</v>
      </c>
      <c r="F1831" t="s">
        <v>2381</v>
      </c>
      <c r="G1831" t="s">
        <v>2380</v>
      </c>
      <c r="H1831" t="s">
        <v>2380</v>
      </c>
      <c r="I1831">
        <v>1</v>
      </c>
      <c r="J1831" t="s">
        <v>2380</v>
      </c>
    </row>
    <row r="1832" spans="1:10" x14ac:dyDescent="0.35">
      <c r="A1832" t="s">
        <v>539</v>
      </c>
      <c r="B1832" t="str">
        <f t="shared" si="58"/>
        <v>Normal Weight</v>
      </c>
      <c r="C1832">
        <v>24.6</v>
      </c>
      <c r="D1832">
        <v>5.86</v>
      </c>
      <c r="E1832" t="str">
        <f t="shared" si="59"/>
        <v>Prediabetes</v>
      </c>
      <c r="F1832" t="s">
        <v>2380</v>
      </c>
      <c r="G1832" t="s">
        <v>2380</v>
      </c>
      <c r="H1832" t="s">
        <v>2382</v>
      </c>
      <c r="I1832">
        <v>1</v>
      </c>
      <c r="J1832" t="s">
        <v>2380</v>
      </c>
    </row>
    <row r="1833" spans="1:10" x14ac:dyDescent="0.35">
      <c r="A1833" t="s">
        <v>538</v>
      </c>
      <c r="B1833" t="str">
        <f t="shared" si="58"/>
        <v>Overweight</v>
      </c>
      <c r="C1833">
        <v>28.405000000000001</v>
      </c>
      <c r="D1833">
        <v>4.12</v>
      </c>
      <c r="E1833" t="str">
        <f t="shared" si="59"/>
        <v>Normal</v>
      </c>
      <c r="F1833" t="s">
        <v>2380</v>
      </c>
      <c r="G1833" t="s">
        <v>2380</v>
      </c>
      <c r="H1833" t="s">
        <v>2380</v>
      </c>
      <c r="I1833">
        <v>1</v>
      </c>
      <c r="J1833" t="s">
        <v>2380</v>
      </c>
    </row>
    <row r="1834" spans="1:10" x14ac:dyDescent="0.35">
      <c r="A1834" t="s">
        <v>537</v>
      </c>
      <c r="B1834" t="str">
        <f t="shared" si="58"/>
        <v>Obesity</v>
      </c>
      <c r="C1834">
        <v>34.674999999999997</v>
      </c>
      <c r="D1834">
        <v>5.71</v>
      </c>
      <c r="E1834" t="str">
        <f t="shared" si="59"/>
        <v>Prediabetes</v>
      </c>
      <c r="F1834" t="s">
        <v>2381</v>
      </c>
      <c r="G1834" t="s">
        <v>2380</v>
      </c>
      <c r="H1834" t="s">
        <v>2380</v>
      </c>
      <c r="I1834">
        <v>1</v>
      </c>
      <c r="J1834" t="s">
        <v>2380</v>
      </c>
    </row>
    <row r="1835" spans="1:10" x14ac:dyDescent="0.35">
      <c r="A1835" t="s">
        <v>536</v>
      </c>
      <c r="B1835" t="str">
        <f t="shared" si="58"/>
        <v>Normal Weight</v>
      </c>
      <c r="C1835">
        <v>18.850000000000001</v>
      </c>
      <c r="D1835">
        <v>6.03</v>
      </c>
      <c r="E1835" t="str">
        <f t="shared" si="59"/>
        <v>Prediabetes</v>
      </c>
      <c r="F1835" t="s">
        <v>2380</v>
      </c>
      <c r="G1835" t="s">
        <v>2380</v>
      </c>
      <c r="H1835" t="s">
        <v>2380</v>
      </c>
      <c r="I1835">
        <v>1</v>
      </c>
      <c r="J1835" t="s">
        <v>2380</v>
      </c>
    </row>
    <row r="1836" spans="1:10" x14ac:dyDescent="0.35">
      <c r="A1836" t="s">
        <v>534</v>
      </c>
      <c r="B1836" t="str">
        <f t="shared" si="58"/>
        <v>Obesity</v>
      </c>
      <c r="C1836">
        <v>34.130000000000003</v>
      </c>
      <c r="D1836">
        <v>5.65</v>
      </c>
      <c r="E1836" t="str">
        <f t="shared" si="59"/>
        <v>Normal</v>
      </c>
      <c r="F1836" t="s">
        <v>2380</v>
      </c>
      <c r="G1836" t="s">
        <v>2380</v>
      </c>
      <c r="H1836" t="s">
        <v>2382</v>
      </c>
      <c r="I1836">
        <v>1</v>
      </c>
      <c r="J1836" t="s">
        <v>2380</v>
      </c>
    </row>
    <row r="1837" spans="1:10" x14ac:dyDescent="0.35">
      <c r="A1837" t="s">
        <v>533</v>
      </c>
      <c r="B1837" t="str">
        <f t="shared" si="58"/>
        <v>Underweight</v>
      </c>
      <c r="C1837">
        <v>17.34</v>
      </c>
      <c r="D1837">
        <v>5.05</v>
      </c>
      <c r="E1837" t="str">
        <f t="shared" si="59"/>
        <v>Normal</v>
      </c>
      <c r="F1837" t="s">
        <v>2380</v>
      </c>
      <c r="G1837" t="s">
        <v>2380</v>
      </c>
      <c r="H1837" t="s">
        <v>2380</v>
      </c>
      <c r="I1837">
        <v>0</v>
      </c>
      <c r="J1837" t="s">
        <v>2380</v>
      </c>
    </row>
    <row r="1838" spans="1:10" x14ac:dyDescent="0.35">
      <c r="A1838" t="s">
        <v>532</v>
      </c>
      <c r="B1838" t="str">
        <f t="shared" si="58"/>
        <v>Underweight</v>
      </c>
      <c r="C1838">
        <v>17.440000000000001</v>
      </c>
      <c r="D1838">
        <v>6.26</v>
      </c>
      <c r="E1838" t="str">
        <f t="shared" si="59"/>
        <v>Prediabetes</v>
      </c>
      <c r="F1838" t="s">
        <v>2380</v>
      </c>
      <c r="G1838" t="s">
        <v>2380</v>
      </c>
      <c r="H1838" t="s">
        <v>2380</v>
      </c>
      <c r="I1838">
        <v>0</v>
      </c>
      <c r="J1838" t="s">
        <v>2380</v>
      </c>
    </row>
    <row r="1839" spans="1:10" x14ac:dyDescent="0.35">
      <c r="A1839" t="s">
        <v>531</v>
      </c>
      <c r="B1839" t="str">
        <f t="shared" si="58"/>
        <v>Obesity</v>
      </c>
      <c r="C1839">
        <v>33.659999999999997</v>
      </c>
      <c r="D1839">
        <v>4.08</v>
      </c>
      <c r="E1839" t="str">
        <f t="shared" si="59"/>
        <v>Normal</v>
      </c>
      <c r="F1839" t="s">
        <v>2381</v>
      </c>
      <c r="G1839" t="s">
        <v>2380</v>
      </c>
      <c r="H1839" t="s">
        <v>2382</v>
      </c>
      <c r="I1839">
        <v>1</v>
      </c>
      <c r="J1839" t="s">
        <v>2380</v>
      </c>
    </row>
    <row r="1840" spans="1:10" x14ac:dyDescent="0.35">
      <c r="A1840" t="s">
        <v>530</v>
      </c>
      <c r="B1840" t="str">
        <f t="shared" si="58"/>
        <v>Normal Weight</v>
      </c>
      <c r="C1840">
        <v>21.375</v>
      </c>
      <c r="D1840">
        <v>6.19</v>
      </c>
      <c r="E1840" t="str">
        <f t="shared" si="59"/>
        <v>Prediabetes</v>
      </c>
      <c r="F1840" t="s">
        <v>2381</v>
      </c>
      <c r="G1840" t="s">
        <v>2380</v>
      </c>
      <c r="H1840" t="s">
        <v>2380</v>
      </c>
      <c r="I1840">
        <v>1</v>
      </c>
      <c r="J1840" t="s">
        <v>2380</v>
      </c>
    </row>
    <row r="1841" spans="1:10" x14ac:dyDescent="0.35">
      <c r="A1841" t="s">
        <v>529</v>
      </c>
      <c r="B1841" t="str">
        <f t="shared" si="58"/>
        <v>Overweight</v>
      </c>
      <c r="C1841">
        <v>27.14</v>
      </c>
      <c r="D1841">
        <v>6.01</v>
      </c>
      <c r="E1841" t="str">
        <f t="shared" si="59"/>
        <v>Prediabetes</v>
      </c>
      <c r="F1841" t="s">
        <v>2380</v>
      </c>
      <c r="G1841" t="s">
        <v>2380</v>
      </c>
      <c r="H1841" t="s">
        <v>2380</v>
      </c>
      <c r="I1841">
        <v>1</v>
      </c>
      <c r="J1841" t="s">
        <v>2380</v>
      </c>
    </row>
    <row r="1842" spans="1:10" x14ac:dyDescent="0.35">
      <c r="A1842" t="s">
        <v>528</v>
      </c>
      <c r="B1842" t="str">
        <f t="shared" si="58"/>
        <v>Obesity</v>
      </c>
      <c r="C1842">
        <v>35.78</v>
      </c>
      <c r="D1842">
        <v>6.07</v>
      </c>
      <c r="E1842" t="str">
        <f t="shared" si="59"/>
        <v>Prediabetes</v>
      </c>
      <c r="F1842" t="s">
        <v>2380</v>
      </c>
      <c r="G1842" t="s">
        <v>2381</v>
      </c>
      <c r="H1842" t="s">
        <v>2380</v>
      </c>
      <c r="I1842">
        <v>1</v>
      </c>
      <c r="J1842" t="s">
        <v>2380</v>
      </c>
    </row>
    <row r="1843" spans="1:10" x14ac:dyDescent="0.35">
      <c r="A1843" t="s">
        <v>527</v>
      </c>
      <c r="B1843" t="str">
        <f t="shared" si="58"/>
        <v>Obesity</v>
      </c>
      <c r="C1843">
        <v>34.96</v>
      </c>
      <c r="D1843">
        <v>5.63</v>
      </c>
      <c r="E1843" t="str">
        <f t="shared" si="59"/>
        <v>Normal</v>
      </c>
      <c r="F1843" t="s">
        <v>2380</v>
      </c>
      <c r="G1843" t="s">
        <v>2380</v>
      </c>
      <c r="H1843" t="s">
        <v>2380</v>
      </c>
      <c r="I1843">
        <v>0</v>
      </c>
      <c r="J1843" t="s">
        <v>2380</v>
      </c>
    </row>
    <row r="1844" spans="1:10" x14ac:dyDescent="0.35">
      <c r="A1844" t="s">
        <v>526</v>
      </c>
      <c r="B1844" t="str">
        <f t="shared" si="58"/>
        <v>Obesity</v>
      </c>
      <c r="C1844">
        <v>38.39</v>
      </c>
      <c r="D1844">
        <v>6.05</v>
      </c>
      <c r="E1844" t="str">
        <f t="shared" si="59"/>
        <v>Prediabetes</v>
      </c>
      <c r="F1844" t="s">
        <v>2380</v>
      </c>
      <c r="G1844" t="s">
        <v>2380</v>
      </c>
      <c r="H1844" t="s">
        <v>2380</v>
      </c>
      <c r="I1844">
        <v>0</v>
      </c>
      <c r="J1844" t="s">
        <v>2380</v>
      </c>
    </row>
    <row r="1845" spans="1:10" x14ac:dyDescent="0.35">
      <c r="A1845" t="s">
        <v>525</v>
      </c>
      <c r="B1845" t="str">
        <f t="shared" si="58"/>
        <v>Obesity</v>
      </c>
      <c r="C1845">
        <v>33.82</v>
      </c>
      <c r="D1845">
        <v>4.6500000000000004</v>
      </c>
      <c r="E1845" t="str">
        <f t="shared" si="59"/>
        <v>Normal</v>
      </c>
      <c r="F1845" t="s">
        <v>2380</v>
      </c>
      <c r="G1845" t="s">
        <v>2380</v>
      </c>
      <c r="H1845" t="s">
        <v>2380</v>
      </c>
      <c r="I1845">
        <v>0</v>
      </c>
      <c r="J1845" t="s">
        <v>2380</v>
      </c>
    </row>
    <row r="1846" spans="1:10" x14ac:dyDescent="0.35">
      <c r="A1846" t="s">
        <v>524</v>
      </c>
      <c r="B1846" t="str">
        <f t="shared" si="58"/>
        <v>Overweight</v>
      </c>
      <c r="C1846">
        <v>27.835000000000001</v>
      </c>
      <c r="D1846">
        <v>5.37</v>
      </c>
      <c r="E1846" t="str">
        <f t="shared" si="59"/>
        <v>Normal</v>
      </c>
      <c r="F1846" t="s">
        <v>2380</v>
      </c>
      <c r="G1846" t="s">
        <v>2380</v>
      </c>
      <c r="H1846" t="s">
        <v>2380</v>
      </c>
      <c r="I1846">
        <v>0</v>
      </c>
      <c r="J1846" t="s">
        <v>2380</v>
      </c>
    </row>
    <row r="1847" spans="1:10" x14ac:dyDescent="0.35">
      <c r="A1847" t="s">
        <v>523</v>
      </c>
      <c r="B1847" t="str">
        <f t="shared" si="58"/>
        <v>Obesity</v>
      </c>
      <c r="C1847">
        <v>33</v>
      </c>
      <c r="D1847">
        <v>5.39</v>
      </c>
      <c r="E1847" t="str">
        <f t="shared" si="59"/>
        <v>Normal</v>
      </c>
      <c r="F1847" t="s">
        <v>2380</v>
      </c>
      <c r="G1847" t="s">
        <v>2380</v>
      </c>
      <c r="H1847" t="s">
        <v>2380</v>
      </c>
      <c r="I1847">
        <v>0</v>
      </c>
      <c r="J1847" t="s">
        <v>2380</v>
      </c>
    </row>
    <row r="1848" spans="1:10" x14ac:dyDescent="0.35">
      <c r="A1848" t="s">
        <v>522</v>
      </c>
      <c r="B1848" t="str">
        <f t="shared" si="58"/>
        <v>Overweight</v>
      </c>
      <c r="C1848">
        <v>26.885000000000002</v>
      </c>
      <c r="D1848">
        <v>5.86</v>
      </c>
      <c r="E1848" t="str">
        <f t="shared" si="59"/>
        <v>Prediabetes</v>
      </c>
      <c r="F1848" t="s">
        <v>2380</v>
      </c>
      <c r="G1848" t="s">
        <v>2380</v>
      </c>
      <c r="H1848" t="s">
        <v>2380</v>
      </c>
      <c r="I1848">
        <v>0</v>
      </c>
      <c r="J1848" t="s">
        <v>2380</v>
      </c>
    </row>
    <row r="1849" spans="1:10" x14ac:dyDescent="0.35">
      <c r="A1849" t="s">
        <v>521</v>
      </c>
      <c r="B1849" t="str">
        <f t="shared" si="58"/>
        <v>Overweight</v>
      </c>
      <c r="C1849">
        <v>29.26</v>
      </c>
      <c r="D1849">
        <v>4.4400000000000004</v>
      </c>
      <c r="E1849" t="str">
        <f t="shared" si="59"/>
        <v>Normal</v>
      </c>
      <c r="F1849" t="s">
        <v>2380</v>
      </c>
      <c r="G1849" t="s">
        <v>2380</v>
      </c>
      <c r="H1849" t="s">
        <v>2380</v>
      </c>
      <c r="I1849">
        <v>0</v>
      </c>
      <c r="J1849" t="s">
        <v>2380</v>
      </c>
    </row>
    <row r="1850" spans="1:10" x14ac:dyDescent="0.35">
      <c r="A1850" t="s">
        <v>520</v>
      </c>
      <c r="B1850" t="str">
        <f t="shared" si="58"/>
        <v>Overweight</v>
      </c>
      <c r="C1850">
        <v>26.98</v>
      </c>
      <c r="D1850">
        <v>4.41</v>
      </c>
      <c r="E1850" t="str">
        <f t="shared" si="59"/>
        <v>Normal</v>
      </c>
      <c r="F1850" t="s">
        <v>2380</v>
      </c>
      <c r="G1850" t="s">
        <v>2380</v>
      </c>
      <c r="H1850" t="s">
        <v>2380</v>
      </c>
      <c r="I1850">
        <v>0</v>
      </c>
      <c r="J1850" t="s">
        <v>2380</v>
      </c>
    </row>
    <row r="1851" spans="1:10" x14ac:dyDescent="0.35">
      <c r="A1851" t="s">
        <v>519</v>
      </c>
      <c r="B1851" t="str">
        <f t="shared" si="58"/>
        <v>Obesity</v>
      </c>
      <c r="C1851">
        <v>32.11</v>
      </c>
      <c r="D1851">
        <v>5.19</v>
      </c>
      <c r="E1851" t="str">
        <f t="shared" si="59"/>
        <v>Normal</v>
      </c>
      <c r="F1851" t="s">
        <v>2380</v>
      </c>
      <c r="G1851" t="s">
        <v>2380</v>
      </c>
      <c r="H1851" t="s">
        <v>2382</v>
      </c>
      <c r="I1851">
        <v>1</v>
      </c>
      <c r="J1851" t="s">
        <v>2380</v>
      </c>
    </row>
    <row r="1852" spans="1:10" x14ac:dyDescent="0.35">
      <c r="A1852" t="s">
        <v>518</v>
      </c>
      <c r="B1852" t="str">
        <f t="shared" si="58"/>
        <v>Obesity</v>
      </c>
      <c r="C1852">
        <v>31.73</v>
      </c>
      <c r="D1852">
        <v>5.16</v>
      </c>
      <c r="E1852" t="str">
        <f t="shared" si="59"/>
        <v>Normal</v>
      </c>
      <c r="F1852" t="s">
        <v>2380</v>
      </c>
      <c r="G1852" t="s">
        <v>2380</v>
      </c>
      <c r="H1852" t="s">
        <v>2382</v>
      </c>
      <c r="I1852">
        <v>1</v>
      </c>
      <c r="J1852" t="s">
        <v>2380</v>
      </c>
    </row>
    <row r="1853" spans="1:10" x14ac:dyDescent="0.35">
      <c r="A1853" t="s">
        <v>517</v>
      </c>
      <c r="B1853" t="str">
        <f t="shared" si="58"/>
        <v>Normal Weight</v>
      </c>
      <c r="C1853">
        <v>22.515000000000001</v>
      </c>
      <c r="D1853">
        <v>4.24</v>
      </c>
      <c r="E1853" t="str">
        <f t="shared" si="59"/>
        <v>Normal</v>
      </c>
      <c r="F1853" t="s">
        <v>2380</v>
      </c>
      <c r="G1853" t="s">
        <v>2380</v>
      </c>
      <c r="H1853" t="s">
        <v>2380</v>
      </c>
      <c r="I1853">
        <v>0</v>
      </c>
      <c r="J1853" t="s">
        <v>2380</v>
      </c>
    </row>
    <row r="1854" spans="1:10" x14ac:dyDescent="0.35">
      <c r="A1854" t="s">
        <v>515</v>
      </c>
      <c r="B1854" t="str">
        <f t="shared" si="58"/>
        <v>Overweight</v>
      </c>
      <c r="C1854">
        <v>25.9</v>
      </c>
      <c r="D1854">
        <v>5.45</v>
      </c>
      <c r="E1854" t="str">
        <f t="shared" si="59"/>
        <v>Normal</v>
      </c>
      <c r="F1854" t="s">
        <v>2380</v>
      </c>
      <c r="G1854" t="s">
        <v>2380</v>
      </c>
      <c r="H1854" t="s">
        <v>2380</v>
      </c>
      <c r="I1854">
        <v>1</v>
      </c>
      <c r="J1854" t="s">
        <v>2380</v>
      </c>
    </row>
    <row r="1855" spans="1:10" x14ac:dyDescent="0.35">
      <c r="A1855" t="s">
        <v>514</v>
      </c>
      <c r="B1855" t="str">
        <f t="shared" si="58"/>
        <v>Overweight</v>
      </c>
      <c r="C1855">
        <v>27.72</v>
      </c>
      <c r="D1855">
        <v>5.03</v>
      </c>
      <c r="E1855" t="str">
        <f t="shared" si="59"/>
        <v>Normal</v>
      </c>
      <c r="F1855" t="s">
        <v>2381</v>
      </c>
      <c r="G1855" t="s">
        <v>2380</v>
      </c>
      <c r="H1855" t="s">
        <v>2380</v>
      </c>
      <c r="I1855">
        <v>1</v>
      </c>
      <c r="J1855" t="s">
        <v>2380</v>
      </c>
    </row>
    <row r="1856" spans="1:10" x14ac:dyDescent="0.35">
      <c r="A1856" t="s">
        <v>513</v>
      </c>
      <c r="B1856" t="str">
        <f t="shared" si="58"/>
        <v>Obesity</v>
      </c>
      <c r="C1856">
        <v>31.5</v>
      </c>
      <c r="D1856">
        <v>9.6199999999999992</v>
      </c>
      <c r="E1856" t="str">
        <f t="shared" si="59"/>
        <v>Diabetes</v>
      </c>
      <c r="F1856" t="s">
        <v>2381</v>
      </c>
      <c r="G1856" t="s">
        <v>2380</v>
      </c>
      <c r="H1856" t="s">
        <v>2380</v>
      </c>
      <c r="I1856">
        <v>1</v>
      </c>
      <c r="J1856" t="s">
        <v>2380</v>
      </c>
    </row>
    <row r="1857" spans="1:10" x14ac:dyDescent="0.35">
      <c r="A1857" t="s">
        <v>512</v>
      </c>
      <c r="B1857" t="str">
        <f t="shared" si="58"/>
        <v>Overweight</v>
      </c>
      <c r="C1857">
        <v>29.7</v>
      </c>
      <c r="D1857">
        <v>6.77</v>
      </c>
      <c r="E1857" t="str">
        <f t="shared" si="59"/>
        <v>Diabetes</v>
      </c>
      <c r="F1857" t="s">
        <v>2381</v>
      </c>
      <c r="G1857" t="s">
        <v>2380</v>
      </c>
      <c r="H1857" t="s">
        <v>2380</v>
      </c>
      <c r="I1857">
        <v>1</v>
      </c>
      <c r="J1857" t="s">
        <v>2380</v>
      </c>
    </row>
    <row r="1858" spans="1:10" x14ac:dyDescent="0.35">
      <c r="A1858" t="s">
        <v>511</v>
      </c>
      <c r="B1858" t="str">
        <f t="shared" si="58"/>
        <v>Normal Weight</v>
      </c>
      <c r="C1858">
        <v>21.26</v>
      </c>
      <c r="D1858">
        <v>5.36</v>
      </c>
      <c r="E1858" t="str">
        <f t="shared" si="59"/>
        <v>Normal</v>
      </c>
      <c r="F1858" t="s">
        <v>2381</v>
      </c>
      <c r="G1858" t="s">
        <v>2380</v>
      </c>
      <c r="H1858" t="s">
        <v>2380</v>
      </c>
      <c r="I1858">
        <v>1</v>
      </c>
      <c r="J1858" t="s">
        <v>2380</v>
      </c>
    </row>
    <row r="1859" spans="1:10" x14ac:dyDescent="0.35">
      <c r="A1859" t="s">
        <v>510</v>
      </c>
      <c r="B1859" t="str">
        <f t="shared" ref="B1859:B1922" si="60">IF(C1859&lt;18.5,"Underweight",IF(C1859&lt;25,"Normal Weight",IF(C1859&lt;30,"Overweight","Obesity")))</f>
        <v>Underweight</v>
      </c>
      <c r="C1859">
        <v>17.09</v>
      </c>
      <c r="D1859">
        <v>5.69</v>
      </c>
      <c r="E1859" t="str">
        <f t="shared" ref="E1859:E1922" si="61">IF(D1859&lt;5.7,"Normal",IF(D1859&lt;6.5,"Prediabetes","Diabetes"))</f>
        <v>Normal</v>
      </c>
      <c r="F1859" t="s">
        <v>2380</v>
      </c>
      <c r="G1859" t="s">
        <v>2380</v>
      </c>
      <c r="H1859" t="s">
        <v>2380</v>
      </c>
      <c r="I1859">
        <v>0</v>
      </c>
      <c r="J1859" t="s">
        <v>2380</v>
      </c>
    </row>
    <row r="1860" spans="1:10" x14ac:dyDescent="0.35">
      <c r="A1860" t="s">
        <v>509</v>
      </c>
      <c r="B1860" t="str">
        <f t="shared" si="60"/>
        <v>Normal Weight</v>
      </c>
      <c r="C1860">
        <v>24.3</v>
      </c>
      <c r="D1860">
        <v>4.9000000000000004</v>
      </c>
      <c r="E1860" t="str">
        <f t="shared" si="61"/>
        <v>Normal</v>
      </c>
      <c r="F1860" t="s">
        <v>2381</v>
      </c>
      <c r="G1860" t="s">
        <v>2380</v>
      </c>
      <c r="H1860" t="s">
        <v>2382</v>
      </c>
      <c r="I1860">
        <v>1</v>
      </c>
      <c r="J1860" t="s">
        <v>2380</v>
      </c>
    </row>
    <row r="1861" spans="1:10" x14ac:dyDescent="0.35">
      <c r="A1861" t="s">
        <v>508</v>
      </c>
      <c r="B1861" t="str">
        <f t="shared" si="60"/>
        <v>Overweight</v>
      </c>
      <c r="C1861">
        <v>29.734999999999999</v>
      </c>
      <c r="D1861">
        <v>5.78</v>
      </c>
      <c r="E1861" t="str">
        <f t="shared" si="61"/>
        <v>Prediabetes</v>
      </c>
      <c r="F1861" t="s">
        <v>2380</v>
      </c>
      <c r="G1861" t="s">
        <v>2380</v>
      </c>
      <c r="H1861" t="s">
        <v>2380</v>
      </c>
      <c r="I1861">
        <v>0</v>
      </c>
      <c r="J1861" t="s">
        <v>2380</v>
      </c>
    </row>
    <row r="1862" spans="1:10" x14ac:dyDescent="0.35">
      <c r="A1862" t="s">
        <v>507</v>
      </c>
      <c r="B1862" t="str">
        <f t="shared" si="60"/>
        <v>Overweight</v>
      </c>
      <c r="C1862">
        <v>29.26</v>
      </c>
      <c r="D1862">
        <v>4.7</v>
      </c>
      <c r="E1862" t="str">
        <f t="shared" si="61"/>
        <v>Normal</v>
      </c>
      <c r="F1862" t="s">
        <v>2380</v>
      </c>
      <c r="G1862" t="s">
        <v>2380</v>
      </c>
      <c r="H1862" t="s">
        <v>2380</v>
      </c>
      <c r="I1862">
        <v>0</v>
      </c>
      <c r="J1862" t="s">
        <v>2380</v>
      </c>
    </row>
    <row r="1863" spans="1:10" x14ac:dyDescent="0.35">
      <c r="A1863" t="s">
        <v>506</v>
      </c>
      <c r="B1863" t="str">
        <f t="shared" si="60"/>
        <v>Obesity</v>
      </c>
      <c r="C1863">
        <v>33</v>
      </c>
      <c r="D1863">
        <v>6.28</v>
      </c>
      <c r="E1863" t="str">
        <f t="shared" si="61"/>
        <v>Prediabetes</v>
      </c>
      <c r="F1863" t="s">
        <v>2380</v>
      </c>
      <c r="G1863" t="s">
        <v>2380</v>
      </c>
      <c r="H1863" t="s">
        <v>2380</v>
      </c>
      <c r="I1863">
        <v>0</v>
      </c>
      <c r="J1863" t="s">
        <v>2380</v>
      </c>
    </row>
    <row r="1864" spans="1:10" x14ac:dyDescent="0.35">
      <c r="A1864" t="s">
        <v>505</v>
      </c>
      <c r="B1864" t="str">
        <f t="shared" si="60"/>
        <v>Obesity</v>
      </c>
      <c r="C1864">
        <v>31.065000000000001</v>
      </c>
      <c r="D1864">
        <v>4.2300000000000004</v>
      </c>
      <c r="E1864" t="str">
        <f t="shared" si="61"/>
        <v>Normal</v>
      </c>
      <c r="F1864" t="s">
        <v>2380</v>
      </c>
      <c r="G1864" t="s">
        <v>2380</v>
      </c>
      <c r="H1864" t="s">
        <v>2380</v>
      </c>
      <c r="I1864">
        <v>0</v>
      </c>
      <c r="J1864" t="s">
        <v>2380</v>
      </c>
    </row>
    <row r="1865" spans="1:10" x14ac:dyDescent="0.35">
      <c r="A1865" t="s">
        <v>504</v>
      </c>
      <c r="B1865" t="str">
        <f t="shared" si="60"/>
        <v>Overweight</v>
      </c>
      <c r="C1865">
        <v>26.51</v>
      </c>
      <c r="D1865">
        <v>6.17</v>
      </c>
      <c r="E1865" t="str">
        <f t="shared" si="61"/>
        <v>Prediabetes</v>
      </c>
      <c r="F1865" t="s">
        <v>2380</v>
      </c>
      <c r="G1865" t="s">
        <v>2380</v>
      </c>
      <c r="H1865" t="s">
        <v>2380</v>
      </c>
      <c r="I1865">
        <v>0</v>
      </c>
      <c r="J1865" t="s">
        <v>2380</v>
      </c>
    </row>
    <row r="1866" spans="1:10" x14ac:dyDescent="0.35">
      <c r="A1866" t="s">
        <v>503</v>
      </c>
      <c r="B1866" t="str">
        <f t="shared" si="60"/>
        <v>Overweight</v>
      </c>
      <c r="C1866">
        <v>28.88</v>
      </c>
      <c r="D1866">
        <v>4.96</v>
      </c>
      <c r="E1866" t="str">
        <f t="shared" si="61"/>
        <v>Normal</v>
      </c>
      <c r="F1866" t="s">
        <v>2380</v>
      </c>
      <c r="G1866" t="s">
        <v>2380</v>
      </c>
      <c r="H1866" t="s">
        <v>2380</v>
      </c>
      <c r="I1866">
        <v>0</v>
      </c>
      <c r="J1866" t="s">
        <v>2380</v>
      </c>
    </row>
    <row r="1867" spans="1:10" x14ac:dyDescent="0.35">
      <c r="A1867" t="s">
        <v>502</v>
      </c>
      <c r="B1867" t="str">
        <f t="shared" si="60"/>
        <v>Obesity</v>
      </c>
      <c r="C1867">
        <v>35.814999999999998</v>
      </c>
      <c r="D1867">
        <v>5.1100000000000003</v>
      </c>
      <c r="E1867" t="str">
        <f t="shared" si="61"/>
        <v>Normal</v>
      </c>
      <c r="F1867" t="s">
        <v>2381</v>
      </c>
      <c r="G1867" t="s">
        <v>2380</v>
      </c>
      <c r="H1867" t="s">
        <v>2380</v>
      </c>
      <c r="I1867">
        <v>1</v>
      </c>
      <c r="J1867" t="s">
        <v>2380</v>
      </c>
    </row>
    <row r="1868" spans="1:10" x14ac:dyDescent="0.35">
      <c r="A1868" t="s">
        <v>501</v>
      </c>
      <c r="B1868" t="str">
        <f t="shared" si="60"/>
        <v>Normal Weight</v>
      </c>
      <c r="C1868">
        <v>21.28</v>
      </c>
      <c r="D1868">
        <v>4.05</v>
      </c>
      <c r="E1868" t="str">
        <f t="shared" si="61"/>
        <v>Normal</v>
      </c>
      <c r="F1868" t="s">
        <v>2380</v>
      </c>
      <c r="G1868" t="s">
        <v>2381</v>
      </c>
      <c r="H1868" t="s">
        <v>2380</v>
      </c>
      <c r="I1868">
        <v>1</v>
      </c>
      <c r="J1868" t="s">
        <v>2380</v>
      </c>
    </row>
    <row r="1869" spans="1:10" x14ac:dyDescent="0.35">
      <c r="A1869" t="s">
        <v>500</v>
      </c>
      <c r="B1869" t="str">
        <f t="shared" si="60"/>
        <v>Obesity</v>
      </c>
      <c r="C1869">
        <v>33.81</v>
      </c>
      <c r="D1869">
        <v>6.49</v>
      </c>
      <c r="E1869" t="str">
        <f t="shared" si="61"/>
        <v>Prediabetes</v>
      </c>
      <c r="F1869" t="s">
        <v>2380</v>
      </c>
      <c r="G1869" t="s">
        <v>2380</v>
      </c>
      <c r="H1869" t="s">
        <v>2382</v>
      </c>
      <c r="I1869">
        <v>1</v>
      </c>
      <c r="J1869" t="s">
        <v>2380</v>
      </c>
    </row>
    <row r="1870" spans="1:10" x14ac:dyDescent="0.35">
      <c r="A1870" t="s">
        <v>499</v>
      </c>
      <c r="B1870" t="str">
        <f t="shared" si="60"/>
        <v>Obesity</v>
      </c>
      <c r="C1870">
        <v>44.22</v>
      </c>
      <c r="D1870">
        <v>4.1900000000000004</v>
      </c>
      <c r="E1870" t="str">
        <f t="shared" si="61"/>
        <v>Normal</v>
      </c>
      <c r="F1870" t="s">
        <v>2380</v>
      </c>
      <c r="G1870" t="s">
        <v>2380</v>
      </c>
      <c r="H1870" t="s">
        <v>2380</v>
      </c>
      <c r="I1870">
        <v>1</v>
      </c>
      <c r="J1870" t="s">
        <v>2380</v>
      </c>
    </row>
    <row r="1871" spans="1:10" x14ac:dyDescent="0.35">
      <c r="A1871" t="s">
        <v>498</v>
      </c>
      <c r="B1871" t="str">
        <f t="shared" si="60"/>
        <v>Underweight</v>
      </c>
      <c r="C1871">
        <v>15.46</v>
      </c>
      <c r="D1871">
        <v>4.99</v>
      </c>
      <c r="E1871" t="str">
        <f t="shared" si="61"/>
        <v>Normal</v>
      </c>
      <c r="F1871" t="s">
        <v>2381</v>
      </c>
      <c r="G1871" t="s">
        <v>2380</v>
      </c>
      <c r="H1871" t="s">
        <v>2382</v>
      </c>
      <c r="I1871">
        <v>1</v>
      </c>
      <c r="J1871" t="s">
        <v>2380</v>
      </c>
    </row>
    <row r="1872" spans="1:10" x14ac:dyDescent="0.35">
      <c r="A1872" t="s">
        <v>497</v>
      </c>
      <c r="B1872" t="str">
        <f t="shared" si="60"/>
        <v>Obesity</v>
      </c>
      <c r="C1872">
        <v>30.3</v>
      </c>
      <c r="D1872">
        <v>4.7699999999999996</v>
      </c>
      <c r="E1872" t="str">
        <f t="shared" si="61"/>
        <v>Normal</v>
      </c>
      <c r="F1872" t="s">
        <v>2381</v>
      </c>
      <c r="G1872" t="s">
        <v>2380</v>
      </c>
      <c r="H1872" t="s">
        <v>2380</v>
      </c>
      <c r="I1872">
        <v>1</v>
      </c>
      <c r="J1872" t="s">
        <v>2380</v>
      </c>
    </row>
    <row r="1873" spans="1:10" x14ac:dyDescent="0.35">
      <c r="A1873" t="s">
        <v>496</v>
      </c>
      <c r="B1873" t="str">
        <f t="shared" si="60"/>
        <v>Underweight</v>
      </c>
      <c r="C1873">
        <v>16.670000000000002</v>
      </c>
      <c r="D1873">
        <v>5.46</v>
      </c>
      <c r="E1873" t="str">
        <f t="shared" si="61"/>
        <v>Normal</v>
      </c>
      <c r="F1873" t="s">
        <v>2380</v>
      </c>
      <c r="G1873" t="s">
        <v>2380</v>
      </c>
      <c r="H1873" t="s">
        <v>2380</v>
      </c>
      <c r="I1873">
        <v>0</v>
      </c>
      <c r="J1873" t="s">
        <v>2380</v>
      </c>
    </row>
    <row r="1874" spans="1:10" x14ac:dyDescent="0.35">
      <c r="A1874" t="s">
        <v>495</v>
      </c>
      <c r="B1874" t="str">
        <f t="shared" si="60"/>
        <v>Overweight</v>
      </c>
      <c r="C1874">
        <v>28.594999999999999</v>
      </c>
      <c r="D1874">
        <v>5.43</v>
      </c>
      <c r="E1874" t="str">
        <f t="shared" si="61"/>
        <v>Normal</v>
      </c>
      <c r="F1874" t="s">
        <v>2380</v>
      </c>
      <c r="G1874" t="s">
        <v>2380</v>
      </c>
      <c r="H1874" t="s">
        <v>2380</v>
      </c>
      <c r="I1874">
        <v>0</v>
      </c>
      <c r="J1874" t="s">
        <v>2380</v>
      </c>
    </row>
    <row r="1875" spans="1:10" x14ac:dyDescent="0.35">
      <c r="A1875" t="s">
        <v>494</v>
      </c>
      <c r="B1875" t="str">
        <f t="shared" si="60"/>
        <v>Overweight</v>
      </c>
      <c r="C1875">
        <v>25.934999999999999</v>
      </c>
      <c r="D1875">
        <v>4.29</v>
      </c>
      <c r="E1875" t="str">
        <f t="shared" si="61"/>
        <v>Normal</v>
      </c>
      <c r="F1875" t="s">
        <v>2380</v>
      </c>
      <c r="G1875" t="s">
        <v>2380</v>
      </c>
      <c r="H1875" t="s">
        <v>2380</v>
      </c>
      <c r="I1875">
        <v>0</v>
      </c>
      <c r="J1875" t="s">
        <v>2380</v>
      </c>
    </row>
    <row r="1876" spans="1:10" x14ac:dyDescent="0.35">
      <c r="A1876" t="s">
        <v>493</v>
      </c>
      <c r="B1876" t="str">
        <f t="shared" si="60"/>
        <v>Overweight</v>
      </c>
      <c r="C1876">
        <v>27.645</v>
      </c>
      <c r="D1876">
        <v>5.25</v>
      </c>
      <c r="E1876" t="str">
        <f t="shared" si="61"/>
        <v>Normal</v>
      </c>
      <c r="F1876" t="s">
        <v>2380</v>
      </c>
      <c r="G1876" t="s">
        <v>2380</v>
      </c>
      <c r="H1876" t="s">
        <v>2380</v>
      </c>
      <c r="I1876">
        <v>1</v>
      </c>
      <c r="J1876" t="s">
        <v>2380</v>
      </c>
    </row>
    <row r="1877" spans="1:10" x14ac:dyDescent="0.35">
      <c r="A1877" t="s">
        <v>492</v>
      </c>
      <c r="B1877" t="str">
        <f t="shared" si="60"/>
        <v>Obesity</v>
      </c>
      <c r="C1877">
        <v>30.1</v>
      </c>
      <c r="D1877">
        <v>4.04</v>
      </c>
      <c r="E1877" t="str">
        <f t="shared" si="61"/>
        <v>Normal</v>
      </c>
      <c r="F1877" t="s">
        <v>2380</v>
      </c>
      <c r="G1877" t="s">
        <v>2380</v>
      </c>
      <c r="H1877" t="s">
        <v>2380</v>
      </c>
      <c r="I1877">
        <v>1</v>
      </c>
      <c r="J1877" t="s">
        <v>2380</v>
      </c>
    </row>
    <row r="1878" spans="1:10" x14ac:dyDescent="0.35">
      <c r="A1878" t="s">
        <v>491</v>
      </c>
      <c r="B1878" t="str">
        <f t="shared" si="60"/>
        <v>Overweight</v>
      </c>
      <c r="C1878">
        <v>26.79</v>
      </c>
      <c r="D1878">
        <v>5</v>
      </c>
      <c r="E1878" t="str">
        <f t="shared" si="61"/>
        <v>Normal</v>
      </c>
      <c r="F1878" t="s">
        <v>2381</v>
      </c>
      <c r="G1878" t="s">
        <v>2380</v>
      </c>
      <c r="H1878" t="s">
        <v>2382</v>
      </c>
      <c r="I1878">
        <v>1</v>
      </c>
      <c r="J1878" t="s">
        <v>2380</v>
      </c>
    </row>
    <row r="1879" spans="1:10" x14ac:dyDescent="0.35">
      <c r="A1879" t="s">
        <v>490</v>
      </c>
      <c r="B1879" t="str">
        <f t="shared" si="60"/>
        <v>Overweight</v>
      </c>
      <c r="C1879">
        <v>27.1</v>
      </c>
      <c r="D1879">
        <v>4.01</v>
      </c>
      <c r="E1879" t="str">
        <f t="shared" si="61"/>
        <v>Normal</v>
      </c>
      <c r="F1879" t="s">
        <v>2381</v>
      </c>
      <c r="G1879" t="s">
        <v>2380</v>
      </c>
      <c r="H1879" t="s">
        <v>2380</v>
      </c>
      <c r="I1879">
        <v>1</v>
      </c>
      <c r="J1879" t="s">
        <v>2380</v>
      </c>
    </row>
    <row r="1880" spans="1:10" x14ac:dyDescent="0.35">
      <c r="A1880" t="s">
        <v>489</v>
      </c>
      <c r="B1880" t="str">
        <f t="shared" si="60"/>
        <v>Normal Weight</v>
      </c>
      <c r="C1880">
        <v>24.31</v>
      </c>
      <c r="D1880">
        <v>5.4</v>
      </c>
      <c r="E1880" t="str">
        <f t="shared" si="61"/>
        <v>Normal</v>
      </c>
      <c r="F1880" t="s">
        <v>2380</v>
      </c>
      <c r="G1880" t="s">
        <v>2380</v>
      </c>
      <c r="H1880" t="s">
        <v>2380</v>
      </c>
      <c r="I1880">
        <v>0</v>
      </c>
      <c r="J1880" t="s">
        <v>2380</v>
      </c>
    </row>
    <row r="1881" spans="1:10" x14ac:dyDescent="0.35">
      <c r="A1881" t="s">
        <v>488</v>
      </c>
      <c r="B1881" t="str">
        <f t="shared" si="60"/>
        <v>Underweight</v>
      </c>
      <c r="C1881">
        <v>15.53</v>
      </c>
      <c r="D1881">
        <v>5.81</v>
      </c>
      <c r="E1881" t="str">
        <f t="shared" si="61"/>
        <v>Prediabetes</v>
      </c>
      <c r="F1881" t="s">
        <v>2380</v>
      </c>
      <c r="G1881" t="s">
        <v>2380</v>
      </c>
      <c r="H1881" t="s">
        <v>2380</v>
      </c>
      <c r="I1881">
        <v>1</v>
      </c>
      <c r="J1881" t="s">
        <v>2380</v>
      </c>
    </row>
    <row r="1882" spans="1:10" x14ac:dyDescent="0.35">
      <c r="A1882" t="s">
        <v>487</v>
      </c>
      <c r="B1882" t="str">
        <f t="shared" si="60"/>
        <v>Obesity</v>
      </c>
      <c r="C1882">
        <v>30.7</v>
      </c>
      <c r="D1882">
        <v>5.82</v>
      </c>
      <c r="E1882" t="str">
        <f t="shared" si="61"/>
        <v>Prediabetes</v>
      </c>
      <c r="F1882" t="s">
        <v>2380</v>
      </c>
      <c r="G1882" t="s">
        <v>2380</v>
      </c>
      <c r="H1882" t="s">
        <v>2380</v>
      </c>
      <c r="I1882">
        <v>1</v>
      </c>
      <c r="J1882" t="s">
        <v>2380</v>
      </c>
    </row>
    <row r="1883" spans="1:10" x14ac:dyDescent="0.35">
      <c r="A1883" t="s">
        <v>486</v>
      </c>
      <c r="B1883" t="str">
        <f t="shared" si="60"/>
        <v>Obesity</v>
      </c>
      <c r="C1883">
        <v>33.33</v>
      </c>
      <c r="D1883">
        <v>4.82</v>
      </c>
      <c r="E1883" t="str">
        <f t="shared" si="61"/>
        <v>Normal</v>
      </c>
      <c r="F1883" t="s">
        <v>2380</v>
      </c>
      <c r="G1883" t="s">
        <v>2380</v>
      </c>
      <c r="H1883" t="s">
        <v>2380</v>
      </c>
      <c r="I1883">
        <v>1</v>
      </c>
      <c r="J1883" t="s">
        <v>2380</v>
      </c>
    </row>
    <row r="1884" spans="1:10" x14ac:dyDescent="0.35">
      <c r="A1884" t="s">
        <v>485</v>
      </c>
      <c r="B1884" t="str">
        <f t="shared" si="60"/>
        <v>Obesity</v>
      </c>
      <c r="C1884">
        <v>32.4</v>
      </c>
      <c r="D1884">
        <v>5.08</v>
      </c>
      <c r="E1884" t="str">
        <f t="shared" si="61"/>
        <v>Normal</v>
      </c>
      <c r="F1884" t="s">
        <v>2380</v>
      </c>
      <c r="G1884" t="s">
        <v>2380</v>
      </c>
      <c r="H1884" t="s">
        <v>2380</v>
      </c>
      <c r="I1884">
        <v>1</v>
      </c>
      <c r="J1884" t="s">
        <v>2380</v>
      </c>
    </row>
    <row r="1885" spans="1:10" x14ac:dyDescent="0.35">
      <c r="A1885" t="s">
        <v>484</v>
      </c>
      <c r="B1885" t="str">
        <f t="shared" si="60"/>
        <v>Overweight</v>
      </c>
      <c r="C1885">
        <v>27.93</v>
      </c>
      <c r="D1885">
        <v>5.59</v>
      </c>
      <c r="E1885" t="str">
        <f t="shared" si="61"/>
        <v>Normal</v>
      </c>
      <c r="F1885" t="s">
        <v>2380</v>
      </c>
      <c r="G1885" t="s">
        <v>2380</v>
      </c>
      <c r="H1885" t="s">
        <v>2380</v>
      </c>
      <c r="I1885">
        <v>1</v>
      </c>
      <c r="J1885" t="s">
        <v>2380</v>
      </c>
    </row>
    <row r="1886" spans="1:10" x14ac:dyDescent="0.35">
      <c r="A1886" t="s">
        <v>483</v>
      </c>
      <c r="B1886" t="str">
        <f t="shared" si="60"/>
        <v>Normal Weight</v>
      </c>
      <c r="C1886">
        <v>21.754999999999999</v>
      </c>
      <c r="D1886">
        <v>5.12</v>
      </c>
      <c r="E1886" t="str">
        <f t="shared" si="61"/>
        <v>Normal</v>
      </c>
      <c r="F1886" t="s">
        <v>2380</v>
      </c>
      <c r="G1886" t="s">
        <v>2380</v>
      </c>
      <c r="H1886" t="s">
        <v>2380</v>
      </c>
      <c r="I1886">
        <v>0</v>
      </c>
      <c r="J1886" t="s">
        <v>2380</v>
      </c>
    </row>
    <row r="1887" spans="1:10" x14ac:dyDescent="0.35">
      <c r="A1887" t="s">
        <v>482</v>
      </c>
      <c r="B1887" t="str">
        <f t="shared" si="60"/>
        <v>Overweight</v>
      </c>
      <c r="C1887">
        <v>25.934999999999999</v>
      </c>
      <c r="D1887">
        <v>4.95</v>
      </c>
      <c r="E1887" t="str">
        <f t="shared" si="61"/>
        <v>Normal</v>
      </c>
      <c r="F1887" t="s">
        <v>2380</v>
      </c>
      <c r="G1887" t="s">
        <v>2380</v>
      </c>
      <c r="H1887" t="s">
        <v>2380</v>
      </c>
      <c r="I1887">
        <v>0</v>
      </c>
      <c r="J1887" t="s">
        <v>2380</v>
      </c>
    </row>
    <row r="1888" spans="1:10" x14ac:dyDescent="0.35">
      <c r="A1888" t="s">
        <v>481</v>
      </c>
      <c r="B1888" t="str">
        <f t="shared" si="60"/>
        <v>Obesity</v>
      </c>
      <c r="C1888">
        <v>31.5</v>
      </c>
      <c r="D1888">
        <v>6.16</v>
      </c>
      <c r="E1888" t="str">
        <f t="shared" si="61"/>
        <v>Prediabetes</v>
      </c>
      <c r="F1888" t="s">
        <v>2380</v>
      </c>
      <c r="G1888" t="s">
        <v>2380</v>
      </c>
      <c r="H1888" t="s">
        <v>2380</v>
      </c>
      <c r="I1888">
        <v>0</v>
      </c>
      <c r="J1888" t="s">
        <v>2380</v>
      </c>
    </row>
    <row r="1889" spans="1:10" x14ac:dyDescent="0.35">
      <c r="A1889" t="s">
        <v>480</v>
      </c>
      <c r="B1889" t="str">
        <f t="shared" si="60"/>
        <v>Obesity</v>
      </c>
      <c r="C1889">
        <v>30.03</v>
      </c>
      <c r="D1889">
        <v>6.41</v>
      </c>
      <c r="E1889" t="str">
        <f t="shared" si="61"/>
        <v>Prediabetes</v>
      </c>
      <c r="F1889" t="s">
        <v>2380</v>
      </c>
      <c r="G1889" t="s">
        <v>2380</v>
      </c>
      <c r="H1889" t="s">
        <v>2380</v>
      </c>
      <c r="I1889">
        <v>0</v>
      </c>
      <c r="J1889" t="s">
        <v>2380</v>
      </c>
    </row>
    <row r="1890" spans="1:10" x14ac:dyDescent="0.35">
      <c r="A1890" t="s">
        <v>479</v>
      </c>
      <c r="B1890" t="str">
        <f t="shared" si="60"/>
        <v>Obesity</v>
      </c>
      <c r="C1890">
        <v>33.479999999999997</v>
      </c>
      <c r="D1890">
        <v>8.94</v>
      </c>
      <c r="E1890" t="str">
        <f t="shared" si="61"/>
        <v>Diabetes</v>
      </c>
      <c r="F1890" t="s">
        <v>2380</v>
      </c>
      <c r="G1890" t="s">
        <v>2380</v>
      </c>
      <c r="H1890" t="s">
        <v>2380</v>
      </c>
      <c r="I1890">
        <v>0</v>
      </c>
      <c r="J1890" t="s">
        <v>2380</v>
      </c>
    </row>
    <row r="1891" spans="1:10" x14ac:dyDescent="0.35">
      <c r="A1891" t="s">
        <v>478</v>
      </c>
      <c r="B1891" t="str">
        <f t="shared" si="60"/>
        <v>Underweight</v>
      </c>
      <c r="C1891">
        <v>16.510000000000002</v>
      </c>
      <c r="D1891">
        <v>4.42</v>
      </c>
      <c r="E1891" t="str">
        <f t="shared" si="61"/>
        <v>Normal</v>
      </c>
      <c r="F1891" t="s">
        <v>2381</v>
      </c>
      <c r="G1891" t="s">
        <v>2380</v>
      </c>
      <c r="H1891" t="s">
        <v>2382</v>
      </c>
      <c r="I1891">
        <v>1</v>
      </c>
      <c r="J1891" t="s">
        <v>2380</v>
      </c>
    </row>
    <row r="1892" spans="1:10" x14ac:dyDescent="0.35">
      <c r="A1892" t="s">
        <v>477</v>
      </c>
      <c r="B1892" t="str">
        <f t="shared" si="60"/>
        <v>Obesity</v>
      </c>
      <c r="C1892">
        <v>33.155000000000001</v>
      </c>
      <c r="D1892">
        <v>5.3</v>
      </c>
      <c r="E1892" t="str">
        <f t="shared" si="61"/>
        <v>Normal</v>
      </c>
      <c r="F1892" t="s">
        <v>2381</v>
      </c>
      <c r="G1892" t="s">
        <v>2380</v>
      </c>
      <c r="H1892" t="s">
        <v>2380</v>
      </c>
      <c r="I1892">
        <v>1</v>
      </c>
      <c r="J1892" t="s">
        <v>2380</v>
      </c>
    </row>
    <row r="1893" spans="1:10" x14ac:dyDescent="0.35">
      <c r="A1893" t="s">
        <v>476</v>
      </c>
      <c r="B1893" t="str">
        <f t="shared" si="60"/>
        <v>Obesity</v>
      </c>
      <c r="C1893">
        <v>37.29</v>
      </c>
      <c r="D1893">
        <v>4.6399999999999997</v>
      </c>
      <c r="E1893" t="str">
        <f t="shared" si="61"/>
        <v>Normal</v>
      </c>
      <c r="F1893" t="s">
        <v>2380</v>
      </c>
      <c r="G1893" t="s">
        <v>2380</v>
      </c>
      <c r="H1893" t="s">
        <v>2382</v>
      </c>
      <c r="I1893">
        <v>1</v>
      </c>
      <c r="J1893" t="s">
        <v>2380</v>
      </c>
    </row>
    <row r="1894" spans="1:10" x14ac:dyDescent="0.35">
      <c r="A1894" t="s">
        <v>475</v>
      </c>
      <c r="B1894" t="str">
        <f t="shared" si="60"/>
        <v>Normal Weight</v>
      </c>
      <c r="C1894">
        <v>20.23</v>
      </c>
      <c r="D1894">
        <v>6.16</v>
      </c>
      <c r="E1894" t="str">
        <f t="shared" si="61"/>
        <v>Prediabetes</v>
      </c>
      <c r="F1894" t="s">
        <v>2381</v>
      </c>
      <c r="G1894" t="s">
        <v>2380</v>
      </c>
      <c r="H1894" t="s">
        <v>2380</v>
      </c>
      <c r="I1894">
        <v>1</v>
      </c>
      <c r="J1894" t="s">
        <v>2380</v>
      </c>
    </row>
    <row r="1895" spans="1:10" x14ac:dyDescent="0.35">
      <c r="A1895" t="s">
        <v>474</v>
      </c>
      <c r="B1895" t="str">
        <f t="shared" si="60"/>
        <v>Overweight</v>
      </c>
      <c r="C1895">
        <v>28.975000000000001</v>
      </c>
      <c r="D1895">
        <v>4.12</v>
      </c>
      <c r="E1895" t="str">
        <f t="shared" si="61"/>
        <v>Normal</v>
      </c>
      <c r="F1895" t="s">
        <v>2380</v>
      </c>
      <c r="G1895" t="s">
        <v>2380</v>
      </c>
      <c r="H1895" t="s">
        <v>2382</v>
      </c>
      <c r="I1895">
        <v>1</v>
      </c>
      <c r="J1895" t="s">
        <v>2380</v>
      </c>
    </row>
    <row r="1896" spans="1:10" x14ac:dyDescent="0.35">
      <c r="A1896" t="s">
        <v>473</v>
      </c>
      <c r="B1896" t="str">
        <f t="shared" si="60"/>
        <v>Underweight</v>
      </c>
      <c r="C1896">
        <v>16.420000000000002</v>
      </c>
      <c r="D1896">
        <v>5.77</v>
      </c>
      <c r="E1896" t="str">
        <f t="shared" si="61"/>
        <v>Prediabetes</v>
      </c>
      <c r="F1896" t="s">
        <v>2381</v>
      </c>
      <c r="G1896" t="s">
        <v>2380</v>
      </c>
      <c r="H1896" t="s">
        <v>2382</v>
      </c>
      <c r="I1896">
        <v>1</v>
      </c>
      <c r="J1896" t="s">
        <v>2380</v>
      </c>
    </row>
    <row r="1897" spans="1:10" x14ac:dyDescent="0.35">
      <c r="A1897" t="s">
        <v>472</v>
      </c>
      <c r="B1897" t="str">
        <f t="shared" si="60"/>
        <v>Underweight</v>
      </c>
      <c r="C1897">
        <v>17.559999999999999</v>
      </c>
      <c r="D1897">
        <v>6.2</v>
      </c>
      <c r="E1897" t="str">
        <f t="shared" si="61"/>
        <v>Prediabetes</v>
      </c>
      <c r="F1897" t="s">
        <v>2380</v>
      </c>
      <c r="G1897" t="s">
        <v>2380</v>
      </c>
      <c r="H1897" t="s">
        <v>2380</v>
      </c>
      <c r="I1897">
        <v>1</v>
      </c>
      <c r="J1897" t="s">
        <v>2380</v>
      </c>
    </row>
    <row r="1898" spans="1:10" x14ac:dyDescent="0.35">
      <c r="A1898" t="s">
        <v>471</v>
      </c>
      <c r="B1898" t="str">
        <f t="shared" si="60"/>
        <v>Normal Weight</v>
      </c>
      <c r="C1898">
        <v>24.13</v>
      </c>
      <c r="D1898">
        <v>4.3899999999999997</v>
      </c>
      <c r="E1898" t="str">
        <f t="shared" si="61"/>
        <v>Normal</v>
      </c>
      <c r="F1898" t="s">
        <v>2380</v>
      </c>
      <c r="G1898" t="s">
        <v>2380</v>
      </c>
      <c r="H1898" t="s">
        <v>2380</v>
      </c>
      <c r="I1898">
        <v>1</v>
      </c>
      <c r="J1898" t="s">
        <v>2380</v>
      </c>
    </row>
    <row r="1899" spans="1:10" x14ac:dyDescent="0.35">
      <c r="A1899" t="s">
        <v>470</v>
      </c>
      <c r="B1899" t="str">
        <f t="shared" si="60"/>
        <v>Normal Weight</v>
      </c>
      <c r="C1899">
        <v>19.95</v>
      </c>
      <c r="D1899">
        <v>5.13</v>
      </c>
      <c r="E1899" t="str">
        <f t="shared" si="61"/>
        <v>Normal</v>
      </c>
      <c r="F1899" t="s">
        <v>2380</v>
      </c>
      <c r="G1899" t="s">
        <v>2381</v>
      </c>
      <c r="H1899" t="s">
        <v>2380</v>
      </c>
      <c r="I1899">
        <v>2</v>
      </c>
      <c r="J1899" t="s">
        <v>2380</v>
      </c>
    </row>
    <row r="1900" spans="1:10" x14ac:dyDescent="0.35">
      <c r="A1900" t="s">
        <v>469</v>
      </c>
      <c r="B1900" t="str">
        <f t="shared" si="60"/>
        <v>Normal Weight</v>
      </c>
      <c r="C1900">
        <v>21.24</v>
      </c>
      <c r="D1900">
        <v>4.49</v>
      </c>
      <c r="E1900" t="str">
        <f t="shared" si="61"/>
        <v>Normal</v>
      </c>
      <c r="F1900" t="s">
        <v>2380</v>
      </c>
      <c r="G1900" t="s">
        <v>2380</v>
      </c>
      <c r="H1900" t="s">
        <v>2380</v>
      </c>
      <c r="I1900">
        <v>0</v>
      </c>
      <c r="J1900" t="s">
        <v>2380</v>
      </c>
    </row>
    <row r="1901" spans="1:10" x14ac:dyDescent="0.35">
      <c r="A1901" t="s">
        <v>468</v>
      </c>
      <c r="B1901" t="str">
        <f t="shared" si="60"/>
        <v>Obesity</v>
      </c>
      <c r="C1901">
        <v>44.22</v>
      </c>
      <c r="D1901">
        <v>6.35</v>
      </c>
      <c r="E1901" t="str">
        <f t="shared" si="61"/>
        <v>Prediabetes</v>
      </c>
      <c r="F1901" t="s">
        <v>2380</v>
      </c>
      <c r="G1901" t="s">
        <v>2380</v>
      </c>
      <c r="H1901" t="s">
        <v>2380</v>
      </c>
      <c r="I1901">
        <v>0</v>
      </c>
      <c r="J1901" t="s">
        <v>2380</v>
      </c>
    </row>
    <row r="1902" spans="1:10" x14ac:dyDescent="0.35">
      <c r="A1902" t="s">
        <v>467</v>
      </c>
      <c r="B1902" t="str">
        <f t="shared" si="60"/>
        <v>Obesity</v>
      </c>
      <c r="C1902">
        <v>41.1</v>
      </c>
      <c r="D1902">
        <v>5.79</v>
      </c>
      <c r="E1902" t="str">
        <f t="shared" si="61"/>
        <v>Prediabetes</v>
      </c>
      <c r="F1902" t="s">
        <v>2380</v>
      </c>
      <c r="G1902" t="s">
        <v>2380</v>
      </c>
      <c r="H1902" t="s">
        <v>2380</v>
      </c>
      <c r="I1902">
        <v>0</v>
      </c>
      <c r="J1902" t="s">
        <v>2380</v>
      </c>
    </row>
    <row r="1903" spans="1:10" x14ac:dyDescent="0.35">
      <c r="A1903" t="s">
        <v>466</v>
      </c>
      <c r="B1903" t="str">
        <f t="shared" si="60"/>
        <v>Obesity</v>
      </c>
      <c r="C1903">
        <v>34.200000000000003</v>
      </c>
      <c r="D1903">
        <v>4.78</v>
      </c>
      <c r="E1903" t="str">
        <f t="shared" si="61"/>
        <v>Normal</v>
      </c>
      <c r="F1903" t="s">
        <v>2381</v>
      </c>
      <c r="G1903" t="s">
        <v>2380</v>
      </c>
      <c r="H1903" t="s">
        <v>2380</v>
      </c>
      <c r="I1903">
        <v>0</v>
      </c>
      <c r="J1903" t="s">
        <v>2380</v>
      </c>
    </row>
    <row r="1904" spans="1:10" x14ac:dyDescent="0.35">
      <c r="A1904" t="s">
        <v>465</v>
      </c>
      <c r="B1904" t="str">
        <f t="shared" si="60"/>
        <v>Overweight</v>
      </c>
      <c r="C1904">
        <v>29.92</v>
      </c>
      <c r="D1904">
        <v>6.02</v>
      </c>
      <c r="E1904" t="str">
        <f t="shared" si="61"/>
        <v>Prediabetes</v>
      </c>
      <c r="F1904" t="s">
        <v>2381</v>
      </c>
      <c r="G1904" t="s">
        <v>2380</v>
      </c>
      <c r="H1904" t="s">
        <v>2380</v>
      </c>
      <c r="I1904">
        <v>0</v>
      </c>
      <c r="J1904" t="s">
        <v>2380</v>
      </c>
    </row>
    <row r="1905" spans="1:10" x14ac:dyDescent="0.35">
      <c r="A1905" t="s">
        <v>464</v>
      </c>
      <c r="B1905" t="str">
        <f t="shared" si="60"/>
        <v>Overweight</v>
      </c>
      <c r="C1905">
        <v>28.93</v>
      </c>
      <c r="D1905">
        <v>4.4400000000000004</v>
      </c>
      <c r="E1905" t="str">
        <f t="shared" si="61"/>
        <v>Normal</v>
      </c>
      <c r="F1905" t="s">
        <v>2380</v>
      </c>
      <c r="G1905" t="s">
        <v>2380</v>
      </c>
      <c r="H1905" t="s">
        <v>2380</v>
      </c>
      <c r="I1905">
        <v>0</v>
      </c>
      <c r="J1905" t="s">
        <v>2380</v>
      </c>
    </row>
    <row r="1906" spans="1:10" x14ac:dyDescent="0.35">
      <c r="A1906" t="s">
        <v>463</v>
      </c>
      <c r="B1906" t="str">
        <f t="shared" si="60"/>
        <v>Obesity</v>
      </c>
      <c r="C1906">
        <v>31.254999999999999</v>
      </c>
      <c r="D1906">
        <v>5.84</v>
      </c>
      <c r="E1906" t="str">
        <f t="shared" si="61"/>
        <v>Prediabetes</v>
      </c>
      <c r="F1906" t="s">
        <v>2381</v>
      </c>
      <c r="G1906" t="s">
        <v>2380</v>
      </c>
      <c r="H1906" t="s">
        <v>2380</v>
      </c>
      <c r="I1906">
        <v>1</v>
      </c>
      <c r="J1906" t="s">
        <v>2380</v>
      </c>
    </row>
    <row r="1907" spans="1:10" x14ac:dyDescent="0.35">
      <c r="A1907" t="s">
        <v>462</v>
      </c>
      <c r="B1907" t="str">
        <f t="shared" si="60"/>
        <v>Overweight</v>
      </c>
      <c r="C1907">
        <v>29.83</v>
      </c>
      <c r="D1907">
        <v>5.39</v>
      </c>
      <c r="E1907" t="str">
        <f t="shared" si="61"/>
        <v>Normal</v>
      </c>
      <c r="F1907" t="s">
        <v>2380</v>
      </c>
      <c r="G1907" t="s">
        <v>2380</v>
      </c>
      <c r="H1907" t="s">
        <v>2380</v>
      </c>
      <c r="I1907">
        <v>0</v>
      </c>
      <c r="J1907" t="s">
        <v>2380</v>
      </c>
    </row>
    <row r="1908" spans="1:10" x14ac:dyDescent="0.35">
      <c r="A1908" t="s">
        <v>461</v>
      </c>
      <c r="B1908" t="str">
        <f t="shared" si="60"/>
        <v>Overweight</v>
      </c>
      <c r="C1908">
        <v>29.59</v>
      </c>
      <c r="D1908">
        <v>6.16</v>
      </c>
      <c r="E1908" t="str">
        <f t="shared" si="61"/>
        <v>Prediabetes</v>
      </c>
      <c r="F1908" t="s">
        <v>2380</v>
      </c>
      <c r="G1908" t="s">
        <v>2380</v>
      </c>
      <c r="H1908" t="s">
        <v>2382</v>
      </c>
      <c r="I1908">
        <v>1</v>
      </c>
      <c r="J1908" t="s">
        <v>2380</v>
      </c>
    </row>
    <row r="1909" spans="1:10" x14ac:dyDescent="0.35">
      <c r="A1909" t="s">
        <v>460</v>
      </c>
      <c r="B1909" t="str">
        <f t="shared" si="60"/>
        <v>Obesity</v>
      </c>
      <c r="C1909">
        <v>31.16</v>
      </c>
      <c r="D1909">
        <v>4.49</v>
      </c>
      <c r="E1909" t="str">
        <f t="shared" si="61"/>
        <v>Normal</v>
      </c>
      <c r="F1909" t="s">
        <v>2380</v>
      </c>
      <c r="G1909" t="s">
        <v>2380</v>
      </c>
      <c r="H1909" t="s">
        <v>2382</v>
      </c>
      <c r="I1909">
        <v>1</v>
      </c>
      <c r="J1909" t="s">
        <v>2380</v>
      </c>
    </row>
    <row r="1910" spans="1:10" x14ac:dyDescent="0.35">
      <c r="A1910" t="s">
        <v>459</v>
      </c>
      <c r="B1910" t="str">
        <f t="shared" si="60"/>
        <v>Obesity</v>
      </c>
      <c r="C1910">
        <v>34.21</v>
      </c>
      <c r="D1910">
        <v>4.4800000000000004</v>
      </c>
      <c r="E1910" t="str">
        <f t="shared" si="61"/>
        <v>Normal</v>
      </c>
      <c r="F1910" t="s">
        <v>2381</v>
      </c>
      <c r="G1910" t="s">
        <v>2380</v>
      </c>
      <c r="H1910" t="s">
        <v>2380</v>
      </c>
      <c r="I1910">
        <v>1</v>
      </c>
      <c r="J1910" t="s">
        <v>2380</v>
      </c>
    </row>
    <row r="1911" spans="1:10" x14ac:dyDescent="0.35">
      <c r="A1911" t="s">
        <v>458</v>
      </c>
      <c r="B1911" t="str">
        <f t="shared" si="60"/>
        <v>Obesity</v>
      </c>
      <c r="C1911">
        <v>34.86</v>
      </c>
      <c r="D1911">
        <v>10.97</v>
      </c>
      <c r="E1911" t="str">
        <f t="shared" si="61"/>
        <v>Diabetes</v>
      </c>
      <c r="F1911" t="s">
        <v>2380</v>
      </c>
      <c r="G1911" t="s">
        <v>2380</v>
      </c>
      <c r="H1911" t="s">
        <v>2380</v>
      </c>
      <c r="I1911">
        <v>0</v>
      </c>
      <c r="J1911" t="s">
        <v>2380</v>
      </c>
    </row>
    <row r="1912" spans="1:10" x14ac:dyDescent="0.35">
      <c r="A1912" t="s">
        <v>457</v>
      </c>
      <c r="B1912" t="str">
        <f t="shared" si="60"/>
        <v>Obesity</v>
      </c>
      <c r="C1912">
        <v>34.58</v>
      </c>
      <c r="D1912">
        <v>5.14</v>
      </c>
      <c r="E1912" t="str">
        <f t="shared" si="61"/>
        <v>Normal</v>
      </c>
      <c r="F1912" t="s">
        <v>2380</v>
      </c>
      <c r="G1912" t="s">
        <v>2381</v>
      </c>
      <c r="H1912" t="s">
        <v>2380</v>
      </c>
      <c r="I1912">
        <v>2</v>
      </c>
      <c r="J1912" t="s">
        <v>2380</v>
      </c>
    </row>
    <row r="1913" spans="1:10" x14ac:dyDescent="0.35">
      <c r="A1913" t="s">
        <v>456</v>
      </c>
      <c r="B1913" t="str">
        <f t="shared" si="60"/>
        <v>Underweight</v>
      </c>
      <c r="C1913">
        <v>17.940000000000001</v>
      </c>
      <c r="D1913">
        <v>5.17</v>
      </c>
      <c r="E1913" t="str">
        <f t="shared" si="61"/>
        <v>Normal</v>
      </c>
      <c r="F1913" t="s">
        <v>2381</v>
      </c>
      <c r="G1913" t="s">
        <v>2380</v>
      </c>
      <c r="H1913" t="s">
        <v>2380</v>
      </c>
      <c r="I1913">
        <v>0</v>
      </c>
      <c r="J1913" t="s">
        <v>2380</v>
      </c>
    </row>
    <row r="1914" spans="1:10" x14ac:dyDescent="0.35">
      <c r="A1914" t="s">
        <v>455</v>
      </c>
      <c r="B1914" t="str">
        <f t="shared" si="60"/>
        <v>Overweight</v>
      </c>
      <c r="C1914">
        <v>26.8</v>
      </c>
      <c r="D1914">
        <v>6.18</v>
      </c>
      <c r="E1914" t="str">
        <f t="shared" si="61"/>
        <v>Prediabetes</v>
      </c>
      <c r="F1914" t="s">
        <v>2381</v>
      </c>
      <c r="G1914" t="s">
        <v>2380</v>
      </c>
      <c r="H1914" t="s">
        <v>2382</v>
      </c>
      <c r="I1914">
        <v>1</v>
      </c>
      <c r="J1914" t="s">
        <v>2380</v>
      </c>
    </row>
    <row r="1915" spans="1:10" x14ac:dyDescent="0.35">
      <c r="A1915" t="s">
        <v>454</v>
      </c>
      <c r="B1915" t="str">
        <f t="shared" si="60"/>
        <v>Underweight</v>
      </c>
      <c r="C1915">
        <v>17.690000000000001</v>
      </c>
      <c r="D1915">
        <v>9.07</v>
      </c>
      <c r="E1915" t="str">
        <f t="shared" si="61"/>
        <v>Diabetes</v>
      </c>
      <c r="F1915" t="s">
        <v>2381</v>
      </c>
      <c r="G1915" t="s">
        <v>2380</v>
      </c>
      <c r="H1915" t="s">
        <v>2380</v>
      </c>
      <c r="I1915">
        <v>0</v>
      </c>
      <c r="J1915" t="s">
        <v>2380</v>
      </c>
    </row>
    <row r="1916" spans="1:10" x14ac:dyDescent="0.35">
      <c r="A1916" t="s">
        <v>453</v>
      </c>
      <c r="B1916" t="str">
        <f t="shared" si="60"/>
        <v>Overweight</v>
      </c>
      <c r="C1916">
        <v>25.77</v>
      </c>
      <c r="D1916">
        <v>4.43</v>
      </c>
      <c r="E1916" t="str">
        <f t="shared" si="61"/>
        <v>Normal</v>
      </c>
      <c r="F1916" t="s">
        <v>2380</v>
      </c>
      <c r="G1916" t="s">
        <v>2380</v>
      </c>
      <c r="H1916" t="s">
        <v>2382</v>
      </c>
      <c r="I1916">
        <v>1</v>
      </c>
      <c r="J1916" t="s">
        <v>2380</v>
      </c>
    </row>
    <row r="1917" spans="1:10" x14ac:dyDescent="0.35">
      <c r="A1917" t="s">
        <v>452</v>
      </c>
      <c r="B1917" t="str">
        <f t="shared" si="60"/>
        <v>Obesity</v>
      </c>
      <c r="C1917">
        <v>34.46</v>
      </c>
      <c r="D1917">
        <v>4.17</v>
      </c>
      <c r="E1917" t="str">
        <f t="shared" si="61"/>
        <v>Normal</v>
      </c>
      <c r="F1917" t="s">
        <v>2380</v>
      </c>
      <c r="G1917" t="s">
        <v>2381</v>
      </c>
      <c r="H1917" t="s">
        <v>2380</v>
      </c>
      <c r="I1917">
        <v>1</v>
      </c>
      <c r="J1917" t="s">
        <v>2380</v>
      </c>
    </row>
    <row r="1918" spans="1:10" x14ac:dyDescent="0.35">
      <c r="A1918" t="s">
        <v>451</v>
      </c>
      <c r="B1918" t="str">
        <f t="shared" si="60"/>
        <v>Obesity</v>
      </c>
      <c r="C1918">
        <v>30.875</v>
      </c>
      <c r="D1918">
        <v>4.95</v>
      </c>
      <c r="E1918" t="str">
        <f t="shared" si="61"/>
        <v>Normal</v>
      </c>
      <c r="F1918" t="s">
        <v>2381</v>
      </c>
      <c r="G1918" t="s">
        <v>2380</v>
      </c>
      <c r="H1918" t="s">
        <v>2380</v>
      </c>
      <c r="I1918">
        <v>0</v>
      </c>
      <c r="J1918" t="s">
        <v>2380</v>
      </c>
    </row>
    <row r="1919" spans="1:10" x14ac:dyDescent="0.35">
      <c r="A1919" t="s">
        <v>450</v>
      </c>
      <c r="B1919" t="str">
        <f t="shared" si="60"/>
        <v>Obesity</v>
      </c>
      <c r="C1919">
        <v>39.49</v>
      </c>
      <c r="D1919">
        <v>5.13</v>
      </c>
      <c r="E1919" t="str">
        <f t="shared" si="61"/>
        <v>Normal</v>
      </c>
      <c r="F1919" t="s">
        <v>2380</v>
      </c>
      <c r="G1919" t="s">
        <v>2380</v>
      </c>
      <c r="H1919" t="s">
        <v>2380</v>
      </c>
      <c r="I1919">
        <v>0</v>
      </c>
      <c r="J1919" t="s">
        <v>2380</v>
      </c>
    </row>
    <row r="1920" spans="1:10" x14ac:dyDescent="0.35">
      <c r="A1920" t="s">
        <v>449</v>
      </c>
      <c r="B1920" t="str">
        <f t="shared" si="60"/>
        <v>Overweight</v>
      </c>
      <c r="C1920">
        <v>28.88</v>
      </c>
      <c r="D1920">
        <v>4.0999999999999996</v>
      </c>
      <c r="E1920" t="str">
        <f t="shared" si="61"/>
        <v>Normal</v>
      </c>
      <c r="F1920" t="s">
        <v>2380</v>
      </c>
      <c r="G1920" t="s">
        <v>2380</v>
      </c>
      <c r="H1920" t="s">
        <v>2380</v>
      </c>
      <c r="I1920">
        <v>0</v>
      </c>
      <c r="J1920" t="s">
        <v>2380</v>
      </c>
    </row>
    <row r="1921" spans="1:10" x14ac:dyDescent="0.35">
      <c r="A1921" t="s">
        <v>448</v>
      </c>
      <c r="B1921" t="str">
        <f t="shared" si="60"/>
        <v>Normal Weight</v>
      </c>
      <c r="C1921">
        <v>20.234999999999999</v>
      </c>
      <c r="D1921">
        <v>5.01</v>
      </c>
      <c r="E1921" t="str">
        <f t="shared" si="61"/>
        <v>Normal</v>
      </c>
      <c r="F1921" t="s">
        <v>2381</v>
      </c>
      <c r="G1921" t="s">
        <v>2380</v>
      </c>
      <c r="H1921" t="s">
        <v>2380</v>
      </c>
      <c r="I1921">
        <v>0</v>
      </c>
      <c r="J1921" t="s">
        <v>2380</v>
      </c>
    </row>
    <row r="1922" spans="1:10" x14ac:dyDescent="0.35">
      <c r="A1922" t="s">
        <v>447</v>
      </c>
      <c r="B1922" t="str">
        <f t="shared" si="60"/>
        <v>Obesity</v>
      </c>
      <c r="C1922">
        <v>30.67</v>
      </c>
      <c r="D1922">
        <v>5.09</v>
      </c>
      <c r="E1922" t="str">
        <f t="shared" si="61"/>
        <v>Normal</v>
      </c>
      <c r="F1922" t="s">
        <v>2381</v>
      </c>
      <c r="G1922" t="s">
        <v>2380</v>
      </c>
      <c r="H1922" t="s">
        <v>2380</v>
      </c>
      <c r="I1922">
        <v>0</v>
      </c>
      <c r="J1922" t="s">
        <v>2380</v>
      </c>
    </row>
    <row r="1923" spans="1:10" x14ac:dyDescent="0.35">
      <c r="A1923" t="s">
        <v>446</v>
      </c>
      <c r="B1923" t="str">
        <f t="shared" ref="B1923:B1986" si="62">IF(C1923&lt;18.5,"Underweight",IF(C1923&lt;25,"Normal Weight",IF(C1923&lt;30,"Overweight","Obesity")))</f>
        <v>Obesity</v>
      </c>
      <c r="C1923">
        <v>30.875</v>
      </c>
      <c r="D1923">
        <v>6.49</v>
      </c>
      <c r="E1923" t="str">
        <f t="shared" ref="E1923:E1986" si="63">IF(D1923&lt;5.7,"Normal",IF(D1923&lt;6.5,"Prediabetes","Diabetes"))</f>
        <v>Prediabetes</v>
      </c>
      <c r="F1923" t="s">
        <v>2380</v>
      </c>
      <c r="G1923" t="s">
        <v>2380</v>
      </c>
      <c r="H1923" t="s">
        <v>2380</v>
      </c>
      <c r="I1923">
        <v>0</v>
      </c>
      <c r="J1923" t="s">
        <v>2380</v>
      </c>
    </row>
    <row r="1924" spans="1:10" x14ac:dyDescent="0.35">
      <c r="A1924" t="s">
        <v>445</v>
      </c>
      <c r="B1924" t="str">
        <f t="shared" si="62"/>
        <v>Normal Weight</v>
      </c>
      <c r="C1924">
        <v>23.8</v>
      </c>
      <c r="D1924">
        <v>4.08</v>
      </c>
      <c r="E1924" t="str">
        <f t="shared" si="63"/>
        <v>Normal</v>
      </c>
      <c r="F1924" t="s">
        <v>2380</v>
      </c>
      <c r="G1924" t="s">
        <v>2380</v>
      </c>
      <c r="H1924" t="s">
        <v>2380</v>
      </c>
      <c r="I1924">
        <v>0</v>
      </c>
      <c r="J1924" t="s">
        <v>2380</v>
      </c>
    </row>
    <row r="1925" spans="1:10" x14ac:dyDescent="0.35">
      <c r="A1925" t="s">
        <v>444</v>
      </c>
      <c r="B1925" t="str">
        <f t="shared" si="62"/>
        <v>Underweight</v>
      </c>
      <c r="C1925">
        <v>15.37</v>
      </c>
      <c r="D1925">
        <v>8.6300000000000008</v>
      </c>
      <c r="E1925" t="str">
        <f t="shared" si="63"/>
        <v>Diabetes</v>
      </c>
      <c r="F1925" t="s">
        <v>2381</v>
      </c>
      <c r="G1925" t="s">
        <v>2380</v>
      </c>
      <c r="H1925" t="s">
        <v>2380</v>
      </c>
      <c r="I1925">
        <v>0</v>
      </c>
      <c r="J1925" t="s">
        <v>2380</v>
      </c>
    </row>
    <row r="1926" spans="1:10" x14ac:dyDescent="0.35">
      <c r="A1926" t="s">
        <v>443</v>
      </c>
      <c r="B1926" t="str">
        <f t="shared" si="62"/>
        <v>Obesity</v>
      </c>
      <c r="C1926">
        <v>30.4</v>
      </c>
      <c r="D1926">
        <v>5.28</v>
      </c>
      <c r="E1926" t="str">
        <f t="shared" si="63"/>
        <v>Normal</v>
      </c>
      <c r="F1926" t="s">
        <v>2380</v>
      </c>
      <c r="G1926" t="s">
        <v>2380</v>
      </c>
      <c r="H1926" t="s">
        <v>2380</v>
      </c>
      <c r="I1926">
        <v>0</v>
      </c>
      <c r="J1926" t="s">
        <v>2380</v>
      </c>
    </row>
    <row r="1927" spans="1:10" x14ac:dyDescent="0.35">
      <c r="A1927" t="s">
        <v>442</v>
      </c>
      <c r="B1927" t="str">
        <f t="shared" si="62"/>
        <v>Normal Weight</v>
      </c>
      <c r="C1927">
        <v>19.48</v>
      </c>
      <c r="D1927">
        <v>5.63</v>
      </c>
      <c r="E1927" t="str">
        <f t="shared" si="63"/>
        <v>Normal</v>
      </c>
      <c r="F1927" t="s">
        <v>2381</v>
      </c>
      <c r="G1927" t="s">
        <v>2380</v>
      </c>
      <c r="H1927" t="s">
        <v>2380</v>
      </c>
      <c r="I1927">
        <v>1</v>
      </c>
      <c r="J1927" t="s">
        <v>2380</v>
      </c>
    </row>
    <row r="1928" spans="1:10" x14ac:dyDescent="0.35">
      <c r="A1928" t="s">
        <v>441</v>
      </c>
      <c r="B1928" t="str">
        <f t="shared" si="62"/>
        <v>Underweight</v>
      </c>
      <c r="C1928">
        <v>16.96</v>
      </c>
      <c r="D1928">
        <v>11.47</v>
      </c>
      <c r="E1928" t="str">
        <f t="shared" si="63"/>
        <v>Diabetes</v>
      </c>
      <c r="F1928" t="s">
        <v>2381</v>
      </c>
      <c r="G1928" t="s">
        <v>2380</v>
      </c>
      <c r="H1928" t="s">
        <v>2380</v>
      </c>
      <c r="I1928">
        <v>0</v>
      </c>
      <c r="J1928" t="s">
        <v>2380</v>
      </c>
    </row>
    <row r="1929" spans="1:10" x14ac:dyDescent="0.35">
      <c r="A1929" t="s">
        <v>440</v>
      </c>
      <c r="B1929" t="str">
        <f t="shared" si="62"/>
        <v>Normal Weight</v>
      </c>
      <c r="C1929">
        <v>19.05</v>
      </c>
      <c r="D1929">
        <v>4.92</v>
      </c>
      <c r="E1929" t="str">
        <f t="shared" si="63"/>
        <v>Normal</v>
      </c>
      <c r="F1929" t="s">
        <v>2380</v>
      </c>
      <c r="G1929" t="s">
        <v>2380</v>
      </c>
      <c r="H1929" t="s">
        <v>2380</v>
      </c>
      <c r="I1929">
        <v>1</v>
      </c>
      <c r="J1929" t="s">
        <v>2380</v>
      </c>
    </row>
    <row r="1930" spans="1:10" x14ac:dyDescent="0.35">
      <c r="A1930" t="s">
        <v>439</v>
      </c>
      <c r="B1930" t="str">
        <f t="shared" si="62"/>
        <v>Obesity</v>
      </c>
      <c r="C1930">
        <v>37.619999999999997</v>
      </c>
      <c r="D1930">
        <v>4.18</v>
      </c>
      <c r="E1930" t="str">
        <f t="shared" si="63"/>
        <v>Normal</v>
      </c>
      <c r="F1930" t="s">
        <v>2380</v>
      </c>
      <c r="G1930" t="s">
        <v>2380</v>
      </c>
      <c r="H1930" t="s">
        <v>2380</v>
      </c>
      <c r="I1930">
        <v>0</v>
      </c>
      <c r="J1930" t="s">
        <v>2380</v>
      </c>
    </row>
    <row r="1931" spans="1:10" x14ac:dyDescent="0.35">
      <c r="A1931" t="s">
        <v>438</v>
      </c>
      <c r="B1931" t="str">
        <f t="shared" si="62"/>
        <v>Overweight</v>
      </c>
      <c r="C1931">
        <v>29.1</v>
      </c>
      <c r="D1931">
        <v>4.67</v>
      </c>
      <c r="E1931" t="str">
        <f t="shared" si="63"/>
        <v>Normal</v>
      </c>
      <c r="F1931" t="s">
        <v>2380</v>
      </c>
      <c r="G1931" t="s">
        <v>2380</v>
      </c>
      <c r="H1931" t="s">
        <v>2380</v>
      </c>
      <c r="I1931">
        <v>0</v>
      </c>
      <c r="J1931" t="s">
        <v>2380</v>
      </c>
    </row>
    <row r="1932" spans="1:10" x14ac:dyDescent="0.35">
      <c r="A1932" t="s">
        <v>437</v>
      </c>
      <c r="B1932" t="str">
        <f t="shared" si="62"/>
        <v>Overweight</v>
      </c>
      <c r="C1932">
        <v>26.62</v>
      </c>
      <c r="D1932">
        <v>6.24</v>
      </c>
      <c r="E1932" t="str">
        <f t="shared" si="63"/>
        <v>Prediabetes</v>
      </c>
      <c r="F1932" t="s">
        <v>2380</v>
      </c>
      <c r="G1932" t="s">
        <v>2380</v>
      </c>
      <c r="H1932" t="s">
        <v>2380</v>
      </c>
      <c r="I1932">
        <v>0</v>
      </c>
      <c r="J1932" t="s">
        <v>2380</v>
      </c>
    </row>
    <row r="1933" spans="1:10" x14ac:dyDescent="0.35">
      <c r="A1933" t="s">
        <v>436</v>
      </c>
      <c r="B1933" t="str">
        <f t="shared" si="62"/>
        <v>Overweight</v>
      </c>
      <c r="C1933">
        <v>25.74</v>
      </c>
      <c r="D1933">
        <v>5.99</v>
      </c>
      <c r="E1933" t="str">
        <f t="shared" si="63"/>
        <v>Prediabetes</v>
      </c>
      <c r="F1933" t="s">
        <v>2380</v>
      </c>
      <c r="G1933" t="s">
        <v>2380</v>
      </c>
      <c r="H1933" t="s">
        <v>2380</v>
      </c>
      <c r="I1933">
        <v>0</v>
      </c>
      <c r="J1933" t="s">
        <v>2380</v>
      </c>
    </row>
    <row r="1934" spans="1:10" x14ac:dyDescent="0.35">
      <c r="A1934" t="s">
        <v>435</v>
      </c>
      <c r="B1934" t="str">
        <f t="shared" si="62"/>
        <v>Underweight</v>
      </c>
      <c r="C1934">
        <v>18.22</v>
      </c>
      <c r="D1934">
        <v>10.27</v>
      </c>
      <c r="E1934" t="str">
        <f t="shared" si="63"/>
        <v>Diabetes</v>
      </c>
      <c r="F1934" t="s">
        <v>2381</v>
      </c>
      <c r="G1934" t="s">
        <v>2380</v>
      </c>
      <c r="H1934" t="s">
        <v>2380</v>
      </c>
      <c r="I1934">
        <v>1</v>
      </c>
      <c r="J1934" t="s">
        <v>2380</v>
      </c>
    </row>
    <row r="1935" spans="1:10" x14ac:dyDescent="0.35">
      <c r="A1935" t="s">
        <v>434</v>
      </c>
      <c r="B1935" t="str">
        <f t="shared" si="62"/>
        <v>Overweight</v>
      </c>
      <c r="C1935">
        <v>26.03</v>
      </c>
      <c r="D1935">
        <v>5.97</v>
      </c>
      <c r="E1935" t="str">
        <f t="shared" si="63"/>
        <v>Prediabetes</v>
      </c>
      <c r="F1935" t="s">
        <v>2380</v>
      </c>
      <c r="G1935" t="s">
        <v>2380</v>
      </c>
      <c r="H1935" t="s">
        <v>2382</v>
      </c>
      <c r="I1935">
        <v>1</v>
      </c>
      <c r="J1935" t="s">
        <v>2380</v>
      </c>
    </row>
    <row r="1936" spans="1:10" x14ac:dyDescent="0.35">
      <c r="A1936" t="s">
        <v>433</v>
      </c>
      <c r="B1936" t="str">
        <f t="shared" si="62"/>
        <v>Underweight</v>
      </c>
      <c r="C1936">
        <v>17.29</v>
      </c>
      <c r="D1936">
        <v>4.9800000000000004</v>
      </c>
      <c r="E1936" t="str">
        <f t="shared" si="63"/>
        <v>Normal</v>
      </c>
      <c r="F1936" t="s">
        <v>2380</v>
      </c>
      <c r="G1936" t="s">
        <v>2380</v>
      </c>
      <c r="H1936" t="s">
        <v>2380</v>
      </c>
      <c r="I1936">
        <v>0</v>
      </c>
      <c r="J1936" t="s">
        <v>2380</v>
      </c>
    </row>
    <row r="1937" spans="1:10" x14ac:dyDescent="0.35">
      <c r="A1937" t="s">
        <v>432</v>
      </c>
      <c r="B1937" t="str">
        <f t="shared" si="62"/>
        <v>Underweight</v>
      </c>
      <c r="C1937">
        <v>18.170000000000002</v>
      </c>
      <c r="D1937">
        <v>6.91</v>
      </c>
      <c r="E1937" t="str">
        <f t="shared" si="63"/>
        <v>Diabetes</v>
      </c>
      <c r="F1937" t="s">
        <v>2381</v>
      </c>
      <c r="G1937" t="s">
        <v>2380</v>
      </c>
      <c r="H1937" t="s">
        <v>2380</v>
      </c>
      <c r="I1937">
        <v>1</v>
      </c>
      <c r="J1937" t="s">
        <v>2380</v>
      </c>
    </row>
    <row r="1938" spans="1:10" x14ac:dyDescent="0.35">
      <c r="A1938" t="s">
        <v>431</v>
      </c>
      <c r="B1938" t="str">
        <f t="shared" si="62"/>
        <v>Obesity</v>
      </c>
      <c r="C1938">
        <v>32.54</v>
      </c>
      <c r="D1938">
        <v>6.38</v>
      </c>
      <c r="E1938" t="str">
        <f t="shared" si="63"/>
        <v>Prediabetes</v>
      </c>
      <c r="F1938" t="s">
        <v>2380</v>
      </c>
      <c r="G1938" t="s">
        <v>2381</v>
      </c>
      <c r="H1938" t="s">
        <v>2380</v>
      </c>
      <c r="I1938">
        <v>1</v>
      </c>
      <c r="J1938" t="s">
        <v>2380</v>
      </c>
    </row>
    <row r="1939" spans="1:10" x14ac:dyDescent="0.35">
      <c r="A1939" t="s">
        <v>430</v>
      </c>
      <c r="B1939" t="str">
        <f t="shared" si="62"/>
        <v>Obesity</v>
      </c>
      <c r="C1939">
        <v>30.25</v>
      </c>
      <c r="D1939">
        <v>4.7699999999999996</v>
      </c>
      <c r="E1939" t="str">
        <f t="shared" si="63"/>
        <v>Normal</v>
      </c>
      <c r="F1939" t="s">
        <v>2380</v>
      </c>
      <c r="G1939" t="s">
        <v>2380</v>
      </c>
      <c r="H1939" t="s">
        <v>2380</v>
      </c>
      <c r="I1939">
        <v>0</v>
      </c>
      <c r="J1939" t="s">
        <v>2380</v>
      </c>
    </row>
    <row r="1940" spans="1:10" x14ac:dyDescent="0.35">
      <c r="A1940" t="s">
        <v>429</v>
      </c>
      <c r="B1940" t="str">
        <f t="shared" si="62"/>
        <v>Normal Weight</v>
      </c>
      <c r="C1940">
        <v>19.59</v>
      </c>
      <c r="D1940">
        <v>6.04</v>
      </c>
      <c r="E1940" t="str">
        <f t="shared" si="63"/>
        <v>Prediabetes</v>
      </c>
      <c r="F1940" t="s">
        <v>2381</v>
      </c>
      <c r="G1940" t="s">
        <v>2380</v>
      </c>
      <c r="H1940" t="s">
        <v>2380</v>
      </c>
      <c r="I1940">
        <v>1</v>
      </c>
      <c r="J1940" t="s">
        <v>2380</v>
      </c>
    </row>
    <row r="1941" spans="1:10" x14ac:dyDescent="0.35">
      <c r="A1941" t="s">
        <v>428</v>
      </c>
      <c r="B1941" t="str">
        <f t="shared" si="62"/>
        <v>Obesity</v>
      </c>
      <c r="C1941">
        <v>45.9</v>
      </c>
      <c r="D1941">
        <v>4.3</v>
      </c>
      <c r="E1941" t="str">
        <f t="shared" si="63"/>
        <v>Normal</v>
      </c>
      <c r="F1941" t="s">
        <v>2381</v>
      </c>
      <c r="G1941" t="s">
        <v>2380</v>
      </c>
      <c r="H1941" t="s">
        <v>2380</v>
      </c>
      <c r="I1941">
        <v>1</v>
      </c>
      <c r="J1941" t="s">
        <v>2380</v>
      </c>
    </row>
    <row r="1942" spans="1:10" x14ac:dyDescent="0.35">
      <c r="A1942" t="s">
        <v>427</v>
      </c>
      <c r="B1942" t="str">
        <f t="shared" si="62"/>
        <v>Underweight</v>
      </c>
      <c r="C1942">
        <v>17.059999999999999</v>
      </c>
      <c r="D1942">
        <v>8.75</v>
      </c>
      <c r="E1942" t="str">
        <f t="shared" si="63"/>
        <v>Diabetes</v>
      </c>
      <c r="F1942" t="s">
        <v>2381</v>
      </c>
      <c r="G1942" t="s">
        <v>2380</v>
      </c>
      <c r="H1942" t="s">
        <v>2380</v>
      </c>
      <c r="I1942">
        <v>0</v>
      </c>
      <c r="J1942" t="s">
        <v>2380</v>
      </c>
    </row>
    <row r="1943" spans="1:10" x14ac:dyDescent="0.35">
      <c r="A1943" t="s">
        <v>426</v>
      </c>
      <c r="B1943" t="str">
        <f t="shared" si="62"/>
        <v>Obesity</v>
      </c>
      <c r="C1943">
        <v>32.07</v>
      </c>
      <c r="D1943">
        <v>5.25</v>
      </c>
      <c r="E1943" t="str">
        <f t="shared" si="63"/>
        <v>Normal</v>
      </c>
      <c r="F1943" t="s">
        <v>2380</v>
      </c>
      <c r="G1943" t="s">
        <v>2380</v>
      </c>
      <c r="H1943" t="s">
        <v>2382</v>
      </c>
      <c r="I1943">
        <v>1</v>
      </c>
      <c r="J1943" t="s">
        <v>2380</v>
      </c>
    </row>
    <row r="1944" spans="1:10" x14ac:dyDescent="0.35">
      <c r="A1944" t="s">
        <v>425</v>
      </c>
      <c r="B1944" t="str">
        <f t="shared" si="62"/>
        <v>Underweight</v>
      </c>
      <c r="C1944">
        <v>16.5</v>
      </c>
      <c r="D1944">
        <v>5.03</v>
      </c>
      <c r="E1944" t="str">
        <f t="shared" si="63"/>
        <v>Normal</v>
      </c>
      <c r="F1944" t="s">
        <v>2380</v>
      </c>
      <c r="G1944" t="s">
        <v>2380</v>
      </c>
      <c r="H1944" t="s">
        <v>2380</v>
      </c>
      <c r="I1944">
        <v>1</v>
      </c>
      <c r="J1944" t="s">
        <v>2380</v>
      </c>
    </row>
    <row r="1945" spans="1:10" x14ac:dyDescent="0.35">
      <c r="A1945" t="s">
        <v>424</v>
      </c>
      <c r="B1945" t="str">
        <f t="shared" si="62"/>
        <v>Obesity</v>
      </c>
      <c r="C1945">
        <v>31.4</v>
      </c>
      <c r="D1945">
        <v>5.88</v>
      </c>
      <c r="E1945" t="str">
        <f t="shared" si="63"/>
        <v>Prediabetes</v>
      </c>
      <c r="F1945" t="s">
        <v>2380</v>
      </c>
      <c r="G1945" t="s">
        <v>2380</v>
      </c>
      <c r="H1945" t="s">
        <v>2380</v>
      </c>
      <c r="I1945">
        <v>1</v>
      </c>
      <c r="J1945" t="s">
        <v>2380</v>
      </c>
    </row>
    <row r="1946" spans="1:10" x14ac:dyDescent="0.35">
      <c r="A1946" t="s">
        <v>423</v>
      </c>
      <c r="B1946" t="str">
        <f t="shared" si="62"/>
        <v>Normal Weight</v>
      </c>
      <c r="C1946">
        <v>20.36</v>
      </c>
      <c r="D1946">
        <v>4.49</v>
      </c>
      <c r="E1946" t="str">
        <f t="shared" si="63"/>
        <v>Normal</v>
      </c>
      <c r="F1946" t="s">
        <v>2380</v>
      </c>
      <c r="G1946" t="s">
        <v>2380</v>
      </c>
      <c r="H1946" t="s">
        <v>2380</v>
      </c>
      <c r="I1946">
        <v>0</v>
      </c>
      <c r="J1946" t="s">
        <v>2380</v>
      </c>
    </row>
    <row r="1947" spans="1:10" x14ac:dyDescent="0.35">
      <c r="A1947" t="s">
        <v>422</v>
      </c>
      <c r="B1947" t="str">
        <f t="shared" si="62"/>
        <v>Overweight</v>
      </c>
      <c r="C1947">
        <v>25.46</v>
      </c>
      <c r="D1947">
        <v>4.1399999999999997</v>
      </c>
      <c r="E1947" t="str">
        <f t="shared" si="63"/>
        <v>Normal</v>
      </c>
      <c r="F1947" t="s">
        <v>2380</v>
      </c>
      <c r="G1947" t="s">
        <v>2380</v>
      </c>
      <c r="H1947" t="s">
        <v>2380</v>
      </c>
      <c r="I1947">
        <v>1</v>
      </c>
      <c r="J1947" t="s">
        <v>2380</v>
      </c>
    </row>
    <row r="1948" spans="1:10" x14ac:dyDescent="0.35">
      <c r="A1948" t="s">
        <v>421</v>
      </c>
      <c r="B1948" t="str">
        <f t="shared" si="62"/>
        <v>Underweight</v>
      </c>
      <c r="C1948">
        <v>17.09</v>
      </c>
      <c r="D1948">
        <v>5.8</v>
      </c>
      <c r="E1948" t="str">
        <f t="shared" si="63"/>
        <v>Prediabetes</v>
      </c>
      <c r="F1948" t="s">
        <v>2381</v>
      </c>
      <c r="G1948" t="s">
        <v>2380</v>
      </c>
      <c r="H1948" t="s">
        <v>2380</v>
      </c>
      <c r="I1948">
        <v>0</v>
      </c>
      <c r="J1948" t="s">
        <v>2380</v>
      </c>
    </row>
    <row r="1949" spans="1:10" x14ac:dyDescent="0.35">
      <c r="A1949" t="s">
        <v>420</v>
      </c>
      <c r="B1949" t="str">
        <f t="shared" si="62"/>
        <v>Normal Weight</v>
      </c>
      <c r="C1949">
        <v>20.83</v>
      </c>
      <c r="D1949">
        <v>5.12</v>
      </c>
      <c r="E1949" t="str">
        <f t="shared" si="63"/>
        <v>Normal</v>
      </c>
      <c r="F1949" t="s">
        <v>2380</v>
      </c>
      <c r="G1949" t="s">
        <v>2380</v>
      </c>
      <c r="H1949" t="s">
        <v>2380</v>
      </c>
      <c r="I1949">
        <v>0</v>
      </c>
      <c r="J1949" t="s">
        <v>2380</v>
      </c>
    </row>
    <row r="1950" spans="1:10" x14ac:dyDescent="0.35">
      <c r="A1950" t="s">
        <v>419</v>
      </c>
      <c r="B1950" t="str">
        <f t="shared" si="62"/>
        <v>Normal Weight</v>
      </c>
      <c r="C1950">
        <v>18.920000000000002</v>
      </c>
      <c r="D1950">
        <v>5.98</v>
      </c>
      <c r="E1950" t="str">
        <f t="shared" si="63"/>
        <v>Prediabetes</v>
      </c>
      <c r="F1950" t="s">
        <v>2381</v>
      </c>
      <c r="G1950" t="s">
        <v>2380</v>
      </c>
      <c r="H1950" t="s">
        <v>2380</v>
      </c>
      <c r="I1950">
        <v>1</v>
      </c>
      <c r="J1950" t="s">
        <v>2380</v>
      </c>
    </row>
    <row r="1951" spans="1:10" x14ac:dyDescent="0.35">
      <c r="A1951" t="s">
        <v>418</v>
      </c>
      <c r="B1951" t="str">
        <f t="shared" si="62"/>
        <v>Obesity</v>
      </c>
      <c r="C1951">
        <v>37.1</v>
      </c>
      <c r="D1951">
        <v>5.46</v>
      </c>
      <c r="E1951" t="str">
        <f t="shared" si="63"/>
        <v>Normal</v>
      </c>
      <c r="F1951" t="s">
        <v>2380</v>
      </c>
      <c r="G1951" t="s">
        <v>2380</v>
      </c>
      <c r="H1951" t="s">
        <v>2380</v>
      </c>
      <c r="I1951">
        <v>0</v>
      </c>
      <c r="J1951" t="s">
        <v>2380</v>
      </c>
    </row>
    <row r="1952" spans="1:10" x14ac:dyDescent="0.35">
      <c r="A1952" t="s">
        <v>417</v>
      </c>
      <c r="B1952" t="str">
        <f t="shared" si="62"/>
        <v>Normal Weight</v>
      </c>
      <c r="C1952">
        <v>22.515000000000001</v>
      </c>
      <c r="D1952">
        <v>4.91</v>
      </c>
      <c r="E1952" t="str">
        <f t="shared" si="63"/>
        <v>Normal</v>
      </c>
      <c r="F1952" t="s">
        <v>2381</v>
      </c>
      <c r="G1952" t="s">
        <v>2380</v>
      </c>
      <c r="H1952" t="s">
        <v>2382</v>
      </c>
      <c r="I1952">
        <v>1</v>
      </c>
      <c r="J1952" t="s">
        <v>2380</v>
      </c>
    </row>
    <row r="1953" spans="1:10" x14ac:dyDescent="0.35">
      <c r="A1953" t="s">
        <v>416</v>
      </c>
      <c r="B1953" t="str">
        <f t="shared" si="62"/>
        <v>Obesity</v>
      </c>
      <c r="C1953">
        <v>32.700000000000003</v>
      </c>
      <c r="D1953">
        <v>4.66</v>
      </c>
      <c r="E1953" t="str">
        <f t="shared" si="63"/>
        <v>Normal</v>
      </c>
      <c r="F1953" t="s">
        <v>2380</v>
      </c>
      <c r="G1953" t="s">
        <v>2380</v>
      </c>
      <c r="H1953" t="s">
        <v>2380</v>
      </c>
      <c r="I1953">
        <v>0</v>
      </c>
      <c r="J1953" t="s">
        <v>2380</v>
      </c>
    </row>
    <row r="1954" spans="1:10" x14ac:dyDescent="0.35">
      <c r="A1954" t="s">
        <v>415</v>
      </c>
      <c r="B1954" t="str">
        <f t="shared" si="62"/>
        <v>Underweight</v>
      </c>
      <c r="C1954">
        <v>17.75</v>
      </c>
      <c r="D1954">
        <v>6.8</v>
      </c>
      <c r="E1954" t="str">
        <f t="shared" si="63"/>
        <v>Diabetes</v>
      </c>
      <c r="F1954" t="s">
        <v>2381</v>
      </c>
      <c r="G1954" t="s">
        <v>2380</v>
      </c>
      <c r="H1954" t="s">
        <v>2380</v>
      </c>
      <c r="I1954">
        <v>1</v>
      </c>
      <c r="J1954" t="s">
        <v>2380</v>
      </c>
    </row>
    <row r="1955" spans="1:10" x14ac:dyDescent="0.35">
      <c r="A1955" t="s">
        <v>414</v>
      </c>
      <c r="B1955" t="str">
        <f t="shared" si="62"/>
        <v>Obesity</v>
      </c>
      <c r="C1955">
        <v>33.630000000000003</v>
      </c>
      <c r="D1955">
        <v>4.47</v>
      </c>
      <c r="E1955" t="str">
        <f t="shared" si="63"/>
        <v>Normal</v>
      </c>
      <c r="F1955" t="s">
        <v>2381</v>
      </c>
      <c r="G1955" t="s">
        <v>2380</v>
      </c>
      <c r="H1955" t="s">
        <v>2380</v>
      </c>
      <c r="I1955">
        <v>0</v>
      </c>
      <c r="J1955" t="s">
        <v>2380</v>
      </c>
    </row>
    <row r="1956" spans="1:10" x14ac:dyDescent="0.35">
      <c r="A1956" t="s">
        <v>413</v>
      </c>
      <c r="B1956" t="str">
        <f t="shared" si="62"/>
        <v>Obesity</v>
      </c>
      <c r="C1956">
        <v>34.799999999999997</v>
      </c>
      <c r="D1956">
        <v>4.08</v>
      </c>
      <c r="E1956" t="str">
        <f t="shared" si="63"/>
        <v>Normal</v>
      </c>
      <c r="F1956" t="s">
        <v>2381</v>
      </c>
      <c r="G1956" t="s">
        <v>2380</v>
      </c>
      <c r="H1956" t="s">
        <v>2380</v>
      </c>
      <c r="I1956">
        <v>1</v>
      </c>
      <c r="J1956" t="s">
        <v>2380</v>
      </c>
    </row>
    <row r="1957" spans="1:10" x14ac:dyDescent="0.35">
      <c r="A1957" t="s">
        <v>412</v>
      </c>
      <c r="B1957" t="str">
        <f t="shared" si="62"/>
        <v>Underweight</v>
      </c>
      <c r="C1957">
        <v>16.809999999999999</v>
      </c>
      <c r="D1957">
        <v>5.51</v>
      </c>
      <c r="E1957" t="str">
        <f t="shared" si="63"/>
        <v>Normal</v>
      </c>
      <c r="F1957" t="s">
        <v>2381</v>
      </c>
      <c r="G1957" t="s">
        <v>2380</v>
      </c>
      <c r="H1957" t="s">
        <v>2380</v>
      </c>
      <c r="I1957">
        <v>1</v>
      </c>
      <c r="J1957" t="s">
        <v>2380</v>
      </c>
    </row>
    <row r="1958" spans="1:10" x14ac:dyDescent="0.35">
      <c r="A1958" t="s">
        <v>411</v>
      </c>
      <c r="B1958" t="str">
        <f t="shared" si="62"/>
        <v>Underweight</v>
      </c>
      <c r="C1958">
        <v>16.690000000000001</v>
      </c>
      <c r="D1958">
        <v>8.4</v>
      </c>
      <c r="E1958" t="str">
        <f t="shared" si="63"/>
        <v>Diabetes</v>
      </c>
      <c r="F1958" t="s">
        <v>2381</v>
      </c>
      <c r="G1958" t="s">
        <v>2380</v>
      </c>
      <c r="H1958" t="s">
        <v>2380</v>
      </c>
      <c r="I1958">
        <v>0</v>
      </c>
      <c r="J1958" t="s">
        <v>2380</v>
      </c>
    </row>
    <row r="1959" spans="1:10" x14ac:dyDescent="0.35">
      <c r="A1959" t="s">
        <v>410</v>
      </c>
      <c r="B1959" t="str">
        <f t="shared" si="62"/>
        <v>Normal Weight</v>
      </c>
      <c r="C1959">
        <v>23.21</v>
      </c>
      <c r="D1959">
        <v>5.14</v>
      </c>
      <c r="E1959" t="str">
        <f t="shared" si="63"/>
        <v>Normal</v>
      </c>
      <c r="F1959" t="s">
        <v>2381</v>
      </c>
      <c r="G1959" t="s">
        <v>2380</v>
      </c>
      <c r="H1959" t="s">
        <v>2380</v>
      </c>
      <c r="I1959">
        <v>1</v>
      </c>
      <c r="J1959" t="s">
        <v>2380</v>
      </c>
    </row>
    <row r="1960" spans="1:10" x14ac:dyDescent="0.35">
      <c r="A1960" t="s">
        <v>409</v>
      </c>
      <c r="B1960" t="str">
        <f t="shared" si="62"/>
        <v>Overweight</v>
      </c>
      <c r="C1960">
        <v>25.175000000000001</v>
      </c>
      <c r="D1960">
        <v>5.21</v>
      </c>
      <c r="E1960" t="str">
        <f t="shared" si="63"/>
        <v>Normal</v>
      </c>
      <c r="F1960" t="s">
        <v>2381</v>
      </c>
      <c r="G1960" t="s">
        <v>2380</v>
      </c>
      <c r="H1960" t="s">
        <v>2380</v>
      </c>
      <c r="I1960">
        <v>1</v>
      </c>
      <c r="J1960" t="s">
        <v>2380</v>
      </c>
    </row>
    <row r="1961" spans="1:10" x14ac:dyDescent="0.35">
      <c r="A1961" t="s">
        <v>408</v>
      </c>
      <c r="B1961" t="str">
        <f t="shared" si="62"/>
        <v>Obesity</v>
      </c>
      <c r="C1961">
        <v>34.770000000000003</v>
      </c>
      <c r="D1961">
        <v>6.23</v>
      </c>
      <c r="E1961" t="str">
        <f t="shared" si="63"/>
        <v>Prediabetes</v>
      </c>
      <c r="F1961" t="s">
        <v>2380</v>
      </c>
      <c r="G1961" t="s">
        <v>2380</v>
      </c>
      <c r="H1961" t="s">
        <v>2380</v>
      </c>
      <c r="I1961">
        <v>0</v>
      </c>
      <c r="J1961" t="s">
        <v>2380</v>
      </c>
    </row>
    <row r="1962" spans="1:10" x14ac:dyDescent="0.35">
      <c r="A1962" t="s">
        <v>407</v>
      </c>
      <c r="B1962" t="str">
        <f t="shared" si="62"/>
        <v>Overweight</v>
      </c>
      <c r="C1962">
        <v>27.7</v>
      </c>
      <c r="D1962">
        <v>5.6</v>
      </c>
      <c r="E1962" t="str">
        <f t="shared" si="63"/>
        <v>Normal</v>
      </c>
      <c r="F1962" t="s">
        <v>2380</v>
      </c>
      <c r="G1962" t="s">
        <v>2380</v>
      </c>
      <c r="H1962" t="s">
        <v>2380</v>
      </c>
      <c r="I1962">
        <v>1</v>
      </c>
      <c r="J1962" t="s">
        <v>2380</v>
      </c>
    </row>
    <row r="1963" spans="1:10" x14ac:dyDescent="0.35">
      <c r="A1963" t="s">
        <v>406</v>
      </c>
      <c r="B1963" t="str">
        <f t="shared" si="62"/>
        <v>Normal Weight</v>
      </c>
      <c r="C1963">
        <v>19.12</v>
      </c>
      <c r="D1963">
        <v>4.72</v>
      </c>
      <c r="E1963" t="str">
        <f t="shared" si="63"/>
        <v>Normal</v>
      </c>
      <c r="F1963" t="s">
        <v>2381</v>
      </c>
      <c r="G1963" t="s">
        <v>2380</v>
      </c>
      <c r="H1963" t="s">
        <v>2380</v>
      </c>
      <c r="I1963">
        <v>1</v>
      </c>
      <c r="J1963" t="s">
        <v>2380</v>
      </c>
    </row>
    <row r="1964" spans="1:10" x14ac:dyDescent="0.35">
      <c r="A1964" t="s">
        <v>405</v>
      </c>
      <c r="B1964" t="str">
        <f t="shared" si="62"/>
        <v>Obesity</v>
      </c>
      <c r="C1964">
        <v>32.67</v>
      </c>
      <c r="D1964">
        <v>4.67</v>
      </c>
      <c r="E1964" t="str">
        <f t="shared" si="63"/>
        <v>Normal</v>
      </c>
      <c r="F1964" t="s">
        <v>2380</v>
      </c>
      <c r="G1964" t="s">
        <v>2380</v>
      </c>
      <c r="H1964" t="s">
        <v>2382</v>
      </c>
      <c r="I1964">
        <v>1</v>
      </c>
      <c r="J1964" t="s">
        <v>2380</v>
      </c>
    </row>
    <row r="1965" spans="1:10" x14ac:dyDescent="0.35">
      <c r="A1965" t="s">
        <v>404</v>
      </c>
      <c r="B1965" t="str">
        <f t="shared" si="62"/>
        <v>Overweight</v>
      </c>
      <c r="C1965">
        <v>28.5</v>
      </c>
      <c r="D1965">
        <v>6.11</v>
      </c>
      <c r="E1965" t="str">
        <f t="shared" si="63"/>
        <v>Prediabetes</v>
      </c>
      <c r="F1965" t="s">
        <v>2380</v>
      </c>
      <c r="G1965" t="s">
        <v>2380</v>
      </c>
      <c r="H1965" t="s">
        <v>2380</v>
      </c>
      <c r="I1965">
        <v>1</v>
      </c>
      <c r="J1965" t="s">
        <v>2380</v>
      </c>
    </row>
    <row r="1966" spans="1:10" x14ac:dyDescent="0.35">
      <c r="A1966" t="s">
        <v>403</v>
      </c>
      <c r="B1966" t="str">
        <f t="shared" si="62"/>
        <v>Obesity</v>
      </c>
      <c r="C1966">
        <v>39.270000000000003</v>
      </c>
      <c r="D1966">
        <v>6.25</v>
      </c>
      <c r="E1966" t="str">
        <f t="shared" si="63"/>
        <v>Prediabetes</v>
      </c>
      <c r="F1966" t="s">
        <v>2380</v>
      </c>
      <c r="G1966" t="s">
        <v>2380</v>
      </c>
      <c r="H1966" t="s">
        <v>2380</v>
      </c>
      <c r="I1966">
        <v>0</v>
      </c>
      <c r="J1966" t="s">
        <v>2380</v>
      </c>
    </row>
    <row r="1967" spans="1:10" x14ac:dyDescent="0.35">
      <c r="A1967" t="s">
        <v>402</v>
      </c>
      <c r="B1967" t="str">
        <f t="shared" si="62"/>
        <v>Obesity</v>
      </c>
      <c r="C1967">
        <v>32.49</v>
      </c>
      <c r="D1967">
        <v>4</v>
      </c>
      <c r="E1967" t="str">
        <f t="shared" si="63"/>
        <v>Normal</v>
      </c>
      <c r="F1967" t="s">
        <v>2381</v>
      </c>
      <c r="G1967" t="s">
        <v>2380</v>
      </c>
      <c r="H1967" t="s">
        <v>2380</v>
      </c>
      <c r="I1967">
        <v>0</v>
      </c>
      <c r="J1967" t="s">
        <v>2380</v>
      </c>
    </row>
    <row r="1968" spans="1:10" x14ac:dyDescent="0.35">
      <c r="A1968" t="s">
        <v>401</v>
      </c>
      <c r="B1968" t="str">
        <f t="shared" si="62"/>
        <v>Normal Weight</v>
      </c>
      <c r="C1968">
        <v>23.7</v>
      </c>
      <c r="D1968">
        <v>5.55</v>
      </c>
      <c r="E1968" t="str">
        <f t="shared" si="63"/>
        <v>Normal</v>
      </c>
      <c r="F1968" t="s">
        <v>2381</v>
      </c>
      <c r="G1968" t="s">
        <v>2380</v>
      </c>
      <c r="H1968" t="s">
        <v>2380</v>
      </c>
      <c r="I1968">
        <v>0</v>
      </c>
      <c r="J1968" t="s">
        <v>2380</v>
      </c>
    </row>
    <row r="1969" spans="1:10" x14ac:dyDescent="0.35">
      <c r="A1969" t="s">
        <v>400</v>
      </c>
      <c r="B1969" t="str">
        <f t="shared" si="62"/>
        <v>Obesity</v>
      </c>
      <c r="C1969">
        <v>30.4</v>
      </c>
      <c r="D1969">
        <v>5.95</v>
      </c>
      <c r="E1969" t="str">
        <f t="shared" si="63"/>
        <v>Prediabetes</v>
      </c>
      <c r="F1969" t="s">
        <v>2380</v>
      </c>
      <c r="G1969" t="s">
        <v>2381</v>
      </c>
      <c r="H1969" t="s">
        <v>2380</v>
      </c>
      <c r="I1969">
        <v>1</v>
      </c>
      <c r="J1969" t="s">
        <v>2380</v>
      </c>
    </row>
    <row r="1970" spans="1:10" x14ac:dyDescent="0.35">
      <c r="A1970" t="s">
        <v>399</v>
      </c>
      <c r="B1970" t="str">
        <f t="shared" si="62"/>
        <v>Obesity</v>
      </c>
      <c r="C1970">
        <v>38.94</v>
      </c>
      <c r="D1970">
        <v>4.3600000000000003</v>
      </c>
      <c r="E1970" t="str">
        <f t="shared" si="63"/>
        <v>Normal</v>
      </c>
      <c r="F1970" t="s">
        <v>2380</v>
      </c>
      <c r="G1970" t="s">
        <v>2380</v>
      </c>
      <c r="H1970" t="s">
        <v>2382</v>
      </c>
      <c r="I1970">
        <v>1</v>
      </c>
      <c r="J1970" t="s">
        <v>2380</v>
      </c>
    </row>
    <row r="1971" spans="1:10" x14ac:dyDescent="0.35">
      <c r="A1971" t="s">
        <v>398</v>
      </c>
      <c r="B1971" t="str">
        <f t="shared" si="62"/>
        <v>Obesity</v>
      </c>
      <c r="C1971">
        <v>31.02</v>
      </c>
      <c r="D1971">
        <v>4.84</v>
      </c>
      <c r="E1971" t="str">
        <f t="shared" si="63"/>
        <v>Normal</v>
      </c>
      <c r="F1971" t="s">
        <v>2380</v>
      </c>
      <c r="G1971" t="s">
        <v>2380</v>
      </c>
      <c r="H1971" t="s">
        <v>2382</v>
      </c>
      <c r="I1971">
        <v>1</v>
      </c>
      <c r="J1971" t="s">
        <v>2380</v>
      </c>
    </row>
    <row r="1972" spans="1:10" x14ac:dyDescent="0.35">
      <c r="A1972" t="s">
        <v>397</v>
      </c>
      <c r="B1972" t="str">
        <f t="shared" si="62"/>
        <v>Underweight</v>
      </c>
      <c r="C1972">
        <v>17.5</v>
      </c>
      <c r="D1972">
        <v>4.5599999999999996</v>
      </c>
      <c r="E1972" t="str">
        <f t="shared" si="63"/>
        <v>Normal</v>
      </c>
      <c r="F1972" t="s">
        <v>2380</v>
      </c>
      <c r="G1972" t="s">
        <v>2380</v>
      </c>
      <c r="H1972" t="s">
        <v>2380</v>
      </c>
      <c r="I1972">
        <v>1</v>
      </c>
      <c r="J1972" t="s">
        <v>2380</v>
      </c>
    </row>
    <row r="1973" spans="1:10" x14ac:dyDescent="0.35">
      <c r="A1973" t="s">
        <v>396</v>
      </c>
      <c r="B1973" t="str">
        <f t="shared" si="62"/>
        <v>Obesity</v>
      </c>
      <c r="C1973">
        <v>34.799999999999997</v>
      </c>
      <c r="D1973">
        <v>4.42</v>
      </c>
      <c r="E1973" t="str">
        <f t="shared" si="63"/>
        <v>Normal</v>
      </c>
      <c r="F1973" t="s">
        <v>2381</v>
      </c>
      <c r="G1973" t="s">
        <v>2381</v>
      </c>
      <c r="H1973" t="s">
        <v>2380</v>
      </c>
      <c r="I1973">
        <v>2</v>
      </c>
      <c r="J1973" t="s">
        <v>2380</v>
      </c>
    </row>
    <row r="1974" spans="1:10" x14ac:dyDescent="0.35">
      <c r="A1974" t="s">
        <v>395</v>
      </c>
      <c r="B1974" t="str">
        <f t="shared" si="62"/>
        <v>Underweight</v>
      </c>
      <c r="C1974">
        <v>17.3</v>
      </c>
      <c r="D1974">
        <v>7.66</v>
      </c>
      <c r="E1974" t="str">
        <f t="shared" si="63"/>
        <v>Diabetes</v>
      </c>
      <c r="F1974" t="s">
        <v>2381</v>
      </c>
      <c r="G1974" t="s">
        <v>2380</v>
      </c>
      <c r="H1974" t="s">
        <v>2380</v>
      </c>
      <c r="I1974">
        <v>1</v>
      </c>
      <c r="J1974" t="s">
        <v>2380</v>
      </c>
    </row>
    <row r="1975" spans="1:10" x14ac:dyDescent="0.35">
      <c r="A1975" t="s">
        <v>394</v>
      </c>
      <c r="B1975" t="str">
        <f t="shared" si="62"/>
        <v>Obesity</v>
      </c>
      <c r="C1975">
        <v>32.25</v>
      </c>
      <c r="D1975">
        <v>5.2</v>
      </c>
      <c r="E1975" t="str">
        <f t="shared" si="63"/>
        <v>Normal</v>
      </c>
      <c r="F1975" t="s">
        <v>2381</v>
      </c>
      <c r="G1975" t="s">
        <v>2380</v>
      </c>
      <c r="H1975" t="s">
        <v>2380</v>
      </c>
      <c r="I1975">
        <v>0</v>
      </c>
      <c r="J1975" t="s">
        <v>2380</v>
      </c>
    </row>
    <row r="1976" spans="1:10" x14ac:dyDescent="0.35">
      <c r="A1976" t="s">
        <v>393</v>
      </c>
      <c r="B1976" t="str">
        <f t="shared" si="62"/>
        <v>Obesity</v>
      </c>
      <c r="C1976">
        <v>42.4</v>
      </c>
      <c r="D1976">
        <v>5.53</v>
      </c>
      <c r="E1976" t="str">
        <f t="shared" si="63"/>
        <v>Normal</v>
      </c>
      <c r="F1976" t="s">
        <v>2381</v>
      </c>
      <c r="G1976" t="s">
        <v>2380</v>
      </c>
      <c r="H1976" t="s">
        <v>2380</v>
      </c>
      <c r="I1976">
        <v>0</v>
      </c>
      <c r="J1976" t="s">
        <v>2380</v>
      </c>
    </row>
    <row r="1977" spans="1:10" x14ac:dyDescent="0.35">
      <c r="A1977" t="s">
        <v>392</v>
      </c>
      <c r="B1977" t="str">
        <f t="shared" si="62"/>
        <v>Obesity</v>
      </c>
      <c r="C1977">
        <v>38.664999999999999</v>
      </c>
      <c r="D1977">
        <v>4.8600000000000003</v>
      </c>
      <c r="E1977" t="str">
        <f t="shared" si="63"/>
        <v>Normal</v>
      </c>
      <c r="F1977" t="s">
        <v>2380</v>
      </c>
      <c r="G1977" t="s">
        <v>2381</v>
      </c>
      <c r="H1977" t="s">
        <v>2380</v>
      </c>
      <c r="I1977">
        <v>1</v>
      </c>
      <c r="J1977" t="s">
        <v>2380</v>
      </c>
    </row>
    <row r="1978" spans="1:10" x14ac:dyDescent="0.35">
      <c r="A1978" t="s">
        <v>391</v>
      </c>
      <c r="B1978" t="str">
        <f t="shared" si="62"/>
        <v>Overweight</v>
      </c>
      <c r="C1978">
        <v>29.92</v>
      </c>
      <c r="D1978">
        <v>5.49</v>
      </c>
      <c r="E1978" t="str">
        <f t="shared" si="63"/>
        <v>Normal</v>
      </c>
      <c r="F1978" t="s">
        <v>2381</v>
      </c>
      <c r="G1978" t="s">
        <v>2380</v>
      </c>
      <c r="H1978" t="s">
        <v>2380</v>
      </c>
      <c r="I1978">
        <v>0</v>
      </c>
      <c r="J1978" t="s">
        <v>2380</v>
      </c>
    </row>
    <row r="1979" spans="1:10" x14ac:dyDescent="0.35">
      <c r="A1979" t="s">
        <v>390</v>
      </c>
      <c r="B1979" t="str">
        <f t="shared" si="62"/>
        <v>Overweight</v>
      </c>
      <c r="C1979">
        <v>29.48</v>
      </c>
      <c r="D1979">
        <v>4.09</v>
      </c>
      <c r="E1979" t="str">
        <f t="shared" si="63"/>
        <v>Normal</v>
      </c>
      <c r="F1979" t="s">
        <v>2381</v>
      </c>
      <c r="G1979" t="s">
        <v>2380</v>
      </c>
      <c r="H1979" t="s">
        <v>2380</v>
      </c>
      <c r="I1979">
        <v>0</v>
      </c>
      <c r="J1979" t="s">
        <v>2380</v>
      </c>
    </row>
    <row r="1980" spans="1:10" x14ac:dyDescent="0.35">
      <c r="A1980" t="s">
        <v>389</v>
      </c>
      <c r="B1980" t="str">
        <f t="shared" si="62"/>
        <v>Overweight</v>
      </c>
      <c r="C1980">
        <v>28.785</v>
      </c>
      <c r="D1980">
        <v>4.3099999999999996</v>
      </c>
      <c r="E1980" t="str">
        <f t="shared" si="63"/>
        <v>Normal</v>
      </c>
      <c r="F1980" t="s">
        <v>2381</v>
      </c>
      <c r="G1980" t="s">
        <v>2380</v>
      </c>
      <c r="H1980" t="s">
        <v>2380</v>
      </c>
      <c r="I1980">
        <v>0</v>
      </c>
      <c r="J1980" t="s">
        <v>2380</v>
      </c>
    </row>
    <row r="1981" spans="1:10" x14ac:dyDescent="0.35">
      <c r="A1981" t="s">
        <v>388</v>
      </c>
      <c r="B1981" t="str">
        <f t="shared" si="62"/>
        <v>Normal Weight</v>
      </c>
      <c r="C1981">
        <v>19.8</v>
      </c>
      <c r="D1981">
        <v>4</v>
      </c>
      <c r="E1981" t="str">
        <f t="shared" si="63"/>
        <v>Normal</v>
      </c>
      <c r="F1981" t="s">
        <v>2381</v>
      </c>
      <c r="G1981" t="s">
        <v>2380</v>
      </c>
      <c r="H1981" t="s">
        <v>2380</v>
      </c>
      <c r="I1981">
        <v>0</v>
      </c>
      <c r="J1981" t="s">
        <v>2380</v>
      </c>
    </row>
    <row r="1982" spans="1:10" x14ac:dyDescent="0.35">
      <c r="A1982" t="s">
        <v>387</v>
      </c>
      <c r="B1982" t="str">
        <f t="shared" si="62"/>
        <v>Obesity</v>
      </c>
      <c r="C1982">
        <v>35.53</v>
      </c>
      <c r="D1982">
        <v>4.68</v>
      </c>
      <c r="E1982" t="str">
        <f t="shared" si="63"/>
        <v>Normal</v>
      </c>
      <c r="F1982" t="s">
        <v>2380</v>
      </c>
      <c r="G1982" t="s">
        <v>2380</v>
      </c>
      <c r="H1982" t="s">
        <v>2382</v>
      </c>
      <c r="I1982">
        <v>1</v>
      </c>
      <c r="J1982" t="s">
        <v>2380</v>
      </c>
    </row>
    <row r="1983" spans="1:10" x14ac:dyDescent="0.35">
      <c r="A1983" t="s">
        <v>386</v>
      </c>
      <c r="B1983" t="str">
        <f t="shared" si="62"/>
        <v>Normal Weight</v>
      </c>
      <c r="C1983">
        <v>21.47</v>
      </c>
      <c r="D1983">
        <v>4.0199999999999996</v>
      </c>
      <c r="E1983" t="str">
        <f t="shared" si="63"/>
        <v>Normal</v>
      </c>
      <c r="F1983" t="s">
        <v>2381</v>
      </c>
      <c r="G1983" t="s">
        <v>2380</v>
      </c>
      <c r="H1983" t="s">
        <v>2380</v>
      </c>
      <c r="I1983">
        <v>1</v>
      </c>
      <c r="J1983" t="s">
        <v>2380</v>
      </c>
    </row>
    <row r="1984" spans="1:10" x14ac:dyDescent="0.35">
      <c r="A1984" t="s">
        <v>385</v>
      </c>
      <c r="B1984" t="str">
        <f t="shared" si="62"/>
        <v>Overweight</v>
      </c>
      <c r="C1984">
        <v>25.9</v>
      </c>
      <c r="D1984">
        <v>5.12</v>
      </c>
      <c r="E1984" t="str">
        <f t="shared" si="63"/>
        <v>Normal</v>
      </c>
      <c r="F1984" t="s">
        <v>2380</v>
      </c>
      <c r="G1984" t="s">
        <v>2380</v>
      </c>
      <c r="H1984" t="s">
        <v>2382</v>
      </c>
      <c r="I1984">
        <v>1</v>
      </c>
      <c r="J1984" t="s">
        <v>2380</v>
      </c>
    </row>
    <row r="1985" spans="1:10" x14ac:dyDescent="0.35">
      <c r="A1985" t="s">
        <v>384</v>
      </c>
      <c r="B1985" t="str">
        <f t="shared" si="62"/>
        <v>Normal Weight</v>
      </c>
      <c r="C1985">
        <v>20.81</v>
      </c>
      <c r="D1985">
        <v>5.52</v>
      </c>
      <c r="E1985" t="str">
        <f t="shared" si="63"/>
        <v>Normal</v>
      </c>
      <c r="F1985" t="s">
        <v>2380</v>
      </c>
      <c r="G1985" t="s">
        <v>2380</v>
      </c>
      <c r="H1985" t="s">
        <v>2380</v>
      </c>
      <c r="I1985">
        <v>0</v>
      </c>
      <c r="J1985" t="s">
        <v>2380</v>
      </c>
    </row>
    <row r="1986" spans="1:10" x14ac:dyDescent="0.35">
      <c r="A1986" t="s">
        <v>383</v>
      </c>
      <c r="B1986" t="str">
        <f t="shared" si="62"/>
        <v>Overweight</v>
      </c>
      <c r="C1986">
        <v>25.84</v>
      </c>
      <c r="D1986">
        <v>5.81</v>
      </c>
      <c r="E1986" t="str">
        <f t="shared" si="63"/>
        <v>Prediabetes</v>
      </c>
      <c r="F1986" t="s">
        <v>2381</v>
      </c>
      <c r="G1986" t="s">
        <v>2380</v>
      </c>
      <c r="H1986" t="s">
        <v>2382</v>
      </c>
      <c r="I1986">
        <v>1</v>
      </c>
      <c r="J1986" t="s">
        <v>2380</v>
      </c>
    </row>
    <row r="1987" spans="1:10" x14ac:dyDescent="0.35">
      <c r="A1987" t="s">
        <v>382</v>
      </c>
      <c r="B1987" t="str">
        <f t="shared" ref="B1987:B2050" si="64">IF(C1987&lt;18.5,"Underweight",IF(C1987&lt;25,"Normal Weight",IF(C1987&lt;30,"Overweight","Obesity")))</f>
        <v>Obesity</v>
      </c>
      <c r="C1987">
        <v>30.95</v>
      </c>
      <c r="D1987">
        <v>5.16</v>
      </c>
      <c r="E1987" t="str">
        <f t="shared" ref="E1987:E2050" si="65">IF(D1987&lt;5.7,"Normal",IF(D1987&lt;6.5,"Prediabetes","Diabetes"))</f>
        <v>Normal</v>
      </c>
      <c r="F1987" t="s">
        <v>2380</v>
      </c>
      <c r="G1987" t="s">
        <v>2380</v>
      </c>
      <c r="H1987" t="s">
        <v>2382</v>
      </c>
      <c r="I1987">
        <v>1</v>
      </c>
      <c r="J1987" t="s">
        <v>2380</v>
      </c>
    </row>
    <row r="1988" spans="1:10" x14ac:dyDescent="0.35">
      <c r="A1988" t="s">
        <v>381</v>
      </c>
      <c r="B1988" t="str">
        <f t="shared" si="64"/>
        <v>Obesity</v>
      </c>
      <c r="C1988">
        <v>30.54</v>
      </c>
      <c r="D1988">
        <v>5</v>
      </c>
      <c r="E1988" t="str">
        <f t="shared" si="65"/>
        <v>Normal</v>
      </c>
      <c r="F1988" t="s">
        <v>2380</v>
      </c>
      <c r="G1988" t="s">
        <v>2380</v>
      </c>
      <c r="H1988" t="s">
        <v>2382</v>
      </c>
      <c r="I1988">
        <v>1</v>
      </c>
      <c r="J1988" t="s">
        <v>2380</v>
      </c>
    </row>
    <row r="1989" spans="1:10" x14ac:dyDescent="0.35">
      <c r="A1989" t="s">
        <v>380</v>
      </c>
      <c r="B1989" t="str">
        <f t="shared" si="64"/>
        <v>Obesity</v>
      </c>
      <c r="C1989">
        <v>33.914999999999999</v>
      </c>
      <c r="D1989">
        <v>5.84</v>
      </c>
      <c r="E1989" t="str">
        <f t="shared" si="65"/>
        <v>Prediabetes</v>
      </c>
      <c r="F1989" t="s">
        <v>2381</v>
      </c>
      <c r="G1989" t="s">
        <v>2380</v>
      </c>
      <c r="H1989" t="s">
        <v>2380</v>
      </c>
      <c r="I1989">
        <v>0</v>
      </c>
      <c r="J1989" t="s">
        <v>2380</v>
      </c>
    </row>
    <row r="1990" spans="1:10" x14ac:dyDescent="0.35">
      <c r="A1990" t="s">
        <v>379</v>
      </c>
      <c r="B1990" t="str">
        <f t="shared" si="64"/>
        <v>Obesity</v>
      </c>
      <c r="C1990">
        <v>33.31</v>
      </c>
      <c r="D1990">
        <v>4.1900000000000004</v>
      </c>
      <c r="E1990" t="str">
        <f t="shared" si="65"/>
        <v>Normal</v>
      </c>
      <c r="F1990" t="s">
        <v>2380</v>
      </c>
      <c r="G1990" t="s">
        <v>2380</v>
      </c>
      <c r="H1990" t="s">
        <v>2382</v>
      </c>
      <c r="I1990">
        <v>1</v>
      </c>
      <c r="J1990" t="s">
        <v>2380</v>
      </c>
    </row>
    <row r="1991" spans="1:10" x14ac:dyDescent="0.35">
      <c r="A1991" t="s">
        <v>378</v>
      </c>
      <c r="B1991" t="str">
        <f t="shared" si="64"/>
        <v>Overweight</v>
      </c>
      <c r="C1991">
        <v>25.745000000000001</v>
      </c>
      <c r="D1991">
        <v>4.62</v>
      </c>
      <c r="E1991" t="str">
        <f t="shared" si="65"/>
        <v>Normal</v>
      </c>
      <c r="F1991" t="s">
        <v>2381</v>
      </c>
      <c r="G1991" t="s">
        <v>2380</v>
      </c>
      <c r="H1991" t="s">
        <v>2380</v>
      </c>
      <c r="I1991">
        <v>0</v>
      </c>
      <c r="J1991" t="s">
        <v>2380</v>
      </c>
    </row>
    <row r="1992" spans="1:10" x14ac:dyDescent="0.35">
      <c r="A1992" t="s">
        <v>377</v>
      </c>
      <c r="B1992" t="str">
        <f t="shared" si="64"/>
        <v>Obesity</v>
      </c>
      <c r="C1992">
        <v>37.1</v>
      </c>
      <c r="D1992">
        <v>6.24</v>
      </c>
      <c r="E1992" t="str">
        <f t="shared" si="65"/>
        <v>Prediabetes</v>
      </c>
      <c r="F1992" t="s">
        <v>2380</v>
      </c>
      <c r="G1992" t="s">
        <v>2380</v>
      </c>
      <c r="H1992" t="s">
        <v>2380</v>
      </c>
      <c r="I1992">
        <v>0</v>
      </c>
      <c r="J1992" t="s">
        <v>2380</v>
      </c>
    </row>
    <row r="1993" spans="1:10" x14ac:dyDescent="0.35">
      <c r="A1993" t="s">
        <v>376</v>
      </c>
      <c r="B1993" t="str">
        <f t="shared" si="64"/>
        <v>Obesity</v>
      </c>
      <c r="C1993">
        <v>35.435000000000002</v>
      </c>
      <c r="D1993">
        <v>5.81</v>
      </c>
      <c r="E1993" t="str">
        <f t="shared" si="65"/>
        <v>Prediabetes</v>
      </c>
      <c r="F1993" t="s">
        <v>2380</v>
      </c>
      <c r="G1993" t="s">
        <v>2380</v>
      </c>
      <c r="H1993" t="s">
        <v>2380</v>
      </c>
      <c r="I1993">
        <v>0</v>
      </c>
      <c r="J1993" t="s">
        <v>2380</v>
      </c>
    </row>
    <row r="1994" spans="1:10" x14ac:dyDescent="0.35">
      <c r="A1994" t="s">
        <v>375</v>
      </c>
      <c r="B1994" t="str">
        <f t="shared" si="64"/>
        <v>Normal Weight</v>
      </c>
      <c r="C1994">
        <v>20.399999999999999</v>
      </c>
      <c r="D1994">
        <v>4.83</v>
      </c>
      <c r="E1994" t="str">
        <f t="shared" si="65"/>
        <v>Normal</v>
      </c>
      <c r="F1994" t="s">
        <v>2380</v>
      </c>
      <c r="G1994" t="s">
        <v>2380</v>
      </c>
      <c r="H1994" t="s">
        <v>2380</v>
      </c>
      <c r="I1994">
        <v>0</v>
      </c>
      <c r="J1994" t="s">
        <v>2380</v>
      </c>
    </row>
    <row r="1995" spans="1:10" x14ac:dyDescent="0.35">
      <c r="A1995" t="s">
        <v>374</v>
      </c>
      <c r="B1995" t="str">
        <f t="shared" si="64"/>
        <v>Obesity</v>
      </c>
      <c r="C1995">
        <v>42.13</v>
      </c>
      <c r="D1995">
        <v>5.72</v>
      </c>
      <c r="E1995" t="str">
        <f t="shared" si="65"/>
        <v>Prediabetes</v>
      </c>
      <c r="F1995" t="s">
        <v>2381</v>
      </c>
      <c r="G1995" t="s">
        <v>2380</v>
      </c>
      <c r="H1995" t="s">
        <v>2382</v>
      </c>
      <c r="I1995">
        <v>1</v>
      </c>
      <c r="J1995" t="s">
        <v>2380</v>
      </c>
    </row>
    <row r="1996" spans="1:10" x14ac:dyDescent="0.35">
      <c r="A1996" t="s">
        <v>373</v>
      </c>
      <c r="B1996" t="str">
        <f t="shared" si="64"/>
        <v>Obesity</v>
      </c>
      <c r="C1996">
        <v>33.99</v>
      </c>
      <c r="D1996">
        <v>4.83</v>
      </c>
      <c r="E1996" t="str">
        <f t="shared" si="65"/>
        <v>Normal</v>
      </c>
      <c r="F1996" t="s">
        <v>2381</v>
      </c>
      <c r="G1996" t="s">
        <v>2380</v>
      </c>
      <c r="H1996" t="s">
        <v>2382</v>
      </c>
      <c r="I1996">
        <v>1</v>
      </c>
      <c r="J1996" t="s">
        <v>2380</v>
      </c>
    </row>
    <row r="1997" spans="1:10" x14ac:dyDescent="0.35">
      <c r="A1997" t="s">
        <v>372</v>
      </c>
      <c r="B1997" t="str">
        <f t="shared" si="64"/>
        <v>Overweight</v>
      </c>
      <c r="C1997">
        <v>28.594999999999999</v>
      </c>
      <c r="D1997">
        <v>4.1399999999999997</v>
      </c>
      <c r="E1997" t="str">
        <f t="shared" si="65"/>
        <v>Normal</v>
      </c>
      <c r="F1997" t="s">
        <v>2381</v>
      </c>
      <c r="G1997" t="s">
        <v>2380</v>
      </c>
      <c r="H1997" t="s">
        <v>2382</v>
      </c>
      <c r="I1997">
        <v>1</v>
      </c>
      <c r="J1997" t="s">
        <v>2380</v>
      </c>
    </row>
    <row r="1998" spans="1:10" x14ac:dyDescent="0.35">
      <c r="A1998" t="s">
        <v>371</v>
      </c>
      <c r="B1998" t="str">
        <f t="shared" si="64"/>
        <v>Normal Weight</v>
      </c>
      <c r="C1998">
        <v>20.8</v>
      </c>
      <c r="D1998">
        <v>4.07</v>
      </c>
      <c r="E1998" t="str">
        <f t="shared" si="65"/>
        <v>Normal</v>
      </c>
      <c r="F1998" t="s">
        <v>2381</v>
      </c>
      <c r="G1998" t="s">
        <v>2380</v>
      </c>
      <c r="H1998" t="s">
        <v>2382</v>
      </c>
      <c r="I1998">
        <v>1</v>
      </c>
      <c r="J1998" t="s">
        <v>2380</v>
      </c>
    </row>
    <row r="1999" spans="1:10" x14ac:dyDescent="0.35">
      <c r="A1999" t="s">
        <v>370</v>
      </c>
      <c r="B1999" t="str">
        <f t="shared" si="64"/>
        <v>Normal Weight</v>
      </c>
      <c r="C1999">
        <v>23.465</v>
      </c>
      <c r="D1999">
        <v>6.26</v>
      </c>
      <c r="E1999" t="str">
        <f t="shared" si="65"/>
        <v>Prediabetes</v>
      </c>
      <c r="F1999" t="s">
        <v>2381</v>
      </c>
      <c r="G1999" t="s">
        <v>2380</v>
      </c>
      <c r="H1999" t="s">
        <v>2382</v>
      </c>
      <c r="I1999">
        <v>1</v>
      </c>
      <c r="J1999" t="s">
        <v>2380</v>
      </c>
    </row>
    <row r="2000" spans="1:10" x14ac:dyDescent="0.35">
      <c r="A2000" t="s">
        <v>369</v>
      </c>
      <c r="B2000" t="str">
        <f t="shared" si="64"/>
        <v>Obesity</v>
      </c>
      <c r="C2000">
        <v>40.185000000000002</v>
      </c>
      <c r="D2000">
        <v>5.88</v>
      </c>
      <c r="E2000" t="str">
        <f t="shared" si="65"/>
        <v>Prediabetes</v>
      </c>
      <c r="F2000" t="s">
        <v>2381</v>
      </c>
      <c r="G2000" t="s">
        <v>2380</v>
      </c>
      <c r="H2000" t="s">
        <v>2380</v>
      </c>
      <c r="I2000">
        <v>0</v>
      </c>
      <c r="J2000" t="s">
        <v>2380</v>
      </c>
    </row>
    <row r="2001" spans="1:10" x14ac:dyDescent="0.35">
      <c r="A2001" t="s">
        <v>368</v>
      </c>
      <c r="B2001" t="str">
        <f t="shared" si="64"/>
        <v>Normal Weight</v>
      </c>
      <c r="C2001">
        <v>21.89</v>
      </c>
      <c r="D2001">
        <v>5.72</v>
      </c>
      <c r="E2001" t="str">
        <f t="shared" si="65"/>
        <v>Prediabetes</v>
      </c>
      <c r="F2001" t="s">
        <v>2381</v>
      </c>
      <c r="G2001" t="s">
        <v>2380</v>
      </c>
      <c r="H2001" t="s">
        <v>2380</v>
      </c>
      <c r="I2001">
        <v>0</v>
      </c>
      <c r="J2001" t="s">
        <v>2380</v>
      </c>
    </row>
    <row r="2002" spans="1:10" x14ac:dyDescent="0.35">
      <c r="A2002" t="s">
        <v>367</v>
      </c>
      <c r="B2002" t="str">
        <f t="shared" si="64"/>
        <v>Overweight</v>
      </c>
      <c r="C2002">
        <v>29.34</v>
      </c>
      <c r="D2002">
        <v>6.09</v>
      </c>
      <c r="E2002" t="str">
        <f t="shared" si="65"/>
        <v>Prediabetes</v>
      </c>
      <c r="F2002" t="s">
        <v>2381</v>
      </c>
      <c r="G2002" t="s">
        <v>2381</v>
      </c>
      <c r="H2002" t="s">
        <v>2380</v>
      </c>
      <c r="I2002">
        <v>2</v>
      </c>
      <c r="J2002" t="s">
        <v>2380</v>
      </c>
    </row>
    <row r="2003" spans="1:10" x14ac:dyDescent="0.35">
      <c r="A2003" t="s">
        <v>366</v>
      </c>
      <c r="B2003" t="str">
        <f t="shared" si="64"/>
        <v>Normal Weight</v>
      </c>
      <c r="C2003">
        <v>22.61</v>
      </c>
      <c r="D2003">
        <v>4.25</v>
      </c>
      <c r="E2003" t="str">
        <f t="shared" si="65"/>
        <v>Normal</v>
      </c>
      <c r="F2003" t="s">
        <v>2381</v>
      </c>
      <c r="G2003" t="s">
        <v>2380</v>
      </c>
      <c r="H2003" t="s">
        <v>2380</v>
      </c>
      <c r="I2003">
        <v>0</v>
      </c>
      <c r="J2003" t="s">
        <v>2380</v>
      </c>
    </row>
    <row r="2004" spans="1:10" x14ac:dyDescent="0.35">
      <c r="A2004" t="s">
        <v>365</v>
      </c>
      <c r="B2004" t="str">
        <f t="shared" si="64"/>
        <v>Normal Weight</v>
      </c>
      <c r="C2004">
        <v>22.23</v>
      </c>
      <c r="D2004">
        <v>6.09</v>
      </c>
      <c r="E2004" t="str">
        <f t="shared" si="65"/>
        <v>Prediabetes</v>
      </c>
      <c r="F2004" t="s">
        <v>2381</v>
      </c>
      <c r="G2004" t="s">
        <v>2380</v>
      </c>
      <c r="H2004" t="s">
        <v>2380</v>
      </c>
      <c r="I2004">
        <v>0</v>
      </c>
      <c r="J2004" t="s">
        <v>2380</v>
      </c>
    </row>
    <row r="2005" spans="1:10" x14ac:dyDescent="0.35">
      <c r="A2005" t="s">
        <v>364</v>
      </c>
      <c r="B2005" t="str">
        <f t="shared" si="64"/>
        <v>Obesity</v>
      </c>
      <c r="C2005">
        <v>33.4</v>
      </c>
      <c r="D2005">
        <v>5.51</v>
      </c>
      <c r="E2005" t="str">
        <f t="shared" si="65"/>
        <v>Normal</v>
      </c>
      <c r="F2005" t="s">
        <v>2380</v>
      </c>
      <c r="G2005" t="s">
        <v>2380</v>
      </c>
      <c r="H2005" t="s">
        <v>2380</v>
      </c>
      <c r="I2005">
        <v>0</v>
      </c>
      <c r="J2005" t="s">
        <v>2380</v>
      </c>
    </row>
    <row r="2006" spans="1:10" x14ac:dyDescent="0.35">
      <c r="A2006" t="s">
        <v>363</v>
      </c>
      <c r="B2006" t="str">
        <f t="shared" si="64"/>
        <v>Obesity</v>
      </c>
      <c r="C2006">
        <v>33.11</v>
      </c>
      <c r="D2006">
        <v>5.63</v>
      </c>
      <c r="E2006" t="str">
        <f t="shared" si="65"/>
        <v>Normal</v>
      </c>
      <c r="F2006" t="s">
        <v>2380</v>
      </c>
      <c r="G2006" t="s">
        <v>2380</v>
      </c>
      <c r="H2006" t="s">
        <v>2380</v>
      </c>
      <c r="I2006">
        <v>0</v>
      </c>
      <c r="J2006" t="s">
        <v>2380</v>
      </c>
    </row>
    <row r="2007" spans="1:10" x14ac:dyDescent="0.35">
      <c r="A2007" t="s">
        <v>362</v>
      </c>
      <c r="B2007" t="str">
        <f t="shared" si="64"/>
        <v>Underweight</v>
      </c>
      <c r="C2007">
        <v>16.815000000000001</v>
      </c>
      <c r="D2007">
        <v>5.29</v>
      </c>
      <c r="E2007" t="str">
        <f t="shared" si="65"/>
        <v>Normal</v>
      </c>
      <c r="F2007" t="s">
        <v>2381</v>
      </c>
      <c r="G2007" t="s">
        <v>2380</v>
      </c>
      <c r="H2007" t="s">
        <v>2380</v>
      </c>
      <c r="I2007">
        <v>0</v>
      </c>
      <c r="J2007" t="s">
        <v>2380</v>
      </c>
    </row>
    <row r="2008" spans="1:10" x14ac:dyDescent="0.35">
      <c r="A2008" t="s">
        <v>361</v>
      </c>
      <c r="B2008" t="str">
        <f t="shared" si="64"/>
        <v>Overweight</v>
      </c>
      <c r="C2008">
        <v>25.61</v>
      </c>
      <c r="D2008">
        <v>4</v>
      </c>
      <c r="E2008" t="str">
        <f t="shared" si="65"/>
        <v>Normal</v>
      </c>
      <c r="F2008" t="s">
        <v>2380</v>
      </c>
      <c r="G2008" t="s">
        <v>2380</v>
      </c>
      <c r="H2008" t="s">
        <v>2382</v>
      </c>
      <c r="I2008">
        <v>1</v>
      </c>
      <c r="J2008" t="s">
        <v>2380</v>
      </c>
    </row>
    <row r="2009" spans="1:10" x14ac:dyDescent="0.35">
      <c r="A2009" t="s">
        <v>360</v>
      </c>
      <c r="B2009" t="str">
        <f t="shared" si="64"/>
        <v>Overweight</v>
      </c>
      <c r="C2009">
        <v>25.8</v>
      </c>
      <c r="D2009">
        <v>5.49</v>
      </c>
      <c r="E2009" t="str">
        <f t="shared" si="65"/>
        <v>Normal</v>
      </c>
      <c r="F2009" t="s">
        <v>2380</v>
      </c>
      <c r="G2009" t="s">
        <v>2380</v>
      </c>
      <c r="H2009" t="s">
        <v>2380</v>
      </c>
      <c r="I2009">
        <v>0</v>
      </c>
      <c r="J2009" t="s">
        <v>2380</v>
      </c>
    </row>
    <row r="2010" spans="1:10" x14ac:dyDescent="0.35">
      <c r="A2010" t="s">
        <v>359</v>
      </c>
      <c r="B2010" t="str">
        <f t="shared" si="64"/>
        <v>Overweight</v>
      </c>
      <c r="C2010">
        <v>27.39</v>
      </c>
      <c r="D2010">
        <v>5.34</v>
      </c>
      <c r="E2010" t="str">
        <f t="shared" si="65"/>
        <v>Normal</v>
      </c>
      <c r="F2010" t="s">
        <v>2380</v>
      </c>
      <c r="G2010" t="s">
        <v>2380</v>
      </c>
      <c r="H2010" t="s">
        <v>2380</v>
      </c>
      <c r="I2010">
        <v>0</v>
      </c>
      <c r="J2010" t="s">
        <v>2380</v>
      </c>
    </row>
    <row r="2011" spans="1:10" x14ac:dyDescent="0.35">
      <c r="A2011" t="s">
        <v>358</v>
      </c>
      <c r="B2011" t="str">
        <f t="shared" si="64"/>
        <v>Underweight</v>
      </c>
      <c r="C2011">
        <v>17.03</v>
      </c>
      <c r="D2011">
        <v>4.12</v>
      </c>
      <c r="E2011" t="str">
        <f t="shared" si="65"/>
        <v>Normal</v>
      </c>
      <c r="F2011" t="s">
        <v>2380</v>
      </c>
      <c r="G2011" t="s">
        <v>2380</v>
      </c>
      <c r="H2011" t="s">
        <v>2380</v>
      </c>
      <c r="I2011">
        <v>1</v>
      </c>
      <c r="J2011" t="s">
        <v>2380</v>
      </c>
    </row>
    <row r="2012" spans="1:10" x14ac:dyDescent="0.35">
      <c r="A2012" t="s">
        <v>357</v>
      </c>
      <c r="B2012" t="str">
        <f t="shared" si="64"/>
        <v>Normal Weight</v>
      </c>
      <c r="C2012">
        <v>23.75</v>
      </c>
      <c r="D2012">
        <v>5.49</v>
      </c>
      <c r="E2012" t="str">
        <f t="shared" si="65"/>
        <v>Normal</v>
      </c>
      <c r="F2012" t="s">
        <v>2381</v>
      </c>
      <c r="G2012" t="s">
        <v>2380</v>
      </c>
      <c r="H2012" t="s">
        <v>2380</v>
      </c>
      <c r="I2012">
        <v>0</v>
      </c>
      <c r="J2012" t="s">
        <v>2380</v>
      </c>
    </row>
    <row r="2013" spans="1:10" x14ac:dyDescent="0.35">
      <c r="A2013" t="s">
        <v>355</v>
      </c>
      <c r="B2013" t="str">
        <f t="shared" si="64"/>
        <v>Overweight</v>
      </c>
      <c r="C2013">
        <v>26.03</v>
      </c>
      <c r="D2013">
        <v>5.1100000000000003</v>
      </c>
      <c r="E2013" t="str">
        <f t="shared" si="65"/>
        <v>Normal</v>
      </c>
      <c r="F2013" t="s">
        <v>2381</v>
      </c>
      <c r="G2013" t="s">
        <v>2380</v>
      </c>
      <c r="H2013" t="s">
        <v>2380</v>
      </c>
      <c r="I2013">
        <v>1</v>
      </c>
      <c r="J2013" t="s">
        <v>2380</v>
      </c>
    </row>
    <row r="2014" spans="1:10" x14ac:dyDescent="0.35">
      <c r="A2014" t="s">
        <v>354</v>
      </c>
      <c r="B2014" t="str">
        <f t="shared" si="64"/>
        <v>Underweight</v>
      </c>
      <c r="C2014">
        <v>16.079999999999998</v>
      </c>
      <c r="D2014">
        <v>5.94</v>
      </c>
      <c r="E2014" t="str">
        <f t="shared" si="65"/>
        <v>Prediabetes</v>
      </c>
      <c r="F2014" t="s">
        <v>2380</v>
      </c>
      <c r="G2014" t="s">
        <v>2380</v>
      </c>
      <c r="H2014" t="s">
        <v>2380</v>
      </c>
      <c r="I2014">
        <v>0</v>
      </c>
      <c r="J2014" t="s">
        <v>2380</v>
      </c>
    </row>
    <row r="2015" spans="1:10" x14ac:dyDescent="0.35">
      <c r="A2015" t="s">
        <v>353</v>
      </c>
      <c r="B2015" t="str">
        <f t="shared" si="64"/>
        <v>Obesity</v>
      </c>
      <c r="C2015">
        <v>30.875</v>
      </c>
      <c r="D2015">
        <v>5.54</v>
      </c>
      <c r="E2015" t="str">
        <f t="shared" si="65"/>
        <v>Normal</v>
      </c>
      <c r="F2015" t="s">
        <v>2380</v>
      </c>
      <c r="G2015" t="s">
        <v>2380</v>
      </c>
      <c r="H2015" t="s">
        <v>2380</v>
      </c>
      <c r="I2015">
        <v>0</v>
      </c>
      <c r="J2015" t="s">
        <v>2380</v>
      </c>
    </row>
    <row r="2016" spans="1:10" x14ac:dyDescent="0.35">
      <c r="A2016" t="s">
        <v>352</v>
      </c>
      <c r="B2016" t="str">
        <f t="shared" si="64"/>
        <v>Obesity</v>
      </c>
      <c r="C2016">
        <v>31.79</v>
      </c>
      <c r="D2016">
        <v>7.09</v>
      </c>
      <c r="E2016" t="str">
        <f t="shared" si="65"/>
        <v>Diabetes</v>
      </c>
      <c r="F2016" t="s">
        <v>2380</v>
      </c>
      <c r="G2016" t="s">
        <v>2380</v>
      </c>
      <c r="H2016" t="s">
        <v>2380</v>
      </c>
      <c r="I2016">
        <v>0</v>
      </c>
      <c r="J2016" t="s">
        <v>2380</v>
      </c>
    </row>
    <row r="2017" spans="1:10" x14ac:dyDescent="0.35">
      <c r="A2017" t="s">
        <v>351</v>
      </c>
      <c r="B2017" t="str">
        <f t="shared" si="64"/>
        <v>Overweight</v>
      </c>
      <c r="C2017">
        <v>28.48</v>
      </c>
      <c r="D2017">
        <v>6.22</v>
      </c>
      <c r="E2017" t="str">
        <f t="shared" si="65"/>
        <v>Prediabetes</v>
      </c>
      <c r="F2017" t="s">
        <v>2381</v>
      </c>
      <c r="G2017" t="s">
        <v>2380</v>
      </c>
      <c r="H2017" t="s">
        <v>2382</v>
      </c>
      <c r="I2017">
        <v>1</v>
      </c>
      <c r="J2017" t="s">
        <v>2380</v>
      </c>
    </row>
    <row r="2018" spans="1:10" x14ac:dyDescent="0.35">
      <c r="A2018" t="s">
        <v>350</v>
      </c>
      <c r="B2018" t="str">
        <f t="shared" si="64"/>
        <v>Overweight</v>
      </c>
      <c r="C2018">
        <v>26.6</v>
      </c>
      <c r="D2018">
        <v>4.33</v>
      </c>
      <c r="E2018" t="str">
        <f t="shared" si="65"/>
        <v>Normal</v>
      </c>
      <c r="F2018" t="s">
        <v>2380</v>
      </c>
      <c r="G2018" t="s">
        <v>2380</v>
      </c>
      <c r="H2018" t="s">
        <v>2380</v>
      </c>
      <c r="I2018">
        <v>1</v>
      </c>
      <c r="J2018" t="s">
        <v>2380</v>
      </c>
    </row>
    <row r="2019" spans="1:10" x14ac:dyDescent="0.35">
      <c r="A2019" t="s">
        <v>349</v>
      </c>
      <c r="B2019" t="str">
        <f t="shared" si="64"/>
        <v>Overweight</v>
      </c>
      <c r="C2019">
        <v>25.27</v>
      </c>
      <c r="D2019">
        <v>5.83</v>
      </c>
      <c r="E2019" t="str">
        <f t="shared" si="65"/>
        <v>Prediabetes</v>
      </c>
      <c r="F2019" t="s">
        <v>2380</v>
      </c>
      <c r="G2019" t="s">
        <v>2380</v>
      </c>
      <c r="H2019" t="s">
        <v>2380</v>
      </c>
      <c r="I2019">
        <v>1</v>
      </c>
      <c r="J2019" t="s">
        <v>2380</v>
      </c>
    </row>
    <row r="2020" spans="1:10" x14ac:dyDescent="0.35">
      <c r="A2020" t="s">
        <v>348</v>
      </c>
      <c r="B2020" t="str">
        <f t="shared" si="64"/>
        <v>Obesity</v>
      </c>
      <c r="C2020">
        <v>34.484999999999999</v>
      </c>
      <c r="D2020">
        <v>4.7</v>
      </c>
      <c r="E2020" t="str">
        <f t="shared" si="65"/>
        <v>Normal</v>
      </c>
      <c r="F2020" t="s">
        <v>2381</v>
      </c>
      <c r="G2020" t="s">
        <v>2380</v>
      </c>
      <c r="H2020" t="s">
        <v>2382</v>
      </c>
      <c r="I2020">
        <v>1</v>
      </c>
      <c r="J2020" t="s">
        <v>2380</v>
      </c>
    </row>
    <row r="2021" spans="1:10" x14ac:dyDescent="0.35">
      <c r="A2021" t="s">
        <v>347</v>
      </c>
      <c r="B2021" t="str">
        <f t="shared" si="64"/>
        <v>Underweight</v>
      </c>
      <c r="C2021">
        <v>15.57</v>
      </c>
      <c r="D2021">
        <v>4.07</v>
      </c>
      <c r="E2021" t="str">
        <f t="shared" si="65"/>
        <v>Normal</v>
      </c>
      <c r="F2021" t="s">
        <v>2381</v>
      </c>
      <c r="G2021" t="s">
        <v>2380</v>
      </c>
      <c r="H2021" t="s">
        <v>2380</v>
      </c>
      <c r="I2021">
        <v>1</v>
      </c>
      <c r="J2021" t="s">
        <v>2380</v>
      </c>
    </row>
    <row r="2022" spans="1:10" x14ac:dyDescent="0.35">
      <c r="A2022" t="s">
        <v>346</v>
      </c>
      <c r="B2022" t="str">
        <f t="shared" si="64"/>
        <v>Obesity</v>
      </c>
      <c r="C2022">
        <v>30.36</v>
      </c>
      <c r="D2022">
        <v>9.39</v>
      </c>
      <c r="E2022" t="str">
        <f t="shared" si="65"/>
        <v>Diabetes</v>
      </c>
      <c r="F2022" t="s">
        <v>2380</v>
      </c>
      <c r="G2022" t="s">
        <v>2380</v>
      </c>
      <c r="H2022" t="s">
        <v>2380</v>
      </c>
      <c r="I2022">
        <v>0</v>
      </c>
      <c r="J2022" t="s">
        <v>2380</v>
      </c>
    </row>
    <row r="2023" spans="1:10" x14ac:dyDescent="0.35">
      <c r="A2023" t="s">
        <v>345</v>
      </c>
      <c r="B2023" t="str">
        <f t="shared" si="64"/>
        <v>Normal Weight</v>
      </c>
      <c r="C2023">
        <v>19.37</v>
      </c>
      <c r="D2023">
        <v>4.18</v>
      </c>
      <c r="E2023" t="str">
        <f t="shared" si="65"/>
        <v>Normal</v>
      </c>
      <c r="F2023" t="s">
        <v>2380</v>
      </c>
      <c r="G2023" t="s">
        <v>2380</v>
      </c>
      <c r="H2023" t="s">
        <v>2380</v>
      </c>
      <c r="I2023">
        <v>0</v>
      </c>
      <c r="J2023" t="s">
        <v>2380</v>
      </c>
    </row>
    <row r="2024" spans="1:10" x14ac:dyDescent="0.35">
      <c r="A2024" t="s">
        <v>344</v>
      </c>
      <c r="B2024" t="str">
        <f t="shared" si="64"/>
        <v>Underweight</v>
      </c>
      <c r="C2024">
        <v>16.71</v>
      </c>
      <c r="D2024">
        <v>4.18</v>
      </c>
      <c r="E2024" t="str">
        <f t="shared" si="65"/>
        <v>Normal</v>
      </c>
      <c r="F2024" t="s">
        <v>2380</v>
      </c>
      <c r="G2024" t="s">
        <v>2380</v>
      </c>
      <c r="H2024" t="s">
        <v>2380</v>
      </c>
      <c r="I2024">
        <v>1</v>
      </c>
      <c r="J2024" t="s">
        <v>2380</v>
      </c>
    </row>
    <row r="2025" spans="1:10" x14ac:dyDescent="0.35">
      <c r="A2025" t="s">
        <v>343</v>
      </c>
      <c r="B2025" t="str">
        <f t="shared" si="64"/>
        <v>Normal Weight</v>
      </c>
      <c r="C2025">
        <v>24.1</v>
      </c>
      <c r="D2025">
        <v>4.4000000000000004</v>
      </c>
      <c r="E2025" t="str">
        <f t="shared" si="65"/>
        <v>Normal</v>
      </c>
      <c r="F2025" t="s">
        <v>2381</v>
      </c>
      <c r="G2025" t="s">
        <v>2380</v>
      </c>
      <c r="H2025" t="s">
        <v>2380</v>
      </c>
      <c r="I2025">
        <v>1</v>
      </c>
      <c r="J2025" t="s">
        <v>2380</v>
      </c>
    </row>
    <row r="2026" spans="1:10" x14ac:dyDescent="0.35">
      <c r="A2026" t="s">
        <v>342</v>
      </c>
      <c r="B2026" t="str">
        <f t="shared" si="64"/>
        <v>Overweight</v>
      </c>
      <c r="C2026">
        <v>29.77</v>
      </c>
      <c r="D2026">
        <v>9.9</v>
      </c>
      <c r="E2026" t="str">
        <f t="shared" si="65"/>
        <v>Diabetes</v>
      </c>
      <c r="F2026" t="s">
        <v>2380</v>
      </c>
      <c r="G2026" t="s">
        <v>2380</v>
      </c>
      <c r="H2026" t="s">
        <v>2380</v>
      </c>
      <c r="I2026">
        <v>0</v>
      </c>
      <c r="J2026" t="s">
        <v>2380</v>
      </c>
    </row>
    <row r="2027" spans="1:10" x14ac:dyDescent="0.35">
      <c r="A2027" t="s">
        <v>341</v>
      </c>
      <c r="B2027" t="str">
        <f t="shared" si="64"/>
        <v>Obesity</v>
      </c>
      <c r="C2027">
        <v>46.53</v>
      </c>
      <c r="D2027">
        <v>4.84</v>
      </c>
      <c r="E2027" t="str">
        <f t="shared" si="65"/>
        <v>Normal</v>
      </c>
      <c r="F2027" t="s">
        <v>2381</v>
      </c>
      <c r="G2027" t="s">
        <v>2380</v>
      </c>
      <c r="H2027" t="s">
        <v>2380</v>
      </c>
      <c r="I2027">
        <v>0</v>
      </c>
      <c r="J2027" t="s">
        <v>2380</v>
      </c>
    </row>
    <row r="2028" spans="1:10" x14ac:dyDescent="0.35">
      <c r="A2028" t="s">
        <v>340</v>
      </c>
      <c r="B2028" t="str">
        <f t="shared" si="64"/>
        <v>Normal Weight</v>
      </c>
      <c r="C2028">
        <v>23.4</v>
      </c>
      <c r="D2028">
        <v>5.53</v>
      </c>
      <c r="E2028" t="str">
        <f t="shared" si="65"/>
        <v>Normal</v>
      </c>
      <c r="F2028" t="s">
        <v>2380</v>
      </c>
      <c r="G2028" t="s">
        <v>2380</v>
      </c>
      <c r="H2028" t="s">
        <v>2382</v>
      </c>
      <c r="I2028">
        <v>1</v>
      </c>
      <c r="J2028" t="s">
        <v>2380</v>
      </c>
    </row>
    <row r="2029" spans="1:10" x14ac:dyDescent="0.35">
      <c r="A2029" t="s">
        <v>339</v>
      </c>
      <c r="B2029" t="str">
        <f t="shared" si="64"/>
        <v>Obesity</v>
      </c>
      <c r="C2029">
        <v>30</v>
      </c>
      <c r="D2029">
        <v>4.33</v>
      </c>
      <c r="E2029" t="str">
        <f t="shared" si="65"/>
        <v>Normal</v>
      </c>
      <c r="F2029" t="s">
        <v>2381</v>
      </c>
      <c r="G2029" t="s">
        <v>2380</v>
      </c>
      <c r="H2029" t="s">
        <v>2380</v>
      </c>
      <c r="I2029">
        <v>0</v>
      </c>
      <c r="J2029" t="s">
        <v>2380</v>
      </c>
    </row>
    <row r="2030" spans="1:10" x14ac:dyDescent="0.35">
      <c r="A2030" t="s">
        <v>338</v>
      </c>
      <c r="B2030" t="str">
        <f t="shared" si="64"/>
        <v>Overweight</v>
      </c>
      <c r="C2030">
        <v>29.15</v>
      </c>
      <c r="D2030">
        <v>4.91</v>
      </c>
      <c r="E2030" t="str">
        <f t="shared" si="65"/>
        <v>Normal</v>
      </c>
      <c r="F2030" t="s">
        <v>2381</v>
      </c>
      <c r="G2030" t="s">
        <v>2380</v>
      </c>
      <c r="H2030" t="s">
        <v>2380</v>
      </c>
      <c r="I2030">
        <v>0</v>
      </c>
      <c r="J2030" t="s">
        <v>2380</v>
      </c>
    </row>
    <row r="2031" spans="1:10" x14ac:dyDescent="0.35">
      <c r="A2031" t="s">
        <v>337</v>
      </c>
      <c r="B2031" t="str">
        <f t="shared" si="64"/>
        <v>Obesity</v>
      </c>
      <c r="C2031">
        <v>34.865000000000002</v>
      </c>
      <c r="D2031">
        <v>4.8</v>
      </c>
      <c r="E2031" t="str">
        <f t="shared" si="65"/>
        <v>Normal</v>
      </c>
      <c r="F2031" t="s">
        <v>2380</v>
      </c>
      <c r="G2031" t="s">
        <v>2380</v>
      </c>
      <c r="H2031" t="s">
        <v>2380</v>
      </c>
      <c r="I2031">
        <v>0</v>
      </c>
      <c r="J2031" t="s">
        <v>2380</v>
      </c>
    </row>
    <row r="2032" spans="1:10" x14ac:dyDescent="0.35">
      <c r="A2032" t="s">
        <v>336</v>
      </c>
      <c r="B2032" t="str">
        <f t="shared" si="64"/>
        <v>Overweight</v>
      </c>
      <c r="C2032">
        <v>28.12</v>
      </c>
      <c r="D2032">
        <v>5.55</v>
      </c>
      <c r="E2032" t="str">
        <f t="shared" si="65"/>
        <v>Normal</v>
      </c>
      <c r="F2032" t="s">
        <v>2381</v>
      </c>
      <c r="G2032" t="s">
        <v>2381</v>
      </c>
      <c r="H2032" t="s">
        <v>2380</v>
      </c>
      <c r="I2032">
        <v>2</v>
      </c>
      <c r="J2032" t="s">
        <v>2380</v>
      </c>
    </row>
    <row r="2033" spans="1:10" x14ac:dyDescent="0.35">
      <c r="A2033" t="s">
        <v>335</v>
      </c>
      <c r="B2033" t="str">
        <f t="shared" si="64"/>
        <v>Overweight</v>
      </c>
      <c r="C2033">
        <v>29.45</v>
      </c>
      <c r="D2033">
        <v>5.24</v>
      </c>
      <c r="E2033" t="str">
        <f t="shared" si="65"/>
        <v>Normal</v>
      </c>
      <c r="F2033" t="s">
        <v>2381</v>
      </c>
      <c r="G2033" t="s">
        <v>2380</v>
      </c>
      <c r="H2033" t="s">
        <v>2380</v>
      </c>
      <c r="I2033">
        <v>0</v>
      </c>
      <c r="J2033" t="s">
        <v>2380</v>
      </c>
    </row>
    <row r="2034" spans="1:10" x14ac:dyDescent="0.35">
      <c r="A2034" t="s">
        <v>334</v>
      </c>
      <c r="B2034" t="str">
        <f t="shared" si="64"/>
        <v>Overweight</v>
      </c>
      <c r="C2034">
        <v>27.94</v>
      </c>
      <c r="D2034">
        <v>6.08</v>
      </c>
      <c r="E2034" t="str">
        <f t="shared" si="65"/>
        <v>Prediabetes</v>
      </c>
      <c r="F2034" t="s">
        <v>2380</v>
      </c>
      <c r="G2034" t="s">
        <v>2380</v>
      </c>
      <c r="H2034" t="s">
        <v>2382</v>
      </c>
      <c r="I2034">
        <v>1</v>
      </c>
      <c r="J2034" t="s">
        <v>2380</v>
      </c>
    </row>
    <row r="2035" spans="1:10" x14ac:dyDescent="0.35">
      <c r="A2035" t="s">
        <v>333</v>
      </c>
      <c r="B2035" t="str">
        <f t="shared" si="64"/>
        <v>Overweight</v>
      </c>
      <c r="C2035">
        <v>27.2</v>
      </c>
      <c r="D2035">
        <v>5.83</v>
      </c>
      <c r="E2035" t="str">
        <f t="shared" si="65"/>
        <v>Prediabetes</v>
      </c>
      <c r="F2035" t="s">
        <v>2380</v>
      </c>
      <c r="G2035" t="s">
        <v>2380</v>
      </c>
      <c r="H2035" t="s">
        <v>2382</v>
      </c>
      <c r="I2035">
        <v>1</v>
      </c>
      <c r="J2035" t="s">
        <v>2380</v>
      </c>
    </row>
    <row r="2036" spans="1:10" x14ac:dyDescent="0.35">
      <c r="A2036" t="s">
        <v>332</v>
      </c>
      <c r="B2036" t="str">
        <f t="shared" si="64"/>
        <v>Obesity</v>
      </c>
      <c r="C2036">
        <v>33.344999999999999</v>
      </c>
      <c r="D2036">
        <v>4.29</v>
      </c>
      <c r="E2036" t="str">
        <f t="shared" si="65"/>
        <v>Normal</v>
      </c>
      <c r="F2036" t="s">
        <v>2380</v>
      </c>
      <c r="G2036" t="s">
        <v>2380</v>
      </c>
      <c r="H2036" t="s">
        <v>2380</v>
      </c>
      <c r="I2036">
        <v>1</v>
      </c>
      <c r="J2036" t="s">
        <v>2380</v>
      </c>
    </row>
    <row r="2037" spans="1:10" x14ac:dyDescent="0.35">
      <c r="A2037" t="s">
        <v>331</v>
      </c>
      <c r="B2037" t="str">
        <f t="shared" si="64"/>
        <v>Overweight</v>
      </c>
      <c r="C2037">
        <v>29.925000000000001</v>
      </c>
      <c r="D2037">
        <v>5.3</v>
      </c>
      <c r="E2037" t="str">
        <f t="shared" si="65"/>
        <v>Normal</v>
      </c>
      <c r="F2037" t="s">
        <v>2380</v>
      </c>
      <c r="G2037" t="s">
        <v>2380</v>
      </c>
      <c r="H2037" t="s">
        <v>2380</v>
      </c>
      <c r="I2037">
        <v>1</v>
      </c>
      <c r="J2037" t="s">
        <v>2380</v>
      </c>
    </row>
    <row r="2038" spans="1:10" x14ac:dyDescent="0.35">
      <c r="A2038" t="s">
        <v>330</v>
      </c>
      <c r="B2038" t="str">
        <f t="shared" si="64"/>
        <v>Normal Weight</v>
      </c>
      <c r="C2038">
        <v>24.225000000000001</v>
      </c>
      <c r="D2038">
        <v>4.42</v>
      </c>
      <c r="E2038" t="str">
        <f t="shared" si="65"/>
        <v>Normal</v>
      </c>
      <c r="F2038" t="s">
        <v>2380</v>
      </c>
      <c r="G2038" t="s">
        <v>2380</v>
      </c>
      <c r="H2038" t="s">
        <v>2380</v>
      </c>
      <c r="I2038">
        <v>1</v>
      </c>
      <c r="J2038" t="s">
        <v>2380</v>
      </c>
    </row>
    <row r="2039" spans="1:10" x14ac:dyDescent="0.35">
      <c r="A2039" t="s">
        <v>329</v>
      </c>
      <c r="B2039" t="str">
        <f t="shared" si="64"/>
        <v>Overweight</v>
      </c>
      <c r="C2039">
        <v>29.68</v>
      </c>
      <c r="D2039">
        <v>5.68</v>
      </c>
      <c r="E2039" t="str">
        <f t="shared" si="65"/>
        <v>Normal</v>
      </c>
      <c r="F2039" t="s">
        <v>2380</v>
      </c>
      <c r="G2039" t="s">
        <v>2381</v>
      </c>
      <c r="H2039" t="s">
        <v>2380</v>
      </c>
      <c r="I2039">
        <v>1</v>
      </c>
      <c r="J2039" t="s">
        <v>2380</v>
      </c>
    </row>
    <row r="2040" spans="1:10" x14ac:dyDescent="0.35">
      <c r="A2040" t="s">
        <v>328</v>
      </c>
      <c r="B2040" t="str">
        <f t="shared" si="64"/>
        <v>Normal Weight</v>
      </c>
      <c r="C2040">
        <v>20.614999999999998</v>
      </c>
      <c r="D2040">
        <v>6.05</v>
      </c>
      <c r="E2040" t="str">
        <f t="shared" si="65"/>
        <v>Prediabetes</v>
      </c>
      <c r="F2040" t="s">
        <v>2380</v>
      </c>
      <c r="G2040" t="s">
        <v>2380</v>
      </c>
      <c r="H2040" t="s">
        <v>2382</v>
      </c>
      <c r="I2040">
        <v>1</v>
      </c>
      <c r="J2040" t="s">
        <v>2380</v>
      </c>
    </row>
    <row r="2041" spans="1:10" x14ac:dyDescent="0.35">
      <c r="A2041" t="s">
        <v>327</v>
      </c>
      <c r="B2041" t="str">
        <f t="shared" si="64"/>
        <v>Obesity</v>
      </c>
      <c r="C2041">
        <v>32.119999999999997</v>
      </c>
      <c r="D2041">
        <v>5.33</v>
      </c>
      <c r="E2041" t="str">
        <f t="shared" si="65"/>
        <v>Normal</v>
      </c>
      <c r="F2041" t="s">
        <v>2380</v>
      </c>
      <c r="G2041" t="s">
        <v>2381</v>
      </c>
      <c r="H2041" t="s">
        <v>2380</v>
      </c>
      <c r="I2041">
        <v>1</v>
      </c>
      <c r="J2041" t="s">
        <v>2380</v>
      </c>
    </row>
    <row r="2042" spans="1:10" x14ac:dyDescent="0.35">
      <c r="A2042" t="s">
        <v>326</v>
      </c>
      <c r="B2042" t="str">
        <f t="shared" si="64"/>
        <v>Overweight</v>
      </c>
      <c r="C2042">
        <v>27.36</v>
      </c>
      <c r="D2042">
        <v>6.22</v>
      </c>
      <c r="E2042" t="str">
        <f t="shared" si="65"/>
        <v>Prediabetes</v>
      </c>
      <c r="F2042" t="s">
        <v>2380</v>
      </c>
      <c r="G2042" t="s">
        <v>2380</v>
      </c>
      <c r="H2042" t="s">
        <v>2380</v>
      </c>
      <c r="I2042">
        <v>0</v>
      </c>
      <c r="J2042" t="s">
        <v>2380</v>
      </c>
    </row>
    <row r="2043" spans="1:10" x14ac:dyDescent="0.35">
      <c r="A2043" t="s">
        <v>325</v>
      </c>
      <c r="B2043" t="str">
        <f t="shared" si="64"/>
        <v>Underweight</v>
      </c>
      <c r="C2043">
        <v>17.385000000000002</v>
      </c>
      <c r="D2043">
        <v>5.84</v>
      </c>
      <c r="E2043" t="str">
        <f t="shared" si="65"/>
        <v>Prediabetes</v>
      </c>
      <c r="F2043" t="s">
        <v>2380</v>
      </c>
      <c r="G2043" t="s">
        <v>2380</v>
      </c>
      <c r="H2043" t="s">
        <v>2380</v>
      </c>
      <c r="I2043">
        <v>0</v>
      </c>
      <c r="J2043" t="s">
        <v>2380</v>
      </c>
    </row>
    <row r="2044" spans="1:10" x14ac:dyDescent="0.35">
      <c r="A2044" t="s">
        <v>324</v>
      </c>
      <c r="B2044" t="str">
        <f t="shared" si="64"/>
        <v>Obesity</v>
      </c>
      <c r="C2044">
        <v>30.13</v>
      </c>
      <c r="D2044">
        <v>5.71</v>
      </c>
      <c r="E2044" t="str">
        <f t="shared" si="65"/>
        <v>Prediabetes</v>
      </c>
      <c r="F2044" t="s">
        <v>2380</v>
      </c>
      <c r="G2044" t="s">
        <v>2381</v>
      </c>
      <c r="H2044" t="s">
        <v>2380</v>
      </c>
      <c r="I2044">
        <v>1</v>
      </c>
      <c r="J2044" t="s">
        <v>2380</v>
      </c>
    </row>
    <row r="2045" spans="1:10" x14ac:dyDescent="0.35">
      <c r="A2045" t="s">
        <v>323</v>
      </c>
      <c r="B2045" t="str">
        <f t="shared" si="64"/>
        <v>Overweight</v>
      </c>
      <c r="C2045">
        <v>25.44</v>
      </c>
      <c r="D2045">
        <v>6.04</v>
      </c>
      <c r="E2045" t="str">
        <f t="shared" si="65"/>
        <v>Prediabetes</v>
      </c>
      <c r="F2045" t="s">
        <v>2381</v>
      </c>
      <c r="G2045" t="s">
        <v>2380</v>
      </c>
      <c r="H2045" t="s">
        <v>2382</v>
      </c>
      <c r="I2045">
        <v>1</v>
      </c>
      <c r="J2045" t="s">
        <v>2380</v>
      </c>
    </row>
    <row r="2046" spans="1:10" x14ac:dyDescent="0.35">
      <c r="A2046" t="s">
        <v>322</v>
      </c>
      <c r="B2046" t="str">
        <f t="shared" si="64"/>
        <v>Obesity</v>
      </c>
      <c r="C2046">
        <v>39.805</v>
      </c>
      <c r="D2046">
        <v>4.38</v>
      </c>
      <c r="E2046" t="str">
        <f t="shared" si="65"/>
        <v>Normal</v>
      </c>
      <c r="F2046" t="s">
        <v>2380</v>
      </c>
      <c r="G2046" t="s">
        <v>2381</v>
      </c>
      <c r="H2046" t="s">
        <v>2380</v>
      </c>
      <c r="I2046">
        <v>1</v>
      </c>
      <c r="J2046" t="s">
        <v>2380</v>
      </c>
    </row>
    <row r="2047" spans="1:10" x14ac:dyDescent="0.35">
      <c r="A2047" t="s">
        <v>321</v>
      </c>
      <c r="B2047" t="str">
        <f t="shared" si="64"/>
        <v>Obesity</v>
      </c>
      <c r="C2047">
        <v>30.4</v>
      </c>
      <c r="D2047">
        <v>5.56</v>
      </c>
      <c r="E2047" t="str">
        <f t="shared" si="65"/>
        <v>Normal</v>
      </c>
      <c r="F2047" t="s">
        <v>2381</v>
      </c>
      <c r="G2047" t="s">
        <v>2381</v>
      </c>
      <c r="H2047" t="s">
        <v>2380</v>
      </c>
      <c r="I2047">
        <v>1</v>
      </c>
      <c r="J2047" t="s">
        <v>2380</v>
      </c>
    </row>
    <row r="2048" spans="1:10" x14ac:dyDescent="0.35">
      <c r="A2048" t="s">
        <v>320</v>
      </c>
      <c r="B2048" t="str">
        <f t="shared" si="64"/>
        <v>Normal Weight</v>
      </c>
      <c r="C2048">
        <v>23.18</v>
      </c>
      <c r="D2048">
        <v>4.24</v>
      </c>
      <c r="E2048" t="str">
        <f t="shared" si="65"/>
        <v>Normal</v>
      </c>
      <c r="F2048" t="s">
        <v>2380</v>
      </c>
      <c r="G2048" t="s">
        <v>2381</v>
      </c>
      <c r="H2048" t="s">
        <v>2380</v>
      </c>
      <c r="I2048">
        <v>1</v>
      </c>
      <c r="J2048" t="s">
        <v>2380</v>
      </c>
    </row>
    <row r="2049" spans="1:10" x14ac:dyDescent="0.35">
      <c r="A2049" t="s">
        <v>319</v>
      </c>
      <c r="B2049" t="str">
        <f t="shared" si="64"/>
        <v>Obesity</v>
      </c>
      <c r="C2049">
        <v>39.615000000000002</v>
      </c>
      <c r="D2049">
        <v>6.32</v>
      </c>
      <c r="E2049" t="str">
        <f t="shared" si="65"/>
        <v>Prediabetes</v>
      </c>
      <c r="F2049" t="s">
        <v>2380</v>
      </c>
      <c r="G2049" t="s">
        <v>2380</v>
      </c>
      <c r="H2049" t="s">
        <v>2382</v>
      </c>
      <c r="I2049">
        <v>1</v>
      </c>
      <c r="J2049" t="s">
        <v>2380</v>
      </c>
    </row>
    <row r="2050" spans="1:10" x14ac:dyDescent="0.35">
      <c r="A2050" t="s">
        <v>318</v>
      </c>
      <c r="B2050" t="str">
        <f t="shared" si="64"/>
        <v>Obesity</v>
      </c>
      <c r="C2050">
        <v>30.59</v>
      </c>
      <c r="D2050">
        <v>6.3</v>
      </c>
      <c r="E2050" t="str">
        <f t="shared" si="65"/>
        <v>Prediabetes</v>
      </c>
      <c r="F2050" t="s">
        <v>2381</v>
      </c>
      <c r="G2050" t="s">
        <v>2380</v>
      </c>
      <c r="H2050" t="s">
        <v>2382</v>
      </c>
      <c r="I2050">
        <v>1</v>
      </c>
      <c r="J2050" t="s">
        <v>2380</v>
      </c>
    </row>
    <row r="2051" spans="1:10" x14ac:dyDescent="0.35">
      <c r="A2051" t="s">
        <v>317</v>
      </c>
      <c r="B2051" t="str">
        <f t="shared" ref="B2051:B2114" si="66">IF(C2051&lt;18.5,"Underweight",IF(C2051&lt;25,"Normal Weight",IF(C2051&lt;30,"Overweight","Obesity")))</f>
        <v>Underweight</v>
      </c>
      <c r="C2051">
        <v>16.72</v>
      </c>
      <c r="D2051">
        <v>4.38</v>
      </c>
      <c r="E2051" t="str">
        <f t="shared" ref="E2051:E2114" si="67">IF(D2051&lt;5.7,"Normal",IF(D2051&lt;6.5,"Prediabetes","Diabetes"))</f>
        <v>Normal</v>
      </c>
      <c r="F2051" t="s">
        <v>2381</v>
      </c>
      <c r="G2051" t="s">
        <v>2380</v>
      </c>
      <c r="H2051" t="s">
        <v>2380</v>
      </c>
      <c r="I2051">
        <v>1</v>
      </c>
      <c r="J2051" t="s">
        <v>2380</v>
      </c>
    </row>
    <row r="2052" spans="1:10" x14ac:dyDescent="0.35">
      <c r="A2052" t="s">
        <v>316</v>
      </c>
      <c r="B2052" t="str">
        <f t="shared" si="66"/>
        <v>Overweight</v>
      </c>
      <c r="C2052">
        <v>26.22</v>
      </c>
      <c r="D2052">
        <v>4.6500000000000004</v>
      </c>
      <c r="E2052" t="str">
        <f t="shared" si="67"/>
        <v>Normal</v>
      </c>
      <c r="F2052" t="s">
        <v>2381</v>
      </c>
      <c r="G2052" t="s">
        <v>2380</v>
      </c>
      <c r="H2052" t="s">
        <v>2382</v>
      </c>
      <c r="I2052">
        <v>1</v>
      </c>
      <c r="J2052" t="s">
        <v>2380</v>
      </c>
    </row>
    <row r="2053" spans="1:10" x14ac:dyDescent="0.35">
      <c r="A2053" t="s">
        <v>315</v>
      </c>
      <c r="B2053" t="str">
        <f t="shared" si="66"/>
        <v>Obesity</v>
      </c>
      <c r="C2053">
        <v>31.824999999999999</v>
      </c>
      <c r="D2053">
        <v>4.7</v>
      </c>
      <c r="E2053" t="str">
        <f t="shared" si="67"/>
        <v>Normal</v>
      </c>
      <c r="F2053" t="s">
        <v>2380</v>
      </c>
      <c r="G2053" t="s">
        <v>2380</v>
      </c>
      <c r="H2053" t="s">
        <v>2382</v>
      </c>
      <c r="I2053">
        <v>1</v>
      </c>
      <c r="J2053" t="s">
        <v>2380</v>
      </c>
    </row>
    <row r="2054" spans="1:10" x14ac:dyDescent="0.35">
      <c r="A2054" t="s">
        <v>314</v>
      </c>
      <c r="B2054" t="str">
        <f t="shared" si="66"/>
        <v>Overweight</v>
      </c>
      <c r="C2054">
        <v>25.745000000000001</v>
      </c>
      <c r="D2054">
        <v>4.34</v>
      </c>
      <c r="E2054" t="str">
        <f t="shared" si="67"/>
        <v>Normal</v>
      </c>
      <c r="F2054" t="s">
        <v>2380</v>
      </c>
      <c r="G2054" t="s">
        <v>2380</v>
      </c>
      <c r="H2054" t="s">
        <v>2382</v>
      </c>
      <c r="I2054">
        <v>1</v>
      </c>
      <c r="J2054" t="s">
        <v>2380</v>
      </c>
    </row>
    <row r="2055" spans="1:10" x14ac:dyDescent="0.35">
      <c r="A2055" t="s">
        <v>313</v>
      </c>
      <c r="B2055" t="str">
        <f t="shared" si="66"/>
        <v>Normal Weight</v>
      </c>
      <c r="C2055">
        <v>24.605</v>
      </c>
      <c r="D2055">
        <v>5.62</v>
      </c>
      <c r="E2055" t="str">
        <f t="shared" si="67"/>
        <v>Normal</v>
      </c>
      <c r="F2055" t="s">
        <v>2380</v>
      </c>
      <c r="G2055" t="s">
        <v>2380</v>
      </c>
      <c r="H2055" t="s">
        <v>2382</v>
      </c>
      <c r="I2055">
        <v>1</v>
      </c>
      <c r="J2055" t="s">
        <v>2380</v>
      </c>
    </row>
    <row r="2056" spans="1:10" x14ac:dyDescent="0.35">
      <c r="A2056" t="s">
        <v>312</v>
      </c>
      <c r="B2056" t="str">
        <f t="shared" si="66"/>
        <v>Normal Weight</v>
      </c>
      <c r="C2056">
        <v>24.51</v>
      </c>
      <c r="D2056">
        <v>4.24</v>
      </c>
      <c r="E2056" t="str">
        <f t="shared" si="67"/>
        <v>Normal</v>
      </c>
      <c r="F2056" t="s">
        <v>2380</v>
      </c>
      <c r="G2056" t="s">
        <v>2380</v>
      </c>
      <c r="H2056" t="s">
        <v>2382</v>
      </c>
      <c r="I2056">
        <v>1</v>
      </c>
      <c r="J2056" t="s">
        <v>2380</v>
      </c>
    </row>
    <row r="2057" spans="1:10" x14ac:dyDescent="0.35">
      <c r="A2057" t="s">
        <v>311</v>
      </c>
      <c r="B2057" t="str">
        <f t="shared" si="66"/>
        <v>Obesity</v>
      </c>
      <c r="C2057">
        <v>31.065000000000001</v>
      </c>
      <c r="D2057">
        <v>4.57</v>
      </c>
      <c r="E2057" t="str">
        <f t="shared" si="67"/>
        <v>Normal</v>
      </c>
      <c r="F2057" t="s">
        <v>2381</v>
      </c>
      <c r="G2057" t="s">
        <v>2380</v>
      </c>
      <c r="H2057" t="s">
        <v>2380</v>
      </c>
      <c r="I2057">
        <v>0</v>
      </c>
      <c r="J2057" t="s">
        <v>2380</v>
      </c>
    </row>
    <row r="2058" spans="1:10" x14ac:dyDescent="0.35">
      <c r="A2058" t="s">
        <v>310</v>
      </c>
      <c r="B2058" t="str">
        <f t="shared" si="66"/>
        <v>Overweight</v>
      </c>
      <c r="C2058">
        <v>28.12</v>
      </c>
      <c r="D2058">
        <v>5.05</v>
      </c>
      <c r="E2058" t="str">
        <f t="shared" si="67"/>
        <v>Normal</v>
      </c>
      <c r="F2058" t="s">
        <v>2380</v>
      </c>
      <c r="G2058" t="s">
        <v>2380</v>
      </c>
      <c r="H2058" t="s">
        <v>2380</v>
      </c>
      <c r="I2058">
        <v>0</v>
      </c>
      <c r="J2058" t="s">
        <v>2380</v>
      </c>
    </row>
    <row r="2059" spans="1:10" x14ac:dyDescent="0.35">
      <c r="A2059" t="s">
        <v>309</v>
      </c>
      <c r="B2059" t="str">
        <f t="shared" si="66"/>
        <v>Obesity</v>
      </c>
      <c r="C2059">
        <v>38.06</v>
      </c>
      <c r="D2059">
        <v>6.16</v>
      </c>
      <c r="E2059" t="str">
        <f t="shared" si="67"/>
        <v>Prediabetes</v>
      </c>
      <c r="F2059" t="s">
        <v>2380</v>
      </c>
      <c r="G2059" t="s">
        <v>2380</v>
      </c>
      <c r="H2059" t="s">
        <v>2380</v>
      </c>
      <c r="I2059">
        <v>0</v>
      </c>
      <c r="J2059" t="s">
        <v>2380</v>
      </c>
    </row>
    <row r="2060" spans="1:10" x14ac:dyDescent="0.35">
      <c r="A2060" t="s">
        <v>308</v>
      </c>
      <c r="B2060" t="str">
        <f t="shared" si="66"/>
        <v>Normal Weight</v>
      </c>
      <c r="C2060">
        <v>24.96</v>
      </c>
      <c r="D2060">
        <v>4.57</v>
      </c>
      <c r="E2060" t="str">
        <f t="shared" si="67"/>
        <v>Normal</v>
      </c>
      <c r="F2060" t="s">
        <v>2380</v>
      </c>
      <c r="G2060" t="s">
        <v>2380</v>
      </c>
      <c r="H2060" t="s">
        <v>2380</v>
      </c>
      <c r="I2060">
        <v>0</v>
      </c>
      <c r="J2060" t="s">
        <v>2380</v>
      </c>
    </row>
    <row r="2061" spans="1:10" x14ac:dyDescent="0.35">
      <c r="A2061" t="s">
        <v>307</v>
      </c>
      <c r="B2061" t="str">
        <f t="shared" si="66"/>
        <v>Underweight</v>
      </c>
      <c r="C2061">
        <v>17.670000000000002</v>
      </c>
      <c r="D2061">
        <v>5.53</v>
      </c>
      <c r="E2061" t="str">
        <f t="shared" si="67"/>
        <v>Normal</v>
      </c>
      <c r="F2061" t="s">
        <v>2381</v>
      </c>
      <c r="G2061" t="s">
        <v>2380</v>
      </c>
      <c r="H2061" t="s">
        <v>2380</v>
      </c>
      <c r="I2061">
        <v>0</v>
      </c>
      <c r="J2061" t="s">
        <v>2380</v>
      </c>
    </row>
    <row r="2062" spans="1:10" x14ac:dyDescent="0.35">
      <c r="A2062" t="s">
        <v>306</v>
      </c>
      <c r="B2062" t="str">
        <f t="shared" si="66"/>
        <v>Obesity</v>
      </c>
      <c r="C2062">
        <v>31.35</v>
      </c>
      <c r="D2062">
        <v>5.84</v>
      </c>
      <c r="E2062" t="str">
        <f t="shared" si="67"/>
        <v>Prediabetes</v>
      </c>
      <c r="F2062" t="s">
        <v>2380</v>
      </c>
      <c r="G2062" t="s">
        <v>2381</v>
      </c>
      <c r="H2062" t="s">
        <v>2380</v>
      </c>
      <c r="I2062">
        <v>1</v>
      </c>
      <c r="J2062" t="s">
        <v>2380</v>
      </c>
    </row>
    <row r="2063" spans="1:10" x14ac:dyDescent="0.35">
      <c r="A2063" t="s">
        <v>305</v>
      </c>
      <c r="B2063" t="str">
        <f t="shared" si="66"/>
        <v>Overweight</v>
      </c>
      <c r="C2063">
        <v>28.31</v>
      </c>
      <c r="D2063">
        <v>6.41</v>
      </c>
      <c r="E2063" t="str">
        <f t="shared" si="67"/>
        <v>Prediabetes</v>
      </c>
      <c r="F2063" t="s">
        <v>2380</v>
      </c>
      <c r="G2063" t="s">
        <v>2381</v>
      </c>
      <c r="H2063" t="s">
        <v>2380</v>
      </c>
      <c r="I2063">
        <v>1</v>
      </c>
      <c r="J2063" t="s">
        <v>2380</v>
      </c>
    </row>
    <row r="2064" spans="1:10" x14ac:dyDescent="0.35">
      <c r="A2064" t="s">
        <v>304</v>
      </c>
      <c r="B2064" t="str">
        <f t="shared" si="66"/>
        <v>Obesity</v>
      </c>
      <c r="C2064">
        <v>30.3</v>
      </c>
      <c r="D2064">
        <v>4.7300000000000004</v>
      </c>
      <c r="E2064" t="str">
        <f t="shared" si="67"/>
        <v>Normal</v>
      </c>
      <c r="F2064" t="s">
        <v>2381</v>
      </c>
      <c r="G2064" t="s">
        <v>2380</v>
      </c>
      <c r="H2064" t="s">
        <v>2382</v>
      </c>
      <c r="I2064">
        <v>1</v>
      </c>
      <c r="J2064" t="s">
        <v>2380</v>
      </c>
    </row>
    <row r="2065" spans="1:10" x14ac:dyDescent="0.35">
      <c r="A2065" t="s">
        <v>303</v>
      </c>
      <c r="B2065" t="str">
        <f t="shared" si="66"/>
        <v>Overweight</v>
      </c>
      <c r="C2065">
        <v>26.4</v>
      </c>
      <c r="D2065">
        <v>6.22</v>
      </c>
      <c r="E2065" t="str">
        <f t="shared" si="67"/>
        <v>Prediabetes</v>
      </c>
      <c r="F2065" t="s">
        <v>2381</v>
      </c>
      <c r="G2065" t="s">
        <v>2380</v>
      </c>
      <c r="H2065" t="s">
        <v>2380</v>
      </c>
      <c r="I2065">
        <v>0</v>
      </c>
      <c r="J2065" t="s">
        <v>2380</v>
      </c>
    </row>
    <row r="2066" spans="1:10" x14ac:dyDescent="0.35">
      <c r="A2066" t="s">
        <v>302</v>
      </c>
      <c r="B2066" t="str">
        <f t="shared" si="66"/>
        <v>Normal Weight</v>
      </c>
      <c r="C2066">
        <v>22.135000000000002</v>
      </c>
      <c r="D2066">
        <v>4.46</v>
      </c>
      <c r="E2066" t="str">
        <f t="shared" si="67"/>
        <v>Normal</v>
      </c>
      <c r="F2066" t="s">
        <v>2381</v>
      </c>
      <c r="G2066" t="s">
        <v>2380</v>
      </c>
      <c r="H2066" t="s">
        <v>2380</v>
      </c>
      <c r="I2066">
        <v>0</v>
      </c>
      <c r="J2066" t="s">
        <v>2380</v>
      </c>
    </row>
    <row r="2067" spans="1:10" x14ac:dyDescent="0.35">
      <c r="A2067" t="s">
        <v>301</v>
      </c>
      <c r="B2067" t="str">
        <f t="shared" si="66"/>
        <v>Underweight</v>
      </c>
      <c r="C2067">
        <v>17.399999999999999</v>
      </c>
      <c r="D2067">
        <v>4.5</v>
      </c>
      <c r="E2067" t="str">
        <f t="shared" si="67"/>
        <v>Normal</v>
      </c>
      <c r="F2067" t="s">
        <v>2381</v>
      </c>
      <c r="G2067" t="s">
        <v>2380</v>
      </c>
      <c r="H2067" t="s">
        <v>2380</v>
      </c>
      <c r="I2067">
        <v>0</v>
      </c>
      <c r="J2067" t="s">
        <v>2380</v>
      </c>
    </row>
    <row r="2068" spans="1:10" x14ac:dyDescent="0.35">
      <c r="A2068" t="s">
        <v>299</v>
      </c>
      <c r="B2068" t="str">
        <f t="shared" si="66"/>
        <v>Overweight</v>
      </c>
      <c r="C2068">
        <v>28.06</v>
      </c>
      <c r="D2068">
        <v>8.93</v>
      </c>
      <c r="E2068" t="str">
        <f t="shared" si="67"/>
        <v>Diabetes</v>
      </c>
      <c r="F2068" t="s">
        <v>2380</v>
      </c>
      <c r="G2068" t="s">
        <v>2380</v>
      </c>
      <c r="H2068" t="s">
        <v>2380</v>
      </c>
      <c r="I2068">
        <v>0</v>
      </c>
      <c r="J2068" t="s">
        <v>2380</v>
      </c>
    </row>
    <row r="2069" spans="1:10" x14ac:dyDescent="0.35">
      <c r="A2069" t="s">
        <v>298</v>
      </c>
      <c r="B2069" t="str">
        <f t="shared" si="66"/>
        <v>Obesity</v>
      </c>
      <c r="C2069">
        <v>31.13</v>
      </c>
      <c r="D2069">
        <v>11.02</v>
      </c>
      <c r="E2069" t="str">
        <f t="shared" si="67"/>
        <v>Diabetes</v>
      </c>
      <c r="F2069" t="s">
        <v>2380</v>
      </c>
      <c r="G2069" t="s">
        <v>2380</v>
      </c>
      <c r="H2069" t="s">
        <v>2380</v>
      </c>
      <c r="I2069">
        <v>0</v>
      </c>
      <c r="J2069" t="s">
        <v>2380</v>
      </c>
    </row>
    <row r="2070" spans="1:10" x14ac:dyDescent="0.35">
      <c r="A2070" t="s">
        <v>297</v>
      </c>
      <c r="B2070" t="str">
        <f t="shared" si="66"/>
        <v>Underweight</v>
      </c>
      <c r="C2070">
        <v>18.46</v>
      </c>
      <c r="D2070">
        <v>5.25</v>
      </c>
      <c r="E2070" t="str">
        <f t="shared" si="67"/>
        <v>Normal</v>
      </c>
      <c r="F2070" t="s">
        <v>2380</v>
      </c>
      <c r="G2070" t="s">
        <v>2380</v>
      </c>
      <c r="H2070" t="s">
        <v>2380</v>
      </c>
      <c r="I2070">
        <v>0</v>
      </c>
      <c r="J2070" t="s">
        <v>2380</v>
      </c>
    </row>
    <row r="2071" spans="1:10" x14ac:dyDescent="0.35">
      <c r="A2071" t="s">
        <v>296</v>
      </c>
      <c r="B2071" t="str">
        <f t="shared" si="66"/>
        <v>Underweight</v>
      </c>
      <c r="C2071">
        <v>17.3</v>
      </c>
      <c r="D2071">
        <v>4.75</v>
      </c>
      <c r="E2071" t="str">
        <f t="shared" si="67"/>
        <v>Normal</v>
      </c>
      <c r="F2071" t="s">
        <v>2380</v>
      </c>
      <c r="G2071" t="s">
        <v>2380</v>
      </c>
      <c r="H2071" t="s">
        <v>2380</v>
      </c>
      <c r="I2071">
        <v>0</v>
      </c>
      <c r="J2071" t="s">
        <v>2380</v>
      </c>
    </row>
    <row r="2072" spans="1:10" x14ac:dyDescent="0.35">
      <c r="A2072" t="s">
        <v>295</v>
      </c>
      <c r="B2072" t="str">
        <f t="shared" si="66"/>
        <v>Obesity</v>
      </c>
      <c r="C2072">
        <v>35.625</v>
      </c>
      <c r="D2072">
        <v>4.68</v>
      </c>
      <c r="E2072" t="str">
        <f t="shared" si="67"/>
        <v>Normal</v>
      </c>
      <c r="F2072" t="s">
        <v>2381</v>
      </c>
      <c r="G2072" t="s">
        <v>2380</v>
      </c>
      <c r="H2072" t="s">
        <v>2382</v>
      </c>
      <c r="I2072">
        <v>1</v>
      </c>
      <c r="J2072" t="s">
        <v>2380</v>
      </c>
    </row>
    <row r="2073" spans="1:10" x14ac:dyDescent="0.35">
      <c r="A2073" t="s">
        <v>294</v>
      </c>
      <c r="B2073" t="str">
        <f t="shared" si="66"/>
        <v>Normal Weight</v>
      </c>
      <c r="C2073">
        <v>20.234999999999999</v>
      </c>
      <c r="D2073">
        <v>6.17</v>
      </c>
      <c r="E2073" t="str">
        <f t="shared" si="67"/>
        <v>Prediabetes</v>
      </c>
      <c r="F2073" t="s">
        <v>2381</v>
      </c>
      <c r="G2073" t="s">
        <v>2381</v>
      </c>
      <c r="H2073" t="s">
        <v>2380</v>
      </c>
      <c r="I2073">
        <v>2</v>
      </c>
      <c r="J2073" t="s">
        <v>2380</v>
      </c>
    </row>
    <row r="2074" spans="1:10" x14ac:dyDescent="0.35">
      <c r="A2074" t="s">
        <v>293</v>
      </c>
      <c r="B2074" t="str">
        <f t="shared" si="66"/>
        <v>Overweight</v>
      </c>
      <c r="C2074">
        <v>27.55</v>
      </c>
      <c r="D2074">
        <v>4.5599999999999996</v>
      </c>
      <c r="E2074" t="str">
        <f t="shared" si="67"/>
        <v>Normal</v>
      </c>
      <c r="F2074" t="s">
        <v>2381</v>
      </c>
      <c r="G2074" t="s">
        <v>2380</v>
      </c>
      <c r="H2074" t="s">
        <v>2382</v>
      </c>
      <c r="I2074">
        <v>1</v>
      </c>
      <c r="J2074" t="s">
        <v>2380</v>
      </c>
    </row>
    <row r="2075" spans="1:10" x14ac:dyDescent="0.35">
      <c r="A2075" t="s">
        <v>292</v>
      </c>
      <c r="B2075" t="str">
        <f t="shared" si="66"/>
        <v>Underweight</v>
      </c>
      <c r="C2075">
        <v>17.97</v>
      </c>
      <c r="D2075">
        <v>6.3</v>
      </c>
      <c r="E2075" t="str">
        <f t="shared" si="67"/>
        <v>Prediabetes</v>
      </c>
      <c r="F2075" t="s">
        <v>2380</v>
      </c>
      <c r="G2075" t="s">
        <v>2380</v>
      </c>
      <c r="H2075" t="s">
        <v>2380</v>
      </c>
      <c r="I2075">
        <v>0</v>
      </c>
      <c r="J2075" t="s">
        <v>2380</v>
      </c>
    </row>
    <row r="2076" spans="1:10" x14ac:dyDescent="0.35">
      <c r="A2076" t="s">
        <v>291</v>
      </c>
      <c r="B2076" t="str">
        <f t="shared" si="66"/>
        <v>Overweight</v>
      </c>
      <c r="C2076">
        <v>29.98</v>
      </c>
      <c r="D2076">
        <v>6.03</v>
      </c>
      <c r="E2076" t="str">
        <f t="shared" si="67"/>
        <v>Prediabetes</v>
      </c>
      <c r="F2076" t="s">
        <v>2380</v>
      </c>
      <c r="G2076" t="s">
        <v>2381</v>
      </c>
      <c r="H2076" t="s">
        <v>2380</v>
      </c>
      <c r="I2076">
        <v>1</v>
      </c>
      <c r="J2076" t="s">
        <v>2380</v>
      </c>
    </row>
    <row r="2077" spans="1:10" x14ac:dyDescent="0.35">
      <c r="A2077" t="s">
        <v>290</v>
      </c>
      <c r="B2077" t="str">
        <f t="shared" si="66"/>
        <v>Obesity</v>
      </c>
      <c r="C2077">
        <v>33.659999999999997</v>
      </c>
      <c r="D2077">
        <v>4.2</v>
      </c>
      <c r="E2077" t="str">
        <f t="shared" si="67"/>
        <v>Normal</v>
      </c>
      <c r="F2077" t="s">
        <v>2381</v>
      </c>
      <c r="G2077" t="s">
        <v>2380</v>
      </c>
      <c r="H2077" t="s">
        <v>2380</v>
      </c>
      <c r="I2077">
        <v>1</v>
      </c>
      <c r="J2077" t="s">
        <v>2380</v>
      </c>
    </row>
    <row r="2078" spans="1:10" x14ac:dyDescent="0.35">
      <c r="A2078" t="s">
        <v>289</v>
      </c>
      <c r="B2078" t="str">
        <f t="shared" si="66"/>
        <v>Obesity</v>
      </c>
      <c r="C2078">
        <v>32.67</v>
      </c>
      <c r="D2078">
        <v>5.61</v>
      </c>
      <c r="E2078" t="str">
        <f t="shared" si="67"/>
        <v>Normal</v>
      </c>
      <c r="F2078" t="s">
        <v>2381</v>
      </c>
      <c r="G2078" t="s">
        <v>2380</v>
      </c>
      <c r="H2078" t="s">
        <v>2380</v>
      </c>
      <c r="I2078">
        <v>1</v>
      </c>
      <c r="J2078" t="s">
        <v>2380</v>
      </c>
    </row>
    <row r="2079" spans="1:10" x14ac:dyDescent="0.35">
      <c r="A2079" t="s">
        <v>288</v>
      </c>
      <c r="B2079" t="str">
        <f t="shared" si="66"/>
        <v>Obesity</v>
      </c>
      <c r="C2079">
        <v>30.5</v>
      </c>
      <c r="D2079">
        <v>5.88</v>
      </c>
      <c r="E2079" t="str">
        <f t="shared" si="67"/>
        <v>Prediabetes</v>
      </c>
      <c r="F2079" t="s">
        <v>2381</v>
      </c>
      <c r="G2079" t="s">
        <v>2380</v>
      </c>
      <c r="H2079" t="s">
        <v>2380</v>
      </c>
      <c r="I2079">
        <v>1</v>
      </c>
      <c r="J2079" t="s">
        <v>2380</v>
      </c>
    </row>
    <row r="2080" spans="1:10" x14ac:dyDescent="0.35">
      <c r="A2080" t="s">
        <v>287</v>
      </c>
      <c r="B2080" t="str">
        <f t="shared" si="66"/>
        <v>Normal Weight</v>
      </c>
      <c r="C2080">
        <v>23.1</v>
      </c>
      <c r="D2080">
        <v>5.92</v>
      </c>
      <c r="E2080" t="str">
        <f t="shared" si="67"/>
        <v>Prediabetes</v>
      </c>
      <c r="F2080" t="s">
        <v>2381</v>
      </c>
      <c r="G2080" t="s">
        <v>2380</v>
      </c>
      <c r="H2080" t="s">
        <v>2380</v>
      </c>
      <c r="I2080">
        <v>1</v>
      </c>
      <c r="J2080" t="s">
        <v>2380</v>
      </c>
    </row>
    <row r="2081" spans="1:10" x14ac:dyDescent="0.35">
      <c r="A2081" t="s">
        <v>286</v>
      </c>
      <c r="B2081" t="str">
        <f t="shared" si="66"/>
        <v>Obesity</v>
      </c>
      <c r="C2081">
        <v>39.49</v>
      </c>
      <c r="D2081">
        <v>4.8099999999999996</v>
      </c>
      <c r="E2081" t="str">
        <f t="shared" si="67"/>
        <v>Normal</v>
      </c>
      <c r="F2081" t="s">
        <v>2380</v>
      </c>
      <c r="G2081" t="s">
        <v>2380</v>
      </c>
      <c r="H2081" t="s">
        <v>2380</v>
      </c>
      <c r="I2081">
        <v>1</v>
      </c>
      <c r="J2081" t="s">
        <v>2380</v>
      </c>
    </row>
    <row r="2082" spans="1:10" x14ac:dyDescent="0.35">
      <c r="A2082" t="s">
        <v>285</v>
      </c>
      <c r="B2082" t="str">
        <f t="shared" si="66"/>
        <v>Obesity</v>
      </c>
      <c r="C2082">
        <v>33.99</v>
      </c>
      <c r="D2082">
        <v>4.55</v>
      </c>
      <c r="E2082" t="str">
        <f t="shared" si="67"/>
        <v>Normal</v>
      </c>
      <c r="F2082" t="s">
        <v>2380</v>
      </c>
      <c r="G2082" t="s">
        <v>2380</v>
      </c>
      <c r="H2082" t="s">
        <v>2380</v>
      </c>
      <c r="I2082">
        <v>1</v>
      </c>
      <c r="J2082" t="s">
        <v>2380</v>
      </c>
    </row>
    <row r="2083" spans="1:10" x14ac:dyDescent="0.35">
      <c r="A2083" t="s">
        <v>284</v>
      </c>
      <c r="B2083" t="str">
        <f t="shared" si="66"/>
        <v>Overweight</v>
      </c>
      <c r="C2083">
        <v>27.72</v>
      </c>
      <c r="D2083">
        <v>6.43</v>
      </c>
      <c r="E2083" t="str">
        <f t="shared" si="67"/>
        <v>Prediabetes</v>
      </c>
      <c r="F2083" t="s">
        <v>2380</v>
      </c>
      <c r="G2083" t="s">
        <v>2380</v>
      </c>
      <c r="H2083" t="s">
        <v>2380</v>
      </c>
      <c r="I2083">
        <v>1</v>
      </c>
      <c r="J2083" t="s">
        <v>2380</v>
      </c>
    </row>
    <row r="2084" spans="1:10" x14ac:dyDescent="0.35">
      <c r="A2084" t="s">
        <v>283</v>
      </c>
      <c r="B2084" t="str">
        <f t="shared" si="66"/>
        <v>Obesity</v>
      </c>
      <c r="C2084">
        <v>30.59</v>
      </c>
      <c r="D2084">
        <v>11.62</v>
      </c>
      <c r="E2084" t="str">
        <f t="shared" si="67"/>
        <v>Diabetes</v>
      </c>
      <c r="F2084" t="s">
        <v>2380</v>
      </c>
      <c r="G2084" t="s">
        <v>2380</v>
      </c>
      <c r="H2084" t="s">
        <v>2380</v>
      </c>
      <c r="I2084">
        <v>0</v>
      </c>
      <c r="J2084" t="s">
        <v>2380</v>
      </c>
    </row>
    <row r="2085" spans="1:10" x14ac:dyDescent="0.35">
      <c r="A2085" t="s">
        <v>282</v>
      </c>
      <c r="B2085" t="str">
        <f t="shared" si="66"/>
        <v>Normal Weight</v>
      </c>
      <c r="C2085">
        <v>22.6</v>
      </c>
      <c r="D2085">
        <v>6.04</v>
      </c>
      <c r="E2085" t="str">
        <f t="shared" si="67"/>
        <v>Prediabetes</v>
      </c>
      <c r="F2085" t="s">
        <v>2380</v>
      </c>
      <c r="G2085" t="s">
        <v>2380</v>
      </c>
      <c r="H2085" t="s">
        <v>2380</v>
      </c>
      <c r="I2085">
        <v>1</v>
      </c>
      <c r="J2085" t="s">
        <v>2380</v>
      </c>
    </row>
    <row r="2086" spans="1:10" x14ac:dyDescent="0.35">
      <c r="A2086" t="s">
        <v>281</v>
      </c>
      <c r="B2086" t="str">
        <f t="shared" si="66"/>
        <v>Overweight</v>
      </c>
      <c r="C2086">
        <v>28.785</v>
      </c>
      <c r="D2086">
        <v>8.82</v>
      </c>
      <c r="E2086" t="str">
        <f t="shared" si="67"/>
        <v>Diabetes</v>
      </c>
      <c r="F2086" t="s">
        <v>2380</v>
      </c>
      <c r="G2086" t="s">
        <v>2380</v>
      </c>
      <c r="H2086" t="s">
        <v>2380</v>
      </c>
      <c r="I2086">
        <v>0</v>
      </c>
      <c r="J2086" t="s">
        <v>2380</v>
      </c>
    </row>
    <row r="2087" spans="1:10" x14ac:dyDescent="0.35">
      <c r="A2087" t="s">
        <v>280</v>
      </c>
      <c r="B2087" t="str">
        <f t="shared" si="66"/>
        <v>Obesity</v>
      </c>
      <c r="C2087">
        <v>50.38</v>
      </c>
      <c r="D2087">
        <v>5.8</v>
      </c>
      <c r="E2087" t="str">
        <f t="shared" si="67"/>
        <v>Prediabetes</v>
      </c>
      <c r="F2087" t="s">
        <v>2380</v>
      </c>
      <c r="G2087" t="s">
        <v>2380</v>
      </c>
      <c r="H2087" t="s">
        <v>2380</v>
      </c>
      <c r="I2087">
        <v>0</v>
      </c>
      <c r="J2087" t="s">
        <v>2380</v>
      </c>
    </row>
    <row r="2088" spans="1:10" x14ac:dyDescent="0.35">
      <c r="A2088" t="s">
        <v>279</v>
      </c>
      <c r="B2088" t="str">
        <f t="shared" si="66"/>
        <v>Obesity</v>
      </c>
      <c r="C2088">
        <v>35.200000000000003</v>
      </c>
      <c r="D2088">
        <v>4.28</v>
      </c>
      <c r="E2088" t="str">
        <f t="shared" si="67"/>
        <v>Normal</v>
      </c>
      <c r="F2088" t="s">
        <v>2380</v>
      </c>
      <c r="G2088" t="s">
        <v>2380</v>
      </c>
      <c r="H2088" t="s">
        <v>2380</v>
      </c>
      <c r="I2088">
        <v>0</v>
      </c>
      <c r="J2088" t="s">
        <v>2380</v>
      </c>
    </row>
    <row r="2089" spans="1:10" x14ac:dyDescent="0.35">
      <c r="A2089" t="s">
        <v>278</v>
      </c>
      <c r="B2089" t="str">
        <f t="shared" si="66"/>
        <v>Obesity</v>
      </c>
      <c r="C2089">
        <v>35.72</v>
      </c>
      <c r="D2089">
        <v>5.5</v>
      </c>
      <c r="E2089" t="str">
        <f t="shared" si="67"/>
        <v>Normal</v>
      </c>
      <c r="F2089" t="s">
        <v>2381</v>
      </c>
      <c r="G2089" t="s">
        <v>2380</v>
      </c>
      <c r="H2089" t="s">
        <v>2380</v>
      </c>
      <c r="I2089">
        <v>0</v>
      </c>
      <c r="J2089" t="s">
        <v>2380</v>
      </c>
    </row>
    <row r="2090" spans="1:10" x14ac:dyDescent="0.35">
      <c r="A2090" t="s">
        <v>277</v>
      </c>
      <c r="B2090" t="str">
        <f t="shared" si="66"/>
        <v>Normal Weight</v>
      </c>
      <c r="C2090">
        <v>24.51</v>
      </c>
      <c r="D2090">
        <v>4.6900000000000004</v>
      </c>
      <c r="E2090" t="str">
        <f t="shared" si="67"/>
        <v>Normal</v>
      </c>
      <c r="F2090" t="s">
        <v>2380</v>
      </c>
      <c r="G2090" t="s">
        <v>2380</v>
      </c>
      <c r="H2090" t="s">
        <v>2380</v>
      </c>
      <c r="I2090">
        <v>0</v>
      </c>
      <c r="J2090" t="s">
        <v>2380</v>
      </c>
    </row>
    <row r="2091" spans="1:10" x14ac:dyDescent="0.35">
      <c r="A2091" t="s">
        <v>275</v>
      </c>
      <c r="B2091" t="str">
        <f t="shared" si="66"/>
        <v>Normal Weight</v>
      </c>
      <c r="C2091">
        <v>23.844999999999999</v>
      </c>
      <c r="D2091">
        <v>4.43</v>
      </c>
      <c r="E2091" t="str">
        <f t="shared" si="67"/>
        <v>Normal</v>
      </c>
      <c r="F2091" t="s">
        <v>2380</v>
      </c>
      <c r="G2091" t="s">
        <v>2380</v>
      </c>
      <c r="H2091" t="s">
        <v>2380</v>
      </c>
      <c r="I2091">
        <v>0</v>
      </c>
      <c r="J2091" t="s">
        <v>2380</v>
      </c>
    </row>
    <row r="2092" spans="1:10" x14ac:dyDescent="0.35">
      <c r="A2092" t="s">
        <v>274</v>
      </c>
      <c r="B2092" t="str">
        <f t="shared" si="66"/>
        <v>Underweight</v>
      </c>
      <c r="C2092">
        <v>15.68</v>
      </c>
      <c r="D2092">
        <v>6.16</v>
      </c>
      <c r="E2092" t="str">
        <f t="shared" si="67"/>
        <v>Prediabetes</v>
      </c>
      <c r="F2092" t="s">
        <v>2381</v>
      </c>
      <c r="G2092" t="s">
        <v>2380</v>
      </c>
      <c r="H2092" t="s">
        <v>2380</v>
      </c>
      <c r="I2092">
        <v>1</v>
      </c>
      <c r="J2092" t="s">
        <v>2380</v>
      </c>
    </row>
    <row r="2093" spans="1:10" x14ac:dyDescent="0.35">
      <c r="A2093" t="s">
        <v>273</v>
      </c>
      <c r="B2093" t="str">
        <f t="shared" si="66"/>
        <v>Obesity</v>
      </c>
      <c r="C2093">
        <v>32.395000000000003</v>
      </c>
      <c r="D2093">
        <v>6.66</v>
      </c>
      <c r="E2093" t="str">
        <f t="shared" si="67"/>
        <v>Diabetes</v>
      </c>
      <c r="F2093" t="s">
        <v>2380</v>
      </c>
      <c r="G2093" t="s">
        <v>2380</v>
      </c>
      <c r="H2093" t="s">
        <v>2380</v>
      </c>
      <c r="I2093">
        <v>0</v>
      </c>
      <c r="J2093" t="s">
        <v>2380</v>
      </c>
    </row>
    <row r="2094" spans="1:10" x14ac:dyDescent="0.35">
      <c r="A2094" t="s">
        <v>272</v>
      </c>
      <c r="B2094" t="str">
        <f t="shared" si="66"/>
        <v>Normal Weight</v>
      </c>
      <c r="C2094">
        <v>23.655000000000001</v>
      </c>
      <c r="D2094">
        <v>5.92</v>
      </c>
      <c r="E2094" t="str">
        <f t="shared" si="67"/>
        <v>Prediabetes</v>
      </c>
      <c r="F2094" t="s">
        <v>2380</v>
      </c>
      <c r="G2094" t="s">
        <v>2380</v>
      </c>
      <c r="H2094" t="s">
        <v>2380</v>
      </c>
      <c r="I2094">
        <v>1</v>
      </c>
      <c r="J2094" t="s">
        <v>2380</v>
      </c>
    </row>
    <row r="2095" spans="1:10" x14ac:dyDescent="0.35">
      <c r="A2095" t="s">
        <v>271</v>
      </c>
      <c r="B2095" t="str">
        <f t="shared" si="66"/>
        <v>Overweight</v>
      </c>
      <c r="C2095">
        <v>28.4</v>
      </c>
      <c r="D2095">
        <v>5.97</v>
      </c>
      <c r="E2095" t="str">
        <f t="shared" si="67"/>
        <v>Prediabetes</v>
      </c>
      <c r="F2095" t="s">
        <v>2380</v>
      </c>
      <c r="G2095" t="s">
        <v>2380</v>
      </c>
      <c r="H2095" t="s">
        <v>2382</v>
      </c>
      <c r="I2095">
        <v>1</v>
      </c>
      <c r="J2095" t="s">
        <v>2380</v>
      </c>
    </row>
    <row r="2096" spans="1:10" x14ac:dyDescent="0.35">
      <c r="A2096" t="s">
        <v>270</v>
      </c>
      <c r="B2096" t="str">
        <f t="shared" si="66"/>
        <v>Obesity</v>
      </c>
      <c r="C2096">
        <v>35.42</v>
      </c>
      <c r="D2096">
        <v>4.6399999999999997</v>
      </c>
      <c r="E2096" t="str">
        <f t="shared" si="67"/>
        <v>Normal</v>
      </c>
      <c r="F2096" t="s">
        <v>2381</v>
      </c>
      <c r="G2096" t="s">
        <v>2380</v>
      </c>
      <c r="H2096" t="s">
        <v>2380</v>
      </c>
      <c r="I2096">
        <v>0</v>
      </c>
      <c r="J2096" t="s">
        <v>2380</v>
      </c>
    </row>
    <row r="2097" spans="1:10" x14ac:dyDescent="0.35">
      <c r="A2097" t="s">
        <v>269</v>
      </c>
      <c r="B2097" t="str">
        <f t="shared" si="66"/>
        <v>Overweight</v>
      </c>
      <c r="C2097">
        <v>26.18</v>
      </c>
      <c r="D2097">
        <v>6.12</v>
      </c>
      <c r="E2097" t="str">
        <f t="shared" si="67"/>
        <v>Prediabetes</v>
      </c>
      <c r="F2097" t="s">
        <v>2380</v>
      </c>
      <c r="G2097" t="s">
        <v>2381</v>
      </c>
      <c r="H2097" t="s">
        <v>2380</v>
      </c>
      <c r="I2097">
        <v>1</v>
      </c>
      <c r="J2097" t="s">
        <v>2380</v>
      </c>
    </row>
    <row r="2098" spans="1:10" x14ac:dyDescent="0.35">
      <c r="A2098" t="s">
        <v>268</v>
      </c>
      <c r="B2098" t="str">
        <f t="shared" si="66"/>
        <v>Normal Weight</v>
      </c>
      <c r="C2098">
        <v>20.8</v>
      </c>
      <c r="D2098">
        <v>4.87</v>
      </c>
      <c r="E2098" t="str">
        <f t="shared" si="67"/>
        <v>Normal</v>
      </c>
      <c r="F2098" t="s">
        <v>2381</v>
      </c>
      <c r="G2098" t="s">
        <v>2380</v>
      </c>
      <c r="H2098" t="s">
        <v>2380</v>
      </c>
      <c r="I2098">
        <v>0</v>
      </c>
      <c r="J2098" t="s">
        <v>2380</v>
      </c>
    </row>
    <row r="2099" spans="1:10" x14ac:dyDescent="0.35">
      <c r="A2099" t="s">
        <v>267</v>
      </c>
      <c r="B2099" t="str">
        <f t="shared" si="66"/>
        <v>Underweight</v>
      </c>
      <c r="C2099">
        <v>15.82</v>
      </c>
      <c r="D2099">
        <v>4.5999999999999996</v>
      </c>
      <c r="E2099" t="str">
        <f t="shared" si="67"/>
        <v>Normal</v>
      </c>
      <c r="F2099" t="s">
        <v>2380</v>
      </c>
      <c r="G2099" t="s">
        <v>2380</v>
      </c>
      <c r="H2099" t="s">
        <v>2380</v>
      </c>
      <c r="I2099">
        <v>0</v>
      </c>
      <c r="J2099" t="s">
        <v>2380</v>
      </c>
    </row>
    <row r="2100" spans="1:10" x14ac:dyDescent="0.35">
      <c r="A2100" t="s">
        <v>266</v>
      </c>
      <c r="B2100" t="str">
        <f t="shared" si="66"/>
        <v>Underweight</v>
      </c>
      <c r="C2100">
        <v>17.670000000000002</v>
      </c>
      <c r="D2100">
        <v>4.78</v>
      </c>
      <c r="E2100" t="str">
        <f t="shared" si="67"/>
        <v>Normal</v>
      </c>
      <c r="F2100" t="s">
        <v>2380</v>
      </c>
      <c r="G2100" t="s">
        <v>2380</v>
      </c>
      <c r="H2100" t="s">
        <v>2380</v>
      </c>
      <c r="I2100">
        <v>0</v>
      </c>
      <c r="J2100" t="s">
        <v>2380</v>
      </c>
    </row>
    <row r="2101" spans="1:10" x14ac:dyDescent="0.35">
      <c r="A2101" t="s">
        <v>265</v>
      </c>
      <c r="B2101" t="str">
        <f t="shared" si="66"/>
        <v>Obesity</v>
      </c>
      <c r="C2101">
        <v>31.92</v>
      </c>
      <c r="D2101">
        <v>11.05</v>
      </c>
      <c r="E2101" t="str">
        <f t="shared" si="67"/>
        <v>Diabetes</v>
      </c>
      <c r="F2101" t="s">
        <v>2380</v>
      </c>
      <c r="G2101" t="s">
        <v>2380</v>
      </c>
      <c r="H2101" t="s">
        <v>2380</v>
      </c>
      <c r="I2101">
        <v>0</v>
      </c>
      <c r="J2101" t="s">
        <v>2380</v>
      </c>
    </row>
    <row r="2102" spans="1:10" x14ac:dyDescent="0.35">
      <c r="A2102" t="s">
        <v>264</v>
      </c>
      <c r="B2102" t="str">
        <f t="shared" si="66"/>
        <v>Overweight</v>
      </c>
      <c r="C2102">
        <v>28.975000000000001</v>
      </c>
      <c r="D2102">
        <v>7.62</v>
      </c>
      <c r="E2102" t="str">
        <f t="shared" si="67"/>
        <v>Diabetes</v>
      </c>
      <c r="F2102" t="s">
        <v>2380</v>
      </c>
      <c r="G2102" t="s">
        <v>2380</v>
      </c>
      <c r="H2102" t="s">
        <v>2380</v>
      </c>
      <c r="I2102">
        <v>0</v>
      </c>
      <c r="J2102" t="s">
        <v>2380</v>
      </c>
    </row>
    <row r="2103" spans="1:10" x14ac:dyDescent="0.35">
      <c r="A2103" t="s">
        <v>263</v>
      </c>
      <c r="B2103" t="str">
        <f t="shared" si="66"/>
        <v>Obesity</v>
      </c>
      <c r="C2103">
        <v>31.73</v>
      </c>
      <c r="D2103">
        <v>4.78</v>
      </c>
      <c r="E2103" t="str">
        <f t="shared" si="67"/>
        <v>Normal</v>
      </c>
      <c r="F2103" t="s">
        <v>2381</v>
      </c>
      <c r="G2103" t="s">
        <v>2381</v>
      </c>
      <c r="H2103" t="s">
        <v>2380</v>
      </c>
      <c r="I2103">
        <v>2</v>
      </c>
      <c r="J2103" t="s">
        <v>2380</v>
      </c>
    </row>
    <row r="2104" spans="1:10" x14ac:dyDescent="0.35">
      <c r="A2104" t="s">
        <v>262</v>
      </c>
      <c r="B2104" t="str">
        <f t="shared" si="66"/>
        <v>Overweight</v>
      </c>
      <c r="C2104">
        <v>28.88</v>
      </c>
      <c r="D2104">
        <v>6.09</v>
      </c>
      <c r="E2104" t="str">
        <f t="shared" si="67"/>
        <v>Prediabetes</v>
      </c>
      <c r="F2104" t="s">
        <v>2381</v>
      </c>
      <c r="G2104" t="s">
        <v>2381</v>
      </c>
      <c r="H2104" t="s">
        <v>2380</v>
      </c>
      <c r="I2104">
        <v>2</v>
      </c>
      <c r="J2104" t="s">
        <v>2380</v>
      </c>
    </row>
    <row r="2105" spans="1:10" x14ac:dyDescent="0.35">
      <c r="A2105" t="s">
        <v>261</v>
      </c>
      <c r="B2105" t="str">
        <f t="shared" si="66"/>
        <v>Overweight</v>
      </c>
      <c r="C2105">
        <v>25.555</v>
      </c>
      <c r="D2105">
        <v>5.1100000000000003</v>
      </c>
      <c r="E2105" t="str">
        <f t="shared" si="67"/>
        <v>Normal</v>
      </c>
      <c r="F2105" t="s">
        <v>2380</v>
      </c>
      <c r="G2105" t="s">
        <v>2380</v>
      </c>
      <c r="H2105" t="s">
        <v>2382</v>
      </c>
      <c r="I2105">
        <v>1</v>
      </c>
      <c r="J2105" t="s">
        <v>2380</v>
      </c>
    </row>
    <row r="2106" spans="1:10" x14ac:dyDescent="0.35">
      <c r="A2106" t="s">
        <v>260</v>
      </c>
      <c r="B2106" t="str">
        <f t="shared" si="66"/>
        <v>Obesity</v>
      </c>
      <c r="C2106">
        <v>37.29</v>
      </c>
      <c r="D2106">
        <v>4.46</v>
      </c>
      <c r="E2106" t="str">
        <f t="shared" si="67"/>
        <v>Normal</v>
      </c>
      <c r="F2106" t="s">
        <v>2380</v>
      </c>
      <c r="G2106" t="s">
        <v>2381</v>
      </c>
      <c r="H2106" t="s">
        <v>2380</v>
      </c>
      <c r="I2106">
        <v>1</v>
      </c>
      <c r="J2106" t="s">
        <v>2380</v>
      </c>
    </row>
    <row r="2107" spans="1:10" x14ac:dyDescent="0.35">
      <c r="A2107" t="s">
        <v>259</v>
      </c>
      <c r="B2107" t="str">
        <f t="shared" si="66"/>
        <v>Obesity</v>
      </c>
      <c r="C2107">
        <v>40.28</v>
      </c>
      <c r="D2107">
        <v>6.11</v>
      </c>
      <c r="E2107" t="str">
        <f t="shared" si="67"/>
        <v>Prediabetes</v>
      </c>
      <c r="F2107" t="s">
        <v>2380</v>
      </c>
      <c r="G2107" t="s">
        <v>2381</v>
      </c>
      <c r="H2107" t="s">
        <v>2380</v>
      </c>
      <c r="I2107">
        <v>1</v>
      </c>
      <c r="J2107" t="s">
        <v>2380</v>
      </c>
    </row>
    <row r="2108" spans="1:10" x14ac:dyDescent="0.35">
      <c r="A2108" t="s">
        <v>258</v>
      </c>
      <c r="B2108" t="str">
        <f t="shared" si="66"/>
        <v>Obesity</v>
      </c>
      <c r="C2108">
        <v>40.185000000000002</v>
      </c>
      <c r="D2108">
        <v>4.66</v>
      </c>
      <c r="E2108" t="str">
        <f t="shared" si="67"/>
        <v>Normal</v>
      </c>
      <c r="F2108" t="s">
        <v>2380</v>
      </c>
      <c r="G2108" t="s">
        <v>2381</v>
      </c>
      <c r="H2108" t="s">
        <v>2380</v>
      </c>
      <c r="I2108">
        <v>1</v>
      </c>
      <c r="J2108" t="s">
        <v>2380</v>
      </c>
    </row>
    <row r="2109" spans="1:10" x14ac:dyDescent="0.35">
      <c r="A2109" t="s">
        <v>257</v>
      </c>
      <c r="B2109" t="str">
        <f t="shared" si="66"/>
        <v>Normal Weight</v>
      </c>
      <c r="C2109">
        <v>23.57</v>
      </c>
      <c r="D2109">
        <v>6.14</v>
      </c>
      <c r="E2109" t="str">
        <f t="shared" si="67"/>
        <v>Prediabetes</v>
      </c>
      <c r="F2109" t="s">
        <v>2380</v>
      </c>
      <c r="G2109" t="s">
        <v>2380</v>
      </c>
      <c r="H2109" t="s">
        <v>2380</v>
      </c>
      <c r="I2109">
        <v>0</v>
      </c>
      <c r="J2109" t="s">
        <v>2380</v>
      </c>
    </row>
    <row r="2110" spans="1:10" x14ac:dyDescent="0.35">
      <c r="A2110" t="s">
        <v>256</v>
      </c>
      <c r="B2110" t="str">
        <f t="shared" si="66"/>
        <v>Obesity</v>
      </c>
      <c r="C2110">
        <v>35.625</v>
      </c>
      <c r="D2110">
        <v>6.21</v>
      </c>
      <c r="E2110" t="str">
        <f t="shared" si="67"/>
        <v>Prediabetes</v>
      </c>
      <c r="F2110" t="s">
        <v>2380</v>
      </c>
      <c r="G2110" t="s">
        <v>2381</v>
      </c>
      <c r="H2110" t="s">
        <v>2380</v>
      </c>
      <c r="I2110">
        <v>1</v>
      </c>
      <c r="J2110" t="s">
        <v>2380</v>
      </c>
    </row>
    <row r="2111" spans="1:10" x14ac:dyDescent="0.35">
      <c r="A2111" t="s">
        <v>255</v>
      </c>
      <c r="B2111" t="str">
        <f t="shared" si="66"/>
        <v>Obesity</v>
      </c>
      <c r="C2111">
        <v>33.155000000000001</v>
      </c>
      <c r="D2111">
        <v>4.5999999999999996</v>
      </c>
      <c r="E2111" t="str">
        <f t="shared" si="67"/>
        <v>Normal</v>
      </c>
      <c r="F2111" t="s">
        <v>2380</v>
      </c>
      <c r="G2111" t="s">
        <v>2381</v>
      </c>
      <c r="H2111" t="s">
        <v>2380</v>
      </c>
      <c r="I2111">
        <v>1</v>
      </c>
      <c r="J2111" t="s">
        <v>2380</v>
      </c>
    </row>
    <row r="2112" spans="1:10" x14ac:dyDescent="0.35">
      <c r="A2112" t="s">
        <v>254</v>
      </c>
      <c r="B2112" t="str">
        <f t="shared" si="66"/>
        <v>Obesity</v>
      </c>
      <c r="C2112">
        <v>31.92</v>
      </c>
      <c r="D2112">
        <v>5.04</v>
      </c>
      <c r="E2112" t="str">
        <f t="shared" si="67"/>
        <v>Normal</v>
      </c>
      <c r="F2112" t="s">
        <v>2380</v>
      </c>
      <c r="G2112" t="s">
        <v>2381</v>
      </c>
      <c r="H2112" t="s">
        <v>2380</v>
      </c>
      <c r="I2112">
        <v>1</v>
      </c>
      <c r="J2112" t="s">
        <v>2380</v>
      </c>
    </row>
    <row r="2113" spans="1:10" x14ac:dyDescent="0.35">
      <c r="A2113" t="s">
        <v>253</v>
      </c>
      <c r="B2113" t="str">
        <f t="shared" si="66"/>
        <v>Obesity</v>
      </c>
      <c r="C2113">
        <v>30.305</v>
      </c>
      <c r="D2113">
        <v>5.08</v>
      </c>
      <c r="E2113" t="str">
        <f t="shared" si="67"/>
        <v>Normal</v>
      </c>
      <c r="F2113" t="s">
        <v>2380</v>
      </c>
      <c r="G2113" t="s">
        <v>2381</v>
      </c>
      <c r="H2113" t="s">
        <v>2380</v>
      </c>
      <c r="I2113">
        <v>1</v>
      </c>
      <c r="J2113" t="s">
        <v>2380</v>
      </c>
    </row>
    <row r="2114" spans="1:10" x14ac:dyDescent="0.35">
      <c r="A2114" t="s">
        <v>252</v>
      </c>
      <c r="B2114" t="str">
        <f t="shared" si="66"/>
        <v>Obesity</v>
      </c>
      <c r="C2114">
        <v>30.114999999999998</v>
      </c>
      <c r="D2114">
        <v>4.38</v>
      </c>
      <c r="E2114" t="str">
        <f t="shared" si="67"/>
        <v>Normal</v>
      </c>
      <c r="F2114" t="s">
        <v>2380</v>
      </c>
      <c r="G2114" t="s">
        <v>2381</v>
      </c>
      <c r="H2114" t="s">
        <v>2380</v>
      </c>
      <c r="I2114">
        <v>1</v>
      </c>
      <c r="J2114" t="s">
        <v>2380</v>
      </c>
    </row>
    <row r="2115" spans="1:10" x14ac:dyDescent="0.35">
      <c r="A2115" t="s">
        <v>251</v>
      </c>
      <c r="B2115" t="str">
        <f t="shared" ref="B2115:B2178" si="68">IF(C2115&lt;18.5,"Underweight",IF(C2115&lt;25,"Normal Weight",IF(C2115&lt;30,"Overweight","Obesity")))</f>
        <v>Normal Weight</v>
      </c>
      <c r="C2115">
        <v>24.09</v>
      </c>
      <c r="D2115">
        <v>4.79</v>
      </c>
      <c r="E2115" t="str">
        <f t="shared" ref="E2115:E2178" si="69">IF(D2115&lt;5.7,"Normal",IF(D2115&lt;6.5,"Prediabetes","Diabetes"))</f>
        <v>Normal</v>
      </c>
      <c r="F2115" t="s">
        <v>2380</v>
      </c>
      <c r="G2115" t="s">
        <v>2381</v>
      </c>
      <c r="H2115" t="s">
        <v>2380</v>
      </c>
      <c r="I2115">
        <v>1</v>
      </c>
      <c r="J2115" t="s">
        <v>2380</v>
      </c>
    </row>
    <row r="2116" spans="1:10" x14ac:dyDescent="0.35">
      <c r="A2116" t="s">
        <v>250</v>
      </c>
      <c r="B2116" t="str">
        <f t="shared" si="68"/>
        <v>Overweight</v>
      </c>
      <c r="C2116">
        <v>28.215</v>
      </c>
      <c r="D2116">
        <v>4.21</v>
      </c>
      <c r="E2116" t="str">
        <f t="shared" si="69"/>
        <v>Normal</v>
      </c>
      <c r="F2116" t="s">
        <v>2380</v>
      </c>
      <c r="G2116" t="s">
        <v>2381</v>
      </c>
      <c r="H2116" t="s">
        <v>2380</v>
      </c>
      <c r="I2116">
        <v>1</v>
      </c>
      <c r="J2116" t="s">
        <v>2380</v>
      </c>
    </row>
    <row r="2117" spans="1:10" x14ac:dyDescent="0.35">
      <c r="A2117" t="s">
        <v>248</v>
      </c>
      <c r="B2117" t="str">
        <f t="shared" si="68"/>
        <v>Overweight</v>
      </c>
      <c r="C2117">
        <v>26.315000000000001</v>
      </c>
      <c r="D2117">
        <v>5.47</v>
      </c>
      <c r="E2117" t="str">
        <f t="shared" si="69"/>
        <v>Normal</v>
      </c>
      <c r="F2117" t="s">
        <v>2380</v>
      </c>
      <c r="G2117" t="s">
        <v>2381</v>
      </c>
      <c r="H2117" t="s">
        <v>2380</v>
      </c>
      <c r="I2117">
        <v>1</v>
      </c>
      <c r="J2117" t="s">
        <v>2380</v>
      </c>
    </row>
    <row r="2118" spans="1:10" x14ac:dyDescent="0.35">
      <c r="A2118" t="s">
        <v>246</v>
      </c>
      <c r="B2118" t="str">
        <f t="shared" si="68"/>
        <v>Overweight</v>
      </c>
      <c r="C2118">
        <v>25.08</v>
      </c>
      <c r="D2118">
        <v>5.09</v>
      </c>
      <c r="E2118" t="str">
        <f t="shared" si="69"/>
        <v>Normal</v>
      </c>
      <c r="F2118" t="s">
        <v>2380</v>
      </c>
      <c r="G2118" t="s">
        <v>2381</v>
      </c>
      <c r="H2118" t="s">
        <v>2380</v>
      </c>
      <c r="I2118">
        <v>1</v>
      </c>
      <c r="J2118" t="s">
        <v>2380</v>
      </c>
    </row>
    <row r="2119" spans="1:10" x14ac:dyDescent="0.35">
      <c r="A2119" t="s">
        <v>245</v>
      </c>
      <c r="B2119" t="str">
        <f t="shared" si="68"/>
        <v>Underweight</v>
      </c>
      <c r="C2119">
        <v>15.41</v>
      </c>
      <c r="D2119">
        <v>5.08</v>
      </c>
      <c r="E2119" t="str">
        <f t="shared" si="69"/>
        <v>Normal</v>
      </c>
      <c r="F2119" t="s">
        <v>2380</v>
      </c>
      <c r="G2119" t="s">
        <v>2380</v>
      </c>
      <c r="H2119" t="s">
        <v>2380</v>
      </c>
      <c r="I2119">
        <v>0</v>
      </c>
      <c r="J2119" t="s">
        <v>2380</v>
      </c>
    </row>
    <row r="2120" spans="1:10" x14ac:dyDescent="0.35">
      <c r="A2120" t="s">
        <v>244</v>
      </c>
      <c r="B2120" t="str">
        <f t="shared" si="68"/>
        <v>Normal Weight</v>
      </c>
      <c r="C2120">
        <v>23.83</v>
      </c>
      <c r="D2120">
        <v>5.68</v>
      </c>
      <c r="E2120" t="str">
        <f t="shared" si="69"/>
        <v>Normal</v>
      </c>
      <c r="F2120" t="s">
        <v>2380</v>
      </c>
      <c r="G2120" t="s">
        <v>2380</v>
      </c>
      <c r="H2120" t="s">
        <v>2380</v>
      </c>
      <c r="I2120">
        <v>0</v>
      </c>
      <c r="J2120" t="s">
        <v>2380</v>
      </c>
    </row>
    <row r="2121" spans="1:10" x14ac:dyDescent="0.35">
      <c r="A2121" t="s">
        <v>243</v>
      </c>
      <c r="B2121" t="str">
        <f t="shared" si="68"/>
        <v>Obesity</v>
      </c>
      <c r="C2121">
        <v>36</v>
      </c>
      <c r="D2121">
        <v>4.66</v>
      </c>
      <c r="E2121" t="str">
        <f t="shared" si="69"/>
        <v>Normal</v>
      </c>
      <c r="F2121" t="s">
        <v>2380</v>
      </c>
      <c r="G2121" t="s">
        <v>2381</v>
      </c>
      <c r="H2121" t="s">
        <v>2380</v>
      </c>
      <c r="I2121">
        <v>1</v>
      </c>
      <c r="J2121" t="s">
        <v>2380</v>
      </c>
    </row>
    <row r="2122" spans="1:10" x14ac:dyDescent="0.35">
      <c r="A2122" t="s">
        <v>242</v>
      </c>
      <c r="B2122" t="str">
        <f t="shared" si="68"/>
        <v>Overweight</v>
      </c>
      <c r="C2122">
        <v>28.82</v>
      </c>
      <c r="D2122">
        <v>5.59</v>
      </c>
      <c r="E2122" t="str">
        <f t="shared" si="69"/>
        <v>Normal</v>
      </c>
      <c r="F2122" t="s">
        <v>2380</v>
      </c>
      <c r="G2122" t="s">
        <v>2381</v>
      </c>
      <c r="H2122" t="s">
        <v>2380</v>
      </c>
      <c r="I2122">
        <v>1</v>
      </c>
      <c r="J2122" t="s">
        <v>2380</v>
      </c>
    </row>
    <row r="2123" spans="1:10" x14ac:dyDescent="0.35">
      <c r="A2123" t="s">
        <v>241</v>
      </c>
      <c r="B2123" t="str">
        <f t="shared" si="68"/>
        <v>Overweight</v>
      </c>
      <c r="C2123">
        <v>28.05</v>
      </c>
      <c r="D2123">
        <v>6.2</v>
      </c>
      <c r="E2123" t="str">
        <f t="shared" si="69"/>
        <v>Prediabetes</v>
      </c>
      <c r="F2123" t="s">
        <v>2380</v>
      </c>
      <c r="G2123" t="s">
        <v>2381</v>
      </c>
      <c r="H2123" t="s">
        <v>2380</v>
      </c>
      <c r="I2123">
        <v>1</v>
      </c>
      <c r="J2123" t="s">
        <v>2380</v>
      </c>
    </row>
    <row r="2124" spans="1:10" x14ac:dyDescent="0.35">
      <c r="A2124" t="s">
        <v>240</v>
      </c>
      <c r="B2124" t="str">
        <f t="shared" si="68"/>
        <v>Overweight</v>
      </c>
      <c r="C2124">
        <v>27.1</v>
      </c>
      <c r="D2124">
        <v>4.45</v>
      </c>
      <c r="E2124" t="str">
        <f t="shared" si="69"/>
        <v>Normal</v>
      </c>
      <c r="F2124" t="s">
        <v>2380</v>
      </c>
      <c r="G2124" t="s">
        <v>2381</v>
      </c>
      <c r="H2124" t="s">
        <v>2380</v>
      </c>
      <c r="I2124">
        <v>1</v>
      </c>
      <c r="J2124" t="s">
        <v>2380</v>
      </c>
    </row>
    <row r="2125" spans="1:10" x14ac:dyDescent="0.35">
      <c r="A2125" t="s">
        <v>239</v>
      </c>
      <c r="B2125" t="str">
        <f t="shared" si="68"/>
        <v>Normal Weight</v>
      </c>
      <c r="C2125">
        <v>24.3</v>
      </c>
      <c r="D2125">
        <v>6.1</v>
      </c>
      <c r="E2125" t="str">
        <f t="shared" si="69"/>
        <v>Prediabetes</v>
      </c>
      <c r="F2125" t="s">
        <v>2381</v>
      </c>
      <c r="G2125" t="s">
        <v>2381</v>
      </c>
      <c r="H2125" t="s">
        <v>2380</v>
      </c>
      <c r="I2125">
        <v>1</v>
      </c>
      <c r="J2125" t="s">
        <v>2380</v>
      </c>
    </row>
    <row r="2126" spans="1:10" x14ac:dyDescent="0.35">
      <c r="A2126" t="s">
        <v>238</v>
      </c>
      <c r="B2126" t="str">
        <f t="shared" si="68"/>
        <v>Obesity</v>
      </c>
      <c r="C2126">
        <v>30.72</v>
      </c>
      <c r="D2126">
        <v>6.06</v>
      </c>
      <c r="E2126" t="str">
        <f t="shared" si="69"/>
        <v>Prediabetes</v>
      </c>
      <c r="F2126" t="s">
        <v>2380</v>
      </c>
      <c r="G2126" t="s">
        <v>2381</v>
      </c>
      <c r="H2126" t="s">
        <v>2380</v>
      </c>
      <c r="I2126">
        <v>1</v>
      </c>
      <c r="J2126" t="s">
        <v>2380</v>
      </c>
    </row>
    <row r="2127" spans="1:10" x14ac:dyDescent="0.35">
      <c r="A2127" t="s">
        <v>237</v>
      </c>
      <c r="B2127" t="str">
        <f t="shared" si="68"/>
        <v>Obesity</v>
      </c>
      <c r="C2127">
        <v>37.43</v>
      </c>
      <c r="D2127">
        <v>4.5599999999999996</v>
      </c>
      <c r="E2127" t="str">
        <f t="shared" si="69"/>
        <v>Normal</v>
      </c>
      <c r="F2127" t="s">
        <v>2380</v>
      </c>
      <c r="G2127" t="s">
        <v>2380</v>
      </c>
      <c r="H2127" t="s">
        <v>2382</v>
      </c>
      <c r="I2127">
        <v>1</v>
      </c>
      <c r="J2127" t="s">
        <v>2380</v>
      </c>
    </row>
    <row r="2128" spans="1:10" x14ac:dyDescent="0.35">
      <c r="A2128" t="s">
        <v>236</v>
      </c>
      <c r="B2128" t="str">
        <f t="shared" si="68"/>
        <v>Overweight</v>
      </c>
      <c r="C2128">
        <v>25.74</v>
      </c>
      <c r="D2128">
        <v>6.41</v>
      </c>
      <c r="E2128" t="str">
        <f t="shared" si="69"/>
        <v>Prediabetes</v>
      </c>
      <c r="F2128" t="s">
        <v>2381</v>
      </c>
      <c r="G2128" t="s">
        <v>2380</v>
      </c>
      <c r="H2128" t="s">
        <v>2382</v>
      </c>
      <c r="I2128">
        <v>1</v>
      </c>
      <c r="J2128" t="s">
        <v>2380</v>
      </c>
    </row>
    <row r="2129" spans="1:10" x14ac:dyDescent="0.35">
      <c r="A2129" t="s">
        <v>235</v>
      </c>
      <c r="B2129" t="str">
        <f t="shared" si="68"/>
        <v>Obesity</v>
      </c>
      <c r="C2129">
        <v>36.575000000000003</v>
      </c>
      <c r="D2129">
        <v>5.57</v>
      </c>
      <c r="E2129" t="str">
        <f t="shared" si="69"/>
        <v>Normal</v>
      </c>
      <c r="F2129" t="s">
        <v>2380</v>
      </c>
      <c r="G2129" t="s">
        <v>2380</v>
      </c>
      <c r="H2129" t="s">
        <v>2382</v>
      </c>
      <c r="I2129">
        <v>1</v>
      </c>
      <c r="J2129" t="s">
        <v>2380</v>
      </c>
    </row>
    <row r="2130" spans="1:10" x14ac:dyDescent="0.35">
      <c r="A2130" t="s">
        <v>234</v>
      </c>
      <c r="B2130" t="str">
        <f t="shared" si="68"/>
        <v>Obesity</v>
      </c>
      <c r="C2130">
        <v>35.15</v>
      </c>
      <c r="D2130">
        <v>5.47</v>
      </c>
      <c r="E2130" t="str">
        <f t="shared" si="69"/>
        <v>Normal</v>
      </c>
      <c r="F2130" t="s">
        <v>2380</v>
      </c>
      <c r="G2130" t="s">
        <v>2380</v>
      </c>
      <c r="H2130" t="s">
        <v>2382</v>
      </c>
      <c r="I2130">
        <v>1</v>
      </c>
      <c r="J2130" t="s">
        <v>2380</v>
      </c>
    </row>
    <row r="2131" spans="1:10" x14ac:dyDescent="0.35">
      <c r="A2131" t="s">
        <v>233</v>
      </c>
      <c r="B2131" t="str">
        <f t="shared" si="68"/>
        <v>Obesity</v>
      </c>
      <c r="C2131">
        <v>32.11</v>
      </c>
      <c r="D2131">
        <v>4.43</v>
      </c>
      <c r="E2131" t="str">
        <f t="shared" si="69"/>
        <v>Normal</v>
      </c>
      <c r="F2131" t="s">
        <v>2380</v>
      </c>
      <c r="G2131" t="s">
        <v>2380</v>
      </c>
      <c r="H2131" t="s">
        <v>2382</v>
      </c>
      <c r="I2131">
        <v>1</v>
      </c>
      <c r="J2131" t="s">
        <v>2380</v>
      </c>
    </row>
    <row r="2132" spans="1:10" x14ac:dyDescent="0.35">
      <c r="A2132" t="s">
        <v>232</v>
      </c>
      <c r="B2132" t="str">
        <f t="shared" si="68"/>
        <v>Obesity</v>
      </c>
      <c r="C2132">
        <v>30.495000000000001</v>
      </c>
      <c r="D2132">
        <v>4.95</v>
      </c>
      <c r="E2132" t="str">
        <f t="shared" si="69"/>
        <v>Normal</v>
      </c>
      <c r="F2132" t="s">
        <v>2380</v>
      </c>
      <c r="G2132" t="s">
        <v>2380</v>
      </c>
      <c r="H2132" t="s">
        <v>2382</v>
      </c>
      <c r="I2132">
        <v>1</v>
      </c>
      <c r="J2132" t="s">
        <v>2380</v>
      </c>
    </row>
    <row r="2133" spans="1:10" x14ac:dyDescent="0.35">
      <c r="A2133" t="s">
        <v>231</v>
      </c>
      <c r="B2133" t="str">
        <f t="shared" si="68"/>
        <v>Overweight</v>
      </c>
      <c r="C2133">
        <v>29.24</v>
      </c>
      <c r="D2133">
        <v>4.04</v>
      </c>
      <c r="E2133" t="str">
        <f t="shared" si="69"/>
        <v>Normal</v>
      </c>
      <c r="F2133" t="s">
        <v>2380</v>
      </c>
      <c r="G2133" t="s">
        <v>2381</v>
      </c>
      <c r="H2133" t="s">
        <v>2380</v>
      </c>
      <c r="I2133">
        <v>1</v>
      </c>
      <c r="J2133" t="s">
        <v>2380</v>
      </c>
    </row>
    <row r="2134" spans="1:10" x14ac:dyDescent="0.35">
      <c r="A2134" t="s">
        <v>230</v>
      </c>
      <c r="B2134" t="str">
        <f t="shared" si="68"/>
        <v>Normal Weight</v>
      </c>
      <c r="C2134">
        <v>22.515000000000001</v>
      </c>
      <c r="D2134">
        <v>5.93</v>
      </c>
      <c r="E2134" t="str">
        <f t="shared" si="69"/>
        <v>Prediabetes</v>
      </c>
      <c r="F2134" t="s">
        <v>2380</v>
      </c>
      <c r="G2134" t="s">
        <v>2380</v>
      </c>
      <c r="H2134" t="s">
        <v>2382</v>
      </c>
      <c r="I2134">
        <v>1</v>
      </c>
      <c r="J2134" t="s">
        <v>2380</v>
      </c>
    </row>
    <row r="2135" spans="1:10" x14ac:dyDescent="0.35">
      <c r="A2135" t="s">
        <v>229</v>
      </c>
      <c r="B2135" t="str">
        <f t="shared" si="68"/>
        <v>Underweight</v>
      </c>
      <c r="C2135">
        <v>15.65</v>
      </c>
      <c r="D2135">
        <v>4.2300000000000004</v>
      </c>
      <c r="E2135" t="str">
        <f t="shared" si="69"/>
        <v>Normal</v>
      </c>
      <c r="F2135" t="s">
        <v>2380</v>
      </c>
      <c r="G2135" t="s">
        <v>2380</v>
      </c>
      <c r="H2135" t="s">
        <v>2380</v>
      </c>
      <c r="I2135">
        <v>0</v>
      </c>
      <c r="J2135" t="s">
        <v>2380</v>
      </c>
    </row>
    <row r="2136" spans="1:10" x14ac:dyDescent="0.35">
      <c r="A2136" t="s">
        <v>228</v>
      </c>
      <c r="B2136" t="str">
        <f t="shared" si="68"/>
        <v>Overweight</v>
      </c>
      <c r="C2136">
        <v>27.36</v>
      </c>
      <c r="D2136">
        <v>5.59</v>
      </c>
      <c r="E2136" t="str">
        <f t="shared" si="69"/>
        <v>Normal</v>
      </c>
      <c r="F2136" t="s">
        <v>2381</v>
      </c>
      <c r="G2136" t="s">
        <v>2380</v>
      </c>
      <c r="H2136" t="s">
        <v>2380</v>
      </c>
      <c r="I2136">
        <v>0</v>
      </c>
      <c r="J2136" t="s">
        <v>2380</v>
      </c>
    </row>
    <row r="2137" spans="1:10" x14ac:dyDescent="0.35">
      <c r="A2137" t="s">
        <v>227</v>
      </c>
      <c r="B2137" t="str">
        <f t="shared" si="68"/>
        <v>Normal Weight</v>
      </c>
      <c r="C2137">
        <v>22.3</v>
      </c>
      <c r="D2137">
        <v>4.8899999999999997</v>
      </c>
      <c r="E2137" t="str">
        <f t="shared" si="69"/>
        <v>Normal</v>
      </c>
      <c r="F2137" t="s">
        <v>2381</v>
      </c>
      <c r="G2137" t="s">
        <v>2380</v>
      </c>
      <c r="H2137" t="s">
        <v>2380</v>
      </c>
      <c r="I2137">
        <v>0</v>
      </c>
      <c r="J2137" t="s">
        <v>2380</v>
      </c>
    </row>
    <row r="2138" spans="1:10" x14ac:dyDescent="0.35">
      <c r="A2138" t="s">
        <v>226</v>
      </c>
      <c r="B2138" t="str">
        <f t="shared" si="68"/>
        <v>Overweight</v>
      </c>
      <c r="C2138">
        <v>26.03</v>
      </c>
      <c r="D2138">
        <v>5.81</v>
      </c>
      <c r="E2138" t="str">
        <f t="shared" si="69"/>
        <v>Prediabetes</v>
      </c>
      <c r="F2138" t="s">
        <v>2381</v>
      </c>
      <c r="G2138" t="s">
        <v>2380</v>
      </c>
      <c r="H2138" t="s">
        <v>2380</v>
      </c>
      <c r="I2138">
        <v>0</v>
      </c>
      <c r="J2138" t="s">
        <v>2380</v>
      </c>
    </row>
    <row r="2139" spans="1:10" x14ac:dyDescent="0.35">
      <c r="A2139" t="s">
        <v>225</v>
      </c>
      <c r="B2139" t="str">
        <f t="shared" si="68"/>
        <v>Overweight</v>
      </c>
      <c r="C2139">
        <v>27.74</v>
      </c>
      <c r="D2139">
        <v>4.29</v>
      </c>
      <c r="E2139" t="str">
        <f t="shared" si="69"/>
        <v>Normal</v>
      </c>
      <c r="F2139" t="s">
        <v>2380</v>
      </c>
      <c r="G2139" t="s">
        <v>2381</v>
      </c>
      <c r="H2139" t="s">
        <v>2380</v>
      </c>
      <c r="I2139">
        <v>1</v>
      </c>
      <c r="J2139" t="s">
        <v>2380</v>
      </c>
    </row>
    <row r="2140" spans="1:10" x14ac:dyDescent="0.35">
      <c r="A2140" t="s">
        <v>224</v>
      </c>
      <c r="B2140" t="str">
        <f t="shared" si="68"/>
        <v>Obesity</v>
      </c>
      <c r="C2140">
        <v>32.11</v>
      </c>
      <c r="D2140">
        <v>4.03</v>
      </c>
      <c r="E2140" t="str">
        <f t="shared" si="69"/>
        <v>Normal</v>
      </c>
      <c r="F2140" t="s">
        <v>2381</v>
      </c>
      <c r="G2140" t="s">
        <v>2381</v>
      </c>
      <c r="H2140" t="s">
        <v>2380</v>
      </c>
      <c r="I2140">
        <v>2</v>
      </c>
      <c r="J2140" t="s">
        <v>2380</v>
      </c>
    </row>
    <row r="2141" spans="1:10" x14ac:dyDescent="0.35">
      <c r="A2141" t="s">
        <v>223</v>
      </c>
      <c r="B2141" t="str">
        <f t="shared" si="68"/>
        <v>Overweight</v>
      </c>
      <c r="C2141">
        <v>25.175000000000001</v>
      </c>
      <c r="D2141">
        <v>6.29</v>
      </c>
      <c r="E2141" t="str">
        <f t="shared" si="69"/>
        <v>Prediabetes</v>
      </c>
      <c r="F2141" t="s">
        <v>2381</v>
      </c>
      <c r="G2141" t="s">
        <v>2381</v>
      </c>
      <c r="H2141" t="s">
        <v>2380</v>
      </c>
      <c r="I2141">
        <v>2</v>
      </c>
      <c r="J2141" t="s">
        <v>2380</v>
      </c>
    </row>
    <row r="2142" spans="1:10" x14ac:dyDescent="0.35">
      <c r="A2142" t="s">
        <v>222</v>
      </c>
      <c r="B2142" t="str">
        <f t="shared" si="68"/>
        <v>Obesity</v>
      </c>
      <c r="C2142">
        <v>39.49</v>
      </c>
      <c r="D2142">
        <v>4.4800000000000004</v>
      </c>
      <c r="E2142" t="str">
        <f t="shared" si="69"/>
        <v>Normal</v>
      </c>
      <c r="F2142" t="s">
        <v>2381</v>
      </c>
      <c r="G2142" t="s">
        <v>2380</v>
      </c>
      <c r="H2142" t="s">
        <v>2380</v>
      </c>
      <c r="I2142">
        <v>0</v>
      </c>
      <c r="J2142" t="s">
        <v>2380</v>
      </c>
    </row>
    <row r="2143" spans="1:10" x14ac:dyDescent="0.35">
      <c r="A2143" t="s">
        <v>221</v>
      </c>
      <c r="B2143" t="str">
        <f t="shared" si="68"/>
        <v>Obesity</v>
      </c>
      <c r="C2143">
        <v>34.869999999999997</v>
      </c>
      <c r="D2143">
        <v>5.51</v>
      </c>
      <c r="E2143" t="str">
        <f t="shared" si="69"/>
        <v>Normal</v>
      </c>
      <c r="F2143" t="s">
        <v>2381</v>
      </c>
      <c r="G2143" t="s">
        <v>2380</v>
      </c>
      <c r="H2143" t="s">
        <v>2380</v>
      </c>
      <c r="I2143">
        <v>0</v>
      </c>
      <c r="J2143" t="s">
        <v>2380</v>
      </c>
    </row>
    <row r="2144" spans="1:10" x14ac:dyDescent="0.35">
      <c r="A2144" t="s">
        <v>220</v>
      </c>
      <c r="B2144" t="str">
        <f t="shared" si="68"/>
        <v>Obesity</v>
      </c>
      <c r="C2144">
        <v>34.6</v>
      </c>
      <c r="D2144">
        <v>4.5</v>
      </c>
      <c r="E2144" t="str">
        <f t="shared" si="69"/>
        <v>Normal</v>
      </c>
      <c r="F2144" t="s">
        <v>2381</v>
      </c>
      <c r="G2144" t="s">
        <v>2380</v>
      </c>
      <c r="H2144" t="s">
        <v>2380</v>
      </c>
      <c r="I2144">
        <v>0</v>
      </c>
      <c r="J2144" t="s">
        <v>2380</v>
      </c>
    </row>
    <row r="2145" spans="1:10" x14ac:dyDescent="0.35">
      <c r="A2145" t="s">
        <v>219</v>
      </c>
      <c r="B2145" t="str">
        <f t="shared" si="68"/>
        <v>Overweight</v>
      </c>
      <c r="C2145">
        <v>25.8</v>
      </c>
      <c r="D2145">
        <v>6.29</v>
      </c>
      <c r="E2145" t="str">
        <f t="shared" si="69"/>
        <v>Prediabetes</v>
      </c>
      <c r="F2145" t="s">
        <v>2381</v>
      </c>
      <c r="G2145" t="s">
        <v>2380</v>
      </c>
      <c r="H2145" t="s">
        <v>2380</v>
      </c>
      <c r="I2145">
        <v>0</v>
      </c>
      <c r="J2145" t="s">
        <v>2380</v>
      </c>
    </row>
    <row r="2146" spans="1:10" x14ac:dyDescent="0.35">
      <c r="A2146" t="s">
        <v>218</v>
      </c>
      <c r="B2146" t="str">
        <f t="shared" si="68"/>
        <v>Obesity</v>
      </c>
      <c r="C2146">
        <v>35.86</v>
      </c>
      <c r="D2146">
        <v>4.33</v>
      </c>
      <c r="E2146" t="str">
        <f t="shared" si="69"/>
        <v>Normal</v>
      </c>
      <c r="F2146" t="s">
        <v>2380</v>
      </c>
      <c r="G2146" t="s">
        <v>2380</v>
      </c>
      <c r="H2146" t="s">
        <v>2380</v>
      </c>
      <c r="I2146">
        <v>1</v>
      </c>
      <c r="J2146" t="s">
        <v>2380</v>
      </c>
    </row>
    <row r="2147" spans="1:10" x14ac:dyDescent="0.35">
      <c r="A2147" t="s">
        <v>217</v>
      </c>
      <c r="B2147" t="str">
        <f t="shared" si="68"/>
        <v>Obesity</v>
      </c>
      <c r="C2147">
        <v>40.47</v>
      </c>
      <c r="D2147">
        <v>11.15</v>
      </c>
      <c r="E2147" t="str">
        <f t="shared" si="69"/>
        <v>Diabetes</v>
      </c>
      <c r="F2147" t="s">
        <v>2380</v>
      </c>
      <c r="G2147" t="s">
        <v>2380</v>
      </c>
      <c r="H2147" t="s">
        <v>2380</v>
      </c>
      <c r="I2147">
        <v>0</v>
      </c>
      <c r="J2147" t="s">
        <v>2380</v>
      </c>
    </row>
    <row r="2148" spans="1:10" x14ac:dyDescent="0.35">
      <c r="A2148" t="s">
        <v>216</v>
      </c>
      <c r="B2148" t="str">
        <f t="shared" si="68"/>
        <v>Obesity</v>
      </c>
      <c r="C2148">
        <v>32.01</v>
      </c>
      <c r="D2148">
        <v>6.45</v>
      </c>
      <c r="E2148" t="str">
        <f t="shared" si="69"/>
        <v>Prediabetes</v>
      </c>
      <c r="F2148" t="s">
        <v>2380</v>
      </c>
      <c r="G2148" t="s">
        <v>2380</v>
      </c>
      <c r="H2148" t="s">
        <v>2380</v>
      </c>
      <c r="I2148">
        <v>1</v>
      </c>
      <c r="J2148" t="s">
        <v>2380</v>
      </c>
    </row>
    <row r="2149" spans="1:10" x14ac:dyDescent="0.35">
      <c r="A2149" t="s">
        <v>215</v>
      </c>
      <c r="B2149" t="str">
        <f t="shared" si="68"/>
        <v>Obesity</v>
      </c>
      <c r="C2149">
        <v>33</v>
      </c>
      <c r="D2149">
        <v>9.27</v>
      </c>
      <c r="E2149" t="str">
        <f t="shared" si="69"/>
        <v>Diabetes</v>
      </c>
      <c r="F2149" t="s">
        <v>2380</v>
      </c>
      <c r="G2149" t="s">
        <v>2380</v>
      </c>
      <c r="H2149" t="s">
        <v>2380</v>
      </c>
      <c r="I2149">
        <v>0</v>
      </c>
      <c r="J2149" t="s">
        <v>2380</v>
      </c>
    </row>
    <row r="2150" spans="1:10" x14ac:dyDescent="0.35">
      <c r="A2150" t="s">
        <v>214</v>
      </c>
      <c r="B2150" t="str">
        <f t="shared" si="68"/>
        <v>Overweight</v>
      </c>
      <c r="C2150">
        <v>29.3</v>
      </c>
      <c r="D2150">
        <v>6.15</v>
      </c>
      <c r="E2150" t="str">
        <f t="shared" si="69"/>
        <v>Prediabetes</v>
      </c>
      <c r="F2150" t="s">
        <v>2380</v>
      </c>
      <c r="G2150" t="s">
        <v>2380</v>
      </c>
      <c r="H2150" t="s">
        <v>2380</v>
      </c>
      <c r="I2150">
        <v>1</v>
      </c>
      <c r="J2150" t="s">
        <v>2380</v>
      </c>
    </row>
    <row r="2151" spans="1:10" x14ac:dyDescent="0.35">
      <c r="A2151" t="s">
        <v>213</v>
      </c>
      <c r="B2151" t="str">
        <f t="shared" si="68"/>
        <v>Overweight</v>
      </c>
      <c r="C2151">
        <v>25.8</v>
      </c>
      <c r="D2151">
        <v>4.13</v>
      </c>
      <c r="E2151" t="str">
        <f t="shared" si="69"/>
        <v>Normal</v>
      </c>
      <c r="F2151" t="s">
        <v>2380</v>
      </c>
      <c r="G2151" t="s">
        <v>2380</v>
      </c>
      <c r="H2151" t="s">
        <v>2380</v>
      </c>
      <c r="I2151">
        <v>1</v>
      </c>
      <c r="J2151" t="s">
        <v>2380</v>
      </c>
    </row>
    <row r="2152" spans="1:10" x14ac:dyDescent="0.35">
      <c r="A2152" t="s">
        <v>212</v>
      </c>
      <c r="B2152" t="str">
        <f t="shared" si="68"/>
        <v>Normal Weight</v>
      </c>
      <c r="C2152">
        <v>23.4</v>
      </c>
      <c r="D2152">
        <v>4.24</v>
      </c>
      <c r="E2152" t="str">
        <f t="shared" si="69"/>
        <v>Normal</v>
      </c>
      <c r="F2152" t="s">
        <v>2380</v>
      </c>
      <c r="G2152" t="s">
        <v>2380</v>
      </c>
      <c r="H2152" t="s">
        <v>2380</v>
      </c>
      <c r="I2152">
        <v>1</v>
      </c>
      <c r="J2152" t="s">
        <v>2380</v>
      </c>
    </row>
    <row r="2153" spans="1:10" x14ac:dyDescent="0.35">
      <c r="A2153" t="s">
        <v>211</v>
      </c>
      <c r="B2153" t="str">
        <f t="shared" si="68"/>
        <v>Overweight</v>
      </c>
      <c r="C2153">
        <v>27.93</v>
      </c>
      <c r="D2153">
        <v>9.8800000000000008</v>
      </c>
      <c r="E2153" t="str">
        <f t="shared" si="69"/>
        <v>Diabetes</v>
      </c>
      <c r="F2153" t="s">
        <v>2380</v>
      </c>
      <c r="G2153" t="s">
        <v>2380</v>
      </c>
      <c r="H2153" t="s">
        <v>2380</v>
      </c>
      <c r="I2153">
        <v>0</v>
      </c>
      <c r="J2153" t="s">
        <v>2380</v>
      </c>
    </row>
    <row r="2154" spans="1:10" x14ac:dyDescent="0.35">
      <c r="A2154" t="s">
        <v>210</v>
      </c>
      <c r="B2154" t="str">
        <f t="shared" si="68"/>
        <v>Normal Weight</v>
      </c>
      <c r="C2154">
        <v>22</v>
      </c>
      <c r="D2154">
        <v>9.5</v>
      </c>
      <c r="E2154" t="str">
        <f t="shared" si="69"/>
        <v>Diabetes</v>
      </c>
      <c r="F2154" t="s">
        <v>2380</v>
      </c>
      <c r="G2154" t="s">
        <v>2380</v>
      </c>
      <c r="H2154" t="s">
        <v>2380</v>
      </c>
      <c r="I2154">
        <v>0</v>
      </c>
      <c r="J2154" t="s">
        <v>2380</v>
      </c>
    </row>
    <row r="2155" spans="1:10" x14ac:dyDescent="0.35">
      <c r="A2155" t="s">
        <v>209</v>
      </c>
      <c r="B2155" t="str">
        <f t="shared" si="68"/>
        <v>Obesity</v>
      </c>
      <c r="C2155">
        <v>36.86</v>
      </c>
      <c r="D2155">
        <v>4.97</v>
      </c>
      <c r="E2155" t="str">
        <f t="shared" si="69"/>
        <v>Normal</v>
      </c>
      <c r="F2155" t="s">
        <v>2381</v>
      </c>
      <c r="G2155" t="s">
        <v>2380</v>
      </c>
      <c r="H2155" t="s">
        <v>2380</v>
      </c>
      <c r="I2155">
        <v>0</v>
      </c>
      <c r="J2155" t="s">
        <v>2380</v>
      </c>
    </row>
    <row r="2156" spans="1:10" x14ac:dyDescent="0.35">
      <c r="A2156" t="s">
        <v>208</v>
      </c>
      <c r="B2156" t="str">
        <f t="shared" si="68"/>
        <v>Obesity</v>
      </c>
      <c r="C2156">
        <v>31.254999999999999</v>
      </c>
      <c r="D2156">
        <v>5.49</v>
      </c>
      <c r="E2156" t="str">
        <f t="shared" si="69"/>
        <v>Normal</v>
      </c>
      <c r="F2156" t="s">
        <v>2381</v>
      </c>
      <c r="G2156" t="s">
        <v>2380</v>
      </c>
      <c r="H2156" t="s">
        <v>2380</v>
      </c>
      <c r="I2156">
        <v>0</v>
      </c>
      <c r="J2156" t="s">
        <v>2380</v>
      </c>
    </row>
    <row r="2157" spans="1:10" x14ac:dyDescent="0.35">
      <c r="A2157" t="s">
        <v>207</v>
      </c>
      <c r="B2157" t="str">
        <f t="shared" si="68"/>
        <v>Normal Weight</v>
      </c>
      <c r="C2157">
        <v>23.06</v>
      </c>
      <c r="D2157">
        <v>4.47</v>
      </c>
      <c r="E2157" t="str">
        <f t="shared" si="69"/>
        <v>Normal</v>
      </c>
      <c r="F2157" t="s">
        <v>2380</v>
      </c>
      <c r="G2157" t="s">
        <v>2380</v>
      </c>
      <c r="H2157" t="s">
        <v>2380</v>
      </c>
      <c r="I2157">
        <v>0</v>
      </c>
      <c r="J2157" t="s">
        <v>2380</v>
      </c>
    </row>
    <row r="2158" spans="1:10" x14ac:dyDescent="0.35">
      <c r="A2158" t="s">
        <v>206</v>
      </c>
      <c r="B2158" t="str">
        <f t="shared" si="68"/>
        <v>Overweight</v>
      </c>
      <c r="C2158">
        <v>28.975000000000001</v>
      </c>
      <c r="D2158">
        <v>4.34</v>
      </c>
      <c r="E2158" t="str">
        <f t="shared" si="69"/>
        <v>Normal</v>
      </c>
      <c r="F2158" t="s">
        <v>2381</v>
      </c>
      <c r="G2158" t="s">
        <v>2380</v>
      </c>
      <c r="H2158" t="s">
        <v>2380</v>
      </c>
      <c r="I2158">
        <v>0</v>
      </c>
      <c r="J2158" t="s">
        <v>2380</v>
      </c>
    </row>
    <row r="2159" spans="1:10" x14ac:dyDescent="0.35">
      <c r="A2159" t="s">
        <v>205</v>
      </c>
      <c r="B2159" t="str">
        <f t="shared" si="68"/>
        <v>Obesity</v>
      </c>
      <c r="C2159">
        <v>33.299999999999997</v>
      </c>
      <c r="D2159">
        <v>9.49</v>
      </c>
      <c r="E2159" t="str">
        <f t="shared" si="69"/>
        <v>Diabetes</v>
      </c>
      <c r="F2159" t="s">
        <v>2380</v>
      </c>
      <c r="G2159" t="s">
        <v>2380</v>
      </c>
      <c r="H2159" t="s">
        <v>2380</v>
      </c>
      <c r="I2159">
        <v>0</v>
      </c>
      <c r="J2159" t="s">
        <v>2380</v>
      </c>
    </row>
    <row r="2160" spans="1:10" x14ac:dyDescent="0.35">
      <c r="A2160" t="s">
        <v>204</v>
      </c>
      <c r="B2160" t="str">
        <f t="shared" si="68"/>
        <v>Obesity</v>
      </c>
      <c r="C2160">
        <v>33</v>
      </c>
      <c r="D2160">
        <v>10.16</v>
      </c>
      <c r="E2160" t="str">
        <f t="shared" si="69"/>
        <v>Diabetes</v>
      </c>
      <c r="F2160" t="s">
        <v>2380</v>
      </c>
      <c r="G2160" t="s">
        <v>2380</v>
      </c>
      <c r="H2160" t="s">
        <v>2380</v>
      </c>
      <c r="I2160">
        <v>0</v>
      </c>
      <c r="J2160" t="s">
        <v>2380</v>
      </c>
    </row>
    <row r="2161" spans="1:10" x14ac:dyDescent="0.35">
      <c r="A2161" t="s">
        <v>203</v>
      </c>
      <c r="B2161" t="str">
        <f t="shared" si="68"/>
        <v>Obesity</v>
      </c>
      <c r="C2161">
        <v>31.46</v>
      </c>
      <c r="D2161">
        <v>11.19</v>
      </c>
      <c r="E2161" t="str">
        <f t="shared" si="69"/>
        <v>Diabetes</v>
      </c>
      <c r="F2161" t="s">
        <v>2380</v>
      </c>
      <c r="G2161" t="s">
        <v>2380</v>
      </c>
      <c r="H2161" t="s">
        <v>2380</v>
      </c>
      <c r="I2161">
        <v>0</v>
      </c>
      <c r="J2161" t="s">
        <v>2380</v>
      </c>
    </row>
    <row r="2162" spans="1:10" x14ac:dyDescent="0.35">
      <c r="A2162" t="s">
        <v>202</v>
      </c>
      <c r="B2162" t="str">
        <f t="shared" si="68"/>
        <v>Overweight</v>
      </c>
      <c r="C2162">
        <v>29.6</v>
      </c>
      <c r="D2162">
        <v>11.03</v>
      </c>
      <c r="E2162" t="str">
        <f t="shared" si="69"/>
        <v>Diabetes</v>
      </c>
      <c r="F2162" t="s">
        <v>2380</v>
      </c>
      <c r="G2162" t="s">
        <v>2380</v>
      </c>
      <c r="H2162" t="s">
        <v>2380</v>
      </c>
      <c r="I2162">
        <v>0</v>
      </c>
      <c r="J2162" t="s">
        <v>2380</v>
      </c>
    </row>
    <row r="2163" spans="1:10" x14ac:dyDescent="0.35">
      <c r="A2163" t="s">
        <v>201</v>
      </c>
      <c r="B2163" t="str">
        <f t="shared" si="68"/>
        <v>Normal Weight</v>
      </c>
      <c r="C2163">
        <v>22.05</v>
      </c>
      <c r="D2163">
        <v>4.43</v>
      </c>
      <c r="E2163" t="str">
        <f t="shared" si="69"/>
        <v>Normal</v>
      </c>
      <c r="F2163" t="s">
        <v>2381</v>
      </c>
      <c r="G2163" t="s">
        <v>2380</v>
      </c>
      <c r="H2163" t="s">
        <v>2380</v>
      </c>
      <c r="I2163">
        <v>0</v>
      </c>
      <c r="J2163" t="s">
        <v>2380</v>
      </c>
    </row>
    <row r="2164" spans="1:10" x14ac:dyDescent="0.35">
      <c r="A2164" t="s">
        <v>199</v>
      </c>
      <c r="B2164" t="str">
        <f t="shared" si="68"/>
        <v>Overweight</v>
      </c>
      <c r="C2164">
        <v>27.06</v>
      </c>
      <c r="D2164">
        <v>6.14</v>
      </c>
      <c r="E2164" t="str">
        <f t="shared" si="69"/>
        <v>Prediabetes</v>
      </c>
      <c r="F2164" t="s">
        <v>2380</v>
      </c>
      <c r="G2164" t="s">
        <v>2381</v>
      </c>
      <c r="H2164" t="s">
        <v>2380</v>
      </c>
      <c r="I2164">
        <v>1</v>
      </c>
      <c r="J2164" t="s">
        <v>2380</v>
      </c>
    </row>
    <row r="2165" spans="1:10" x14ac:dyDescent="0.35">
      <c r="A2165" t="s">
        <v>198</v>
      </c>
      <c r="B2165" t="str">
        <f t="shared" si="68"/>
        <v>Normal Weight</v>
      </c>
      <c r="C2165">
        <v>20.49</v>
      </c>
      <c r="D2165">
        <v>4.87</v>
      </c>
      <c r="E2165" t="str">
        <f t="shared" si="69"/>
        <v>Normal</v>
      </c>
      <c r="F2165" t="s">
        <v>2380</v>
      </c>
      <c r="G2165" t="s">
        <v>2380</v>
      </c>
      <c r="H2165" t="s">
        <v>2380</v>
      </c>
      <c r="I2165">
        <v>0</v>
      </c>
      <c r="J2165" t="s">
        <v>2380</v>
      </c>
    </row>
    <row r="2166" spans="1:10" x14ac:dyDescent="0.35">
      <c r="A2166" t="s">
        <v>197</v>
      </c>
      <c r="B2166" t="str">
        <f t="shared" si="68"/>
        <v>Overweight</v>
      </c>
      <c r="C2166">
        <v>28.4</v>
      </c>
      <c r="D2166">
        <v>4.3</v>
      </c>
      <c r="E2166" t="str">
        <f t="shared" si="69"/>
        <v>Normal</v>
      </c>
      <c r="F2166" t="s">
        <v>2380</v>
      </c>
      <c r="G2166" t="s">
        <v>2380</v>
      </c>
      <c r="H2166" t="s">
        <v>2382</v>
      </c>
      <c r="I2166">
        <v>1</v>
      </c>
      <c r="J2166" t="s">
        <v>2380</v>
      </c>
    </row>
    <row r="2167" spans="1:10" x14ac:dyDescent="0.35">
      <c r="A2167" t="s">
        <v>196</v>
      </c>
      <c r="B2167" t="str">
        <f t="shared" si="68"/>
        <v>Obesity</v>
      </c>
      <c r="C2167">
        <v>41.91</v>
      </c>
      <c r="D2167">
        <v>6.19</v>
      </c>
      <c r="E2167" t="str">
        <f t="shared" si="69"/>
        <v>Prediabetes</v>
      </c>
      <c r="F2167" t="s">
        <v>2380</v>
      </c>
      <c r="G2167" t="s">
        <v>2380</v>
      </c>
      <c r="H2167" t="s">
        <v>2380</v>
      </c>
      <c r="I2167">
        <v>0</v>
      </c>
      <c r="J2167" t="s">
        <v>2380</v>
      </c>
    </row>
    <row r="2168" spans="1:10" x14ac:dyDescent="0.35">
      <c r="A2168" t="s">
        <v>195</v>
      </c>
      <c r="B2168" t="str">
        <f t="shared" si="68"/>
        <v>Normal Weight</v>
      </c>
      <c r="C2168">
        <v>24.6</v>
      </c>
      <c r="D2168">
        <v>6.19</v>
      </c>
      <c r="E2168" t="str">
        <f t="shared" si="69"/>
        <v>Prediabetes</v>
      </c>
      <c r="F2168" t="s">
        <v>2380</v>
      </c>
      <c r="G2168" t="s">
        <v>2380</v>
      </c>
      <c r="H2168" t="s">
        <v>2382</v>
      </c>
      <c r="I2168">
        <v>1</v>
      </c>
      <c r="J2168" t="s">
        <v>2380</v>
      </c>
    </row>
    <row r="2169" spans="1:10" x14ac:dyDescent="0.35">
      <c r="A2169" t="s">
        <v>194</v>
      </c>
      <c r="B2169" t="str">
        <f t="shared" si="68"/>
        <v>Normal Weight</v>
      </c>
      <c r="C2169">
        <v>20.9</v>
      </c>
      <c r="D2169">
        <v>5.12</v>
      </c>
      <c r="E2169" t="str">
        <f t="shared" si="69"/>
        <v>Normal</v>
      </c>
      <c r="F2169" t="s">
        <v>2380</v>
      </c>
      <c r="G2169" t="s">
        <v>2380</v>
      </c>
      <c r="H2169" t="s">
        <v>2382</v>
      </c>
      <c r="I2169">
        <v>1</v>
      </c>
      <c r="J2169" t="s">
        <v>2380</v>
      </c>
    </row>
    <row r="2170" spans="1:10" x14ac:dyDescent="0.35">
      <c r="A2170" t="s">
        <v>193</v>
      </c>
      <c r="B2170" t="str">
        <f t="shared" si="68"/>
        <v>Obesity</v>
      </c>
      <c r="C2170">
        <v>34.4</v>
      </c>
      <c r="D2170">
        <v>4.04</v>
      </c>
      <c r="E2170" t="str">
        <f t="shared" si="69"/>
        <v>Normal</v>
      </c>
      <c r="F2170" t="s">
        <v>2380</v>
      </c>
      <c r="G2170" t="s">
        <v>2380</v>
      </c>
      <c r="H2170" t="s">
        <v>2380</v>
      </c>
      <c r="I2170">
        <v>0</v>
      </c>
      <c r="J2170" t="s">
        <v>2380</v>
      </c>
    </row>
    <row r="2171" spans="1:10" x14ac:dyDescent="0.35">
      <c r="A2171" t="s">
        <v>192</v>
      </c>
      <c r="B2171" t="str">
        <f t="shared" si="68"/>
        <v>Obesity</v>
      </c>
      <c r="C2171">
        <v>32.56</v>
      </c>
      <c r="D2171">
        <v>5.36</v>
      </c>
      <c r="E2171" t="str">
        <f t="shared" si="69"/>
        <v>Normal</v>
      </c>
      <c r="F2171" t="s">
        <v>2380</v>
      </c>
      <c r="G2171" t="s">
        <v>2380</v>
      </c>
      <c r="H2171" t="s">
        <v>2380</v>
      </c>
      <c r="I2171">
        <v>0</v>
      </c>
      <c r="J2171" t="s">
        <v>2380</v>
      </c>
    </row>
    <row r="2172" spans="1:10" x14ac:dyDescent="0.35">
      <c r="A2172" t="s">
        <v>191</v>
      </c>
      <c r="B2172" t="str">
        <f t="shared" si="68"/>
        <v>Overweight</v>
      </c>
      <c r="C2172">
        <v>27.98</v>
      </c>
      <c r="D2172">
        <v>4.38</v>
      </c>
      <c r="E2172" t="str">
        <f t="shared" si="69"/>
        <v>Normal</v>
      </c>
      <c r="F2172" t="s">
        <v>2380</v>
      </c>
      <c r="G2172" t="s">
        <v>2381</v>
      </c>
      <c r="H2172" t="s">
        <v>2380</v>
      </c>
      <c r="I2172">
        <v>1</v>
      </c>
      <c r="J2172" t="s">
        <v>2380</v>
      </c>
    </row>
    <row r="2173" spans="1:10" x14ac:dyDescent="0.35">
      <c r="A2173" t="s">
        <v>190</v>
      </c>
      <c r="B2173" t="str">
        <f t="shared" si="68"/>
        <v>Overweight</v>
      </c>
      <c r="C2173">
        <v>26.51</v>
      </c>
      <c r="D2173">
        <v>4.58</v>
      </c>
      <c r="E2173" t="str">
        <f t="shared" si="69"/>
        <v>Normal</v>
      </c>
      <c r="F2173" t="s">
        <v>2380</v>
      </c>
      <c r="G2173" t="s">
        <v>2380</v>
      </c>
      <c r="H2173" t="s">
        <v>2380</v>
      </c>
      <c r="I2173">
        <v>0</v>
      </c>
      <c r="J2173" t="s">
        <v>2380</v>
      </c>
    </row>
    <row r="2174" spans="1:10" x14ac:dyDescent="0.35">
      <c r="A2174" t="s">
        <v>189</v>
      </c>
      <c r="B2174" t="str">
        <f t="shared" si="68"/>
        <v>Overweight</v>
      </c>
      <c r="C2174">
        <v>29.734999999999999</v>
      </c>
      <c r="D2174">
        <v>11.92</v>
      </c>
      <c r="E2174" t="str">
        <f t="shared" si="69"/>
        <v>Diabetes</v>
      </c>
      <c r="F2174" t="s">
        <v>2380</v>
      </c>
      <c r="G2174" t="s">
        <v>2380</v>
      </c>
      <c r="H2174" t="s">
        <v>2380</v>
      </c>
      <c r="I2174">
        <v>0</v>
      </c>
      <c r="J2174" t="s">
        <v>2380</v>
      </c>
    </row>
    <row r="2175" spans="1:10" x14ac:dyDescent="0.35">
      <c r="A2175" t="s">
        <v>188</v>
      </c>
      <c r="B2175" t="str">
        <f t="shared" si="68"/>
        <v>Obesity</v>
      </c>
      <c r="C2175">
        <v>40.5</v>
      </c>
      <c r="D2175">
        <v>5.4</v>
      </c>
      <c r="E2175" t="str">
        <f t="shared" si="69"/>
        <v>Normal</v>
      </c>
      <c r="F2175" t="s">
        <v>2380</v>
      </c>
      <c r="G2175" t="s">
        <v>2380</v>
      </c>
      <c r="H2175" t="s">
        <v>2382</v>
      </c>
      <c r="I2175">
        <v>1</v>
      </c>
      <c r="J2175" t="s">
        <v>2380</v>
      </c>
    </row>
    <row r="2176" spans="1:10" x14ac:dyDescent="0.35">
      <c r="A2176" t="s">
        <v>187</v>
      </c>
      <c r="B2176" t="str">
        <f t="shared" si="68"/>
        <v>Overweight</v>
      </c>
      <c r="C2176">
        <v>25.64</v>
      </c>
      <c r="D2176">
        <v>4.76</v>
      </c>
      <c r="E2176" t="str">
        <f t="shared" si="69"/>
        <v>Normal</v>
      </c>
      <c r="F2176" t="s">
        <v>2380</v>
      </c>
      <c r="G2176" t="s">
        <v>2380</v>
      </c>
      <c r="H2176" t="s">
        <v>2380</v>
      </c>
      <c r="I2176">
        <v>1</v>
      </c>
      <c r="J2176" t="s">
        <v>2380</v>
      </c>
    </row>
    <row r="2177" spans="1:10" x14ac:dyDescent="0.35">
      <c r="A2177" t="s">
        <v>186</v>
      </c>
      <c r="B2177" t="str">
        <f t="shared" si="68"/>
        <v>Obesity</v>
      </c>
      <c r="C2177">
        <v>32.9</v>
      </c>
      <c r="D2177">
        <v>4.78</v>
      </c>
      <c r="E2177" t="str">
        <f t="shared" si="69"/>
        <v>Normal</v>
      </c>
      <c r="F2177" t="s">
        <v>2380</v>
      </c>
      <c r="G2177" t="s">
        <v>2380</v>
      </c>
      <c r="H2177" t="s">
        <v>2382</v>
      </c>
      <c r="I2177">
        <v>1</v>
      </c>
      <c r="J2177" t="s">
        <v>2380</v>
      </c>
    </row>
    <row r="2178" spans="1:10" x14ac:dyDescent="0.35">
      <c r="A2178" t="s">
        <v>185</v>
      </c>
      <c r="B2178" t="str">
        <f t="shared" si="68"/>
        <v>Overweight</v>
      </c>
      <c r="C2178">
        <v>29.8</v>
      </c>
      <c r="D2178">
        <v>4.26</v>
      </c>
      <c r="E2178" t="str">
        <f t="shared" si="69"/>
        <v>Normal</v>
      </c>
      <c r="F2178" t="s">
        <v>2380</v>
      </c>
      <c r="G2178" t="s">
        <v>2380</v>
      </c>
      <c r="H2178" t="s">
        <v>2382</v>
      </c>
      <c r="I2178">
        <v>1</v>
      </c>
      <c r="J2178" t="s">
        <v>2380</v>
      </c>
    </row>
    <row r="2179" spans="1:10" x14ac:dyDescent="0.35">
      <c r="A2179" t="s">
        <v>184</v>
      </c>
      <c r="B2179" t="str">
        <f t="shared" ref="B2179:B2242" si="70">IF(C2179&lt;18.5,"Underweight",IF(C2179&lt;25,"Normal Weight",IF(C2179&lt;30,"Overweight","Obesity")))</f>
        <v>Overweight</v>
      </c>
      <c r="C2179">
        <v>28.9</v>
      </c>
      <c r="D2179">
        <v>5.85</v>
      </c>
      <c r="E2179" t="str">
        <f t="shared" ref="E2179:E2242" si="71">IF(D2179&lt;5.7,"Normal",IF(D2179&lt;6.5,"Prediabetes","Diabetes"))</f>
        <v>Prediabetes</v>
      </c>
      <c r="F2179" t="s">
        <v>2380</v>
      </c>
      <c r="G2179" t="s">
        <v>2380</v>
      </c>
      <c r="H2179" t="s">
        <v>2382</v>
      </c>
      <c r="I2179">
        <v>1</v>
      </c>
      <c r="J2179" t="s">
        <v>2380</v>
      </c>
    </row>
    <row r="2180" spans="1:10" x14ac:dyDescent="0.35">
      <c r="A2180" t="s">
        <v>183</v>
      </c>
      <c r="B2180" t="str">
        <f t="shared" si="70"/>
        <v>Normal Weight</v>
      </c>
      <c r="C2180">
        <v>24.7</v>
      </c>
      <c r="D2180">
        <v>5.32</v>
      </c>
      <c r="E2180" t="str">
        <f t="shared" si="71"/>
        <v>Normal</v>
      </c>
      <c r="F2180" t="s">
        <v>2380</v>
      </c>
      <c r="G2180" t="s">
        <v>2380</v>
      </c>
      <c r="H2180" t="s">
        <v>2382</v>
      </c>
      <c r="I2180">
        <v>1</v>
      </c>
      <c r="J2180" t="s">
        <v>2380</v>
      </c>
    </row>
    <row r="2181" spans="1:10" x14ac:dyDescent="0.35">
      <c r="A2181" t="s">
        <v>182</v>
      </c>
      <c r="B2181" t="str">
        <f t="shared" si="70"/>
        <v>Normal Weight</v>
      </c>
      <c r="C2181">
        <v>20.6</v>
      </c>
      <c r="D2181">
        <v>5.14</v>
      </c>
      <c r="E2181" t="str">
        <f t="shared" si="71"/>
        <v>Normal</v>
      </c>
      <c r="F2181" t="s">
        <v>2380</v>
      </c>
      <c r="G2181" t="s">
        <v>2380</v>
      </c>
      <c r="H2181" t="s">
        <v>2382</v>
      </c>
      <c r="I2181">
        <v>1</v>
      </c>
      <c r="J2181" t="s">
        <v>2380</v>
      </c>
    </row>
    <row r="2182" spans="1:10" x14ac:dyDescent="0.35">
      <c r="A2182" t="s">
        <v>181</v>
      </c>
      <c r="B2182" t="str">
        <f t="shared" si="70"/>
        <v>Normal Weight</v>
      </c>
      <c r="C2182">
        <v>18.600000000000001</v>
      </c>
      <c r="D2182">
        <v>5</v>
      </c>
      <c r="E2182" t="str">
        <f t="shared" si="71"/>
        <v>Normal</v>
      </c>
      <c r="F2182" t="s">
        <v>2380</v>
      </c>
      <c r="G2182" t="s">
        <v>2380</v>
      </c>
      <c r="H2182" t="s">
        <v>2382</v>
      </c>
      <c r="I2182">
        <v>1</v>
      </c>
      <c r="J2182" t="s">
        <v>2380</v>
      </c>
    </row>
    <row r="2183" spans="1:10" x14ac:dyDescent="0.35">
      <c r="A2183" t="s">
        <v>180</v>
      </c>
      <c r="B2183" t="str">
        <f t="shared" si="70"/>
        <v>Underweight</v>
      </c>
      <c r="C2183">
        <v>17.8</v>
      </c>
      <c r="D2183">
        <v>4.55</v>
      </c>
      <c r="E2183" t="str">
        <f t="shared" si="71"/>
        <v>Normal</v>
      </c>
      <c r="F2183" t="s">
        <v>2380</v>
      </c>
      <c r="G2183" t="s">
        <v>2380</v>
      </c>
      <c r="H2183" t="s">
        <v>2382</v>
      </c>
      <c r="I2183">
        <v>1</v>
      </c>
      <c r="J2183" t="s">
        <v>2380</v>
      </c>
    </row>
    <row r="2184" spans="1:10" x14ac:dyDescent="0.35">
      <c r="A2184" t="s">
        <v>179</v>
      </c>
      <c r="B2184" t="str">
        <f t="shared" si="70"/>
        <v>Obesity</v>
      </c>
      <c r="C2184">
        <v>35.200000000000003</v>
      </c>
      <c r="D2184">
        <v>5.97</v>
      </c>
      <c r="E2184" t="str">
        <f t="shared" si="71"/>
        <v>Prediabetes</v>
      </c>
      <c r="F2184" t="s">
        <v>2380</v>
      </c>
      <c r="G2184" t="s">
        <v>2381</v>
      </c>
      <c r="H2184" t="s">
        <v>2380</v>
      </c>
      <c r="I2184">
        <v>1</v>
      </c>
      <c r="J2184" t="s">
        <v>2380</v>
      </c>
    </row>
    <row r="2185" spans="1:10" x14ac:dyDescent="0.35">
      <c r="A2185" t="s">
        <v>178</v>
      </c>
      <c r="B2185" t="str">
        <f t="shared" si="70"/>
        <v>Obesity</v>
      </c>
      <c r="C2185">
        <v>33.770000000000003</v>
      </c>
      <c r="D2185">
        <v>4.0199999999999996</v>
      </c>
      <c r="E2185" t="str">
        <f t="shared" si="71"/>
        <v>Normal</v>
      </c>
      <c r="F2185" t="s">
        <v>2380</v>
      </c>
      <c r="G2185" t="s">
        <v>2381</v>
      </c>
      <c r="H2185" t="s">
        <v>2380</v>
      </c>
      <c r="I2185">
        <v>1</v>
      </c>
      <c r="J2185" t="s">
        <v>2380</v>
      </c>
    </row>
    <row r="2186" spans="1:10" x14ac:dyDescent="0.35">
      <c r="A2186" t="s">
        <v>177</v>
      </c>
      <c r="B2186" t="str">
        <f t="shared" si="70"/>
        <v>Obesity</v>
      </c>
      <c r="C2186">
        <v>30.03</v>
      </c>
      <c r="D2186">
        <v>4.04</v>
      </c>
      <c r="E2186" t="str">
        <f t="shared" si="71"/>
        <v>Normal</v>
      </c>
      <c r="F2186" t="s">
        <v>2380</v>
      </c>
      <c r="G2186" t="s">
        <v>2381</v>
      </c>
      <c r="H2186" t="s">
        <v>2380</v>
      </c>
      <c r="I2186">
        <v>1</v>
      </c>
      <c r="J2186" t="s">
        <v>2380</v>
      </c>
    </row>
    <row r="2187" spans="1:10" x14ac:dyDescent="0.35">
      <c r="A2187" t="s">
        <v>176</v>
      </c>
      <c r="B2187" t="str">
        <f t="shared" si="70"/>
        <v>Overweight</v>
      </c>
      <c r="C2187">
        <v>29.37</v>
      </c>
      <c r="D2187">
        <v>5.54</v>
      </c>
      <c r="E2187" t="str">
        <f t="shared" si="71"/>
        <v>Normal</v>
      </c>
      <c r="F2187" t="s">
        <v>2380</v>
      </c>
      <c r="G2187" t="s">
        <v>2381</v>
      </c>
      <c r="H2187" t="s">
        <v>2380</v>
      </c>
      <c r="I2187">
        <v>1</v>
      </c>
      <c r="J2187" t="s">
        <v>2380</v>
      </c>
    </row>
    <row r="2188" spans="1:10" x14ac:dyDescent="0.35">
      <c r="A2188" t="s">
        <v>175</v>
      </c>
      <c r="B2188" t="str">
        <f t="shared" si="70"/>
        <v>Overweight</v>
      </c>
      <c r="C2188">
        <v>28.5</v>
      </c>
      <c r="D2188">
        <v>4.03</v>
      </c>
      <c r="E2188" t="str">
        <f t="shared" si="71"/>
        <v>Normal</v>
      </c>
      <c r="F2188" t="s">
        <v>2380</v>
      </c>
      <c r="G2188" t="s">
        <v>2381</v>
      </c>
      <c r="H2188" t="s">
        <v>2380</v>
      </c>
      <c r="I2188">
        <v>1</v>
      </c>
      <c r="J2188" t="s">
        <v>2380</v>
      </c>
    </row>
    <row r="2189" spans="1:10" x14ac:dyDescent="0.35">
      <c r="A2189" t="s">
        <v>174</v>
      </c>
      <c r="B2189" t="str">
        <f t="shared" si="70"/>
        <v>Normal Weight</v>
      </c>
      <c r="C2189">
        <v>23.32</v>
      </c>
      <c r="D2189">
        <v>5.62</v>
      </c>
      <c r="E2189" t="str">
        <f t="shared" si="71"/>
        <v>Normal</v>
      </c>
      <c r="F2189" t="s">
        <v>2380</v>
      </c>
      <c r="G2189" t="s">
        <v>2381</v>
      </c>
      <c r="H2189" t="s">
        <v>2380</v>
      </c>
      <c r="I2189">
        <v>1</v>
      </c>
      <c r="J2189" t="s">
        <v>2380</v>
      </c>
    </row>
    <row r="2190" spans="1:10" x14ac:dyDescent="0.35">
      <c r="A2190" t="s">
        <v>173</v>
      </c>
      <c r="B2190" t="str">
        <f t="shared" si="70"/>
        <v>Overweight</v>
      </c>
      <c r="C2190">
        <v>26.125</v>
      </c>
      <c r="D2190">
        <v>5.27</v>
      </c>
      <c r="E2190" t="str">
        <f t="shared" si="71"/>
        <v>Normal</v>
      </c>
      <c r="F2190" t="s">
        <v>2380</v>
      </c>
      <c r="G2190" t="s">
        <v>2381</v>
      </c>
      <c r="H2190" t="s">
        <v>2380</v>
      </c>
      <c r="I2190">
        <v>1</v>
      </c>
      <c r="J2190" t="s">
        <v>2380</v>
      </c>
    </row>
    <row r="2191" spans="1:10" x14ac:dyDescent="0.35">
      <c r="A2191" t="s">
        <v>172</v>
      </c>
      <c r="B2191" t="str">
        <f t="shared" si="70"/>
        <v>Overweight</v>
      </c>
      <c r="C2191">
        <v>25.46</v>
      </c>
      <c r="D2191">
        <v>5.18</v>
      </c>
      <c r="E2191" t="str">
        <f t="shared" si="71"/>
        <v>Normal</v>
      </c>
      <c r="F2191" t="s">
        <v>2380</v>
      </c>
      <c r="G2191" t="s">
        <v>2381</v>
      </c>
      <c r="H2191" t="s">
        <v>2380</v>
      </c>
      <c r="I2191">
        <v>1</v>
      </c>
      <c r="J2191" t="s">
        <v>2380</v>
      </c>
    </row>
    <row r="2192" spans="1:10" x14ac:dyDescent="0.35">
      <c r="A2192" t="s">
        <v>171</v>
      </c>
      <c r="B2192" t="str">
        <f t="shared" si="70"/>
        <v>Normal Weight</v>
      </c>
      <c r="C2192">
        <v>23.75</v>
      </c>
      <c r="D2192">
        <v>5.27</v>
      </c>
      <c r="E2192" t="str">
        <f t="shared" si="71"/>
        <v>Normal</v>
      </c>
      <c r="F2192" t="s">
        <v>2380</v>
      </c>
      <c r="G2192" t="s">
        <v>2381</v>
      </c>
      <c r="H2192" t="s">
        <v>2380</v>
      </c>
      <c r="I2192">
        <v>1</v>
      </c>
      <c r="J2192" t="s">
        <v>2380</v>
      </c>
    </row>
    <row r="2193" spans="1:10" x14ac:dyDescent="0.35">
      <c r="A2193" t="s">
        <v>169</v>
      </c>
      <c r="B2193" t="str">
        <f t="shared" si="70"/>
        <v>Normal Weight</v>
      </c>
      <c r="C2193">
        <v>23.085000000000001</v>
      </c>
      <c r="D2193">
        <v>5.62</v>
      </c>
      <c r="E2193" t="str">
        <f t="shared" si="71"/>
        <v>Normal</v>
      </c>
      <c r="F2193" t="s">
        <v>2380</v>
      </c>
      <c r="G2193" t="s">
        <v>2381</v>
      </c>
      <c r="H2193" t="s">
        <v>2380</v>
      </c>
      <c r="I2193">
        <v>1</v>
      </c>
      <c r="J2193" t="s">
        <v>2380</v>
      </c>
    </row>
    <row r="2194" spans="1:10" x14ac:dyDescent="0.35">
      <c r="A2194" t="s">
        <v>167</v>
      </c>
      <c r="B2194" t="str">
        <f t="shared" si="70"/>
        <v>Normal Weight</v>
      </c>
      <c r="C2194">
        <v>22.99</v>
      </c>
      <c r="D2194">
        <v>5.0599999999999996</v>
      </c>
      <c r="E2194" t="str">
        <f t="shared" si="71"/>
        <v>Normal</v>
      </c>
      <c r="F2194" t="s">
        <v>2380</v>
      </c>
      <c r="G2194" t="s">
        <v>2381</v>
      </c>
      <c r="H2194" t="s">
        <v>2380</v>
      </c>
      <c r="I2194">
        <v>1</v>
      </c>
      <c r="J2194" t="s">
        <v>2380</v>
      </c>
    </row>
    <row r="2195" spans="1:10" x14ac:dyDescent="0.35">
      <c r="A2195" t="s">
        <v>165</v>
      </c>
      <c r="B2195" t="str">
        <f t="shared" si="70"/>
        <v>Normal Weight</v>
      </c>
      <c r="C2195">
        <v>21.47</v>
      </c>
      <c r="D2195">
        <v>4.6900000000000004</v>
      </c>
      <c r="E2195" t="str">
        <f t="shared" si="71"/>
        <v>Normal</v>
      </c>
      <c r="F2195" t="s">
        <v>2380</v>
      </c>
      <c r="G2195" t="s">
        <v>2381</v>
      </c>
      <c r="H2195" t="s">
        <v>2380</v>
      </c>
      <c r="I2195">
        <v>1</v>
      </c>
      <c r="J2195" t="s">
        <v>2380</v>
      </c>
    </row>
    <row r="2196" spans="1:10" x14ac:dyDescent="0.35">
      <c r="A2196" t="s">
        <v>163</v>
      </c>
      <c r="B2196" t="str">
        <f t="shared" si="70"/>
        <v>Underweight</v>
      </c>
      <c r="C2196">
        <v>15.96</v>
      </c>
      <c r="D2196">
        <v>5.44</v>
      </c>
      <c r="E2196" t="str">
        <f t="shared" si="71"/>
        <v>Normal</v>
      </c>
      <c r="F2196" t="s">
        <v>2380</v>
      </c>
      <c r="G2196" t="s">
        <v>2381</v>
      </c>
      <c r="H2196" t="s">
        <v>2380</v>
      </c>
      <c r="I2196">
        <v>1</v>
      </c>
      <c r="J2196" t="s">
        <v>2380</v>
      </c>
    </row>
    <row r="2197" spans="1:10" x14ac:dyDescent="0.35">
      <c r="A2197" t="s">
        <v>162</v>
      </c>
      <c r="B2197" t="str">
        <f t="shared" si="70"/>
        <v>Obesity</v>
      </c>
      <c r="C2197">
        <v>39.5</v>
      </c>
      <c r="D2197">
        <v>5.05</v>
      </c>
      <c r="E2197" t="str">
        <f t="shared" si="71"/>
        <v>Normal</v>
      </c>
      <c r="F2197" t="s">
        <v>2380</v>
      </c>
      <c r="G2197" t="s">
        <v>2381</v>
      </c>
      <c r="H2197" t="s">
        <v>2380</v>
      </c>
      <c r="I2197">
        <v>1</v>
      </c>
      <c r="J2197" t="s">
        <v>2380</v>
      </c>
    </row>
    <row r="2198" spans="1:10" x14ac:dyDescent="0.35">
      <c r="A2198" t="s">
        <v>161</v>
      </c>
      <c r="B2198" t="str">
        <f t="shared" si="70"/>
        <v>Obesity</v>
      </c>
      <c r="C2198">
        <v>33.770000000000003</v>
      </c>
      <c r="D2198">
        <v>6</v>
      </c>
      <c r="E2198" t="str">
        <f t="shared" si="71"/>
        <v>Prediabetes</v>
      </c>
      <c r="F2198" t="s">
        <v>2380</v>
      </c>
      <c r="G2198" t="s">
        <v>2381</v>
      </c>
      <c r="H2198" t="s">
        <v>2380</v>
      </c>
      <c r="I2198">
        <v>1</v>
      </c>
      <c r="J2198" t="s">
        <v>2380</v>
      </c>
    </row>
    <row r="2199" spans="1:10" x14ac:dyDescent="0.35">
      <c r="A2199" t="s">
        <v>160</v>
      </c>
      <c r="B2199" t="str">
        <f t="shared" si="70"/>
        <v>Overweight</v>
      </c>
      <c r="C2199">
        <v>26.84</v>
      </c>
      <c r="D2199">
        <v>5.99</v>
      </c>
      <c r="E2199" t="str">
        <f t="shared" si="71"/>
        <v>Prediabetes</v>
      </c>
      <c r="F2199" t="s">
        <v>2381</v>
      </c>
      <c r="G2199" t="s">
        <v>2381</v>
      </c>
      <c r="H2199" t="s">
        <v>2380</v>
      </c>
      <c r="I2199">
        <v>1</v>
      </c>
      <c r="J2199" t="s">
        <v>2380</v>
      </c>
    </row>
    <row r="2200" spans="1:10" x14ac:dyDescent="0.35">
      <c r="A2200" t="s">
        <v>159</v>
      </c>
      <c r="B2200" t="str">
        <f t="shared" si="70"/>
        <v>Obesity</v>
      </c>
      <c r="C2200">
        <v>35.53</v>
      </c>
      <c r="D2200">
        <v>4.3600000000000003</v>
      </c>
      <c r="E2200" t="str">
        <f t="shared" si="71"/>
        <v>Normal</v>
      </c>
      <c r="F2200" t="s">
        <v>2380</v>
      </c>
      <c r="G2200" t="s">
        <v>2380</v>
      </c>
      <c r="H2200" t="s">
        <v>2382</v>
      </c>
      <c r="I2200">
        <v>1</v>
      </c>
      <c r="J2200" t="s">
        <v>2380</v>
      </c>
    </row>
    <row r="2201" spans="1:10" x14ac:dyDescent="0.35">
      <c r="A2201" t="s">
        <v>158</v>
      </c>
      <c r="B2201" t="str">
        <f t="shared" si="70"/>
        <v>Obesity</v>
      </c>
      <c r="C2201">
        <v>30.59</v>
      </c>
      <c r="D2201">
        <v>4.41</v>
      </c>
      <c r="E2201" t="str">
        <f t="shared" si="71"/>
        <v>Normal</v>
      </c>
      <c r="F2201" t="s">
        <v>2380</v>
      </c>
      <c r="G2201" t="s">
        <v>2380</v>
      </c>
      <c r="H2201" t="s">
        <v>2382</v>
      </c>
      <c r="I2201">
        <v>1</v>
      </c>
      <c r="J2201" t="s">
        <v>2380</v>
      </c>
    </row>
    <row r="2202" spans="1:10" x14ac:dyDescent="0.35">
      <c r="A2202" t="s">
        <v>157</v>
      </c>
      <c r="B2202" t="str">
        <f t="shared" si="70"/>
        <v>Obesity</v>
      </c>
      <c r="C2202">
        <v>30.59</v>
      </c>
      <c r="D2202">
        <v>4.17</v>
      </c>
      <c r="E2202" t="str">
        <f t="shared" si="71"/>
        <v>Normal</v>
      </c>
      <c r="F2202" t="s">
        <v>2380</v>
      </c>
      <c r="G2202" t="s">
        <v>2380</v>
      </c>
      <c r="H2202" t="s">
        <v>2382</v>
      </c>
      <c r="I2202">
        <v>1</v>
      </c>
      <c r="J2202" t="s">
        <v>2380</v>
      </c>
    </row>
    <row r="2203" spans="1:10" x14ac:dyDescent="0.35">
      <c r="A2203" t="s">
        <v>156</v>
      </c>
      <c r="B2203" t="str">
        <f t="shared" si="70"/>
        <v>Overweight</v>
      </c>
      <c r="C2203">
        <v>27.835000000000001</v>
      </c>
      <c r="D2203">
        <v>4.4400000000000004</v>
      </c>
      <c r="E2203" t="str">
        <f t="shared" si="71"/>
        <v>Normal</v>
      </c>
      <c r="F2203" t="s">
        <v>2380</v>
      </c>
      <c r="G2203" t="s">
        <v>2380</v>
      </c>
      <c r="H2203" t="s">
        <v>2382</v>
      </c>
      <c r="I2203">
        <v>1</v>
      </c>
      <c r="J2203" t="s">
        <v>2380</v>
      </c>
    </row>
    <row r="2204" spans="1:10" x14ac:dyDescent="0.35">
      <c r="A2204" t="s">
        <v>155</v>
      </c>
      <c r="B2204" t="str">
        <f t="shared" si="70"/>
        <v>Obesity</v>
      </c>
      <c r="C2204">
        <v>40.26</v>
      </c>
      <c r="D2204">
        <v>5.52</v>
      </c>
      <c r="E2204" t="str">
        <f t="shared" si="71"/>
        <v>Normal</v>
      </c>
      <c r="F2204" t="s">
        <v>2380</v>
      </c>
      <c r="G2204" t="s">
        <v>2381</v>
      </c>
      <c r="H2204" t="s">
        <v>2380</v>
      </c>
      <c r="I2204">
        <v>1</v>
      </c>
      <c r="J2204" t="s">
        <v>2380</v>
      </c>
    </row>
    <row r="2205" spans="1:10" x14ac:dyDescent="0.35">
      <c r="A2205" t="s">
        <v>154</v>
      </c>
      <c r="B2205" t="str">
        <f t="shared" si="70"/>
        <v>Obesity</v>
      </c>
      <c r="C2205">
        <v>39.82</v>
      </c>
      <c r="D2205">
        <v>6.01</v>
      </c>
      <c r="E2205" t="str">
        <f t="shared" si="71"/>
        <v>Prediabetes</v>
      </c>
      <c r="F2205" t="s">
        <v>2380</v>
      </c>
      <c r="G2205" t="s">
        <v>2381</v>
      </c>
      <c r="H2205" t="s">
        <v>2380</v>
      </c>
      <c r="I2205">
        <v>1</v>
      </c>
      <c r="J2205" t="s">
        <v>2380</v>
      </c>
    </row>
    <row r="2206" spans="1:10" x14ac:dyDescent="0.35">
      <c r="A2206" t="s">
        <v>153</v>
      </c>
      <c r="B2206" t="str">
        <f t="shared" si="70"/>
        <v>Obesity</v>
      </c>
      <c r="C2206">
        <v>39.159999999999997</v>
      </c>
      <c r="D2206">
        <v>5.81</v>
      </c>
      <c r="E2206" t="str">
        <f t="shared" si="71"/>
        <v>Prediabetes</v>
      </c>
      <c r="F2206" t="s">
        <v>2380</v>
      </c>
      <c r="G2206" t="s">
        <v>2381</v>
      </c>
      <c r="H2206" t="s">
        <v>2380</v>
      </c>
      <c r="I2206">
        <v>1</v>
      </c>
      <c r="J2206" t="s">
        <v>2380</v>
      </c>
    </row>
    <row r="2207" spans="1:10" x14ac:dyDescent="0.35">
      <c r="A2207" t="s">
        <v>152</v>
      </c>
      <c r="B2207" t="str">
        <f t="shared" si="70"/>
        <v>Overweight</v>
      </c>
      <c r="C2207">
        <v>25.555</v>
      </c>
      <c r="D2207">
        <v>4.37</v>
      </c>
      <c r="E2207" t="str">
        <f t="shared" si="71"/>
        <v>Normal</v>
      </c>
      <c r="F2207" t="s">
        <v>2380</v>
      </c>
      <c r="G2207" t="s">
        <v>2380</v>
      </c>
      <c r="H2207" t="s">
        <v>2382</v>
      </c>
      <c r="I2207">
        <v>1</v>
      </c>
      <c r="J2207" t="s">
        <v>2380</v>
      </c>
    </row>
    <row r="2208" spans="1:10" x14ac:dyDescent="0.35">
      <c r="A2208" t="s">
        <v>151</v>
      </c>
      <c r="B2208" t="str">
        <f t="shared" si="70"/>
        <v>Overweight</v>
      </c>
      <c r="C2208">
        <v>25.175000000000001</v>
      </c>
      <c r="D2208">
        <v>5.74</v>
      </c>
      <c r="E2208" t="str">
        <f t="shared" si="71"/>
        <v>Prediabetes</v>
      </c>
      <c r="F2208" t="s">
        <v>2380</v>
      </c>
      <c r="G2208" t="s">
        <v>2380</v>
      </c>
      <c r="H2208" t="s">
        <v>2382</v>
      </c>
      <c r="I2208">
        <v>1</v>
      </c>
      <c r="J2208" t="s">
        <v>2380</v>
      </c>
    </row>
    <row r="2209" spans="1:10" x14ac:dyDescent="0.35">
      <c r="A2209" t="s">
        <v>150</v>
      </c>
      <c r="B2209" t="str">
        <f t="shared" si="70"/>
        <v>Obesity</v>
      </c>
      <c r="C2209">
        <v>38.28</v>
      </c>
      <c r="D2209">
        <v>5.39</v>
      </c>
      <c r="E2209" t="str">
        <f t="shared" si="71"/>
        <v>Normal</v>
      </c>
      <c r="F2209" t="s">
        <v>2380</v>
      </c>
      <c r="G2209" t="s">
        <v>2381</v>
      </c>
      <c r="H2209" t="s">
        <v>2380</v>
      </c>
      <c r="I2209">
        <v>1</v>
      </c>
      <c r="J2209" t="s">
        <v>2380</v>
      </c>
    </row>
    <row r="2210" spans="1:10" x14ac:dyDescent="0.35">
      <c r="A2210" t="s">
        <v>149</v>
      </c>
      <c r="B2210" t="str">
        <f t="shared" si="70"/>
        <v>Obesity</v>
      </c>
      <c r="C2210">
        <v>38.17</v>
      </c>
      <c r="D2210">
        <v>4.07</v>
      </c>
      <c r="E2210" t="str">
        <f t="shared" si="71"/>
        <v>Normal</v>
      </c>
      <c r="F2210" t="s">
        <v>2380</v>
      </c>
      <c r="G2210" t="s">
        <v>2381</v>
      </c>
      <c r="H2210" t="s">
        <v>2380</v>
      </c>
      <c r="I2210">
        <v>1</v>
      </c>
      <c r="J2210" t="s">
        <v>2380</v>
      </c>
    </row>
    <row r="2211" spans="1:10" x14ac:dyDescent="0.35">
      <c r="A2211" t="s">
        <v>148</v>
      </c>
      <c r="B2211" t="str">
        <f t="shared" si="70"/>
        <v>Obesity</v>
      </c>
      <c r="C2211">
        <v>36.85</v>
      </c>
      <c r="D2211">
        <v>5.49</v>
      </c>
      <c r="E2211" t="str">
        <f t="shared" si="71"/>
        <v>Normal</v>
      </c>
      <c r="F2211" t="s">
        <v>2380</v>
      </c>
      <c r="G2211" t="s">
        <v>2381</v>
      </c>
      <c r="H2211" t="s">
        <v>2380</v>
      </c>
      <c r="I2211">
        <v>1</v>
      </c>
      <c r="J2211" t="s">
        <v>2380</v>
      </c>
    </row>
    <row r="2212" spans="1:10" x14ac:dyDescent="0.35">
      <c r="A2212" t="s">
        <v>147</v>
      </c>
      <c r="B2212" t="str">
        <f t="shared" si="70"/>
        <v>Normal Weight</v>
      </c>
      <c r="C2212">
        <v>22.61</v>
      </c>
      <c r="D2212">
        <v>5.68</v>
      </c>
      <c r="E2212" t="str">
        <f t="shared" si="71"/>
        <v>Normal</v>
      </c>
      <c r="F2212" t="s">
        <v>2380</v>
      </c>
      <c r="G2212" t="s">
        <v>2380</v>
      </c>
      <c r="H2212" t="s">
        <v>2382</v>
      </c>
      <c r="I2212">
        <v>1</v>
      </c>
      <c r="J2212" t="s">
        <v>2380</v>
      </c>
    </row>
    <row r="2213" spans="1:10" x14ac:dyDescent="0.35">
      <c r="A2213" t="s">
        <v>146</v>
      </c>
      <c r="B2213" t="str">
        <f t="shared" si="70"/>
        <v>Normal Weight</v>
      </c>
      <c r="C2213">
        <v>21.754999999999999</v>
      </c>
      <c r="D2213">
        <v>6.09</v>
      </c>
      <c r="E2213" t="str">
        <f t="shared" si="71"/>
        <v>Prediabetes</v>
      </c>
      <c r="F2213" t="s">
        <v>2380</v>
      </c>
      <c r="G2213" t="s">
        <v>2380</v>
      </c>
      <c r="H2213" t="s">
        <v>2382</v>
      </c>
      <c r="I2213">
        <v>1</v>
      </c>
      <c r="J2213" t="s">
        <v>2380</v>
      </c>
    </row>
    <row r="2214" spans="1:10" x14ac:dyDescent="0.35">
      <c r="A2214" t="s">
        <v>145</v>
      </c>
      <c r="B2214" t="str">
        <f t="shared" si="70"/>
        <v>Normal Weight</v>
      </c>
      <c r="C2214">
        <v>20.425000000000001</v>
      </c>
      <c r="D2214">
        <v>5.53</v>
      </c>
      <c r="E2214" t="str">
        <f t="shared" si="71"/>
        <v>Normal</v>
      </c>
      <c r="F2214" t="s">
        <v>2380</v>
      </c>
      <c r="G2214" t="s">
        <v>2380</v>
      </c>
      <c r="H2214" t="s">
        <v>2382</v>
      </c>
      <c r="I2214">
        <v>1</v>
      </c>
      <c r="J2214" t="s">
        <v>2380</v>
      </c>
    </row>
    <row r="2215" spans="1:10" x14ac:dyDescent="0.35">
      <c r="A2215" t="s">
        <v>144</v>
      </c>
      <c r="B2215" t="str">
        <f t="shared" si="70"/>
        <v>Obesity</v>
      </c>
      <c r="C2215">
        <v>31.35</v>
      </c>
      <c r="D2215">
        <v>4.28</v>
      </c>
      <c r="E2215" t="str">
        <f t="shared" si="71"/>
        <v>Normal</v>
      </c>
      <c r="F2215" t="s">
        <v>2380</v>
      </c>
      <c r="G2215" t="s">
        <v>2381</v>
      </c>
      <c r="H2215" t="s">
        <v>2380</v>
      </c>
      <c r="I2215">
        <v>1</v>
      </c>
      <c r="J2215" t="s">
        <v>2380</v>
      </c>
    </row>
    <row r="2216" spans="1:10" x14ac:dyDescent="0.35">
      <c r="A2216" t="s">
        <v>143</v>
      </c>
      <c r="B2216" t="str">
        <f t="shared" si="70"/>
        <v>Obesity</v>
      </c>
      <c r="C2216">
        <v>31.13</v>
      </c>
      <c r="D2216">
        <v>6.01</v>
      </c>
      <c r="E2216" t="str">
        <f t="shared" si="71"/>
        <v>Prediabetes</v>
      </c>
      <c r="F2216" t="s">
        <v>2380</v>
      </c>
      <c r="G2216" t="s">
        <v>2381</v>
      </c>
      <c r="H2216" t="s">
        <v>2380</v>
      </c>
      <c r="I2216">
        <v>1</v>
      </c>
      <c r="J2216" t="s">
        <v>2380</v>
      </c>
    </row>
    <row r="2217" spans="1:10" x14ac:dyDescent="0.35">
      <c r="A2217" t="s">
        <v>142</v>
      </c>
      <c r="B2217" t="str">
        <f t="shared" si="70"/>
        <v>Underweight</v>
      </c>
      <c r="C2217">
        <v>17.48</v>
      </c>
      <c r="D2217">
        <v>4.59</v>
      </c>
      <c r="E2217" t="str">
        <f t="shared" si="71"/>
        <v>Normal</v>
      </c>
      <c r="F2217" t="s">
        <v>2380</v>
      </c>
      <c r="G2217" t="s">
        <v>2380</v>
      </c>
      <c r="H2217" t="s">
        <v>2382</v>
      </c>
      <c r="I2217">
        <v>1</v>
      </c>
      <c r="J2217" t="s">
        <v>2380</v>
      </c>
    </row>
    <row r="2218" spans="1:10" x14ac:dyDescent="0.35">
      <c r="A2218" t="s">
        <v>141</v>
      </c>
      <c r="B2218" t="str">
        <f t="shared" si="70"/>
        <v>Normal Weight</v>
      </c>
      <c r="C2218">
        <v>22.57</v>
      </c>
      <c r="D2218">
        <v>5.8</v>
      </c>
      <c r="E2218" t="str">
        <f t="shared" si="71"/>
        <v>Prediabetes</v>
      </c>
      <c r="F2218" t="s">
        <v>2381</v>
      </c>
      <c r="G2218" t="s">
        <v>2380</v>
      </c>
      <c r="H2218" t="s">
        <v>2380</v>
      </c>
      <c r="I2218">
        <v>1</v>
      </c>
      <c r="J2218" t="s">
        <v>2380</v>
      </c>
    </row>
    <row r="2219" spans="1:10" x14ac:dyDescent="0.35">
      <c r="A2219" t="s">
        <v>140</v>
      </c>
      <c r="B2219" t="str">
        <f t="shared" si="70"/>
        <v>Overweight</v>
      </c>
      <c r="C2219">
        <v>26.73</v>
      </c>
      <c r="D2219">
        <v>5.08</v>
      </c>
      <c r="E2219" t="str">
        <f t="shared" si="71"/>
        <v>Normal</v>
      </c>
      <c r="F2219" t="s">
        <v>2380</v>
      </c>
      <c r="G2219" t="s">
        <v>2381</v>
      </c>
      <c r="H2219" t="s">
        <v>2380</v>
      </c>
      <c r="I2219">
        <v>1</v>
      </c>
      <c r="J2219" t="s">
        <v>2380</v>
      </c>
    </row>
    <row r="2220" spans="1:10" x14ac:dyDescent="0.35">
      <c r="A2220" t="s">
        <v>139</v>
      </c>
      <c r="B2220" t="str">
        <f t="shared" si="70"/>
        <v>Normal Weight</v>
      </c>
      <c r="C2220">
        <v>20.79</v>
      </c>
      <c r="D2220">
        <v>5.84</v>
      </c>
      <c r="E2220" t="str">
        <f t="shared" si="71"/>
        <v>Prediabetes</v>
      </c>
      <c r="F2220" t="s">
        <v>2380</v>
      </c>
      <c r="G2220" t="s">
        <v>2381</v>
      </c>
      <c r="H2220" t="s">
        <v>2380</v>
      </c>
      <c r="I2220">
        <v>1</v>
      </c>
      <c r="J2220" t="s">
        <v>2380</v>
      </c>
    </row>
    <row r="2221" spans="1:10" x14ac:dyDescent="0.35">
      <c r="A2221" t="s">
        <v>138</v>
      </c>
      <c r="B2221" t="str">
        <f t="shared" si="70"/>
        <v>Normal Weight</v>
      </c>
      <c r="C2221">
        <v>20.149999999999999</v>
      </c>
      <c r="D2221">
        <v>4.1500000000000004</v>
      </c>
      <c r="E2221" t="str">
        <f t="shared" si="71"/>
        <v>Normal</v>
      </c>
      <c r="F2221" t="s">
        <v>2380</v>
      </c>
      <c r="G2221" t="s">
        <v>2380</v>
      </c>
      <c r="H2221" t="s">
        <v>2380</v>
      </c>
      <c r="I2221">
        <v>1</v>
      </c>
      <c r="J2221" t="s">
        <v>2380</v>
      </c>
    </row>
    <row r="2222" spans="1:10" x14ac:dyDescent="0.35">
      <c r="A2222" t="s">
        <v>137</v>
      </c>
      <c r="B2222" t="str">
        <f t="shared" si="70"/>
        <v>Obesity</v>
      </c>
      <c r="C2222">
        <v>36.85</v>
      </c>
      <c r="D2222">
        <v>4.3600000000000003</v>
      </c>
      <c r="E2222" t="str">
        <f t="shared" si="71"/>
        <v>Normal</v>
      </c>
      <c r="F2222" t="s">
        <v>2381</v>
      </c>
      <c r="G2222" t="s">
        <v>2380</v>
      </c>
      <c r="H2222" t="s">
        <v>2380</v>
      </c>
      <c r="I2222">
        <v>0</v>
      </c>
      <c r="J2222" t="s">
        <v>2380</v>
      </c>
    </row>
    <row r="2223" spans="1:10" x14ac:dyDescent="0.35">
      <c r="A2223" t="s">
        <v>136</v>
      </c>
      <c r="B2223" t="str">
        <f t="shared" si="70"/>
        <v>Obesity</v>
      </c>
      <c r="C2223">
        <v>35.53</v>
      </c>
      <c r="D2223">
        <v>4.55</v>
      </c>
      <c r="E2223" t="str">
        <f t="shared" si="71"/>
        <v>Normal</v>
      </c>
      <c r="F2223" t="s">
        <v>2381</v>
      </c>
      <c r="G2223" t="s">
        <v>2380</v>
      </c>
      <c r="H2223" t="s">
        <v>2380</v>
      </c>
      <c r="I2223">
        <v>0</v>
      </c>
      <c r="J2223" t="s">
        <v>2380</v>
      </c>
    </row>
    <row r="2224" spans="1:10" x14ac:dyDescent="0.35">
      <c r="A2224" t="s">
        <v>135</v>
      </c>
      <c r="B2224" t="str">
        <f t="shared" si="70"/>
        <v>Obesity</v>
      </c>
      <c r="C2224">
        <v>31.1</v>
      </c>
      <c r="D2224">
        <v>4.37</v>
      </c>
      <c r="E2224" t="str">
        <f t="shared" si="71"/>
        <v>Normal</v>
      </c>
      <c r="F2224" t="s">
        <v>2381</v>
      </c>
      <c r="G2224" t="s">
        <v>2380</v>
      </c>
      <c r="H2224" t="s">
        <v>2380</v>
      </c>
      <c r="I2224">
        <v>0</v>
      </c>
      <c r="J2224" t="s">
        <v>2380</v>
      </c>
    </row>
    <row r="2225" spans="1:10" x14ac:dyDescent="0.35">
      <c r="A2225" t="s">
        <v>134</v>
      </c>
      <c r="B2225" t="str">
        <f t="shared" si="70"/>
        <v>Normal Weight</v>
      </c>
      <c r="C2225">
        <v>23.21</v>
      </c>
      <c r="D2225">
        <v>5.24</v>
      </c>
      <c r="E2225" t="str">
        <f t="shared" si="71"/>
        <v>Normal</v>
      </c>
      <c r="F2225" t="s">
        <v>2381</v>
      </c>
      <c r="G2225" t="s">
        <v>2380</v>
      </c>
      <c r="H2225" t="s">
        <v>2380</v>
      </c>
      <c r="I2225">
        <v>0</v>
      </c>
      <c r="J2225" t="s">
        <v>2380</v>
      </c>
    </row>
    <row r="2226" spans="1:10" x14ac:dyDescent="0.35">
      <c r="A2226" t="s">
        <v>133</v>
      </c>
      <c r="B2226" t="str">
        <f t="shared" si="70"/>
        <v>Underweight</v>
      </c>
      <c r="C2226">
        <v>18.36</v>
      </c>
      <c r="D2226">
        <v>5.96</v>
      </c>
      <c r="E2226" t="str">
        <f t="shared" si="71"/>
        <v>Prediabetes</v>
      </c>
      <c r="F2226" t="s">
        <v>2380</v>
      </c>
      <c r="G2226" t="s">
        <v>2380</v>
      </c>
      <c r="H2226" t="s">
        <v>2380</v>
      </c>
      <c r="I2226">
        <v>1</v>
      </c>
      <c r="J2226" t="s">
        <v>2380</v>
      </c>
    </row>
    <row r="2227" spans="1:10" x14ac:dyDescent="0.35">
      <c r="A2227" t="s">
        <v>132</v>
      </c>
      <c r="B2227" t="str">
        <f t="shared" si="70"/>
        <v>Underweight</v>
      </c>
      <c r="C2227">
        <v>15.92</v>
      </c>
      <c r="D2227">
        <v>4.76</v>
      </c>
      <c r="E2227" t="str">
        <f t="shared" si="71"/>
        <v>Normal</v>
      </c>
      <c r="F2227" t="s">
        <v>2381</v>
      </c>
      <c r="G2227" t="s">
        <v>2380</v>
      </c>
      <c r="H2227" t="s">
        <v>2380</v>
      </c>
      <c r="I2227">
        <v>1</v>
      </c>
      <c r="J2227" t="s">
        <v>2380</v>
      </c>
    </row>
    <row r="2228" spans="1:10" x14ac:dyDescent="0.35">
      <c r="A2228" t="s">
        <v>131</v>
      </c>
      <c r="B2228" t="str">
        <f t="shared" si="70"/>
        <v>Underweight</v>
      </c>
      <c r="C2228">
        <v>15.17</v>
      </c>
      <c r="D2228">
        <v>4.3</v>
      </c>
      <c r="E2228" t="str">
        <f t="shared" si="71"/>
        <v>Normal</v>
      </c>
      <c r="F2228" t="s">
        <v>2381</v>
      </c>
      <c r="G2228" t="s">
        <v>2380</v>
      </c>
      <c r="H2228" t="s">
        <v>2382</v>
      </c>
      <c r="I2228">
        <v>1</v>
      </c>
      <c r="J2228" t="s">
        <v>2380</v>
      </c>
    </row>
    <row r="2229" spans="1:10" x14ac:dyDescent="0.35">
      <c r="A2229" t="s">
        <v>130</v>
      </c>
      <c r="B2229" t="str">
        <f t="shared" si="70"/>
        <v>Underweight</v>
      </c>
      <c r="C2229">
        <v>16.63</v>
      </c>
      <c r="D2229">
        <v>4.5</v>
      </c>
      <c r="E2229" t="str">
        <f t="shared" si="71"/>
        <v>Normal</v>
      </c>
      <c r="F2229" t="s">
        <v>2380</v>
      </c>
      <c r="G2229" t="s">
        <v>2380</v>
      </c>
      <c r="H2229" t="s">
        <v>2380</v>
      </c>
      <c r="I2229">
        <v>1</v>
      </c>
      <c r="J2229" t="s">
        <v>2380</v>
      </c>
    </row>
    <row r="2230" spans="1:10" x14ac:dyDescent="0.35">
      <c r="A2230" t="s">
        <v>129</v>
      </c>
      <c r="B2230" t="str">
        <f t="shared" si="70"/>
        <v>Normal Weight</v>
      </c>
      <c r="C2230">
        <v>19.39</v>
      </c>
      <c r="D2230">
        <v>5.59</v>
      </c>
      <c r="E2230" t="str">
        <f t="shared" si="71"/>
        <v>Normal</v>
      </c>
      <c r="F2230" t="s">
        <v>2380</v>
      </c>
      <c r="G2230" t="s">
        <v>2380</v>
      </c>
      <c r="H2230" t="s">
        <v>2382</v>
      </c>
      <c r="I2230">
        <v>1</v>
      </c>
      <c r="J2230" t="s">
        <v>2380</v>
      </c>
    </row>
    <row r="2231" spans="1:10" x14ac:dyDescent="0.35">
      <c r="A2231" t="s">
        <v>128</v>
      </c>
      <c r="B2231" t="str">
        <f t="shared" si="70"/>
        <v>Underweight</v>
      </c>
      <c r="C2231">
        <v>17.34</v>
      </c>
      <c r="D2231">
        <v>6.29</v>
      </c>
      <c r="E2231" t="str">
        <f t="shared" si="71"/>
        <v>Prediabetes</v>
      </c>
      <c r="F2231" t="s">
        <v>2381</v>
      </c>
      <c r="G2231" t="s">
        <v>2380</v>
      </c>
      <c r="H2231" t="s">
        <v>2382</v>
      </c>
      <c r="I2231">
        <v>1</v>
      </c>
      <c r="J2231" t="s">
        <v>2380</v>
      </c>
    </row>
    <row r="2232" spans="1:10" x14ac:dyDescent="0.35">
      <c r="A2232" t="s">
        <v>127</v>
      </c>
      <c r="B2232" t="str">
        <f t="shared" si="70"/>
        <v>Underweight</v>
      </c>
      <c r="C2232">
        <v>17.940000000000001</v>
      </c>
      <c r="D2232">
        <v>4.1900000000000004</v>
      </c>
      <c r="E2232" t="str">
        <f t="shared" si="71"/>
        <v>Normal</v>
      </c>
      <c r="F2232" t="s">
        <v>2380</v>
      </c>
      <c r="G2232" t="s">
        <v>2381</v>
      </c>
      <c r="H2232" t="s">
        <v>2380</v>
      </c>
      <c r="I2232">
        <v>1</v>
      </c>
      <c r="J2232" t="s">
        <v>2380</v>
      </c>
    </row>
    <row r="2233" spans="1:10" x14ac:dyDescent="0.35">
      <c r="A2233" t="s">
        <v>126</v>
      </c>
      <c r="B2233" t="str">
        <f t="shared" si="70"/>
        <v>Underweight</v>
      </c>
      <c r="C2233">
        <v>16.670000000000002</v>
      </c>
      <c r="D2233">
        <v>4.7</v>
      </c>
      <c r="E2233" t="str">
        <f t="shared" si="71"/>
        <v>Normal</v>
      </c>
      <c r="F2233" t="s">
        <v>2381</v>
      </c>
      <c r="G2233" t="s">
        <v>2380</v>
      </c>
      <c r="H2233" t="s">
        <v>2382</v>
      </c>
      <c r="I2233">
        <v>1</v>
      </c>
      <c r="J2233" t="s">
        <v>2380</v>
      </c>
    </row>
    <row r="2234" spans="1:10" x14ac:dyDescent="0.35">
      <c r="A2234" t="s">
        <v>125</v>
      </c>
      <c r="B2234" t="str">
        <f t="shared" si="70"/>
        <v>Normal Weight</v>
      </c>
      <c r="C2234">
        <v>20.58</v>
      </c>
      <c r="D2234">
        <v>5.64</v>
      </c>
      <c r="E2234" t="str">
        <f t="shared" si="71"/>
        <v>Normal</v>
      </c>
      <c r="F2234" t="s">
        <v>2381</v>
      </c>
      <c r="G2234" t="s">
        <v>2380</v>
      </c>
      <c r="H2234" t="s">
        <v>2380</v>
      </c>
      <c r="I2234">
        <v>0</v>
      </c>
      <c r="J2234" t="s">
        <v>2380</v>
      </c>
    </row>
    <row r="2235" spans="1:10" x14ac:dyDescent="0.35">
      <c r="A2235" t="s">
        <v>124</v>
      </c>
      <c r="B2235" t="str">
        <f t="shared" si="70"/>
        <v>Underweight</v>
      </c>
      <c r="C2235">
        <v>16.5</v>
      </c>
      <c r="D2235">
        <v>4.1100000000000003</v>
      </c>
      <c r="E2235" t="str">
        <f t="shared" si="71"/>
        <v>Normal</v>
      </c>
      <c r="F2235" t="s">
        <v>2381</v>
      </c>
      <c r="G2235" t="s">
        <v>2380</v>
      </c>
      <c r="H2235" t="s">
        <v>2380</v>
      </c>
      <c r="I2235">
        <v>0</v>
      </c>
      <c r="J2235" t="s">
        <v>2380</v>
      </c>
    </row>
    <row r="2236" spans="1:10" x14ac:dyDescent="0.35">
      <c r="A2236" t="s">
        <v>123</v>
      </c>
      <c r="B2236" t="str">
        <f t="shared" si="70"/>
        <v>Underweight</v>
      </c>
      <c r="C2236">
        <v>15.41</v>
      </c>
      <c r="D2236">
        <v>5.43</v>
      </c>
      <c r="E2236" t="str">
        <f t="shared" si="71"/>
        <v>Normal</v>
      </c>
      <c r="F2236" t="s">
        <v>2381</v>
      </c>
      <c r="G2236" t="s">
        <v>2380</v>
      </c>
      <c r="H2236" t="s">
        <v>2382</v>
      </c>
      <c r="I2236">
        <v>1</v>
      </c>
      <c r="J2236" t="s">
        <v>2380</v>
      </c>
    </row>
    <row r="2237" spans="1:10" x14ac:dyDescent="0.35">
      <c r="A2237" t="s">
        <v>122</v>
      </c>
      <c r="B2237" t="str">
        <f t="shared" si="70"/>
        <v>Normal Weight</v>
      </c>
      <c r="C2237">
        <v>24.59</v>
      </c>
      <c r="D2237">
        <v>4.38</v>
      </c>
      <c r="E2237" t="str">
        <f t="shared" si="71"/>
        <v>Normal</v>
      </c>
      <c r="F2237" t="s">
        <v>2380</v>
      </c>
      <c r="G2237" t="s">
        <v>2380</v>
      </c>
      <c r="H2237" t="s">
        <v>2380</v>
      </c>
      <c r="I2237">
        <v>1</v>
      </c>
      <c r="J2237" t="s">
        <v>2380</v>
      </c>
    </row>
    <row r="2238" spans="1:10" x14ac:dyDescent="0.35">
      <c r="A2238" t="s">
        <v>121</v>
      </c>
      <c r="B2238" t="str">
        <f t="shared" si="70"/>
        <v>Obesity</v>
      </c>
      <c r="C2238">
        <v>33.33</v>
      </c>
      <c r="D2238">
        <v>9.7899999999999991</v>
      </c>
      <c r="E2238" t="str">
        <f t="shared" si="71"/>
        <v>Diabetes</v>
      </c>
      <c r="F2238" t="s">
        <v>2380</v>
      </c>
      <c r="G2238" t="s">
        <v>2380</v>
      </c>
      <c r="H2238" t="s">
        <v>2380</v>
      </c>
      <c r="I2238">
        <v>0</v>
      </c>
      <c r="J2238" t="s">
        <v>2380</v>
      </c>
    </row>
    <row r="2239" spans="1:10" x14ac:dyDescent="0.35">
      <c r="A2239" t="s">
        <v>120</v>
      </c>
      <c r="B2239" t="str">
        <f t="shared" si="70"/>
        <v>Normal Weight</v>
      </c>
      <c r="C2239">
        <v>18.5</v>
      </c>
      <c r="D2239">
        <v>11.84</v>
      </c>
      <c r="E2239" t="str">
        <f t="shared" si="71"/>
        <v>Diabetes</v>
      </c>
      <c r="F2239" t="s">
        <v>2380</v>
      </c>
      <c r="G2239" t="s">
        <v>2380</v>
      </c>
      <c r="H2239" t="s">
        <v>2380</v>
      </c>
      <c r="I2239">
        <v>0</v>
      </c>
      <c r="J2239" t="s">
        <v>2380</v>
      </c>
    </row>
    <row r="2240" spans="1:10" x14ac:dyDescent="0.35">
      <c r="A2240" t="s">
        <v>119</v>
      </c>
      <c r="B2240" t="str">
        <f t="shared" si="70"/>
        <v>Normal Weight</v>
      </c>
      <c r="C2240">
        <v>18.579999999999998</v>
      </c>
      <c r="D2240">
        <v>6.22</v>
      </c>
      <c r="E2240" t="str">
        <f t="shared" si="71"/>
        <v>Prediabetes</v>
      </c>
      <c r="F2240" t="s">
        <v>2380</v>
      </c>
      <c r="G2240" t="s">
        <v>2380</v>
      </c>
      <c r="H2240" t="s">
        <v>2380</v>
      </c>
      <c r="I2240">
        <v>0</v>
      </c>
      <c r="J2240" t="s">
        <v>2380</v>
      </c>
    </row>
    <row r="2241" spans="1:10" x14ac:dyDescent="0.35">
      <c r="A2241" t="s">
        <v>118</v>
      </c>
      <c r="B2241" t="str">
        <f t="shared" si="70"/>
        <v>Underweight</v>
      </c>
      <c r="C2241">
        <v>16.64</v>
      </c>
      <c r="D2241">
        <v>10.01</v>
      </c>
      <c r="E2241" t="str">
        <f t="shared" si="71"/>
        <v>Diabetes</v>
      </c>
      <c r="F2241" t="s">
        <v>2380</v>
      </c>
      <c r="G2241" t="s">
        <v>2380</v>
      </c>
      <c r="H2241" t="s">
        <v>2380</v>
      </c>
      <c r="I2241">
        <v>0</v>
      </c>
      <c r="J2241" t="s">
        <v>2380</v>
      </c>
    </row>
    <row r="2242" spans="1:10" x14ac:dyDescent="0.35">
      <c r="A2242" t="s">
        <v>117</v>
      </c>
      <c r="B2242" t="str">
        <f t="shared" si="70"/>
        <v>Normal Weight</v>
      </c>
      <c r="C2242">
        <v>19.329999999999998</v>
      </c>
      <c r="D2242">
        <v>4.32</v>
      </c>
      <c r="E2242" t="str">
        <f t="shared" si="71"/>
        <v>Normal</v>
      </c>
      <c r="F2242" t="s">
        <v>2380</v>
      </c>
      <c r="G2242" t="s">
        <v>2380</v>
      </c>
      <c r="H2242" t="s">
        <v>2380</v>
      </c>
      <c r="I2242">
        <v>1</v>
      </c>
      <c r="J2242" t="s">
        <v>2380</v>
      </c>
    </row>
    <row r="2243" spans="1:10" x14ac:dyDescent="0.35">
      <c r="A2243" t="s">
        <v>116</v>
      </c>
      <c r="B2243" t="str">
        <f t="shared" ref="B2243:B2306" si="72">IF(C2243&lt;18.5,"Underweight",IF(C2243&lt;25,"Normal Weight",IF(C2243&lt;30,"Overweight","Obesity")))</f>
        <v>Normal Weight</v>
      </c>
      <c r="C2243">
        <v>21.26</v>
      </c>
      <c r="D2243">
        <v>5.65</v>
      </c>
      <c r="E2243" t="str">
        <f t="shared" ref="E2243:E2306" si="73">IF(D2243&lt;5.7,"Normal",IF(D2243&lt;6.5,"Prediabetes","Diabetes"))</f>
        <v>Normal</v>
      </c>
      <c r="F2243" t="s">
        <v>2381</v>
      </c>
      <c r="G2243" t="s">
        <v>2380</v>
      </c>
      <c r="H2243" t="s">
        <v>2382</v>
      </c>
      <c r="I2243">
        <v>1</v>
      </c>
      <c r="J2243" t="s">
        <v>2380</v>
      </c>
    </row>
    <row r="2244" spans="1:10" x14ac:dyDescent="0.35">
      <c r="A2244" t="s">
        <v>115</v>
      </c>
      <c r="B2244" t="str">
        <f t="shared" si="72"/>
        <v>Underweight</v>
      </c>
      <c r="C2244">
        <v>15.6</v>
      </c>
      <c r="D2244">
        <v>4.12</v>
      </c>
      <c r="E2244" t="str">
        <f t="shared" si="73"/>
        <v>Normal</v>
      </c>
      <c r="F2244" t="s">
        <v>2381</v>
      </c>
      <c r="G2244" t="s">
        <v>2380</v>
      </c>
      <c r="H2244" t="s">
        <v>2380</v>
      </c>
      <c r="I2244">
        <v>1</v>
      </c>
      <c r="J2244" t="s">
        <v>2380</v>
      </c>
    </row>
    <row r="2245" spans="1:10" x14ac:dyDescent="0.35">
      <c r="A2245" t="s">
        <v>114</v>
      </c>
      <c r="B2245" t="str">
        <f t="shared" si="72"/>
        <v>Normal Weight</v>
      </c>
      <c r="C2245">
        <v>24.39</v>
      </c>
      <c r="D2245">
        <v>6.24</v>
      </c>
      <c r="E2245" t="str">
        <f t="shared" si="73"/>
        <v>Prediabetes</v>
      </c>
      <c r="F2245" t="s">
        <v>2380</v>
      </c>
      <c r="G2245" t="s">
        <v>2380</v>
      </c>
      <c r="H2245" t="s">
        <v>2380</v>
      </c>
      <c r="I2245">
        <v>1</v>
      </c>
      <c r="J2245" t="s">
        <v>2380</v>
      </c>
    </row>
    <row r="2246" spans="1:10" x14ac:dyDescent="0.35">
      <c r="A2246" t="s">
        <v>113</v>
      </c>
      <c r="B2246" t="str">
        <f t="shared" si="72"/>
        <v>Normal Weight</v>
      </c>
      <c r="C2246">
        <v>24.75</v>
      </c>
      <c r="D2246">
        <v>4.83</v>
      </c>
      <c r="E2246" t="str">
        <f t="shared" si="73"/>
        <v>Normal</v>
      </c>
      <c r="F2246" t="s">
        <v>2380</v>
      </c>
      <c r="G2246" t="s">
        <v>2380</v>
      </c>
      <c r="H2246" t="s">
        <v>2380</v>
      </c>
      <c r="I2246">
        <v>0</v>
      </c>
      <c r="J2246" t="s">
        <v>2380</v>
      </c>
    </row>
    <row r="2247" spans="1:10" x14ac:dyDescent="0.35">
      <c r="A2247" t="s">
        <v>112</v>
      </c>
      <c r="B2247" t="str">
        <f t="shared" si="72"/>
        <v>Normal Weight</v>
      </c>
      <c r="C2247">
        <v>20.88</v>
      </c>
      <c r="D2247">
        <v>7.4</v>
      </c>
      <c r="E2247" t="str">
        <f t="shared" si="73"/>
        <v>Diabetes</v>
      </c>
      <c r="F2247" t="s">
        <v>2380</v>
      </c>
      <c r="G2247" t="s">
        <v>2380</v>
      </c>
      <c r="H2247" t="s">
        <v>2380</v>
      </c>
      <c r="I2247">
        <v>0</v>
      </c>
      <c r="J2247" t="s">
        <v>2380</v>
      </c>
    </row>
    <row r="2248" spans="1:10" x14ac:dyDescent="0.35">
      <c r="A2248" t="s">
        <v>111</v>
      </c>
      <c r="B2248" t="str">
        <f t="shared" si="72"/>
        <v>Normal Weight</v>
      </c>
      <c r="C2248">
        <v>20.43</v>
      </c>
      <c r="D2248">
        <v>4.54</v>
      </c>
      <c r="E2248" t="str">
        <f t="shared" si="73"/>
        <v>Normal</v>
      </c>
      <c r="F2248" t="s">
        <v>2380</v>
      </c>
      <c r="G2248" t="s">
        <v>2380</v>
      </c>
      <c r="H2248" t="s">
        <v>2380</v>
      </c>
      <c r="I2248">
        <v>0</v>
      </c>
      <c r="J2248" t="s">
        <v>2380</v>
      </c>
    </row>
    <row r="2249" spans="1:10" x14ac:dyDescent="0.35">
      <c r="A2249" t="s">
        <v>110</v>
      </c>
      <c r="B2249" t="str">
        <f t="shared" si="72"/>
        <v>Underweight</v>
      </c>
      <c r="C2249">
        <v>15.18</v>
      </c>
      <c r="D2249">
        <v>11.11</v>
      </c>
      <c r="E2249" t="str">
        <f t="shared" si="73"/>
        <v>Diabetes</v>
      </c>
      <c r="F2249" t="s">
        <v>2380</v>
      </c>
      <c r="G2249" t="s">
        <v>2380</v>
      </c>
      <c r="H2249" t="s">
        <v>2380</v>
      </c>
      <c r="I2249">
        <v>0</v>
      </c>
      <c r="J2249" t="s">
        <v>2380</v>
      </c>
    </row>
    <row r="2250" spans="1:10" x14ac:dyDescent="0.35">
      <c r="A2250" t="s">
        <v>109</v>
      </c>
      <c r="B2250" t="str">
        <f t="shared" si="72"/>
        <v>Underweight</v>
      </c>
      <c r="C2250">
        <v>15.12</v>
      </c>
      <c r="D2250">
        <v>4.03</v>
      </c>
      <c r="E2250" t="str">
        <f t="shared" si="73"/>
        <v>Normal</v>
      </c>
      <c r="F2250" t="s">
        <v>2381</v>
      </c>
      <c r="G2250" t="s">
        <v>2380</v>
      </c>
      <c r="H2250" t="s">
        <v>2380</v>
      </c>
      <c r="I2250">
        <v>0</v>
      </c>
      <c r="J2250" t="s">
        <v>2380</v>
      </c>
    </row>
    <row r="2251" spans="1:10" x14ac:dyDescent="0.35">
      <c r="A2251" t="s">
        <v>108</v>
      </c>
      <c r="B2251" t="str">
        <f t="shared" si="72"/>
        <v>Normal Weight</v>
      </c>
      <c r="C2251">
        <v>23.88</v>
      </c>
      <c r="D2251">
        <v>4.51</v>
      </c>
      <c r="E2251" t="str">
        <f t="shared" si="73"/>
        <v>Normal</v>
      </c>
      <c r="F2251" t="s">
        <v>2380</v>
      </c>
      <c r="G2251" t="s">
        <v>2380</v>
      </c>
      <c r="H2251" t="s">
        <v>2380</v>
      </c>
      <c r="I2251">
        <v>1</v>
      </c>
      <c r="J2251" t="s">
        <v>2380</v>
      </c>
    </row>
    <row r="2252" spans="1:10" x14ac:dyDescent="0.35">
      <c r="A2252" t="s">
        <v>107</v>
      </c>
      <c r="B2252" t="str">
        <f t="shared" si="72"/>
        <v>Underweight</v>
      </c>
      <c r="C2252">
        <v>16.13</v>
      </c>
      <c r="D2252">
        <v>5.56</v>
      </c>
      <c r="E2252" t="str">
        <f t="shared" si="73"/>
        <v>Normal</v>
      </c>
      <c r="F2252" t="s">
        <v>2380</v>
      </c>
      <c r="G2252" t="s">
        <v>2381</v>
      </c>
      <c r="H2252" t="s">
        <v>2380</v>
      </c>
      <c r="I2252">
        <v>1</v>
      </c>
      <c r="J2252" t="s">
        <v>2380</v>
      </c>
    </row>
    <row r="2253" spans="1:10" x14ac:dyDescent="0.35">
      <c r="A2253" t="s">
        <v>106</v>
      </c>
      <c r="B2253" t="str">
        <f t="shared" si="72"/>
        <v>Normal Weight</v>
      </c>
      <c r="C2253">
        <v>24.09</v>
      </c>
      <c r="D2253">
        <v>4.0999999999999996</v>
      </c>
      <c r="E2253" t="str">
        <f t="shared" si="73"/>
        <v>Normal</v>
      </c>
      <c r="F2253" t="s">
        <v>2380</v>
      </c>
      <c r="G2253" t="s">
        <v>2381</v>
      </c>
      <c r="H2253" t="s">
        <v>2380</v>
      </c>
      <c r="I2253">
        <v>1</v>
      </c>
      <c r="J2253" t="s">
        <v>2380</v>
      </c>
    </row>
    <row r="2254" spans="1:10" x14ac:dyDescent="0.35">
      <c r="A2254" t="s">
        <v>105</v>
      </c>
      <c r="B2254" t="str">
        <f t="shared" si="72"/>
        <v>Normal Weight</v>
      </c>
      <c r="C2254">
        <v>19.43</v>
      </c>
      <c r="D2254">
        <v>5.85</v>
      </c>
      <c r="E2254" t="str">
        <f t="shared" si="73"/>
        <v>Prediabetes</v>
      </c>
      <c r="F2254" t="s">
        <v>2380</v>
      </c>
      <c r="G2254" t="s">
        <v>2381</v>
      </c>
      <c r="H2254" t="s">
        <v>2380</v>
      </c>
      <c r="I2254">
        <v>1</v>
      </c>
      <c r="J2254" t="s">
        <v>2380</v>
      </c>
    </row>
    <row r="2255" spans="1:10" x14ac:dyDescent="0.35">
      <c r="A2255" t="s">
        <v>104</v>
      </c>
      <c r="B2255" t="str">
        <f t="shared" si="72"/>
        <v>Underweight</v>
      </c>
      <c r="C2255">
        <v>15.22</v>
      </c>
      <c r="D2255">
        <v>4.92</v>
      </c>
      <c r="E2255" t="str">
        <f t="shared" si="73"/>
        <v>Normal</v>
      </c>
      <c r="F2255" t="s">
        <v>2381</v>
      </c>
      <c r="G2255" t="s">
        <v>2380</v>
      </c>
      <c r="H2255" t="s">
        <v>2382</v>
      </c>
      <c r="I2255">
        <v>1</v>
      </c>
      <c r="J2255" t="s">
        <v>2380</v>
      </c>
    </row>
    <row r="2256" spans="1:10" x14ac:dyDescent="0.35">
      <c r="A2256" t="s">
        <v>103</v>
      </c>
      <c r="B2256" t="str">
        <f t="shared" si="72"/>
        <v>Normal Weight</v>
      </c>
      <c r="C2256">
        <v>20.72</v>
      </c>
      <c r="D2256">
        <v>9.4600000000000009</v>
      </c>
      <c r="E2256" t="str">
        <f t="shared" si="73"/>
        <v>Diabetes</v>
      </c>
      <c r="F2256" t="s">
        <v>2380</v>
      </c>
      <c r="G2256" t="s">
        <v>2380</v>
      </c>
      <c r="H2256" t="s">
        <v>2380</v>
      </c>
      <c r="I2256">
        <v>0</v>
      </c>
      <c r="J2256" t="s">
        <v>2380</v>
      </c>
    </row>
    <row r="2257" spans="1:10" x14ac:dyDescent="0.35">
      <c r="A2257" t="s">
        <v>102</v>
      </c>
      <c r="B2257" t="str">
        <f t="shared" si="72"/>
        <v>Obesity</v>
      </c>
      <c r="C2257">
        <v>35.4</v>
      </c>
      <c r="D2257">
        <v>5.94</v>
      </c>
      <c r="E2257" t="str">
        <f t="shared" si="73"/>
        <v>Prediabetes</v>
      </c>
      <c r="F2257" t="s">
        <v>2380</v>
      </c>
      <c r="G2257" t="s">
        <v>2380</v>
      </c>
      <c r="H2257" t="s">
        <v>2382</v>
      </c>
      <c r="I2257">
        <v>1</v>
      </c>
      <c r="J2257" t="s">
        <v>2380</v>
      </c>
    </row>
    <row r="2258" spans="1:10" x14ac:dyDescent="0.35">
      <c r="A2258" t="s">
        <v>101</v>
      </c>
      <c r="B2258" t="str">
        <f t="shared" si="72"/>
        <v>Obesity</v>
      </c>
      <c r="C2258">
        <v>34.4</v>
      </c>
      <c r="D2258">
        <v>5.7</v>
      </c>
      <c r="E2258" t="str">
        <f t="shared" si="73"/>
        <v>Prediabetes</v>
      </c>
      <c r="F2258" t="s">
        <v>2380</v>
      </c>
      <c r="G2258" t="s">
        <v>2380</v>
      </c>
      <c r="H2258" t="s">
        <v>2382</v>
      </c>
      <c r="I2258">
        <v>1</v>
      </c>
      <c r="J2258" t="s">
        <v>2380</v>
      </c>
    </row>
    <row r="2259" spans="1:10" x14ac:dyDescent="0.35">
      <c r="A2259" t="s">
        <v>100</v>
      </c>
      <c r="B2259" t="str">
        <f t="shared" si="72"/>
        <v>Obesity</v>
      </c>
      <c r="C2259">
        <v>34.1</v>
      </c>
      <c r="D2259">
        <v>4.13</v>
      </c>
      <c r="E2259" t="str">
        <f t="shared" si="73"/>
        <v>Normal</v>
      </c>
      <c r="F2259" t="s">
        <v>2380</v>
      </c>
      <c r="G2259" t="s">
        <v>2380</v>
      </c>
      <c r="H2259" t="s">
        <v>2382</v>
      </c>
      <c r="I2259">
        <v>1</v>
      </c>
      <c r="J2259" t="s">
        <v>2380</v>
      </c>
    </row>
    <row r="2260" spans="1:10" x14ac:dyDescent="0.35">
      <c r="A2260" t="s">
        <v>99</v>
      </c>
      <c r="B2260" t="str">
        <f t="shared" si="72"/>
        <v>Obesity</v>
      </c>
      <c r="C2260">
        <v>30.4</v>
      </c>
      <c r="D2260">
        <v>4.7699999999999996</v>
      </c>
      <c r="E2260" t="str">
        <f t="shared" si="73"/>
        <v>Normal</v>
      </c>
      <c r="F2260" t="s">
        <v>2380</v>
      </c>
      <c r="G2260" t="s">
        <v>2380</v>
      </c>
      <c r="H2260" t="s">
        <v>2382</v>
      </c>
      <c r="I2260">
        <v>1</v>
      </c>
      <c r="J2260" t="s">
        <v>2380</v>
      </c>
    </row>
    <row r="2261" spans="1:10" x14ac:dyDescent="0.35">
      <c r="A2261" t="s">
        <v>98</v>
      </c>
      <c r="B2261" t="str">
        <f t="shared" si="72"/>
        <v>Overweight</v>
      </c>
      <c r="C2261">
        <v>28.7</v>
      </c>
      <c r="D2261">
        <v>4.99</v>
      </c>
      <c r="E2261" t="str">
        <f t="shared" si="73"/>
        <v>Normal</v>
      </c>
      <c r="F2261" t="s">
        <v>2380</v>
      </c>
      <c r="G2261" t="s">
        <v>2380</v>
      </c>
      <c r="H2261" t="s">
        <v>2382</v>
      </c>
      <c r="I2261">
        <v>1</v>
      </c>
      <c r="J2261" t="s">
        <v>2380</v>
      </c>
    </row>
    <row r="2262" spans="1:10" x14ac:dyDescent="0.35">
      <c r="A2262" t="s">
        <v>97</v>
      </c>
      <c r="B2262" t="str">
        <f t="shared" si="72"/>
        <v>Underweight</v>
      </c>
      <c r="C2262">
        <v>17.440000000000001</v>
      </c>
      <c r="D2262">
        <v>4.42</v>
      </c>
      <c r="E2262" t="str">
        <f t="shared" si="73"/>
        <v>Normal</v>
      </c>
      <c r="F2262" t="s">
        <v>2381</v>
      </c>
      <c r="G2262" t="s">
        <v>2380</v>
      </c>
      <c r="H2262" t="s">
        <v>2382</v>
      </c>
      <c r="I2262">
        <v>1</v>
      </c>
      <c r="J2262" t="s">
        <v>2380</v>
      </c>
    </row>
    <row r="2263" spans="1:10" x14ac:dyDescent="0.35">
      <c r="A2263" t="s">
        <v>96</v>
      </c>
      <c r="B2263" t="str">
        <f t="shared" si="72"/>
        <v>Overweight</v>
      </c>
      <c r="C2263">
        <v>27.6</v>
      </c>
      <c r="D2263">
        <v>4.01</v>
      </c>
      <c r="E2263" t="str">
        <f t="shared" si="73"/>
        <v>Normal</v>
      </c>
      <c r="F2263" t="s">
        <v>2380</v>
      </c>
      <c r="G2263" t="s">
        <v>2380</v>
      </c>
      <c r="H2263" t="s">
        <v>2382</v>
      </c>
      <c r="I2263">
        <v>1</v>
      </c>
      <c r="J2263" t="s">
        <v>2380</v>
      </c>
    </row>
    <row r="2264" spans="1:10" x14ac:dyDescent="0.35">
      <c r="A2264" t="s">
        <v>95</v>
      </c>
      <c r="B2264" t="str">
        <f t="shared" si="72"/>
        <v>Normal Weight</v>
      </c>
      <c r="C2264">
        <v>20.7</v>
      </c>
      <c r="D2264">
        <v>4.49</v>
      </c>
      <c r="E2264" t="str">
        <f t="shared" si="73"/>
        <v>Normal</v>
      </c>
      <c r="F2264" t="s">
        <v>2380</v>
      </c>
      <c r="G2264" t="s">
        <v>2380</v>
      </c>
      <c r="H2264" t="s">
        <v>2382</v>
      </c>
      <c r="I2264">
        <v>1</v>
      </c>
      <c r="J2264" t="s">
        <v>2380</v>
      </c>
    </row>
    <row r="2265" spans="1:10" x14ac:dyDescent="0.35">
      <c r="A2265" t="s">
        <v>94</v>
      </c>
      <c r="B2265" t="str">
        <f t="shared" si="72"/>
        <v>Normal Weight</v>
      </c>
      <c r="C2265">
        <v>20.3</v>
      </c>
      <c r="D2265">
        <v>6.37</v>
      </c>
      <c r="E2265" t="str">
        <f t="shared" si="73"/>
        <v>Prediabetes</v>
      </c>
      <c r="F2265" t="s">
        <v>2380</v>
      </c>
      <c r="G2265" t="s">
        <v>2380</v>
      </c>
      <c r="H2265" t="s">
        <v>2382</v>
      </c>
      <c r="I2265">
        <v>1</v>
      </c>
      <c r="J2265" t="s">
        <v>2380</v>
      </c>
    </row>
    <row r="2266" spans="1:10" x14ac:dyDescent="0.35">
      <c r="A2266" t="s">
        <v>93</v>
      </c>
      <c r="B2266" t="str">
        <f t="shared" si="72"/>
        <v>Normal Weight</v>
      </c>
      <c r="C2266">
        <v>19.8</v>
      </c>
      <c r="D2266">
        <v>5.12</v>
      </c>
      <c r="E2266" t="str">
        <f t="shared" si="73"/>
        <v>Normal</v>
      </c>
      <c r="F2266" t="s">
        <v>2380</v>
      </c>
      <c r="G2266" t="s">
        <v>2380</v>
      </c>
      <c r="H2266" t="s">
        <v>2382</v>
      </c>
      <c r="I2266">
        <v>1</v>
      </c>
      <c r="J2266" t="s">
        <v>2380</v>
      </c>
    </row>
    <row r="2267" spans="1:10" x14ac:dyDescent="0.35">
      <c r="A2267" t="s">
        <v>92</v>
      </c>
      <c r="B2267" t="str">
        <f t="shared" si="72"/>
        <v>Normal Weight</v>
      </c>
      <c r="C2267">
        <v>21.87</v>
      </c>
      <c r="D2267">
        <v>8.59</v>
      </c>
      <c r="E2267" t="str">
        <f t="shared" si="73"/>
        <v>Diabetes</v>
      </c>
      <c r="F2267" t="s">
        <v>2380</v>
      </c>
      <c r="G2267" t="s">
        <v>2380</v>
      </c>
      <c r="H2267" t="s">
        <v>2380</v>
      </c>
      <c r="I2267">
        <v>0</v>
      </c>
      <c r="J2267" t="s">
        <v>2380</v>
      </c>
    </row>
    <row r="2268" spans="1:10" x14ac:dyDescent="0.35">
      <c r="A2268" t="s">
        <v>91</v>
      </c>
      <c r="B2268" t="str">
        <f t="shared" si="72"/>
        <v>Underweight</v>
      </c>
      <c r="C2268">
        <v>16.600000000000001</v>
      </c>
      <c r="D2268">
        <v>5.87</v>
      </c>
      <c r="E2268" t="str">
        <f t="shared" si="73"/>
        <v>Prediabetes</v>
      </c>
      <c r="F2268" t="s">
        <v>2380</v>
      </c>
      <c r="G2268" t="s">
        <v>2380</v>
      </c>
      <c r="H2268" t="s">
        <v>2380</v>
      </c>
      <c r="I2268">
        <v>1</v>
      </c>
      <c r="J2268" t="s">
        <v>2380</v>
      </c>
    </row>
    <row r="2269" spans="1:10" x14ac:dyDescent="0.35">
      <c r="A2269" t="s">
        <v>90</v>
      </c>
      <c r="B2269" t="str">
        <f t="shared" si="72"/>
        <v>Normal Weight</v>
      </c>
      <c r="C2269">
        <v>21.98</v>
      </c>
      <c r="D2269">
        <v>7.03</v>
      </c>
      <c r="E2269" t="str">
        <f t="shared" si="73"/>
        <v>Diabetes</v>
      </c>
      <c r="F2269" t="s">
        <v>2380</v>
      </c>
      <c r="G2269" t="s">
        <v>2380</v>
      </c>
      <c r="H2269" t="s">
        <v>2380</v>
      </c>
      <c r="I2269">
        <v>0</v>
      </c>
      <c r="J2269" t="s">
        <v>2380</v>
      </c>
    </row>
    <row r="2270" spans="1:10" x14ac:dyDescent="0.35">
      <c r="A2270" t="s">
        <v>89</v>
      </c>
      <c r="B2270" t="str">
        <f t="shared" si="72"/>
        <v>Normal Weight</v>
      </c>
      <c r="C2270">
        <v>19.7</v>
      </c>
      <c r="D2270">
        <v>5.51</v>
      </c>
      <c r="E2270" t="str">
        <f t="shared" si="73"/>
        <v>Normal</v>
      </c>
      <c r="F2270" t="s">
        <v>2380</v>
      </c>
      <c r="G2270" t="s">
        <v>2380</v>
      </c>
      <c r="H2270" t="s">
        <v>2380</v>
      </c>
      <c r="I2270">
        <v>1</v>
      </c>
      <c r="J2270" t="s">
        <v>2380</v>
      </c>
    </row>
    <row r="2271" spans="1:10" x14ac:dyDescent="0.35">
      <c r="A2271" t="s">
        <v>88</v>
      </c>
      <c r="B2271" t="str">
        <f t="shared" si="72"/>
        <v>Normal Weight</v>
      </c>
      <c r="C2271">
        <v>19.21</v>
      </c>
      <c r="D2271">
        <v>4.76</v>
      </c>
      <c r="E2271" t="str">
        <f t="shared" si="73"/>
        <v>Normal</v>
      </c>
      <c r="F2271" t="s">
        <v>2380</v>
      </c>
      <c r="G2271" t="s">
        <v>2381</v>
      </c>
      <c r="H2271" t="s">
        <v>2380</v>
      </c>
      <c r="I2271">
        <v>1</v>
      </c>
      <c r="J2271" t="s">
        <v>2380</v>
      </c>
    </row>
    <row r="2272" spans="1:10" x14ac:dyDescent="0.35">
      <c r="A2272" t="s">
        <v>87</v>
      </c>
      <c r="B2272" t="str">
        <f t="shared" si="72"/>
        <v>Normal Weight</v>
      </c>
      <c r="C2272">
        <v>19.3</v>
      </c>
      <c r="D2272">
        <v>4.7</v>
      </c>
      <c r="E2272" t="str">
        <f t="shared" si="73"/>
        <v>Normal</v>
      </c>
      <c r="F2272" t="s">
        <v>2380</v>
      </c>
      <c r="G2272" t="s">
        <v>2381</v>
      </c>
      <c r="H2272" t="s">
        <v>2380</v>
      </c>
      <c r="I2272">
        <v>1</v>
      </c>
      <c r="J2272" t="s">
        <v>2380</v>
      </c>
    </row>
    <row r="2273" spans="1:10" x14ac:dyDescent="0.35">
      <c r="A2273" t="s">
        <v>86</v>
      </c>
      <c r="B2273" t="str">
        <f t="shared" si="72"/>
        <v>Underweight</v>
      </c>
      <c r="C2273">
        <v>16.22</v>
      </c>
      <c r="D2273">
        <v>6.21</v>
      </c>
      <c r="E2273" t="str">
        <f t="shared" si="73"/>
        <v>Prediabetes</v>
      </c>
      <c r="F2273" t="s">
        <v>2381</v>
      </c>
      <c r="G2273" t="s">
        <v>2380</v>
      </c>
      <c r="H2273" t="s">
        <v>2380</v>
      </c>
      <c r="I2273">
        <v>0</v>
      </c>
      <c r="J2273" t="s">
        <v>2380</v>
      </c>
    </row>
    <row r="2274" spans="1:10" x14ac:dyDescent="0.35">
      <c r="A2274" t="s">
        <v>85</v>
      </c>
      <c r="B2274" t="str">
        <f t="shared" si="72"/>
        <v>Underweight</v>
      </c>
      <c r="C2274">
        <v>17.12</v>
      </c>
      <c r="D2274">
        <v>4.5199999999999996</v>
      </c>
      <c r="E2274" t="str">
        <f t="shared" si="73"/>
        <v>Normal</v>
      </c>
      <c r="F2274" t="s">
        <v>2380</v>
      </c>
      <c r="G2274" t="s">
        <v>2381</v>
      </c>
      <c r="H2274" t="s">
        <v>2380</v>
      </c>
      <c r="I2274">
        <v>1</v>
      </c>
      <c r="J2274" t="s">
        <v>2380</v>
      </c>
    </row>
    <row r="2275" spans="1:10" x14ac:dyDescent="0.35">
      <c r="A2275" t="s">
        <v>84</v>
      </c>
      <c r="B2275" t="str">
        <f t="shared" si="72"/>
        <v>Normal Weight</v>
      </c>
      <c r="C2275">
        <v>19.07</v>
      </c>
      <c r="D2275">
        <v>5.45</v>
      </c>
      <c r="E2275" t="str">
        <f t="shared" si="73"/>
        <v>Normal</v>
      </c>
      <c r="F2275" t="s">
        <v>2380</v>
      </c>
      <c r="G2275" t="s">
        <v>2380</v>
      </c>
      <c r="H2275" t="s">
        <v>2380</v>
      </c>
      <c r="I2275">
        <v>1</v>
      </c>
      <c r="J2275" t="s">
        <v>2380</v>
      </c>
    </row>
    <row r="2276" spans="1:10" x14ac:dyDescent="0.35">
      <c r="A2276" t="s">
        <v>83</v>
      </c>
      <c r="B2276" t="str">
        <f t="shared" si="72"/>
        <v>Underweight</v>
      </c>
      <c r="C2276">
        <v>15.56</v>
      </c>
      <c r="D2276">
        <v>4.42</v>
      </c>
      <c r="E2276" t="str">
        <f t="shared" si="73"/>
        <v>Normal</v>
      </c>
      <c r="F2276" t="s">
        <v>2380</v>
      </c>
      <c r="G2276" t="s">
        <v>2380</v>
      </c>
      <c r="H2276" t="s">
        <v>2380</v>
      </c>
      <c r="I2276">
        <v>0</v>
      </c>
      <c r="J2276" t="s">
        <v>2380</v>
      </c>
    </row>
    <row r="2277" spans="1:10" x14ac:dyDescent="0.35">
      <c r="A2277" t="s">
        <v>82</v>
      </c>
      <c r="B2277" t="str">
        <f t="shared" si="72"/>
        <v>Normal Weight</v>
      </c>
      <c r="C2277">
        <v>22.76</v>
      </c>
      <c r="D2277">
        <v>9.44</v>
      </c>
      <c r="E2277" t="str">
        <f t="shared" si="73"/>
        <v>Diabetes</v>
      </c>
      <c r="F2277" t="s">
        <v>2380</v>
      </c>
      <c r="G2277" t="s">
        <v>2380</v>
      </c>
      <c r="H2277" t="s">
        <v>2380</v>
      </c>
      <c r="I2277">
        <v>0</v>
      </c>
      <c r="J2277" t="s">
        <v>2380</v>
      </c>
    </row>
    <row r="2278" spans="1:10" x14ac:dyDescent="0.35">
      <c r="A2278" t="s">
        <v>81</v>
      </c>
      <c r="B2278" t="str">
        <f t="shared" si="72"/>
        <v>Normal Weight</v>
      </c>
      <c r="C2278">
        <v>22.79</v>
      </c>
      <c r="D2278">
        <v>6.15</v>
      </c>
      <c r="E2278" t="str">
        <f t="shared" si="73"/>
        <v>Prediabetes</v>
      </c>
      <c r="F2278" t="s">
        <v>2381</v>
      </c>
      <c r="G2278" t="s">
        <v>2380</v>
      </c>
      <c r="H2278" t="s">
        <v>2382</v>
      </c>
      <c r="I2278">
        <v>1</v>
      </c>
      <c r="J2278" t="s">
        <v>2380</v>
      </c>
    </row>
    <row r="2279" spans="1:10" x14ac:dyDescent="0.35">
      <c r="A2279" t="s">
        <v>80</v>
      </c>
      <c r="B2279" t="str">
        <f t="shared" si="72"/>
        <v>Underweight</v>
      </c>
      <c r="C2279">
        <v>17.41</v>
      </c>
      <c r="D2279">
        <v>5.13</v>
      </c>
      <c r="E2279" t="str">
        <f t="shared" si="73"/>
        <v>Normal</v>
      </c>
      <c r="F2279" t="s">
        <v>2381</v>
      </c>
      <c r="G2279" t="s">
        <v>2380</v>
      </c>
      <c r="H2279" t="s">
        <v>2380</v>
      </c>
      <c r="I2279">
        <v>0</v>
      </c>
      <c r="J2279" t="s">
        <v>2380</v>
      </c>
    </row>
    <row r="2280" spans="1:10" x14ac:dyDescent="0.35">
      <c r="A2280" t="s">
        <v>79</v>
      </c>
      <c r="B2280" t="str">
        <f t="shared" si="72"/>
        <v>Normal Weight</v>
      </c>
      <c r="C2280">
        <v>19.32</v>
      </c>
      <c r="D2280">
        <v>4.96</v>
      </c>
      <c r="E2280" t="str">
        <f t="shared" si="73"/>
        <v>Normal</v>
      </c>
      <c r="F2280" t="s">
        <v>2381</v>
      </c>
      <c r="G2280" t="s">
        <v>2380</v>
      </c>
      <c r="H2280" t="s">
        <v>2380</v>
      </c>
      <c r="I2280">
        <v>0</v>
      </c>
      <c r="J2280" t="s">
        <v>2380</v>
      </c>
    </row>
    <row r="2281" spans="1:10" x14ac:dyDescent="0.35">
      <c r="A2281" t="s">
        <v>78</v>
      </c>
      <c r="B2281" t="str">
        <f t="shared" si="72"/>
        <v>Underweight</v>
      </c>
      <c r="C2281">
        <v>18.25</v>
      </c>
      <c r="D2281">
        <v>10.95</v>
      </c>
      <c r="E2281" t="str">
        <f t="shared" si="73"/>
        <v>Diabetes</v>
      </c>
      <c r="F2281" t="s">
        <v>2380</v>
      </c>
      <c r="G2281" t="s">
        <v>2380</v>
      </c>
      <c r="H2281" t="s">
        <v>2380</v>
      </c>
      <c r="I2281">
        <v>0</v>
      </c>
      <c r="J2281" t="s">
        <v>2380</v>
      </c>
    </row>
    <row r="2282" spans="1:10" x14ac:dyDescent="0.35">
      <c r="A2282" t="s">
        <v>77</v>
      </c>
      <c r="B2282" t="str">
        <f t="shared" si="72"/>
        <v>Obesity</v>
      </c>
      <c r="C2282">
        <v>53.13</v>
      </c>
      <c r="D2282">
        <v>4.4400000000000004</v>
      </c>
      <c r="E2282" t="str">
        <f t="shared" si="73"/>
        <v>Normal</v>
      </c>
      <c r="F2282" t="s">
        <v>2380</v>
      </c>
      <c r="G2282" t="s">
        <v>2381</v>
      </c>
      <c r="H2282" t="s">
        <v>2380</v>
      </c>
      <c r="I2282">
        <v>1</v>
      </c>
      <c r="J2282" t="s">
        <v>2380</v>
      </c>
    </row>
    <row r="2283" spans="1:10" x14ac:dyDescent="0.35">
      <c r="A2283" t="s">
        <v>76</v>
      </c>
      <c r="B2283" t="str">
        <f t="shared" si="72"/>
        <v>Normal Weight</v>
      </c>
      <c r="C2283">
        <v>20.46</v>
      </c>
      <c r="D2283">
        <v>4.0199999999999996</v>
      </c>
      <c r="E2283" t="str">
        <f t="shared" si="73"/>
        <v>Normal</v>
      </c>
      <c r="F2283" t="s">
        <v>2380</v>
      </c>
      <c r="G2283" t="s">
        <v>2380</v>
      </c>
      <c r="H2283" t="s">
        <v>2380</v>
      </c>
      <c r="I2283">
        <v>0</v>
      </c>
      <c r="J2283" t="s">
        <v>2380</v>
      </c>
    </row>
    <row r="2284" spans="1:10" x14ac:dyDescent="0.35">
      <c r="A2284" t="s">
        <v>75</v>
      </c>
      <c r="B2284" t="str">
        <f t="shared" si="72"/>
        <v>Obesity</v>
      </c>
      <c r="C2284">
        <v>43.01</v>
      </c>
      <c r="D2284">
        <v>5.44</v>
      </c>
      <c r="E2284" t="str">
        <f t="shared" si="73"/>
        <v>Normal</v>
      </c>
      <c r="F2284" t="s">
        <v>2380</v>
      </c>
      <c r="G2284" t="s">
        <v>2381</v>
      </c>
      <c r="H2284" t="s">
        <v>2380</v>
      </c>
      <c r="I2284">
        <v>1</v>
      </c>
      <c r="J2284" t="s">
        <v>2380</v>
      </c>
    </row>
    <row r="2285" spans="1:10" x14ac:dyDescent="0.35">
      <c r="A2285" t="s">
        <v>74</v>
      </c>
      <c r="B2285" t="str">
        <f t="shared" si="72"/>
        <v>Underweight</v>
      </c>
      <c r="C2285">
        <v>15.01</v>
      </c>
      <c r="D2285">
        <v>4.1500000000000004</v>
      </c>
      <c r="E2285" t="str">
        <f t="shared" si="73"/>
        <v>Normal</v>
      </c>
      <c r="F2285" t="s">
        <v>2380</v>
      </c>
      <c r="G2285" t="s">
        <v>2380</v>
      </c>
      <c r="H2285" t="s">
        <v>2382</v>
      </c>
      <c r="I2285">
        <v>1</v>
      </c>
      <c r="J2285" t="s">
        <v>2380</v>
      </c>
    </row>
    <row r="2286" spans="1:10" x14ac:dyDescent="0.35">
      <c r="A2286" t="s">
        <v>73</v>
      </c>
      <c r="B2286" t="str">
        <f t="shared" si="72"/>
        <v>Obesity</v>
      </c>
      <c r="C2286">
        <v>41.14</v>
      </c>
      <c r="D2286">
        <v>6.02</v>
      </c>
      <c r="E2286" t="str">
        <f t="shared" si="73"/>
        <v>Prediabetes</v>
      </c>
      <c r="F2286" t="s">
        <v>2380</v>
      </c>
      <c r="G2286" t="s">
        <v>2381</v>
      </c>
      <c r="H2286" t="s">
        <v>2380</v>
      </c>
      <c r="I2286">
        <v>1</v>
      </c>
      <c r="J2286" t="s">
        <v>2380</v>
      </c>
    </row>
    <row r="2287" spans="1:10" x14ac:dyDescent="0.35">
      <c r="A2287" t="s">
        <v>72</v>
      </c>
      <c r="B2287" t="str">
        <f t="shared" si="72"/>
        <v>Underweight</v>
      </c>
      <c r="C2287">
        <v>16.55</v>
      </c>
      <c r="D2287">
        <v>7.73</v>
      </c>
      <c r="E2287" t="str">
        <f t="shared" si="73"/>
        <v>Diabetes</v>
      </c>
      <c r="F2287" t="s">
        <v>2380</v>
      </c>
      <c r="G2287" t="s">
        <v>2380</v>
      </c>
      <c r="H2287" t="s">
        <v>2380</v>
      </c>
      <c r="I2287">
        <v>0</v>
      </c>
      <c r="J2287" t="s">
        <v>2380</v>
      </c>
    </row>
    <row r="2288" spans="1:10" x14ac:dyDescent="0.35">
      <c r="A2288" t="s">
        <v>71</v>
      </c>
      <c r="B2288" t="str">
        <f t="shared" si="72"/>
        <v>Obesity</v>
      </c>
      <c r="C2288">
        <v>37.29</v>
      </c>
      <c r="D2288">
        <v>5.03</v>
      </c>
      <c r="E2288" t="str">
        <f t="shared" si="73"/>
        <v>Normal</v>
      </c>
      <c r="F2288" t="s">
        <v>2380</v>
      </c>
      <c r="G2288" t="s">
        <v>2381</v>
      </c>
      <c r="H2288" t="s">
        <v>2380</v>
      </c>
      <c r="I2288">
        <v>1</v>
      </c>
      <c r="J2288" t="s">
        <v>2380</v>
      </c>
    </row>
    <row r="2289" spans="1:10" x14ac:dyDescent="0.35">
      <c r="A2289" t="s">
        <v>70</v>
      </c>
      <c r="B2289" t="str">
        <f t="shared" si="72"/>
        <v>Underweight</v>
      </c>
      <c r="C2289">
        <v>16.739999999999998</v>
      </c>
      <c r="D2289">
        <v>4.08</v>
      </c>
      <c r="E2289" t="str">
        <f t="shared" si="73"/>
        <v>Normal</v>
      </c>
      <c r="F2289" t="s">
        <v>2381</v>
      </c>
      <c r="G2289" t="s">
        <v>2380</v>
      </c>
      <c r="H2289" t="s">
        <v>2380</v>
      </c>
      <c r="I2289">
        <v>0</v>
      </c>
      <c r="J2289" t="s">
        <v>2380</v>
      </c>
    </row>
    <row r="2290" spans="1:10" x14ac:dyDescent="0.35">
      <c r="A2290" t="s">
        <v>69</v>
      </c>
      <c r="B2290" t="str">
        <f t="shared" si="72"/>
        <v>Obesity</v>
      </c>
      <c r="C2290">
        <v>34.43</v>
      </c>
      <c r="D2290">
        <v>4.2699999999999996</v>
      </c>
      <c r="E2290" t="str">
        <f t="shared" si="73"/>
        <v>Normal</v>
      </c>
      <c r="F2290" t="s">
        <v>2380</v>
      </c>
      <c r="G2290" t="s">
        <v>2381</v>
      </c>
      <c r="H2290" t="s">
        <v>2380</v>
      </c>
      <c r="I2290">
        <v>1</v>
      </c>
      <c r="J2290" t="s">
        <v>2380</v>
      </c>
    </row>
    <row r="2291" spans="1:10" x14ac:dyDescent="0.35">
      <c r="A2291" t="s">
        <v>68</v>
      </c>
      <c r="B2291" t="str">
        <f t="shared" si="72"/>
        <v>Obesity</v>
      </c>
      <c r="C2291">
        <v>34.1</v>
      </c>
      <c r="D2291">
        <v>4.07</v>
      </c>
      <c r="E2291" t="str">
        <f t="shared" si="73"/>
        <v>Normal</v>
      </c>
      <c r="F2291" t="s">
        <v>2380</v>
      </c>
      <c r="G2291" t="s">
        <v>2381</v>
      </c>
      <c r="H2291" t="s">
        <v>2380</v>
      </c>
      <c r="I2291">
        <v>1</v>
      </c>
      <c r="J2291" t="s">
        <v>2380</v>
      </c>
    </row>
    <row r="2292" spans="1:10" x14ac:dyDescent="0.35">
      <c r="A2292" t="s">
        <v>67</v>
      </c>
      <c r="B2292" t="str">
        <f t="shared" si="72"/>
        <v>Normal Weight</v>
      </c>
      <c r="C2292">
        <v>19.3</v>
      </c>
      <c r="D2292">
        <v>10.36</v>
      </c>
      <c r="E2292" t="str">
        <f t="shared" si="73"/>
        <v>Diabetes</v>
      </c>
      <c r="F2292" t="s">
        <v>2380</v>
      </c>
      <c r="G2292" t="s">
        <v>2380</v>
      </c>
      <c r="H2292" t="s">
        <v>2380</v>
      </c>
      <c r="I2292">
        <v>0</v>
      </c>
      <c r="J2292" t="s">
        <v>2380</v>
      </c>
    </row>
    <row r="2293" spans="1:10" x14ac:dyDescent="0.35">
      <c r="A2293" t="s">
        <v>66</v>
      </c>
      <c r="B2293" t="str">
        <f t="shared" si="72"/>
        <v>Obesity</v>
      </c>
      <c r="C2293">
        <v>33.659999999999997</v>
      </c>
      <c r="D2293">
        <v>5.71</v>
      </c>
      <c r="E2293" t="str">
        <f t="shared" si="73"/>
        <v>Prediabetes</v>
      </c>
      <c r="F2293" t="s">
        <v>2380</v>
      </c>
      <c r="G2293" t="s">
        <v>2381</v>
      </c>
      <c r="H2293" t="s">
        <v>2380</v>
      </c>
      <c r="I2293">
        <v>1</v>
      </c>
      <c r="J2293" t="s">
        <v>2380</v>
      </c>
    </row>
    <row r="2294" spans="1:10" x14ac:dyDescent="0.35">
      <c r="A2294" t="s">
        <v>65</v>
      </c>
      <c r="B2294" t="str">
        <f t="shared" si="72"/>
        <v>Obesity</v>
      </c>
      <c r="C2294">
        <v>33.33</v>
      </c>
      <c r="D2294">
        <v>6.08</v>
      </c>
      <c r="E2294" t="str">
        <f t="shared" si="73"/>
        <v>Prediabetes</v>
      </c>
      <c r="F2294" t="s">
        <v>2380</v>
      </c>
      <c r="G2294" t="s">
        <v>2381</v>
      </c>
      <c r="H2294" t="s">
        <v>2380</v>
      </c>
      <c r="I2294">
        <v>1</v>
      </c>
      <c r="J2294" t="s">
        <v>2380</v>
      </c>
    </row>
    <row r="2295" spans="1:10" x14ac:dyDescent="0.35">
      <c r="A2295" t="s">
        <v>64</v>
      </c>
      <c r="B2295" t="str">
        <f t="shared" si="72"/>
        <v>Normal Weight</v>
      </c>
      <c r="C2295">
        <v>21.84</v>
      </c>
      <c r="D2295">
        <v>5.71</v>
      </c>
      <c r="E2295" t="str">
        <f t="shared" si="73"/>
        <v>Prediabetes</v>
      </c>
      <c r="F2295" t="s">
        <v>2380</v>
      </c>
      <c r="G2295" t="s">
        <v>2381</v>
      </c>
      <c r="H2295" t="s">
        <v>2380</v>
      </c>
      <c r="I2295">
        <v>1</v>
      </c>
      <c r="J2295" t="s">
        <v>2380</v>
      </c>
    </row>
    <row r="2296" spans="1:10" x14ac:dyDescent="0.35">
      <c r="A2296" t="s">
        <v>63</v>
      </c>
      <c r="B2296" t="str">
        <f t="shared" si="72"/>
        <v>Underweight</v>
      </c>
      <c r="C2296">
        <v>16.87</v>
      </c>
      <c r="D2296">
        <v>9.1300000000000008</v>
      </c>
      <c r="E2296" t="str">
        <f t="shared" si="73"/>
        <v>Diabetes</v>
      </c>
      <c r="F2296" t="s">
        <v>2380</v>
      </c>
      <c r="G2296" t="s">
        <v>2380</v>
      </c>
      <c r="H2296" t="s">
        <v>2380</v>
      </c>
      <c r="I2296">
        <v>0</v>
      </c>
      <c r="J2296" t="s">
        <v>2380</v>
      </c>
    </row>
    <row r="2297" spans="1:10" x14ac:dyDescent="0.35">
      <c r="A2297" t="s">
        <v>62</v>
      </c>
      <c r="B2297" t="str">
        <f t="shared" si="72"/>
        <v>Obesity</v>
      </c>
      <c r="C2297">
        <v>30.14</v>
      </c>
      <c r="D2297">
        <v>5.49</v>
      </c>
      <c r="E2297" t="str">
        <f t="shared" si="73"/>
        <v>Normal</v>
      </c>
      <c r="F2297" t="s">
        <v>2380</v>
      </c>
      <c r="G2297" t="s">
        <v>2381</v>
      </c>
      <c r="H2297" t="s">
        <v>2380</v>
      </c>
      <c r="I2297">
        <v>1</v>
      </c>
      <c r="J2297" t="s">
        <v>2380</v>
      </c>
    </row>
    <row r="2298" spans="1:10" x14ac:dyDescent="0.35">
      <c r="A2298" t="s">
        <v>61</v>
      </c>
      <c r="B2298" t="str">
        <f t="shared" si="72"/>
        <v>Normal Weight</v>
      </c>
      <c r="C2298">
        <v>23.21</v>
      </c>
      <c r="D2298">
        <v>4.37</v>
      </c>
      <c r="E2298" t="str">
        <f t="shared" si="73"/>
        <v>Normal</v>
      </c>
      <c r="F2298" t="s">
        <v>2380</v>
      </c>
      <c r="G2298" t="s">
        <v>2381</v>
      </c>
      <c r="H2298" t="s">
        <v>2380</v>
      </c>
      <c r="I2298">
        <v>1</v>
      </c>
      <c r="J2298" t="s">
        <v>2380</v>
      </c>
    </row>
    <row r="2299" spans="1:10" x14ac:dyDescent="0.35">
      <c r="A2299" t="s">
        <v>60</v>
      </c>
      <c r="B2299" t="str">
        <f t="shared" si="72"/>
        <v>Underweight</v>
      </c>
      <c r="C2299">
        <v>17.170000000000002</v>
      </c>
      <c r="D2299">
        <v>8.4600000000000009</v>
      </c>
      <c r="E2299" t="str">
        <f t="shared" si="73"/>
        <v>Diabetes</v>
      </c>
      <c r="F2299" t="s">
        <v>2380</v>
      </c>
      <c r="G2299" t="s">
        <v>2380</v>
      </c>
      <c r="H2299" t="s">
        <v>2380</v>
      </c>
      <c r="I2299">
        <v>0</v>
      </c>
      <c r="J2299" t="s">
        <v>2380</v>
      </c>
    </row>
    <row r="2300" spans="1:10" x14ac:dyDescent="0.35">
      <c r="A2300" t="s">
        <v>59</v>
      </c>
      <c r="B2300" t="str">
        <f t="shared" si="72"/>
        <v>Underweight</v>
      </c>
      <c r="C2300">
        <v>15.61</v>
      </c>
      <c r="D2300">
        <v>5.28</v>
      </c>
      <c r="E2300" t="str">
        <f t="shared" si="73"/>
        <v>Normal</v>
      </c>
      <c r="F2300" t="s">
        <v>2380</v>
      </c>
      <c r="G2300" t="s">
        <v>2380</v>
      </c>
      <c r="H2300" t="s">
        <v>2380</v>
      </c>
      <c r="I2300">
        <v>1</v>
      </c>
      <c r="J2300" t="s">
        <v>2380</v>
      </c>
    </row>
    <row r="2301" spans="1:10" x14ac:dyDescent="0.35">
      <c r="A2301" t="s">
        <v>58</v>
      </c>
      <c r="B2301" t="str">
        <f t="shared" si="72"/>
        <v>Underweight</v>
      </c>
      <c r="C2301">
        <v>17.98</v>
      </c>
      <c r="D2301">
        <v>5.33</v>
      </c>
      <c r="E2301" t="str">
        <f t="shared" si="73"/>
        <v>Normal</v>
      </c>
      <c r="F2301" t="s">
        <v>2381</v>
      </c>
      <c r="G2301" t="s">
        <v>2380</v>
      </c>
      <c r="H2301" t="s">
        <v>2382</v>
      </c>
      <c r="I2301">
        <v>1</v>
      </c>
      <c r="J2301" t="s">
        <v>2380</v>
      </c>
    </row>
    <row r="2302" spans="1:10" x14ac:dyDescent="0.35">
      <c r="A2302" t="s">
        <v>57</v>
      </c>
      <c r="B2302" t="str">
        <f t="shared" si="72"/>
        <v>Normal Weight</v>
      </c>
      <c r="C2302">
        <v>21.64</v>
      </c>
      <c r="D2302">
        <v>5.5</v>
      </c>
      <c r="E2302" t="str">
        <f t="shared" si="73"/>
        <v>Normal</v>
      </c>
      <c r="F2302" t="s">
        <v>2380</v>
      </c>
      <c r="G2302" t="s">
        <v>2381</v>
      </c>
      <c r="H2302" t="s">
        <v>2380</v>
      </c>
      <c r="I2302">
        <v>1</v>
      </c>
      <c r="J2302" t="s">
        <v>2380</v>
      </c>
    </row>
    <row r="2303" spans="1:10" x14ac:dyDescent="0.35">
      <c r="A2303" t="s">
        <v>56</v>
      </c>
      <c r="B2303" t="str">
        <f t="shared" si="72"/>
        <v>Underweight</v>
      </c>
      <c r="C2303">
        <v>16.399999999999999</v>
      </c>
      <c r="D2303">
        <v>5.4</v>
      </c>
      <c r="E2303" t="str">
        <f t="shared" si="73"/>
        <v>Normal</v>
      </c>
      <c r="F2303" t="s">
        <v>2380</v>
      </c>
      <c r="G2303" t="s">
        <v>2380</v>
      </c>
      <c r="H2303" t="s">
        <v>2382</v>
      </c>
      <c r="I2303">
        <v>1</v>
      </c>
      <c r="J2303" t="s">
        <v>2380</v>
      </c>
    </row>
    <row r="2304" spans="1:10" x14ac:dyDescent="0.35">
      <c r="A2304" t="s">
        <v>55</v>
      </c>
      <c r="B2304" t="str">
        <f t="shared" si="72"/>
        <v>Underweight</v>
      </c>
      <c r="C2304">
        <v>15.77</v>
      </c>
      <c r="D2304">
        <v>6.05</v>
      </c>
      <c r="E2304" t="str">
        <f t="shared" si="73"/>
        <v>Prediabetes</v>
      </c>
      <c r="F2304" t="s">
        <v>2381</v>
      </c>
      <c r="G2304" t="s">
        <v>2380</v>
      </c>
      <c r="H2304" t="s">
        <v>2380</v>
      </c>
      <c r="I2304">
        <v>1</v>
      </c>
      <c r="J2304" t="s">
        <v>2380</v>
      </c>
    </row>
    <row r="2305" spans="1:10" x14ac:dyDescent="0.35">
      <c r="A2305" t="s">
        <v>54</v>
      </c>
      <c r="B2305" t="str">
        <f t="shared" si="72"/>
        <v>Underweight</v>
      </c>
      <c r="C2305">
        <v>18.27</v>
      </c>
      <c r="D2305">
        <v>11.46</v>
      </c>
      <c r="E2305" t="str">
        <f t="shared" si="73"/>
        <v>Diabetes</v>
      </c>
      <c r="F2305" t="s">
        <v>2380</v>
      </c>
      <c r="G2305" t="s">
        <v>2380</v>
      </c>
      <c r="H2305" t="s">
        <v>2380</v>
      </c>
      <c r="I2305">
        <v>0</v>
      </c>
      <c r="J2305" t="s">
        <v>2380</v>
      </c>
    </row>
    <row r="2306" spans="1:10" x14ac:dyDescent="0.35">
      <c r="A2306" t="s">
        <v>53</v>
      </c>
      <c r="B2306" t="str">
        <f t="shared" si="72"/>
        <v>Underweight</v>
      </c>
      <c r="C2306">
        <v>16.489999999999998</v>
      </c>
      <c r="D2306">
        <v>8.48</v>
      </c>
      <c r="E2306" t="str">
        <f t="shared" si="73"/>
        <v>Diabetes</v>
      </c>
      <c r="F2306" t="s">
        <v>2380</v>
      </c>
      <c r="G2306" t="s">
        <v>2380</v>
      </c>
      <c r="H2306" t="s">
        <v>2380</v>
      </c>
      <c r="I2306">
        <v>0</v>
      </c>
      <c r="J2306" t="s">
        <v>2380</v>
      </c>
    </row>
    <row r="2307" spans="1:10" x14ac:dyDescent="0.35">
      <c r="A2307" t="s">
        <v>52</v>
      </c>
      <c r="B2307" t="str">
        <f t="shared" ref="B2307:B2336" si="74">IF(C2307&lt;18.5,"Underweight",IF(C2307&lt;25,"Normal Weight",IF(C2307&lt;30,"Overweight","Obesity")))</f>
        <v>Underweight</v>
      </c>
      <c r="C2307">
        <v>16.14</v>
      </c>
      <c r="D2307">
        <v>4.8600000000000003</v>
      </c>
      <c r="E2307" t="str">
        <f t="shared" ref="E2307:E2336" si="75">IF(D2307&lt;5.7,"Normal",IF(D2307&lt;6.5,"Prediabetes","Diabetes"))</f>
        <v>Normal</v>
      </c>
      <c r="F2307" t="s">
        <v>2380</v>
      </c>
      <c r="G2307" t="s">
        <v>2380</v>
      </c>
      <c r="H2307" t="s">
        <v>2380</v>
      </c>
      <c r="I2307">
        <v>0</v>
      </c>
      <c r="J2307" t="s">
        <v>2380</v>
      </c>
    </row>
    <row r="2308" spans="1:10" x14ac:dyDescent="0.35">
      <c r="A2308" t="s">
        <v>51</v>
      </c>
      <c r="B2308" t="str">
        <f t="shared" si="74"/>
        <v>Normal Weight</v>
      </c>
      <c r="C2308">
        <v>20.85</v>
      </c>
      <c r="D2308">
        <v>4.45</v>
      </c>
      <c r="E2308" t="str">
        <f t="shared" si="75"/>
        <v>Normal</v>
      </c>
      <c r="F2308" t="s">
        <v>2381</v>
      </c>
      <c r="G2308" t="s">
        <v>2380</v>
      </c>
      <c r="H2308" t="s">
        <v>2380</v>
      </c>
      <c r="I2308">
        <v>1</v>
      </c>
      <c r="J2308" t="s">
        <v>2380</v>
      </c>
    </row>
    <row r="2309" spans="1:10" x14ac:dyDescent="0.35">
      <c r="A2309" t="s">
        <v>50</v>
      </c>
      <c r="B2309" t="str">
        <f t="shared" si="74"/>
        <v>Underweight</v>
      </c>
      <c r="C2309">
        <v>15.88</v>
      </c>
      <c r="D2309">
        <v>4.3600000000000003</v>
      </c>
      <c r="E2309" t="str">
        <f t="shared" si="75"/>
        <v>Normal</v>
      </c>
      <c r="F2309" t="s">
        <v>2380</v>
      </c>
      <c r="G2309" t="s">
        <v>2380</v>
      </c>
      <c r="H2309" t="s">
        <v>2380</v>
      </c>
      <c r="I2309">
        <v>0</v>
      </c>
      <c r="J2309" t="s">
        <v>2380</v>
      </c>
    </row>
    <row r="2310" spans="1:10" x14ac:dyDescent="0.35">
      <c r="A2310" t="s">
        <v>49</v>
      </c>
      <c r="B2310" t="str">
        <f t="shared" si="74"/>
        <v>Normal Weight</v>
      </c>
      <c r="C2310">
        <v>20.66</v>
      </c>
      <c r="D2310">
        <v>5.8</v>
      </c>
      <c r="E2310" t="str">
        <f t="shared" si="75"/>
        <v>Prediabetes</v>
      </c>
      <c r="F2310" t="s">
        <v>2380</v>
      </c>
      <c r="G2310" t="s">
        <v>2381</v>
      </c>
      <c r="H2310" t="s">
        <v>2380</v>
      </c>
      <c r="I2310">
        <v>1</v>
      </c>
      <c r="J2310" t="s">
        <v>2380</v>
      </c>
    </row>
    <row r="2311" spans="1:10" x14ac:dyDescent="0.35">
      <c r="A2311" t="s">
        <v>48</v>
      </c>
      <c r="B2311" t="str">
        <f t="shared" si="74"/>
        <v>Normal Weight</v>
      </c>
      <c r="C2311">
        <v>20.399999999999999</v>
      </c>
      <c r="D2311">
        <v>5.27</v>
      </c>
      <c r="E2311" t="str">
        <f t="shared" si="75"/>
        <v>Normal</v>
      </c>
      <c r="F2311" t="s">
        <v>2380</v>
      </c>
      <c r="G2311" t="s">
        <v>2380</v>
      </c>
      <c r="H2311" t="s">
        <v>2380</v>
      </c>
      <c r="I2311">
        <v>0</v>
      </c>
      <c r="J2311" t="s">
        <v>2380</v>
      </c>
    </row>
    <row r="2312" spans="1:10" x14ac:dyDescent="0.35">
      <c r="A2312" t="s">
        <v>47</v>
      </c>
      <c r="B2312" t="str">
        <f t="shared" si="74"/>
        <v>Overweight</v>
      </c>
      <c r="C2312">
        <v>25.19</v>
      </c>
      <c r="D2312">
        <v>5.64</v>
      </c>
      <c r="E2312" t="str">
        <f t="shared" si="75"/>
        <v>Normal</v>
      </c>
      <c r="F2312" t="s">
        <v>2381</v>
      </c>
      <c r="G2312" t="s">
        <v>2380</v>
      </c>
      <c r="H2312" t="s">
        <v>2380</v>
      </c>
      <c r="I2312">
        <v>0</v>
      </c>
      <c r="J2312" t="s">
        <v>2380</v>
      </c>
    </row>
    <row r="2313" spans="1:10" x14ac:dyDescent="0.35">
      <c r="A2313" t="s">
        <v>46</v>
      </c>
      <c r="B2313" t="str">
        <f t="shared" si="74"/>
        <v>Normal Weight</v>
      </c>
      <c r="C2313">
        <v>20.54</v>
      </c>
      <c r="D2313">
        <v>4.2</v>
      </c>
      <c r="E2313" t="str">
        <f t="shared" si="75"/>
        <v>Normal</v>
      </c>
      <c r="F2313" t="s">
        <v>2381</v>
      </c>
      <c r="G2313" t="s">
        <v>2380</v>
      </c>
      <c r="H2313" t="s">
        <v>2380</v>
      </c>
      <c r="I2313">
        <v>1</v>
      </c>
      <c r="J2313" t="s">
        <v>2380</v>
      </c>
    </row>
    <row r="2314" spans="1:10" x14ac:dyDescent="0.35">
      <c r="A2314" t="s">
        <v>45</v>
      </c>
      <c r="B2314" t="str">
        <f t="shared" si="74"/>
        <v>Normal Weight</v>
      </c>
      <c r="C2314">
        <v>20.13</v>
      </c>
      <c r="D2314">
        <v>5.42</v>
      </c>
      <c r="E2314" t="str">
        <f t="shared" si="75"/>
        <v>Normal</v>
      </c>
      <c r="F2314" t="s">
        <v>2380</v>
      </c>
      <c r="G2314" t="s">
        <v>2380</v>
      </c>
      <c r="H2314" t="s">
        <v>2380</v>
      </c>
      <c r="I2314">
        <v>0</v>
      </c>
      <c r="J2314" t="s">
        <v>2380</v>
      </c>
    </row>
    <row r="2315" spans="1:10" x14ac:dyDescent="0.35">
      <c r="A2315" t="s">
        <v>44</v>
      </c>
      <c r="B2315" t="str">
        <f t="shared" si="74"/>
        <v>Normal Weight</v>
      </c>
      <c r="C2315">
        <v>18.93</v>
      </c>
      <c r="D2315">
        <v>6.11</v>
      </c>
      <c r="E2315" t="str">
        <f t="shared" si="75"/>
        <v>Prediabetes</v>
      </c>
      <c r="F2315" t="s">
        <v>2380</v>
      </c>
      <c r="G2315" t="s">
        <v>2380</v>
      </c>
      <c r="H2315" t="s">
        <v>2382</v>
      </c>
      <c r="I2315">
        <v>1</v>
      </c>
      <c r="J2315" t="s">
        <v>2380</v>
      </c>
    </row>
    <row r="2316" spans="1:10" x14ac:dyDescent="0.35">
      <c r="A2316" t="s">
        <v>43</v>
      </c>
      <c r="B2316" t="str">
        <f t="shared" si="74"/>
        <v>Normal Weight</v>
      </c>
      <c r="C2316">
        <v>24.14</v>
      </c>
      <c r="D2316">
        <v>5.29</v>
      </c>
      <c r="E2316" t="str">
        <f t="shared" si="75"/>
        <v>Normal</v>
      </c>
      <c r="F2316" t="s">
        <v>2380</v>
      </c>
      <c r="G2316" t="s">
        <v>2381</v>
      </c>
      <c r="H2316" t="s">
        <v>2380</v>
      </c>
      <c r="I2316">
        <v>1</v>
      </c>
      <c r="J2316" t="s">
        <v>2380</v>
      </c>
    </row>
    <row r="2317" spans="1:10" x14ac:dyDescent="0.35">
      <c r="A2317" t="s">
        <v>41</v>
      </c>
      <c r="B2317" t="str">
        <f t="shared" si="74"/>
        <v>Overweight</v>
      </c>
      <c r="C2317">
        <v>25.03</v>
      </c>
      <c r="D2317">
        <v>5.91</v>
      </c>
      <c r="E2317" t="str">
        <f t="shared" si="75"/>
        <v>Prediabetes</v>
      </c>
      <c r="F2317" t="s">
        <v>2380</v>
      </c>
      <c r="G2317" t="s">
        <v>2381</v>
      </c>
      <c r="H2317" t="s">
        <v>2380</v>
      </c>
      <c r="I2317">
        <v>1</v>
      </c>
      <c r="J2317" t="s">
        <v>2380</v>
      </c>
    </row>
    <row r="2318" spans="1:10" x14ac:dyDescent="0.35">
      <c r="A2318" t="s">
        <v>40</v>
      </c>
      <c r="B2318" t="str">
        <f t="shared" si="74"/>
        <v>Normal Weight</v>
      </c>
      <c r="C2318">
        <v>20.47</v>
      </c>
      <c r="D2318">
        <v>5.81</v>
      </c>
      <c r="E2318" t="str">
        <f t="shared" si="75"/>
        <v>Prediabetes</v>
      </c>
      <c r="F2318" t="s">
        <v>2381</v>
      </c>
      <c r="G2318" t="s">
        <v>2380</v>
      </c>
      <c r="H2318" t="s">
        <v>2380</v>
      </c>
      <c r="I2318">
        <v>1</v>
      </c>
      <c r="J2318" t="s">
        <v>2380</v>
      </c>
    </row>
    <row r="2319" spans="1:10" x14ac:dyDescent="0.35">
      <c r="A2319" t="s">
        <v>39</v>
      </c>
      <c r="B2319" t="str">
        <f t="shared" si="74"/>
        <v>Normal Weight</v>
      </c>
      <c r="C2319">
        <v>18.82</v>
      </c>
      <c r="D2319">
        <v>5.51</v>
      </c>
      <c r="E2319" t="str">
        <f t="shared" si="75"/>
        <v>Normal</v>
      </c>
      <c r="F2319" t="s">
        <v>2381</v>
      </c>
      <c r="G2319" t="s">
        <v>2380</v>
      </c>
      <c r="H2319" t="s">
        <v>2380</v>
      </c>
      <c r="I2319">
        <v>0</v>
      </c>
      <c r="J2319" t="s">
        <v>2380</v>
      </c>
    </row>
    <row r="2320" spans="1:10" x14ac:dyDescent="0.35">
      <c r="A2320" t="s">
        <v>38</v>
      </c>
      <c r="B2320" t="str">
        <f t="shared" si="74"/>
        <v>Underweight</v>
      </c>
      <c r="C2320">
        <v>17.079999999999998</v>
      </c>
      <c r="D2320">
        <v>5.73</v>
      </c>
      <c r="E2320" t="str">
        <f t="shared" si="75"/>
        <v>Prediabetes</v>
      </c>
      <c r="F2320" t="s">
        <v>2380</v>
      </c>
      <c r="G2320" t="s">
        <v>2380</v>
      </c>
      <c r="H2320" t="s">
        <v>2382</v>
      </c>
      <c r="I2320">
        <v>1</v>
      </c>
      <c r="J2320" t="s">
        <v>2380</v>
      </c>
    </row>
    <row r="2321" spans="1:10" x14ac:dyDescent="0.35">
      <c r="A2321" t="s">
        <v>36</v>
      </c>
      <c r="B2321" t="str">
        <f t="shared" si="74"/>
        <v>Normal Weight</v>
      </c>
      <c r="C2321">
        <v>19.21</v>
      </c>
      <c r="D2321">
        <v>5.53</v>
      </c>
      <c r="E2321" t="str">
        <f t="shared" si="75"/>
        <v>Normal</v>
      </c>
      <c r="F2321" t="s">
        <v>2381</v>
      </c>
      <c r="G2321" t="s">
        <v>2380</v>
      </c>
      <c r="H2321" t="s">
        <v>2380</v>
      </c>
      <c r="I2321">
        <v>0</v>
      </c>
      <c r="J2321" t="s">
        <v>2380</v>
      </c>
    </row>
    <row r="2322" spans="1:10" x14ac:dyDescent="0.35">
      <c r="A2322" t="s">
        <v>34</v>
      </c>
      <c r="B2322" t="str">
        <f t="shared" si="74"/>
        <v>Underweight</v>
      </c>
      <c r="C2322">
        <v>17.86</v>
      </c>
      <c r="D2322">
        <v>5.43</v>
      </c>
      <c r="E2322" t="str">
        <f t="shared" si="75"/>
        <v>Normal</v>
      </c>
      <c r="F2322" t="s">
        <v>2380</v>
      </c>
      <c r="G2322" t="s">
        <v>2380</v>
      </c>
      <c r="H2322" t="s">
        <v>2382</v>
      </c>
      <c r="I2322">
        <v>1</v>
      </c>
      <c r="J2322" t="s">
        <v>2380</v>
      </c>
    </row>
    <row r="2323" spans="1:10" x14ac:dyDescent="0.35">
      <c r="A2323" t="s">
        <v>33</v>
      </c>
      <c r="B2323" t="str">
        <f t="shared" si="74"/>
        <v>Normal Weight</v>
      </c>
      <c r="C2323">
        <v>21.38</v>
      </c>
      <c r="D2323">
        <v>8.01</v>
      </c>
      <c r="E2323" t="str">
        <f t="shared" si="75"/>
        <v>Diabetes</v>
      </c>
      <c r="F2323" t="s">
        <v>2380</v>
      </c>
      <c r="G2323" t="s">
        <v>2380</v>
      </c>
      <c r="H2323" t="s">
        <v>2380</v>
      </c>
      <c r="I2323">
        <v>0</v>
      </c>
      <c r="J2323" t="s">
        <v>2380</v>
      </c>
    </row>
    <row r="2324" spans="1:10" x14ac:dyDescent="0.35">
      <c r="A2324" t="s">
        <v>32</v>
      </c>
      <c r="B2324" t="str">
        <f t="shared" si="74"/>
        <v>Normal Weight</v>
      </c>
      <c r="C2324">
        <v>23.35</v>
      </c>
      <c r="D2324">
        <v>5.94</v>
      </c>
      <c r="E2324" t="str">
        <f t="shared" si="75"/>
        <v>Prediabetes</v>
      </c>
      <c r="F2324" t="s">
        <v>2380</v>
      </c>
      <c r="G2324" t="s">
        <v>2380</v>
      </c>
      <c r="H2324" t="s">
        <v>2380</v>
      </c>
      <c r="I2324">
        <v>0</v>
      </c>
      <c r="J2324" t="s">
        <v>2380</v>
      </c>
    </row>
    <row r="2325" spans="1:10" x14ac:dyDescent="0.35">
      <c r="A2325" t="s">
        <v>29</v>
      </c>
      <c r="B2325" t="str">
        <f t="shared" si="74"/>
        <v>Normal Weight</v>
      </c>
      <c r="C2325">
        <v>22.24</v>
      </c>
      <c r="D2325">
        <v>5.04</v>
      </c>
      <c r="E2325" t="str">
        <f t="shared" si="75"/>
        <v>Normal</v>
      </c>
      <c r="F2325" t="s">
        <v>2380</v>
      </c>
      <c r="G2325" t="s">
        <v>2380</v>
      </c>
      <c r="H2325" t="s">
        <v>2380</v>
      </c>
      <c r="I2325">
        <v>0</v>
      </c>
      <c r="J2325" t="s">
        <v>2380</v>
      </c>
    </row>
    <row r="2326" spans="1:10" x14ac:dyDescent="0.35">
      <c r="A2326" t="s">
        <v>28</v>
      </c>
      <c r="B2326" t="str">
        <f t="shared" si="74"/>
        <v>Normal Weight</v>
      </c>
      <c r="C2326">
        <v>24.76</v>
      </c>
      <c r="D2326">
        <v>4.54</v>
      </c>
      <c r="E2326" t="str">
        <f t="shared" si="75"/>
        <v>Normal</v>
      </c>
      <c r="F2326" t="s">
        <v>2381</v>
      </c>
      <c r="G2326" t="s">
        <v>2380</v>
      </c>
      <c r="H2326" t="s">
        <v>2380</v>
      </c>
      <c r="I2326">
        <v>0</v>
      </c>
      <c r="J2326" t="s">
        <v>2380</v>
      </c>
    </row>
    <row r="2327" spans="1:10" x14ac:dyDescent="0.35">
      <c r="A2327" t="s">
        <v>27</v>
      </c>
      <c r="B2327" t="str">
        <f t="shared" si="74"/>
        <v>Normal Weight</v>
      </c>
      <c r="C2327">
        <v>20.100000000000001</v>
      </c>
      <c r="D2327">
        <v>5.6</v>
      </c>
      <c r="E2327" t="str">
        <f t="shared" si="75"/>
        <v>Normal</v>
      </c>
      <c r="F2327" t="s">
        <v>2381</v>
      </c>
      <c r="G2327" t="s">
        <v>2380</v>
      </c>
      <c r="H2327" t="s">
        <v>2382</v>
      </c>
      <c r="I2327">
        <v>1</v>
      </c>
      <c r="J2327" t="s">
        <v>2380</v>
      </c>
    </row>
    <row r="2328" spans="1:10" x14ac:dyDescent="0.35">
      <c r="A2328" t="s">
        <v>26</v>
      </c>
      <c r="B2328" t="str">
        <f t="shared" si="74"/>
        <v>Normal Weight</v>
      </c>
      <c r="C2328">
        <v>21.77</v>
      </c>
      <c r="D2328">
        <v>10.67</v>
      </c>
      <c r="E2328" t="str">
        <f t="shared" si="75"/>
        <v>Diabetes</v>
      </c>
      <c r="F2328" t="s">
        <v>2380</v>
      </c>
      <c r="G2328" t="s">
        <v>2380</v>
      </c>
      <c r="H2328" t="s">
        <v>2380</v>
      </c>
      <c r="I2328">
        <v>0</v>
      </c>
      <c r="J2328" t="s">
        <v>2380</v>
      </c>
    </row>
    <row r="2329" spans="1:10" x14ac:dyDescent="0.35">
      <c r="A2329" t="s">
        <v>25</v>
      </c>
      <c r="B2329" t="str">
        <f t="shared" si="74"/>
        <v>Underweight</v>
      </c>
      <c r="C2329">
        <v>17.82</v>
      </c>
      <c r="D2329">
        <v>5.26</v>
      </c>
      <c r="E2329" t="str">
        <f t="shared" si="75"/>
        <v>Normal</v>
      </c>
      <c r="F2329" t="s">
        <v>2381</v>
      </c>
      <c r="G2329" t="s">
        <v>2380</v>
      </c>
      <c r="H2329" t="s">
        <v>2380</v>
      </c>
      <c r="I2329">
        <v>1</v>
      </c>
      <c r="J2329" t="s">
        <v>2380</v>
      </c>
    </row>
    <row r="2330" spans="1:10" x14ac:dyDescent="0.35">
      <c r="A2330" t="s">
        <v>24</v>
      </c>
      <c r="B2330" t="str">
        <f t="shared" si="74"/>
        <v>Underweight</v>
      </c>
      <c r="C2330">
        <v>17.07</v>
      </c>
      <c r="D2330">
        <v>5.22</v>
      </c>
      <c r="E2330" t="str">
        <f t="shared" si="75"/>
        <v>Normal</v>
      </c>
      <c r="F2330" t="s">
        <v>2380</v>
      </c>
      <c r="G2330" t="s">
        <v>2380</v>
      </c>
      <c r="H2330" t="s">
        <v>2382</v>
      </c>
      <c r="I2330">
        <v>1</v>
      </c>
      <c r="J2330" t="s">
        <v>2380</v>
      </c>
    </row>
    <row r="2331" spans="1:10" x14ac:dyDescent="0.35">
      <c r="A2331" t="s">
        <v>22</v>
      </c>
      <c r="B2331" t="str">
        <f t="shared" si="74"/>
        <v>Normal Weight</v>
      </c>
      <c r="C2331">
        <v>22.24</v>
      </c>
      <c r="D2331">
        <v>4.29</v>
      </c>
      <c r="E2331" t="str">
        <f t="shared" si="75"/>
        <v>Normal</v>
      </c>
      <c r="F2331" t="s">
        <v>2381</v>
      </c>
      <c r="G2331" t="s">
        <v>2380</v>
      </c>
      <c r="H2331" t="s">
        <v>2380</v>
      </c>
      <c r="I2331">
        <v>0</v>
      </c>
      <c r="J2331" t="s">
        <v>2380</v>
      </c>
    </row>
    <row r="2332" spans="1:10" x14ac:dyDescent="0.35">
      <c r="A2332" t="s">
        <v>21</v>
      </c>
      <c r="B2332" t="str">
        <f t="shared" si="74"/>
        <v>Normal Weight</v>
      </c>
      <c r="C2332">
        <v>22.34</v>
      </c>
      <c r="D2332">
        <v>5.57</v>
      </c>
      <c r="E2332" t="str">
        <f t="shared" si="75"/>
        <v>Normal</v>
      </c>
      <c r="F2332" t="s">
        <v>2380</v>
      </c>
      <c r="G2332" t="s">
        <v>2380</v>
      </c>
      <c r="H2332" t="s">
        <v>2380</v>
      </c>
      <c r="I2332">
        <v>1</v>
      </c>
      <c r="J2332" t="s">
        <v>2380</v>
      </c>
    </row>
    <row r="2333" spans="1:10" x14ac:dyDescent="0.35">
      <c r="A2333" t="s">
        <v>19</v>
      </c>
      <c r="B2333" t="str">
        <f t="shared" si="74"/>
        <v>Underweight</v>
      </c>
      <c r="C2333">
        <v>17.7</v>
      </c>
      <c r="D2333">
        <v>6.28</v>
      </c>
      <c r="E2333" t="str">
        <f t="shared" si="75"/>
        <v>Prediabetes</v>
      </c>
      <c r="F2333" t="s">
        <v>2380</v>
      </c>
      <c r="G2333" t="s">
        <v>2380</v>
      </c>
      <c r="H2333" t="s">
        <v>2380</v>
      </c>
      <c r="I2333">
        <v>1</v>
      </c>
      <c r="J2333" t="s">
        <v>2380</v>
      </c>
    </row>
    <row r="2334" spans="1:10" x14ac:dyDescent="0.35">
      <c r="A2334" t="s">
        <v>17</v>
      </c>
      <c r="B2334" t="str">
        <f t="shared" si="74"/>
        <v>Underweight</v>
      </c>
      <c r="C2334">
        <v>16.47</v>
      </c>
      <c r="D2334">
        <v>6.35</v>
      </c>
      <c r="E2334" t="str">
        <f t="shared" si="75"/>
        <v>Prediabetes</v>
      </c>
      <c r="F2334" t="s">
        <v>2380</v>
      </c>
      <c r="G2334" t="s">
        <v>2380</v>
      </c>
      <c r="H2334" t="s">
        <v>2382</v>
      </c>
      <c r="I2334">
        <v>1</v>
      </c>
      <c r="J2334" t="s">
        <v>2380</v>
      </c>
    </row>
    <row r="2335" spans="1:10" x14ac:dyDescent="0.35">
      <c r="A2335" t="s">
        <v>14</v>
      </c>
      <c r="B2335" t="str">
        <f t="shared" si="74"/>
        <v>Underweight</v>
      </c>
      <c r="C2335">
        <v>17.600000000000001</v>
      </c>
      <c r="D2335">
        <v>4.3899999999999997</v>
      </c>
      <c r="E2335" t="str">
        <f t="shared" si="75"/>
        <v>Normal</v>
      </c>
      <c r="F2335" t="s">
        <v>2380</v>
      </c>
      <c r="G2335" t="s">
        <v>2380</v>
      </c>
      <c r="H2335" t="s">
        <v>2380</v>
      </c>
      <c r="I2335">
        <v>1</v>
      </c>
      <c r="J2335" t="s">
        <v>2380</v>
      </c>
    </row>
    <row r="2336" spans="1:10" x14ac:dyDescent="0.35">
      <c r="A2336" t="s">
        <v>9</v>
      </c>
      <c r="B2336" t="str">
        <f t="shared" si="74"/>
        <v>Underweight</v>
      </c>
      <c r="C2336">
        <v>17.579999999999998</v>
      </c>
      <c r="D2336">
        <v>4.51</v>
      </c>
      <c r="E2336" t="str">
        <f t="shared" si="75"/>
        <v>Normal</v>
      </c>
      <c r="F2336" t="s">
        <v>2380</v>
      </c>
      <c r="G2336" t="s">
        <v>2380</v>
      </c>
      <c r="H2336" t="s">
        <v>2380</v>
      </c>
      <c r="I2336">
        <v>1</v>
      </c>
      <c r="J2336" t="s">
        <v>2380</v>
      </c>
    </row>
    <row r="2337" spans="1:10" x14ac:dyDescent="0.35">
      <c r="A2337" s="7">
        <f t="shared" ref="A2337:H2337" si="76">COUNTIF(A2:A2336,"?")</f>
        <v>0</v>
      </c>
      <c r="C2337" s="7">
        <f t="shared" si="76"/>
        <v>0</v>
      </c>
      <c r="D2337" s="7">
        <f t="shared" si="76"/>
        <v>0</v>
      </c>
      <c r="E2337" s="7"/>
      <c r="F2337" s="7">
        <f t="shared" si="76"/>
        <v>0</v>
      </c>
      <c r="G2337" s="7">
        <f>COUNTIF(G2:G2336,"?")</f>
        <v>0</v>
      </c>
      <c r="H2337" s="7">
        <f t="shared" si="76"/>
        <v>0</v>
      </c>
      <c r="I2337" s="7">
        <f ca="1">COUNTIF(I2:I2336,"?")</f>
        <v>0</v>
      </c>
      <c r="J2337" s="7">
        <f>COUNTIF(J2:J2336,"?")</f>
        <v>0</v>
      </c>
    </row>
    <row r="2338" spans="1:10" x14ac:dyDescent="0.35">
      <c r="J2338" t="str" cm="1">
        <f t="array" ref="J2338">INDEX(J2:J2336, MODE(MATCH(J2:J2336,J2:J2336,0)))</f>
        <v>No</v>
      </c>
    </row>
    <row r="2339" spans="1:10" x14ac:dyDescent="0.35">
      <c r="I2339">
        <f ca="1">IF(I2="No major surgery",0,VALUE(I2))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47"/>
  <sheetViews>
    <sheetView workbookViewId="0">
      <selection activeCell="H2" sqref="H2"/>
    </sheetView>
  </sheetViews>
  <sheetFormatPr defaultRowHeight="14.5" x14ac:dyDescent="0.35"/>
  <cols>
    <col min="1" max="1" width="12.81640625" bestFit="1" customWidth="1"/>
    <col min="6" max="6" width="9.81640625" style="15" bestFit="1" customWidth="1"/>
    <col min="7" max="7" width="13.1796875" bestFit="1" customWidth="1"/>
    <col min="10" max="10" width="10.08984375" bestFit="1" customWidth="1"/>
    <col min="15" max="15" width="13.6328125" customWidth="1"/>
  </cols>
  <sheetData>
    <row r="1" spans="1:15" s="2" customFormat="1" ht="19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4" t="s">
        <v>5</v>
      </c>
      <c r="G1" s="3" t="s">
        <v>6</v>
      </c>
      <c r="H1" s="3" t="s">
        <v>7</v>
      </c>
      <c r="I1" s="3" t="s">
        <v>8</v>
      </c>
      <c r="J1" s="12" t="s">
        <v>4726</v>
      </c>
      <c r="K1" s="2" t="s">
        <v>4727</v>
      </c>
      <c r="N1" s="13">
        <v>45085</v>
      </c>
      <c r="O1" s="2" t="s">
        <v>4728</v>
      </c>
    </row>
    <row r="2" spans="1:15" x14ac:dyDescent="0.35">
      <c r="A2" t="s">
        <v>9</v>
      </c>
      <c r="B2">
        <v>1992</v>
      </c>
      <c r="C2" t="s">
        <v>10</v>
      </c>
      <c r="D2">
        <v>9</v>
      </c>
      <c r="E2">
        <v>0</v>
      </c>
      <c r="F2" s="15">
        <v>563.84</v>
      </c>
      <c r="G2" t="s">
        <v>11</v>
      </c>
      <c r="H2" t="s">
        <v>12</v>
      </c>
      <c r="I2" t="s">
        <v>13</v>
      </c>
      <c r="J2" s="11">
        <f>DATE(B2,MATCH(C2,{"Jan","Feb","Mar","Apr","May","Jun","Jul","Aug","Sep","Oct","Nov","Dec"},0),D2)</f>
        <v>33794</v>
      </c>
      <c r="K2">
        <f>DATEDIF(J2,$N$1,"Y")</f>
        <v>30</v>
      </c>
    </row>
    <row r="3" spans="1:15" x14ac:dyDescent="0.35">
      <c r="A3" t="s">
        <v>14</v>
      </c>
      <c r="B3">
        <v>1992</v>
      </c>
      <c r="C3" t="s">
        <v>15</v>
      </c>
      <c r="D3">
        <v>30</v>
      </c>
      <c r="E3">
        <v>0</v>
      </c>
      <c r="F3" s="15">
        <v>570.62</v>
      </c>
      <c r="G3" t="s">
        <v>11</v>
      </c>
      <c r="H3" t="s">
        <v>16</v>
      </c>
      <c r="I3" t="s">
        <v>13</v>
      </c>
      <c r="J3" s="11">
        <f>DATE(B3,MATCH(C3,{"Jan","Feb","Mar","Apr","May","Jun","Jul","Aug","Sep","Oct","Nov","Dec"},0),D3)</f>
        <v>33938</v>
      </c>
      <c r="K3">
        <f t="shared" ref="K3:K66" si="0">DATEDIF(J3,$N$1,"Y")</f>
        <v>30</v>
      </c>
    </row>
    <row r="4" spans="1:15" x14ac:dyDescent="0.35">
      <c r="A4" t="s">
        <v>17</v>
      </c>
      <c r="B4">
        <v>1993</v>
      </c>
      <c r="C4" t="s">
        <v>18</v>
      </c>
      <c r="D4">
        <v>30</v>
      </c>
      <c r="E4">
        <v>0</v>
      </c>
      <c r="F4" s="15">
        <v>600</v>
      </c>
      <c r="G4" t="s">
        <v>11</v>
      </c>
      <c r="H4" t="s">
        <v>16</v>
      </c>
      <c r="I4" t="s">
        <v>13</v>
      </c>
      <c r="J4" s="11">
        <f>DATE(B4,MATCH(C4,{"Jan","Feb","Mar","Apr","May","Jun","Jul","Aug","Sep","Oct","Nov","Dec"},0),D4)</f>
        <v>34150</v>
      </c>
      <c r="K4">
        <f t="shared" si="0"/>
        <v>29</v>
      </c>
    </row>
    <row r="5" spans="1:15" x14ac:dyDescent="0.35">
      <c r="A5" t="s">
        <v>19</v>
      </c>
      <c r="B5">
        <v>1992</v>
      </c>
      <c r="C5" t="s">
        <v>20</v>
      </c>
      <c r="D5">
        <v>13</v>
      </c>
      <c r="E5">
        <v>0</v>
      </c>
      <c r="F5" s="15">
        <v>604.54</v>
      </c>
      <c r="G5" t="s">
        <v>12</v>
      </c>
      <c r="H5" t="s">
        <v>12</v>
      </c>
      <c r="I5" t="s">
        <v>13</v>
      </c>
      <c r="J5" s="11">
        <f>DATE(B5,MATCH(C5,{"Jan","Feb","Mar","Apr","May","Jun","Jul","Aug","Sep","Oct","Nov","Dec"},0),D5)</f>
        <v>33860</v>
      </c>
      <c r="K5">
        <f t="shared" si="0"/>
        <v>30</v>
      </c>
    </row>
    <row r="6" spans="1:15" x14ac:dyDescent="0.35">
      <c r="A6" t="s">
        <v>21</v>
      </c>
      <c r="B6">
        <v>1998</v>
      </c>
      <c r="C6" t="s">
        <v>10</v>
      </c>
      <c r="D6">
        <v>27</v>
      </c>
      <c r="E6">
        <v>0</v>
      </c>
      <c r="F6" s="15">
        <v>637.26</v>
      </c>
      <c r="G6" t="s">
        <v>12</v>
      </c>
      <c r="H6" t="s">
        <v>12</v>
      </c>
      <c r="I6" t="s">
        <v>13</v>
      </c>
      <c r="J6" s="11">
        <f>DATE(B6,MATCH(C6,{"Jan","Feb","Mar","Apr","May","Jun","Jul","Aug","Sep","Oct","Nov","Dec"},0),D6)</f>
        <v>36003</v>
      </c>
      <c r="K6">
        <f t="shared" si="0"/>
        <v>24</v>
      </c>
    </row>
    <row r="7" spans="1:15" x14ac:dyDescent="0.35">
      <c r="A7" t="s">
        <v>22</v>
      </c>
      <c r="B7">
        <v>2001</v>
      </c>
      <c r="C7" t="s">
        <v>15</v>
      </c>
      <c r="D7">
        <v>20</v>
      </c>
      <c r="E7">
        <v>0</v>
      </c>
      <c r="F7" s="15">
        <v>646.14</v>
      </c>
      <c r="G7" t="s">
        <v>12</v>
      </c>
      <c r="H7" t="s">
        <v>12</v>
      </c>
      <c r="I7" t="s">
        <v>23</v>
      </c>
      <c r="J7" s="11">
        <f>DATE(B7,MATCH(C7,{"Jan","Feb","Mar","Apr","May","Jun","Jul","Aug","Sep","Oct","Nov","Dec"},0),D7)</f>
        <v>37215</v>
      </c>
      <c r="K7">
        <f t="shared" si="0"/>
        <v>21</v>
      </c>
    </row>
    <row r="8" spans="1:15" x14ac:dyDescent="0.35">
      <c r="A8" t="s">
        <v>24</v>
      </c>
      <c r="B8">
        <v>1993</v>
      </c>
      <c r="C8" t="s">
        <v>18</v>
      </c>
      <c r="D8">
        <v>1</v>
      </c>
      <c r="E8">
        <v>0</v>
      </c>
      <c r="F8" s="15">
        <v>650</v>
      </c>
      <c r="G8" t="s">
        <v>12</v>
      </c>
      <c r="H8" t="s">
        <v>12</v>
      </c>
      <c r="I8" t="s">
        <v>13</v>
      </c>
      <c r="J8" s="11">
        <f>DATE(B8,MATCH(C8,{"Jan","Feb","Mar","Apr","May","Jun","Jul","Aug","Sep","Oct","Nov","Dec"},0),D8)</f>
        <v>34121</v>
      </c>
      <c r="K8">
        <f t="shared" si="0"/>
        <v>30</v>
      </c>
    </row>
    <row r="9" spans="1:15" x14ac:dyDescent="0.35">
      <c r="A9" t="s">
        <v>25</v>
      </c>
      <c r="B9">
        <v>1995</v>
      </c>
      <c r="C9" t="s">
        <v>10</v>
      </c>
      <c r="D9">
        <v>4</v>
      </c>
      <c r="E9">
        <v>0</v>
      </c>
      <c r="F9" s="15">
        <v>650</v>
      </c>
      <c r="G9" t="s">
        <v>12</v>
      </c>
      <c r="H9" t="s">
        <v>12</v>
      </c>
      <c r="I9" t="s">
        <v>13</v>
      </c>
      <c r="J9" s="11">
        <f>DATE(B9,MATCH(C9,{"Jan","Feb","Mar","Apr","May","Jun","Jul","Aug","Sep","Oct","Nov","Dec"},0),D9)</f>
        <v>34884</v>
      </c>
      <c r="K9">
        <f t="shared" si="0"/>
        <v>27</v>
      </c>
    </row>
    <row r="10" spans="1:15" x14ac:dyDescent="0.35">
      <c r="A10" t="s">
        <v>26</v>
      </c>
      <c r="B10">
        <v>2002</v>
      </c>
      <c r="C10" t="s">
        <v>15</v>
      </c>
      <c r="D10">
        <v>29</v>
      </c>
      <c r="E10">
        <v>0</v>
      </c>
      <c r="F10" s="15">
        <v>668</v>
      </c>
      <c r="G10" t="s">
        <v>12</v>
      </c>
      <c r="H10" t="s">
        <v>11</v>
      </c>
      <c r="I10" t="s">
        <v>23</v>
      </c>
      <c r="J10" s="11">
        <f>DATE(B10,MATCH(C10,{"Jan","Feb","Mar","Apr","May","Jun","Jul","Aug","Sep","Oct","Nov","Dec"},0),D10)</f>
        <v>37589</v>
      </c>
      <c r="K10">
        <f t="shared" si="0"/>
        <v>20</v>
      </c>
    </row>
    <row r="11" spans="1:15" x14ac:dyDescent="0.35">
      <c r="A11" t="s">
        <v>27</v>
      </c>
      <c r="B11">
        <v>1997</v>
      </c>
      <c r="C11" t="s">
        <v>15</v>
      </c>
      <c r="D11">
        <v>9</v>
      </c>
      <c r="E11">
        <v>0</v>
      </c>
      <c r="F11" s="15">
        <v>670</v>
      </c>
      <c r="G11" t="s">
        <v>12</v>
      </c>
      <c r="H11" t="s">
        <v>12</v>
      </c>
      <c r="I11" t="s">
        <v>13</v>
      </c>
      <c r="J11" s="11">
        <f>DATE(B11,MATCH(C11,{"Jan","Feb","Mar","Apr","May","Jun","Jul","Aug","Sep","Oct","Nov","Dec"},0),D11)</f>
        <v>35743</v>
      </c>
      <c r="K11">
        <f t="shared" si="0"/>
        <v>25</v>
      </c>
    </row>
    <row r="12" spans="1:15" x14ac:dyDescent="0.35">
      <c r="A12" t="s">
        <v>28</v>
      </c>
      <c r="B12">
        <v>2001</v>
      </c>
      <c r="C12" t="s">
        <v>20</v>
      </c>
      <c r="D12">
        <v>12</v>
      </c>
      <c r="E12">
        <v>0</v>
      </c>
      <c r="F12" s="15">
        <v>687.54</v>
      </c>
      <c r="G12" t="s">
        <v>12</v>
      </c>
      <c r="H12" t="s">
        <v>11</v>
      </c>
      <c r="I12" t="s">
        <v>13</v>
      </c>
      <c r="J12" s="11">
        <f>DATE(B12,MATCH(C12,{"Jan","Feb","Mar","Apr","May","Jun","Jul","Aug","Sep","Oct","Nov","Dec"},0),D12)</f>
        <v>37146</v>
      </c>
      <c r="K12">
        <f t="shared" si="0"/>
        <v>21</v>
      </c>
    </row>
    <row r="13" spans="1:15" x14ac:dyDescent="0.35">
      <c r="A13" t="s">
        <v>29</v>
      </c>
      <c r="B13">
        <v>1999</v>
      </c>
      <c r="C13" t="s">
        <v>30</v>
      </c>
      <c r="D13">
        <v>26</v>
      </c>
      <c r="E13">
        <v>0</v>
      </c>
      <c r="F13" s="15">
        <v>700</v>
      </c>
      <c r="G13" t="s">
        <v>11</v>
      </c>
      <c r="H13" t="s">
        <v>12</v>
      </c>
      <c r="I13" t="s">
        <v>13</v>
      </c>
      <c r="J13" s="11">
        <f>DATE(B13,MATCH(C13,{"Jan","Feb","Mar","Apr","May","Jun","Jul","Aug","Sep","Oct","Nov","Dec"},0),D13)</f>
        <v>36520</v>
      </c>
      <c r="K13">
        <f t="shared" si="0"/>
        <v>23</v>
      </c>
    </row>
    <row r="14" spans="1:15" x14ac:dyDescent="0.35">
      <c r="A14" t="s">
        <v>32</v>
      </c>
      <c r="B14">
        <v>1999</v>
      </c>
      <c r="C14" t="s">
        <v>30</v>
      </c>
      <c r="D14">
        <v>14</v>
      </c>
      <c r="E14">
        <v>0</v>
      </c>
      <c r="F14" s="15">
        <v>722.99</v>
      </c>
      <c r="G14" t="s">
        <v>12</v>
      </c>
      <c r="H14" t="s">
        <v>16</v>
      </c>
      <c r="I14" t="s">
        <v>13</v>
      </c>
      <c r="J14" s="11">
        <f>DATE(B14,MATCH(C14,{"Jan","Feb","Mar","Apr","May","Jun","Jul","Aug","Sep","Oct","Nov","Dec"},0),D14)</f>
        <v>36508</v>
      </c>
      <c r="K14">
        <f t="shared" si="0"/>
        <v>23</v>
      </c>
    </row>
    <row r="15" spans="1:15" x14ac:dyDescent="0.35">
      <c r="A15" t="s">
        <v>33</v>
      </c>
      <c r="B15">
        <v>2002</v>
      </c>
      <c r="C15" t="s">
        <v>20</v>
      </c>
      <c r="D15">
        <v>19</v>
      </c>
      <c r="E15">
        <v>0</v>
      </c>
      <c r="F15" s="15">
        <v>750</v>
      </c>
      <c r="G15" t="s">
        <v>12</v>
      </c>
      <c r="H15" t="s">
        <v>16</v>
      </c>
      <c r="I15" t="s">
        <v>23</v>
      </c>
      <c r="J15" s="11">
        <f>DATE(B15,MATCH(C15,{"Jan","Feb","Mar","Apr","May","Jun","Jul","Aug","Sep","Oct","Nov","Dec"},0),D15)</f>
        <v>37518</v>
      </c>
      <c r="K15">
        <f>DATEDIF(J15,$N$1,"Y")</f>
        <v>20</v>
      </c>
    </row>
    <row r="16" spans="1:15" x14ac:dyDescent="0.35">
      <c r="A16" t="s">
        <v>34</v>
      </c>
      <c r="B16">
        <v>1993</v>
      </c>
      <c r="C16" t="s">
        <v>35</v>
      </c>
      <c r="D16">
        <v>9</v>
      </c>
      <c r="E16">
        <v>0</v>
      </c>
      <c r="F16" s="15">
        <v>760</v>
      </c>
      <c r="G16" t="s">
        <v>12</v>
      </c>
      <c r="H16" t="s">
        <v>16</v>
      </c>
      <c r="I16" t="s">
        <v>13</v>
      </c>
      <c r="J16" s="11">
        <f>DATE(B16,MATCH(C16,{"Jan","Feb","Mar","Apr","May","Jun","Jul","Aug","Sep","Oct","Nov","Dec"},0),D16)</f>
        <v>34190</v>
      </c>
      <c r="K16">
        <f t="shared" si="0"/>
        <v>29</v>
      </c>
    </row>
    <row r="17" spans="1:11" x14ac:dyDescent="0.35">
      <c r="A17" t="s">
        <v>36</v>
      </c>
      <c r="B17">
        <v>1996</v>
      </c>
      <c r="C17" t="s">
        <v>37</v>
      </c>
      <c r="D17">
        <v>22</v>
      </c>
      <c r="E17">
        <v>0</v>
      </c>
      <c r="F17" s="15">
        <v>760</v>
      </c>
      <c r="G17" t="s">
        <v>12</v>
      </c>
      <c r="H17" t="s">
        <v>12</v>
      </c>
      <c r="I17" t="s">
        <v>13</v>
      </c>
      <c r="J17" s="11">
        <f>DATE(B17,MATCH(C17,{"Jan","Feb","Mar","Apr","May","Jun","Jul","Aug","Sep","Oct","Nov","Dec"},0),D17)</f>
        <v>35360</v>
      </c>
      <c r="K17">
        <f t="shared" si="0"/>
        <v>26</v>
      </c>
    </row>
    <row r="18" spans="1:11" x14ac:dyDescent="0.35">
      <c r="A18" t="s">
        <v>38</v>
      </c>
      <c r="B18">
        <v>1993</v>
      </c>
      <c r="C18" t="s">
        <v>18</v>
      </c>
      <c r="D18">
        <v>28</v>
      </c>
      <c r="E18">
        <v>0</v>
      </c>
      <c r="F18" s="15">
        <v>770</v>
      </c>
      <c r="G18" t="s">
        <v>12</v>
      </c>
      <c r="H18" t="s">
        <v>12</v>
      </c>
      <c r="I18" t="s">
        <v>13</v>
      </c>
      <c r="J18" s="11">
        <f>DATE(B18,MATCH(C18,{"Jan","Feb","Mar","Apr","May","Jun","Jul","Aug","Sep","Oct","Nov","Dec"},0),D18)</f>
        <v>34148</v>
      </c>
      <c r="K18">
        <f t="shared" si="0"/>
        <v>29</v>
      </c>
    </row>
    <row r="19" spans="1:11" x14ac:dyDescent="0.35">
      <c r="A19" t="s">
        <v>39</v>
      </c>
      <c r="B19">
        <v>1996</v>
      </c>
      <c r="C19" t="s">
        <v>20</v>
      </c>
      <c r="D19">
        <v>18</v>
      </c>
      <c r="E19">
        <v>0</v>
      </c>
      <c r="F19" s="15">
        <v>770.38</v>
      </c>
      <c r="G19" t="s">
        <v>12</v>
      </c>
      <c r="H19" t="s">
        <v>11</v>
      </c>
      <c r="I19" t="s">
        <v>23</v>
      </c>
      <c r="J19" s="11">
        <f>DATE(B19,MATCH(C19,{"Jan","Feb","Mar","Apr","May","Jun","Jul","Aug","Sep","Oct","Nov","Dec"},0),D19)</f>
        <v>35326</v>
      </c>
      <c r="K19">
        <f t="shared" si="0"/>
        <v>26</v>
      </c>
    </row>
    <row r="20" spans="1:11" x14ac:dyDescent="0.35">
      <c r="A20" t="s">
        <v>40</v>
      </c>
      <c r="B20">
        <v>1995</v>
      </c>
      <c r="C20" t="s">
        <v>30</v>
      </c>
      <c r="D20">
        <v>7</v>
      </c>
      <c r="E20">
        <v>0</v>
      </c>
      <c r="F20" s="15">
        <v>773.54</v>
      </c>
      <c r="G20" t="s">
        <v>12</v>
      </c>
      <c r="H20" t="s">
        <v>11</v>
      </c>
      <c r="I20" t="s">
        <v>13</v>
      </c>
      <c r="J20" s="11">
        <f>DATE(B20,MATCH(C20,{"Jan","Feb","Mar","Apr","May","Jun","Jul","Aug","Sep","Oct","Nov","Dec"},0),D20)</f>
        <v>35040</v>
      </c>
      <c r="K20">
        <f t="shared" si="0"/>
        <v>27</v>
      </c>
    </row>
    <row r="21" spans="1:11" x14ac:dyDescent="0.35">
      <c r="A21" t="s">
        <v>41</v>
      </c>
      <c r="B21">
        <v>2004</v>
      </c>
      <c r="C21" t="s">
        <v>37</v>
      </c>
      <c r="D21">
        <v>7</v>
      </c>
      <c r="E21">
        <v>0</v>
      </c>
      <c r="F21" s="15">
        <v>830.52</v>
      </c>
      <c r="G21" t="s">
        <v>12</v>
      </c>
      <c r="H21" t="s">
        <v>11</v>
      </c>
      <c r="I21" t="s">
        <v>42</v>
      </c>
      <c r="J21" s="11">
        <f>DATE(B21,MATCH(C21,{"Jan","Feb","Mar","Apr","May","Jun","Jul","Aug","Sep","Oct","Nov","Dec"},0),D21)</f>
        <v>38267</v>
      </c>
      <c r="K21">
        <f t="shared" si="0"/>
        <v>18</v>
      </c>
    </row>
    <row r="22" spans="1:11" x14ac:dyDescent="0.35">
      <c r="A22" t="s">
        <v>43</v>
      </c>
      <c r="B22">
        <v>2000</v>
      </c>
      <c r="C22" t="s">
        <v>15</v>
      </c>
      <c r="D22">
        <v>18</v>
      </c>
      <c r="E22">
        <v>0</v>
      </c>
      <c r="F22" s="15">
        <v>865.41</v>
      </c>
      <c r="G22" t="s">
        <v>12</v>
      </c>
      <c r="H22" t="s">
        <v>16</v>
      </c>
      <c r="I22" t="s">
        <v>13</v>
      </c>
      <c r="J22" s="11">
        <f>DATE(B22,MATCH(C22,{"Jan","Feb","Mar","Apr","May","Jun","Jul","Aug","Sep","Oct","Nov","Dec"},0),D22)</f>
        <v>36848</v>
      </c>
      <c r="K22">
        <f t="shared" si="0"/>
        <v>22</v>
      </c>
    </row>
    <row r="23" spans="1:11" x14ac:dyDescent="0.35">
      <c r="A23" t="s">
        <v>44</v>
      </c>
      <c r="B23">
        <v>1993</v>
      </c>
      <c r="C23" t="s">
        <v>15</v>
      </c>
      <c r="D23">
        <v>27</v>
      </c>
      <c r="E23">
        <v>0</v>
      </c>
      <c r="F23" s="15">
        <v>896.21</v>
      </c>
      <c r="G23" t="s">
        <v>12</v>
      </c>
      <c r="H23" t="s">
        <v>16</v>
      </c>
      <c r="I23" t="s">
        <v>13</v>
      </c>
      <c r="J23" s="11">
        <f>DATE(B23,MATCH(C23,{"Jan","Feb","Mar","Apr","May","Jun","Jul","Aug","Sep","Oct","Nov","Dec"},0),D23)</f>
        <v>34300</v>
      </c>
      <c r="K23">
        <f t="shared" si="0"/>
        <v>29</v>
      </c>
    </row>
    <row r="24" spans="1:11" x14ac:dyDescent="0.35">
      <c r="A24" t="s">
        <v>45</v>
      </c>
      <c r="B24">
        <v>1994</v>
      </c>
      <c r="C24" t="s">
        <v>37</v>
      </c>
      <c r="D24">
        <v>30</v>
      </c>
      <c r="E24">
        <v>0</v>
      </c>
      <c r="F24" s="15">
        <v>915.07</v>
      </c>
      <c r="G24" t="s">
        <v>12</v>
      </c>
      <c r="H24" t="s">
        <v>16</v>
      </c>
      <c r="I24" t="s">
        <v>13</v>
      </c>
      <c r="J24" s="11">
        <f>DATE(B24,MATCH(C24,{"Jan","Feb","Mar","Apr","May","Jun","Jul","Aug","Sep","Oct","Nov","Dec"},0),D24)</f>
        <v>34637</v>
      </c>
      <c r="K24">
        <f t="shared" si="0"/>
        <v>28</v>
      </c>
    </row>
    <row r="25" spans="1:11" x14ac:dyDescent="0.35">
      <c r="A25" t="s">
        <v>46</v>
      </c>
      <c r="B25">
        <v>1995</v>
      </c>
      <c r="C25" t="s">
        <v>37</v>
      </c>
      <c r="D25">
        <v>28</v>
      </c>
      <c r="E25">
        <v>0</v>
      </c>
      <c r="F25" s="15">
        <v>928.59</v>
      </c>
      <c r="G25" t="s">
        <v>12</v>
      </c>
      <c r="H25" t="s">
        <v>16</v>
      </c>
      <c r="I25" t="s">
        <v>13</v>
      </c>
      <c r="J25" s="11">
        <f>DATE(B25,MATCH(C25,{"Jan","Feb","Mar","Apr","May","Jun","Jul","Aug","Sep","Oct","Nov","Dec"},0),D25)</f>
        <v>35000</v>
      </c>
      <c r="K25">
        <f t="shared" si="0"/>
        <v>27</v>
      </c>
    </row>
    <row r="26" spans="1:11" x14ac:dyDescent="0.35">
      <c r="A26" t="s">
        <v>47</v>
      </c>
      <c r="B26">
        <v>2001</v>
      </c>
      <c r="C26" t="s">
        <v>35</v>
      </c>
      <c r="D26">
        <v>19</v>
      </c>
      <c r="E26">
        <v>0</v>
      </c>
      <c r="F26" s="15">
        <v>964.71</v>
      </c>
      <c r="G26" t="s">
        <v>12</v>
      </c>
      <c r="H26" t="s">
        <v>11</v>
      </c>
      <c r="I26" t="s">
        <v>13</v>
      </c>
      <c r="J26" s="11">
        <f>DATE(B26,MATCH(C26,{"Jan","Feb","Mar","Apr","May","Jun","Jul","Aug","Sep","Oct","Nov","Dec"},0),D26)</f>
        <v>37122</v>
      </c>
      <c r="K26">
        <f t="shared" si="0"/>
        <v>21</v>
      </c>
    </row>
    <row r="27" spans="1:11" x14ac:dyDescent="0.35">
      <c r="A27" t="s">
        <v>48</v>
      </c>
      <c r="B27">
        <v>1994</v>
      </c>
      <c r="C27" t="s">
        <v>15</v>
      </c>
      <c r="D27">
        <v>22</v>
      </c>
      <c r="E27">
        <v>0</v>
      </c>
      <c r="F27" s="15">
        <v>1006.65</v>
      </c>
      <c r="G27" t="s">
        <v>12</v>
      </c>
      <c r="H27" t="s">
        <v>11</v>
      </c>
      <c r="I27" t="s">
        <v>13</v>
      </c>
      <c r="J27" s="11">
        <f>DATE(B27,MATCH(C27,{"Jan","Feb","Mar","Apr","May","Jun","Jul","Aug","Sep","Oct","Nov","Dec"},0),D27)</f>
        <v>34660</v>
      </c>
      <c r="K27">
        <f t="shared" si="0"/>
        <v>28</v>
      </c>
    </row>
    <row r="28" spans="1:11" x14ac:dyDescent="0.35">
      <c r="A28" t="s">
        <v>49</v>
      </c>
      <c r="B28">
        <v>2000</v>
      </c>
      <c r="C28" t="s">
        <v>37</v>
      </c>
      <c r="D28">
        <v>9</v>
      </c>
      <c r="E28">
        <v>0</v>
      </c>
      <c r="F28" s="15">
        <v>1012</v>
      </c>
      <c r="G28" t="s">
        <v>12</v>
      </c>
      <c r="H28" t="s">
        <v>11</v>
      </c>
      <c r="I28" t="s">
        <v>13</v>
      </c>
      <c r="J28" s="11">
        <f>DATE(B28,MATCH(C28,{"Jan","Feb","Mar","Apr","May","Jun","Jul","Aug","Sep","Oct","Nov","Dec"},0),D28)</f>
        <v>36808</v>
      </c>
      <c r="K28">
        <f t="shared" si="0"/>
        <v>22</v>
      </c>
    </row>
    <row r="29" spans="1:11" x14ac:dyDescent="0.35">
      <c r="A29" t="s">
        <v>50</v>
      </c>
      <c r="B29">
        <v>1999</v>
      </c>
      <c r="C29" t="s">
        <v>35</v>
      </c>
      <c r="D29">
        <v>5</v>
      </c>
      <c r="E29">
        <v>0</v>
      </c>
      <c r="F29" s="15">
        <v>1019</v>
      </c>
      <c r="G29" t="s">
        <v>12</v>
      </c>
      <c r="H29" t="s">
        <v>11</v>
      </c>
      <c r="I29" t="s">
        <v>13</v>
      </c>
      <c r="J29" s="11">
        <f>DATE(B29,MATCH(C29,{"Jan","Feb","Mar","Apr","May","Jun","Jul","Aug","Sep","Oct","Nov","Dec"},0),D29)</f>
        <v>36377</v>
      </c>
      <c r="K29">
        <f t="shared" si="0"/>
        <v>23</v>
      </c>
    </row>
    <row r="30" spans="1:11" x14ac:dyDescent="0.35">
      <c r="A30" t="s">
        <v>51</v>
      </c>
      <c r="B30">
        <v>1995</v>
      </c>
      <c r="C30" t="s">
        <v>37</v>
      </c>
      <c r="D30">
        <v>5</v>
      </c>
      <c r="E30">
        <v>0</v>
      </c>
      <c r="F30" s="15">
        <v>1033.74</v>
      </c>
      <c r="G30" t="s">
        <v>12</v>
      </c>
      <c r="H30" t="s">
        <v>16</v>
      </c>
      <c r="I30" t="s">
        <v>13</v>
      </c>
      <c r="J30" s="11">
        <f>DATE(B30,MATCH(C30,{"Jan","Feb","Mar","Apr","May","Jun","Jul","Aug","Sep","Oct","Nov","Dec"},0),D30)</f>
        <v>34977</v>
      </c>
      <c r="K30">
        <f t="shared" si="0"/>
        <v>27</v>
      </c>
    </row>
    <row r="31" spans="1:11" x14ac:dyDescent="0.35">
      <c r="A31" t="s">
        <v>52</v>
      </c>
      <c r="B31">
        <v>1994</v>
      </c>
      <c r="C31" t="s">
        <v>15</v>
      </c>
      <c r="D31">
        <v>17</v>
      </c>
      <c r="E31">
        <v>0</v>
      </c>
      <c r="F31" s="15">
        <v>1044</v>
      </c>
      <c r="G31" t="s">
        <v>12</v>
      </c>
      <c r="H31" t="s">
        <v>11</v>
      </c>
      <c r="I31" t="s">
        <v>13</v>
      </c>
      <c r="J31" s="11">
        <f>DATE(B31,MATCH(C31,{"Jan","Feb","Mar","Apr","May","Jun","Jul","Aug","Sep","Oct","Nov","Dec"},0),D31)</f>
        <v>34655</v>
      </c>
      <c r="K31">
        <f t="shared" si="0"/>
        <v>28</v>
      </c>
    </row>
    <row r="32" spans="1:11" x14ac:dyDescent="0.35">
      <c r="A32" t="s">
        <v>53</v>
      </c>
      <c r="B32">
        <v>2002</v>
      </c>
      <c r="C32" t="s">
        <v>10</v>
      </c>
      <c r="D32">
        <v>20</v>
      </c>
      <c r="E32">
        <v>0</v>
      </c>
      <c r="F32" s="15">
        <v>1047</v>
      </c>
      <c r="G32" t="s">
        <v>12</v>
      </c>
      <c r="H32" t="s">
        <v>16</v>
      </c>
      <c r="I32" t="s">
        <v>13</v>
      </c>
      <c r="J32" s="11">
        <f>DATE(B32,MATCH(C32,{"Jan","Feb","Mar","Apr","May","Jun","Jul","Aug","Sep","Oct","Nov","Dec"},0),D32)</f>
        <v>37457</v>
      </c>
      <c r="K32">
        <f t="shared" si="0"/>
        <v>20</v>
      </c>
    </row>
    <row r="33" spans="1:11" x14ac:dyDescent="0.35">
      <c r="A33" t="s">
        <v>54</v>
      </c>
      <c r="B33">
        <v>2002</v>
      </c>
      <c r="C33" t="s">
        <v>10</v>
      </c>
      <c r="D33">
        <v>1</v>
      </c>
      <c r="E33">
        <v>0</v>
      </c>
      <c r="F33" s="15">
        <v>1049</v>
      </c>
      <c r="G33" t="s">
        <v>12</v>
      </c>
      <c r="H33" t="s">
        <v>11</v>
      </c>
      <c r="I33" t="s">
        <v>23</v>
      </c>
      <c r="J33" s="11">
        <f>DATE(B33,MATCH(C33,{"Jan","Feb","Mar","Apr","May","Jun","Jul","Aug","Sep","Oct","Nov","Dec"},0),D33)</f>
        <v>37438</v>
      </c>
      <c r="K33">
        <f t="shared" si="0"/>
        <v>20</v>
      </c>
    </row>
    <row r="34" spans="1:11" x14ac:dyDescent="0.35">
      <c r="A34" t="s">
        <v>55</v>
      </c>
      <c r="B34">
        <v>1995</v>
      </c>
      <c r="C34" t="s">
        <v>18</v>
      </c>
      <c r="D34">
        <v>1</v>
      </c>
      <c r="E34">
        <v>0</v>
      </c>
      <c r="F34" s="15">
        <v>1056</v>
      </c>
      <c r="G34" t="s">
        <v>12</v>
      </c>
      <c r="H34" t="s">
        <v>11</v>
      </c>
      <c r="I34" t="s">
        <v>13</v>
      </c>
      <c r="J34" s="11">
        <f>DATE(B34,MATCH(C34,{"Jan","Feb","Mar","Apr","May","Jun","Jul","Aug","Sep","Oct","Nov","Dec"},0),D34)</f>
        <v>34851</v>
      </c>
      <c r="K34">
        <f t="shared" si="0"/>
        <v>28</v>
      </c>
    </row>
    <row r="35" spans="1:11" x14ac:dyDescent="0.35">
      <c r="A35" t="s">
        <v>56</v>
      </c>
      <c r="B35">
        <v>1993</v>
      </c>
      <c r="C35" t="s">
        <v>20</v>
      </c>
      <c r="D35">
        <v>28</v>
      </c>
      <c r="E35">
        <v>0</v>
      </c>
      <c r="F35" s="15">
        <v>1068</v>
      </c>
      <c r="G35" t="s">
        <v>12</v>
      </c>
      <c r="H35" t="s">
        <v>16</v>
      </c>
      <c r="I35" t="s">
        <v>13</v>
      </c>
      <c r="J35" s="11">
        <f>DATE(B35,MATCH(C35,{"Jan","Feb","Mar","Apr","May","Jun","Jul","Aug","Sep","Oct","Nov","Dec"},0),D35)</f>
        <v>34240</v>
      </c>
      <c r="K35">
        <f t="shared" si="0"/>
        <v>29</v>
      </c>
    </row>
    <row r="36" spans="1:11" x14ac:dyDescent="0.35">
      <c r="A36" t="s">
        <v>57</v>
      </c>
      <c r="B36">
        <v>2004</v>
      </c>
      <c r="C36" t="s">
        <v>35</v>
      </c>
      <c r="D36">
        <v>24</v>
      </c>
      <c r="E36">
        <v>0</v>
      </c>
      <c r="F36" s="15">
        <v>1070</v>
      </c>
      <c r="G36" t="s">
        <v>12</v>
      </c>
      <c r="H36" t="s">
        <v>12</v>
      </c>
      <c r="I36" t="s">
        <v>13</v>
      </c>
      <c r="J36" s="11">
        <f>DATE(B36,MATCH(C36,{"Jan","Feb","Mar","Apr","May","Jun","Jul","Aug","Sep","Oct","Nov","Dec"},0),D36)</f>
        <v>38223</v>
      </c>
      <c r="K36">
        <f t="shared" si="0"/>
        <v>18</v>
      </c>
    </row>
    <row r="37" spans="1:11" x14ac:dyDescent="0.35">
      <c r="A37" t="s">
        <v>58</v>
      </c>
      <c r="B37">
        <v>1997</v>
      </c>
      <c r="C37" t="s">
        <v>35</v>
      </c>
      <c r="D37">
        <v>13</v>
      </c>
      <c r="E37">
        <v>0</v>
      </c>
      <c r="F37" s="15">
        <v>1071</v>
      </c>
      <c r="G37" t="s">
        <v>12</v>
      </c>
      <c r="H37" t="s">
        <v>12</v>
      </c>
      <c r="I37" t="s">
        <v>13</v>
      </c>
      <c r="J37" s="11">
        <f>DATE(B37,MATCH(C37,{"Jan","Feb","Mar","Apr","May","Jun","Jul","Aug","Sep","Oct","Nov","Dec"},0),D37)</f>
        <v>35655</v>
      </c>
      <c r="K37">
        <f t="shared" si="0"/>
        <v>25</v>
      </c>
    </row>
    <row r="38" spans="1:11" x14ac:dyDescent="0.35">
      <c r="A38" t="s">
        <v>59</v>
      </c>
      <c r="B38">
        <v>1998</v>
      </c>
      <c r="C38" t="s">
        <v>30</v>
      </c>
      <c r="D38">
        <v>26</v>
      </c>
      <c r="E38">
        <v>0</v>
      </c>
      <c r="F38" s="15">
        <v>1082</v>
      </c>
      <c r="G38" t="s">
        <v>12</v>
      </c>
      <c r="H38" t="s">
        <v>11</v>
      </c>
      <c r="I38" t="s">
        <v>13</v>
      </c>
      <c r="J38" s="11">
        <f>DATE(B38,MATCH(C38,{"Jan","Feb","Mar","Apr","May","Jun","Jul","Aug","Sep","Oct","Nov","Dec"},0),D38)</f>
        <v>36155</v>
      </c>
      <c r="K38">
        <f t="shared" si="0"/>
        <v>24</v>
      </c>
    </row>
    <row r="39" spans="1:11" x14ac:dyDescent="0.35">
      <c r="A39" t="s">
        <v>60</v>
      </c>
      <c r="B39">
        <v>2002</v>
      </c>
      <c r="C39" t="s">
        <v>35</v>
      </c>
      <c r="D39">
        <v>13</v>
      </c>
      <c r="E39">
        <v>0</v>
      </c>
      <c r="F39" s="15">
        <v>1086</v>
      </c>
      <c r="G39" t="s">
        <v>12</v>
      </c>
      <c r="H39" t="s">
        <v>12</v>
      </c>
      <c r="I39" t="s">
        <v>13</v>
      </c>
      <c r="J39" s="11">
        <f>DATE(B39,MATCH(C39,{"Jan","Feb","Mar","Apr","May","Jun","Jul","Aug","Sep","Oct","Nov","Dec"},0),D39)</f>
        <v>37481</v>
      </c>
      <c r="K39">
        <f t="shared" si="0"/>
        <v>20</v>
      </c>
    </row>
    <row r="40" spans="1:11" x14ac:dyDescent="0.35">
      <c r="A40" t="s">
        <v>61</v>
      </c>
      <c r="B40">
        <v>2004</v>
      </c>
      <c r="C40" t="s">
        <v>15</v>
      </c>
      <c r="D40">
        <v>12</v>
      </c>
      <c r="E40">
        <v>0</v>
      </c>
      <c r="F40" s="15">
        <v>1121.8699999999999</v>
      </c>
      <c r="G40" t="s">
        <v>12</v>
      </c>
      <c r="H40" t="s">
        <v>16</v>
      </c>
      <c r="I40" t="s">
        <v>13</v>
      </c>
      <c r="J40" s="11">
        <f>DATE(B40,MATCH(C40,{"Jan","Feb","Mar","Apr","May","Jun","Jul","Aug","Sep","Oct","Nov","Dec"},0),D40)</f>
        <v>38303</v>
      </c>
      <c r="K40">
        <f t="shared" si="0"/>
        <v>18</v>
      </c>
    </row>
    <row r="41" spans="1:11" x14ac:dyDescent="0.35">
      <c r="A41" t="s">
        <v>62</v>
      </c>
      <c r="B41">
        <v>2004</v>
      </c>
      <c r="C41" t="s">
        <v>18</v>
      </c>
      <c r="D41">
        <v>14</v>
      </c>
      <c r="E41">
        <v>0</v>
      </c>
      <c r="F41" s="15">
        <v>1131.51</v>
      </c>
      <c r="G41" t="s">
        <v>12</v>
      </c>
      <c r="H41" t="s">
        <v>16</v>
      </c>
      <c r="I41" t="s">
        <v>13</v>
      </c>
      <c r="J41" s="11">
        <f>DATE(B41,MATCH(C41,{"Jan","Feb","Mar","Apr","May","Jun","Jul","Aug","Sep","Oct","Nov","Dec"},0),D41)</f>
        <v>38152</v>
      </c>
      <c r="K41">
        <f t="shared" si="0"/>
        <v>18</v>
      </c>
    </row>
    <row r="42" spans="1:11" x14ac:dyDescent="0.35">
      <c r="A42" t="s">
        <v>63</v>
      </c>
      <c r="B42">
        <v>2002</v>
      </c>
      <c r="C42" t="s">
        <v>10</v>
      </c>
      <c r="D42">
        <v>19</v>
      </c>
      <c r="E42">
        <v>0</v>
      </c>
      <c r="F42" s="15">
        <v>1132</v>
      </c>
      <c r="G42" t="s">
        <v>12</v>
      </c>
      <c r="H42" t="s">
        <v>16</v>
      </c>
      <c r="I42" t="s">
        <v>13</v>
      </c>
      <c r="J42" s="11">
        <f>DATE(B42,MATCH(C42,{"Jan","Feb","Mar","Apr","May","Jun","Jul","Aug","Sep","Oct","Nov","Dec"},0),D42)</f>
        <v>37456</v>
      </c>
      <c r="K42">
        <f t="shared" si="0"/>
        <v>20</v>
      </c>
    </row>
    <row r="43" spans="1:11" x14ac:dyDescent="0.35">
      <c r="A43" t="s">
        <v>64</v>
      </c>
      <c r="B43">
        <v>2004</v>
      </c>
      <c r="C43" t="s">
        <v>37</v>
      </c>
      <c r="D43">
        <v>6</v>
      </c>
      <c r="E43">
        <v>0</v>
      </c>
      <c r="F43" s="15">
        <v>1135</v>
      </c>
      <c r="G43" t="s">
        <v>12</v>
      </c>
      <c r="H43" t="s">
        <v>12</v>
      </c>
      <c r="I43" t="s">
        <v>13</v>
      </c>
      <c r="J43" s="11">
        <f>DATE(B43,MATCH(C43,{"Jan","Feb","Mar","Apr","May","Jun","Jul","Aug","Sep","Oct","Nov","Dec"},0),D43)</f>
        <v>38266</v>
      </c>
      <c r="K43">
        <f t="shared" si="0"/>
        <v>18</v>
      </c>
    </row>
    <row r="44" spans="1:11" x14ac:dyDescent="0.35">
      <c r="A44" t="s">
        <v>65</v>
      </c>
      <c r="B44">
        <v>2004</v>
      </c>
      <c r="C44" t="s">
        <v>18</v>
      </c>
      <c r="D44">
        <v>11</v>
      </c>
      <c r="E44">
        <v>0</v>
      </c>
      <c r="F44" s="15">
        <v>1135.94</v>
      </c>
      <c r="G44" t="s">
        <v>12</v>
      </c>
      <c r="H44" t="s">
        <v>12</v>
      </c>
      <c r="I44" t="s">
        <v>13</v>
      </c>
      <c r="J44" s="11">
        <f>DATE(B44,MATCH(C44,{"Jan","Feb","Mar","Apr","May","Jun","Jul","Aug","Sep","Oct","Nov","Dec"},0),D44)</f>
        <v>38149</v>
      </c>
      <c r="K44">
        <f t="shared" si="0"/>
        <v>18</v>
      </c>
    </row>
    <row r="45" spans="1:11" x14ac:dyDescent="0.35">
      <c r="A45" t="s">
        <v>66</v>
      </c>
      <c r="B45">
        <v>2004</v>
      </c>
      <c r="C45" t="s">
        <v>15</v>
      </c>
      <c r="D45">
        <v>28</v>
      </c>
      <c r="E45">
        <v>0</v>
      </c>
      <c r="F45" s="15">
        <v>1136.4000000000001</v>
      </c>
      <c r="G45" t="s">
        <v>12</v>
      </c>
      <c r="H45" t="s">
        <v>12</v>
      </c>
      <c r="I45" t="s">
        <v>13</v>
      </c>
      <c r="J45" s="11">
        <f>DATE(B45,MATCH(C45,{"Jan","Feb","Mar","Apr","May","Jun","Jul","Aug","Sep","Oct","Nov","Dec"},0),D45)</f>
        <v>38319</v>
      </c>
      <c r="K45">
        <f t="shared" si="0"/>
        <v>18</v>
      </c>
    </row>
    <row r="46" spans="1:11" x14ac:dyDescent="0.35">
      <c r="A46" t="s">
        <v>67</v>
      </c>
      <c r="B46">
        <v>2002</v>
      </c>
      <c r="C46" t="s">
        <v>35</v>
      </c>
      <c r="D46">
        <v>11</v>
      </c>
      <c r="E46">
        <v>0</v>
      </c>
      <c r="F46" s="15">
        <v>1137</v>
      </c>
      <c r="G46" t="s">
        <v>12</v>
      </c>
      <c r="H46" t="s">
        <v>16</v>
      </c>
      <c r="I46" t="s">
        <v>13</v>
      </c>
      <c r="J46" s="11">
        <f>DATE(B46,MATCH(C46,{"Jan","Feb","Mar","Apr","May","Jun","Jul","Aug","Sep","Oct","Nov","Dec"},0),D46)</f>
        <v>37479</v>
      </c>
      <c r="K46">
        <f t="shared" si="0"/>
        <v>20</v>
      </c>
    </row>
    <row r="47" spans="1:11" x14ac:dyDescent="0.35">
      <c r="A47" t="s">
        <v>31</v>
      </c>
      <c r="B47">
        <v>2004</v>
      </c>
      <c r="C47" t="s">
        <v>15</v>
      </c>
      <c r="D47">
        <v>6</v>
      </c>
      <c r="E47">
        <v>0</v>
      </c>
      <c r="F47" s="15">
        <v>1137.01</v>
      </c>
      <c r="G47" t="s">
        <v>12</v>
      </c>
      <c r="H47" t="s">
        <v>16</v>
      </c>
      <c r="I47" t="s">
        <v>13</v>
      </c>
      <c r="J47" s="11">
        <f>DATE(B47,MATCH(C47,{"Jan","Feb","Mar","Apr","May","Jun","Jul","Aug","Sep","Oct","Nov","Dec"},0),D47)</f>
        <v>38297</v>
      </c>
      <c r="K47">
        <f t="shared" si="0"/>
        <v>18</v>
      </c>
    </row>
    <row r="48" spans="1:11" x14ac:dyDescent="0.35">
      <c r="A48" t="s">
        <v>68</v>
      </c>
      <c r="B48">
        <v>2004</v>
      </c>
      <c r="C48" t="s">
        <v>37</v>
      </c>
      <c r="D48">
        <v>15</v>
      </c>
      <c r="E48">
        <v>0</v>
      </c>
      <c r="F48" s="15">
        <v>1137.01</v>
      </c>
      <c r="G48" t="s">
        <v>12</v>
      </c>
      <c r="H48" t="s">
        <v>16</v>
      </c>
      <c r="I48" t="s">
        <v>13</v>
      </c>
      <c r="J48" s="11">
        <f>DATE(B48,MATCH(C48,{"Jan","Feb","Mar","Apr","May","Jun","Jul","Aug","Sep","Oct","Nov","Dec"},0),D48)</f>
        <v>38275</v>
      </c>
      <c r="K48">
        <f t="shared" si="0"/>
        <v>18</v>
      </c>
    </row>
    <row r="49" spans="1:11" x14ac:dyDescent="0.35">
      <c r="A49" t="s">
        <v>69</v>
      </c>
      <c r="B49">
        <v>2004</v>
      </c>
      <c r="C49" t="s">
        <v>15</v>
      </c>
      <c r="D49">
        <v>27</v>
      </c>
      <c r="E49">
        <v>0</v>
      </c>
      <c r="F49" s="15">
        <v>1137.47</v>
      </c>
      <c r="G49" t="s">
        <v>12</v>
      </c>
      <c r="H49" t="s">
        <v>11</v>
      </c>
      <c r="I49" t="s">
        <v>13</v>
      </c>
      <c r="J49" s="11">
        <f>DATE(B49,MATCH(C49,{"Jan","Feb","Mar","Apr","May","Jun","Jul","Aug","Sep","Oct","Nov","Dec"},0),D49)</f>
        <v>38318</v>
      </c>
      <c r="K49">
        <f t="shared" si="0"/>
        <v>18</v>
      </c>
    </row>
    <row r="50" spans="1:11" x14ac:dyDescent="0.35">
      <c r="A50" t="s">
        <v>70</v>
      </c>
      <c r="B50">
        <v>2001</v>
      </c>
      <c r="C50" t="s">
        <v>37</v>
      </c>
      <c r="D50">
        <v>25</v>
      </c>
      <c r="E50">
        <v>0</v>
      </c>
      <c r="F50" s="15">
        <v>1141</v>
      </c>
      <c r="G50" t="s">
        <v>12</v>
      </c>
      <c r="H50" t="s">
        <v>16</v>
      </c>
      <c r="I50" t="s">
        <v>13</v>
      </c>
      <c r="J50" s="11">
        <f>DATE(B50,MATCH(C50,{"Jan","Feb","Mar","Apr","May","Jun","Jul","Aug","Sep","Oct","Nov","Dec"},0),D50)</f>
        <v>37189</v>
      </c>
      <c r="K50">
        <f t="shared" si="0"/>
        <v>21</v>
      </c>
    </row>
    <row r="51" spans="1:11" x14ac:dyDescent="0.35">
      <c r="A51" t="s">
        <v>71</v>
      </c>
      <c r="B51">
        <v>2004</v>
      </c>
      <c r="C51" t="s">
        <v>20</v>
      </c>
      <c r="D51">
        <v>12</v>
      </c>
      <c r="E51">
        <v>0</v>
      </c>
      <c r="F51" s="15">
        <v>1141.45</v>
      </c>
      <c r="G51" t="s">
        <v>12</v>
      </c>
      <c r="H51" t="s">
        <v>12</v>
      </c>
      <c r="I51" t="s">
        <v>13</v>
      </c>
      <c r="J51" s="11">
        <f>DATE(B51,MATCH(C51,{"Jan","Feb","Mar","Apr","May","Jun","Jul","Aug","Sep","Oct","Nov","Dec"},0),D51)</f>
        <v>38242</v>
      </c>
      <c r="K51">
        <f t="shared" si="0"/>
        <v>18</v>
      </c>
    </row>
    <row r="52" spans="1:11" x14ac:dyDescent="0.35">
      <c r="A52" t="s">
        <v>72</v>
      </c>
      <c r="B52">
        <v>2002</v>
      </c>
      <c r="C52" t="s">
        <v>37</v>
      </c>
      <c r="D52">
        <v>1</v>
      </c>
      <c r="E52">
        <v>0</v>
      </c>
      <c r="F52" s="15">
        <v>1142</v>
      </c>
      <c r="G52" t="s">
        <v>12</v>
      </c>
      <c r="H52" t="s">
        <v>11</v>
      </c>
      <c r="I52" t="s">
        <v>42</v>
      </c>
      <c r="J52" s="11">
        <f>DATE(B52,MATCH(C52,{"Jan","Feb","Mar","Apr","May","Jun","Jul","Aug","Sep","Oct","Nov","Dec"},0),D52)</f>
        <v>37530</v>
      </c>
      <c r="K52">
        <f t="shared" si="0"/>
        <v>20</v>
      </c>
    </row>
    <row r="53" spans="1:11" x14ac:dyDescent="0.35">
      <c r="A53" t="s">
        <v>73</v>
      </c>
      <c r="B53">
        <v>2004</v>
      </c>
      <c r="C53" t="s">
        <v>18</v>
      </c>
      <c r="D53">
        <v>10</v>
      </c>
      <c r="E53">
        <v>0</v>
      </c>
      <c r="F53" s="15">
        <v>1146.8</v>
      </c>
      <c r="G53" t="s">
        <v>11</v>
      </c>
      <c r="H53" t="s">
        <v>11</v>
      </c>
      <c r="I53" t="s">
        <v>13</v>
      </c>
      <c r="J53" s="11">
        <f>DATE(B53,MATCH(C53,{"Jan","Feb","Mar","Apr","May","Jun","Jul","Aug","Sep","Oct","Nov","Dec"},0),D53)</f>
        <v>38148</v>
      </c>
      <c r="K53">
        <f t="shared" si="0"/>
        <v>18</v>
      </c>
    </row>
    <row r="54" spans="1:11" x14ac:dyDescent="0.35">
      <c r="A54" t="s">
        <v>74</v>
      </c>
      <c r="B54">
        <v>2003</v>
      </c>
      <c r="C54" t="s">
        <v>18</v>
      </c>
      <c r="D54">
        <v>12</v>
      </c>
      <c r="E54">
        <v>0</v>
      </c>
      <c r="F54" s="15">
        <v>1149</v>
      </c>
      <c r="G54" t="s">
        <v>11</v>
      </c>
      <c r="H54" t="s">
        <v>16</v>
      </c>
      <c r="I54" t="s">
        <v>23</v>
      </c>
      <c r="J54" s="11">
        <f>DATE(B54,MATCH(C54,{"Jan","Feb","Mar","Apr","May","Jun","Jul","Aug","Sep","Oct","Nov","Dec"},0),D54)</f>
        <v>37784</v>
      </c>
      <c r="K54">
        <f t="shared" si="0"/>
        <v>19</v>
      </c>
    </row>
    <row r="55" spans="1:11" x14ac:dyDescent="0.35">
      <c r="A55" t="s">
        <v>75</v>
      </c>
      <c r="B55">
        <v>2004</v>
      </c>
      <c r="C55" t="s">
        <v>10</v>
      </c>
      <c r="D55">
        <v>18</v>
      </c>
      <c r="E55">
        <v>0</v>
      </c>
      <c r="F55" s="15">
        <v>1149.4000000000001</v>
      </c>
      <c r="G55" t="s">
        <v>11</v>
      </c>
      <c r="H55" t="s">
        <v>11</v>
      </c>
      <c r="I55" t="s">
        <v>13</v>
      </c>
      <c r="J55" s="11">
        <f>DATE(B55,MATCH(C55,{"Jan","Feb","Mar","Apr","May","Jun","Jul","Aug","Sep","Oct","Nov","Dec"},0),D55)</f>
        <v>38186</v>
      </c>
      <c r="K55">
        <f t="shared" si="0"/>
        <v>18</v>
      </c>
    </row>
    <row r="56" spans="1:11" x14ac:dyDescent="0.35">
      <c r="A56" t="s">
        <v>76</v>
      </c>
      <c r="B56">
        <v>1994</v>
      </c>
      <c r="C56" t="s">
        <v>10</v>
      </c>
      <c r="D56">
        <v>26</v>
      </c>
      <c r="E56">
        <v>0</v>
      </c>
      <c r="F56" s="15">
        <v>1158.32</v>
      </c>
      <c r="G56" t="s">
        <v>11</v>
      </c>
      <c r="H56" t="s">
        <v>16</v>
      </c>
      <c r="I56" t="s">
        <v>13</v>
      </c>
      <c r="J56" s="11">
        <f>DATE(B56,MATCH(C56,{"Jan","Feb","Mar","Apr","May","Jun","Jul","Aug","Sep","Oct","Nov","Dec"},0),D56)</f>
        <v>34541</v>
      </c>
      <c r="K56">
        <f t="shared" si="0"/>
        <v>28</v>
      </c>
    </row>
    <row r="57" spans="1:11" x14ac:dyDescent="0.35">
      <c r="A57" t="s">
        <v>77</v>
      </c>
      <c r="B57">
        <v>2004</v>
      </c>
      <c r="C57" t="s">
        <v>15</v>
      </c>
      <c r="D57">
        <v>11</v>
      </c>
      <c r="E57">
        <v>0</v>
      </c>
      <c r="F57" s="15">
        <v>1163.46</v>
      </c>
      <c r="G57" t="s">
        <v>11</v>
      </c>
      <c r="H57" t="s">
        <v>12</v>
      </c>
      <c r="I57" t="s">
        <v>13</v>
      </c>
      <c r="J57" s="11">
        <f>DATE(B57,MATCH(C57,{"Jan","Feb","Mar","Apr","May","Jun","Jul","Aug","Sep","Oct","Nov","Dec"},0),D57)</f>
        <v>38302</v>
      </c>
      <c r="K57">
        <f t="shared" si="0"/>
        <v>18</v>
      </c>
    </row>
    <row r="58" spans="1:11" x14ac:dyDescent="0.35">
      <c r="A58" t="s">
        <v>78</v>
      </c>
      <c r="B58">
        <v>2002</v>
      </c>
      <c r="C58" t="s">
        <v>18</v>
      </c>
      <c r="D58">
        <v>11</v>
      </c>
      <c r="E58">
        <v>0</v>
      </c>
      <c r="F58" s="15">
        <v>1165</v>
      </c>
      <c r="G58" t="s">
        <v>11</v>
      </c>
      <c r="H58" t="s">
        <v>12</v>
      </c>
      <c r="I58" t="s">
        <v>23</v>
      </c>
      <c r="J58" s="11">
        <f>DATE(B58,MATCH(C58,{"Jan","Feb","Mar","Apr","May","Jun","Jul","Aug","Sep","Oct","Nov","Dec"},0),D58)</f>
        <v>37418</v>
      </c>
      <c r="K58">
        <f t="shared" si="0"/>
        <v>20</v>
      </c>
    </row>
    <row r="59" spans="1:11" x14ac:dyDescent="0.35">
      <c r="A59" t="s">
        <v>79</v>
      </c>
      <c r="B59">
        <v>2001</v>
      </c>
      <c r="C59" t="s">
        <v>15</v>
      </c>
      <c r="D59">
        <v>12</v>
      </c>
      <c r="E59">
        <v>0</v>
      </c>
      <c r="F59" s="15">
        <v>1167</v>
      </c>
      <c r="G59" t="s">
        <v>11</v>
      </c>
      <c r="H59" t="s">
        <v>16</v>
      </c>
      <c r="I59" t="s">
        <v>13</v>
      </c>
      <c r="J59" s="11">
        <f>DATE(B59,MATCH(C59,{"Jan","Feb","Mar","Apr","May","Jun","Jul","Aug","Sep","Oct","Nov","Dec"},0),D59)</f>
        <v>37207</v>
      </c>
      <c r="K59">
        <f t="shared" si="0"/>
        <v>21</v>
      </c>
    </row>
    <row r="60" spans="1:11" x14ac:dyDescent="0.35">
      <c r="A60" t="s">
        <v>80</v>
      </c>
      <c r="B60">
        <v>1996</v>
      </c>
      <c r="C60" t="s">
        <v>35</v>
      </c>
      <c r="D60">
        <v>11</v>
      </c>
      <c r="E60">
        <v>0</v>
      </c>
      <c r="F60" s="15">
        <v>1178</v>
      </c>
      <c r="G60" t="s">
        <v>11</v>
      </c>
      <c r="H60" t="s">
        <v>12</v>
      </c>
      <c r="I60" t="s">
        <v>13</v>
      </c>
      <c r="J60" s="11">
        <f>DATE(B60,MATCH(C60,{"Jan","Feb","Mar","Apr","May","Jun","Jul","Aug","Sep","Oct","Nov","Dec"},0),D60)</f>
        <v>35288</v>
      </c>
      <c r="K60">
        <f t="shared" si="0"/>
        <v>26</v>
      </c>
    </row>
    <row r="61" spans="1:11" x14ac:dyDescent="0.35">
      <c r="A61" t="s">
        <v>81</v>
      </c>
      <c r="B61">
        <v>1997</v>
      </c>
      <c r="C61" t="s">
        <v>18</v>
      </c>
      <c r="D61">
        <v>28</v>
      </c>
      <c r="E61">
        <v>0</v>
      </c>
      <c r="F61" s="15">
        <v>1178.07</v>
      </c>
      <c r="G61" t="s">
        <v>11</v>
      </c>
      <c r="H61" t="s">
        <v>11</v>
      </c>
      <c r="I61" t="s">
        <v>13</v>
      </c>
      <c r="J61" s="11">
        <f>DATE(B61,MATCH(C61,{"Jan","Feb","Mar","Apr","May","Jun","Jul","Aug","Sep","Oct","Nov","Dec"},0),D61)</f>
        <v>35609</v>
      </c>
      <c r="K61">
        <f t="shared" si="0"/>
        <v>25</v>
      </c>
    </row>
    <row r="62" spans="1:11" x14ac:dyDescent="0.35">
      <c r="A62" t="s">
        <v>82</v>
      </c>
      <c r="B62">
        <v>2002</v>
      </c>
      <c r="C62" t="s">
        <v>35</v>
      </c>
      <c r="D62">
        <v>26</v>
      </c>
      <c r="E62">
        <v>0</v>
      </c>
      <c r="F62" s="15">
        <v>1191</v>
      </c>
      <c r="G62" t="s">
        <v>11</v>
      </c>
      <c r="H62" t="s">
        <v>16</v>
      </c>
      <c r="I62" t="s">
        <v>13</v>
      </c>
      <c r="J62" s="11">
        <f>DATE(B62,MATCH(C62,{"Jan","Feb","Mar","Apr","May","Jun","Jul","Aug","Sep","Oct","Nov","Dec"},0),D62)</f>
        <v>37494</v>
      </c>
      <c r="K62">
        <f t="shared" si="0"/>
        <v>20</v>
      </c>
    </row>
    <row r="63" spans="1:11" x14ac:dyDescent="0.35">
      <c r="A63" t="s">
        <v>83</v>
      </c>
      <c r="B63">
        <v>1999</v>
      </c>
      <c r="C63" t="s">
        <v>18</v>
      </c>
      <c r="D63">
        <v>28</v>
      </c>
      <c r="E63">
        <v>0</v>
      </c>
      <c r="F63" s="15">
        <v>1200</v>
      </c>
      <c r="G63" t="s">
        <v>11</v>
      </c>
      <c r="H63" t="s">
        <v>12</v>
      </c>
      <c r="I63" t="s">
        <v>23</v>
      </c>
      <c r="J63" s="11">
        <f>DATE(B63,MATCH(C63,{"Jan","Feb","Mar","Apr","May","Jun","Jul","Aug","Sep","Oct","Nov","Dec"},0),D63)</f>
        <v>36339</v>
      </c>
      <c r="K63">
        <f t="shared" si="0"/>
        <v>23</v>
      </c>
    </row>
    <row r="64" spans="1:11" x14ac:dyDescent="0.35">
      <c r="A64" t="s">
        <v>84</v>
      </c>
      <c r="B64">
        <v>1992</v>
      </c>
      <c r="C64" t="s">
        <v>37</v>
      </c>
      <c r="D64">
        <v>6</v>
      </c>
      <c r="E64">
        <v>0</v>
      </c>
      <c r="F64" s="15">
        <v>1200.55</v>
      </c>
      <c r="G64" t="s">
        <v>11</v>
      </c>
      <c r="H64" t="s">
        <v>12</v>
      </c>
      <c r="I64" t="s">
        <v>13</v>
      </c>
      <c r="J64" s="11">
        <f>DATE(B64,MATCH(C64,{"Jan","Feb","Mar","Apr","May","Jun","Jul","Aug","Sep","Oct","Nov","Dec"},0),D64)</f>
        <v>33883</v>
      </c>
      <c r="K64">
        <f t="shared" si="0"/>
        <v>30</v>
      </c>
    </row>
    <row r="65" spans="1:11" x14ac:dyDescent="0.35">
      <c r="A65" t="s">
        <v>85</v>
      </c>
      <c r="B65">
        <v>2004</v>
      </c>
      <c r="C65" t="s">
        <v>18</v>
      </c>
      <c r="D65">
        <v>2</v>
      </c>
      <c r="E65">
        <v>0</v>
      </c>
      <c r="F65" s="15">
        <v>1210</v>
      </c>
      <c r="G65" t="s">
        <v>11</v>
      </c>
      <c r="H65" t="s">
        <v>16</v>
      </c>
      <c r="I65" t="s">
        <v>13</v>
      </c>
      <c r="J65" s="11">
        <f>DATE(B65,MATCH(C65,{"Jan","Feb","Mar","Apr","May","Jun","Jul","Aug","Sep","Oct","Nov","Dec"},0),D65)</f>
        <v>38140</v>
      </c>
      <c r="K65">
        <f t="shared" si="0"/>
        <v>19</v>
      </c>
    </row>
    <row r="66" spans="1:11" x14ac:dyDescent="0.35">
      <c r="A66" t="s">
        <v>86</v>
      </c>
      <c r="B66">
        <v>1996</v>
      </c>
      <c r="C66" t="s">
        <v>15</v>
      </c>
      <c r="D66">
        <v>4</v>
      </c>
      <c r="E66">
        <v>0</v>
      </c>
      <c r="F66" s="15">
        <v>1220</v>
      </c>
      <c r="G66" t="s">
        <v>11</v>
      </c>
      <c r="H66" t="s">
        <v>12</v>
      </c>
      <c r="I66" t="s">
        <v>23</v>
      </c>
      <c r="J66" s="11">
        <f>DATE(B66,MATCH(C66,{"Jan","Feb","Mar","Apr","May","Jun","Jul","Aug","Sep","Oct","Nov","Dec"},0),D66)</f>
        <v>35373</v>
      </c>
      <c r="K66">
        <f t="shared" si="0"/>
        <v>26</v>
      </c>
    </row>
    <row r="67" spans="1:11" x14ac:dyDescent="0.35">
      <c r="A67" t="s">
        <v>87</v>
      </c>
      <c r="B67">
        <v>2004</v>
      </c>
      <c r="C67" t="s">
        <v>10</v>
      </c>
      <c r="D67">
        <v>9</v>
      </c>
      <c r="E67">
        <v>0</v>
      </c>
      <c r="F67" s="15">
        <v>1224</v>
      </c>
      <c r="G67" t="s">
        <v>11</v>
      </c>
      <c r="H67" t="s">
        <v>16</v>
      </c>
      <c r="I67" t="s">
        <v>13</v>
      </c>
      <c r="J67" s="11">
        <f>DATE(B67,MATCH(C67,{"Jan","Feb","Mar","Apr","May","Jun","Jul","Aug","Sep","Oct","Nov","Dec"},0),D67)</f>
        <v>38177</v>
      </c>
      <c r="K67">
        <f t="shared" ref="K67:K130" si="1">DATEDIF(J67,$N$1,"Y")</f>
        <v>18</v>
      </c>
    </row>
    <row r="68" spans="1:11" x14ac:dyDescent="0.35">
      <c r="A68" t="s">
        <v>88</v>
      </c>
      <c r="B68">
        <v>2004</v>
      </c>
      <c r="C68" t="s">
        <v>37</v>
      </c>
      <c r="D68">
        <v>16</v>
      </c>
      <c r="E68">
        <v>0</v>
      </c>
      <c r="F68" s="15">
        <v>1228</v>
      </c>
      <c r="G68" t="s">
        <v>11</v>
      </c>
      <c r="H68" t="s">
        <v>16</v>
      </c>
      <c r="I68" t="s">
        <v>23</v>
      </c>
      <c r="J68" s="11">
        <f>DATE(B68,MATCH(C68,{"Jan","Feb","Mar","Apr","May","Jun","Jul","Aug","Sep","Oct","Nov","Dec"},0),D68)</f>
        <v>38276</v>
      </c>
      <c r="K68">
        <f t="shared" si="1"/>
        <v>18</v>
      </c>
    </row>
    <row r="69" spans="1:11" x14ac:dyDescent="0.35">
      <c r="A69" t="s">
        <v>89</v>
      </c>
      <c r="B69">
        <v>1998</v>
      </c>
      <c r="C69" t="s">
        <v>10</v>
      </c>
      <c r="D69">
        <v>13</v>
      </c>
      <c r="E69">
        <v>0</v>
      </c>
      <c r="F69" s="15">
        <v>1234</v>
      </c>
      <c r="G69" t="s">
        <v>11</v>
      </c>
      <c r="H69" t="s">
        <v>16</v>
      </c>
      <c r="I69" t="s">
        <v>13</v>
      </c>
      <c r="J69" s="11">
        <f>DATE(B69,MATCH(C69,{"Jan","Feb","Mar","Apr","May","Jun","Jul","Aug","Sep","Oct","Nov","Dec"},0),D69)</f>
        <v>35989</v>
      </c>
      <c r="K69">
        <f t="shared" si="1"/>
        <v>24</v>
      </c>
    </row>
    <row r="70" spans="1:11" x14ac:dyDescent="0.35">
      <c r="A70" t="s">
        <v>90</v>
      </c>
      <c r="B70">
        <v>2002</v>
      </c>
      <c r="C70" t="s">
        <v>30</v>
      </c>
      <c r="D70">
        <v>12</v>
      </c>
      <c r="E70">
        <v>0</v>
      </c>
      <c r="F70" s="15">
        <v>1237</v>
      </c>
      <c r="G70" t="s">
        <v>11</v>
      </c>
      <c r="H70" t="s">
        <v>11</v>
      </c>
      <c r="I70" t="s">
        <v>13</v>
      </c>
      <c r="J70" s="11">
        <f>DATE(B70,MATCH(C70,{"Jan","Feb","Mar","Apr","May","Jun","Jul","Aug","Sep","Oct","Nov","Dec"},0),D70)</f>
        <v>37602</v>
      </c>
      <c r="K70">
        <f t="shared" si="1"/>
        <v>20</v>
      </c>
    </row>
    <row r="71" spans="1:11" x14ac:dyDescent="0.35">
      <c r="A71" t="s">
        <v>91</v>
      </c>
      <c r="B71">
        <v>1998</v>
      </c>
      <c r="C71" t="s">
        <v>37</v>
      </c>
      <c r="D71">
        <v>11</v>
      </c>
      <c r="E71">
        <v>0</v>
      </c>
      <c r="F71" s="15">
        <v>1240</v>
      </c>
      <c r="G71" t="s">
        <v>11</v>
      </c>
      <c r="H71" t="s">
        <v>16</v>
      </c>
      <c r="I71" t="s">
        <v>23</v>
      </c>
      <c r="J71" s="11">
        <f>DATE(B71,MATCH(C71,{"Jan","Feb","Mar","Apr","May","Jun","Jul","Aug","Sep","Oct","Nov","Dec"},0),D71)</f>
        <v>36079</v>
      </c>
      <c r="K71">
        <f t="shared" si="1"/>
        <v>24</v>
      </c>
    </row>
    <row r="72" spans="1:11" x14ac:dyDescent="0.35">
      <c r="A72" t="s">
        <v>92</v>
      </c>
      <c r="B72">
        <v>2002</v>
      </c>
      <c r="C72" t="s">
        <v>10</v>
      </c>
      <c r="D72">
        <v>1</v>
      </c>
      <c r="E72">
        <v>0</v>
      </c>
      <c r="F72" s="15">
        <v>1241</v>
      </c>
      <c r="G72" t="s">
        <v>11</v>
      </c>
      <c r="H72" t="s">
        <v>11</v>
      </c>
      <c r="I72" t="s">
        <v>13</v>
      </c>
      <c r="J72" s="11">
        <f>DATE(B72,MATCH(C72,{"Jan","Feb","Mar","Apr","May","Jun","Jul","Aug","Sep","Oct","Nov","Dec"},0),D72)</f>
        <v>37438</v>
      </c>
      <c r="K72">
        <f t="shared" si="1"/>
        <v>20</v>
      </c>
    </row>
    <row r="73" spans="1:11" x14ac:dyDescent="0.35">
      <c r="A73" t="s">
        <v>93</v>
      </c>
      <c r="B73">
        <v>2003</v>
      </c>
      <c r="C73" t="s">
        <v>35</v>
      </c>
      <c r="D73">
        <v>2</v>
      </c>
      <c r="E73">
        <v>0</v>
      </c>
      <c r="F73" s="15">
        <v>1241.57</v>
      </c>
      <c r="G73" t="s">
        <v>11</v>
      </c>
      <c r="H73" t="s">
        <v>11</v>
      </c>
      <c r="I73" t="s">
        <v>42</v>
      </c>
      <c r="J73" s="11">
        <f>DATE(B73,MATCH(C73,{"Jan","Feb","Mar","Apr","May","Jun","Jul","Aug","Sep","Oct","Nov","Dec"},0),D73)</f>
        <v>37835</v>
      </c>
      <c r="K73">
        <f t="shared" si="1"/>
        <v>19</v>
      </c>
    </row>
    <row r="74" spans="1:11" x14ac:dyDescent="0.35">
      <c r="A74" t="s">
        <v>94</v>
      </c>
      <c r="B74">
        <v>2003</v>
      </c>
      <c r="C74" t="s">
        <v>20</v>
      </c>
      <c r="D74">
        <v>15</v>
      </c>
      <c r="E74">
        <v>0</v>
      </c>
      <c r="F74" s="15">
        <v>1242.26</v>
      </c>
      <c r="G74" t="s">
        <v>11</v>
      </c>
      <c r="H74" t="s">
        <v>16</v>
      </c>
      <c r="I74" t="s">
        <v>42</v>
      </c>
      <c r="J74" s="11">
        <f>DATE(B74,MATCH(C74,{"Jan","Feb","Mar","Apr","May","Jun","Jul","Aug","Sep","Oct","Nov","Dec"},0),D74)</f>
        <v>37879</v>
      </c>
      <c r="K74">
        <f t="shared" si="1"/>
        <v>19</v>
      </c>
    </row>
    <row r="75" spans="1:11" x14ac:dyDescent="0.35">
      <c r="A75" t="s">
        <v>95</v>
      </c>
      <c r="B75">
        <v>2003</v>
      </c>
      <c r="C75" t="s">
        <v>20</v>
      </c>
      <c r="D75">
        <v>8</v>
      </c>
      <c r="E75">
        <v>0</v>
      </c>
      <c r="F75" s="15">
        <v>1242.82</v>
      </c>
      <c r="G75" t="s">
        <v>11</v>
      </c>
      <c r="H75" t="s">
        <v>16</v>
      </c>
      <c r="I75" t="s">
        <v>42</v>
      </c>
      <c r="J75" s="11">
        <f>DATE(B75,MATCH(C75,{"Jan","Feb","Mar","Apr","May","Jun","Jul","Aug","Sep","Oct","Nov","Dec"},0),D75)</f>
        <v>37872</v>
      </c>
      <c r="K75">
        <f t="shared" si="1"/>
        <v>19</v>
      </c>
    </row>
    <row r="76" spans="1:11" x14ac:dyDescent="0.35">
      <c r="A76" t="s">
        <v>96</v>
      </c>
      <c r="B76">
        <v>2003</v>
      </c>
      <c r="C76" t="s">
        <v>20</v>
      </c>
      <c r="D76">
        <v>15</v>
      </c>
      <c r="E76">
        <v>0</v>
      </c>
      <c r="F76" s="15">
        <v>1252.4100000000001</v>
      </c>
      <c r="G76" t="s">
        <v>11</v>
      </c>
      <c r="H76" t="s">
        <v>12</v>
      </c>
      <c r="I76" t="s">
        <v>42</v>
      </c>
      <c r="J76" s="11">
        <f>DATE(B76,MATCH(C76,{"Jan","Feb","Mar","Apr","May","Jun","Jul","Aug","Sep","Oct","Nov","Dec"},0),D76)</f>
        <v>37879</v>
      </c>
      <c r="K76">
        <f t="shared" si="1"/>
        <v>19</v>
      </c>
    </row>
    <row r="77" spans="1:11" x14ac:dyDescent="0.35">
      <c r="A77" t="s">
        <v>97</v>
      </c>
      <c r="B77">
        <v>1997</v>
      </c>
      <c r="C77" t="s">
        <v>15</v>
      </c>
      <c r="D77">
        <v>4</v>
      </c>
      <c r="E77">
        <v>0</v>
      </c>
      <c r="F77" s="15">
        <v>1253</v>
      </c>
      <c r="G77" t="s">
        <v>11</v>
      </c>
      <c r="H77" t="s">
        <v>11</v>
      </c>
      <c r="I77" t="s">
        <v>13</v>
      </c>
      <c r="J77" s="11">
        <f>DATE(B77,MATCH(C77,{"Jan","Feb","Mar","Apr","May","Jun","Jul","Aug","Sep","Oct","Nov","Dec"},0),D77)</f>
        <v>35738</v>
      </c>
      <c r="K77">
        <f t="shared" si="1"/>
        <v>25</v>
      </c>
    </row>
    <row r="78" spans="1:11" x14ac:dyDescent="0.35">
      <c r="A78" t="s">
        <v>98</v>
      </c>
      <c r="B78">
        <v>2003</v>
      </c>
      <c r="C78" t="s">
        <v>30</v>
      </c>
      <c r="D78">
        <v>10</v>
      </c>
      <c r="E78">
        <v>0</v>
      </c>
      <c r="F78" s="15">
        <v>1253.94</v>
      </c>
      <c r="G78" t="s">
        <v>11</v>
      </c>
      <c r="H78" t="s">
        <v>11</v>
      </c>
      <c r="I78" t="s">
        <v>42</v>
      </c>
      <c r="J78" s="11">
        <f>DATE(B78,MATCH(C78,{"Jan","Feb","Mar","Apr","May","Jun","Jul","Aug","Sep","Oct","Nov","Dec"},0),D78)</f>
        <v>37965</v>
      </c>
      <c r="K78">
        <f t="shared" si="1"/>
        <v>19</v>
      </c>
    </row>
    <row r="79" spans="1:11" x14ac:dyDescent="0.35">
      <c r="A79" t="s">
        <v>99</v>
      </c>
      <c r="B79">
        <v>2003</v>
      </c>
      <c r="C79" t="s">
        <v>37</v>
      </c>
      <c r="D79">
        <v>13</v>
      </c>
      <c r="E79">
        <v>0</v>
      </c>
      <c r="F79" s="15">
        <v>1256.3</v>
      </c>
      <c r="G79" t="s">
        <v>11</v>
      </c>
      <c r="H79" t="s">
        <v>12</v>
      </c>
      <c r="I79" t="s">
        <v>42</v>
      </c>
      <c r="J79" s="11">
        <f>DATE(B79,MATCH(C79,{"Jan","Feb","Mar","Apr","May","Jun","Jul","Aug","Sep","Oct","Nov","Dec"},0),D79)</f>
        <v>37907</v>
      </c>
      <c r="K79">
        <f t="shared" si="1"/>
        <v>19</v>
      </c>
    </row>
    <row r="80" spans="1:11" x14ac:dyDescent="0.35">
      <c r="A80" t="s">
        <v>100</v>
      </c>
      <c r="B80">
        <v>2003</v>
      </c>
      <c r="C80" t="s">
        <v>37</v>
      </c>
      <c r="D80">
        <v>30</v>
      </c>
      <c r="E80">
        <v>0</v>
      </c>
      <c r="F80" s="15">
        <v>1261.44</v>
      </c>
      <c r="G80" t="s">
        <v>11</v>
      </c>
      <c r="H80" t="s">
        <v>12</v>
      </c>
      <c r="I80" t="s">
        <v>42</v>
      </c>
      <c r="J80" s="11">
        <f>DATE(B80,MATCH(C80,{"Jan","Feb","Mar","Apr","May","Jun","Jul","Aug","Sep","Oct","Nov","Dec"},0),D80)</f>
        <v>37924</v>
      </c>
      <c r="K80">
        <f t="shared" si="1"/>
        <v>19</v>
      </c>
    </row>
    <row r="81" spans="1:11" x14ac:dyDescent="0.35">
      <c r="A81" t="s">
        <v>101</v>
      </c>
      <c r="B81">
        <v>2003</v>
      </c>
      <c r="C81" t="s">
        <v>35</v>
      </c>
      <c r="D81">
        <v>15</v>
      </c>
      <c r="E81">
        <v>0</v>
      </c>
      <c r="F81" s="15">
        <v>1261.8599999999999</v>
      </c>
      <c r="G81" t="s">
        <v>11</v>
      </c>
      <c r="H81" t="s">
        <v>12</v>
      </c>
      <c r="I81" t="s">
        <v>42</v>
      </c>
      <c r="J81" s="11">
        <f>DATE(B81,MATCH(C81,{"Jan","Feb","Mar","Apr","May","Jun","Jul","Aug","Sep","Oct","Nov","Dec"},0),D81)</f>
        <v>37848</v>
      </c>
      <c r="K81">
        <f t="shared" si="1"/>
        <v>19</v>
      </c>
    </row>
    <row r="82" spans="1:11" x14ac:dyDescent="0.35">
      <c r="A82" t="s">
        <v>102</v>
      </c>
      <c r="B82">
        <v>2003</v>
      </c>
      <c r="C82" t="s">
        <v>15</v>
      </c>
      <c r="D82">
        <v>21</v>
      </c>
      <c r="E82">
        <v>0</v>
      </c>
      <c r="F82" s="15">
        <v>1263.25</v>
      </c>
      <c r="G82" t="s">
        <v>11</v>
      </c>
      <c r="H82" t="s">
        <v>12</v>
      </c>
      <c r="I82" t="s">
        <v>42</v>
      </c>
      <c r="J82" s="11">
        <f>DATE(B82,MATCH(C82,{"Jan","Feb","Mar","Apr","May","Jun","Jul","Aug","Sep","Oct","Nov","Dec"},0),D82)</f>
        <v>37946</v>
      </c>
      <c r="K82">
        <f t="shared" si="1"/>
        <v>19</v>
      </c>
    </row>
    <row r="83" spans="1:11" x14ac:dyDescent="0.35">
      <c r="A83" t="s">
        <v>103</v>
      </c>
      <c r="B83">
        <v>2002</v>
      </c>
      <c r="C83" t="s">
        <v>30</v>
      </c>
      <c r="D83">
        <v>4</v>
      </c>
      <c r="E83">
        <v>0</v>
      </c>
      <c r="F83" s="15">
        <v>1267</v>
      </c>
      <c r="G83" t="s">
        <v>11</v>
      </c>
      <c r="H83" t="s">
        <v>16</v>
      </c>
      <c r="I83" t="s">
        <v>13</v>
      </c>
      <c r="J83" s="11">
        <f>DATE(B83,MATCH(C83,{"Jan","Feb","Mar","Apr","May","Jun","Jul","Aug","Sep","Oct","Nov","Dec"},0),D83)</f>
        <v>37594</v>
      </c>
      <c r="K83">
        <f t="shared" si="1"/>
        <v>20</v>
      </c>
    </row>
    <row r="84" spans="1:11" x14ac:dyDescent="0.35">
      <c r="A84" t="s">
        <v>104</v>
      </c>
      <c r="B84">
        <v>1997</v>
      </c>
      <c r="C84" t="s">
        <v>37</v>
      </c>
      <c r="D84">
        <v>26</v>
      </c>
      <c r="E84">
        <v>0</v>
      </c>
      <c r="F84" s="15">
        <v>1276</v>
      </c>
      <c r="G84" t="s">
        <v>11</v>
      </c>
      <c r="H84" t="s">
        <v>11</v>
      </c>
      <c r="I84" t="s">
        <v>23</v>
      </c>
      <c r="J84" s="11">
        <f>DATE(B84,MATCH(C84,{"Jan","Feb","Mar","Apr","May","Jun","Jul","Aug","Sep","Oct","Nov","Dec"},0),D84)</f>
        <v>35729</v>
      </c>
      <c r="K84">
        <f t="shared" si="1"/>
        <v>25</v>
      </c>
    </row>
    <row r="85" spans="1:11" x14ac:dyDescent="0.35">
      <c r="A85" t="s">
        <v>105</v>
      </c>
      <c r="B85">
        <v>2004</v>
      </c>
      <c r="C85" t="s">
        <v>20</v>
      </c>
      <c r="D85">
        <v>30</v>
      </c>
      <c r="E85">
        <v>0</v>
      </c>
      <c r="F85" s="15">
        <v>1283</v>
      </c>
      <c r="G85" t="s">
        <v>11</v>
      </c>
      <c r="H85" t="s">
        <v>16</v>
      </c>
      <c r="I85" t="s">
        <v>13</v>
      </c>
      <c r="J85" s="11">
        <f>DATE(B85,MATCH(C85,{"Jan","Feb","Mar","Apr","May","Jun","Jul","Aug","Sep","Oct","Nov","Dec"},0),D85)</f>
        <v>38260</v>
      </c>
      <c r="K85">
        <f t="shared" si="1"/>
        <v>18</v>
      </c>
    </row>
    <row r="86" spans="1:11" x14ac:dyDescent="0.35">
      <c r="A86" t="s">
        <v>106</v>
      </c>
      <c r="B86">
        <v>2004</v>
      </c>
      <c r="C86" t="s">
        <v>10</v>
      </c>
      <c r="D86">
        <v>28</v>
      </c>
      <c r="E86">
        <v>0</v>
      </c>
      <c r="F86" s="15">
        <v>1285</v>
      </c>
      <c r="G86" t="s">
        <v>11</v>
      </c>
      <c r="H86" t="s">
        <v>12</v>
      </c>
      <c r="I86" t="s">
        <v>13</v>
      </c>
      <c r="J86" s="11">
        <f>DATE(B86,MATCH(C86,{"Jan","Feb","Mar","Apr","May","Jun","Jul","Aug","Sep","Oct","Nov","Dec"},0),D86)</f>
        <v>38196</v>
      </c>
      <c r="K86">
        <f t="shared" si="1"/>
        <v>18</v>
      </c>
    </row>
    <row r="87" spans="1:11" x14ac:dyDescent="0.35">
      <c r="A87" t="s">
        <v>107</v>
      </c>
      <c r="B87">
        <v>2000</v>
      </c>
      <c r="C87" t="s">
        <v>18</v>
      </c>
      <c r="D87">
        <v>26</v>
      </c>
      <c r="E87">
        <v>0</v>
      </c>
      <c r="F87" s="15">
        <v>1286</v>
      </c>
      <c r="G87" t="s">
        <v>11</v>
      </c>
      <c r="H87" t="s">
        <v>11</v>
      </c>
      <c r="I87" t="s">
        <v>13</v>
      </c>
      <c r="J87" s="11">
        <f>DATE(B87,MATCH(C87,{"Jan","Feb","Mar","Apr","May","Jun","Jul","Aug","Sep","Oct","Nov","Dec"},0),D87)</f>
        <v>36703</v>
      </c>
      <c r="K87">
        <f t="shared" si="1"/>
        <v>22</v>
      </c>
    </row>
    <row r="88" spans="1:11" x14ac:dyDescent="0.35">
      <c r="A88" t="s">
        <v>108</v>
      </c>
      <c r="B88">
        <v>1998</v>
      </c>
      <c r="C88" t="s">
        <v>18</v>
      </c>
      <c r="D88">
        <v>4</v>
      </c>
      <c r="E88">
        <v>0</v>
      </c>
      <c r="F88" s="15">
        <v>1290.93</v>
      </c>
      <c r="G88" t="s">
        <v>11</v>
      </c>
      <c r="H88" t="s">
        <v>11</v>
      </c>
      <c r="I88" t="s">
        <v>13</v>
      </c>
      <c r="J88" s="11">
        <f>DATE(B88,MATCH(C88,{"Jan","Feb","Mar","Apr","May","Jun","Jul","Aug","Sep","Oct","Nov","Dec"},0),D88)</f>
        <v>35950</v>
      </c>
      <c r="K88">
        <f t="shared" si="1"/>
        <v>25</v>
      </c>
    </row>
    <row r="89" spans="1:11" x14ac:dyDescent="0.35">
      <c r="A89" t="s">
        <v>109</v>
      </c>
      <c r="B89">
        <v>2001</v>
      </c>
      <c r="C89" t="s">
        <v>15</v>
      </c>
      <c r="D89">
        <v>29</v>
      </c>
      <c r="E89">
        <v>0</v>
      </c>
      <c r="F89" s="15">
        <v>1293</v>
      </c>
      <c r="G89" t="s">
        <v>11</v>
      </c>
      <c r="H89" t="s">
        <v>12</v>
      </c>
      <c r="I89" t="s">
        <v>23</v>
      </c>
      <c r="J89" s="11">
        <f>DATE(B89,MATCH(C89,{"Jan","Feb","Mar","Apr","May","Jun","Jul","Aug","Sep","Oct","Nov","Dec"},0),D89)</f>
        <v>37224</v>
      </c>
      <c r="K89">
        <f t="shared" si="1"/>
        <v>21</v>
      </c>
    </row>
    <row r="90" spans="1:11" x14ac:dyDescent="0.35">
      <c r="A90" t="s">
        <v>110</v>
      </c>
      <c r="B90">
        <v>2002</v>
      </c>
      <c r="C90" t="s">
        <v>30</v>
      </c>
      <c r="D90">
        <v>10</v>
      </c>
      <c r="E90">
        <v>0</v>
      </c>
      <c r="F90" s="15">
        <v>1304</v>
      </c>
      <c r="G90" t="s">
        <v>11</v>
      </c>
      <c r="H90" t="s">
        <v>11</v>
      </c>
      <c r="I90" t="s">
        <v>23</v>
      </c>
      <c r="J90" s="11">
        <f>DATE(B90,MATCH(C90,{"Jan","Feb","Mar","Apr","May","Jun","Jul","Aug","Sep","Oct","Nov","Dec"},0),D90)</f>
        <v>37600</v>
      </c>
      <c r="K90">
        <f t="shared" si="1"/>
        <v>20</v>
      </c>
    </row>
    <row r="91" spans="1:11" x14ac:dyDescent="0.35">
      <c r="A91" t="s">
        <v>111</v>
      </c>
      <c r="B91">
        <v>1999</v>
      </c>
      <c r="C91" t="s">
        <v>30</v>
      </c>
      <c r="D91">
        <v>2</v>
      </c>
      <c r="E91">
        <v>0</v>
      </c>
      <c r="F91" s="15">
        <v>1304</v>
      </c>
      <c r="G91" t="s">
        <v>11</v>
      </c>
      <c r="H91" t="s">
        <v>11</v>
      </c>
      <c r="I91" t="s">
        <v>13</v>
      </c>
      <c r="J91" s="11">
        <f>DATE(B91,MATCH(C91,{"Jan","Feb","Mar","Apr","May","Jun","Jul","Aug","Sep","Oct","Nov","Dec"},0),D91)</f>
        <v>36496</v>
      </c>
      <c r="K91">
        <f t="shared" si="1"/>
        <v>23</v>
      </c>
    </row>
    <row r="92" spans="1:11" x14ac:dyDescent="0.35">
      <c r="A92" t="s">
        <v>112</v>
      </c>
      <c r="B92">
        <v>2002</v>
      </c>
      <c r="C92" t="s">
        <v>37</v>
      </c>
      <c r="D92">
        <v>13</v>
      </c>
      <c r="E92">
        <v>0</v>
      </c>
      <c r="F92" s="15">
        <v>1315</v>
      </c>
      <c r="G92" t="s">
        <v>11</v>
      </c>
      <c r="H92" t="s">
        <v>11</v>
      </c>
      <c r="I92" t="s">
        <v>13</v>
      </c>
      <c r="J92" s="11">
        <f>DATE(B92,MATCH(C92,{"Jan","Feb","Mar","Apr","May","Jun","Jul","Aug","Sep","Oct","Nov","Dec"},0),D92)</f>
        <v>37542</v>
      </c>
      <c r="K92">
        <f t="shared" si="1"/>
        <v>20</v>
      </c>
    </row>
    <row r="93" spans="1:11" x14ac:dyDescent="0.35">
      <c r="A93" t="s">
        <v>113</v>
      </c>
      <c r="B93">
        <v>1999</v>
      </c>
      <c r="C93" t="s">
        <v>37</v>
      </c>
      <c r="D93">
        <v>14</v>
      </c>
      <c r="E93">
        <v>0</v>
      </c>
      <c r="F93" s="15">
        <v>1329.17</v>
      </c>
      <c r="G93" t="s">
        <v>11</v>
      </c>
      <c r="H93" t="s">
        <v>12</v>
      </c>
      <c r="I93" t="s">
        <v>13</v>
      </c>
      <c r="J93" s="11">
        <f>DATE(B93,MATCH(C93,{"Jan","Feb","Mar","Apr","May","Jun","Jul","Aug","Sep","Oct","Nov","Dec"},0),D93)</f>
        <v>36447</v>
      </c>
      <c r="K93">
        <f t="shared" si="1"/>
        <v>23</v>
      </c>
    </row>
    <row r="94" spans="1:11" x14ac:dyDescent="0.35">
      <c r="A94" t="s">
        <v>114</v>
      </c>
      <c r="B94">
        <v>1998</v>
      </c>
      <c r="C94" t="s">
        <v>10</v>
      </c>
      <c r="D94">
        <v>12</v>
      </c>
      <c r="E94">
        <v>0</v>
      </c>
      <c r="F94" s="15">
        <v>1332.61</v>
      </c>
      <c r="G94" t="s">
        <v>11</v>
      </c>
      <c r="H94" t="s">
        <v>12</v>
      </c>
      <c r="I94" t="s">
        <v>13</v>
      </c>
      <c r="J94" s="11">
        <f>DATE(B94,MATCH(C94,{"Jan","Feb","Mar","Apr","May","Jun","Jul","Aug","Sep","Oct","Nov","Dec"},0),D94)</f>
        <v>35988</v>
      </c>
      <c r="K94">
        <f t="shared" si="1"/>
        <v>24</v>
      </c>
    </row>
    <row r="95" spans="1:11" x14ac:dyDescent="0.35">
      <c r="A95" t="s">
        <v>115</v>
      </c>
      <c r="B95">
        <v>1995</v>
      </c>
      <c r="C95" t="s">
        <v>10</v>
      </c>
      <c r="D95">
        <v>30</v>
      </c>
      <c r="E95">
        <v>0</v>
      </c>
      <c r="F95" s="15">
        <v>1338</v>
      </c>
      <c r="G95" t="s">
        <v>11</v>
      </c>
      <c r="H95" t="s">
        <v>12</v>
      </c>
      <c r="I95" t="s">
        <v>23</v>
      </c>
      <c r="J95" s="11">
        <f>DATE(B95,MATCH(C95,{"Jan","Feb","Mar","Apr","May","Jun","Jul","Aug","Sep","Oct","Nov","Dec"},0),D95)</f>
        <v>34910</v>
      </c>
      <c r="K95">
        <f t="shared" si="1"/>
        <v>27</v>
      </c>
    </row>
    <row r="96" spans="1:11" x14ac:dyDescent="0.35">
      <c r="A96" t="s">
        <v>116</v>
      </c>
      <c r="B96">
        <v>1997</v>
      </c>
      <c r="C96" t="s">
        <v>15</v>
      </c>
      <c r="D96">
        <v>7</v>
      </c>
      <c r="E96">
        <v>0</v>
      </c>
      <c r="F96" s="15">
        <v>1341.16</v>
      </c>
      <c r="G96" t="s">
        <v>11</v>
      </c>
      <c r="H96" t="s">
        <v>11</v>
      </c>
      <c r="I96" t="s">
        <v>23</v>
      </c>
      <c r="J96" s="11">
        <f>DATE(B96,MATCH(C96,{"Jan","Feb","Mar","Apr","May","Jun","Jul","Aug","Sep","Oct","Nov","Dec"},0),D96)</f>
        <v>35741</v>
      </c>
      <c r="K96">
        <f t="shared" si="1"/>
        <v>25</v>
      </c>
    </row>
    <row r="97" spans="1:11" x14ac:dyDescent="0.35">
      <c r="A97" t="s">
        <v>117</v>
      </c>
      <c r="B97">
        <v>1998</v>
      </c>
      <c r="C97" t="s">
        <v>30</v>
      </c>
      <c r="D97">
        <v>3</v>
      </c>
      <c r="E97">
        <v>0</v>
      </c>
      <c r="F97" s="15">
        <v>1359</v>
      </c>
      <c r="G97" t="s">
        <v>11</v>
      </c>
      <c r="H97" t="s">
        <v>16</v>
      </c>
      <c r="I97" t="s">
        <v>13</v>
      </c>
      <c r="J97" s="11">
        <f>DATE(B97,MATCH(C97,{"Jan","Feb","Mar","Apr","May","Jun","Jul","Aug","Sep","Oct","Nov","Dec"},0),D97)</f>
        <v>36132</v>
      </c>
      <c r="K97">
        <f t="shared" si="1"/>
        <v>24</v>
      </c>
    </row>
    <row r="98" spans="1:11" x14ac:dyDescent="0.35">
      <c r="A98" t="s">
        <v>118</v>
      </c>
      <c r="B98">
        <v>2002</v>
      </c>
      <c r="C98" t="s">
        <v>35</v>
      </c>
      <c r="D98">
        <v>15</v>
      </c>
      <c r="E98">
        <v>0</v>
      </c>
      <c r="F98" s="15">
        <v>1382</v>
      </c>
      <c r="G98" t="s">
        <v>11</v>
      </c>
      <c r="H98" t="s">
        <v>16</v>
      </c>
      <c r="I98" t="s">
        <v>13</v>
      </c>
      <c r="J98" s="11">
        <f>DATE(B98,MATCH(C98,{"Jan","Feb","Mar","Apr","May","Jun","Jul","Aug","Sep","Oct","Nov","Dec"},0),D98)</f>
        <v>37483</v>
      </c>
      <c r="K98">
        <f t="shared" si="1"/>
        <v>20</v>
      </c>
    </row>
    <row r="99" spans="1:11" x14ac:dyDescent="0.35">
      <c r="A99" t="s">
        <v>119</v>
      </c>
      <c r="B99">
        <v>1999</v>
      </c>
      <c r="C99" t="s">
        <v>10</v>
      </c>
      <c r="D99">
        <v>6</v>
      </c>
      <c r="E99">
        <v>0</v>
      </c>
      <c r="F99" s="15">
        <v>1389</v>
      </c>
      <c r="G99" t="s">
        <v>11</v>
      </c>
      <c r="H99" t="s">
        <v>11</v>
      </c>
      <c r="I99" t="s">
        <v>13</v>
      </c>
      <c r="J99" s="11">
        <f>DATE(B99,MATCH(C99,{"Jan","Feb","Mar","Apr","May","Jun","Jul","Aug","Sep","Oct","Nov","Dec"},0),D99)</f>
        <v>36347</v>
      </c>
      <c r="K99">
        <f t="shared" si="1"/>
        <v>23</v>
      </c>
    </row>
    <row r="100" spans="1:11" x14ac:dyDescent="0.35">
      <c r="A100" t="s">
        <v>120</v>
      </c>
      <c r="B100">
        <v>2002</v>
      </c>
      <c r="C100" t="s">
        <v>15</v>
      </c>
      <c r="D100">
        <v>14</v>
      </c>
      <c r="E100">
        <v>0</v>
      </c>
      <c r="F100" s="15">
        <v>1390</v>
      </c>
      <c r="G100" t="s">
        <v>11</v>
      </c>
      <c r="H100" t="s">
        <v>11</v>
      </c>
      <c r="I100" t="s">
        <v>13</v>
      </c>
      <c r="J100" s="11">
        <f>DATE(B100,MATCH(C100,{"Jan","Feb","Mar","Apr","May","Jun","Jul","Aug","Sep","Oct","Nov","Dec"},0),D100)</f>
        <v>37574</v>
      </c>
      <c r="K100">
        <f t="shared" si="1"/>
        <v>20</v>
      </c>
    </row>
    <row r="101" spans="1:11" x14ac:dyDescent="0.35">
      <c r="A101" t="s">
        <v>121</v>
      </c>
      <c r="B101">
        <v>2002</v>
      </c>
      <c r="C101" t="s">
        <v>30</v>
      </c>
      <c r="D101">
        <v>22</v>
      </c>
      <c r="E101">
        <v>0</v>
      </c>
      <c r="F101" s="15">
        <v>1391.53</v>
      </c>
      <c r="G101" t="s">
        <v>11</v>
      </c>
      <c r="H101" t="s">
        <v>16</v>
      </c>
      <c r="I101" t="s">
        <v>13</v>
      </c>
      <c r="J101" s="11">
        <f>DATE(B101,MATCH(C101,{"Jan","Feb","Mar","Apr","May","Jun","Jul","Aug","Sep","Oct","Nov","Dec"},0),D101)</f>
        <v>37612</v>
      </c>
      <c r="K101">
        <f t="shared" si="1"/>
        <v>20</v>
      </c>
    </row>
    <row r="102" spans="1:11" x14ac:dyDescent="0.35">
      <c r="A102" t="s">
        <v>122</v>
      </c>
      <c r="B102">
        <v>1998</v>
      </c>
      <c r="C102" t="s">
        <v>20</v>
      </c>
      <c r="D102">
        <v>5</v>
      </c>
      <c r="E102">
        <v>0</v>
      </c>
      <c r="F102" s="15">
        <v>1400.44</v>
      </c>
      <c r="G102" t="s">
        <v>11</v>
      </c>
      <c r="H102" t="s">
        <v>11</v>
      </c>
      <c r="I102" t="s">
        <v>13</v>
      </c>
      <c r="J102" s="11">
        <f>DATE(B102,MATCH(C102,{"Jan","Feb","Mar","Apr","May","Jun","Jul","Aug","Sep","Oct","Nov","Dec"},0),D102)</f>
        <v>36043</v>
      </c>
      <c r="K102">
        <f t="shared" si="1"/>
        <v>24</v>
      </c>
    </row>
    <row r="103" spans="1:11" x14ac:dyDescent="0.35">
      <c r="A103" t="s">
        <v>123</v>
      </c>
      <c r="B103">
        <v>1997</v>
      </c>
      <c r="C103" t="s">
        <v>37</v>
      </c>
      <c r="D103">
        <v>27</v>
      </c>
      <c r="E103">
        <v>0</v>
      </c>
      <c r="F103" s="15">
        <v>1402</v>
      </c>
      <c r="G103" t="s">
        <v>11</v>
      </c>
      <c r="H103" t="s">
        <v>12</v>
      </c>
      <c r="I103" t="s">
        <v>42</v>
      </c>
      <c r="J103" s="11">
        <f>DATE(B103,MATCH(C103,{"Jan","Feb","Mar","Apr","May","Jun","Jul","Aug","Sep","Oct","Nov","Dec"},0),D103)</f>
        <v>35730</v>
      </c>
      <c r="K103">
        <f t="shared" si="1"/>
        <v>25</v>
      </c>
    </row>
    <row r="104" spans="1:11" x14ac:dyDescent="0.35">
      <c r="A104" t="s">
        <v>124</v>
      </c>
      <c r="B104">
        <v>1996</v>
      </c>
      <c r="C104" t="s">
        <v>18</v>
      </c>
      <c r="D104">
        <v>23</v>
      </c>
      <c r="E104">
        <v>0</v>
      </c>
      <c r="F104" s="15">
        <v>1417</v>
      </c>
      <c r="G104" t="s">
        <v>11</v>
      </c>
      <c r="H104" t="s">
        <v>12</v>
      </c>
      <c r="I104" t="s">
        <v>13</v>
      </c>
      <c r="J104" s="11">
        <f>DATE(B104,MATCH(C104,{"Jan","Feb","Mar","Apr","May","Jun","Jul","Aug","Sep","Oct","Nov","Dec"},0),D104)</f>
        <v>35239</v>
      </c>
      <c r="K104">
        <f t="shared" si="1"/>
        <v>26</v>
      </c>
    </row>
    <row r="105" spans="1:11" x14ac:dyDescent="0.35">
      <c r="A105" t="s">
        <v>125</v>
      </c>
      <c r="B105">
        <v>2001</v>
      </c>
      <c r="C105" t="s">
        <v>35</v>
      </c>
      <c r="D105">
        <v>23</v>
      </c>
      <c r="E105">
        <v>0</v>
      </c>
      <c r="F105" s="15">
        <v>1421</v>
      </c>
      <c r="G105" t="s">
        <v>11</v>
      </c>
      <c r="H105" t="s">
        <v>11</v>
      </c>
      <c r="I105" t="s">
        <v>13</v>
      </c>
      <c r="J105" s="11">
        <f>DATE(B105,MATCH(C105,{"Jan","Feb","Mar","Apr","May","Jun","Jul","Aug","Sep","Oct","Nov","Dec"},0),D105)</f>
        <v>37126</v>
      </c>
      <c r="K105">
        <f t="shared" si="1"/>
        <v>21</v>
      </c>
    </row>
    <row r="106" spans="1:11" x14ac:dyDescent="0.35">
      <c r="A106" t="s">
        <v>126</v>
      </c>
      <c r="B106">
        <v>1997</v>
      </c>
      <c r="C106" t="s">
        <v>30</v>
      </c>
      <c r="D106">
        <v>5</v>
      </c>
      <c r="E106">
        <v>0</v>
      </c>
      <c r="F106" s="15">
        <v>1422</v>
      </c>
      <c r="G106" t="s">
        <v>11</v>
      </c>
      <c r="H106" t="s">
        <v>11</v>
      </c>
      <c r="I106" t="s">
        <v>13</v>
      </c>
      <c r="J106" s="11">
        <f>DATE(B106,MATCH(C106,{"Jan","Feb","Mar","Apr","May","Jun","Jul","Aug","Sep","Oct","Nov","Dec"},0),D106)</f>
        <v>35769</v>
      </c>
      <c r="K106">
        <f t="shared" si="1"/>
        <v>25</v>
      </c>
    </row>
    <row r="107" spans="1:11" x14ac:dyDescent="0.35">
      <c r="A107" t="s">
        <v>127</v>
      </c>
      <c r="B107">
        <v>2000</v>
      </c>
      <c r="C107" t="s">
        <v>20</v>
      </c>
      <c r="D107">
        <v>1</v>
      </c>
      <c r="E107">
        <v>0</v>
      </c>
      <c r="F107" s="15">
        <v>1438</v>
      </c>
      <c r="G107" t="s">
        <v>11</v>
      </c>
      <c r="H107" t="s">
        <v>11</v>
      </c>
      <c r="I107" t="s">
        <v>13</v>
      </c>
      <c r="J107" s="11">
        <f>DATE(B107,MATCH(C107,{"Jan","Feb","Mar","Apr","May","Jun","Jul","Aug","Sep","Oct","Nov","Dec"},0),D107)</f>
        <v>36770</v>
      </c>
      <c r="K107">
        <f t="shared" si="1"/>
        <v>22</v>
      </c>
    </row>
    <row r="108" spans="1:11" x14ac:dyDescent="0.35">
      <c r="A108" t="s">
        <v>128</v>
      </c>
      <c r="B108">
        <v>1997</v>
      </c>
      <c r="C108" t="s">
        <v>18</v>
      </c>
      <c r="D108">
        <v>19</v>
      </c>
      <c r="E108">
        <v>0</v>
      </c>
      <c r="F108" s="15">
        <v>1445</v>
      </c>
      <c r="G108" t="s">
        <v>11</v>
      </c>
      <c r="H108" t="s">
        <v>16</v>
      </c>
      <c r="I108" t="s">
        <v>13</v>
      </c>
      <c r="J108" s="11">
        <f>DATE(B108,MATCH(C108,{"Jan","Feb","Mar","Apr","May","Jun","Jul","Aug","Sep","Oct","Nov","Dec"},0),D108)</f>
        <v>35600</v>
      </c>
      <c r="K108">
        <f t="shared" si="1"/>
        <v>25</v>
      </c>
    </row>
    <row r="109" spans="1:11" x14ac:dyDescent="0.35">
      <c r="A109" t="s">
        <v>129</v>
      </c>
      <c r="B109">
        <v>2003</v>
      </c>
      <c r="C109" t="s">
        <v>18</v>
      </c>
      <c r="D109">
        <v>20</v>
      </c>
      <c r="E109">
        <v>0</v>
      </c>
      <c r="F109" s="15">
        <v>1467</v>
      </c>
      <c r="G109" t="s">
        <v>11</v>
      </c>
      <c r="H109" t="s">
        <v>11</v>
      </c>
      <c r="I109" t="s">
        <v>13</v>
      </c>
      <c r="J109" s="11">
        <f>DATE(B109,MATCH(C109,{"Jan","Feb","Mar","Apr","May","Jun","Jul","Aug","Sep","Oct","Nov","Dec"},0),D109)</f>
        <v>37792</v>
      </c>
      <c r="K109">
        <f t="shared" si="1"/>
        <v>19</v>
      </c>
    </row>
    <row r="110" spans="1:11" x14ac:dyDescent="0.35">
      <c r="A110" t="s">
        <v>130</v>
      </c>
      <c r="B110">
        <v>1998</v>
      </c>
      <c r="C110" t="s">
        <v>30</v>
      </c>
      <c r="D110">
        <v>7</v>
      </c>
      <c r="E110">
        <v>0</v>
      </c>
      <c r="F110" s="15">
        <v>1477</v>
      </c>
      <c r="G110" t="s">
        <v>11</v>
      </c>
      <c r="H110" t="s">
        <v>16</v>
      </c>
      <c r="I110" t="s">
        <v>13</v>
      </c>
      <c r="J110" s="11">
        <f>DATE(B110,MATCH(C110,{"Jan","Feb","Mar","Apr","May","Jun","Jul","Aug","Sep","Oct","Nov","Dec"},0),D110)</f>
        <v>36136</v>
      </c>
      <c r="K110">
        <f t="shared" si="1"/>
        <v>24</v>
      </c>
    </row>
    <row r="111" spans="1:11" x14ac:dyDescent="0.35">
      <c r="A111" t="s">
        <v>131</v>
      </c>
      <c r="B111">
        <v>1997</v>
      </c>
      <c r="C111" t="s">
        <v>18</v>
      </c>
      <c r="D111">
        <v>9</v>
      </c>
      <c r="E111">
        <v>0</v>
      </c>
      <c r="F111" s="15">
        <v>1481</v>
      </c>
      <c r="G111" t="s">
        <v>11</v>
      </c>
      <c r="H111" t="s">
        <v>16</v>
      </c>
      <c r="I111" t="s">
        <v>23</v>
      </c>
      <c r="J111" s="11">
        <f>DATE(B111,MATCH(C111,{"Jan","Feb","Mar","Apr","May","Jun","Jul","Aug","Sep","Oct","Nov","Dec"},0),D111)</f>
        <v>35590</v>
      </c>
      <c r="K111">
        <f t="shared" si="1"/>
        <v>25</v>
      </c>
    </row>
    <row r="112" spans="1:11" x14ac:dyDescent="0.35">
      <c r="A112" t="s">
        <v>132</v>
      </c>
      <c r="B112">
        <v>1995</v>
      </c>
      <c r="C112" t="s">
        <v>37</v>
      </c>
      <c r="D112">
        <v>7</v>
      </c>
      <c r="E112">
        <v>0</v>
      </c>
      <c r="F112" s="15">
        <v>1493</v>
      </c>
      <c r="G112" t="s">
        <v>11</v>
      </c>
      <c r="H112" t="s">
        <v>12</v>
      </c>
      <c r="I112" t="s">
        <v>13</v>
      </c>
      <c r="J112" s="11">
        <f>DATE(B112,MATCH(C112,{"Jan","Feb","Mar","Apr","May","Jun","Jul","Aug","Sep","Oct","Nov","Dec"},0),D112)</f>
        <v>34979</v>
      </c>
      <c r="K112">
        <f t="shared" si="1"/>
        <v>27</v>
      </c>
    </row>
    <row r="113" spans="1:11" x14ac:dyDescent="0.35">
      <c r="A113" t="s">
        <v>133</v>
      </c>
      <c r="B113">
        <v>1998</v>
      </c>
      <c r="C113" t="s">
        <v>18</v>
      </c>
      <c r="D113">
        <v>19</v>
      </c>
      <c r="E113">
        <v>0</v>
      </c>
      <c r="F113" s="15">
        <v>1497</v>
      </c>
      <c r="G113" t="s">
        <v>11</v>
      </c>
      <c r="H113" t="s">
        <v>11</v>
      </c>
      <c r="I113" t="s">
        <v>13</v>
      </c>
      <c r="J113" s="11">
        <f>DATE(B113,MATCH(C113,{"Jan","Feb","Mar","Apr","May","Jun","Jul","Aug","Sep","Oct","Nov","Dec"},0),D113)</f>
        <v>35965</v>
      </c>
      <c r="K113">
        <f t="shared" si="1"/>
        <v>24</v>
      </c>
    </row>
    <row r="114" spans="1:11" x14ac:dyDescent="0.35">
      <c r="A114" t="s">
        <v>134</v>
      </c>
      <c r="B114">
        <v>2001</v>
      </c>
      <c r="C114" t="s">
        <v>35</v>
      </c>
      <c r="D114">
        <v>25</v>
      </c>
      <c r="E114">
        <v>0</v>
      </c>
      <c r="F114" s="15">
        <v>1515.34</v>
      </c>
      <c r="G114" t="s">
        <v>11</v>
      </c>
      <c r="H114" t="s">
        <v>12</v>
      </c>
      <c r="I114" t="s">
        <v>13</v>
      </c>
      <c r="J114" s="11">
        <f>DATE(B114,MATCH(C114,{"Jan","Feb","Mar","Apr","May","Jun","Jul","Aug","Sep","Oct","Nov","Dec"},0),D114)</f>
        <v>37128</v>
      </c>
      <c r="K114">
        <f t="shared" si="1"/>
        <v>21</v>
      </c>
    </row>
    <row r="115" spans="1:11" x14ac:dyDescent="0.35">
      <c r="A115" t="s">
        <v>135</v>
      </c>
      <c r="B115">
        <v>2001</v>
      </c>
      <c r="C115" t="s">
        <v>10</v>
      </c>
      <c r="D115">
        <v>7</v>
      </c>
      <c r="E115">
        <v>0</v>
      </c>
      <c r="F115" s="15">
        <v>1526.31</v>
      </c>
      <c r="G115" t="s">
        <v>11</v>
      </c>
      <c r="H115" t="s">
        <v>12</v>
      </c>
      <c r="I115" t="s">
        <v>42</v>
      </c>
      <c r="J115" s="11">
        <f>DATE(B115,MATCH(C115,{"Jan","Feb","Mar","Apr","May","Jun","Jul","Aug","Sep","Oct","Nov","Dec"},0),D115)</f>
        <v>37079</v>
      </c>
      <c r="K115">
        <f t="shared" si="1"/>
        <v>21</v>
      </c>
    </row>
    <row r="116" spans="1:11" x14ac:dyDescent="0.35">
      <c r="A116" t="s">
        <v>136</v>
      </c>
      <c r="B116">
        <v>2001</v>
      </c>
      <c r="C116" t="s">
        <v>18</v>
      </c>
      <c r="D116">
        <v>2</v>
      </c>
      <c r="E116">
        <v>0</v>
      </c>
      <c r="F116" s="15">
        <v>1532.47</v>
      </c>
      <c r="G116" t="s">
        <v>11</v>
      </c>
      <c r="H116" t="s">
        <v>11</v>
      </c>
      <c r="I116" t="s">
        <v>13</v>
      </c>
      <c r="J116" s="11">
        <f>DATE(B116,MATCH(C116,{"Jan","Feb","Mar","Apr","May","Jun","Jul","Aug","Sep","Oct","Nov","Dec"},0),D116)</f>
        <v>37044</v>
      </c>
      <c r="K116">
        <f t="shared" si="1"/>
        <v>22</v>
      </c>
    </row>
    <row r="117" spans="1:11" x14ac:dyDescent="0.35">
      <c r="A117" t="s">
        <v>137</v>
      </c>
      <c r="B117">
        <v>2001</v>
      </c>
      <c r="C117" t="s">
        <v>30</v>
      </c>
      <c r="D117">
        <v>5</v>
      </c>
      <c r="E117">
        <v>0</v>
      </c>
      <c r="F117" s="15">
        <v>1534.3</v>
      </c>
      <c r="G117" t="s">
        <v>11</v>
      </c>
      <c r="H117" t="s">
        <v>11</v>
      </c>
      <c r="I117" t="s">
        <v>13</v>
      </c>
      <c r="J117" s="11">
        <f>DATE(B117,MATCH(C117,{"Jan","Feb","Mar","Apr","May","Jun","Jul","Aug","Sep","Oct","Nov","Dec"},0),D117)</f>
        <v>37230</v>
      </c>
      <c r="K117">
        <f t="shared" si="1"/>
        <v>21</v>
      </c>
    </row>
    <row r="118" spans="1:11" x14ac:dyDescent="0.35">
      <c r="A118" t="s">
        <v>138</v>
      </c>
      <c r="B118">
        <v>1992</v>
      </c>
      <c r="C118" t="s">
        <v>20</v>
      </c>
      <c r="D118">
        <v>22</v>
      </c>
      <c r="E118">
        <v>0</v>
      </c>
      <c r="F118" s="15">
        <v>1566.88</v>
      </c>
      <c r="G118" t="s">
        <v>11</v>
      </c>
      <c r="H118" t="s">
        <v>16</v>
      </c>
      <c r="I118" t="s">
        <v>13</v>
      </c>
      <c r="J118" s="11">
        <f>DATE(B118,MATCH(C118,{"Jan","Feb","Mar","Apr","May","Jun","Jul","Aug","Sep","Oct","Nov","Dec"},0),D118)</f>
        <v>33869</v>
      </c>
      <c r="K118">
        <f t="shared" si="1"/>
        <v>30</v>
      </c>
    </row>
    <row r="119" spans="1:11" x14ac:dyDescent="0.35">
      <c r="A119" t="s">
        <v>139</v>
      </c>
      <c r="B119">
        <v>2004</v>
      </c>
      <c r="C119" t="s">
        <v>15</v>
      </c>
      <c r="D119">
        <v>19</v>
      </c>
      <c r="E119">
        <v>0</v>
      </c>
      <c r="F119" s="15">
        <v>1607.51</v>
      </c>
      <c r="G119" t="s">
        <v>11</v>
      </c>
      <c r="H119" t="s">
        <v>12</v>
      </c>
      <c r="I119" t="s">
        <v>13</v>
      </c>
      <c r="J119" s="11">
        <f>DATE(B119,MATCH(C119,{"Jan","Feb","Mar","Apr","May","Jun","Jul","Aug","Sep","Oct","Nov","Dec"},0),D119)</f>
        <v>38310</v>
      </c>
      <c r="K119">
        <f t="shared" si="1"/>
        <v>18</v>
      </c>
    </row>
    <row r="120" spans="1:11" x14ac:dyDescent="0.35">
      <c r="A120" t="s">
        <v>140</v>
      </c>
      <c r="B120">
        <v>2004</v>
      </c>
      <c r="C120" t="s">
        <v>10</v>
      </c>
      <c r="D120">
        <v>22</v>
      </c>
      <c r="E120">
        <v>0</v>
      </c>
      <c r="F120" s="15">
        <v>1615.77</v>
      </c>
      <c r="G120" t="s">
        <v>11</v>
      </c>
      <c r="H120" t="s">
        <v>16</v>
      </c>
      <c r="I120" t="s">
        <v>13</v>
      </c>
      <c r="J120" s="11">
        <f>DATE(B120,MATCH(C120,{"Jan","Feb","Mar","Apr","May","Jun","Jul","Aug","Sep","Oct","Nov","Dec"},0),D120)</f>
        <v>38190</v>
      </c>
      <c r="K120">
        <f t="shared" si="1"/>
        <v>18</v>
      </c>
    </row>
    <row r="121" spans="1:11" x14ac:dyDescent="0.35">
      <c r="A121" t="s">
        <v>141</v>
      </c>
      <c r="B121">
        <v>1995</v>
      </c>
      <c r="C121" t="s">
        <v>35</v>
      </c>
      <c r="D121">
        <v>5</v>
      </c>
      <c r="E121">
        <v>0</v>
      </c>
      <c r="F121" s="15">
        <v>1617.16</v>
      </c>
      <c r="G121" t="s">
        <v>11</v>
      </c>
      <c r="H121" t="s">
        <v>16</v>
      </c>
      <c r="I121" t="s">
        <v>13</v>
      </c>
      <c r="J121" s="11">
        <f>DATE(B121,MATCH(C121,{"Jan","Feb","Mar","Apr","May","Jun","Jul","Aug","Sep","Oct","Nov","Dec"},0),D121)</f>
        <v>34916</v>
      </c>
      <c r="K121">
        <f t="shared" si="1"/>
        <v>27</v>
      </c>
    </row>
    <row r="122" spans="1:11" x14ac:dyDescent="0.35">
      <c r="A122" t="s">
        <v>142</v>
      </c>
      <c r="B122">
        <v>2003</v>
      </c>
      <c r="C122" t="s">
        <v>20</v>
      </c>
      <c r="D122">
        <v>14</v>
      </c>
      <c r="E122">
        <v>0</v>
      </c>
      <c r="F122" s="15">
        <v>1621.34</v>
      </c>
      <c r="G122" t="s">
        <v>11</v>
      </c>
      <c r="H122" t="s">
        <v>11</v>
      </c>
      <c r="I122" t="s">
        <v>23</v>
      </c>
      <c r="J122" s="11">
        <f>DATE(B122,MATCH(C122,{"Jan","Feb","Mar","Apr","May","Jun","Jul","Aug","Sep","Oct","Nov","Dec"},0),D122)</f>
        <v>37878</v>
      </c>
      <c r="K122">
        <f t="shared" si="1"/>
        <v>19</v>
      </c>
    </row>
    <row r="123" spans="1:11" x14ac:dyDescent="0.35">
      <c r="A123" t="s">
        <v>143</v>
      </c>
      <c r="B123">
        <v>2004</v>
      </c>
      <c r="C123" t="s">
        <v>35</v>
      </c>
      <c r="D123">
        <v>21</v>
      </c>
      <c r="E123">
        <v>0</v>
      </c>
      <c r="F123" s="15">
        <v>1621.88</v>
      </c>
      <c r="G123" t="s">
        <v>11</v>
      </c>
      <c r="H123" t="s">
        <v>11</v>
      </c>
      <c r="I123" t="s">
        <v>13</v>
      </c>
      <c r="J123" s="11">
        <f>DATE(B123,MATCH(C123,{"Jan","Feb","Mar","Apr","May","Jun","Jul","Aug","Sep","Oct","Nov","Dec"},0),D123)</f>
        <v>38220</v>
      </c>
      <c r="K123">
        <f t="shared" si="1"/>
        <v>18</v>
      </c>
    </row>
    <row r="124" spans="1:11" x14ac:dyDescent="0.35">
      <c r="A124" t="s">
        <v>144</v>
      </c>
      <c r="B124">
        <v>2004</v>
      </c>
      <c r="C124" t="s">
        <v>10</v>
      </c>
      <c r="D124">
        <v>25</v>
      </c>
      <c r="E124">
        <v>0</v>
      </c>
      <c r="F124" s="15">
        <v>1622.19</v>
      </c>
      <c r="G124" t="s">
        <v>11</v>
      </c>
      <c r="H124" t="s">
        <v>16</v>
      </c>
      <c r="I124" t="s">
        <v>13</v>
      </c>
      <c r="J124" s="11">
        <f>DATE(B124,MATCH(C124,{"Jan","Feb","Mar","Apr","May","Jun","Jul","Aug","Sep","Oct","Nov","Dec"},0),D124)</f>
        <v>38193</v>
      </c>
      <c r="K124">
        <f t="shared" si="1"/>
        <v>18</v>
      </c>
    </row>
    <row r="125" spans="1:11" x14ac:dyDescent="0.35">
      <c r="A125" t="s">
        <v>145</v>
      </c>
      <c r="B125">
        <v>2003</v>
      </c>
      <c r="C125" t="s">
        <v>20</v>
      </c>
      <c r="D125">
        <v>9</v>
      </c>
      <c r="E125">
        <v>0</v>
      </c>
      <c r="F125" s="15">
        <v>1625.43</v>
      </c>
      <c r="G125" t="s">
        <v>11</v>
      </c>
      <c r="H125" t="s">
        <v>12</v>
      </c>
      <c r="I125" t="s">
        <v>23</v>
      </c>
      <c r="J125" s="11">
        <f>DATE(B125,MATCH(C125,{"Jan","Feb","Mar","Apr","May","Jun","Jul","Aug","Sep","Oct","Nov","Dec"},0),D125)</f>
        <v>37873</v>
      </c>
      <c r="K125">
        <f t="shared" si="1"/>
        <v>19</v>
      </c>
    </row>
    <row r="126" spans="1:11" x14ac:dyDescent="0.35">
      <c r="A126" t="s">
        <v>146</v>
      </c>
      <c r="B126">
        <v>2003</v>
      </c>
      <c r="C126" t="s">
        <v>30</v>
      </c>
      <c r="D126">
        <v>4</v>
      </c>
      <c r="E126">
        <v>0</v>
      </c>
      <c r="F126" s="15">
        <v>1627.28</v>
      </c>
      <c r="G126" t="s">
        <v>11</v>
      </c>
      <c r="H126" t="s">
        <v>11</v>
      </c>
      <c r="I126" t="s">
        <v>23</v>
      </c>
      <c r="J126" s="11">
        <f>DATE(B126,MATCH(C126,{"Jan","Feb","Mar","Apr","May","Jun","Jul","Aug","Sep","Oct","Nov","Dec"},0),D126)</f>
        <v>37959</v>
      </c>
      <c r="K126">
        <f t="shared" si="1"/>
        <v>19</v>
      </c>
    </row>
    <row r="127" spans="1:11" x14ac:dyDescent="0.35">
      <c r="A127" t="s">
        <v>147</v>
      </c>
      <c r="B127">
        <v>2003</v>
      </c>
      <c r="C127" t="s">
        <v>10</v>
      </c>
      <c r="D127">
        <v>17</v>
      </c>
      <c r="E127">
        <v>0</v>
      </c>
      <c r="F127" s="15">
        <v>1628.47</v>
      </c>
      <c r="G127" t="s">
        <v>11</v>
      </c>
      <c r="H127" t="s">
        <v>16</v>
      </c>
      <c r="I127" t="s">
        <v>23</v>
      </c>
      <c r="J127" s="11">
        <f>DATE(B127,MATCH(C127,{"Jan","Feb","Mar","Apr","May","Jun","Jul","Aug","Sep","Oct","Nov","Dec"},0),D127)</f>
        <v>37819</v>
      </c>
      <c r="K127">
        <f t="shared" si="1"/>
        <v>19</v>
      </c>
    </row>
    <row r="128" spans="1:11" x14ac:dyDescent="0.35">
      <c r="A128" t="s">
        <v>148</v>
      </c>
      <c r="B128">
        <v>2004</v>
      </c>
      <c r="C128" t="s">
        <v>37</v>
      </c>
      <c r="D128">
        <v>4</v>
      </c>
      <c r="E128">
        <v>0</v>
      </c>
      <c r="F128" s="15">
        <v>1629.83</v>
      </c>
      <c r="G128" t="s">
        <v>11</v>
      </c>
      <c r="H128" t="s">
        <v>11</v>
      </c>
      <c r="I128" t="s">
        <v>13</v>
      </c>
      <c r="J128" s="11">
        <f>DATE(B128,MATCH(C128,{"Jan","Feb","Mar","Apr","May","Jun","Jul","Aug","Sep","Oct","Nov","Dec"},0),D128)</f>
        <v>38264</v>
      </c>
      <c r="K128">
        <f t="shared" si="1"/>
        <v>18</v>
      </c>
    </row>
    <row r="129" spans="1:11" x14ac:dyDescent="0.35">
      <c r="A129" t="s">
        <v>149</v>
      </c>
      <c r="B129">
        <v>2004</v>
      </c>
      <c r="C129" t="s">
        <v>30</v>
      </c>
      <c r="D129">
        <v>5</v>
      </c>
      <c r="E129">
        <v>0</v>
      </c>
      <c r="F129" s="15">
        <v>1631.67</v>
      </c>
      <c r="G129" t="s">
        <v>11</v>
      </c>
      <c r="H129" t="s">
        <v>12</v>
      </c>
      <c r="I129" t="s">
        <v>13</v>
      </c>
      <c r="J129" s="11">
        <f>DATE(B129,MATCH(C129,{"Jan","Feb","Mar","Apr","May","Jun","Jul","Aug","Sep","Oct","Nov","Dec"},0),D129)</f>
        <v>38326</v>
      </c>
      <c r="K129">
        <f t="shared" si="1"/>
        <v>18</v>
      </c>
    </row>
    <row r="130" spans="1:11" x14ac:dyDescent="0.35">
      <c r="A130" t="s">
        <v>150</v>
      </c>
      <c r="B130">
        <v>2004</v>
      </c>
      <c r="C130" t="s">
        <v>10</v>
      </c>
      <c r="D130">
        <v>9</v>
      </c>
      <c r="E130">
        <v>0</v>
      </c>
      <c r="F130" s="15">
        <v>1631.82</v>
      </c>
      <c r="G130" t="s">
        <v>11</v>
      </c>
      <c r="H130" t="s">
        <v>16</v>
      </c>
      <c r="I130" t="s">
        <v>13</v>
      </c>
      <c r="J130" s="11">
        <f>DATE(B130,MATCH(C130,{"Jan","Feb","Mar","Apr","May","Jun","Jul","Aug","Sep","Oct","Nov","Dec"},0),D130)</f>
        <v>38177</v>
      </c>
      <c r="K130">
        <f t="shared" si="1"/>
        <v>18</v>
      </c>
    </row>
    <row r="131" spans="1:11" x14ac:dyDescent="0.35">
      <c r="A131" t="s">
        <v>151</v>
      </c>
      <c r="B131">
        <v>2003</v>
      </c>
      <c r="C131" t="s">
        <v>37</v>
      </c>
      <c r="D131">
        <v>3</v>
      </c>
      <c r="E131">
        <v>0</v>
      </c>
      <c r="F131" s="15">
        <v>1632.04</v>
      </c>
      <c r="G131" t="s">
        <v>11</v>
      </c>
      <c r="H131" t="s">
        <v>11</v>
      </c>
      <c r="I131" t="s">
        <v>23</v>
      </c>
      <c r="J131" s="11">
        <f>DATE(B131,MATCH(C131,{"Jan","Feb","Mar","Apr","May","Jun","Jul","Aug","Sep","Oct","Nov","Dec"},0),D131)</f>
        <v>37897</v>
      </c>
      <c r="K131">
        <f t="shared" ref="K131:K194" si="2">DATEDIF(J131,$N$1,"Y")</f>
        <v>19</v>
      </c>
    </row>
    <row r="132" spans="1:11" x14ac:dyDescent="0.35">
      <c r="A132" t="s">
        <v>152</v>
      </c>
      <c r="B132">
        <v>2003</v>
      </c>
      <c r="C132" t="s">
        <v>20</v>
      </c>
      <c r="D132">
        <v>16</v>
      </c>
      <c r="E132">
        <v>0</v>
      </c>
      <c r="F132" s="15">
        <v>1632.56</v>
      </c>
      <c r="G132" t="s">
        <v>11</v>
      </c>
      <c r="H132" t="s">
        <v>11</v>
      </c>
      <c r="I132" t="s">
        <v>23</v>
      </c>
      <c r="J132" s="11">
        <f>DATE(B132,MATCH(C132,{"Jan","Feb","Mar","Apr","May","Jun","Jul","Aug","Sep","Oct","Nov","Dec"},0),D132)</f>
        <v>37880</v>
      </c>
      <c r="K132">
        <f t="shared" si="2"/>
        <v>19</v>
      </c>
    </row>
    <row r="133" spans="1:11" x14ac:dyDescent="0.35">
      <c r="A133" t="s">
        <v>153</v>
      </c>
      <c r="B133">
        <v>2004</v>
      </c>
      <c r="C133" t="s">
        <v>30</v>
      </c>
      <c r="D133">
        <v>13</v>
      </c>
      <c r="E133">
        <v>0</v>
      </c>
      <c r="F133" s="15">
        <v>1633.04</v>
      </c>
      <c r="G133" t="s">
        <v>11</v>
      </c>
      <c r="H133" t="s">
        <v>11</v>
      </c>
      <c r="I133" t="s">
        <v>13</v>
      </c>
      <c r="J133" s="11">
        <f>DATE(B133,MATCH(C133,{"Jan","Feb","Mar","Apr","May","Jun","Jul","Aug","Sep","Oct","Nov","Dec"},0),D133)</f>
        <v>38334</v>
      </c>
      <c r="K133">
        <f t="shared" si="2"/>
        <v>18</v>
      </c>
    </row>
    <row r="134" spans="1:11" x14ac:dyDescent="0.35">
      <c r="A134" t="s">
        <v>154</v>
      </c>
      <c r="B134">
        <v>2004</v>
      </c>
      <c r="C134" t="s">
        <v>35</v>
      </c>
      <c r="D134">
        <v>8</v>
      </c>
      <c r="E134">
        <v>0</v>
      </c>
      <c r="F134" s="15">
        <v>1633.96</v>
      </c>
      <c r="G134" t="s">
        <v>11</v>
      </c>
      <c r="H134" t="s">
        <v>16</v>
      </c>
      <c r="I134" t="s">
        <v>13</v>
      </c>
      <c r="J134" s="11">
        <f>DATE(B134,MATCH(C134,{"Jan","Feb","Mar","Apr","May","Jun","Jul","Aug","Sep","Oct","Nov","Dec"},0),D134)</f>
        <v>38207</v>
      </c>
      <c r="K134">
        <f t="shared" si="2"/>
        <v>18</v>
      </c>
    </row>
    <row r="135" spans="1:11" x14ac:dyDescent="0.35">
      <c r="A135" t="s">
        <v>155</v>
      </c>
      <c r="B135">
        <v>2004</v>
      </c>
      <c r="C135" t="s">
        <v>18</v>
      </c>
      <c r="D135">
        <v>13</v>
      </c>
      <c r="E135">
        <v>0</v>
      </c>
      <c r="F135" s="15">
        <v>1634.57</v>
      </c>
      <c r="G135" t="s">
        <v>11</v>
      </c>
      <c r="H135" t="s">
        <v>11</v>
      </c>
      <c r="I135" t="s">
        <v>13</v>
      </c>
      <c r="J135" s="11">
        <f>DATE(B135,MATCH(C135,{"Jan","Feb","Mar","Apr","May","Jun","Jul","Aug","Sep","Oct","Nov","Dec"},0),D135)</f>
        <v>38151</v>
      </c>
      <c r="K135">
        <f t="shared" si="2"/>
        <v>18</v>
      </c>
    </row>
    <row r="136" spans="1:11" x14ac:dyDescent="0.35">
      <c r="A136" t="s">
        <v>156</v>
      </c>
      <c r="B136">
        <v>2003</v>
      </c>
      <c r="C136" t="s">
        <v>30</v>
      </c>
      <c r="D136">
        <v>30</v>
      </c>
      <c r="E136">
        <v>0</v>
      </c>
      <c r="F136" s="15">
        <v>1635.73</v>
      </c>
      <c r="G136" t="s">
        <v>11</v>
      </c>
      <c r="H136" t="s">
        <v>12</v>
      </c>
      <c r="I136" t="s">
        <v>23</v>
      </c>
      <c r="J136" s="11">
        <f>DATE(B136,MATCH(C136,{"Jan","Feb","Mar","Apr","May","Jun","Jul","Aug","Sep","Oct","Nov","Dec"},0),D136)</f>
        <v>37985</v>
      </c>
      <c r="K136">
        <f t="shared" si="2"/>
        <v>19</v>
      </c>
    </row>
    <row r="137" spans="1:11" x14ac:dyDescent="0.35">
      <c r="A137" t="s">
        <v>157</v>
      </c>
      <c r="B137">
        <v>2003</v>
      </c>
      <c r="C137" t="s">
        <v>20</v>
      </c>
      <c r="D137">
        <v>16</v>
      </c>
      <c r="E137">
        <v>0</v>
      </c>
      <c r="F137" s="15">
        <v>1639.56</v>
      </c>
      <c r="G137" t="s">
        <v>11</v>
      </c>
      <c r="H137" t="s">
        <v>11</v>
      </c>
      <c r="I137" t="s">
        <v>23</v>
      </c>
      <c r="J137" s="11">
        <f>DATE(B137,MATCH(C137,{"Jan","Feb","Mar","Apr","May","Jun","Jul","Aug","Sep","Oct","Nov","Dec"},0),D137)</f>
        <v>37880</v>
      </c>
      <c r="K137">
        <f t="shared" si="2"/>
        <v>19</v>
      </c>
    </row>
    <row r="138" spans="1:11" x14ac:dyDescent="0.35">
      <c r="A138" t="s">
        <v>158</v>
      </c>
      <c r="B138">
        <v>2003</v>
      </c>
      <c r="C138" t="s">
        <v>35</v>
      </c>
      <c r="D138">
        <v>21</v>
      </c>
      <c r="E138">
        <v>0</v>
      </c>
      <c r="F138" s="15">
        <v>1639.56</v>
      </c>
      <c r="G138" t="s">
        <v>11</v>
      </c>
      <c r="H138" t="s">
        <v>11</v>
      </c>
      <c r="I138" t="s">
        <v>23</v>
      </c>
      <c r="J138" s="11">
        <f>DATE(B138,MATCH(C138,{"Jan","Feb","Mar","Apr","May","Jun","Jul","Aug","Sep","Oct","Nov","Dec"},0),D138)</f>
        <v>37854</v>
      </c>
      <c r="K138">
        <f t="shared" si="2"/>
        <v>19</v>
      </c>
    </row>
    <row r="139" spans="1:11" x14ac:dyDescent="0.35">
      <c r="A139" t="s">
        <v>159</v>
      </c>
      <c r="B139">
        <v>2003</v>
      </c>
      <c r="C139" t="s">
        <v>30</v>
      </c>
      <c r="D139">
        <v>30</v>
      </c>
      <c r="E139">
        <v>0</v>
      </c>
      <c r="F139" s="15">
        <v>1646.43</v>
      </c>
      <c r="G139" t="s">
        <v>11</v>
      </c>
      <c r="H139" t="s">
        <v>16</v>
      </c>
      <c r="I139" t="s">
        <v>23</v>
      </c>
      <c r="J139" s="11">
        <f>DATE(B139,MATCH(C139,{"Jan","Feb","Mar","Apr","May","Jun","Jul","Aug","Sep","Oct","Nov","Dec"},0),D139)</f>
        <v>37985</v>
      </c>
      <c r="K139">
        <f t="shared" si="2"/>
        <v>19</v>
      </c>
    </row>
    <row r="140" spans="1:11" x14ac:dyDescent="0.35">
      <c r="A140" t="s">
        <v>160</v>
      </c>
      <c r="B140">
        <v>2000</v>
      </c>
      <c r="C140" t="s">
        <v>37</v>
      </c>
      <c r="D140">
        <v>23</v>
      </c>
      <c r="E140">
        <v>0</v>
      </c>
      <c r="F140" s="15">
        <v>1665</v>
      </c>
      <c r="G140" t="s">
        <v>11</v>
      </c>
      <c r="H140" t="s">
        <v>11</v>
      </c>
      <c r="I140" t="s">
        <v>13</v>
      </c>
      <c r="J140" s="11">
        <f>DATE(B140,MATCH(C140,{"Jan","Feb","Mar","Apr","May","Jun","Jul","Aug","Sep","Oct","Nov","Dec"},0),D140)</f>
        <v>36822</v>
      </c>
      <c r="K140">
        <f t="shared" si="2"/>
        <v>22</v>
      </c>
    </row>
    <row r="141" spans="1:11" x14ac:dyDescent="0.35">
      <c r="A141" t="s">
        <v>161</v>
      </c>
      <c r="B141">
        <v>2000</v>
      </c>
      <c r="C141" t="s">
        <v>18</v>
      </c>
      <c r="D141">
        <v>10</v>
      </c>
      <c r="E141">
        <v>0</v>
      </c>
      <c r="F141" s="15">
        <v>1674.63</v>
      </c>
      <c r="G141" t="s">
        <v>11</v>
      </c>
      <c r="H141" t="s">
        <v>11</v>
      </c>
      <c r="I141" t="s">
        <v>13</v>
      </c>
      <c r="J141" s="11">
        <f>DATE(B141,MATCH(C141,{"Jan","Feb","Mar","Apr","May","Jun","Jul","Aug","Sep","Oct","Nov","Dec"},0),D141)</f>
        <v>36687</v>
      </c>
      <c r="K141">
        <f t="shared" si="2"/>
        <v>22</v>
      </c>
    </row>
    <row r="142" spans="1:11" x14ac:dyDescent="0.35">
      <c r="A142" t="s">
        <v>162</v>
      </c>
      <c r="B142">
        <v>2000</v>
      </c>
      <c r="C142" t="s">
        <v>37</v>
      </c>
      <c r="D142">
        <v>21</v>
      </c>
      <c r="E142">
        <v>0</v>
      </c>
      <c r="F142" s="15">
        <v>1682.6</v>
      </c>
      <c r="G142" t="s">
        <v>11</v>
      </c>
      <c r="H142" t="s">
        <v>11</v>
      </c>
      <c r="I142" t="s">
        <v>42</v>
      </c>
      <c r="J142" s="11">
        <f>DATE(B142,MATCH(C142,{"Jan","Feb","Mar","Apr","May","Jun","Jul","Aug","Sep","Oct","Nov","Dec"},0),D142)</f>
        <v>36820</v>
      </c>
      <c r="K142">
        <f t="shared" si="2"/>
        <v>22</v>
      </c>
    </row>
    <row r="143" spans="1:11" x14ac:dyDescent="0.35">
      <c r="A143" t="s">
        <v>163</v>
      </c>
      <c r="B143">
        <v>2004</v>
      </c>
      <c r="C143" t="s">
        <v>15</v>
      </c>
      <c r="D143">
        <v>17</v>
      </c>
      <c r="E143">
        <v>0</v>
      </c>
      <c r="F143" s="15">
        <v>1694.8</v>
      </c>
      <c r="G143" t="s">
        <v>11</v>
      </c>
      <c r="H143" t="s">
        <v>11</v>
      </c>
      <c r="I143" t="s">
        <v>164</v>
      </c>
      <c r="J143" s="11">
        <f>DATE(B143,MATCH(C143,{"Jan","Feb","Mar","Apr","May","Jun","Jul","Aug","Sep","Oct","Nov","Dec"},0),D143)</f>
        <v>38308</v>
      </c>
      <c r="K143">
        <f t="shared" si="2"/>
        <v>18</v>
      </c>
    </row>
    <row r="144" spans="1:11" x14ac:dyDescent="0.35">
      <c r="A144" t="s">
        <v>165</v>
      </c>
      <c r="B144">
        <v>2004</v>
      </c>
      <c r="C144" t="s">
        <v>30</v>
      </c>
      <c r="D144">
        <v>10</v>
      </c>
      <c r="E144">
        <v>0</v>
      </c>
      <c r="F144" s="15">
        <v>1702.46</v>
      </c>
      <c r="G144" t="s">
        <v>11</v>
      </c>
      <c r="H144" t="s">
        <v>12</v>
      </c>
      <c r="I144" t="s">
        <v>166</v>
      </c>
      <c r="J144" s="11">
        <f>DATE(B144,MATCH(C144,{"Jan","Feb","Mar","Apr","May","Jun","Jul","Aug","Sep","Oct","Nov","Dec"},0),D144)</f>
        <v>38331</v>
      </c>
      <c r="K144">
        <f t="shared" si="2"/>
        <v>18</v>
      </c>
    </row>
    <row r="145" spans="1:11" x14ac:dyDescent="0.35">
      <c r="A145" t="s">
        <v>167</v>
      </c>
      <c r="B145">
        <v>2004</v>
      </c>
      <c r="C145" t="s">
        <v>15</v>
      </c>
      <c r="D145">
        <v>7</v>
      </c>
      <c r="E145">
        <v>0</v>
      </c>
      <c r="F145" s="15">
        <v>1704.57</v>
      </c>
      <c r="G145" t="s">
        <v>11</v>
      </c>
      <c r="H145" t="s">
        <v>16</v>
      </c>
      <c r="I145" t="s">
        <v>168</v>
      </c>
      <c r="J145" s="11">
        <f>DATE(B145,MATCH(C145,{"Jan","Feb","Mar","Apr","May","Jun","Jul","Aug","Sep","Oct","Nov","Dec"},0),D145)</f>
        <v>38298</v>
      </c>
      <c r="K145">
        <f t="shared" si="2"/>
        <v>18</v>
      </c>
    </row>
    <row r="146" spans="1:11" x14ac:dyDescent="0.35">
      <c r="A146" t="s">
        <v>169</v>
      </c>
      <c r="B146">
        <v>2004</v>
      </c>
      <c r="C146" t="s">
        <v>30</v>
      </c>
      <c r="D146">
        <v>14</v>
      </c>
      <c r="E146">
        <v>0</v>
      </c>
      <c r="F146" s="15">
        <v>1704.7</v>
      </c>
      <c r="G146" t="s">
        <v>11</v>
      </c>
      <c r="H146" t="s">
        <v>12</v>
      </c>
      <c r="I146" t="s">
        <v>170</v>
      </c>
      <c r="J146" s="11">
        <f>DATE(B146,MATCH(C146,{"Jan","Feb","Mar","Apr","May","Jun","Jul","Aug","Sep","Oct","Nov","Dec"},0),D146)</f>
        <v>38335</v>
      </c>
      <c r="K146">
        <f t="shared" si="2"/>
        <v>18</v>
      </c>
    </row>
    <row r="147" spans="1:11" x14ac:dyDescent="0.35">
      <c r="A147" t="s">
        <v>171</v>
      </c>
      <c r="B147">
        <v>2004</v>
      </c>
      <c r="C147" t="s">
        <v>30</v>
      </c>
      <c r="D147">
        <v>6</v>
      </c>
      <c r="E147">
        <v>0</v>
      </c>
      <c r="F147" s="15">
        <v>1705.62</v>
      </c>
      <c r="G147" t="s">
        <v>11</v>
      </c>
      <c r="H147" t="s">
        <v>11</v>
      </c>
      <c r="I147" t="s">
        <v>164</v>
      </c>
      <c r="J147" s="11">
        <f>DATE(B147,MATCH(C147,{"Jan","Feb","Mar","Apr","May","Jun","Jul","Aug","Sep","Oct","Nov","Dec"},0),D147)</f>
        <v>38327</v>
      </c>
      <c r="K147">
        <f t="shared" si="2"/>
        <v>18</v>
      </c>
    </row>
    <row r="148" spans="1:11" x14ac:dyDescent="0.35">
      <c r="A148" t="s">
        <v>172</v>
      </c>
      <c r="B148">
        <v>2004</v>
      </c>
      <c r="C148" t="s">
        <v>37</v>
      </c>
      <c r="D148">
        <v>17</v>
      </c>
      <c r="E148">
        <v>0</v>
      </c>
      <c r="F148" s="15">
        <v>1708</v>
      </c>
      <c r="G148" t="s">
        <v>12</v>
      </c>
      <c r="H148" t="s">
        <v>11</v>
      </c>
      <c r="I148" t="s">
        <v>168</v>
      </c>
      <c r="J148" s="11">
        <f>DATE(B148,MATCH(C148,{"Jan","Feb","Mar","Apr","May","Jun","Jul","Aug","Sep","Oct","Nov","Dec"},0),D148)</f>
        <v>38277</v>
      </c>
      <c r="K148">
        <f t="shared" si="2"/>
        <v>18</v>
      </c>
    </row>
    <row r="149" spans="1:11" x14ac:dyDescent="0.35">
      <c r="A149" t="s">
        <v>173</v>
      </c>
      <c r="B149">
        <v>2004</v>
      </c>
      <c r="C149" t="s">
        <v>30</v>
      </c>
      <c r="D149">
        <v>12</v>
      </c>
      <c r="E149">
        <v>0</v>
      </c>
      <c r="F149" s="15">
        <v>1708.93</v>
      </c>
      <c r="G149" t="s">
        <v>12</v>
      </c>
      <c r="H149" t="s">
        <v>16</v>
      </c>
      <c r="I149" t="s">
        <v>166</v>
      </c>
      <c r="J149" s="11">
        <f>DATE(B149,MATCH(C149,{"Jan","Feb","Mar","Apr","May","Jun","Jul","Aug","Sep","Oct","Nov","Dec"},0),D149)</f>
        <v>38333</v>
      </c>
      <c r="K149">
        <f t="shared" si="2"/>
        <v>18</v>
      </c>
    </row>
    <row r="150" spans="1:11" x14ac:dyDescent="0.35">
      <c r="A150" t="s">
        <v>174</v>
      </c>
      <c r="B150">
        <v>2004</v>
      </c>
      <c r="C150" t="s">
        <v>20</v>
      </c>
      <c r="D150">
        <v>19</v>
      </c>
      <c r="E150">
        <v>1</v>
      </c>
      <c r="F150" s="15">
        <v>1711.03</v>
      </c>
      <c r="G150" t="s">
        <v>12</v>
      </c>
      <c r="H150" t="s">
        <v>12</v>
      </c>
      <c r="I150" t="s">
        <v>13</v>
      </c>
      <c r="J150" s="11">
        <f>DATE(B150,MATCH(C150,{"Jan","Feb","Mar","Apr","May","Jun","Jul","Aug","Sep","Oct","Nov","Dec"},0),D150)</f>
        <v>38249</v>
      </c>
      <c r="K150">
        <f t="shared" si="2"/>
        <v>18</v>
      </c>
    </row>
    <row r="151" spans="1:11" x14ac:dyDescent="0.35">
      <c r="A151" t="s">
        <v>175</v>
      </c>
      <c r="B151">
        <v>2004</v>
      </c>
      <c r="C151" t="s">
        <v>20</v>
      </c>
      <c r="D151">
        <v>21</v>
      </c>
      <c r="E151">
        <v>0</v>
      </c>
      <c r="F151" s="15">
        <v>1712.23</v>
      </c>
      <c r="G151" t="s">
        <v>12</v>
      </c>
      <c r="H151" t="s">
        <v>16</v>
      </c>
      <c r="I151" t="s">
        <v>168</v>
      </c>
      <c r="J151" s="11">
        <f>DATE(B151,MATCH(C151,{"Jan","Feb","Mar","Apr","May","Jun","Jul","Aug","Sep","Oct","Nov","Dec"},0),D151)</f>
        <v>38251</v>
      </c>
      <c r="K151">
        <f t="shared" si="2"/>
        <v>18</v>
      </c>
    </row>
    <row r="152" spans="1:11" x14ac:dyDescent="0.35">
      <c r="A152" t="s">
        <v>176</v>
      </c>
      <c r="B152">
        <v>2004</v>
      </c>
      <c r="C152" t="s">
        <v>18</v>
      </c>
      <c r="D152">
        <v>10</v>
      </c>
      <c r="E152">
        <v>1</v>
      </c>
      <c r="F152" s="15">
        <v>1719.44</v>
      </c>
      <c r="G152" t="s">
        <v>12</v>
      </c>
      <c r="H152" t="s">
        <v>12</v>
      </c>
      <c r="I152" t="s">
        <v>13</v>
      </c>
      <c r="J152" s="11">
        <f>DATE(B152,MATCH(C152,{"Jan","Feb","Mar","Apr","May","Jun","Jul","Aug","Sep","Oct","Nov","Dec"},0),D152)</f>
        <v>38148</v>
      </c>
      <c r="K152">
        <f t="shared" si="2"/>
        <v>18</v>
      </c>
    </row>
    <row r="153" spans="1:11" x14ac:dyDescent="0.35">
      <c r="A153" t="s">
        <v>177</v>
      </c>
      <c r="B153">
        <v>2004</v>
      </c>
      <c r="C153" t="s">
        <v>20</v>
      </c>
      <c r="D153">
        <v>11</v>
      </c>
      <c r="E153">
        <v>1</v>
      </c>
      <c r="F153" s="15">
        <v>1720.35</v>
      </c>
      <c r="G153" t="s">
        <v>12</v>
      </c>
      <c r="H153" t="s">
        <v>12</v>
      </c>
      <c r="I153" t="s">
        <v>13</v>
      </c>
      <c r="J153" s="11">
        <f>DATE(B153,MATCH(C153,{"Jan","Feb","Mar","Apr","May","Jun","Jul","Aug","Sep","Oct","Nov","Dec"},0),D153)</f>
        <v>38241</v>
      </c>
      <c r="K153">
        <f t="shared" si="2"/>
        <v>18</v>
      </c>
    </row>
    <row r="154" spans="1:11" x14ac:dyDescent="0.35">
      <c r="A154" t="s">
        <v>178</v>
      </c>
      <c r="B154">
        <v>2004</v>
      </c>
      <c r="C154" t="s">
        <v>37</v>
      </c>
      <c r="D154">
        <v>21</v>
      </c>
      <c r="E154">
        <v>1</v>
      </c>
      <c r="F154" s="15">
        <v>1725.55</v>
      </c>
      <c r="G154" t="s">
        <v>12</v>
      </c>
      <c r="H154" t="s">
        <v>11</v>
      </c>
      <c r="I154" t="s">
        <v>13</v>
      </c>
      <c r="J154" s="11">
        <f>DATE(B154,MATCH(C154,{"Jan","Feb","Mar","Apr","May","Jun","Jul","Aug","Sep","Oct","Nov","Dec"},0),D154)</f>
        <v>38281</v>
      </c>
      <c r="K154">
        <f t="shared" si="2"/>
        <v>18</v>
      </c>
    </row>
    <row r="155" spans="1:11" x14ac:dyDescent="0.35">
      <c r="A155" t="s">
        <v>179</v>
      </c>
      <c r="B155">
        <v>2004</v>
      </c>
      <c r="C155" t="s">
        <v>20</v>
      </c>
      <c r="D155">
        <v>9</v>
      </c>
      <c r="E155">
        <v>1</v>
      </c>
      <c r="F155" s="15">
        <v>1727.54</v>
      </c>
      <c r="G155" t="s">
        <v>12</v>
      </c>
      <c r="H155" t="s">
        <v>16</v>
      </c>
      <c r="I155" t="s">
        <v>13</v>
      </c>
      <c r="J155" s="11">
        <f>DATE(B155,MATCH(C155,{"Jan","Feb","Mar","Apr","May","Jun","Jul","Aug","Sep","Oct","Nov","Dec"},0),D155)</f>
        <v>38239</v>
      </c>
      <c r="K155">
        <f t="shared" si="2"/>
        <v>18</v>
      </c>
    </row>
    <row r="156" spans="1:11" x14ac:dyDescent="0.35">
      <c r="A156" t="s">
        <v>180</v>
      </c>
      <c r="B156">
        <v>2003</v>
      </c>
      <c r="C156" t="s">
        <v>15</v>
      </c>
      <c r="D156">
        <v>21</v>
      </c>
      <c r="E156">
        <v>0</v>
      </c>
      <c r="F156" s="15">
        <v>1727.79</v>
      </c>
      <c r="G156" t="s">
        <v>12</v>
      </c>
      <c r="H156" t="s">
        <v>12</v>
      </c>
      <c r="I156" t="s">
        <v>42</v>
      </c>
      <c r="J156" s="11">
        <f>DATE(B156,MATCH(C156,{"Jan","Feb","Mar","Apr","May","Jun","Jul","Aug","Sep","Oct","Nov","Dec"},0),D156)</f>
        <v>37946</v>
      </c>
      <c r="K156">
        <f t="shared" si="2"/>
        <v>19</v>
      </c>
    </row>
    <row r="157" spans="1:11" x14ac:dyDescent="0.35">
      <c r="A157" t="s">
        <v>181</v>
      </c>
      <c r="B157">
        <v>2003</v>
      </c>
      <c r="C157" t="s">
        <v>20</v>
      </c>
      <c r="D157">
        <v>1</v>
      </c>
      <c r="E157">
        <v>0</v>
      </c>
      <c r="F157" s="15">
        <v>1728.9</v>
      </c>
      <c r="G157" t="s">
        <v>12</v>
      </c>
      <c r="H157" t="s">
        <v>11</v>
      </c>
      <c r="I157" t="s">
        <v>42</v>
      </c>
      <c r="J157" s="11">
        <f>DATE(B157,MATCH(C157,{"Jan","Feb","Mar","Apr","May","Jun","Jul","Aug","Sep","Oct","Nov","Dec"},0),D157)</f>
        <v>37865</v>
      </c>
      <c r="K157">
        <f t="shared" si="2"/>
        <v>19</v>
      </c>
    </row>
    <row r="158" spans="1:11" x14ac:dyDescent="0.35">
      <c r="A158" t="s">
        <v>182</v>
      </c>
      <c r="B158">
        <v>2003</v>
      </c>
      <c r="C158" t="s">
        <v>15</v>
      </c>
      <c r="D158">
        <v>9</v>
      </c>
      <c r="E158">
        <v>0</v>
      </c>
      <c r="F158" s="15">
        <v>1731.68</v>
      </c>
      <c r="G158" t="s">
        <v>12</v>
      </c>
      <c r="H158" t="s">
        <v>11</v>
      </c>
      <c r="I158" t="s">
        <v>42</v>
      </c>
      <c r="J158" s="11">
        <f>DATE(B158,MATCH(C158,{"Jan","Feb","Mar","Apr","May","Jun","Jul","Aug","Sep","Oct","Nov","Dec"},0),D158)</f>
        <v>37934</v>
      </c>
      <c r="K158">
        <f t="shared" si="2"/>
        <v>19</v>
      </c>
    </row>
    <row r="159" spans="1:11" x14ac:dyDescent="0.35">
      <c r="A159" t="s">
        <v>183</v>
      </c>
      <c r="B159">
        <v>2003</v>
      </c>
      <c r="C159" t="s">
        <v>15</v>
      </c>
      <c r="D159">
        <v>14</v>
      </c>
      <c r="E159">
        <v>0</v>
      </c>
      <c r="F159" s="15">
        <v>1737.38</v>
      </c>
      <c r="G159" t="s">
        <v>12</v>
      </c>
      <c r="H159" t="s">
        <v>11</v>
      </c>
      <c r="I159" t="s">
        <v>42</v>
      </c>
      <c r="J159" s="11">
        <f>DATE(B159,MATCH(C159,{"Jan","Feb","Mar","Apr","May","Jun","Jul","Aug","Sep","Oct","Nov","Dec"},0),D159)</f>
        <v>37939</v>
      </c>
      <c r="K159">
        <f t="shared" si="2"/>
        <v>19</v>
      </c>
    </row>
    <row r="160" spans="1:11" x14ac:dyDescent="0.35">
      <c r="A160" t="s">
        <v>184</v>
      </c>
      <c r="B160">
        <v>2003</v>
      </c>
      <c r="C160" t="s">
        <v>10</v>
      </c>
      <c r="D160">
        <v>25</v>
      </c>
      <c r="E160">
        <v>0</v>
      </c>
      <c r="F160" s="15">
        <v>1743.21</v>
      </c>
      <c r="G160" t="s">
        <v>12</v>
      </c>
      <c r="H160" t="s">
        <v>16</v>
      </c>
      <c r="I160" t="s">
        <v>42</v>
      </c>
      <c r="J160" s="11">
        <f>DATE(B160,MATCH(C160,{"Jan","Feb","Mar","Apr","May","Jun","Jul","Aug","Sep","Oct","Nov","Dec"},0),D160)</f>
        <v>37827</v>
      </c>
      <c r="K160">
        <f t="shared" si="2"/>
        <v>19</v>
      </c>
    </row>
    <row r="161" spans="1:11" x14ac:dyDescent="0.35">
      <c r="A161" t="s">
        <v>185</v>
      </c>
      <c r="B161">
        <v>2003</v>
      </c>
      <c r="C161" t="s">
        <v>10</v>
      </c>
      <c r="D161">
        <v>28</v>
      </c>
      <c r="E161">
        <v>0</v>
      </c>
      <c r="F161" s="15">
        <v>1744.47</v>
      </c>
      <c r="G161" t="s">
        <v>12</v>
      </c>
      <c r="H161" t="s">
        <v>16</v>
      </c>
      <c r="I161" t="s">
        <v>42</v>
      </c>
      <c r="J161" s="11">
        <f>DATE(B161,MATCH(C161,{"Jan","Feb","Mar","Apr","May","Jun","Jul","Aug","Sep","Oct","Nov","Dec"},0),D161)</f>
        <v>37830</v>
      </c>
      <c r="K161">
        <f t="shared" si="2"/>
        <v>19</v>
      </c>
    </row>
    <row r="162" spans="1:11" x14ac:dyDescent="0.35">
      <c r="A162" t="s">
        <v>186</v>
      </c>
      <c r="B162">
        <v>2003</v>
      </c>
      <c r="C162" t="s">
        <v>20</v>
      </c>
      <c r="D162">
        <v>26</v>
      </c>
      <c r="E162">
        <v>0</v>
      </c>
      <c r="F162" s="15">
        <v>1748.77</v>
      </c>
      <c r="G162" t="s">
        <v>12</v>
      </c>
      <c r="H162" t="s">
        <v>16</v>
      </c>
      <c r="I162" t="s">
        <v>42</v>
      </c>
      <c r="J162" s="11">
        <f>DATE(B162,MATCH(C162,{"Jan","Feb","Mar","Apr","May","Jun","Jul","Aug","Sep","Oct","Nov","Dec"},0),D162)</f>
        <v>37890</v>
      </c>
      <c r="K162">
        <f t="shared" si="2"/>
        <v>19</v>
      </c>
    </row>
    <row r="163" spans="1:11" x14ac:dyDescent="0.35">
      <c r="A163" t="s">
        <v>187</v>
      </c>
      <c r="B163">
        <v>1998</v>
      </c>
      <c r="C163" t="s">
        <v>37</v>
      </c>
      <c r="D163">
        <v>7</v>
      </c>
      <c r="E163">
        <v>0</v>
      </c>
      <c r="F163" s="15">
        <v>1756.6</v>
      </c>
      <c r="G163" t="s">
        <v>12</v>
      </c>
      <c r="H163" t="s">
        <v>12</v>
      </c>
      <c r="I163" t="s">
        <v>13</v>
      </c>
      <c r="J163" s="11">
        <f>DATE(B163,MATCH(C163,{"Jan","Feb","Mar","Apr","May","Jun","Jul","Aug","Sep","Oct","Nov","Dec"},0),D163)</f>
        <v>36075</v>
      </c>
      <c r="K163">
        <f t="shared" si="2"/>
        <v>24</v>
      </c>
    </row>
    <row r="164" spans="1:11" x14ac:dyDescent="0.35">
      <c r="A164" t="s">
        <v>188</v>
      </c>
      <c r="B164">
        <v>2003</v>
      </c>
      <c r="C164" t="s">
        <v>15</v>
      </c>
      <c r="D164">
        <v>19</v>
      </c>
      <c r="E164">
        <v>0</v>
      </c>
      <c r="F164" s="15">
        <v>1759.34</v>
      </c>
      <c r="G164" t="s">
        <v>12</v>
      </c>
      <c r="H164" t="s">
        <v>16</v>
      </c>
      <c r="I164" t="s">
        <v>42</v>
      </c>
      <c r="J164" s="11">
        <f>DATE(B164,MATCH(C164,{"Jan","Feb","Mar","Apr","May","Jun","Jul","Aug","Sep","Oct","Nov","Dec"},0),D164)</f>
        <v>37944</v>
      </c>
      <c r="K164">
        <f t="shared" si="2"/>
        <v>19</v>
      </c>
    </row>
    <row r="165" spans="1:11" x14ac:dyDescent="0.35">
      <c r="A165" t="s">
        <v>189</v>
      </c>
      <c r="B165">
        <v>2002</v>
      </c>
      <c r="C165" t="s">
        <v>30</v>
      </c>
      <c r="D165">
        <v>13</v>
      </c>
      <c r="E165">
        <v>0</v>
      </c>
      <c r="F165" s="15">
        <v>1769.53</v>
      </c>
      <c r="G165" t="s">
        <v>12</v>
      </c>
      <c r="H165" t="s">
        <v>12</v>
      </c>
      <c r="I165" t="s">
        <v>23</v>
      </c>
      <c r="J165" s="11">
        <f>DATE(B165,MATCH(C165,{"Jan","Feb","Mar","Apr","May","Jun","Jul","Aug","Sep","Oct","Nov","Dec"},0),D165)</f>
        <v>37603</v>
      </c>
      <c r="K165">
        <f t="shared" si="2"/>
        <v>20</v>
      </c>
    </row>
    <row r="166" spans="1:11" x14ac:dyDescent="0.35">
      <c r="A166" t="s">
        <v>190</v>
      </c>
      <c r="B166">
        <v>1999</v>
      </c>
      <c r="C166" t="s">
        <v>20</v>
      </c>
      <c r="D166">
        <v>25</v>
      </c>
      <c r="E166">
        <v>0</v>
      </c>
      <c r="F166" s="15">
        <v>1815.88</v>
      </c>
      <c r="G166" t="s">
        <v>12</v>
      </c>
      <c r="H166" t="s">
        <v>12</v>
      </c>
      <c r="I166" t="s">
        <v>13</v>
      </c>
      <c r="J166" s="11">
        <f>DATE(B166,MATCH(C166,{"Jan","Feb","Mar","Apr","May","Jun","Jul","Aug","Sep","Oct","Nov","Dec"},0),D166)</f>
        <v>36428</v>
      </c>
      <c r="K166">
        <f t="shared" si="2"/>
        <v>23</v>
      </c>
    </row>
    <row r="167" spans="1:11" x14ac:dyDescent="0.35">
      <c r="A167" t="s">
        <v>191</v>
      </c>
      <c r="B167">
        <v>2004</v>
      </c>
      <c r="C167" t="s">
        <v>35</v>
      </c>
      <c r="D167">
        <v>19</v>
      </c>
      <c r="E167">
        <v>0</v>
      </c>
      <c r="F167" s="15">
        <v>1822.54</v>
      </c>
      <c r="G167" t="s">
        <v>12</v>
      </c>
      <c r="H167" t="s">
        <v>16</v>
      </c>
      <c r="I167" t="s">
        <v>23</v>
      </c>
      <c r="J167" s="11">
        <f>DATE(B167,MATCH(C167,{"Jan","Feb","Mar","Apr","May","Jun","Jul","Aug","Sep","Oct","Nov","Dec"},0),D167)</f>
        <v>38218</v>
      </c>
      <c r="K167">
        <f t="shared" si="2"/>
        <v>18</v>
      </c>
    </row>
    <row r="168" spans="1:11" x14ac:dyDescent="0.35">
      <c r="A168" t="s">
        <v>192</v>
      </c>
      <c r="B168">
        <v>1999</v>
      </c>
      <c r="C168" t="s">
        <v>15</v>
      </c>
      <c r="D168">
        <v>17</v>
      </c>
      <c r="E168">
        <v>0</v>
      </c>
      <c r="F168" s="15">
        <v>1824.29</v>
      </c>
      <c r="G168" t="s">
        <v>12</v>
      </c>
      <c r="H168" t="s">
        <v>12</v>
      </c>
      <c r="I168" t="s">
        <v>13</v>
      </c>
      <c r="J168" s="11">
        <f>DATE(B168,MATCH(C168,{"Jan","Feb","Mar","Apr","May","Jun","Jul","Aug","Sep","Oct","Nov","Dec"},0),D168)</f>
        <v>36481</v>
      </c>
      <c r="K168">
        <f t="shared" si="2"/>
        <v>23</v>
      </c>
    </row>
    <row r="169" spans="1:11" x14ac:dyDescent="0.35">
      <c r="A169" t="s">
        <v>193</v>
      </c>
      <c r="B169">
        <v>1999</v>
      </c>
      <c r="C169" t="s">
        <v>37</v>
      </c>
      <c r="D169">
        <v>1</v>
      </c>
      <c r="E169">
        <v>0</v>
      </c>
      <c r="F169" s="15">
        <v>1826.84</v>
      </c>
      <c r="G169" t="s">
        <v>12</v>
      </c>
      <c r="H169" t="s">
        <v>11</v>
      </c>
      <c r="I169" t="s">
        <v>42</v>
      </c>
      <c r="J169" s="11">
        <f>DATE(B169,MATCH(C169,{"Jan","Feb","Mar","Apr","May","Jun","Jul","Aug","Sep","Oct","Nov","Dec"},0),D169)</f>
        <v>36434</v>
      </c>
      <c r="K169">
        <f t="shared" si="2"/>
        <v>23</v>
      </c>
    </row>
    <row r="170" spans="1:11" x14ac:dyDescent="0.35">
      <c r="A170" t="s">
        <v>194</v>
      </c>
      <c r="B170">
        <v>2003</v>
      </c>
      <c r="C170" t="s">
        <v>35</v>
      </c>
      <c r="D170">
        <v>11</v>
      </c>
      <c r="E170">
        <v>1</v>
      </c>
      <c r="F170" s="15">
        <v>1832.09</v>
      </c>
      <c r="G170" t="s">
        <v>12</v>
      </c>
      <c r="H170" t="s">
        <v>12</v>
      </c>
      <c r="I170" t="s">
        <v>42</v>
      </c>
      <c r="J170" s="11">
        <f>DATE(B170,MATCH(C170,{"Jan","Feb","Mar","Apr","May","Jun","Jul","Aug","Sep","Oct","Nov","Dec"},0),D170)</f>
        <v>37844</v>
      </c>
      <c r="K170">
        <f t="shared" si="2"/>
        <v>19</v>
      </c>
    </row>
    <row r="171" spans="1:11" x14ac:dyDescent="0.35">
      <c r="A171" t="s">
        <v>195</v>
      </c>
      <c r="B171">
        <v>2003</v>
      </c>
      <c r="C171" t="s">
        <v>35</v>
      </c>
      <c r="D171">
        <v>4</v>
      </c>
      <c r="E171">
        <v>1</v>
      </c>
      <c r="F171" s="15">
        <v>1837.24</v>
      </c>
      <c r="G171" t="s">
        <v>12</v>
      </c>
      <c r="H171" t="s">
        <v>11</v>
      </c>
      <c r="I171" t="s">
        <v>42</v>
      </c>
      <c r="J171" s="11">
        <f>DATE(B171,MATCH(C171,{"Jan","Feb","Mar","Apr","May","Jun","Jul","Aug","Sep","Oct","Nov","Dec"},0),D171)</f>
        <v>37837</v>
      </c>
      <c r="K171">
        <f t="shared" si="2"/>
        <v>19</v>
      </c>
    </row>
    <row r="172" spans="1:11" x14ac:dyDescent="0.35">
      <c r="A172" t="s">
        <v>196</v>
      </c>
      <c r="B172">
        <v>1999</v>
      </c>
      <c r="C172" t="s">
        <v>30</v>
      </c>
      <c r="D172">
        <v>12</v>
      </c>
      <c r="E172">
        <v>0</v>
      </c>
      <c r="F172" s="15">
        <v>1837.28</v>
      </c>
      <c r="G172" t="s">
        <v>12</v>
      </c>
      <c r="H172" t="s">
        <v>11</v>
      </c>
      <c r="I172" t="s">
        <v>13</v>
      </c>
      <c r="J172" s="11">
        <f>DATE(B172,MATCH(C172,{"Jan","Feb","Mar","Apr","May","Jun","Jul","Aug","Sep","Oct","Nov","Dec"},0),D172)</f>
        <v>36506</v>
      </c>
      <c r="K172">
        <f t="shared" si="2"/>
        <v>23</v>
      </c>
    </row>
    <row r="173" spans="1:11" x14ac:dyDescent="0.35">
      <c r="A173" t="s">
        <v>197</v>
      </c>
      <c r="B173">
        <v>2003</v>
      </c>
      <c r="C173" t="s">
        <v>10</v>
      </c>
      <c r="D173">
        <v>20</v>
      </c>
      <c r="E173">
        <v>1</v>
      </c>
      <c r="F173" s="15">
        <v>1842.52</v>
      </c>
      <c r="G173" t="s">
        <v>12</v>
      </c>
      <c r="H173" t="s">
        <v>11</v>
      </c>
      <c r="I173" t="s">
        <v>42</v>
      </c>
      <c r="J173" s="11">
        <f>DATE(B173,MATCH(C173,{"Jan","Feb","Mar","Apr","May","Jun","Jul","Aug","Sep","Oct","Nov","Dec"},0),D173)</f>
        <v>37822</v>
      </c>
      <c r="K173">
        <f t="shared" si="2"/>
        <v>19</v>
      </c>
    </row>
    <row r="174" spans="1:11" x14ac:dyDescent="0.35">
      <c r="A174" t="s">
        <v>198</v>
      </c>
      <c r="B174">
        <v>1994</v>
      </c>
      <c r="C174" t="s">
        <v>30</v>
      </c>
      <c r="D174">
        <v>6</v>
      </c>
      <c r="E174">
        <v>0</v>
      </c>
      <c r="F174" s="15">
        <v>1850.55</v>
      </c>
      <c r="G174" t="s">
        <v>12</v>
      </c>
      <c r="H174" t="s">
        <v>11</v>
      </c>
      <c r="I174" t="s">
        <v>23</v>
      </c>
      <c r="J174" s="11">
        <f>DATE(B174,MATCH(C174,{"Jan","Feb","Mar","Apr","May","Jun","Jul","Aug","Sep","Oct","Nov","Dec"},0),D174)</f>
        <v>34674</v>
      </c>
      <c r="K174">
        <f t="shared" si="2"/>
        <v>28</v>
      </c>
    </row>
    <row r="175" spans="1:11" x14ac:dyDescent="0.35">
      <c r="A175" t="s">
        <v>199</v>
      </c>
      <c r="B175">
        <v>2004</v>
      </c>
      <c r="C175" t="s">
        <v>30</v>
      </c>
      <c r="D175">
        <v>27</v>
      </c>
      <c r="E175">
        <v>0</v>
      </c>
      <c r="F175" s="15">
        <v>1863.45</v>
      </c>
      <c r="G175" t="s">
        <v>12</v>
      </c>
      <c r="H175" t="s">
        <v>16</v>
      </c>
      <c r="I175" t="s">
        <v>200</v>
      </c>
      <c r="J175" s="11">
        <f>DATE(B175,MATCH(C175,{"Jan","Feb","Mar","Apr","May","Jun","Jul","Aug","Sep","Oct","Nov","Dec"},0),D175)</f>
        <v>38348</v>
      </c>
      <c r="K175">
        <f t="shared" si="2"/>
        <v>18</v>
      </c>
    </row>
    <row r="176" spans="1:11" x14ac:dyDescent="0.35">
      <c r="A176" t="s">
        <v>201</v>
      </c>
      <c r="B176">
        <v>1996</v>
      </c>
      <c r="C176" t="s">
        <v>10</v>
      </c>
      <c r="D176">
        <v>2</v>
      </c>
      <c r="E176">
        <v>0</v>
      </c>
      <c r="F176" s="15">
        <v>1865.98</v>
      </c>
      <c r="G176" t="s">
        <v>12</v>
      </c>
      <c r="H176" t="s">
        <v>12</v>
      </c>
      <c r="I176" t="s">
        <v>23</v>
      </c>
      <c r="J176" s="11">
        <f>DATE(B176,MATCH(C176,{"Jan","Feb","Mar","Apr","May","Jun","Jul","Aug","Sep","Oct","Nov","Dec"},0),D176)</f>
        <v>35248</v>
      </c>
      <c r="K176">
        <f t="shared" si="2"/>
        <v>26</v>
      </c>
    </row>
    <row r="177" spans="1:11" x14ac:dyDescent="0.35">
      <c r="A177" t="s">
        <v>202</v>
      </c>
      <c r="B177">
        <v>2002</v>
      </c>
      <c r="C177" t="s">
        <v>20</v>
      </c>
      <c r="D177">
        <v>22</v>
      </c>
      <c r="E177">
        <v>0</v>
      </c>
      <c r="F177" s="15">
        <v>1875.34</v>
      </c>
      <c r="G177" t="s">
        <v>12</v>
      </c>
      <c r="H177" t="s">
        <v>11</v>
      </c>
      <c r="I177" t="s">
        <v>42</v>
      </c>
      <c r="J177" s="11">
        <f>DATE(B177,MATCH(C177,{"Jan","Feb","Mar","Apr","May","Jun","Jul","Aug","Sep","Oct","Nov","Dec"},0),D177)</f>
        <v>37521</v>
      </c>
      <c r="K177">
        <f t="shared" si="2"/>
        <v>20</v>
      </c>
    </row>
    <row r="178" spans="1:11" x14ac:dyDescent="0.35">
      <c r="A178" t="s">
        <v>203</v>
      </c>
      <c r="B178">
        <v>2002</v>
      </c>
      <c r="C178" t="s">
        <v>37</v>
      </c>
      <c r="D178">
        <v>29</v>
      </c>
      <c r="E178">
        <v>0</v>
      </c>
      <c r="F178" s="15">
        <v>1877.93</v>
      </c>
      <c r="G178" t="s">
        <v>12</v>
      </c>
      <c r="H178" t="s">
        <v>16</v>
      </c>
      <c r="I178" t="s">
        <v>13</v>
      </c>
      <c r="J178" s="11">
        <f>DATE(B178,MATCH(C178,{"Jan","Feb","Mar","Apr","May","Jun","Jul","Aug","Sep","Oct","Nov","Dec"},0),D178)</f>
        <v>37558</v>
      </c>
      <c r="K178">
        <f t="shared" si="2"/>
        <v>20</v>
      </c>
    </row>
    <row r="179" spans="1:11" x14ac:dyDescent="0.35">
      <c r="A179" t="s">
        <v>204</v>
      </c>
      <c r="B179">
        <v>2002</v>
      </c>
      <c r="C179" t="s">
        <v>35</v>
      </c>
      <c r="D179">
        <v>29</v>
      </c>
      <c r="E179">
        <v>0</v>
      </c>
      <c r="F179" s="15">
        <v>1880.07</v>
      </c>
      <c r="G179" t="s">
        <v>12</v>
      </c>
      <c r="H179" t="s">
        <v>11</v>
      </c>
      <c r="I179" t="s">
        <v>13</v>
      </c>
      <c r="J179" s="11">
        <f>DATE(B179,MATCH(C179,{"Jan","Feb","Mar","Apr","May","Jun","Jul","Aug","Sep","Oct","Nov","Dec"},0),D179)</f>
        <v>37497</v>
      </c>
      <c r="K179">
        <f t="shared" si="2"/>
        <v>20</v>
      </c>
    </row>
    <row r="180" spans="1:11" x14ac:dyDescent="0.35">
      <c r="A180" t="s">
        <v>205</v>
      </c>
      <c r="B180">
        <v>2002</v>
      </c>
      <c r="C180" t="s">
        <v>35</v>
      </c>
      <c r="D180">
        <v>21</v>
      </c>
      <c r="E180">
        <v>0</v>
      </c>
      <c r="F180" s="15">
        <v>1880.49</v>
      </c>
      <c r="G180" t="s">
        <v>12</v>
      </c>
      <c r="H180" t="s">
        <v>16</v>
      </c>
      <c r="I180" t="s">
        <v>42</v>
      </c>
      <c r="J180" s="11">
        <f>DATE(B180,MATCH(C180,{"Jan","Feb","Mar","Apr","May","Jun","Jul","Aug","Sep","Oct","Nov","Dec"},0),D180)</f>
        <v>37489</v>
      </c>
      <c r="K180">
        <f t="shared" si="2"/>
        <v>20</v>
      </c>
    </row>
    <row r="181" spans="1:11" x14ac:dyDescent="0.35">
      <c r="A181" t="s">
        <v>206</v>
      </c>
      <c r="B181">
        <v>2001</v>
      </c>
      <c r="C181" t="s">
        <v>35</v>
      </c>
      <c r="D181">
        <v>10</v>
      </c>
      <c r="E181">
        <v>0</v>
      </c>
      <c r="F181" s="15">
        <v>1906.36</v>
      </c>
      <c r="G181" t="s">
        <v>12</v>
      </c>
      <c r="H181" t="s">
        <v>16</v>
      </c>
      <c r="I181" t="s">
        <v>23</v>
      </c>
      <c r="J181" s="11">
        <f>DATE(B181,MATCH(C181,{"Jan","Feb","Mar","Apr","May","Jun","Jul","Aug","Sep","Oct","Nov","Dec"},0),D181)</f>
        <v>37113</v>
      </c>
      <c r="K181">
        <f t="shared" si="2"/>
        <v>21</v>
      </c>
    </row>
    <row r="182" spans="1:11" x14ac:dyDescent="0.35">
      <c r="A182" t="s">
        <v>207</v>
      </c>
      <c r="B182">
        <v>1994</v>
      </c>
      <c r="C182" t="s">
        <v>37</v>
      </c>
      <c r="D182">
        <v>6</v>
      </c>
      <c r="E182">
        <v>0</v>
      </c>
      <c r="F182" s="15">
        <v>1908.9</v>
      </c>
      <c r="G182" t="s">
        <v>12</v>
      </c>
      <c r="H182" t="s">
        <v>12</v>
      </c>
      <c r="I182" t="s">
        <v>13</v>
      </c>
      <c r="J182" s="11">
        <f>DATE(B182,MATCH(C182,{"Jan","Feb","Mar","Apr","May","Jun","Jul","Aug","Sep","Oct","Nov","Dec"},0),D182)</f>
        <v>34613</v>
      </c>
      <c r="K182">
        <f t="shared" si="2"/>
        <v>28</v>
      </c>
    </row>
    <row r="183" spans="1:11" x14ac:dyDescent="0.35">
      <c r="A183" t="s">
        <v>208</v>
      </c>
      <c r="B183">
        <v>2001</v>
      </c>
      <c r="C183" t="s">
        <v>35</v>
      </c>
      <c r="D183">
        <v>3</v>
      </c>
      <c r="E183">
        <v>0</v>
      </c>
      <c r="F183" s="15">
        <v>1909.53</v>
      </c>
      <c r="G183" t="s">
        <v>12</v>
      </c>
      <c r="H183" t="s">
        <v>12</v>
      </c>
      <c r="I183" t="s">
        <v>23</v>
      </c>
      <c r="J183" s="11">
        <f>DATE(B183,MATCH(C183,{"Jan","Feb","Mar","Apr","May","Jun","Jul","Aug","Sep","Oct","Nov","Dec"},0),D183)</f>
        <v>37106</v>
      </c>
      <c r="K183">
        <f t="shared" si="2"/>
        <v>21</v>
      </c>
    </row>
    <row r="184" spans="1:11" x14ac:dyDescent="0.35">
      <c r="A184" t="s">
        <v>209</v>
      </c>
      <c r="B184">
        <v>2001</v>
      </c>
      <c r="C184" t="s">
        <v>30</v>
      </c>
      <c r="D184">
        <v>9</v>
      </c>
      <c r="E184">
        <v>0</v>
      </c>
      <c r="F184" s="15">
        <v>1917.32</v>
      </c>
      <c r="G184" t="s">
        <v>12</v>
      </c>
      <c r="H184" t="s">
        <v>11</v>
      </c>
      <c r="I184" t="s">
        <v>23</v>
      </c>
      <c r="J184" s="11">
        <f>DATE(B184,MATCH(C184,{"Jan","Feb","Mar","Apr","May","Jun","Jul","Aug","Sep","Oct","Nov","Dec"},0),D184)</f>
        <v>37234</v>
      </c>
      <c r="K184">
        <f t="shared" si="2"/>
        <v>21</v>
      </c>
    </row>
    <row r="185" spans="1:11" x14ac:dyDescent="0.35">
      <c r="A185" t="s">
        <v>210</v>
      </c>
      <c r="B185">
        <v>2002</v>
      </c>
      <c r="C185" t="s">
        <v>20</v>
      </c>
      <c r="D185">
        <v>7</v>
      </c>
      <c r="E185">
        <v>1</v>
      </c>
      <c r="F185" s="15">
        <v>1964.78</v>
      </c>
      <c r="G185" t="s">
        <v>12</v>
      </c>
      <c r="H185" t="s">
        <v>16</v>
      </c>
      <c r="I185" t="s">
        <v>42</v>
      </c>
      <c r="J185" s="11">
        <f>DATE(B185,MATCH(C185,{"Jan","Feb","Mar","Apr","May","Jun","Jul","Aug","Sep","Oct","Nov","Dec"},0),D185)</f>
        <v>37506</v>
      </c>
      <c r="K185">
        <f t="shared" si="2"/>
        <v>20</v>
      </c>
    </row>
    <row r="186" spans="1:11" x14ac:dyDescent="0.35">
      <c r="A186" t="s">
        <v>211</v>
      </c>
      <c r="B186">
        <v>2002</v>
      </c>
      <c r="C186" t="s">
        <v>10</v>
      </c>
      <c r="D186">
        <v>29</v>
      </c>
      <c r="E186">
        <v>0</v>
      </c>
      <c r="F186" s="15">
        <v>1967.02</v>
      </c>
      <c r="G186" t="s">
        <v>12</v>
      </c>
      <c r="H186" t="s">
        <v>11</v>
      </c>
      <c r="I186" t="s">
        <v>168</v>
      </c>
      <c r="J186" s="11">
        <f>DATE(B186,MATCH(C186,{"Jan","Feb","Mar","Apr","May","Jun","Jul","Aug","Sep","Oct","Nov","Dec"},0),D186)</f>
        <v>37466</v>
      </c>
      <c r="K186">
        <f t="shared" si="2"/>
        <v>20</v>
      </c>
    </row>
    <row r="187" spans="1:11" x14ac:dyDescent="0.35">
      <c r="A187" t="s">
        <v>212</v>
      </c>
      <c r="B187">
        <v>1998</v>
      </c>
      <c r="C187" t="s">
        <v>20</v>
      </c>
      <c r="D187">
        <v>28</v>
      </c>
      <c r="E187">
        <v>0</v>
      </c>
      <c r="F187" s="15">
        <v>1969.61</v>
      </c>
      <c r="G187" t="s">
        <v>12</v>
      </c>
      <c r="H187" t="s">
        <v>12</v>
      </c>
      <c r="I187" t="s">
        <v>42</v>
      </c>
      <c r="J187" s="11">
        <f>DATE(B187,MATCH(C187,{"Jan","Feb","Mar","Apr","May","Jun","Jul","Aug","Sep","Oct","Nov","Dec"},0),D187)</f>
        <v>36066</v>
      </c>
      <c r="K187">
        <f t="shared" si="2"/>
        <v>24</v>
      </c>
    </row>
    <row r="188" spans="1:11" x14ac:dyDescent="0.35">
      <c r="A188" t="s">
        <v>213</v>
      </c>
      <c r="B188">
        <v>1998</v>
      </c>
      <c r="C188" t="s">
        <v>37</v>
      </c>
      <c r="D188">
        <v>5</v>
      </c>
      <c r="E188">
        <v>0</v>
      </c>
      <c r="F188" s="15">
        <v>1972.95</v>
      </c>
      <c r="G188" t="s">
        <v>12</v>
      </c>
      <c r="H188" t="s">
        <v>16</v>
      </c>
      <c r="I188" t="s">
        <v>42</v>
      </c>
      <c r="J188" s="11">
        <f>DATE(B188,MATCH(C188,{"Jan","Feb","Mar","Apr","May","Jun","Jul","Aug","Sep","Oct","Nov","Dec"},0),D188)</f>
        <v>36073</v>
      </c>
      <c r="K188">
        <f t="shared" si="2"/>
        <v>24</v>
      </c>
    </row>
    <row r="189" spans="1:11" x14ac:dyDescent="0.35">
      <c r="A189" t="s">
        <v>214</v>
      </c>
      <c r="B189">
        <v>1998</v>
      </c>
      <c r="C189" t="s">
        <v>20</v>
      </c>
      <c r="D189">
        <v>29</v>
      </c>
      <c r="E189">
        <v>0</v>
      </c>
      <c r="F189" s="15">
        <v>1977.82</v>
      </c>
      <c r="G189" t="s">
        <v>12</v>
      </c>
      <c r="H189" t="s">
        <v>16</v>
      </c>
      <c r="I189" t="s">
        <v>42</v>
      </c>
      <c r="J189" s="11">
        <f>DATE(B189,MATCH(C189,{"Jan","Feb","Mar","Apr","May","Jun","Jul","Aug","Sep","Oct","Nov","Dec"},0),D189)</f>
        <v>36067</v>
      </c>
      <c r="K189">
        <f t="shared" si="2"/>
        <v>24</v>
      </c>
    </row>
    <row r="190" spans="1:11" x14ac:dyDescent="0.35">
      <c r="A190" t="s">
        <v>215</v>
      </c>
      <c r="B190">
        <v>2002</v>
      </c>
      <c r="C190" t="s">
        <v>10</v>
      </c>
      <c r="D190">
        <v>16</v>
      </c>
      <c r="E190">
        <v>1</v>
      </c>
      <c r="F190" s="15">
        <v>1980.07</v>
      </c>
      <c r="G190" t="s">
        <v>12</v>
      </c>
      <c r="H190" t="s">
        <v>12</v>
      </c>
      <c r="I190" t="s">
        <v>42</v>
      </c>
      <c r="J190" s="11">
        <f>DATE(B190,MATCH(C190,{"Jan","Feb","Mar","Apr","May","Jun","Jul","Aug","Sep","Oct","Nov","Dec"},0),D190)</f>
        <v>37453</v>
      </c>
      <c r="K190">
        <f t="shared" si="2"/>
        <v>20</v>
      </c>
    </row>
    <row r="191" spans="1:11" x14ac:dyDescent="0.35">
      <c r="A191" t="s">
        <v>216</v>
      </c>
      <c r="B191">
        <v>1998</v>
      </c>
      <c r="C191" t="s">
        <v>30</v>
      </c>
      <c r="D191">
        <v>29</v>
      </c>
      <c r="E191">
        <v>0</v>
      </c>
      <c r="F191" s="15">
        <v>1981.58</v>
      </c>
      <c r="G191" t="s">
        <v>12</v>
      </c>
      <c r="H191" t="s">
        <v>16</v>
      </c>
      <c r="I191" t="s">
        <v>13</v>
      </c>
      <c r="J191" s="11">
        <f>DATE(B191,MATCH(C191,{"Jan","Feb","Mar","Apr","May","Jun","Jul","Aug","Sep","Oct","Nov","Dec"},0),D191)</f>
        <v>36158</v>
      </c>
      <c r="K191">
        <f t="shared" si="2"/>
        <v>24</v>
      </c>
    </row>
    <row r="192" spans="1:11" x14ac:dyDescent="0.35">
      <c r="A192" t="s">
        <v>217</v>
      </c>
      <c r="B192">
        <v>2002</v>
      </c>
      <c r="C192" t="s">
        <v>20</v>
      </c>
      <c r="D192">
        <v>29</v>
      </c>
      <c r="E192">
        <v>0</v>
      </c>
      <c r="F192" s="15">
        <v>1984.45</v>
      </c>
      <c r="G192" t="s">
        <v>12</v>
      </c>
      <c r="H192" t="s">
        <v>12</v>
      </c>
      <c r="I192" t="s">
        <v>168</v>
      </c>
      <c r="J192" s="11">
        <f>DATE(B192,MATCH(C192,{"Jan","Feb","Mar","Apr","May","Jun","Jul","Aug","Sep","Oct","Nov","Dec"},0),D192)</f>
        <v>37528</v>
      </c>
      <c r="K192">
        <f t="shared" si="2"/>
        <v>20</v>
      </c>
    </row>
    <row r="193" spans="1:11" x14ac:dyDescent="0.35">
      <c r="A193" t="s">
        <v>218</v>
      </c>
      <c r="B193">
        <v>1998</v>
      </c>
      <c r="C193" t="s">
        <v>20</v>
      </c>
      <c r="D193">
        <v>14</v>
      </c>
      <c r="E193">
        <v>0</v>
      </c>
      <c r="F193" s="15">
        <v>1986.93</v>
      </c>
      <c r="G193" t="s">
        <v>12</v>
      </c>
      <c r="H193" t="s">
        <v>11</v>
      </c>
      <c r="I193" t="s">
        <v>13</v>
      </c>
      <c r="J193" s="11">
        <f>DATE(B193,MATCH(C193,{"Jan","Feb","Mar","Apr","May","Jun","Jul","Aug","Sep","Oct","Nov","Dec"},0),D193)</f>
        <v>36052</v>
      </c>
      <c r="K193">
        <f t="shared" si="2"/>
        <v>24</v>
      </c>
    </row>
    <row r="194" spans="1:11" x14ac:dyDescent="0.35">
      <c r="A194" t="s">
        <v>219</v>
      </c>
      <c r="B194">
        <v>2001</v>
      </c>
      <c r="C194" t="s">
        <v>35</v>
      </c>
      <c r="D194">
        <v>14</v>
      </c>
      <c r="E194">
        <v>0</v>
      </c>
      <c r="F194" s="15">
        <v>2007.95</v>
      </c>
      <c r="G194" t="s">
        <v>12</v>
      </c>
      <c r="H194" t="s">
        <v>11</v>
      </c>
      <c r="I194" t="s">
        <v>42</v>
      </c>
      <c r="J194" s="11">
        <f>DATE(B194,MATCH(C194,{"Jan","Feb","Mar","Apr","May","Jun","Jul","Aug","Sep","Oct","Nov","Dec"},0),D194)</f>
        <v>37117</v>
      </c>
      <c r="K194">
        <f t="shared" si="2"/>
        <v>21</v>
      </c>
    </row>
    <row r="195" spans="1:11" x14ac:dyDescent="0.35">
      <c r="A195" t="s">
        <v>220</v>
      </c>
      <c r="B195">
        <v>2001</v>
      </c>
      <c r="C195" t="s">
        <v>10</v>
      </c>
      <c r="D195">
        <v>1</v>
      </c>
      <c r="E195">
        <v>0</v>
      </c>
      <c r="F195" s="15">
        <v>2020.18</v>
      </c>
      <c r="G195" t="s">
        <v>12</v>
      </c>
      <c r="H195" t="s">
        <v>16</v>
      </c>
      <c r="I195" t="s">
        <v>42</v>
      </c>
      <c r="J195" s="11">
        <f>DATE(B195,MATCH(C195,{"Jan","Feb","Mar","Apr","May","Jun","Jul","Aug","Sep","Oct","Nov","Dec"},0),D195)</f>
        <v>37073</v>
      </c>
      <c r="K195">
        <f t="shared" ref="K195:K258" si="3">DATEDIF(J195,$N$1,"Y")</f>
        <v>21</v>
      </c>
    </row>
    <row r="196" spans="1:11" x14ac:dyDescent="0.35">
      <c r="A196" t="s">
        <v>221</v>
      </c>
      <c r="B196">
        <v>2001</v>
      </c>
      <c r="C196" t="s">
        <v>20</v>
      </c>
      <c r="D196">
        <v>6</v>
      </c>
      <c r="E196">
        <v>0</v>
      </c>
      <c r="F196" s="15">
        <v>2020.55</v>
      </c>
      <c r="G196" t="s">
        <v>12</v>
      </c>
      <c r="H196" t="s">
        <v>11</v>
      </c>
      <c r="I196" t="s">
        <v>13</v>
      </c>
      <c r="J196" s="11">
        <f>DATE(B196,MATCH(C196,{"Jan","Feb","Mar","Apr","May","Jun","Jul","Aug","Sep","Oct","Nov","Dec"},0),D196)</f>
        <v>37140</v>
      </c>
      <c r="K196">
        <f t="shared" si="3"/>
        <v>21</v>
      </c>
    </row>
    <row r="197" spans="1:11" x14ac:dyDescent="0.35">
      <c r="A197" t="s">
        <v>222</v>
      </c>
      <c r="B197">
        <v>2001</v>
      </c>
      <c r="C197" t="s">
        <v>35</v>
      </c>
      <c r="D197">
        <v>4</v>
      </c>
      <c r="E197">
        <v>0</v>
      </c>
      <c r="F197" s="15">
        <v>2026.97</v>
      </c>
      <c r="G197" t="s">
        <v>12</v>
      </c>
      <c r="H197" t="s">
        <v>11</v>
      </c>
      <c r="I197" t="s">
        <v>13</v>
      </c>
      <c r="J197" s="11">
        <f>DATE(B197,MATCH(C197,{"Jan","Feb","Mar","Apr","May","Jun","Jul","Aug","Sep","Oct","Nov","Dec"},0),D197)</f>
        <v>37107</v>
      </c>
      <c r="K197">
        <f t="shared" si="3"/>
        <v>21</v>
      </c>
    </row>
    <row r="198" spans="1:11" x14ac:dyDescent="0.35">
      <c r="A198" t="s">
        <v>223</v>
      </c>
      <c r="B198">
        <v>2000</v>
      </c>
      <c r="C198" t="s">
        <v>20</v>
      </c>
      <c r="D198">
        <v>2</v>
      </c>
      <c r="E198">
        <v>0</v>
      </c>
      <c r="F198" s="15">
        <v>2045.69</v>
      </c>
      <c r="G198" t="s">
        <v>12</v>
      </c>
      <c r="H198" t="s">
        <v>12</v>
      </c>
      <c r="I198" t="s">
        <v>23</v>
      </c>
      <c r="J198" s="11">
        <f>DATE(B198,MATCH(C198,{"Jan","Feb","Mar","Apr","May","Jun","Jul","Aug","Sep","Oct","Nov","Dec"},0),D198)</f>
        <v>36771</v>
      </c>
      <c r="K198">
        <f t="shared" si="3"/>
        <v>22</v>
      </c>
    </row>
    <row r="199" spans="1:11" x14ac:dyDescent="0.35">
      <c r="A199" t="s">
        <v>224</v>
      </c>
      <c r="B199">
        <v>2000</v>
      </c>
      <c r="C199" t="s">
        <v>10</v>
      </c>
      <c r="D199">
        <v>26</v>
      </c>
      <c r="E199">
        <v>0</v>
      </c>
      <c r="F199" s="15">
        <v>2055.3200000000002</v>
      </c>
      <c r="G199" t="s">
        <v>12</v>
      </c>
      <c r="H199" t="s">
        <v>12</v>
      </c>
      <c r="I199" t="s">
        <v>23</v>
      </c>
      <c r="J199" s="11">
        <f>DATE(B199,MATCH(C199,{"Jan","Feb","Mar","Apr","May","Jun","Jul","Aug","Sep","Oct","Nov","Dec"},0),D199)</f>
        <v>36733</v>
      </c>
      <c r="K199">
        <f t="shared" si="3"/>
        <v>22</v>
      </c>
    </row>
    <row r="200" spans="1:11" x14ac:dyDescent="0.35">
      <c r="A200" t="s">
        <v>225</v>
      </c>
      <c r="B200">
        <v>2004</v>
      </c>
      <c r="C200" t="s">
        <v>18</v>
      </c>
      <c r="D200">
        <v>12</v>
      </c>
      <c r="E200">
        <v>0</v>
      </c>
      <c r="F200" s="15">
        <v>2094.1</v>
      </c>
      <c r="G200" t="s">
        <v>12</v>
      </c>
      <c r="H200" t="s">
        <v>11</v>
      </c>
      <c r="I200" t="s">
        <v>200</v>
      </c>
      <c r="J200" s="11">
        <f>DATE(B200,MATCH(C200,{"Jan","Feb","Mar","Apr","May","Jun","Jul","Aug","Sep","Oct","Nov","Dec"},0),D200)</f>
        <v>38150</v>
      </c>
      <c r="K200">
        <f t="shared" si="3"/>
        <v>18</v>
      </c>
    </row>
    <row r="201" spans="1:11" x14ac:dyDescent="0.35">
      <c r="A201" t="s">
        <v>226</v>
      </c>
      <c r="B201">
        <v>2001</v>
      </c>
      <c r="C201" t="s">
        <v>35</v>
      </c>
      <c r="D201">
        <v>14</v>
      </c>
      <c r="E201">
        <v>0</v>
      </c>
      <c r="F201" s="15">
        <v>2102.2600000000002</v>
      </c>
      <c r="G201" t="s">
        <v>12</v>
      </c>
      <c r="H201" t="s">
        <v>11</v>
      </c>
      <c r="I201" t="s">
        <v>166</v>
      </c>
      <c r="J201" s="11">
        <f>DATE(B201,MATCH(C201,{"Jan","Feb","Mar","Apr","May","Jun","Jul","Aug","Sep","Oct","Nov","Dec"},0),D201)</f>
        <v>37117</v>
      </c>
      <c r="K201">
        <f t="shared" si="3"/>
        <v>21</v>
      </c>
    </row>
    <row r="202" spans="1:11" x14ac:dyDescent="0.35">
      <c r="A202" t="s">
        <v>227</v>
      </c>
      <c r="B202">
        <v>2001</v>
      </c>
      <c r="C202" t="s">
        <v>18</v>
      </c>
      <c r="D202">
        <v>22</v>
      </c>
      <c r="E202">
        <v>1</v>
      </c>
      <c r="F202" s="15">
        <v>2103.08</v>
      </c>
      <c r="G202" t="s">
        <v>12</v>
      </c>
      <c r="H202" t="s">
        <v>11</v>
      </c>
      <c r="I202" t="s">
        <v>42</v>
      </c>
      <c r="J202" s="11">
        <f>DATE(B202,MATCH(C202,{"Jan","Feb","Mar","Apr","May","Jun","Jul","Aug","Sep","Oct","Nov","Dec"},0),D202)</f>
        <v>37064</v>
      </c>
      <c r="K202">
        <f t="shared" si="3"/>
        <v>21</v>
      </c>
    </row>
    <row r="203" spans="1:11" x14ac:dyDescent="0.35">
      <c r="A203" t="s">
        <v>228</v>
      </c>
      <c r="B203">
        <v>2001</v>
      </c>
      <c r="C203" t="s">
        <v>15</v>
      </c>
      <c r="D203">
        <v>28</v>
      </c>
      <c r="E203">
        <v>0</v>
      </c>
      <c r="F203" s="15">
        <v>2104.11</v>
      </c>
      <c r="G203" t="s">
        <v>11</v>
      </c>
      <c r="H203" t="s">
        <v>16</v>
      </c>
      <c r="I203" t="s">
        <v>168</v>
      </c>
      <c r="J203" s="11">
        <f>DATE(B203,MATCH(C203,{"Jan","Feb","Mar","Apr","May","Jun","Jul","Aug","Sep","Oct","Nov","Dec"},0),D203)</f>
        <v>37223</v>
      </c>
      <c r="K203">
        <f t="shared" si="3"/>
        <v>21</v>
      </c>
    </row>
    <row r="204" spans="1:11" x14ac:dyDescent="0.35">
      <c r="A204" t="s">
        <v>229</v>
      </c>
      <c r="B204">
        <v>1989</v>
      </c>
      <c r="C204" t="s">
        <v>10</v>
      </c>
      <c r="D204">
        <v>21</v>
      </c>
      <c r="E204">
        <v>3</v>
      </c>
      <c r="F204" s="15">
        <v>2106.2600000000002</v>
      </c>
      <c r="G204" t="s">
        <v>11</v>
      </c>
      <c r="H204" t="s">
        <v>11</v>
      </c>
      <c r="I204" t="s">
        <v>13</v>
      </c>
      <c r="J204" s="11">
        <f>DATE(B204,MATCH(C204,{"Jan","Feb","Mar","Apr","May","Jun","Jul","Aug","Sep","Oct","Nov","Dec"},0),D204)</f>
        <v>32710</v>
      </c>
      <c r="K204">
        <f t="shared" si="3"/>
        <v>33</v>
      </c>
    </row>
    <row r="205" spans="1:11" x14ac:dyDescent="0.35">
      <c r="A205" t="s">
        <v>230</v>
      </c>
      <c r="B205">
        <v>2003</v>
      </c>
      <c r="C205" t="s">
        <v>20</v>
      </c>
      <c r="D205">
        <v>30</v>
      </c>
      <c r="E205">
        <v>0</v>
      </c>
      <c r="F205" s="15">
        <v>2117.34</v>
      </c>
      <c r="G205" t="s">
        <v>11</v>
      </c>
      <c r="H205" t="s">
        <v>12</v>
      </c>
      <c r="I205" t="s">
        <v>23</v>
      </c>
      <c r="J205" s="11">
        <f>DATE(B205,MATCH(C205,{"Jan","Feb","Mar","Apr","May","Jun","Jul","Aug","Sep","Oct","Nov","Dec"},0),D205)</f>
        <v>37894</v>
      </c>
      <c r="K205">
        <f t="shared" si="3"/>
        <v>19</v>
      </c>
    </row>
    <row r="206" spans="1:11" x14ac:dyDescent="0.35">
      <c r="A206" t="s">
        <v>231</v>
      </c>
      <c r="B206">
        <v>2004</v>
      </c>
      <c r="C206" t="s">
        <v>15</v>
      </c>
      <c r="D206">
        <v>4</v>
      </c>
      <c r="E206">
        <v>0</v>
      </c>
      <c r="F206" s="15">
        <v>2118.61</v>
      </c>
      <c r="G206" t="s">
        <v>11</v>
      </c>
      <c r="H206" t="s">
        <v>16</v>
      </c>
      <c r="I206" t="s">
        <v>23</v>
      </c>
      <c r="J206" s="11">
        <f>DATE(B206,MATCH(C206,{"Jan","Feb","Mar","Apr","May","Jun","Jul","Aug","Sep","Oct","Nov","Dec"},0),D206)</f>
        <v>38295</v>
      </c>
      <c r="K206">
        <f t="shared" si="3"/>
        <v>18</v>
      </c>
    </row>
    <row r="207" spans="1:11" x14ac:dyDescent="0.35">
      <c r="A207" t="s">
        <v>232</v>
      </c>
      <c r="B207">
        <v>2003</v>
      </c>
      <c r="C207" t="s">
        <v>35</v>
      </c>
      <c r="D207">
        <v>30</v>
      </c>
      <c r="E207">
        <v>0</v>
      </c>
      <c r="F207" s="15">
        <v>2128.4299999999998</v>
      </c>
      <c r="G207" t="s">
        <v>11</v>
      </c>
      <c r="H207" t="s">
        <v>16</v>
      </c>
      <c r="I207" t="s">
        <v>23</v>
      </c>
      <c r="J207" s="11">
        <f>DATE(B207,MATCH(C207,{"Jan","Feb","Mar","Apr","May","Jun","Jul","Aug","Sep","Oct","Nov","Dec"},0),D207)</f>
        <v>37863</v>
      </c>
      <c r="K207">
        <f t="shared" si="3"/>
        <v>19</v>
      </c>
    </row>
    <row r="208" spans="1:11" x14ac:dyDescent="0.35">
      <c r="A208" t="s">
        <v>233</v>
      </c>
      <c r="B208">
        <v>2003</v>
      </c>
      <c r="C208" t="s">
        <v>30</v>
      </c>
      <c r="D208">
        <v>22</v>
      </c>
      <c r="E208">
        <v>0</v>
      </c>
      <c r="F208" s="15">
        <v>2130.6799999999998</v>
      </c>
      <c r="G208" t="s">
        <v>11</v>
      </c>
      <c r="H208" t="s">
        <v>12</v>
      </c>
      <c r="I208" t="s">
        <v>23</v>
      </c>
      <c r="J208" s="11">
        <f>DATE(B208,MATCH(C208,{"Jan","Feb","Mar","Apr","May","Jun","Jul","Aug","Sep","Oct","Nov","Dec"},0),D208)</f>
        <v>37977</v>
      </c>
      <c r="K208">
        <f t="shared" si="3"/>
        <v>19</v>
      </c>
    </row>
    <row r="209" spans="1:11" x14ac:dyDescent="0.35">
      <c r="A209" t="s">
        <v>234</v>
      </c>
      <c r="B209">
        <v>2003</v>
      </c>
      <c r="C209" t="s">
        <v>20</v>
      </c>
      <c r="D209">
        <v>1</v>
      </c>
      <c r="E209">
        <v>0</v>
      </c>
      <c r="F209" s="15">
        <v>2134.9</v>
      </c>
      <c r="G209" t="s">
        <v>11</v>
      </c>
      <c r="H209" t="s">
        <v>12</v>
      </c>
      <c r="I209" t="s">
        <v>23</v>
      </c>
      <c r="J209" s="11">
        <f>DATE(B209,MATCH(C209,{"Jan","Feb","Mar","Apr","May","Jun","Jul","Aug","Sep","Oct","Nov","Dec"},0),D209)</f>
        <v>37865</v>
      </c>
      <c r="K209">
        <f t="shared" si="3"/>
        <v>19</v>
      </c>
    </row>
    <row r="210" spans="1:11" x14ac:dyDescent="0.35">
      <c r="A210" t="s">
        <v>235</v>
      </c>
      <c r="B210">
        <v>2003</v>
      </c>
      <c r="C210" t="s">
        <v>20</v>
      </c>
      <c r="D210">
        <v>26</v>
      </c>
      <c r="E210">
        <v>0</v>
      </c>
      <c r="F210" s="15">
        <v>2136.88</v>
      </c>
      <c r="G210" t="s">
        <v>11</v>
      </c>
      <c r="H210" t="s">
        <v>11</v>
      </c>
      <c r="I210" t="s">
        <v>23</v>
      </c>
      <c r="J210" s="11">
        <f>DATE(B210,MATCH(C210,{"Jan","Feb","Mar","Apr","May","Jun","Jul","Aug","Sep","Oct","Nov","Dec"},0),D210)</f>
        <v>37890</v>
      </c>
      <c r="K210">
        <f t="shared" si="3"/>
        <v>19</v>
      </c>
    </row>
    <row r="211" spans="1:11" x14ac:dyDescent="0.35">
      <c r="A211" t="s">
        <v>236</v>
      </c>
      <c r="B211">
        <v>1997</v>
      </c>
      <c r="C211" t="s">
        <v>20</v>
      </c>
      <c r="D211">
        <v>3</v>
      </c>
      <c r="E211">
        <v>0</v>
      </c>
      <c r="F211" s="15">
        <v>2137.65</v>
      </c>
      <c r="G211" t="s">
        <v>12</v>
      </c>
      <c r="H211" t="s">
        <v>16</v>
      </c>
      <c r="I211" t="s">
        <v>13</v>
      </c>
      <c r="J211" s="11">
        <f>DATE(B211,MATCH(C211,{"Jan","Feb","Mar","Apr","May","Jun","Jul","Aug","Sep","Oct","Nov","Dec"},0),D211)</f>
        <v>35676</v>
      </c>
      <c r="K211">
        <f t="shared" si="3"/>
        <v>25</v>
      </c>
    </row>
    <row r="212" spans="1:11" x14ac:dyDescent="0.35">
      <c r="A212" t="s">
        <v>237</v>
      </c>
      <c r="B212">
        <v>2003</v>
      </c>
      <c r="C212" t="s">
        <v>35</v>
      </c>
      <c r="D212">
        <v>19</v>
      </c>
      <c r="E212">
        <v>0</v>
      </c>
      <c r="F212" s="15">
        <v>2138.0700000000002</v>
      </c>
      <c r="G212" t="s">
        <v>11</v>
      </c>
      <c r="H212" t="s">
        <v>16</v>
      </c>
      <c r="I212" t="s">
        <v>23</v>
      </c>
      <c r="J212" s="11">
        <f>DATE(B212,MATCH(C212,{"Jan","Feb","Mar","Apr","May","Jun","Jul","Aug","Sep","Oct","Nov","Dec"},0),D212)</f>
        <v>37852</v>
      </c>
      <c r="K212">
        <f t="shared" si="3"/>
        <v>19</v>
      </c>
    </row>
    <row r="213" spans="1:11" x14ac:dyDescent="0.35">
      <c r="A213" t="s">
        <v>238</v>
      </c>
      <c r="B213">
        <v>2004</v>
      </c>
      <c r="C213" t="s">
        <v>37</v>
      </c>
      <c r="D213">
        <v>4</v>
      </c>
      <c r="E213">
        <v>0</v>
      </c>
      <c r="F213" s="15">
        <v>2144.85</v>
      </c>
      <c r="G213" t="s">
        <v>11</v>
      </c>
      <c r="H213" t="s">
        <v>16</v>
      </c>
      <c r="I213" t="s">
        <v>42</v>
      </c>
      <c r="J213" s="11">
        <f>DATE(B213,MATCH(C213,{"Jan","Feb","Mar","Apr","May","Jun","Jul","Aug","Sep","Oct","Nov","Dec"},0),D213)</f>
        <v>38264</v>
      </c>
      <c r="K213">
        <f t="shared" si="3"/>
        <v>18</v>
      </c>
    </row>
    <row r="214" spans="1:11" x14ac:dyDescent="0.35">
      <c r="A214" t="s">
        <v>239</v>
      </c>
      <c r="B214">
        <v>2000</v>
      </c>
      <c r="C214" t="s">
        <v>30</v>
      </c>
      <c r="D214">
        <v>27</v>
      </c>
      <c r="E214">
        <v>0</v>
      </c>
      <c r="F214" s="15">
        <v>2150.4699999999998</v>
      </c>
      <c r="G214" t="s">
        <v>11</v>
      </c>
      <c r="H214" t="s">
        <v>12</v>
      </c>
      <c r="I214" t="s">
        <v>42</v>
      </c>
      <c r="J214" s="11">
        <f>DATE(B214,MATCH(C214,{"Jan","Feb","Mar","Apr","May","Jun","Jul","Aug","Sep","Oct","Nov","Dec"},0),D214)</f>
        <v>36887</v>
      </c>
      <c r="K214">
        <f t="shared" si="3"/>
        <v>22</v>
      </c>
    </row>
    <row r="215" spans="1:11" x14ac:dyDescent="0.35">
      <c r="A215" t="s">
        <v>240</v>
      </c>
      <c r="B215">
        <v>2000</v>
      </c>
      <c r="C215" t="s">
        <v>37</v>
      </c>
      <c r="D215">
        <v>22</v>
      </c>
      <c r="E215">
        <v>0</v>
      </c>
      <c r="F215" s="15">
        <v>2154.36</v>
      </c>
      <c r="G215" t="s">
        <v>11</v>
      </c>
      <c r="H215" t="s">
        <v>11</v>
      </c>
      <c r="I215" t="s">
        <v>42</v>
      </c>
      <c r="J215" s="11">
        <f>DATE(B215,MATCH(C215,{"Jan","Feb","Mar","Apr","May","Jun","Jul","Aug","Sep","Oct","Nov","Dec"},0),D215)</f>
        <v>36821</v>
      </c>
      <c r="K215">
        <f t="shared" si="3"/>
        <v>22</v>
      </c>
    </row>
    <row r="216" spans="1:11" x14ac:dyDescent="0.35">
      <c r="A216" t="s">
        <v>241</v>
      </c>
      <c r="B216">
        <v>2000</v>
      </c>
      <c r="C216" t="s">
        <v>15</v>
      </c>
      <c r="D216">
        <v>29</v>
      </c>
      <c r="E216">
        <v>0</v>
      </c>
      <c r="F216" s="15">
        <v>2155.6799999999998</v>
      </c>
      <c r="G216" t="s">
        <v>11</v>
      </c>
      <c r="H216" t="s">
        <v>12</v>
      </c>
      <c r="I216" t="s">
        <v>13</v>
      </c>
      <c r="J216" s="11">
        <f>DATE(B216,MATCH(C216,{"Jan","Feb","Mar","Apr","May","Jun","Jul","Aug","Sep","Oct","Nov","Dec"},0),D216)</f>
        <v>36859</v>
      </c>
      <c r="K216">
        <f t="shared" si="3"/>
        <v>22</v>
      </c>
    </row>
    <row r="217" spans="1:11" x14ac:dyDescent="0.35">
      <c r="A217" t="s">
        <v>242</v>
      </c>
      <c r="B217">
        <v>2000</v>
      </c>
      <c r="C217" t="s">
        <v>30</v>
      </c>
      <c r="D217">
        <v>10</v>
      </c>
      <c r="E217">
        <v>0</v>
      </c>
      <c r="F217" s="15">
        <v>2156.75</v>
      </c>
      <c r="G217" t="s">
        <v>11</v>
      </c>
      <c r="H217" t="s">
        <v>11</v>
      </c>
      <c r="I217" t="s">
        <v>13</v>
      </c>
      <c r="J217" s="11">
        <f>DATE(B217,MATCH(C217,{"Jan","Feb","Mar","Apr","May","Jun","Jul","Aug","Sep","Oct","Nov","Dec"},0),D217)</f>
        <v>36870</v>
      </c>
      <c r="K217">
        <f t="shared" si="3"/>
        <v>22</v>
      </c>
    </row>
    <row r="218" spans="1:11" x14ac:dyDescent="0.35">
      <c r="A218" t="s">
        <v>243</v>
      </c>
      <c r="B218">
        <v>2000</v>
      </c>
      <c r="C218" t="s">
        <v>35</v>
      </c>
      <c r="D218">
        <v>23</v>
      </c>
      <c r="E218">
        <v>0</v>
      </c>
      <c r="F218" s="15">
        <v>2166.73</v>
      </c>
      <c r="G218" t="s">
        <v>11</v>
      </c>
      <c r="H218" t="s">
        <v>11</v>
      </c>
      <c r="I218" t="s">
        <v>42</v>
      </c>
      <c r="J218" s="11">
        <f>DATE(B218,MATCH(C218,{"Jan","Feb","Mar","Apr","May","Jun","Jul","Aug","Sep","Oct","Nov","Dec"},0),D218)</f>
        <v>36761</v>
      </c>
      <c r="K218">
        <f t="shared" si="3"/>
        <v>22</v>
      </c>
    </row>
    <row r="219" spans="1:11" x14ac:dyDescent="0.35">
      <c r="A219" t="s">
        <v>244</v>
      </c>
      <c r="B219">
        <v>1994</v>
      </c>
      <c r="C219" t="s">
        <v>20</v>
      </c>
      <c r="D219">
        <v>27</v>
      </c>
      <c r="E219">
        <v>0</v>
      </c>
      <c r="F219" s="15">
        <v>2170.08</v>
      </c>
      <c r="G219" t="s">
        <v>11</v>
      </c>
      <c r="H219" t="s">
        <v>11</v>
      </c>
      <c r="I219" t="s">
        <v>13</v>
      </c>
      <c r="J219" s="11">
        <f>DATE(B219,MATCH(C219,{"Jan","Feb","Mar","Apr","May","Jun","Jul","Aug","Sep","Oct","Nov","Dec"},0),D219)</f>
        <v>34604</v>
      </c>
      <c r="K219">
        <f t="shared" si="3"/>
        <v>28</v>
      </c>
    </row>
    <row r="220" spans="1:11" x14ac:dyDescent="0.35">
      <c r="A220" t="s">
        <v>245</v>
      </c>
      <c r="B220">
        <v>1991</v>
      </c>
      <c r="C220" t="s">
        <v>30</v>
      </c>
      <c r="D220">
        <v>16</v>
      </c>
      <c r="E220">
        <v>3</v>
      </c>
      <c r="F220" s="15">
        <v>2193.1999999999998</v>
      </c>
      <c r="G220" t="s">
        <v>11</v>
      </c>
      <c r="H220" t="s">
        <v>11</v>
      </c>
      <c r="I220" t="s">
        <v>23</v>
      </c>
      <c r="J220" s="11">
        <f>DATE(B220,MATCH(C220,{"Jan","Feb","Mar","Apr","May","Jun","Jul","Aug","Sep","Oct","Nov","Dec"},0),D220)</f>
        <v>33588</v>
      </c>
      <c r="K220">
        <f t="shared" si="3"/>
        <v>31</v>
      </c>
    </row>
    <row r="221" spans="1:11" x14ac:dyDescent="0.35">
      <c r="A221" t="s">
        <v>246</v>
      </c>
      <c r="B221">
        <v>2004</v>
      </c>
      <c r="C221" t="s">
        <v>30</v>
      </c>
      <c r="D221">
        <v>7</v>
      </c>
      <c r="E221">
        <v>0</v>
      </c>
      <c r="F221" s="15">
        <v>2196.4699999999998</v>
      </c>
      <c r="G221" t="s">
        <v>11</v>
      </c>
      <c r="H221" t="s">
        <v>12</v>
      </c>
      <c r="I221" t="s">
        <v>247</v>
      </c>
      <c r="J221" s="11">
        <f>DATE(B221,MATCH(C221,{"Jan","Feb","Mar","Apr","May","Jun","Jul","Aug","Sep","Oct","Nov","Dec"},0),D221)</f>
        <v>38328</v>
      </c>
      <c r="K221">
        <f t="shared" si="3"/>
        <v>18</v>
      </c>
    </row>
    <row r="222" spans="1:11" x14ac:dyDescent="0.35">
      <c r="A222" t="s">
        <v>248</v>
      </c>
      <c r="B222">
        <v>2004</v>
      </c>
      <c r="C222" t="s">
        <v>20</v>
      </c>
      <c r="D222">
        <v>3</v>
      </c>
      <c r="E222">
        <v>0</v>
      </c>
      <c r="F222" s="15">
        <v>2198.19</v>
      </c>
      <c r="G222" t="s">
        <v>11</v>
      </c>
      <c r="H222" t="s">
        <v>16</v>
      </c>
      <c r="I222" t="s">
        <v>249</v>
      </c>
      <c r="J222" s="11">
        <f>DATE(B222,MATCH(C222,{"Jan","Feb","Mar","Apr","May","Jun","Jul","Aug","Sep","Oct","Nov","Dec"},0),D222)</f>
        <v>38233</v>
      </c>
      <c r="K222">
        <f t="shared" si="3"/>
        <v>18</v>
      </c>
    </row>
    <row r="223" spans="1:11" x14ac:dyDescent="0.35">
      <c r="A223" t="s">
        <v>250</v>
      </c>
      <c r="B223">
        <v>2004</v>
      </c>
      <c r="C223" t="s">
        <v>20</v>
      </c>
      <c r="D223">
        <v>12</v>
      </c>
      <c r="E223">
        <v>0</v>
      </c>
      <c r="F223" s="15">
        <v>2200.83</v>
      </c>
      <c r="G223" t="s">
        <v>11</v>
      </c>
      <c r="H223" t="s">
        <v>11</v>
      </c>
      <c r="I223" t="s">
        <v>247</v>
      </c>
      <c r="J223" s="11">
        <f>DATE(B223,MATCH(C223,{"Jan","Feb","Mar","Apr","May","Jun","Jul","Aug","Sep","Oct","Nov","Dec"},0),D223)</f>
        <v>38242</v>
      </c>
      <c r="K223">
        <f t="shared" si="3"/>
        <v>18</v>
      </c>
    </row>
    <row r="224" spans="1:11" x14ac:dyDescent="0.35">
      <c r="A224" t="s">
        <v>251</v>
      </c>
      <c r="B224">
        <v>2004</v>
      </c>
      <c r="C224" t="s">
        <v>10</v>
      </c>
      <c r="D224">
        <v>27</v>
      </c>
      <c r="E224">
        <v>1</v>
      </c>
      <c r="F224" s="15">
        <v>2201.1</v>
      </c>
      <c r="G224" t="s">
        <v>11</v>
      </c>
      <c r="H224" t="s">
        <v>12</v>
      </c>
      <c r="I224" t="s">
        <v>13</v>
      </c>
      <c r="J224" s="11">
        <f>DATE(B224,MATCH(C224,{"Jan","Feb","Mar","Apr","May","Jun","Jul","Aug","Sep","Oct","Nov","Dec"},0),D224)</f>
        <v>38195</v>
      </c>
      <c r="K224">
        <f t="shared" si="3"/>
        <v>18</v>
      </c>
    </row>
    <row r="225" spans="1:11" x14ac:dyDescent="0.35">
      <c r="A225" t="s">
        <v>252</v>
      </c>
      <c r="B225">
        <v>2004</v>
      </c>
      <c r="C225" t="s">
        <v>35</v>
      </c>
      <c r="D225">
        <v>6</v>
      </c>
      <c r="E225">
        <v>0</v>
      </c>
      <c r="F225" s="15">
        <v>2203.4699999999998</v>
      </c>
      <c r="G225" t="s">
        <v>11</v>
      </c>
      <c r="H225" t="s">
        <v>11</v>
      </c>
      <c r="I225" t="s">
        <v>247</v>
      </c>
      <c r="J225" s="11">
        <f>DATE(B225,MATCH(C225,{"Jan","Feb","Mar","Apr","May","Jun","Jul","Aug","Sep","Oct","Nov","Dec"},0),D225)</f>
        <v>38205</v>
      </c>
      <c r="K225">
        <f t="shared" si="3"/>
        <v>18</v>
      </c>
    </row>
    <row r="226" spans="1:11" x14ac:dyDescent="0.35">
      <c r="A226" t="s">
        <v>253</v>
      </c>
      <c r="B226">
        <v>2004</v>
      </c>
      <c r="C226" t="s">
        <v>37</v>
      </c>
      <c r="D226">
        <v>28</v>
      </c>
      <c r="E226">
        <v>0</v>
      </c>
      <c r="F226" s="15">
        <v>2203.7399999999998</v>
      </c>
      <c r="G226" t="s">
        <v>11</v>
      </c>
      <c r="H226" t="s">
        <v>11</v>
      </c>
      <c r="I226" t="s">
        <v>247</v>
      </c>
      <c r="J226" s="11">
        <f>DATE(B226,MATCH(C226,{"Jan","Feb","Mar","Apr","May","Jun","Jul","Aug","Sep","Oct","Nov","Dec"},0),D226)</f>
        <v>38288</v>
      </c>
      <c r="K226">
        <f t="shared" si="3"/>
        <v>18</v>
      </c>
    </row>
    <row r="227" spans="1:11" x14ac:dyDescent="0.35">
      <c r="A227" t="s">
        <v>254</v>
      </c>
      <c r="B227">
        <v>2004</v>
      </c>
      <c r="C227" t="s">
        <v>15</v>
      </c>
      <c r="D227">
        <v>13</v>
      </c>
      <c r="E227">
        <v>0</v>
      </c>
      <c r="F227" s="15">
        <v>2205.98</v>
      </c>
      <c r="G227" t="s">
        <v>11</v>
      </c>
      <c r="H227" t="s">
        <v>12</v>
      </c>
      <c r="I227" t="s">
        <v>247</v>
      </c>
      <c r="J227" s="11">
        <f>DATE(B227,MATCH(C227,{"Jan","Feb","Mar","Apr","May","Jun","Jul","Aug","Sep","Oct","Nov","Dec"},0),D227)</f>
        <v>38304</v>
      </c>
      <c r="K227">
        <f t="shared" si="3"/>
        <v>18</v>
      </c>
    </row>
    <row r="228" spans="1:11" x14ac:dyDescent="0.35">
      <c r="A228" t="s">
        <v>255</v>
      </c>
      <c r="B228">
        <v>2004</v>
      </c>
      <c r="C228" t="s">
        <v>35</v>
      </c>
      <c r="D228">
        <v>6</v>
      </c>
      <c r="E228">
        <v>0</v>
      </c>
      <c r="F228" s="15">
        <v>2207.6999999999998</v>
      </c>
      <c r="G228" t="s">
        <v>11</v>
      </c>
      <c r="H228" t="s">
        <v>11</v>
      </c>
      <c r="I228" t="s">
        <v>247</v>
      </c>
      <c r="J228" s="11">
        <f>DATE(B228,MATCH(C228,{"Jan","Feb","Mar","Apr","May","Jun","Jul","Aug","Sep","Oct","Nov","Dec"},0),D228)</f>
        <v>38205</v>
      </c>
      <c r="K228">
        <f t="shared" si="3"/>
        <v>18</v>
      </c>
    </row>
    <row r="229" spans="1:11" x14ac:dyDescent="0.35">
      <c r="A229" t="s">
        <v>256</v>
      </c>
      <c r="B229">
        <v>2004</v>
      </c>
      <c r="C229" t="s">
        <v>10</v>
      </c>
      <c r="D229">
        <v>27</v>
      </c>
      <c r="E229">
        <v>0</v>
      </c>
      <c r="F229" s="15">
        <v>2211.13</v>
      </c>
      <c r="G229" t="s">
        <v>11</v>
      </c>
      <c r="H229" t="s">
        <v>11</v>
      </c>
      <c r="I229" t="s">
        <v>247</v>
      </c>
      <c r="J229" s="11">
        <f>DATE(B229,MATCH(C229,{"Jan","Feb","Mar","Apr","May","Jun","Jul","Aug","Sep","Oct","Nov","Dec"},0),D229)</f>
        <v>38195</v>
      </c>
      <c r="K229">
        <f t="shared" si="3"/>
        <v>18</v>
      </c>
    </row>
    <row r="230" spans="1:11" x14ac:dyDescent="0.35">
      <c r="A230" t="s">
        <v>257</v>
      </c>
      <c r="B230">
        <v>1994</v>
      </c>
      <c r="C230" t="s">
        <v>15</v>
      </c>
      <c r="D230">
        <v>17</v>
      </c>
      <c r="E230">
        <v>0</v>
      </c>
      <c r="F230" s="15">
        <v>2213.21</v>
      </c>
      <c r="G230" t="s">
        <v>11</v>
      </c>
      <c r="H230" t="s">
        <v>11</v>
      </c>
      <c r="I230" t="s">
        <v>13</v>
      </c>
      <c r="J230" s="11">
        <f>DATE(B230,MATCH(C230,{"Jan","Feb","Mar","Apr","May","Jun","Jul","Aug","Sep","Oct","Nov","Dec"},0),D230)</f>
        <v>34655</v>
      </c>
      <c r="K230">
        <f t="shared" si="3"/>
        <v>28</v>
      </c>
    </row>
    <row r="231" spans="1:11" x14ac:dyDescent="0.35">
      <c r="A231" t="s">
        <v>258</v>
      </c>
      <c r="B231">
        <v>2004</v>
      </c>
      <c r="C231" t="s">
        <v>18</v>
      </c>
      <c r="D231">
        <v>13</v>
      </c>
      <c r="E231">
        <v>0</v>
      </c>
      <c r="F231" s="15">
        <v>2217.4699999999998</v>
      </c>
      <c r="G231" t="s">
        <v>11</v>
      </c>
      <c r="H231" t="s">
        <v>16</v>
      </c>
      <c r="I231" t="s">
        <v>247</v>
      </c>
      <c r="J231" s="11">
        <f>DATE(B231,MATCH(C231,{"Jan","Feb","Mar","Apr","May","Jun","Jul","Aug","Sep","Oct","Nov","Dec"},0),D231)</f>
        <v>38151</v>
      </c>
      <c r="K231">
        <f t="shared" si="3"/>
        <v>18</v>
      </c>
    </row>
    <row r="232" spans="1:11" x14ac:dyDescent="0.35">
      <c r="A232" t="s">
        <v>259</v>
      </c>
      <c r="B232">
        <v>2004</v>
      </c>
      <c r="C232" t="s">
        <v>20</v>
      </c>
      <c r="D232">
        <v>25</v>
      </c>
      <c r="E232">
        <v>0</v>
      </c>
      <c r="F232" s="15">
        <v>2217.6</v>
      </c>
      <c r="G232" t="s">
        <v>11</v>
      </c>
      <c r="H232" t="s">
        <v>16</v>
      </c>
      <c r="I232" t="s">
        <v>247</v>
      </c>
      <c r="J232" s="11">
        <f>DATE(B232,MATCH(C232,{"Jan","Feb","Mar","Apr","May","Jun","Jul","Aug","Sep","Oct","Nov","Dec"},0),D232)</f>
        <v>38255</v>
      </c>
      <c r="K232">
        <f t="shared" si="3"/>
        <v>18</v>
      </c>
    </row>
    <row r="233" spans="1:11" x14ac:dyDescent="0.35">
      <c r="A233" t="s">
        <v>260</v>
      </c>
      <c r="B233">
        <v>2004</v>
      </c>
      <c r="C233" t="s">
        <v>30</v>
      </c>
      <c r="D233">
        <v>12</v>
      </c>
      <c r="E233">
        <v>1</v>
      </c>
      <c r="F233" s="15">
        <v>2219.4499999999998</v>
      </c>
      <c r="G233" t="s">
        <v>11</v>
      </c>
      <c r="H233" t="s">
        <v>16</v>
      </c>
      <c r="I233" t="s">
        <v>13</v>
      </c>
      <c r="J233" s="11">
        <f>DATE(B233,MATCH(C233,{"Jan","Feb","Mar","Apr","May","Jun","Jul","Aug","Sep","Oct","Nov","Dec"},0),D233)</f>
        <v>38333</v>
      </c>
      <c r="K233">
        <f t="shared" si="3"/>
        <v>18</v>
      </c>
    </row>
    <row r="234" spans="1:11" x14ac:dyDescent="0.35">
      <c r="A234" t="s">
        <v>261</v>
      </c>
      <c r="B234">
        <v>2003</v>
      </c>
      <c r="C234" t="s">
        <v>30</v>
      </c>
      <c r="D234">
        <v>10</v>
      </c>
      <c r="E234">
        <v>1</v>
      </c>
      <c r="F234" s="15">
        <v>2221.56</v>
      </c>
      <c r="G234" t="s">
        <v>11</v>
      </c>
      <c r="H234" t="s">
        <v>12</v>
      </c>
      <c r="I234" t="s">
        <v>23</v>
      </c>
      <c r="J234" s="11">
        <f>DATE(B234,MATCH(C234,{"Jan","Feb","Mar","Apr","May","Jun","Jul","Aug","Sep","Oct","Nov","Dec"},0),D234)</f>
        <v>37965</v>
      </c>
      <c r="K234">
        <f t="shared" si="3"/>
        <v>19</v>
      </c>
    </row>
    <row r="235" spans="1:11" x14ac:dyDescent="0.35">
      <c r="A235" t="s">
        <v>262</v>
      </c>
      <c r="B235">
        <v>2000</v>
      </c>
      <c r="C235" t="s">
        <v>18</v>
      </c>
      <c r="D235">
        <v>30</v>
      </c>
      <c r="E235">
        <v>0</v>
      </c>
      <c r="F235" s="15">
        <v>2250.84</v>
      </c>
      <c r="G235" t="s">
        <v>11</v>
      </c>
      <c r="H235" t="s">
        <v>11</v>
      </c>
      <c r="I235" t="s">
        <v>170</v>
      </c>
      <c r="J235" s="11">
        <f>DATE(B235,MATCH(C235,{"Jan","Feb","Mar","Apr","May","Jun","Jul","Aug","Sep","Oct","Nov","Dec"},0),D235)</f>
        <v>36707</v>
      </c>
      <c r="K235">
        <f t="shared" si="3"/>
        <v>22</v>
      </c>
    </row>
    <row r="236" spans="1:11" x14ac:dyDescent="0.35">
      <c r="A236" t="s">
        <v>263</v>
      </c>
      <c r="B236">
        <v>2000</v>
      </c>
      <c r="C236" t="s">
        <v>30</v>
      </c>
      <c r="D236">
        <v>11</v>
      </c>
      <c r="E236">
        <v>0</v>
      </c>
      <c r="F236" s="15">
        <v>2254.8000000000002</v>
      </c>
      <c r="G236" t="s">
        <v>11</v>
      </c>
      <c r="H236" t="s">
        <v>12</v>
      </c>
      <c r="I236" t="s">
        <v>168</v>
      </c>
      <c r="J236" s="11">
        <f>DATE(B236,MATCH(C236,{"Jan","Feb","Mar","Apr","May","Jun","Jul","Aug","Sep","Oct","Nov","Dec"},0),D236)</f>
        <v>36871</v>
      </c>
      <c r="K236">
        <f t="shared" si="3"/>
        <v>22</v>
      </c>
    </row>
    <row r="237" spans="1:11" x14ac:dyDescent="0.35">
      <c r="A237" t="s">
        <v>264</v>
      </c>
      <c r="B237">
        <v>2002</v>
      </c>
      <c r="C237" t="s">
        <v>10</v>
      </c>
      <c r="D237">
        <v>15</v>
      </c>
      <c r="E237">
        <v>0</v>
      </c>
      <c r="F237" s="15">
        <v>2257.48</v>
      </c>
      <c r="G237" t="s">
        <v>11</v>
      </c>
      <c r="H237" t="s">
        <v>16</v>
      </c>
      <c r="I237" t="s">
        <v>23</v>
      </c>
      <c r="J237" s="11">
        <f>DATE(B237,MATCH(C237,{"Jan","Feb","Mar","Apr","May","Jun","Jul","Aug","Sep","Oct","Nov","Dec"},0),D237)</f>
        <v>37452</v>
      </c>
      <c r="K237">
        <f t="shared" si="3"/>
        <v>20</v>
      </c>
    </row>
    <row r="238" spans="1:11" x14ac:dyDescent="0.35">
      <c r="A238" t="s">
        <v>265</v>
      </c>
      <c r="B238">
        <v>2002</v>
      </c>
      <c r="C238" t="s">
        <v>15</v>
      </c>
      <c r="D238">
        <v>12</v>
      </c>
      <c r="E238">
        <v>0</v>
      </c>
      <c r="F238" s="15">
        <v>2261.5700000000002</v>
      </c>
      <c r="G238" t="s">
        <v>11</v>
      </c>
      <c r="H238" t="s">
        <v>16</v>
      </c>
      <c r="I238" t="s">
        <v>23</v>
      </c>
      <c r="J238" s="11">
        <f>DATE(B238,MATCH(C238,{"Jan","Feb","Mar","Apr","May","Jun","Jul","Aug","Sep","Oct","Nov","Dec"},0),D238)</f>
        <v>37572</v>
      </c>
      <c r="K238">
        <f t="shared" si="3"/>
        <v>20</v>
      </c>
    </row>
    <row r="239" spans="1:11" x14ac:dyDescent="0.35">
      <c r="A239" t="s">
        <v>266</v>
      </c>
      <c r="B239">
        <v>1991</v>
      </c>
      <c r="C239" t="s">
        <v>18</v>
      </c>
      <c r="D239">
        <v>16</v>
      </c>
      <c r="E239">
        <v>3</v>
      </c>
      <c r="F239" s="15">
        <v>2277.7199999999998</v>
      </c>
      <c r="G239" t="s">
        <v>11</v>
      </c>
      <c r="H239" t="s">
        <v>16</v>
      </c>
      <c r="I239" t="s">
        <v>13</v>
      </c>
      <c r="J239" s="11">
        <f>DATE(B239,MATCH(C239,{"Jan","Feb","Mar","Apr","May","Jun","Jul","Aug","Sep","Oct","Nov","Dec"},0),D239)</f>
        <v>33405</v>
      </c>
      <c r="K239">
        <f t="shared" si="3"/>
        <v>31</v>
      </c>
    </row>
    <row r="240" spans="1:11" x14ac:dyDescent="0.35">
      <c r="A240" t="s">
        <v>267</v>
      </c>
      <c r="B240">
        <v>1989</v>
      </c>
      <c r="C240" t="s">
        <v>37</v>
      </c>
      <c r="D240">
        <v>5</v>
      </c>
      <c r="E240">
        <v>3</v>
      </c>
      <c r="F240" s="15">
        <v>2295.2399999999998</v>
      </c>
      <c r="G240" t="s">
        <v>11</v>
      </c>
      <c r="H240" t="s">
        <v>16</v>
      </c>
      <c r="I240" t="s">
        <v>13</v>
      </c>
      <c r="J240" s="11">
        <f>DATE(B240,MATCH(C240,{"Jan","Feb","Mar","Apr","May","Jun","Jul","Aug","Sep","Oct","Nov","Dec"},0),D240)</f>
        <v>32786</v>
      </c>
      <c r="K240">
        <f t="shared" si="3"/>
        <v>33</v>
      </c>
    </row>
    <row r="241" spans="1:11" x14ac:dyDescent="0.35">
      <c r="A241" t="s">
        <v>268</v>
      </c>
      <c r="B241">
        <v>1996</v>
      </c>
      <c r="C241" t="s">
        <v>15</v>
      </c>
      <c r="D241">
        <v>28</v>
      </c>
      <c r="E241">
        <v>0</v>
      </c>
      <c r="F241" s="15">
        <v>2302.3000000000002</v>
      </c>
      <c r="G241" t="s">
        <v>16</v>
      </c>
      <c r="H241" t="s">
        <v>11</v>
      </c>
      <c r="I241" t="s">
        <v>42</v>
      </c>
      <c r="J241" s="11">
        <f>DATE(B241,MATCH(C241,{"Jan","Feb","Mar","Apr","May","Jun","Jul","Aug","Sep","Oct","Nov","Dec"},0),D241)</f>
        <v>35397</v>
      </c>
      <c r="K241">
        <f t="shared" si="3"/>
        <v>26</v>
      </c>
    </row>
    <row r="242" spans="1:11" x14ac:dyDescent="0.35">
      <c r="A242" t="s">
        <v>269</v>
      </c>
      <c r="B242">
        <v>2004</v>
      </c>
      <c r="C242" t="s">
        <v>20</v>
      </c>
      <c r="D242">
        <v>6</v>
      </c>
      <c r="E242">
        <v>2</v>
      </c>
      <c r="F242" s="15">
        <v>2304</v>
      </c>
      <c r="G242" t="s">
        <v>11</v>
      </c>
      <c r="H242" t="s">
        <v>12</v>
      </c>
      <c r="I242" t="s">
        <v>13</v>
      </c>
      <c r="J242" s="11">
        <f>DATE(B242,MATCH(C242,{"Jan","Feb","Mar","Apr","May","Jun","Jul","Aug","Sep","Oct","Nov","Dec"},0),D242)</f>
        <v>38236</v>
      </c>
      <c r="K242">
        <f t="shared" si="3"/>
        <v>18</v>
      </c>
    </row>
    <row r="243" spans="1:11" x14ac:dyDescent="0.35">
      <c r="A243" t="s">
        <v>270</v>
      </c>
      <c r="B243">
        <v>1996</v>
      </c>
      <c r="C243" t="s">
        <v>30</v>
      </c>
      <c r="D243">
        <v>17</v>
      </c>
      <c r="E243">
        <v>0</v>
      </c>
      <c r="F243" s="15">
        <v>2322.62</v>
      </c>
      <c r="G243" t="s">
        <v>11</v>
      </c>
      <c r="H243" t="s">
        <v>16</v>
      </c>
      <c r="I243" t="s">
        <v>13</v>
      </c>
      <c r="J243" s="11">
        <f>DATE(B243,MATCH(C243,{"Jan","Feb","Mar","Apr","May","Jun","Jul","Aug","Sep","Oct","Nov","Dec"},0),D243)</f>
        <v>35416</v>
      </c>
      <c r="K243">
        <f t="shared" si="3"/>
        <v>26</v>
      </c>
    </row>
    <row r="244" spans="1:11" x14ac:dyDescent="0.35">
      <c r="A244" t="s">
        <v>271</v>
      </c>
      <c r="B244">
        <v>2003</v>
      </c>
      <c r="C244" t="s">
        <v>15</v>
      </c>
      <c r="D244">
        <v>18</v>
      </c>
      <c r="E244">
        <v>1</v>
      </c>
      <c r="F244" s="15">
        <v>2331.52</v>
      </c>
      <c r="G244" t="s">
        <v>11</v>
      </c>
      <c r="H244" t="s">
        <v>12</v>
      </c>
      <c r="I244" t="s">
        <v>42</v>
      </c>
      <c r="J244" s="11">
        <f>DATE(B244,MATCH(C244,{"Jan","Feb","Mar","Apr","May","Jun","Jul","Aug","Sep","Oct","Nov","Dec"},0),D244)</f>
        <v>37943</v>
      </c>
      <c r="K244">
        <f t="shared" si="3"/>
        <v>19</v>
      </c>
    </row>
    <row r="245" spans="1:11" x14ac:dyDescent="0.35">
      <c r="A245" t="s">
        <v>272</v>
      </c>
      <c r="B245">
        <v>1998</v>
      </c>
      <c r="C245" t="s">
        <v>37</v>
      </c>
      <c r="D245">
        <v>21</v>
      </c>
      <c r="E245">
        <v>0</v>
      </c>
      <c r="F245" s="15">
        <v>2352.9699999999998</v>
      </c>
      <c r="G245" t="s">
        <v>12</v>
      </c>
      <c r="H245" t="s">
        <v>12</v>
      </c>
      <c r="I245" t="s">
        <v>23</v>
      </c>
      <c r="J245" s="11">
        <f>DATE(B245,MATCH(C245,{"Jan","Feb","Mar","Apr","May","Jun","Jul","Aug","Sep","Oct","Nov","Dec"},0),D245)</f>
        <v>36089</v>
      </c>
      <c r="K245">
        <f t="shared" si="3"/>
        <v>24</v>
      </c>
    </row>
    <row r="246" spans="1:11" x14ac:dyDescent="0.35">
      <c r="A246" t="s">
        <v>273</v>
      </c>
      <c r="B246">
        <v>2002</v>
      </c>
      <c r="C246" t="s">
        <v>15</v>
      </c>
      <c r="D246">
        <v>5</v>
      </c>
      <c r="E246">
        <v>1</v>
      </c>
      <c r="F246" s="15">
        <v>2362.23</v>
      </c>
      <c r="G246" t="s">
        <v>11</v>
      </c>
      <c r="H246" t="s">
        <v>16</v>
      </c>
      <c r="I246" t="s">
        <v>23</v>
      </c>
      <c r="J246" s="11">
        <f>DATE(B246,MATCH(C246,{"Jan","Feb","Mar","Apr","May","Jun","Jul","Aug","Sep","Oct","Nov","Dec"},0),D246)</f>
        <v>37565</v>
      </c>
      <c r="K246">
        <f t="shared" si="3"/>
        <v>20</v>
      </c>
    </row>
    <row r="247" spans="1:11" x14ac:dyDescent="0.35">
      <c r="A247" t="s">
        <v>274</v>
      </c>
      <c r="B247">
        <v>1988</v>
      </c>
      <c r="C247" t="s">
        <v>30</v>
      </c>
      <c r="D247">
        <v>12</v>
      </c>
      <c r="E247">
        <v>3</v>
      </c>
      <c r="F247" s="15">
        <v>2373.3000000000002</v>
      </c>
      <c r="G247" t="s">
        <v>11</v>
      </c>
      <c r="H247" t="s">
        <v>11</v>
      </c>
      <c r="I247" t="s">
        <v>13</v>
      </c>
      <c r="J247" s="11">
        <f>DATE(B247,MATCH(C247,{"Jan","Feb","Mar","Apr","May","Jun","Jul","Aug","Sep","Oct","Nov","Dec"},0),D247)</f>
        <v>32489</v>
      </c>
      <c r="K247">
        <f t="shared" si="3"/>
        <v>34</v>
      </c>
    </row>
    <row r="248" spans="1:11" x14ac:dyDescent="0.35">
      <c r="A248" t="s">
        <v>275</v>
      </c>
      <c r="B248">
        <v>1999</v>
      </c>
      <c r="C248" t="s">
        <v>30</v>
      </c>
      <c r="D248">
        <v>17</v>
      </c>
      <c r="E248">
        <v>0</v>
      </c>
      <c r="F248" s="15">
        <v>2395.17</v>
      </c>
      <c r="G248" t="s">
        <v>11</v>
      </c>
      <c r="H248" t="s">
        <v>16</v>
      </c>
      <c r="I248" t="s">
        <v>276</v>
      </c>
      <c r="J248" s="11">
        <f>DATE(B248,MATCH(C248,{"Jan","Feb","Mar","Apr","May","Jun","Jul","Aug","Sep","Oct","Nov","Dec"},0),D248)</f>
        <v>36511</v>
      </c>
      <c r="K248">
        <f t="shared" si="3"/>
        <v>23</v>
      </c>
    </row>
    <row r="249" spans="1:11" x14ac:dyDescent="0.35">
      <c r="A249" t="s">
        <v>277</v>
      </c>
      <c r="B249">
        <v>1999</v>
      </c>
      <c r="C249" t="s">
        <v>35</v>
      </c>
      <c r="D249">
        <v>10</v>
      </c>
      <c r="E249">
        <v>0</v>
      </c>
      <c r="F249" s="15">
        <v>2396.1</v>
      </c>
      <c r="G249" t="s">
        <v>11</v>
      </c>
      <c r="H249" t="s">
        <v>16</v>
      </c>
      <c r="I249" t="s">
        <v>166</v>
      </c>
      <c r="J249" s="11">
        <f>DATE(B249,MATCH(C249,{"Jan","Feb","Mar","Apr","May","Jun","Jul","Aug","Sep","Oct","Nov","Dec"},0),D249)</f>
        <v>36382</v>
      </c>
      <c r="K249">
        <f t="shared" si="3"/>
        <v>23</v>
      </c>
    </row>
    <row r="250" spans="1:11" x14ac:dyDescent="0.35">
      <c r="A250" t="s">
        <v>278</v>
      </c>
      <c r="B250">
        <v>2001</v>
      </c>
      <c r="C250" t="s">
        <v>18</v>
      </c>
      <c r="D250">
        <v>3</v>
      </c>
      <c r="E250">
        <v>0</v>
      </c>
      <c r="F250" s="15">
        <v>2404.73</v>
      </c>
      <c r="G250" t="s">
        <v>11</v>
      </c>
      <c r="H250" t="s">
        <v>12</v>
      </c>
      <c r="I250" t="s">
        <v>23</v>
      </c>
      <c r="J250" s="11">
        <f>DATE(B250,MATCH(C250,{"Jan","Feb","Mar","Apr","May","Jun","Jul","Aug","Sep","Oct","Nov","Dec"},0),D250)</f>
        <v>37045</v>
      </c>
      <c r="K250">
        <f t="shared" si="3"/>
        <v>22</v>
      </c>
    </row>
    <row r="251" spans="1:11" x14ac:dyDescent="0.35">
      <c r="A251" t="s">
        <v>279</v>
      </c>
      <c r="B251">
        <v>1999</v>
      </c>
      <c r="C251" t="s">
        <v>15</v>
      </c>
      <c r="D251">
        <v>12</v>
      </c>
      <c r="E251">
        <v>1</v>
      </c>
      <c r="F251" s="15">
        <v>2416.96</v>
      </c>
      <c r="G251" t="s">
        <v>11</v>
      </c>
      <c r="H251" t="s">
        <v>11</v>
      </c>
      <c r="I251" t="s">
        <v>42</v>
      </c>
      <c r="J251" s="11">
        <f>DATE(B251,MATCH(C251,{"Jan","Feb","Mar","Apr","May","Jun","Jul","Aug","Sep","Oct","Nov","Dec"},0),D251)</f>
        <v>36476</v>
      </c>
      <c r="K251">
        <f t="shared" si="3"/>
        <v>23</v>
      </c>
    </row>
    <row r="252" spans="1:11" x14ac:dyDescent="0.35">
      <c r="A252" t="s">
        <v>280</v>
      </c>
      <c r="B252">
        <v>1999</v>
      </c>
      <c r="C252" t="s">
        <v>15</v>
      </c>
      <c r="D252">
        <v>21</v>
      </c>
      <c r="E252">
        <v>1</v>
      </c>
      <c r="F252" s="15">
        <v>2438.06</v>
      </c>
      <c r="G252" t="s">
        <v>11</v>
      </c>
      <c r="H252" t="s">
        <v>11</v>
      </c>
      <c r="I252" t="s">
        <v>13</v>
      </c>
      <c r="J252" s="11">
        <f>DATE(B252,MATCH(C252,{"Jan","Feb","Mar","Apr","May","Jun","Jul","Aug","Sep","Oct","Nov","Dec"},0),D252)</f>
        <v>36485</v>
      </c>
      <c r="K252">
        <f t="shared" si="3"/>
        <v>23</v>
      </c>
    </row>
    <row r="253" spans="1:11" x14ac:dyDescent="0.35">
      <c r="A253" t="s">
        <v>281</v>
      </c>
      <c r="B253">
        <v>2002</v>
      </c>
      <c r="C253" t="s">
        <v>10</v>
      </c>
      <c r="D253">
        <v>29</v>
      </c>
      <c r="E253">
        <v>0</v>
      </c>
      <c r="F253" s="15">
        <v>2457.21</v>
      </c>
      <c r="G253" t="s">
        <v>11</v>
      </c>
      <c r="H253" t="s">
        <v>16</v>
      </c>
      <c r="I253" t="s">
        <v>247</v>
      </c>
      <c r="J253" s="11">
        <f>DATE(B253,MATCH(C253,{"Jan","Feb","Mar","Apr","May","Jun","Jul","Aug","Sep","Oct","Nov","Dec"},0),D253)</f>
        <v>37466</v>
      </c>
      <c r="K253">
        <f t="shared" si="3"/>
        <v>20</v>
      </c>
    </row>
    <row r="254" spans="1:11" x14ac:dyDescent="0.35">
      <c r="A254" t="s">
        <v>282</v>
      </c>
      <c r="B254">
        <v>1998</v>
      </c>
      <c r="C254" t="s">
        <v>15</v>
      </c>
      <c r="D254">
        <v>19</v>
      </c>
      <c r="E254">
        <v>0</v>
      </c>
      <c r="F254" s="15">
        <v>2457.5</v>
      </c>
      <c r="G254" t="s">
        <v>11</v>
      </c>
      <c r="H254" t="s">
        <v>16</v>
      </c>
      <c r="I254" t="s">
        <v>42</v>
      </c>
      <c r="J254" s="11">
        <f>DATE(B254,MATCH(C254,{"Jan","Feb","Mar","Apr","May","Jun","Jul","Aug","Sep","Oct","Nov","Dec"},0),D254)</f>
        <v>36118</v>
      </c>
      <c r="K254">
        <f t="shared" si="3"/>
        <v>24</v>
      </c>
    </row>
    <row r="255" spans="1:11" x14ac:dyDescent="0.35">
      <c r="A255" t="s">
        <v>283</v>
      </c>
      <c r="B255">
        <v>2002</v>
      </c>
      <c r="C255" t="s">
        <v>10</v>
      </c>
      <c r="D255">
        <v>11</v>
      </c>
      <c r="E255">
        <v>0</v>
      </c>
      <c r="F255" s="15">
        <v>2459.7199999999998</v>
      </c>
      <c r="G255" t="s">
        <v>11</v>
      </c>
      <c r="H255" t="s">
        <v>11</v>
      </c>
      <c r="I255" t="s">
        <v>247</v>
      </c>
      <c r="J255" s="11">
        <f>DATE(B255,MATCH(C255,{"Jan","Feb","Mar","Apr","May","Jun","Jul","Aug","Sep","Oct","Nov","Dec"},0),D255)</f>
        <v>37448</v>
      </c>
      <c r="K255">
        <f t="shared" si="3"/>
        <v>20</v>
      </c>
    </row>
    <row r="256" spans="1:11" x14ac:dyDescent="0.35">
      <c r="A256" t="s">
        <v>284</v>
      </c>
      <c r="B256">
        <v>1998</v>
      </c>
      <c r="C256" t="s">
        <v>35</v>
      </c>
      <c r="D256">
        <v>17</v>
      </c>
      <c r="E256">
        <v>0</v>
      </c>
      <c r="F256" s="15">
        <v>2464.62</v>
      </c>
      <c r="G256" t="s">
        <v>11</v>
      </c>
      <c r="H256" t="s">
        <v>12</v>
      </c>
      <c r="I256" t="s">
        <v>13</v>
      </c>
      <c r="J256" s="11">
        <f>DATE(B256,MATCH(C256,{"Jan","Feb","Mar","Apr","May","Jun","Jul","Aug","Sep","Oct","Nov","Dec"},0),D256)</f>
        <v>36024</v>
      </c>
      <c r="K256">
        <f t="shared" si="3"/>
        <v>24</v>
      </c>
    </row>
    <row r="257" spans="1:11" x14ac:dyDescent="0.35">
      <c r="A257" t="s">
        <v>285</v>
      </c>
      <c r="B257">
        <v>1998</v>
      </c>
      <c r="C257" t="s">
        <v>10</v>
      </c>
      <c r="D257">
        <v>2</v>
      </c>
      <c r="E257">
        <v>0</v>
      </c>
      <c r="F257" s="15">
        <v>2473.33</v>
      </c>
      <c r="G257" t="s">
        <v>11</v>
      </c>
      <c r="H257" t="s">
        <v>12</v>
      </c>
      <c r="I257" t="s">
        <v>13</v>
      </c>
      <c r="J257" s="11">
        <f>DATE(B257,MATCH(C257,{"Jan","Feb","Mar","Apr","May","Jun","Jul","Aug","Sep","Oct","Nov","Dec"},0),D257)</f>
        <v>35978</v>
      </c>
      <c r="K257">
        <f t="shared" si="3"/>
        <v>24</v>
      </c>
    </row>
    <row r="258" spans="1:11" x14ac:dyDescent="0.35">
      <c r="A258" t="s">
        <v>286</v>
      </c>
      <c r="B258">
        <v>1998</v>
      </c>
      <c r="C258" t="s">
        <v>18</v>
      </c>
      <c r="D258">
        <v>20</v>
      </c>
      <c r="E258">
        <v>0</v>
      </c>
      <c r="F258" s="15">
        <v>2480.98</v>
      </c>
      <c r="G258" t="s">
        <v>11</v>
      </c>
      <c r="H258" t="s">
        <v>11</v>
      </c>
      <c r="I258" t="s">
        <v>13</v>
      </c>
      <c r="J258" s="11">
        <f>DATE(B258,MATCH(C258,{"Jan","Feb","Mar","Apr","May","Jun","Jul","Aug","Sep","Oct","Nov","Dec"},0),D258)</f>
        <v>35966</v>
      </c>
      <c r="K258">
        <f t="shared" si="3"/>
        <v>24</v>
      </c>
    </row>
    <row r="259" spans="1:11" x14ac:dyDescent="0.35">
      <c r="A259" t="s">
        <v>287</v>
      </c>
      <c r="B259">
        <v>1995</v>
      </c>
      <c r="C259" t="s">
        <v>15</v>
      </c>
      <c r="D259">
        <v>6</v>
      </c>
      <c r="E259">
        <v>0</v>
      </c>
      <c r="F259" s="15">
        <v>2483.7399999999998</v>
      </c>
      <c r="G259" t="s">
        <v>12</v>
      </c>
      <c r="H259" t="s">
        <v>11</v>
      </c>
      <c r="I259" t="s">
        <v>13</v>
      </c>
      <c r="J259" s="11">
        <f>DATE(B259,MATCH(C259,{"Jan","Feb","Mar","Apr","May","Jun","Jul","Aug","Sep","Oct","Nov","Dec"},0),D259)</f>
        <v>35009</v>
      </c>
      <c r="K259">
        <f t="shared" ref="K259:K322" si="4">DATEDIF(J259,$N$1,"Y")</f>
        <v>27</v>
      </c>
    </row>
    <row r="260" spans="1:11" x14ac:dyDescent="0.35">
      <c r="A260" t="s">
        <v>288</v>
      </c>
      <c r="B260">
        <v>1995</v>
      </c>
      <c r="C260" t="s">
        <v>37</v>
      </c>
      <c r="D260">
        <v>14</v>
      </c>
      <c r="E260">
        <v>0</v>
      </c>
      <c r="F260" s="15">
        <v>2494.02</v>
      </c>
      <c r="G260" t="s">
        <v>12</v>
      </c>
      <c r="H260" t="s">
        <v>16</v>
      </c>
      <c r="I260" t="s">
        <v>42</v>
      </c>
      <c r="J260" s="11">
        <f>DATE(B260,MATCH(C260,{"Jan","Feb","Mar","Apr","May","Jun","Jul","Aug","Sep","Oct","Nov","Dec"},0),D260)</f>
        <v>34986</v>
      </c>
      <c r="K260">
        <f t="shared" si="4"/>
        <v>27</v>
      </c>
    </row>
    <row r="261" spans="1:11" x14ac:dyDescent="0.35">
      <c r="A261" t="s">
        <v>289</v>
      </c>
      <c r="B261">
        <v>1995</v>
      </c>
      <c r="C261" t="s">
        <v>10</v>
      </c>
      <c r="D261">
        <v>9</v>
      </c>
      <c r="E261">
        <v>0</v>
      </c>
      <c r="F261" s="15">
        <v>2497.04</v>
      </c>
      <c r="G261" t="s">
        <v>12</v>
      </c>
      <c r="H261" t="s">
        <v>12</v>
      </c>
      <c r="I261" t="s">
        <v>13</v>
      </c>
      <c r="J261" s="11">
        <f>DATE(B261,MATCH(C261,{"Jan","Feb","Mar","Apr","May","Jun","Jul","Aug","Sep","Oct","Nov","Dec"},0),D261)</f>
        <v>34889</v>
      </c>
      <c r="K261">
        <f t="shared" si="4"/>
        <v>27</v>
      </c>
    </row>
    <row r="262" spans="1:11" x14ac:dyDescent="0.35">
      <c r="A262" t="s">
        <v>290</v>
      </c>
      <c r="B262">
        <v>1995</v>
      </c>
      <c r="C262" t="s">
        <v>37</v>
      </c>
      <c r="D262">
        <v>15</v>
      </c>
      <c r="E262">
        <v>0</v>
      </c>
      <c r="F262" s="15">
        <v>2498.41</v>
      </c>
      <c r="G262" t="s">
        <v>12</v>
      </c>
      <c r="H262" t="s">
        <v>12</v>
      </c>
      <c r="I262" t="s">
        <v>13</v>
      </c>
      <c r="J262" s="11">
        <f>DATE(B262,MATCH(C262,{"Jan","Feb","Mar","Apr","May","Jun","Jul","Aug","Sep","Oct","Nov","Dec"},0),D262)</f>
        <v>34987</v>
      </c>
      <c r="K262">
        <f t="shared" si="4"/>
        <v>27</v>
      </c>
    </row>
    <row r="263" spans="1:11" x14ac:dyDescent="0.35">
      <c r="A263" t="s">
        <v>291</v>
      </c>
      <c r="B263">
        <v>2004</v>
      </c>
      <c r="C263" t="s">
        <v>20</v>
      </c>
      <c r="D263">
        <v>6</v>
      </c>
      <c r="E263">
        <v>0</v>
      </c>
      <c r="F263" s="15">
        <v>2500.9299999999998</v>
      </c>
      <c r="G263" t="s">
        <v>11</v>
      </c>
      <c r="H263" t="s">
        <v>11</v>
      </c>
      <c r="I263" t="s">
        <v>23</v>
      </c>
      <c r="J263" s="11">
        <f>DATE(B263,MATCH(C263,{"Jan","Feb","Mar","Apr","May","Jun","Jul","Aug","Sep","Oct","Nov","Dec"},0),D263)</f>
        <v>38236</v>
      </c>
      <c r="K263">
        <f t="shared" si="4"/>
        <v>18</v>
      </c>
    </row>
    <row r="264" spans="1:11" x14ac:dyDescent="0.35">
      <c r="A264" t="s">
        <v>292</v>
      </c>
      <c r="B264">
        <v>1991</v>
      </c>
      <c r="C264" t="s">
        <v>35</v>
      </c>
      <c r="D264">
        <v>5</v>
      </c>
      <c r="E264">
        <v>3</v>
      </c>
      <c r="F264" s="15">
        <v>2510.79</v>
      </c>
      <c r="G264" t="s">
        <v>11</v>
      </c>
      <c r="H264" t="s">
        <v>16</v>
      </c>
      <c r="I264" t="s">
        <v>13</v>
      </c>
      <c r="J264" s="11">
        <f>DATE(B264,MATCH(C264,{"Jan","Feb","Mar","Apr","May","Jun","Jul","Aug","Sep","Oct","Nov","Dec"},0),D264)</f>
        <v>33455</v>
      </c>
      <c r="K264">
        <f t="shared" si="4"/>
        <v>31</v>
      </c>
    </row>
    <row r="265" spans="1:11" x14ac:dyDescent="0.35">
      <c r="A265" t="s">
        <v>293</v>
      </c>
      <c r="B265">
        <v>1997</v>
      </c>
      <c r="C265" t="s">
        <v>15</v>
      </c>
      <c r="D265">
        <v>2</v>
      </c>
      <c r="E265">
        <v>0</v>
      </c>
      <c r="F265" s="15">
        <v>2523.17</v>
      </c>
      <c r="G265" t="s">
        <v>12</v>
      </c>
      <c r="H265" t="s">
        <v>16</v>
      </c>
      <c r="I265" t="s">
        <v>23</v>
      </c>
      <c r="J265" s="11">
        <f>DATE(B265,MATCH(C265,{"Jan","Feb","Mar","Apr","May","Jun","Jul","Aug","Sep","Oct","Nov","Dec"},0),D265)</f>
        <v>35736</v>
      </c>
      <c r="K265">
        <f t="shared" si="4"/>
        <v>25</v>
      </c>
    </row>
    <row r="266" spans="1:11" x14ac:dyDescent="0.35">
      <c r="A266" t="s">
        <v>294</v>
      </c>
      <c r="B266">
        <v>2000</v>
      </c>
      <c r="C266" t="s">
        <v>35</v>
      </c>
      <c r="D266">
        <v>25</v>
      </c>
      <c r="E266">
        <v>0</v>
      </c>
      <c r="F266" s="15">
        <v>2527.8200000000002</v>
      </c>
      <c r="G266" t="s">
        <v>11</v>
      </c>
      <c r="H266" t="s">
        <v>12</v>
      </c>
      <c r="I266" t="s">
        <v>23</v>
      </c>
      <c r="J266" s="11">
        <f>DATE(B266,MATCH(C266,{"Jan","Feb","Mar","Apr","May","Jun","Jul","Aug","Sep","Oct","Nov","Dec"},0),D266)</f>
        <v>36763</v>
      </c>
      <c r="K266">
        <f t="shared" si="4"/>
        <v>22</v>
      </c>
    </row>
    <row r="267" spans="1:11" x14ac:dyDescent="0.35">
      <c r="A267" t="s">
        <v>295</v>
      </c>
      <c r="B267">
        <v>1997</v>
      </c>
      <c r="C267" t="s">
        <v>10</v>
      </c>
      <c r="D267">
        <v>28</v>
      </c>
      <c r="E267">
        <v>0</v>
      </c>
      <c r="F267" s="15">
        <v>2534.39</v>
      </c>
      <c r="G267" t="s">
        <v>12</v>
      </c>
      <c r="H267" t="s">
        <v>12</v>
      </c>
      <c r="I267" t="s">
        <v>23</v>
      </c>
      <c r="J267" s="11">
        <f>DATE(B267,MATCH(C267,{"Jan","Feb","Mar","Apr","May","Jun","Jul","Aug","Sep","Oct","Nov","Dec"},0),D267)</f>
        <v>35639</v>
      </c>
      <c r="K267">
        <f t="shared" si="4"/>
        <v>25</v>
      </c>
    </row>
    <row r="268" spans="1:11" x14ac:dyDescent="0.35">
      <c r="A268" t="s">
        <v>296</v>
      </c>
      <c r="B268">
        <v>1990</v>
      </c>
      <c r="C268" t="s">
        <v>37</v>
      </c>
      <c r="D268">
        <v>1</v>
      </c>
      <c r="E268">
        <v>3</v>
      </c>
      <c r="F268" s="15">
        <v>2540.39</v>
      </c>
      <c r="G268" t="s">
        <v>11</v>
      </c>
      <c r="H268" t="s">
        <v>11</v>
      </c>
      <c r="I268" t="s">
        <v>13</v>
      </c>
      <c r="J268" s="11">
        <f>DATE(B268,MATCH(C268,{"Jan","Feb","Mar","Apr","May","Jun","Jul","Aug","Sep","Oct","Nov","Dec"},0),D268)</f>
        <v>33147</v>
      </c>
      <c r="K268">
        <f t="shared" si="4"/>
        <v>32</v>
      </c>
    </row>
    <row r="269" spans="1:11" x14ac:dyDescent="0.35">
      <c r="A269" t="s">
        <v>297</v>
      </c>
      <c r="B269">
        <v>1991</v>
      </c>
      <c r="C269" t="s">
        <v>15</v>
      </c>
      <c r="D269">
        <v>17</v>
      </c>
      <c r="E269">
        <v>3</v>
      </c>
      <c r="F269" s="15">
        <v>2545.6799999999998</v>
      </c>
      <c r="G269" t="s">
        <v>11</v>
      </c>
      <c r="H269" t="s">
        <v>16</v>
      </c>
      <c r="I269" t="s">
        <v>13</v>
      </c>
      <c r="J269" s="11">
        <f>DATE(B269,MATCH(C269,{"Jan","Feb","Mar","Apr","May","Jun","Jul","Aug","Sep","Oct","Nov","Dec"},0),D269)</f>
        <v>33559</v>
      </c>
      <c r="K269">
        <f t="shared" si="4"/>
        <v>31</v>
      </c>
    </row>
    <row r="270" spans="1:11" x14ac:dyDescent="0.35">
      <c r="A270" t="s">
        <v>298</v>
      </c>
      <c r="B270">
        <v>2002</v>
      </c>
      <c r="C270" t="s">
        <v>37</v>
      </c>
      <c r="D270">
        <v>11</v>
      </c>
      <c r="E270">
        <v>2</v>
      </c>
      <c r="F270" s="15">
        <v>2566.4699999999998</v>
      </c>
      <c r="G270" t="s">
        <v>11</v>
      </c>
      <c r="H270" t="s">
        <v>12</v>
      </c>
      <c r="I270" t="s">
        <v>13</v>
      </c>
      <c r="J270" s="11">
        <f>DATE(B270,MATCH(C270,{"Jan","Feb","Mar","Apr","May","Jun","Jul","Aug","Sep","Oct","Nov","Dec"},0),D270)</f>
        <v>37540</v>
      </c>
      <c r="K270">
        <f t="shared" si="4"/>
        <v>20</v>
      </c>
    </row>
    <row r="271" spans="1:11" x14ac:dyDescent="0.35">
      <c r="A271" t="s">
        <v>299</v>
      </c>
      <c r="B271">
        <v>2002</v>
      </c>
      <c r="C271" t="s">
        <v>10</v>
      </c>
      <c r="D271">
        <v>20</v>
      </c>
      <c r="E271">
        <v>0</v>
      </c>
      <c r="F271" s="15">
        <v>2585.04</v>
      </c>
      <c r="G271" t="s">
        <v>11</v>
      </c>
      <c r="H271" t="s">
        <v>11</v>
      </c>
      <c r="I271" t="s">
        <v>300</v>
      </c>
      <c r="J271" s="11">
        <f>DATE(B271,MATCH(C271,{"Jan","Feb","Mar","Apr","May","Jun","Jul","Aug","Sep","Oct","Nov","Dec"},0),D271)</f>
        <v>37457</v>
      </c>
      <c r="K271">
        <f t="shared" si="4"/>
        <v>20</v>
      </c>
    </row>
    <row r="272" spans="1:11" x14ac:dyDescent="0.35">
      <c r="A272" t="s">
        <v>301</v>
      </c>
      <c r="B272">
        <v>2001</v>
      </c>
      <c r="C272" t="s">
        <v>37</v>
      </c>
      <c r="D272">
        <v>15</v>
      </c>
      <c r="E272">
        <v>1</v>
      </c>
      <c r="F272" s="15">
        <v>2585.27</v>
      </c>
      <c r="G272" t="s">
        <v>11</v>
      </c>
      <c r="H272" t="s">
        <v>12</v>
      </c>
      <c r="I272" t="s">
        <v>42</v>
      </c>
      <c r="J272" s="11">
        <f>DATE(B272,MATCH(C272,{"Jan","Feb","Mar","Apr","May","Jun","Jul","Aug","Sep","Oct","Nov","Dec"},0),D272)</f>
        <v>37179</v>
      </c>
      <c r="K272">
        <f t="shared" si="4"/>
        <v>21</v>
      </c>
    </row>
    <row r="273" spans="1:11" x14ac:dyDescent="0.35">
      <c r="A273" t="s">
        <v>302</v>
      </c>
      <c r="B273">
        <v>2001</v>
      </c>
      <c r="C273" t="s">
        <v>10</v>
      </c>
      <c r="D273">
        <v>28</v>
      </c>
      <c r="E273">
        <v>0</v>
      </c>
      <c r="F273" s="15">
        <v>2585.85</v>
      </c>
      <c r="G273" t="s">
        <v>11</v>
      </c>
      <c r="H273" t="s">
        <v>11</v>
      </c>
      <c r="I273" t="s">
        <v>247</v>
      </c>
      <c r="J273" s="11">
        <f>DATE(B273,MATCH(C273,{"Jan","Feb","Mar","Apr","May","Jun","Jul","Aug","Sep","Oct","Nov","Dec"},0),D273)</f>
        <v>37100</v>
      </c>
      <c r="K273">
        <f t="shared" si="4"/>
        <v>21</v>
      </c>
    </row>
    <row r="274" spans="1:11" x14ac:dyDescent="0.35">
      <c r="A274" t="s">
        <v>303</v>
      </c>
      <c r="B274">
        <v>2001</v>
      </c>
      <c r="C274" t="s">
        <v>35</v>
      </c>
      <c r="D274">
        <v>26</v>
      </c>
      <c r="E274">
        <v>1</v>
      </c>
      <c r="F274" s="15">
        <v>2597.7800000000002</v>
      </c>
      <c r="G274" t="s">
        <v>11</v>
      </c>
      <c r="H274" t="s">
        <v>16</v>
      </c>
      <c r="I274" t="s">
        <v>42</v>
      </c>
      <c r="J274" s="11">
        <f>DATE(B274,MATCH(C274,{"Jan","Feb","Mar","Apr","May","Jun","Jul","Aug","Sep","Oct","Nov","Dec"},0),D274)</f>
        <v>37129</v>
      </c>
      <c r="K274">
        <f t="shared" si="4"/>
        <v>21</v>
      </c>
    </row>
    <row r="275" spans="1:11" x14ac:dyDescent="0.35">
      <c r="A275" t="s">
        <v>304</v>
      </c>
      <c r="B275">
        <v>1997</v>
      </c>
      <c r="C275" t="s">
        <v>35</v>
      </c>
      <c r="D275">
        <v>26</v>
      </c>
      <c r="E275">
        <v>0</v>
      </c>
      <c r="F275" s="15">
        <v>2632.99</v>
      </c>
      <c r="G275" t="s">
        <v>11</v>
      </c>
      <c r="H275" t="s">
        <v>16</v>
      </c>
      <c r="I275" t="s">
        <v>42</v>
      </c>
      <c r="J275" s="11">
        <f>DATE(B275,MATCH(C275,{"Jan","Feb","Mar","Apr","May","Jun","Jul","Aug","Sep","Oct","Nov","Dec"},0),D275)</f>
        <v>35668</v>
      </c>
      <c r="K275">
        <f t="shared" si="4"/>
        <v>25</v>
      </c>
    </row>
    <row r="276" spans="1:11" x14ac:dyDescent="0.35">
      <c r="A276" t="s">
        <v>305</v>
      </c>
      <c r="B276">
        <v>2000</v>
      </c>
      <c r="C276" t="s">
        <v>18</v>
      </c>
      <c r="D276">
        <v>24</v>
      </c>
      <c r="E276">
        <v>1</v>
      </c>
      <c r="F276" s="15">
        <v>2639.04</v>
      </c>
      <c r="G276" t="s">
        <v>11</v>
      </c>
      <c r="H276" t="s">
        <v>11</v>
      </c>
      <c r="I276" t="s">
        <v>23</v>
      </c>
      <c r="J276" s="11">
        <f>DATE(B276,MATCH(C276,{"Jan","Feb","Mar","Apr","May","Jun","Jul","Aug","Sep","Oct","Nov","Dec"},0),D276)</f>
        <v>36701</v>
      </c>
      <c r="K276">
        <f t="shared" si="4"/>
        <v>22</v>
      </c>
    </row>
    <row r="277" spans="1:11" x14ac:dyDescent="0.35">
      <c r="A277" t="s">
        <v>306</v>
      </c>
      <c r="B277">
        <v>2000</v>
      </c>
      <c r="C277" t="s">
        <v>30</v>
      </c>
      <c r="D277">
        <v>9</v>
      </c>
      <c r="E277">
        <v>1</v>
      </c>
      <c r="F277" s="15">
        <v>2643.27</v>
      </c>
      <c r="G277" t="s">
        <v>11</v>
      </c>
      <c r="H277" t="s">
        <v>16</v>
      </c>
      <c r="I277" t="s">
        <v>23</v>
      </c>
      <c r="J277" s="11">
        <f>DATE(B277,MATCH(C277,{"Jan","Feb","Mar","Apr","May","Jun","Jul","Aug","Sep","Oct","Nov","Dec"},0),D277)</f>
        <v>36869</v>
      </c>
      <c r="K277">
        <f t="shared" si="4"/>
        <v>22</v>
      </c>
    </row>
    <row r="278" spans="1:11" x14ac:dyDescent="0.35">
      <c r="A278" t="s">
        <v>307</v>
      </c>
      <c r="B278">
        <v>1996</v>
      </c>
      <c r="C278" t="s">
        <v>35</v>
      </c>
      <c r="D278">
        <v>5</v>
      </c>
      <c r="E278">
        <v>0</v>
      </c>
      <c r="F278" s="15">
        <v>2680.95</v>
      </c>
      <c r="G278" t="s">
        <v>12</v>
      </c>
      <c r="H278" t="s">
        <v>11</v>
      </c>
      <c r="I278" t="s">
        <v>23</v>
      </c>
      <c r="J278" s="11">
        <f>DATE(B278,MATCH(C278,{"Jan","Feb","Mar","Apr","May","Jun","Jul","Aug","Sep","Oct","Nov","Dec"},0),D278)</f>
        <v>35282</v>
      </c>
      <c r="K278">
        <f t="shared" si="4"/>
        <v>26</v>
      </c>
    </row>
    <row r="279" spans="1:11" x14ac:dyDescent="0.35">
      <c r="A279" t="s">
        <v>308</v>
      </c>
      <c r="B279">
        <v>1994</v>
      </c>
      <c r="C279" t="s">
        <v>20</v>
      </c>
      <c r="D279">
        <v>17</v>
      </c>
      <c r="E279">
        <v>0</v>
      </c>
      <c r="F279" s="15">
        <v>2684.69</v>
      </c>
      <c r="G279" t="s">
        <v>11</v>
      </c>
      <c r="H279" t="s">
        <v>11</v>
      </c>
      <c r="I279" t="s">
        <v>13</v>
      </c>
      <c r="J279" s="11">
        <f>DATE(B279,MATCH(C279,{"Jan","Feb","Mar","Apr","May","Jun","Jul","Aug","Sep","Oct","Nov","Dec"},0),D279)</f>
        <v>34594</v>
      </c>
      <c r="K279">
        <f t="shared" si="4"/>
        <v>28</v>
      </c>
    </row>
    <row r="280" spans="1:11" x14ac:dyDescent="0.35">
      <c r="A280" t="s">
        <v>309</v>
      </c>
      <c r="B280">
        <v>1994</v>
      </c>
      <c r="C280" t="s">
        <v>37</v>
      </c>
      <c r="D280">
        <v>2</v>
      </c>
      <c r="E280">
        <v>0</v>
      </c>
      <c r="F280" s="15">
        <v>2689.5</v>
      </c>
      <c r="G280" t="s">
        <v>12</v>
      </c>
      <c r="H280" t="s">
        <v>11</v>
      </c>
      <c r="I280" t="s">
        <v>13</v>
      </c>
      <c r="J280" s="11">
        <f>DATE(B280,MATCH(C280,{"Jan","Feb","Mar","Apr","May","Jun","Jul","Aug","Sep","Oct","Nov","Dec"},0),D280)</f>
        <v>34609</v>
      </c>
      <c r="K280">
        <f t="shared" si="4"/>
        <v>28</v>
      </c>
    </row>
    <row r="281" spans="1:11" x14ac:dyDescent="0.35">
      <c r="A281" t="s">
        <v>310</v>
      </c>
      <c r="B281">
        <v>1999</v>
      </c>
      <c r="C281" t="s">
        <v>18</v>
      </c>
      <c r="D281">
        <v>11</v>
      </c>
      <c r="E281">
        <v>0</v>
      </c>
      <c r="F281" s="15">
        <v>2690.11</v>
      </c>
      <c r="G281" t="s">
        <v>11</v>
      </c>
      <c r="H281" t="s">
        <v>11</v>
      </c>
      <c r="I281" t="s">
        <v>23</v>
      </c>
      <c r="J281" s="11">
        <f>DATE(B281,MATCH(C281,{"Jan","Feb","Mar","Apr","May","Jun","Jul","Aug","Sep","Oct","Nov","Dec"},0),D281)</f>
        <v>36322</v>
      </c>
      <c r="K281">
        <f t="shared" si="4"/>
        <v>23</v>
      </c>
    </row>
    <row r="282" spans="1:11" x14ac:dyDescent="0.35">
      <c r="A282" t="s">
        <v>311</v>
      </c>
      <c r="B282">
        <v>1996</v>
      </c>
      <c r="C282" t="s">
        <v>18</v>
      </c>
      <c r="D282">
        <v>13</v>
      </c>
      <c r="E282">
        <v>0</v>
      </c>
      <c r="F282" s="15">
        <v>2699.57</v>
      </c>
      <c r="G282" t="s">
        <v>11</v>
      </c>
      <c r="H282" t="s">
        <v>16</v>
      </c>
      <c r="I282" t="s">
        <v>23</v>
      </c>
      <c r="J282" s="11">
        <f>DATE(B282,MATCH(C282,{"Jan","Feb","Mar","Apr","May","Jun","Jul","Aug","Sep","Oct","Nov","Dec"},0),D282)</f>
        <v>35229</v>
      </c>
      <c r="K282">
        <f t="shared" si="4"/>
        <v>26</v>
      </c>
    </row>
    <row r="283" spans="1:11" x14ac:dyDescent="0.35">
      <c r="A283" t="s">
        <v>312</v>
      </c>
      <c r="B283">
        <v>2003</v>
      </c>
      <c r="C283" t="s">
        <v>10</v>
      </c>
      <c r="D283">
        <v>17</v>
      </c>
      <c r="E283">
        <v>1</v>
      </c>
      <c r="F283" s="15">
        <v>2709.11</v>
      </c>
      <c r="G283" t="s">
        <v>11</v>
      </c>
      <c r="H283" t="s">
        <v>11</v>
      </c>
      <c r="I283" t="s">
        <v>23</v>
      </c>
      <c r="J283" s="11">
        <f>DATE(B283,MATCH(C283,{"Jan","Feb","Mar","Apr","May","Jun","Jul","Aug","Sep","Oct","Nov","Dec"},0),D283)</f>
        <v>37819</v>
      </c>
      <c r="K283">
        <f t="shared" si="4"/>
        <v>19</v>
      </c>
    </row>
    <row r="284" spans="1:11" x14ac:dyDescent="0.35">
      <c r="A284" t="s">
        <v>313</v>
      </c>
      <c r="B284">
        <v>2003</v>
      </c>
      <c r="C284" t="s">
        <v>15</v>
      </c>
      <c r="D284">
        <v>21</v>
      </c>
      <c r="E284">
        <v>1</v>
      </c>
      <c r="F284" s="15">
        <v>2709.24</v>
      </c>
      <c r="G284" t="s">
        <v>11</v>
      </c>
      <c r="H284" t="s">
        <v>11</v>
      </c>
      <c r="I284" t="s">
        <v>23</v>
      </c>
      <c r="J284" s="11">
        <f>DATE(B284,MATCH(C284,{"Jan","Feb","Mar","Apr","May","Jun","Jul","Aug","Sep","Oct","Nov","Dec"},0),D284)</f>
        <v>37946</v>
      </c>
      <c r="K284">
        <f t="shared" si="4"/>
        <v>19</v>
      </c>
    </row>
    <row r="285" spans="1:11" x14ac:dyDescent="0.35">
      <c r="A285" t="s">
        <v>314</v>
      </c>
      <c r="B285">
        <v>2003</v>
      </c>
      <c r="C285" t="s">
        <v>30</v>
      </c>
      <c r="D285">
        <v>1</v>
      </c>
      <c r="E285">
        <v>1</v>
      </c>
      <c r="F285" s="15">
        <v>2710.83</v>
      </c>
      <c r="G285" t="s">
        <v>11</v>
      </c>
      <c r="H285" t="s">
        <v>12</v>
      </c>
      <c r="I285" t="s">
        <v>23</v>
      </c>
      <c r="J285" s="11">
        <f>DATE(B285,MATCH(C285,{"Jan","Feb","Mar","Apr","May","Jun","Jul","Aug","Sep","Oct","Nov","Dec"},0),D285)</f>
        <v>37956</v>
      </c>
      <c r="K285">
        <f t="shared" si="4"/>
        <v>19</v>
      </c>
    </row>
    <row r="286" spans="1:11" x14ac:dyDescent="0.35">
      <c r="A286" t="s">
        <v>315</v>
      </c>
      <c r="B286">
        <v>2003</v>
      </c>
      <c r="C286" t="s">
        <v>35</v>
      </c>
      <c r="D286">
        <v>6</v>
      </c>
      <c r="E286">
        <v>1</v>
      </c>
      <c r="F286" s="15">
        <v>2719.28</v>
      </c>
      <c r="G286" t="s">
        <v>11</v>
      </c>
      <c r="H286" t="s">
        <v>11</v>
      </c>
      <c r="I286" t="s">
        <v>23</v>
      </c>
      <c r="J286" s="11">
        <f>DATE(B286,MATCH(C286,{"Jan","Feb","Mar","Apr","May","Jun","Jul","Aug","Sep","Oct","Nov","Dec"},0),D286)</f>
        <v>37839</v>
      </c>
      <c r="K286">
        <f t="shared" si="4"/>
        <v>19</v>
      </c>
    </row>
    <row r="287" spans="1:11" x14ac:dyDescent="0.35">
      <c r="A287" t="s">
        <v>316</v>
      </c>
      <c r="B287">
        <v>1997</v>
      </c>
      <c r="C287" t="s">
        <v>37</v>
      </c>
      <c r="D287">
        <v>30</v>
      </c>
      <c r="E287">
        <v>0</v>
      </c>
      <c r="F287" s="15">
        <v>2721.32</v>
      </c>
      <c r="G287" t="s">
        <v>16</v>
      </c>
      <c r="H287" t="s">
        <v>12</v>
      </c>
      <c r="I287" t="s">
        <v>276</v>
      </c>
      <c r="J287" s="11">
        <f>DATE(B287,MATCH(C287,{"Jan","Feb","Mar","Apr","May","Jun","Jul","Aug","Sep","Oct","Nov","Dec"},0),D287)</f>
        <v>35733</v>
      </c>
      <c r="K287">
        <f t="shared" si="4"/>
        <v>25</v>
      </c>
    </row>
    <row r="288" spans="1:11" x14ac:dyDescent="0.35">
      <c r="A288" t="s">
        <v>317</v>
      </c>
      <c r="B288">
        <v>1988</v>
      </c>
      <c r="C288" t="s">
        <v>35</v>
      </c>
      <c r="D288">
        <v>20</v>
      </c>
      <c r="E288">
        <v>3</v>
      </c>
      <c r="F288" s="15">
        <v>2726.06</v>
      </c>
      <c r="G288" t="s">
        <v>11</v>
      </c>
      <c r="H288" t="s">
        <v>11</v>
      </c>
      <c r="I288" t="s">
        <v>13</v>
      </c>
      <c r="J288" s="11">
        <f>DATE(B288,MATCH(C288,{"Jan","Feb","Mar","Apr","May","Jun","Jul","Aug","Sep","Oct","Nov","Dec"},0),D288)</f>
        <v>32375</v>
      </c>
      <c r="K288">
        <f t="shared" si="4"/>
        <v>34</v>
      </c>
    </row>
    <row r="289" spans="1:11" x14ac:dyDescent="0.35">
      <c r="A289" t="s">
        <v>318</v>
      </c>
      <c r="B289">
        <v>1997</v>
      </c>
      <c r="C289" t="s">
        <v>37</v>
      </c>
      <c r="D289">
        <v>6</v>
      </c>
      <c r="E289">
        <v>0</v>
      </c>
      <c r="F289" s="15">
        <v>2727.4</v>
      </c>
      <c r="G289" t="s">
        <v>12</v>
      </c>
      <c r="H289" t="s">
        <v>12</v>
      </c>
      <c r="I289" t="s">
        <v>168</v>
      </c>
      <c r="J289" s="11">
        <f>DATE(B289,MATCH(C289,{"Jan","Feb","Mar","Apr","May","Jun","Jul","Aug","Sep","Oct","Nov","Dec"},0),D289)</f>
        <v>35709</v>
      </c>
      <c r="K289">
        <f t="shared" si="4"/>
        <v>25</v>
      </c>
    </row>
    <row r="290" spans="1:11" x14ac:dyDescent="0.35">
      <c r="A290" t="s">
        <v>319</v>
      </c>
      <c r="B290">
        <v>2003</v>
      </c>
      <c r="C290" t="s">
        <v>30</v>
      </c>
      <c r="D290">
        <v>3</v>
      </c>
      <c r="E290">
        <v>1</v>
      </c>
      <c r="F290" s="15">
        <v>2730.11</v>
      </c>
      <c r="G290" t="s">
        <v>11</v>
      </c>
      <c r="H290" t="s">
        <v>12</v>
      </c>
      <c r="I290" t="s">
        <v>23</v>
      </c>
      <c r="J290" s="11">
        <f>DATE(B290,MATCH(C290,{"Jan","Feb","Mar","Apr","May","Jun","Jul","Aug","Sep","Oct","Nov","Dec"},0),D290)</f>
        <v>37958</v>
      </c>
      <c r="K290">
        <f t="shared" si="4"/>
        <v>19</v>
      </c>
    </row>
    <row r="291" spans="1:11" x14ac:dyDescent="0.35">
      <c r="A291" t="s">
        <v>320</v>
      </c>
      <c r="B291">
        <v>2000</v>
      </c>
      <c r="C291" t="s">
        <v>30</v>
      </c>
      <c r="D291">
        <v>17</v>
      </c>
      <c r="E291">
        <v>0</v>
      </c>
      <c r="F291" s="15">
        <v>2731.91</v>
      </c>
      <c r="G291" t="s">
        <v>11</v>
      </c>
      <c r="H291" t="s">
        <v>12</v>
      </c>
      <c r="I291" t="s">
        <v>247</v>
      </c>
      <c r="J291" s="11">
        <f>DATE(B291,MATCH(C291,{"Jan","Feb","Mar","Apr","May","Jun","Jul","Aug","Sep","Oct","Nov","Dec"},0),D291)</f>
        <v>36877</v>
      </c>
      <c r="K291">
        <f t="shared" si="4"/>
        <v>22</v>
      </c>
    </row>
    <row r="292" spans="1:11" x14ac:dyDescent="0.35">
      <c r="A292" t="s">
        <v>321</v>
      </c>
      <c r="B292">
        <v>2000</v>
      </c>
      <c r="C292" t="s">
        <v>37</v>
      </c>
      <c r="D292">
        <v>3</v>
      </c>
      <c r="E292">
        <v>0</v>
      </c>
      <c r="F292" s="15">
        <v>2741.95</v>
      </c>
      <c r="G292" t="s">
        <v>11</v>
      </c>
      <c r="H292" t="s">
        <v>12</v>
      </c>
      <c r="I292" t="s">
        <v>247</v>
      </c>
      <c r="J292" s="11">
        <f>DATE(B292,MATCH(C292,{"Jan","Feb","Mar","Apr","May","Jun","Jul","Aug","Sep","Oct","Nov","Dec"},0),D292)</f>
        <v>36802</v>
      </c>
      <c r="K292">
        <f t="shared" si="4"/>
        <v>22</v>
      </c>
    </row>
    <row r="293" spans="1:11" x14ac:dyDescent="0.35">
      <c r="A293" t="s">
        <v>322</v>
      </c>
      <c r="B293">
        <v>2000</v>
      </c>
      <c r="C293" t="s">
        <v>37</v>
      </c>
      <c r="D293">
        <v>11</v>
      </c>
      <c r="E293">
        <v>0</v>
      </c>
      <c r="F293" s="15">
        <v>2755.02</v>
      </c>
      <c r="G293" t="s">
        <v>11</v>
      </c>
      <c r="H293" t="s">
        <v>16</v>
      </c>
      <c r="I293" t="s">
        <v>247</v>
      </c>
      <c r="J293" s="11">
        <f>DATE(B293,MATCH(C293,{"Jan","Feb","Mar","Apr","May","Jun","Jul","Aug","Sep","Oct","Nov","Dec"},0),D293)</f>
        <v>36810</v>
      </c>
      <c r="K293">
        <f t="shared" si="4"/>
        <v>22</v>
      </c>
    </row>
    <row r="294" spans="1:11" x14ac:dyDescent="0.35">
      <c r="A294" t="s">
        <v>323</v>
      </c>
      <c r="B294">
        <v>1997</v>
      </c>
      <c r="C294" t="s">
        <v>35</v>
      </c>
      <c r="D294">
        <v>10</v>
      </c>
      <c r="E294">
        <v>0</v>
      </c>
      <c r="F294" s="15">
        <v>2758.99</v>
      </c>
      <c r="G294" t="s">
        <v>11</v>
      </c>
      <c r="H294" t="s">
        <v>16</v>
      </c>
      <c r="I294" t="s">
        <v>23</v>
      </c>
      <c r="J294" s="11">
        <f>DATE(B294,MATCH(C294,{"Jan","Feb","Mar","Apr","May","Jun","Jul","Aug","Sep","Oct","Nov","Dec"},0),D294)</f>
        <v>35652</v>
      </c>
      <c r="K294">
        <f t="shared" si="4"/>
        <v>25</v>
      </c>
    </row>
    <row r="295" spans="1:11" x14ac:dyDescent="0.35">
      <c r="A295" t="s">
        <v>324</v>
      </c>
      <c r="B295">
        <v>2004</v>
      </c>
      <c r="C295" t="s">
        <v>15</v>
      </c>
      <c r="D295">
        <v>14</v>
      </c>
      <c r="E295">
        <v>0</v>
      </c>
      <c r="F295" s="15">
        <v>2773.46</v>
      </c>
      <c r="G295" t="s">
        <v>11</v>
      </c>
      <c r="H295" t="s">
        <v>16</v>
      </c>
      <c r="I295" t="s">
        <v>300</v>
      </c>
      <c r="J295" s="11">
        <f>DATE(B295,MATCH(C295,{"Jan","Feb","Mar","Apr","May","Jun","Jul","Aug","Sep","Oct","Nov","Dec"},0),D295)</f>
        <v>38305</v>
      </c>
      <c r="K295">
        <f t="shared" si="4"/>
        <v>18</v>
      </c>
    </row>
    <row r="296" spans="1:11" x14ac:dyDescent="0.35">
      <c r="A296" t="s">
        <v>31</v>
      </c>
      <c r="B296">
        <v>1999</v>
      </c>
      <c r="C296" t="s">
        <v>18</v>
      </c>
      <c r="D296">
        <v>9</v>
      </c>
      <c r="E296">
        <v>1</v>
      </c>
      <c r="F296" s="15">
        <v>2775.19</v>
      </c>
      <c r="G296" t="s">
        <v>11</v>
      </c>
      <c r="H296" t="s">
        <v>16</v>
      </c>
      <c r="I296" t="s">
        <v>23</v>
      </c>
      <c r="J296" s="11">
        <f>DATE(B296,MATCH(C296,{"Jan","Feb","Mar","Apr","May","Jun","Jul","Aug","Sep","Oct","Nov","Dec"},0),D296)</f>
        <v>36320</v>
      </c>
      <c r="K296">
        <f t="shared" si="4"/>
        <v>23</v>
      </c>
    </row>
    <row r="297" spans="1:11" x14ac:dyDescent="0.35">
      <c r="A297" t="s">
        <v>325</v>
      </c>
      <c r="B297">
        <v>1999</v>
      </c>
      <c r="C297" t="s">
        <v>35</v>
      </c>
      <c r="D297">
        <v>29</v>
      </c>
      <c r="E297">
        <v>1</v>
      </c>
      <c r="F297" s="15">
        <v>2775.19</v>
      </c>
      <c r="G297" t="s">
        <v>11</v>
      </c>
      <c r="H297" t="s">
        <v>16</v>
      </c>
      <c r="I297" t="s">
        <v>23</v>
      </c>
      <c r="J297" s="11">
        <f>DATE(B297,MATCH(C297,{"Jan","Feb","Mar","Apr","May","Jun","Jul","Aug","Sep","Oct","Nov","Dec"},0),D297)</f>
        <v>36401</v>
      </c>
      <c r="K297">
        <f t="shared" si="4"/>
        <v>23</v>
      </c>
    </row>
    <row r="298" spans="1:11" x14ac:dyDescent="0.35">
      <c r="A298" t="s">
        <v>326</v>
      </c>
      <c r="B298">
        <v>1999</v>
      </c>
      <c r="C298" t="s">
        <v>30</v>
      </c>
      <c r="D298">
        <v>24</v>
      </c>
      <c r="E298">
        <v>1</v>
      </c>
      <c r="F298" s="15">
        <v>2789.06</v>
      </c>
      <c r="G298" t="s">
        <v>11</v>
      </c>
      <c r="H298" t="s">
        <v>12</v>
      </c>
      <c r="I298" t="s">
        <v>23</v>
      </c>
      <c r="J298" s="11">
        <f>DATE(B298,MATCH(C298,{"Jan","Feb","Mar","Apr","May","Jun","Jul","Aug","Sep","Oct","Nov","Dec"},0),D298)</f>
        <v>36518</v>
      </c>
      <c r="K298">
        <f t="shared" si="4"/>
        <v>23</v>
      </c>
    </row>
    <row r="299" spans="1:11" x14ac:dyDescent="0.35">
      <c r="A299" t="s">
        <v>327</v>
      </c>
      <c r="B299">
        <v>2004</v>
      </c>
      <c r="C299" t="s">
        <v>35</v>
      </c>
      <c r="D299">
        <v>4</v>
      </c>
      <c r="E299">
        <v>2</v>
      </c>
      <c r="F299" s="15">
        <v>2801.26</v>
      </c>
      <c r="G299" t="s">
        <v>11</v>
      </c>
      <c r="H299" t="s">
        <v>12</v>
      </c>
      <c r="I299" t="s">
        <v>13</v>
      </c>
      <c r="J299" s="11">
        <f>DATE(B299,MATCH(C299,{"Jan","Feb","Mar","Apr","May","Jun","Jul","Aug","Sep","Oct","Nov","Dec"},0),D299)</f>
        <v>38203</v>
      </c>
      <c r="K299">
        <f t="shared" si="4"/>
        <v>18</v>
      </c>
    </row>
    <row r="300" spans="1:11" x14ac:dyDescent="0.35">
      <c r="A300" t="s">
        <v>328</v>
      </c>
      <c r="B300">
        <v>2003</v>
      </c>
      <c r="C300" t="s">
        <v>20</v>
      </c>
      <c r="D300">
        <v>23</v>
      </c>
      <c r="E300">
        <v>2</v>
      </c>
      <c r="F300" s="15">
        <v>2803.7</v>
      </c>
      <c r="G300" t="s">
        <v>11</v>
      </c>
      <c r="H300" t="s">
        <v>16</v>
      </c>
      <c r="I300" t="s">
        <v>23</v>
      </c>
      <c r="J300" s="11">
        <f>DATE(B300,MATCH(C300,{"Jan","Feb","Mar","Apr","May","Jun","Jul","Aug","Sep","Oct","Nov","Dec"},0),D300)</f>
        <v>37887</v>
      </c>
      <c r="K300">
        <f t="shared" si="4"/>
        <v>19</v>
      </c>
    </row>
    <row r="301" spans="1:11" x14ac:dyDescent="0.35">
      <c r="A301" t="s">
        <v>329</v>
      </c>
      <c r="B301">
        <v>2000</v>
      </c>
      <c r="C301" t="s">
        <v>37</v>
      </c>
      <c r="D301">
        <v>1</v>
      </c>
      <c r="E301">
        <v>0</v>
      </c>
      <c r="F301" s="15">
        <v>2819.51</v>
      </c>
      <c r="G301" t="s">
        <v>11</v>
      </c>
      <c r="H301" t="s">
        <v>12</v>
      </c>
      <c r="I301" t="s">
        <v>42</v>
      </c>
      <c r="J301" s="11">
        <f>DATE(B301,MATCH(C301,{"Jan","Feb","Mar","Apr","May","Jun","Jul","Aug","Sep","Oct","Nov","Dec"},0),D301)</f>
        <v>36800</v>
      </c>
      <c r="K301">
        <f t="shared" si="4"/>
        <v>22</v>
      </c>
    </row>
    <row r="302" spans="1:11" x14ac:dyDescent="0.35">
      <c r="A302" t="s">
        <v>330</v>
      </c>
      <c r="B302">
        <v>1998</v>
      </c>
      <c r="C302" t="s">
        <v>15</v>
      </c>
      <c r="D302">
        <v>15</v>
      </c>
      <c r="E302">
        <v>0</v>
      </c>
      <c r="F302" s="15">
        <v>2842.76</v>
      </c>
      <c r="G302" t="s">
        <v>11</v>
      </c>
      <c r="H302" t="s">
        <v>12</v>
      </c>
      <c r="I302" t="s">
        <v>23</v>
      </c>
      <c r="J302" s="11">
        <f>DATE(B302,MATCH(C302,{"Jan","Feb","Mar","Apr","May","Jun","Jul","Aug","Sep","Oct","Nov","Dec"},0),D302)</f>
        <v>36114</v>
      </c>
      <c r="K302">
        <f t="shared" si="4"/>
        <v>24</v>
      </c>
    </row>
    <row r="303" spans="1:11" x14ac:dyDescent="0.35">
      <c r="A303" t="s">
        <v>331</v>
      </c>
      <c r="B303">
        <v>1998</v>
      </c>
      <c r="C303" t="s">
        <v>18</v>
      </c>
      <c r="D303">
        <v>17</v>
      </c>
      <c r="E303">
        <v>0</v>
      </c>
      <c r="F303" s="15">
        <v>2850.68</v>
      </c>
      <c r="G303" t="s">
        <v>11</v>
      </c>
      <c r="H303" t="s">
        <v>12</v>
      </c>
      <c r="I303" t="s">
        <v>23</v>
      </c>
      <c r="J303" s="11">
        <f>DATE(B303,MATCH(C303,{"Jan","Feb","Mar","Apr","May","Jun","Jul","Aug","Sep","Oct","Nov","Dec"},0),D303)</f>
        <v>35963</v>
      </c>
      <c r="K303">
        <f t="shared" si="4"/>
        <v>24</v>
      </c>
    </row>
    <row r="304" spans="1:11" x14ac:dyDescent="0.35">
      <c r="A304" t="s">
        <v>332</v>
      </c>
      <c r="B304">
        <v>1998</v>
      </c>
      <c r="C304" t="s">
        <v>20</v>
      </c>
      <c r="D304">
        <v>4</v>
      </c>
      <c r="E304">
        <v>0</v>
      </c>
      <c r="F304" s="15">
        <v>2855.44</v>
      </c>
      <c r="G304" t="s">
        <v>11</v>
      </c>
      <c r="H304" t="s">
        <v>12</v>
      </c>
      <c r="I304" t="s">
        <v>23</v>
      </c>
      <c r="J304" s="11">
        <f>DATE(B304,MATCH(C304,{"Jan","Feb","Mar","Apr","May","Jun","Jul","Aug","Sep","Oct","Nov","Dec"},0),D304)</f>
        <v>36042</v>
      </c>
      <c r="K304">
        <f t="shared" si="4"/>
        <v>24</v>
      </c>
    </row>
    <row r="305" spans="1:11" x14ac:dyDescent="0.35">
      <c r="A305" t="s">
        <v>333</v>
      </c>
      <c r="B305">
        <v>1993</v>
      </c>
      <c r="C305" t="s">
        <v>15</v>
      </c>
      <c r="D305">
        <v>1</v>
      </c>
      <c r="E305">
        <v>0</v>
      </c>
      <c r="F305" s="15">
        <v>2866.09</v>
      </c>
      <c r="G305" t="s">
        <v>12</v>
      </c>
      <c r="H305" t="s">
        <v>12</v>
      </c>
      <c r="I305" t="s">
        <v>42</v>
      </c>
      <c r="J305" s="11">
        <f>DATE(B305,MATCH(C305,{"Jan","Feb","Mar","Apr","May","Jun","Jul","Aug","Sep","Oct","Nov","Dec"},0),D305)</f>
        <v>34274</v>
      </c>
      <c r="K305">
        <f t="shared" si="4"/>
        <v>29</v>
      </c>
    </row>
    <row r="306" spans="1:11" x14ac:dyDescent="0.35">
      <c r="A306" t="s">
        <v>334</v>
      </c>
      <c r="B306">
        <v>1993</v>
      </c>
      <c r="C306" t="s">
        <v>35</v>
      </c>
      <c r="D306">
        <v>12</v>
      </c>
      <c r="E306">
        <v>0</v>
      </c>
      <c r="F306" s="15">
        <v>2867.12</v>
      </c>
      <c r="G306" t="s">
        <v>16</v>
      </c>
      <c r="H306" t="s">
        <v>12</v>
      </c>
      <c r="I306" t="s">
        <v>13</v>
      </c>
      <c r="J306" s="11">
        <f>DATE(B306,MATCH(C306,{"Jan","Feb","Mar","Apr","May","Jun","Jul","Aug","Sep","Oct","Nov","Dec"},0),D306)</f>
        <v>34193</v>
      </c>
      <c r="K306">
        <f t="shared" si="4"/>
        <v>29</v>
      </c>
    </row>
    <row r="307" spans="1:11" x14ac:dyDescent="0.35">
      <c r="A307" t="s">
        <v>335</v>
      </c>
      <c r="B307">
        <v>1996</v>
      </c>
      <c r="C307" t="s">
        <v>18</v>
      </c>
      <c r="D307">
        <v>21</v>
      </c>
      <c r="E307">
        <v>0</v>
      </c>
      <c r="F307" s="15">
        <v>2897.32</v>
      </c>
      <c r="G307" t="s">
        <v>12</v>
      </c>
      <c r="H307" t="s">
        <v>12</v>
      </c>
      <c r="I307" t="s">
        <v>168</v>
      </c>
      <c r="J307" s="11">
        <f>DATE(B307,MATCH(C307,{"Jan","Feb","Mar","Apr","May","Jun","Jul","Aug","Sep","Oct","Nov","Dec"},0),D307)</f>
        <v>35237</v>
      </c>
      <c r="K307">
        <f t="shared" si="4"/>
        <v>26</v>
      </c>
    </row>
    <row r="308" spans="1:11" x14ac:dyDescent="0.35">
      <c r="A308" t="s">
        <v>336</v>
      </c>
      <c r="B308">
        <v>2000</v>
      </c>
      <c r="C308" t="s">
        <v>10</v>
      </c>
      <c r="D308">
        <v>14</v>
      </c>
      <c r="E308">
        <v>0</v>
      </c>
      <c r="F308" s="15">
        <v>2897.46</v>
      </c>
      <c r="G308" t="s">
        <v>11</v>
      </c>
      <c r="H308" t="s">
        <v>16</v>
      </c>
      <c r="I308" t="s">
        <v>23</v>
      </c>
      <c r="J308" s="11">
        <f>DATE(B308,MATCH(C308,{"Jan","Feb","Mar","Apr","May","Jun","Jul","Aug","Sep","Oct","Nov","Dec"},0),D308)</f>
        <v>36721</v>
      </c>
      <c r="K308">
        <f t="shared" si="4"/>
        <v>22</v>
      </c>
    </row>
    <row r="309" spans="1:11" x14ac:dyDescent="0.35">
      <c r="A309" t="s">
        <v>337</v>
      </c>
      <c r="B309">
        <v>1999</v>
      </c>
      <c r="C309" t="s">
        <v>15</v>
      </c>
      <c r="D309">
        <v>1</v>
      </c>
      <c r="E309">
        <v>0</v>
      </c>
      <c r="F309" s="15">
        <v>2899.49</v>
      </c>
      <c r="G309" t="s">
        <v>11</v>
      </c>
      <c r="H309" t="s">
        <v>11</v>
      </c>
      <c r="I309" t="s">
        <v>247</v>
      </c>
      <c r="J309" s="11">
        <f>DATE(B309,MATCH(C309,{"Jan","Feb","Mar","Apr","May","Jun","Jul","Aug","Sep","Oct","Nov","Dec"},0),D309)</f>
        <v>36465</v>
      </c>
      <c r="K309">
        <f t="shared" si="4"/>
        <v>23</v>
      </c>
    </row>
    <row r="310" spans="1:11" x14ac:dyDescent="0.35">
      <c r="A310" t="s">
        <v>338</v>
      </c>
      <c r="B310">
        <v>1996</v>
      </c>
      <c r="C310" t="s">
        <v>37</v>
      </c>
      <c r="D310">
        <v>24</v>
      </c>
      <c r="E310">
        <v>1</v>
      </c>
      <c r="F310" s="15">
        <v>2902.91</v>
      </c>
      <c r="G310" t="s">
        <v>11</v>
      </c>
      <c r="H310" t="s">
        <v>11</v>
      </c>
      <c r="I310" t="s">
        <v>13</v>
      </c>
      <c r="J310" s="11">
        <f>DATE(B310,MATCH(C310,{"Jan","Feb","Mar","Apr","May","Jun","Jul","Aug","Sep","Oct","Nov","Dec"},0),D310)</f>
        <v>35362</v>
      </c>
      <c r="K310">
        <f t="shared" si="4"/>
        <v>26</v>
      </c>
    </row>
    <row r="311" spans="1:11" x14ac:dyDescent="0.35">
      <c r="A311" t="s">
        <v>339</v>
      </c>
      <c r="B311">
        <v>1996</v>
      </c>
      <c r="C311" t="s">
        <v>18</v>
      </c>
      <c r="D311">
        <v>13</v>
      </c>
      <c r="E311">
        <v>1</v>
      </c>
      <c r="F311" s="15">
        <v>2904.09</v>
      </c>
      <c r="G311" t="s">
        <v>11</v>
      </c>
      <c r="H311" t="s">
        <v>11</v>
      </c>
      <c r="I311" t="s">
        <v>42</v>
      </c>
      <c r="J311" s="11">
        <f>DATE(B311,MATCH(C311,{"Jan","Feb","Mar","Apr","May","Jun","Jul","Aug","Sep","Oct","Nov","Dec"},0),D311)</f>
        <v>35229</v>
      </c>
      <c r="K311">
        <f t="shared" si="4"/>
        <v>26</v>
      </c>
    </row>
    <row r="312" spans="1:11" x14ac:dyDescent="0.35">
      <c r="A312" t="s">
        <v>340</v>
      </c>
      <c r="B312">
        <v>2003</v>
      </c>
      <c r="C312" t="s">
        <v>18</v>
      </c>
      <c r="D312">
        <v>5</v>
      </c>
      <c r="E312">
        <v>2</v>
      </c>
      <c r="F312" s="15">
        <v>2913.57</v>
      </c>
      <c r="G312" t="s">
        <v>11</v>
      </c>
      <c r="H312" t="s">
        <v>11</v>
      </c>
      <c r="I312" t="s">
        <v>42</v>
      </c>
      <c r="J312" s="11">
        <f>DATE(B312,MATCH(C312,{"Jan","Feb","Mar","Apr","May","Jun","Jul","Aug","Sep","Oct","Nov","Dec"},0),D312)</f>
        <v>37777</v>
      </c>
      <c r="K312">
        <f t="shared" si="4"/>
        <v>20</v>
      </c>
    </row>
    <row r="313" spans="1:11" x14ac:dyDescent="0.35">
      <c r="A313" t="s">
        <v>341</v>
      </c>
      <c r="B313">
        <v>1996</v>
      </c>
      <c r="C313" t="s">
        <v>18</v>
      </c>
      <c r="D313">
        <v>30</v>
      </c>
      <c r="E313">
        <v>1</v>
      </c>
      <c r="F313" s="15">
        <v>2927.06</v>
      </c>
      <c r="G313" t="s">
        <v>11</v>
      </c>
      <c r="H313" t="s">
        <v>11</v>
      </c>
      <c r="I313" t="s">
        <v>13</v>
      </c>
      <c r="J313" s="11">
        <f>DATE(B313,MATCH(C313,{"Jan","Feb","Mar","Apr","May","Jun","Jul","Aug","Sep","Oct","Nov","Dec"},0),D313)</f>
        <v>35246</v>
      </c>
      <c r="K313">
        <f t="shared" si="4"/>
        <v>26</v>
      </c>
    </row>
    <row r="314" spans="1:11" x14ac:dyDescent="0.35">
      <c r="A314" t="s">
        <v>342</v>
      </c>
      <c r="B314">
        <v>2002</v>
      </c>
      <c r="C314" t="s">
        <v>20</v>
      </c>
      <c r="D314">
        <v>30</v>
      </c>
      <c r="E314">
        <v>0</v>
      </c>
      <c r="F314" s="15">
        <v>2943.41</v>
      </c>
      <c r="G314" t="s">
        <v>11</v>
      </c>
      <c r="H314" t="s">
        <v>12</v>
      </c>
      <c r="I314" t="s">
        <v>23</v>
      </c>
      <c r="J314" s="11">
        <f>DATE(B314,MATCH(C314,{"Jan","Feb","Mar","Apr","May","Jun","Jul","Aug","Sep","Oct","Nov","Dec"},0),D314)</f>
        <v>37529</v>
      </c>
      <c r="K314">
        <f t="shared" si="4"/>
        <v>20</v>
      </c>
    </row>
    <row r="315" spans="1:11" x14ac:dyDescent="0.35">
      <c r="A315" t="s">
        <v>343</v>
      </c>
      <c r="B315">
        <v>1995</v>
      </c>
      <c r="C315" t="s">
        <v>20</v>
      </c>
      <c r="D315">
        <v>24</v>
      </c>
      <c r="E315">
        <v>0</v>
      </c>
      <c r="F315" s="15">
        <v>2974.13</v>
      </c>
      <c r="G315" t="s">
        <v>11</v>
      </c>
      <c r="H315" t="s">
        <v>16</v>
      </c>
      <c r="I315" t="s">
        <v>42</v>
      </c>
      <c r="J315" s="11">
        <f>DATE(B315,MATCH(C315,{"Jan","Feb","Mar","Apr","May","Jun","Jul","Aug","Sep","Oct","Nov","Dec"},0),D315)</f>
        <v>34966</v>
      </c>
      <c r="K315">
        <f t="shared" si="4"/>
        <v>27</v>
      </c>
    </row>
    <row r="316" spans="1:11" x14ac:dyDescent="0.35">
      <c r="A316" t="s">
        <v>344</v>
      </c>
      <c r="B316">
        <v>1987</v>
      </c>
      <c r="C316" t="s">
        <v>18</v>
      </c>
      <c r="D316">
        <v>18</v>
      </c>
      <c r="E316">
        <v>3</v>
      </c>
      <c r="F316" s="15">
        <v>2979.52</v>
      </c>
      <c r="G316" t="s">
        <v>11</v>
      </c>
      <c r="H316" t="s">
        <v>12</v>
      </c>
      <c r="I316" t="s">
        <v>13</v>
      </c>
      <c r="J316" s="11">
        <f>DATE(B316,MATCH(C316,{"Jan","Feb","Mar","Apr","May","Jun","Jul","Aug","Sep","Oct","Nov","Dec"},0),D316)</f>
        <v>31946</v>
      </c>
      <c r="K316">
        <f t="shared" si="4"/>
        <v>35</v>
      </c>
    </row>
    <row r="317" spans="1:11" x14ac:dyDescent="0.35">
      <c r="A317" t="s">
        <v>345</v>
      </c>
      <c r="B317">
        <v>1991</v>
      </c>
      <c r="C317" t="s">
        <v>15</v>
      </c>
      <c r="D317">
        <v>20</v>
      </c>
      <c r="E317">
        <v>3</v>
      </c>
      <c r="F317" s="15">
        <v>2985.67</v>
      </c>
      <c r="G317" t="s">
        <v>11</v>
      </c>
      <c r="H317" t="s">
        <v>11</v>
      </c>
      <c r="I317" t="s">
        <v>13</v>
      </c>
      <c r="J317" s="11">
        <f>DATE(B317,MATCH(C317,{"Jan","Feb","Mar","Apr","May","Jun","Jul","Aug","Sep","Oct","Nov","Dec"},0),D317)</f>
        <v>33562</v>
      </c>
      <c r="K317">
        <f t="shared" si="4"/>
        <v>31</v>
      </c>
    </row>
    <row r="318" spans="1:11" x14ac:dyDescent="0.35">
      <c r="A318" t="s">
        <v>346</v>
      </c>
      <c r="B318">
        <v>2002</v>
      </c>
      <c r="C318" t="s">
        <v>30</v>
      </c>
      <c r="D318">
        <v>15</v>
      </c>
      <c r="E318">
        <v>0</v>
      </c>
      <c r="F318" s="15">
        <v>3012.22</v>
      </c>
      <c r="G318" t="s">
        <v>11</v>
      </c>
      <c r="H318" t="s">
        <v>12</v>
      </c>
      <c r="I318" t="s">
        <v>23</v>
      </c>
      <c r="J318" s="11">
        <f>DATE(B318,MATCH(C318,{"Jan","Feb","Mar","Apr","May","Jun","Jul","Aug","Sep","Oct","Nov","Dec"},0),D318)</f>
        <v>37605</v>
      </c>
      <c r="K318">
        <f t="shared" si="4"/>
        <v>20</v>
      </c>
    </row>
    <row r="319" spans="1:11" x14ac:dyDescent="0.35">
      <c r="A319" t="s">
        <v>347</v>
      </c>
      <c r="B319">
        <v>1988</v>
      </c>
      <c r="C319" t="s">
        <v>20</v>
      </c>
      <c r="D319">
        <v>28</v>
      </c>
      <c r="E319">
        <v>3</v>
      </c>
      <c r="F319" s="15">
        <v>3018.04</v>
      </c>
      <c r="G319" t="s">
        <v>11</v>
      </c>
      <c r="H319" t="s">
        <v>11</v>
      </c>
      <c r="I319" t="s">
        <v>23</v>
      </c>
      <c r="J319" s="11">
        <f>DATE(B319,MATCH(C319,{"Jan","Feb","Mar","Apr","May","Jun","Jul","Aug","Sep","Oct","Nov","Dec"},0),D319)</f>
        <v>32414</v>
      </c>
      <c r="K319">
        <f t="shared" si="4"/>
        <v>34</v>
      </c>
    </row>
    <row r="320" spans="1:11" x14ac:dyDescent="0.35">
      <c r="A320" t="s">
        <v>348</v>
      </c>
      <c r="B320">
        <v>1997</v>
      </c>
      <c r="C320" t="s">
        <v>30</v>
      </c>
      <c r="D320">
        <v>19</v>
      </c>
      <c r="E320">
        <v>0</v>
      </c>
      <c r="F320" s="15">
        <v>3021.81</v>
      </c>
      <c r="G320" t="s">
        <v>11</v>
      </c>
      <c r="H320" t="s">
        <v>12</v>
      </c>
      <c r="I320" t="s">
        <v>23</v>
      </c>
      <c r="J320" s="11">
        <f>DATE(B320,MATCH(C320,{"Jan","Feb","Mar","Apr","May","Jun","Jul","Aug","Sep","Oct","Nov","Dec"},0),D320)</f>
        <v>35783</v>
      </c>
      <c r="K320">
        <f t="shared" si="4"/>
        <v>25</v>
      </c>
    </row>
    <row r="321" spans="1:11" x14ac:dyDescent="0.35">
      <c r="A321" t="s">
        <v>349</v>
      </c>
      <c r="B321">
        <v>1998</v>
      </c>
      <c r="C321" t="s">
        <v>20</v>
      </c>
      <c r="D321">
        <v>15</v>
      </c>
      <c r="E321">
        <v>0</v>
      </c>
      <c r="F321" s="15">
        <v>3044.21</v>
      </c>
      <c r="G321" t="s">
        <v>11</v>
      </c>
      <c r="H321" t="s">
        <v>12</v>
      </c>
      <c r="I321" t="s">
        <v>247</v>
      </c>
      <c r="J321" s="11">
        <f>DATE(B321,MATCH(C321,{"Jan","Feb","Mar","Apr","May","Jun","Jul","Aug","Sep","Oct","Nov","Dec"},0),D321)</f>
        <v>36053</v>
      </c>
      <c r="K321">
        <f t="shared" si="4"/>
        <v>24</v>
      </c>
    </row>
    <row r="322" spans="1:11" x14ac:dyDescent="0.35">
      <c r="A322" t="s">
        <v>350</v>
      </c>
      <c r="B322">
        <v>1998</v>
      </c>
      <c r="C322" t="s">
        <v>35</v>
      </c>
      <c r="D322">
        <v>9</v>
      </c>
      <c r="E322">
        <v>0</v>
      </c>
      <c r="F322" s="15">
        <v>3046.06</v>
      </c>
      <c r="G322" t="s">
        <v>11</v>
      </c>
      <c r="H322" t="s">
        <v>16</v>
      </c>
      <c r="I322" t="s">
        <v>249</v>
      </c>
      <c r="J322" s="11">
        <f>DATE(B322,MATCH(C322,{"Jan","Feb","Mar","Apr","May","Jun","Jul","Aug","Sep","Oct","Nov","Dec"},0),D322)</f>
        <v>36016</v>
      </c>
      <c r="K322">
        <f t="shared" si="4"/>
        <v>24</v>
      </c>
    </row>
    <row r="323" spans="1:11" x14ac:dyDescent="0.35">
      <c r="A323" t="s">
        <v>351</v>
      </c>
      <c r="B323">
        <v>1997</v>
      </c>
      <c r="C323" t="s">
        <v>30</v>
      </c>
      <c r="D323">
        <v>22</v>
      </c>
      <c r="E323">
        <v>0</v>
      </c>
      <c r="F323" s="15">
        <v>3051.73</v>
      </c>
      <c r="G323" t="s">
        <v>11</v>
      </c>
      <c r="H323" t="s">
        <v>11</v>
      </c>
      <c r="I323" t="s">
        <v>42</v>
      </c>
      <c r="J323" s="11">
        <f>DATE(B323,MATCH(C323,{"Jan","Feb","Mar","Apr","May","Jun","Jul","Aug","Sep","Oct","Nov","Dec"},0),D323)</f>
        <v>35786</v>
      </c>
      <c r="K323">
        <f t="shared" ref="K323:K386" si="5">DATEDIF(J323,$N$1,"Y")</f>
        <v>25</v>
      </c>
    </row>
    <row r="324" spans="1:11" x14ac:dyDescent="0.35">
      <c r="A324" t="s">
        <v>352</v>
      </c>
      <c r="B324">
        <v>2002</v>
      </c>
      <c r="C324" t="s">
        <v>18</v>
      </c>
      <c r="D324">
        <v>21</v>
      </c>
      <c r="E324">
        <v>2</v>
      </c>
      <c r="F324" s="15">
        <v>3056.39</v>
      </c>
      <c r="G324" t="s">
        <v>11</v>
      </c>
      <c r="H324" t="s">
        <v>12</v>
      </c>
      <c r="I324" t="s">
        <v>13</v>
      </c>
      <c r="J324" s="11">
        <f>DATE(B324,MATCH(C324,{"Jan","Feb","Mar","Apr","May","Jun","Jul","Aug","Sep","Oct","Nov","Dec"},0),D324)</f>
        <v>37428</v>
      </c>
      <c r="K324">
        <f t="shared" si="5"/>
        <v>20</v>
      </c>
    </row>
    <row r="325" spans="1:11" x14ac:dyDescent="0.35">
      <c r="A325" t="s">
        <v>353</v>
      </c>
      <c r="B325">
        <v>1994</v>
      </c>
      <c r="C325" t="s">
        <v>20</v>
      </c>
      <c r="D325">
        <v>26</v>
      </c>
      <c r="E325">
        <v>0</v>
      </c>
      <c r="F325" s="15">
        <v>3062.51</v>
      </c>
      <c r="G325" t="s">
        <v>12</v>
      </c>
      <c r="H325" t="s">
        <v>16</v>
      </c>
      <c r="I325" t="s">
        <v>23</v>
      </c>
      <c r="J325" s="11">
        <f>DATE(B325,MATCH(C325,{"Jan","Feb","Mar","Apr","May","Jun","Jul","Aug","Sep","Oct","Nov","Dec"},0),D325)</f>
        <v>34603</v>
      </c>
      <c r="K325">
        <f t="shared" si="5"/>
        <v>28</v>
      </c>
    </row>
    <row r="326" spans="1:11" x14ac:dyDescent="0.35">
      <c r="A326" t="s">
        <v>354</v>
      </c>
      <c r="B326">
        <v>1989</v>
      </c>
      <c r="C326" t="s">
        <v>37</v>
      </c>
      <c r="D326">
        <v>1</v>
      </c>
      <c r="E326">
        <v>3</v>
      </c>
      <c r="F326" s="15">
        <v>3065.49</v>
      </c>
      <c r="G326" t="s">
        <v>11</v>
      </c>
      <c r="H326" t="s">
        <v>16</v>
      </c>
      <c r="I326" t="s">
        <v>23</v>
      </c>
      <c r="J326" s="11">
        <f>DATE(B326,MATCH(C326,{"Jan","Feb","Mar","Apr","May","Jun","Jul","Aug","Sep","Oct","Nov","Dec"},0),D326)</f>
        <v>32782</v>
      </c>
      <c r="K326">
        <f t="shared" si="5"/>
        <v>33</v>
      </c>
    </row>
    <row r="327" spans="1:11" x14ac:dyDescent="0.35">
      <c r="A327" t="s">
        <v>355</v>
      </c>
      <c r="B327">
        <v>1995</v>
      </c>
      <c r="C327" t="s">
        <v>20</v>
      </c>
      <c r="D327">
        <v>10</v>
      </c>
      <c r="E327">
        <v>0</v>
      </c>
      <c r="F327" s="15">
        <v>3070.81</v>
      </c>
      <c r="G327" t="s">
        <v>12</v>
      </c>
      <c r="H327" t="s">
        <v>16</v>
      </c>
      <c r="I327" t="s">
        <v>356</v>
      </c>
      <c r="J327" s="11">
        <f>DATE(B327,MATCH(C327,{"Jan","Feb","Mar","Apr","May","Jun","Jul","Aug","Sep","Oct","Nov","Dec"},0),D327)</f>
        <v>34952</v>
      </c>
      <c r="K327">
        <f t="shared" si="5"/>
        <v>27</v>
      </c>
    </row>
    <row r="328" spans="1:11" x14ac:dyDescent="0.35">
      <c r="A328" t="s">
        <v>357</v>
      </c>
      <c r="B328">
        <v>2001</v>
      </c>
      <c r="C328" t="s">
        <v>37</v>
      </c>
      <c r="D328">
        <v>13</v>
      </c>
      <c r="E328">
        <v>2</v>
      </c>
      <c r="F328" s="15">
        <v>3077.1</v>
      </c>
      <c r="G328" t="s">
        <v>11</v>
      </c>
      <c r="H328" t="s">
        <v>16</v>
      </c>
      <c r="I328" t="s">
        <v>23</v>
      </c>
      <c r="J328" s="11">
        <f>DATE(B328,MATCH(C328,{"Jan","Feb","Mar","Apr","May","Jun","Jul","Aug","Sep","Oct","Nov","Dec"},0),D328)</f>
        <v>37177</v>
      </c>
      <c r="K328">
        <f t="shared" si="5"/>
        <v>21</v>
      </c>
    </row>
    <row r="329" spans="1:11" x14ac:dyDescent="0.35">
      <c r="A329" t="s">
        <v>358</v>
      </c>
      <c r="B329">
        <v>1987</v>
      </c>
      <c r="C329" t="s">
        <v>35</v>
      </c>
      <c r="D329">
        <v>1</v>
      </c>
      <c r="E329">
        <v>3</v>
      </c>
      <c r="F329" s="15">
        <v>3088.06</v>
      </c>
      <c r="G329" t="s">
        <v>11</v>
      </c>
      <c r="H329" t="s">
        <v>11</v>
      </c>
      <c r="I329" t="s">
        <v>13</v>
      </c>
      <c r="J329" s="11">
        <f>DATE(B329,MATCH(C329,{"Jan","Feb","Mar","Apr","May","Jun","Jul","Aug","Sep","Oct","Nov","Dec"},0),D329)</f>
        <v>31990</v>
      </c>
      <c r="K329">
        <f t="shared" si="5"/>
        <v>35</v>
      </c>
    </row>
    <row r="330" spans="1:11" x14ac:dyDescent="0.35">
      <c r="A330" t="s">
        <v>359</v>
      </c>
      <c r="B330">
        <v>1999</v>
      </c>
      <c r="C330" t="s">
        <v>18</v>
      </c>
      <c r="D330">
        <v>25</v>
      </c>
      <c r="E330">
        <v>0</v>
      </c>
      <c r="F330" s="15">
        <v>3128.35</v>
      </c>
      <c r="G330" t="s">
        <v>11</v>
      </c>
      <c r="H330" t="s">
        <v>12</v>
      </c>
      <c r="I330" t="s">
        <v>300</v>
      </c>
      <c r="J330" s="11">
        <f>DATE(B330,MATCH(C330,{"Jan","Feb","Mar","Apr","May","Jun","Jul","Aug","Sep","Oct","Nov","Dec"},0),D330)</f>
        <v>36336</v>
      </c>
      <c r="K330">
        <f t="shared" si="5"/>
        <v>23</v>
      </c>
    </row>
    <row r="331" spans="1:11" x14ac:dyDescent="0.35">
      <c r="A331" t="s">
        <v>360</v>
      </c>
      <c r="B331">
        <v>1994</v>
      </c>
      <c r="C331" t="s">
        <v>10</v>
      </c>
      <c r="D331">
        <v>10</v>
      </c>
      <c r="E331">
        <v>0</v>
      </c>
      <c r="F331" s="15">
        <v>3161.45</v>
      </c>
      <c r="G331" t="s">
        <v>11</v>
      </c>
      <c r="H331" t="s">
        <v>16</v>
      </c>
      <c r="I331" t="s">
        <v>42</v>
      </c>
      <c r="J331" s="11">
        <f>DATE(B331,MATCH(C331,{"Jan","Feb","Mar","Apr","May","Jun","Jul","Aug","Sep","Oct","Nov","Dec"},0),D331)</f>
        <v>34525</v>
      </c>
      <c r="K331">
        <f t="shared" si="5"/>
        <v>28</v>
      </c>
    </row>
    <row r="332" spans="1:11" x14ac:dyDescent="0.35">
      <c r="A332" t="s">
        <v>361</v>
      </c>
      <c r="B332">
        <v>1993</v>
      </c>
      <c r="C332" t="s">
        <v>20</v>
      </c>
      <c r="D332">
        <v>25</v>
      </c>
      <c r="E332">
        <v>0</v>
      </c>
      <c r="F332" s="15">
        <v>3162.02</v>
      </c>
      <c r="G332" t="s">
        <v>11</v>
      </c>
      <c r="H332" t="s">
        <v>12</v>
      </c>
      <c r="I332" t="s">
        <v>13</v>
      </c>
      <c r="J332" s="11">
        <f>DATE(B332,MATCH(C332,{"Jan","Feb","Mar","Apr","May","Jun","Jul","Aug","Sep","Oct","Nov","Dec"},0),D332)</f>
        <v>34237</v>
      </c>
      <c r="K332">
        <f t="shared" si="5"/>
        <v>29</v>
      </c>
    </row>
    <row r="333" spans="1:11" x14ac:dyDescent="0.35">
      <c r="A333" t="s">
        <v>362</v>
      </c>
      <c r="B333">
        <v>2001</v>
      </c>
      <c r="C333" t="s">
        <v>35</v>
      </c>
      <c r="D333">
        <v>29</v>
      </c>
      <c r="E333">
        <v>1</v>
      </c>
      <c r="F333" s="15">
        <v>3167.46</v>
      </c>
      <c r="G333" t="s">
        <v>11</v>
      </c>
      <c r="H333" t="s">
        <v>12</v>
      </c>
      <c r="I333" t="s">
        <v>247</v>
      </c>
      <c r="J333" s="11">
        <f>DATE(B333,MATCH(C333,{"Jan","Feb","Mar","Apr","May","Jun","Jul","Aug","Sep","Oct","Nov","Dec"},0),D333)</f>
        <v>37132</v>
      </c>
      <c r="K333">
        <f t="shared" si="5"/>
        <v>21</v>
      </c>
    </row>
    <row r="334" spans="1:11" x14ac:dyDescent="0.35">
      <c r="A334" t="s">
        <v>363</v>
      </c>
      <c r="B334">
        <v>1994</v>
      </c>
      <c r="C334" t="s">
        <v>37</v>
      </c>
      <c r="D334">
        <v>25</v>
      </c>
      <c r="E334">
        <v>0</v>
      </c>
      <c r="F334" s="15">
        <v>3171.61</v>
      </c>
      <c r="G334" t="s">
        <v>11</v>
      </c>
      <c r="H334" t="s">
        <v>12</v>
      </c>
      <c r="I334" t="s">
        <v>13</v>
      </c>
      <c r="J334" s="11">
        <f>DATE(B334,MATCH(C334,{"Jan","Feb","Mar","Apr","May","Jun","Jul","Aug","Sep","Oct","Nov","Dec"},0),D334)</f>
        <v>34632</v>
      </c>
      <c r="K334">
        <f t="shared" si="5"/>
        <v>28</v>
      </c>
    </row>
    <row r="335" spans="1:11" x14ac:dyDescent="0.35">
      <c r="A335" t="s">
        <v>364</v>
      </c>
      <c r="B335">
        <v>1994</v>
      </c>
      <c r="C335" t="s">
        <v>10</v>
      </c>
      <c r="D335">
        <v>6</v>
      </c>
      <c r="E335">
        <v>0</v>
      </c>
      <c r="F335" s="15">
        <v>3172.02</v>
      </c>
      <c r="G335" t="s">
        <v>11</v>
      </c>
      <c r="H335" t="s">
        <v>16</v>
      </c>
      <c r="I335" t="s">
        <v>42</v>
      </c>
      <c r="J335" s="11">
        <f>DATE(B335,MATCH(C335,{"Jan","Feb","Mar","Apr","May","Jun","Jul","Aug","Sep","Oct","Nov","Dec"},0),D335)</f>
        <v>34521</v>
      </c>
      <c r="K335">
        <f t="shared" si="5"/>
        <v>28</v>
      </c>
    </row>
    <row r="336" spans="1:11" x14ac:dyDescent="0.35">
      <c r="A336" t="s">
        <v>365</v>
      </c>
      <c r="B336">
        <v>1996</v>
      </c>
      <c r="C336" t="s">
        <v>35</v>
      </c>
      <c r="D336">
        <v>14</v>
      </c>
      <c r="E336">
        <v>0</v>
      </c>
      <c r="F336" s="15">
        <v>3176.29</v>
      </c>
      <c r="G336" t="s">
        <v>11</v>
      </c>
      <c r="H336" t="s">
        <v>11</v>
      </c>
      <c r="I336" t="s">
        <v>23</v>
      </c>
      <c r="J336" s="11">
        <f>DATE(B336,MATCH(C336,{"Jan","Feb","Mar","Apr","May","Jun","Jul","Aug","Sep","Oct","Nov","Dec"},0),D336)</f>
        <v>35291</v>
      </c>
      <c r="K336">
        <f t="shared" si="5"/>
        <v>26</v>
      </c>
    </row>
    <row r="337" spans="1:11" x14ac:dyDescent="0.35">
      <c r="A337" t="s">
        <v>366</v>
      </c>
      <c r="B337">
        <v>1996</v>
      </c>
      <c r="C337" t="s">
        <v>10</v>
      </c>
      <c r="D337">
        <v>3</v>
      </c>
      <c r="E337">
        <v>0</v>
      </c>
      <c r="F337" s="15">
        <v>3176.82</v>
      </c>
      <c r="G337" t="s">
        <v>11</v>
      </c>
      <c r="H337" t="s">
        <v>16</v>
      </c>
      <c r="I337" t="s">
        <v>23</v>
      </c>
      <c r="J337" s="11">
        <f>DATE(B337,MATCH(C337,{"Jan","Feb","Mar","Apr","May","Jun","Jul","Aug","Sep","Oct","Nov","Dec"},0),D337)</f>
        <v>35249</v>
      </c>
      <c r="K337">
        <f t="shared" si="5"/>
        <v>26</v>
      </c>
    </row>
    <row r="338" spans="1:11" x14ac:dyDescent="0.35">
      <c r="A338" t="s">
        <v>367</v>
      </c>
      <c r="B338">
        <v>2000</v>
      </c>
      <c r="C338" t="s">
        <v>20</v>
      </c>
      <c r="D338">
        <v>23</v>
      </c>
      <c r="E338">
        <v>0</v>
      </c>
      <c r="F338" s="15">
        <v>3179.96</v>
      </c>
      <c r="G338" t="s">
        <v>11</v>
      </c>
      <c r="H338" t="s">
        <v>11</v>
      </c>
      <c r="I338" t="s">
        <v>23</v>
      </c>
      <c r="J338" s="11">
        <f>DATE(B338,MATCH(C338,{"Jan","Feb","Mar","Apr","May","Jun","Jul","Aug","Sep","Oct","Nov","Dec"},0),D338)</f>
        <v>36792</v>
      </c>
      <c r="K338">
        <f t="shared" si="5"/>
        <v>22</v>
      </c>
    </row>
    <row r="339" spans="1:11" x14ac:dyDescent="0.35">
      <c r="A339" t="s">
        <v>368</v>
      </c>
      <c r="B339">
        <v>2001</v>
      </c>
      <c r="C339" t="s">
        <v>20</v>
      </c>
      <c r="D339">
        <v>2</v>
      </c>
      <c r="E339">
        <v>2</v>
      </c>
      <c r="F339" s="15">
        <v>3180.51</v>
      </c>
      <c r="G339" t="s">
        <v>11</v>
      </c>
      <c r="H339" t="s">
        <v>11</v>
      </c>
      <c r="I339" t="s">
        <v>13</v>
      </c>
      <c r="J339" s="11">
        <f>DATE(B339,MATCH(C339,{"Jan","Feb","Mar","Apr","May","Jun","Jul","Aug","Sep","Oct","Nov","Dec"},0),D339)</f>
        <v>37136</v>
      </c>
      <c r="K339">
        <f t="shared" si="5"/>
        <v>21</v>
      </c>
    </row>
    <row r="340" spans="1:11" x14ac:dyDescent="0.35">
      <c r="A340" t="s">
        <v>369</v>
      </c>
      <c r="B340">
        <v>1996</v>
      </c>
      <c r="C340" t="s">
        <v>37</v>
      </c>
      <c r="D340">
        <v>11</v>
      </c>
      <c r="E340">
        <v>0</v>
      </c>
      <c r="F340" s="15">
        <v>3201.25</v>
      </c>
      <c r="G340" t="s">
        <v>11</v>
      </c>
      <c r="H340" t="s">
        <v>12</v>
      </c>
      <c r="I340" t="s">
        <v>23</v>
      </c>
      <c r="J340" s="11">
        <f>DATE(B340,MATCH(C340,{"Jan","Feb","Mar","Apr","May","Jun","Jul","Aug","Sep","Oct","Nov","Dec"},0),D340)</f>
        <v>35349</v>
      </c>
      <c r="K340">
        <f t="shared" si="5"/>
        <v>26</v>
      </c>
    </row>
    <row r="341" spans="1:11" x14ac:dyDescent="0.35">
      <c r="A341" t="s">
        <v>370</v>
      </c>
      <c r="B341">
        <v>1997</v>
      </c>
      <c r="C341" t="s">
        <v>10</v>
      </c>
      <c r="D341">
        <v>5</v>
      </c>
      <c r="E341">
        <v>0</v>
      </c>
      <c r="F341" s="15">
        <v>3206.49</v>
      </c>
      <c r="G341" t="s">
        <v>11</v>
      </c>
      <c r="H341" t="s">
        <v>12</v>
      </c>
      <c r="I341" t="s">
        <v>247</v>
      </c>
      <c r="J341" s="11">
        <f>DATE(B341,MATCH(C341,{"Jan","Feb","Mar","Apr","May","Jun","Jul","Aug","Sep","Oct","Nov","Dec"},0),D341)</f>
        <v>35616</v>
      </c>
      <c r="K341">
        <f t="shared" si="5"/>
        <v>25</v>
      </c>
    </row>
    <row r="342" spans="1:11" x14ac:dyDescent="0.35">
      <c r="A342" t="s">
        <v>371</v>
      </c>
      <c r="B342">
        <v>1997</v>
      </c>
      <c r="C342" t="s">
        <v>30</v>
      </c>
      <c r="D342">
        <v>22</v>
      </c>
      <c r="E342">
        <v>1</v>
      </c>
      <c r="F342" s="15">
        <v>3208.79</v>
      </c>
      <c r="G342" t="s">
        <v>11</v>
      </c>
      <c r="H342" t="s">
        <v>12</v>
      </c>
      <c r="I342" t="s">
        <v>42</v>
      </c>
      <c r="J342" s="11">
        <f>DATE(B342,MATCH(C342,{"Jan","Feb","Mar","Apr","May","Jun","Jul","Aug","Sep","Oct","Nov","Dec"},0),D342)</f>
        <v>35786</v>
      </c>
      <c r="K342">
        <f t="shared" si="5"/>
        <v>25</v>
      </c>
    </row>
    <row r="343" spans="1:11" x14ac:dyDescent="0.35">
      <c r="A343" t="s">
        <v>372</v>
      </c>
      <c r="B343">
        <v>1997</v>
      </c>
      <c r="C343" t="s">
        <v>10</v>
      </c>
      <c r="D343">
        <v>6</v>
      </c>
      <c r="E343">
        <v>0</v>
      </c>
      <c r="F343" s="15">
        <v>3213.62</v>
      </c>
      <c r="G343" t="s">
        <v>11</v>
      </c>
      <c r="H343" t="s">
        <v>11</v>
      </c>
      <c r="I343" t="s">
        <v>247</v>
      </c>
      <c r="J343" s="11">
        <f>DATE(B343,MATCH(C343,{"Jan","Feb","Mar","Apr","May","Jun","Jul","Aug","Sep","Oct","Nov","Dec"},0),D343)</f>
        <v>35617</v>
      </c>
      <c r="K343">
        <f t="shared" si="5"/>
        <v>25</v>
      </c>
    </row>
    <row r="344" spans="1:11" x14ac:dyDescent="0.35">
      <c r="A344" t="s">
        <v>373</v>
      </c>
      <c r="B344">
        <v>1997</v>
      </c>
      <c r="C344" t="s">
        <v>35</v>
      </c>
      <c r="D344">
        <v>2</v>
      </c>
      <c r="E344">
        <v>1</v>
      </c>
      <c r="F344" s="15">
        <v>3227.12</v>
      </c>
      <c r="G344" t="s">
        <v>11</v>
      </c>
      <c r="H344" t="s">
        <v>12</v>
      </c>
      <c r="I344" t="s">
        <v>13</v>
      </c>
      <c r="J344" s="11">
        <f>DATE(B344,MATCH(C344,{"Jan","Feb","Mar","Apr","May","Jun","Jul","Aug","Sep","Oct","Nov","Dec"},0),D344)</f>
        <v>35644</v>
      </c>
      <c r="K344">
        <f t="shared" si="5"/>
        <v>25</v>
      </c>
    </row>
    <row r="345" spans="1:11" x14ac:dyDescent="0.35">
      <c r="A345" t="s">
        <v>374</v>
      </c>
      <c r="B345">
        <v>1997</v>
      </c>
      <c r="C345" t="s">
        <v>20</v>
      </c>
      <c r="D345">
        <v>2</v>
      </c>
      <c r="E345">
        <v>1</v>
      </c>
      <c r="F345" s="15">
        <v>3238.44</v>
      </c>
      <c r="G345" t="s">
        <v>11</v>
      </c>
      <c r="H345" t="s">
        <v>12</v>
      </c>
      <c r="I345" t="s">
        <v>13</v>
      </c>
      <c r="J345" s="11">
        <f>DATE(B345,MATCH(C345,{"Jan","Feb","Mar","Apr","May","Jun","Jul","Aug","Sep","Oct","Nov","Dec"},0),D345)</f>
        <v>35675</v>
      </c>
      <c r="K345">
        <f t="shared" si="5"/>
        <v>25</v>
      </c>
    </row>
    <row r="346" spans="1:11" x14ac:dyDescent="0.35">
      <c r="A346" t="s">
        <v>375</v>
      </c>
      <c r="B346">
        <v>1991</v>
      </c>
      <c r="C346" t="s">
        <v>15</v>
      </c>
      <c r="D346">
        <v>13</v>
      </c>
      <c r="E346">
        <v>0</v>
      </c>
      <c r="F346" s="15">
        <v>3260.2</v>
      </c>
      <c r="G346" t="s">
        <v>12</v>
      </c>
      <c r="H346" t="s">
        <v>11</v>
      </c>
      <c r="I346" t="s">
        <v>42</v>
      </c>
      <c r="J346" s="11">
        <f>DATE(B346,MATCH(C346,{"Jan","Feb","Mar","Apr","May","Jun","Jul","Aug","Sep","Oct","Nov","Dec"},0),D346)</f>
        <v>33555</v>
      </c>
      <c r="K346">
        <f t="shared" si="5"/>
        <v>31</v>
      </c>
    </row>
    <row r="347" spans="1:11" x14ac:dyDescent="0.35">
      <c r="A347" t="s">
        <v>376</v>
      </c>
      <c r="B347">
        <v>1994</v>
      </c>
      <c r="C347" t="s">
        <v>30</v>
      </c>
      <c r="D347">
        <v>2</v>
      </c>
      <c r="E347">
        <v>0</v>
      </c>
      <c r="F347" s="15">
        <v>3268.85</v>
      </c>
      <c r="G347" t="s">
        <v>12</v>
      </c>
      <c r="H347" t="s">
        <v>16</v>
      </c>
      <c r="I347" t="s">
        <v>168</v>
      </c>
      <c r="J347" s="11">
        <f>DATE(B347,MATCH(C347,{"Jan","Feb","Mar","Apr","May","Jun","Jul","Aug","Sep","Oct","Nov","Dec"},0),D347)</f>
        <v>34670</v>
      </c>
      <c r="K347">
        <f t="shared" si="5"/>
        <v>28</v>
      </c>
    </row>
    <row r="348" spans="1:11" x14ac:dyDescent="0.35">
      <c r="A348" t="s">
        <v>377</v>
      </c>
      <c r="B348">
        <v>1994</v>
      </c>
      <c r="C348" t="s">
        <v>10</v>
      </c>
      <c r="D348">
        <v>1</v>
      </c>
      <c r="E348">
        <v>1</v>
      </c>
      <c r="F348" s="15">
        <v>3277.16</v>
      </c>
      <c r="G348" t="s">
        <v>11</v>
      </c>
      <c r="H348" t="s">
        <v>12</v>
      </c>
      <c r="I348" t="s">
        <v>42</v>
      </c>
      <c r="J348" s="11">
        <f>DATE(B348,MATCH(C348,{"Jan","Feb","Mar","Apr","May","Jun","Jul","Aug","Sep","Oct","Nov","Dec"},0),D348)</f>
        <v>34516</v>
      </c>
      <c r="K348">
        <f t="shared" si="5"/>
        <v>28</v>
      </c>
    </row>
    <row r="349" spans="1:11" x14ac:dyDescent="0.35">
      <c r="A349" t="s">
        <v>378</v>
      </c>
      <c r="B349">
        <v>2001</v>
      </c>
      <c r="C349" t="s">
        <v>37</v>
      </c>
      <c r="D349">
        <v>6</v>
      </c>
      <c r="E349">
        <v>2</v>
      </c>
      <c r="F349" s="15">
        <v>3279.87</v>
      </c>
      <c r="G349" t="s">
        <v>11</v>
      </c>
      <c r="H349" t="s">
        <v>16</v>
      </c>
      <c r="I349" t="s">
        <v>356</v>
      </c>
      <c r="J349" s="11">
        <f>DATE(B349,MATCH(C349,{"Jan","Feb","Mar","Apr","May","Jun","Jul","Aug","Sep","Oct","Nov","Dec"},0),D349)</f>
        <v>37170</v>
      </c>
      <c r="K349">
        <f t="shared" si="5"/>
        <v>21</v>
      </c>
    </row>
    <row r="350" spans="1:11" x14ac:dyDescent="0.35">
      <c r="A350" t="s">
        <v>379</v>
      </c>
      <c r="B350">
        <v>2003</v>
      </c>
      <c r="C350" t="s">
        <v>10</v>
      </c>
      <c r="D350">
        <v>3</v>
      </c>
      <c r="E350">
        <v>0</v>
      </c>
      <c r="F350" s="15">
        <v>3280.22</v>
      </c>
      <c r="G350" t="s">
        <v>11</v>
      </c>
      <c r="H350" t="s">
        <v>12</v>
      </c>
      <c r="I350" t="s">
        <v>42</v>
      </c>
      <c r="J350" s="11">
        <f>DATE(B350,MATCH(C350,{"Jan","Feb","Mar","Apr","May","Jun","Jul","Aug","Sep","Oct","Nov","Dec"},0),D350)</f>
        <v>37805</v>
      </c>
      <c r="K350">
        <f t="shared" si="5"/>
        <v>19</v>
      </c>
    </row>
    <row r="351" spans="1:11" x14ac:dyDescent="0.35">
      <c r="A351" t="s">
        <v>380</v>
      </c>
      <c r="B351">
        <v>1996</v>
      </c>
      <c r="C351" t="s">
        <v>15</v>
      </c>
      <c r="D351">
        <v>17</v>
      </c>
      <c r="E351">
        <v>1</v>
      </c>
      <c r="F351" s="15">
        <v>3292.53</v>
      </c>
      <c r="G351" t="s">
        <v>11</v>
      </c>
      <c r="H351" t="s">
        <v>11</v>
      </c>
      <c r="I351" t="s">
        <v>23</v>
      </c>
      <c r="J351" s="11">
        <f>DATE(B351,MATCH(C351,{"Jan","Feb","Mar","Apr","May","Jun","Jul","Aug","Sep","Oct","Nov","Dec"},0),D351)</f>
        <v>35386</v>
      </c>
      <c r="K351">
        <f t="shared" si="5"/>
        <v>26</v>
      </c>
    </row>
    <row r="352" spans="1:11" x14ac:dyDescent="0.35">
      <c r="A352" t="s">
        <v>381</v>
      </c>
      <c r="B352">
        <v>2003</v>
      </c>
      <c r="C352" t="s">
        <v>30</v>
      </c>
      <c r="D352">
        <v>5</v>
      </c>
      <c r="E352">
        <v>0</v>
      </c>
      <c r="F352" s="15">
        <v>3300.7</v>
      </c>
      <c r="G352" t="s">
        <v>11</v>
      </c>
      <c r="H352" t="s">
        <v>11</v>
      </c>
      <c r="I352" t="s">
        <v>200</v>
      </c>
      <c r="J352" s="11">
        <f>DATE(B352,MATCH(C352,{"Jan","Feb","Mar","Apr","May","Jun","Jul","Aug","Sep","Oct","Nov","Dec"},0),D352)</f>
        <v>37960</v>
      </c>
      <c r="K352">
        <f t="shared" si="5"/>
        <v>19</v>
      </c>
    </row>
    <row r="353" spans="1:11" x14ac:dyDescent="0.35">
      <c r="A353" t="s">
        <v>382</v>
      </c>
      <c r="B353">
        <v>2003</v>
      </c>
      <c r="C353" t="s">
        <v>15</v>
      </c>
      <c r="D353">
        <v>18</v>
      </c>
      <c r="E353">
        <v>0</v>
      </c>
      <c r="F353" s="15">
        <v>3308.46</v>
      </c>
      <c r="G353" t="s">
        <v>11</v>
      </c>
      <c r="H353" t="s">
        <v>16</v>
      </c>
      <c r="I353" t="s">
        <v>300</v>
      </c>
      <c r="J353" s="11">
        <f>DATE(B353,MATCH(C353,{"Jan","Feb","Mar","Apr","May","Jun","Jul","Aug","Sep","Oct","Nov","Dec"},0),D353)</f>
        <v>37943</v>
      </c>
      <c r="K353">
        <f t="shared" si="5"/>
        <v>19</v>
      </c>
    </row>
    <row r="354" spans="1:11" x14ac:dyDescent="0.35">
      <c r="A354" t="s">
        <v>383</v>
      </c>
      <c r="B354">
        <v>1997</v>
      </c>
      <c r="C354" t="s">
        <v>18</v>
      </c>
      <c r="D354">
        <v>20</v>
      </c>
      <c r="E354">
        <v>1</v>
      </c>
      <c r="F354" s="15">
        <v>3309.79</v>
      </c>
      <c r="G354" t="s">
        <v>12</v>
      </c>
      <c r="H354" t="s">
        <v>12</v>
      </c>
      <c r="I354" t="s">
        <v>356</v>
      </c>
      <c r="J354" s="11">
        <f>DATE(B354,MATCH(C354,{"Jan","Feb","Mar","Apr","May","Jun","Jul","Aug","Sep","Oct","Nov","Dec"},0),D354)</f>
        <v>35601</v>
      </c>
      <c r="K354">
        <f t="shared" si="5"/>
        <v>25</v>
      </c>
    </row>
    <row r="355" spans="1:11" x14ac:dyDescent="0.35">
      <c r="A355" t="s">
        <v>384</v>
      </c>
      <c r="B355">
        <v>1991</v>
      </c>
      <c r="C355" t="s">
        <v>20</v>
      </c>
      <c r="D355">
        <v>1</v>
      </c>
      <c r="E355">
        <v>3</v>
      </c>
      <c r="F355" s="15">
        <v>3342.79</v>
      </c>
      <c r="G355" t="s">
        <v>11</v>
      </c>
      <c r="H355" t="s">
        <v>16</v>
      </c>
      <c r="I355" t="s">
        <v>13</v>
      </c>
      <c r="J355" s="11">
        <f>DATE(B355,MATCH(C355,{"Jan","Feb","Mar","Apr","May","Jun","Jul","Aug","Sep","Oct","Nov","Dec"},0),D355)</f>
        <v>33482</v>
      </c>
      <c r="K355">
        <f t="shared" si="5"/>
        <v>31</v>
      </c>
    </row>
    <row r="356" spans="1:11" x14ac:dyDescent="0.35">
      <c r="A356" t="s">
        <v>385</v>
      </c>
      <c r="B356">
        <v>1993</v>
      </c>
      <c r="C356" t="s">
        <v>37</v>
      </c>
      <c r="D356">
        <v>28</v>
      </c>
      <c r="E356">
        <v>0</v>
      </c>
      <c r="F356" s="15">
        <v>3353.28</v>
      </c>
      <c r="G356" t="s">
        <v>11</v>
      </c>
      <c r="H356" t="s">
        <v>16</v>
      </c>
      <c r="I356" t="s">
        <v>42</v>
      </c>
      <c r="J356" s="11">
        <f>DATE(B356,MATCH(C356,{"Jan","Feb","Mar","Apr","May","Jun","Jul","Aug","Sep","Oct","Nov","Dec"},0),D356)</f>
        <v>34270</v>
      </c>
      <c r="K356">
        <f t="shared" si="5"/>
        <v>29</v>
      </c>
    </row>
    <row r="357" spans="1:11" x14ac:dyDescent="0.35">
      <c r="A357" t="s">
        <v>386</v>
      </c>
      <c r="B357">
        <v>1995</v>
      </c>
      <c r="C357" t="s">
        <v>18</v>
      </c>
      <c r="D357">
        <v>23</v>
      </c>
      <c r="E357">
        <v>0</v>
      </c>
      <c r="F357" s="15">
        <v>3353.47</v>
      </c>
      <c r="G357" t="s">
        <v>11</v>
      </c>
      <c r="H357" t="s">
        <v>12</v>
      </c>
      <c r="I357" t="s">
        <v>23</v>
      </c>
      <c r="J357" s="11">
        <f>DATE(B357,MATCH(C357,{"Jan","Feb","Mar","Apr","May","Jun","Jul","Aug","Sep","Oct","Nov","Dec"},0),D357)</f>
        <v>34873</v>
      </c>
      <c r="K357">
        <f t="shared" si="5"/>
        <v>27</v>
      </c>
    </row>
    <row r="358" spans="1:11" x14ac:dyDescent="0.35">
      <c r="A358" t="s">
        <v>387</v>
      </c>
      <c r="B358">
        <v>1993</v>
      </c>
      <c r="C358" t="s">
        <v>37</v>
      </c>
      <c r="D358">
        <v>7</v>
      </c>
      <c r="E358">
        <v>0</v>
      </c>
      <c r="F358" s="15">
        <v>3366.67</v>
      </c>
      <c r="G358" t="s">
        <v>11</v>
      </c>
      <c r="H358" t="s">
        <v>11</v>
      </c>
      <c r="I358" t="s">
        <v>13</v>
      </c>
      <c r="J358" s="11">
        <f>DATE(B358,MATCH(C358,{"Jan","Feb","Mar","Apr","May","Jun","Jul","Aug","Sep","Oct","Nov","Dec"},0),D358)</f>
        <v>34249</v>
      </c>
      <c r="K358">
        <f t="shared" si="5"/>
        <v>29</v>
      </c>
    </row>
    <row r="359" spans="1:11" x14ac:dyDescent="0.35">
      <c r="A359" t="s">
        <v>388</v>
      </c>
      <c r="B359">
        <v>1996</v>
      </c>
      <c r="C359" t="s">
        <v>30</v>
      </c>
      <c r="D359">
        <v>14</v>
      </c>
      <c r="E359">
        <v>1</v>
      </c>
      <c r="F359" s="15">
        <v>3378.91</v>
      </c>
      <c r="G359" t="s">
        <v>11</v>
      </c>
      <c r="H359" t="s">
        <v>16</v>
      </c>
      <c r="I359" t="s">
        <v>42</v>
      </c>
      <c r="J359" s="11">
        <f>DATE(B359,MATCH(C359,{"Jan","Feb","Mar","Apr","May","Jun","Jul","Aug","Sep","Oct","Nov","Dec"},0),D359)</f>
        <v>35413</v>
      </c>
      <c r="K359">
        <f t="shared" si="5"/>
        <v>26</v>
      </c>
    </row>
    <row r="360" spans="1:11" x14ac:dyDescent="0.35">
      <c r="A360" t="s">
        <v>389</v>
      </c>
      <c r="B360">
        <v>1996</v>
      </c>
      <c r="C360" t="s">
        <v>15</v>
      </c>
      <c r="D360">
        <v>13</v>
      </c>
      <c r="E360">
        <v>0</v>
      </c>
      <c r="F360" s="15">
        <v>3385.4</v>
      </c>
      <c r="G360" t="s">
        <v>11</v>
      </c>
      <c r="H360" t="s">
        <v>11</v>
      </c>
      <c r="I360" t="s">
        <v>247</v>
      </c>
      <c r="J360" s="11">
        <f>DATE(B360,MATCH(C360,{"Jan","Feb","Mar","Apr","May","Jun","Jul","Aug","Sep","Oct","Nov","Dec"},0),D360)</f>
        <v>35382</v>
      </c>
      <c r="K360">
        <f t="shared" si="5"/>
        <v>26</v>
      </c>
    </row>
    <row r="361" spans="1:11" x14ac:dyDescent="0.35">
      <c r="A361" t="s">
        <v>390</v>
      </c>
      <c r="B361">
        <v>1996</v>
      </c>
      <c r="C361" t="s">
        <v>35</v>
      </c>
      <c r="D361">
        <v>10</v>
      </c>
      <c r="E361">
        <v>1</v>
      </c>
      <c r="F361" s="15">
        <v>3392.37</v>
      </c>
      <c r="G361" t="s">
        <v>11</v>
      </c>
      <c r="H361" t="s">
        <v>12</v>
      </c>
      <c r="I361" t="s">
        <v>13</v>
      </c>
      <c r="J361" s="11">
        <f>DATE(B361,MATCH(C361,{"Jan","Feb","Mar","Apr","May","Jun","Jul","Aug","Sep","Oct","Nov","Dec"},0),D361)</f>
        <v>35287</v>
      </c>
      <c r="K361">
        <f t="shared" si="5"/>
        <v>26</v>
      </c>
    </row>
    <row r="362" spans="1:11" x14ac:dyDescent="0.35">
      <c r="A362" t="s">
        <v>391</v>
      </c>
      <c r="B362">
        <v>1996</v>
      </c>
      <c r="C362" t="s">
        <v>37</v>
      </c>
      <c r="D362">
        <v>27</v>
      </c>
      <c r="E362">
        <v>1</v>
      </c>
      <c r="F362" s="15">
        <v>3392.98</v>
      </c>
      <c r="G362" t="s">
        <v>11</v>
      </c>
      <c r="H362" t="s">
        <v>12</v>
      </c>
      <c r="I362" t="s">
        <v>13</v>
      </c>
      <c r="J362" s="11">
        <f>DATE(B362,MATCH(C362,{"Jan","Feb","Mar","Apr","May","Jun","Jul","Aug","Sep","Oct","Nov","Dec"},0),D362)</f>
        <v>35365</v>
      </c>
      <c r="K362">
        <f t="shared" si="5"/>
        <v>26</v>
      </c>
    </row>
    <row r="363" spans="1:11" x14ac:dyDescent="0.35">
      <c r="A363" t="s">
        <v>392</v>
      </c>
      <c r="B363">
        <v>2004</v>
      </c>
      <c r="C363" t="s">
        <v>10</v>
      </c>
      <c r="D363">
        <v>16</v>
      </c>
      <c r="E363">
        <v>2</v>
      </c>
      <c r="F363" s="15">
        <v>3393.36</v>
      </c>
      <c r="G363" t="s">
        <v>11</v>
      </c>
      <c r="H363" t="s">
        <v>11</v>
      </c>
      <c r="I363" t="s">
        <v>249</v>
      </c>
      <c r="J363" s="11">
        <f>DATE(B363,MATCH(C363,{"Jan","Feb","Mar","Apr","May","Jun","Jul","Aug","Sep","Oct","Nov","Dec"},0),D363)</f>
        <v>38184</v>
      </c>
      <c r="K363">
        <f t="shared" si="5"/>
        <v>18</v>
      </c>
    </row>
    <row r="364" spans="1:11" x14ac:dyDescent="0.35">
      <c r="A364" t="s">
        <v>393</v>
      </c>
      <c r="B364">
        <v>1996</v>
      </c>
      <c r="C364" t="s">
        <v>30</v>
      </c>
      <c r="D364">
        <v>19</v>
      </c>
      <c r="E364">
        <v>1</v>
      </c>
      <c r="F364" s="15">
        <v>3410.32</v>
      </c>
      <c r="G364" t="s">
        <v>11</v>
      </c>
      <c r="H364" t="s">
        <v>11</v>
      </c>
      <c r="I364" t="s">
        <v>42</v>
      </c>
      <c r="J364" s="11">
        <f>DATE(B364,MATCH(C364,{"Jan","Feb","Mar","Apr","May","Jun","Jul","Aug","Sep","Oct","Nov","Dec"},0),D364)</f>
        <v>35418</v>
      </c>
      <c r="K364">
        <f t="shared" si="5"/>
        <v>26</v>
      </c>
    </row>
    <row r="365" spans="1:11" x14ac:dyDescent="0.35">
      <c r="A365" t="s">
        <v>394</v>
      </c>
      <c r="B365">
        <v>2001</v>
      </c>
      <c r="C365" t="s">
        <v>30</v>
      </c>
      <c r="D365">
        <v>26</v>
      </c>
      <c r="E365">
        <v>0</v>
      </c>
      <c r="F365" s="15">
        <v>3434.38</v>
      </c>
      <c r="G365" t="s">
        <v>11</v>
      </c>
      <c r="H365" t="s">
        <v>11</v>
      </c>
      <c r="I365" t="s">
        <v>42</v>
      </c>
      <c r="J365" s="11">
        <f>DATE(B365,MATCH(C365,{"Jan","Feb","Mar","Apr","May","Jun","Jul","Aug","Sep","Oct","Nov","Dec"},0),D365)</f>
        <v>37251</v>
      </c>
      <c r="K365">
        <f t="shared" si="5"/>
        <v>21</v>
      </c>
    </row>
    <row r="366" spans="1:11" x14ac:dyDescent="0.35">
      <c r="A366" t="s">
        <v>395</v>
      </c>
      <c r="B366">
        <v>1986</v>
      </c>
      <c r="C366" t="s">
        <v>35</v>
      </c>
      <c r="D366">
        <v>27</v>
      </c>
      <c r="E366">
        <v>3</v>
      </c>
      <c r="F366" s="15">
        <v>3436.5</v>
      </c>
      <c r="G366" t="s">
        <v>11</v>
      </c>
      <c r="H366" t="s">
        <v>16</v>
      </c>
      <c r="I366" t="s">
        <v>13</v>
      </c>
      <c r="J366" s="11">
        <f>DATE(B366,MATCH(C366,{"Jan","Feb","Mar","Apr","May","Jun","Jul","Aug","Sep","Oct","Nov","Dec"},0),D366)</f>
        <v>31651</v>
      </c>
      <c r="K366">
        <f t="shared" si="5"/>
        <v>36</v>
      </c>
    </row>
    <row r="367" spans="1:11" x14ac:dyDescent="0.35">
      <c r="A367" t="s">
        <v>396</v>
      </c>
      <c r="B367">
        <v>2000</v>
      </c>
      <c r="C367" t="s">
        <v>18</v>
      </c>
      <c r="D367">
        <v>20</v>
      </c>
      <c r="E367">
        <v>3</v>
      </c>
      <c r="F367" s="15">
        <v>3443.06</v>
      </c>
      <c r="G367" t="s">
        <v>11</v>
      </c>
      <c r="H367" t="s">
        <v>16</v>
      </c>
      <c r="I367" t="s">
        <v>42</v>
      </c>
      <c r="J367" s="11">
        <f>DATE(B367,MATCH(C367,{"Jan","Feb","Mar","Apr","May","Jun","Jul","Aug","Sep","Oct","Nov","Dec"},0),D367)</f>
        <v>36697</v>
      </c>
      <c r="K367">
        <f t="shared" si="5"/>
        <v>22</v>
      </c>
    </row>
    <row r="368" spans="1:11" x14ac:dyDescent="0.35">
      <c r="A368" t="s">
        <v>397</v>
      </c>
      <c r="B368">
        <v>1987</v>
      </c>
      <c r="C368" t="s">
        <v>20</v>
      </c>
      <c r="D368">
        <v>14</v>
      </c>
      <c r="E368">
        <v>3</v>
      </c>
      <c r="F368" s="15">
        <v>3453.77</v>
      </c>
      <c r="G368" t="s">
        <v>11</v>
      </c>
      <c r="H368" t="s">
        <v>16</v>
      </c>
      <c r="I368" t="s">
        <v>42</v>
      </c>
      <c r="J368" s="11">
        <f>DATE(B368,MATCH(C368,{"Jan","Feb","Mar","Apr","May","Jun","Jul","Aug","Sep","Oct","Nov","Dec"},0),D368)</f>
        <v>32034</v>
      </c>
      <c r="K368">
        <f t="shared" si="5"/>
        <v>35</v>
      </c>
    </row>
    <row r="369" spans="1:11" x14ac:dyDescent="0.35">
      <c r="A369" t="s">
        <v>398</v>
      </c>
      <c r="B369">
        <v>2003</v>
      </c>
      <c r="C369" t="s">
        <v>10</v>
      </c>
      <c r="D369">
        <v>29</v>
      </c>
      <c r="E369">
        <v>0</v>
      </c>
      <c r="F369" s="15">
        <v>3463.51</v>
      </c>
      <c r="G369" t="s">
        <v>11</v>
      </c>
      <c r="H369" t="s">
        <v>16</v>
      </c>
      <c r="I369" t="s">
        <v>200</v>
      </c>
      <c r="J369" s="11">
        <f>DATE(B369,MATCH(C369,{"Jan","Feb","Mar","Apr","May","Jun","Jul","Aug","Sep","Oct","Nov","Dec"},0),D369)</f>
        <v>37831</v>
      </c>
      <c r="K369">
        <f t="shared" si="5"/>
        <v>19</v>
      </c>
    </row>
    <row r="370" spans="1:11" x14ac:dyDescent="0.35">
      <c r="A370" t="s">
        <v>399</v>
      </c>
      <c r="B370">
        <v>1993</v>
      </c>
      <c r="C370" t="s">
        <v>37</v>
      </c>
      <c r="D370">
        <v>12</v>
      </c>
      <c r="E370">
        <v>1</v>
      </c>
      <c r="F370" s="15">
        <v>3471.41</v>
      </c>
      <c r="G370" t="s">
        <v>11</v>
      </c>
      <c r="H370" t="s">
        <v>11</v>
      </c>
      <c r="I370" t="s">
        <v>13</v>
      </c>
      <c r="J370" s="11">
        <f>DATE(B370,MATCH(C370,{"Jan","Feb","Mar","Apr","May","Jun","Jul","Aug","Sep","Oct","Nov","Dec"},0),D370)</f>
        <v>34254</v>
      </c>
      <c r="K370">
        <f t="shared" si="5"/>
        <v>29</v>
      </c>
    </row>
    <row r="371" spans="1:11" x14ac:dyDescent="0.35">
      <c r="A371" t="s">
        <v>400</v>
      </c>
      <c r="B371">
        <v>2004</v>
      </c>
      <c r="C371" t="s">
        <v>18</v>
      </c>
      <c r="D371">
        <v>26</v>
      </c>
      <c r="E371">
        <v>3</v>
      </c>
      <c r="F371" s="15">
        <v>3481.87</v>
      </c>
      <c r="G371" t="s">
        <v>11</v>
      </c>
      <c r="H371" t="s">
        <v>12</v>
      </c>
      <c r="I371" t="s">
        <v>168</v>
      </c>
      <c r="J371" s="11">
        <f>DATE(B371,MATCH(C371,{"Jan","Feb","Mar","Apr","May","Jun","Jul","Aug","Sep","Oct","Nov","Dec"},0),D371)</f>
        <v>38164</v>
      </c>
      <c r="K371">
        <f t="shared" si="5"/>
        <v>18</v>
      </c>
    </row>
    <row r="372" spans="1:11" x14ac:dyDescent="0.35">
      <c r="A372" t="s">
        <v>401</v>
      </c>
      <c r="B372">
        <v>1996</v>
      </c>
      <c r="C372" t="s">
        <v>20</v>
      </c>
      <c r="D372">
        <v>19</v>
      </c>
      <c r="E372">
        <v>2</v>
      </c>
      <c r="F372" s="15">
        <v>3484.33</v>
      </c>
      <c r="G372" t="s">
        <v>12</v>
      </c>
      <c r="H372" t="s">
        <v>12</v>
      </c>
      <c r="I372" t="s">
        <v>42</v>
      </c>
      <c r="J372" s="11">
        <f>DATE(B372,MATCH(C372,{"Jan","Feb","Mar","Apr","May","Jun","Jul","Aug","Sep","Oct","Nov","Dec"},0),D372)</f>
        <v>35327</v>
      </c>
      <c r="K372">
        <f t="shared" si="5"/>
        <v>26</v>
      </c>
    </row>
    <row r="373" spans="1:11" x14ac:dyDescent="0.35">
      <c r="A373" t="s">
        <v>402</v>
      </c>
      <c r="B373">
        <v>1996</v>
      </c>
      <c r="C373" t="s">
        <v>20</v>
      </c>
      <c r="D373">
        <v>18</v>
      </c>
      <c r="E373">
        <v>1</v>
      </c>
      <c r="F373" s="15">
        <v>3490.55</v>
      </c>
      <c r="G373" t="s">
        <v>16</v>
      </c>
      <c r="H373" t="s">
        <v>11</v>
      </c>
      <c r="I373" t="s">
        <v>164</v>
      </c>
      <c r="J373" s="11">
        <f>DATE(B373,MATCH(C373,{"Jan","Feb","Mar","Apr","May","Jun","Jul","Aug","Sep","Oct","Nov","Dec"},0),D373)</f>
        <v>35326</v>
      </c>
      <c r="K373">
        <f t="shared" si="5"/>
        <v>26</v>
      </c>
    </row>
    <row r="374" spans="1:11" x14ac:dyDescent="0.35">
      <c r="A374" t="s">
        <v>403</v>
      </c>
      <c r="B374">
        <v>1999</v>
      </c>
      <c r="C374" t="s">
        <v>20</v>
      </c>
      <c r="D374">
        <v>22</v>
      </c>
      <c r="E374">
        <v>2</v>
      </c>
      <c r="F374" s="15">
        <v>3500.61</v>
      </c>
      <c r="G374" t="s">
        <v>11</v>
      </c>
      <c r="H374" t="s">
        <v>11</v>
      </c>
      <c r="I374" t="s">
        <v>13</v>
      </c>
      <c r="J374" s="11">
        <f>DATE(B374,MATCH(C374,{"Jan","Feb","Mar","Apr","May","Jun","Jul","Aug","Sep","Oct","Nov","Dec"},0),D374)</f>
        <v>36425</v>
      </c>
      <c r="K374">
        <f t="shared" si="5"/>
        <v>23</v>
      </c>
    </row>
    <row r="375" spans="1:11" x14ac:dyDescent="0.35">
      <c r="A375" t="s">
        <v>404</v>
      </c>
      <c r="B375">
        <v>1998</v>
      </c>
      <c r="C375" t="s">
        <v>20</v>
      </c>
      <c r="D375">
        <v>16</v>
      </c>
      <c r="E375">
        <v>2</v>
      </c>
      <c r="F375" s="15">
        <v>3537.7</v>
      </c>
      <c r="G375" t="s">
        <v>12</v>
      </c>
      <c r="H375" t="s">
        <v>12</v>
      </c>
      <c r="I375" t="s">
        <v>23</v>
      </c>
      <c r="J375" s="11">
        <f>DATE(B375,MATCH(C375,{"Jan","Feb","Mar","Apr","May","Jun","Jul","Aug","Sep","Oct","Nov","Dec"},0),D375)</f>
        <v>36054</v>
      </c>
      <c r="K375">
        <f t="shared" si="5"/>
        <v>24</v>
      </c>
    </row>
    <row r="376" spans="1:11" x14ac:dyDescent="0.35">
      <c r="A376" t="s">
        <v>405</v>
      </c>
      <c r="B376">
        <v>2003</v>
      </c>
      <c r="C376" t="s">
        <v>35</v>
      </c>
      <c r="D376">
        <v>24</v>
      </c>
      <c r="E376">
        <v>0</v>
      </c>
      <c r="F376" s="15">
        <v>3538.9</v>
      </c>
      <c r="G376" t="s">
        <v>11</v>
      </c>
      <c r="H376" t="s">
        <v>11</v>
      </c>
      <c r="I376" t="s">
        <v>23</v>
      </c>
      <c r="J376" s="11">
        <f>DATE(B376,MATCH(C376,{"Jan","Feb","Mar","Apr","May","Jun","Jul","Aug","Sep","Oct","Nov","Dec"},0),D376)</f>
        <v>37857</v>
      </c>
      <c r="K376">
        <f t="shared" si="5"/>
        <v>19</v>
      </c>
    </row>
    <row r="377" spans="1:11" x14ac:dyDescent="0.35">
      <c r="A377" t="s">
        <v>406</v>
      </c>
      <c r="B377">
        <v>1988</v>
      </c>
      <c r="C377" t="s">
        <v>37</v>
      </c>
      <c r="D377">
        <v>15</v>
      </c>
      <c r="E377">
        <v>3</v>
      </c>
      <c r="F377" s="15">
        <v>3540.12</v>
      </c>
      <c r="G377" t="s">
        <v>11</v>
      </c>
      <c r="H377" t="s">
        <v>16</v>
      </c>
      <c r="I377" t="s">
        <v>13</v>
      </c>
      <c r="J377" s="11">
        <f>DATE(B377,MATCH(C377,{"Jan","Feb","Mar","Apr","May","Jun","Jul","Aug","Sep","Oct","Nov","Dec"},0),D377)</f>
        <v>32431</v>
      </c>
      <c r="K377">
        <f t="shared" si="5"/>
        <v>34</v>
      </c>
    </row>
    <row r="378" spans="1:11" x14ac:dyDescent="0.35">
      <c r="A378" t="s">
        <v>407</v>
      </c>
      <c r="B378">
        <v>1992</v>
      </c>
      <c r="C378" t="s">
        <v>30</v>
      </c>
      <c r="D378">
        <v>22</v>
      </c>
      <c r="E378">
        <v>0</v>
      </c>
      <c r="F378" s="15">
        <v>3554.2</v>
      </c>
      <c r="G378" t="s">
        <v>11</v>
      </c>
      <c r="H378" t="s">
        <v>12</v>
      </c>
      <c r="I378" t="s">
        <v>42</v>
      </c>
      <c r="J378" s="11">
        <f>DATE(B378,MATCH(C378,{"Jan","Feb","Mar","Apr","May","Jun","Jul","Aug","Sep","Oct","Nov","Dec"},0),D378)</f>
        <v>33960</v>
      </c>
      <c r="K378">
        <f t="shared" si="5"/>
        <v>30</v>
      </c>
    </row>
    <row r="379" spans="1:11" x14ac:dyDescent="0.35">
      <c r="A379" t="s">
        <v>408</v>
      </c>
      <c r="B379">
        <v>1994</v>
      </c>
      <c r="C379" t="s">
        <v>20</v>
      </c>
      <c r="D379">
        <v>24</v>
      </c>
      <c r="E379">
        <v>0</v>
      </c>
      <c r="F379" s="15">
        <v>3556.92</v>
      </c>
      <c r="G379" t="s">
        <v>11</v>
      </c>
      <c r="H379" t="s">
        <v>12</v>
      </c>
      <c r="I379" t="s">
        <v>23</v>
      </c>
      <c r="J379" s="11">
        <f>DATE(B379,MATCH(C379,{"Jan","Feb","Mar","Apr","May","Jun","Jul","Aug","Sep","Oct","Nov","Dec"},0),D379)</f>
        <v>34601</v>
      </c>
      <c r="K379">
        <f t="shared" si="5"/>
        <v>28</v>
      </c>
    </row>
    <row r="380" spans="1:11" x14ac:dyDescent="0.35">
      <c r="A380" t="s">
        <v>409</v>
      </c>
      <c r="B380">
        <v>1995</v>
      </c>
      <c r="C380" t="s">
        <v>37</v>
      </c>
      <c r="D380">
        <v>9</v>
      </c>
      <c r="E380">
        <v>0</v>
      </c>
      <c r="F380" s="15">
        <v>3558.62</v>
      </c>
      <c r="G380" t="s">
        <v>11</v>
      </c>
      <c r="H380" t="s">
        <v>12</v>
      </c>
      <c r="I380" t="s">
        <v>247</v>
      </c>
      <c r="J380" s="11">
        <f>DATE(B380,MATCH(C380,{"Jan","Feb","Mar","Apr","May","Jun","Jul","Aug","Sep","Oct","Nov","Dec"},0),D380)</f>
        <v>34981</v>
      </c>
      <c r="K380">
        <f t="shared" si="5"/>
        <v>27</v>
      </c>
    </row>
    <row r="381" spans="1:11" x14ac:dyDescent="0.35">
      <c r="A381" t="s">
        <v>410</v>
      </c>
      <c r="B381">
        <v>1995</v>
      </c>
      <c r="C381" t="s">
        <v>18</v>
      </c>
      <c r="D381">
        <v>16</v>
      </c>
      <c r="E381">
        <v>1</v>
      </c>
      <c r="F381" s="15">
        <v>3561.89</v>
      </c>
      <c r="G381" t="s">
        <v>11</v>
      </c>
      <c r="H381" t="s">
        <v>16</v>
      </c>
      <c r="I381" t="s">
        <v>13</v>
      </c>
      <c r="J381" s="11">
        <f>DATE(B381,MATCH(C381,{"Jan","Feb","Mar","Apr","May","Jun","Jul","Aug","Sep","Oct","Nov","Dec"},0),D381)</f>
        <v>34866</v>
      </c>
      <c r="K381">
        <f t="shared" si="5"/>
        <v>27</v>
      </c>
    </row>
    <row r="382" spans="1:11" x14ac:dyDescent="0.35">
      <c r="A382" t="s">
        <v>411</v>
      </c>
      <c r="B382">
        <v>1981</v>
      </c>
      <c r="C382" t="s">
        <v>37</v>
      </c>
      <c r="D382">
        <v>10</v>
      </c>
      <c r="E382">
        <v>1</v>
      </c>
      <c r="F382" s="15">
        <v>3562.87</v>
      </c>
      <c r="G382" t="s">
        <v>11</v>
      </c>
      <c r="H382" t="s">
        <v>16</v>
      </c>
      <c r="I382" t="s">
        <v>13</v>
      </c>
      <c r="J382" s="11">
        <f>DATE(B382,MATCH(C382,{"Jan","Feb","Mar","Apr","May","Jun","Jul","Aug","Sep","Oct","Nov","Dec"},0),D382)</f>
        <v>29869</v>
      </c>
      <c r="K382">
        <f t="shared" si="5"/>
        <v>41</v>
      </c>
    </row>
    <row r="383" spans="1:11" x14ac:dyDescent="0.35">
      <c r="A383" t="s">
        <v>412</v>
      </c>
      <c r="B383">
        <v>1988</v>
      </c>
      <c r="C383" t="s">
        <v>35</v>
      </c>
      <c r="D383">
        <v>18</v>
      </c>
      <c r="E383">
        <v>3</v>
      </c>
      <c r="F383" s="15">
        <v>3569.96</v>
      </c>
      <c r="G383" t="s">
        <v>11</v>
      </c>
      <c r="H383" t="s">
        <v>16</v>
      </c>
      <c r="I383" t="s">
        <v>23</v>
      </c>
      <c r="J383" s="11">
        <f>DATE(B383,MATCH(C383,{"Jan","Feb","Mar","Apr","May","Jun","Jul","Aug","Sep","Oct","Nov","Dec"},0),D383)</f>
        <v>32373</v>
      </c>
      <c r="K383">
        <f t="shared" si="5"/>
        <v>34</v>
      </c>
    </row>
    <row r="384" spans="1:11" x14ac:dyDescent="0.35">
      <c r="A384" t="s">
        <v>413</v>
      </c>
      <c r="B384">
        <v>1995</v>
      </c>
      <c r="C384" t="s">
        <v>35</v>
      </c>
      <c r="D384">
        <v>23</v>
      </c>
      <c r="E384">
        <v>1</v>
      </c>
      <c r="F384" s="15">
        <v>3578</v>
      </c>
      <c r="G384" t="s">
        <v>11</v>
      </c>
      <c r="H384" t="s">
        <v>12</v>
      </c>
      <c r="I384" t="s">
        <v>42</v>
      </c>
      <c r="J384" s="11">
        <f>DATE(B384,MATCH(C384,{"Jan","Feb","Mar","Apr","May","Jun","Jul","Aug","Sep","Oct","Nov","Dec"},0),D384)</f>
        <v>34934</v>
      </c>
      <c r="K384">
        <f t="shared" si="5"/>
        <v>27</v>
      </c>
    </row>
    <row r="385" spans="1:11" x14ac:dyDescent="0.35">
      <c r="A385" t="s">
        <v>414</v>
      </c>
      <c r="B385">
        <v>2001</v>
      </c>
      <c r="C385" t="s">
        <v>15</v>
      </c>
      <c r="D385">
        <v>11</v>
      </c>
      <c r="E385">
        <v>2</v>
      </c>
      <c r="F385" s="15">
        <v>3579.83</v>
      </c>
      <c r="G385" t="s">
        <v>11</v>
      </c>
      <c r="H385" t="s">
        <v>11</v>
      </c>
      <c r="I385" t="s">
        <v>23</v>
      </c>
      <c r="J385" s="11">
        <f>DATE(B385,MATCH(C385,{"Jan","Feb","Mar","Apr","May","Jun","Jul","Aug","Sep","Oct","Nov","Dec"},0),D385)</f>
        <v>37206</v>
      </c>
      <c r="K385">
        <f t="shared" si="5"/>
        <v>21</v>
      </c>
    </row>
    <row r="386" spans="1:11" x14ac:dyDescent="0.35">
      <c r="A386" t="s">
        <v>415</v>
      </c>
      <c r="B386">
        <v>1986</v>
      </c>
      <c r="C386" t="s">
        <v>30</v>
      </c>
      <c r="D386">
        <v>27</v>
      </c>
      <c r="E386">
        <v>3</v>
      </c>
      <c r="F386" s="15">
        <v>3589.14</v>
      </c>
      <c r="G386" t="s">
        <v>11</v>
      </c>
      <c r="H386" t="s">
        <v>11</v>
      </c>
      <c r="I386" t="s">
        <v>13</v>
      </c>
      <c r="J386" s="11">
        <f>DATE(B386,MATCH(C386,{"Jan","Feb","Mar","Apr","May","Jun","Jul","Aug","Sep","Oct","Nov","Dec"},0),D386)</f>
        <v>31773</v>
      </c>
      <c r="K386">
        <f t="shared" si="5"/>
        <v>36</v>
      </c>
    </row>
    <row r="387" spans="1:11" x14ac:dyDescent="0.35">
      <c r="A387" t="s">
        <v>416</v>
      </c>
      <c r="B387">
        <v>1999</v>
      </c>
      <c r="C387" t="s">
        <v>18</v>
      </c>
      <c r="D387">
        <v>6</v>
      </c>
      <c r="E387">
        <v>3</v>
      </c>
      <c r="F387" s="15">
        <v>3591.48</v>
      </c>
      <c r="G387" t="s">
        <v>11</v>
      </c>
      <c r="H387" t="s">
        <v>12</v>
      </c>
      <c r="I387" t="s">
        <v>42</v>
      </c>
      <c r="J387" s="11">
        <f>DATE(B387,MATCH(C387,{"Jan","Feb","Mar","Apr","May","Jun","Jul","Aug","Sep","Oct","Nov","Dec"},0),D387)</f>
        <v>36317</v>
      </c>
      <c r="K387">
        <f t="shared" ref="K387:K450" si="6">DATEDIF(J387,$N$1,"Y")</f>
        <v>24</v>
      </c>
    </row>
    <row r="388" spans="1:11" x14ac:dyDescent="0.35">
      <c r="A388" t="s">
        <v>417</v>
      </c>
      <c r="B388">
        <v>1997</v>
      </c>
      <c r="C388" t="s">
        <v>15</v>
      </c>
      <c r="D388">
        <v>4</v>
      </c>
      <c r="E388">
        <v>1</v>
      </c>
      <c r="F388" s="15">
        <v>3594.17</v>
      </c>
      <c r="G388" t="s">
        <v>11</v>
      </c>
      <c r="H388" t="s">
        <v>11</v>
      </c>
      <c r="I388" t="s">
        <v>23</v>
      </c>
      <c r="J388" s="11">
        <f>DATE(B388,MATCH(C388,{"Jan","Feb","Mar","Apr","May","Jun","Jul","Aug","Sep","Oct","Nov","Dec"},0),D388)</f>
        <v>35738</v>
      </c>
      <c r="K388">
        <f t="shared" si="6"/>
        <v>25</v>
      </c>
    </row>
    <row r="389" spans="1:11" x14ac:dyDescent="0.35">
      <c r="A389" t="s">
        <v>418</v>
      </c>
      <c r="B389">
        <v>1999</v>
      </c>
      <c r="C389" t="s">
        <v>35</v>
      </c>
      <c r="D389">
        <v>12</v>
      </c>
      <c r="E389">
        <v>3</v>
      </c>
      <c r="F389" s="15">
        <v>3597.6</v>
      </c>
      <c r="G389" t="s">
        <v>11</v>
      </c>
      <c r="H389" t="s">
        <v>11</v>
      </c>
      <c r="I389" t="s">
        <v>42</v>
      </c>
      <c r="J389" s="11">
        <f>DATE(B389,MATCH(C389,{"Jan","Feb","Mar","Apr","May","Jun","Jul","Aug","Sep","Oct","Nov","Dec"},0),D389)</f>
        <v>36384</v>
      </c>
      <c r="K389">
        <f t="shared" si="6"/>
        <v>23</v>
      </c>
    </row>
    <row r="390" spans="1:11" x14ac:dyDescent="0.35">
      <c r="A390" t="s">
        <v>419</v>
      </c>
      <c r="B390">
        <v>1988</v>
      </c>
      <c r="C390" t="s">
        <v>15</v>
      </c>
      <c r="D390">
        <v>4</v>
      </c>
      <c r="E390">
        <v>3</v>
      </c>
      <c r="F390" s="15">
        <v>3603.6</v>
      </c>
      <c r="G390" t="s">
        <v>11</v>
      </c>
      <c r="H390" t="s">
        <v>16</v>
      </c>
      <c r="I390" t="s">
        <v>13</v>
      </c>
      <c r="J390" s="11">
        <f>DATE(B390,MATCH(C390,{"Jan","Feb","Mar","Apr","May","Jun","Jul","Aug","Sep","Oct","Nov","Dec"},0),D390)</f>
        <v>32451</v>
      </c>
      <c r="K390">
        <f t="shared" si="6"/>
        <v>34</v>
      </c>
    </row>
    <row r="391" spans="1:11" x14ac:dyDescent="0.35">
      <c r="A391" t="s">
        <v>420</v>
      </c>
      <c r="B391">
        <v>1990</v>
      </c>
      <c r="C391" t="s">
        <v>37</v>
      </c>
      <c r="D391">
        <v>11</v>
      </c>
      <c r="E391">
        <v>3</v>
      </c>
      <c r="F391" s="15">
        <v>3606.43</v>
      </c>
      <c r="G391" t="s">
        <v>11</v>
      </c>
      <c r="H391" t="s">
        <v>16</v>
      </c>
      <c r="I391" t="s">
        <v>13</v>
      </c>
      <c r="J391" s="11">
        <f>DATE(B391,MATCH(C391,{"Jan","Feb","Mar","Apr","May","Jun","Jul","Aug","Sep","Oct","Nov","Dec"},0),D391)</f>
        <v>33157</v>
      </c>
      <c r="K391">
        <f t="shared" si="6"/>
        <v>32</v>
      </c>
    </row>
    <row r="392" spans="1:11" x14ac:dyDescent="0.35">
      <c r="A392" t="s">
        <v>421</v>
      </c>
      <c r="B392">
        <v>1985</v>
      </c>
      <c r="C392" t="s">
        <v>18</v>
      </c>
      <c r="D392">
        <v>14</v>
      </c>
      <c r="E392">
        <v>3</v>
      </c>
      <c r="F392" s="15">
        <v>3622.13</v>
      </c>
      <c r="G392" t="s">
        <v>11</v>
      </c>
      <c r="H392" t="s">
        <v>16</v>
      </c>
      <c r="I392" t="s">
        <v>13</v>
      </c>
      <c r="J392" s="11">
        <f>DATE(B392,MATCH(C392,{"Jan","Feb","Mar","Apr","May","Jun","Jul","Aug","Sep","Oct","Nov","Dec"},0),D392)</f>
        <v>31212</v>
      </c>
      <c r="K392">
        <f t="shared" si="6"/>
        <v>37</v>
      </c>
    </row>
    <row r="393" spans="1:11" x14ac:dyDescent="0.35">
      <c r="A393" t="s">
        <v>422</v>
      </c>
      <c r="B393">
        <v>1992</v>
      </c>
      <c r="C393" t="s">
        <v>15</v>
      </c>
      <c r="D393">
        <v>17</v>
      </c>
      <c r="E393">
        <v>0</v>
      </c>
      <c r="F393" s="15">
        <v>3645.09</v>
      </c>
      <c r="G393" t="s">
        <v>16</v>
      </c>
      <c r="H393" t="s">
        <v>11</v>
      </c>
      <c r="I393" t="s">
        <v>276</v>
      </c>
      <c r="J393" s="11">
        <f>DATE(B393,MATCH(C393,{"Jan","Feb","Mar","Apr","May","Jun","Jul","Aug","Sep","Oct","Nov","Dec"},0),D393)</f>
        <v>33925</v>
      </c>
      <c r="K393">
        <f t="shared" si="6"/>
        <v>30</v>
      </c>
    </row>
    <row r="394" spans="1:11" x14ac:dyDescent="0.35">
      <c r="A394" t="s">
        <v>423</v>
      </c>
      <c r="B394">
        <v>1990</v>
      </c>
      <c r="C394" t="s">
        <v>15</v>
      </c>
      <c r="D394">
        <v>8</v>
      </c>
      <c r="E394">
        <v>3</v>
      </c>
      <c r="F394" s="15">
        <v>3653.29</v>
      </c>
      <c r="G394" t="s">
        <v>11</v>
      </c>
      <c r="H394" t="s">
        <v>12</v>
      </c>
      <c r="I394" t="s">
        <v>42</v>
      </c>
      <c r="J394" s="11">
        <f>DATE(B394,MATCH(C394,{"Jan","Feb","Mar","Apr","May","Jun","Jul","Aug","Sep","Oct","Nov","Dec"},0),D394)</f>
        <v>33185</v>
      </c>
      <c r="K394">
        <f t="shared" si="6"/>
        <v>32</v>
      </c>
    </row>
    <row r="395" spans="1:11" x14ac:dyDescent="0.35">
      <c r="A395" t="s">
        <v>424</v>
      </c>
      <c r="B395">
        <v>1992</v>
      </c>
      <c r="C395" t="s">
        <v>20</v>
      </c>
      <c r="D395">
        <v>14</v>
      </c>
      <c r="E395">
        <v>1</v>
      </c>
      <c r="F395" s="15">
        <v>3659.35</v>
      </c>
      <c r="G395" t="s">
        <v>12</v>
      </c>
      <c r="H395" t="s">
        <v>16</v>
      </c>
      <c r="I395" t="s">
        <v>42</v>
      </c>
      <c r="J395" s="11">
        <f>DATE(B395,MATCH(C395,{"Jan","Feb","Mar","Apr","May","Jun","Jul","Aug","Sep","Oct","Nov","Dec"},0),D395)</f>
        <v>33861</v>
      </c>
      <c r="K395">
        <f t="shared" si="6"/>
        <v>30</v>
      </c>
    </row>
    <row r="396" spans="1:11" x14ac:dyDescent="0.35">
      <c r="A396" t="s">
        <v>425</v>
      </c>
      <c r="B396">
        <v>1984</v>
      </c>
      <c r="C396" t="s">
        <v>10</v>
      </c>
      <c r="D396">
        <v>6</v>
      </c>
      <c r="E396">
        <v>3</v>
      </c>
      <c r="F396" s="15">
        <v>3678.86</v>
      </c>
      <c r="G396" t="s">
        <v>11</v>
      </c>
      <c r="H396" t="s">
        <v>12</v>
      </c>
      <c r="I396" t="s">
        <v>13</v>
      </c>
      <c r="J396" s="11">
        <f>DATE(B396,MATCH(C396,{"Jan","Feb","Mar","Apr","May","Jun","Jul","Aug","Sep","Oct","Nov","Dec"},0),D396)</f>
        <v>30869</v>
      </c>
      <c r="K396">
        <f t="shared" si="6"/>
        <v>38</v>
      </c>
    </row>
    <row r="397" spans="1:11" x14ac:dyDescent="0.35">
      <c r="A397" t="s">
        <v>426</v>
      </c>
      <c r="B397">
        <v>2003</v>
      </c>
      <c r="C397" t="s">
        <v>10</v>
      </c>
      <c r="D397">
        <v>10</v>
      </c>
      <c r="E397">
        <v>0</v>
      </c>
      <c r="F397" s="15">
        <v>3688.35</v>
      </c>
      <c r="G397" t="s">
        <v>11</v>
      </c>
      <c r="H397" t="s">
        <v>11</v>
      </c>
      <c r="I397" t="s">
        <v>300</v>
      </c>
      <c r="J397" s="11">
        <f>DATE(B397,MATCH(C397,{"Jan","Feb","Mar","Apr","May","Jun","Jul","Aug","Sep","Oct","Nov","Dec"},0),D397)</f>
        <v>37812</v>
      </c>
      <c r="K397">
        <f t="shared" si="6"/>
        <v>19</v>
      </c>
    </row>
    <row r="398" spans="1:11" x14ac:dyDescent="0.35">
      <c r="A398" t="s">
        <v>427</v>
      </c>
      <c r="B398">
        <v>1981</v>
      </c>
      <c r="C398" t="s">
        <v>30</v>
      </c>
      <c r="D398">
        <v>14</v>
      </c>
      <c r="E398">
        <v>1</v>
      </c>
      <c r="F398" s="15">
        <v>3688.38</v>
      </c>
      <c r="G398" t="s">
        <v>11</v>
      </c>
      <c r="H398" t="s">
        <v>11</v>
      </c>
      <c r="I398" t="s">
        <v>13</v>
      </c>
      <c r="J398" s="11">
        <f>DATE(B398,MATCH(C398,{"Jan","Feb","Mar","Apr","May","Jun","Jul","Aug","Sep","Oct","Nov","Dec"},0),D398)</f>
        <v>29934</v>
      </c>
      <c r="K398">
        <f t="shared" si="6"/>
        <v>41</v>
      </c>
    </row>
    <row r="399" spans="1:11" x14ac:dyDescent="0.35">
      <c r="A399" t="s">
        <v>428</v>
      </c>
      <c r="B399">
        <v>1995</v>
      </c>
      <c r="C399" t="s">
        <v>37</v>
      </c>
      <c r="D399">
        <v>21</v>
      </c>
      <c r="E399">
        <v>2</v>
      </c>
      <c r="F399" s="15">
        <v>3693.43</v>
      </c>
      <c r="G399" t="s">
        <v>11</v>
      </c>
      <c r="H399" t="s">
        <v>12</v>
      </c>
      <c r="I399" t="s">
        <v>42</v>
      </c>
      <c r="J399" s="11">
        <f>DATE(B399,MATCH(C399,{"Jan","Feb","Mar","Apr","May","Jun","Jul","Aug","Sep","Oct","Nov","Dec"},0),D399)</f>
        <v>34993</v>
      </c>
      <c r="K399">
        <f t="shared" si="6"/>
        <v>27</v>
      </c>
    </row>
    <row r="400" spans="1:11" x14ac:dyDescent="0.35">
      <c r="A400" t="s">
        <v>429</v>
      </c>
      <c r="B400">
        <v>1988</v>
      </c>
      <c r="C400" t="s">
        <v>35</v>
      </c>
      <c r="D400">
        <v>18</v>
      </c>
      <c r="E400">
        <v>3</v>
      </c>
      <c r="F400" s="15">
        <v>3699.54</v>
      </c>
      <c r="G400" t="s">
        <v>11</v>
      </c>
      <c r="H400" t="s">
        <v>12</v>
      </c>
      <c r="I400" t="s">
        <v>13</v>
      </c>
      <c r="J400" s="11">
        <f>DATE(B400,MATCH(C400,{"Jan","Feb","Mar","Apr","May","Jun","Jul","Aug","Sep","Oct","Nov","Dec"},0),D400)</f>
        <v>32373</v>
      </c>
      <c r="K400">
        <f t="shared" si="6"/>
        <v>34</v>
      </c>
    </row>
    <row r="401" spans="1:11" x14ac:dyDescent="0.35">
      <c r="A401" t="s">
        <v>430</v>
      </c>
      <c r="B401">
        <v>1989</v>
      </c>
      <c r="C401" t="s">
        <v>30</v>
      </c>
      <c r="D401">
        <v>2</v>
      </c>
      <c r="E401">
        <v>0</v>
      </c>
      <c r="F401" s="15">
        <v>3704.35</v>
      </c>
      <c r="G401" t="s">
        <v>11</v>
      </c>
      <c r="H401" t="s">
        <v>11</v>
      </c>
      <c r="I401" t="s">
        <v>13</v>
      </c>
      <c r="J401" s="11">
        <f>DATE(B401,MATCH(C401,{"Jan","Feb","Mar","Apr","May","Jun","Jul","Aug","Sep","Oct","Nov","Dec"},0),D401)</f>
        <v>32844</v>
      </c>
      <c r="K401">
        <f t="shared" si="6"/>
        <v>33</v>
      </c>
    </row>
    <row r="402" spans="1:11" x14ac:dyDescent="0.35">
      <c r="A402" t="s">
        <v>431</v>
      </c>
      <c r="B402">
        <v>2004</v>
      </c>
      <c r="C402" t="s">
        <v>15</v>
      </c>
      <c r="D402">
        <v>5</v>
      </c>
      <c r="E402">
        <v>0</v>
      </c>
      <c r="F402" s="15">
        <v>3722.23</v>
      </c>
      <c r="G402" t="s">
        <v>11</v>
      </c>
      <c r="H402" t="s">
        <v>11</v>
      </c>
      <c r="I402" t="s">
        <v>200</v>
      </c>
      <c r="J402" s="11">
        <f>DATE(B402,MATCH(C402,{"Jan","Feb","Mar","Apr","May","Jun","Jul","Aug","Sep","Oct","Nov","Dec"},0),D402)</f>
        <v>38296</v>
      </c>
      <c r="K402">
        <f t="shared" si="6"/>
        <v>18</v>
      </c>
    </row>
    <row r="403" spans="1:11" x14ac:dyDescent="0.35">
      <c r="A403" t="s">
        <v>432</v>
      </c>
      <c r="B403">
        <v>1986</v>
      </c>
      <c r="C403" t="s">
        <v>30</v>
      </c>
      <c r="D403">
        <v>1</v>
      </c>
      <c r="E403">
        <v>3</v>
      </c>
      <c r="F403" s="15">
        <v>3731.6</v>
      </c>
      <c r="G403" t="s">
        <v>11</v>
      </c>
      <c r="H403" t="s">
        <v>11</v>
      </c>
      <c r="I403" t="s">
        <v>13</v>
      </c>
      <c r="J403" s="11">
        <f>DATE(B403,MATCH(C403,{"Jan","Feb","Mar","Apr","May","Jun","Jul","Aug","Sep","Oct","Nov","Dec"},0),D403)</f>
        <v>31747</v>
      </c>
      <c r="K403">
        <f t="shared" si="6"/>
        <v>36</v>
      </c>
    </row>
    <row r="404" spans="1:11" x14ac:dyDescent="0.35">
      <c r="A404" t="s">
        <v>433</v>
      </c>
      <c r="B404">
        <v>1994</v>
      </c>
      <c r="C404" t="s">
        <v>35</v>
      </c>
      <c r="D404">
        <v>22</v>
      </c>
      <c r="E404">
        <v>0</v>
      </c>
      <c r="F404" s="15">
        <v>3732.63</v>
      </c>
      <c r="G404" t="s">
        <v>11</v>
      </c>
      <c r="H404" t="s">
        <v>12</v>
      </c>
      <c r="I404" t="s">
        <v>247</v>
      </c>
      <c r="J404" s="11">
        <f>DATE(B404,MATCH(C404,{"Jan","Feb","Mar","Apr","May","Jun","Jul","Aug","Sep","Oct","Nov","Dec"},0),D404)</f>
        <v>34568</v>
      </c>
      <c r="K404">
        <f t="shared" si="6"/>
        <v>28</v>
      </c>
    </row>
    <row r="405" spans="1:11" x14ac:dyDescent="0.35">
      <c r="A405" t="s">
        <v>434</v>
      </c>
      <c r="B405">
        <v>1993</v>
      </c>
      <c r="C405" t="s">
        <v>18</v>
      </c>
      <c r="D405">
        <v>22</v>
      </c>
      <c r="E405">
        <v>0</v>
      </c>
      <c r="F405" s="15">
        <v>3736.46</v>
      </c>
      <c r="G405" t="s">
        <v>11</v>
      </c>
      <c r="H405" t="s">
        <v>11</v>
      </c>
      <c r="I405" t="s">
        <v>23</v>
      </c>
      <c r="J405" s="11">
        <f>DATE(B405,MATCH(C405,{"Jan","Feb","Mar","Apr","May","Jun","Jul","Aug","Sep","Oct","Nov","Dec"},0),D405)</f>
        <v>34142</v>
      </c>
      <c r="K405">
        <f t="shared" si="6"/>
        <v>29</v>
      </c>
    </row>
    <row r="406" spans="1:11" x14ac:dyDescent="0.35">
      <c r="A406" t="s">
        <v>435</v>
      </c>
      <c r="B406">
        <v>1986</v>
      </c>
      <c r="C406" t="s">
        <v>20</v>
      </c>
      <c r="D406">
        <v>9</v>
      </c>
      <c r="E406">
        <v>3</v>
      </c>
      <c r="F406" s="15">
        <v>3748.56</v>
      </c>
      <c r="G406" t="s">
        <v>11</v>
      </c>
      <c r="H406" t="s">
        <v>11</v>
      </c>
      <c r="I406" t="s">
        <v>13</v>
      </c>
      <c r="J406" s="11">
        <f>DATE(B406,MATCH(C406,{"Jan","Feb","Mar","Apr","May","Jun","Jul","Aug","Sep","Oct","Nov","Dec"},0),D406)</f>
        <v>31664</v>
      </c>
      <c r="K406">
        <f t="shared" si="6"/>
        <v>36</v>
      </c>
    </row>
    <row r="407" spans="1:11" x14ac:dyDescent="0.35">
      <c r="A407" t="s">
        <v>436</v>
      </c>
      <c r="B407">
        <v>1991</v>
      </c>
      <c r="C407" t="s">
        <v>37</v>
      </c>
      <c r="D407">
        <v>28</v>
      </c>
      <c r="E407">
        <v>0</v>
      </c>
      <c r="F407" s="15">
        <v>3756.62</v>
      </c>
      <c r="G407" t="s">
        <v>11</v>
      </c>
      <c r="H407" t="s">
        <v>11</v>
      </c>
      <c r="I407" t="s">
        <v>13</v>
      </c>
      <c r="J407" s="11">
        <f>DATE(B407,MATCH(C407,{"Jan","Feb","Mar","Apr","May","Jun","Jul","Aug","Sep","Oct","Nov","Dec"},0),D407)</f>
        <v>33539</v>
      </c>
      <c r="K407">
        <f t="shared" si="6"/>
        <v>31</v>
      </c>
    </row>
    <row r="408" spans="1:11" x14ac:dyDescent="0.35">
      <c r="A408" t="s">
        <v>437</v>
      </c>
      <c r="B408">
        <v>1991</v>
      </c>
      <c r="C408" t="s">
        <v>35</v>
      </c>
      <c r="D408">
        <v>25</v>
      </c>
      <c r="E408">
        <v>0</v>
      </c>
      <c r="F408" s="15">
        <v>3757.84</v>
      </c>
      <c r="G408" t="s">
        <v>11</v>
      </c>
      <c r="H408" t="s">
        <v>16</v>
      </c>
      <c r="I408" t="s">
        <v>13</v>
      </c>
      <c r="J408" s="11">
        <f>DATE(B408,MATCH(C408,{"Jan","Feb","Mar","Apr","May","Jun","Jul","Aug","Sep","Oct","Nov","Dec"},0),D408)</f>
        <v>33475</v>
      </c>
      <c r="K408">
        <f t="shared" si="6"/>
        <v>31</v>
      </c>
    </row>
    <row r="409" spans="1:11" x14ac:dyDescent="0.35">
      <c r="A409" t="s">
        <v>438</v>
      </c>
      <c r="B409">
        <v>1991</v>
      </c>
      <c r="C409" t="s">
        <v>37</v>
      </c>
      <c r="D409">
        <v>24</v>
      </c>
      <c r="E409">
        <v>0</v>
      </c>
      <c r="F409" s="15">
        <v>3761.29</v>
      </c>
      <c r="G409" t="s">
        <v>11</v>
      </c>
      <c r="H409" t="s">
        <v>12</v>
      </c>
      <c r="I409" t="s">
        <v>42</v>
      </c>
      <c r="J409" s="11">
        <f>DATE(B409,MATCH(C409,{"Jan","Feb","Mar","Apr","May","Jun","Jul","Aug","Sep","Oct","Nov","Dec"},0),D409)</f>
        <v>33535</v>
      </c>
      <c r="K409">
        <f t="shared" si="6"/>
        <v>31</v>
      </c>
    </row>
    <row r="410" spans="1:11" x14ac:dyDescent="0.35">
      <c r="A410" t="s">
        <v>439</v>
      </c>
      <c r="B410">
        <v>1994</v>
      </c>
      <c r="C410" t="s">
        <v>15</v>
      </c>
      <c r="D410">
        <v>21</v>
      </c>
      <c r="E410">
        <v>1</v>
      </c>
      <c r="F410" s="15">
        <v>3766.88</v>
      </c>
      <c r="G410" t="s">
        <v>11</v>
      </c>
      <c r="H410" t="s">
        <v>16</v>
      </c>
      <c r="I410" t="s">
        <v>13</v>
      </c>
      <c r="J410" s="11">
        <f>DATE(B410,MATCH(C410,{"Jan","Feb","Mar","Apr","May","Jun","Jul","Aug","Sep","Oct","Nov","Dec"},0),D410)</f>
        <v>34659</v>
      </c>
      <c r="K410">
        <f t="shared" si="6"/>
        <v>28</v>
      </c>
    </row>
    <row r="411" spans="1:11" x14ac:dyDescent="0.35">
      <c r="A411" t="s">
        <v>440</v>
      </c>
      <c r="B411">
        <v>1987</v>
      </c>
      <c r="C411" t="s">
        <v>37</v>
      </c>
      <c r="D411">
        <v>24</v>
      </c>
      <c r="E411">
        <v>3</v>
      </c>
      <c r="F411" s="15">
        <v>3773.23</v>
      </c>
      <c r="G411" t="s">
        <v>11</v>
      </c>
      <c r="H411" t="s">
        <v>12</v>
      </c>
      <c r="I411" t="s">
        <v>13</v>
      </c>
      <c r="J411" s="11">
        <f>DATE(B411,MATCH(C411,{"Jan","Feb","Mar","Apr","May","Jun","Jul","Aug","Sep","Oct","Nov","Dec"},0),D411)</f>
        <v>32074</v>
      </c>
      <c r="K411">
        <f t="shared" si="6"/>
        <v>35</v>
      </c>
    </row>
    <row r="412" spans="1:11" x14ac:dyDescent="0.35">
      <c r="A412" t="s">
        <v>441</v>
      </c>
      <c r="B412">
        <v>1981</v>
      </c>
      <c r="C412" t="s">
        <v>30</v>
      </c>
      <c r="D412">
        <v>13</v>
      </c>
      <c r="E412">
        <v>1</v>
      </c>
      <c r="F412" s="15">
        <v>3785.77</v>
      </c>
      <c r="G412" t="s">
        <v>11</v>
      </c>
      <c r="H412" t="s">
        <v>16</v>
      </c>
      <c r="I412" t="s">
        <v>13</v>
      </c>
      <c r="J412" s="11">
        <f>DATE(B412,MATCH(C412,{"Jan","Feb","Mar","Apr","May","Jun","Jul","Aug","Sep","Oct","Nov","Dec"},0),D412)</f>
        <v>29933</v>
      </c>
      <c r="K412">
        <f t="shared" si="6"/>
        <v>41</v>
      </c>
    </row>
    <row r="413" spans="1:11" x14ac:dyDescent="0.35">
      <c r="A413" t="s">
        <v>442</v>
      </c>
      <c r="B413">
        <v>1988</v>
      </c>
      <c r="C413" t="s">
        <v>35</v>
      </c>
      <c r="D413">
        <v>28</v>
      </c>
      <c r="E413">
        <v>3</v>
      </c>
      <c r="F413" s="15">
        <v>3793.55</v>
      </c>
      <c r="G413" t="s">
        <v>11</v>
      </c>
      <c r="H413" t="s">
        <v>12</v>
      </c>
      <c r="I413" t="s">
        <v>13</v>
      </c>
      <c r="J413" s="11">
        <f>DATE(B413,MATCH(C413,{"Jan","Feb","Mar","Apr","May","Jun","Jul","Aug","Sep","Oct","Nov","Dec"},0),D413)</f>
        <v>32383</v>
      </c>
      <c r="K413">
        <f t="shared" si="6"/>
        <v>34</v>
      </c>
    </row>
    <row r="414" spans="1:11" x14ac:dyDescent="0.35">
      <c r="A414" t="s">
        <v>443</v>
      </c>
      <c r="B414">
        <v>1999</v>
      </c>
      <c r="C414" t="s">
        <v>18</v>
      </c>
      <c r="D414">
        <v>24</v>
      </c>
      <c r="E414">
        <v>0</v>
      </c>
      <c r="F414" s="15">
        <v>3796.36</v>
      </c>
      <c r="G414" t="s">
        <v>11</v>
      </c>
      <c r="H414" t="s">
        <v>12</v>
      </c>
      <c r="I414" t="s">
        <v>23</v>
      </c>
      <c r="J414" s="11">
        <f>DATE(B414,MATCH(C414,{"Jan","Feb","Mar","Apr","May","Jun","Jul","Aug","Sep","Oct","Nov","Dec"},0),D414)</f>
        <v>36335</v>
      </c>
      <c r="K414">
        <f t="shared" si="6"/>
        <v>23</v>
      </c>
    </row>
    <row r="415" spans="1:11" x14ac:dyDescent="0.35">
      <c r="A415" t="s">
        <v>444</v>
      </c>
      <c r="B415">
        <v>1981</v>
      </c>
      <c r="C415" t="s">
        <v>20</v>
      </c>
      <c r="D415">
        <v>29</v>
      </c>
      <c r="E415">
        <v>1</v>
      </c>
      <c r="F415" s="15">
        <v>3797.2</v>
      </c>
      <c r="G415" t="s">
        <v>11</v>
      </c>
      <c r="H415" t="s">
        <v>12</v>
      </c>
      <c r="I415" t="s">
        <v>23</v>
      </c>
      <c r="J415" s="11">
        <f>DATE(B415,MATCH(C415,{"Jan","Feb","Mar","Apr","May","Jun","Jul","Aug","Sep","Oct","Nov","Dec"},0),D415)</f>
        <v>29858</v>
      </c>
      <c r="K415">
        <f t="shared" si="6"/>
        <v>41</v>
      </c>
    </row>
    <row r="416" spans="1:11" x14ac:dyDescent="0.35">
      <c r="A416" t="s">
        <v>445</v>
      </c>
      <c r="B416">
        <v>1994</v>
      </c>
      <c r="C416" t="s">
        <v>35</v>
      </c>
      <c r="D416">
        <v>12</v>
      </c>
      <c r="E416">
        <v>2</v>
      </c>
      <c r="F416" s="15">
        <v>3847.67</v>
      </c>
      <c r="G416" t="s">
        <v>12</v>
      </c>
      <c r="H416" t="s">
        <v>11</v>
      </c>
      <c r="I416" t="s">
        <v>42</v>
      </c>
      <c r="J416" s="11">
        <f>DATE(B416,MATCH(C416,{"Jan","Feb","Mar","Apr","May","Jun","Jul","Aug","Sep","Oct","Nov","Dec"},0),D416)</f>
        <v>34558</v>
      </c>
      <c r="K416">
        <f t="shared" si="6"/>
        <v>28</v>
      </c>
    </row>
    <row r="417" spans="1:11" x14ac:dyDescent="0.35">
      <c r="A417" t="s">
        <v>446</v>
      </c>
      <c r="B417">
        <v>1991</v>
      </c>
      <c r="C417" t="s">
        <v>35</v>
      </c>
      <c r="D417">
        <v>19</v>
      </c>
      <c r="E417">
        <v>0</v>
      </c>
      <c r="F417" s="15">
        <v>3857.76</v>
      </c>
      <c r="G417" t="s">
        <v>12</v>
      </c>
      <c r="H417" t="s">
        <v>16</v>
      </c>
      <c r="I417" t="s">
        <v>168</v>
      </c>
      <c r="J417" s="11">
        <f>DATE(B417,MATCH(C417,{"Jan","Feb","Mar","Apr","May","Jun","Jul","Aug","Sep","Oct","Nov","Dec"},0),D417)</f>
        <v>33469</v>
      </c>
      <c r="K417">
        <f t="shared" si="6"/>
        <v>31</v>
      </c>
    </row>
    <row r="418" spans="1:11" x14ac:dyDescent="0.35">
      <c r="A418" t="s">
        <v>447</v>
      </c>
      <c r="B418">
        <v>2001</v>
      </c>
      <c r="C418" t="s">
        <v>18</v>
      </c>
      <c r="D418">
        <v>6</v>
      </c>
      <c r="E418">
        <v>0</v>
      </c>
      <c r="F418" s="15">
        <v>3858.51</v>
      </c>
      <c r="G418" t="s">
        <v>11</v>
      </c>
      <c r="H418" t="s">
        <v>12</v>
      </c>
      <c r="I418" t="s">
        <v>200</v>
      </c>
      <c r="J418" s="11">
        <f>DATE(B418,MATCH(C418,{"Jan","Feb","Mar","Apr","May","Jun","Jul","Aug","Sep","Oct","Nov","Dec"},0),D418)</f>
        <v>37048</v>
      </c>
      <c r="K418">
        <f t="shared" si="6"/>
        <v>22</v>
      </c>
    </row>
    <row r="419" spans="1:11" x14ac:dyDescent="0.35">
      <c r="A419" t="s">
        <v>448</v>
      </c>
      <c r="B419">
        <v>2001</v>
      </c>
      <c r="C419" t="s">
        <v>37</v>
      </c>
      <c r="D419">
        <v>18</v>
      </c>
      <c r="E419">
        <v>3</v>
      </c>
      <c r="F419" s="15">
        <v>3861.21</v>
      </c>
      <c r="G419" t="s">
        <v>11</v>
      </c>
      <c r="H419" t="s">
        <v>11</v>
      </c>
      <c r="I419" t="s">
        <v>168</v>
      </c>
      <c r="J419" s="11">
        <f>DATE(B419,MATCH(C419,{"Jan","Feb","Mar","Apr","May","Jun","Jul","Aug","Sep","Oct","Nov","Dec"},0),D419)</f>
        <v>37182</v>
      </c>
      <c r="K419">
        <f t="shared" si="6"/>
        <v>21</v>
      </c>
    </row>
    <row r="420" spans="1:11" x14ac:dyDescent="0.35">
      <c r="A420" t="s">
        <v>449</v>
      </c>
      <c r="B420">
        <v>1990</v>
      </c>
      <c r="C420" t="s">
        <v>18</v>
      </c>
      <c r="D420">
        <v>24</v>
      </c>
      <c r="E420">
        <v>0</v>
      </c>
      <c r="F420" s="15">
        <v>3866.86</v>
      </c>
      <c r="G420" t="s">
        <v>16</v>
      </c>
      <c r="H420" t="s">
        <v>16</v>
      </c>
      <c r="I420" t="s">
        <v>23</v>
      </c>
      <c r="J420" s="11">
        <f>DATE(B420,MATCH(C420,{"Jan","Feb","Mar","Apr","May","Jun","Jul","Aug","Sep","Oct","Nov","Dec"},0),D420)</f>
        <v>33048</v>
      </c>
      <c r="K420">
        <f t="shared" si="6"/>
        <v>32</v>
      </c>
    </row>
    <row r="421" spans="1:11" x14ac:dyDescent="0.35">
      <c r="A421" t="s">
        <v>450</v>
      </c>
      <c r="B421">
        <v>1991</v>
      </c>
      <c r="C421" t="s">
        <v>10</v>
      </c>
      <c r="D421">
        <v>25</v>
      </c>
      <c r="E421">
        <v>1</v>
      </c>
      <c r="F421" s="15">
        <v>3875.73</v>
      </c>
      <c r="G421" t="s">
        <v>11</v>
      </c>
      <c r="H421" t="s">
        <v>12</v>
      </c>
      <c r="I421" t="s">
        <v>13</v>
      </c>
      <c r="J421" s="11">
        <f>DATE(B421,MATCH(C421,{"Jan","Feb","Mar","Apr","May","Jun","Jul","Aug","Sep","Oct","Nov","Dec"},0),D421)</f>
        <v>33444</v>
      </c>
      <c r="K421">
        <f t="shared" si="6"/>
        <v>31</v>
      </c>
    </row>
    <row r="422" spans="1:11" x14ac:dyDescent="0.35">
      <c r="A422" t="s">
        <v>451</v>
      </c>
      <c r="B422">
        <v>1996</v>
      </c>
      <c r="C422" t="s">
        <v>37</v>
      </c>
      <c r="D422">
        <v>23</v>
      </c>
      <c r="E422">
        <v>2</v>
      </c>
      <c r="F422" s="15">
        <v>3877.3</v>
      </c>
      <c r="G422" t="s">
        <v>16</v>
      </c>
      <c r="H422" t="s">
        <v>12</v>
      </c>
      <c r="I422" t="s">
        <v>23</v>
      </c>
      <c r="J422" s="11">
        <f>DATE(B422,MATCH(C422,{"Jan","Feb","Mar","Apr","May","Jun","Jul","Aug","Sep","Oct","Nov","Dec"},0),D422)</f>
        <v>35361</v>
      </c>
      <c r="K422">
        <f t="shared" si="6"/>
        <v>26</v>
      </c>
    </row>
    <row r="423" spans="1:11" x14ac:dyDescent="0.35">
      <c r="A423" t="s">
        <v>452</v>
      </c>
      <c r="B423">
        <v>2004</v>
      </c>
      <c r="C423" t="s">
        <v>10</v>
      </c>
      <c r="D423">
        <v>13</v>
      </c>
      <c r="E423">
        <v>0</v>
      </c>
      <c r="F423" s="15">
        <v>3889.2</v>
      </c>
      <c r="G423" t="s">
        <v>11</v>
      </c>
      <c r="H423" t="s">
        <v>11</v>
      </c>
      <c r="I423" t="s">
        <v>23</v>
      </c>
      <c r="J423" s="11">
        <f>DATE(B423,MATCH(C423,{"Jan","Feb","Mar","Apr","May","Jun","Jul","Aug","Sep","Oct","Nov","Dec"},0),D423)</f>
        <v>38181</v>
      </c>
      <c r="K423">
        <f t="shared" si="6"/>
        <v>18</v>
      </c>
    </row>
    <row r="424" spans="1:11" x14ac:dyDescent="0.35">
      <c r="A424" t="s">
        <v>453</v>
      </c>
      <c r="B424">
        <v>1993</v>
      </c>
      <c r="C424" t="s">
        <v>20</v>
      </c>
      <c r="D424">
        <v>14</v>
      </c>
      <c r="E424">
        <v>0</v>
      </c>
      <c r="F424" s="15">
        <v>3898.35</v>
      </c>
      <c r="G424" t="s">
        <v>11</v>
      </c>
      <c r="H424" t="s">
        <v>11</v>
      </c>
      <c r="I424" t="s">
        <v>23</v>
      </c>
      <c r="J424" s="11">
        <f>DATE(B424,MATCH(C424,{"Jan","Feb","Mar","Apr","May","Jun","Jul","Aug","Sep","Oct","Nov","Dec"},0),D424)</f>
        <v>34226</v>
      </c>
      <c r="K424">
        <f t="shared" si="6"/>
        <v>29</v>
      </c>
    </row>
    <row r="425" spans="1:11" x14ac:dyDescent="0.35">
      <c r="A425" t="s">
        <v>454</v>
      </c>
      <c r="B425">
        <v>1981</v>
      </c>
      <c r="C425" t="s">
        <v>35</v>
      </c>
      <c r="D425">
        <v>27</v>
      </c>
      <c r="E425">
        <v>1</v>
      </c>
      <c r="F425" s="15">
        <v>3902.07</v>
      </c>
      <c r="G425" t="s">
        <v>11</v>
      </c>
      <c r="H425" t="s">
        <v>11</v>
      </c>
      <c r="I425" t="s">
        <v>13</v>
      </c>
      <c r="J425" s="11">
        <f>DATE(B425,MATCH(C425,{"Jan","Feb","Mar","Apr","May","Jun","Jul","Aug","Sep","Oct","Nov","Dec"},0),D425)</f>
        <v>29825</v>
      </c>
      <c r="K425">
        <f t="shared" si="6"/>
        <v>41</v>
      </c>
    </row>
    <row r="426" spans="1:11" x14ac:dyDescent="0.35">
      <c r="A426" t="s">
        <v>455</v>
      </c>
      <c r="B426">
        <v>1997</v>
      </c>
      <c r="C426" t="s">
        <v>15</v>
      </c>
      <c r="D426">
        <v>24</v>
      </c>
      <c r="E426">
        <v>3</v>
      </c>
      <c r="F426" s="15">
        <v>3906.13</v>
      </c>
      <c r="G426" t="s">
        <v>12</v>
      </c>
      <c r="H426" t="s">
        <v>12</v>
      </c>
      <c r="I426" t="s">
        <v>42</v>
      </c>
      <c r="J426" s="11">
        <f>DATE(B426,MATCH(C426,{"Jan","Feb","Mar","Apr","May","Jun","Jul","Aug","Sep","Oct","Nov","Dec"},0),D426)</f>
        <v>35758</v>
      </c>
      <c r="K426">
        <f t="shared" si="6"/>
        <v>25</v>
      </c>
    </row>
    <row r="427" spans="1:11" x14ac:dyDescent="0.35">
      <c r="A427" t="s">
        <v>456</v>
      </c>
      <c r="B427">
        <v>1985</v>
      </c>
      <c r="C427" t="s">
        <v>10</v>
      </c>
      <c r="D427">
        <v>5</v>
      </c>
      <c r="E427">
        <v>3</v>
      </c>
      <c r="F427" s="15">
        <v>3910.44</v>
      </c>
      <c r="G427" t="s">
        <v>11</v>
      </c>
      <c r="H427" t="s">
        <v>11</v>
      </c>
      <c r="I427" t="s">
        <v>13</v>
      </c>
      <c r="J427" s="11">
        <f>DATE(B427,MATCH(C427,{"Jan","Feb","Mar","Apr","May","Jun","Jul","Aug","Sep","Oct","Nov","Dec"},0),D427)</f>
        <v>31233</v>
      </c>
      <c r="K427">
        <f t="shared" si="6"/>
        <v>37</v>
      </c>
    </row>
    <row r="428" spans="1:11" x14ac:dyDescent="0.35">
      <c r="A428" t="s">
        <v>457</v>
      </c>
      <c r="B428">
        <v>2000</v>
      </c>
      <c r="C428" t="s">
        <v>10</v>
      </c>
      <c r="D428">
        <v>10</v>
      </c>
      <c r="E428">
        <v>2</v>
      </c>
      <c r="F428" s="15">
        <v>3925.76</v>
      </c>
      <c r="G428" t="s">
        <v>11</v>
      </c>
      <c r="H428" t="s">
        <v>11</v>
      </c>
      <c r="I428" t="s">
        <v>247</v>
      </c>
      <c r="J428" s="11">
        <f>DATE(B428,MATCH(C428,{"Jan","Feb","Mar","Apr","May","Jun","Jul","Aug","Sep","Oct","Nov","Dec"},0),D428)</f>
        <v>36717</v>
      </c>
      <c r="K428">
        <f t="shared" si="6"/>
        <v>22</v>
      </c>
    </row>
    <row r="429" spans="1:11" x14ac:dyDescent="0.35">
      <c r="A429" t="s">
        <v>458</v>
      </c>
      <c r="B429">
        <v>2002</v>
      </c>
      <c r="C429" t="s">
        <v>18</v>
      </c>
      <c r="D429">
        <v>15</v>
      </c>
      <c r="E429">
        <v>0</v>
      </c>
      <c r="F429" s="15">
        <v>3931.51</v>
      </c>
      <c r="G429" t="s">
        <v>11</v>
      </c>
      <c r="H429" t="s">
        <v>12</v>
      </c>
      <c r="I429" t="s">
        <v>42</v>
      </c>
      <c r="J429" s="11">
        <f>DATE(B429,MATCH(C429,{"Jan","Feb","Mar","Apr","May","Jun","Jul","Aug","Sep","Oct","Nov","Dec"},0),D429)</f>
        <v>37422</v>
      </c>
      <c r="K429">
        <f t="shared" si="6"/>
        <v>20</v>
      </c>
    </row>
    <row r="430" spans="1:11" x14ac:dyDescent="0.35">
      <c r="A430" t="s">
        <v>459</v>
      </c>
      <c r="B430">
        <v>1988</v>
      </c>
      <c r="C430" t="s">
        <v>37</v>
      </c>
      <c r="D430">
        <v>24</v>
      </c>
      <c r="E430">
        <v>0</v>
      </c>
      <c r="F430" s="15">
        <v>3935.18</v>
      </c>
      <c r="G430" t="s">
        <v>12</v>
      </c>
      <c r="H430" t="s">
        <v>16</v>
      </c>
      <c r="I430" t="s">
        <v>13</v>
      </c>
      <c r="J430" s="11">
        <f>DATE(B430,MATCH(C430,{"Jan","Feb","Mar","Apr","May","Jun","Jul","Aug","Sep","Oct","Nov","Dec"},0),D430)</f>
        <v>32440</v>
      </c>
      <c r="K430">
        <f t="shared" si="6"/>
        <v>34</v>
      </c>
    </row>
    <row r="431" spans="1:11" x14ac:dyDescent="0.35">
      <c r="A431" t="s">
        <v>460</v>
      </c>
      <c r="B431">
        <v>1993</v>
      </c>
      <c r="C431" t="s">
        <v>20</v>
      </c>
      <c r="D431">
        <v>29</v>
      </c>
      <c r="E431">
        <v>0</v>
      </c>
      <c r="F431" s="15">
        <v>3943.6</v>
      </c>
      <c r="G431" t="s">
        <v>11</v>
      </c>
      <c r="H431" t="s">
        <v>12</v>
      </c>
      <c r="I431" t="s">
        <v>247</v>
      </c>
      <c r="J431" s="11">
        <f>DATE(B431,MATCH(C431,{"Jan","Feb","Mar","Apr","May","Jun","Jul","Aug","Sep","Oct","Nov","Dec"},0),D431)</f>
        <v>34241</v>
      </c>
      <c r="K431">
        <f t="shared" si="6"/>
        <v>29</v>
      </c>
    </row>
    <row r="432" spans="1:11" x14ac:dyDescent="0.35">
      <c r="A432" t="s">
        <v>461</v>
      </c>
      <c r="B432">
        <v>1993</v>
      </c>
      <c r="C432" t="s">
        <v>15</v>
      </c>
      <c r="D432">
        <v>11</v>
      </c>
      <c r="E432">
        <v>1</v>
      </c>
      <c r="F432" s="15">
        <v>3947.41</v>
      </c>
      <c r="G432" t="s">
        <v>11</v>
      </c>
      <c r="H432" t="s">
        <v>11</v>
      </c>
      <c r="I432" t="s">
        <v>13</v>
      </c>
      <c r="J432" s="11">
        <f>DATE(B432,MATCH(C432,{"Jan","Feb","Mar","Apr","May","Jun","Jul","Aug","Sep","Oct","Nov","Dec"},0),D432)</f>
        <v>34284</v>
      </c>
      <c r="K432">
        <f t="shared" si="6"/>
        <v>29</v>
      </c>
    </row>
    <row r="433" spans="1:11" x14ac:dyDescent="0.35">
      <c r="A433" t="s">
        <v>462</v>
      </c>
      <c r="B433">
        <v>1999</v>
      </c>
      <c r="C433" t="s">
        <v>10</v>
      </c>
      <c r="D433">
        <v>10</v>
      </c>
      <c r="E433">
        <v>0</v>
      </c>
      <c r="F433" s="15">
        <v>3955.98</v>
      </c>
      <c r="G433" t="s">
        <v>11</v>
      </c>
      <c r="H433" t="s">
        <v>12</v>
      </c>
      <c r="I433" t="s">
        <v>300</v>
      </c>
      <c r="J433" s="11">
        <f>DATE(B433,MATCH(C433,{"Jan","Feb","Mar","Apr","May","Jun","Jul","Aug","Sep","Oct","Nov","Dec"},0),D433)</f>
        <v>36351</v>
      </c>
      <c r="K433">
        <f t="shared" si="6"/>
        <v>23</v>
      </c>
    </row>
    <row r="434" spans="1:11" x14ac:dyDescent="0.35">
      <c r="A434" t="s">
        <v>463</v>
      </c>
      <c r="B434">
        <v>1995</v>
      </c>
      <c r="C434" t="s">
        <v>10</v>
      </c>
      <c r="D434">
        <v>11</v>
      </c>
      <c r="E434">
        <v>1</v>
      </c>
      <c r="F434" s="15">
        <v>3956.07</v>
      </c>
      <c r="G434" t="s">
        <v>11</v>
      </c>
      <c r="H434" t="s">
        <v>11</v>
      </c>
      <c r="I434" t="s">
        <v>23</v>
      </c>
      <c r="J434" s="11">
        <f>DATE(B434,MATCH(C434,{"Jan","Feb","Mar","Apr","May","Jun","Jul","Aug","Sep","Oct","Nov","Dec"},0),D434)</f>
        <v>34891</v>
      </c>
      <c r="K434">
        <f t="shared" si="6"/>
        <v>27</v>
      </c>
    </row>
    <row r="435" spans="1:11" x14ac:dyDescent="0.35">
      <c r="A435" t="s">
        <v>464</v>
      </c>
      <c r="B435">
        <v>1990</v>
      </c>
      <c r="C435" t="s">
        <v>10</v>
      </c>
      <c r="D435">
        <v>29</v>
      </c>
      <c r="E435">
        <v>0</v>
      </c>
      <c r="F435" s="15">
        <v>3972.92</v>
      </c>
      <c r="G435" t="s">
        <v>11</v>
      </c>
      <c r="H435" t="s">
        <v>12</v>
      </c>
      <c r="I435" t="s">
        <v>13</v>
      </c>
      <c r="J435" s="11">
        <f>DATE(B435,MATCH(C435,{"Jan","Feb","Mar","Apr","May","Jun","Jul","Aug","Sep","Oct","Nov","Dec"},0),D435)</f>
        <v>33083</v>
      </c>
      <c r="K435">
        <f t="shared" si="6"/>
        <v>32</v>
      </c>
    </row>
    <row r="436" spans="1:11" x14ac:dyDescent="0.35">
      <c r="A436" t="s">
        <v>465</v>
      </c>
      <c r="B436">
        <v>1996</v>
      </c>
      <c r="C436" t="s">
        <v>35</v>
      </c>
      <c r="D436">
        <v>17</v>
      </c>
      <c r="E436">
        <v>2</v>
      </c>
      <c r="F436" s="15">
        <v>3981.98</v>
      </c>
      <c r="G436" t="s">
        <v>11</v>
      </c>
      <c r="H436" t="s">
        <v>11</v>
      </c>
      <c r="I436" t="s">
        <v>13</v>
      </c>
      <c r="J436" s="11">
        <f>DATE(B436,MATCH(C436,{"Jan","Feb","Mar","Apr","May","Jun","Jul","Aug","Sep","Oct","Nov","Dec"},0),D436)</f>
        <v>35294</v>
      </c>
      <c r="K436">
        <f t="shared" si="6"/>
        <v>26</v>
      </c>
    </row>
    <row r="437" spans="1:11" x14ac:dyDescent="0.35">
      <c r="A437" t="s">
        <v>466</v>
      </c>
      <c r="B437">
        <v>1996</v>
      </c>
      <c r="C437" t="s">
        <v>20</v>
      </c>
      <c r="D437">
        <v>8</v>
      </c>
      <c r="E437">
        <v>2</v>
      </c>
      <c r="F437" s="15">
        <v>3987.93</v>
      </c>
      <c r="G437" t="s">
        <v>11</v>
      </c>
      <c r="H437" t="s">
        <v>11</v>
      </c>
      <c r="I437" t="s">
        <v>42</v>
      </c>
      <c r="J437" s="11">
        <f>DATE(B437,MATCH(C437,{"Jan","Feb","Mar","Apr","May","Jun","Jul","Aug","Sep","Oct","Nov","Dec"},0),D437)</f>
        <v>35316</v>
      </c>
      <c r="K437">
        <f t="shared" si="6"/>
        <v>26</v>
      </c>
    </row>
    <row r="438" spans="1:11" x14ac:dyDescent="0.35">
      <c r="A438" t="s">
        <v>467</v>
      </c>
      <c r="B438">
        <v>1990</v>
      </c>
      <c r="C438" t="s">
        <v>15</v>
      </c>
      <c r="D438">
        <v>22</v>
      </c>
      <c r="E438">
        <v>0</v>
      </c>
      <c r="F438" s="15">
        <v>3989.84</v>
      </c>
      <c r="G438" t="s">
        <v>11</v>
      </c>
      <c r="H438" t="s">
        <v>11</v>
      </c>
      <c r="I438" t="s">
        <v>42</v>
      </c>
      <c r="J438" s="11">
        <f>DATE(B438,MATCH(C438,{"Jan","Feb","Mar","Apr","May","Jun","Jul","Aug","Sep","Oct","Nov","Dec"},0),D438)</f>
        <v>33199</v>
      </c>
      <c r="K438">
        <f t="shared" si="6"/>
        <v>32</v>
      </c>
    </row>
    <row r="439" spans="1:11" x14ac:dyDescent="0.35">
      <c r="A439" t="s">
        <v>468</v>
      </c>
      <c r="B439">
        <v>1990</v>
      </c>
      <c r="C439" t="s">
        <v>15</v>
      </c>
      <c r="D439">
        <v>1</v>
      </c>
      <c r="E439">
        <v>0</v>
      </c>
      <c r="F439" s="15">
        <v>3994.18</v>
      </c>
      <c r="G439" t="s">
        <v>11</v>
      </c>
      <c r="H439" t="s">
        <v>11</v>
      </c>
      <c r="I439" t="s">
        <v>13</v>
      </c>
      <c r="J439" s="11">
        <f>DATE(B439,MATCH(C439,{"Jan","Feb","Mar","Apr","May","Jun","Jul","Aug","Sep","Oct","Nov","Dec"},0),D439)</f>
        <v>33178</v>
      </c>
      <c r="K439">
        <f t="shared" si="6"/>
        <v>32</v>
      </c>
    </row>
    <row r="440" spans="1:11" x14ac:dyDescent="0.35">
      <c r="A440" t="s">
        <v>469</v>
      </c>
      <c r="B440">
        <v>1989</v>
      </c>
      <c r="C440" t="s">
        <v>10</v>
      </c>
      <c r="D440">
        <v>10</v>
      </c>
      <c r="E440">
        <v>3</v>
      </c>
      <c r="F440" s="15">
        <v>4002.36</v>
      </c>
      <c r="G440" t="s">
        <v>11</v>
      </c>
      <c r="H440" t="s">
        <v>16</v>
      </c>
      <c r="I440" t="s">
        <v>13</v>
      </c>
      <c r="J440" s="11">
        <f>DATE(B440,MATCH(C440,{"Jan","Feb","Mar","Apr","May","Jun","Jul","Aug","Sep","Oct","Nov","Dec"},0),D440)</f>
        <v>32699</v>
      </c>
      <c r="K440">
        <f t="shared" si="6"/>
        <v>33</v>
      </c>
    </row>
    <row r="441" spans="1:11" x14ac:dyDescent="0.35">
      <c r="A441" t="s">
        <v>470</v>
      </c>
      <c r="B441">
        <v>2000</v>
      </c>
      <c r="C441" t="s">
        <v>20</v>
      </c>
      <c r="D441">
        <v>13</v>
      </c>
      <c r="E441">
        <v>3</v>
      </c>
      <c r="F441" s="15">
        <v>4005.42</v>
      </c>
      <c r="G441" t="s">
        <v>11</v>
      </c>
      <c r="H441" t="s">
        <v>16</v>
      </c>
      <c r="I441" t="s">
        <v>164</v>
      </c>
      <c r="J441" s="11">
        <f>DATE(B441,MATCH(C441,{"Jan","Feb","Mar","Apr","May","Jun","Jul","Aug","Sep","Oct","Nov","Dec"},0),D441)</f>
        <v>36782</v>
      </c>
      <c r="K441">
        <f t="shared" si="6"/>
        <v>22</v>
      </c>
    </row>
    <row r="442" spans="1:11" x14ac:dyDescent="0.35">
      <c r="A442" t="s">
        <v>471</v>
      </c>
      <c r="B442">
        <v>1992</v>
      </c>
      <c r="C442" t="s">
        <v>37</v>
      </c>
      <c r="D442">
        <v>11</v>
      </c>
      <c r="E442">
        <v>1</v>
      </c>
      <c r="F442" s="15">
        <v>4032.24</v>
      </c>
      <c r="G442" t="s">
        <v>12</v>
      </c>
      <c r="H442" t="s">
        <v>12</v>
      </c>
      <c r="I442" t="s">
        <v>23</v>
      </c>
      <c r="J442" s="11">
        <f>DATE(B442,MATCH(C442,{"Jan","Feb","Mar","Apr","May","Jun","Jul","Aug","Sep","Oct","Nov","Dec"},0),D442)</f>
        <v>33888</v>
      </c>
      <c r="K442">
        <f t="shared" si="6"/>
        <v>30</v>
      </c>
    </row>
    <row r="443" spans="1:11" x14ac:dyDescent="0.35">
      <c r="A443" t="s">
        <v>472</v>
      </c>
      <c r="B443">
        <v>1984</v>
      </c>
      <c r="C443" t="s">
        <v>10</v>
      </c>
      <c r="D443">
        <v>7</v>
      </c>
      <c r="E443">
        <v>3</v>
      </c>
      <c r="F443" s="15">
        <v>4038.41</v>
      </c>
      <c r="G443" t="s">
        <v>11</v>
      </c>
      <c r="H443" t="s">
        <v>16</v>
      </c>
      <c r="I443" t="s">
        <v>13</v>
      </c>
      <c r="J443" s="11">
        <f>DATE(B443,MATCH(C443,{"Jan","Feb","Mar","Apr","May","Jun","Jul","Aug","Sep","Oct","Nov","Dec"},0),D443)</f>
        <v>30870</v>
      </c>
      <c r="K443">
        <f t="shared" si="6"/>
        <v>38</v>
      </c>
    </row>
    <row r="444" spans="1:11" x14ac:dyDescent="0.35">
      <c r="A444" t="s">
        <v>473</v>
      </c>
      <c r="B444">
        <v>1983</v>
      </c>
      <c r="C444" t="s">
        <v>15</v>
      </c>
      <c r="D444">
        <v>10</v>
      </c>
      <c r="E444">
        <v>3</v>
      </c>
      <c r="F444" s="15">
        <v>4039.9</v>
      </c>
      <c r="G444" t="s">
        <v>11</v>
      </c>
      <c r="H444" t="s">
        <v>16</v>
      </c>
      <c r="I444" t="s">
        <v>13</v>
      </c>
      <c r="J444" s="11">
        <f>DATE(B444,MATCH(C444,{"Jan","Feb","Mar","Apr","May","Jun","Jul","Aug","Sep","Oct","Nov","Dec"},0),D444)</f>
        <v>30630</v>
      </c>
      <c r="K444">
        <f t="shared" si="6"/>
        <v>39</v>
      </c>
    </row>
    <row r="445" spans="1:11" x14ac:dyDescent="0.35">
      <c r="A445" t="s">
        <v>474</v>
      </c>
      <c r="B445">
        <v>1993</v>
      </c>
      <c r="C445" t="s">
        <v>30</v>
      </c>
      <c r="D445">
        <v>26</v>
      </c>
      <c r="E445">
        <v>1</v>
      </c>
      <c r="F445" s="15">
        <v>4040.56</v>
      </c>
      <c r="G445" t="s">
        <v>12</v>
      </c>
      <c r="H445" t="s">
        <v>12</v>
      </c>
      <c r="I445" t="s">
        <v>164</v>
      </c>
      <c r="J445" s="11">
        <f>DATE(B445,MATCH(C445,{"Jan","Feb","Mar","Apr","May","Jun","Jul","Aug","Sep","Oct","Nov","Dec"},0),D445)</f>
        <v>34329</v>
      </c>
      <c r="K445">
        <f t="shared" si="6"/>
        <v>29</v>
      </c>
    </row>
    <row r="446" spans="1:11" x14ac:dyDescent="0.35">
      <c r="A446" t="s">
        <v>475</v>
      </c>
      <c r="B446">
        <v>1988</v>
      </c>
      <c r="C446" t="s">
        <v>15</v>
      </c>
      <c r="D446">
        <v>30</v>
      </c>
      <c r="E446">
        <v>3</v>
      </c>
      <c r="F446" s="15">
        <v>4047.94</v>
      </c>
      <c r="G446" t="s">
        <v>11</v>
      </c>
      <c r="H446" t="s">
        <v>16</v>
      </c>
      <c r="I446" t="s">
        <v>13</v>
      </c>
      <c r="J446" s="11">
        <f>DATE(B446,MATCH(C446,{"Jan","Feb","Mar","Apr","May","Jun","Jul","Aug","Sep","Oct","Nov","Dec"},0),D446)</f>
        <v>32477</v>
      </c>
      <c r="K446">
        <f t="shared" si="6"/>
        <v>34</v>
      </c>
    </row>
    <row r="447" spans="1:11" x14ac:dyDescent="0.35">
      <c r="A447" t="s">
        <v>476</v>
      </c>
      <c r="B447">
        <v>1993</v>
      </c>
      <c r="C447" t="s">
        <v>35</v>
      </c>
      <c r="D447">
        <v>13</v>
      </c>
      <c r="E447">
        <v>2</v>
      </c>
      <c r="F447" s="15">
        <v>4058.12</v>
      </c>
      <c r="G447" t="s">
        <v>11</v>
      </c>
      <c r="H447" t="s">
        <v>16</v>
      </c>
      <c r="I447" t="s">
        <v>13</v>
      </c>
      <c r="J447" s="11">
        <f>DATE(B447,MATCH(C447,{"Jan","Feb","Mar","Apr","May","Jun","Jul","Aug","Sep","Oct","Nov","Dec"},0),D447)</f>
        <v>34194</v>
      </c>
      <c r="K447">
        <f t="shared" si="6"/>
        <v>29</v>
      </c>
    </row>
    <row r="448" spans="1:11" x14ac:dyDescent="0.35">
      <c r="A448" t="s">
        <v>477</v>
      </c>
      <c r="B448">
        <v>1995</v>
      </c>
      <c r="C448" t="s">
        <v>20</v>
      </c>
      <c r="D448">
        <v>14</v>
      </c>
      <c r="E448">
        <v>2</v>
      </c>
      <c r="F448" s="15">
        <v>4058.71</v>
      </c>
      <c r="G448" t="s">
        <v>12</v>
      </c>
      <c r="H448" t="s">
        <v>12</v>
      </c>
      <c r="I448" t="s">
        <v>23</v>
      </c>
      <c r="J448" s="11">
        <f>DATE(B448,MATCH(C448,{"Jan","Feb","Mar","Apr","May","Jun","Jul","Aug","Sep","Oct","Nov","Dec"},0),D448)</f>
        <v>34956</v>
      </c>
      <c r="K448">
        <f t="shared" si="6"/>
        <v>27</v>
      </c>
    </row>
    <row r="449" spans="1:11" x14ac:dyDescent="0.35">
      <c r="A449" t="s">
        <v>478</v>
      </c>
      <c r="B449">
        <v>1983</v>
      </c>
      <c r="C449" t="s">
        <v>20</v>
      </c>
      <c r="D449">
        <v>16</v>
      </c>
      <c r="E449">
        <v>3</v>
      </c>
      <c r="F449" s="15">
        <v>4070.42</v>
      </c>
      <c r="G449" t="s">
        <v>11</v>
      </c>
      <c r="H449" t="s">
        <v>16</v>
      </c>
      <c r="I449" t="s">
        <v>13</v>
      </c>
      <c r="J449" s="11">
        <f>DATE(B449,MATCH(C449,{"Jan","Feb","Mar","Apr","May","Jun","Jul","Aug","Sep","Oct","Nov","Dec"},0),D449)</f>
        <v>30575</v>
      </c>
      <c r="K449">
        <f t="shared" si="6"/>
        <v>39</v>
      </c>
    </row>
    <row r="450" spans="1:11" x14ac:dyDescent="0.35">
      <c r="A450" t="s">
        <v>479</v>
      </c>
      <c r="B450">
        <v>2002</v>
      </c>
      <c r="C450" t="s">
        <v>37</v>
      </c>
      <c r="D450">
        <v>18</v>
      </c>
      <c r="E450">
        <v>0</v>
      </c>
      <c r="F450" s="15">
        <v>4070.51</v>
      </c>
      <c r="G450" t="s">
        <v>11</v>
      </c>
      <c r="H450" t="s">
        <v>16</v>
      </c>
      <c r="I450" t="s">
        <v>23</v>
      </c>
      <c r="J450" s="11">
        <f>DATE(B450,MATCH(C450,{"Jan","Feb","Mar","Apr","May","Jun","Jul","Aug","Sep","Oct","Nov","Dec"},0),D450)</f>
        <v>37547</v>
      </c>
      <c r="K450">
        <f t="shared" si="6"/>
        <v>20</v>
      </c>
    </row>
    <row r="451" spans="1:11" x14ac:dyDescent="0.35">
      <c r="A451" t="s">
        <v>480</v>
      </c>
      <c r="B451">
        <v>1990</v>
      </c>
      <c r="C451" t="s">
        <v>30</v>
      </c>
      <c r="D451">
        <v>1</v>
      </c>
      <c r="E451">
        <v>1</v>
      </c>
      <c r="F451" s="15">
        <v>4074.45</v>
      </c>
      <c r="G451" t="s">
        <v>12</v>
      </c>
      <c r="H451" t="s">
        <v>11</v>
      </c>
      <c r="I451" t="s">
        <v>13</v>
      </c>
      <c r="J451" s="11">
        <f>DATE(B451,MATCH(C451,{"Jan","Feb","Mar","Apr","May","Jun","Jul","Aug","Sep","Oct","Nov","Dec"},0),D451)</f>
        <v>33208</v>
      </c>
      <c r="K451">
        <f t="shared" ref="K451:K514" si="7">DATEDIF(J451,$N$1,"Y")</f>
        <v>32</v>
      </c>
    </row>
    <row r="452" spans="1:11" x14ac:dyDescent="0.35">
      <c r="A452" t="s">
        <v>481</v>
      </c>
      <c r="B452">
        <v>1990</v>
      </c>
      <c r="C452" t="s">
        <v>30</v>
      </c>
      <c r="D452">
        <v>14</v>
      </c>
      <c r="E452">
        <v>1</v>
      </c>
      <c r="F452" s="15">
        <v>4076.5</v>
      </c>
      <c r="G452" t="s">
        <v>11</v>
      </c>
      <c r="H452" t="s">
        <v>12</v>
      </c>
      <c r="I452" t="s">
        <v>42</v>
      </c>
      <c r="J452" s="11">
        <f>DATE(B452,MATCH(C452,{"Jan","Feb","Mar","Apr","May","Jun","Jul","Aug","Sep","Oct","Nov","Dec"},0),D452)</f>
        <v>33221</v>
      </c>
      <c r="K452">
        <f t="shared" si="7"/>
        <v>32</v>
      </c>
    </row>
    <row r="453" spans="1:11" x14ac:dyDescent="0.35">
      <c r="A453" t="s">
        <v>482</v>
      </c>
      <c r="B453">
        <v>1994</v>
      </c>
      <c r="C453" t="s">
        <v>35</v>
      </c>
      <c r="D453">
        <v>21</v>
      </c>
      <c r="E453">
        <v>1</v>
      </c>
      <c r="F453" s="15">
        <v>4133.6400000000003</v>
      </c>
      <c r="G453" t="s">
        <v>11</v>
      </c>
      <c r="H453" t="s">
        <v>12</v>
      </c>
      <c r="I453" t="s">
        <v>23</v>
      </c>
      <c r="J453" s="11">
        <f>DATE(B453,MATCH(C453,{"Jan","Feb","Mar","Apr","May","Jun","Jul","Aug","Sep","Oct","Nov","Dec"},0),D453)</f>
        <v>34567</v>
      </c>
      <c r="K453">
        <f t="shared" si="7"/>
        <v>28</v>
      </c>
    </row>
    <row r="454" spans="1:11" x14ac:dyDescent="0.35">
      <c r="A454" t="s">
        <v>483</v>
      </c>
      <c r="B454">
        <v>1991</v>
      </c>
      <c r="C454" t="s">
        <v>35</v>
      </c>
      <c r="D454">
        <v>6</v>
      </c>
      <c r="E454">
        <v>0</v>
      </c>
      <c r="F454" s="15">
        <v>4134.08</v>
      </c>
      <c r="G454" t="s">
        <v>11</v>
      </c>
      <c r="H454" t="s">
        <v>16</v>
      </c>
      <c r="I454" t="s">
        <v>23</v>
      </c>
      <c r="J454" s="11">
        <f>DATE(B454,MATCH(C454,{"Jan","Feb","Mar","Apr","May","Jun","Jul","Aug","Sep","Oct","Nov","Dec"},0),D454)</f>
        <v>33456</v>
      </c>
      <c r="K454">
        <f t="shared" si="7"/>
        <v>31</v>
      </c>
    </row>
    <row r="455" spans="1:11" x14ac:dyDescent="0.35">
      <c r="A455" t="s">
        <v>484</v>
      </c>
      <c r="B455">
        <v>1992</v>
      </c>
      <c r="C455" t="s">
        <v>18</v>
      </c>
      <c r="D455">
        <v>18</v>
      </c>
      <c r="E455">
        <v>0</v>
      </c>
      <c r="F455" s="15">
        <v>4137.5200000000004</v>
      </c>
      <c r="G455" t="s">
        <v>11</v>
      </c>
      <c r="H455" t="s">
        <v>12</v>
      </c>
      <c r="I455" t="s">
        <v>247</v>
      </c>
      <c r="J455" s="11">
        <f>DATE(B455,MATCH(C455,{"Jan","Feb","Mar","Apr","May","Jun","Jul","Aug","Sep","Oct","Nov","Dec"},0),D455)</f>
        <v>33773</v>
      </c>
      <c r="K455">
        <f t="shared" si="7"/>
        <v>30</v>
      </c>
    </row>
    <row r="456" spans="1:11" x14ac:dyDescent="0.35">
      <c r="A456" t="s">
        <v>485</v>
      </c>
      <c r="B456">
        <v>1992</v>
      </c>
      <c r="C456" t="s">
        <v>18</v>
      </c>
      <c r="D456">
        <v>28</v>
      </c>
      <c r="E456">
        <v>1</v>
      </c>
      <c r="F456" s="15">
        <v>4149.74</v>
      </c>
      <c r="G456" t="s">
        <v>11</v>
      </c>
      <c r="H456" t="s">
        <v>16</v>
      </c>
      <c r="I456" t="s">
        <v>42</v>
      </c>
      <c r="J456" s="11">
        <f>DATE(B456,MATCH(C456,{"Jan","Feb","Mar","Apr","May","Jun","Jul","Aug","Sep","Oct","Nov","Dec"},0),D456)</f>
        <v>33783</v>
      </c>
      <c r="K456">
        <f t="shared" si="7"/>
        <v>30</v>
      </c>
    </row>
    <row r="457" spans="1:11" x14ac:dyDescent="0.35">
      <c r="A457" t="s">
        <v>486</v>
      </c>
      <c r="B457">
        <v>1992</v>
      </c>
      <c r="C457" t="s">
        <v>35</v>
      </c>
      <c r="D457">
        <v>4</v>
      </c>
      <c r="E457">
        <v>1</v>
      </c>
      <c r="F457" s="15">
        <v>4151.03</v>
      </c>
      <c r="G457" t="s">
        <v>11</v>
      </c>
      <c r="H457" t="s">
        <v>11</v>
      </c>
      <c r="I457" t="s">
        <v>13</v>
      </c>
      <c r="J457" s="11">
        <f>DATE(B457,MATCH(C457,{"Jan","Feb","Mar","Apr","May","Jun","Jul","Aug","Sep","Oct","Nov","Dec"},0),D457)</f>
        <v>33820</v>
      </c>
      <c r="K457">
        <f t="shared" si="7"/>
        <v>30</v>
      </c>
    </row>
    <row r="458" spans="1:11" x14ac:dyDescent="0.35">
      <c r="A458" t="s">
        <v>487</v>
      </c>
      <c r="B458">
        <v>1998</v>
      </c>
      <c r="C458" t="s">
        <v>15</v>
      </c>
      <c r="D458">
        <v>26</v>
      </c>
      <c r="E458">
        <v>0</v>
      </c>
      <c r="F458" s="15">
        <v>4154.97</v>
      </c>
      <c r="G458" t="s">
        <v>11</v>
      </c>
      <c r="H458" t="s">
        <v>16</v>
      </c>
      <c r="I458" t="s">
        <v>23</v>
      </c>
      <c r="J458" s="11">
        <f>DATE(B458,MATCH(C458,{"Jan","Feb","Mar","Apr","May","Jun","Jul","Aug","Sep","Oct","Nov","Dec"},0),D458)</f>
        <v>36125</v>
      </c>
      <c r="K458">
        <f t="shared" si="7"/>
        <v>24</v>
      </c>
    </row>
    <row r="459" spans="1:11" x14ac:dyDescent="0.35">
      <c r="A459" t="s">
        <v>488</v>
      </c>
      <c r="B459">
        <v>1984</v>
      </c>
      <c r="C459" t="s">
        <v>20</v>
      </c>
      <c r="D459">
        <v>16</v>
      </c>
      <c r="E459">
        <v>3</v>
      </c>
      <c r="F459" s="15">
        <v>4163.21</v>
      </c>
      <c r="G459" t="s">
        <v>11</v>
      </c>
      <c r="H459" t="s">
        <v>11</v>
      </c>
      <c r="I459" t="s">
        <v>23</v>
      </c>
      <c r="J459" s="11">
        <f>DATE(B459,MATCH(C459,{"Jan","Feb","Mar","Apr","May","Jun","Jul","Aug","Sep","Oct","Nov","Dec"},0),D459)</f>
        <v>30941</v>
      </c>
      <c r="K459">
        <f t="shared" si="7"/>
        <v>38</v>
      </c>
    </row>
    <row r="460" spans="1:11" x14ac:dyDescent="0.35">
      <c r="A460" t="s">
        <v>489</v>
      </c>
      <c r="B460">
        <v>1989</v>
      </c>
      <c r="C460" t="s">
        <v>18</v>
      </c>
      <c r="D460">
        <v>25</v>
      </c>
      <c r="E460">
        <v>0</v>
      </c>
      <c r="F460" s="15">
        <v>4185.1000000000004</v>
      </c>
      <c r="G460" t="s">
        <v>11</v>
      </c>
      <c r="H460" t="s">
        <v>12</v>
      </c>
      <c r="I460" t="s">
        <v>13</v>
      </c>
      <c r="J460" s="11">
        <f>DATE(B460,MATCH(C460,{"Jan","Feb","Mar","Apr","May","Jun","Jul","Aug","Sep","Oct","Nov","Dec"},0),D460)</f>
        <v>32684</v>
      </c>
      <c r="K460">
        <f t="shared" si="7"/>
        <v>33</v>
      </c>
    </row>
    <row r="461" spans="1:11" x14ac:dyDescent="0.35">
      <c r="A461" t="s">
        <v>490</v>
      </c>
      <c r="B461">
        <v>1995</v>
      </c>
      <c r="C461" t="s">
        <v>37</v>
      </c>
      <c r="D461">
        <v>3</v>
      </c>
      <c r="E461">
        <v>0</v>
      </c>
      <c r="F461" s="15">
        <v>4188.7299999999996</v>
      </c>
      <c r="G461" t="s">
        <v>11</v>
      </c>
      <c r="H461" t="s">
        <v>11</v>
      </c>
      <c r="I461" t="s">
        <v>200</v>
      </c>
      <c r="J461" s="11">
        <f>DATE(B461,MATCH(C461,{"Jan","Feb","Mar","Apr","May","Jun","Jul","Aug","Sep","Oct","Nov","Dec"},0),D461)</f>
        <v>34975</v>
      </c>
      <c r="K461">
        <f t="shared" si="7"/>
        <v>27</v>
      </c>
    </row>
    <row r="462" spans="1:11" x14ac:dyDescent="0.35">
      <c r="A462" t="s">
        <v>491</v>
      </c>
      <c r="B462">
        <v>1997</v>
      </c>
      <c r="C462" t="s">
        <v>20</v>
      </c>
      <c r="D462">
        <v>6</v>
      </c>
      <c r="E462">
        <v>2</v>
      </c>
      <c r="F462" s="15">
        <v>4189.1099999999997</v>
      </c>
      <c r="G462" t="s">
        <v>11</v>
      </c>
      <c r="H462" t="s">
        <v>11</v>
      </c>
      <c r="I462" t="s">
        <v>23</v>
      </c>
      <c r="J462" s="11">
        <f>DATE(B462,MATCH(C462,{"Jan","Feb","Mar","Apr","May","Jun","Jul","Aug","Sep","Oct","Nov","Dec"},0),D462)</f>
        <v>35679</v>
      </c>
      <c r="K462">
        <f t="shared" si="7"/>
        <v>25</v>
      </c>
    </row>
    <row r="463" spans="1:11" x14ac:dyDescent="0.35">
      <c r="A463" t="s">
        <v>492</v>
      </c>
      <c r="B463">
        <v>1998</v>
      </c>
      <c r="C463" t="s">
        <v>30</v>
      </c>
      <c r="D463">
        <v>14</v>
      </c>
      <c r="E463">
        <v>3</v>
      </c>
      <c r="F463" s="15">
        <v>4234.93</v>
      </c>
      <c r="G463" t="s">
        <v>11</v>
      </c>
      <c r="H463" t="s">
        <v>16</v>
      </c>
      <c r="I463" t="s">
        <v>42</v>
      </c>
      <c r="J463" s="11">
        <f>DATE(B463,MATCH(C463,{"Jan","Feb","Mar","Apr","May","Jun","Jul","Aug","Sep","Oct","Nov","Dec"},0),D463)</f>
        <v>36143</v>
      </c>
      <c r="K463">
        <f t="shared" si="7"/>
        <v>24</v>
      </c>
    </row>
    <row r="464" spans="1:11" x14ac:dyDescent="0.35">
      <c r="A464" t="s">
        <v>493</v>
      </c>
      <c r="B464">
        <v>1992</v>
      </c>
      <c r="C464" t="s">
        <v>18</v>
      </c>
      <c r="D464">
        <v>27</v>
      </c>
      <c r="E464">
        <v>1</v>
      </c>
      <c r="F464" s="15">
        <v>4237.13</v>
      </c>
      <c r="G464" t="s">
        <v>12</v>
      </c>
      <c r="H464" t="s">
        <v>16</v>
      </c>
      <c r="I464" t="s">
        <v>168</v>
      </c>
      <c r="J464" s="11">
        <f>DATE(B464,MATCH(C464,{"Jan","Feb","Mar","Apr","May","Jun","Jul","Aug","Sep","Oct","Nov","Dec"},0),D464)</f>
        <v>33782</v>
      </c>
      <c r="K464">
        <f t="shared" si="7"/>
        <v>30</v>
      </c>
    </row>
    <row r="465" spans="1:11" x14ac:dyDescent="0.35">
      <c r="A465" t="s">
        <v>494</v>
      </c>
      <c r="B465">
        <v>1991</v>
      </c>
      <c r="C465" t="s">
        <v>15</v>
      </c>
      <c r="D465">
        <v>3</v>
      </c>
      <c r="E465">
        <v>1</v>
      </c>
      <c r="F465" s="15">
        <v>4239.8900000000003</v>
      </c>
      <c r="G465" t="s">
        <v>11</v>
      </c>
      <c r="H465" t="s">
        <v>11</v>
      </c>
      <c r="I465" t="s">
        <v>23</v>
      </c>
      <c r="J465" s="11">
        <f>DATE(B465,MATCH(C465,{"Jan","Feb","Mar","Apr","May","Jun","Jul","Aug","Sep","Oct","Nov","Dec"},0),D465)</f>
        <v>33545</v>
      </c>
      <c r="K465">
        <f t="shared" si="7"/>
        <v>31</v>
      </c>
    </row>
    <row r="466" spans="1:11" x14ac:dyDescent="0.35">
      <c r="A466" t="s">
        <v>495</v>
      </c>
      <c r="B466">
        <v>1991</v>
      </c>
      <c r="C466" t="s">
        <v>30</v>
      </c>
      <c r="D466">
        <v>1</v>
      </c>
      <c r="E466">
        <v>1</v>
      </c>
      <c r="F466" s="15">
        <v>4243.59</v>
      </c>
      <c r="G466" t="s">
        <v>12</v>
      </c>
      <c r="H466" t="s">
        <v>16</v>
      </c>
      <c r="I466" t="s">
        <v>23</v>
      </c>
      <c r="J466" s="11">
        <f>DATE(B466,MATCH(C466,{"Jan","Feb","Mar","Apr","May","Jun","Jul","Aug","Sep","Oct","Nov","Dec"},0),D466)</f>
        <v>33573</v>
      </c>
      <c r="K466">
        <f t="shared" si="7"/>
        <v>31</v>
      </c>
    </row>
    <row r="467" spans="1:11" x14ac:dyDescent="0.35">
      <c r="A467" t="s">
        <v>496</v>
      </c>
      <c r="B467">
        <v>1982</v>
      </c>
      <c r="C467" t="s">
        <v>18</v>
      </c>
      <c r="D467">
        <v>16</v>
      </c>
      <c r="E467">
        <v>3</v>
      </c>
      <c r="F467" s="15">
        <v>4250.24</v>
      </c>
      <c r="G467" t="s">
        <v>11</v>
      </c>
      <c r="H467" t="s">
        <v>12</v>
      </c>
      <c r="I467" t="s">
        <v>13</v>
      </c>
      <c r="J467" s="11">
        <f>DATE(B467,MATCH(C467,{"Jan","Feb","Mar","Apr","May","Jun","Jul","Aug","Sep","Oct","Nov","Dec"},0),D467)</f>
        <v>30118</v>
      </c>
      <c r="K467">
        <f t="shared" si="7"/>
        <v>40</v>
      </c>
    </row>
    <row r="468" spans="1:11" x14ac:dyDescent="0.35">
      <c r="A468" t="s">
        <v>497</v>
      </c>
      <c r="B468">
        <v>1995</v>
      </c>
      <c r="C468" t="s">
        <v>37</v>
      </c>
      <c r="D468">
        <v>14</v>
      </c>
      <c r="E468">
        <v>3</v>
      </c>
      <c r="F468" s="15">
        <v>4260.74</v>
      </c>
      <c r="G468" t="s">
        <v>12</v>
      </c>
      <c r="H468" t="s">
        <v>11</v>
      </c>
      <c r="I468" t="s">
        <v>42</v>
      </c>
      <c r="J468" s="11">
        <f>DATE(B468,MATCH(C468,{"Jan","Feb","Mar","Apr","May","Jun","Jul","Aug","Sep","Oct","Nov","Dec"},0),D468)</f>
        <v>34986</v>
      </c>
      <c r="K468">
        <f t="shared" si="7"/>
        <v>27</v>
      </c>
    </row>
    <row r="469" spans="1:11" x14ac:dyDescent="0.35">
      <c r="A469" t="s">
        <v>498</v>
      </c>
      <c r="B469">
        <v>1983</v>
      </c>
      <c r="C469" t="s">
        <v>15</v>
      </c>
      <c r="D469">
        <v>20</v>
      </c>
      <c r="E469">
        <v>3</v>
      </c>
      <c r="F469" s="15">
        <v>4265.01</v>
      </c>
      <c r="G469" t="s">
        <v>11</v>
      </c>
      <c r="H469" t="s">
        <v>16</v>
      </c>
      <c r="I469" t="s">
        <v>23</v>
      </c>
      <c r="J469" s="11">
        <f>DATE(B469,MATCH(C469,{"Jan","Feb","Mar","Apr","May","Jun","Jul","Aug","Sep","Oct","Nov","Dec"},0),D469)</f>
        <v>30640</v>
      </c>
      <c r="K469">
        <f t="shared" si="7"/>
        <v>39</v>
      </c>
    </row>
    <row r="470" spans="1:11" x14ac:dyDescent="0.35">
      <c r="A470" t="s">
        <v>499</v>
      </c>
      <c r="B470">
        <v>1992</v>
      </c>
      <c r="C470" t="s">
        <v>18</v>
      </c>
      <c r="D470">
        <v>18</v>
      </c>
      <c r="E470">
        <v>2</v>
      </c>
      <c r="F470" s="15">
        <v>4266.17</v>
      </c>
      <c r="G470" t="s">
        <v>12</v>
      </c>
      <c r="H470" t="s">
        <v>11</v>
      </c>
      <c r="I470" t="s">
        <v>13</v>
      </c>
      <c r="J470" s="11">
        <f>DATE(B470,MATCH(C470,{"Jan","Feb","Mar","Apr","May","Jun","Jul","Aug","Sep","Oct","Nov","Dec"},0),D470)</f>
        <v>33773</v>
      </c>
      <c r="K470">
        <f t="shared" si="7"/>
        <v>30</v>
      </c>
    </row>
    <row r="471" spans="1:11" x14ac:dyDescent="0.35">
      <c r="A471" t="s">
        <v>500</v>
      </c>
      <c r="B471">
        <v>2003</v>
      </c>
      <c r="C471" t="s">
        <v>18</v>
      </c>
      <c r="D471">
        <v>8</v>
      </c>
      <c r="E471">
        <v>0</v>
      </c>
      <c r="F471" s="15">
        <v>4278.55</v>
      </c>
      <c r="G471" t="s">
        <v>11</v>
      </c>
      <c r="H471" t="s">
        <v>16</v>
      </c>
      <c r="I471" t="s">
        <v>300</v>
      </c>
      <c r="J471" s="11">
        <f>DATE(B471,MATCH(C471,{"Jan","Feb","Mar","Apr","May","Jun","Jul","Aug","Sep","Oct","Nov","Dec"},0),D471)</f>
        <v>37780</v>
      </c>
      <c r="K471">
        <f t="shared" si="7"/>
        <v>20</v>
      </c>
    </row>
    <row r="472" spans="1:11" x14ac:dyDescent="0.35">
      <c r="A472" t="s">
        <v>501</v>
      </c>
      <c r="B472">
        <v>2000</v>
      </c>
      <c r="C472" t="s">
        <v>15</v>
      </c>
      <c r="D472">
        <v>25</v>
      </c>
      <c r="E472">
        <v>3</v>
      </c>
      <c r="F472" s="15">
        <v>4296.2700000000004</v>
      </c>
      <c r="G472" t="s">
        <v>11</v>
      </c>
      <c r="H472" t="s">
        <v>12</v>
      </c>
      <c r="I472" t="s">
        <v>23</v>
      </c>
      <c r="J472" s="11">
        <f>DATE(B472,MATCH(C472,{"Jan","Feb","Mar","Apr","May","Jun","Jul","Aug","Sep","Oct","Nov","Dec"},0),D472)</f>
        <v>36855</v>
      </c>
      <c r="K472">
        <f t="shared" si="7"/>
        <v>22</v>
      </c>
    </row>
    <row r="473" spans="1:11" x14ac:dyDescent="0.35">
      <c r="A473" t="s">
        <v>502</v>
      </c>
      <c r="B473">
        <v>1988</v>
      </c>
      <c r="C473" t="s">
        <v>30</v>
      </c>
      <c r="D473">
        <v>19</v>
      </c>
      <c r="E473">
        <v>0</v>
      </c>
      <c r="F473" s="15">
        <v>4320.41</v>
      </c>
      <c r="G473" t="s">
        <v>11</v>
      </c>
      <c r="H473" t="s">
        <v>16</v>
      </c>
      <c r="I473" t="s">
        <v>23</v>
      </c>
      <c r="J473" s="11">
        <f>DATE(B473,MATCH(C473,{"Jan","Feb","Mar","Apr","May","Jun","Jul","Aug","Sep","Oct","Nov","Dec"},0),D473)</f>
        <v>32496</v>
      </c>
      <c r="K473">
        <f t="shared" si="7"/>
        <v>34</v>
      </c>
    </row>
    <row r="474" spans="1:11" x14ac:dyDescent="0.35">
      <c r="A474" t="s">
        <v>503</v>
      </c>
      <c r="B474">
        <v>1994</v>
      </c>
      <c r="C474" t="s">
        <v>15</v>
      </c>
      <c r="D474">
        <v>2</v>
      </c>
      <c r="E474">
        <v>1</v>
      </c>
      <c r="F474" s="15">
        <v>4337.74</v>
      </c>
      <c r="G474" t="s">
        <v>11</v>
      </c>
      <c r="H474" t="s">
        <v>16</v>
      </c>
      <c r="I474" t="s">
        <v>247</v>
      </c>
      <c r="J474" s="11">
        <f>DATE(B474,MATCH(C474,{"Jan","Feb","Mar","Apr","May","Jun","Jul","Aug","Sep","Oct","Nov","Dec"},0),D474)</f>
        <v>34640</v>
      </c>
      <c r="K474">
        <f t="shared" si="7"/>
        <v>28</v>
      </c>
    </row>
    <row r="475" spans="1:11" x14ac:dyDescent="0.35">
      <c r="A475" t="s">
        <v>504</v>
      </c>
      <c r="B475">
        <v>1994</v>
      </c>
      <c r="C475" t="s">
        <v>37</v>
      </c>
      <c r="D475">
        <v>26</v>
      </c>
      <c r="E475">
        <v>2</v>
      </c>
      <c r="F475" s="15">
        <v>4340.4399999999996</v>
      </c>
      <c r="G475" t="s">
        <v>11</v>
      </c>
      <c r="H475" t="s">
        <v>16</v>
      </c>
      <c r="I475" t="s">
        <v>13</v>
      </c>
      <c r="J475" s="11">
        <f>DATE(B475,MATCH(C475,{"Jan","Feb","Mar","Apr","May","Jun","Jul","Aug","Sep","Oct","Nov","Dec"},0),D475)</f>
        <v>34633</v>
      </c>
      <c r="K475">
        <f t="shared" si="7"/>
        <v>28</v>
      </c>
    </row>
    <row r="476" spans="1:11" x14ac:dyDescent="0.35">
      <c r="A476" t="s">
        <v>505</v>
      </c>
      <c r="B476">
        <v>1991</v>
      </c>
      <c r="C476" t="s">
        <v>18</v>
      </c>
      <c r="D476">
        <v>1</v>
      </c>
      <c r="E476">
        <v>0</v>
      </c>
      <c r="F476" s="15">
        <v>4347.0200000000004</v>
      </c>
      <c r="G476" t="s">
        <v>11</v>
      </c>
      <c r="H476" t="s">
        <v>16</v>
      </c>
      <c r="I476" t="s">
        <v>247</v>
      </c>
      <c r="J476" s="11">
        <f>DATE(B476,MATCH(C476,{"Jan","Feb","Mar","Apr","May","Jun","Jul","Aug","Sep","Oct","Nov","Dec"},0),D476)</f>
        <v>33390</v>
      </c>
      <c r="K476">
        <f t="shared" si="7"/>
        <v>32</v>
      </c>
    </row>
    <row r="477" spans="1:11" x14ac:dyDescent="0.35">
      <c r="A477" t="s">
        <v>506</v>
      </c>
      <c r="B477">
        <v>1994</v>
      </c>
      <c r="C477" t="s">
        <v>15</v>
      </c>
      <c r="D477">
        <v>1</v>
      </c>
      <c r="E477">
        <v>2</v>
      </c>
      <c r="F477" s="15">
        <v>4349.46</v>
      </c>
      <c r="G477" t="s">
        <v>11</v>
      </c>
      <c r="H477" t="s">
        <v>11</v>
      </c>
      <c r="I477" t="s">
        <v>13</v>
      </c>
      <c r="J477" s="11">
        <f>DATE(B477,MATCH(C477,{"Jan","Feb","Mar","Apr","May","Jun","Jul","Aug","Sep","Oct","Nov","Dec"},0),D477)</f>
        <v>34639</v>
      </c>
      <c r="K477">
        <f t="shared" si="7"/>
        <v>28</v>
      </c>
    </row>
    <row r="478" spans="1:11" x14ac:dyDescent="0.35">
      <c r="A478" t="s">
        <v>507</v>
      </c>
      <c r="B478">
        <v>1991</v>
      </c>
      <c r="C478" t="s">
        <v>20</v>
      </c>
      <c r="D478">
        <v>13</v>
      </c>
      <c r="E478">
        <v>1</v>
      </c>
      <c r="F478" s="15">
        <v>4350.51</v>
      </c>
      <c r="G478" t="s">
        <v>11</v>
      </c>
      <c r="H478" t="s">
        <v>11</v>
      </c>
      <c r="I478" t="s">
        <v>13</v>
      </c>
      <c r="J478" s="11">
        <f>DATE(B478,MATCH(C478,{"Jan","Feb","Mar","Apr","May","Jun","Jul","Aug","Sep","Oct","Nov","Dec"},0),D478)</f>
        <v>33494</v>
      </c>
      <c r="K478">
        <f t="shared" si="7"/>
        <v>31</v>
      </c>
    </row>
    <row r="479" spans="1:11" x14ac:dyDescent="0.35">
      <c r="A479" t="s">
        <v>508</v>
      </c>
      <c r="B479">
        <v>1990</v>
      </c>
      <c r="C479" t="s">
        <v>35</v>
      </c>
      <c r="D479">
        <v>28</v>
      </c>
      <c r="E479">
        <v>0</v>
      </c>
      <c r="F479" s="15">
        <v>4357.04</v>
      </c>
      <c r="G479" t="s">
        <v>11</v>
      </c>
      <c r="H479" t="s">
        <v>12</v>
      </c>
      <c r="I479" t="s">
        <v>23</v>
      </c>
      <c r="J479" s="11">
        <f>DATE(B479,MATCH(C479,{"Jan","Feb","Mar","Apr","May","Jun","Jul","Aug","Sep","Oct","Nov","Dec"},0),D479)</f>
        <v>33113</v>
      </c>
      <c r="K479">
        <f t="shared" si="7"/>
        <v>32</v>
      </c>
    </row>
    <row r="480" spans="1:11" x14ac:dyDescent="0.35">
      <c r="A480" t="s">
        <v>509</v>
      </c>
      <c r="B480">
        <v>1997</v>
      </c>
      <c r="C480" t="s">
        <v>15</v>
      </c>
      <c r="D480">
        <v>29</v>
      </c>
      <c r="E480">
        <v>3</v>
      </c>
      <c r="F480" s="15">
        <v>4391.6499999999996</v>
      </c>
      <c r="G480" t="s">
        <v>11</v>
      </c>
      <c r="H480" t="s">
        <v>11</v>
      </c>
      <c r="I480" t="s">
        <v>42</v>
      </c>
      <c r="J480" s="11">
        <f>DATE(B480,MATCH(C480,{"Jan","Feb","Mar","Apr","May","Jun","Jul","Aug","Sep","Oct","Nov","Dec"},0),D480)</f>
        <v>35763</v>
      </c>
      <c r="K480">
        <f t="shared" si="7"/>
        <v>25</v>
      </c>
    </row>
    <row r="481" spans="1:11" x14ac:dyDescent="0.35">
      <c r="A481" t="s">
        <v>510</v>
      </c>
      <c r="B481">
        <v>1982</v>
      </c>
      <c r="C481" t="s">
        <v>18</v>
      </c>
      <c r="D481">
        <v>29</v>
      </c>
      <c r="E481">
        <v>3</v>
      </c>
      <c r="F481" s="15">
        <v>4392.7</v>
      </c>
      <c r="G481" t="s">
        <v>11</v>
      </c>
      <c r="H481" t="s">
        <v>11</v>
      </c>
      <c r="I481" t="s">
        <v>13</v>
      </c>
      <c r="J481" s="11">
        <f>DATE(B481,MATCH(C481,{"Jan","Feb","Mar","Apr","May","Jun","Jul","Aug","Sep","Oct","Nov","Dec"},0),D481)</f>
        <v>30131</v>
      </c>
      <c r="K481">
        <f t="shared" si="7"/>
        <v>40</v>
      </c>
    </row>
    <row r="482" spans="1:11" x14ac:dyDescent="0.35">
      <c r="A482" t="s">
        <v>511</v>
      </c>
      <c r="B482">
        <v>1988</v>
      </c>
      <c r="C482" t="s">
        <v>10</v>
      </c>
      <c r="D482">
        <v>18</v>
      </c>
      <c r="E482">
        <v>3</v>
      </c>
      <c r="F482" s="15">
        <v>4397.3100000000004</v>
      </c>
      <c r="G482" t="s">
        <v>11</v>
      </c>
      <c r="H482" t="s">
        <v>11</v>
      </c>
      <c r="I482" t="s">
        <v>13</v>
      </c>
      <c r="J482" s="11">
        <f>DATE(B482,MATCH(C482,{"Jan","Feb","Mar","Apr","May","Jun","Jul","Aug","Sep","Oct","Nov","Dec"},0),D482)</f>
        <v>32342</v>
      </c>
      <c r="K482">
        <f t="shared" si="7"/>
        <v>34</v>
      </c>
    </row>
    <row r="483" spans="1:11" x14ac:dyDescent="0.35">
      <c r="A483" t="s">
        <v>512</v>
      </c>
      <c r="B483">
        <v>1986</v>
      </c>
      <c r="C483" t="s">
        <v>35</v>
      </c>
      <c r="D483">
        <v>11</v>
      </c>
      <c r="E483">
        <v>0</v>
      </c>
      <c r="F483" s="15">
        <v>4399.7299999999996</v>
      </c>
      <c r="G483" t="s">
        <v>12</v>
      </c>
      <c r="H483" t="s">
        <v>11</v>
      </c>
      <c r="I483" t="s">
        <v>13</v>
      </c>
      <c r="J483" s="11">
        <f>DATE(B483,MATCH(C483,{"Jan","Feb","Mar","Apr","May","Jun","Jul","Aug","Sep","Oct","Nov","Dec"},0),D483)</f>
        <v>31635</v>
      </c>
      <c r="K483">
        <f t="shared" si="7"/>
        <v>36</v>
      </c>
    </row>
    <row r="484" spans="1:11" x14ac:dyDescent="0.35">
      <c r="A484" t="s">
        <v>513</v>
      </c>
      <c r="B484">
        <v>1986</v>
      </c>
      <c r="C484" t="s">
        <v>10</v>
      </c>
      <c r="D484">
        <v>13</v>
      </c>
      <c r="E484">
        <v>0</v>
      </c>
      <c r="F484" s="15">
        <v>4402.2299999999996</v>
      </c>
      <c r="G484" t="s">
        <v>11</v>
      </c>
      <c r="H484" t="s">
        <v>11</v>
      </c>
      <c r="I484" t="s">
        <v>42</v>
      </c>
      <c r="J484" s="11">
        <f>DATE(B484,MATCH(C484,{"Jan","Feb","Mar","Apr","May","Jun","Jul","Aug","Sep","Oct","Nov","Dec"},0),D484)</f>
        <v>31606</v>
      </c>
      <c r="K484">
        <f t="shared" si="7"/>
        <v>36</v>
      </c>
    </row>
    <row r="485" spans="1:11" x14ac:dyDescent="0.35">
      <c r="A485" t="s">
        <v>514</v>
      </c>
      <c r="B485">
        <v>1988</v>
      </c>
      <c r="C485" t="s">
        <v>20</v>
      </c>
      <c r="D485">
        <v>16</v>
      </c>
      <c r="E485">
        <v>0</v>
      </c>
      <c r="F485" s="15">
        <v>4415.16</v>
      </c>
      <c r="G485" t="s">
        <v>11</v>
      </c>
      <c r="H485" t="s">
        <v>16</v>
      </c>
      <c r="I485" t="s">
        <v>13</v>
      </c>
      <c r="J485" s="11">
        <f>DATE(B485,MATCH(C485,{"Jan","Feb","Mar","Apr","May","Jun","Jul","Aug","Sep","Oct","Nov","Dec"},0),D485)</f>
        <v>32402</v>
      </c>
      <c r="K485">
        <f t="shared" si="7"/>
        <v>34</v>
      </c>
    </row>
    <row r="486" spans="1:11" x14ac:dyDescent="0.35">
      <c r="A486" t="s">
        <v>515</v>
      </c>
      <c r="B486">
        <v>1992</v>
      </c>
      <c r="C486" t="s">
        <v>35</v>
      </c>
      <c r="D486">
        <v>15</v>
      </c>
      <c r="E486">
        <v>0</v>
      </c>
      <c r="F486" s="15">
        <v>4420.95</v>
      </c>
      <c r="G486" t="s">
        <v>11</v>
      </c>
      <c r="H486" t="s">
        <v>12</v>
      </c>
      <c r="I486" t="s">
        <v>516</v>
      </c>
      <c r="J486" s="11">
        <f>DATE(B486,MATCH(C486,{"Jan","Feb","Mar","Apr","May","Jun","Jul","Aug","Sep","Oct","Nov","Dec"},0),D486)</f>
        <v>33831</v>
      </c>
      <c r="K486">
        <f t="shared" si="7"/>
        <v>30</v>
      </c>
    </row>
    <row r="487" spans="1:11" x14ac:dyDescent="0.35">
      <c r="A487" t="s">
        <v>517</v>
      </c>
      <c r="B487">
        <v>1994</v>
      </c>
      <c r="C487" t="s">
        <v>30</v>
      </c>
      <c r="D487">
        <v>29</v>
      </c>
      <c r="E487">
        <v>2</v>
      </c>
      <c r="F487" s="15">
        <v>4428.8900000000003</v>
      </c>
      <c r="G487" t="s">
        <v>12</v>
      </c>
      <c r="H487" t="s">
        <v>16</v>
      </c>
      <c r="I487" t="s">
        <v>356</v>
      </c>
      <c r="J487" s="11">
        <f>DATE(B487,MATCH(C487,{"Jan","Feb","Mar","Apr","May","Jun","Jul","Aug","Sep","Oct","Nov","Dec"},0),D487)</f>
        <v>34697</v>
      </c>
      <c r="K487">
        <f t="shared" si="7"/>
        <v>28</v>
      </c>
    </row>
    <row r="488" spans="1:11" x14ac:dyDescent="0.35">
      <c r="A488" t="s">
        <v>518</v>
      </c>
      <c r="B488">
        <v>1993</v>
      </c>
      <c r="C488" t="s">
        <v>20</v>
      </c>
      <c r="D488">
        <v>4</v>
      </c>
      <c r="E488">
        <v>2</v>
      </c>
      <c r="F488" s="15">
        <v>4433.3900000000003</v>
      </c>
      <c r="G488" t="s">
        <v>11</v>
      </c>
      <c r="H488" t="s">
        <v>12</v>
      </c>
      <c r="I488" t="s">
        <v>23</v>
      </c>
      <c r="J488" s="11">
        <f>DATE(B488,MATCH(C488,{"Jan","Feb","Mar","Apr","May","Jun","Jul","Aug","Sep","Oct","Nov","Dec"},0),D488)</f>
        <v>34216</v>
      </c>
      <c r="K488">
        <f t="shared" si="7"/>
        <v>29</v>
      </c>
    </row>
    <row r="489" spans="1:11" x14ac:dyDescent="0.35">
      <c r="A489" t="s">
        <v>519</v>
      </c>
      <c r="B489">
        <v>1993</v>
      </c>
      <c r="C489" t="s">
        <v>30</v>
      </c>
      <c r="D489">
        <v>23</v>
      </c>
      <c r="E489">
        <v>2</v>
      </c>
      <c r="F489" s="15">
        <v>4433.92</v>
      </c>
      <c r="G489" t="s">
        <v>11</v>
      </c>
      <c r="H489" t="s">
        <v>11</v>
      </c>
      <c r="I489" t="s">
        <v>23</v>
      </c>
      <c r="J489" s="11">
        <f>DATE(B489,MATCH(C489,{"Jan","Feb","Mar","Apr","May","Jun","Jul","Aug","Sep","Oct","Nov","Dec"},0),D489)</f>
        <v>34326</v>
      </c>
      <c r="K489">
        <f t="shared" si="7"/>
        <v>29</v>
      </c>
    </row>
    <row r="490" spans="1:11" x14ac:dyDescent="0.35">
      <c r="A490" t="s">
        <v>520</v>
      </c>
      <c r="B490">
        <v>1994</v>
      </c>
      <c r="C490" t="s">
        <v>37</v>
      </c>
      <c r="D490">
        <v>8</v>
      </c>
      <c r="E490">
        <v>2</v>
      </c>
      <c r="F490" s="15">
        <v>4435.09</v>
      </c>
      <c r="G490" t="s">
        <v>12</v>
      </c>
      <c r="H490" t="s">
        <v>11</v>
      </c>
      <c r="I490" t="s">
        <v>168</v>
      </c>
      <c r="J490" s="11">
        <f>DATE(B490,MATCH(C490,{"Jan","Feb","Mar","Apr","May","Jun","Jul","Aug","Sep","Oct","Nov","Dec"},0),D490)</f>
        <v>34615</v>
      </c>
      <c r="K490">
        <f t="shared" si="7"/>
        <v>28</v>
      </c>
    </row>
    <row r="491" spans="1:11" x14ac:dyDescent="0.35">
      <c r="A491" t="s">
        <v>521</v>
      </c>
      <c r="B491">
        <v>1994</v>
      </c>
      <c r="C491" t="s">
        <v>37</v>
      </c>
      <c r="D491">
        <v>24</v>
      </c>
      <c r="E491">
        <v>2</v>
      </c>
      <c r="F491" s="15">
        <v>4438.26</v>
      </c>
      <c r="G491" t="s">
        <v>11</v>
      </c>
      <c r="H491" t="s">
        <v>12</v>
      </c>
      <c r="I491" t="s">
        <v>356</v>
      </c>
      <c r="J491" s="11">
        <f>DATE(B491,MATCH(C491,{"Jan","Feb","Mar","Apr","May","Jun","Jul","Aug","Sep","Oct","Nov","Dec"},0),D491)</f>
        <v>34631</v>
      </c>
      <c r="K491">
        <f t="shared" si="7"/>
        <v>28</v>
      </c>
    </row>
    <row r="492" spans="1:11" x14ac:dyDescent="0.35">
      <c r="A492" t="s">
        <v>522</v>
      </c>
      <c r="B492">
        <v>1991</v>
      </c>
      <c r="C492" t="s">
        <v>20</v>
      </c>
      <c r="D492">
        <v>3</v>
      </c>
      <c r="E492">
        <v>1</v>
      </c>
      <c r="F492" s="15">
        <v>4441.21</v>
      </c>
      <c r="G492" t="s">
        <v>16</v>
      </c>
      <c r="H492" t="s">
        <v>11</v>
      </c>
      <c r="I492" t="s">
        <v>276</v>
      </c>
      <c r="J492" s="11">
        <f>DATE(B492,MATCH(C492,{"Jan","Feb","Mar","Apr","May","Jun","Jul","Aug","Sep","Oct","Nov","Dec"},0),D492)</f>
        <v>33484</v>
      </c>
      <c r="K492">
        <f t="shared" si="7"/>
        <v>31</v>
      </c>
    </row>
    <row r="493" spans="1:11" x14ac:dyDescent="0.35">
      <c r="A493" t="s">
        <v>523</v>
      </c>
      <c r="B493">
        <v>1994</v>
      </c>
      <c r="C493" t="s">
        <v>18</v>
      </c>
      <c r="D493">
        <v>28</v>
      </c>
      <c r="E493">
        <v>3</v>
      </c>
      <c r="F493" s="15">
        <v>4449.46</v>
      </c>
      <c r="G493" t="s">
        <v>16</v>
      </c>
      <c r="H493" t="s">
        <v>11</v>
      </c>
      <c r="I493" t="s">
        <v>13</v>
      </c>
      <c r="J493" s="11">
        <f>DATE(B493,MATCH(C493,{"Jan","Feb","Mar","Apr","May","Jun","Jul","Aug","Sep","Oct","Nov","Dec"},0),D493)</f>
        <v>34513</v>
      </c>
      <c r="K493">
        <f t="shared" si="7"/>
        <v>28</v>
      </c>
    </row>
    <row r="494" spans="1:11" x14ac:dyDescent="0.35">
      <c r="A494" t="s">
        <v>524</v>
      </c>
      <c r="B494">
        <v>1990</v>
      </c>
      <c r="C494" t="s">
        <v>35</v>
      </c>
      <c r="D494">
        <v>8</v>
      </c>
      <c r="E494">
        <v>1</v>
      </c>
      <c r="F494" s="15">
        <v>4454.3999999999996</v>
      </c>
      <c r="G494" t="s">
        <v>11</v>
      </c>
      <c r="H494" t="s">
        <v>12</v>
      </c>
      <c r="I494" t="s">
        <v>23</v>
      </c>
      <c r="J494" s="11">
        <f>DATE(B494,MATCH(C494,{"Jan","Feb","Mar","Apr","May","Jun","Jul","Aug","Sep","Oct","Nov","Dec"},0),D494)</f>
        <v>33093</v>
      </c>
      <c r="K494">
        <f t="shared" si="7"/>
        <v>32</v>
      </c>
    </row>
    <row r="495" spans="1:11" x14ac:dyDescent="0.35">
      <c r="A495" t="s">
        <v>525</v>
      </c>
      <c r="B495">
        <v>1990</v>
      </c>
      <c r="C495" t="s">
        <v>10</v>
      </c>
      <c r="D495">
        <v>15</v>
      </c>
      <c r="E495">
        <v>1</v>
      </c>
      <c r="F495" s="15">
        <v>4462.72</v>
      </c>
      <c r="G495" t="s">
        <v>11</v>
      </c>
      <c r="H495" t="s">
        <v>12</v>
      </c>
      <c r="I495" t="s">
        <v>23</v>
      </c>
      <c r="J495" s="11">
        <f>DATE(B495,MATCH(C495,{"Jan","Feb","Mar","Apr","May","Jun","Jul","Aug","Sep","Oct","Nov","Dec"},0),D495)</f>
        <v>33069</v>
      </c>
      <c r="K495">
        <f t="shared" si="7"/>
        <v>32</v>
      </c>
    </row>
    <row r="496" spans="1:11" x14ac:dyDescent="0.35">
      <c r="A496" t="s">
        <v>526</v>
      </c>
      <c r="B496">
        <v>1991</v>
      </c>
      <c r="C496" t="s">
        <v>10</v>
      </c>
      <c r="D496">
        <v>4</v>
      </c>
      <c r="E496">
        <v>2</v>
      </c>
      <c r="F496" s="15">
        <v>4463.21</v>
      </c>
      <c r="G496" t="s">
        <v>12</v>
      </c>
      <c r="H496" t="s">
        <v>12</v>
      </c>
      <c r="I496" t="s">
        <v>13</v>
      </c>
      <c r="J496" s="11">
        <f>DATE(B496,MATCH(C496,{"Jan","Feb","Mar","Apr","May","Jun","Jul","Aug","Sep","Oct","Nov","Dec"},0),D496)</f>
        <v>33423</v>
      </c>
      <c r="K496">
        <f t="shared" si="7"/>
        <v>31</v>
      </c>
    </row>
    <row r="497" spans="1:11" x14ac:dyDescent="0.35">
      <c r="A497" t="s">
        <v>527</v>
      </c>
      <c r="B497">
        <v>1999</v>
      </c>
      <c r="C497" t="s">
        <v>15</v>
      </c>
      <c r="D497">
        <v>20</v>
      </c>
      <c r="E497">
        <v>3</v>
      </c>
      <c r="F497" s="15">
        <v>4466.62</v>
      </c>
      <c r="G497" t="s">
        <v>11</v>
      </c>
      <c r="H497" t="s">
        <v>11</v>
      </c>
      <c r="I497" t="s">
        <v>23</v>
      </c>
      <c r="J497" s="11">
        <f>DATE(B497,MATCH(C497,{"Jan","Feb","Mar","Apr","May","Jun","Jul","Aug","Sep","Oct","Nov","Dec"},0),D497)</f>
        <v>36484</v>
      </c>
      <c r="K497">
        <f t="shared" si="7"/>
        <v>23</v>
      </c>
    </row>
    <row r="498" spans="1:11" x14ac:dyDescent="0.35">
      <c r="A498" t="s">
        <v>528</v>
      </c>
      <c r="B498">
        <v>2004</v>
      </c>
      <c r="C498" t="s">
        <v>10</v>
      </c>
      <c r="D498">
        <v>18</v>
      </c>
      <c r="E498">
        <v>0</v>
      </c>
      <c r="F498" s="15">
        <v>4468.25</v>
      </c>
      <c r="G498" t="s">
        <v>11</v>
      </c>
      <c r="H498" t="s">
        <v>11</v>
      </c>
      <c r="I498" t="s">
        <v>23</v>
      </c>
      <c r="J498" s="11">
        <f>DATE(B498,MATCH(C498,{"Jan","Feb","Mar","Apr","May","Jun","Jul","Aug","Sep","Oct","Nov","Dec"},0),D498)</f>
        <v>38186</v>
      </c>
      <c r="K498">
        <f t="shared" si="7"/>
        <v>18</v>
      </c>
    </row>
    <row r="499" spans="1:11" x14ac:dyDescent="0.35">
      <c r="A499" t="s">
        <v>529</v>
      </c>
      <c r="B499">
        <v>1992</v>
      </c>
      <c r="C499" t="s">
        <v>10</v>
      </c>
      <c r="D499">
        <v>12</v>
      </c>
      <c r="E499">
        <v>0</v>
      </c>
      <c r="F499" s="15">
        <v>4488.58</v>
      </c>
      <c r="G499" t="s">
        <v>11</v>
      </c>
      <c r="H499" t="s">
        <v>12</v>
      </c>
      <c r="I499" t="s">
        <v>23</v>
      </c>
      <c r="J499" s="11">
        <f>DATE(B499,MATCH(C499,{"Jan","Feb","Mar","Apr","May","Jun","Jul","Aug","Sep","Oct","Nov","Dec"},0),D499)</f>
        <v>33797</v>
      </c>
      <c r="K499">
        <f t="shared" si="7"/>
        <v>30</v>
      </c>
    </row>
    <row r="500" spans="1:11" x14ac:dyDescent="0.35">
      <c r="A500" t="s">
        <v>530</v>
      </c>
      <c r="B500">
        <v>1988</v>
      </c>
      <c r="C500" t="s">
        <v>18</v>
      </c>
      <c r="D500">
        <v>26</v>
      </c>
      <c r="E500">
        <v>0</v>
      </c>
      <c r="F500" s="15">
        <v>4500.34</v>
      </c>
      <c r="G500" t="s">
        <v>11</v>
      </c>
      <c r="H500" t="s">
        <v>16</v>
      </c>
      <c r="I500" t="s">
        <v>356</v>
      </c>
      <c r="J500" s="11">
        <f>DATE(B500,MATCH(C500,{"Jan","Feb","Mar","Apr","May","Jun","Jul","Aug","Sep","Oct","Nov","Dec"},0),D500)</f>
        <v>32320</v>
      </c>
      <c r="K500">
        <f t="shared" si="7"/>
        <v>34</v>
      </c>
    </row>
    <row r="501" spans="1:11" x14ac:dyDescent="0.35">
      <c r="A501" t="s">
        <v>531</v>
      </c>
      <c r="B501">
        <v>1997</v>
      </c>
      <c r="C501" t="s">
        <v>37</v>
      </c>
      <c r="D501">
        <v>13</v>
      </c>
      <c r="E501">
        <v>4</v>
      </c>
      <c r="F501" s="15">
        <v>4504.66</v>
      </c>
      <c r="G501" t="s">
        <v>16</v>
      </c>
      <c r="H501" t="s">
        <v>11</v>
      </c>
      <c r="I501" t="s">
        <v>13</v>
      </c>
      <c r="J501" s="11">
        <f>DATE(B501,MATCH(C501,{"Jan","Feb","Mar","Apr","May","Jun","Jul","Aug","Sep","Oct","Nov","Dec"},0),D501)</f>
        <v>35716</v>
      </c>
      <c r="K501">
        <f t="shared" si="7"/>
        <v>25</v>
      </c>
    </row>
    <row r="502" spans="1:11" x14ac:dyDescent="0.35">
      <c r="A502" t="s">
        <v>532</v>
      </c>
      <c r="B502">
        <v>1982</v>
      </c>
      <c r="C502" t="s">
        <v>20</v>
      </c>
      <c r="D502">
        <v>27</v>
      </c>
      <c r="E502">
        <v>3</v>
      </c>
      <c r="F502" s="15">
        <v>4511.41</v>
      </c>
      <c r="G502" t="s">
        <v>11</v>
      </c>
      <c r="H502" t="s">
        <v>12</v>
      </c>
      <c r="I502" t="s">
        <v>13</v>
      </c>
      <c r="J502" s="11">
        <f>DATE(B502,MATCH(C502,{"Jan","Feb","Mar","Apr","May","Jun","Jul","Aug","Sep","Oct","Nov","Dec"},0),D502)</f>
        <v>30221</v>
      </c>
      <c r="K502">
        <f t="shared" si="7"/>
        <v>40</v>
      </c>
    </row>
    <row r="503" spans="1:11" x14ac:dyDescent="0.35">
      <c r="A503" t="s">
        <v>533</v>
      </c>
      <c r="B503">
        <v>1980</v>
      </c>
      <c r="C503" t="s">
        <v>18</v>
      </c>
      <c r="D503">
        <v>16</v>
      </c>
      <c r="E503">
        <v>2</v>
      </c>
      <c r="F503" s="15">
        <v>4515.71</v>
      </c>
      <c r="G503" t="s">
        <v>11</v>
      </c>
      <c r="H503" t="s">
        <v>12</v>
      </c>
      <c r="I503" t="s">
        <v>13</v>
      </c>
      <c r="J503" s="11">
        <f>DATE(B503,MATCH(C503,{"Jan","Feb","Mar","Apr","May","Jun","Jul","Aug","Sep","Oct","Nov","Dec"},0),D503)</f>
        <v>29388</v>
      </c>
      <c r="K503">
        <f t="shared" si="7"/>
        <v>42</v>
      </c>
    </row>
    <row r="504" spans="1:11" x14ac:dyDescent="0.35">
      <c r="A504" t="s">
        <v>534</v>
      </c>
      <c r="B504">
        <v>2003</v>
      </c>
      <c r="C504" t="s">
        <v>37</v>
      </c>
      <c r="D504">
        <v>2</v>
      </c>
      <c r="E504">
        <v>0</v>
      </c>
      <c r="F504" s="15">
        <v>4518.3999999999996</v>
      </c>
      <c r="G504" t="s">
        <v>11</v>
      </c>
      <c r="H504" t="s">
        <v>12</v>
      </c>
      <c r="I504" t="s">
        <v>535</v>
      </c>
      <c r="J504" s="11">
        <f>DATE(B504,MATCH(C504,{"Jan","Feb","Mar","Apr","May","Jun","Jul","Aug","Sep","Oct","Nov","Dec"},0),D504)</f>
        <v>37896</v>
      </c>
      <c r="K504">
        <f t="shared" si="7"/>
        <v>19</v>
      </c>
    </row>
    <row r="505" spans="1:11" x14ac:dyDescent="0.35">
      <c r="A505" t="s">
        <v>536</v>
      </c>
      <c r="B505">
        <v>1987</v>
      </c>
      <c r="C505" t="s">
        <v>30</v>
      </c>
      <c r="D505">
        <v>5</v>
      </c>
      <c r="E505">
        <v>3</v>
      </c>
      <c r="F505" s="15">
        <v>4518.7700000000004</v>
      </c>
      <c r="G505" t="s">
        <v>11</v>
      </c>
      <c r="H505" t="s">
        <v>12</v>
      </c>
      <c r="I505" t="s">
        <v>23</v>
      </c>
      <c r="J505" s="11">
        <f>DATE(B505,MATCH(C505,{"Jan","Feb","Mar","Apr","May","Jun","Jul","Aug","Sep","Oct","Nov","Dec"},0),D505)</f>
        <v>32116</v>
      </c>
      <c r="K505">
        <f t="shared" si="7"/>
        <v>35</v>
      </c>
    </row>
    <row r="506" spans="1:11" x14ac:dyDescent="0.35">
      <c r="A506" t="s">
        <v>537</v>
      </c>
      <c r="B506">
        <v>1988</v>
      </c>
      <c r="C506" t="s">
        <v>30</v>
      </c>
      <c r="D506">
        <v>21</v>
      </c>
      <c r="E506">
        <v>0</v>
      </c>
      <c r="F506" s="15">
        <v>4518.83</v>
      </c>
      <c r="G506" t="s">
        <v>11</v>
      </c>
      <c r="H506" t="s">
        <v>11</v>
      </c>
      <c r="I506" t="s">
        <v>356</v>
      </c>
      <c r="J506" s="11">
        <f>DATE(B506,MATCH(C506,{"Jan","Feb","Mar","Apr","May","Jun","Jul","Aug","Sep","Oct","Nov","Dec"},0),D506)</f>
        <v>32498</v>
      </c>
      <c r="K506">
        <f t="shared" si="7"/>
        <v>34</v>
      </c>
    </row>
    <row r="507" spans="1:11" x14ac:dyDescent="0.35">
      <c r="A507" t="s">
        <v>538</v>
      </c>
      <c r="B507">
        <v>1992</v>
      </c>
      <c r="C507" t="s">
        <v>35</v>
      </c>
      <c r="D507">
        <v>13</v>
      </c>
      <c r="E507">
        <v>1</v>
      </c>
      <c r="F507" s="15">
        <v>4527.18</v>
      </c>
      <c r="G507" t="s">
        <v>11</v>
      </c>
      <c r="H507" t="s">
        <v>11</v>
      </c>
      <c r="I507" t="s">
        <v>23</v>
      </c>
      <c r="J507" s="11">
        <f>DATE(B507,MATCH(C507,{"Jan","Feb","Mar","Apr","May","Jun","Jul","Aug","Sep","Oct","Nov","Dec"},0),D507)</f>
        <v>33829</v>
      </c>
      <c r="K507">
        <f t="shared" si="7"/>
        <v>30</v>
      </c>
    </row>
    <row r="508" spans="1:11" x14ac:dyDescent="0.35">
      <c r="A508" t="s">
        <v>539</v>
      </c>
      <c r="B508">
        <v>1993</v>
      </c>
      <c r="C508" t="s">
        <v>18</v>
      </c>
      <c r="D508">
        <v>29</v>
      </c>
      <c r="E508">
        <v>2</v>
      </c>
      <c r="F508" s="15">
        <v>4529.4799999999996</v>
      </c>
      <c r="G508" t="s">
        <v>11</v>
      </c>
      <c r="H508" t="s">
        <v>16</v>
      </c>
      <c r="I508" t="s">
        <v>42</v>
      </c>
      <c r="J508" s="11">
        <f>DATE(B508,MATCH(C508,{"Jan","Feb","Mar","Apr","May","Jun","Jul","Aug","Sep","Oct","Nov","Dec"},0),D508)</f>
        <v>34149</v>
      </c>
      <c r="K508">
        <f t="shared" si="7"/>
        <v>29</v>
      </c>
    </row>
    <row r="509" spans="1:11" x14ac:dyDescent="0.35">
      <c r="A509" t="s">
        <v>540</v>
      </c>
      <c r="B509">
        <v>1988</v>
      </c>
      <c r="C509" t="s">
        <v>18</v>
      </c>
      <c r="D509">
        <v>13</v>
      </c>
      <c r="E509">
        <v>1</v>
      </c>
      <c r="F509" s="15">
        <v>4536.26</v>
      </c>
      <c r="G509" t="s">
        <v>11</v>
      </c>
      <c r="H509" t="s">
        <v>11</v>
      </c>
      <c r="I509" t="s">
        <v>42</v>
      </c>
      <c r="J509" s="11">
        <f>DATE(B509,MATCH(C509,{"Jan","Feb","Mar","Apr","May","Jun","Jul","Aug","Sep","Oct","Nov","Dec"},0),D509)</f>
        <v>32307</v>
      </c>
      <c r="K509">
        <f t="shared" si="7"/>
        <v>34</v>
      </c>
    </row>
    <row r="510" spans="1:11" x14ac:dyDescent="0.35">
      <c r="A510" t="s">
        <v>541</v>
      </c>
      <c r="B510">
        <v>1990</v>
      </c>
      <c r="C510" t="s">
        <v>15</v>
      </c>
      <c r="D510">
        <v>17</v>
      </c>
      <c r="E510">
        <v>0</v>
      </c>
      <c r="F510" s="15">
        <v>4544.2299999999996</v>
      </c>
      <c r="G510" t="s">
        <v>11</v>
      </c>
      <c r="H510" t="s">
        <v>16</v>
      </c>
      <c r="I510" t="s">
        <v>247</v>
      </c>
      <c r="J510" s="11">
        <f>DATE(B510,MATCH(C510,{"Jan","Feb","Mar","Apr","May","Jun","Jul","Aug","Sep","Oct","Nov","Dec"},0),D510)</f>
        <v>33194</v>
      </c>
      <c r="K510">
        <f t="shared" si="7"/>
        <v>32</v>
      </c>
    </row>
    <row r="511" spans="1:11" x14ac:dyDescent="0.35">
      <c r="A511" t="s">
        <v>542</v>
      </c>
      <c r="B511">
        <v>2004</v>
      </c>
      <c r="C511" t="s">
        <v>30</v>
      </c>
      <c r="D511">
        <v>22</v>
      </c>
      <c r="E511">
        <v>4</v>
      </c>
      <c r="F511" s="15">
        <v>4561.1899999999996</v>
      </c>
      <c r="G511" t="s">
        <v>11</v>
      </c>
      <c r="H511" t="s">
        <v>11</v>
      </c>
      <c r="I511" t="s">
        <v>247</v>
      </c>
      <c r="J511" s="11">
        <f>DATE(B511,MATCH(C511,{"Jan","Feb","Mar","Apr","May","Jun","Jul","Aug","Sep","Oct","Nov","Dec"},0),D511)</f>
        <v>38343</v>
      </c>
      <c r="K511">
        <f t="shared" si="7"/>
        <v>18</v>
      </c>
    </row>
    <row r="512" spans="1:11" x14ac:dyDescent="0.35">
      <c r="A512" t="s">
        <v>543</v>
      </c>
      <c r="B512">
        <v>1990</v>
      </c>
      <c r="C512" t="s">
        <v>20</v>
      </c>
      <c r="D512">
        <v>20</v>
      </c>
      <c r="E512">
        <v>1</v>
      </c>
      <c r="F512" s="15">
        <v>4562.84</v>
      </c>
      <c r="G512" t="s">
        <v>11</v>
      </c>
      <c r="H512" t="s">
        <v>11</v>
      </c>
      <c r="I512" t="s">
        <v>13</v>
      </c>
      <c r="J512" s="11">
        <f>DATE(B512,MATCH(C512,{"Jan","Feb","Mar","Apr","May","Jun","Jul","Aug","Sep","Oct","Nov","Dec"},0),D512)</f>
        <v>33136</v>
      </c>
      <c r="K512">
        <f t="shared" si="7"/>
        <v>32</v>
      </c>
    </row>
    <row r="513" spans="1:11" x14ac:dyDescent="0.35">
      <c r="A513" t="s">
        <v>544</v>
      </c>
      <c r="B513">
        <v>1996</v>
      </c>
      <c r="C513" t="s">
        <v>30</v>
      </c>
      <c r="D513">
        <v>25</v>
      </c>
      <c r="E513">
        <v>2</v>
      </c>
      <c r="F513" s="15">
        <v>4564.1899999999996</v>
      </c>
      <c r="G513" t="s">
        <v>11</v>
      </c>
      <c r="H513" t="s">
        <v>11</v>
      </c>
      <c r="I513" t="s">
        <v>247</v>
      </c>
      <c r="J513" s="11">
        <f>DATE(B513,MATCH(C513,{"Jan","Feb","Mar","Apr","May","Jun","Jul","Aug","Sep","Oct","Nov","Dec"},0),D513)</f>
        <v>35424</v>
      </c>
      <c r="K513">
        <f t="shared" si="7"/>
        <v>26</v>
      </c>
    </row>
    <row r="514" spans="1:11" x14ac:dyDescent="0.35">
      <c r="A514" t="s">
        <v>545</v>
      </c>
      <c r="B514">
        <v>1989</v>
      </c>
      <c r="C514" t="s">
        <v>20</v>
      </c>
      <c r="D514">
        <v>18</v>
      </c>
      <c r="E514">
        <v>0</v>
      </c>
      <c r="F514" s="15">
        <v>4571.41</v>
      </c>
      <c r="G514" t="s">
        <v>11</v>
      </c>
      <c r="H514" t="s">
        <v>11</v>
      </c>
      <c r="I514" t="s">
        <v>23</v>
      </c>
      <c r="J514" s="11">
        <f>DATE(B514,MATCH(C514,{"Jan","Feb","Mar","Apr","May","Jun","Jul","Aug","Sep","Oct","Nov","Dec"},0),D514)</f>
        <v>32769</v>
      </c>
      <c r="K514">
        <f t="shared" si="7"/>
        <v>33</v>
      </c>
    </row>
    <row r="515" spans="1:11" x14ac:dyDescent="0.35">
      <c r="A515" t="s">
        <v>546</v>
      </c>
      <c r="B515">
        <v>2000</v>
      </c>
      <c r="C515" t="s">
        <v>10</v>
      </c>
      <c r="D515">
        <v>2</v>
      </c>
      <c r="E515">
        <v>0</v>
      </c>
      <c r="F515" s="15">
        <v>4608.03</v>
      </c>
      <c r="G515" t="s">
        <v>11</v>
      </c>
      <c r="H515" t="s">
        <v>12</v>
      </c>
      <c r="I515" t="s">
        <v>42</v>
      </c>
      <c r="J515" s="11">
        <f>DATE(B515,MATCH(C515,{"Jan","Feb","Mar","Apr","May","Jun","Jul","Aug","Sep","Oct","Nov","Dec"},0),D515)</f>
        <v>36709</v>
      </c>
      <c r="K515">
        <f t="shared" ref="K515:K578" si="8">DATEDIF(J515,$N$1,"Y")</f>
        <v>22</v>
      </c>
    </row>
    <row r="516" spans="1:11" x14ac:dyDescent="0.35">
      <c r="A516" t="s">
        <v>547</v>
      </c>
      <c r="B516">
        <v>1998</v>
      </c>
      <c r="C516" t="s">
        <v>18</v>
      </c>
      <c r="D516">
        <v>29</v>
      </c>
      <c r="E516">
        <v>3</v>
      </c>
      <c r="F516" s="15">
        <v>4618.08</v>
      </c>
      <c r="G516" t="s">
        <v>11</v>
      </c>
      <c r="H516" t="s">
        <v>16</v>
      </c>
      <c r="I516" t="s">
        <v>23</v>
      </c>
      <c r="J516" s="11">
        <f>DATE(B516,MATCH(C516,{"Jan","Feb","Mar","Apr","May","Jun","Jul","Aug","Sep","Oct","Nov","Dec"},0),D516)</f>
        <v>35975</v>
      </c>
      <c r="K516">
        <f t="shared" si="8"/>
        <v>24</v>
      </c>
    </row>
    <row r="517" spans="1:11" x14ac:dyDescent="0.35">
      <c r="A517" t="s">
        <v>548</v>
      </c>
      <c r="B517">
        <v>1985</v>
      </c>
      <c r="C517" t="s">
        <v>18</v>
      </c>
      <c r="D517">
        <v>22</v>
      </c>
      <c r="E517">
        <v>0</v>
      </c>
      <c r="F517" s="15">
        <v>4646.76</v>
      </c>
      <c r="G517" t="s">
        <v>16</v>
      </c>
      <c r="H517" t="s">
        <v>16</v>
      </c>
      <c r="I517" t="s">
        <v>42</v>
      </c>
      <c r="J517" s="11">
        <f>DATE(B517,MATCH(C517,{"Jan","Feb","Mar","Apr","May","Jun","Jul","Aug","Sep","Oct","Nov","Dec"},0),D517)</f>
        <v>31220</v>
      </c>
      <c r="K517">
        <f t="shared" si="8"/>
        <v>37</v>
      </c>
    </row>
    <row r="518" spans="1:11" x14ac:dyDescent="0.35">
      <c r="A518" t="s">
        <v>549</v>
      </c>
      <c r="B518">
        <v>1996</v>
      </c>
      <c r="C518" t="s">
        <v>37</v>
      </c>
      <c r="D518">
        <v>25</v>
      </c>
      <c r="E518">
        <v>3</v>
      </c>
      <c r="F518" s="15">
        <v>4661.29</v>
      </c>
      <c r="G518" t="s">
        <v>11</v>
      </c>
      <c r="H518" t="s">
        <v>16</v>
      </c>
      <c r="I518" t="s">
        <v>356</v>
      </c>
      <c r="J518" s="11">
        <f>DATE(B518,MATCH(C518,{"Jan","Feb","Mar","Apr","May","Jun","Jul","Aug","Sep","Oct","Nov","Dec"},0),D518)</f>
        <v>35363</v>
      </c>
      <c r="K518">
        <f t="shared" si="8"/>
        <v>26</v>
      </c>
    </row>
    <row r="519" spans="1:11" x14ac:dyDescent="0.35">
      <c r="A519" t="s">
        <v>550</v>
      </c>
      <c r="B519">
        <v>1990</v>
      </c>
      <c r="C519" t="s">
        <v>35</v>
      </c>
      <c r="D519">
        <v>5</v>
      </c>
      <c r="E519">
        <v>1</v>
      </c>
      <c r="F519" s="15">
        <v>4667.6099999999997</v>
      </c>
      <c r="G519" t="s">
        <v>12</v>
      </c>
      <c r="H519" t="s">
        <v>12</v>
      </c>
      <c r="I519" t="s">
        <v>168</v>
      </c>
      <c r="J519" s="11">
        <f>DATE(B519,MATCH(C519,{"Jan","Feb","Mar","Apr","May","Jun","Jul","Aug","Sep","Oct","Nov","Dec"},0),D519)</f>
        <v>33090</v>
      </c>
      <c r="K519">
        <f t="shared" si="8"/>
        <v>32</v>
      </c>
    </row>
    <row r="520" spans="1:11" x14ac:dyDescent="0.35">
      <c r="A520" t="s">
        <v>551</v>
      </c>
      <c r="B520">
        <v>1990</v>
      </c>
      <c r="C520" t="s">
        <v>20</v>
      </c>
      <c r="D520">
        <v>26</v>
      </c>
      <c r="E520">
        <v>2</v>
      </c>
      <c r="F520" s="15">
        <v>4670.6400000000003</v>
      </c>
      <c r="G520" t="s">
        <v>11</v>
      </c>
      <c r="H520" t="s">
        <v>11</v>
      </c>
      <c r="I520" t="s">
        <v>42</v>
      </c>
      <c r="J520" s="11">
        <f>DATE(B520,MATCH(C520,{"Jan","Feb","Mar","Apr","May","Jun","Jul","Aug","Sep","Oct","Nov","Dec"},0),D520)</f>
        <v>33142</v>
      </c>
      <c r="K520">
        <f t="shared" si="8"/>
        <v>32</v>
      </c>
    </row>
    <row r="521" spans="1:11" x14ac:dyDescent="0.35">
      <c r="A521" t="s">
        <v>552</v>
      </c>
      <c r="B521">
        <v>1990</v>
      </c>
      <c r="C521" t="s">
        <v>10</v>
      </c>
      <c r="D521">
        <v>13</v>
      </c>
      <c r="E521">
        <v>2</v>
      </c>
      <c r="F521" s="15">
        <v>4673.3900000000003</v>
      </c>
      <c r="G521" t="s">
        <v>11</v>
      </c>
      <c r="H521" t="s">
        <v>16</v>
      </c>
      <c r="I521" t="s">
        <v>13</v>
      </c>
      <c r="J521" s="11">
        <f>DATE(B521,MATCH(C521,{"Jan","Feb","Mar","Apr","May","Jun","Jul","Aug","Sep","Oct","Nov","Dec"},0),D521)</f>
        <v>33067</v>
      </c>
      <c r="K521">
        <f t="shared" si="8"/>
        <v>32</v>
      </c>
    </row>
    <row r="522" spans="1:11" x14ac:dyDescent="0.35">
      <c r="A522" t="s">
        <v>553</v>
      </c>
      <c r="B522">
        <v>1979</v>
      </c>
      <c r="C522" t="s">
        <v>37</v>
      </c>
      <c r="D522">
        <v>18</v>
      </c>
      <c r="E522">
        <v>2</v>
      </c>
      <c r="F522" s="15">
        <v>4674.2</v>
      </c>
      <c r="G522" t="s">
        <v>11</v>
      </c>
      <c r="H522" t="s">
        <v>16</v>
      </c>
      <c r="I522" t="s">
        <v>13</v>
      </c>
      <c r="J522" s="11">
        <f>DATE(B522,MATCH(C522,{"Jan","Feb","Mar","Apr","May","Jun","Jul","Aug","Sep","Oct","Nov","Dec"},0),D522)</f>
        <v>29146</v>
      </c>
      <c r="K522">
        <f t="shared" si="8"/>
        <v>43</v>
      </c>
    </row>
    <row r="523" spans="1:11" x14ac:dyDescent="0.35">
      <c r="A523" t="s">
        <v>554</v>
      </c>
      <c r="B523">
        <v>2003</v>
      </c>
      <c r="C523" t="s">
        <v>37</v>
      </c>
      <c r="D523">
        <v>4</v>
      </c>
      <c r="E523">
        <v>0</v>
      </c>
      <c r="F523" s="15">
        <v>4678.8</v>
      </c>
      <c r="G523" t="s">
        <v>11</v>
      </c>
      <c r="H523" t="s">
        <v>16</v>
      </c>
      <c r="I523" t="s">
        <v>300</v>
      </c>
      <c r="J523" s="11">
        <f>DATE(B523,MATCH(C523,{"Jan","Feb","Mar","Apr","May","Jun","Jul","Aug","Sep","Oct","Nov","Dec"},0),D523)</f>
        <v>37898</v>
      </c>
      <c r="K523">
        <f t="shared" si="8"/>
        <v>19</v>
      </c>
    </row>
    <row r="524" spans="1:11" x14ac:dyDescent="0.35">
      <c r="A524" t="s">
        <v>555</v>
      </c>
      <c r="B524">
        <v>1990</v>
      </c>
      <c r="C524" t="s">
        <v>20</v>
      </c>
      <c r="D524">
        <v>4</v>
      </c>
      <c r="E524">
        <v>2</v>
      </c>
      <c r="F524" s="15">
        <v>4686.3900000000003</v>
      </c>
      <c r="G524" t="s">
        <v>12</v>
      </c>
      <c r="H524" t="s">
        <v>12</v>
      </c>
      <c r="I524" t="s">
        <v>13</v>
      </c>
      <c r="J524" s="11">
        <f>DATE(B524,MATCH(C524,{"Jan","Feb","Mar","Apr","May","Jun","Jul","Aug","Sep","Oct","Nov","Dec"},0),D524)</f>
        <v>33120</v>
      </c>
      <c r="K524">
        <f t="shared" si="8"/>
        <v>32</v>
      </c>
    </row>
    <row r="525" spans="1:11" x14ac:dyDescent="0.35">
      <c r="A525" t="s">
        <v>556</v>
      </c>
      <c r="B525">
        <v>2003</v>
      </c>
      <c r="C525" t="s">
        <v>18</v>
      </c>
      <c r="D525">
        <v>22</v>
      </c>
      <c r="E525">
        <v>5</v>
      </c>
      <c r="F525" s="15">
        <v>4687.8</v>
      </c>
      <c r="G525" t="s">
        <v>11</v>
      </c>
      <c r="H525" t="s">
        <v>12</v>
      </c>
      <c r="I525" t="s">
        <v>42</v>
      </c>
      <c r="J525" s="11">
        <f>DATE(B525,MATCH(C525,{"Jan","Feb","Mar","Apr","May","Jun","Jul","Aug","Sep","Oct","Nov","Dec"},0),D525)</f>
        <v>37794</v>
      </c>
      <c r="K525">
        <f t="shared" si="8"/>
        <v>19</v>
      </c>
    </row>
    <row r="526" spans="1:11" x14ac:dyDescent="0.35">
      <c r="A526" t="s">
        <v>557</v>
      </c>
      <c r="B526">
        <v>1977</v>
      </c>
      <c r="C526" t="s">
        <v>30</v>
      </c>
      <c r="D526">
        <v>4</v>
      </c>
      <c r="E526">
        <v>2</v>
      </c>
      <c r="F526" s="15">
        <v>4699.47</v>
      </c>
      <c r="G526" t="s">
        <v>11</v>
      </c>
      <c r="H526" t="s">
        <v>12</v>
      </c>
      <c r="I526" t="s">
        <v>13</v>
      </c>
      <c r="J526" s="11">
        <f>DATE(B526,MATCH(C526,{"Jan","Feb","Mar","Apr","May","Jun","Jul","Aug","Sep","Oct","Nov","Dec"},0),D526)</f>
        <v>28463</v>
      </c>
      <c r="K526">
        <f t="shared" si="8"/>
        <v>45</v>
      </c>
    </row>
    <row r="527" spans="1:11" x14ac:dyDescent="0.35">
      <c r="A527" t="s">
        <v>558</v>
      </c>
      <c r="B527">
        <v>1981</v>
      </c>
      <c r="C527" t="s">
        <v>35</v>
      </c>
      <c r="D527">
        <v>12</v>
      </c>
      <c r="E527">
        <v>1</v>
      </c>
      <c r="F527" s="15">
        <v>4712.12</v>
      </c>
      <c r="G527" t="s">
        <v>11</v>
      </c>
      <c r="H527" t="s">
        <v>12</v>
      </c>
      <c r="I527" t="s">
        <v>42</v>
      </c>
      <c r="J527" s="11">
        <f>DATE(B527,MATCH(C527,{"Jan","Feb","Mar","Apr","May","Jun","Jul","Aug","Sep","Oct","Nov","Dec"},0),D527)</f>
        <v>29810</v>
      </c>
      <c r="K527">
        <f t="shared" si="8"/>
        <v>41</v>
      </c>
    </row>
    <row r="528" spans="1:11" x14ac:dyDescent="0.35">
      <c r="A528" t="s">
        <v>559</v>
      </c>
      <c r="B528">
        <v>1992</v>
      </c>
      <c r="C528" t="s">
        <v>37</v>
      </c>
      <c r="D528">
        <v>9</v>
      </c>
      <c r="E528">
        <v>1</v>
      </c>
      <c r="F528" s="15">
        <v>4718.2</v>
      </c>
      <c r="G528" t="s">
        <v>11</v>
      </c>
      <c r="H528" t="s">
        <v>12</v>
      </c>
      <c r="I528" t="s">
        <v>247</v>
      </c>
      <c r="J528" s="11">
        <f>DATE(B528,MATCH(C528,{"Jan","Feb","Mar","Apr","May","Jun","Jul","Aug","Sep","Oct","Nov","Dec"},0),D528)</f>
        <v>33886</v>
      </c>
      <c r="K528">
        <f t="shared" si="8"/>
        <v>30</v>
      </c>
    </row>
    <row r="529" spans="1:11" x14ac:dyDescent="0.35">
      <c r="A529" t="s">
        <v>560</v>
      </c>
      <c r="B529">
        <v>1992</v>
      </c>
      <c r="C529" t="s">
        <v>20</v>
      </c>
      <c r="D529">
        <v>28</v>
      </c>
      <c r="E529">
        <v>1</v>
      </c>
      <c r="F529" s="15">
        <v>4719.5200000000004</v>
      </c>
      <c r="G529" t="s">
        <v>11</v>
      </c>
      <c r="H529" t="s">
        <v>11</v>
      </c>
      <c r="I529" t="s">
        <v>247</v>
      </c>
      <c r="J529" s="11">
        <f>DATE(B529,MATCH(C529,{"Jan","Feb","Mar","Apr","May","Jun","Jul","Aug","Sep","Oct","Nov","Dec"},0),D529)</f>
        <v>33875</v>
      </c>
      <c r="K529">
        <f t="shared" si="8"/>
        <v>30</v>
      </c>
    </row>
    <row r="530" spans="1:11" x14ac:dyDescent="0.35">
      <c r="A530" t="s">
        <v>561</v>
      </c>
      <c r="B530">
        <v>1994</v>
      </c>
      <c r="C530" t="s">
        <v>35</v>
      </c>
      <c r="D530">
        <v>12</v>
      </c>
      <c r="E530">
        <v>2</v>
      </c>
      <c r="F530" s="15">
        <v>4719.74</v>
      </c>
      <c r="G530" t="s">
        <v>11</v>
      </c>
      <c r="H530" t="s">
        <v>16</v>
      </c>
      <c r="I530" t="s">
        <v>23</v>
      </c>
      <c r="J530" s="11">
        <f>DATE(B530,MATCH(C530,{"Jan","Feb","Mar","Apr","May","Jun","Jul","Aug","Sep","Oct","Nov","Dec"},0),D530)</f>
        <v>34558</v>
      </c>
      <c r="K530">
        <f t="shared" si="8"/>
        <v>28</v>
      </c>
    </row>
    <row r="531" spans="1:11" x14ac:dyDescent="0.35">
      <c r="A531" t="s">
        <v>562</v>
      </c>
      <c r="B531">
        <v>1980</v>
      </c>
      <c r="C531" t="s">
        <v>10</v>
      </c>
      <c r="D531">
        <v>2</v>
      </c>
      <c r="E531">
        <v>2</v>
      </c>
      <c r="F531" s="15">
        <v>4728.71</v>
      </c>
      <c r="G531" t="s">
        <v>11</v>
      </c>
      <c r="H531" t="s">
        <v>12</v>
      </c>
      <c r="I531" t="s">
        <v>23</v>
      </c>
      <c r="J531" s="11">
        <f>DATE(B531,MATCH(C531,{"Jan","Feb","Mar","Apr","May","Jun","Jul","Aug","Sep","Oct","Nov","Dec"},0),D531)</f>
        <v>29404</v>
      </c>
      <c r="K531">
        <f t="shared" si="8"/>
        <v>42</v>
      </c>
    </row>
    <row r="532" spans="1:11" x14ac:dyDescent="0.35">
      <c r="A532" t="s">
        <v>563</v>
      </c>
      <c r="B532">
        <v>1986</v>
      </c>
      <c r="C532" t="s">
        <v>20</v>
      </c>
      <c r="D532">
        <v>5</v>
      </c>
      <c r="E532">
        <v>3</v>
      </c>
      <c r="F532" s="15">
        <v>4734.6400000000003</v>
      </c>
      <c r="G532" t="s">
        <v>11</v>
      </c>
      <c r="H532" t="s">
        <v>16</v>
      </c>
      <c r="I532" t="s">
        <v>13</v>
      </c>
      <c r="J532" s="11">
        <f>DATE(B532,MATCH(C532,{"Jan","Feb","Mar","Apr","May","Jun","Jul","Aug","Sep","Oct","Nov","Dec"},0),D532)</f>
        <v>31660</v>
      </c>
      <c r="K532">
        <f t="shared" si="8"/>
        <v>36</v>
      </c>
    </row>
    <row r="533" spans="1:11" x14ac:dyDescent="0.35">
      <c r="A533" t="s">
        <v>564</v>
      </c>
      <c r="B533">
        <v>1991</v>
      </c>
      <c r="C533" t="s">
        <v>37</v>
      </c>
      <c r="D533">
        <v>12</v>
      </c>
      <c r="E533">
        <v>1</v>
      </c>
      <c r="F533" s="15">
        <v>4738.2700000000004</v>
      </c>
      <c r="G533" t="s">
        <v>11</v>
      </c>
      <c r="H533" t="s">
        <v>12</v>
      </c>
      <c r="I533" t="s">
        <v>23</v>
      </c>
      <c r="J533" s="11">
        <f>DATE(B533,MATCH(C533,{"Jan","Feb","Mar","Apr","May","Jun","Jul","Aug","Sep","Oct","Nov","Dec"},0),D533)</f>
        <v>33523</v>
      </c>
      <c r="K533">
        <f t="shared" si="8"/>
        <v>31</v>
      </c>
    </row>
    <row r="534" spans="1:11" x14ac:dyDescent="0.35">
      <c r="A534" t="s">
        <v>565</v>
      </c>
      <c r="B534">
        <v>2004</v>
      </c>
      <c r="C534" t="s">
        <v>15</v>
      </c>
      <c r="D534">
        <v>24</v>
      </c>
      <c r="E534">
        <v>0</v>
      </c>
      <c r="F534" s="15">
        <v>4740.78</v>
      </c>
      <c r="G534" t="s">
        <v>11</v>
      </c>
      <c r="H534" t="s">
        <v>12</v>
      </c>
      <c r="I534" t="s">
        <v>300</v>
      </c>
      <c r="J534" s="11">
        <f>DATE(B534,MATCH(C534,{"Jan","Feb","Mar","Apr","May","Jun","Jul","Aug","Sep","Oct","Nov","Dec"},0),D534)</f>
        <v>38315</v>
      </c>
      <c r="K534">
        <f t="shared" si="8"/>
        <v>18</v>
      </c>
    </row>
    <row r="535" spans="1:11" x14ac:dyDescent="0.35">
      <c r="A535" t="s">
        <v>566</v>
      </c>
      <c r="B535">
        <v>1987</v>
      </c>
      <c r="C535" t="s">
        <v>18</v>
      </c>
      <c r="D535">
        <v>5</v>
      </c>
      <c r="E535">
        <v>1</v>
      </c>
      <c r="F535" s="15">
        <v>4746.34</v>
      </c>
      <c r="G535" t="s">
        <v>11</v>
      </c>
      <c r="H535" t="s">
        <v>11</v>
      </c>
      <c r="I535" t="s">
        <v>42</v>
      </c>
      <c r="J535" s="11">
        <f>DATE(B535,MATCH(C535,{"Jan","Feb","Mar","Apr","May","Jun","Jul","Aug","Sep","Oct","Nov","Dec"},0),D535)</f>
        <v>31933</v>
      </c>
      <c r="K535">
        <f t="shared" si="8"/>
        <v>36</v>
      </c>
    </row>
    <row r="536" spans="1:11" x14ac:dyDescent="0.35">
      <c r="A536" t="s">
        <v>567</v>
      </c>
      <c r="B536">
        <v>1987</v>
      </c>
      <c r="C536" t="s">
        <v>20</v>
      </c>
      <c r="D536">
        <v>2</v>
      </c>
      <c r="E536">
        <v>1</v>
      </c>
      <c r="F536" s="15">
        <v>4747.05</v>
      </c>
      <c r="G536" t="s">
        <v>11</v>
      </c>
      <c r="H536" t="s">
        <v>11</v>
      </c>
      <c r="I536" t="s">
        <v>13</v>
      </c>
      <c r="J536" s="11">
        <f>DATE(B536,MATCH(C536,{"Jan","Feb","Mar","Apr","May","Jun","Jul","Aug","Sep","Oct","Nov","Dec"},0),D536)</f>
        <v>32022</v>
      </c>
      <c r="K536">
        <f t="shared" si="8"/>
        <v>35</v>
      </c>
    </row>
    <row r="537" spans="1:11" x14ac:dyDescent="0.35">
      <c r="A537" t="s">
        <v>568</v>
      </c>
      <c r="B537">
        <v>1987</v>
      </c>
      <c r="C537" t="s">
        <v>15</v>
      </c>
      <c r="D537">
        <v>22</v>
      </c>
      <c r="E537">
        <v>1</v>
      </c>
      <c r="F537" s="15">
        <v>4751.07</v>
      </c>
      <c r="G537" t="s">
        <v>12</v>
      </c>
      <c r="H537" t="s">
        <v>16</v>
      </c>
      <c r="I537" t="s">
        <v>42</v>
      </c>
      <c r="J537" s="11">
        <f>DATE(B537,MATCH(C537,{"Jan","Feb","Mar","Apr","May","Jun","Jul","Aug","Sep","Oct","Nov","Dec"},0),D537)</f>
        <v>32103</v>
      </c>
      <c r="K537">
        <f t="shared" si="8"/>
        <v>35</v>
      </c>
    </row>
    <row r="538" spans="1:11" x14ac:dyDescent="0.35">
      <c r="A538" t="s">
        <v>569</v>
      </c>
      <c r="B538">
        <v>1992</v>
      </c>
      <c r="C538" t="s">
        <v>35</v>
      </c>
      <c r="D538">
        <v>16</v>
      </c>
      <c r="E538">
        <v>2</v>
      </c>
      <c r="F538" s="15">
        <v>4753.6400000000003</v>
      </c>
      <c r="G538" t="s">
        <v>11</v>
      </c>
      <c r="H538" t="s">
        <v>12</v>
      </c>
      <c r="I538" t="s">
        <v>13</v>
      </c>
      <c r="J538" s="11">
        <f>DATE(B538,MATCH(C538,{"Jan","Feb","Mar","Apr","May","Jun","Jul","Aug","Sep","Oct","Nov","Dec"},0),D538)</f>
        <v>33832</v>
      </c>
      <c r="K538">
        <f t="shared" si="8"/>
        <v>30</v>
      </c>
    </row>
    <row r="539" spans="1:11" x14ac:dyDescent="0.35">
      <c r="A539" t="s">
        <v>570</v>
      </c>
      <c r="B539">
        <v>1987</v>
      </c>
      <c r="C539" t="s">
        <v>20</v>
      </c>
      <c r="D539">
        <v>27</v>
      </c>
      <c r="E539">
        <v>1</v>
      </c>
      <c r="F539" s="15">
        <v>4762.33</v>
      </c>
      <c r="G539" t="s">
        <v>12</v>
      </c>
      <c r="H539" t="s">
        <v>12</v>
      </c>
      <c r="I539" t="s">
        <v>42</v>
      </c>
      <c r="J539" s="11">
        <f>DATE(B539,MATCH(C539,{"Jan","Feb","Mar","Apr","May","Jun","Jul","Aug","Sep","Oct","Nov","Dec"},0),D539)</f>
        <v>32047</v>
      </c>
      <c r="K539">
        <f t="shared" si="8"/>
        <v>35</v>
      </c>
    </row>
    <row r="540" spans="1:11" x14ac:dyDescent="0.35">
      <c r="A540" t="s">
        <v>571</v>
      </c>
      <c r="B540">
        <v>1989</v>
      </c>
      <c r="C540" t="s">
        <v>35</v>
      </c>
      <c r="D540">
        <v>1</v>
      </c>
      <c r="E540">
        <v>1</v>
      </c>
      <c r="F540" s="15">
        <v>4766.0200000000004</v>
      </c>
      <c r="G540" t="s">
        <v>11</v>
      </c>
      <c r="H540" t="s">
        <v>12</v>
      </c>
      <c r="I540" t="s">
        <v>42</v>
      </c>
      <c r="J540" s="11">
        <f>DATE(B540,MATCH(C540,{"Jan","Feb","Mar","Apr","May","Jun","Jul","Aug","Sep","Oct","Nov","Dec"},0),D540)</f>
        <v>32721</v>
      </c>
      <c r="K540">
        <f t="shared" si="8"/>
        <v>33</v>
      </c>
    </row>
    <row r="541" spans="1:11" x14ac:dyDescent="0.35">
      <c r="A541" t="s">
        <v>572</v>
      </c>
      <c r="B541">
        <v>1989</v>
      </c>
      <c r="C541" t="s">
        <v>30</v>
      </c>
      <c r="D541">
        <v>9</v>
      </c>
      <c r="E541">
        <v>1</v>
      </c>
      <c r="F541" s="15">
        <v>4779.6000000000004</v>
      </c>
      <c r="G541" t="s">
        <v>11</v>
      </c>
      <c r="H541" t="s">
        <v>12</v>
      </c>
      <c r="I541" t="s">
        <v>13</v>
      </c>
      <c r="J541" s="11">
        <f>DATE(B541,MATCH(C541,{"Jan","Feb","Mar","Apr","May","Jun","Jul","Aug","Sep","Oct","Nov","Dec"},0),D541)</f>
        <v>32851</v>
      </c>
      <c r="K541">
        <f t="shared" si="8"/>
        <v>33</v>
      </c>
    </row>
    <row r="542" spans="1:11" x14ac:dyDescent="0.35">
      <c r="A542" t="s">
        <v>573</v>
      </c>
      <c r="B542">
        <v>1987</v>
      </c>
      <c r="C542" t="s">
        <v>18</v>
      </c>
      <c r="D542">
        <v>22</v>
      </c>
      <c r="E542">
        <v>3</v>
      </c>
      <c r="F542" s="15">
        <v>4787.42</v>
      </c>
      <c r="G542" t="s">
        <v>11</v>
      </c>
      <c r="H542" t="s">
        <v>12</v>
      </c>
      <c r="I542" t="s">
        <v>13</v>
      </c>
      <c r="J542" s="11">
        <f>DATE(B542,MATCH(C542,{"Jan","Feb","Mar","Apr","May","Jun","Jul","Aug","Sep","Oct","Nov","Dec"},0),D542)</f>
        <v>31950</v>
      </c>
      <c r="K542">
        <f t="shared" si="8"/>
        <v>35</v>
      </c>
    </row>
    <row r="543" spans="1:11" x14ac:dyDescent="0.35">
      <c r="A543" t="s">
        <v>574</v>
      </c>
      <c r="B543">
        <v>1989</v>
      </c>
      <c r="C543" t="s">
        <v>30</v>
      </c>
      <c r="D543">
        <v>16</v>
      </c>
      <c r="E543">
        <v>1</v>
      </c>
      <c r="F543" s="15">
        <v>4795.66</v>
      </c>
      <c r="G543" t="s">
        <v>11</v>
      </c>
      <c r="H543" t="s">
        <v>16</v>
      </c>
      <c r="I543" t="s">
        <v>13</v>
      </c>
      <c r="J543" s="11">
        <f>DATE(B543,MATCH(C543,{"Jan","Feb","Mar","Apr","May","Jun","Jul","Aug","Sep","Oct","Nov","Dec"},0),D543)</f>
        <v>32858</v>
      </c>
      <c r="K543">
        <f t="shared" si="8"/>
        <v>33</v>
      </c>
    </row>
    <row r="544" spans="1:11" x14ac:dyDescent="0.35">
      <c r="A544" t="s">
        <v>575</v>
      </c>
      <c r="B544">
        <v>1978</v>
      </c>
      <c r="C544" t="s">
        <v>37</v>
      </c>
      <c r="D544">
        <v>3</v>
      </c>
      <c r="E544">
        <v>2</v>
      </c>
      <c r="F544" s="15">
        <v>4812.34</v>
      </c>
      <c r="G544" t="s">
        <v>11</v>
      </c>
      <c r="H544" t="s">
        <v>12</v>
      </c>
      <c r="I544" t="s">
        <v>13</v>
      </c>
      <c r="J544" s="11">
        <f>DATE(B544,MATCH(C544,{"Jan","Feb","Mar","Apr","May","Jun","Jul","Aug","Sep","Oct","Nov","Dec"},0),D544)</f>
        <v>28766</v>
      </c>
      <c r="K544">
        <f t="shared" si="8"/>
        <v>44</v>
      </c>
    </row>
    <row r="545" spans="1:11" x14ac:dyDescent="0.35">
      <c r="A545" t="s">
        <v>576</v>
      </c>
      <c r="B545">
        <v>1981</v>
      </c>
      <c r="C545" t="s">
        <v>10</v>
      </c>
      <c r="D545">
        <v>3</v>
      </c>
      <c r="E545">
        <v>1</v>
      </c>
      <c r="F545" s="15">
        <v>4827.1000000000004</v>
      </c>
      <c r="G545" t="s">
        <v>11</v>
      </c>
      <c r="H545" t="s">
        <v>16</v>
      </c>
      <c r="I545" t="s">
        <v>13</v>
      </c>
      <c r="J545" s="11">
        <f>DATE(B545,MATCH(C545,{"Jan","Feb","Mar","Apr","May","Jun","Jul","Aug","Sep","Oct","Nov","Dec"},0),D545)</f>
        <v>29770</v>
      </c>
      <c r="K545">
        <f t="shared" si="8"/>
        <v>41</v>
      </c>
    </row>
    <row r="546" spans="1:11" x14ac:dyDescent="0.35">
      <c r="A546" t="s">
        <v>577</v>
      </c>
      <c r="B546">
        <v>1995</v>
      </c>
      <c r="C546" t="s">
        <v>30</v>
      </c>
      <c r="D546">
        <v>1</v>
      </c>
      <c r="E546">
        <v>3</v>
      </c>
      <c r="F546" s="15">
        <v>4827.8999999999996</v>
      </c>
      <c r="G546" t="s">
        <v>16</v>
      </c>
      <c r="H546" t="s">
        <v>11</v>
      </c>
      <c r="I546" t="s">
        <v>4720</v>
      </c>
      <c r="J546" s="11">
        <f>DATE(B546,MATCH(C546,{"Jan","Feb","Mar","Apr","May","Jun","Jul","Aug","Sep","Oct","Nov","Dec"},0),D546)</f>
        <v>35034</v>
      </c>
      <c r="K546">
        <f t="shared" si="8"/>
        <v>27</v>
      </c>
    </row>
    <row r="547" spans="1:11" x14ac:dyDescent="0.35">
      <c r="A547" t="s">
        <v>578</v>
      </c>
      <c r="B547">
        <v>2002</v>
      </c>
      <c r="C547" t="s">
        <v>18</v>
      </c>
      <c r="D547">
        <v>27</v>
      </c>
      <c r="E547">
        <v>5</v>
      </c>
      <c r="F547" s="15">
        <v>4830.63</v>
      </c>
      <c r="G547" t="s">
        <v>11</v>
      </c>
      <c r="H547" t="s">
        <v>16</v>
      </c>
      <c r="I547" t="s">
        <v>42</v>
      </c>
      <c r="J547" s="11">
        <f>DATE(B547,MATCH(C547,{"Jan","Feb","Mar","Apr","May","Jun","Jul","Aug","Sep","Oct","Nov","Dec"},0),D547)</f>
        <v>37434</v>
      </c>
      <c r="K547">
        <f t="shared" si="8"/>
        <v>20</v>
      </c>
    </row>
    <row r="548" spans="1:11" x14ac:dyDescent="0.35">
      <c r="A548" t="s">
        <v>579</v>
      </c>
      <c r="B548">
        <v>2000</v>
      </c>
      <c r="C548" t="s">
        <v>30</v>
      </c>
      <c r="D548">
        <v>11</v>
      </c>
      <c r="E548">
        <v>0</v>
      </c>
      <c r="F548" s="15">
        <v>4835.43</v>
      </c>
      <c r="G548" t="s">
        <v>11</v>
      </c>
      <c r="H548" t="s">
        <v>11</v>
      </c>
      <c r="I548" t="s">
        <v>300</v>
      </c>
      <c r="J548" s="11">
        <f>DATE(B548,MATCH(C548,{"Jan","Feb","Mar","Apr","May","Jun","Jul","Aug","Sep","Oct","Nov","Dec"},0),D548)</f>
        <v>36871</v>
      </c>
      <c r="K548">
        <f t="shared" si="8"/>
        <v>22</v>
      </c>
    </row>
    <row r="549" spans="1:11" x14ac:dyDescent="0.35">
      <c r="A549" t="s">
        <v>580</v>
      </c>
      <c r="B549">
        <v>1992</v>
      </c>
      <c r="C549" t="s">
        <v>20</v>
      </c>
      <c r="D549">
        <v>10</v>
      </c>
      <c r="E549">
        <v>3</v>
      </c>
      <c r="F549" s="15">
        <v>4837.58</v>
      </c>
      <c r="G549" t="s">
        <v>12</v>
      </c>
      <c r="H549" t="s">
        <v>11</v>
      </c>
      <c r="I549" t="s">
        <v>13</v>
      </c>
      <c r="J549" s="11">
        <f>DATE(B549,MATCH(C549,{"Jan","Feb","Mar","Apr","May","Jun","Jul","Aug","Sep","Oct","Nov","Dec"},0),D549)</f>
        <v>33857</v>
      </c>
      <c r="K549">
        <f t="shared" si="8"/>
        <v>30</v>
      </c>
    </row>
    <row r="550" spans="1:11" x14ac:dyDescent="0.35">
      <c r="A550" t="s">
        <v>581</v>
      </c>
      <c r="B550">
        <v>1984</v>
      </c>
      <c r="C550" t="s">
        <v>37</v>
      </c>
      <c r="D550">
        <v>15</v>
      </c>
      <c r="E550">
        <v>3</v>
      </c>
      <c r="F550" s="15">
        <v>4839.18</v>
      </c>
      <c r="G550" t="s">
        <v>11</v>
      </c>
      <c r="H550" t="s">
        <v>16</v>
      </c>
      <c r="I550" t="s">
        <v>23</v>
      </c>
      <c r="J550" s="11">
        <f>DATE(B550,MATCH(C550,{"Jan","Feb","Mar","Apr","May","Jun","Jul","Aug","Sep","Oct","Nov","Dec"},0),D550)</f>
        <v>30970</v>
      </c>
      <c r="K550">
        <f t="shared" si="8"/>
        <v>38</v>
      </c>
    </row>
    <row r="551" spans="1:11" x14ac:dyDescent="0.35">
      <c r="A551" t="s">
        <v>582</v>
      </c>
      <c r="B551">
        <v>1995</v>
      </c>
      <c r="C551" t="s">
        <v>20</v>
      </c>
      <c r="D551">
        <v>29</v>
      </c>
      <c r="E551">
        <v>0</v>
      </c>
      <c r="F551" s="15">
        <v>4840.95</v>
      </c>
      <c r="G551" t="s">
        <v>11</v>
      </c>
      <c r="H551" t="s">
        <v>16</v>
      </c>
      <c r="I551" t="s">
        <v>300</v>
      </c>
      <c r="J551" s="11">
        <f>DATE(B551,MATCH(C551,{"Jan","Feb","Mar","Apr","May","Jun","Jul","Aug","Sep","Oct","Nov","Dec"},0),D551)</f>
        <v>34971</v>
      </c>
      <c r="K551">
        <f t="shared" si="8"/>
        <v>27</v>
      </c>
    </row>
    <row r="552" spans="1:11" x14ac:dyDescent="0.35">
      <c r="A552" t="s">
        <v>583</v>
      </c>
      <c r="B552">
        <v>1979</v>
      </c>
      <c r="C552" t="s">
        <v>30</v>
      </c>
      <c r="D552">
        <v>13</v>
      </c>
      <c r="E552">
        <v>2</v>
      </c>
      <c r="F552" s="15">
        <v>4843.79</v>
      </c>
      <c r="G552" t="s">
        <v>11</v>
      </c>
      <c r="H552" t="s">
        <v>12</v>
      </c>
      <c r="I552" t="s">
        <v>13</v>
      </c>
      <c r="J552" s="11">
        <f>DATE(B552,MATCH(C552,{"Jan","Feb","Mar","Apr","May","Jun","Jul","Aug","Sep","Oct","Nov","Dec"},0),D552)</f>
        <v>29202</v>
      </c>
      <c r="K552">
        <f t="shared" si="8"/>
        <v>43</v>
      </c>
    </row>
    <row r="553" spans="1:11" x14ac:dyDescent="0.35">
      <c r="A553" t="s">
        <v>584</v>
      </c>
      <c r="B553">
        <v>1974</v>
      </c>
      <c r="C553" t="s">
        <v>20</v>
      </c>
      <c r="D553">
        <v>11</v>
      </c>
      <c r="E553">
        <v>0</v>
      </c>
      <c r="F553" s="15">
        <v>4844.67</v>
      </c>
      <c r="G553" t="s">
        <v>11</v>
      </c>
      <c r="H553" t="s">
        <v>11</v>
      </c>
      <c r="I553" t="s">
        <v>13</v>
      </c>
      <c r="J553" s="11">
        <f>DATE(B553,MATCH(C553,{"Jan","Feb","Mar","Apr","May","Jun","Jul","Aug","Sep","Oct","Nov","Dec"},0),D553)</f>
        <v>27283</v>
      </c>
      <c r="K553">
        <f t="shared" si="8"/>
        <v>48</v>
      </c>
    </row>
    <row r="554" spans="1:11" x14ac:dyDescent="0.35">
      <c r="A554" t="s">
        <v>585</v>
      </c>
      <c r="B554">
        <v>2001</v>
      </c>
      <c r="C554" t="s">
        <v>18</v>
      </c>
      <c r="D554">
        <v>7</v>
      </c>
      <c r="E554">
        <v>0</v>
      </c>
      <c r="F554" s="15">
        <v>4846.53</v>
      </c>
      <c r="G554" t="s">
        <v>11</v>
      </c>
      <c r="H554" t="s">
        <v>12</v>
      </c>
      <c r="I554" t="s">
        <v>300</v>
      </c>
      <c r="J554" s="11">
        <f>DATE(B554,MATCH(C554,{"Jan","Feb","Mar","Apr","May","Jun","Jul","Aug","Sep","Oct","Nov","Dec"},0),D554)</f>
        <v>37049</v>
      </c>
      <c r="K554">
        <f t="shared" si="8"/>
        <v>22</v>
      </c>
    </row>
    <row r="555" spans="1:11" x14ac:dyDescent="0.35">
      <c r="A555" t="s">
        <v>586</v>
      </c>
      <c r="B555">
        <v>1995</v>
      </c>
      <c r="C555" t="s">
        <v>30</v>
      </c>
      <c r="D555">
        <v>27</v>
      </c>
      <c r="E555">
        <v>3</v>
      </c>
      <c r="F555" s="15">
        <v>4846.92</v>
      </c>
      <c r="G555" t="s">
        <v>11</v>
      </c>
      <c r="H555" t="s">
        <v>12</v>
      </c>
      <c r="I555" t="s">
        <v>356</v>
      </c>
      <c r="J555" s="11">
        <f>DATE(B555,MATCH(C555,{"Jan","Feb","Mar","Apr","May","Jun","Jul","Aug","Sep","Oct","Nov","Dec"},0),D555)</f>
        <v>35060</v>
      </c>
      <c r="K555">
        <f t="shared" si="8"/>
        <v>27</v>
      </c>
    </row>
    <row r="556" spans="1:11" x14ac:dyDescent="0.35">
      <c r="A556" t="s">
        <v>587</v>
      </c>
      <c r="B556">
        <v>1989</v>
      </c>
      <c r="C556" t="s">
        <v>20</v>
      </c>
      <c r="D556">
        <v>1</v>
      </c>
      <c r="E556">
        <v>3</v>
      </c>
      <c r="F556" s="15">
        <v>4859.8900000000003</v>
      </c>
      <c r="G556" t="s">
        <v>11</v>
      </c>
      <c r="H556" t="s">
        <v>12</v>
      </c>
      <c r="I556" t="s">
        <v>42</v>
      </c>
      <c r="J556" s="11">
        <f>DATE(B556,MATCH(C556,{"Jan","Feb","Mar","Apr","May","Jun","Jul","Aug","Sep","Oct","Nov","Dec"},0),D556)</f>
        <v>32752</v>
      </c>
      <c r="K556">
        <f t="shared" si="8"/>
        <v>33</v>
      </c>
    </row>
    <row r="557" spans="1:11" x14ac:dyDescent="0.35">
      <c r="A557" t="s">
        <v>588</v>
      </c>
      <c r="B557">
        <v>1997</v>
      </c>
      <c r="C557" t="s">
        <v>20</v>
      </c>
      <c r="D557">
        <v>29</v>
      </c>
      <c r="E557">
        <v>4</v>
      </c>
      <c r="F557" s="15">
        <v>4877.9799999999996</v>
      </c>
      <c r="G557" t="s">
        <v>11</v>
      </c>
      <c r="H557" t="s">
        <v>12</v>
      </c>
      <c r="I557" t="s">
        <v>23</v>
      </c>
      <c r="J557" s="11">
        <f>DATE(B557,MATCH(C557,{"Jan","Feb","Mar","Apr","May","Jun","Jul","Aug","Sep","Oct","Nov","Dec"},0),D557)</f>
        <v>35702</v>
      </c>
      <c r="K557">
        <f t="shared" si="8"/>
        <v>25</v>
      </c>
    </row>
    <row r="558" spans="1:11" x14ac:dyDescent="0.35">
      <c r="A558" t="s">
        <v>589</v>
      </c>
      <c r="B558">
        <v>1986</v>
      </c>
      <c r="C558" t="s">
        <v>30</v>
      </c>
      <c r="D558">
        <v>23</v>
      </c>
      <c r="E558">
        <v>0</v>
      </c>
      <c r="F558" s="15">
        <v>4883.87</v>
      </c>
      <c r="G558" t="s">
        <v>11</v>
      </c>
      <c r="H558" t="s">
        <v>16</v>
      </c>
      <c r="I558" t="s">
        <v>42</v>
      </c>
      <c r="J558" s="11">
        <f>DATE(B558,MATCH(C558,{"Jan","Feb","Mar","Apr","May","Jun","Jul","Aug","Sep","Oct","Nov","Dec"},0),D558)</f>
        <v>31769</v>
      </c>
      <c r="K558">
        <f t="shared" si="8"/>
        <v>36</v>
      </c>
    </row>
    <row r="559" spans="1:11" x14ac:dyDescent="0.35">
      <c r="A559" t="s">
        <v>590</v>
      </c>
      <c r="B559">
        <v>1986</v>
      </c>
      <c r="C559" t="s">
        <v>37</v>
      </c>
      <c r="D559">
        <v>27</v>
      </c>
      <c r="E559">
        <v>0</v>
      </c>
      <c r="F559" s="15">
        <v>4889.04</v>
      </c>
      <c r="G559" t="s">
        <v>11</v>
      </c>
      <c r="H559" t="s">
        <v>16</v>
      </c>
      <c r="I559" t="s">
        <v>13</v>
      </c>
      <c r="J559" s="11">
        <f>DATE(B559,MATCH(C559,{"Jan","Feb","Mar","Apr","May","Jun","Jul","Aug","Sep","Oct","Nov","Dec"},0),D559)</f>
        <v>31712</v>
      </c>
      <c r="K559">
        <f t="shared" si="8"/>
        <v>36</v>
      </c>
    </row>
    <row r="560" spans="1:11" x14ac:dyDescent="0.35">
      <c r="A560" t="s">
        <v>591</v>
      </c>
      <c r="B560">
        <v>1989</v>
      </c>
      <c r="C560" t="s">
        <v>10</v>
      </c>
      <c r="D560">
        <v>10</v>
      </c>
      <c r="E560">
        <v>2</v>
      </c>
      <c r="F560" s="15">
        <v>4890</v>
      </c>
      <c r="G560" t="s">
        <v>12</v>
      </c>
      <c r="H560" t="s">
        <v>11</v>
      </c>
      <c r="I560" t="s">
        <v>13</v>
      </c>
      <c r="J560" s="11">
        <f>DATE(B560,MATCH(C560,{"Jan","Feb","Mar","Apr","May","Jun","Jul","Aug","Sep","Oct","Nov","Dec"},0),D560)</f>
        <v>32699</v>
      </c>
      <c r="K560">
        <f t="shared" si="8"/>
        <v>33</v>
      </c>
    </row>
    <row r="561" spans="1:11" x14ac:dyDescent="0.35">
      <c r="A561" t="s">
        <v>592</v>
      </c>
      <c r="B561">
        <v>1990</v>
      </c>
      <c r="C561" t="s">
        <v>15</v>
      </c>
      <c r="D561">
        <v>28</v>
      </c>
      <c r="E561">
        <v>3</v>
      </c>
      <c r="F561" s="15">
        <v>4894.3900000000003</v>
      </c>
      <c r="G561" t="s">
        <v>11</v>
      </c>
      <c r="H561" t="s">
        <v>12</v>
      </c>
      <c r="I561" t="s">
        <v>13</v>
      </c>
      <c r="J561" s="11">
        <f>DATE(B561,MATCH(C561,{"Jan","Feb","Mar","Apr","May","Jun","Jul","Aug","Sep","Oct","Nov","Dec"},0),D561)</f>
        <v>33205</v>
      </c>
      <c r="K561">
        <f t="shared" si="8"/>
        <v>32</v>
      </c>
    </row>
    <row r="562" spans="1:11" x14ac:dyDescent="0.35">
      <c r="A562" t="s">
        <v>593</v>
      </c>
      <c r="B562">
        <v>1988</v>
      </c>
      <c r="C562" t="s">
        <v>20</v>
      </c>
      <c r="D562">
        <v>23</v>
      </c>
      <c r="E562">
        <v>1</v>
      </c>
      <c r="F562" s="15">
        <v>4894.75</v>
      </c>
      <c r="G562" t="s">
        <v>12</v>
      </c>
      <c r="H562" t="s">
        <v>12</v>
      </c>
      <c r="I562" t="s">
        <v>23</v>
      </c>
      <c r="J562" s="11">
        <f>DATE(B562,MATCH(C562,{"Jan","Feb","Mar","Apr","May","Jun","Jul","Aug","Sep","Oct","Nov","Dec"},0),D562)</f>
        <v>32409</v>
      </c>
      <c r="K562">
        <f t="shared" si="8"/>
        <v>34</v>
      </c>
    </row>
    <row r="563" spans="1:11" x14ac:dyDescent="0.35">
      <c r="A563" t="s">
        <v>594</v>
      </c>
      <c r="B563">
        <v>1993</v>
      </c>
      <c r="C563" t="s">
        <v>10</v>
      </c>
      <c r="D563">
        <v>10</v>
      </c>
      <c r="E563">
        <v>2</v>
      </c>
      <c r="F563" s="15">
        <v>4906.41</v>
      </c>
      <c r="G563" t="s">
        <v>11</v>
      </c>
      <c r="H563" t="s">
        <v>16</v>
      </c>
      <c r="I563" t="s">
        <v>23</v>
      </c>
      <c r="J563" s="11">
        <f>DATE(B563,MATCH(C563,{"Jan","Feb","Mar","Apr","May","Jun","Jul","Aug","Sep","Oct","Nov","Dec"},0),D563)</f>
        <v>34160</v>
      </c>
      <c r="K563">
        <f t="shared" si="8"/>
        <v>29</v>
      </c>
    </row>
    <row r="564" spans="1:11" x14ac:dyDescent="0.35">
      <c r="A564" t="s">
        <v>595</v>
      </c>
      <c r="B564">
        <v>1981</v>
      </c>
      <c r="C564" t="s">
        <v>37</v>
      </c>
      <c r="D564">
        <v>18</v>
      </c>
      <c r="E564">
        <v>1</v>
      </c>
      <c r="F564" s="15">
        <v>4911.8900000000003</v>
      </c>
      <c r="G564" t="s">
        <v>11</v>
      </c>
      <c r="H564" t="s">
        <v>12</v>
      </c>
      <c r="I564" t="s">
        <v>13</v>
      </c>
      <c r="J564" s="11">
        <f>DATE(B564,MATCH(C564,{"Jan","Feb","Mar","Apr","May","Jun","Jul","Aug","Sep","Oct","Nov","Dec"},0),D564)</f>
        <v>29877</v>
      </c>
      <c r="K564">
        <f t="shared" si="8"/>
        <v>41</v>
      </c>
    </row>
    <row r="565" spans="1:11" x14ac:dyDescent="0.35">
      <c r="A565" t="s">
        <v>596</v>
      </c>
      <c r="B565">
        <v>2002</v>
      </c>
      <c r="C565" t="s">
        <v>35</v>
      </c>
      <c r="D565">
        <v>21</v>
      </c>
      <c r="E565">
        <v>5</v>
      </c>
      <c r="F565" s="15">
        <v>4915.0600000000004</v>
      </c>
      <c r="G565" t="s">
        <v>11</v>
      </c>
      <c r="H565" t="s">
        <v>16</v>
      </c>
      <c r="I565" t="s">
        <v>356</v>
      </c>
      <c r="J565" s="11">
        <f>DATE(B565,MATCH(C565,{"Jan","Feb","Mar","Apr","May","Jun","Jul","Aug","Sep","Oct","Nov","Dec"},0),D565)</f>
        <v>37489</v>
      </c>
      <c r="K565">
        <f t="shared" si="8"/>
        <v>20</v>
      </c>
    </row>
    <row r="566" spans="1:11" x14ac:dyDescent="0.35">
      <c r="A566" t="s">
        <v>597</v>
      </c>
      <c r="B566">
        <v>1993</v>
      </c>
      <c r="C566" t="s">
        <v>35</v>
      </c>
      <c r="D566">
        <v>10</v>
      </c>
      <c r="E566">
        <v>2</v>
      </c>
      <c r="F566" s="15">
        <v>4922.92</v>
      </c>
      <c r="G566" t="s">
        <v>11</v>
      </c>
      <c r="H566" t="s">
        <v>11</v>
      </c>
      <c r="I566" t="s">
        <v>23</v>
      </c>
      <c r="J566" s="11">
        <f>DATE(B566,MATCH(C566,{"Jan","Feb","Mar","Apr","May","Jun","Jul","Aug","Sep","Oct","Nov","Dec"},0),D566)</f>
        <v>34191</v>
      </c>
      <c r="K566">
        <f t="shared" si="8"/>
        <v>29</v>
      </c>
    </row>
    <row r="567" spans="1:11" x14ac:dyDescent="0.35">
      <c r="A567" t="s">
        <v>598</v>
      </c>
      <c r="B567">
        <v>1991</v>
      </c>
      <c r="C567" t="s">
        <v>35</v>
      </c>
      <c r="D567">
        <v>23</v>
      </c>
      <c r="E567">
        <v>2</v>
      </c>
      <c r="F567" s="15">
        <v>4931.6499999999996</v>
      </c>
      <c r="G567" t="s">
        <v>11</v>
      </c>
      <c r="H567" t="s">
        <v>12</v>
      </c>
      <c r="I567" t="s">
        <v>42</v>
      </c>
      <c r="J567" s="11">
        <f>DATE(B567,MATCH(C567,{"Jan","Feb","Mar","Apr","May","Jun","Jul","Aug","Sep","Oct","Nov","Dec"},0),D567)</f>
        <v>33473</v>
      </c>
      <c r="K567">
        <f t="shared" si="8"/>
        <v>31</v>
      </c>
    </row>
    <row r="568" spans="1:11" x14ac:dyDescent="0.35">
      <c r="A568" t="s">
        <v>599</v>
      </c>
      <c r="B568">
        <v>1991</v>
      </c>
      <c r="C568" t="s">
        <v>15</v>
      </c>
      <c r="D568">
        <v>27</v>
      </c>
      <c r="E568">
        <v>2</v>
      </c>
      <c r="F568" s="15">
        <v>4934.71</v>
      </c>
      <c r="G568" t="s">
        <v>11</v>
      </c>
      <c r="H568" t="s">
        <v>12</v>
      </c>
      <c r="I568" t="s">
        <v>42</v>
      </c>
      <c r="J568" s="11">
        <f>DATE(B568,MATCH(C568,{"Jan","Feb","Mar","Apr","May","Jun","Jul","Aug","Sep","Oct","Nov","Dec"},0),D568)</f>
        <v>33569</v>
      </c>
      <c r="K568">
        <f t="shared" si="8"/>
        <v>31</v>
      </c>
    </row>
    <row r="569" spans="1:11" x14ac:dyDescent="0.35">
      <c r="A569" t="s">
        <v>600</v>
      </c>
      <c r="B569">
        <v>1974</v>
      </c>
      <c r="C569" t="s">
        <v>18</v>
      </c>
      <c r="D569">
        <v>26</v>
      </c>
      <c r="E569">
        <v>0</v>
      </c>
      <c r="F569" s="15">
        <v>4942.0600000000004</v>
      </c>
      <c r="G569" t="s">
        <v>11</v>
      </c>
      <c r="H569" t="s">
        <v>11</v>
      </c>
      <c r="I569" t="s">
        <v>13</v>
      </c>
      <c r="J569" s="11">
        <f>DATE(B569,MATCH(C569,{"Jan","Feb","Mar","Apr","May","Jun","Jul","Aug","Sep","Oct","Nov","Dec"},0),D569)</f>
        <v>27206</v>
      </c>
      <c r="K569">
        <f t="shared" si="8"/>
        <v>48</v>
      </c>
    </row>
    <row r="570" spans="1:11" x14ac:dyDescent="0.35">
      <c r="A570" t="s">
        <v>601</v>
      </c>
      <c r="B570">
        <v>1991</v>
      </c>
      <c r="C570" t="s">
        <v>35</v>
      </c>
      <c r="D570">
        <v>30</v>
      </c>
      <c r="E570">
        <v>2</v>
      </c>
      <c r="F570" s="15">
        <v>4949.76</v>
      </c>
      <c r="G570" t="s">
        <v>11</v>
      </c>
      <c r="H570" t="s">
        <v>16</v>
      </c>
      <c r="I570" t="s">
        <v>13</v>
      </c>
      <c r="J570" s="11">
        <f>DATE(B570,MATCH(C570,{"Jan","Feb","Mar","Apr","May","Jun","Jul","Aug","Sep","Oct","Nov","Dec"},0),D570)</f>
        <v>33480</v>
      </c>
      <c r="K570">
        <f t="shared" si="8"/>
        <v>31</v>
      </c>
    </row>
    <row r="571" spans="1:11" x14ac:dyDescent="0.35">
      <c r="A571" t="s">
        <v>602</v>
      </c>
      <c r="B571">
        <v>1973</v>
      </c>
      <c r="C571" t="s">
        <v>15</v>
      </c>
      <c r="D571">
        <v>7</v>
      </c>
      <c r="E571">
        <v>0</v>
      </c>
      <c r="F571" s="15">
        <v>4985.22</v>
      </c>
      <c r="G571" t="s">
        <v>11</v>
      </c>
      <c r="H571" t="s">
        <v>12</v>
      </c>
      <c r="I571" t="s">
        <v>13</v>
      </c>
      <c r="J571" s="11">
        <f>DATE(B571,MATCH(C571,{"Jan","Feb","Mar","Apr","May","Jun","Jul","Aug","Sep","Oct","Nov","Dec"},0),D571)</f>
        <v>26975</v>
      </c>
      <c r="K571">
        <f t="shared" si="8"/>
        <v>49</v>
      </c>
    </row>
    <row r="572" spans="1:11" x14ac:dyDescent="0.35">
      <c r="A572" t="s">
        <v>603</v>
      </c>
      <c r="B572">
        <v>1988</v>
      </c>
      <c r="C572" t="s">
        <v>18</v>
      </c>
      <c r="D572">
        <v>24</v>
      </c>
      <c r="E572">
        <v>0</v>
      </c>
      <c r="F572" s="15">
        <v>4992.38</v>
      </c>
      <c r="G572" t="s">
        <v>11</v>
      </c>
      <c r="H572" t="s">
        <v>12</v>
      </c>
      <c r="I572" t="s">
        <v>247</v>
      </c>
      <c r="J572" s="11">
        <f>DATE(B572,MATCH(C572,{"Jan","Feb","Mar","Apr","May","Jun","Jul","Aug","Sep","Oct","Nov","Dec"},0),D572)</f>
        <v>32318</v>
      </c>
      <c r="K572">
        <f t="shared" si="8"/>
        <v>34</v>
      </c>
    </row>
    <row r="573" spans="1:11" x14ac:dyDescent="0.35">
      <c r="A573" t="s">
        <v>604</v>
      </c>
      <c r="B573">
        <v>2001</v>
      </c>
      <c r="C573" t="s">
        <v>37</v>
      </c>
      <c r="D573">
        <v>5</v>
      </c>
      <c r="E573">
        <v>0</v>
      </c>
      <c r="F573" s="15">
        <v>4999.04</v>
      </c>
      <c r="G573" t="s">
        <v>11</v>
      </c>
      <c r="H573" t="s">
        <v>11</v>
      </c>
      <c r="I573" t="s">
        <v>42</v>
      </c>
      <c r="J573" s="11">
        <f>DATE(B573,MATCH(C573,{"Jan","Feb","Mar","Apr","May","Jun","Jul","Aug","Sep","Oct","Nov","Dec"},0),D573)</f>
        <v>37169</v>
      </c>
      <c r="K573">
        <f t="shared" si="8"/>
        <v>21</v>
      </c>
    </row>
    <row r="574" spans="1:11" x14ac:dyDescent="0.35">
      <c r="A574" t="s">
        <v>605</v>
      </c>
      <c r="B574">
        <v>1988</v>
      </c>
      <c r="C574" t="s">
        <v>20</v>
      </c>
      <c r="D574">
        <v>4</v>
      </c>
      <c r="E574">
        <v>1</v>
      </c>
      <c r="F574" s="15">
        <v>5002.78</v>
      </c>
      <c r="G574" t="s">
        <v>11</v>
      </c>
      <c r="H574" t="s">
        <v>11</v>
      </c>
      <c r="I574" t="s">
        <v>13</v>
      </c>
      <c r="J574" s="11">
        <f>DATE(B574,MATCH(C574,{"Jan","Feb","Mar","Apr","May","Jun","Jul","Aug","Sep","Oct","Nov","Dec"},0),D574)</f>
        <v>32390</v>
      </c>
      <c r="K574">
        <f t="shared" si="8"/>
        <v>34</v>
      </c>
    </row>
    <row r="575" spans="1:11" x14ac:dyDescent="0.35">
      <c r="A575" t="s">
        <v>606</v>
      </c>
      <c r="B575">
        <v>1977</v>
      </c>
      <c r="C575" t="s">
        <v>18</v>
      </c>
      <c r="D575">
        <v>9</v>
      </c>
      <c r="E575">
        <v>2</v>
      </c>
      <c r="F575" s="15">
        <v>5003.7700000000004</v>
      </c>
      <c r="G575" t="s">
        <v>11</v>
      </c>
      <c r="H575" t="s">
        <v>12</v>
      </c>
      <c r="I575" t="s">
        <v>13</v>
      </c>
      <c r="J575" s="11">
        <f>DATE(B575,MATCH(C575,{"Jan","Feb","Mar","Apr","May","Jun","Jul","Aug","Sep","Oct","Nov","Dec"},0),D575)</f>
        <v>28285</v>
      </c>
      <c r="K575">
        <f t="shared" si="8"/>
        <v>45</v>
      </c>
    </row>
    <row r="576" spans="1:11" x14ac:dyDescent="0.35">
      <c r="A576" t="s">
        <v>607</v>
      </c>
      <c r="B576">
        <v>1988</v>
      </c>
      <c r="C576" t="s">
        <v>10</v>
      </c>
      <c r="D576">
        <v>8</v>
      </c>
      <c r="E576">
        <v>1</v>
      </c>
      <c r="F576" s="15">
        <v>5003.8500000000004</v>
      </c>
      <c r="G576" t="s">
        <v>11</v>
      </c>
      <c r="H576" t="s">
        <v>12</v>
      </c>
      <c r="I576" t="s">
        <v>42</v>
      </c>
      <c r="J576" s="11">
        <f>DATE(B576,MATCH(C576,{"Jan","Feb","Mar","Apr","May","Jun","Jul","Aug","Sep","Oct","Nov","Dec"},0),D576)</f>
        <v>32332</v>
      </c>
      <c r="K576">
        <f t="shared" si="8"/>
        <v>34</v>
      </c>
    </row>
    <row r="577" spans="1:11" x14ac:dyDescent="0.35">
      <c r="A577" t="s">
        <v>608</v>
      </c>
      <c r="B577">
        <v>1988</v>
      </c>
      <c r="C577" t="s">
        <v>15</v>
      </c>
      <c r="D577">
        <v>9</v>
      </c>
      <c r="E577">
        <v>1</v>
      </c>
      <c r="F577" s="15">
        <v>5012.47</v>
      </c>
      <c r="G577" t="s">
        <v>11</v>
      </c>
      <c r="H577" t="s">
        <v>12</v>
      </c>
      <c r="I577" t="s">
        <v>42</v>
      </c>
      <c r="J577" s="11">
        <f>DATE(B577,MATCH(C577,{"Jan","Feb","Mar","Apr","May","Jun","Jul","Aug","Sep","Oct","Nov","Dec"},0),D577)</f>
        <v>32456</v>
      </c>
      <c r="K577">
        <f t="shared" si="8"/>
        <v>34</v>
      </c>
    </row>
    <row r="578" spans="1:11" x14ac:dyDescent="0.35">
      <c r="A578" t="s">
        <v>609</v>
      </c>
      <c r="B578">
        <v>1985</v>
      </c>
      <c r="C578" t="s">
        <v>30</v>
      </c>
      <c r="D578">
        <v>28</v>
      </c>
      <c r="E578">
        <v>0</v>
      </c>
      <c r="F578" s="15">
        <v>5028.1499999999996</v>
      </c>
      <c r="G578" t="s">
        <v>16</v>
      </c>
      <c r="H578" t="s">
        <v>11</v>
      </c>
      <c r="I578" t="s">
        <v>23</v>
      </c>
      <c r="J578" s="11">
        <f>DATE(B578,MATCH(C578,{"Jan","Feb","Mar","Apr","May","Jun","Jul","Aug","Sep","Oct","Nov","Dec"},0),D578)</f>
        <v>31409</v>
      </c>
      <c r="K578">
        <f t="shared" si="8"/>
        <v>37</v>
      </c>
    </row>
    <row r="579" spans="1:11" x14ac:dyDescent="0.35">
      <c r="A579" t="s">
        <v>610</v>
      </c>
      <c r="B579">
        <v>1991</v>
      </c>
      <c r="C579" t="s">
        <v>20</v>
      </c>
      <c r="D579">
        <v>10</v>
      </c>
      <c r="E579">
        <v>2</v>
      </c>
      <c r="F579" s="15">
        <v>5031.2700000000004</v>
      </c>
      <c r="G579" t="s">
        <v>12</v>
      </c>
      <c r="H579" t="s">
        <v>16</v>
      </c>
      <c r="I579" t="s">
        <v>168</v>
      </c>
      <c r="J579" s="11">
        <f>DATE(B579,MATCH(C579,{"Jan","Feb","Mar","Apr","May","Jun","Jul","Aug","Sep","Oct","Nov","Dec"},0),D579)</f>
        <v>33491</v>
      </c>
      <c r="K579">
        <f t="shared" ref="K579:K642" si="9">DATEDIF(J579,$N$1,"Y")</f>
        <v>31</v>
      </c>
    </row>
    <row r="580" spans="1:11" x14ac:dyDescent="0.35">
      <c r="A580" t="s">
        <v>611</v>
      </c>
      <c r="B580">
        <v>1986</v>
      </c>
      <c r="C580" t="s">
        <v>18</v>
      </c>
      <c r="D580">
        <v>29</v>
      </c>
      <c r="E580">
        <v>3</v>
      </c>
      <c r="F580" s="15">
        <v>5034.1000000000004</v>
      </c>
      <c r="G580" t="s">
        <v>11</v>
      </c>
      <c r="H580" t="s">
        <v>11</v>
      </c>
      <c r="I580" t="s">
        <v>13</v>
      </c>
      <c r="J580" s="11">
        <f>DATE(B580,MATCH(C580,{"Jan","Feb","Mar","Apr","May","Jun","Jul","Aug","Sep","Oct","Nov","Dec"},0),D580)</f>
        <v>31592</v>
      </c>
      <c r="K580">
        <f t="shared" si="9"/>
        <v>36</v>
      </c>
    </row>
    <row r="581" spans="1:11" x14ac:dyDescent="0.35">
      <c r="A581" t="s">
        <v>612</v>
      </c>
      <c r="B581">
        <v>1997</v>
      </c>
      <c r="C581" t="s">
        <v>30</v>
      </c>
      <c r="D581">
        <v>4</v>
      </c>
      <c r="E581">
        <v>0</v>
      </c>
      <c r="F581" s="15">
        <v>5038.57</v>
      </c>
      <c r="G581" t="s">
        <v>11</v>
      </c>
      <c r="H581" t="s">
        <v>11</v>
      </c>
      <c r="I581" t="s">
        <v>200</v>
      </c>
      <c r="J581" s="11">
        <f>DATE(B581,MATCH(C581,{"Jan","Feb","Mar","Apr","May","Jun","Jul","Aug","Sep","Oct","Nov","Dec"},0),D581)</f>
        <v>35768</v>
      </c>
      <c r="K581">
        <f t="shared" si="9"/>
        <v>25</v>
      </c>
    </row>
    <row r="582" spans="1:11" x14ac:dyDescent="0.35">
      <c r="A582" t="s">
        <v>613</v>
      </c>
      <c r="B582">
        <v>2001</v>
      </c>
      <c r="C582" t="s">
        <v>37</v>
      </c>
      <c r="D582">
        <v>16</v>
      </c>
      <c r="E582">
        <v>0</v>
      </c>
      <c r="F582" s="15">
        <v>5043.13</v>
      </c>
      <c r="G582" t="s">
        <v>11</v>
      </c>
      <c r="H582" t="s">
        <v>12</v>
      </c>
      <c r="I582" t="s">
        <v>42</v>
      </c>
      <c r="J582" s="11">
        <f>DATE(B582,MATCH(C582,{"Jan","Feb","Mar","Apr","May","Jun","Jul","Aug","Sep","Oct","Nov","Dec"},0),D582)</f>
        <v>37180</v>
      </c>
      <c r="K582">
        <f t="shared" si="9"/>
        <v>21</v>
      </c>
    </row>
    <row r="583" spans="1:11" x14ac:dyDescent="0.35">
      <c r="A583" t="s">
        <v>614</v>
      </c>
      <c r="B583">
        <v>1997</v>
      </c>
      <c r="C583" t="s">
        <v>10</v>
      </c>
      <c r="D583">
        <v>29</v>
      </c>
      <c r="E583">
        <v>0</v>
      </c>
      <c r="F583" s="15">
        <v>5045.1499999999996</v>
      </c>
      <c r="G583" t="s">
        <v>11</v>
      </c>
      <c r="H583" t="s">
        <v>11</v>
      </c>
      <c r="I583" t="s">
        <v>23</v>
      </c>
      <c r="J583" s="11">
        <f>DATE(B583,MATCH(C583,{"Jan","Feb","Mar","Apr","May","Jun","Jul","Aug","Sep","Oct","Nov","Dec"},0),D583)</f>
        <v>35640</v>
      </c>
      <c r="K583">
        <f t="shared" si="9"/>
        <v>25</v>
      </c>
    </row>
    <row r="584" spans="1:11" x14ac:dyDescent="0.35">
      <c r="A584" t="s">
        <v>615</v>
      </c>
      <c r="B584">
        <v>1980</v>
      </c>
      <c r="C584" t="s">
        <v>20</v>
      </c>
      <c r="D584">
        <v>7</v>
      </c>
      <c r="E584">
        <v>2</v>
      </c>
      <c r="F584" s="15">
        <v>5054.05</v>
      </c>
      <c r="G584" t="s">
        <v>11</v>
      </c>
      <c r="H584" t="s">
        <v>11</v>
      </c>
      <c r="I584" t="s">
        <v>13</v>
      </c>
      <c r="J584" s="11">
        <f>DATE(B584,MATCH(C584,{"Jan","Feb","Mar","Apr","May","Jun","Jul","Aug","Sep","Oct","Nov","Dec"},0),D584)</f>
        <v>29471</v>
      </c>
      <c r="K584">
        <f t="shared" si="9"/>
        <v>42</v>
      </c>
    </row>
    <row r="585" spans="1:11" x14ac:dyDescent="0.35">
      <c r="A585" t="s">
        <v>616</v>
      </c>
      <c r="B585">
        <v>1993</v>
      </c>
      <c r="C585" t="s">
        <v>18</v>
      </c>
      <c r="D585">
        <v>11</v>
      </c>
      <c r="E585">
        <v>0</v>
      </c>
      <c r="F585" s="15">
        <v>5059.5600000000004</v>
      </c>
      <c r="G585" t="s">
        <v>11</v>
      </c>
      <c r="H585" t="s">
        <v>16</v>
      </c>
      <c r="I585" t="s">
        <v>300</v>
      </c>
      <c r="J585" s="11">
        <f>DATE(B585,MATCH(C585,{"Jan","Feb","Mar","Apr","May","Jun","Jul","Aug","Sep","Oct","Nov","Dec"},0),D585)</f>
        <v>34131</v>
      </c>
      <c r="K585">
        <f t="shared" si="9"/>
        <v>29</v>
      </c>
    </row>
    <row r="586" spans="1:11" x14ac:dyDescent="0.35">
      <c r="A586" t="s">
        <v>617</v>
      </c>
      <c r="B586">
        <v>1978</v>
      </c>
      <c r="C586" t="s">
        <v>15</v>
      </c>
      <c r="D586">
        <v>22</v>
      </c>
      <c r="E586">
        <v>2</v>
      </c>
      <c r="F586" s="15">
        <v>5077.1899999999996</v>
      </c>
      <c r="G586" t="s">
        <v>11</v>
      </c>
      <c r="H586" t="s">
        <v>12</v>
      </c>
      <c r="I586" t="s">
        <v>23</v>
      </c>
      <c r="J586" s="11">
        <f>DATE(B586,MATCH(C586,{"Jan","Feb","Mar","Apr","May","Jun","Jul","Aug","Sep","Oct","Nov","Dec"},0),D586)</f>
        <v>28816</v>
      </c>
      <c r="K586">
        <f t="shared" si="9"/>
        <v>44</v>
      </c>
    </row>
    <row r="587" spans="1:11" x14ac:dyDescent="0.35">
      <c r="A587" t="s">
        <v>618</v>
      </c>
      <c r="B587">
        <v>1997</v>
      </c>
      <c r="C587" t="s">
        <v>10</v>
      </c>
      <c r="D587">
        <v>14</v>
      </c>
      <c r="E587">
        <v>5</v>
      </c>
      <c r="F587" s="15">
        <v>5080.1000000000004</v>
      </c>
      <c r="G587" t="s">
        <v>12</v>
      </c>
      <c r="H587" t="s">
        <v>11</v>
      </c>
      <c r="I587" t="s">
        <v>42</v>
      </c>
      <c r="J587" s="11">
        <f>DATE(B587,MATCH(C587,{"Jan","Feb","Mar","Apr","May","Jun","Jul","Aug","Sep","Oct","Nov","Dec"},0),D587)</f>
        <v>35625</v>
      </c>
      <c r="K587">
        <f t="shared" si="9"/>
        <v>25</v>
      </c>
    </row>
    <row r="588" spans="1:11" x14ac:dyDescent="0.35">
      <c r="A588" t="s">
        <v>619</v>
      </c>
      <c r="B588">
        <v>1999</v>
      </c>
      <c r="C588" t="s">
        <v>18</v>
      </c>
      <c r="D588">
        <v>19</v>
      </c>
      <c r="E588">
        <v>0</v>
      </c>
      <c r="F588" s="15">
        <v>5087.92</v>
      </c>
      <c r="G588" t="s">
        <v>11</v>
      </c>
      <c r="H588" t="s">
        <v>11</v>
      </c>
      <c r="I588" t="s">
        <v>535</v>
      </c>
      <c r="J588" s="11">
        <f>DATE(B588,MATCH(C588,{"Jan","Feb","Mar","Apr","May","Jun","Jul","Aug","Sep","Oct","Nov","Dec"},0),D588)</f>
        <v>36330</v>
      </c>
      <c r="K588">
        <f t="shared" si="9"/>
        <v>23</v>
      </c>
    </row>
    <row r="589" spans="1:11" x14ac:dyDescent="0.35">
      <c r="A589" t="s">
        <v>620</v>
      </c>
      <c r="B589">
        <v>1987</v>
      </c>
      <c r="C589" t="s">
        <v>15</v>
      </c>
      <c r="D589">
        <v>18</v>
      </c>
      <c r="E589">
        <v>1</v>
      </c>
      <c r="F589" s="15">
        <v>5116.5</v>
      </c>
      <c r="G589" t="s">
        <v>11</v>
      </c>
      <c r="H589" t="s">
        <v>11</v>
      </c>
      <c r="I589" t="s">
        <v>23</v>
      </c>
      <c r="J589" s="11">
        <f>DATE(B589,MATCH(C589,{"Jan","Feb","Mar","Apr","May","Jun","Jul","Aug","Sep","Oct","Nov","Dec"},0),D589)</f>
        <v>32099</v>
      </c>
      <c r="K589">
        <f t="shared" si="9"/>
        <v>35</v>
      </c>
    </row>
    <row r="590" spans="1:11" x14ac:dyDescent="0.35">
      <c r="A590" t="s">
        <v>621</v>
      </c>
      <c r="B590">
        <v>1988</v>
      </c>
      <c r="C590" t="s">
        <v>15</v>
      </c>
      <c r="D590">
        <v>1</v>
      </c>
      <c r="E590">
        <v>2</v>
      </c>
      <c r="F590" s="15">
        <v>5124.1899999999996</v>
      </c>
      <c r="G590" t="s">
        <v>11</v>
      </c>
      <c r="H590" t="s">
        <v>12</v>
      </c>
      <c r="I590" t="s">
        <v>13</v>
      </c>
      <c r="J590" s="11">
        <f>DATE(B590,MATCH(C590,{"Jan","Feb","Mar","Apr","May","Jun","Jul","Aug","Sep","Oct","Nov","Dec"},0),D590)</f>
        <v>32448</v>
      </c>
      <c r="K590">
        <f t="shared" si="9"/>
        <v>34</v>
      </c>
    </row>
    <row r="591" spans="1:11" x14ac:dyDescent="0.35">
      <c r="A591" t="s">
        <v>622</v>
      </c>
      <c r="B591">
        <v>1987</v>
      </c>
      <c r="C591" t="s">
        <v>20</v>
      </c>
      <c r="D591">
        <v>13</v>
      </c>
      <c r="E591">
        <v>1</v>
      </c>
      <c r="F591" s="15">
        <v>5125.22</v>
      </c>
      <c r="G591" t="s">
        <v>16</v>
      </c>
      <c r="H591" t="s">
        <v>11</v>
      </c>
      <c r="I591" t="s">
        <v>23</v>
      </c>
      <c r="J591" s="11">
        <f>DATE(B591,MATCH(C591,{"Jan","Feb","Mar","Apr","May","Jun","Jul","Aug","Sep","Oct","Nov","Dec"},0),D591)</f>
        <v>32033</v>
      </c>
      <c r="K591">
        <f t="shared" si="9"/>
        <v>35</v>
      </c>
    </row>
    <row r="592" spans="1:11" x14ac:dyDescent="0.35">
      <c r="A592" t="s">
        <v>623</v>
      </c>
      <c r="B592">
        <v>1988</v>
      </c>
      <c r="C592" t="s">
        <v>20</v>
      </c>
      <c r="D592">
        <v>15</v>
      </c>
      <c r="E592">
        <v>3</v>
      </c>
      <c r="F592" s="15">
        <v>5136.75</v>
      </c>
      <c r="G592" t="s">
        <v>11</v>
      </c>
      <c r="H592" t="s">
        <v>16</v>
      </c>
      <c r="I592" t="s">
        <v>13</v>
      </c>
      <c r="J592" s="11">
        <f>DATE(B592,MATCH(C592,{"Jan","Feb","Mar","Apr","May","Jun","Jul","Aug","Sep","Oct","Nov","Dec"},0),D592)</f>
        <v>32401</v>
      </c>
      <c r="K592">
        <f t="shared" si="9"/>
        <v>34</v>
      </c>
    </row>
    <row r="593" spans="1:11" x14ac:dyDescent="0.35">
      <c r="A593" t="s">
        <v>624</v>
      </c>
      <c r="B593">
        <v>1993</v>
      </c>
      <c r="C593" t="s">
        <v>30</v>
      </c>
      <c r="D593">
        <v>10</v>
      </c>
      <c r="E593">
        <v>3</v>
      </c>
      <c r="F593" s="15">
        <v>5138.26</v>
      </c>
      <c r="G593" t="s">
        <v>11</v>
      </c>
      <c r="H593" t="s">
        <v>11</v>
      </c>
      <c r="I593" t="s">
        <v>13</v>
      </c>
      <c r="J593" s="11">
        <f>DATE(B593,MATCH(C593,{"Jan","Feb","Mar","Apr","May","Jun","Jul","Aug","Sep","Oct","Nov","Dec"},0),D593)</f>
        <v>34313</v>
      </c>
      <c r="K593">
        <f t="shared" si="9"/>
        <v>29</v>
      </c>
    </row>
    <row r="594" spans="1:11" x14ac:dyDescent="0.35">
      <c r="A594" t="s">
        <v>625</v>
      </c>
      <c r="B594">
        <v>1984</v>
      </c>
      <c r="C594" t="s">
        <v>35</v>
      </c>
      <c r="D594">
        <v>22</v>
      </c>
      <c r="E594">
        <v>3</v>
      </c>
      <c r="F594" s="15">
        <v>5144.18</v>
      </c>
      <c r="G594" t="s">
        <v>11</v>
      </c>
      <c r="H594" t="s">
        <v>16</v>
      </c>
      <c r="I594" t="s">
        <v>13</v>
      </c>
      <c r="J594" s="11">
        <f>DATE(B594,MATCH(C594,{"Jan","Feb","Mar","Apr","May","Jun","Jul","Aug","Sep","Oct","Nov","Dec"},0),D594)</f>
        <v>30916</v>
      </c>
      <c r="K594">
        <f t="shared" si="9"/>
        <v>38</v>
      </c>
    </row>
    <row r="595" spans="1:11" x14ac:dyDescent="0.35">
      <c r="A595" t="s">
        <v>626</v>
      </c>
      <c r="B595">
        <v>1990</v>
      </c>
      <c r="C595" t="s">
        <v>35</v>
      </c>
      <c r="D595">
        <v>22</v>
      </c>
      <c r="E595">
        <v>1</v>
      </c>
      <c r="F595" s="15">
        <v>5148.55</v>
      </c>
      <c r="G595" t="s">
        <v>11</v>
      </c>
      <c r="H595" t="s">
        <v>11</v>
      </c>
      <c r="I595" t="s">
        <v>247</v>
      </c>
      <c r="J595" s="11">
        <f>DATE(B595,MATCH(C595,{"Jan","Feb","Mar","Apr","May","Jun","Jul","Aug","Sep","Oct","Nov","Dec"},0),D595)</f>
        <v>33107</v>
      </c>
      <c r="K595">
        <f t="shared" si="9"/>
        <v>32</v>
      </c>
    </row>
    <row r="596" spans="1:11" x14ac:dyDescent="0.35">
      <c r="A596" t="s">
        <v>627</v>
      </c>
      <c r="B596">
        <v>1990</v>
      </c>
      <c r="C596" t="s">
        <v>37</v>
      </c>
      <c r="D596">
        <v>9</v>
      </c>
      <c r="E596">
        <v>2</v>
      </c>
      <c r="F596" s="15">
        <v>5152.13</v>
      </c>
      <c r="G596" t="s">
        <v>11</v>
      </c>
      <c r="H596" t="s">
        <v>11</v>
      </c>
      <c r="I596" t="s">
        <v>42</v>
      </c>
      <c r="J596" s="11">
        <f>DATE(B596,MATCH(C596,{"Jan","Feb","Mar","Apr","May","Jun","Jul","Aug","Sep","Oct","Nov","Dec"},0),D596)</f>
        <v>33155</v>
      </c>
      <c r="K596">
        <f t="shared" si="9"/>
        <v>32</v>
      </c>
    </row>
    <row r="597" spans="1:11" x14ac:dyDescent="0.35">
      <c r="A597" t="s">
        <v>628</v>
      </c>
      <c r="B597">
        <v>1991</v>
      </c>
      <c r="C597" t="s">
        <v>35</v>
      </c>
      <c r="D597">
        <v>29</v>
      </c>
      <c r="E597">
        <v>3</v>
      </c>
      <c r="F597" s="15">
        <v>5166.96</v>
      </c>
      <c r="G597" t="s">
        <v>11</v>
      </c>
      <c r="H597" t="s">
        <v>11</v>
      </c>
      <c r="I597" t="s">
        <v>23</v>
      </c>
      <c r="J597" s="11">
        <f>DATE(B597,MATCH(C597,{"Jan","Feb","Mar","Apr","May","Jun","Jul","Aug","Sep","Oct","Nov","Dec"},0),D597)</f>
        <v>33479</v>
      </c>
      <c r="K597">
        <f t="shared" si="9"/>
        <v>31</v>
      </c>
    </row>
    <row r="598" spans="1:11" x14ac:dyDescent="0.35">
      <c r="A598" t="s">
        <v>629</v>
      </c>
      <c r="B598">
        <v>1984</v>
      </c>
      <c r="C598" t="s">
        <v>37</v>
      </c>
      <c r="D598">
        <v>16</v>
      </c>
      <c r="E598">
        <v>3</v>
      </c>
      <c r="F598" s="15">
        <v>5177.12</v>
      </c>
      <c r="G598" t="s">
        <v>11</v>
      </c>
      <c r="H598" t="s">
        <v>16</v>
      </c>
      <c r="I598" t="s">
        <v>13</v>
      </c>
      <c r="J598" s="11">
        <f>DATE(B598,MATCH(C598,{"Jan","Feb","Mar","Apr","May","Jun","Jul","Aug","Sep","Oct","Nov","Dec"},0),D598)</f>
        <v>30971</v>
      </c>
      <c r="K598">
        <f t="shared" si="9"/>
        <v>38</v>
      </c>
    </row>
    <row r="599" spans="1:11" x14ac:dyDescent="0.35">
      <c r="A599" t="s">
        <v>630</v>
      </c>
      <c r="B599">
        <v>1979</v>
      </c>
      <c r="C599" t="s">
        <v>20</v>
      </c>
      <c r="D599">
        <v>12</v>
      </c>
      <c r="E599">
        <v>2</v>
      </c>
      <c r="F599" s="15">
        <v>5195.58</v>
      </c>
      <c r="G599" t="s">
        <v>11</v>
      </c>
      <c r="H599" t="s">
        <v>11</v>
      </c>
      <c r="I599" t="s">
        <v>13</v>
      </c>
      <c r="J599" s="11">
        <f>DATE(B599,MATCH(C599,{"Jan","Feb","Mar","Apr","May","Jun","Jul","Aug","Sep","Oct","Nov","Dec"},0),D599)</f>
        <v>29110</v>
      </c>
      <c r="K599">
        <f t="shared" si="9"/>
        <v>43</v>
      </c>
    </row>
    <row r="600" spans="1:11" x14ac:dyDescent="0.35">
      <c r="A600" t="s">
        <v>631</v>
      </c>
      <c r="B600">
        <v>2004</v>
      </c>
      <c r="C600" t="s">
        <v>18</v>
      </c>
      <c r="D600">
        <v>6</v>
      </c>
      <c r="E600">
        <v>0</v>
      </c>
      <c r="F600" s="15">
        <v>5198.6899999999996</v>
      </c>
      <c r="G600" t="s">
        <v>11</v>
      </c>
      <c r="H600" t="s">
        <v>11</v>
      </c>
      <c r="I600" t="s">
        <v>632</v>
      </c>
      <c r="J600" s="11">
        <f>DATE(B600,MATCH(C600,{"Jan","Feb","Mar","Apr","May","Jun","Jul","Aug","Sep","Oct","Nov","Dec"},0),D600)</f>
        <v>38144</v>
      </c>
      <c r="K600">
        <f t="shared" si="9"/>
        <v>19</v>
      </c>
    </row>
    <row r="601" spans="1:11" x14ac:dyDescent="0.35">
      <c r="A601" t="s">
        <v>633</v>
      </c>
      <c r="B601">
        <v>1983</v>
      </c>
      <c r="C601" t="s">
        <v>37</v>
      </c>
      <c r="D601">
        <v>24</v>
      </c>
      <c r="E601">
        <v>3</v>
      </c>
      <c r="F601" s="15">
        <v>5207.97</v>
      </c>
      <c r="G601" t="s">
        <v>11</v>
      </c>
      <c r="H601" t="s">
        <v>11</v>
      </c>
      <c r="I601" t="s">
        <v>23</v>
      </c>
      <c r="J601" s="11">
        <f>DATE(B601,MATCH(C601,{"Jan","Feb","Mar","Apr","May","Jun","Jul","Aug","Sep","Oct","Nov","Dec"},0),D601)</f>
        <v>30613</v>
      </c>
      <c r="K601">
        <f t="shared" si="9"/>
        <v>39</v>
      </c>
    </row>
    <row r="602" spans="1:11" x14ac:dyDescent="0.35">
      <c r="A602" t="s">
        <v>634</v>
      </c>
      <c r="B602">
        <v>1993</v>
      </c>
      <c r="C602" t="s">
        <v>18</v>
      </c>
      <c r="D602">
        <v>17</v>
      </c>
      <c r="E602">
        <v>3</v>
      </c>
      <c r="F602" s="15">
        <v>5209.58</v>
      </c>
      <c r="G602" t="s">
        <v>12</v>
      </c>
      <c r="H602" t="s">
        <v>12</v>
      </c>
      <c r="I602" t="s">
        <v>356</v>
      </c>
      <c r="J602" s="11">
        <f>DATE(B602,MATCH(C602,{"Jan","Feb","Mar","Apr","May","Jun","Jul","Aug","Sep","Oct","Nov","Dec"},0),D602)</f>
        <v>34137</v>
      </c>
      <c r="K602">
        <f t="shared" si="9"/>
        <v>29</v>
      </c>
    </row>
    <row r="603" spans="1:11" x14ac:dyDescent="0.35">
      <c r="A603" t="s">
        <v>635</v>
      </c>
      <c r="B603">
        <v>1999</v>
      </c>
      <c r="C603" t="s">
        <v>30</v>
      </c>
      <c r="D603">
        <v>1</v>
      </c>
      <c r="E603">
        <v>0</v>
      </c>
      <c r="F603" s="15">
        <v>5213.22</v>
      </c>
      <c r="G603" t="s">
        <v>11</v>
      </c>
      <c r="H603" t="s">
        <v>16</v>
      </c>
      <c r="I603" t="s">
        <v>23</v>
      </c>
      <c r="J603" s="11">
        <f>DATE(B603,MATCH(C603,{"Jan","Feb","Mar","Apr","May","Jun","Jul","Aug","Sep","Oct","Nov","Dec"},0),D603)</f>
        <v>36495</v>
      </c>
      <c r="K603">
        <f t="shared" si="9"/>
        <v>23</v>
      </c>
    </row>
    <row r="604" spans="1:11" x14ac:dyDescent="0.35">
      <c r="A604" t="s">
        <v>636</v>
      </c>
      <c r="B604">
        <v>1995</v>
      </c>
      <c r="C604" t="s">
        <v>18</v>
      </c>
      <c r="D604">
        <v>6</v>
      </c>
      <c r="E604">
        <v>0</v>
      </c>
      <c r="F604" s="15">
        <v>5216.4799999999996</v>
      </c>
      <c r="G604" t="s">
        <v>11</v>
      </c>
      <c r="H604" t="s">
        <v>11</v>
      </c>
      <c r="I604" t="s">
        <v>200</v>
      </c>
      <c r="J604" s="11">
        <f>DATE(B604,MATCH(C604,{"Jan","Feb","Mar","Apr","May","Jun","Jul","Aug","Sep","Oct","Nov","Dec"},0),D604)</f>
        <v>34856</v>
      </c>
      <c r="K604">
        <f t="shared" si="9"/>
        <v>28</v>
      </c>
    </row>
    <row r="605" spans="1:11" x14ac:dyDescent="0.35">
      <c r="A605" t="s">
        <v>637</v>
      </c>
      <c r="B605">
        <v>1987</v>
      </c>
      <c r="C605" t="s">
        <v>18</v>
      </c>
      <c r="D605">
        <v>29</v>
      </c>
      <c r="E605">
        <v>0</v>
      </c>
      <c r="F605" s="15">
        <v>5227.99</v>
      </c>
      <c r="G605" t="s">
        <v>11</v>
      </c>
      <c r="H605" t="s">
        <v>16</v>
      </c>
      <c r="I605" t="s">
        <v>247</v>
      </c>
      <c r="J605" s="11">
        <f>DATE(B605,MATCH(C605,{"Jan","Feb","Mar","Apr","May","Jun","Jul","Aug","Sep","Oct","Nov","Dec"},0),D605)</f>
        <v>31957</v>
      </c>
      <c r="K605">
        <f t="shared" si="9"/>
        <v>35</v>
      </c>
    </row>
    <row r="606" spans="1:11" x14ac:dyDescent="0.35">
      <c r="A606" t="s">
        <v>638</v>
      </c>
      <c r="B606">
        <v>1987</v>
      </c>
      <c r="C606" t="s">
        <v>30</v>
      </c>
      <c r="D606">
        <v>26</v>
      </c>
      <c r="E606">
        <v>1</v>
      </c>
      <c r="F606" s="15">
        <v>5240.7700000000004</v>
      </c>
      <c r="G606" t="s">
        <v>11</v>
      </c>
      <c r="H606" t="s">
        <v>11</v>
      </c>
      <c r="I606" t="s">
        <v>42</v>
      </c>
      <c r="J606" s="11">
        <f>DATE(B606,MATCH(C606,{"Jan","Feb","Mar","Apr","May","Jun","Jul","Aug","Sep","Oct","Nov","Dec"},0),D606)</f>
        <v>32137</v>
      </c>
      <c r="K606">
        <f t="shared" si="9"/>
        <v>35</v>
      </c>
    </row>
    <row r="607" spans="1:11" x14ac:dyDescent="0.35">
      <c r="A607" t="s">
        <v>639</v>
      </c>
      <c r="B607">
        <v>1987</v>
      </c>
      <c r="C607" t="s">
        <v>10</v>
      </c>
      <c r="D607">
        <v>5</v>
      </c>
      <c r="E607">
        <v>1</v>
      </c>
      <c r="F607" s="15">
        <v>5245.23</v>
      </c>
      <c r="G607" t="s">
        <v>11</v>
      </c>
      <c r="H607" t="s">
        <v>11</v>
      </c>
      <c r="I607" t="s">
        <v>13</v>
      </c>
      <c r="J607" s="11">
        <f>DATE(B607,MATCH(C607,{"Jan","Feb","Mar","Apr","May","Jun","Jul","Aug","Sep","Oct","Nov","Dec"},0),D607)</f>
        <v>31963</v>
      </c>
      <c r="K607">
        <f t="shared" si="9"/>
        <v>35</v>
      </c>
    </row>
    <row r="608" spans="1:11" x14ac:dyDescent="0.35">
      <c r="A608" t="s">
        <v>640</v>
      </c>
      <c r="B608">
        <v>1987</v>
      </c>
      <c r="C608" t="s">
        <v>20</v>
      </c>
      <c r="D608">
        <v>9</v>
      </c>
      <c r="E608">
        <v>1</v>
      </c>
      <c r="F608" s="15">
        <v>5246.05</v>
      </c>
      <c r="G608" t="s">
        <v>11</v>
      </c>
      <c r="H608" t="s">
        <v>12</v>
      </c>
      <c r="I608" t="s">
        <v>42</v>
      </c>
      <c r="J608" s="11">
        <f>DATE(B608,MATCH(C608,{"Jan","Feb","Mar","Apr","May","Jun","Jul","Aug","Sep","Oct","Nov","Dec"},0),D608)</f>
        <v>32029</v>
      </c>
      <c r="K608">
        <f t="shared" si="9"/>
        <v>35</v>
      </c>
    </row>
    <row r="609" spans="1:11" x14ac:dyDescent="0.35">
      <c r="A609" t="s">
        <v>641</v>
      </c>
      <c r="B609">
        <v>1990</v>
      </c>
      <c r="C609" t="s">
        <v>10</v>
      </c>
      <c r="D609">
        <v>6</v>
      </c>
      <c r="E609">
        <v>3</v>
      </c>
      <c r="F609" s="15">
        <v>5253.52</v>
      </c>
      <c r="G609" t="s">
        <v>12</v>
      </c>
      <c r="H609" t="s">
        <v>12</v>
      </c>
      <c r="I609" t="s">
        <v>42</v>
      </c>
      <c r="J609" s="11">
        <f>DATE(B609,MATCH(C609,{"Jan","Feb","Mar","Apr","May","Jun","Jul","Aug","Sep","Oct","Nov","Dec"},0),D609)</f>
        <v>33060</v>
      </c>
      <c r="K609">
        <f t="shared" si="9"/>
        <v>32</v>
      </c>
    </row>
    <row r="610" spans="1:11" x14ac:dyDescent="0.35">
      <c r="A610" t="s">
        <v>642</v>
      </c>
      <c r="B610">
        <v>1989</v>
      </c>
      <c r="C610" t="s">
        <v>15</v>
      </c>
      <c r="D610">
        <v>25</v>
      </c>
      <c r="E610">
        <v>2</v>
      </c>
      <c r="F610" s="15">
        <v>5257.51</v>
      </c>
      <c r="G610" t="s">
        <v>11</v>
      </c>
      <c r="H610" t="s">
        <v>11</v>
      </c>
      <c r="I610" t="s">
        <v>23</v>
      </c>
      <c r="J610" s="11">
        <f>DATE(B610,MATCH(C610,{"Jan","Feb","Mar","Apr","May","Jun","Jul","Aug","Sep","Oct","Nov","Dec"},0),D610)</f>
        <v>32837</v>
      </c>
      <c r="K610">
        <f t="shared" si="9"/>
        <v>33</v>
      </c>
    </row>
    <row r="611" spans="1:11" x14ac:dyDescent="0.35">
      <c r="A611" t="s">
        <v>643</v>
      </c>
      <c r="B611">
        <v>1989</v>
      </c>
      <c r="C611" t="s">
        <v>10</v>
      </c>
      <c r="D611">
        <v>19</v>
      </c>
      <c r="E611">
        <v>2</v>
      </c>
      <c r="F611" s="15">
        <v>5261.47</v>
      </c>
      <c r="G611" t="s">
        <v>11</v>
      </c>
      <c r="H611" t="s">
        <v>11</v>
      </c>
      <c r="I611" t="s">
        <v>23</v>
      </c>
      <c r="J611" s="11">
        <f>DATE(B611,MATCH(C611,{"Jan","Feb","Mar","Apr","May","Jun","Jul","Aug","Sep","Oct","Nov","Dec"},0),D611)</f>
        <v>32708</v>
      </c>
      <c r="K611">
        <f t="shared" si="9"/>
        <v>33</v>
      </c>
    </row>
    <row r="612" spans="1:11" x14ac:dyDescent="0.35">
      <c r="A612" t="s">
        <v>644</v>
      </c>
      <c r="B612">
        <v>1986</v>
      </c>
      <c r="C612" t="s">
        <v>37</v>
      </c>
      <c r="D612">
        <v>25</v>
      </c>
      <c r="E612">
        <v>0</v>
      </c>
      <c r="F612" s="15">
        <v>5266.37</v>
      </c>
      <c r="G612" t="s">
        <v>11</v>
      </c>
      <c r="H612" t="s">
        <v>11</v>
      </c>
      <c r="I612" t="s">
        <v>23</v>
      </c>
      <c r="J612" s="11">
        <f>DATE(B612,MATCH(C612,{"Jan","Feb","Mar","Apr","May","Jun","Jul","Aug","Sep","Oct","Nov","Dec"},0),D612)</f>
        <v>31710</v>
      </c>
      <c r="K612">
        <f t="shared" si="9"/>
        <v>36</v>
      </c>
    </row>
    <row r="613" spans="1:11" x14ac:dyDescent="0.35">
      <c r="A613" t="s">
        <v>645</v>
      </c>
      <c r="B613">
        <v>1986</v>
      </c>
      <c r="C613" t="s">
        <v>20</v>
      </c>
      <c r="D613">
        <v>20</v>
      </c>
      <c r="E613">
        <v>0</v>
      </c>
      <c r="F613" s="15">
        <v>5267.82</v>
      </c>
      <c r="G613" t="s">
        <v>11</v>
      </c>
      <c r="H613" t="s">
        <v>11</v>
      </c>
      <c r="I613" t="s">
        <v>23</v>
      </c>
      <c r="J613" s="11">
        <f>DATE(B613,MATCH(C613,{"Jan","Feb","Mar","Apr","May","Jun","Jul","Aug","Sep","Oct","Nov","Dec"},0),D613)</f>
        <v>31675</v>
      </c>
      <c r="K613">
        <f t="shared" si="9"/>
        <v>36</v>
      </c>
    </row>
    <row r="614" spans="1:11" x14ac:dyDescent="0.35">
      <c r="A614" t="s">
        <v>646</v>
      </c>
      <c r="B614">
        <v>1986</v>
      </c>
      <c r="C614" t="s">
        <v>37</v>
      </c>
      <c r="D614">
        <v>20</v>
      </c>
      <c r="E614">
        <v>0</v>
      </c>
      <c r="F614" s="15">
        <v>5272.18</v>
      </c>
      <c r="G614" t="s">
        <v>11</v>
      </c>
      <c r="H614" t="s">
        <v>12</v>
      </c>
      <c r="I614" t="s">
        <v>23</v>
      </c>
      <c r="J614" s="11">
        <f>DATE(B614,MATCH(C614,{"Jan","Feb","Mar","Apr","May","Jun","Jul","Aug","Sep","Oct","Nov","Dec"},0),D614)</f>
        <v>31705</v>
      </c>
      <c r="K614">
        <f t="shared" si="9"/>
        <v>36</v>
      </c>
    </row>
    <row r="615" spans="1:11" x14ac:dyDescent="0.35">
      <c r="A615" t="s">
        <v>647</v>
      </c>
      <c r="B615">
        <v>1987</v>
      </c>
      <c r="C615" t="s">
        <v>20</v>
      </c>
      <c r="D615">
        <v>1</v>
      </c>
      <c r="E615">
        <v>3</v>
      </c>
      <c r="F615" s="15">
        <v>5275.86</v>
      </c>
      <c r="G615" t="s">
        <v>11</v>
      </c>
      <c r="H615" t="s">
        <v>11</v>
      </c>
      <c r="I615" t="s">
        <v>13</v>
      </c>
      <c r="J615" s="11">
        <f>DATE(B615,MATCH(C615,{"Jan","Feb","Mar","Apr","May","Jun","Jul","Aug","Sep","Oct","Nov","Dec"},0),D615)</f>
        <v>32021</v>
      </c>
      <c r="K615">
        <f t="shared" si="9"/>
        <v>35</v>
      </c>
    </row>
    <row r="616" spans="1:11" x14ac:dyDescent="0.35">
      <c r="A616" t="s">
        <v>648</v>
      </c>
      <c r="B616">
        <v>1974</v>
      </c>
      <c r="C616" t="s">
        <v>15</v>
      </c>
      <c r="D616">
        <v>12</v>
      </c>
      <c r="E616">
        <v>0</v>
      </c>
      <c r="F616" s="15">
        <v>5291.71</v>
      </c>
      <c r="G616" t="s">
        <v>11</v>
      </c>
      <c r="H616" t="s">
        <v>11</v>
      </c>
      <c r="I616" t="s">
        <v>23</v>
      </c>
      <c r="J616" s="11">
        <f>DATE(B616,MATCH(C616,{"Jan","Feb","Mar","Apr","May","Jun","Jul","Aug","Sep","Oct","Nov","Dec"},0),D616)</f>
        <v>27345</v>
      </c>
      <c r="K616">
        <f t="shared" si="9"/>
        <v>48</v>
      </c>
    </row>
    <row r="617" spans="1:11" x14ac:dyDescent="0.35">
      <c r="A617" t="s">
        <v>649</v>
      </c>
      <c r="B617">
        <v>2004</v>
      </c>
      <c r="C617" t="s">
        <v>35</v>
      </c>
      <c r="D617">
        <v>22</v>
      </c>
      <c r="E617">
        <v>0</v>
      </c>
      <c r="F617" s="15">
        <v>5293.67</v>
      </c>
      <c r="G617" t="s">
        <v>11</v>
      </c>
      <c r="H617" t="s">
        <v>11</v>
      </c>
      <c r="I617" t="s">
        <v>632</v>
      </c>
      <c r="J617" s="11">
        <f>DATE(B617,MATCH(C617,{"Jan","Feb","Mar","Apr","May","Jun","Jul","Aug","Sep","Oct","Nov","Dec"},0),D617)</f>
        <v>38221</v>
      </c>
      <c r="K617">
        <f t="shared" si="9"/>
        <v>18</v>
      </c>
    </row>
    <row r="618" spans="1:11" x14ac:dyDescent="0.35">
      <c r="A618" t="s">
        <v>650</v>
      </c>
      <c r="B618">
        <v>2000</v>
      </c>
      <c r="C618" t="s">
        <v>20</v>
      </c>
      <c r="D618">
        <v>9</v>
      </c>
      <c r="E618">
        <v>0</v>
      </c>
      <c r="F618" s="15">
        <v>5306.7</v>
      </c>
      <c r="G618" t="s">
        <v>11</v>
      </c>
      <c r="H618" t="s">
        <v>12</v>
      </c>
      <c r="I618" t="s">
        <v>23</v>
      </c>
      <c r="J618" s="11">
        <f>DATE(B618,MATCH(C618,{"Jan","Feb","Mar","Apr","May","Jun","Jul","Aug","Sep","Oct","Nov","Dec"},0),D618)</f>
        <v>36778</v>
      </c>
      <c r="K618">
        <f t="shared" si="9"/>
        <v>22</v>
      </c>
    </row>
    <row r="619" spans="1:11" x14ac:dyDescent="0.35">
      <c r="A619" t="s">
        <v>651</v>
      </c>
      <c r="B619">
        <v>1994</v>
      </c>
      <c r="C619" t="s">
        <v>15</v>
      </c>
      <c r="D619">
        <v>13</v>
      </c>
      <c r="E619">
        <v>3</v>
      </c>
      <c r="F619" s="15">
        <v>5312.17</v>
      </c>
      <c r="G619" t="s">
        <v>11</v>
      </c>
      <c r="H619" t="s">
        <v>11</v>
      </c>
      <c r="I619" t="s">
        <v>23</v>
      </c>
      <c r="J619" s="11">
        <f>DATE(B619,MATCH(C619,{"Jan","Feb","Mar","Apr","May","Jun","Jul","Aug","Sep","Oct","Nov","Dec"},0),D619)</f>
        <v>34651</v>
      </c>
      <c r="K619">
        <f t="shared" si="9"/>
        <v>28</v>
      </c>
    </row>
    <row r="620" spans="1:11" x14ac:dyDescent="0.35">
      <c r="A620" t="s">
        <v>652</v>
      </c>
      <c r="B620">
        <v>1974</v>
      </c>
      <c r="C620" t="s">
        <v>20</v>
      </c>
      <c r="D620">
        <v>2</v>
      </c>
      <c r="E620">
        <v>0</v>
      </c>
      <c r="F620" s="15">
        <v>5322.24</v>
      </c>
      <c r="G620" t="s">
        <v>11</v>
      </c>
      <c r="H620" t="s">
        <v>16</v>
      </c>
      <c r="I620" t="s">
        <v>23</v>
      </c>
      <c r="J620" s="11">
        <f>DATE(B620,MATCH(C620,{"Jan","Feb","Mar","Apr","May","Jun","Jul","Aug","Sep","Oct","Nov","Dec"},0),D620)</f>
        <v>27274</v>
      </c>
      <c r="K620">
        <f t="shared" si="9"/>
        <v>48</v>
      </c>
    </row>
    <row r="621" spans="1:11" x14ac:dyDescent="0.35">
      <c r="A621" t="s">
        <v>653</v>
      </c>
      <c r="B621">
        <v>1992</v>
      </c>
      <c r="C621" t="s">
        <v>18</v>
      </c>
      <c r="D621">
        <v>18</v>
      </c>
      <c r="E621">
        <v>3</v>
      </c>
      <c r="F621" s="15">
        <v>5325.65</v>
      </c>
      <c r="G621" t="s">
        <v>11</v>
      </c>
      <c r="H621" t="s">
        <v>16</v>
      </c>
      <c r="I621" t="s">
        <v>42</v>
      </c>
      <c r="J621" s="11">
        <f>DATE(B621,MATCH(C621,{"Jan","Feb","Mar","Apr","May","Jun","Jul","Aug","Sep","Oct","Nov","Dec"},0),D621)</f>
        <v>33773</v>
      </c>
      <c r="K621">
        <f t="shared" si="9"/>
        <v>30</v>
      </c>
    </row>
    <row r="622" spans="1:11" x14ac:dyDescent="0.35">
      <c r="A622" t="s">
        <v>654</v>
      </c>
      <c r="B622">
        <v>1991</v>
      </c>
      <c r="C622" t="s">
        <v>35</v>
      </c>
      <c r="D622">
        <v>28</v>
      </c>
      <c r="E622">
        <v>2</v>
      </c>
      <c r="F622" s="15">
        <v>5327.4</v>
      </c>
      <c r="G622" t="s">
        <v>11</v>
      </c>
      <c r="H622" t="s">
        <v>16</v>
      </c>
      <c r="I622" t="s">
        <v>23</v>
      </c>
      <c r="J622" s="11">
        <f>DATE(B622,MATCH(C622,{"Jan","Feb","Mar","Apr","May","Jun","Jul","Aug","Sep","Oct","Nov","Dec"},0),D622)</f>
        <v>33478</v>
      </c>
      <c r="K622">
        <f t="shared" si="9"/>
        <v>31</v>
      </c>
    </row>
    <row r="623" spans="1:11" x14ac:dyDescent="0.35">
      <c r="A623" t="s">
        <v>655</v>
      </c>
      <c r="B623">
        <v>1972</v>
      </c>
      <c r="C623" t="s">
        <v>30</v>
      </c>
      <c r="D623">
        <v>15</v>
      </c>
      <c r="E623">
        <v>0</v>
      </c>
      <c r="F623" s="15">
        <v>5344.81</v>
      </c>
      <c r="G623" t="s">
        <v>11</v>
      </c>
      <c r="H623" t="s">
        <v>12</v>
      </c>
      <c r="I623" t="s">
        <v>13</v>
      </c>
      <c r="J623" s="11">
        <f>DATE(B623,MATCH(C623,{"Jan","Feb","Mar","Apr","May","Jun","Jul","Aug","Sep","Oct","Nov","Dec"},0),D623)</f>
        <v>26648</v>
      </c>
      <c r="K623">
        <f t="shared" si="9"/>
        <v>50</v>
      </c>
    </row>
    <row r="624" spans="1:11" x14ac:dyDescent="0.35">
      <c r="A624" t="s">
        <v>656</v>
      </c>
      <c r="B624">
        <v>1989</v>
      </c>
      <c r="C624" t="s">
        <v>15</v>
      </c>
      <c r="D624">
        <v>7</v>
      </c>
      <c r="E624">
        <v>1</v>
      </c>
      <c r="F624" s="15">
        <v>5354.07</v>
      </c>
      <c r="G624" t="s">
        <v>11</v>
      </c>
      <c r="H624" t="s">
        <v>12</v>
      </c>
      <c r="I624" t="s">
        <v>247</v>
      </c>
      <c r="J624" s="11">
        <f>DATE(B624,MATCH(C624,{"Jan","Feb","Mar","Apr","May","Jun","Jul","Aug","Sep","Oct","Nov","Dec"},0),D624)</f>
        <v>32819</v>
      </c>
      <c r="K624">
        <f t="shared" si="9"/>
        <v>33</v>
      </c>
    </row>
    <row r="625" spans="1:11" x14ac:dyDescent="0.35">
      <c r="A625" t="s">
        <v>657</v>
      </c>
      <c r="B625">
        <v>1994</v>
      </c>
      <c r="C625" t="s">
        <v>30</v>
      </c>
      <c r="D625">
        <v>7</v>
      </c>
      <c r="E625">
        <v>0</v>
      </c>
      <c r="F625" s="15">
        <v>5364.66</v>
      </c>
      <c r="G625" t="s">
        <v>11</v>
      </c>
      <c r="H625" t="s">
        <v>16</v>
      </c>
      <c r="I625" t="s">
        <v>42</v>
      </c>
      <c r="J625" s="11">
        <f>DATE(B625,MATCH(C625,{"Jan","Feb","Mar","Apr","May","Jun","Jul","Aug","Sep","Oct","Nov","Dec"},0),D625)</f>
        <v>34675</v>
      </c>
      <c r="K625">
        <f t="shared" si="9"/>
        <v>28</v>
      </c>
    </row>
    <row r="626" spans="1:11" x14ac:dyDescent="0.35">
      <c r="A626" t="s">
        <v>658</v>
      </c>
      <c r="B626">
        <v>1986</v>
      </c>
      <c r="C626" t="s">
        <v>18</v>
      </c>
      <c r="D626">
        <v>1</v>
      </c>
      <c r="E626">
        <v>1</v>
      </c>
      <c r="F626" s="15">
        <v>5373.36</v>
      </c>
      <c r="G626" t="s">
        <v>11</v>
      </c>
      <c r="H626" t="s">
        <v>11</v>
      </c>
      <c r="I626" t="s">
        <v>23</v>
      </c>
      <c r="J626" s="11">
        <f>DATE(B626,MATCH(C626,{"Jan","Feb","Mar","Apr","May","Jun","Jul","Aug","Sep","Oct","Nov","Dec"},0),D626)</f>
        <v>31564</v>
      </c>
      <c r="K626">
        <f t="shared" si="9"/>
        <v>37</v>
      </c>
    </row>
    <row r="627" spans="1:11" x14ac:dyDescent="0.35">
      <c r="A627" t="s">
        <v>659</v>
      </c>
      <c r="B627">
        <v>1989</v>
      </c>
      <c r="C627" t="s">
        <v>15</v>
      </c>
      <c r="D627">
        <v>18</v>
      </c>
      <c r="E627">
        <v>2</v>
      </c>
      <c r="F627" s="15">
        <v>5375.04</v>
      </c>
      <c r="G627" t="s">
        <v>11</v>
      </c>
      <c r="H627" t="s">
        <v>16</v>
      </c>
      <c r="I627" t="s">
        <v>42</v>
      </c>
      <c r="J627" s="11">
        <f>DATE(B627,MATCH(C627,{"Jan","Feb","Mar","Apr","May","Jun","Jul","Aug","Sep","Oct","Nov","Dec"},0),D627)</f>
        <v>32830</v>
      </c>
      <c r="K627">
        <f t="shared" si="9"/>
        <v>33</v>
      </c>
    </row>
    <row r="628" spans="1:11" x14ac:dyDescent="0.35">
      <c r="A628" t="s">
        <v>660</v>
      </c>
      <c r="B628">
        <v>1986</v>
      </c>
      <c r="C628" t="s">
        <v>10</v>
      </c>
      <c r="D628">
        <v>22</v>
      </c>
      <c r="E628">
        <v>1</v>
      </c>
      <c r="F628" s="15">
        <v>5377.46</v>
      </c>
      <c r="G628" t="s">
        <v>11</v>
      </c>
      <c r="H628" t="s">
        <v>12</v>
      </c>
      <c r="I628" t="s">
        <v>23</v>
      </c>
      <c r="J628" s="11">
        <f>DATE(B628,MATCH(C628,{"Jan","Feb","Mar","Apr","May","Jun","Jul","Aug","Sep","Oct","Nov","Dec"},0),D628)</f>
        <v>31615</v>
      </c>
      <c r="K628">
        <f t="shared" si="9"/>
        <v>36</v>
      </c>
    </row>
    <row r="629" spans="1:11" x14ac:dyDescent="0.35">
      <c r="A629" t="s">
        <v>661</v>
      </c>
      <c r="B629">
        <v>1984</v>
      </c>
      <c r="C629" t="s">
        <v>18</v>
      </c>
      <c r="D629">
        <v>1</v>
      </c>
      <c r="E629">
        <v>0</v>
      </c>
      <c r="F629" s="15">
        <v>5383.54</v>
      </c>
      <c r="G629" t="s">
        <v>11</v>
      </c>
      <c r="H629" t="s">
        <v>12</v>
      </c>
      <c r="I629" t="s">
        <v>42</v>
      </c>
      <c r="J629" s="11">
        <f>DATE(B629,MATCH(C629,{"Jan","Feb","Mar","Apr","May","Jun","Jul","Aug","Sep","Oct","Nov","Dec"},0),D629)</f>
        <v>30834</v>
      </c>
      <c r="K629">
        <f t="shared" si="9"/>
        <v>39</v>
      </c>
    </row>
    <row r="630" spans="1:11" x14ac:dyDescent="0.35">
      <c r="A630" t="s">
        <v>662</v>
      </c>
      <c r="B630">
        <v>1988</v>
      </c>
      <c r="C630" t="s">
        <v>35</v>
      </c>
      <c r="D630">
        <v>8</v>
      </c>
      <c r="E630">
        <v>1</v>
      </c>
      <c r="F630" s="15">
        <v>5385.34</v>
      </c>
      <c r="G630" t="s">
        <v>11</v>
      </c>
      <c r="H630" t="s">
        <v>12</v>
      </c>
      <c r="I630" t="s">
        <v>23</v>
      </c>
      <c r="J630" s="11">
        <f>DATE(B630,MATCH(C630,{"Jan","Feb","Mar","Apr","May","Jun","Jul","Aug","Sep","Oct","Nov","Dec"},0),D630)</f>
        <v>32363</v>
      </c>
      <c r="K630">
        <f t="shared" si="9"/>
        <v>34</v>
      </c>
    </row>
    <row r="631" spans="1:11" x14ac:dyDescent="0.35">
      <c r="A631" t="s">
        <v>663</v>
      </c>
      <c r="B631">
        <v>1989</v>
      </c>
      <c r="C631" t="s">
        <v>15</v>
      </c>
      <c r="D631">
        <v>6</v>
      </c>
      <c r="E631">
        <v>3</v>
      </c>
      <c r="F631" s="15">
        <v>5396.44</v>
      </c>
      <c r="G631" t="s">
        <v>11</v>
      </c>
      <c r="H631" t="s">
        <v>12</v>
      </c>
      <c r="I631" t="s">
        <v>13</v>
      </c>
      <c r="J631" s="11">
        <f>DATE(B631,MATCH(C631,{"Jan","Feb","Mar","Apr","May","Jun","Jul","Aug","Sep","Oct","Nov","Dec"},0),D631)</f>
        <v>32818</v>
      </c>
      <c r="K631">
        <f t="shared" si="9"/>
        <v>33</v>
      </c>
    </row>
    <row r="632" spans="1:11" x14ac:dyDescent="0.35">
      <c r="A632" t="s">
        <v>664</v>
      </c>
      <c r="B632">
        <v>1984</v>
      </c>
      <c r="C632" t="s">
        <v>20</v>
      </c>
      <c r="D632">
        <v>3</v>
      </c>
      <c r="E632">
        <v>0</v>
      </c>
      <c r="F632" s="15">
        <v>5397.62</v>
      </c>
      <c r="G632" t="s">
        <v>11</v>
      </c>
      <c r="H632" t="s">
        <v>11</v>
      </c>
      <c r="I632" t="s">
        <v>13</v>
      </c>
      <c r="J632" s="11">
        <f>DATE(B632,MATCH(C632,{"Jan","Feb","Mar","Apr","May","Jun","Jul","Aug","Sep","Oct","Nov","Dec"},0),D632)</f>
        <v>30928</v>
      </c>
      <c r="K632">
        <f t="shared" si="9"/>
        <v>38</v>
      </c>
    </row>
    <row r="633" spans="1:11" x14ac:dyDescent="0.35">
      <c r="A633" t="s">
        <v>665</v>
      </c>
      <c r="B633">
        <v>1984</v>
      </c>
      <c r="C633" t="s">
        <v>35</v>
      </c>
      <c r="D633">
        <v>1</v>
      </c>
      <c r="E633">
        <v>0</v>
      </c>
      <c r="F633" s="15">
        <v>5400.98</v>
      </c>
      <c r="G633" t="s">
        <v>11</v>
      </c>
      <c r="H633" t="s">
        <v>11</v>
      </c>
      <c r="I633" t="s">
        <v>13</v>
      </c>
      <c r="J633" s="11">
        <f>DATE(B633,MATCH(C633,{"Jan","Feb","Mar","Apr","May","Jun","Jul","Aug","Sep","Oct","Nov","Dec"},0),D633)</f>
        <v>30895</v>
      </c>
      <c r="K633">
        <f t="shared" si="9"/>
        <v>38</v>
      </c>
    </row>
    <row r="634" spans="1:11" x14ac:dyDescent="0.35">
      <c r="A634" t="s">
        <v>666</v>
      </c>
      <c r="B634">
        <v>1985</v>
      </c>
      <c r="C634" t="s">
        <v>30</v>
      </c>
      <c r="D634">
        <v>23</v>
      </c>
      <c r="E634">
        <v>3</v>
      </c>
      <c r="F634" s="15">
        <v>5402.89</v>
      </c>
      <c r="G634" t="s">
        <v>11</v>
      </c>
      <c r="H634" t="s">
        <v>16</v>
      </c>
      <c r="I634" t="s">
        <v>13</v>
      </c>
      <c r="J634" s="11">
        <f>DATE(B634,MATCH(C634,{"Jan","Feb","Mar","Apr","May","Jun","Jul","Aug","Sep","Oct","Nov","Dec"},0),D634)</f>
        <v>31404</v>
      </c>
      <c r="K634">
        <f t="shared" si="9"/>
        <v>37</v>
      </c>
    </row>
    <row r="635" spans="1:11" x14ac:dyDescent="0.35">
      <c r="A635" t="s">
        <v>667</v>
      </c>
      <c r="B635">
        <v>1975</v>
      </c>
      <c r="C635" t="s">
        <v>20</v>
      </c>
      <c r="D635">
        <v>27</v>
      </c>
      <c r="E635">
        <v>1</v>
      </c>
      <c r="F635" s="15">
        <v>5411.99</v>
      </c>
      <c r="G635" t="s">
        <v>11</v>
      </c>
      <c r="H635" t="s">
        <v>12</v>
      </c>
      <c r="I635" t="s">
        <v>23</v>
      </c>
      <c r="J635" s="11">
        <f>DATE(B635,MATCH(C635,{"Jan","Feb","Mar","Apr","May","Jun","Jul","Aug","Sep","Oct","Nov","Dec"},0),D635)</f>
        <v>27664</v>
      </c>
      <c r="K635">
        <f t="shared" si="9"/>
        <v>47</v>
      </c>
    </row>
    <row r="636" spans="1:11" x14ac:dyDescent="0.35">
      <c r="A636" t="s">
        <v>668</v>
      </c>
      <c r="B636">
        <v>1982</v>
      </c>
      <c r="C636" t="s">
        <v>20</v>
      </c>
      <c r="D636">
        <v>27</v>
      </c>
      <c r="E636">
        <v>0</v>
      </c>
      <c r="F636" s="15">
        <v>5415.66</v>
      </c>
      <c r="G636" t="s">
        <v>11</v>
      </c>
      <c r="H636" t="s">
        <v>12</v>
      </c>
      <c r="I636" t="s">
        <v>13</v>
      </c>
      <c r="J636" s="11">
        <f>DATE(B636,MATCH(C636,{"Jan","Feb","Mar","Apr","May","Jun","Jul","Aug","Sep","Oct","Nov","Dec"},0),D636)</f>
        <v>30221</v>
      </c>
      <c r="K636">
        <f t="shared" si="9"/>
        <v>40</v>
      </c>
    </row>
    <row r="637" spans="1:11" x14ac:dyDescent="0.35">
      <c r="A637" t="s">
        <v>669</v>
      </c>
      <c r="B637">
        <v>1991</v>
      </c>
      <c r="C637" t="s">
        <v>10</v>
      </c>
      <c r="D637">
        <v>6</v>
      </c>
      <c r="E637">
        <v>3</v>
      </c>
      <c r="F637" s="15">
        <v>5425.02</v>
      </c>
      <c r="G637" t="s">
        <v>11</v>
      </c>
      <c r="H637" t="s">
        <v>16</v>
      </c>
      <c r="I637" t="s">
        <v>23</v>
      </c>
      <c r="J637" s="11">
        <f>DATE(B637,MATCH(C637,{"Jan","Feb","Mar","Apr","May","Jun","Jul","Aug","Sep","Oct","Nov","Dec"},0),D637)</f>
        <v>33425</v>
      </c>
      <c r="K637">
        <f t="shared" si="9"/>
        <v>31</v>
      </c>
    </row>
    <row r="638" spans="1:11" x14ac:dyDescent="0.35">
      <c r="A638" t="s">
        <v>670</v>
      </c>
      <c r="B638">
        <v>1992</v>
      </c>
      <c r="C638" t="s">
        <v>20</v>
      </c>
      <c r="D638">
        <v>17</v>
      </c>
      <c r="E638">
        <v>3</v>
      </c>
      <c r="F638" s="15">
        <v>5428.73</v>
      </c>
      <c r="G638" t="s">
        <v>12</v>
      </c>
      <c r="H638" t="s">
        <v>16</v>
      </c>
      <c r="I638" t="s">
        <v>356</v>
      </c>
      <c r="J638" s="11">
        <f>DATE(B638,MATCH(C638,{"Jan","Feb","Mar","Apr","May","Jun","Jul","Aug","Sep","Oct","Nov","Dec"},0),D638)</f>
        <v>33864</v>
      </c>
      <c r="K638">
        <f t="shared" si="9"/>
        <v>30</v>
      </c>
    </row>
    <row r="639" spans="1:11" x14ac:dyDescent="0.35">
      <c r="A639" t="s">
        <v>671</v>
      </c>
      <c r="B639">
        <v>1978</v>
      </c>
      <c r="C639" t="s">
        <v>18</v>
      </c>
      <c r="D639">
        <v>8</v>
      </c>
      <c r="E639">
        <v>2</v>
      </c>
      <c r="F639" s="15">
        <v>5428.98</v>
      </c>
      <c r="G639" t="s">
        <v>11</v>
      </c>
      <c r="H639" t="s">
        <v>11</v>
      </c>
      <c r="I639" t="s">
        <v>23</v>
      </c>
      <c r="J639" s="11">
        <f>DATE(B639,MATCH(C639,{"Jan","Feb","Mar","Apr","May","Jun","Jul","Aug","Sep","Oct","Nov","Dec"},0),D639)</f>
        <v>28649</v>
      </c>
      <c r="K639">
        <f t="shared" si="9"/>
        <v>45</v>
      </c>
    </row>
    <row r="640" spans="1:11" x14ac:dyDescent="0.35">
      <c r="A640" t="s">
        <v>672</v>
      </c>
      <c r="B640">
        <v>1982</v>
      </c>
      <c r="C640" t="s">
        <v>35</v>
      </c>
      <c r="D640">
        <v>25</v>
      </c>
      <c r="E640">
        <v>0</v>
      </c>
      <c r="F640" s="15">
        <v>5438.75</v>
      </c>
      <c r="G640" t="s">
        <v>12</v>
      </c>
      <c r="H640" t="s">
        <v>11</v>
      </c>
      <c r="I640" t="s">
        <v>13</v>
      </c>
      <c r="J640" s="11">
        <f>DATE(B640,MATCH(C640,{"Jan","Feb","Mar","Apr","May","Jun","Jul","Aug","Sep","Oct","Nov","Dec"},0),D640)</f>
        <v>30188</v>
      </c>
      <c r="K640">
        <f t="shared" si="9"/>
        <v>40</v>
      </c>
    </row>
    <row r="641" spans="1:11" x14ac:dyDescent="0.35">
      <c r="A641" t="s">
        <v>673</v>
      </c>
      <c r="B641">
        <v>1986</v>
      </c>
      <c r="C641" t="s">
        <v>30</v>
      </c>
      <c r="D641">
        <v>25</v>
      </c>
      <c r="E641">
        <v>0</v>
      </c>
      <c r="F641" s="15">
        <v>5458.05</v>
      </c>
      <c r="G641" t="s">
        <v>11</v>
      </c>
      <c r="H641" t="s">
        <v>11</v>
      </c>
      <c r="I641" t="s">
        <v>247</v>
      </c>
      <c r="J641" s="11">
        <f>DATE(B641,MATCH(C641,{"Jan","Feb","Mar","Apr","May","Jun","Jul","Aug","Sep","Oct","Nov","Dec"},0),D641)</f>
        <v>31771</v>
      </c>
      <c r="K641">
        <f t="shared" si="9"/>
        <v>36</v>
      </c>
    </row>
    <row r="642" spans="1:11" x14ac:dyDescent="0.35">
      <c r="A642" t="s">
        <v>674</v>
      </c>
      <c r="B642">
        <v>1973</v>
      </c>
      <c r="C642" t="s">
        <v>37</v>
      </c>
      <c r="D642">
        <v>24</v>
      </c>
      <c r="E642">
        <v>0</v>
      </c>
      <c r="F642" s="15">
        <v>5466.88</v>
      </c>
      <c r="G642" t="s">
        <v>11</v>
      </c>
      <c r="H642" t="s">
        <v>11</v>
      </c>
      <c r="I642" t="s">
        <v>13</v>
      </c>
      <c r="J642" s="11">
        <f>DATE(B642,MATCH(C642,{"Jan","Feb","Mar","Apr","May","Jun","Jul","Aug","Sep","Oct","Nov","Dec"},0),D642)</f>
        <v>26961</v>
      </c>
      <c r="K642">
        <f t="shared" si="9"/>
        <v>49</v>
      </c>
    </row>
    <row r="643" spans="1:11" x14ac:dyDescent="0.35">
      <c r="A643" t="s">
        <v>675</v>
      </c>
      <c r="B643">
        <v>1986</v>
      </c>
      <c r="C643" t="s">
        <v>30</v>
      </c>
      <c r="D643">
        <v>2</v>
      </c>
      <c r="E643">
        <v>0</v>
      </c>
      <c r="F643" s="15">
        <v>5469.01</v>
      </c>
      <c r="G643" t="s">
        <v>11</v>
      </c>
      <c r="H643" t="s">
        <v>11</v>
      </c>
      <c r="I643" t="s">
        <v>247</v>
      </c>
      <c r="J643" s="11">
        <f>DATE(B643,MATCH(C643,{"Jan","Feb","Mar","Apr","May","Jun","Jul","Aug","Sep","Oct","Nov","Dec"},0),D643)</f>
        <v>31748</v>
      </c>
      <c r="K643">
        <f t="shared" ref="K643:K706" si="10">DATEDIF(J643,$N$1,"Y")</f>
        <v>36</v>
      </c>
    </row>
    <row r="644" spans="1:11" x14ac:dyDescent="0.35">
      <c r="A644" t="s">
        <v>676</v>
      </c>
      <c r="B644">
        <v>1986</v>
      </c>
      <c r="C644" t="s">
        <v>10</v>
      </c>
      <c r="D644">
        <v>12</v>
      </c>
      <c r="E644">
        <v>1</v>
      </c>
      <c r="F644" s="15">
        <v>5472.45</v>
      </c>
      <c r="G644" t="s">
        <v>11</v>
      </c>
      <c r="H644" t="s">
        <v>12</v>
      </c>
      <c r="I644" t="s">
        <v>42</v>
      </c>
      <c r="J644" s="11">
        <f>DATE(B644,MATCH(C644,{"Jan","Feb","Mar","Apr","May","Jun","Jul","Aug","Sep","Oct","Nov","Dec"},0),D644)</f>
        <v>31605</v>
      </c>
      <c r="K644">
        <f t="shared" si="10"/>
        <v>36</v>
      </c>
    </row>
    <row r="645" spans="1:11" x14ac:dyDescent="0.35">
      <c r="A645" t="s">
        <v>677</v>
      </c>
      <c r="B645">
        <v>1986</v>
      </c>
      <c r="C645" t="s">
        <v>20</v>
      </c>
      <c r="D645">
        <v>30</v>
      </c>
      <c r="E645">
        <v>1</v>
      </c>
      <c r="F645" s="15">
        <v>5478.04</v>
      </c>
      <c r="G645" t="s">
        <v>11</v>
      </c>
      <c r="H645" t="s">
        <v>12</v>
      </c>
      <c r="I645" t="s">
        <v>13</v>
      </c>
      <c r="J645" s="11">
        <f>DATE(B645,MATCH(C645,{"Jan","Feb","Mar","Apr","May","Jun","Jul","Aug","Sep","Oct","Nov","Dec"},0),D645)</f>
        <v>31685</v>
      </c>
      <c r="K645">
        <f t="shared" si="10"/>
        <v>36</v>
      </c>
    </row>
    <row r="646" spans="1:11" x14ac:dyDescent="0.35">
      <c r="A646" t="s">
        <v>678</v>
      </c>
      <c r="B646">
        <v>1984</v>
      </c>
      <c r="C646" t="s">
        <v>35</v>
      </c>
      <c r="D646">
        <v>26</v>
      </c>
      <c r="E646">
        <v>1</v>
      </c>
      <c r="F646" s="15">
        <v>5484.47</v>
      </c>
      <c r="G646" t="s">
        <v>11</v>
      </c>
      <c r="H646" t="s">
        <v>11</v>
      </c>
      <c r="I646" t="s">
        <v>13</v>
      </c>
      <c r="J646" s="11">
        <f>DATE(B646,MATCH(C646,{"Jan","Feb","Mar","Apr","May","Jun","Jul","Aug","Sep","Oct","Nov","Dec"},0),D646)</f>
        <v>30920</v>
      </c>
      <c r="K646">
        <f t="shared" si="10"/>
        <v>38</v>
      </c>
    </row>
    <row r="647" spans="1:11" x14ac:dyDescent="0.35">
      <c r="A647" t="s">
        <v>679</v>
      </c>
      <c r="B647">
        <v>1984</v>
      </c>
      <c r="C647" t="s">
        <v>35</v>
      </c>
      <c r="D647">
        <v>17</v>
      </c>
      <c r="E647">
        <v>1</v>
      </c>
      <c r="F647" s="15">
        <v>5488.26</v>
      </c>
      <c r="G647" t="s">
        <v>11</v>
      </c>
      <c r="H647" t="s">
        <v>12</v>
      </c>
      <c r="I647" t="s">
        <v>42</v>
      </c>
      <c r="J647" s="11">
        <f>DATE(B647,MATCH(C647,{"Jan","Feb","Mar","Apr","May","Jun","Jul","Aug","Sep","Oct","Nov","Dec"},0),D647)</f>
        <v>30911</v>
      </c>
      <c r="K647">
        <f t="shared" si="10"/>
        <v>38</v>
      </c>
    </row>
    <row r="648" spans="1:11" x14ac:dyDescent="0.35">
      <c r="A648" t="s">
        <v>680</v>
      </c>
      <c r="B648">
        <v>1988</v>
      </c>
      <c r="C648" t="s">
        <v>10</v>
      </c>
      <c r="D648">
        <v>29</v>
      </c>
      <c r="E648">
        <v>3</v>
      </c>
      <c r="F648" s="15">
        <v>5503.36</v>
      </c>
      <c r="G648" t="s">
        <v>11</v>
      </c>
      <c r="H648" t="s">
        <v>11</v>
      </c>
      <c r="I648" t="s">
        <v>23</v>
      </c>
      <c r="J648" s="11">
        <f>DATE(B648,MATCH(C648,{"Jan","Feb","Mar","Apr","May","Jun","Jul","Aug","Sep","Oct","Nov","Dec"},0),D648)</f>
        <v>32353</v>
      </c>
      <c r="K648">
        <f t="shared" si="10"/>
        <v>34</v>
      </c>
    </row>
    <row r="649" spans="1:11" x14ac:dyDescent="0.35">
      <c r="A649" t="s">
        <v>681</v>
      </c>
      <c r="B649">
        <v>1981</v>
      </c>
      <c r="C649" t="s">
        <v>15</v>
      </c>
      <c r="D649">
        <v>7</v>
      </c>
      <c r="E649">
        <v>1</v>
      </c>
      <c r="F649" s="15">
        <v>5539.4</v>
      </c>
      <c r="G649" t="s">
        <v>11</v>
      </c>
      <c r="H649" t="s">
        <v>11</v>
      </c>
      <c r="I649" t="s">
        <v>13</v>
      </c>
      <c r="J649" s="11">
        <f>DATE(B649,MATCH(C649,{"Jan","Feb","Mar","Apr","May","Jun","Jul","Aug","Sep","Oct","Nov","Dec"},0),D649)</f>
        <v>29897</v>
      </c>
      <c r="K649">
        <f t="shared" si="10"/>
        <v>41</v>
      </c>
    </row>
    <row r="650" spans="1:11" x14ac:dyDescent="0.35">
      <c r="A650" t="s">
        <v>682</v>
      </c>
      <c r="B650">
        <v>1980</v>
      </c>
      <c r="C650" t="s">
        <v>30</v>
      </c>
      <c r="D650">
        <v>7</v>
      </c>
      <c r="E650">
        <v>2</v>
      </c>
      <c r="F650" s="15">
        <v>5540.35</v>
      </c>
      <c r="G650" t="s">
        <v>11</v>
      </c>
      <c r="H650" t="s">
        <v>11</v>
      </c>
      <c r="I650" t="s">
        <v>23</v>
      </c>
      <c r="J650" s="11">
        <f>DATE(B650,MATCH(C650,{"Jan","Feb","Mar","Apr","May","Jun","Jul","Aug","Sep","Oct","Nov","Dec"},0),D650)</f>
        <v>29562</v>
      </c>
      <c r="K650">
        <f t="shared" si="10"/>
        <v>42</v>
      </c>
    </row>
    <row r="651" spans="1:11" x14ac:dyDescent="0.35">
      <c r="A651" t="s">
        <v>683</v>
      </c>
      <c r="B651">
        <v>1999</v>
      </c>
      <c r="C651" t="s">
        <v>20</v>
      </c>
      <c r="D651">
        <v>22</v>
      </c>
      <c r="E651">
        <v>0</v>
      </c>
      <c r="F651" s="15">
        <v>5552.61</v>
      </c>
      <c r="G651" t="s">
        <v>11</v>
      </c>
      <c r="H651" t="s">
        <v>12</v>
      </c>
      <c r="I651" t="s">
        <v>535</v>
      </c>
      <c r="J651" s="11">
        <f>DATE(B651,MATCH(C651,{"Jan","Feb","Mar","Apr","May","Jun","Jul","Aug","Sep","Oct","Nov","Dec"},0),D651)</f>
        <v>36425</v>
      </c>
      <c r="K651">
        <f t="shared" si="10"/>
        <v>23</v>
      </c>
    </row>
    <row r="652" spans="1:11" x14ac:dyDescent="0.35">
      <c r="A652" t="s">
        <v>684</v>
      </c>
      <c r="B652">
        <v>1974</v>
      </c>
      <c r="C652" t="s">
        <v>20</v>
      </c>
      <c r="D652">
        <v>18</v>
      </c>
      <c r="E652">
        <v>0</v>
      </c>
      <c r="F652" s="15">
        <v>5576.35</v>
      </c>
      <c r="G652" t="s">
        <v>11</v>
      </c>
      <c r="H652" t="s">
        <v>12</v>
      </c>
      <c r="I652" t="s">
        <v>13</v>
      </c>
      <c r="J652" s="11">
        <f>DATE(B652,MATCH(C652,{"Jan","Feb","Mar","Apr","May","Jun","Jul","Aug","Sep","Oct","Nov","Dec"},0),D652)</f>
        <v>27290</v>
      </c>
      <c r="K652">
        <f t="shared" si="10"/>
        <v>48</v>
      </c>
    </row>
    <row r="653" spans="1:11" x14ac:dyDescent="0.35">
      <c r="A653" t="s">
        <v>685</v>
      </c>
      <c r="B653">
        <v>1985</v>
      </c>
      <c r="C653" t="s">
        <v>20</v>
      </c>
      <c r="D653">
        <v>5</v>
      </c>
      <c r="E653">
        <v>3</v>
      </c>
      <c r="F653" s="15">
        <v>5582.95</v>
      </c>
      <c r="G653" t="s">
        <v>11</v>
      </c>
      <c r="H653" t="s">
        <v>16</v>
      </c>
      <c r="I653" t="s">
        <v>23</v>
      </c>
      <c r="J653" s="11">
        <f>DATE(B653,MATCH(C653,{"Jan","Feb","Mar","Apr","May","Jun","Jul","Aug","Sep","Oct","Nov","Dec"},0),D653)</f>
        <v>31295</v>
      </c>
      <c r="K653">
        <f t="shared" si="10"/>
        <v>37</v>
      </c>
    </row>
    <row r="654" spans="1:11" x14ac:dyDescent="0.35">
      <c r="A654" t="s">
        <v>686</v>
      </c>
      <c r="B654">
        <v>1986</v>
      </c>
      <c r="C654" t="s">
        <v>15</v>
      </c>
      <c r="D654">
        <v>21</v>
      </c>
      <c r="E654">
        <v>2</v>
      </c>
      <c r="F654" s="15">
        <v>5584.31</v>
      </c>
      <c r="G654" t="s">
        <v>12</v>
      </c>
      <c r="H654" t="s">
        <v>16</v>
      </c>
      <c r="I654" t="s">
        <v>13</v>
      </c>
      <c r="J654" s="11">
        <f>DATE(B654,MATCH(C654,{"Jan","Feb","Mar","Apr","May","Jun","Jul","Aug","Sep","Oct","Nov","Dec"},0),D654)</f>
        <v>31737</v>
      </c>
      <c r="K654">
        <f t="shared" si="10"/>
        <v>36</v>
      </c>
    </row>
    <row r="655" spans="1:11" x14ac:dyDescent="0.35">
      <c r="A655" t="s">
        <v>687</v>
      </c>
      <c r="B655">
        <v>1983</v>
      </c>
      <c r="C655" t="s">
        <v>37</v>
      </c>
      <c r="D655">
        <v>3</v>
      </c>
      <c r="E655">
        <v>3</v>
      </c>
      <c r="F655" s="15">
        <v>5587.59</v>
      </c>
      <c r="G655" t="s">
        <v>11</v>
      </c>
      <c r="H655" t="s">
        <v>16</v>
      </c>
      <c r="I655" t="s">
        <v>13</v>
      </c>
      <c r="J655" s="11">
        <f>DATE(B655,MATCH(C655,{"Jan","Feb","Mar","Apr","May","Jun","Jul","Aug","Sep","Oct","Nov","Dec"},0),D655)</f>
        <v>30592</v>
      </c>
      <c r="K655">
        <f t="shared" si="10"/>
        <v>39</v>
      </c>
    </row>
    <row r="656" spans="1:11" x14ac:dyDescent="0.35">
      <c r="A656" t="s">
        <v>688</v>
      </c>
      <c r="B656">
        <v>1988</v>
      </c>
      <c r="C656" t="s">
        <v>15</v>
      </c>
      <c r="D656">
        <v>18</v>
      </c>
      <c r="E656">
        <v>1</v>
      </c>
      <c r="F656" s="15">
        <v>5594.85</v>
      </c>
      <c r="G656" t="s">
        <v>11</v>
      </c>
      <c r="H656" t="s">
        <v>12</v>
      </c>
      <c r="I656" t="s">
        <v>247</v>
      </c>
      <c r="J656" s="11">
        <f>DATE(B656,MATCH(C656,{"Jan","Feb","Mar","Apr","May","Jun","Jul","Aug","Sep","Oct","Nov","Dec"},0),D656)</f>
        <v>32465</v>
      </c>
      <c r="K656">
        <f t="shared" si="10"/>
        <v>34</v>
      </c>
    </row>
    <row r="657" spans="1:11" x14ac:dyDescent="0.35">
      <c r="A657" t="s">
        <v>689</v>
      </c>
      <c r="B657">
        <v>1978</v>
      </c>
      <c r="C657" t="s">
        <v>20</v>
      </c>
      <c r="D657">
        <v>11</v>
      </c>
      <c r="E657">
        <v>2</v>
      </c>
      <c r="F657" s="15">
        <v>5612.83</v>
      </c>
      <c r="G657" t="s">
        <v>11</v>
      </c>
      <c r="H657" t="s">
        <v>12</v>
      </c>
      <c r="I657" t="s">
        <v>13</v>
      </c>
      <c r="J657" s="11">
        <f>DATE(B657,MATCH(C657,{"Jan","Feb","Mar","Apr","May","Jun","Jul","Aug","Sep","Oct","Nov","Dec"},0),D657)</f>
        <v>28744</v>
      </c>
      <c r="K657">
        <f t="shared" si="10"/>
        <v>44</v>
      </c>
    </row>
    <row r="658" spans="1:11" x14ac:dyDescent="0.35">
      <c r="A658" t="s">
        <v>690</v>
      </c>
      <c r="B658">
        <v>1994</v>
      </c>
      <c r="C658" t="s">
        <v>15</v>
      </c>
      <c r="D658">
        <v>15</v>
      </c>
      <c r="E658">
        <v>5</v>
      </c>
      <c r="F658" s="15">
        <v>5615.37</v>
      </c>
      <c r="G658" t="s">
        <v>11</v>
      </c>
      <c r="H658" t="s">
        <v>12</v>
      </c>
      <c r="I658" t="s">
        <v>42</v>
      </c>
      <c r="J658" s="11">
        <f>DATE(B658,MATCH(C658,{"Jan","Feb","Mar","Apr","May","Jun","Jul","Aug","Sep","Oct","Nov","Dec"},0),D658)</f>
        <v>34653</v>
      </c>
      <c r="K658">
        <f t="shared" si="10"/>
        <v>28</v>
      </c>
    </row>
    <row r="659" spans="1:11" x14ac:dyDescent="0.35">
      <c r="A659" t="s">
        <v>691</v>
      </c>
      <c r="B659">
        <v>1987</v>
      </c>
      <c r="C659" t="s">
        <v>30</v>
      </c>
      <c r="D659">
        <v>9</v>
      </c>
      <c r="E659">
        <v>1</v>
      </c>
      <c r="F659" s="15">
        <v>5630.46</v>
      </c>
      <c r="G659" t="s">
        <v>11</v>
      </c>
      <c r="H659" t="s">
        <v>12</v>
      </c>
      <c r="I659" t="s">
        <v>23</v>
      </c>
      <c r="J659" s="11">
        <f>DATE(B659,MATCH(C659,{"Jan","Feb","Mar","Apr","May","Jun","Jul","Aug","Sep","Oct","Nov","Dec"},0),D659)</f>
        <v>32120</v>
      </c>
      <c r="K659">
        <f t="shared" si="10"/>
        <v>35</v>
      </c>
    </row>
    <row r="660" spans="1:11" x14ac:dyDescent="0.35">
      <c r="A660" t="s">
        <v>692</v>
      </c>
      <c r="B660">
        <v>1983</v>
      </c>
      <c r="C660" t="s">
        <v>18</v>
      </c>
      <c r="D660">
        <v>8</v>
      </c>
      <c r="E660">
        <v>0</v>
      </c>
      <c r="F660" s="15">
        <v>5649.72</v>
      </c>
      <c r="G660" t="s">
        <v>11</v>
      </c>
      <c r="H660" t="s">
        <v>12</v>
      </c>
      <c r="I660" t="s">
        <v>42</v>
      </c>
      <c r="J660" s="11">
        <f>DATE(B660,MATCH(C660,{"Jan","Feb","Mar","Apr","May","Jun","Jul","Aug","Sep","Oct","Nov","Dec"},0),D660)</f>
        <v>30475</v>
      </c>
      <c r="K660">
        <f t="shared" si="10"/>
        <v>40</v>
      </c>
    </row>
    <row r="661" spans="1:11" x14ac:dyDescent="0.35">
      <c r="A661" t="s">
        <v>693</v>
      </c>
      <c r="B661">
        <v>1978</v>
      </c>
      <c r="C661" t="s">
        <v>20</v>
      </c>
      <c r="D661">
        <v>27</v>
      </c>
      <c r="E661">
        <v>2</v>
      </c>
      <c r="F661" s="15">
        <v>5650.14</v>
      </c>
      <c r="G661" t="s">
        <v>11</v>
      </c>
      <c r="H661" t="s">
        <v>16</v>
      </c>
      <c r="I661" t="s">
        <v>13</v>
      </c>
      <c r="J661" s="11">
        <f>DATE(B661,MATCH(C661,{"Jan","Feb","Mar","Apr","May","Jun","Jul","Aug","Sep","Oct","Nov","Dec"},0),D661)</f>
        <v>28760</v>
      </c>
      <c r="K661">
        <f t="shared" si="10"/>
        <v>44</v>
      </c>
    </row>
    <row r="662" spans="1:11" x14ac:dyDescent="0.35">
      <c r="A662" t="s">
        <v>694</v>
      </c>
      <c r="B662">
        <v>1983</v>
      </c>
      <c r="C662" t="s">
        <v>20</v>
      </c>
      <c r="D662">
        <v>3</v>
      </c>
      <c r="E662">
        <v>0</v>
      </c>
      <c r="F662" s="15">
        <v>5662.23</v>
      </c>
      <c r="G662" t="s">
        <v>11</v>
      </c>
      <c r="H662" t="s">
        <v>16</v>
      </c>
      <c r="I662" t="s">
        <v>13</v>
      </c>
      <c r="J662" s="11">
        <f>DATE(B662,MATCH(C662,{"Jan","Feb","Mar","Apr","May","Jun","Jul","Aug","Sep","Oct","Nov","Dec"},0),D662)</f>
        <v>30562</v>
      </c>
      <c r="K662">
        <f t="shared" si="10"/>
        <v>39</v>
      </c>
    </row>
    <row r="663" spans="1:11" x14ac:dyDescent="0.35">
      <c r="A663" t="s">
        <v>695</v>
      </c>
      <c r="B663">
        <v>1984</v>
      </c>
      <c r="C663" t="s">
        <v>35</v>
      </c>
      <c r="D663">
        <v>12</v>
      </c>
      <c r="E663">
        <v>3</v>
      </c>
      <c r="F663" s="15">
        <v>5679.13</v>
      </c>
      <c r="G663" t="s">
        <v>11</v>
      </c>
      <c r="H663" t="s">
        <v>11</v>
      </c>
      <c r="I663" t="s">
        <v>13</v>
      </c>
      <c r="J663" s="11">
        <f>DATE(B663,MATCH(C663,{"Jan","Feb","Mar","Apr","May","Jun","Jul","Aug","Sep","Oct","Nov","Dec"},0),D663)</f>
        <v>30906</v>
      </c>
      <c r="K663">
        <f t="shared" si="10"/>
        <v>38</v>
      </c>
    </row>
    <row r="664" spans="1:11" x14ac:dyDescent="0.35">
      <c r="A664" t="s">
        <v>696</v>
      </c>
      <c r="B664">
        <v>1972</v>
      </c>
      <c r="C664" t="s">
        <v>37</v>
      </c>
      <c r="D664">
        <v>28</v>
      </c>
      <c r="E664">
        <v>0</v>
      </c>
      <c r="F664" s="15">
        <v>5690.79</v>
      </c>
      <c r="G664" t="s">
        <v>11</v>
      </c>
      <c r="H664" t="s">
        <v>16</v>
      </c>
      <c r="I664" t="s">
        <v>13</v>
      </c>
      <c r="J664" s="11">
        <f>DATE(B664,MATCH(C664,{"Jan","Feb","Mar","Apr","May","Jun","Jul","Aug","Sep","Oct","Nov","Dec"},0),D664)</f>
        <v>26600</v>
      </c>
      <c r="K664">
        <f t="shared" si="10"/>
        <v>50</v>
      </c>
    </row>
    <row r="665" spans="1:11" x14ac:dyDescent="0.35">
      <c r="A665" t="s">
        <v>697</v>
      </c>
      <c r="B665">
        <v>1992</v>
      </c>
      <c r="C665" t="s">
        <v>15</v>
      </c>
      <c r="D665">
        <v>3</v>
      </c>
      <c r="E665">
        <v>3</v>
      </c>
      <c r="F665" s="15">
        <v>5693.43</v>
      </c>
      <c r="G665" t="s">
        <v>11</v>
      </c>
      <c r="H665" t="s">
        <v>12</v>
      </c>
      <c r="I665" t="s">
        <v>23</v>
      </c>
      <c r="J665" s="11">
        <f>DATE(B665,MATCH(C665,{"Jan","Feb","Mar","Apr","May","Jun","Jul","Aug","Sep","Oct","Nov","Dec"},0),D665)</f>
        <v>33911</v>
      </c>
      <c r="K665">
        <f t="shared" si="10"/>
        <v>30</v>
      </c>
    </row>
    <row r="666" spans="1:11" x14ac:dyDescent="0.35">
      <c r="A666" t="s">
        <v>698</v>
      </c>
      <c r="B666">
        <v>1974</v>
      </c>
      <c r="C666" t="s">
        <v>10</v>
      </c>
      <c r="D666">
        <v>6</v>
      </c>
      <c r="E666">
        <v>0</v>
      </c>
      <c r="F666" s="15">
        <v>5698.74</v>
      </c>
      <c r="G666" t="s">
        <v>11</v>
      </c>
      <c r="H666" t="s">
        <v>11</v>
      </c>
      <c r="I666" t="s">
        <v>23</v>
      </c>
      <c r="J666" s="11">
        <f>DATE(B666,MATCH(C666,{"Jan","Feb","Mar","Apr","May","Jun","Jul","Aug","Sep","Oct","Nov","Dec"},0),D666)</f>
        <v>27216</v>
      </c>
      <c r="K666">
        <f t="shared" si="10"/>
        <v>48</v>
      </c>
    </row>
    <row r="667" spans="1:11" x14ac:dyDescent="0.35">
      <c r="A667" t="s">
        <v>699</v>
      </c>
      <c r="B667">
        <v>1981</v>
      </c>
      <c r="C667" t="s">
        <v>18</v>
      </c>
      <c r="D667">
        <v>15</v>
      </c>
      <c r="E667">
        <v>0</v>
      </c>
      <c r="F667" s="15">
        <v>5699.84</v>
      </c>
      <c r="G667" t="s">
        <v>11</v>
      </c>
      <c r="H667" t="s">
        <v>12</v>
      </c>
      <c r="I667" t="s">
        <v>13</v>
      </c>
      <c r="J667" s="11">
        <f>DATE(B667,MATCH(C667,{"Jan","Feb","Mar","Apr","May","Jun","Jul","Aug","Sep","Oct","Nov","Dec"},0),D667)</f>
        <v>29752</v>
      </c>
      <c r="K667">
        <f t="shared" si="10"/>
        <v>41</v>
      </c>
    </row>
    <row r="668" spans="1:11" x14ac:dyDescent="0.35">
      <c r="A668" t="s">
        <v>700</v>
      </c>
      <c r="B668">
        <v>1993</v>
      </c>
      <c r="C668" t="s">
        <v>15</v>
      </c>
      <c r="D668">
        <v>3</v>
      </c>
      <c r="E668">
        <v>4</v>
      </c>
      <c r="F668" s="15">
        <v>5708.87</v>
      </c>
      <c r="G668" t="s">
        <v>11</v>
      </c>
      <c r="H668" t="s">
        <v>16</v>
      </c>
      <c r="I668" t="s">
        <v>42</v>
      </c>
      <c r="J668" s="11">
        <f>DATE(B668,MATCH(C668,{"Jan","Feb","Mar","Apr","May","Jun","Jul","Aug","Sep","Oct","Nov","Dec"},0),D668)</f>
        <v>34276</v>
      </c>
      <c r="K668">
        <f t="shared" si="10"/>
        <v>29</v>
      </c>
    </row>
    <row r="669" spans="1:11" x14ac:dyDescent="0.35">
      <c r="A669" t="s">
        <v>701</v>
      </c>
      <c r="B669">
        <v>1981</v>
      </c>
      <c r="C669" t="s">
        <v>35</v>
      </c>
      <c r="D669">
        <v>30</v>
      </c>
      <c r="E669">
        <v>0</v>
      </c>
      <c r="F669" s="15">
        <v>5709.16</v>
      </c>
      <c r="G669" t="s">
        <v>12</v>
      </c>
      <c r="H669" t="s">
        <v>12</v>
      </c>
      <c r="I669" t="s">
        <v>13</v>
      </c>
      <c r="J669" s="11">
        <f>DATE(B669,MATCH(C669,{"Jan","Feb","Mar","Apr","May","Jun","Jul","Aug","Sep","Oct","Nov","Dec"},0),D669)</f>
        <v>29828</v>
      </c>
      <c r="K669">
        <f t="shared" si="10"/>
        <v>41</v>
      </c>
    </row>
    <row r="670" spans="1:11" x14ac:dyDescent="0.35">
      <c r="A670" t="s">
        <v>702</v>
      </c>
      <c r="B670">
        <v>1971</v>
      </c>
      <c r="C670" t="s">
        <v>30</v>
      </c>
      <c r="D670">
        <v>18</v>
      </c>
      <c r="E670">
        <v>0</v>
      </c>
      <c r="F670" s="15">
        <v>5720.38</v>
      </c>
      <c r="G670" t="s">
        <v>11</v>
      </c>
      <c r="H670" t="s">
        <v>16</v>
      </c>
      <c r="I670" t="s">
        <v>13</v>
      </c>
      <c r="J670" s="11">
        <f>DATE(B670,MATCH(C670,{"Jan","Feb","Mar","Apr","May","Jun","Jul","Aug","Sep","Oct","Nov","Dec"},0),D670)</f>
        <v>26285</v>
      </c>
      <c r="K670">
        <f t="shared" si="10"/>
        <v>51</v>
      </c>
    </row>
    <row r="671" spans="1:11" x14ac:dyDescent="0.35">
      <c r="A671" t="s">
        <v>703</v>
      </c>
      <c r="B671">
        <v>1987</v>
      </c>
      <c r="C671" t="s">
        <v>37</v>
      </c>
      <c r="D671">
        <v>19</v>
      </c>
      <c r="E671">
        <v>2</v>
      </c>
      <c r="F671" s="15">
        <v>5729.01</v>
      </c>
      <c r="G671" t="s">
        <v>16</v>
      </c>
      <c r="H671" t="s">
        <v>11</v>
      </c>
      <c r="I671" t="s">
        <v>23</v>
      </c>
      <c r="J671" s="11">
        <f>DATE(B671,MATCH(C671,{"Jan","Feb","Mar","Apr","May","Jun","Jul","Aug","Sep","Oct","Nov","Dec"},0),D671)</f>
        <v>32069</v>
      </c>
      <c r="K671">
        <f t="shared" si="10"/>
        <v>35</v>
      </c>
    </row>
    <row r="672" spans="1:11" x14ac:dyDescent="0.35">
      <c r="A672" t="s">
        <v>704</v>
      </c>
      <c r="B672">
        <v>1972</v>
      </c>
      <c r="C672" t="s">
        <v>35</v>
      </c>
      <c r="D672">
        <v>21</v>
      </c>
      <c r="E672">
        <v>0</v>
      </c>
      <c r="F672" s="15">
        <v>5741.67</v>
      </c>
      <c r="G672" t="s">
        <v>11</v>
      </c>
      <c r="H672" t="s">
        <v>12</v>
      </c>
      <c r="I672" t="s">
        <v>13</v>
      </c>
      <c r="J672" s="11">
        <f>DATE(B672,MATCH(C672,{"Jan","Feb","Mar","Apr","May","Jun","Jul","Aug","Sep","Oct","Nov","Dec"},0),D672)</f>
        <v>26532</v>
      </c>
      <c r="K672">
        <f t="shared" si="10"/>
        <v>50</v>
      </c>
    </row>
    <row r="673" spans="1:11" x14ac:dyDescent="0.35">
      <c r="A673" t="s">
        <v>705</v>
      </c>
      <c r="B673">
        <v>1993</v>
      </c>
      <c r="C673" t="s">
        <v>18</v>
      </c>
      <c r="D673">
        <v>10</v>
      </c>
      <c r="E673">
        <v>0</v>
      </c>
      <c r="F673" s="15">
        <v>5748.13</v>
      </c>
      <c r="G673" t="s">
        <v>11</v>
      </c>
      <c r="H673" t="s">
        <v>16</v>
      </c>
      <c r="I673" t="s">
        <v>300</v>
      </c>
      <c r="J673" s="11">
        <f>DATE(B673,MATCH(C673,{"Jan","Feb","Mar","Apr","May","Jun","Jul","Aug","Sep","Oct","Nov","Dec"},0),D673)</f>
        <v>34130</v>
      </c>
      <c r="K673">
        <f t="shared" si="10"/>
        <v>29</v>
      </c>
    </row>
    <row r="674" spans="1:11" x14ac:dyDescent="0.35">
      <c r="A674" t="s">
        <v>706</v>
      </c>
      <c r="B674">
        <v>1983</v>
      </c>
      <c r="C674" t="s">
        <v>35</v>
      </c>
      <c r="D674">
        <v>30</v>
      </c>
      <c r="E674">
        <v>0</v>
      </c>
      <c r="F674" s="15">
        <v>5757.41</v>
      </c>
      <c r="G674" t="s">
        <v>11</v>
      </c>
      <c r="H674" t="s">
        <v>12</v>
      </c>
      <c r="I674" t="s">
        <v>166</v>
      </c>
      <c r="J674" s="11">
        <f>DATE(B674,MATCH(C674,{"Jan","Feb","Mar","Apr","May","Jun","Jul","Aug","Sep","Oct","Nov","Dec"},0),D674)</f>
        <v>30558</v>
      </c>
      <c r="K674">
        <f t="shared" si="10"/>
        <v>39</v>
      </c>
    </row>
    <row r="675" spans="1:11" x14ac:dyDescent="0.35">
      <c r="A675" t="s">
        <v>707</v>
      </c>
      <c r="B675">
        <v>2004</v>
      </c>
      <c r="C675" t="s">
        <v>15</v>
      </c>
      <c r="D675">
        <v>1</v>
      </c>
      <c r="E675">
        <v>0</v>
      </c>
      <c r="F675" s="15">
        <v>5778.71</v>
      </c>
      <c r="G675" t="s">
        <v>11</v>
      </c>
      <c r="H675" t="s">
        <v>12</v>
      </c>
      <c r="I675" t="s">
        <v>632</v>
      </c>
      <c r="J675" s="11">
        <f>DATE(B675,MATCH(C675,{"Jan","Feb","Mar","Apr","May","Jun","Jul","Aug","Sep","Oct","Nov","Dec"},0),D675)</f>
        <v>38292</v>
      </c>
      <c r="K675">
        <f t="shared" si="10"/>
        <v>18</v>
      </c>
    </row>
    <row r="676" spans="1:11" x14ac:dyDescent="0.35">
      <c r="A676" t="s">
        <v>708</v>
      </c>
      <c r="B676">
        <v>1980</v>
      </c>
      <c r="C676" t="s">
        <v>20</v>
      </c>
      <c r="D676">
        <v>18</v>
      </c>
      <c r="E676">
        <v>2</v>
      </c>
      <c r="F676" s="15">
        <v>5807.06</v>
      </c>
      <c r="G676" t="s">
        <v>11</v>
      </c>
      <c r="H676" t="s">
        <v>12</v>
      </c>
      <c r="I676" t="s">
        <v>13</v>
      </c>
      <c r="J676" s="11">
        <f>DATE(B676,MATCH(C676,{"Jan","Feb","Mar","Apr","May","Jun","Jul","Aug","Sep","Oct","Nov","Dec"},0),D676)</f>
        <v>29482</v>
      </c>
      <c r="K676">
        <f t="shared" si="10"/>
        <v>42</v>
      </c>
    </row>
    <row r="677" spans="1:11" x14ac:dyDescent="0.35">
      <c r="A677" t="s">
        <v>709</v>
      </c>
      <c r="B677">
        <v>1972</v>
      </c>
      <c r="C677" t="s">
        <v>15</v>
      </c>
      <c r="D677">
        <v>2</v>
      </c>
      <c r="E677">
        <v>0</v>
      </c>
      <c r="F677" s="15">
        <v>5812.9</v>
      </c>
      <c r="G677" t="s">
        <v>11</v>
      </c>
      <c r="H677" t="s">
        <v>11</v>
      </c>
      <c r="I677" t="s">
        <v>13</v>
      </c>
      <c r="J677" s="11">
        <f>DATE(B677,MATCH(C677,{"Jan","Feb","Mar","Apr","May","Jun","Jul","Aug","Sep","Oct","Nov","Dec"},0),D677)</f>
        <v>26605</v>
      </c>
      <c r="K677">
        <f t="shared" si="10"/>
        <v>50</v>
      </c>
    </row>
    <row r="678" spans="1:11" x14ac:dyDescent="0.35">
      <c r="A678" t="s">
        <v>710</v>
      </c>
      <c r="B678">
        <v>2002</v>
      </c>
      <c r="C678" t="s">
        <v>10</v>
      </c>
      <c r="D678">
        <v>22</v>
      </c>
      <c r="E678">
        <v>0</v>
      </c>
      <c r="F678" s="15">
        <v>5816.58</v>
      </c>
      <c r="G678" t="s">
        <v>11</v>
      </c>
      <c r="H678" t="s">
        <v>11</v>
      </c>
      <c r="I678" t="s">
        <v>535</v>
      </c>
      <c r="J678" s="11">
        <f>DATE(B678,MATCH(C678,{"Jan","Feb","Mar","Apr","May","Jun","Jul","Aug","Sep","Oct","Nov","Dec"},0),D678)</f>
        <v>37459</v>
      </c>
      <c r="K678">
        <f t="shared" si="10"/>
        <v>20</v>
      </c>
    </row>
    <row r="679" spans="1:11" x14ac:dyDescent="0.35">
      <c r="A679" t="s">
        <v>711</v>
      </c>
      <c r="B679">
        <v>1971</v>
      </c>
      <c r="C679" t="s">
        <v>20</v>
      </c>
      <c r="D679">
        <v>27</v>
      </c>
      <c r="E679">
        <v>0</v>
      </c>
      <c r="F679" s="15">
        <v>5832.6</v>
      </c>
      <c r="G679" t="s">
        <v>11</v>
      </c>
      <c r="H679" t="s">
        <v>12</v>
      </c>
      <c r="I679" t="s">
        <v>23</v>
      </c>
      <c r="J679" s="11">
        <f>DATE(B679,MATCH(C679,{"Jan","Feb","Mar","Apr","May","Jun","Jul","Aug","Sep","Oct","Nov","Dec"},0),D679)</f>
        <v>26203</v>
      </c>
      <c r="K679">
        <f t="shared" si="10"/>
        <v>51</v>
      </c>
    </row>
    <row r="680" spans="1:11" x14ac:dyDescent="0.35">
      <c r="A680" t="s">
        <v>712</v>
      </c>
      <c r="B680">
        <v>1987</v>
      </c>
      <c r="C680" t="s">
        <v>10</v>
      </c>
      <c r="D680">
        <v>27</v>
      </c>
      <c r="E680">
        <v>2</v>
      </c>
      <c r="F680" s="15">
        <v>5836.52</v>
      </c>
      <c r="G680" t="s">
        <v>11</v>
      </c>
      <c r="H680" t="s">
        <v>12</v>
      </c>
      <c r="I680" t="s">
        <v>13</v>
      </c>
      <c r="J680" s="11">
        <f>DATE(B680,MATCH(C680,{"Jan","Feb","Mar","Apr","May","Jun","Jul","Aug","Sep","Oct","Nov","Dec"},0),D680)</f>
        <v>31985</v>
      </c>
      <c r="K680">
        <f t="shared" si="10"/>
        <v>35</v>
      </c>
    </row>
    <row r="681" spans="1:11" x14ac:dyDescent="0.35">
      <c r="A681" t="s">
        <v>713</v>
      </c>
      <c r="B681">
        <v>1995</v>
      </c>
      <c r="C681" t="s">
        <v>35</v>
      </c>
      <c r="D681">
        <v>20</v>
      </c>
      <c r="E681">
        <v>0</v>
      </c>
      <c r="F681" s="15">
        <v>5843.99</v>
      </c>
      <c r="G681" t="s">
        <v>11</v>
      </c>
      <c r="H681" t="s">
        <v>11</v>
      </c>
      <c r="I681" t="s">
        <v>200</v>
      </c>
      <c r="J681" s="11">
        <f>DATE(B681,MATCH(C681,{"Jan","Feb","Mar","Apr","May","Jun","Jul","Aug","Sep","Oct","Nov","Dec"},0),D681)</f>
        <v>34931</v>
      </c>
      <c r="K681">
        <f t="shared" si="10"/>
        <v>27</v>
      </c>
    </row>
    <row r="682" spans="1:11" x14ac:dyDescent="0.35">
      <c r="A682" t="s">
        <v>714</v>
      </c>
      <c r="B682">
        <v>1987</v>
      </c>
      <c r="C682" t="s">
        <v>20</v>
      </c>
      <c r="D682">
        <v>30</v>
      </c>
      <c r="E682">
        <v>2</v>
      </c>
      <c r="F682" s="15">
        <v>5846.92</v>
      </c>
      <c r="G682" t="s">
        <v>11</v>
      </c>
      <c r="H682" t="s">
        <v>11</v>
      </c>
      <c r="I682" t="s">
        <v>13</v>
      </c>
      <c r="J682" s="11">
        <f>DATE(B682,MATCH(C682,{"Jan","Feb","Mar","Apr","May","Jun","Jul","Aug","Sep","Oct","Nov","Dec"},0),D682)</f>
        <v>32050</v>
      </c>
      <c r="K682">
        <f t="shared" si="10"/>
        <v>35</v>
      </c>
    </row>
    <row r="683" spans="1:11" x14ac:dyDescent="0.35">
      <c r="A683" t="s">
        <v>715</v>
      </c>
      <c r="B683">
        <v>1985</v>
      </c>
      <c r="C683" t="s">
        <v>18</v>
      </c>
      <c r="D683">
        <v>18</v>
      </c>
      <c r="E683">
        <v>3</v>
      </c>
      <c r="F683" s="15">
        <v>5847.24</v>
      </c>
      <c r="G683" t="s">
        <v>11</v>
      </c>
      <c r="H683" t="s">
        <v>16</v>
      </c>
      <c r="I683" t="s">
        <v>13</v>
      </c>
      <c r="J683" s="11">
        <f>DATE(B683,MATCH(C683,{"Jan","Feb","Mar","Apr","May","Jun","Jul","Aug","Sep","Oct","Nov","Dec"},0),D683)</f>
        <v>31216</v>
      </c>
      <c r="K683">
        <f t="shared" si="10"/>
        <v>37</v>
      </c>
    </row>
    <row r="684" spans="1:11" x14ac:dyDescent="0.35">
      <c r="A684" t="s">
        <v>716</v>
      </c>
      <c r="B684">
        <v>1984</v>
      </c>
      <c r="C684" t="s">
        <v>15</v>
      </c>
      <c r="D684">
        <v>22</v>
      </c>
      <c r="E684">
        <v>1</v>
      </c>
      <c r="F684" s="15">
        <v>5855.9</v>
      </c>
      <c r="G684" t="s">
        <v>11</v>
      </c>
      <c r="H684" t="s">
        <v>12</v>
      </c>
      <c r="I684" t="s">
        <v>23</v>
      </c>
      <c r="J684" s="11">
        <f>DATE(B684,MATCH(C684,{"Jan","Feb","Mar","Apr","May","Jun","Jul","Aug","Sep","Oct","Nov","Dec"},0),D684)</f>
        <v>31008</v>
      </c>
      <c r="K684">
        <f t="shared" si="10"/>
        <v>38</v>
      </c>
    </row>
    <row r="685" spans="1:11" x14ac:dyDescent="0.35">
      <c r="A685" t="s">
        <v>717</v>
      </c>
      <c r="B685">
        <v>1993</v>
      </c>
      <c r="C685" t="s">
        <v>37</v>
      </c>
      <c r="D685">
        <v>19</v>
      </c>
      <c r="E685">
        <v>0</v>
      </c>
      <c r="F685" s="15">
        <v>5877.02</v>
      </c>
      <c r="G685" t="s">
        <v>11</v>
      </c>
      <c r="H685" t="s">
        <v>11</v>
      </c>
      <c r="I685" t="s">
        <v>300</v>
      </c>
      <c r="J685" s="11">
        <f>DATE(B685,MATCH(C685,{"Jan","Feb","Mar","Apr","May","Jun","Jul","Aug","Sep","Oct","Nov","Dec"},0),D685)</f>
        <v>34261</v>
      </c>
      <c r="K685">
        <f t="shared" si="10"/>
        <v>29</v>
      </c>
    </row>
    <row r="686" spans="1:11" x14ac:dyDescent="0.35">
      <c r="A686" t="s">
        <v>718</v>
      </c>
      <c r="B686">
        <v>1982</v>
      </c>
      <c r="C686" t="s">
        <v>10</v>
      </c>
      <c r="D686">
        <v>8</v>
      </c>
      <c r="E686">
        <v>0</v>
      </c>
      <c r="F686" s="15">
        <v>5910.94</v>
      </c>
      <c r="G686" t="s">
        <v>11</v>
      </c>
      <c r="H686" t="s">
        <v>16</v>
      </c>
      <c r="I686" t="s">
        <v>42</v>
      </c>
      <c r="J686" s="11">
        <f>DATE(B686,MATCH(C686,{"Jan","Feb","Mar","Apr","May","Jun","Jul","Aug","Sep","Oct","Nov","Dec"},0),D686)</f>
        <v>30140</v>
      </c>
      <c r="K686">
        <f t="shared" si="10"/>
        <v>40</v>
      </c>
    </row>
    <row r="687" spans="1:11" x14ac:dyDescent="0.35">
      <c r="A687" t="s">
        <v>719</v>
      </c>
      <c r="B687">
        <v>1982</v>
      </c>
      <c r="C687" t="s">
        <v>30</v>
      </c>
      <c r="D687">
        <v>21</v>
      </c>
      <c r="E687">
        <v>0</v>
      </c>
      <c r="F687" s="15">
        <v>5920.1</v>
      </c>
      <c r="G687" t="s">
        <v>11</v>
      </c>
      <c r="H687" t="s">
        <v>16</v>
      </c>
      <c r="I687" t="s">
        <v>13</v>
      </c>
      <c r="J687" s="11">
        <f>DATE(B687,MATCH(C687,{"Jan","Feb","Mar","Apr","May","Jun","Jul","Aug","Sep","Oct","Nov","Dec"},0),D687)</f>
        <v>30306</v>
      </c>
      <c r="K687">
        <f t="shared" si="10"/>
        <v>40</v>
      </c>
    </row>
    <row r="688" spans="1:11" x14ac:dyDescent="0.35">
      <c r="A688" t="s">
        <v>720</v>
      </c>
      <c r="B688">
        <v>1987</v>
      </c>
      <c r="C688" t="s">
        <v>10</v>
      </c>
      <c r="D688">
        <v>29</v>
      </c>
      <c r="E688">
        <v>3</v>
      </c>
      <c r="F688" s="15">
        <v>5926.85</v>
      </c>
      <c r="G688" t="s">
        <v>12</v>
      </c>
      <c r="H688" t="s">
        <v>12</v>
      </c>
      <c r="I688" t="s">
        <v>42</v>
      </c>
      <c r="J688" s="11">
        <f>DATE(B688,MATCH(C688,{"Jan","Feb","Mar","Apr","May","Jun","Jul","Aug","Sep","Oct","Nov","Dec"},0),D688)</f>
        <v>31987</v>
      </c>
      <c r="K688">
        <f t="shared" si="10"/>
        <v>35</v>
      </c>
    </row>
    <row r="689" spans="1:11" x14ac:dyDescent="0.35">
      <c r="A689" t="s">
        <v>721</v>
      </c>
      <c r="B689">
        <v>1993</v>
      </c>
      <c r="C689" t="s">
        <v>35</v>
      </c>
      <c r="D689">
        <v>13</v>
      </c>
      <c r="E689">
        <v>0</v>
      </c>
      <c r="F689" s="15">
        <v>5926.93</v>
      </c>
      <c r="G689" t="s">
        <v>11</v>
      </c>
      <c r="H689" t="s">
        <v>11</v>
      </c>
      <c r="I689" t="s">
        <v>200</v>
      </c>
      <c r="J689" s="11">
        <f>DATE(B689,MATCH(C689,{"Jan","Feb","Mar","Apr","May","Jun","Jul","Aug","Sep","Oct","Nov","Dec"},0),D689)</f>
        <v>34194</v>
      </c>
      <c r="K689">
        <f t="shared" si="10"/>
        <v>29</v>
      </c>
    </row>
    <row r="690" spans="1:11" x14ac:dyDescent="0.35">
      <c r="A690" t="s">
        <v>722</v>
      </c>
      <c r="B690">
        <v>1994</v>
      </c>
      <c r="C690" t="s">
        <v>10</v>
      </c>
      <c r="D690">
        <v>30</v>
      </c>
      <c r="E690">
        <v>0</v>
      </c>
      <c r="F690" s="15">
        <v>5927.65</v>
      </c>
      <c r="G690" t="s">
        <v>11</v>
      </c>
      <c r="H690" t="s">
        <v>16</v>
      </c>
      <c r="I690" t="s">
        <v>23</v>
      </c>
      <c r="J690" s="11">
        <f>DATE(B690,MATCH(C690,{"Jan","Feb","Mar","Apr","May","Jun","Jul","Aug","Sep","Oct","Nov","Dec"},0),D690)</f>
        <v>34545</v>
      </c>
      <c r="K690">
        <f t="shared" si="10"/>
        <v>28</v>
      </c>
    </row>
    <row r="691" spans="1:11" x14ac:dyDescent="0.35">
      <c r="A691" t="s">
        <v>723</v>
      </c>
      <c r="B691">
        <v>1987</v>
      </c>
      <c r="C691" t="s">
        <v>10</v>
      </c>
      <c r="D691">
        <v>14</v>
      </c>
      <c r="E691">
        <v>3</v>
      </c>
      <c r="F691" s="15">
        <v>5934.38</v>
      </c>
      <c r="G691" t="s">
        <v>12</v>
      </c>
      <c r="H691" t="s">
        <v>11</v>
      </c>
      <c r="I691" t="s">
        <v>13</v>
      </c>
      <c r="J691" s="11">
        <f>DATE(B691,MATCH(C691,{"Jan","Feb","Mar","Apr","May","Jun","Jul","Aug","Sep","Oct","Nov","Dec"},0),D691)</f>
        <v>31972</v>
      </c>
      <c r="K691">
        <f t="shared" si="10"/>
        <v>35</v>
      </c>
    </row>
    <row r="692" spans="1:11" x14ac:dyDescent="0.35">
      <c r="A692" t="s">
        <v>724</v>
      </c>
      <c r="B692">
        <v>2003</v>
      </c>
      <c r="C692" t="s">
        <v>35</v>
      </c>
      <c r="D692">
        <v>13</v>
      </c>
      <c r="E692">
        <v>0</v>
      </c>
      <c r="F692" s="15">
        <v>5957.35</v>
      </c>
      <c r="G692" t="s">
        <v>11</v>
      </c>
      <c r="H692" t="s">
        <v>11</v>
      </c>
      <c r="I692" t="s">
        <v>23</v>
      </c>
      <c r="J692" s="11">
        <f>DATE(B692,MATCH(C692,{"Jan","Feb","Mar","Apr","May","Jun","Jul","Aug","Sep","Oct","Nov","Dec"},0),D692)</f>
        <v>37846</v>
      </c>
      <c r="K692">
        <f t="shared" si="10"/>
        <v>19</v>
      </c>
    </row>
    <row r="693" spans="1:11" x14ac:dyDescent="0.35">
      <c r="A693" t="s">
        <v>725</v>
      </c>
      <c r="B693">
        <v>2004</v>
      </c>
      <c r="C693" t="s">
        <v>10</v>
      </c>
      <c r="D693">
        <v>15</v>
      </c>
      <c r="E693">
        <v>0</v>
      </c>
      <c r="F693" s="15">
        <v>5960.91</v>
      </c>
      <c r="G693" t="s">
        <v>11</v>
      </c>
      <c r="H693" t="s">
        <v>16</v>
      </c>
      <c r="I693" t="s">
        <v>535</v>
      </c>
      <c r="J693" s="11">
        <f>DATE(B693,MATCH(C693,{"Jan","Feb","Mar","Apr","May","Jun","Jul","Aug","Sep","Oct","Nov","Dec"},0),D693)</f>
        <v>38183</v>
      </c>
      <c r="K693">
        <f t="shared" si="10"/>
        <v>18</v>
      </c>
    </row>
    <row r="694" spans="1:11" x14ac:dyDescent="0.35">
      <c r="A694" t="s">
        <v>726</v>
      </c>
      <c r="B694">
        <v>1980</v>
      </c>
      <c r="C694" t="s">
        <v>35</v>
      </c>
      <c r="D694">
        <v>5</v>
      </c>
      <c r="E694">
        <v>0</v>
      </c>
      <c r="F694" s="15">
        <v>5966.89</v>
      </c>
      <c r="G694" t="s">
        <v>11</v>
      </c>
      <c r="H694" t="s">
        <v>12</v>
      </c>
      <c r="I694" t="s">
        <v>13</v>
      </c>
      <c r="J694" s="11">
        <f>DATE(B694,MATCH(C694,{"Jan","Feb","Mar","Apr","May","Jun","Jul","Aug","Sep","Oct","Nov","Dec"},0),D694)</f>
        <v>29438</v>
      </c>
      <c r="K694">
        <f t="shared" si="10"/>
        <v>42</v>
      </c>
    </row>
    <row r="695" spans="1:11" x14ac:dyDescent="0.35">
      <c r="A695" t="s">
        <v>727</v>
      </c>
      <c r="B695">
        <v>1980</v>
      </c>
      <c r="C695" t="s">
        <v>10</v>
      </c>
      <c r="D695">
        <v>21</v>
      </c>
      <c r="E695">
        <v>0</v>
      </c>
      <c r="F695" s="15">
        <v>5969.72</v>
      </c>
      <c r="G695" t="s">
        <v>12</v>
      </c>
      <c r="H695" t="s">
        <v>12</v>
      </c>
      <c r="I695" t="s">
        <v>42</v>
      </c>
      <c r="J695" s="11">
        <f>DATE(B695,MATCH(C695,{"Jan","Feb","Mar","Apr","May","Jun","Jul","Aug","Sep","Oct","Nov","Dec"},0),D695)</f>
        <v>29423</v>
      </c>
      <c r="K695">
        <f t="shared" si="10"/>
        <v>42</v>
      </c>
    </row>
    <row r="696" spans="1:11" x14ac:dyDescent="0.35">
      <c r="A696" t="s">
        <v>728</v>
      </c>
      <c r="B696">
        <v>1989</v>
      </c>
      <c r="C696" t="s">
        <v>10</v>
      </c>
      <c r="D696">
        <v>22</v>
      </c>
      <c r="E696">
        <v>3</v>
      </c>
      <c r="F696" s="15">
        <v>5972.38</v>
      </c>
      <c r="G696" t="s">
        <v>11</v>
      </c>
      <c r="H696" t="s">
        <v>11</v>
      </c>
      <c r="I696" t="s">
        <v>42</v>
      </c>
      <c r="J696" s="11">
        <f>DATE(B696,MATCH(C696,{"Jan","Feb","Mar","Apr","May","Jun","Jul","Aug","Sep","Oct","Nov","Dec"},0),D696)</f>
        <v>32711</v>
      </c>
      <c r="K696">
        <f t="shared" si="10"/>
        <v>33</v>
      </c>
    </row>
    <row r="697" spans="1:11" x14ac:dyDescent="0.35">
      <c r="A697" t="s">
        <v>729</v>
      </c>
      <c r="B697">
        <v>1984</v>
      </c>
      <c r="C697" t="s">
        <v>20</v>
      </c>
      <c r="D697">
        <v>19</v>
      </c>
      <c r="E697">
        <v>1</v>
      </c>
      <c r="F697" s="15">
        <v>5974.38</v>
      </c>
      <c r="G697" t="s">
        <v>11</v>
      </c>
      <c r="H697" t="s">
        <v>12</v>
      </c>
      <c r="I697" t="s">
        <v>13</v>
      </c>
      <c r="J697" s="11">
        <f>DATE(B697,MATCH(C697,{"Jan","Feb","Mar","Apr","May","Jun","Jul","Aug","Sep","Oct","Nov","Dec"},0),D697)</f>
        <v>30944</v>
      </c>
      <c r="K697">
        <f t="shared" si="10"/>
        <v>38</v>
      </c>
    </row>
    <row r="698" spans="1:11" x14ac:dyDescent="0.35">
      <c r="A698" t="s">
        <v>730</v>
      </c>
      <c r="B698">
        <v>1984</v>
      </c>
      <c r="C698" t="s">
        <v>15</v>
      </c>
      <c r="D698">
        <v>11</v>
      </c>
      <c r="E698">
        <v>1</v>
      </c>
      <c r="F698" s="15">
        <v>5976.83</v>
      </c>
      <c r="G698" t="s">
        <v>11</v>
      </c>
      <c r="H698" t="s">
        <v>11</v>
      </c>
      <c r="I698" t="s">
        <v>13</v>
      </c>
      <c r="J698" s="11">
        <f>DATE(B698,MATCH(C698,{"Jan","Feb","Mar","Apr","May","Jun","Jul","Aug","Sep","Oct","Nov","Dec"},0),D698)</f>
        <v>30997</v>
      </c>
      <c r="K698">
        <f t="shared" si="10"/>
        <v>38</v>
      </c>
    </row>
    <row r="699" spans="1:11" x14ac:dyDescent="0.35">
      <c r="A699" t="s">
        <v>731</v>
      </c>
      <c r="B699">
        <v>1970</v>
      </c>
      <c r="C699" t="s">
        <v>18</v>
      </c>
      <c r="D699">
        <v>25</v>
      </c>
      <c r="E699">
        <v>0</v>
      </c>
      <c r="F699" s="15">
        <v>5979.66</v>
      </c>
      <c r="G699" t="s">
        <v>11</v>
      </c>
      <c r="H699" t="s">
        <v>12</v>
      </c>
      <c r="I699" t="s">
        <v>13</v>
      </c>
      <c r="J699" s="11">
        <f>DATE(B699,MATCH(C699,{"Jan","Feb","Mar","Apr","May","Jun","Jul","Aug","Sep","Oct","Nov","Dec"},0),D699)</f>
        <v>25744</v>
      </c>
      <c r="K699">
        <f t="shared" si="10"/>
        <v>52</v>
      </c>
    </row>
    <row r="700" spans="1:11" x14ac:dyDescent="0.35">
      <c r="A700" t="s">
        <v>732</v>
      </c>
      <c r="B700">
        <v>1980</v>
      </c>
      <c r="C700" t="s">
        <v>37</v>
      </c>
      <c r="D700">
        <v>10</v>
      </c>
      <c r="E700">
        <v>0</v>
      </c>
      <c r="F700" s="15">
        <v>5979.73</v>
      </c>
      <c r="G700" t="s">
        <v>11</v>
      </c>
      <c r="H700" t="s">
        <v>11</v>
      </c>
      <c r="I700" t="s">
        <v>42</v>
      </c>
      <c r="J700" s="11">
        <f>DATE(B700,MATCH(C700,{"Jan","Feb","Mar","Apr","May","Jun","Jul","Aug","Sep","Oct","Nov","Dec"},0),D700)</f>
        <v>29504</v>
      </c>
      <c r="K700">
        <f t="shared" si="10"/>
        <v>42</v>
      </c>
    </row>
    <row r="701" spans="1:11" x14ac:dyDescent="0.35">
      <c r="A701" t="s">
        <v>733</v>
      </c>
      <c r="B701">
        <v>1974</v>
      </c>
      <c r="C701" t="s">
        <v>37</v>
      </c>
      <c r="D701">
        <v>11</v>
      </c>
      <c r="E701">
        <v>0</v>
      </c>
      <c r="F701" s="15">
        <v>5979.99</v>
      </c>
      <c r="G701" t="s">
        <v>11</v>
      </c>
      <c r="H701" t="s">
        <v>12</v>
      </c>
      <c r="I701" t="s">
        <v>13</v>
      </c>
      <c r="J701" s="11">
        <f>DATE(B701,MATCH(C701,{"Jan","Feb","Mar","Apr","May","Jun","Jul","Aug","Sep","Oct","Nov","Dec"},0),D701)</f>
        <v>27313</v>
      </c>
      <c r="K701">
        <f t="shared" si="10"/>
        <v>48</v>
      </c>
    </row>
    <row r="702" spans="1:11" x14ac:dyDescent="0.35">
      <c r="A702" t="s">
        <v>734</v>
      </c>
      <c r="B702">
        <v>1988</v>
      </c>
      <c r="C702" t="s">
        <v>18</v>
      </c>
      <c r="D702">
        <v>10</v>
      </c>
      <c r="E702">
        <v>2</v>
      </c>
      <c r="F702" s="15">
        <v>5989.52</v>
      </c>
      <c r="G702" t="s">
        <v>11</v>
      </c>
      <c r="H702" t="s">
        <v>16</v>
      </c>
      <c r="I702" t="s">
        <v>23</v>
      </c>
      <c r="J702" s="11">
        <f>DATE(B702,MATCH(C702,{"Jan","Feb","Mar","Apr","May","Jun","Jul","Aug","Sep","Oct","Nov","Dec"},0),D702)</f>
        <v>32304</v>
      </c>
      <c r="K702">
        <f t="shared" si="10"/>
        <v>34</v>
      </c>
    </row>
    <row r="703" spans="1:11" x14ac:dyDescent="0.35">
      <c r="A703" t="s">
        <v>735</v>
      </c>
      <c r="B703">
        <v>1974</v>
      </c>
      <c r="C703" t="s">
        <v>35</v>
      </c>
      <c r="D703">
        <v>17</v>
      </c>
      <c r="E703">
        <v>0</v>
      </c>
      <c r="F703" s="15">
        <v>5990.17</v>
      </c>
      <c r="G703" t="s">
        <v>11</v>
      </c>
      <c r="H703" t="s">
        <v>11</v>
      </c>
      <c r="I703" t="s">
        <v>13</v>
      </c>
      <c r="J703" s="11">
        <f>DATE(B703,MATCH(C703,{"Jan","Feb","Mar","Apr","May","Jun","Jul","Aug","Sep","Oct","Nov","Dec"},0),D703)</f>
        <v>27258</v>
      </c>
      <c r="K703">
        <f t="shared" si="10"/>
        <v>48</v>
      </c>
    </row>
    <row r="704" spans="1:11" x14ac:dyDescent="0.35">
      <c r="A704" t="s">
        <v>736</v>
      </c>
      <c r="B704">
        <v>1980</v>
      </c>
      <c r="C704" t="s">
        <v>35</v>
      </c>
      <c r="D704">
        <v>8</v>
      </c>
      <c r="E704">
        <v>2</v>
      </c>
      <c r="F704" s="15">
        <v>5993.62</v>
      </c>
      <c r="G704" t="s">
        <v>11</v>
      </c>
      <c r="H704" t="s">
        <v>12</v>
      </c>
      <c r="I704" t="s">
        <v>13</v>
      </c>
      <c r="J704" s="11">
        <f>DATE(B704,MATCH(C704,{"Jan","Feb","Mar","Apr","May","Jun","Jul","Aug","Sep","Oct","Nov","Dec"},0),D704)</f>
        <v>29441</v>
      </c>
      <c r="K704">
        <f t="shared" si="10"/>
        <v>42</v>
      </c>
    </row>
    <row r="705" spans="1:11" x14ac:dyDescent="0.35">
      <c r="A705" t="s">
        <v>737</v>
      </c>
      <c r="B705">
        <v>1989</v>
      </c>
      <c r="C705" t="s">
        <v>35</v>
      </c>
      <c r="D705">
        <v>16</v>
      </c>
      <c r="E705">
        <v>4</v>
      </c>
      <c r="F705" s="15">
        <v>6059.17</v>
      </c>
      <c r="G705" t="s">
        <v>11</v>
      </c>
      <c r="H705" t="s">
        <v>16</v>
      </c>
      <c r="I705" t="s">
        <v>42</v>
      </c>
      <c r="J705" s="11">
        <f>DATE(B705,MATCH(C705,{"Jan","Feb","Mar","Apr","May","Jun","Jul","Aug","Sep","Oct","Nov","Dec"},0),D705)</f>
        <v>32736</v>
      </c>
      <c r="K705">
        <f t="shared" si="10"/>
        <v>33</v>
      </c>
    </row>
    <row r="706" spans="1:11" x14ac:dyDescent="0.35">
      <c r="A706" t="s">
        <v>738</v>
      </c>
      <c r="B706">
        <v>1996</v>
      </c>
      <c r="C706" t="s">
        <v>10</v>
      </c>
      <c r="D706">
        <v>28</v>
      </c>
      <c r="E706">
        <v>0</v>
      </c>
      <c r="F706" s="15">
        <v>6061.8</v>
      </c>
      <c r="G706" t="s">
        <v>11</v>
      </c>
      <c r="H706" t="s">
        <v>12</v>
      </c>
      <c r="I706" t="s">
        <v>23</v>
      </c>
      <c r="J706" s="11">
        <f>DATE(B706,MATCH(C706,{"Jan","Feb","Mar","Apr","May","Jun","Jul","Aug","Sep","Oct","Nov","Dec"},0),D706)</f>
        <v>35274</v>
      </c>
      <c r="K706">
        <f t="shared" si="10"/>
        <v>26</v>
      </c>
    </row>
    <row r="707" spans="1:11" x14ac:dyDescent="0.35">
      <c r="A707" t="s">
        <v>739</v>
      </c>
      <c r="B707">
        <v>1994</v>
      </c>
      <c r="C707" t="s">
        <v>15</v>
      </c>
      <c r="D707">
        <v>8</v>
      </c>
      <c r="E707">
        <v>0</v>
      </c>
      <c r="F707" s="15">
        <v>6064.37</v>
      </c>
      <c r="G707" t="s">
        <v>11</v>
      </c>
      <c r="H707" t="s">
        <v>11</v>
      </c>
      <c r="I707" t="s">
        <v>42</v>
      </c>
      <c r="J707" s="11">
        <f>DATE(B707,MATCH(C707,{"Jan","Feb","Mar","Apr","May","Jun","Jul","Aug","Sep","Oct","Nov","Dec"},0),D707)</f>
        <v>34646</v>
      </c>
      <c r="K707">
        <f t="shared" ref="K707:K770" si="11">DATEDIF(J707,$N$1,"Y")</f>
        <v>28</v>
      </c>
    </row>
    <row r="708" spans="1:11" x14ac:dyDescent="0.35">
      <c r="A708" t="s">
        <v>740</v>
      </c>
      <c r="B708">
        <v>1984</v>
      </c>
      <c r="C708" t="s">
        <v>20</v>
      </c>
      <c r="D708">
        <v>21</v>
      </c>
      <c r="E708">
        <v>1</v>
      </c>
      <c r="F708" s="15">
        <v>6067.13</v>
      </c>
      <c r="G708" t="s">
        <v>12</v>
      </c>
      <c r="H708" t="s">
        <v>16</v>
      </c>
      <c r="I708" t="s">
        <v>168</v>
      </c>
      <c r="J708" s="11">
        <f>DATE(B708,MATCH(C708,{"Jan","Feb","Mar","Apr","May","Jun","Jul","Aug","Sep","Oct","Nov","Dec"},0),D708)</f>
        <v>30946</v>
      </c>
      <c r="K708">
        <f t="shared" si="11"/>
        <v>38</v>
      </c>
    </row>
    <row r="709" spans="1:11" x14ac:dyDescent="0.35">
      <c r="A709" t="s">
        <v>741</v>
      </c>
      <c r="B709">
        <v>1979</v>
      </c>
      <c r="C709" t="s">
        <v>35</v>
      </c>
      <c r="D709">
        <v>8</v>
      </c>
      <c r="E709">
        <v>2</v>
      </c>
      <c r="F709" s="15">
        <v>6074.37</v>
      </c>
      <c r="G709" t="s">
        <v>11</v>
      </c>
      <c r="H709" t="s">
        <v>11</v>
      </c>
      <c r="I709" t="s">
        <v>23</v>
      </c>
      <c r="J709" s="11">
        <f>DATE(B709,MATCH(C709,{"Jan","Feb","Mar","Apr","May","Jun","Jul","Aug","Sep","Oct","Nov","Dec"},0),D709)</f>
        <v>29075</v>
      </c>
      <c r="K709">
        <f t="shared" si="11"/>
        <v>43</v>
      </c>
    </row>
    <row r="710" spans="1:11" x14ac:dyDescent="0.35">
      <c r="A710" t="s">
        <v>742</v>
      </c>
      <c r="B710">
        <v>1984</v>
      </c>
      <c r="C710" t="s">
        <v>37</v>
      </c>
      <c r="D710">
        <v>14</v>
      </c>
      <c r="E710">
        <v>1</v>
      </c>
      <c r="F710" s="15">
        <v>6079.67</v>
      </c>
      <c r="G710" t="s">
        <v>16</v>
      </c>
      <c r="H710" t="s">
        <v>16</v>
      </c>
      <c r="I710" t="s">
        <v>276</v>
      </c>
      <c r="J710" s="11">
        <f>DATE(B710,MATCH(C710,{"Jan","Feb","Mar","Apr","May","Jun","Jul","Aug","Sep","Oct","Nov","Dec"},0),D710)</f>
        <v>30969</v>
      </c>
      <c r="K710">
        <f t="shared" si="11"/>
        <v>38</v>
      </c>
    </row>
    <row r="711" spans="1:11" x14ac:dyDescent="0.35">
      <c r="A711" t="s">
        <v>743</v>
      </c>
      <c r="B711">
        <v>1984</v>
      </c>
      <c r="C711" t="s">
        <v>10</v>
      </c>
      <c r="D711">
        <v>25</v>
      </c>
      <c r="E711">
        <v>2</v>
      </c>
      <c r="F711" s="15">
        <v>6082.41</v>
      </c>
      <c r="G711" t="s">
        <v>16</v>
      </c>
      <c r="H711" t="s">
        <v>11</v>
      </c>
      <c r="I711" t="s">
        <v>42</v>
      </c>
      <c r="J711" s="11">
        <f>DATE(B711,MATCH(C711,{"Jan","Feb","Mar","Apr","May","Jun","Jul","Aug","Sep","Oct","Nov","Dec"},0),D711)</f>
        <v>30888</v>
      </c>
      <c r="K711">
        <f t="shared" si="11"/>
        <v>38</v>
      </c>
    </row>
    <row r="712" spans="1:11" x14ac:dyDescent="0.35">
      <c r="A712" t="s">
        <v>744</v>
      </c>
      <c r="B712">
        <v>1970</v>
      </c>
      <c r="C712" t="s">
        <v>18</v>
      </c>
      <c r="D712">
        <v>9</v>
      </c>
      <c r="E712">
        <v>0</v>
      </c>
      <c r="F712" s="15">
        <v>6098.38</v>
      </c>
      <c r="G712" t="s">
        <v>11</v>
      </c>
      <c r="H712" t="s">
        <v>11</v>
      </c>
      <c r="I712" t="s">
        <v>13</v>
      </c>
      <c r="J712" s="11">
        <f>DATE(B712,MATCH(C712,{"Jan","Feb","Mar","Apr","May","Jun","Jul","Aug","Sep","Oct","Nov","Dec"},0),D712)</f>
        <v>25728</v>
      </c>
      <c r="K712">
        <f t="shared" si="11"/>
        <v>52</v>
      </c>
    </row>
    <row r="713" spans="1:11" x14ac:dyDescent="0.35">
      <c r="A713" t="s">
        <v>745</v>
      </c>
      <c r="B713">
        <v>1995</v>
      </c>
      <c r="C713" t="s">
        <v>20</v>
      </c>
      <c r="D713">
        <v>9</v>
      </c>
      <c r="E713">
        <v>0</v>
      </c>
      <c r="F713" s="15">
        <v>6111.95</v>
      </c>
      <c r="G713" t="s">
        <v>11</v>
      </c>
      <c r="H713" t="s">
        <v>12</v>
      </c>
      <c r="I713" t="s">
        <v>535</v>
      </c>
      <c r="J713" s="11">
        <f>DATE(B713,MATCH(C713,{"Jan","Feb","Mar","Apr","May","Jun","Jul","Aug","Sep","Oct","Nov","Dec"},0),D713)</f>
        <v>34951</v>
      </c>
      <c r="K713">
        <f t="shared" si="11"/>
        <v>27</v>
      </c>
    </row>
    <row r="714" spans="1:11" x14ac:dyDescent="0.35">
      <c r="A714" t="s">
        <v>746</v>
      </c>
      <c r="B714">
        <v>1985</v>
      </c>
      <c r="C714" t="s">
        <v>10</v>
      </c>
      <c r="D714">
        <v>21</v>
      </c>
      <c r="E714">
        <v>1</v>
      </c>
      <c r="F714" s="15">
        <v>6112.35</v>
      </c>
      <c r="G714" t="s">
        <v>11</v>
      </c>
      <c r="H714" t="s">
        <v>16</v>
      </c>
      <c r="I714" t="s">
        <v>23</v>
      </c>
      <c r="J714" s="11">
        <f>DATE(B714,MATCH(C714,{"Jan","Feb","Mar","Apr","May","Jun","Jul","Aug","Sep","Oct","Nov","Dec"},0),D714)</f>
        <v>31249</v>
      </c>
      <c r="K714">
        <f t="shared" si="11"/>
        <v>37</v>
      </c>
    </row>
    <row r="715" spans="1:11" x14ac:dyDescent="0.35">
      <c r="A715" t="s">
        <v>747</v>
      </c>
      <c r="B715">
        <v>1991</v>
      </c>
      <c r="C715" t="s">
        <v>10</v>
      </c>
      <c r="D715">
        <v>25</v>
      </c>
      <c r="E715">
        <v>3</v>
      </c>
      <c r="F715" s="15">
        <v>6113.23</v>
      </c>
      <c r="G715" t="s">
        <v>11</v>
      </c>
      <c r="H715" t="s">
        <v>11</v>
      </c>
      <c r="I715" t="s">
        <v>247</v>
      </c>
      <c r="J715" s="11">
        <f>DATE(B715,MATCH(C715,{"Jan","Feb","Mar","Apr","May","Jun","Jul","Aug","Sep","Oct","Nov","Dec"},0),D715)</f>
        <v>33444</v>
      </c>
      <c r="K715">
        <f t="shared" si="11"/>
        <v>31</v>
      </c>
    </row>
    <row r="716" spans="1:11" x14ac:dyDescent="0.35">
      <c r="A716" t="s">
        <v>748</v>
      </c>
      <c r="B716">
        <v>1983</v>
      </c>
      <c r="C716" t="s">
        <v>35</v>
      </c>
      <c r="D716">
        <v>11</v>
      </c>
      <c r="E716">
        <v>1</v>
      </c>
      <c r="F716" s="15">
        <v>6117.49</v>
      </c>
      <c r="G716" t="s">
        <v>11</v>
      </c>
      <c r="H716" t="s">
        <v>12</v>
      </c>
      <c r="I716" t="s">
        <v>23</v>
      </c>
      <c r="J716" s="11">
        <f>DATE(B716,MATCH(C716,{"Jan","Feb","Mar","Apr","May","Jun","Jul","Aug","Sep","Oct","Nov","Dec"},0),D716)</f>
        <v>30539</v>
      </c>
      <c r="K716">
        <f t="shared" si="11"/>
        <v>39</v>
      </c>
    </row>
    <row r="717" spans="1:11" x14ac:dyDescent="0.35">
      <c r="A717" t="s">
        <v>749</v>
      </c>
      <c r="B717">
        <v>1983</v>
      </c>
      <c r="C717" t="s">
        <v>15</v>
      </c>
      <c r="D717">
        <v>16</v>
      </c>
      <c r="E717">
        <v>1</v>
      </c>
      <c r="F717" s="15">
        <v>6123.57</v>
      </c>
      <c r="G717" t="s">
        <v>12</v>
      </c>
      <c r="H717" t="s">
        <v>11</v>
      </c>
      <c r="I717" t="s">
        <v>23</v>
      </c>
      <c r="J717" s="11">
        <f>DATE(B717,MATCH(C717,{"Jan","Feb","Mar","Apr","May","Jun","Jul","Aug","Sep","Oct","Nov","Dec"},0),D717)</f>
        <v>30636</v>
      </c>
      <c r="K717">
        <f t="shared" si="11"/>
        <v>39</v>
      </c>
    </row>
    <row r="718" spans="1:11" x14ac:dyDescent="0.35">
      <c r="A718" t="s">
        <v>750</v>
      </c>
      <c r="B718">
        <v>1990</v>
      </c>
      <c r="C718" t="s">
        <v>35</v>
      </c>
      <c r="D718">
        <v>18</v>
      </c>
      <c r="E718">
        <v>3</v>
      </c>
      <c r="F718" s="15">
        <v>6128.8</v>
      </c>
      <c r="G718" t="s">
        <v>11</v>
      </c>
      <c r="H718" t="s">
        <v>12</v>
      </c>
      <c r="I718" t="s">
        <v>23</v>
      </c>
      <c r="J718" s="11">
        <f>DATE(B718,MATCH(C718,{"Jan","Feb","Mar","Apr","May","Jun","Jul","Aug","Sep","Oct","Nov","Dec"},0),D718)</f>
        <v>33103</v>
      </c>
      <c r="K718">
        <f t="shared" si="11"/>
        <v>32</v>
      </c>
    </row>
    <row r="719" spans="1:11" x14ac:dyDescent="0.35">
      <c r="A719" t="s">
        <v>751</v>
      </c>
      <c r="B719">
        <v>1969</v>
      </c>
      <c r="C719" t="s">
        <v>15</v>
      </c>
      <c r="D719">
        <v>9</v>
      </c>
      <c r="E719">
        <v>0</v>
      </c>
      <c r="F719" s="15">
        <v>6138.5</v>
      </c>
      <c r="G719" t="s">
        <v>11</v>
      </c>
      <c r="H719" t="s">
        <v>11</v>
      </c>
      <c r="I719" t="s">
        <v>42</v>
      </c>
      <c r="J719" s="11">
        <f>DATE(B719,MATCH(C719,{"Jan","Feb","Mar","Apr","May","Jun","Jul","Aug","Sep","Oct","Nov","Dec"},0),D719)</f>
        <v>25516</v>
      </c>
      <c r="K719">
        <f t="shared" si="11"/>
        <v>53</v>
      </c>
    </row>
    <row r="720" spans="1:11" x14ac:dyDescent="0.35">
      <c r="A720" t="s">
        <v>752</v>
      </c>
      <c r="B720">
        <v>1978</v>
      </c>
      <c r="C720" t="s">
        <v>20</v>
      </c>
      <c r="D720">
        <v>5</v>
      </c>
      <c r="E720">
        <v>2</v>
      </c>
      <c r="F720" s="15">
        <v>6138.58</v>
      </c>
      <c r="G720" t="s">
        <v>11</v>
      </c>
      <c r="H720" t="s">
        <v>16</v>
      </c>
      <c r="I720" t="s">
        <v>13</v>
      </c>
      <c r="J720" s="11">
        <f>DATE(B720,MATCH(C720,{"Jan","Feb","Mar","Apr","May","Jun","Jul","Aug","Sep","Oct","Nov","Dec"},0),D720)</f>
        <v>28738</v>
      </c>
      <c r="K720">
        <f t="shared" si="11"/>
        <v>44</v>
      </c>
    </row>
    <row r="721" spans="1:11" x14ac:dyDescent="0.35">
      <c r="A721" t="s">
        <v>753</v>
      </c>
      <c r="B721">
        <v>1976</v>
      </c>
      <c r="C721" t="s">
        <v>30</v>
      </c>
      <c r="D721">
        <v>12</v>
      </c>
      <c r="E721">
        <v>2</v>
      </c>
      <c r="F721" s="15">
        <v>6139.14</v>
      </c>
      <c r="G721" t="s">
        <v>11</v>
      </c>
      <c r="H721" t="s">
        <v>12</v>
      </c>
      <c r="I721" t="s">
        <v>13</v>
      </c>
      <c r="J721" s="11">
        <f>DATE(B721,MATCH(C721,{"Jan","Feb","Mar","Apr","May","Jun","Jul","Aug","Sep","Oct","Nov","Dec"},0),D721)</f>
        <v>28106</v>
      </c>
      <c r="K721">
        <f t="shared" si="11"/>
        <v>46</v>
      </c>
    </row>
    <row r="722" spans="1:11" x14ac:dyDescent="0.35">
      <c r="A722" t="s">
        <v>754</v>
      </c>
      <c r="B722">
        <v>1970</v>
      </c>
      <c r="C722" t="s">
        <v>37</v>
      </c>
      <c r="D722">
        <v>14</v>
      </c>
      <c r="E722">
        <v>0</v>
      </c>
      <c r="F722" s="15">
        <v>6147.12</v>
      </c>
      <c r="G722" t="s">
        <v>11</v>
      </c>
      <c r="H722" t="s">
        <v>12</v>
      </c>
      <c r="I722" t="s">
        <v>23</v>
      </c>
      <c r="J722" s="11">
        <f>DATE(B722,MATCH(C722,{"Jan","Feb","Mar","Apr","May","Jun","Jul","Aug","Sep","Oct","Nov","Dec"},0),D722)</f>
        <v>25855</v>
      </c>
      <c r="K722">
        <f t="shared" si="11"/>
        <v>52</v>
      </c>
    </row>
    <row r="723" spans="1:11" x14ac:dyDescent="0.35">
      <c r="A723" t="s">
        <v>755</v>
      </c>
      <c r="B723">
        <v>1973</v>
      </c>
      <c r="C723" t="s">
        <v>15</v>
      </c>
      <c r="D723">
        <v>6</v>
      </c>
      <c r="E723">
        <v>0</v>
      </c>
      <c r="F723" s="15">
        <v>6152.05</v>
      </c>
      <c r="G723" t="s">
        <v>11</v>
      </c>
      <c r="H723" t="s">
        <v>12</v>
      </c>
      <c r="I723" t="s">
        <v>13</v>
      </c>
      <c r="J723" s="11">
        <f>DATE(B723,MATCH(C723,{"Jan","Feb","Mar","Apr","May","Jun","Jul","Aug","Sep","Oct","Nov","Dec"},0),D723)</f>
        <v>26974</v>
      </c>
      <c r="K723">
        <f t="shared" si="11"/>
        <v>49</v>
      </c>
    </row>
    <row r="724" spans="1:11" x14ac:dyDescent="0.35">
      <c r="A724" t="s">
        <v>756</v>
      </c>
      <c r="B724">
        <v>1985</v>
      </c>
      <c r="C724" t="s">
        <v>37</v>
      </c>
      <c r="D724">
        <v>15</v>
      </c>
      <c r="E724">
        <v>3</v>
      </c>
      <c r="F724" s="15">
        <v>6159.57</v>
      </c>
      <c r="G724" t="s">
        <v>11</v>
      </c>
      <c r="H724" t="s">
        <v>16</v>
      </c>
      <c r="I724" t="s">
        <v>23</v>
      </c>
      <c r="J724" s="11">
        <f>DATE(B724,MATCH(C724,{"Jan","Feb","Mar","Apr","May","Jun","Jul","Aug","Sep","Oct","Nov","Dec"},0),D724)</f>
        <v>31335</v>
      </c>
      <c r="K724">
        <f t="shared" si="11"/>
        <v>37</v>
      </c>
    </row>
    <row r="725" spans="1:11" x14ac:dyDescent="0.35">
      <c r="A725" t="s">
        <v>757</v>
      </c>
      <c r="B725">
        <v>1984</v>
      </c>
      <c r="C725" t="s">
        <v>37</v>
      </c>
      <c r="D725">
        <v>6</v>
      </c>
      <c r="E725">
        <v>3</v>
      </c>
      <c r="F725" s="15">
        <v>6170.96</v>
      </c>
      <c r="G725" t="s">
        <v>11</v>
      </c>
      <c r="H725" t="s">
        <v>16</v>
      </c>
      <c r="I725" t="s">
        <v>13</v>
      </c>
      <c r="J725" s="11">
        <f>DATE(B725,MATCH(C725,{"Jan","Feb","Mar","Apr","May","Jun","Jul","Aug","Sep","Oct","Nov","Dec"},0),D725)</f>
        <v>30961</v>
      </c>
      <c r="K725">
        <f t="shared" si="11"/>
        <v>38</v>
      </c>
    </row>
    <row r="726" spans="1:11" x14ac:dyDescent="0.35">
      <c r="A726" t="s">
        <v>758</v>
      </c>
      <c r="B726">
        <v>1985</v>
      </c>
      <c r="C726" t="s">
        <v>35</v>
      </c>
      <c r="D726">
        <v>9</v>
      </c>
      <c r="E726">
        <v>3</v>
      </c>
      <c r="F726" s="15">
        <v>6183.32</v>
      </c>
      <c r="G726" t="s">
        <v>11</v>
      </c>
      <c r="H726" t="s">
        <v>11</v>
      </c>
      <c r="I726" t="s">
        <v>23</v>
      </c>
      <c r="J726" s="11">
        <f>DATE(B726,MATCH(C726,{"Jan","Feb","Mar","Apr","May","Jun","Jul","Aug","Sep","Oct","Nov","Dec"},0),D726)</f>
        <v>31268</v>
      </c>
      <c r="K726">
        <f t="shared" si="11"/>
        <v>37</v>
      </c>
    </row>
    <row r="727" spans="1:11" x14ac:dyDescent="0.35">
      <c r="A727" t="s">
        <v>759</v>
      </c>
      <c r="B727">
        <v>1970</v>
      </c>
      <c r="C727" t="s">
        <v>37</v>
      </c>
      <c r="D727">
        <v>5</v>
      </c>
      <c r="E727">
        <v>0</v>
      </c>
      <c r="F727" s="15">
        <v>6183.46</v>
      </c>
      <c r="G727" t="s">
        <v>11</v>
      </c>
      <c r="H727" t="s">
        <v>11</v>
      </c>
      <c r="I727" t="s">
        <v>23</v>
      </c>
      <c r="J727" s="11">
        <f>DATE(B727,MATCH(C727,{"Jan","Feb","Mar","Apr","May","Jun","Jul","Aug","Sep","Oct","Nov","Dec"},0),D727)</f>
        <v>25846</v>
      </c>
      <c r="K727">
        <f t="shared" si="11"/>
        <v>52</v>
      </c>
    </row>
    <row r="728" spans="1:11" x14ac:dyDescent="0.35">
      <c r="A728" t="s">
        <v>760</v>
      </c>
      <c r="B728">
        <v>1988</v>
      </c>
      <c r="C728" t="s">
        <v>15</v>
      </c>
      <c r="D728">
        <v>1</v>
      </c>
      <c r="E728">
        <v>3</v>
      </c>
      <c r="F728" s="15">
        <v>6184.3</v>
      </c>
      <c r="G728" t="s">
        <v>11</v>
      </c>
      <c r="H728" t="s">
        <v>12</v>
      </c>
      <c r="I728" t="s">
        <v>13</v>
      </c>
      <c r="J728" s="11">
        <f>DATE(B728,MATCH(C728,{"Jan","Feb","Mar","Apr","May","Jun","Jul","Aug","Sep","Oct","Nov","Dec"},0),D728)</f>
        <v>32448</v>
      </c>
      <c r="K728">
        <f t="shared" si="11"/>
        <v>34</v>
      </c>
    </row>
    <row r="729" spans="1:11" x14ac:dyDescent="0.35">
      <c r="A729" t="s">
        <v>761</v>
      </c>
      <c r="B729">
        <v>1981</v>
      </c>
      <c r="C729" t="s">
        <v>15</v>
      </c>
      <c r="D729">
        <v>22</v>
      </c>
      <c r="E729">
        <v>0</v>
      </c>
      <c r="F729" s="15">
        <v>6185.32</v>
      </c>
      <c r="G729" t="s">
        <v>11</v>
      </c>
      <c r="H729" t="s">
        <v>16</v>
      </c>
      <c r="I729" t="s">
        <v>13</v>
      </c>
      <c r="J729" s="11">
        <f>DATE(B729,MATCH(C729,{"Jan","Feb","Mar","Apr","May","Jun","Jul","Aug","Sep","Oct","Nov","Dec"},0),D729)</f>
        <v>29912</v>
      </c>
      <c r="K729">
        <f t="shared" si="11"/>
        <v>41</v>
      </c>
    </row>
    <row r="730" spans="1:11" x14ac:dyDescent="0.35">
      <c r="A730" t="s">
        <v>762</v>
      </c>
      <c r="B730">
        <v>1981</v>
      </c>
      <c r="C730" t="s">
        <v>37</v>
      </c>
      <c r="D730">
        <v>1</v>
      </c>
      <c r="E730">
        <v>0</v>
      </c>
      <c r="F730" s="15">
        <v>6186.13</v>
      </c>
      <c r="G730" t="s">
        <v>11</v>
      </c>
      <c r="H730" t="s">
        <v>12</v>
      </c>
      <c r="I730" t="s">
        <v>42</v>
      </c>
      <c r="J730" s="11">
        <f>DATE(B730,MATCH(C730,{"Jan","Feb","Mar","Apr","May","Jun","Jul","Aug","Sep","Oct","Nov","Dec"},0),D730)</f>
        <v>29860</v>
      </c>
      <c r="K730">
        <f t="shared" si="11"/>
        <v>41</v>
      </c>
    </row>
    <row r="731" spans="1:11" x14ac:dyDescent="0.35">
      <c r="A731" t="s">
        <v>763</v>
      </c>
      <c r="B731">
        <v>1988</v>
      </c>
      <c r="C731" t="s">
        <v>37</v>
      </c>
      <c r="D731">
        <v>23</v>
      </c>
      <c r="E731">
        <v>3</v>
      </c>
      <c r="F731" s="15">
        <v>6196.45</v>
      </c>
      <c r="G731" t="s">
        <v>11</v>
      </c>
      <c r="H731" t="s">
        <v>16</v>
      </c>
      <c r="I731" t="s">
        <v>42</v>
      </c>
      <c r="J731" s="11">
        <f>DATE(B731,MATCH(C731,{"Jan","Feb","Mar","Apr","May","Jun","Jul","Aug","Sep","Oct","Nov","Dec"},0),D731)</f>
        <v>32439</v>
      </c>
      <c r="K731">
        <f t="shared" si="11"/>
        <v>34</v>
      </c>
    </row>
    <row r="732" spans="1:11" x14ac:dyDescent="0.35">
      <c r="A732" t="s">
        <v>764</v>
      </c>
      <c r="B732">
        <v>1985</v>
      </c>
      <c r="C732" t="s">
        <v>10</v>
      </c>
      <c r="D732">
        <v>22</v>
      </c>
      <c r="E732">
        <v>2</v>
      </c>
      <c r="F732" s="15">
        <v>6198.75</v>
      </c>
      <c r="G732" t="s">
        <v>11</v>
      </c>
      <c r="H732" t="s">
        <v>16</v>
      </c>
      <c r="I732" t="s">
        <v>23</v>
      </c>
      <c r="J732" s="11">
        <f>DATE(B732,MATCH(C732,{"Jan","Feb","Mar","Apr","May","Jun","Jul","Aug","Sep","Oct","Nov","Dec"},0),D732)</f>
        <v>31250</v>
      </c>
      <c r="K732">
        <f t="shared" si="11"/>
        <v>37</v>
      </c>
    </row>
    <row r="733" spans="1:11" x14ac:dyDescent="0.35">
      <c r="A733" t="s">
        <v>31</v>
      </c>
      <c r="B733">
        <v>1985</v>
      </c>
      <c r="C733" t="s">
        <v>30</v>
      </c>
      <c r="D733">
        <v>20</v>
      </c>
      <c r="E733">
        <v>2</v>
      </c>
      <c r="F733" s="15">
        <v>6203.9</v>
      </c>
      <c r="G733" t="s">
        <v>16</v>
      </c>
      <c r="H733" t="s">
        <v>11</v>
      </c>
      <c r="I733" t="s">
        <v>23</v>
      </c>
      <c r="J733" s="11">
        <f>DATE(B733,MATCH(C733,{"Jan","Feb","Mar","Apr","May","Jun","Jul","Aug","Sep","Oct","Nov","Dec"},0),D733)</f>
        <v>31401</v>
      </c>
      <c r="K733">
        <f t="shared" si="11"/>
        <v>37</v>
      </c>
    </row>
    <row r="734" spans="1:11" x14ac:dyDescent="0.35">
      <c r="A734" t="s">
        <v>765</v>
      </c>
      <c r="B734">
        <v>1985</v>
      </c>
      <c r="C734" t="s">
        <v>20</v>
      </c>
      <c r="D734">
        <v>22</v>
      </c>
      <c r="E734">
        <v>2</v>
      </c>
      <c r="F734" s="15">
        <v>6203.9</v>
      </c>
      <c r="G734" t="s">
        <v>11</v>
      </c>
      <c r="H734" t="s">
        <v>11</v>
      </c>
      <c r="I734" t="s">
        <v>23</v>
      </c>
      <c r="J734" s="11">
        <f>DATE(B734,MATCH(C734,{"Jan","Feb","Mar","Apr","May","Jun","Jul","Aug","Sep","Oct","Nov","Dec"},0),D734)</f>
        <v>31312</v>
      </c>
      <c r="K734">
        <f t="shared" si="11"/>
        <v>37</v>
      </c>
    </row>
    <row r="735" spans="1:11" x14ac:dyDescent="0.35">
      <c r="A735" t="s">
        <v>766</v>
      </c>
      <c r="B735">
        <v>1999</v>
      </c>
      <c r="C735" t="s">
        <v>20</v>
      </c>
      <c r="D735">
        <v>10</v>
      </c>
      <c r="E735">
        <v>0</v>
      </c>
      <c r="F735" s="15">
        <v>6207.26</v>
      </c>
      <c r="G735" t="s">
        <v>11</v>
      </c>
      <c r="H735" t="s">
        <v>11</v>
      </c>
      <c r="I735" t="s">
        <v>535</v>
      </c>
      <c r="J735" s="11">
        <f>DATE(B735,MATCH(C735,{"Jan","Feb","Mar","Apr","May","Jun","Jul","Aug","Sep","Oct","Nov","Dec"},0),D735)</f>
        <v>36413</v>
      </c>
      <c r="K735">
        <f t="shared" si="11"/>
        <v>23</v>
      </c>
    </row>
    <row r="736" spans="1:11" x14ac:dyDescent="0.35">
      <c r="A736" t="s">
        <v>767</v>
      </c>
      <c r="B736">
        <v>1992</v>
      </c>
      <c r="C736" t="s">
        <v>35</v>
      </c>
      <c r="D736">
        <v>12</v>
      </c>
      <c r="E736">
        <v>0</v>
      </c>
      <c r="F736" s="15">
        <v>6208.5</v>
      </c>
      <c r="G736" t="s">
        <v>11</v>
      </c>
      <c r="H736" t="s">
        <v>16</v>
      </c>
      <c r="I736" t="s">
        <v>300</v>
      </c>
      <c r="J736" s="11">
        <f>DATE(B736,MATCH(C736,{"Jan","Feb","Mar","Apr","May","Jun","Jul","Aug","Sep","Oct","Nov","Dec"},0),D736)</f>
        <v>33828</v>
      </c>
      <c r="K736">
        <f t="shared" si="11"/>
        <v>30</v>
      </c>
    </row>
    <row r="737" spans="1:11" x14ac:dyDescent="0.35">
      <c r="A737" t="s">
        <v>768</v>
      </c>
      <c r="B737">
        <v>1972</v>
      </c>
      <c r="C737" t="s">
        <v>18</v>
      </c>
      <c r="D737">
        <v>29</v>
      </c>
      <c r="E737">
        <v>0</v>
      </c>
      <c r="F737" s="15">
        <v>6219.93</v>
      </c>
      <c r="G737" t="s">
        <v>11</v>
      </c>
      <c r="H737" t="s">
        <v>11</v>
      </c>
      <c r="I737" t="s">
        <v>13</v>
      </c>
      <c r="J737" s="11">
        <f>DATE(B737,MATCH(C737,{"Jan","Feb","Mar","Apr","May","Jun","Jul","Aug","Sep","Oct","Nov","Dec"},0),D737)</f>
        <v>26479</v>
      </c>
      <c r="K737">
        <f t="shared" si="11"/>
        <v>50</v>
      </c>
    </row>
    <row r="738" spans="1:11" x14ac:dyDescent="0.35">
      <c r="A738" t="s">
        <v>769</v>
      </c>
      <c r="B738">
        <v>1978</v>
      </c>
      <c r="C738" t="s">
        <v>20</v>
      </c>
      <c r="D738">
        <v>19</v>
      </c>
      <c r="E738">
        <v>2</v>
      </c>
      <c r="F738" s="15">
        <v>6236.95</v>
      </c>
      <c r="G738" t="s">
        <v>11</v>
      </c>
      <c r="H738" t="s">
        <v>11</v>
      </c>
      <c r="I738" t="s">
        <v>13</v>
      </c>
      <c r="J738" s="11">
        <f>DATE(B738,MATCH(C738,{"Jan","Feb","Mar","Apr","May","Jun","Jul","Aug","Sep","Oct","Nov","Dec"},0),D738)</f>
        <v>28752</v>
      </c>
      <c r="K738">
        <f t="shared" si="11"/>
        <v>44</v>
      </c>
    </row>
    <row r="739" spans="1:11" x14ac:dyDescent="0.35">
      <c r="A739" t="s">
        <v>770</v>
      </c>
      <c r="B739">
        <v>1983</v>
      </c>
      <c r="C739" t="s">
        <v>35</v>
      </c>
      <c r="D739">
        <v>11</v>
      </c>
      <c r="E739">
        <v>1</v>
      </c>
      <c r="F739" s="15">
        <v>6238.3</v>
      </c>
      <c r="G739" t="s">
        <v>11</v>
      </c>
      <c r="H739" t="s">
        <v>16</v>
      </c>
      <c r="I739" t="s">
        <v>42</v>
      </c>
      <c r="J739" s="11">
        <f>DATE(B739,MATCH(C739,{"Jan","Feb","Mar","Apr","May","Jun","Jul","Aug","Sep","Oct","Nov","Dec"},0),D739)</f>
        <v>30539</v>
      </c>
      <c r="K739">
        <f t="shared" si="11"/>
        <v>39</v>
      </c>
    </row>
    <row r="740" spans="1:11" x14ac:dyDescent="0.35">
      <c r="A740" t="s">
        <v>771</v>
      </c>
      <c r="B740">
        <v>1979</v>
      </c>
      <c r="C740" t="s">
        <v>37</v>
      </c>
      <c r="D740">
        <v>10</v>
      </c>
      <c r="E740">
        <v>0</v>
      </c>
      <c r="F740" s="15">
        <v>6250.44</v>
      </c>
      <c r="G740" t="s">
        <v>11</v>
      </c>
      <c r="H740" t="s">
        <v>16</v>
      </c>
      <c r="I740" t="s">
        <v>42</v>
      </c>
      <c r="J740" s="11">
        <f>DATE(B740,MATCH(C740,{"Jan","Feb","Mar","Apr","May","Jun","Jul","Aug","Sep","Oct","Nov","Dec"},0),D740)</f>
        <v>29138</v>
      </c>
      <c r="K740">
        <f t="shared" si="11"/>
        <v>43</v>
      </c>
    </row>
    <row r="741" spans="1:11" x14ac:dyDescent="0.35">
      <c r="A741" t="s">
        <v>772</v>
      </c>
      <c r="B741">
        <v>1972</v>
      </c>
      <c r="C741" t="s">
        <v>15</v>
      </c>
      <c r="D741">
        <v>11</v>
      </c>
      <c r="E741">
        <v>0</v>
      </c>
      <c r="F741" s="15">
        <v>6253.85</v>
      </c>
      <c r="G741" t="s">
        <v>11</v>
      </c>
      <c r="H741" t="s">
        <v>11</v>
      </c>
      <c r="I741" t="s">
        <v>13</v>
      </c>
      <c r="J741" s="11">
        <f>DATE(B741,MATCH(C741,{"Jan","Feb","Mar","Apr","May","Jun","Jul","Aug","Sep","Oct","Nov","Dec"},0),D741)</f>
        <v>26614</v>
      </c>
      <c r="K741">
        <f t="shared" si="11"/>
        <v>50</v>
      </c>
    </row>
    <row r="742" spans="1:11" x14ac:dyDescent="0.35">
      <c r="A742" t="s">
        <v>773</v>
      </c>
      <c r="B742">
        <v>1972</v>
      </c>
      <c r="C742" t="s">
        <v>20</v>
      </c>
      <c r="D742">
        <v>8</v>
      </c>
      <c r="E742">
        <v>0</v>
      </c>
      <c r="F742" s="15">
        <v>6254.13</v>
      </c>
      <c r="G742" t="s">
        <v>11</v>
      </c>
      <c r="H742" t="s">
        <v>11</v>
      </c>
      <c r="I742" t="s">
        <v>23</v>
      </c>
      <c r="J742" s="11">
        <f>DATE(B742,MATCH(C742,{"Jan","Feb","Mar","Apr","May","Jun","Jul","Aug","Sep","Oct","Nov","Dec"},0),D742)</f>
        <v>26550</v>
      </c>
      <c r="K742">
        <f t="shared" si="11"/>
        <v>50</v>
      </c>
    </row>
    <row r="743" spans="1:11" x14ac:dyDescent="0.35">
      <c r="A743" t="s">
        <v>774</v>
      </c>
      <c r="B743">
        <v>1970</v>
      </c>
      <c r="C743" t="s">
        <v>37</v>
      </c>
      <c r="D743">
        <v>11</v>
      </c>
      <c r="E743">
        <v>0</v>
      </c>
      <c r="F743" s="15">
        <v>6255.38</v>
      </c>
      <c r="G743" t="s">
        <v>11</v>
      </c>
      <c r="H743" t="s">
        <v>11</v>
      </c>
      <c r="I743" t="s">
        <v>13</v>
      </c>
      <c r="J743" s="11">
        <f>DATE(B743,MATCH(C743,{"Jan","Feb","Mar","Apr","May","Jun","Jul","Aug","Sep","Oct","Nov","Dec"},0),D743)</f>
        <v>25852</v>
      </c>
      <c r="K743">
        <f t="shared" si="11"/>
        <v>52</v>
      </c>
    </row>
    <row r="744" spans="1:11" x14ac:dyDescent="0.35">
      <c r="A744" t="s">
        <v>775</v>
      </c>
      <c r="B744">
        <v>1995</v>
      </c>
      <c r="C744" t="s">
        <v>37</v>
      </c>
      <c r="D744">
        <v>17</v>
      </c>
      <c r="E744">
        <v>0</v>
      </c>
      <c r="F744" s="15">
        <v>6261.2</v>
      </c>
      <c r="G744" t="s">
        <v>11</v>
      </c>
      <c r="H744" t="s">
        <v>16</v>
      </c>
      <c r="I744" t="s">
        <v>535</v>
      </c>
      <c r="J744" s="11">
        <f>DATE(B744,MATCH(C744,{"Jan","Feb","Mar","Apr","May","Jun","Jul","Aug","Sep","Oct","Nov","Dec"},0),D744)</f>
        <v>34989</v>
      </c>
      <c r="K744">
        <f t="shared" si="11"/>
        <v>27</v>
      </c>
    </row>
    <row r="745" spans="1:11" x14ac:dyDescent="0.35">
      <c r="A745" t="s">
        <v>776</v>
      </c>
      <c r="B745">
        <v>1984</v>
      </c>
      <c r="C745" t="s">
        <v>20</v>
      </c>
      <c r="D745">
        <v>25</v>
      </c>
      <c r="E745">
        <v>3</v>
      </c>
      <c r="F745" s="15">
        <v>6269.33</v>
      </c>
      <c r="G745" t="s">
        <v>11</v>
      </c>
      <c r="H745" t="s">
        <v>16</v>
      </c>
      <c r="I745" t="s">
        <v>13</v>
      </c>
      <c r="J745" s="11">
        <f>DATE(B745,MATCH(C745,{"Jan","Feb","Mar","Apr","May","Jun","Jul","Aug","Sep","Oct","Nov","Dec"},0),D745)</f>
        <v>30950</v>
      </c>
      <c r="K745">
        <f t="shared" si="11"/>
        <v>38</v>
      </c>
    </row>
    <row r="746" spans="1:11" x14ac:dyDescent="0.35">
      <c r="A746" t="s">
        <v>777</v>
      </c>
      <c r="B746">
        <v>1981</v>
      </c>
      <c r="C746" t="s">
        <v>18</v>
      </c>
      <c r="D746">
        <v>30</v>
      </c>
      <c r="E746">
        <v>1</v>
      </c>
      <c r="F746" s="15">
        <v>6272.48</v>
      </c>
      <c r="G746" t="s">
        <v>16</v>
      </c>
      <c r="H746" t="s">
        <v>12</v>
      </c>
      <c r="I746" t="s">
        <v>13</v>
      </c>
      <c r="J746" s="11">
        <f>DATE(B746,MATCH(C746,{"Jan","Feb","Mar","Apr","May","Jun","Jul","Aug","Sep","Oct","Nov","Dec"},0),D746)</f>
        <v>29767</v>
      </c>
      <c r="K746">
        <f t="shared" si="11"/>
        <v>41</v>
      </c>
    </row>
    <row r="747" spans="1:11" x14ac:dyDescent="0.35">
      <c r="A747" t="s">
        <v>778</v>
      </c>
      <c r="B747">
        <v>1993</v>
      </c>
      <c r="C747" t="s">
        <v>37</v>
      </c>
      <c r="D747">
        <v>16</v>
      </c>
      <c r="E747">
        <v>0</v>
      </c>
      <c r="F747" s="15">
        <v>6276.3</v>
      </c>
      <c r="G747" t="s">
        <v>11</v>
      </c>
      <c r="H747" t="s">
        <v>16</v>
      </c>
      <c r="I747" t="s">
        <v>200</v>
      </c>
      <c r="J747" s="11">
        <f>DATE(B747,MATCH(C747,{"Jan","Feb","Mar","Apr","May","Jun","Jul","Aug","Sep","Oct","Nov","Dec"},0),D747)</f>
        <v>34258</v>
      </c>
      <c r="K747">
        <f t="shared" si="11"/>
        <v>29</v>
      </c>
    </row>
    <row r="748" spans="1:11" x14ac:dyDescent="0.35">
      <c r="A748" t="s">
        <v>779</v>
      </c>
      <c r="B748">
        <v>1981</v>
      </c>
      <c r="C748" t="s">
        <v>15</v>
      </c>
      <c r="D748">
        <v>24</v>
      </c>
      <c r="E748">
        <v>1</v>
      </c>
      <c r="F748" s="15">
        <v>6282.24</v>
      </c>
      <c r="G748" t="s">
        <v>11</v>
      </c>
      <c r="H748" t="s">
        <v>16</v>
      </c>
      <c r="I748" t="s">
        <v>42</v>
      </c>
      <c r="J748" s="11">
        <f>DATE(B748,MATCH(C748,{"Jan","Feb","Mar","Apr","May","Jun","Jul","Aug","Sep","Oct","Nov","Dec"},0),D748)</f>
        <v>29914</v>
      </c>
      <c r="K748">
        <f t="shared" si="11"/>
        <v>41</v>
      </c>
    </row>
    <row r="749" spans="1:11" x14ac:dyDescent="0.35">
      <c r="A749" t="s">
        <v>780</v>
      </c>
      <c r="B749">
        <v>1981</v>
      </c>
      <c r="C749" t="s">
        <v>35</v>
      </c>
      <c r="D749">
        <v>26</v>
      </c>
      <c r="E749">
        <v>1</v>
      </c>
      <c r="F749" s="15">
        <v>6289.75</v>
      </c>
      <c r="G749" t="s">
        <v>11</v>
      </c>
      <c r="H749" t="s">
        <v>12</v>
      </c>
      <c r="I749" t="s">
        <v>13</v>
      </c>
      <c r="J749" s="11">
        <f>DATE(B749,MATCH(C749,{"Jan","Feb","Mar","Apr","May","Jun","Jul","Aug","Sep","Oct","Nov","Dec"},0),D749)</f>
        <v>29824</v>
      </c>
      <c r="K749">
        <f t="shared" si="11"/>
        <v>41</v>
      </c>
    </row>
    <row r="750" spans="1:11" x14ac:dyDescent="0.35">
      <c r="A750" t="s">
        <v>781</v>
      </c>
      <c r="B750">
        <v>1996</v>
      </c>
      <c r="C750" t="s">
        <v>10</v>
      </c>
      <c r="D750">
        <v>4</v>
      </c>
      <c r="E750">
        <v>0</v>
      </c>
      <c r="F750" s="15">
        <v>6293.63</v>
      </c>
      <c r="G750" t="s">
        <v>11</v>
      </c>
      <c r="H750" t="s">
        <v>12</v>
      </c>
      <c r="I750" t="s">
        <v>300</v>
      </c>
      <c r="J750" s="11">
        <f>DATE(B750,MATCH(C750,{"Jan","Feb","Mar","Apr","May","Jun","Jul","Aug","Sep","Oct","Nov","Dec"},0),D750)</f>
        <v>35250</v>
      </c>
      <c r="K750">
        <f t="shared" si="11"/>
        <v>26</v>
      </c>
    </row>
    <row r="751" spans="1:11" x14ac:dyDescent="0.35">
      <c r="A751" t="s">
        <v>782</v>
      </c>
      <c r="B751">
        <v>1974</v>
      </c>
      <c r="C751" t="s">
        <v>20</v>
      </c>
      <c r="D751">
        <v>17</v>
      </c>
      <c r="E751">
        <v>0</v>
      </c>
      <c r="F751" s="15">
        <v>6302.23</v>
      </c>
      <c r="G751" t="s">
        <v>11</v>
      </c>
      <c r="H751" t="s">
        <v>16</v>
      </c>
      <c r="I751" t="s">
        <v>13</v>
      </c>
      <c r="J751" s="11">
        <f>DATE(B751,MATCH(C751,{"Jan","Feb","Mar","Apr","May","Jun","Jul","Aug","Sep","Oct","Nov","Dec"},0),D751)</f>
        <v>27289</v>
      </c>
      <c r="K751">
        <f t="shared" si="11"/>
        <v>48</v>
      </c>
    </row>
    <row r="752" spans="1:11" x14ac:dyDescent="0.35">
      <c r="A752" t="s">
        <v>783</v>
      </c>
      <c r="B752">
        <v>1969</v>
      </c>
      <c r="C752" t="s">
        <v>20</v>
      </c>
      <c r="D752">
        <v>4</v>
      </c>
      <c r="E752">
        <v>0</v>
      </c>
      <c r="F752" s="15">
        <v>6305.61</v>
      </c>
      <c r="G752" t="s">
        <v>11</v>
      </c>
      <c r="H752" t="s">
        <v>11</v>
      </c>
      <c r="I752" t="s">
        <v>23</v>
      </c>
      <c r="J752" s="11">
        <f>DATE(B752,MATCH(C752,{"Jan","Feb","Mar","Apr","May","Jun","Jul","Aug","Sep","Oct","Nov","Dec"},0),D752)</f>
        <v>25450</v>
      </c>
      <c r="K752">
        <f t="shared" si="11"/>
        <v>53</v>
      </c>
    </row>
    <row r="753" spans="1:11" x14ac:dyDescent="0.35">
      <c r="A753" t="s">
        <v>784</v>
      </c>
      <c r="B753">
        <v>2004</v>
      </c>
      <c r="C753" t="s">
        <v>10</v>
      </c>
      <c r="D753">
        <v>27</v>
      </c>
      <c r="E753">
        <v>0</v>
      </c>
      <c r="F753" s="15">
        <v>6311.11</v>
      </c>
      <c r="G753" t="s">
        <v>11</v>
      </c>
      <c r="H753" t="s">
        <v>11</v>
      </c>
      <c r="I753" t="s">
        <v>42</v>
      </c>
      <c r="J753" s="11">
        <f>DATE(B753,MATCH(C753,{"Jan","Feb","Mar","Apr","May","Jun","Jul","Aug","Sep","Oct","Nov","Dec"},0),D753)</f>
        <v>38195</v>
      </c>
      <c r="K753">
        <f t="shared" si="11"/>
        <v>18</v>
      </c>
    </row>
    <row r="754" spans="1:11" x14ac:dyDescent="0.35">
      <c r="A754" t="s">
        <v>785</v>
      </c>
      <c r="B754">
        <v>1985</v>
      </c>
      <c r="C754" t="s">
        <v>15</v>
      </c>
      <c r="D754">
        <v>19</v>
      </c>
      <c r="E754">
        <v>2</v>
      </c>
      <c r="F754" s="15">
        <v>6311.95</v>
      </c>
      <c r="G754" t="s">
        <v>11</v>
      </c>
      <c r="H754" t="s">
        <v>16</v>
      </c>
      <c r="I754" t="s">
        <v>42</v>
      </c>
      <c r="J754" s="11">
        <f>DATE(B754,MATCH(C754,{"Jan","Feb","Mar","Apr","May","Jun","Jul","Aug","Sep","Oct","Nov","Dec"},0),D754)</f>
        <v>31370</v>
      </c>
      <c r="K754">
        <f t="shared" si="11"/>
        <v>37</v>
      </c>
    </row>
    <row r="755" spans="1:11" x14ac:dyDescent="0.35">
      <c r="A755" t="s">
        <v>786</v>
      </c>
      <c r="B755">
        <v>1985</v>
      </c>
      <c r="C755" t="s">
        <v>30</v>
      </c>
      <c r="D755">
        <v>15</v>
      </c>
      <c r="E755">
        <v>2</v>
      </c>
      <c r="F755" s="15">
        <v>6313.76</v>
      </c>
      <c r="G755" t="s">
        <v>11</v>
      </c>
      <c r="H755" t="s">
        <v>16</v>
      </c>
      <c r="I755" t="s">
        <v>13</v>
      </c>
      <c r="J755" s="11">
        <f>DATE(B755,MATCH(C755,{"Jan","Feb","Mar","Apr","May","Jun","Jul","Aug","Sep","Oct","Nov","Dec"},0),D755)</f>
        <v>31396</v>
      </c>
      <c r="K755">
        <f t="shared" si="11"/>
        <v>37</v>
      </c>
    </row>
    <row r="756" spans="1:11" x14ac:dyDescent="0.35">
      <c r="A756" t="s">
        <v>787</v>
      </c>
      <c r="B756">
        <v>1990</v>
      </c>
      <c r="C756" t="s">
        <v>35</v>
      </c>
      <c r="D756">
        <v>13</v>
      </c>
      <c r="E756">
        <v>3</v>
      </c>
      <c r="F756" s="15">
        <v>6334.34</v>
      </c>
      <c r="G756" t="s">
        <v>11</v>
      </c>
      <c r="H756" t="s">
        <v>11</v>
      </c>
      <c r="I756" t="s">
        <v>247</v>
      </c>
      <c r="J756" s="11">
        <f>DATE(B756,MATCH(C756,{"Jan","Feb","Mar","Apr","May","Jun","Jul","Aug","Sep","Oct","Nov","Dec"},0),D756)</f>
        <v>33098</v>
      </c>
      <c r="K756">
        <f t="shared" si="11"/>
        <v>32</v>
      </c>
    </row>
    <row r="757" spans="1:11" x14ac:dyDescent="0.35">
      <c r="A757" t="s">
        <v>788</v>
      </c>
      <c r="B757">
        <v>1986</v>
      </c>
      <c r="C757" t="s">
        <v>20</v>
      </c>
      <c r="D757">
        <v>25</v>
      </c>
      <c r="E757">
        <v>3</v>
      </c>
      <c r="F757" s="15">
        <v>6335.64</v>
      </c>
      <c r="G757" t="s">
        <v>11</v>
      </c>
      <c r="H757" t="s">
        <v>11</v>
      </c>
      <c r="I757" t="s">
        <v>13</v>
      </c>
      <c r="J757" s="11">
        <f>DATE(B757,MATCH(C757,{"Jan","Feb","Mar","Apr","May","Jun","Jul","Aug","Sep","Oct","Nov","Dec"},0),D757)</f>
        <v>31680</v>
      </c>
      <c r="K757">
        <f t="shared" si="11"/>
        <v>36</v>
      </c>
    </row>
    <row r="758" spans="1:11" x14ac:dyDescent="0.35">
      <c r="A758" t="s">
        <v>789</v>
      </c>
      <c r="B758">
        <v>1983</v>
      </c>
      <c r="C758" t="s">
        <v>37</v>
      </c>
      <c r="D758">
        <v>21</v>
      </c>
      <c r="E758">
        <v>2</v>
      </c>
      <c r="F758" s="15">
        <v>6338.08</v>
      </c>
      <c r="G758" t="s">
        <v>11</v>
      </c>
      <c r="H758" t="s">
        <v>16</v>
      </c>
      <c r="I758" t="s">
        <v>13</v>
      </c>
      <c r="J758" s="11">
        <f>DATE(B758,MATCH(C758,{"Jan","Feb","Mar","Apr","May","Jun","Jul","Aug","Sep","Oct","Nov","Dec"},0),D758)</f>
        <v>30610</v>
      </c>
      <c r="K758">
        <f t="shared" si="11"/>
        <v>39</v>
      </c>
    </row>
    <row r="759" spans="1:11" x14ac:dyDescent="0.35">
      <c r="A759" t="s">
        <v>790</v>
      </c>
      <c r="B759">
        <v>1983</v>
      </c>
      <c r="C759" t="s">
        <v>35</v>
      </c>
      <c r="D759">
        <v>19</v>
      </c>
      <c r="E759">
        <v>2</v>
      </c>
      <c r="F759" s="15">
        <v>6356.27</v>
      </c>
      <c r="G759" t="s">
        <v>12</v>
      </c>
      <c r="H759" t="s">
        <v>11</v>
      </c>
      <c r="I759" t="s">
        <v>13</v>
      </c>
      <c r="J759" s="11">
        <f>DATE(B759,MATCH(C759,{"Jan","Feb","Mar","Apr","May","Jun","Jul","Aug","Sep","Oct","Nov","Dec"},0),D759)</f>
        <v>30547</v>
      </c>
      <c r="K759">
        <f t="shared" si="11"/>
        <v>39</v>
      </c>
    </row>
    <row r="760" spans="1:11" x14ac:dyDescent="0.35">
      <c r="A760" t="s">
        <v>791</v>
      </c>
      <c r="B760">
        <v>1980</v>
      </c>
      <c r="C760" t="s">
        <v>37</v>
      </c>
      <c r="D760">
        <v>30</v>
      </c>
      <c r="E760">
        <v>0</v>
      </c>
      <c r="F760" s="15">
        <v>6358.78</v>
      </c>
      <c r="G760" t="s">
        <v>11</v>
      </c>
      <c r="H760" t="s">
        <v>16</v>
      </c>
      <c r="I760" t="s">
        <v>23</v>
      </c>
      <c r="J760" s="11">
        <f>DATE(B760,MATCH(C760,{"Jan","Feb","Mar","Apr","May","Jun","Jul","Aug","Sep","Oct","Nov","Dec"},0),D760)</f>
        <v>29524</v>
      </c>
      <c r="K760">
        <f t="shared" si="11"/>
        <v>42</v>
      </c>
    </row>
    <row r="761" spans="1:11" x14ac:dyDescent="0.35">
      <c r="A761" t="s">
        <v>792</v>
      </c>
      <c r="B761">
        <v>1989</v>
      </c>
      <c r="C761" t="s">
        <v>18</v>
      </c>
      <c r="D761">
        <v>24</v>
      </c>
      <c r="E761">
        <v>3</v>
      </c>
      <c r="F761" s="15">
        <v>6360.99</v>
      </c>
      <c r="G761" t="s">
        <v>11</v>
      </c>
      <c r="H761" t="s">
        <v>11</v>
      </c>
      <c r="I761" t="s">
        <v>23</v>
      </c>
      <c r="J761" s="11">
        <f>DATE(B761,MATCH(C761,{"Jan","Feb","Mar","Apr","May","Jun","Jul","Aug","Sep","Oct","Nov","Dec"},0),D761)</f>
        <v>32683</v>
      </c>
      <c r="K761">
        <f t="shared" si="11"/>
        <v>33</v>
      </c>
    </row>
    <row r="762" spans="1:11" x14ac:dyDescent="0.35">
      <c r="A762" t="s">
        <v>793</v>
      </c>
      <c r="B762">
        <v>1996</v>
      </c>
      <c r="C762" t="s">
        <v>10</v>
      </c>
      <c r="D762">
        <v>7</v>
      </c>
      <c r="E762">
        <v>0</v>
      </c>
      <c r="F762" s="15">
        <v>6361.47</v>
      </c>
      <c r="G762" t="s">
        <v>11</v>
      </c>
      <c r="H762" t="s">
        <v>12</v>
      </c>
      <c r="I762" t="s">
        <v>300</v>
      </c>
      <c r="J762" s="11">
        <f>DATE(B762,MATCH(C762,{"Jan","Feb","Mar","Apr","May","Jun","Jul","Aug","Sep","Oct","Nov","Dec"},0),D762)</f>
        <v>35253</v>
      </c>
      <c r="K762">
        <f t="shared" si="11"/>
        <v>26</v>
      </c>
    </row>
    <row r="763" spans="1:11" x14ac:dyDescent="0.35">
      <c r="A763" t="s">
        <v>794</v>
      </c>
      <c r="B763">
        <v>1970</v>
      </c>
      <c r="C763" t="s">
        <v>15</v>
      </c>
      <c r="D763">
        <v>9</v>
      </c>
      <c r="E763">
        <v>0</v>
      </c>
      <c r="F763" s="15">
        <v>6367.31</v>
      </c>
      <c r="G763" t="s">
        <v>11</v>
      </c>
      <c r="H763" t="s">
        <v>16</v>
      </c>
      <c r="I763" t="s">
        <v>13</v>
      </c>
      <c r="J763" s="11">
        <f>DATE(B763,MATCH(C763,{"Jan","Feb","Mar","Apr","May","Jun","Jul","Aug","Sep","Oct","Nov","Dec"},0),D763)</f>
        <v>25881</v>
      </c>
      <c r="K763">
        <f t="shared" si="11"/>
        <v>52</v>
      </c>
    </row>
    <row r="764" spans="1:11" x14ac:dyDescent="0.35">
      <c r="A764" t="s">
        <v>795</v>
      </c>
      <c r="B764">
        <v>1984</v>
      </c>
      <c r="C764" t="s">
        <v>35</v>
      </c>
      <c r="D764">
        <v>13</v>
      </c>
      <c r="E764">
        <v>1</v>
      </c>
      <c r="F764" s="15">
        <v>6373.56</v>
      </c>
      <c r="G764" t="s">
        <v>11</v>
      </c>
      <c r="H764" t="s">
        <v>16</v>
      </c>
      <c r="I764" t="s">
        <v>23</v>
      </c>
      <c r="J764" s="11">
        <f>DATE(B764,MATCH(C764,{"Jan","Feb","Mar","Apr","May","Jun","Jul","Aug","Sep","Oct","Nov","Dec"},0),D764)</f>
        <v>30907</v>
      </c>
      <c r="K764">
        <f t="shared" si="11"/>
        <v>38</v>
      </c>
    </row>
    <row r="765" spans="1:11" x14ac:dyDescent="0.35">
      <c r="A765" t="s">
        <v>796</v>
      </c>
      <c r="B765">
        <v>1976</v>
      </c>
      <c r="C765" t="s">
        <v>15</v>
      </c>
      <c r="D765">
        <v>18</v>
      </c>
      <c r="E765">
        <v>2</v>
      </c>
      <c r="F765" s="15">
        <v>6374.16</v>
      </c>
      <c r="G765" t="s">
        <v>11</v>
      </c>
      <c r="H765" t="s">
        <v>11</v>
      </c>
      <c r="I765" t="s">
        <v>13</v>
      </c>
      <c r="J765" s="11">
        <f>DATE(B765,MATCH(C765,{"Jan","Feb","Mar","Apr","May","Jun","Jul","Aug","Sep","Oct","Nov","Dec"},0),D765)</f>
        <v>28082</v>
      </c>
      <c r="K765">
        <f t="shared" si="11"/>
        <v>46</v>
      </c>
    </row>
    <row r="766" spans="1:11" x14ac:dyDescent="0.35">
      <c r="A766" t="s">
        <v>797</v>
      </c>
      <c r="B766">
        <v>1982</v>
      </c>
      <c r="C766" t="s">
        <v>35</v>
      </c>
      <c r="D766">
        <v>6</v>
      </c>
      <c r="E766">
        <v>1</v>
      </c>
      <c r="F766" s="15">
        <v>6389.38</v>
      </c>
      <c r="G766" t="s">
        <v>16</v>
      </c>
      <c r="H766" t="s">
        <v>11</v>
      </c>
      <c r="I766" t="s">
        <v>23</v>
      </c>
      <c r="J766" s="11">
        <f>DATE(B766,MATCH(C766,{"Jan","Feb","Mar","Apr","May","Jun","Jul","Aug","Sep","Oct","Nov","Dec"},0),D766)</f>
        <v>30169</v>
      </c>
      <c r="K766">
        <f t="shared" si="11"/>
        <v>40</v>
      </c>
    </row>
    <row r="767" spans="1:11" x14ac:dyDescent="0.35">
      <c r="A767" t="s">
        <v>798</v>
      </c>
      <c r="B767">
        <v>1997</v>
      </c>
      <c r="C767" t="s">
        <v>35</v>
      </c>
      <c r="D767">
        <v>16</v>
      </c>
      <c r="E767">
        <v>0</v>
      </c>
      <c r="F767" s="15">
        <v>6389.53</v>
      </c>
      <c r="G767" t="s">
        <v>11</v>
      </c>
      <c r="H767" t="s">
        <v>11</v>
      </c>
      <c r="I767" t="s">
        <v>300</v>
      </c>
      <c r="J767" s="11">
        <f>DATE(B767,MATCH(C767,{"Jan","Feb","Mar","Apr","May","Jun","Jul","Aug","Sep","Oct","Nov","Dec"},0),D767)</f>
        <v>35658</v>
      </c>
      <c r="K767">
        <f t="shared" si="11"/>
        <v>25</v>
      </c>
    </row>
    <row r="768" spans="1:11" x14ac:dyDescent="0.35">
      <c r="A768" t="s">
        <v>799</v>
      </c>
      <c r="B768">
        <v>1982</v>
      </c>
      <c r="C768" t="s">
        <v>37</v>
      </c>
      <c r="D768">
        <v>28</v>
      </c>
      <c r="E768">
        <v>1</v>
      </c>
      <c r="F768" s="15">
        <v>6393.6</v>
      </c>
      <c r="G768" t="s">
        <v>11</v>
      </c>
      <c r="H768" t="s">
        <v>16</v>
      </c>
      <c r="I768" t="s">
        <v>23</v>
      </c>
      <c r="J768" s="11">
        <f>DATE(B768,MATCH(C768,{"Jan","Feb","Mar","Apr","May","Jun","Jul","Aug","Sep","Oct","Nov","Dec"},0),D768)</f>
        <v>30252</v>
      </c>
      <c r="K768">
        <f t="shared" si="11"/>
        <v>40</v>
      </c>
    </row>
    <row r="769" spans="1:11" x14ac:dyDescent="0.35">
      <c r="A769" t="s">
        <v>800</v>
      </c>
      <c r="B769">
        <v>1987</v>
      </c>
      <c r="C769" t="s">
        <v>20</v>
      </c>
      <c r="D769">
        <v>9</v>
      </c>
      <c r="E769">
        <v>2</v>
      </c>
      <c r="F769" s="15">
        <v>6402.29</v>
      </c>
      <c r="G769" t="s">
        <v>11</v>
      </c>
      <c r="H769" t="s">
        <v>12</v>
      </c>
      <c r="I769" t="s">
        <v>247</v>
      </c>
      <c r="J769" s="11">
        <f>DATE(B769,MATCH(C769,{"Jan","Feb","Mar","Apr","May","Jun","Jul","Aug","Sep","Oct","Nov","Dec"},0),D769)</f>
        <v>32029</v>
      </c>
      <c r="K769">
        <f t="shared" si="11"/>
        <v>35</v>
      </c>
    </row>
    <row r="770" spans="1:11" x14ac:dyDescent="0.35">
      <c r="A770" t="s">
        <v>801</v>
      </c>
      <c r="B770">
        <v>1985</v>
      </c>
      <c r="C770" t="s">
        <v>30</v>
      </c>
      <c r="D770">
        <v>10</v>
      </c>
      <c r="E770">
        <v>2</v>
      </c>
      <c r="F770" s="15">
        <v>6406.41</v>
      </c>
      <c r="G770" t="s">
        <v>16</v>
      </c>
      <c r="H770" t="s">
        <v>12</v>
      </c>
      <c r="I770" t="s">
        <v>276</v>
      </c>
      <c r="J770" s="11">
        <f>DATE(B770,MATCH(C770,{"Jan","Feb","Mar","Apr","May","Jun","Jul","Aug","Sep","Oct","Nov","Dec"},0),D770)</f>
        <v>31391</v>
      </c>
      <c r="K770">
        <f t="shared" si="11"/>
        <v>37</v>
      </c>
    </row>
    <row r="771" spans="1:11" x14ac:dyDescent="0.35">
      <c r="A771" t="s">
        <v>802</v>
      </c>
      <c r="B771">
        <v>1970</v>
      </c>
      <c r="C771" t="s">
        <v>35</v>
      </c>
      <c r="D771">
        <v>20</v>
      </c>
      <c r="E771">
        <v>0</v>
      </c>
      <c r="F771" s="15">
        <v>6407.05</v>
      </c>
      <c r="G771" t="s">
        <v>11</v>
      </c>
      <c r="H771" t="s">
        <v>16</v>
      </c>
      <c r="I771" t="s">
        <v>13</v>
      </c>
      <c r="J771" s="11">
        <f>DATE(B771,MATCH(C771,{"Jan","Feb","Mar","Apr","May","Jun","Jul","Aug","Sep","Oct","Nov","Dec"},0),D771)</f>
        <v>25800</v>
      </c>
      <c r="K771">
        <f t="shared" ref="K771:K834" si="12">DATEDIF(J771,$N$1,"Y")</f>
        <v>52</v>
      </c>
    </row>
    <row r="772" spans="1:11" x14ac:dyDescent="0.35">
      <c r="A772" t="s">
        <v>803</v>
      </c>
      <c r="B772">
        <v>1971</v>
      </c>
      <c r="C772" t="s">
        <v>35</v>
      </c>
      <c r="D772">
        <v>22</v>
      </c>
      <c r="E772">
        <v>0</v>
      </c>
      <c r="F772" s="15">
        <v>6412.34</v>
      </c>
      <c r="G772" t="s">
        <v>11</v>
      </c>
      <c r="H772" t="s">
        <v>12</v>
      </c>
      <c r="I772" t="s">
        <v>13</v>
      </c>
      <c r="J772" s="11">
        <f>DATE(B772,MATCH(C772,{"Jan","Feb","Mar","Apr","May","Jun","Jul","Aug","Sep","Oct","Nov","Dec"},0),D772)</f>
        <v>26167</v>
      </c>
      <c r="K772">
        <f t="shared" si="12"/>
        <v>51</v>
      </c>
    </row>
    <row r="773" spans="1:11" x14ac:dyDescent="0.35">
      <c r="A773" t="s">
        <v>804</v>
      </c>
      <c r="B773">
        <v>1987</v>
      </c>
      <c r="C773" t="s">
        <v>20</v>
      </c>
      <c r="D773">
        <v>4</v>
      </c>
      <c r="E773">
        <v>3</v>
      </c>
      <c r="F773" s="15">
        <v>6414.18</v>
      </c>
      <c r="G773" t="s">
        <v>11</v>
      </c>
      <c r="H773" t="s">
        <v>11</v>
      </c>
      <c r="I773" t="s">
        <v>42</v>
      </c>
      <c r="J773" s="11">
        <f>DATE(B773,MATCH(C773,{"Jan","Feb","Mar","Apr","May","Jun","Jul","Aug","Sep","Oct","Nov","Dec"},0),D773)</f>
        <v>32024</v>
      </c>
      <c r="K773">
        <f t="shared" si="12"/>
        <v>35</v>
      </c>
    </row>
    <row r="774" spans="1:11" x14ac:dyDescent="0.35">
      <c r="A774" t="s">
        <v>805</v>
      </c>
      <c r="B774">
        <v>1976</v>
      </c>
      <c r="C774" t="s">
        <v>30</v>
      </c>
      <c r="D774">
        <v>30</v>
      </c>
      <c r="E774">
        <v>2</v>
      </c>
      <c r="F774" s="15">
        <v>6417.28</v>
      </c>
      <c r="G774" t="s">
        <v>11</v>
      </c>
      <c r="H774" t="s">
        <v>12</v>
      </c>
      <c r="I774" t="s">
        <v>13</v>
      </c>
      <c r="J774" s="11">
        <f>DATE(B774,MATCH(C774,{"Jan","Feb","Mar","Apr","May","Jun","Jul","Aug","Sep","Oct","Nov","Dec"},0),D774)</f>
        <v>28124</v>
      </c>
      <c r="K774">
        <f t="shared" si="12"/>
        <v>46</v>
      </c>
    </row>
    <row r="775" spans="1:11" x14ac:dyDescent="0.35">
      <c r="A775" t="s">
        <v>806</v>
      </c>
      <c r="B775">
        <v>1975</v>
      </c>
      <c r="C775" t="s">
        <v>35</v>
      </c>
      <c r="D775">
        <v>5</v>
      </c>
      <c r="E775">
        <v>1</v>
      </c>
      <c r="F775" s="15">
        <v>6423.48</v>
      </c>
      <c r="G775" t="s">
        <v>11</v>
      </c>
      <c r="H775" t="s">
        <v>12</v>
      </c>
      <c r="I775" t="s">
        <v>13</v>
      </c>
      <c r="J775" s="11">
        <f>DATE(B775,MATCH(C775,{"Jan","Feb","Mar","Apr","May","Jun","Jul","Aug","Sep","Oct","Nov","Dec"},0),D775)</f>
        <v>27611</v>
      </c>
      <c r="K775">
        <f t="shared" si="12"/>
        <v>47</v>
      </c>
    </row>
    <row r="776" spans="1:11" x14ac:dyDescent="0.35">
      <c r="A776" t="s">
        <v>807</v>
      </c>
      <c r="B776">
        <v>1985</v>
      </c>
      <c r="C776" t="s">
        <v>10</v>
      </c>
      <c r="D776">
        <v>22</v>
      </c>
      <c r="E776">
        <v>3</v>
      </c>
      <c r="F776" s="15">
        <v>6435.62</v>
      </c>
      <c r="G776" t="s">
        <v>12</v>
      </c>
      <c r="H776" t="s">
        <v>11</v>
      </c>
      <c r="I776" t="s">
        <v>13</v>
      </c>
      <c r="J776" s="11">
        <f>DATE(B776,MATCH(C776,{"Jan","Feb","Mar","Apr","May","Jun","Jul","Aug","Sep","Oct","Nov","Dec"},0),D776)</f>
        <v>31250</v>
      </c>
      <c r="K776">
        <f t="shared" si="12"/>
        <v>37</v>
      </c>
    </row>
    <row r="777" spans="1:11" x14ac:dyDescent="0.35">
      <c r="A777" t="s">
        <v>808</v>
      </c>
      <c r="B777">
        <v>1984</v>
      </c>
      <c r="C777" t="s">
        <v>35</v>
      </c>
      <c r="D777">
        <v>26</v>
      </c>
      <c r="E777">
        <v>2</v>
      </c>
      <c r="F777" s="15">
        <v>6455.86</v>
      </c>
      <c r="G777" t="s">
        <v>12</v>
      </c>
      <c r="H777" t="s">
        <v>12</v>
      </c>
      <c r="I777" t="s">
        <v>23</v>
      </c>
      <c r="J777" s="11">
        <f>DATE(B777,MATCH(C777,{"Jan","Feb","Mar","Apr","May","Jun","Jul","Aug","Sep","Oct","Nov","Dec"},0),D777)</f>
        <v>30920</v>
      </c>
      <c r="K777">
        <f t="shared" si="12"/>
        <v>38</v>
      </c>
    </row>
    <row r="778" spans="1:11" x14ac:dyDescent="0.35">
      <c r="A778" t="s">
        <v>809</v>
      </c>
      <c r="B778">
        <v>1984</v>
      </c>
      <c r="C778" t="s">
        <v>15</v>
      </c>
      <c r="D778">
        <v>1</v>
      </c>
      <c r="E778">
        <v>2</v>
      </c>
      <c r="F778" s="15">
        <v>6457.84</v>
      </c>
      <c r="G778" t="s">
        <v>11</v>
      </c>
      <c r="H778" t="s">
        <v>12</v>
      </c>
      <c r="I778" t="s">
        <v>23</v>
      </c>
      <c r="J778" s="11">
        <f>DATE(B778,MATCH(C778,{"Jan","Feb","Mar","Apr","May","Jun","Jul","Aug","Sep","Oct","Nov","Dec"},0),D778)</f>
        <v>30987</v>
      </c>
      <c r="K778">
        <f t="shared" si="12"/>
        <v>38</v>
      </c>
    </row>
    <row r="779" spans="1:11" x14ac:dyDescent="0.35">
      <c r="A779" t="s">
        <v>810</v>
      </c>
      <c r="B779">
        <v>1981</v>
      </c>
      <c r="C779" t="s">
        <v>10</v>
      </c>
      <c r="D779">
        <v>27</v>
      </c>
      <c r="E779">
        <v>1</v>
      </c>
      <c r="F779" s="15">
        <v>6473.15</v>
      </c>
      <c r="G779" t="s">
        <v>11</v>
      </c>
      <c r="H779" t="s">
        <v>11</v>
      </c>
      <c r="I779" t="s">
        <v>13</v>
      </c>
      <c r="J779" s="11">
        <f>DATE(B779,MATCH(C779,{"Jan","Feb","Mar","Apr","May","Jun","Jul","Aug","Sep","Oct","Nov","Dec"},0),D779)</f>
        <v>29794</v>
      </c>
      <c r="K779">
        <f t="shared" si="12"/>
        <v>41</v>
      </c>
    </row>
    <row r="780" spans="1:11" x14ac:dyDescent="0.35">
      <c r="A780" t="s">
        <v>811</v>
      </c>
      <c r="B780">
        <v>1980</v>
      </c>
      <c r="C780" t="s">
        <v>18</v>
      </c>
      <c r="D780">
        <v>8</v>
      </c>
      <c r="E780">
        <v>0</v>
      </c>
      <c r="F780" s="15">
        <v>6474.01</v>
      </c>
      <c r="G780" t="s">
        <v>11</v>
      </c>
      <c r="H780" t="s">
        <v>12</v>
      </c>
      <c r="I780" t="s">
        <v>42</v>
      </c>
      <c r="J780" s="11">
        <f>DATE(B780,MATCH(C780,{"Jan","Feb","Mar","Apr","May","Jun","Jul","Aug","Sep","Oct","Nov","Dec"},0),D780)</f>
        <v>29380</v>
      </c>
      <c r="K780">
        <f t="shared" si="12"/>
        <v>43</v>
      </c>
    </row>
    <row r="781" spans="1:11" x14ac:dyDescent="0.35">
      <c r="A781" t="s">
        <v>812</v>
      </c>
      <c r="B781">
        <v>1970</v>
      </c>
      <c r="C781" t="s">
        <v>30</v>
      </c>
      <c r="D781">
        <v>1</v>
      </c>
      <c r="E781">
        <v>0</v>
      </c>
      <c r="F781" s="15">
        <v>6481.67</v>
      </c>
      <c r="G781" t="s">
        <v>11</v>
      </c>
      <c r="H781" t="s">
        <v>11</v>
      </c>
      <c r="I781" t="s">
        <v>13</v>
      </c>
      <c r="J781" s="11">
        <f>DATE(B781,MATCH(C781,{"Jan","Feb","Mar","Apr","May","Jun","Jul","Aug","Sep","Oct","Nov","Dec"},0),D781)</f>
        <v>25903</v>
      </c>
      <c r="K781">
        <f t="shared" si="12"/>
        <v>52</v>
      </c>
    </row>
    <row r="782" spans="1:11" x14ac:dyDescent="0.35">
      <c r="A782" t="s">
        <v>813</v>
      </c>
      <c r="B782">
        <v>1982</v>
      </c>
      <c r="C782" t="s">
        <v>37</v>
      </c>
      <c r="D782">
        <v>9</v>
      </c>
      <c r="E782">
        <v>1</v>
      </c>
      <c r="F782" s="15">
        <v>6496.89</v>
      </c>
      <c r="G782" t="s">
        <v>11</v>
      </c>
      <c r="H782" t="s">
        <v>12</v>
      </c>
      <c r="I782" t="s">
        <v>42</v>
      </c>
      <c r="J782" s="11">
        <f>DATE(B782,MATCH(C782,{"Jan","Feb","Mar","Apr","May","Jun","Jul","Aug","Sep","Oct","Nov","Dec"},0),D782)</f>
        <v>30233</v>
      </c>
      <c r="K782">
        <f t="shared" si="12"/>
        <v>40</v>
      </c>
    </row>
    <row r="783" spans="1:11" x14ac:dyDescent="0.35">
      <c r="A783" t="s">
        <v>814</v>
      </c>
      <c r="B783">
        <v>1982</v>
      </c>
      <c r="C783" t="s">
        <v>35</v>
      </c>
      <c r="D783">
        <v>28</v>
      </c>
      <c r="E783">
        <v>1</v>
      </c>
      <c r="F783" s="15">
        <v>6500.24</v>
      </c>
      <c r="G783" t="s">
        <v>11</v>
      </c>
      <c r="H783" t="s">
        <v>11</v>
      </c>
      <c r="I783" t="s">
        <v>13</v>
      </c>
      <c r="J783" s="11">
        <f>DATE(B783,MATCH(C783,{"Jan","Feb","Mar","Apr","May","Jun","Jul","Aug","Sep","Oct","Nov","Dec"},0),D783)</f>
        <v>30191</v>
      </c>
      <c r="K783">
        <f t="shared" si="12"/>
        <v>40</v>
      </c>
    </row>
    <row r="784" spans="1:11" x14ac:dyDescent="0.35">
      <c r="A784" t="s">
        <v>815</v>
      </c>
      <c r="B784">
        <v>1994</v>
      </c>
      <c r="C784" t="s">
        <v>10</v>
      </c>
      <c r="D784">
        <v>7</v>
      </c>
      <c r="E784">
        <v>0</v>
      </c>
      <c r="F784" s="15">
        <v>6512.24</v>
      </c>
      <c r="G784" t="s">
        <v>11</v>
      </c>
      <c r="H784" t="s">
        <v>16</v>
      </c>
      <c r="I784" t="s">
        <v>300</v>
      </c>
      <c r="J784" s="11">
        <f>DATE(B784,MATCH(C784,{"Jan","Feb","Mar","Apr","May","Jun","Jul","Aug","Sep","Oct","Nov","Dec"},0),D784)</f>
        <v>34522</v>
      </c>
      <c r="K784">
        <f t="shared" si="12"/>
        <v>28</v>
      </c>
    </row>
    <row r="785" spans="1:11" x14ac:dyDescent="0.35">
      <c r="A785" t="s">
        <v>816</v>
      </c>
      <c r="B785">
        <v>1976</v>
      </c>
      <c r="C785" t="s">
        <v>37</v>
      </c>
      <c r="D785">
        <v>23</v>
      </c>
      <c r="E785">
        <v>2</v>
      </c>
      <c r="F785" s="15">
        <v>6529.21</v>
      </c>
      <c r="G785" t="s">
        <v>11</v>
      </c>
      <c r="H785" t="s">
        <v>16</v>
      </c>
      <c r="I785" t="s">
        <v>13</v>
      </c>
      <c r="J785" s="11">
        <f>DATE(B785,MATCH(C785,{"Jan","Feb","Mar","Apr","May","Jun","Jul","Aug","Sep","Oct","Nov","Dec"},0),D785)</f>
        <v>28056</v>
      </c>
      <c r="K785">
        <f t="shared" si="12"/>
        <v>46</v>
      </c>
    </row>
    <row r="786" spans="1:11" x14ac:dyDescent="0.35">
      <c r="A786" t="s">
        <v>817</v>
      </c>
      <c r="B786">
        <v>1982</v>
      </c>
      <c r="C786" t="s">
        <v>35</v>
      </c>
      <c r="D786">
        <v>12</v>
      </c>
      <c r="E786">
        <v>3</v>
      </c>
      <c r="F786" s="15">
        <v>6532.04</v>
      </c>
      <c r="G786" t="s">
        <v>11</v>
      </c>
      <c r="H786" t="s">
        <v>16</v>
      </c>
      <c r="I786" t="s">
        <v>13</v>
      </c>
      <c r="J786" s="11">
        <f>DATE(B786,MATCH(C786,{"Jan","Feb","Mar","Apr","May","Jun","Jul","Aug","Sep","Oct","Nov","Dec"},0),D786)</f>
        <v>30175</v>
      </c>
      <c r="K786">
        <f t="shared" si="12"/>
        <v>40</v>
      </c>
    </row>
    <row r="787" spans="1:11" x14ac:dyDescent="0.35">
      <c r="A787" t="s">
        <v>818</v>
      </c>
      <c r="B787">
        <v>1982</v>
      </c>
      <c r="C787" t="s">
        <v>37</v>
      </c>
      <c r="D787">
        <v>2</v>
      </c>
      <c r="E787">
        <v>3</v>
      </c>
      <c r="F787" s="15">
        <v>6536.68</v>
      </c>
      <c r="G787" t="s">
        <v>11</v>
      </c>
      <c r="H787" t="s">
        <v>11</v>
      </c>
      <c r="I787" t="s">
        <v>23</v>
      </c>
      <c r="J787" s="11">
        <f>DATE(B787,MATCH(C787,{"Jan","Feb","Mar","Apr","May","Jun","Jul","Aug","Sep","Oct","Nov","Dec"},0),D787)</f>
        <v>30226</v>
      </c>
      <c r="K787">
        <f t="shared" si="12"/>
        <v>40</v>
      </c>
    </row>
    <row r="788" spans="1:11" x14ac:dyDescent="0.35">
      <c r="A788" t="s">
        <v>819</v>
      </c>
      <c r="B788">
        <v>1969</v>
      </c>
      <c r="C788" t="s">
        <v>30</v>
      </c>
      <c r="D788">
        <v>3</v>
      </c>
      <c r="E788">
        <v>0</v>
      </c>
      <c r="F788" s="15">
        <v>6546.16</v>
      </c>
      <c r="G788" t="s">
        <v>11</v>
      </c>
      <c r="H788" t="s">
        <v>12</v>
      </c>
      <c r="I788" t="s">
        <v>13</v>
      </c>
      <c r="J788" s="11">
        <f>DATE(B788,MATCH(C788,{"Jan","Feb","Mar","Apr","May","Jun","Jul","Aug","Sep","Oct","Nov","Dec"},0),D788)</f>
        <v>25540</v>
      </c>
      <c r="K788">
        <f t="shared" si="12"/>
        <v>53</v>
      </c>
    </row>
    <row r="789" spans="1:11" x14ac:dyDescent="0.35">
      <c r="A789" t="s">
        <v>820</v>
      </c>
      <c r="B789">
        <v>1986</v>
      </c>
      <c r="C789" t="s">
        <v>30</v>
      </c>
      <c r="D789">
        <v>18</v>
      </c>
      <c r="E789">
        <v>3</v>
      </c>
      <c r="F789" s="15">
        <v>6548.2</v>
      </c>
      <c r="G789" t="s">
        <v>11</v>
      </c>
      <c r="H789" t="s">
        <v>12</v>
      </c>
      <c r="I789" t="s">
        <v>23</v>
      </c>
      <c r="J789" s="11">
        <f>DATE(B789,MATCH(C789,{"Jan","Feb","Mar","Apr","May","Jun","Jul","Aug","Sep","Oct","Nov","Dec"},0),D789)</f>
        <v>31764</v>
      </c>
      <c r="K789">
        <f t="shared" si="12"/>
        <v>36</v>
      </c>
    </row>
    <row r="790" spans="1:11" x14ac:dyDescent="0.35">
      <c r="A790" t="s">
        <v>821</v>
      </c>
      <c r="B790">
        <v>1989</v>
      </c>
      <c r="C790" t="s">
        <v>35</v>
      </c>
      <c r="D790">
        <v>6</v>
      </c>
      <c r="E790">
        <v>3</v>
      </c>
      <c r="F790" s="15">
        <v>6551.75</v>
      </c>
      <c r="G790" t="s">
        <v>11</v>
      </c>
      <c r="H790" t="s">
        <v>11</v>
      </c>
      <c r="I790" t="s">
        <v>247</v>
      </c>
      <c r="J790" s="11">
        <f>DATE(B790,MATCH(C790,{"Jan","Feb","Mar","Apr","May","Jun","Jul","Aug","Sep","Oct","Nov","Dec"},0),D790)</f>
        <v>32726</v>
      </c>
      <c r="K790">
        <f t="shared" si="12"/>
        <v>33</v>
      </c>
    </row>
    <row r="791" spans="1:11" x14ac:dyDescent="0.35">
      <c r="A791" t="s">
        <v>822</v>
      </c>
      <c r="B791">
        <v>1968</v>
      </c>
      <c r="C791" t="s">
        <v>30</v>
      </c>
      <c r="D791">
        <v>11</v>
      </c>
      <c r="E791">
        <v>0</v>
      </c>
      <c r="F791" s="15">
        <v>6552.01</v>
      </c>
      <c r="G791" t="s">
        <v>12</v>
      </c>
      <c r="H791" t="s">
        <v>11</v>
      </c>
      <c r="I791" t="s">
        <v>13</v>
      </c>
      <c r="J791" s="11">
        <f>DATE(B791,MATCH(C791,{"Jan","Feb","Mar","Apr","May","Jun","Jul","Aug","Sep","Oct","Nov","Dec"},0),D791)</f>
        <v>25183</v>
      </c>
      <c r="K791">
        <f t="shared" si="12"/>
        <v>54</v>
      </c>
    </row>
    <row r="792" spans="1:11" x14ac:dyDescent="0.35">
      <c r="A792" t="s">
        <v>823</v>
      </c>
      <c r="B792">
        <v>1984</v>
      </c>
      <c r="C792" t="s">
        <v>20</v>
      </c>
      <c r="D792">
        <v>20</v>
      </c>
      <c r="E792">
        <v>1</v>
      </c>
      <c r="F792" s="15">
        <v>6555.07</v>
      </c>
      <c r="G792" t="s">
        <v>11</v>
      </c>
      <c r="H792" t="s">
        <v>11</v>
      </c>
      <c r="I792" t="s">
        <v>247</v>
      </c>
      <c r="J792" s="11">
        <f>DATE(B792,MATCH(C792,{"Jan","Feb","Mar","Apr","May","Jun","Jul","Aug","Sep","Oct","Nov","Dec"},0),D792)</f>
        <v>30945</v>
      </c>
      <c r="K792">
        <f t="shared" si="12"/>
        <v>38</v>
      </c>
    </row>
    <row r="793" spans="1:11" x14ac:dyDescent="0.35">
      <c r="A793" t="s">
        <v>824</v>
      </c>
      <c r="B793">
        <v>1981</v>
      </c>
      <c r="C793" t="s">
        <v>10</v>
      </c>
      <c r="D793">
        <v>20</v>
      </c>
      <c r="E793">
        <v>0</v>
      </c>
      <c r="F793" s="15">
        <v>6571.02</v>
      </c>
      <c r="G793" t="s">
        <v>11</v>
      </c>
      <c r="H793" t="s">
        <v>16</v>
      </c>
      <c r="I793" t="s">
        <v>23</v>
      </c>
      <c r="J793" s="11">
        <f>DATE(B793,MATCH(C793,{"Jan","Feb","Mar","Apr","May","Jun","Jul","Aug","Sep","Oct","Nov","Dec"},0),D793)</f>
        <v>29787</v>
      </c>
      <c r="K793">
        <f t="shared" si="12"/>
        <v>41</v>
      </c>
    </row>
    <row r="794" spans="1:11" x14ac:dyDescent="0.35">
      <c r="A794" t="s">
        <v>825</v>
      </c>
      <c r="B794">
        <v>1984</v>
      </c>
      <c r="C794" t="s">
        <v>37</v>
      </c>
      <c r="D794">
        <v>5</v>
      </c>
      <c r="E794">
        <v>2</v>
      </c>
      <c r="F794" s="15">
        <v>6571.54</v>
      </c>
      <c r="G794" t="s">
        <v>11</v>
      </c>
      <c r="H794" t="s">
        <v>12</v>
      </c>
      <c r="I794" t="s">
        <v>42</v>
      </c>
      <c r="J794" s="11">
        <f>DATE(B794,MATCH(C794,{"Jan","Feb","Mar","Apr","May","Jun","Jul","Aug","Sep","Oct","Nov","Dec"},0),D794)</f>
        <v>30960</v>
      </c>
      <c r="K794">
        <f t="shared" si="12"/>
        <v>38</v>
      </c>
    </row>
    <row r="795" spans="1:11" x14ac:dyDescent="0.35">
      <c r="A795" t="s">
        <v>826</v>
      </c>
      <c r="B795">
        <v>1982</v>
      </c>
      <c r="C795" t="s">
        <v>15</v>
      </c>
      <c r="D795">
        <v>22</v>
      </c>
      <c r="E795">
        <v>2</v>
      </c>
      <c r="F795" s="15">
        <v>6593.51</v>
      </c>
      <c r="G795" t="s">
        <v>11</v>
      </c>
      <c r="H795" t="s">
        <v>16</v>
      </c>
      <c r="I795" t="s">
        <v>13</v>
      </c>
      <c r="J795" s="11">
        <f>DATE(B795,MATCH(C795,{"Jan","Feb","Mar","Apr","May","Jun","Jul","Aug","Sep","Oct","Nov","Dec"},0),D795)</f>
        <v>30277</v>
      </c>
      <c r="K795">
        <f t="shared" si="12"/>
        <v>40</v>
      </c>
    </row>
    <row r="796" spans="1:11" x14ac:dyDescent="0.35">
      <c r="A796" t="s">
        <v>827</v>
      </c>
      <c r="B796">
        <v>1982</v>
      </c>
      <c r="C796" t="s">
        <v>30</v>
      </c>
      <c r="D796">
        <v>29</v>
      </c>
      <c r="E796">
        <v>1</v>
      </c>
      <c r="F796" s="15">
        <v>6600.21</v>
      </c>
      <c r="G796" t="s">
        <v>12</v>
      </c>
      <c r="H796" t="s">
        <v>11</v>
      </c>
      <c r="I796" t="s">
        <v>168</v>
      </c>
      <c r="J796" s="11">
        <f>DATE(B796,MATCH(C796,{"Jan","Feb","Mar","Apr","May","Jun","Jul","Aug","Sep","Oct","Nov","Dec"},0),D796)</f>
        <v>30314</v>
      </c>
      <c r="K796">
        <f t="shared" si="12"/>
        <v>40</v>
      </c>
    </row>
    <row r="797" spans="1:11" x14ac:dyDescent="0.35">
      <c r="A797" t="s">
        <v>828</v>
      </c>
      <c r="B797">
        <v>1982</v>
      </c>
      <c r="C797" t="s">
        <v>15</v>
      </c>
      <c r="D797">
        <v>7</v>
      </c>
      <c r="E797">
        <v>2</v>
      </c>
      <c r="F797" s="15">
        <v>6600.36</v>
      </c>
      <c r="G797" t="s">
        <v>11</v>
      </c>
      <c r="H797" t="s">
        <v>12</v>
      </c>
      <c r="I797" t="s">
        <v>42</v>
      </c>
      <c r="J797" s="11">
        <f>DATE(B797,MATCH(C797,{"Jan","Feb","Mar","Apr","May","Jun","Jul","Aug","Sep","Oct","Nov","Dec"},0),D797)</f>
        <v>30262</v>
      </c>
      <c r="K797">
        <f t="shared" si="12"/>
        <v>40</v>
      </c>
    </row>
    <row r="798" spans="1:11" x14ac:dyDescent="0.35">
      <c r="A798" t="s">
        <v>829</v>
      </c>
      <c r="B798">
        <v>1982</v>
      </c>
      <c r="C798" t="s">
        <v>35</v>
      </c>
      <c r="D798">
        <v>28</v>
      </c>
      <c r="E798">
        <v>1</v>
      </c>
      <c r="F798" s="15">
        <v>6610.11</v>
      </c>
      <c r="G798" t="s">
        <v>12</v>
      </c>
      <c r="H798" t="s">
        <v>11</v>
      </c>
      <c r="I798" t="s">
        <v>164</v>
      </c>
      <c r="J798" s="11">
        <f>DATE(B798,MATCH(C798,{"Jan","Feb","Mar","Apr","May","Jun","Jul","Aug","Sep","Oct","Nov","Dec"},0),D798)</f>
        <v>30191</v>
      </c>
      <c r="K798">
        <f t="shared" si="12"/>
        <v>40</v>
      </c>
    </row>
    <row r="799" spans="1:11" x14ac:dyDescent="0.35">
      <c r="A799" t="s">
        <v>830</v>
      </c>
      <c r="B799">
        <v>1973</v>
      </c>
      <c r="C799" t="s">
        <v>35</v>
      </c>
      <c r="D799">
        <v>29</v>
      </c>
      <c r="E799">
        <v>0</v>
      </c>
      <c r="F799" s="15">
        <v>6630.31</v>
      </c>
      <c r="G799" t="s">
        <v>11</v>
      </c>
      <c r="H799" t="s">
        <v>16</v>
      </c>
      <c r="I799" t="s">
        <v>13</v>
      </c>
      <c r="J799" s="11">
        <f>DATE(B799,MATCH(C799,{"Jan","Feb","Mar","Apr","May","Jun","Jul","Aug","Sep","Oct","Nov","Dec"},0),D799)</f>
        <v>26905</v>
      </c>
      <c r="K799">
        <f t="shared" si="12"/>
        <v>49</v>
      </c>
    </row>
    <row r="800" spans="1:11" x14ac:dyDescent="0.35">
      <c r="A800" t="s">
        <v>831</v>
      </c>
      <c r="B800">
        <v>2003</v>
      </c>
      <c r="C800" t="s">
        <v>20</v>
      </c>
      <c r="D800">
        <v>4</v>
      </c>
      <c r="E800">
        <v>0</v>
      </c>
      <c r="F800" s="15">
        <v>6638.16</v>
      </c>
      <c r="G800" t="s">
        <v>11</v>
      </c>
      <c r="H800" t="s">
        <v>16</v>
      </c>
      <c r="I800" t="s">
        <v>23</v>
      </c>
      <c r="J800" s="11">
        <f>DATE(B800,MATCH(C800,{"Jan","Feb","Mar","Apr","May","Jun","Jul","Aug","Sep","Oct","Nov","Dec"},0),D800)</f>
        <v>37868</v>
      </c>
      <c r="K800">
        <f t="shared" si="12"/>
        <v>19</v>
      </c>
    </row>
    <row r="801" spans="1:11" x14ac:dyDescent="0.35">
      <c r="A801" t="s">
        <v>832</v>
      </c>
      <c r="B801">
        <v>1990</v>
      </c>
      <c r="C801" t="s">
        <v>18</v>
      </c>
      <c r="D801">
        <v>6</v>
      </c>
      <c r="E801">
        <v>3</v>
      </c>
      <c r="F801" s="15">
        <v>6639.3</v>
      </c>
      <c r="G801" t="s">
        <v>11</v>
      </c>
      <c r="H801" t="s">
        <v>11</v>
      </c>
      <c r="I801" t="s">
        <v>300</v>
      </c>
      <c r="J801" s="11">
        <f>DATE(B801,MATCH(C801,{"Jan","Feb","Mar","Apr","May","Jun","Jul","Aug","Sep","Oct","Nov","Dec"},0),D801)</f>
        <v>33030</v>
      </c>
      <c r="K801">
        <f t="shared" si="12"/>
        <v>33</v>
      </c>
    </row>
    <row r="802" spans="1:11" x14ac:dyDescent="0.35">
      <c r="A802" t="s">
        <v>833</v>
      </c>
      <c r="B802">
        <v>1984</v>
      </c>
      <c r="C802" t="s">
        <v>30</v>
      </c>
      <c r="D802">
        <v>8</v>
      </c>
      <c r="E802">
        <v>2</v>
      </c>
      <c r="F802" s="15">
        <v>6640.54</v>
      </c>
      <c r="G802" t="s">
        <v>11</v>
      </c>
      <c r="H802" t="s">
        <v>12</v>
      </c>
      <c r="I802" t="s">
        <v>166</v>
      </c>
      <c r="J802" s="11">
        <f>DATE(B802,MATCH(C802,{"Jan","Feb","Mar","Apr","May","Jun","Jul","Aug","Sep","Oct","Nov","Dec"},0),D802)</f>
        <v>31024</v>
      </c>
      <c r="K802">
        <f t="shared" si="12"/>
        <v>38</v>
      </c>
    </row>
    <row r="803" spans="1:11" x14ac:dyDescent="0.35">
      <c r="A803" t="s">
        <v>834</v>
      </c>
      <c r="B803">
        <v>1970</v>
      </c>
      <c r="C803" t="s">
        <v>15</v>
      </c>
      <c r="D803">
        <v>8</v>
      </c>
      <c r="E803">
        <v>0</v>
      </c>
      <c r="F803" s="15">
        <v>6651.26</v>
      </c>
      <c r="G803" t="s">
        <v>11</v>
      </c>
      <c r="H803" t="s">
        <v>12</v>
      </c>
      <c r="I803" t="s">
        <v>13</v>
      </c>
      <c r="J803" s="11">
        <f>DATE(B803,MATCH(C803,{"Jan","Feb","Mar","Apr","May","Jun","Jul","Aug","Sep","Oct","Nov","Dec"},0),D803)</f>
        <v>25880</v>
      </c>
      <c r="K803">
        <f t="shared" si="12"/>
        <v>52</v>
      </c>
    </row>
    <row r="804" spans="1:11" x14ac:dyDescent="0.35">
      <c r="A804" t="s">
        <v>835</v>
      </c>
      <c r="B804">
        <v>1984</v>
      </c>
      <c r="C804" t="s">
        <v>10</v>
      </c>
      <c r="D804">
        <v>1</v>
      </c>
      <c r="E804">
        <v>3</v>
      </c>
      <c r="F804" s="15">
        <v>6652.53</v>
      </c>
      <c r="G804" t="s">
        <v>12</v>
      </c>
      <c r="H804" t="s">
        <v>11</v>
      </c>
      <c r="I804" t="s">
        <v>13</v>
      </c>
      <c r="J804" s="11">
        <f>DATE(B804,MATCH(C804,{"Jan","Feb","Mar","Apr","May","Jun","Jul","Aug","Sep","Oct","Nov","Dec"},0),D804)</f>
        <v>30864</v>
      </c>
      <c r="K804">
        <f t="shared" si="12"/>
        <v>38</v>
      </c>
    </row>
    <row r="805" spans="1:11" x14ac:dyDescent="0.35">
      <c r="A805" t="s">
        <v>836</v>
      </c>
      <c r="B805">
        <v>1989</v>
      </c>
      <c r="C805" t="s">
        <v>15</v>
      </c>
      <c r="D805">
        <v>19</v>
      </c>
      <c r="E805">
        <v>5</v>
      </c>
      <c r="F805" s="15">
        <v>6653.79</v>
      </c>
      <c r="G805" t="s">
        <v>11</v>
      </c>
      <c r="H805" t="s">
        <v>16</v>
      </c>
      <c r="I805" t="s">
        <v>13</v>
      </c>
      <c r="J805" s="11">
        <f>DATE(B805,MATCH(C805,{"Jan","Feb","Mar","Apr","May","Jun","Jul","Aug","Sep","Oct","Nov","Dec"},0),D805)</f>
        <v>32831</v>
      </c>
      <c r="K805">
        <f t="shared" si="12"/>
        <v>33</v>
      </c>
    </row>
    <row r="806" spans="1:11" x14ac:dyDescent="0.35">
      <c r="A806" t="s">
        <v>837</v>
      </c>
      <c r="B806">
        <v>1982</v>
      </c>
      <c r="C806" t="s">
        <v>20</v>
      </c>
      <c r="D806">
        <v>27</v>
      </c>
      <c r="E806">
        <v>3</v>
      </c>
      <c r="F806" s="15">
        <v>6664.32</v>
      </c>
      <c r="G806" t="s">
        <v>11</v>
      </c>
      <c r="H806" t="s">
        <v>11</v>
      </c>
      <c r="I806" t="s">
        <v>13</v>
      </c>
      <c r="J806" s="11">
        <f>DATE(B806,MATCH(C806,{"Jan","Feb","Mar","Apr","May","Jun","Jul","Aug","Sep","Oct","Nov","Dec"},0),D806)</f>
        <v>30221</v>
      </c>
      <c r="K806">
        <f t="shared" si="12"/>
        <v>40</v>
      </c>
    </row>
    <row r="807" spans="1:11" x14ac:dyDescent="0.35">
      <c r="A807" t="s">
        <v>838</v>
      </c>
      <c r="B807">
        <v>1981</v>
      </c>
      <c r="C807" t="s">
        <v>20</v>
      </c>
      <c r="D807">
        <v>17</v>
      </c>
      <c r="E807">
        <v>1</v>
      </c>
      <c r="F807" s="15">
        <v>6664.69</v>
      </c>
      <c r="G807" t="s">
        <v>12</v>
      </c>
      <c r="H807" t="s">
        <v>16</v>
      </c>
      <c r="I807" t="s">
        <v>23</v>
      </c>
      <c r="J807" s="11">
        <f>DATE(B807,MATCH(C807,{"Jan","Feb","Mar","Apr","May","Jun","Jul","Aug","Sep","Oct","Nov","Dec"},0),D807)</f>
        <v>29846</v>
      </c>
      <c r="K807">
        <f t="shared" si="12"/>
        <v>41</v>
      </c>
    </row>
    <row r="808" spans="1:11" x14ac:dyDescent="0.35">
      <c r="A808" t="s">
        <v>839</v>
      </c>
      <c r="B808">
        <v>1989</v>
      </c>
      <c r="C808" t="s">
        <v>37</v>
      </c>
      <c r="D808">
        <v>20</v>
      </c>
      <c r="E808">
        <v>5</v>
      </c>
      <c r="F808" s="15">
        <v>6666.24</v>
      </c>
      <c r="G808" t="s">
        <v>12</v>
      </c>
      <c r="H808" t="s">
        <v>16</v>
      </c>
      <c r="I808" t="s">
        <v>42</v>
      </c>
      <c r="J808" s="11">
        <f>DATE(B808,MATCH(C808,{"Jan","Feb","Mar","Apr","May","Jun","Jul","Aug","Sep","Oct","Nov","Dec"},0),D808)</f>
        <v>32801</v>
      </c>
      <c r="K808">
        <f t="shared" si="12"/>
        <v>33</v>
      </c>
    </row>
    <row r="809" spans="1:11" x14ac:dyDescent="0.35">
      <c r="A809" t="s">
        <v>840</v>
      </c>
      <c r="B809">
        <v>1985</v>
      </c>
      <c r="C809" t="s">
        <v>10</v>
      </c>
      <c r="D809">
        <v>9</v>
      </c>
      <c r="E809">
        <v>2</v>
      </c>
      <c r="F809" s="15">
        <v>6686.43</v>
      </c>
      <c r="G809" t="s">
        <v>11</v>
      </c>
      <c r="H809" t="s">
        <v>12</v>
      </c>
      <c r="I809" t="s">
        <v>23</v>
      </c>
      <c r="J809" s="11">
        <f>DATE(B809,MATCH(C809,{"Jan","Feb","Mar","Apr","May","Jun","Jul","Aug","Sep","Oct","Nov","Dec"},0),D809)</f>
        <v>31237</v>
      </c>
      <c r="K809">
        <f t="shared" si="12"/>
        <v>37</v>
      </c>
    </row>
    <row r="810" spans="1:11" x14ac:dyDescent="0.35">
      <c r="A810" t="s">
        <v>841</v>
      </c>
      <c r="B810">
        <v>1968</v>
      </c>
      <c r="C810" t="s">
        <v>10</v>
      </c>
      <c r="D810">
        <v>13</v>
      </c>
      <c r="E810">
        <v>0</v>
      </c>
      <c r="F810" s="15">
        <v>6700.56</v>
      </c>
      <c r="G810" t="s">
        <v>12</v>
      </c>
      <c r="H810" t="s">
        <v>16</v>
      </c>
      <c r="I810" t="s">
        <v>23</v>
      </c>
      <c r="J810" s="11">
        <f>DATE(B810,MATCH(C810,{"Jan","Feb","Mar","Apr","May","Jun","Jul","Aug","Sep","Oct","Nov","Dec"},0),D810)</f>
        <v>25032</v>
      </c>
      <c r="K810">
        <f t="shared" si="12"/>
        <v>54</v>
      </c>
    </row>
    <row r="811" spans="1:11" x14ac:dyDescent="0.35">
      <c r="A811" t="s">
        <v>842</v>
      </c>
      <c r="B811">
        <v>1971</v>
      </c>
      <c r="C811" t="s">
        <v>30</v>
      </c>
      <c r="D811">
        <v>12</v>
      </c>
      <c r="E811">
        <v>0</v>
      </c>
      <c r="F811" s="15">
        <v>6706.47</v>
      </c>
      <c r="G811" t="s">
        <v>11</v>
      </c>
      <c r="H811" t="s">
        <v>16</v>
      </c>
      <c r="I811" t="s">
        <v>13</v>
      </c>
      <c r="J811" s="11">
        <f>DATE(B811,MATCH(C811,{"Jan","Feb","Mar","Apr","May","Jun","Jul","Aug","Sep","Oct","Nov","Dec"},0),D811)</f>
        <v>26279</v>
      </c>
      <c r="K811">
        <f t="shared" si="12"/>
        <v>51</v>
      </c>
    </row>
    <row r="812" spans="1:11" x14ac:dyDescent="0.35">
      <c r="A812" t="s">
        <v>843</v>
      </c>
      <c r="B812">
        <v>1983</v>
      </c>
      <c r="C812" t="s">
        <v>18</v>
      </c>
      <c r="D812">
        <v>12</v>
      </c>
      <c r="E812">
        <v>2</v>
      </c>
      <c r="F812" s="15">
        <v>6710.19</v>
      </c>
      <c r="G812" t="s">
        <v>12</v>
      </c>
      <c r="H812" t="s">
        <v>12</v>
      </c>
      <c r="I812" t="s">
        <v>23</v>
      </c>
      <c r="J812" s="11">
        <f>DATE(B812,MATCH(C812,{"Jan","Feb","Mar","Apr","May","Jun","Jul","Aug","Sep","Oct","Nov","Dec"},0),D812)</f>
        <v>30479</v>
      </c>
      <c r="K812">
        <f t="shared" si="12"/>
        <v>39</v>
      </c>
    </row>
    <row r="813" spans="1:11" x14ac:dyDescent="0.35">
      <c r="A813" t="s">
        <v>844</v>
      </c>
      <c r="B813">
        <v>1994</v>
      </c>
      <c r="C813" t="s">
        <v>18</v>
      </c>
      <c r="D813">
        <v>13</v>
      </c>
      <c r="E813">
        <v>0</v>
      </c>
      <c r="F813" s="15">
        <v>6721.37</v>
      </c>
      <c r="G813" t="s">
        <v>11</v>
      </c>
      <c r="H813" t="s">
        <v>16</v>
      </c>
      <c r="I813" t="s">
        <v>23</v>
      </c>
      <c r="J813" s="11">
        <f>DATE(B813,MATCH(C813,{"Jan","Feb","Mar","Apr","May","Jun","Jul","Aug","Sep","Oct","Nov","Dec"},0),D813)</f>
        <v>34498</v>
      </c>
      <c r="K813">
        <f t="shared" si="12"/>
        <v>28</v>
      </c>
    </row>
    <row r="814" spans="1:11" x14ac:dyDescent="0.35">
      <c r="A814" t="s">
        <v>845</v>
      </c>
      <c r="B814">
        <v>1978</v>
      </c>
      <c r="C814" t="s">
        <v>37</v>
      </c>
      <c r="D814">
        <v>21</v>
      </c>
      <c r="E814">
        <v>2</v>
      </c>
      <c r="F814" s="15">
        <v>6737.98</v>
      </c>
      <c r="G814" t="s">
        <v>11</v>
      </c>
      <c r="H814" t="s">
        <v>12</v>
      </c>
      <c r="I814" t="s">
        <v>13</v>
      </c>
      <c r="J814" s="11">
        <f>DATE(B814,MATCH(C814,{"Jan","Feb","Mar","Apr","May","Jun","Jul","Aug","Sep","Oct","Nov","Dec"},0),D814)</f>
        <v>28784</v>
      </c>
      <c r="K814">
        <f t="shared" si="12"/>
        <v>44</v>
      </c>
    </row>
    <row r="815" spans="1:11" x14ac:dyDescent="0.35">
      <c r="A815" t="s">
        <v>846</v>
      </c>
      <c r="B815">
        <v>1968</v>
      </c>
      <c r="C815" t="s">
        <v>10</v>
      </c>
      <c r="D815">
        <v>18</v>
      </c>
      <c r="E815">
        <v>0</v>
      </c>
      <c r="F815" s="15">
        <v>6738.84</v>
      </c>
      <c r="G815" t="s">
        <v>12</v>
      </c>
      <c r="H815" t="s">
        <v>16</v>
      </c>
      <c r="I815" t="s">
        <v>23</v>
      </c>
      <c r="J815" s="11">
        <f>DATE(B815,MATCH(C815,{"Jan","Feb","Mar","Apr","May","Jun","Jul","Aug","Sep","Oct","Nov","Dec"},0),D815)</f>
        <v>25037</v>
      </c>
      <c r="K815">
        <f t="shared" si="12"/>
        <v>54</v>
      </c>
    </row>
    <row r="816" spans="1:11" x14ac:dyDescent="0.35">
      <c r="A816" t="s">
        <v>847</v>
      </c>
      <c r="B816">
        <v>1986</v>
      </c>
      <c r="C816" t="s">
        <v>35</v>
      </c>
      <c r="D816">
        <v>7</v>
      </c>
      <c r="E816">
        <v>3</v>
      </c>
      <c r="F816" s="15">
        <v>6746.74</v>
      </c>
      <c r="G816" t="s">
        <v>12</v>
      </c>
      <c r="H816" t="s">
        <v>11</v>
      </c>
      <c r="I816" t="s">
        <v>168</v>
      </c>
      <c r="J816" s="11">
        <f>DATE(B816,MATCH(C816,{"Jan","Feb","Mar","Apr","May","Jun","Jul","Aug","Sep","Oct","Nov","Dec"},0),D816)</f>
        <v>31631</v>
      </c>
      <c r="K816">
        <f t="shared" si="12"/>
        <v>36</v>
      </c>
    </row>
    <row r="817" spans="1:11" x14ac:dyDescent="0.35">
      <c r="A817" t="s">
        <v>848</v>
      </c>
      <c r="B817">
        <v>1986</v>
      </c>
      <c r="C817" t="s">
        <v>18</v>
      </c>
      <c r="D817">
        <v>5</v>
      </c>
      <c r="E817">
        <v>3</v>
      </c>
      <c r="F817" s="15">
        <v>6748.59</v>
      </c>
      <c r="G817" t="s">
        <v>12</v>
      </c>
      <c r="H817" t="s">
        <v>16</v>
      </c>
      <c r="I817" t="s">
        <v>168</v>
      </c>
      <c r="J817" s="11">
        <f>DATE(B817,MATCH(C817,{"Jan","Feb","Mar","Apr","May","Jun","Jul","Aug","Sep","Oct","Nov","Dec"},0),D817)</f>
        <v>31568</v>
      </c>
      <c r="K817">
        <f t="shared" si="12"/>
        <v>37</v>
      </c>
    </row>
    <row r="818" spans="1:11" x14ac:dyDescent="0.35">
      <c r="A818" t="s">
        <v>849</v>
      </c>
      <c r="B818">
        <v>1970</v>
      </c>
      <c r="C818" t="s">
        <v>18</v>
      </c>
      <c r="D818">
        <v>17</v>
      </c>
      <c r="E818">
        <v>0</v>
      </c>
      <c r="F818" s="15">
        <v>6749.63</v>
      </c>
      <c r="G818" t="s">
        <v>11</v>
      </c>
      <c r="H818" t="s">
        <v>16</v>
      </c>
      <c r="I818" t="s">
        <v>13</v>
      </c>
      <c r="J818" s="11">
        <f>DATE(B818,MATCH(C818,{"Jan","Feb","Mar","Apr","May","Jun","Jul","Aug","Sep","Oct","Nov","Dec"},0),D818)</f>
        <v>25736</v>
      </c>
      <c r="K818">
        <f t="shared" si="12"/>
        <v>52</v>
      </c>
    </row>
    <row r="819" spans="1:11" x14ac:dyDescent="0.35">
      <c r="A819" t="s">
        <v>850</v>
      </c>
      <c r="B819">
        <v>1966</v>
      </c>
      <c r="C819" t="s">
        <v>30</v>
      </c>
      <c r="D819">
        <v>9</v>
      </c>
      <c r="E819">
        <v>0</v>
      </c>
      <c r="F819" s="15">
        <v>6750.27</v>
      </c>
      <c r="G819" t="s">
        <v>12</v>
      </c>
      <c r="H819" t="s">
        <v>11</v>
      </c>
      <c r="I819" t="s">
        <v>13</v>
      </c>
      <c r="J819" s="11">
        <f>DATE(B819,MATCH(C819,{"Jan","Feb","Mar","Apr","May","Jun","Jul","Aug","Sep","Oct","Nov","Dec"},0),D819)</f>
        <v>24450</v>
      </c>
      <c r="K819">
        <f t="shared" si="12"/>
        <v>56</v>
      </c>
    </row>
    <row r="820" spans="1:11" x14ac:dyDescent="0.35">
      <c r="A820" t="s">
        <v>851</v>
      </c>
      <c r="B820">
        <v>1988</v>
      </c>
      <c r="C820" t="s">
        <v>37</v>
      </c>
      <c r="D820">
        <v>10</v>
      </c>
      <c r="E820">
        <v>3</v>
      </c>
      <c r="F820" s="15">
        <v>6753.04</v>
      </c>
      <c r="G820" t="s">
        <v>11</v>
      </c>
      <c r="H820" t="s">
        <v>11</v>
      </c>
      <c r="I820" t="s">
        <v>247</v>
      </c>
      <c r="J820" s="11">
        <f>DATE(B820,MATCH(C820,{"Jan","Feb","Mar","Apr","May","Jun","Jul","Aug","Sep","Oct","Nov","Dec"},0),D820)</f>
        <v>32426</v>
      </c>
      <c r="K820">
        <f t="shared" si="12"/>
        <v>34</v>
      </c>
    </row>
    <row r="821" spans="1:11" x14ac:dyDescent="0.35">
      <c r="A821" t="s">
        <v>852</v>
      </c>
      <c r="B821">
        <v>1981</v>
      </c>
      <c r="C821" t="s">
        <v>20</v>
      </c>
      <c r="D821">
        <v>21</v>
      </c>
      <c r="E821">
        <v>1</v>
      </c>
      <c r="F821" s="15">
        <v>6770.19</v>
      </c>
      <c r="G821" t="s">
        <v>11</v>
      </c>
      <c r="H821" t="s">
        <v>12</v>
      </c>
      <c r="I821" t="s">
        <v>13</v>
      </c>
      <c r="J821" s="11">
        <f>DATE(B821,MATCH(C821,{"Jan","Feb","Mar","Apr","May","Jun","Jul","Aug","Sep","Oct","Nov","Dec"},0),D821)</f>
        <v>29850</v>
      </c>
      <c r="K821">
        <f t="shared" si="12"/>
        <v>41</v>
      </c>
    </row>
    <row r="822" spans="1:11" x14ac:dyDescent="0.35">
      <c r="A822" t="s">
        <v>853</v>
      </c>
      <c r="B822">
        <v>1981</v>
      </c>
      <c r="C822" t="s">
        <v>20</v>
      </c>
      <c r="D822">
        <v>3</v>
      </c>
      <c r="E822">
        <v>1</v>
      </c>
      <c r="F822" s="15">
        <v>6775.96</v>
      </c>
      <c r="G822" t="s">
        <v>11</v>
      </c>
      <c r="H822" t="s">
        <v>12</v>
      </c>
      <c r="I822" t="s">
        <v>42</v>
      </c>
      <c r="J822" s="11">
        <f>DATE(B822,MATCH(C822,{"Jan","Feb","Mar","Apr","May","Jun","Jul","Aug","Sep","Oct","Nov","Dec"},0),D822)</f>
        <v>29832</v>
      </c>
      <c r="K822">
        <f t="shared" si="12"/>
        <v>41</v>
      </c>
    </row>
    <row r="823" spans="1:11" x14ac:dyDescent="0.35">
      <c r="A823" t="s">
        <v>854</v>
      </c>
      <c r="B823">
        <v>1981</v>
      </c>
      <c r="C823" t="s">
        <v>37</v>
      </c>
      <c r="D823">
        <v>8</v>
      </c>
      <c r="E823">
        <v>1</v>
      </c>
      <c r="F823" s="15">
        <v>6781.35</v>
      </c>
      <c r="G823" t="s">
        <v>11</v>
      </c>
      <c r="H823" t="s">
        <v>16</v>
      </c>
      <c r="I823" t="s">
        <v>13</v>
      </c>
      <c r="J823" s="11">
        <f>DATE(B823,MATCH(C823,{"Jan","Feb","Mar","Apr","May","Jun","Jul","Aug","Sep","Oct","Nov","Dec"},0),D823)</f>
        <v>29867</v>
      </c>
      <c r="K823">
        <f t="shared" si="12"/>
        <v>41</v>
      </c>
    </row>
    <row r="824" spans="1:11" x14ac:dyDescent="0.35">
      <c r="A824" t="s">
        <v>855</v>
      </c>
      <c r="B824">
        <v>1980</v>
      </c>
      <c r="C824" t="s">
        <v>15</v>
      </c>
      <c r="D824">
        <v>23</v>
      </c>
      <c r="E824">
        <v>2</v>
      </c>
      <c r="F824" s="15">
        <v>6781.52</v>
      </c>
      <c r="G824" t="s">
        <v>11</v>
      </c>
      <c r="H824" t="s">
        <v>11</v>
      </c>
      <c r="I824" t="s">
        <v>13</v>
      </c>
      <c r="J824" s="11">
        <f>DATE(B824,MATCH(C824,{"Jan","Feb","Mar","Apr","May","Jun","Jul","Aug","Sep","Oct","Nov","Dec"},0),D824)</f>
        <v>29548</v>
      </c>
      <c r="K824">
        <f t="shared" si="12"/>
        <v>42</v>
      </c>
    </row>
    <row r="825" spans="1:11" x14ac:dyDescent="0.35">
      <c r="A825" t="s">
        <v>856</v>
      </c>
      <c r="B825">
        <v>1985</v>
      </c>
      <c r="C825" t="s">
        <v>30</v>
      </c>
      <c r="D825">
        <v>24</v>
      </c>
      <c r="E825">
        <v>3</v>
      </c>
      <c r="F825" s="15">
        <v>6796.86</v>
      </c>
      <c r="G825" t="s">
        <v>12</v>
      </c>
      <c r="H825" t="s">
        <v>12</v>
      </c>
      <c r="I825" t="s">
        <v>23</v>
      </c>
      <c r="J825" s="11">
        <f>DATE(B825,MATCH(C825,{"Jan","Feb","Mar","Apr","May","Jun","Jul","Aug","Sep","Oct","Nov","Dec"},0),D825)</f>
        <v>31405</v>
      </c>
      <c r="K825">
        <f t="shared" si="12"/>
        <v>37</v>
      </c>
    </row>
    <row r="826" spans="1:11" x14ac:dyDescent="0.35">
      <c r="A826" t="s">
        <v>857</v>
      </c>
      <c r="B826">
        <v>1991</v>
      </c>
      <c r="C826" t="s">
        <v>18</v>
      </c>
      <c r="D826">
        <v>29</v>
      </c>
      <c r="E826">
        <v>5</v>
      </c>
      <c r="F826" s="15">
        <v>6799.46</v>
      </c>
      <c r="G826" t="s">
        <v>16</v>
      </c>
      <c r="H826" t="s">
        <v>11</v>
      </c>
      <c r="I826" t="s">
        <v>276</v>
      </c>
      <c r="J826" s="11">
        <f>DATE(B826,MATCH(C826,{"Jan","Feb","Mar","Apr","May","Jun","Jul","Aug","Sep","Oct","Nov","Dec"},0),D826)</f>
        <v>33418</v>
      </c>
      <c r="K826">
        <f t="shared" si="12"/>
        <v>31</v>
      </c>
    </row>
    <row r="827" spans="1:11" x14ac:dyDescent="0.35">
      <c r="A827" t="s">
        <v>858</v>
      </c>
      <c r="B827">
        <v>1975</v>
      </c>
      <c r="C827" t="s">
        <v>35</v>
      </c>
      <c r="D827">
        <v>17</v>
      </c>
      <c r="E827">
        <v>1</v>
      </c>
      <c r="F827" s="15">
        <v>6809.46</v>
      </c>
      <c r="G827" t="s">
        <v>11</v>
      </c>
      <c r="H827" t="s">
        <v>16</v>
      </c>
      <c r="I827" t="s">
        <v>23</v>
      </c>
      <c r="J827" s="11">
        <f>DATE(B827,MATCH(C827,{"Jan","Feb","Mar","Apr","May","Jun","Jul","Aug","Sep","Oct","Nov","Dec"},0),D827)</f>
        <v>27623</v>
      </c>
      <c r="K827">
        <f t="shared" si="12"/>
        <v>47</v>
      </c>
    </row>
    <row r="828" spans="1:11" x14ac:dyDescent="0.35">
      <c r="A828" t="s">
        <v>859</v>
      </c>
      <c r="B828">
        <v>1994</v>
      </c>
      <c r="C828" t="s">
        <v>10</v>
      </c>
      <c r="D828">
        <v>8</v>
      </c>
      <c r="E828">
        <v>0</v>
      </c>
      <c r="F828" s="15">
        <v>6827.69</v>
      </c>
      <c r="G828" t="s">
        <v>11</v>
      </c>
      <c r="H828" t="s">
        <v>11</v>
      </c>
      <c r="I828" t="s">
        <v>300</v>
      </c>
      <c r="J828" s="11">
        <f>DATE(B828,MATCH(C828,{"Jan","Feb","Mar","Apr","May","Jun","Jul","Aug","Sep","Oct","Nov","Dec"},0),D828)</f>
        <v>34523</v>
      </c>
      <c r="K828">
        <f t="shared" si="12"/>
        <v>28</v>
      </c>
    </row>
    <row r="829" spans="1:11" x14ac:dyDescent="0.35">
      <c r="A829" t="s">
        <v>860</v>
      </c>
      <c r="B829">
        <v>1979</v>
      </c>
      <c r="C829" t="s">
        <v>10</v>
      </c>
      <c r="D829">
        <v>15</v>
      </c>
      <c r="E829">
        <v>0</v>
      </c>
      <c r="F829" s="15">
        <v>6837.37</v>
      </c>
      <c r="G829" t="s">
        <v>12</v>
      </c>
      <c r="H829" t="s">
        <v>16</v>
      </c>
      <c r="I829" t="s">
        <v>168</v>
      </c>
      <c r="J829" s="11">
        <f>DATE(B829,MATCH(C829,{"Jan","Feb","Mar","Apr","May","Jun","Jul","Aug","Sep","Oct","Nov","Dec"},0),D829)</f>
        <v>29051</v>
      </c>
      <c r="K829">
        <f t="shared" si="12"/>
        <v>43</v>
      </c>
    </row>
    <row r="830" spans="1:11" x14ac:dyDescent="0.35">
      <c r="A830" t="s">
        <v>861</v>
      </c>
      <c r="B830">
        <v>2000</v>
      </c>
      <c r="C830" t="s">
        <v>15</v>
      </c>
      <c r="D830">
        <v>30</v>
      </c>
      <c r="E830">
        <v>0</v>
      </c>
      <c r="F830" s="15">
        <v>6842.28</v>
      </c>
      <c r="G830" t="s">
        <v>11</v>
      </c>
      <c r="H830" t="s">
        <v>16</v>
      </c>
      <c r="I830" t="s">
        <v>23</v>
      </c>
      <c r="J830" s="11">
        <f>DATE(B830,MATCH(C830,{"Jan","Feb","Mar","Apr","May","Jun","Jul","Aug","Sep","Oct","Nov","Dec"},0),D830)</f>
        <v>36860</v>
      </c>
      <c r="K830">
        <f t="shared" si="12"/>
        <v>22</v>
      </c>
    </row>
    <row r="831" spans="1:11" x14ac:dyDescent="0.35">
      <c r="A831" t="s">
        <v>862</v>
      </c>
      <c r="B831">
        <v>1977</v>
      </c>
      <c r="C831" t="s">
        <v>18</v>
      </c>
      <c r="D831">
        <v>15</v>
      </c>
      <c r="E831">
        <v>2</v>
      </c>
      <c r="F831" s="15">
        <v>6843.17</v>
      </c>
      <c r="G831" t="s">
        <v>11</v>
      </c>
      <c r="H831" t="s">
        <v>16</v>
      </c>
      <c r="I831" t="s">
        <v>13</v>
      </c>
      <c r="J831" s="11">
        <f>DATE(B831,MATCH(C831,{"Jan","Feb","Mar","Apr","May","Jun","Jul","Aug","Sep","Oct","Nov","Dec"},0),D831)</f>
        <v>28291</v>
      </c>
      <c r="K831">
        <f t="shared" si="12"/>
        <v>45</v>
      </c>
    </row>
    <row r="832" spans="1:11" x14ac:dyDescent="0.35">
      <c r="A832" t="s">
        <v>863</v>
      </c>
      <c r="B832">
        <v>1979</v>
      </c>
      <c r="C832" t="s">
        <v>15</v>
      </c>
      <c r="D832">
        <v>4</v>
      </c>
      <c r="E832">
        <v>1</v>
      </c>
      <c r="F832" s="15">
        <v>6849.03</v>
      </c>
      <c r="G832" t="s">
        <v>11</v>
      </c>
      <c r="H832" t="s">
        <v>11</v>
      </c>
      <c r="I832" t="s">
        <v>42</v>
      </c>
      <c r="J832" s="11">
        <f>DATE(B832,MATCH(C832,{"Jan","Feb","Mar","Apr","May","Jun","Jul","Aug","Sep","Oct","Nov","Dec"},0),D832)</f>
        <v>29163</v>
      </c>
      <c r="K832">
        <f t="shared" si="12"/>
        <v>43</v>
      </c>
    </row>
    <row r="833" spans="1:11" x14ac:dyDescent="0.35">
      <c r="A833" t="s">
        <v>864</v>
      </c>
      <c r="B833">
        <v>1981</v>
      </c>
      <c r="C833" t="s">
        <v>18</v>
      </c>
      <c r="D833">
        <v>19</v>
      </c>
      <c r="E833">
        <v>1</v>
      </c>
      <c r="F833" s="15">
        <v>6858.48</v>
      </c>
      <c r="G833" t="s">
        <v>11</v>
      </c>
      <c r="H833" t="s">
        <v>11</v>
      </c>
      <c r="I833" t="s">
        <v>166</v>
      </c>
      <c r="J833" s="11">
        <f>DATE(B833,MATCH(C833,{"Jan","Feb","Mar","Apr","May","Jun","Jul","Aug","Sep","Oct","Nov","Dec"},0),D833)</f>
        <v>29756</v>
      </c>
      <c r="K833">
        <f t="shared" si="12"/>
        <v>41</v>
      </c>
    </row>
    <row r="834" spans="1:11" x14ac:dyDescent="0.35">
      <c r="A834" t="s">
        <v>865</v>
      </c>
      <c r="B834">
        <v>1978</v>
      </c>
      <c r="C834" t="s">
        <v>35</v>
      </c>
      <c r="D834">
        <v>5</v>
      </c>
      <c r="E834">
        <v>2</v>
      </c>
      <c r="F834" s="15">
        <v>6863.49</v>
      </c>
      <c r="G834" t="s">
        <v>11</v>
      </c>
      <c r="H834" t="s">
        <v>16</v>
      </c>
      <c r="I834" t="s">
        <v>13</v>
      </c>
      <c r="J834" s="11">
        <f>DATE(B834,MATCH(C834,{"Jan","Feb","Mar","Apr","May","Jun","Jul","Aug","Sep","Oct","Nov","Dec"},0),D834)</f>
        <v>28707</v>
      </c>
      <c r="K834">
        <f t="shared" si="12"/>
        <v>44</v>
      </c>
    </row>
    <row r="835" spans="1:11" x14ac:dyDescent="0.35">
      <c r="A835" t="s">
        <v>866</v>
      </c>
      <c r="B835">
        <v>1969</v>
      </c>
      <c r="C835" t="s">
        <v>37</v>
      </c>
      <c r="D835">
        <v>23</v>
      </c>
      <c r="E835">
        <v>0</v>
      </c>
      <c r="F835" s="15">
        <v>6868.39</v>
      </c>
      <c r="G835" t="s">
        <v>11</v>
      </c>
      <c r="H835" t="s">
        <v>11</v>
      </c>
      <c r="I835" t="s">
        <v>13</v>
      </c>
      <c r="J835" s="11">
        <f>DATE(B835,MATCH(C835,{"Jan","Feb","Mar","Apr","May","Jun","Jul","Aug","Sep","Oct","Nov","Dec"},0),D835)</f>
        <v>25499</v>
      </c>
      <c r="K835">
        <f t="shared" ref="K835:K898" si="13">DATEDIF(J835,$N$1,"Y")</f>
        <v>53</v>
      </c>
    </row>
    <row r="836" spans="1:11" x14ac:dyDescent="0.35">
      <c r="A836" t="s">
        <v>867</v>
      </c>
      <c r="B836">
        <v>1981</v>
      </c>
      <c r="C836" t="s">
        <v>18</v>
      </c>
      <c r="D836">
        <v>23</v>
      </c>
      <c r="E836">
        <v>2</v>
      </c>
      <c r="F836" s="15">
        <v>6875.96</v>
      </c>
      <c r="G836" t="s">
        <v>11</v>
      </c>
      <c r="H836" t="s">
        <v>11</v>
      </c>
      <c r="I836" t="s">
        <v>42</v>
      </c>
      <c r="J836" s="11">
        <f>DATE(B836,MATCH(C836,{"Jan","Feb","Mar","Apr","May","Jun","Jul","Aug","Sep","Oct","Nov","Dec"},0),D836)</f>
        <v>29760</v>
      </c>
      <c r="K836">
        <f t="shared" si="13"/>
        <v>41</v>
      </c>
    </row>
    <row r="837" spans="1:11" x14ac:dyDescent="0.35">
      <c r="A837" t="s">
        <v>868</v>
      </c>
      <c r="B837">
        <v>2004</v>
      </c>
      <c r="C837" t="s">
        <v>30</v>
      </c>
      <c r="D837">
        <v>24</v>
      </c>
      <c r="E837">
        <v>0</v>
      </c>
      <c r="F837" s="15">
        <v>6876.53</v>
      </c>
      <c r="G837" t="s">
        <v>11</v>
      </c>
      <c r="H837" t="s">
        <v>16</v>
      </c>
      <c r="I837" t="s">
        <v>23</v>
      </c>
      <c r="J837" s="11">
        <f>DATE(B837,MATCH(C837,{"Jan","Feb","Mar","Apr","May","Jun","Jul","Aug","Sep","Oct","Nov","Dec"},0),D837)</f>
        <v>38345</v>
      </c>
      <c r="K837">
        <f t="shared" si="13"/>
        <v>18</v>
      </c>
    </row>
    <row r="838" spans="1:11" x14ac:dyDescent="0.35">
      <c r="A838" t="s">
        <v>869</v>
      </c>
      <c r="B838">
        <v>1985</v>
      </c>
      <c r="C838" t="s">
        <v>20</v>
      </c>
      <c r="D838">
        <v>10</v>
      </c>
      <c r="E838">
        <v>2</v>
      </c>
      <c r="F838" s="15">
        <v>6877.98</v>
      </c>
      <c r="G838" t="s">
        <v>11</v>
      </c>
      <c r="H838" t="s">
        <v>16</v>
      </c>
      <c r="I838" t="s">
        <v>247</v>
      </c>
      <c r="J838" s="11">
        <f>DATE(B838,MATCH(C838,{"Jan","Feb","Mar","Apr","May","Jun","Jul","Aug","Sep","Oct","Nov","Dec"},0),D838)</f>
        <v>31300</v>
      </c>
      <c r="K838">
        <f t="shared" si="13"/>
        <v>37</v>
      </c>
    </row>
    <row r="839" spans="1:11" x14ac:dyDescent="0.35">
      <c r="A839" t="s">
        <v>870</v>
      </c>
      <c r="B839">
        <v>1989</v>
      </c>
      <c r="C839" t="s">
        <v>30</v>
      </c>
      <c r="D839">
        <v>21</v>
      </c>
      <c r="E839">
        <v>3</v>
      </c>
      <c r="F839" s="15">
        <v>6895.19</v>
      </c>
      <c r="G839" t="s">
        <v>11</v>
      </c>
      <c r="H839" t="s">
        <v>12</v>
      </c>
      <c r="I839" t="s">
        <v>247</v>
      </c>
      <c r="J839" s="11">
        <f>DATE(B839,MATCH(C839,{"Jan","Feb","Mar","Apr","May","Jun","Jul","Aug","Sep","Oct","Nov","Dec"},0),D839)</f>
        <v>32863</v>
      </c>
      <c r="K839">
        <f t="shared" si="13"/>
        <v>33</v>
      </c>
    </row>
    <row r="840" spans="1:11" x14ac:dyDescent="0.35">
      <c r="A840" t="s">
        <v>871</v>
      </c>
      <c r="B840">
        <v>1984</v>
      </c>
      <c r="C840" t="s">
        <v>20</v>
      </c>
      <c r="D840">
        <v>5</v>
      </c>
      <c r="E840">
        <v>2</v>
      </c>
      <c r="F840" s="15">
        <v>6933.24</v>
      </c>
      <c r="G840" t="s">
        <v>11</v>
      </c>
      <c r="H840" t="s">
        <v>12</v>
      </c>
      <c r="I840" t="s">
        <v>23</v>
      </c>
      <c r="J840" s="11">
        <f>DATE(B840,MATCH(C840,{"Jan","Feb","Mar","Apr","May","Jun","Jul","Aug","Sep","Oct","Nov","Dec"},0),D840)</f>
        <v>30930</v>
      </c>
      <c r="K840">
        <f t="shared" si="13"/>
        <v>38</v>
      </c>
    </row>
    <row r="841" spans="1:11" x14ac:dyDescent="0.35">
      <c r="A841" t="s">
        <v>872</v>
      </c>
      <c r="B841">
        <v>1978</v>
      </c>
      <c r="C841" t="s">
        <v>15</v>
      </c>
      <c r="D841">
        <v>29</v>
      </c>
      <c r="E841">
        <v>2</v>
      </c>
      <c r="F841" s="15">
        <v>6938.11</v>
      </c>
      <c r="G841" t="s">
        <v>11</v>
      </c>
      <c r="H841" t="s">
        <v>11</v>
      </c>
      <c r="I841" t="s">
        <v>13</v>
      </c>
      <c r="J841" s="11">
        <f>DATE(B841,MATCH(C841,{"Jan","Feb","Mar","Apr","May","Jun","Jul","Aug","Sep","Oct","Nov","Dec"},0),D841)</f>
        <v>28823</v>
      </c>
      <c r="K841">
        <f t="shared" si="13"/>
        <v>44</v>
      </c>
    </row>
    <row r="842" spans="1:11" x14ac:dyDescent="0.35">
      <c r="A842" t="s">
        <v>873</v>
      </c>
      <c r="B842">
        <v>1980</v>
      </c>
      <c r="C842" t="s">
        <v>35</v>
      </c>
      <c r="D842">
        <v>30</v>
      </c>
      <c r="E842">
        <v>1</v>
      </c>
      <c r="F842" s="15">
        <v>6940.91</v>
      </c>
      <c r="G842" t="s">
        <v>11</v>
      </c>
      <c r="H842" t="s">
        <v>11</v>
      </c>
      <c r="I842" t="s">
        <v>23</v>
      </c>
      <c r="J842" s="11">
        <f>DATE(B842,MATCH(C842,{"Jan","Feb","Mar","Apr","May","Jun","Jul","Aug","Sep","Oct","Nov","Dec"},0),D842)</f>
        <v>29463</v>
      </c>
      <c r="K842">
        <f t="shared" si="13"/>
        <v>42</v>
      </c>
    </row>
    <row r="843" spans="1:11" x14ac:dyDescent="0.35">
      <c r="A843" t="s">
        <v>874</v>
      </c>
      <c r="B843">
        <v>1980</v>
      </c>
      <c r="C843" t="s">
        <v>37</v>
      </c>
      <c r="D843">
        <v>5</v>
      </c>
      <c r="E843">
        <v>2</v>
      </c>
      <c r="F843" s="15">
        <v>6940.94</v>
      </c>
      <c r="G843" t="s">
        <v>11</v>
      </c>
      <c r="H843" t="s">
        <v>12</v>
      </c>
      <c r="I843" t="s">
        <v>13</v>
      </c>
      <c r="J843" s="11">
        <f>DATE(B843,MATCH(C843,{"Jan","Feb","Mar","Apr","May","Jun","Jul","Aug","Sep","Oct","Nov","Dec"},0),D843)</f>
        <v>29499</v>
      </c>
      <c r="K843">
        <f t="shared" si="13"/>
        <v>42</v>
      </c>
    </row>
    <row r="844" spans="1:11" x14ac:dyDescent="0.35">
      <c r="A844" t="s">
        <v>875</v>
      </c>
      <c r="B844">
        <v>1978</v>
      </c>
      <c r="C844" t="s">
        <v>30</v>
      </c>
      <c r="D844">
        <v>15</v>
      </c>
      <c r="E844">
        <v>0</v>
      </c>
      <c r="F844" s="15">
        <v>6948.7</v>
      </c>
      <c r="G844" t="s">
        <v>16</v>
      </c>
      <c r="H844" t="s">
        <v>11</v>
      </c>
      <c r="I844" t="s">
        <v>23</v>
      </c>
      <c r="J844" s="11">
        <f>DATE(B844,MATCH(C844,{"Jan","Feb","Mar","Apr","May","Jun","Jul","Aug","Sep","Oct","Nov","Dec"},0),D844)</f>
        <v>28839</v>
      </c>
      <c r="K844">
        <f t="shared" si="13"/>
        <v>44</v>
      </c>
    </row>
    <row r="845" spans="1:11" x14ac:dyDescent="0.35">
      <c r="A845" t="s">
        <v>876</v>
      </c>
      <c r="B845">
        <v>1980</v>
      </c>
      <c r="C845" t="s">
        <v>35</v>
      </c>
      <c r="D845">
        <v>18</v>
      </c>
      <c r="E845">
        <v>2</v>
      </c>
      <c r="F845" s="15">
        <v>6951.12</v>
      </c>
      <c r="G845" t="s">
        <v>11</v>
      </c>
      <c r="H845" t="s">
        <v>11</v>
      </c>
      <c r="I845" t="s">
        <v>13</v>
      </c>
      <c r="J845" s="11">
        <f>DATE(B845,MATCH(C845,{"Jan","Feb","Mar","Apr","May","Jun","Jul","Aug","Sep","Oct","Nov","Dec"},0),D845)</f>
        <v>29451</v>
      </c>
      <c r="K845">
        <f t="shared" si="13"/>
        <v>42</v>
      </c>
    </row>
    <row r="846" spans="1:11" x14ac:dyDescent="0.35">
      <c r="A846" t="s">
        <v>877</v>
      </c>
      <c r="B846">
        <v>1975</v>
      </c>
      <c r="C846" t="s">
        <v>18</v>
      </c>
      <c r="D846">
        <v>3</v>
      </c>
      <c r="E846">
        <v>1</v>
      </c>
      <c r="F846" s="15">
        <v>6965.21</v>
      </c>
      <c r="G846" t="s">
        <v>11</v>
      </c>
      <c r="H846" t="s">
        <v>12</v>
      </c>
      <c r="I846" t="s">
        <v>13</v>
      </c>
      <c r="J846" s="11">
        <f>DATE(B846,MATCH(C846,{"Jan","Feb","Mar","Apr","May","Jun","Jul","Aug","Sep","Oct","Nov","Dec"},0),D846)</f>
        <v>27548</v>
      </c>
      <c r="K846">
        <f t="shared" si="13"/>
        <v>48</v>
      </c>
    </row>
    <row r="847" spans="1:11" x14ac:dyDescent="0.35">
      <c r="A847" t="s">
        <v>878</v>
      </c>
      <c r="B847">
        <v>1985</v>
      </c>
      <c r="C847" t="s">
        <v>30</v>
      </c>
      <c r="D847">
        <v>10</v>
      </c>
      <c r="E847">
        <v>3</v>
      </c>
      <c r="F847" s="15">
        <v>6985.51</v>
      </c>
      <c r="G847" t="s">
        <v>11</v>
      </c>
      <c r="H847" t="s">
        <v>11</v>
      </c>
      <c r="I847" t="s">
        <v>166</v>
      </c>
      <c r="J847" s="11">
        <f>DATE(B847,MATCH(C847,{"Jan","Feb","Mar","Apr","May","Jun","Jul","Aug","Sep","Oct","Nov","Dec"},0),D847)</f>
        <v>31391</v>
      </c>
      <c r="K847">
        <f t="shared" si="13"/>
        <v>37</v>
      </c>
    </row>
    <row r="848" spans="1:11" x14ac:dyDescent="0.35">
      <c r="A848" t="s">
        <v>879</v>
      </c>
      <c r="B848">
        <v>1982</v>
      </c>
      <c r="C848" t="s">
        <v>37</v>
      </c>
      <c r="D848">
        <v>18</v>
      </c>
      <c r="E848">
        <v>2</v>
      </c>
      <c r="F848" s="15">
        <v>6986.7</v>
      </c>
      <c r="G848" t="s">
        <v>12</v>
      </c>
      <c r="H848" t="s">
        <v>16</v>
      </c>
      <c r="I848" t="s">
        <v>23</v>
      </c>
      <c r="J848" s="11">
        <f>DATE(B848,MATCH(C848,{"Jan","Feb","Mar","Apr","May","Jun","Jul","Aug","Sep","Oct","Nov","Dec"},0),D848)</f>
        <v>30242</v>
      </c>
      <c r="K848">
        <f t="shared" si="13"/>
        <v>40</v>
      </c>
    </row>
    <row r="849" spans="1:11" x14ac:dyDescent="0.35">
      <c r="A849" t="s">
        <v>880</v>
      </c>
      <c r="B849">
        <v>1982</v>
      </c>
      <c r="C849" t="s">
        <v>20</v>
      </c>
      <c r="D849">
        <v>1</v>
      </c>
      <c r="E849">
        <v>3</v>
      </c>
      <c r="F849" s="15">
        <v>6989.95</v>
      </c>
      <c r="G849" t="s">
        <v>11</v>
      </c>
      <c r="H849" t="s">
        <v>16</v>
      </c>
      <c r="I849" t="s">
        <v>13</v>
      </c>
      <c r="J849" s="11">
        <f>DATE(B849,MATCH(C849,{"Jan","Feb","Mar","Apr","May","Jun","Jul","Aug","Sep","Oct","Nov","Dec"},0),D849)</f>
        <v>30195</v>
      </c>
      <c r="K849">
        <f t="shared" si="13"/>
        <v>40</v>
      </c>
    </row>
    <row r="850" spans="1:11" x14ac:dyDescent="0.35">
      <c r="A850" t="s">
        <v>881</v>
      </c>
      <c r="B850">
        <v>1969</v>
      </c>
      <c r="C850" t="s">
        <v>10</v>
      </c>
      <c r="D850">
        <v>6</v>
      </c>
      <c r="E850">
        <v>0</v>
      </c>
      <c r="F850" s="15">
        <v>7003.1</v>
      </c>
      <c r="G850" t="s">
        <v>11</v>
      </c>
      <c r="H850" t="s">
        <v>12</v>
      </c>
      <c r="I850" t="s">
        <v>13</v>
      </c>
      <c r="J850" s="11">
        <f>DATE(B850,MATCH(C850,{"Jan","Feb","Mar","Apr","May","Jun","Jul","Aug","Sep","Oct","Nov","Dec"},0),D850)</f>
        <v>25390</v>
      </c>
      <c r="K850">
        <f t="shared" si="13"/>
        <v>53</v>
      </c>
    </row>
    <row r="851" spans="1:11" x14ac:dyDescent="0.35">
      <c r="A851" t="s">
        <v>882</v>
      </c>
      <c r="B851">
        <v>1978</v>
      </c>
      <c r="C851" t="s">
        <v>18</v>
      </c>
      <c r="D851">
        <v>2</v>
      </c>
      <c r="E851">
        <v>2</v>
      </c>
      <c r="F851" s="15">
        <v>7033.08</v>
      </c>
      <c r="G851" t="s">
        <v>11</v>
      </c>
      <c r="H851" t="s">
        <v>11</v>
      </c>
      <c r="I851" t="s">
        <v>13</v>
      </c>
      <c r="J851" s="11">
        <f>DATE(B851,MATCH(C851,{"Jan","Feb","Mar","Apr","May","Jun","Jul","Aug","Sep","Oct","Nov","Dec"},0),D851)</f>
        <v>28643</v>
      </c>
      <c r="K851">
        <f t="shared" si="13"/>
        <v>45</v>
      </c>
    </row>
    <row r="852" spans="1:11" x14ac:dyDescent="0.35">
      <c r="A852" t="s">
        <v>883</v>
      </c>
      <c r="B852">
        <v>1995</v>
      </c>
      <c r="C852" t="s">
        <v>37</v>
      </c>
      <c r="D852">
        <v>29</v>
      </c>
      <c r="E852">
        <v>0</v>
      </c>
      <c r="F852" s="15">
        <v>7042.11</v>
      </c>
      <c r="G852" t="s">
        <v>11</v>
      </c>
      <c r="H852" t="s">
        <v>12</v>
      </c>
      <c r="I852" t="s">
        <v>23</v>
      </c>
      <c r="J852" s="11">
        <f>DATE(B852,MATCH(C852,{"Jan","Feb","Mar","Apr","May","Jun","Jul","Aug","Sep","Oct","Nov","Dec"},0),D852)</f>
        <v>35001</v>
      </c>
      <c r="K852">
        <f t="shared" si="13"/>
        <v>27</v>
      </c>
    </row>
    <row r="853" spans="1:11" x14ac:dyDescent="0.35">
      <c r="A853" t="s">
        <v>884</v>
      </c>
      <c r="B853">
        <v>1980</v>
      </c>
      <c r="C853" t="s">
        <v>10</v>
      </c>
      <c r="D853">
        <v>26</v>
      </c>
      <c r="E853">
        <v>1</v>
      </c>
      <c r="F853" s="15">
        <v>7045.5</v>
      </c>
      <c r="G853" t="s">
        <v>11</v>
      </c>
      <c r="H853" t="s">
        <v>16</v>
      </c>
      <c r="I853" t="s">
        <v>42</v>
      </c>
      <c r="J853" s="11">
        <f>DATE(B853,MATCH(C853,{"Jan","Feb","Mar","Apr","May","Jun","Jul","Aug","Sep","Oct","Nov","Dec"},0),D853)</f>
        <v>29428</v>
      </c>
      <c r="K853">
        <f t="shared" si="13"/>
        <v>42</v>
      </c>
    </row>
    <row r="854" spans="1:11" x14ac:dyDescent="0.35">
      <c r="A854" t="s">
        <v>885</v>
      </c>
      <c r="B854">
        <v>1980</v>
      </c>
      <c r="C854" t="s">
        <v>37</v>
      </c>
      <c r="D854">
        <v>22</v>
      </c>
      <c r="E854">
        <v>1</v>
      </c>
      <c r="F854" s="15">
        <v>7046.72</v>
      </c>
      <c r="G854" t="s">
        <v>11</v>
      </c>
      <c r="H854" t="s">
        <v>12</v>
      </c>
      <c r="I854" t="s">
        <v>13</v>
      </c>
      <c r="J854" s="11">
        <f>DATE(B854,MATCH(C854,{"Jan","Feb","Mar","Apr","May","Jun","Jul","Aug","Sep","Oct","Nov","Dec"},0),D854)</f>
        <v>29516</v>
      </c>
      <c r="K854">
        <f t="shared" si="13"/>
        <v>42</v>
      </c>
    </row>
    <row r="855" spans="1:11" x14ac:dyDescent="0.35">
      <c r="A855" t="s">
        <v>886</v>
      </c>
      <c r="B855">
        <v>1980</v>
      </c>
      <c r="C855" t="s">
        <v>10</v>
      </c>
      <c r="D855">
        <v>21</v>
      </c>
      <c r="E855">
        <v>0</v>
      </c>
      <c r="F855" s="15">
        <v>7050.02</v>
      </c>
      <c r="G855" t="s">
        <v>11</v>
      </c>
      <c r="H855" t="s">
        <v>16</v>
      </c>
      <c r="I855" t="s">
        <v>247</v>
      </c>
      <c r="J855" s="11">
        <f>DATE(B855,MATCH(C855,{"Jan","Feb","Mar","Apr","May","Jun","Jul","Aug","Sep","Oct","Nov","Dec"},0),D855)</f>
        <v>29423</v>
      </c>
      <c r="K855">
        <f t="shared" si="13"/>
        <v>42</v>
      </c>
    </row>
    <row r="856" spans="1:11" x14ac:dyDescent="0.35">
      <c r="A856" t="s">
        <v>887</v>
      </c>
      <c r="B856">
        <v>1980</v>
      </c>
      <c r="C856" t="s">
        <v>18</v>
      </c>
      <c r="D856">
        <v>28</v>
      </c>
      <c r="E856">
        <v>1</v>
      </c>
      <c r="F856" s="15">
        <v>7050.64</v>
      </c>
      <c r="G856" t="s">
        <v>11</v>
      </c>
      <c r="H856" t="s">
        <v>12</v>
      </c>
      <c r="I856" t="s">
        <v>42</v>
      </c>
      <c r="J856" s="11">
        <f>DATE(B856,MATCH(C856,{"Jan","Feb","Mar","Apr","May","Jun","Jul","Aug","Sep","Oct","Nov","Dec"},0),D856)</f>
        <v>29400</v>
      </c>
      <c r="K856">
        <f t="shared" si="13"/>
        <v>42</v>
      </c>
    </row>
    <row r="857" spans="1:11" x14ac:dyDescent="0.35">
      <c r="A857" t="s">
        <v>888</v>
      </c>
      <c r="B857">
        <v>1978</v>
      </c>
      <c r="C857" t="s">
        <v>18</v>
      </c>
      <c r="D857">
        <v>24</v>
      </c>
      <c r="E857">
        <v>2</v>
      </c>
      <c r="F857" s="15">
        <v>7054.41</v>
      </c>
      <c r="G857" t="s">
        <v>11</v>
      </c>
      <c r="H857" t="s">
        <v>11</v>
      </c>
      <c r="I857" t="s">
        <v>13</v>
      </c>
      <c r="J857" s="11">
        <f>DATE(B857,MATCH(C857,{"Jan","Feb","Mar","Apr","May","Jun","Jul","Aug","Sep","Oct","Nov","Dec"},0),D857)</f>
        <v>28665</v>
      </c>
      <c r="K857">
        <f t="shared" si="13"/>
        <v>44</v>
      </c>
    </row>
    <row r="858" spans="1:11" x14ac:dyDescent="0.35">
      <c r="A858" t="s">
        <v>889</v>
      </c>
      <c r="B858">
        <v>1982</v>
      </c>
      <c r="C858" t="s">
        <v>37</v>
      </c>
      <c r="D858">
        <v>6</v>
      </c>
      <c r="E858">
        <v>1</v>
      </c>
      <c r="F858" s="15">
        <v>7077.19</v>
      </c>
      <c r="G858" t="s">
        <v>11</v>
      </c>
      <c r="H858" t="s">
        <v>12</v>
      </c>
      <c r="I858" t="s">
        <v>247</v>
      </c>
      <c r="J858" s="11">
        <f>DATE(B858,MATCH(C858,{"Jan","Feb","Mar","Apr","May","Jun","Jul","Aug","Sep","Oct","Nov","Dec"},0),D858)</f>
        <v>30230</v>
      </c>
      <c r="K858">
        <f t="shared" si="13"/>
        <v>40</v>
      </c>
    </row>
    <row r="859" spans="1:11" x14ac:dyDescent="0.35">
      <c r="A859" t="s">
        <v>890</v>
      </c>
      <c r="B859">
        <v>1992</v>
      </c>
      <c r="C859" t="s">
        <v>18</v>
      </c>
      <c r="D859">
        <v>18</v>
      </c>
      <c r="E859">
        <v>0</v>
      </c>
      <c r="F859" s="15">
        <v>7096.98</v>
      </c>
      <c r="G859" t="s">
        <v>11</v>
      </c>
      <c r="H859" t="s">
        <v>11</v>
      </c>
      <c r="I859" t="s">
        <v>23</v>
      </c>
      <c r="J859" s="11">
        <f>DATE(B859,MATCH(C859,{"Jan","Feb","Mar","Apr","May","Jun","Jul","Aug","Sep","Oct","Nov","Dec"},0),D859)</f>
        <v>33773</v>
      </c>
      <c r="K859">
        <f t="shared" si="13"/>
        <v>30</v>
      </c>
    </row>
    <row r="860" spans="1:11" x14ac:dyDescent="0.35">
      <c r="A860" t="s">
        <v>891</v>
      </c>
      <c r="B860">
        <v>1987</v>
      </c>
      <c r="C860" t="s">
        <v>35</v>
      </c>
      <c r="D860">
        <v>11</v>
      </c>
      <c r="E860">
        <v>3</v>
      </c>
      <c r="F860" s="15">
        <v>7106.81</v>
      </c>
      <c r="G860" t="s">
        <v>11</v>
      </c>
      <c r="H860" t="s">
        <v>16</v>
      </c>
      <c r="I860" t="s">
        <v>23</v>
      </c>
      <c r="J860" s="11">
        <f>DATE(B860,MATCH(C860,{"Jan","Feb","Mar","Apr","May","Jun","Jul","Aug","Sep","Oct","Nov","Dec"},0),D860)</f>
        <v>32000</v>
      </c>
      <c r="K860">
        <f t="shared" si="13"/>
        <v>35</v>
      </c>
    </row>
    <row r="861" spans="1:11" x14ac:dyDescent="0.35">
      <c r="A861" t="s">
        <v>892</v>
      </c>
      <c r="B861">
        <v>1968</v>
      </c>
      <c r="C861" t="s">
        <v>18</v>
      </c>
      <c r="D861">
        <v>29</v>
      </c>
      <c r="E861">
        <v>0</v>
      </c>
      <c r="F861" s="15">
        <v>7125.25</v>
      </c>
      <c r="G861" t="s">
        <v>12</v>
      </c>
      <c r="H861" t="s">
        <v>11</v>
      </c>
      <c r="I861" t="s">
        <v>13</v>
      </c>
      <c r="J861" s="11">
        <f>DATE(B861,MATCH(C861,{"Jan","Feb","Mar","Apr","May","Jun","Jul","Aug","Sep","Oct","Nov","Dec"},0),D861)</f>
        <v>25018</v>
      </c>
      <c r="K861">
        <f t="shared" si="13"/>
        <v>54</v>
      </c>
    </row>
    <row r="862" spans="1:11" x14ac:dyDescent="0.35">
      <c r="A862" t="s">
        <v>893</v>
      </c>
      <c r="B862">
        <v>1993</v>
      </c>
      <c r="C862" t="s">
        <v>35</v>
      </c>
      <c r="D862">
        <v>1</v>
      </c>
      <c r="E862">
        <v>0</v>
      </c>
      <c r="F862" s="15">
        <v>7128.64</v>
      </c>
      <c r="G862" t="s">
        <v>11</v>
      </c>
      <c r="H862" t="s">
        <v>11</v>
      </c>
      <c r="I862" t="s">
        <v>300</v>
      </c>
      <c r="J862" s="11">
        <f>DATE(B862,MATCH(C862,{"Jan","Feb","Mar","Apr","May","Jun","Jul","Aug","Sep","Oct","Nov","Dec"},0),D862)</f>
        <v>34182</v>
      </c>
      <c r="K862">
        <f t="shared" si="13"/>
        <v>29</v>
      </c>
    </row>
    <row r="863" spans="1:11" x14ac:dyDescent="0.35">
      <c r="A863" t="s">
        <v>894</v>
      </c>
      <c r="B863">
        <v>1984</v>
      </c>
      <c r="C863" t="s">
        <v>10</v>
      </c>
      <c r="D863">
        <v>7</v>
      </c>
      <c r="E863">
        <v>2</v>
      </c>
      <c r="F863" s="15">
        <v>7133.9</v>
      </c>
      <c r="G863" t="s">
        <v>11</v>
      </c>
      <c r="H863" t="s">
        <v>16</v>
      </c>
      <c r="I863" t="s">
        <v>247</v>
      </c>
      <c r="J863" s="11">
        <f>DATE(B863,MATCH(C863,{"Jan","Feb","Mar","Apr","May","Jun","Jul","Aug","Sep","Oct","Nov","Dec"},0),D863)</f>
        <v>30870</v>
      </c>
      <c r="K863">
        <f t="shared" si="13"/>
        <v>38</v>
      </c>
    </row>
    <row r="864" spans="1:11" x14ac:dyDescent="0.35">
      <c r="A864" t="s">
        <v>895</v>
      </c>
      <c r="B864">
        <v>1999</v>
      </c>
      <c r="C864" t="s">
        <v>35</v>
      </c>
      <c r="D864">
        <v>8</v>
      </c>
      <c r="E864">
        <v>0</v>
      </c>
      <c r="F864" s="15">
        <v>7144.4</v>
      </c>
      <c r="G864" t="s">
        <v>11</v>
      </c>
      <c r="H864" t="s">
        <v>16</v>
      </c>
      <c r="I864" t="s">
        <v>632</v>
      </c>
      <c r="J864" s="11">
        <f>DATE(B864,MATCH(C864,{"Jan","Feb","Mar","Apr","May","Jun","Jul","Aug","Sep","Oct","Nov","Dec"},0),D864)</f>
        <v>36380</v>
      </c>
      <c r="K864">
        <f t="shared" si="13"/>
        <v>23</v>
      </c>
    </row>
    <row r="865" spans="1:11" x14ac:dyDescent="0.35">
      <c r="A865" t="s">
        <v>896</v>
      </c>
      <c r="B865">
        <v>1984</v>
      </c>
      <c r="C865" t="s">
        <v>15</v>
      </c>
      <c r="D865">
        <v>21</v>
      </c>
      <c r="E865">
        <v>2</v>
      </c>
      <c r="F865" s="15">
        <v>7144.86</v>
      </c>
      <c r="G865" t="s">
        <v>11</v>
      </c>
      <c r="H865" t="s">
        <v>11</v>
      </c>
      <c r="I865" t="s">
        <v>247</v>
      </c>
      <c r="J865" s="11">
        <f>DATE(B865,MATCH(C865,{"Jan","Feb","Mar","Apr","May","Jun","Jul","Aug","Sep","Oct","Nov","Dec"},0),D865)</f>
        <v>31007</v>
      </c>
      <c r="K865">
        <f t="shared" si="13"/>
        <v>38</v>
      </c>
    </row>
    <row r="866" spans="1:11" x14ac:dyDescent="0.35">
      <c r="A866" t="s">
        <v>897</v>
      </c>
      <c r="B866">
        <v>1976</v>
      </c>
      <c r="C866" t="s">
        <v>18</v>
      </c>
      <c r="D866">
        <v>24</v>
      </c>
      <c r="E866">
        <v>0</v>
      </c>
      <c r="F866" s="15">
        <v>7147.11</v>
      </c>
      <c r="G866" t="s">
        <v>12</v>
      </c>
      <c r="H866" t="s">
        <v>11</v>
      </c>
      <c r="I866" t="s">
        <v>42</v>
      </c>
      <c r="J866" s="11">
        <f>DATE(B866,MATCH(C866,{"Jan","Feb","Mar","Apr","May","Jun","Jul","Aug","Sep","Oct","Nov","Dec"},0),D866)</f>
        <v>27935</v>
      </c>
      <c r="K866">
        <f t="shared" si="13"/>
        <v>46</v>
      </c>
    </row>
    <row r="867" spans="1:11" x14ac:dyDescent="0.35">
      <c r="A867" t="s">
        <v>898</v>
      </c>
      <c r="B867">
        <v>1978</v>
      </c>
      <c r="C867" t="s">
        <v>10</v>
      </c>
      <c r="D867">
        <v>30</v>
      </c>
      <c r="E867">
        <v>1</v>
      </c>
      <c r="F867" s="15">
        <v>7147.47</v>
      </c>
      <c r="G867" t="s">
        <v>11</v>
      </c>
      <c r="H867" t="s">
        <v>12</v>
      </c>
      <c r="I867" t="s">
        <v>13</v>
      </c>
      <c r="J867" s="11">
        <f>DATE(B867,MATCH(C867,{"Jan","Feb","Mar","Apr","May","Jun","Jul","Aug","Sep","Oct","Nov","Dec"},0),D867)</f>
        <v>28701</v>
      </c>
      <c r="K867">
        <f t="shared" si="13"/>
        <v>44</v>
      </c>
    </row>
    <row r="868" spans="1:11" x14ac:dyDescent="0.35">
      <c r="A868" t="s">
        <v>899</v>
      </c>
      <c r="B868">
        <v>1984</v>
      </c>
      <c r="C868" t="s">
        <v>18</v>
      </c>
      <c r="D868">
        <v>29</v>
      </c>
      <c r="E868">
        <v>3</v>
      </c>
      <c r="F868" s="15">
        <v>7151.09</v>
      </c>
      <c r="G868" t="s">
        <v>11</v>
      </c>
      <c r="H868" t="s">
        <v>11</v>
      </c>
      <c r="I868" t="s">
        <v>42</v>
      </c>
      <c r="J868" s="11">
        <f>DATE(B868,MATCH(C868,{"Jan","Feb","Mar","Apr","May","Jun","Jul","Aug","Sep","Oct","Nov","Dec"},0),D868)</f>
        <v>30862</v>
      </c>
      <c r="K868">
        <f t="shared" si="13"/>
        <v>38</v>
      </c>
    </row>
    <row r="869" spans="1:11" x14ac:dyDescent="0.35">
      <c r="A869" t="s">
        <v>900</v>
      </c>
      <c r="B869">
        <v>1978</v>
      </c>
      <c r="C869" t="s">
        <v>20</v>
      </c>
      <c r="D869">
        <v>6</v>
      </c>
      <c r="E869">
        <v>1</v>
      </c>
      <c r="F869" s="15">
        <v>7152.67</v>
      </c>
      <c r="G869" t="s">
        <v>12</v>
      </c>
      <c r="H869" t="s">
        <v>11</v>
      </c>
      <c r="I869" t="s">
        <v>13</v>
      </c>
      <c r="J869" s="11">
        <f>DATE(B869,MATCH(C869,{"Jan","Feb","Mar","Apr","May","Jun","Jul","Aug","Sep","Oct","Nov","Dec"},0),D869)</f>
        <v>28739</v>
      </c>
      <c r="K869">
        <f t="shared" si="13"/>
        <v>44</v>
      </c>
    </row>
    <row r="870" spans="1:11" x14ac:dyDescent="0.35">
      <c r="A870" t="s">
        <v>901</v>
      </c>
      <c r="B870">
        <v>1981</v>
      </c>
      <c r="C870" t="s">
        <v>10</v>
      </c>
      <c r="D870">
        <v>17</v>
      </c>
      <c r="E870">
        <v>1</v>
      </c>
      <c r="F870" s="15">
        <v>7153.55</v>
      </c>
      <c r="G870" t="s">
        <v>11</v>
      </c>
      <c r="H870" t="s">
        <v>16</v>
      </c>
      <c r="I870" t="s">
        <v>23</v>
      </c>
      <c r="J870" s="11">
        <f>DATE(B870,MATCH(C870,{"Jan","Feb","Mar","Apr","May","Jun","Jul","Aug","Sep","Oct","Nov","Dec"},0),D870)</f>
        <v>29784</v>
      </c>
      <c r="K870">
        <f t="shared" si="13"/>
        <v>41</v>
      </c>
    </row>
    <row r="871" spans="1:11" x14ac:dyDescent="0.35">
      <c r="A871" t="s">
        <v>902</v>
      </c>
      <c r="B871">
        <v>1980</v>
      </c>
      <c r="C871" t="s">
        <v>18</v>
      </c>
      <c r="D871">
        <v>22</v>
      </c>
      <c r="E871">
        <v>2</v>
      </c>
      <c r="F871" s="15">
        <v>7160.09</v>
      </c>
      <c r="G871" t="s">
        <v>11</v>
      </c>
      <c r="H871" t="s">
        <v>11</v>
      </c>
      <c r="I871" t="s">
        <v>42</v>
      </c>
      <c r="J871" s="11">
        <f>DATE(B871,MATCH(C871,{"Jan","Feb","Mar","Apr","May","Jun","Jul","Aug","Sep","Oct","Nov","Dec"},0),D871)</f>
        <v>29394</v>
      </c>
      <c r="K871">
        <f t="shared" si="13"/>
        <v>42</v>
      </c>
    </row>
    <row r="872" spans="1:11" x14ac:dyDescent="0.35">
      <c r="A872" t="s">
        <v>903</v>
      </c>
      <c r="B872">
        <v>1980</v>
      </c>
      <c r="C872" t="s">
        <v>37</v>
      </c>
      <c r="D872">
        <v>7</v>
      </c>
      <c r="E872">
        <v>2</v>
      </c>
      <c r="F872" s="15">
        <v>7160.33</v>
      </c>
      <c r="G872" t="s">
        <v>11</v>
      </c>
      <c r="H872" t="s">
        <v>16</v>
      </c>
      <c r="I872" t="s">
        <v>13</v>
      </c>
      <c r="J872" s="11">
        <f>DATE(B872,MATCH(C872,{"Jan","Feb","Mar","Apr","May","Jun","Jul","Aug","Sep","Oct","Nov","Dec"},0),D872)</f>
        <v>29501</v>
      </c>
      <c r="K872">
        <f t="shared" si="13"/>
        <v>42</v>
      </c>
    </row>
    <row r="873" spans="1:11" x14ac:dyDescent="0.35">
      <c r="A873" t="s">
        <v>904</v>
      </c>
      <c r="B873">
        <v>1980</v>
      </c>
      <c r="C873" t="s">
        <v>20</v>
      </c>
      <c r="D873">
        <v>30</v>
      </c>
      <c r="E873">
        <v>2</v>
      </c>
      <c r="F873" s="15">
        <v>7162.01</v>
      </c>
      <c r="G873" t="s">
        <v>11</v>
      </c>
      <c r="H873" t="s">
        <v>12</v>
      </c>
      <c r="I873" t="s">
        <v>13</v>
      </c>
      <c r="J873" s="11">
        <f>DATE(B873,MATCH(C873,{"Jan","Feb","Mar","Apr","May","Jun","Jul","Aug","Sep","Oct","Nov","Dec"},0),D873)</f>
        <v>29494</v>
      </c>
      <c r="K873">
        <f t="shared" si="13"/>
        <v>42</v>
      </c>
    </row>
    <row r="874" spans="1:11" x14ac:dyDescent="0.35">
      <c r="A874" t="s">
        <v>905</v>
      </c>
      <c r="B874">
        <v>1982</v>
      </c>
      <c r="C874" t="s">
        <v>35</v>
      </c>
      <c r="D874">
        <v>16</v>
      </c>
      <c r="E874">
        <v>2</v>
      </c>
      <c r="F874" s="15">
        <v>7173.36</v>
      </c>
      <c r="G874" t="s">
        <v>12</v>
      </c>
      <c r="H874" t="s">
        <v>11</v>
      </c>
      <c r="I874" t="s">
        <v>168</v>
      </c>
      <c r="J874" s="11">
        <f>DATE(B874,MATCH(C874,{"Jan","Feb","Mar","Apr","May","Jun","Jul","Aug","Sep","Oct","Nov","Dec"},0),D874)</f>
        <v>30179</v>
      </c>
      <c r="K874">
        <f t="shared" si="13"/>
        <v>40</v>
      </c>
    </row>
    <row r="875" spans="1:11" x14ac:dyDescent="0.35">
      <c r="A875" t="s">
        <v>906</v>
      </c>
      <c r="B875">
        <v>1975</v>
      </c>
      <c r="C875" t="s">
        <v>10</v>
      </c>
      <c r="D875">
        <v>19</v>
      </c>
      <c r="E875">
        <v>1</v>
      </c>
      <c r="F875" s="15">
        <v>7175.51</v>
      </c>
      <c r="G875" t="s">
        <v>11</v>
      </c>
      <c r="H875" t="s">
        <v>12</v>
      </c>
      <c r="I875" t="s">
        <v>13</v>
      </c>
      <c r="J875" s="11">
        <f>DATE(B875,MATCH(C875,{"Jan","Feb","Mar","Apr","May","Jun","Jul","Aug","Sep","Oct","Nov","Dec"},0),D875)</f>
        <v>27594</v>
      </c>
      <c r="K875">
        <f t="shared" si="13"/>
        <v>47</v>
      </c>
    </row>
    <row r="876" spans="1:11" x14ac:dyDescent="0.35">
      <c r="A876" t="s">
        <v>907</v>
      </c>
      <c r="B876">
        <v>1968</v>
      </c>
      <c r="C876" t="s">
        <v>35</v>
      </c>
      <c r="D876">
        <v>26</v>
      </c>
      <c r="E876">
        <v>0</v>
      </c>
      <c r="F876" s="15">
        <v>7179.52</v>
      </c>
      <c r="G876" t="s">
        <v>12</v>
      </c>
      <c r="H876" t="s">
        <v>12</v>
      </c>
      <c r="I876" t="s">
        <v>13</v>
      </c>
      <c r="J876" s="11">
        <f>DATE(B876,MATCH(C876,{"Jan","Feb","Mar","Apr","May","Jun","Jul","Aug","Sep","Oct","Nov","Dec"},0),D876)</f>
        <v>25076</v>
      </c>
      <c r="K876">
        <f t="shared" si="13"/>
        <v>54</v>
      </c>
    </row>
    <row r="877" spans="1:11" x14ac:dyDescent="0.35">
      <c r="A877" t="s">
        <v>908</v>
      </c>
      <c r="B877">
        <v>1982</v>
      </c>
      <c r="C877" t="s">
        <v>20</v>
      </c>
      <c r="D877">
        <v>14</v>
      </c>
      <c r="E877">
        <v>3</v>
      </c>
      <c r="F877" s="15">
        <v>7196.87</v>
      </c>
      <c r="G877" t="s">
        <v>12</v>
      </c>
      <c r="H877" t="s">
        <v>11</v>
      </c>
      <c r="I877" t="s">
        <v>42</v>
      </c>
      <c r="J877" s="11">
        <f>DATE(B877,MATCH(C877,{"Jan","Feb","Mar","Apr","May","Jun","Jul","Aug","Sep","Oct","Nov","Dec"},0),D877)</f>
        <v>30208</v>
      </c>
      <c r="K877">
        <f t="shared" si="13"/>
        <v>40</v>
      </c>
    </row>
    <row r="878" spans="1:11" x14ac:dyDescent="0.35">
      <c r="A878" t="s">
        <v>909</v>
      </c>
      <c r="B878">
        <v>1983</v>
      </c>
      <c r="C878" t="s">
        <v>35</v>
      </c>
      <c r="D878">
        <v>11</v>
      </c>
      <c r="E878">
        <v>2</v>
      </c>
      <c r="F878" s="15">
        <v>7201.7</v>
      </c>
      <c r="G878" t="s">
        <v>11</v>
      </c>
      <c r="H878" t="s">
        <v>12</v>
      </c>
      <c r="I878" t="s">
        <v>23</v>
      </c>
      <c r="J878" s="11">
        <f>DATE(B878,MATCH(C878,{"Jan","Feb","Mar","Apr","May","Jun","Jul","Aug","Sep","Oct","Nov","Dec"},0),D878)</f>
        <v>30539</v>
      </c>
      <c r="K878">
        <f t="shared" si="13"/>
        <v>39</v>
      </c>
    </row>
    <row r="879" spans="1:11" x14ac:dyDescent="0.35">
      <c r="A879" t="s">
        <v>910</v>
      </c>
      <c r="B879">
        <v>1983</v>
      </c>
      <c r="C879" t="s">
        <v>15</v>
      </c>
      <c r="D879">
        <v>21</v>
      </c>
      <c r="E879">
        <v>2</v>
      </c>
      <c r="F879" s="15">
        <v>7209.49</v>
      </c>
      <c r="G879" t="s">
        <v>11</v>
      </c>
      <c r="H879" t="s">
        <v>12</v>
      </c>
      <c r="I879" t="s">
        <v>23</v>
      </c>
      <c r="J879" s="11">
        <f>DATE(B879,MATCH(C879,{"Jan","Feb","Mar","Apr","May","Jun","Jul","Aug","Sep","Oct","Nov","Dec"},0),D879)</f>
        <v>30641</v>
      </c>
      <c r="K879">
        <f t="shared" si="13"/>
        <v>39</v>
      </c>
    </row>
    <row r="880" spans="1:11" x14ac:dyDescent="0.35">
      <c r="A880" t="s">
        <v>911</v>
      </c>
      <c r="B880">
        <v>1991</v>
      </c>
      <c r="C880" t="s">
        <v>18</v>
      </c>
      <c r="D880">
        <v>28</v>
      </c>
      <c r="E880">
        <v>3</v>
      </c>
      <c r="F880" s="15">
        <v>7220.25</v>
      </c>
      <c r="G880" t="s">
        <v>11</v>
      </c>
      <c r="H880" t="s">
        <v>11</v>
      </c>
      <c r="I880" t="s">
        <v>300</v>
      </c>
      <c r="J880" s="11">
        <f>DATE(B880,MATCH(C880,{"Jan","Feb","Mar","Apr","May","Jun","Jul","Aug","Sep","Oct","Nov","Dec"},0),D880)</f>
        <v>33417</v>
      </c>
      <c r="K880">
        <f t="shared" si="13"/>
        <v>31</v>
      </c>
    </row>
    <row r="881" spans="1:11" x14ac:dyDescent="0.35">
      <c r="A881" t="s">
        <v>912</v>
      </c>
      <c r="B881">
        <v>1977</v>
      </c>
      <c r="C881" t="s">
        <v>20</v>
      </c>
      <c r="D881">
        <v>15</v>
      </c>
      <c r="E881">
        <v>0</v>
      </c>
      <c r="F881" s="15">
        <v>7222.79</v>
      </c>
      <c r="G881" t="s">
        <v>12</v>
      </c>
      <c r="H881" t="s">
        <v>12</v>
      </c>
      <c r="I881" t="s">
        <v>23</v>
      </c>
      <c r="J881" s="11">
        <f>DATE(B881,MATCH(C881,{"Jan","Feb","Mar","Apr","May","Jun","Jul","Aug","Sep","Oct","Nov","Dec"},0),D881)</f>
        <v>28383</v>
      </c>
      <c r="K881">
        <f t="shared" si="13"/>
        <v>45</v>
      </c>
    </row>
    <row r="882" spans="1:11" x14ac:dyDescent="0.35">
      <c r="A882" t="s">
        <v>913</v>
      </c>
      <c r="B882">
        <v>1986</v>
      </c>
      <c r="C882" t="s">
        <v>10</v>
      </c>
      <c r="D882">
        <v>13</v>
      </c>
      <c r="E882">
        <v>3</v>
      </c>
      <c r="F882" s="15">
        <v>7228.22</v>
      </c>
      <c r="G882" t="s">
        <v>11</v>
      </c>
      <c r="H882" t="s">
        <v>16</v>
      </c>
      <c r="I882" t="s">
        <v>247</v>
      </c>
      <c r="J882" s="11">
        <f>DATE(B882,MATCH(C882,{"Jan","Feb","Mar","Apr","May","Jun","Jul","Aug","Sep","Oct","Nov","Dec"},0),D882)</f>
        <v>31606</v>
      </c>
      <c r="K882">
        <f t="shared" si="13"/>
        <v>36</v>
      </c>
    </row>
    <row r="883" spans="1:11" x14ac:dyDescent="0.35">
      <c r="A883" t="s">
        <v>914</v>
      </c>
      <c r="B883">
        <v>1986</v>
      </c>
      <c r="C883" t="s">
        <v>20</v>
      </c>
      <c r="D883">
        <v>2</v>
      </c>
      <c r="E883">
        <v>4</v>
      </c>
      <c r="F883" s="15">
        <v>7243.81</v>
      </c>
      <c r="G883" t="s">
        <v>11</v>
      </c>
      <c r="H883" t="s">
        <v>12</v>
      </c>
      <c r="I883" t="s">
        <v>13</v>
      </c>
      <c r="J883" s="11">
        <f>DATE(B883,MATCH(C883,{"Jan","Feb","Mar","Apr","May","Jun","Jul","Aug","Sep","Oct","Nov","Dec"},0),D883)</f>
        <v>31657</v>
      </c>
      <c r="K883">
        <f t="shared" si="13"/>
        <v>36</v>
      </c>
    </row>
    <row r="884" spans="1:11" x14ac:dyDescent="0.35">
      <c r="A884" t="s">
        <v>915</v>
      </c>
      <c r="B884">
        <v>1982</v>
      </c>
      <c r="C884" t="s">
        <v>10</v>
      </c>
      <c r="D884">
        <v>24</v>
      </c>
      <c r="E884">
        <v>3</v>
      </c>
      <c r="F884" s="15">
        <v>7248.71</v>
      </c>
      <c r="G884" t="s">
        <v>11</v>
      </c>
      <c r="H884" t="s">
        <v>16</v>
      </c>
      <c r="I884" t="s">
        <v>13</v>
      </c>
      <c r="J884" s="11">
        <f>DATE(B884,MATCH(C884,{"Jan","Feb","Mar","Apr","May","Jun","Jul","Aug","Sep","Oct","Nov","Dec"},0),D884)</f>
        <v>30156</v>
      </c>
      <c r="K884">
        <f t="shared" si="13"/>
        <v>40</v>
      </c>
    </row>
    <row r="885" spans="1:11" x14ac:dyDescent="0.35">
      <c r="A885" t="s">
        <v>916</v>
      </c>
      <c r="B885">
        <v>1981</v>
      </c>
      <c r="C885" t="s">
        <v>35</v>
      </c>
      <c r="D885">
        <v>14</v>
      </c>
      <c r="E885">
        <v>2</v>
      </c>
      <c r="F885" s="15">
        <v>7256.72</v>
      </c>
      <c r="G885" t="s">
        <v>12</v>
      </c>
      <c r="H885" t="s">
        <v>11</v>
      </c>
      <c r="I885" t="s">
        <v>23</v>
      </c>
      <c r="J885" s="11">
        <f>DATE(B885,MATCH(C885,{"Jan","Feb","Mar","Apr","May","Jun","Jul","Aug","Sep","Oct","Nov","Dec"},0),D885)</f>
        <v>29812</v>
      </c>
      <c r="K885">
        <f t="shared" si="13"/>
        <v>41</v>
      </c>
    </row>
    <row r="886" spans="1:11" x14ac:dyDescent="0.35">
      <c r="A886" t="s">
        <v>917</v>
      </c>
      <c r="B886">
        <v>1981</v>
      </c>
      <c r="C886" t="s">
        <v>18</v>
      </c>
      <c r="D886">
        <v>13</v>
      </c>
      <c r="E886">
        <v>2</v>
      </c>
      <c r="F886" s="15">
        <v>7261.74</v>
      </c>
      <c r="G886" t="s">
        <v>12</v>
      </c>
      <c r="H886" t="s">
        <v>12</v>
      </c>
      <c r="I886" t="s">
        <v>23</v>
      </c>
      <c r="J886" s="11">
        <f>DATE(B886,MATCH(C886,{"Jan","Feb","Mar","Apr","May","Jun","Jul","Aug","Sep","Oct","Nov","Dec"},0),D886)</f>
        <v>29750</v>
      </c>
      <c r="K886">
        <f t="shared" si="13"/>
        <v>41</v>
      </c>
    </row>
    <row r="887" spans="1:11" x14ac:dyDescent="0.35">
      <c r="A887" t="s">
        <v>918</v>
      </c>
      <c r="B887">
        <v>1973</v>
      </c>
      <c r="C887" t="s">
        <v>37</v>
      </c>
      <c r="D887">
        <v>25</v>
      </c>
      <c r="E887">
        <v>0</v>
      </c>
      <c r="F887" s="15">
        <v>7265.58</v>
      </c>
      <c r="G887" t="s">
        <v>11</v>
      </c>
      <c r="H887" t="s">
        <v>11</v>
      </c>
      <c r="I887" t="s">
        <v>13</v>
      </c>
      <c r="J887" s="11">
        <f>DATE(B887,MATCH(C887,{"Jan","Feb","Mar","Apr","May","Jun","Jul","Aug","Sep","Oct","Nov","Dec"},0),D887)</f>
        <v>26962</v>
      </c>
      <c r="K887">
        <f t="shared" si="13"/>
        <v>49</v>
      </c>
    </row>
    <row r="888" spans="1:11" x14ac:dyDescent="0.35">
      <c r="A888" t="s">
        <v>919</v>
      </c>
      <c r="B888">
        <v>1981</v>
      </c>
      <c r="C888" t="s">
        <v>35</v>
      </c>
      <c r="D888">
        <v>4</v>
      </c>
      <c r="E888">
        <v>2</v>
      </c>
      <c r="F888" s="15">
        <v>7265.7</v>
      </c>
      <c r="G888" t="s">
        <v>12</v>
      </c>
      <c r="H888" t="s">
        <v>12</v>
      </c>
      <c r="I888" t="s">
        <v>23</v>
      </c>
      <c r="J888" s="11">
        <f>DATE(B888,MATCH(C888,{"Jan","Feb","Mar","Apr","May","Jun","Jul","Aug","Sep","Oct","Nov","Dec"},0),D888)</f>
        <v>29802</v>
      </c>
      <c r="K888">
        <f t="shared" si="13"/>
        <v>41</v>
      </c>
    </row>
    <row r="889" spans="1:11" x14ac:dyDescent="0.35">
      <c r="A889" t="s">
        <v>920</v>
      </c>
      <c r="B889">
        <v>1976</v>
      </c>
      <c r="C889" t="s">
        <v>30</v>
      </c>
      <c r="D889">
        <v>18</v>
      </c>
      <c r="E889">
        <v>2</v>
      </c>
      <c r="F889" s="15">
        <v>7273.02</v>
      </c>
      <c r="G889" t="s">
        <v>11</v>
      </c>
      <c r="H889" t="s">
        <v>16</v>
      </c>
      <c r="I889" t="s">
        <v>13</v>
      </c>
      <c r="J889" s="11">
        <f>DATE(B889,MATCH(C889,{"Jan","Feb","Mar","Apr","May","Jun","Jul","Aug","Sep","Oct","Nov","Dec"},0),D889)</f>
        <v>28112</v>
      </c>
      <c r="K889">
        <f t="shared" si="13"/>
        <v>46</v>
      </c>
    </row>
    <row r="890" spans="1:11" x14ac:dyDescent="0.35">
      <c r="A890" t="s">
        <v>921</v>
      </c>
      <c r="B890">
        <v>1985</v>
      </c>
      <c r="C890" t="s">
        <v>15</v>
      </c>
      <c r="D890">
        <v>2</v>
      </c>
      <c r="E890">
        <v>3</v>
      </c>
      <c r="F890" s="15">
        <v>7281.51</v>
      </c>
      <c r="G890" t="s">
        <v>11</v>
      </c>
      <c r="H890" t="s">
        <v>16</v>
      </c>
      <c r="I890" t="s">
        <v>23</v>
      </c>
      <c r="J890" s="11">
        <f>DATE(B890,MATCH(C890,{"Jan","Feb","Mar","Apr","May","Jun","Jul","Aug","Sep","Oct","Nov","Dec"},0),D890)</f>
        <v>31353</v>
      </c>
      <c r="K890">
        <f t="shared" si="13"/>
        <v>37</v>
      </c>
    </row>
    <row r="891" spans="1:11" x14ac:dyDescent="0.35">
      <c r="A891" t="s">
        <v>922</v>
      </c>
      <c r="B891">
        <v>1966</v>
      </c>
      <c r="C891" t="s">
        <v>30</v>
      </c>
      <c r="D891">
        <v>26</v>
      </c>
      <c r="E891">
        <v>0</v>
      </c>
      <c r="F891" s="15">
        <v>7302.46</v>
      </c>
      <c r="G891" t="s">
        <v>12</v>
      </c>
      <c r="H891" t="s">
        <v>16</v>
      </c>
      <c r="I891" t="s">
        <v>23</v>
      </c>
      <c r="J891" s="11">
        <f>DATE(B891,MATCH(C891,{"Jan","Feb","Mar","Apr","May","Jun","Jul","Aug","Sep","Oct","Nov","Dec"},0),D891)</f>
        <v>24467</v>
      </c>
      <c r="K891">
        <f t="shared" si="13"/>
        <v>56</v>
      </c>
    </row>
    <row r="892" spans="1:11" x14ac:dyDescent="0.35">
      <c r="A892" t="s">
        <v>923</v>
      </c>
      <c r="B892">
        <v>1965</v>
      </c>
      <c r="C892" t="s">
        <v>18</v>
      </c>
      <c r="D892">
        <v>6</v>
      </c>
      <c r="E892">
        <v>0</v>
      </c>
      <c r="F892" s="15">
        <v>7304.65</v>
      </c>
      <c r="G892" t="s">
        <v>12</v>
      </c>
      <c r="H892" t="s">
        <v>12</v>
      </c>
      <c r="I892" t="s">
        <v>13</v>
      </c>
      <c r="J892" s="11">
        <f>DATE(B892,MATCH(C892,{"Jan","Feb","Mar","Apr","May","Jun","Jul","Aug","Sep","Oct","Nov","Dec"},0),D892)</f>
        <v>23899</v>
      </c>
      <c r="K892">
        <f t="shared" si="13"/>
        <v>58</v>
      </c>
    </row>
    <row r="893" spans="1:11" x14ac:dyDescent="0.35">
      <c r="A893" t="s">
        <v>924</v>
      </c>
      <c r="B893">
        <v>1965</v>
      </c>
      <c r="C893" t="s">
        <v>18</v>
      </c>
      <c r="D893">
        <v>25</v>
      </c>
      <c r="E893">
        <v>0</v>
      </c>
      <c r="F893" s="15">
        <v>7318.21</v>
      </c>
      <c r="G893" t="s">
        <v>12</v>
      </c>
      <c r="H893" t="s">
        <v>16</v>
      </c>
      <c r="I893" t="s">
        <v>13</v>
      </c>
      <c r="J893" s="11">
        <f>DATE(B893,MATCH(C893,{"Jan","Feb","Mar","Apr","May","Jun","Jul","Aug","Sep","Oct","Nov","Dec"},0),D893)</f>
        <v>23918</v>
      </c>
      <c r="K893">
        <f t="shared" si="13"/>
        <v>57</v>
      </c>
    </row>
    <row r="894" spans="1:11" x14ac:dyDescent="0.35">
      <c r="A894" t="s">
        <v>925</v>
      </c>
      <c r="B894">
        <v>1972</v>
      </c>
      <c r="C894" t="s">
        <v>35</v>
      </c>
      <c r="D894">
        <v>11</v>
      </c>
      <c r="E894">
        <v>0</v>
      </c>
      <c r="F894" s="15">
        <v>7318.22</v>
      </c>
      <c r="G894" t="s">
        <v>11</v>
      </c>
      <c r="H894" t="s">
        <v>12</v>
      </c>
      <c r="I894" t="s">
        <v>23</v>
      </c>
      <c r="J894" s="11">
        <f>DATE(B894,MATCH(C894,{"Jan","Feb","Mar","Apr","May","Jun","Jul","Aug","Sep","Oct","Nov","Dec"},0),D894)</f>
        <v>26522</v>
      </c>
      <c r="K894">
        <f t="shared" si="13"/>
        <v>50</v>
      </c>
    </row>
    <row r="895" spans="1:11" x14ac:dyDescent="0.35">
      <c r="A895" t="s">
        <v>926</v>
      </c>
      <c r="B895">
        <v>1965</v>
      </c>
      <c r="C895" t="s">
        <v>10</v>
      </c>
      <c r="D895">
        <v>11</v>
      </c>
      <c r="E895">
        <v>0</v>
      </c>
      <c r="F895" s="15">
        <v>7322.86</v>
      </c>
      <c r="G895" t="s">
        <v>12</v>
      </c>
      <c r="H895" t="s">
        <v>12</v>
      </c>
      <c r="I895" t="s">
        <v>23</v>
      </c>
      <c r="J895" s="11">
        <f>DATE(B895,MATCH(C895,{"Jan","Feb","Mar","Apr","May","Jun","Jul","Aug","Sep","Oct","Nov","Dec"},0),D895)</f>
        <v>23934</v>
      </c>
      <c r="K895">
        <f t="shared" si="13"/>
        <v>57</v>
      </c>
    </row>
    <row r="896" spans="1:11" x14ac:dyDescent="0.35">
      <c r="A896" t="s">
        <v>927</v>
      </c>
      <c r="B896">
        <v>2004</v>
      </c>
      <c r="C896" t="s">
        <v>15</v>
      </c>
      <c r="D896">
        <v>15</v>
      </c>
      <c r="E896">
        <v>0</v>
      </c>
      <c r="F896" s="15">
        <v>7323.73</v>
      </c>
      <c r="G896" t="s">
        <v>11</v>
      </c>
      <c r="H896" t="s">
        <v>11</v>
      </c>
      <c r="I896" t="s">
        <v>247</v>
      </c>
      <c r="J896" s="11">
        <f>DATE(B896,MATCH(C896,{"Jan","Feb","Mar","Apr","May","Jun","Jul","Aug","Sep","Oct","Nov","Dec"},0),D896)</f>
        <v>38306</v>
      </c>
      <c r="K896">
        <f t="shared" si="13"/>
        <v>18</v>
      </c>
    </row>
    <row r="897" spans="1:11" x14ac:dyDescent="0.35">
      <c r="A897" t="s">
        <v>928</v>
      </c>
      <c r="B897">
        <v>1979</v>
      </c>
      <c r="C897" t="s">
        <v>18</v>
      </c>
      <c r="D897">
        <v>19</v>
      </c>
      <c r="E897">
        <v>0</v>
      </c>
      <c r="F897" s="15">
        <v>7325.05</v>
      </c>
      <c r="G897" t="s">
        <v>11</v>
      </c>
      <c r="H897" t="s">
        <v>12</v>
      </c>
      <c r="I897" t="s">
        <v>247</v>
      </c>
      <c r="J897" s="11">
        <f>DATE(B897,MATCH(C897,{"Jan","Feb","Mar","Apr","May","Jun","Jul","Aug","Sep","Oct","Nov","Dec"},0),D897)</f>
        <v>29025</v>
      </c>
      <c r="K897">
        <f t="shared" si="13"/>
        <v>43</v>
      </c>
    </row>
    <row r="898" spans="1:11" x14ac:dyDescent="0.35">
      <c r="A898" t="s">
        <v>929</v>
      </c>
      <c r="B898">
        <v>1984</v>
      </c>
      <c r="C898" t="s">
        <v>10</v>
      </c>
      <c r="D898">
        <v>25</v>
      </c>
      <c r="E898">
        <v>3</v>
      </c>
      <c r="F898" s="15">
        <v>7325.47</v>
      </c>
      <c r="G898" t="s">
        <v>11</v>
      </c>
      <c r="H898" t="s">
        <v>16</v>
      </c>
      <c r="I898" t="s">
        <v>23</v>
      </c>
      <c r="J898" s="11">
        <f>DATE(B898,MATCH(C898,{"Jan","Feb","Mar","Apr","May","Jun","Jul","Aug","Sep","Oct","Nov","Dec"},0),D898)</f>
        <v>30888</v>
      </c>
      <c r="K898">
        <f t="shared" si="13"/>
        <v>38</v>
      </c>
    </row>
    <row r="899" spans="1:11" x14ac:dyDescent="0.35">
      <c r="A899" t="s">
        <v>930</v>
      </c>
      <c r="B899">
        <v>1979</v>
      </c>
      <c r="C899" t="s">
        <v>20</v>
      </c>
      <c r="D899">
        <v>19</v>
      </c>
      <c r="E899">
        <v>1</v>
      </c>
      <c r="F899" s="15">
        <v>7337.75</v>
      </c>
      <c r="G899" t="s">
        <v>11</v>
      </c>
      <c r="H899" t="s">
        <v>12</v>
      </c>
      <c r="I899" t="s">
        <v>42</v>
      </c>
      <c r="J899" s="11">
        <f>DATE(B899,MATCH(C899,{"Jan","Feb","Mar","Apr","May","Jun","Jul","Aug","Sep","Oct","Nov","Dec"},0),D899)</f>
        <v>29117</v>
      </c>
      <c r="K899">
        <f t="shared" ref="K899:K962" si="14">DATEDIF(J899,$N$1,"Y")</f>
        <v>43</v>
      </c>
    </row>
    <row r="900" spans="1:11" x14ac:dyDescent="0.35">
      <c r="A900" t="s">
        <v>931</v>
      </c>
      <c r="B900">
        <v>1986</v>
      </c>
      <c r="C900" t="s">
        <v>18</v>
      </c>
      <c r="D900">
        <v>15</v>
      </c>
      <c r="E900">
        <v>3</v>
      </c>
      <c r="F900" s="15">
        <v>7339.93</v>
      </c>
      <c r="G900" t="s">
        <v>11</v>
      </c>
      <c r="H900" t="s">
        <v>11</v>
      </c>
      <c r="I900" t="s">
        <v>23</v>
      </c>
      <c r="J900" s="11">
        <f>DATE(B900,MATCH(C900,{"Jan","Feb","Mar","Apr","May","Jun","Jul","Aug","Sep","Oct","Nov","Dec"},0),D900)</f>
        <v>31578</v>
      </c>
      <c r="K900">
        <f t="shared" si="14"/>
        <v>36</v>
      </c>
    </row>
    <row r="901" spans="1:11" x14ac:dyDescent="0.35">
      <c r="A901" t="s">
        <v>932</v>
      </c>
      <c r="B901">
        <v>1977</v>
      </c>
      <c r="C901" t="s">
        <v>30</v>
      </c>
      <c r="D901">
        <v>18</v>
      </c>
      <c r="E901">
        <v>0</v>
      </c>
      <c r="F901" s="15">
        <v>7345.08</v>
      </c>
      <c r="G901" t="s">
        <v>11</v>
      </c>
      <c r="H901" t="s">
        <v>16</v>
      </c>
      <c r="I901" t="s">
        <v>42</v>
      </c>
      <c r="J901" s="11">
        <f>DATE(B901,MATCH(C901,{"Jan","Feb","Mar","Apr","May","Jun","Jul","Aug","Sep","Oct","Nov","Dec"},0),D901)</f>
        <v>28477</v>
      </c>
      <c r="K901">
        <f t="shared" si="14"/>
        <v>45</v>
      </c>
    </row>
    <row r="902" spans="1:11" x14ac:dyDescent="0.35">
      <c r="A902" t="s">
        <v>933</v>
      </c>
      <c r="B902">
        <v>1979</v>
      </c>
      <c r="C902" t="s">
        <v>18</v>
      </c>
      <c r="D902">
        <v>26</v>
      </c>
      <c r="E902">
        <v>1</v>
      </c>
      <c r="F902" s="15">
        <v>7345.73</v>
      </c>
      <c r="G902" t="s">
        <v>11</v>
      </c>
      <c r="H902" t="s">
        <v>16</v>
      </c>
      <c r="I902" t="s">
        <v>13</v>
      </c>
      <c r="J902" s="11">
        <f>DATE(B902,MATCH(C902,{"Jan","Feb","Mar","Apr","May","Jun","Jul","Aug","Sep","Oct","Nov","Dec"},0),D902)</f>
        <v>29032</v>
      </c>
      <c r="K902">
        <f t="shared" si="14"/>
        <v>43</v>
      </c>
    </row>
    <row r="903" spans="1:11" x14ac:dyDescent="0.35">
      <c r="A903" t="s">
        <v>934</v>
      </c>
      <c r="B903">
        <v>1977</v>
      </c>
      <c r="C903" t="s">
        <v>30</v>
      </c>
      <c r="D903">
        <v>1</v>
      </c>
      <c r="E903">
        <v>0</v>
      </c>
      <c r="F903" s="15">
        <v>7348.14</v>
      </c>
      <c r="G903" t="s">
        <v>11</v>
      </c>
      <c r="H903" t="s">
        <v>16</v>
      </c>
      <c r="I903" t="s">
        <v>42</v>
      </c>
      <c r="J903" s="11">
        <f>DATE(B903,MATCH(C903,{"Jan","Feb","Mar","Apr","May","Jun","Jul","Aug","Sep","Oct","Nov","Dec"},0),D903)</f>
        <v>28460</v>
      </c>
      <c r="K903">
        <f t="shared" si="14"/>
        <v>45</v>
      </c>
    </row>
    <row r="904" spans="1:11" x14ac:dyDescent="0.35">
      <c r="A904" t="s">
        <v>935</v>
      </c>
      <c r="B904">
        <v>1993</v>
      </c>
      <c r="C904" t="s">
        <v>37</v>
      </c>
      <c r="D904">
        <v>5</v>
      </c>
      <c r="E904">
        <v>0</v>
      </c>
      <c r="F904" s="15">
        <v>7349.12</v>
      </c>
      <c r="G904" t="s">
        <v>11</v>
      </c>
      <c r="H904" t="s">
        <v>11</v>
      </c>
      <c r="I904" t="s">
        <v>300</v>
      </c>
      <c r="J904" s="11">
        <f>DATE(B904,MATCH(C904,{"Jan","Feb","Mar","Apr","May","Jun","Jul","Aug","Sep","Oct","Nov","Dec"},0),D904)</f>
        <v>34247</v>
      </c>
      <c r="K904">
        <f t="shared" si="14"/>
        <v>29</v>
      </c>
    </row>
    <row r="905" spans="1:11" x14ac:dyDescent="0.35">
      <c r="A905" t="s">
        <v>936</v>
      </c>
      <c r="B905">
        <v>1983</v>
      </c>
      <c r="C905" t="s">
        <v>18</v>
      </c>
      <c r="D905">
        <v>21</v>
      </c>
      <c r="E905">
        <v>3</v>
      </c>
      <c r="F905" s="15">
        <v>7357.49</v>
      </c>
      <c r="G905" t="s">
        <v>11</v>
      </c>
      <c r="H905" t="s">
        <v>11</v>
      </c>
      <c r="I905" t="s">
        <v>23</v>
      </c>
      <c r="J905" s="11">
        <f>DATE(B905,MATCH(C905,{"Jan","Feb","Mar","Apr","May","Jun","Jul","Aug","Sep","Oct","Nov","Dec"},0),D905)</f>
        <v>30488</v>
      </c>
      <c r="K905">
        <f t="shared" si="14"/>
        <v>39</v>
      </c>
    </row>
    <row r="906" spans="1:11" x14ac:dyDescent="0.35">
      <c r="A906" t="s">
        <v>937</v>
      </c>
      <c r="B906">
        <v>1981</v>
      </c>
      <c r="C906" t="s">
        <v>10</v>
      </c>
      <c r="D906">
        <v>16</v>
      </c>
      <c r="E906">
        <v>1</v>
      </c>
      <c r="F906" s="15">
        <v>7358.18</v>
      </c>
      <c r="G906" t="s">
        <v>11</v>
      </c>
      <c r="H906" t="s">
        <v>12</v>
      </c>
      <c r="I906" t="s">
        <v>247</v>
      </c>
      <c r="J906" s="11">
        <f>DATE(B906,MATCH(C906,{"Jan","Feb","Mar","Apr","May","Jun","Jul","Aug","Sep","Oct","Nov","Dec"},0),D906)</f>
        <v>29783</v>
      </c>
      <c r="K906">
        <f t="shared" si="14"/>
        <v>41</v>
      </c>
    </row>
    <row r="907" spans="1:11" x14ac:dyDescent="0.35">
      <c r="A907" t="s">
        <v>938</v>
      </c>
      <c r="B907">
        <v>1965</v>
      </c>
      <c r="C907" t="s">
        <v>30</v>
      </c>
      <c r="D907">
        <v>9</v>
      </c>
      <c r="E907">
        <v>0</v>
      </c>
      <c r="F907" s="15">
        <v>7362.31</v>
      </c>
      <c r="G907" t="s">
        <v>12</v>
      </c>
      <c r="H907" t="s">
        <v>12</v>
      </c>
      <c r="I907" t="s">
        <v>13</v>
      </c>
      <c r="J907" s="11">
        <f>DATE(B907,MATCH(C907,{"Jan","Feb","Mar","Apr","May","Jun","Jul","Aug","Sep","Oct","Nov","Dec"},0),D907)</f>
        <v>24085</v>
      </c>
      <c r="K907">
        <f t="shared" si="14"/>
        <v>57</v>
      </c>
    </row>
    <row r="908" spans="1:11" x14ac:dyDescent="0.35">
      <c r="A908" t="s">
        <v>939</v>
      </c>
      <c r="B908">
        <v>1981</v>
      </c>
      <c r="C908" t="s">
        <v>15</v>
      </c>
      <c r="D908">
        <v>24</v>
      </c>
      <c r="E908">
        <v>2</v>
      </c>
      <c r="F908" s="15">
        <v>7371.77</v>
      </c>
      <c r="G908" t="s">
        <v>11</v>
      </c>
      <c r="H908" t="s">
        <v>16</v>
      </c>
      <c r="I908" t="s">
        <v>42</v>
      </c>
      <c r="J908" s="11">
        <f>DATE(B908,MATCH(C908,{"Jan","Feb","Mar","Apr","May","Jun","Jul","Aug","Sep","Oct","Nov","Dec"},0),D908)</f>
        <v>29914</v>
      </c>
      <c r="K908">
        <f t="shared" si="14"/>
        <v>41</v>
      </c>
    </row>
    <row r="909" spans="1:11" x14ac:dyDescent="0.35">
      <c r="A909" t="s">
        <v>940</v>
      </c>
      <c r="B909">
        <v>1993</v>
      </c>
      <c r="C909" t="s">
        <v>10</v>
      </c>
      <c r="D909">
        <v>22</v>
      </c>
      <c r="E909">
        <v>0</v>
      </c>
      <c r="F909" s="15">
        <v>7388.85</v>
      </c>
      <c r="G909" t="s">
        <v>11</v>
      </c>
      <c r="H909" t="s">
        <v>11</v>
      </c>
      <c r="I909" t="s">
        <v>535</v>
      </c>
      <c r="J909" s="11">
        <f>DATE(B909,MATCH(C909,{"Jan","Feb","Mar","Apr","May","Jun","Jul","Aug","Sep","Oct","Nov","Dec"},0),D909)</f>
        <v>34172</v>
      </c>
      <c r="K909">
        <f t="shared" si="14"/>
        <v>29</v>
      </c>
    </row>
    <row r="910" spans="1:11" x14ac:dyDescent="0.35">
      <c r="A910" t="s">
        <v>941</v>
      </c>
      <c r="B910">
        <v>1965</v>
      </c>
      <c r="C910" t="s">
        <v>30</v>
      </c>
      <c r="D910">
        <v>5</v>
      </c>
      <c r="E910">
        <v>0</v>
      </c>
      <c r="F910" s="15">
        <v>7403.98</v>
      </c>
      <c r="G910" t="s">
        <v>12</v>
      </c>
      <c r="H910" t="s">
        <v>11</v>
      </c>
      <c r="I910" t="s">
        <v>13</v>
      </c>
      <c r="J910" s="11">
        <f>DATE(B910,MATCH(C910,{"Jan","Feb","Mar","Apr","May","Jun","Jul","Aug","Sep","Oct","Nov","Dec"},0),D910)</f>
        <v>24081</v>
      </c>
      <c r="K910">
        <f t="shared" si="14"/>
        <v>57</v>
      </c>
    </row>
    <row r="911" spans="1:11" x14ac:dyDescent="0.35">
      <c r="A911" t="s">
        <v>942</v>
      </c>
      <c r="B911">
        <v>1983</v>
      </c>
      <c r="C911" t="s">
        <v>20</v>
      </c>
      <c r="D911">
        <v>19</v>
      </c>
      <c r="E911">
        <v>3</v>
      </c>
      <c r="F911" s="15">
        <v>7418.52</v>
      </c>
      <c r="G911" t="s">
        <v>11</v>
      </c>
      <c r="H911" t="s">
        <v>11</v>
      </c>
      <c r="I911" t="s">
        <v>42</v>
      </c>
      <c r="J911" s="11">
        <f>DATE(B911,MATCH(C911,{"Jan","Feb","Mar","Apr","May","Jun","Jul","Aug","Sep","Oct","Nov","Dec"},0),D911)</f>
        <v>30578</v>
      </c>
      <c r="K911">
        <f t="shared" si="14"/>
        <v>39</v>
      </c>
    </row>
    <row r="912" spans="1:11" x14ac:dyDescent="0.35">
      <c r="A912" t="s">
        <v>943</v>
      </c>
      <c r="B912">
        <v>1978</v>
      </c>
      <c r="C912" t="s">
        <v>15</v>
      </c>
      <c r="D912">
        <v>12</v>
      </c>
      <c r="E912">
        <v>0</v>
      </c>
      <c r="F912" s="15">
        <v>7419.48</v>
      </c>
      <c r="G912" t="s">
        <v>11</v>
      </c>
      <c r="H912" t="s">
        <v>11</v>
      </c>
      <c r="I912" t="s">
        <v>23</v>
      </c>
      <c r="J912" s="11">
        <f>DATE(B912,MATCH(C912,{"Jan","Feb","Mar","Apr","May","Jun","Jul","Aug","Sep","Oct","Nov","Dec"},0),D912)</f>
        <v>28806</v>
      </c>
      <c r="K912">
        <f t="shared" si="14"/>
        <v>44</v>
      </c>
    </row>
    <row r="913" spans="1:11" x14ac:dyDescent="0.35">
      <c r="A913" t="s">
        <v>944</v>
      </c>
      <c r="B913">
        <v>1978</v>
      </c>
      <c r="C913" t="s">
        <v>30</v>
      </c>
      <c r="D913">
        <v>2</v>
      </c>
      <c r="E913">
        <v>0</v>
      </c>
      <c r="F913" s="15">
        <v>7421.19</v>
      </c>
      <c r="G913" t="s">
        <v>11</v>
      </c>
      <c r="H913" t="s">
        <v>12</v>
      </c>
      <c r="I913" t="s">
        <v>23</v>
      </c>
      <c r="J913" s="11">
        <f>DATE(B913,MATCH(C913,{"Jan","Feb","Mar","Apr","May","Jun","Jul","Aug","Sep","Oct","Nov","Dec"},0),D913)</f>
        <v>28826</v>
      </c>
      <c r="K913">
        <f t="shared" si="14"/>
        <v>44</v>
      </c>
    </row>
    <row r="914" spans="1:11" x14ac:dyDescent="0.35">
      <c r="A914" t="s">
        <v>945</v>
      </c>
      <c r="B914">
        <v>1977</v>
      </c>
      <c r="C914" t="s">
        <v>35</v>
      </c>
      <c r="D914">
        <v>25</v>
      </c>
      <c r="E914">
        <v>1</v>
      </c>
      <c r="F914" s="15">
        <v>7441.05</v>
      </c>
      <c r="G914" t="s">
        <v>12</v>
      </c>
      <c r="H914" t="s">
        <v>11</v>
      </c>
      <c r="I914" t="s">
        <v>42</v>
      </c>
      <c r="J914" s="11">
        <f>DATE(B914,MATCH(C914,{"Jan","Feb","Mar","Apr","May","Jun","Jul","Aug","Sep","Oct","Nov","Dec"},0),D914)</f>
        <v>28362</v>
      </c>
      <c r="K914">
        <f t="shared" si="14"/>
        <v>45</v>
      </c>
    </row>
    <row r="915" spans="1:11" x14ac:dyDescent="0.35">
      <c r="A915" t="s">
        <v>946</v>
      </c>
      <c r="B915">
        <v>1979</v>
      </c>
      <c r="C915" t="s">
        <v>20</v>
      </c>
      <c r="D915">
        <v>1</v>
      </c>
      <c r="E915">
        <v>2</v>
      </c>
      <c r="F915" s="15">
        <v>7441.5</v>
      </c>
      <c r="G915" t="s">
        <v>12</v>
      </c>
      <c r="H915" t="s">
        <v>11</v>
      </c>
      <c r="I915" t="s">
        <v>42</v>
      </c>
      <c r="J915" s="11">
        <f>DATE(B915,MATCH(C915,{"Jan","Feb","Mar","Apr","May","Jun","Jul","Aug","Sep","Oct","Nov","Dec"},0),D915)</f>
        <v>29099</v>
      </c>
      <c r="K915">
        <f t="shared" si="14"/>
        <v>43</v>
      </c>
    </row>
    <row r="916" spans="1:11" x14ac:dyDescent="0.35">
      <c r="A916" t="s">
        <v>947</v>
      </c>
      <c r="B916">
        <v>1980</v>
      </c>
      <c r="C916" t="s">
        <v>10</v>
      </c>
      <c r="D916">
        <v>7</v>
      </c>
      <c r="E916">
        <v>1</v>
      </c>
      <c r="F916" s="15">
        <v>7443.64</v>
      </c>
      <c r="G916" t="s">
        <v>11</v>
      </c>
      <c r="H916" t="s">
        <v>12</v>
      </c>
      <c r="I916" t="s">
        <v>23</v>
      </c>
      <c r="J916" s="11">
        <f>DATE(B916,MATCH(C916,{"Jan","Feb","Mar","Apr","May","Jun","Jul","Aug","Sep","Oct","Nov","Dec"},0),D916)</f>
        <v>29409</v>
      </c>
      <c r="K916">
        <f t="shared" si="14"/>
        <v>42</v>
      </c>
    </row>
    <row r="917" spans="1:11" x14ac:dyDescent="0.35">
      <c r="A917" t="s">
        <v>948</v>
      </c>
      <c r="B917">
        <v>1977</v>
      </c>
      <c r="C917" t="s">
        <v>20</v>
      </c>
      <c r="D917">
        <v>25</v>
      </c>
      <c r="E917">
        <v>1</v>
      </c>
      <c r="F917" s="15">
        <v>7445.92</v>
      </c>
      <c r="G917" t="s">
        <v>12</v>
      </c>
      <c r="H917" t="s">
        <v>16</v>
      </c>
      <c r="I917" t="s">
        <v>42</v>
      </c>
      <c r="J917" s="11">
        <f>DATE(B917,MATCH(C917,{"Jan","Feb","Mar","Apr","May","Jun","Jul","Aug","Sep","Oct","Nov","Dec"},0),D917)</f>
        <v>28393</v>
      </c>
      <c r="K917">
        <f t="shared" si="14"/>
        <v>45</v>
      </c>
    </row>
    <row r="918" spans="1:11" x14ac:dyDescent="0.35">
      <c r="A918" t="s">
        <v>949</v>
      </c>
      <c r="B918">
        <v>1977</v>
      </c>
      <c r="C918" t="s">
        <v>20</v>
      </c>
      <c r="D918">
        <v>30</v>
      </c>
      <c r="E918">
        <v>0</v>
      </c>
      <c r="F918" s="15">
        <v>7448.4</v>
      </c>
      <c r="G918" t="s">
        <v>12</v>
      </c>
      <c r="H918" t="s">
        <v>12</v>
      </c>
      <c r="I918" t="s">
        <v>356</v>
      </c>
      <c r="J918" s="11">
        <f>DATE(B918,MATCH(C918,{"Jan","Feb","Mar","Apr","May","Jun","Jul","Aug","Sep","Oct","Nov","Dec"},0),D918)</f>
        <v>28398</v>
      </c>
      <c r="K918">
        <f t="shared" si="14"/>
        <v>45</v>
      </c>
    </row>
    <row r="919" spans="1:11" x14ac:dyDescent="0.35">
      <c r="A919" t="s">
        <v>950</v>
      </c>
      <c r="B919">
        <v>2001</v>
      </c>
      <c r="C919" t="s">
        <v>18</v>
      </c>
      <c r="D919">
        <v>1</v>
      </c>
      <c r="E919">
        <v>0</v>
      </c>
      <c r="F919" s="15">
        <v>7450.36</v>
      </c>
      <c r="G919" t="s">
        <v>11</v>
      </c>
      <c r="H919" t="s">
        <v>11</v>
      </c>
      <c r="I919" t="s">
        <v>23</v>
      </c>
      <c r="J919" s="11">
        <f>DATE(B919,MATCH(C919,{"Jan","Feb","Mar","Apr","May","Jun","Jul","Aug","Sep","Oct","Nov","Dec"},0),D919)</f>
        <v>37043</v>
      </c>
      <c r="K919">
        <f t="shared" si="14"/>
        <v>22</v>
      </c>
    </row>
    <row r="920" spans="1:11" x14ac:dyDescent="0.35">
      <c r="A920" t="s">
        <v>951</v>
      </c>
      <c r="B920">
        <v>1967</v>
      </c>
      <c r="C920" t="s">
        <v>35</v>
      </c>
      <c r="D920">
        <v>4</v>
      </c>
      <c r="E920">
        <v>0</v>
      </c>
      <c r="F920" s="15">
        <v>7463.51</v>
      </c>
      <c r="G920" t="s">
        <v>12</v>
      </c>
      <c r="H920" t="s">
        <v>12</v>
      </c>
      <c r="I920" t="s">
        <v>13</v>
      </c>
      <c r="J920" s="11">
        <f>DATE(B920,MATCH(C920,{"Jan","Feb","Mar","Apr","May","Jun","Jul","Aug","Sep","Oct","Nov","Dec"},0),D920)</f>
        <v>24688</v>
      </c>
      <c r="K920">
        <f t="shared" si="14"/>
        <v>55</v>
      </c>
    </row>
    <row r="921" spans="1:11" x14ac:dyDescent="0.35">
      <c r="A921" t="s">
        <v>952</v>
      </c>
      <c r="B921">
        <v>1996</v>
      </c>
      <c r="C921" t="s">
        <v>18</v>
      </c>
      <c r="D921">
        <v>14</v>
      </c>
      <c r="E921">
        <v>0</v>
      </c>
      <c r="F921" s="15">
        <v>7487.38</v>
      </c>
      <c r="G921" t="s">
        <v>11</v>
      </c>
      <c r="H921" t="s">
        <v>12</v>
      </c>
      <c r="I921" t="s">
        <v>23</v>
      </c>
      <c r="J921" s="11">
        <f>DATE(B921,MATCH(C921,{"Jan","Feb","Mar","Apr","May","Jun","Jul","Aug","Sep","Oct","Nov","Dec"},0),D921)</f>
        <v>35230</v>
      </c>
      <c r="K921">
        <f t="shared" si="14"/>
        <v>26</v>
      </c>
    </row>
    <row r="922" spans="1:11" x14ac:dyDescent="0.35">
      <c r="A922" t="s">
        <v>953</v>
      </c>
      <c r="B922">
        <v>1988</v>
      </c>
      <c r="C922" t="s">
        <v>30</v>
      </c>
      <c r="D922">
        <v>15</v>
      </c>
      <c r="E922">
        <v>3</v>
      </c>
      <c r="F922" s="15">
        <v>7494.63</v>
      </c>
      <c r="G922" t="s">
        <v>11</v>
      </c>
      <c r="H922" t="s">
        <v>12</v>
      </c>
      <c r="I922" t="s">
        <v>200</v>
      </c>
      <c r="J922" s="11">
        <f>DATE(B922,MATCH(C922,{"Jan","Feb","Mar","Apr","May","Jun","Jul","Aug","Sep","Oct","Nov","Dec"},0),D922)</f>
        <v>32492</v>
      </c>
      <c r="K922">
        <f t="shared" si="14"/>
        <v>34</v>
      </c>
    </row>
    <row r="923" spans="1:11" x14ac:dyDescent="0.35">
      <c r="A923" t="s">
        <v>954</v>
      </c>
      <c r="B923">
        <v>1997</v>
      </c>
      <c r="C923" t="s">
        <v>37</v>
      </c>
      <c r="D923">
        <v>28</v>
      </c>
      <c r="E923">
        <v>0</v>
      </c>
      <c r="F923" s="15">
        <v>7504.3</v>
      </c>
      <c r="G923" t="s">
        <v>11</v>
      </c>
      <c r="H923" t="s">
        <v>16</v>
      </c>
      <c r="I923" t="s">
        <v>23</v>
      </c>
      <c r="J923" s="11">
        <f>DATE(B923,MATCH(C923,{"Jan","Feb","Mar","Apr","May","Jun","Jul","Aug","Sep","Oct","Nov","Dec"},0),D923)</f>
        <v>35731</v>
      </c>
      <c r="K923">
        <f t="shared" si="14"/>
        <v>25</v>
      </c>
    </row>
    <row r="924" spans="1:11" x14ac:dyDescent="0.35">
      <c r="A924" t="s">
        <v>955</v>
      </c>
      <c r="B924">
        <v>1983</v>
      </c>
      <c r="C924" t="s">
        <v>10</v>
      </c>
      <c r="D924">
        <v>10</v>
      </c>
      <c r="E924">
        <v>4</v>
      </c>
      <c r="F924" s="15">
        <v>7512.27</v>
      </c>
      <c r="G924" t="s">
        <v>12</v>
      </c>
      <c r="H924" t="s">
        <v>11</v>
      </c>
      <c r="I924" t="s">
        <v>42</v>
      </c>
      <c r="J924" s="11">
        <f>DATE(B924,MATCH(C924,{"Jan","Feb","Mar","Apr","May","Jun","Jul","Aug","Sep","Oct","Nov","Dec"},0),D924)</f>
        <v>30507</v>
      </c>
      <c r="K924">
        <f t="shared" si="14"/>
        <v>39</v>
      </c>
    </row>
    <row r="925" spans="1:11" x14ac:dyDescent="0.35">
      <c r="A925" t="s">
        <v>956</v>
      </c>
      <c r="B925">
        <v>1978</v>
      </c>
      <c r="C925" t="s">
        <v>37</v>
      </c>
      <c r="D925">
        <v>18</v>
      </c>
      <c r="E925">
        <v>1</v>
      </c>
      <c r="F925" s="15">
        <v>7518.03</v>
      </c>
      <c r="G925" t="s">
        <v>11</v>
      </c>
      <c r="H925" t="s">
        <v>12</v>
      </c>
      <c r="I925" t="s">
        <v>23</v>
      </c>
      <c r="J925" s="11">
        <f>DATE(B925,MATCH(C925,{"Jan","Feb","Mar","Apr","May","Jun","Jul","Aug","Sep","Oct","Nov","Dec"},0),D925)</f>
        <v>28781</v>
      </c>
      <c r="K925">
        <f t="shared" si="14"/>
        <v>44</v>
      </c>
    </row>
    <row r="926" spans="1:11" x14ac:dyDescent="0.35">
      <c r="A926" t="s">
        <v>957</v>
      </c>
      <c r="B926">
        <v>1976</v>
      </c>
      <c r="C926" t="s">
        <v>37</v>
      </c>
      <c r="D926">
        <v>10</v>
      </c>
      <c r="E926">
        <v>0</v>
      </c>
      <c r="F926" s="15">
        <v>7526.71</v>
      </c>
      <c r="G926" t="s">
        <v>12</v>
      </c>
      <c r="H926" t="s">
        <v>16</v>
      </c>
      <c r="I926" t="s">
        <v>23</v>
      </c>
      <c r="J926" s="11">
        <f>DATE(B926,MATCH(C926,{"Jan","Feb","Mar","Apr","May","Jun","Jul","Aug","Sep","Oct","Nov","Dec"},0),D926)</f>
        <v>28043</v>
      </c>
      <c r="K926">
        <f t="shared" si="14"/>
        <v>46</v>
      </c>
    </row>
    <row r="927" spans="1:11" x14ac:dyDescent="0.35">
      <c r="A927" t="s">
        <v>958</v>
      </c>
      <c r="B927">
        <v>1978</v>
      </c>
      <c r="C927" t="s">
        <v>30</v>
      </c>
      <c r="D927">
        <v>14</v>
      </c>
      <c r="E927">
        <v>2</v>
      </c>
      <c r="F927" s="15">
        <v>7531.7</v>
      </c>
      <c r="G927" t="s">
        <v>11</v>
      </c>
      <c r="H927" t="s">
        <v>16</v>
      </c>
      <c r="I927" t="s">
        <v>13</v>
      </c>
      <c r="J927" s="11">
        <f>DATE(B927,MATCH(C927,{"Jan","Feb","Mar","Apr","May","Jun","Jul","Aug","Sep","Oct","Nov","Dec"},0),D927)</f>
        <v>28838</v>
      </c>
      <c r="K927">
        <f t="shared" si="14"/>
        <v>44</v>
      </c>
    </row>
    <row r="928" spans="1:11" x14ac:dyDescent="0.35">
      <c r="A928" t="s">
        <v>959</v>
      </c>
      <c r="B928">
        <v>1984</v>
      </c>
      <c r="C928" t="s">
        <v>35</v>
      </c>
      <c r="D928">
        <v>22</v>
      </c>
      <c r="E928">
        <v>3</v>
      </c>
      <c r="F928" s="15">
        <v>7537.16</v>
      </c>
      <c r="G928" t="s">
        <v>11</v>
      </c>
      <c r="H928" t="s">
        <v>11</v>
      </c>
      <c r="I928" t="s">
        <v>23</v>
      </c>
      <c r="J928" s="11">
        <f>DATE(B928,MATCH(C928,{"Jan","Feb","Mar","Apr","May","Jun","Jul","Aug","Sep","Oct","Nov","Dec"},0),D928)</f>
        <v>30916</v>
      </c>
      <c r="K928">
        <f t="shared" si="14"/>
        <v>38</v>
      </c>
    </row>
    <row r="929" spans="1:11" x14ac:dyDescent="0.35">
      <c r="A929" t="s">
        <v>960</v>
      </c>
      <c r="B929">
        <v>1988</v>
      </c>
      <c r="C929" t="s">
        <v>30</v>
      </c>
      <c r="D929">
        <v>15</v>
      </c>
      <c r="E929">
        <v>3</v>
      </c>
      <c r="F929" s="15">
        <v>7538.52</v>
      </c>
      <c r="G929" t="s">
        <v>11</v>
      </c>
      <c r="H929" t="s">
        <v>11</v>
      </c>
      <c r="I929" t="s">
        <v>23</v>
      </c>
      <c r="J929" s="11">
        <f>DATE(B929,MATCH(C929,{"Jan","Feb","Mar","Apr","May","Jun","Jul","Aug","Sep","Oct","Nov","Dec"},0),D929)</f>
        <v>32492</v>
      </c>
      <c r="K929">
        <f t="shared" si="14"/>
        <v>34</v>
      </c>
    </row>
    <row r="930" spans="1:11" x14ac:dyDescent="0.35">
      <c r="A930" t="s">
        <v>961</v>
      </c>
      <c r="B930">
        <v>1994</v>
      </c>
      <c r="C930" t="s">
        <v>35</v>
      </c>
      <c r="D930">
        <v>14</v>
      </c>
      <c r="E930">
        <v>0</v>
      </c>
      <c r="F930" s="15">
        <v>7567.13</v>
      </c>
      <c r="G930" t="s">
        <v>11</v>
      </c>
      <c r="H930" t="s">
        <v>11</v>
      </c>
      <c r="I930" t="s">
        <v>300</v>
      </c>
      <c r="J930" s="11">
        <f>DATE(B930,MATCH(C930,{"Jan","Feb","Mar","Apr","May","Jun","Jul","Aug","Sep","Oct","Nov","Dec"},0),D930)</f>
        <v>34560</v>
      </c>
      <c r="K930">
        <f t="shared" si="14"/>
        <v>28</v>
      </c>
    </row>
    <row r="931" spans="1:11" x14ac:dyDescent="0.35">
      <c r="A931" t="s">
        <v>962</v>
      </c>
      <c r="B931">
        <v>1967</v>
      </c>
      <c r="C931" t="s">
        <v>10</v>
      </c>
      <c r="D931">
        <v>17</v>
      </c>
      <c r="E931">
        <v>0</v>
      </c>
      <c r="F931" s="15">
        <v>7585.62</v>
      </c>
      <c r="G931" t="s">
        <v>12</v>
      </c>
      <c r="H931" t="s">
        <v>11</v>
      </c>
      <c r="I931" t="s">
        <v>13</v>
      </c>
      <c r="J931" s="11">
        <f>DATE(B931,MATCH(C931,{"Jan","Feb","Mar","Apr","May","Jun","Jul","Aug","Sep","Oct","Nov","Dec"},0),D931)</f>
        <v>24670</v>
      </c>
      <c r="K931">
        <f t="shared" si="14"/>
        <v>55</v>
      </c>
    </row>
    <row r="932" spans="1:11" x14ac:dyDescent="0.35">
      <c r="A932" t="s">
        <v>963</v>
      </c>
      <c r="B932">
        <v>1997</v>
      </c>
      <c r="C932" t="s">
        <v>20</v>
      </c>
      <c r="D932">
        <v>30</v>
      </c>
      <c r="E932">
        <v>0</v>
      </c>
      <c r="F932" s="15">
        <v>7607.03</v>
      </c>
      <c r="G932" t="s">
        <v>11</v>
      </c>
      <c r="H932" t="s">
        <v>11</v>
      </c>
      <c r="I932" t="s">
        <v>23</v>
      </c>
      <c r="J932" s="11">
        <f>DATE(B932,MATCH(C932,{"Jan","Feb","Mar","Apr","May","Jun","Jul","Aug","Sep","Oct","Nov","Dec"},0),D932)</f>
        <v>35703</v>
      </c>
      <c r="K932">
        <f t="shared" si="14"/>
        <v>25</v>
      </c>
    </row>
    <row r="933" spans="1:11" x14ac:dyDescent="0.35">
      <c r="A933" t="s">
        <v>964</v>
      </c>
      <c r="B933">
        <v>1968</v>
      </c>
      <c r="C933" t="s">
        <v>10</v>
      </c>
      <c r="D933">
        <v>3</v>
      </c>
      <c r="E933">
        <v>0</v>
      </c>
      <c r="F933" s="15">
        <v>7609.6</v>
      </c>
      <c r="G933" t="s">
        <v>12</v>
      </c>
      <c r="H933" t="s">
        <v>11</v>
      </c>
      <c r="I933" t="s">
        <v>23</v>
      </c>
      <c r="J933" s="11">
        <f>DATE(B933,MATCH(C933,{"Jan","Feb","Mar","Apr","May","Jun","Jul","Aug","Sep","Oct","Nov","Dec"},0),D933)</f>
        <v>25022</v>
      </c>
      <c r="K933">
        <f t="shared" si="14"/>
        <v>54</v>
      </c>
    </row>
    <row r="934" spans="1:11" x14ac:dyDescent="0.35">
      <c r="A934" t="s">
        <v>965</v>
      </c>
      <c r="B934">
        <v>1996</v>
      </c>
      <c r="C934" t="s">
        <v>20</v>
      </c>
      <c r="D934">
        <v>17</v>
      </c>
      <c r="E934">
        <v>0</v>
      </c>
      <c r="F934" s="15">
        <v>7623.13</v>
      </c>
      <c r="G934" t="s">
        <v>11</v>
      </c>
      <c r="H934" t="s">
        <v>12</v>
      </c>
      <c r="I934" t="s">
        <v>42</v>
      </c>
      <c r="J934" s="11">
        <f>DATE(B934,MATCH(C934,{"Jan","Feb","Mar","Apr","May","Jun","Jul","Aug","Sep","Oct","Nov","Dec"},0),D934)</f>
        <v>35325</v>
      </c>
      <c r="K934">
        <f t="shared" si="14"/>
        <v>26</v>
      </c>
    </row>
    <row r="935" spans="1:11" x14ac:dyDescent="0.35">
      <c r="A935" t="s">
        <v>966</v>
      </c>
      <c r="B935">
        <v>1978</v>
      </c>
      <c r="C935" t="s">
        <v>15</v>
      </c>
      <c r="D935">
        <v>28</v>
      </c>
      <c r="E935">
        <v>1</v>
      </c>
      <c r="F935" s="15">
        <v>7623.52</v>
      </c>
      <c r="G935" t="s">
        <v>11</v>
      </c>
      <c r="H935" t="s">
        <v>16</v>
      </c>
      <c r="I935" t="s">
        <v>42</v>
      </c>
      <c r="J935" s="11">
        <f>DATE(B935,MATCH(C935,{"Jan","Feb","Mar","Apr","May","Jun","Jul","Aug","Sep","Oct","Nov","Dec"},0),D935)</f>
        <v>28822</v>
      </c>
      <c r="K935">
        <f t="shared" si="14"/>
        <v>44</v>
      </c>
    </row>
    <row r="936" spans="1:11" x14ac:dyDescent="0.35">
      <c r="A936" t="s">
        <v>967</v>
      </c>
      <c r="B936">
        <v>1978</v>
      </c>
      <c r="C936" t="s">
        <v>15</v>
      </c>
      <c r="D936">
        <v>6</v>
      </c>
      <c r="E936">
        <v>1</v>
      </c>
      <c r="F936" s="15">
        <v>7624.63</v>
      </c>
      <c r="G936" t="s">
        <v>11</v>
      </c>
      <c r="H936" t="s">
        <v>16</v>
      </c>
      <c r="I936" t="s">
        <v>42</v>
      </c>
      <c r="J936" s="11">
        <f>DATE(B936,MATCH(C936,{"Jan","Feb","Mar","Apr","May","Jun","Jul","Aug","Sep","Oct","Nov","Dec"},0),D936)</f>
        <v>28800</v>
      </c>
      <c r="K936">
        <f t="shared" si="14"/>
        <v>44</v>
      </c>
    </row>
    <row r="937" spans="1:11" x14ac:dyDescent="0.35">
      <c r="A937" t="s">
        <v>968</v>
      </c>
      <c r="B937">
        <v>1978</v>
      </c>
      <c r="C937" t="s">
        <v>15</v>
      </c>
      <c r="D937">
        <v>29</v>
      </c>
      <c r="E937">
        <v>1</v>
      </c>
      <c r="F937" s="15">
        <v>7626.99</v>
      </c>
      <c r="G937" t="s">
        <v>11</v>
      </c>
      <c r="H937" t="s">
        <v>11</v>
      </c>
      <c r="I937" t="s">
        <v>42</v>
      </c>
      <c r="J937" s="11">
        <f>DATE(B937,MATCH(C937,{"Jan","Feb","Mar","Apr","May","Jun","Jul","Aug","Sep","Oct","Nov","Dec"},0),D937)</f>
        <v>28823</v>
      </c>
      <c r="K937">
        <f t="shared" si="14"/>
        <v>44</v>
      </c>
    </row>
    <row r="938" spans="1:11" x14ac:dyDescent="0.35">
      <c r="A938" t="s">
        <v>969</v>
      </c>
      <c r="B938">
        <v>1978</v>
      </c>
      <c r="C938" t="s">
        <v>35</v>
      </c>
      <c r="D938">
        <v>24</v>
      </c>
      <c r="E938">
        <v>1</v>
      </c>
      <c r="F938" s="15">
        <v>7633.72</v>
      </c>
      <c r="G938" t="s">
        <v>11</v>
      </c>
      <c r="H938" t="s">
        <v>16</v>
      </c>
      <c r="I938" t="s">
        <v>13</v>
      </c>
      <c r="J938" s="11">
        <f>DATE(B938,MATCH(C938,{"Jan","Feb","Mar","Apr","May","Jun","Jul","Aug","Sep","Oct","Nov","Dec"},0),D938)</f>
        <v>28726</v>
      </c>
      <c r="K938">
        <f t="shared" si="14"/>
        <v>44</v>
      </c>
    </row>
    <row r="939" spans="1:11" x14ac:dyDescent="0.35">
      <c r="A939" t="s">
        <v>970</v>
      </c>
      <c r="B939">
        <v>2001</v>
      </c>
      <c r="C939" t="s">
        <v>30</v>
      </c>
      <c r="D939">
        <v>13</v>
      </c>
      <c r="E939">
        <v>0</v>
      </c>
      <c r="F939" s="15">
        <v>7636.92</v>
      </c>
      <c r="G939" t="s">
        <v>11</v>
      </c>
      <c r="H939" t="s">
        <v>12</v>
      </c>
      <c r="I939" t="s">
        <v>23</v>
      </c>
      <c r="J939" s="11">
        <f>DATE(B939,MATCH(C939,{"Jan","Feb","Mar","Apr","May","Jun","Jul","Aug","Sep","Oct","Nov","Dec"},0),D939)</f>
        <v>37238</v>
      </c>
      <c r="K939">
        <f t="shared" si="14"/>
        <v>21</v>
      </c>
    </row>
    <row r="940" spans="1:11" x14ac:dyDescent="0.35">
      <c r="A940" t="s">
        <v>971</v>
      </c>
      <c r="B940">
        <v>1980</v>
      </c>
      <c r="C940" t="s">
        <v>18</v>
      </c>
      <c r="D940">
        <v>20</v>
      </c>
      <c r="E940">
        <v>1</v>
      </c>
      <c r="F940" s="15">
        <v>7639.42</v>
      </c>
      <c r="G940" t="s">
        <v>11</v>
      </c>
      <c r="H940" t="s">
        <v>11</v>
      </c>
      <c r="I940" t="s">
        <v>247</v>
      </c>
      <c r="J940" s="11">
        <f>DATE(B940,MATCH(C940,{"Jan","Feb","Mar","Apr","May","Jun","Jul","Aug","Sep","Oct","Nov","Dec"},0),D940)</f>
        <v>29392</v>
      </c>
      <c r="K940">
        <f t="shared" si="14"/>
        <v>42</v>
      </c>
    </row>
    <row r="941" spans="1:11" x14ac:dyDescent="0.35">
      <c r="A941" t="s">
        <v>972</v>
      </c>
      <c r="B941">
        <v>1980</v>
      </c>
      <c r="C941" t="s">
        <v>10</v>
      </c>
      <c r="D941">
        <v>24</v>
      </c>
      <c r="E941">
        <v>2</v>
      </c>
      <c r="F941" s="15">
        <v>7640.31</v>
      </c>
      <c r="G941" t="s">
        <v>11</v>
      </c>
      <c r="H941" t="s">
        <v>16</v>
      </c>
      <c r="I941" t="s">
        <v>13</v>
      </c>
      <c r="J941" s="11">
        <f>DATE(B941,MATCH(C941,{"Jan","Feb","Mar","Apr","May","Jun","Jul","Aug","Sep","Oct","Nov","Dec"},0),D941)</f>
        <v>29426</v>
      </c>
      <c r="K941">
        <f t="shared" si="14"/>
        <v>42</v>
      </c>
    </row>
    <row r="942" spans="1:11" x14ac:dyDescent="0.35">
      <c r="A942" t="s">
        <v>973</v>
      </c>
      <c r="B942">
        <v>1999</v>
      </c>
      <c r="C942" t="s">
        <v>18</v>
      </c>
      <c r="D942">
        <v>15</v>
      </c>
      <c r="E942">
        <v>0</v>
      </c>
      <c r="F942" s="15">
        <v>7642.05</v>
      </c>
      <c r="G942" t="s">
        <v>11</v>
      </c>
      <c r="H942" t="s">
        <v>11</v>
      </c>
      <c r="I942" t="s">
        <v>535</v>
      </c>
      <c r="J942" s="11">
        <f>DATE(B942,MATCH(C942,{"Jan","Feb","Mar","Apr","May","Jun","Jul","Aug","Sep","Oct","Nov","Dec"},0),D942)</f>
        <v>36326</v>
      </c>
      <c r="K942">
        <f t="shared" si="14"/>
        <v>23</v>
      </c>
    </row>
    <row r="943" spans="1:11" x14ac:dyDescent="0.35">
      <c r="A943" t="s">
        <v>974</v>
      </c>
      <c r="B943">
        <v>1980</v>
      </c>
      <c r="C943" t="s">
        <v>37</v>
      </c>
      <c r="D943">
        <v>16</v>
      </c>
      <c r="E943">
        <v>1</v>
      </c>
      <c r="F943" s="15">
        <v>7650.77</v>
      </c>
      <c r="G943" t="s">
        <v>11</v>
      </c>
      <c r="H943" t="s">
        <v>11</v>
      </c>
      <c r="I943" t="s">
        <v>247</v>
      </c>
      <c r="J943" s="11">
        <f>DATE(B943,MATCH(C943,{"Jan","Feb","Mar","Apr","May","Jun","Jul","Aug","Sep","Oct","Nov","Dec"},0),D943)</f>
        <v>29510</v>
      </c>
      <c r="K943">
        <f t="shared" si="14"/>
        <v>42</v>
      </c>
    </row>
    <row r="944" spans="1:11" x14ac:dyDescent="0.35">
      <c r="A944" t="s">
        <v>975</v>
      </c>
      <c r="B944">
        <v>1993</v>
      </c>
      <c r="C944" t="s">
        <v>35</v>
      </c>
      <c r="D944">
        <v>10</v>
      </c>
      <c r="E944">
        <v>0</v>
      </c>
      <c r="F944" s="15">
        <v>7650.8</v>
      </c>
      <c r="G944" t="s">
        <v>11</v>
      </c>
      <c r="H944" t="s">
        <v>11</v>
      </c>
      <c r="I944" t="s">
        <v>23</v>
      </c>
      <c r="J944" s="11">
        <f>DATE(B944,MATCH(C944,{"Jan","Feb","Mar","Apr","May","Jun","Jul","Aug","Sep","Oct","Nov","Dec"},0),D944)</f>
        <v>34191</v>
      </c>
      <c r="K944">
        <f t="shared" si="14"/>
        <v>29</v>
      </c>
    </row>
    <row r="945" spans="1:11" x14ac:dyDescent="0.35">
      <c r="A945" t="s">
        <v>976</v>
      </c>
      <c r="B945">
        <v>1998</v>
      </c>
      <c r="C945" t="s">
        <v>20</v>
      </c>
      <c r="D945">
        <v>30</v>
      </c>
      <c r="E945">
        <v>0</v>
      </c>
      <c r="F945" s="15">
        <v>7652.26</v>
      </c>
      <c r="G945" t="s">
        <v>11</v>
      </c>
      <c r="H945" t="s">
        <v>12</v>
      </c>
      <c r="I945" t="s">
        <v>249</v>
      </c>
      <c r="J945" s="11">
        <f>DATE(B945,MATCH(C945,{"Jan","Feb","Mar","Apr","May","Jun","Jul","Aug","Sep","Oct","Nov","Dec"},0),D945)</f>
        <v>36068</v>
      </c>
      <c r="K945">
        <f t="shared" si="14"/>
        <v>24</v>
      </c>
    </row>
    <row r="946" spans="1:11" x14ac:dyDescent="0.35">
      <c r="A946" t="s">
        <v>977</v>
      </c>
      <c r="B946">
        <v>1965</v>
      </c>
      <c r="C946" t="s">
        <v>30</v>
      </c>
      <c r="D946">
        <v>27</v>
      </c>
      <c r="E946">
        <v>0</v>
      </c>
      <c r="F946" s="15">
        <v>7657.69</v>
      </c>
      <c r="G946" t="s">
        <v>12</v>
      </c>
      <c r="H946" t="s">
        <v>12</v>
      </c>
      <c r="I946" t="s">
        <v>23</v>
      </c>
      <c r="J946" s="11">
        <f>DATE(B946,MATCH(C946,{"Jan","Feb","Mar","Apr","May","Jun","Jul","Aug","Sep","Oct","Nov","Dec"},0),D946)</f>
        <v>24103</v>
      </c>
      <c r="K946">
        <f t="shared" si="14"/>
        <v>57</v>
      </c>
    </row>
    <row r="947" spans="1:11" x14ac:dyDescent="0.35">
      <c r="A947" t="s">
        <v>978</v>
      </c>
      <c r="B947">
        <v>1976</v>
      </c>
      <c r="C947" t="s">
        <v>37</v>
      </c>
      <c r="D947">
        <v>9</v>
      </c>
      <c r="E947">
        <v>2</v>
      </c>
      <c r="F947" s="15">
        <v>7662.47</v>
      </c>
      <c r="G947" t="s">
        <v>11</v>
      </c>
      <c r="H947" t="s">
        <v>16</v>
      </c>
      <c r="I947" t="s">
        <v>42</v>
      </c>
      <c r="J947" s="11">
        <f>DATE(B947,MATCH(C947,{"Jan","Feb","Mar","Apr","May","Jun","Jul","Aug","Sep","Oct","Nov","Dec"},0),D947)</f>
        <v>28042</v>
      </c>
      <c r="K947">
        <f t="shared" si="14"/>
        <v>46</v>
      </c>
    </row>
    <row r="948" spans="1:11" x14ac:dyDescent="0.35">
      <c r="A948" t="s">
        <v>979</v>
      </c>
      <c r="B948">
        <v>1996</v>
      </c>
      <c r="C948" t="s">
        <v>15</v>
      </c>
      <c r="D948">
        <v>24</v>
      </c>
      <c r="E948">
        <v>0</v>
      </c>
      <c r="F948" s="15">
        <v>7670.75</v>
      </c>
      <c r="G948" t="s">
        <v>11</v>
      </c>
      <c r="H948" t="s">
        <v>11</v>
      </c>
      <c r="I948" t="s">
        <v>632</v>
      </c>
      <c r="J948" s="11">
        <f>DATE(B948,MATCH(C948,{"Jan","Feb","Mar","Apr","May","Jun","Jul","Aug","Sep","Oct","Nov","Dec"},0),D948)</f>
        <v>35393</v>
      </c>
      <c r="K948">
        <f t="shared" si="14"/>
        <v>26</v>
      </c>
    </row>
    <row r="949" spans="1:11" x14ac:dyDescent="0.35">
      <c r="A949" t="s">
        <v>980</v>
      </c>
      <c r="B949">
        <v>1995</v>
      </c>
      <c r="C949" t="s">
        <v>20</v>
      </c>
      <c r="D949">
        <v>13</v>
      </c>
      <c r="E949">
        <v>0</v>
      </c>
      <c r="F949" s="15">
        <v>7676.4</v>
      </c>
      <c r="G949" t="s">
        <v>11</v>
      </c>
      <c r="H949" t="s">
        <v>16</v>
      </c>
      <c r="I949" t="s">
        <v>23</v>
      </c>
      <c r="J949" s="11">
        <f>DATE(B949,MATCH(C949,{"Jan","Feb","Mar","Apr","May","Jun","Jul","Aug","Sep","Oct","Nov","Dec"},0),D949)</f>
        <v>34955</v>
      </c>
      <c r="K949">
        <f t="shared" si="14"/>
        <v>27</v>
      </c>
    </row>
    <row r="950" spans="1:11" x14ac:dyDescent="0.35">
      <c r="A950" t="s">
        <v>981</v>
      </c>
      <c r="B950">
        <v>1971</v>
      </c>
      <c r="C950" t="s">
        <v>37</v>
      </c>
      <c r="D950">
        <v>11</v>
      </c>
      <c r="E950">
        <v>0</v>
      </c>
      <c r="F950" s="15">
        <v>7680.92</v>
      </c>
      <c r="G950" t="s">
        <v>11</v>
      </c>
      <c r="H950" t="s">
        <v>16</v>
      </c>
      <c r="I950" t="s">
        <v>13</v>
      </c>
      <c r="J950" s="11">
        <f>DATE(B950,MATCH(C950,{"Jan","Feb","Mar","Apr","May","Jun","Jul","Aug","Sep","Oct","Nov","Dec"},0),D950)</f>
        <v>26217</v>
      </c>
      <c r="K950">
        <f t="shared" si="14"/>
        <v>51</v>
      </c>
    </row>
    <row r="951" spans="1:11" x14ac:dyDescent="0.35">
      <c r="A951" t="s">
        <v>982</v>
      </c>
      <c r="B951">
        <v>1981</v>
      </c>
      <c r="C951" t="s">
        <v>30</v>
      </c>
      <c r="D951">
        <v>19</v>
      </c>
      <c r="E951">
        <v>1</v>
      </c>
      <c r="F951" s="15">
        <v>7681.17</v>
      </c>
      <c r="G951" t="s">
        <v>11</v>
      </c>
      <c r="H951" t="s">
        <v>11</v>
      </c>
      <c r="I951" t="s">
        <v>516</v>
      </c>
      <c r="J951" s="11">
        <f>DATE(B951,MATCH(C951,{"Jan","Feb","Mar","Apr","May","Jun","Jul","Aug","Sep","Oct","Nov","Dec"},0),D951)</f>
        <v>29939</v>
      </c>
      <c r="K951">
        <f t="shared" si="14"/>
        <v>41</v>
      </c>
    </row>
    <row r="952" spans="1:11" x14ac:dyDescent="0.35">
      <c r="A952" t="s">
        <v>983</v>
      </c>
      <c r="B952">
        <v>1982</v>
      </c>
      <c r="C952" t="s">
        <v>30</v>
      </c>
      <c r="D952">
        <v>18</v>
      </c>
      <c r="E952">
        <v>3</v>
      </c>
      <c r="F952" s="15">
        <v>7682.67</v>
      </c>
      <c r="G952" t="s">
        <v>11</v>
      </c>
      <c r="H952" t="s">
        <v>16</v>
      </c>
      <c r="I952" t="s">
        <v>13</v>
      </c>
      <c r="J952" s="11">
        <f>DATE(B952,MATCH(C952,{"Jan","Feb","Mar","Apr","May","Jun","Jul","Aug","Sep","Oct","Nov","Dec"},0),D952)</f>
        <v>30303</v>
      </c>
      <c r="K952">
        <f t="shared" si="14"/>
        <v>40</v>
      </c>
    </row>
    <row r="953" spans="1:11" x14ac:dyDescent="0.35">
      <c r="A953" t="s">
        <v>984</v>
      </c>
      <c r="B953">
        <v>1987</v>
      </c>
      <c r="C953" t="s">
        <v>10</v>
      </c>
      <c r="D953">
        <v>12</v>
      </c>
      <c r="E953">
        <v>3</v>
      </c>
      <c r="F953" s="15">
        <v>7684.62</v>
      </c>
      <c r="G953" t="s">
        <v>11</v>
      </c>
      <c r="H953" t="s">
        <v>12</v>
      </c>
      <c r="I953" t="s">
        <v>300</v>
      </c>
      <c r="J953" s="11">
        <f>DATE(B953,MATCH(C953,{"Jan","Feb","Mar","Apr","May","Jun","Jul","Aug","Sep","Oct","Nov","Dec"},0),D953)</f>
        <v>31970</v>
      </c>
      <c r="K953">
        <f t="shared" si="14"/>
        <v>35</v>
      </c>
    </row>
    <row r="954" spans="1:11" x14ac:dyDescent="0.35">
      <c r="A954" t="s">
        <v>985</v>
      </c>
      <c r="B954">
        <v>1978</v>
      </c>
      <c r="C954" t="s">
        <v>30</v>
      </c>
      <c r="D954">
        <v>29</v>
      </c>
      <c r="E954">
        <v>2</v>
      </c>
      <c r="F954" s="15">
        <v>7726.85</v>
      </c>
      <c r="G954" t="s">
        <v>16</v>
      </c>
      <c r="H954" t="s">
        <v>11</v>
      </c>
      <c r="I954" t="s">
        <v>42</v>
      </c>
      <c r="J954" s="11">
        <f>DATE(B954,MATCH(C954,{"Jan","Feb","Mar","Apr","May","Jun","Jul","Aug","Sep","Oct","Nov","Dec"},0),D954)</f>
        <v>28853</v>
      </c>
      <c r="K954">
        <f t="shared" si="14"/>
        <v>44</v>
      </c>
    </row>
    <row r="955" spans="1:11" x14ac:dyDescent="0.35">
      <c r="A955" t="s">
        <v>986</v>
      </c>
      <c r="B955">
        <v>1979</v>
      </c>
      <c r="C955" t="s">
        <v>18</v>
      </c>
      <c r="D955">
        <v>2</v>
      </c>
      <c r="E955">
        <v>1</v>
      </c>
      <c r="F955" s="15">
        <v>7727.25</v>
      </c>
      <c r="G955" t="s">
        <v>11</v>
      </c>
      <c r="H955" t="s">
        <v>12</v>
      </c>
      <c r="I955" t="s">
        <v>23</v>
      </c>
      <c r="J955" s="11">
        <f>DATE(B955,MATCH(C955,{"Jan","Feb","Mar","Apr","May","Jun","Jul","Aug","Sep","Oct","Nov","Dec"},0),D955)</f>
        <v>29008</v>
      </c>
      <c r="K955">
        <f t="shared" si="14"/>
        <v>44</v>
      </c>
    </row>
    <row r="956" spans="1:11" x14ac:dyDescent="0.35">
      <c r="A956" t="s">
        <v>987</v>
      </c>
      <c r="B956">
        <v>1980</v>
      </c>
      <c r="C956" t="s">
        <v>20</v>
      </c>
      <c r="D956">
        <v>10</v>
      </c>
      <c r="E956">
        <v>2</v>
      </c>
      <c r="F956" s="15">
        <v>7729.65</v>
      </c>
      <c r="G956" t="s">
        <v>12</v>
      </c>
      <c r="H956" t="s">
        <v>16</v>
      </c>
      <c r="I956" t="s">
        <v>168</v>
      </c>
      <c r="J956" s="11">
        <f>DATE(B956,MATCH(C956,{"Jan","Feb","Mar","Apr","May","Jun","Jul","Aug","Sep","Oct","Nov","Dec"},0),D956)</f>
        <v>29474</v>
      </c>
      <c r="K956">
        <f t="shared" si="14"/>
        <v>42</v>
      </c>
    </row>
    <row r="957" spans="1:11" x14ac:dyDescent="0.35">
      <c r="A957" t="s">
        <v>988</v>
      </c>
      <c r="B957">
        <v>1978</v>
      </c>
      <c r="C957" t="s">
        <v>30</v>
      </c>
      <c r="D957">
        <v>4</v>
      </c>
      <c r="E957">
        <v>2</v>
      </c>
      <c r="F957" s="15">
        <v>7731.43</v>
      </c>
      <c r="G957" t="s">
        <v>12</v>
      </c>
      <c r="H957" t="s">
        <v>11</v>
      </c>
      <c r="I957" t="s">
        <v>13</v>
      </c>
      <c r="J957" s="11">
        <f>DATE(B957,MATCH(C957,{"Jan","Feb","Mar","Apr","May","Jun","Jul","Aug","Sep","Oct","Nov","Dec"},0),D957)</f>
        <v>28828</v>
      </c>
      <c r="K957">
        <f t="shared" si="14"/>
        <v>44</v>
      </c>
    </row>
    <row r="958" spans="1:11" x14ac:dyDescent="0.35">
      <c r="A958" t="s">
        <v>989</v>
      </c>
      <c r="B958">
        <v>1977</v>
      </c>
      <c r="C958" t="s">
        <v>35</v>
      </c>
      <c r="D958">
        <v>29</v>
      </c>
      <c r="E958">
        <v>0</v>
      </c>
      <c r="F958" s="15">
        <v>7731.86</v>
      </c>
      <c r="G958" t="s">
        <v>11</v>
      </c>
      <c r="H958" t="s">
        <v>12</v>
      </c>
      <c r="I958" t="s">
        <v>23</v>
      </c>
      <c r="J958" s="11">
        <f>DATE(B958,MATCH(C958,{"Jan","Feb","Mar","Apr","May","Jun","Jul","Aug","Sep","Oct","Nov","Dec"},0),D958)</f>
        <v>28366</v>
      </c>
      <c r="K958">
        <f t="shared" si="14"/>
        <v>45</v>
      </c>
    </row>
    <row r="959" spans="1:11" x14ac:dyDescent="0.35">
      <c r="A959" t="s">
        <v>990</v>
      </c>
      <c r="B959">
        <v>1965</v>
      </c>
      <c r="C959" t="s">
        <v>10</v>
      </c>
      <c r="D959">
        <v>18</v>
      </c>
      <c r="E959">
        <v>0</v>
      </c>
      <c r="F959" s="15">
        <v>7736.39</v>
      </c>
      <c r="G959" t="s">
        <v>12</v>
      </c>
      <c r="H959" t="s">
        <v>11</v>
      </c>
      <c r="I959" t="s">
        <v>13</v>
      </c>
      <c r="J959" s="11">
        <f>DATE(B959,MATCH(C959,{"Jan","Feb","Mar","Apr","May","Jun","Jul","Aug","Sep","Oct","Nov","Dec"},0),D959)</f>
        <v>23941</v>
      </c>
      <c r="K959">
        <f t="shared" si="14"/>
        <v>57</v>
      </c>
    </row>
    <row r="960" spans="1:11" x14ac:dyDescent="0.35">
      <c r="A960" t="s">
        <v>991</v>
      </c>
      <c r="B960">
        <v>1978</v>
      </c>
      <c r="C960" t="s">
        <v>20</v>
      </c>
      <c r="D960">
        <v>4</v>
      </c>
      <c r="E960">
        <v>2</v>
      </c>
      <c r="F960" s="15">
        <v>7740.34</v>
      </c>
      <c r="G960" t="s">
        <v>16</v>
      </c>
      <c r="H960" t="s">
        <v>16</v>
      </c>
      <c r="I960" t="s">
        <v>42</v>
      </c>
      <c r="J960" s="11">
        <f>DATE(B960,MATCH(C960,{"Jan","Feb","Mar","Apr","May","Jun","Jul","Aug","Sep","Oct","Nov","Dec"},0),D960)</f>
        <v>28737</v>
      </c>
      <c r="K960">
        <f t="shared" si="14"/>
        <v>44</v>
      </c>
    </row>
    <row r="961" spans="1:11" x14ac:dyDescent="0.35">
      <c r="A961" t="s">
        <v>992</v>
      </c>
      <c r="B961">
        <v>1976</v>
      </c>
      <c r="C961" t="s">
        <v>30</v>
      </c>
      <c r="D961">
        <v>12</v>
      </c>
      <c r="E961">
        <v>1</v>
      </c>
      <c r="F961" s="15">
        <v>7742.11</v>
      </c>
      <c r="G961" t="s">
        <v>12</v>
      </c>
      <c r="H961" t="s">
        <v>11</v>
      </c>
      <c r="I961" t="s">
        <v>13</v>
      </c>
      <c r="J961" s="11">
        <f>DATE(B961,MATCH(C961,{"Jan","Feb","Mar","Apr","May","Jun","Jul","Aug","Sep","Oct","Nov","Dec"},0),D961)</f>
        <v>28106</v>
      </c>
      <c r="K961">
        <f t="shared" si="14"/>
        <v>46</v>
      </c>
    </row>
    <row r="962" spans="1:11" x14ac:dyDescent="0.35">
      <c r="A962" t="s">
        <v>993</v>
      </c>
      <c r="B962">
        <v>1981</v>
      </c>
      <c r="C962" t="s">
        <v>18</v>
      </c>
      <c r="D962">
        <v>30</v>
      </c>
      <c r="E962">
        <v>2</v>
      </c>
      <c r="F962" s="15">
        <v>7749.16</v>
      </c>
      <c r="G962" t="s">
        <v>11</v>
      </c>
      <c r="H962" t="s">
        <v>16</v>
      </c>
      <c r="I962" t="s">
        <v>23</v>
      </c>
      <c r="J962" s="11">
        <f>DATE(B962,MATCH(C962,{"Jan","Feb","Mar","Apr","May","Jun","Jul","Aug","Sep","Oct","Nov","Dec"},0),D962)</f>
        <v>29767</v>
      </c>
      <c r="K962">
        <f t="shared" si="14"/>
        <v>41</v>
      </c>
    </row>
    <row r="963" spans="1:11" x14ac:dyDescent="0.35">
      <c r="A963" t="s">
        <v>994</v>
      </c>
      <c r="B963">
        <v>1997</v>
      </c>
      <c r="C963" t="s">
        <v>30</v>
      </c>
      <c r="D963">
        <v>21</v>
      </c>
      <c r="E963">
        <v>0</v>
      </c>
      <c r="F963" s="15">
        <v>7763.06</v>
      </c>
      <c r="G963" t="s">
        <v>11</v>
      </c>
      <c r="H963" t="s">
        <v>16</v>
      </c>
      <c r="I963" t="s">
        <v>23</v>
      </c>
      <c r="J963" s="11">
        <f>DATE(B963,MATCH(C963,{"Jan","Feb","Mar","Apr","May","Jun","Jul","Aug","Sep","Oct","Nov","Dec"},0),D963)</f>
        <v>35785</v>
      </c>
      <c r="K963">
        <f t="shared" ref="K963:K1026" si="15">DATEDIF(J963,$N$1,"Y")</f>
        <v>25</v>
      </c>
    </row>
    <row r="964" spans="1:11" x14ac:dyDescent="0.35">
      <c r="A964" t="s">
        <v>995</v>
      </c>
      <c r="B964">
        <v>1974</v>
      </c>
      <c r="C964" t="s">
        <v>30</v>
      </c>
      <c r="D964">
        <v>6</v>
      </c>
      <c r="E964">
        <v>0</v>
      </c>
      <c r="F964" s="15">
        <v>7789.64</v>
      </c>
      <c r="G964" t="s">
        <v>16</v>
      </c>
      <c r="H964" t="s">
        <v>12</v>
      </c>
      <c r="I964" t="s">
        <v>13</v>
      </c>
      <c r="J964" s="11">
        <f>DATE(B964,MATCH(C964,{"Jan","Feb","Mar","Apr","May","Jun","Jul","Aug","Sep","Oct","Nov","Dec"},0),D964)</f>
        <v>27369</v>
      </c>
      <c r="K964">
        <f t="shared" si="15"/>
        <v>48</v>
      </c>
    </row>
    <row r="965" spans="1:11" x14ac:dyDescent="0.35">
      <c r="A965" t="s">
        <v>996</v>
      </c>
      <c r="B965">
        <v>1999</v>
      </c>
      <c r="C965" t="s">
        <v>30</v>
      </c>
      <c r="D965">
        <v>25</v>
      </c>
      <c r="E965">
        <v>0</v>
      </c>
      <c r="F965" s="15">
        <v>7794.68</v>
      </c>
      <c r="G965" t="s">
        <v>11</v>
      </c>
      <c r="H965" t="s">
        <v>11</v>
      </c>
      <c r="I965" t="s">
        <v>535</v>
      </c>
      <c r="J965" s="11">
        <f>DATE(B965,MATCH(C965,{"Jan","Feb","Mar","Apr","May","Jun","Jul","Aug","Sep","Oct","Nov","Dec"},0),D965)</f>
        <v>36519</v>
      </c>
      <c r="K965">
        <f t="shared" si="15"/>
        <v>23</v>
      </c>
    </row>
    <row r="966" spans="1:11" x14ac:dyDescent="0.35">
      <c r="A966" t="s">
        <v>997</v>
      </c>
      <c r="B966">
        <v>1997</v>
      </c>
      <c r="C966" t="s">
        <v>30</v>
      </c>
      <c r="D966">
        <v>2</v>
      </c>
      <c r="E966">
        <v>0</v>
      </c>
      <c r="F966" s="15">
        <v>7803.77</v>
      </c>
      <c r="G966" t="s">
        <v>11</v>
      </c>
      <c r="H966" t="s">
        <v>12</v>
      </c>
      <c r="I966" t="s">
        <v>23</v>
      </c>
      <c r="J966" s="11">
        <f>DATE(B966,MATCH(C966,{"Jan","Feb","Mar","Apr","May","Jun","Jul","Aug","Sep","Oct","Nov","Dec"},0),D966)</f>
        <v>35766</v>
      </c>
      <c r="K966">
        <f t="shared" si="15"/>
        <v>25</v>
      </c>
    </row>
    <row r="967" spans="1:11" x14ac:dyDescent="0.35">
      <c r="A967" t="s">
        <v>998</v>
      </c>
      <c r="B967">
        <v>1974</v>
      </c>
      <c r="C967" t="s">
        <v>15</v>
      </c>
      <c r="D967">
        <v>9</v>
      </c>
      <c r="E967">
        <v>0</v>
      </c>
      <c r="F967" s="15">
        <v>7804.16</v>
      </c>
      <c r="G967" t="s">
        <v>11</v>
      </c>
      <c r="H967" t="s">
        <v>12</v>
      </c>
      <c r="I967" t="s">
        <v>13</v>
      </c>
      <c r="J967" s="11">
        <f>DATE(B967,MATCH(C967,{"Jan","Feb","Mar","Apr","May","Jun","Jul","Aug","Sep","Oct","Nov","Dec"},0),D967)</f>
        <v>27342</v>
      </c>
      <c r="K967">
        <f t="shared" si="15"/>
        <v>48</v>
      </c>
    </row>
    <row r="968" spans="1:11" x14ac:dyDescent="0.35">
      <c r="A968" t="s">
        <v>999</v>
      </c>
      <c r="B968">
        <v>1991</v>
      </c>
      <c r="C968" t="s">
        <v>30</v>
      </c>
      <c r="D968">
        <v>21</v>
      </c>
      <c r="E968">
        <v>3</v>
      </c>
      <c r="F968" s="15">
        <v>7812.67</v>
      </c>
      <c r="G968" t="s">
        <v>11</v>
      </c>
      <c r="H968" t="s">
        <v>16</v>
      </c>
      <c r="I968" t="s">
        <v>23</v>
      </c>
      <c r="J968" s="11">
        <f>DATE(B968,MATCH(C968,{"Jan","Feb","Mar","Apr","May","Jun","Jul","Aug","Sep","Oct","Nov","Dec"},0),D968)</f>
        <v>33593</v>
      </c>
      <c r="K968">
        <f t="shared" si="15"/>
        <v>31</v>
      </c>
    </row>
    <row r="969" spans="1:11" x14ac:dyDescent="0.35">
      <c r="A969" t="s">
        <v>1000</v>
      </c>
      <c r="B969">
        <v>1989</v>
      </c>
      <c r="C969" t="s">
        <v>37</v>
      </c>
      <c r="D969">
        <v>12</v>
      </c>
      <c r="E969">
        <v>3</v>
      </c>
      <c r="F969" s="15">
        <v>7824.37</v>
      </c>
      <c r="G969" t="s">
        <v>11</v>
      </c>
      <c r="H969" t="s">
        <v>11</v>
      </c>
      <c r="I969" t="s">
        <v>23</v>
      </c>
      <c r="J969" s="11">
        <f>DATE(B969,MATCH(C969,{"Jan","Feb","Mar","Apr","May","Jun","Jul","Aug","Sep","Oct","Nov","Dec"},0),D969)</f>
        <v>32793</v>
      </c>
      <c r="K969">
        <f t="shared" si="15"/>
        <v>33</v>
      </c>
    </row>
    <row r="970" spans="1:11" x14ac:dyDescent="0.35">
      <c r="A970" t="s">
        <v>1001</v>
      </c>
      <c r="B970">
        <v>2001</v>
      </c>
      <c r="C970" t="s">
        <v>37</v>
      </c>
      <c r="D970">
        <v>5</v>
      </c>
      <c r="E970">
        <v>0</v>
      </c>
      <c r="F970" s="15">
        <v>7844.8</v>
      </c>
      <c r="G970" t="s">
        <v>11</v>
      </c>
      <c r="H970" t="s">
        <v>11</v>
      </c>
      <c r="I970" t="s">
        <v>23</v>
      </c>
      <c r="J970" s="11">
        <f>DATE(B970,MATCH(C970,{"Jan","Feb","Mar","Apr","May","Jun","Jul","Aug","Sep","Oct","Nov","Dec"},0),D970)</f>
        <v>37169</v>
      </c>
      <c r="K970">
        <f t="shared" si="15"/>
        <v>21</v>
      </c>
    </row>
    <row r="971" spans="1:11" x14ac:dyDescent="0.35">
      <c r="A971" t="s">
        <v>1002</v>
      </c>
      <c r="B971">
        <v>1994</v>
      </c>
      <c r="C971" t="s">
        <v>15</v>
      </c>
      <c r="D971">
        <v>17</v>
      </c>
      <c r="E971">
        <v>0</v>
      </c>
      <c r="F971" s="15">
        <v>7851.85</v>
      </c>
      <c r="G971" t="s">
        <v>11</v>
      </c>
      <c r="H971" t="s">
        <v>12</v>
      </c>
      <c r="I971" t="s">
        <v>23</v>
      </c>
      <c r="J971" s="11">
        <f>DATE(B971,MATCH(C971,{"Jan","Feb","Mar","Apr","May","Jun","Jul","Aug","Sep","Oct","Nov","Dec"},0),D971)</f>
        <v>34655</v>
      </c>
      <c r="K971">
        <f t="shared" si="15"/>
        <v>28</v>
      </c>
    </row>
    <row r="972" spans="1:11" x14ac:dyDescent="0.35">
      <c r="A972" t="s">
        <v>1003</v>
      </c>
      <c r="B972">
        <v>1962</v>
      </c>
      <c r="C972" t="s">
        <v>37</v>
      </c>
      <c r="D972">
        <v>10</v>
      </c>
      <c r="E972">
        <v>0</v>
      </c>
      <c r="F972" s="15">
        <v>7896.41</v>
      </c>
      <c r="G972" t="s">
        <v>12</v>
      </c>
      <c r="H972" t="s">
        <v>11</v>
      </c>
      <c r="I972" t="s">
        <v>13</v>
      </c>
      <c r="J972" s="11">
        <f>DATE(B972,MATCH(C972,{"Jan","Feb","Mar","Apr","May","Jun","Jul","Aug","Sep","Oct","Nov","Dec"},0),D972)</f>
        <v>22929</v>
      </c>
      <c r="K972">
        <f t="shared" si="15"/>
        <v>60</v>
      </c>
    </row>
    <row r="973" spans="1:11" x14ac:dyDescent="0.35">
      <c r="A973" t="s">
        <v>1004</v>
      </c>
      <c r="B973">
        <v>1977</v>
      </c>
      <c r="C973" t="s">
        <v>10</v>
      </c>
      <c r="D973">
        <v>20</v>
      </c>
      <c r="E973">
        <v>0</v>
      </c>
      <c r="F973" s="15">
        <v>7935.29</v>
      </c>
      <c r="G973" t="s">
        <v>11</v>
      </c>
      <c r="H973" t="s">
        <v>16</v>
      </c>
      <c r="I973" t="s">
        <v>247</v>
      </c>
      <c r="J973" s="11">
        <f>DATE(B973,MATCH(C973,{"Jan","Feb","Mar","Apr","May","Jun","Jul","Aug","Sep","Oct","Nov","Dec"},0),D973)</f>
        <v>28326</v>
      </c>
      <c r="K973">
        <f t="shared" si="15"/>
        <v>45</v>
      </c>
    </row>
    <row r="974" spans="1:11" x14ac:dyDescent="0.35">
      <c r="A974" t="s">
        <v>1005</v>
      </c>
      <c r="B974">
        <v>1987</v>
      </c>
      <c r="C974" t="s">
        <v>37</v>
      </c>
      <c r="D974">
        <v>29</v>
      </c>
      <c r="E974">
        <v>3</v>
      </c>
      <c r="F974" s="15">
        <v>7948.22</v>
      </c>
      <c r="G974" t="s">
        <v>11</v>
      </c>
      <c r="H974" t="s">
        <v>12</v>
      </c>
      <c r="I974" t="s">
        <v>200</v>
      </c>
      <c r="J974" s="11">
        <f>DATE(B974,MATCH(C974,{"Jan","Feb","Mar","Apr","May","Jun","Jul","Aug","Sep","Oct","Nov","Dec"},0),D974)</f>
        <v>32079</v>
      </c>
      <c r="K974">
        <f t="shared" si="15"/>
        <v>35</v>
      </c>
    </row>
    <row r="975" spans="1:11" x14ac:dyDescent="0.35">
      <c r="A975" t="s">
        <v>1006</v>
      </c>
      <c r="B975">
        <v>1966</v>
      </c>
      <c r="C975" t="s">
        <v>10</v>
      </c>
      <c r="D975">
        <v>9</v>
      </c>
      <c r="E975">
        <v>0</v>
      </c>
      <c r="F975" s="15">
        <v>7953.72</v>
      </c>
      <c r="G975" t="s">
        <v>12</v>
      </c>
      <c r="H975" t="s">
        <v>12</v>
      </c>
      <c r="I975" t="s">
        <v>23</v>
      </c>
      <c r="J975" s="11">
        <f>DATE(B975,MATCH(C975,{"Jan","Feb","Mar","Apr","May","Jun","Jul","Aug","Sep","Oct","Nov","Dec"},0),D975)</f>
        <v>24297</v>
      </c>
      <c r="K975">
        <f t="shared" si="15"/>
        <v>56</v>
      </c>
    </row>
    <row r="976" spans="1:11" x14ac:dyDescent="0.35">
      <c r="A976" t="s">
        <v>1007</v>
      </c>
      <c r="B976">
        <v>1981</v>
      </c>
      <c r="C976" t="s">
        <v>30</v>
      </c>
      <c r="D976">
        <v>28</v>
      </c>
      <c r="E976">
        <v>3</v>
      </c>
      <c r="F976" s="15">
        <v>7954.52</v>
      </c>
      <c r="G976" t="s">
        <v>11</v>
      </c>
      <c r="H976" t="s">
        <v>11</v>
      </c>
      <c r="I976" t="s">
        <v>42</v>
      </c>
      <c r="J976" s="11">
        <f>DATE(B976,MATCH(C976,{"Jan","Feb","Mar","Apr","May","Jun","Jul","Aug","Sep","Oct","Nov","Dec"},0),D976)</f>
        <v>29948</v>
      </c>
      <c r="K976">
        <f t="shared" si="15"/>
        <v>41</v>
      </c>
    </row>
    <row r="977" spans="1:11" x14ac:dyDescent="0.35">
      <c r="A977" t="s">
        <v>1008</v>
      </c>
      <c r="B977">
        <v>1970</v>
      </c>
      <c r="C977" t="s">
        <v>18</v>
      </c>
      <c r="D977">
        <v>19</v>
      </c>
      <c r="E977">
        <v>0</v>
      </c>
      <c r="F977" s="15">
        <v>7958.13</v>
      </c>
      <c r="G977" t="s">
        <v>11</v>
      </c>
      <c r="H977" t="s">
        <v>11</v>
      </c>
      <c r="I977" t="s">
        <v>13</v>
      </c>
      <c r="J977" s="11">
        <f>DATE(B977,MATCH(C977,{"Jan","Feb","Mar","Apr","May","Jun","Jul","Aug","Sep","Oct","Nov","Dec"},0),D977)</f>
        <v>25738</v>
      </c>
      <c r="K977">
        <f t="shared" si="15"/>
        <v>52</v>
      </c>
    </row>
    <row r="978" spans="1:11" x14ac:dyDescent="0.35">
      <c r="A978" t="s">
        <v>1009</v>
      </c>
      <c r="B978">
        <v>1975</v>
      </c>
      <c r="C978" t="s">
        <v>35</v>
      </c>
      <c r="D978">
        <v>10</v>
      </c>
      <c r="E978">
        <v>1</v>
      </c>
      <c r="F978" s="15">
        <v>7966.81</v>
      </c>
      <c r="G978" t="s">
        <v>11</v>
      </c>
      <c r="H978" t="s">
        <v>11</v>
      </c>
      <c r="I978" t="s">
        <v>13</v>
      </c>
      <c r="J978" s="11">
        <f>DATE(B978,MATCH(C978,{"Jan","Feb","Mar","Apr","May","Jun","Jul","Aug","Sep","Oct","Nov","Dec"},0),D978)</f>
        <v>27616</v>
      </c>
      <c r="K978">
        <f t="shared" si="15"/>
        <v>47</v>
      </c>
    </row>
    <row r="979" spans="1:11" x14ac:dyDescent="0.35">
      <c r="A979" t="s">
        <v>1010</v>
      </c>
      <c r="B979">
        <v>1972</v>
      </c>
      <c r="C979" t="s">
        <v>15</v>
      </c>
      <c r="D979">
        <v>23</v>
      </c>
      <c r="E979">
        <v>0</v>
      </c>
      <c r="F979" s="15">
        <v>7980.34</v>
      </c>
      <c r="G979" t="s">
        <v>11</v>
      </c>
      <c r="H979" t="s">
        <v>11</v>
      </c>
      <c r="I979" t="s">
        <v>13</v>
      </c>
      <c r="J979" s="11">
        <f>DATE(B979,MATCH(C979,{"Jan","Feb","Mar","Apr","May","Jun","Jul","Aug","Sep","Oct","Nov","Dec"},0),D979)</f>
        <v>26626</v>
      </c>
      <c r="K979">
        <f t="shared" si="15"/>
        <v>50</v>
      </c>
    </row>
    <row r="980" spans="1:11" x14ac:dyDescent="0.35">
      <c r="A980" t="s">
        <v>1011</v>
      </c>
      <c r="B980">
        <v>1983</v>
      </c>
      <c r="C980" t="s">
        <v>35</v>
      </c>
      <c r="D980">
        <v>28</v>
      </c>
      <c r="E980">
        <v>3</v>
      </c>
      <c r="F980" s="15">
        <v>7985.82</v>
      </c>
      <c r="G980" t="s">
        <v>11</v>
      </c>
      <c r="H980" t="s">
        <v>16</v>
      </c>
      <c r="I980" t="s">
        <v>247</v>
      </c>
      <c r="J980" s="11">
        <f>DATE(B980,MATCH(C980,{"Jan","Feb","Mar","Apr","May","Jun","Jul","Aug","Sep","Oct","Nov","Dec"},0),D980)</f>
        <v>30556</v>
      </c>
      <c r="K980">
        <f t="shared" si="15"/>
        <v>39</v>
      </c>
    </row>
    <row r="981" spans="1:11" x14ac:dyDescent="0.35">
      <c r="A981" t="s">
        <v>1012</v>
      </c>
      <c r="B981">
        <v>1983</v>
      </c>
      <c r="C981" t="s">
        <v>35</v>
      </c>
      <c r="D981">
        <v>20</v>
      </c>
      <c r="E981">
        <v>3</v>
      </c>
      <c r="F981" s="15">
        <v>7986.48</v>
      </c>
      <c r="G981" t="s">
        <v>11</v>
      </c>
      <c r="H981" t="s">
        <v>12</v>
      </c>
      <c r="I981" t="s">
        <v>247</v>
      </c>
      <c r="J981" s="11">
        <f>DATE(B981,MATCH(C981,{"Jan","Feb","Mar","Apr","May","Jun","Jul","Aug","Sep","Oct","Nov","Dec"},0),D981)</f>
        <v>30548</v>
      </c>
      <c r="K981">
        <f t="shared" si="15"/>
        <v>39</v>
      </c>
    </row>
    <row r="982" spans="1:11" x14ac:dyDescent="0.35">
      <c r="A982" t="s">
        <v>1013</v>
      </c>
      <c r="B982">
        <v>1962</v>
      </c>
      <c r="C982" t="s">
        <v>35</v>
      </c>
      <c r="D982">
        <v>22</v>
      </c>
      <c r="E982">
        <v>0</v>
      </c>
      <c r="F982" s="15">
        <v>8004.96</v>
      </c>
      <c r="G982" t="s">
        <v>12</v>
      </c>
      <c r="H982" t="s">
        <v>16</v>
      </c>
      <c r="I982" t="s">
        <v>13</v>
      </c>
      <c r="J982" s="11">
        <f>DATE(B982,MATCH(C982,{"Jan","Feb","Mar","Apr","May","Jun","Jul","Aug","Sep","Oct","Nov","Dec"},0),D982)</f>
        <v>22880</v>
      </c>
      <c r="K982">
        <f t="shared" si="15"/>
        <v>60</v>
      </c>
    </row>
    <row r="983" spans="1:11" x14ac:dyDescent="0.35">
      <c r="A983" t="s">
        <v>1014</v>
      </c>
      <c r="B983">
        <v>1995</v>
      </c>
      <c r="C983" t="s">
        <v>20</v>
      </c>
      <c r="D983">
        <v>18</v>
      </c>
      <c r="E983">
        <v>0</v>
      </c>
      <c r="F983" s="15">
        <v>8014.62</v>
      </c>
      <c r="G983" t="s">
        <v>11</v>
      </c>
      <c r="H983" t="s">
        <v>12</v>
      </c>
      <c r="I983" t="s">
        <v>23</v>
      </c>
      <c r="J983" s="11">
        <f>DATE(B983,MATCH(C983,{"Jan","Feb","Mar","Apr","May","Jun","Jul","Aug","Sep","Oct","Nov","Dec"},0),D983)</f>
        <v>34960</v>
      </c>
      <c r="K983">
        <f t="shared" si="15"/>
        <v>27</v>
      </c>
    </row>
    <row r="984" spans="1:11" x14ac:dyDescent="0.35">
      <c r="A984" t="s">
        <v>1015</v>
      </c>
      <c r="B984">
        <v>1980</v>
      </c>
      <c r="C984" t="s">
        <v>15</v>
      </c>
      <c r="D984">
        <v>8</v>
      </c>
      <c r="E984">
        <v>2</v>
      </c>
      <c r="F984" s="15">
        <v>8017.06</v>
      </c>
      <c r="G984" t="s">
        <v>11</v>
      </c>
      <c r="H984" t="s">
        <v>11</v>
      </c>
      <c r="I984" t="s">
        <v>23</v>
      </c>
      <c r="J984" s="11">
        <f>DATE(B984,MATCH(C984,{"Jan","Feb","Mar","Apr","May","Jun","Jul","Aug","Sep","Oct","Nov","Dec"},0),D984)</f>
        <v>29533</v>
      </c>
      <c r="K984">
        <f t="shared" si="15"/>
        <v>42</v>
      </c>
    </row>
    <row r="985" spans="1:11" x14ac:dyDescent="0.35">
      <c r="A985" t="s">
        <v>1016</v>
      </c>
      <c r="B985">
        <v>1989</v>
      </c>
      <c r="C985" t="s">
        <v>15</v>
      </c>
      <c r="D985">
        <v>3</v>
      </c>
      <c r="E985">
        <v>3</v>
      </c>
      <c r="F985" s="15">
        <v>8021.11</v>
      </c>
      <c r="G985" t="s">
        <v>11</v>
      </c>
      <c r="H985" t="s">
        <v>16</v>
      </c>
      <c r="I985" t="s">
        <v>23</v>
      </c>
      <c r="J985" s="11">
        <f>DATE(B985,MATCH(C985,{"Jan","Feb","Mar","Apr","May","Jun","Jul","Aug","Sep","Oct","Nov","Dec"},0),D985)</f>
        <v>32815</v>
      </c>
      <c r="K985">
        <f t="shared" si="15"/>
        <v>33</v>
      </c>
    </row>
    <row r="986" spans="1:11" x14ac:dyDescent="0.35">
      <c r="A986" t="s">
        <v>1017</v>
      </c>
      <c r="B986">
        <v>1978</v>
      </c>
      <c r="C986" t="s">
        <v>10</v>
      </c>
      <c r="D986">
        <v>17</v>
      </c>
      <c r="E986">
        <v>1</v>
      </c>
      <c r="F986" s="15">
        <v>8023.14</v>
      </c>
      <c r="G986" t="s">
        <v>11</v>
      </c>
      <c r="H986" t="s">
        <v>12</v>
      </c>
      <c r="I986" t="s">
        <v>23</v>
      </c>
      <c r="J986" s="11">
        <f>DATE(B986,MATCH(C986,{"Jan","Feb","Mar","Apr","May","Jun","Jul","Aug","Sep","Oct","Nov","Dec"},0),D986)</f>
        <v>28688</v>
      </c>
      <c r="K986">
        <f t="shared" si="15"/>
        <v>44</v>
      </c>
    </row>
    <row r="987" spans="1:11" x14ac:dyDescent="0.35">
      <c r="A987" t="s">
        <v>1018</v>
      </c>
      <c r="B987">
        <v>1976</v>
      </c>
      <c r="C987" t="s">
        <v>30</v>
      </c>
      <c r="D987">
        <v>20</v>
      </c>
      <c r="E987">
        <v>0</v>
      </c>
      <c r="F987" s="15">
        <v>8026.67</v>
      </c>
      <c r="G987" t="s">
        <v>11</v>
      </c>
      <c r="H987" t="s">
        <v>11</v>
      </c>
      <c r="I987" t="s">
        <v>23</v>
      </c>
      <c r="J987" s="11">
        <f>DATE(B987,MATCH(C987,{"Jan","Feb","Mar","Apr","May","Jun","Jul","Aug","Sep","Oct","Nov","Dec"},0),D987)</f>
        <v>28114</v>
      </c>
      <c r="K987">
        <f t="shared" si="15"/>
        <v>46</v>
      </c>
    </row>
    <row r="988" spans="1:11" x14ac:dyDescent="0.35">
      <c r="A988" t="s">
        <v>1019</v>
      </c>
      <c r="B988">
        <v>1977</v>
      </c>
      <c r="C988" t="s">
        <v>15</v>
      </c>
      <c r="D988">
        <v>6</v>
      </c>
      <c r="E988">
        <v>2</v>
      </c>
      <c r="F988" s="15">
        <v>8027.97</v>
      </c>
      <c r="G988" t="s">
        <v>12</v>
      </c>
      <c r="H988" t="s">
        <v>11</v>
      </c>
      <c r="I988" t="s">
        <v>42</v>
      </c>
      <c r="J988" s="11">
        <f>DATE(B988,MATCH(C988,{"Jan","Feb","Mar","Apr","May","Jun","Jul","Aug","Sep","Oct","Nov","Dec"},0),D988)</f>
        <v>28435</v>
      </c>
      <c r="K988">
        <f t="shared" si="15"/>
        <v>45</v>
      </c>
    </row>
    <row r="989" spans="1:11" x14ac:dyDescent="0.35">
      <c r="A989" t="s">
        <v>1020</v>
      </c>
      <c r="B989">
        <v>2003</v>
      </c>
      <c r="C989" t="s">
        <v>30</v>
      </c>
      <c r="D989">
        <v>12</v>
      </c>
      <c r="E989">
        <v>0</v>
      </c>
      <c r="F989" s="15">
        <v>8035.64</v>
      </c>
      <c r="G989" t="s">
        <v>11</v>
      </c>
      <c r="H989" t="s">
        <v>11</v>
      </c>
      <c r="I989" t="s">
        <v>23</v>
      </c>
      <c r="J989" s="11">
        <f>DATE(B989,MATCH(C989,{"Jan","Feb","Mar","Apr","May","Jun","Jul","Aug","Sep","Oct","Nov","Dec"},0),D989)</f>
        <v>37967</v>
      </c>
      <c r="K989">
        <f t="shared" si="15"/>
        <v>19</v>
      </c>
    </row>
    <row r="990" spans="1:11" x14ac:dyDescent="0.35">
      <c r="A990" t="s">
        <v>1021</v>
      </c>
      <c r="B990">
        <v>1985</v>
      </c>
      <c r="C990" t="s">
        <v>15</v>
      </c>
      <c r="D990">
        <v>28</v>
      </c>
      <c r="E990">
        <v>3</v>
      </c>
      <c r="F990" s="15">
        <v>8059.06</v>
      </c>
      <c r="G990" t="s">
        <v>11</v>
      </c>
      <c r="H990" t="s">
        <v>12</v>
      </c>
      <c r="I990" t="s">
        <v>23</v>
      </c>
      <c r="J990" s="11">
        <f>DATE(B990,MATCH(C990,{"Jan","Feb","Mar","Apr","May","Jun","Jul","Aug","Sep","Oct","Nov","Dec"},0),D990)</f>
        <v>31379</v>
      </c>
      <c r="K990">
        <f t="shared" si="15"/>
        <v>37</v>
      </c>
    </row>
    <row r="991" spans="1:11" x14ac:dyDescent="0.35">
      <c r="A991" t="s">
        <v>1022</v>
      </c>
      <c r="B991">
        <v>1982</v>
      </c>
      <c r="C991" t="s">
        <v>30</v>
      </c>
      <c r="D991">
        <v>27</v>
      </c>
      <c r="E991">
        <v>3</v>
      </c>
      <c r="F991" s="15">
        <v>8059.68</v>
      </c>
      <c r="G991" t="s">
        <v>11</v>
      </c>
      <c r="H991" t="s">
        <v>12</v>
      </c>
      <c r="I991" t="s">
        <v>23</v>
      </c>
      <c r="J991" s="11">
        <f>DATE(B991,MATCH(C991,{"Jan","Feb","Mar","Apr","May","Jun","Jul","Aug","Sep","Oct","Nov","Dec"},0),D991)</f>
        <v>30312</v>
      </c>
      <c r="K991">
        <f t="shared" si="15"/>
        <v>40</v>
      </c>
    </row>
    <row r="992" spans="1:11" x14ac:dyDescent="0.35">
      <c r="A992" t="s">
        <v>1023</v>
      </c>
      <c r="B992">
        <v>1970</v>
      </c>
      <c r="C992" t="s">
        <v>30</v>
      </c>
      <c r="D992">
        <v>12</v>
      </c>
      <c r="E992">
        <v>0</v>
      </c>
      <c r="F992" s="15">
        <v>8062.31</v>
      </c>
      <c r="G992" t="s">
        <v>11</v>
      </c>
      <c r="H992" t="s">
        <v>16</v>
      </c>
      <c r="I992" t="s">
        <v>13</v>
      </c>
      <c r="J992" s="11">
        <f>DATE(B992,MATCH(C992,{"Jan","Feb","Mar","Apr","May","Jun","Jul","Aug","Sep","Oct","Nov","Dec"},0),D992)</f>
        <v>25914</v>
      </c>
      <c r="K992">
        <f t="shared" si="15"/>
        <v>52</v>
      </c>
    </row>
    <row r="993" spans="1:11" x14ac:dyDescent="0.35">
      <c r="A993" t="s">
        <v>1024</v>
      </c>
      <c r="B993">
        <v>1975</v>
      </c>
      <c r="C993" t="s">
        <v>18</v>
      </c>
      <c r="D993">
        <v>28</v>
      </c>
      <c r="E993">
        <v>1</v>
      </c>
      <c r="F993" s="15">
        <v>8062.76</v>
      </c>
      <c r="G993" t="s">
        <v>12</v>
      </c>
      <c r="H993" t="s">
        <v>12</v>
      </c>
      <c r="I993" t="s">
        <v>42</v>
      </c>
      <c r="J993" s="11">
        <f>DATE(B993,MATCH(C993,{"Jan","Feb","Mar","Apr","May","Jun","Jul","Aug","Sep","Oct","Nov","Dec"},0),D993)</f>
        <v>27573</v>
      </c>
      <c r="K993">
        <f t="shared" si="15"/>
        <v>47</v>
      </c>
    </row>
    <row r="994" spans="1:11" x14ac:dyDescent="0.35">
      <c r="A994" t="s">
        <v>1025</v>
      </c>
      <c r="B994">
        <v>1965</v>
      </c>
      <c r="C994" t="s">
        <v>35</v>
      </c>
      <c r="D994">
        <v>11</v>
      </c>
      <c r="E994">
        <v>0</v>
      </c>
      <c r="F994" s="15">
        <v>8067.83</v>
      </c>
      <c r="G994" t="s">
        <v>12</v>
      </c>
      <c r="H994" t="s">
        <v>16</v>
      </c>
      <c r="I994" t="s">
        <v>13</v>
      </c>
      <c r="J994" s="11">
        <f>DATE(B994,MATCH(C994,{"Jan","Feb","Mar","Apr","May","Jun","Jul","Aug","Sep","Oct","Nov","Dec"},0),D994)</f>
        <v>23965</v>
      </c>
      <c r="K994">
        <f t="shared" si="15"/>
        <v>57</v>
      </c>
    </row>
    <row r="995" spans="1:11" x14ac:dyDescent="0.35">
      <c r="A995" t="s">
        <v>1026</v>
      </c>
      <c r="B995">
        <v>1975</v>
      </c>
      <c r="C995" t="s">
        <v>30</v>
      </c>
      <c r="D995">
        <v>15</v>
      </c>
      <c r="E995">
        <v>1</v>
      </c>
      <c r="F995" s="15">
        <v>8068.19</v>
      </c>
      <c r="G995" t="s">
        <v>12</v>
      </c>
      <c r="H995" t="s">
        <v>11</v>
      </c>
      <c r="I995" t="s">
        <v>42</v>
      </c>
      <c r="J995" s="11">
        <f>DATE(B995,MATCH(C995,{"Jan","Feb","Mar","Apr","May","Jun","Jul","Aug","Sep","Oct","Nov","Dec"},0),D995)</f>
        <v>27743</v>
      </c>
      <c r="K995">
        <f t="shared" si="15"/>
        <v>47</v>
      </c>
    </row>
    <row r="996" spans="1:11" x14ac:dyDescent="0.35">
      <c r="A996" t="s">
        <v>1027</v>
      </c>
      <c r="B996">
        <v>1965</v>
      </c>
      <c r="C996" t="s">
        <v>37</v>
      </c>
      <c r="D996">
        <v>21</v>
      </c>
      <c r="E996">
        <v>0</v>
      </c>
      <c r="F996" s="15">
        <v>8071.57</v>
      </c>
      <c r="G996" t="s">
        <v>12</v>
      </c>
      <c r="H996" t="s">
        <v>16</v>
      </c>
      <c r="I996" t="s">
        <v>42</v>
      </c>
      <c r="J996" s="11">
        <f>DATE(B996,MATCH(C996,{"Jan","Feb","Mar","Apr","May","Jun","Jul","Aug","Sep","Oct","Nov","Dec"},0),D996)</f>
        <v>24036</v>
      </c>
      <c r="K996">
        <f t="shared" si="15"/>
        <v>57</v>
      </c>
    </row>
    <row r="997" spans="1:11" x14ac:dyDescent="0.35">
      <c r="A997" t="s">
        <v>1028</v>
      </c>
      <c r="B997">
        <v>1993</v>
      </c>
      <c r="C997" t="s">
        <v>15</v>
      </c>
      <c r="D997">
        <v>7</v>
      </c>
      <c r="E997">
        <v>0</v>
      </c>
      <c r="F997" s="15">
        <v>8077.41</v>
      </c>
      <c r="G997" t="s">
        <v>11</v>
      </c>
      <c r="H997" t="s">
        <v>16</v>
      </c>
      <c r="I997" t="s">
        <v>535</v>
      </c>
      <c r="J997" s="11">
        <f>DATE(B997,MATCH(C997,{"Jan","Feb","Mar","Apr","May","Jun","Jul","Aug","Sep","Oct","Nov","Dec"},0),D997)</f>
        <v>34280</v>
      </c>
      <c r="K997">
        <f t="shared" si="15"/>
        <v>29</v>
      </c>
    </row>
    <row r="998" spans="1:11" x14ac:dyDescent="0.35">
      <c r="A998" t="s">
        <v>1029</v>
      </c>
      <c r="B998">
        <v>2001</v>
      </c>
      <c r="C998" t="s">
        <v>35</v>
      </c>
      <c r="D998">
        <v>28</v>
      </c>
      <c r="E998">
        <v>0</v>
      </c>
      <c r="F998" s="15">
        <v>8081.26</v>
      </c>
      <c r="G998" t="s">
        <v>11</v>
      </c>
      <c r="H998" t="s">
        <v>11</v>
      </c>
      <c r="I998" t="s">
        <v>23</v>
      </c>
      <c r="J998" s="11">
        <f>DATE(B998,MATCH(C998,{"Jan","Feb","Mar","Apr","May","Jun","Jul","Aug","Sep","Oct","Nov","Dec"},0),D998)</f>
        <v>37131</v>
      </c>
      <c r="K998">
        <f t="shared" si="15"/>
        <v>21</v>
      </c>
    </row>
    <row r="999" spans="1:11" x14ac:dyDescent="0.35">
      <c r="A999" t="s">
        <v>1030</v>
      </c>
      <c r="B999">
        <v>1994</v>
      </c>
      <c r="C999" t="s">
        <v>37</v>
      </c>
      <c r="D999">
        <v>12</v>
      </c>
      <c r="E999">
        <v>0</v>
      </c>
      <c r="F999" s="15">
        <v>8081.74</v>
      </c>
      <c r="G999" t="s">
        <v>11</v>
      </c>
      <c r="H999" t="s">
        <v>11</v>
      </c>
      <c r="I999" t="s">
        <v>535</v>
      </c>
      <c r="J999" s="11">
        <f>DATE(B999,MATCH(C999,{"Jan","Feb","Mar","Apr","May","Jun","Jul","Aug","Sep","Oct","Nov","Dec"},0),D999)</f>
        <v>34619</v>
      </c>
      <c r="K999">
        <f t="shared" si="15"/>
        <v>28</v>
      </c>
    </row>
    <row r="1000" spans="1:11" x14ac:dyDescent="0.35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 s="15">
        <v>8083.92</v>
      </c>
      <c r="G1000" t="s">
        <v>12</v>
      </c>
      <c r="H1000" t="s">
        <v>12</v>
      </c>
      <c r="I1000" t="s">
        <v>13</v>
      </c>
      <c r="J1000" s="11">
        <f>DATE(B1000,MATCH(C1000,{"Jan","Feb","Mar","Apr","May","Jun","Jul","Aug","Sep","Oct","Nov","Dec"},0),D1000)</f>
        <v>27749</v>
      </c>
      <c r="K1000">
        <f t="shared" si="15"/>
        <v>47</v>
      </c>
    </row>
    <row r="1001" spans="1:11" x14ac:dyDescent="0.35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 s="15">
        <v>8091.3</v>
      </c>
      <c r="G1001" t="s">
        <v>12</v>
      </c>
      <c r="H1001" t="s">
        <v>16</v>
      </c>
      <c r="I1001" t="s">
        <v>23</v>
      </c>
      <c r="J1001" s="11">
        <f>DATE(B1001,MATCH(C1001,{"Jan","Feb","Mar","Apr","May","Jun","Jul","Aug","Sep","Oct","Nov","Dec"},0),D1001)</f>
        <v>24633</v>
      </c>
      <c r="K1001">
        <f t="shared" si="15"/>
        <v>55</v>
      </c>
    </row>
    <row r="1002" spans="1:11" x14ac:dyDescent="0.35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 s="15">
        <v>8112.59</v>
      </c>
      <c r="G1002" t="s">
        <v>11</v>
      </c>
      <c r="H1002" t="s">
        <v>11</v>
      </c>
      <c r="I1002" t="s">
        <v>13</v>
      </c>
      <c r="J1002" s="11">
        <f>DATE(B1002,MATCH(C1002,{"Jan","Feb","Mar","Apr","May","Jun","Jul","Aug","Sep","Oct","Nov","Dec"},0),D1002)</f>
        <v>26948</v>
      </c>
      <c r="K1002">
        <f t="shared" si="15"/>
        <v>49</v>
      </c>
    </row>
    <row r="1003" spans="1:11" x14ac:dyDescent="0.35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 s="15">
        <v>8116.27</v>
      </c>
      <c r="G1003" t="s">
        <v>12</v>
      </c>
      <c r="H1003" t="s">
        <v>16</v>
      </c>
      <c r="I1003" t="s">
        <v>23</v>
      </c>
      <c r="J1003" s="11">
        <f>DATE(B1003,MATCH(C1003,{"Jan","Feb","Mar","Apr","May","Jun","Jul","Aug","Sep","Oct","Nov","Dec"},0),D1003)</f>
        <v>28734</v>
      </c>
      <c r="K1003">
        <f t="shared" si="15"/>
        <v>44</v>
      </c>
    </row>
    <row r="1004" spans="1:11" x14ac:dyDescent="0.35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 s="15">
        <v>8116.68</v>
      </c>
      <c r="G1004" t="s">
        <v>12</v>
      </c>
      <c r="H1004" t="s">
        <v>16</v>
      </c>
      <c r="I1004" t="s">
        <v>42</v>
      </c>
      <c r="J1004" s="11">
        <f>DATE(B1004,MATCH(C1004,{"Jan","Feb","Mar","Apr","May","Jun","Jul","Aug","Sep","Oct","Nov","Dec"},0),D1004)</f>
        <v>27014</v>
      </c>
      <c r="K1004">
        <f t="shared" si="15"/>
        <v>49</v>
      </c>
    </row>
    <row r="1005" spans="1:11" x14ac:dyDescent="0.35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 s="15">
        <v>8124.41</v>
      </c>
      <c r="G1005" t="s">
        <v>12</v>
      </c>
      <c r="H1005" t="s">
        <v>16</v>
      </c>
      <c r="I1005" t="s">
        <v>13</v>
      </c>
      <c r="J1005" s="11">
        <f>DATE(B1005,MATCH(C1005,{"Jan","Feb","Mar","Apr","May","Jun","Jul","Aug","Sep","Oct","Nov","Dec"},0),D1005)</f>
        <v>26906</v>
      </c>
      <c r="K1005">
        <f t="shared" si="15"/>
        <v>49</v>
      </c>
    </row>
    <row r="1006" spans="1:11" x14ac:dyDescent="0.35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 s="15">
        <v>8125.78</v>
      </c>
      <c r="G1006" t="s">
        <v>11</v>
      </c>
      <c r="H1006" t="s">
        <v>11</v>
      </c>
      <c r="I1006" t="s">
        <v>13</v>
      </c>
      <c r="J1006" s="11">
        <f>DATE(B1006,MATCH(C1006,{"Jan","Feb","Mar","Apr","May","Jun","Jul","Aug","Sep","Oct","Nov","Dec"},0),D1006)</f>
        <v>26910</v>
      </c>
      <c r="K1006">
        <f t="shared" si="15"/>
        <v>49</v>
      </c>
    </row>
    <row r="1007" spans="1:11" x14ac:dyDescent="0.35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 s="15">
        <v>8157.92</v>
      </c>
      <c r="G1007" t="s">
        <v>11</v>
      </c>
      <c r="H1007" t="s">
        <v>12</v>
      </c>
      <c r="I1007" t="s">
        <v>200</v>
      </c>
      <c r="J1007" s="11">
        <f>DATE(B1007,MATCH(C1007,{"Jan","Feb","Mar","Apr","May","Jun","Jul","Aug","Sep","Oct","Nov","Dec"},0),D1007)</f>
        <v>33045</v>
      </c>
      <c r="K1007">
        <f t="shared" si="15"/>
        <v>32</v>
      </c>
    </row>
    <row r="1008" spans="1:11" x14ac:dyDescent="0.35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 s="15">
        <v>8162.72</v>
      </c>
      <c r="G1008" t="s">
        <v>12</v>
      </c>
      <c r="H1008" t="s">
        <v>12</v>
      </c>
      <c r="I1008" t="s">
        <v>23</v>
      </c>
      <c r="J1008" s="11">
        <f>DATE(B1008,MATCH(C1008,{"Jan","Feb","Mar","Apr","May","Jun","Jul","Aug","Sep","Oct","Nov","Dec"},0),D1008)</f>
        <v>30130</v>
      </c>
      <c r="K1008">
        <f t="shared" si="15"/>
        <v>40</v>
      </c>
    </row>
    <row r="1009" spans="1:11" x14ac:dyDescent="0.35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 s="15">
        <v>8177.9</v>
      </c>
      <c r="G1009" t="s">
        <v>12</v>
      </c>
      <c r="H1009" t="s">
        <v>16</v>
      </c>
      <c r="I1009" t="s">
        <v>13</v>
      </c>
      <c r="J1009" s="11">
        <f>DATE(B1009,MATCH(C1009,{"Jan","Feb","Mar","Apr","May","Jun","Jul","Aug","Sep","Oct","Nov","Dec"},0),D1009)</f>
        <v>23320</v>
      </c>
      <c r="K1009">
        <f t="shared" si="15"/>
        <v>59</v>
      </c>
    </row>
    <row r="1010" spans="1:11" x14ac:dyDescent="0.35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 s="15">
        <v>8179.51</v>
      </c>
      <c r="G1010" t="s">
        <v>11</v>
      </c>
      <c r="H1010" t="s">
        <v>11</v>
      </c>
      <c r="I1010" t="s">
        <v>516</v>
      </c>
      <c r="J1010" s="11">
        <f>DATE(B1010,MATCH(C1010,{"Jan","Feb","Mar","Apr","May","Jun","Jul","Aug","Sep","Oct","Nov","Dec"},0),D1010)</f>
        <v>30475</v>
      </c>
      <c r="K1010">
        <f t="shared" si="15"/>
        <v>40</v>
      </c>
    </row>
    <row r="1011" spans="1:11" x14ac:dyDescent="0.35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 s="15">
        <v>8182.89</v>
      </c>
      <c r="G1011" t="s">
        <v>11</v>
      </c>
      <c r="H1011" t="s">
        <v>16</v>
      </c>
      <c r="I1011" t="s">
        <v>535</v>
      </c>
      <c r="J1011" s="11">
        <f>DATE(B1011,MATCH(C1011,{"Jan","Feb","Mar","Apr","May","Jun","Jul","Aug","Sep","Oct","Nov","Dec"},0),D1011)</f>
        <v>35724</v>
      </c>
      <c r="K1011">
        <f t="shared" si="15"/>
        <v>25</v>
      </c>
    </row>
    <row r="1012" spans="1:11" x14ac:dyDescent="0.35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 s="15">
        <v>8188.12</v>
      </c>
      <c r="G1012" t="s">
        <v>12</v>
      </c>
      <c r="H1012" t="s">
        <v>12</v>
      </c>
      <c r="I1012" t="s">
        <v>13</v>
      </c>
      <c r="J1012" s="11">
        <f>DATE(B1012,MATCH(C1012,{"Jan","Feb","Mar","Apr","May","Jun","Jul","Aug","Sep","Oct","Nov","Dec"},0),D1012)</f>
        <v>22973</v>
      </c>
      <c r="K1012">
        <f t="shared" si="15"/>
        <v>60</v>
      </c>
    </row>
    <row r="1013" spans="1:11" x14ac:dyDescent="0.35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 s="15">
        <v>8211.1</v>
      </c>
      <c r="G1013" t="s">
        <v>11</v>
      </c>
      <c r="H1013" t="s">
        <v>12</v>
      </c>
      <c r="I1013" t="s">
        <v>13</v>
      </c>
      <c r="J1013" s="11">
        <f>DATE(B1013,MATCH(C1013,{"Jan","Feb","Mar","Apr","May","Jun","Jul","Aug","Sep","Oct","Nov","Dec"},0),D1013)</f>
        <v>28787</v>
      </c>
      <c r="K1013">
        <f t="shared" si="15"/>
        <v>44</v>
      </c>
    </row>
    <row r="1014" spans="1:11" x14ac:dyDescent="0.35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 s="15">
        <v>8219.2000000000007</v>
      </c>
      <c r="G1014" t="s">
        <v>11</v>
      </c>
      <c r="H1014" t="s">
        <v>11</v>
      </c>
      <c r="I1014" t="s">
        <v>13</v>
      </c>
      <c r="J1014" s="11">
        <f>DATE(B1014,MATCH(C1014,{"Jan","Feb","Mar","Apr","May","Jun","Jul","Aug","Sep","Oct","Nov","Dec"},0),D1014)</f>
        <v>28671</v>
      </c>
      <c r="K1014">
        <f t="shared" si="15"/>
        <v>44</v>
      </c>
    </row>
    <row r="1015" spans="1:11" x14ac:dyDescent="0.35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 s="15">
        <v>8232.64</v>
      </c>
      <c r="G1015" t="s">
        <v>11</v>
      </c>
      <c r="H1015" t="s">
        <v>12</v>
      </c>
      <c r="I1015" t="s">
        <v>13</v>
      </c>
      <c r="J1015" s="11">
        <f>DATE(B1015,MATCH(C1015,{"Jan","Feb","Mar","Apr","May","Jun","Jul","Aug","Sep","Oct","Nov","Dec"},0),D1015)</f>
        <v>28006</v>
      </c>
      <c r="K1015">
        <f t="shared" si="15"/>
        <v>46</v>
      </c>
    </row>
    <row r="1016" spans="1:11" x14ac:dyDescent="0.35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 s="15">
        <v>8233.1</v>
      </c>
      <c r="G1016" t="s">
        <v>11</v>
      </c>
      <c r="H1016" t="s">
        <v>11</v>
      </c>
      <c r="I1016" t="s">
        <v>13</v>
      </c>
      <c r="J1016" s="11">
        <f>DATE(B1016,MATCH(C1016,{"Jan","Feb","Mar","Apr","May","Jun","Jul","Aug","Sep","Oct","Nov","Dec"},0),D1016)</f>
        <v>27941</v>
      </c>
      <c r="K1016">
        <f t="shared" si="15"/>
        <v>46</v>
      </c>
    </row>
    <row r="1017" spans="1:11" x14ac:dyDescent="0.35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 s="15">
        <v>8240.59</v>
      </c>
      <c r="G1017" t="s">
        <v>11</v>
      </c>
      <c r="H1017" t="s">
        <v>11</v>
      </c>
      <c r="I1017" t="s">
        <v>13</v>
      </c>
      <c r="J1017" s="11">
        <f>DATE(B1017,MATCH(C1017,{"Jan","Feb","Mar","Apr","May","Jun","Jul","Aug","Sep","Oct","Nov","Dec"},0),D1017)</f>
        <v>28005</v>
      </c>
      <c r="K1017">
        <f t="shared" si="15"/>
        <v>46</v>
      </c>
    </row>
    <row r="1018" spans="1:11" x14ac:dyDescent="0.35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 s="15">
        <v>8252.2800000000007</v>
      </c>
      <c r="G1018" t="s">
        <v>11</v>
      </c>
      <c r="H1018" t="s">
        <v>11</v>
      </c>
      <c r="I1018" t="s">
        <v>247</v>
      </c>
      <c r="J1018" s="11">
        <f>DATE(B1018,MATCH(C1018,{"Jan","Feb","Mar","Apr","May","Jun","Jul","Aug","Sep","Oct","Nov","Dec"},0),D1018)</f>
        <v>30221</v>
      </c>
      <c r="K1018">
        <f t="shared" si="15"/>
        <v>40</v>
      </c>
    </row>
    <row r="1019" spans="1:11" x14ac:dyDescent="0.35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 s="15">
        <v>8268</v>
      </c>
      <c r="G1019" t="s">
        <v>12</v>
      </c>
      <c r="H1019" t="s">
        <v>12</v>
      </c>
      <c r="I1019" t="s">
        <v>13</v>
      </c>
      <c r="J1019" s="11">
        <f>DATE(B1019,MATCH(C1019,{"Jan","Feb","Mar","Apr","May","Jun","Jul","Aug","Sep","Oct","Nov","Dec"},0),D1019)</f>
        <v>23625</v>
      </c>
      <c r="K1019">
        <f t="shared" si="15"/>
        <v>58</v>
      </c>
    </row>
    <row r="1020" spans="1:11" x14ac:dyDescent="0.35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 s="15">
        <v>8269.0400000000009</v>
      </c>
      <c r="G1020" t="s">
        <v>11</v>
      </c>
      <c r="H1020" t="s">
        <v>16</v>
      </c>
      <c r="I1020" t="s">
        <v>42</v>
      </c>
      <c r="J1020" s="11">
        <f>DATE(B1020,MATCH(C1020,{"Jan","Feb","Mar","Apr","May","Jun","Jul","Aug","Sep","Oct","Nov","Dec"},0),D1020)</f>
        <v>27246</v>
      </c>
      <c r="K1020">
        <f t="shared" si="15"/>
        <v>48</v>
      </c>
    </row>
    <row r="1021" spans="1:11" x14ac:dyDescent="0.35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 s="15">
        <v>8271.4599999999991</v>
      </c>
      <c r="G1021" t="s">
        <v>11</v>
      </c>
      <c r="H1021" t="s">
        <v>16</v>
      </c>
      <c r="I1021" t="s">
        <v>249</v>
      </c>
      <c r="J1021" s="11">
        <f>DATE(B1021,MATCH(C1021,{"Jan","Feb","Mar","Apr","May","Jun","Jul","Aug","Sep","Oct","Nov","Dec"},0),D1021)</f>
        <v>36858</v>
      </c>
      <c r="K1021">
        <f t="shared" si="15"/>
        <v>22</v>
      </c>
    </row>
    <row r="1022" spans="1:11" x14ac:dyDescent="0.35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 s="15">
        <v>8277.52</v>
      </c>
      <c r="G1022" t="s">
        <v>11</v>
      </c>
      <c r="H1022" t="s">
        <v>11</v>
      </c>
      <c r="I1022" t="s">
        <v>42</v>
      </c>
      <c r="J1022" s="11">
        <f>DATE(B1022,MATCH(C1022,{"Jan","Feb","Mar","Apr","May","Jun","Jul","Aug","Sep","Oct","Nov","Dec"},0),D1022)</f>
        <v>27298</v>
      </c>
      <c r="K1022">
        <f t="shared" si="15"/>
        <v>48</v>
      </c>
    </row>
    <row r="1023" spans="1:11" x14ac:dyDescent="0.35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 s="15">
        <v>8280.6200000000008</v>
      </c>
      <c r="G1023" t="s">
        <v>11</v>
      </c>
      <c r="H1023" t="s">
        <v>11</v>
      </c>
      <c r="I1023" t="s">
        <v>13</v>
      </c>
      <c r="J1023" s="11">
        <f>DATE(B1023,MATCH(C1023,{"Jan","Feb","Mar","Apr","May","Jun","Jul","Aug","Sep","Oct","Nov","Dec"},0),D1023)</f>
        <v>27385</v>
      </c>
      <c r="K1023">
        <f t="shared" si="15"/>
        <v>48</v>
      </c>
    </row>
    <row r="1024" spans="1:11" x14ac:dyDescent="0.35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 s="15">
        <v>8283.68</v>
      </c>
      <c r="G1024" t="s">
        <v>11</v>
      </c>
      <c r="H1024" t="s">
        <v>12</v>
      </c>
      <c r="I1024" t="s">
        <v>13</v>
      </c>
      <c r="J1024" s="11">
        <f>DATE(B1024,MATCH(C1024,{"Jan","Feb","Mar","Apr","May","Jun","Jul","Aug","Sep","Oct","Nov","Dec"},0),D1024)</f>
        <v>27186</v>
      </c>
      <c r="K1024">
        <f t="shared" si="15"/>
        <v>49</v>
      </c>
    </row>
    <row r="1025" spans="1:11" x14ac:dyDescent="0.35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 s="15">
        <v>8302.5400000000009</v>
      </c>
      <c r="G1025" t="s">
        <v>12</v>
      </c>
      <c r="H1025" t="s">
        <v>12</v>
      </c>
      <c r="I1025" t="s">
        <v>168</v>
      </c>
      <c r="J1025" s="11">
        <f>DATE(B1025,MATCH(C1025,{"Jan","Feb","Mar","Apr","May","Jun","Jul","Aug","Sep","Oct","Nov","Dec"},0),D1025)</f>
        <v>28667</v>
      </c>
      <c r="K1025">
        <f t="shared" si="15"/>
        <v>44</v>
      </c>
    </row>
    <row r="1026" spans="1:11" x14ac:dyDescent="0.35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 s="15">
        <v>8310.84</v>
      </c>
      <c r="G1026" t="s">
        <v>11</v>
      </c>
      <c r="H1026" t="s">
        <v>11</v>
      </c>
      <c r="I1026" t="s">
        <v>23</v>
      </c>
      <c r="J1026" s="11">
        <f>DATE(B1026,MATCH(C1026,{"Jan","Feb","Mar","Apr","May","Jun","Jul","Aug","Sep","Oct","Nov","Dec"},0),D1026)</f>
        <v>29074</v>
      </c>
      <c r="K1026">
        <f t="shared" si="15"/>
        <v>43</v>
      </c>
    </row>
    <row r="1027" spans="1:11" x14ac:dyDescent="0.35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 s="15">
        <v>8314.65</v>
      </c>
      <c r="G1027" t="s">
        <v>11</v>
      </c>
      <c r="H1027" t="s">
        <v>16</v>
      </c>
      <c r="I1027" t="s">
        <v>23</v>
      </c>
      <c r="J1027" s="11">
        <f>DATE(B1027,MATCH(C1027,{"Jan","Feb","Mar","Apr","May","Jun","Jul","Aug","Sep","Oct","Nov","Dec"},0),D1027)</f>
        <v>34142</v>
      </c>
      <c r="K1027">
        <f t="shared" ref="K1027:K1090" si="16">DATEDIF(J1027,$N$1,"Y")</f>
        <v>29</v>
      </c>
    </row>
    <row r="1028" spans="1:11" x14ac:dyDescent="0.35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 s="15">
        <v>8334.4599999999991</v>
      </c>
      <c r="G1028" t="s">
        <v>12</v>
      </c>
      <c r="H1028" t="s">
        <v>11</v>
      </c>
      <c r="I1028" t="s">
        <v>168</v>
      </c>
      <c r="J1028" s="11">
        <f>DATE(B1028,MATCH(C1028,{"Jan","Feb","Mar","Apr","May","Jun","Jul","Aug","Sep","Oct","Nov","Dec"},0),D1028)</f>
        <v>27953</v>
      </c>
      <c r="K1028">
        <f t="shared" si="16"/>
        <v>46</v>
      </c>
    </row>
    <row r="1029" spans="1:11" x14ac:dyDescent="0.35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 s="15">
        <v>8334.59</v>
      </c>
      <c r="G1029" t="s">
        <v>12</v>
      </c>
      <c r="H1029" t="s">
        <v>11</v>
      </c>
      <c r="I1029" t="s">
        <v>168</v>
      </c>
      <c r="J1029" s="11">
        <f>DATE(B1029,MATCH(C1029,{"Jan","Feb","Mar","Apr","May","Jun","Jul","Aug","Sep","Oct","Nov","Dec"},0),D1029)</f>
        <v>27961</v>
      </c>
      <c r="K1029">
        <f t="shared" si="16"/>
        <v>46</v>
      </c>
    </row>
    <row r="1030" spans="1:11" x14ac:dyDescent="0.35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 s="15">
        <v>8342.91</v>
      </c>
      <c r="G1030" t="s">
        <v>12</v>
      </c>
      <c r="H1030" t="s">
        <v>16</v>
      </c>
      <c r="I1030" t="s">
        <v>168</v>
      </c>
      <c r="J1030" s="11">
        <f>DATE(B1030,MATCH(C1030,{"Jan","Feb","Mar","Apr","May","Jun","Jul","Aug","Sep","Oct","Nov","Dec"},0),D1030)</f>
        <v>27948</v>
      </c>
      <c r="K1030">
        <f t="shared" si="16"/>
        <v>46</v>
      </c>
    </row>
    <row r="1031" spans="1:11" x14ac:dyDescent="0.35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 s="15">
        <v>8347.16</v>
      </c>
      <c r="G1031" t="s">
        <v>11</v>
      </c>
      <c r="H1031" t="s">
        <v>16</v>
      </c>
      <c r="I1031" t="s">
        <v>13</v>
      </c>
      <c r="J1031" s="11">
        <f>DATE(B1031,MATCH(C1031,{"Jan","Feb","Mar","Apr","May","Jun","Jul","Aug","Sep","Oct","Nov","Dec"},0),D1031)</f>
        <v>27923</v>
      </c>
      <c r="K1031">
        <f t="shared" si="16"/>
        <v>46</v>
      </c>
    </row>
    <row r="1032" spans="1:11" x14ac:dyDescent="0.35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 s="15">
        <v>8355.5400000000009</v>
      </c>
      <c r="G1032" t="s">
        <v>12</v>
      </c>
      <c r="H1032" t="s">
        <v>12</v>
      </c>
      <c r="I1032" t="s">
        <v>23</v>
      </c>
      <c r="J1032" s="11">
        <f>DATE(B1032,MATCH(C1032,{"Jan","Feb","Mar","Apr","May","Jun","Jul","Aug","Sep","Oct","Nov","Dec"},0),D1032)</f>
        <v>23275</v>
      </c>
      <c r="K1032">
        <f t="shared" si="16"/>
        <v>59</v>
      </c>
    </row>
    <row r="1033" spans="1:11" x14ac:dyDescent="0.35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 s="15">
        <v>8396.6200000000008</v>
      </c>
      <c r="G1033" t="s">
        <v>11</v>
      </c>
      <c r="H1033" t="s">
        <v>12</v>
      </c>
      <c r="I1033" t="s">
        <v>13</v>
      </c>
      <c r="J1033" s="11">
        <f>DATE(B1033,MATCH(C1033,{"Jan","Feb","Mar","Apr","May","Jun","Jul","Aug","Sep","Oct","Nov","Dec"},0),D1033)</f>
        <v>26180</v>
      </c>
      <c r="K1033">
        <f t="shared" si="16"/>
        <v>51</v>
      </c>
    </row>
    <row r="1034" spans="1:11" x14ac:dyDescent="0.35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 s="15">
        <v>8400.01</v>
      </c>
      <c r="G1034" t="s">
        <v>11</v>
      </c>
      <c r="H1034" t="s">
        <v>12</v>
      </c>
      <c r="I1034" t="s">
        <v>13</v>
      </c>
      <c r="J1034" s="11">
        <f>DATE(B1034,MATCH(C1034,{"Jan","Feb","Mar","Apr","May","Jun","Jul","Aug","Sep","Oct","Nov","Dec"},0),D1034)</f>
        <v>26194</v>
      </c>
      <c r="K1034">
        <f t="shared" si="16"/>
        <v>51</v>
      </c>
    </row>
    <row r="1035" spans="1:11" x14ac:dyDescent="0.35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 s="15">
        <v>8410.0499999999993</v>
      </c>
      <c r="G1035" t="s">
        <v>11</v>
      </c>
      <c r="H1035" t="s">
        <v>11</v>
      </c>
      <c r="I1035" t="s">
        <v>23</v>
      </c>
      <c r="J1035" s="11">
        <f>DATE(B1035,MATCH(C1035,{"Jan","Feb","Mar","Apr","May","Jun","Jul","Aug","Sep","Oct","Nov","Dec"},0),D1035)</f>
        <v>29017</v>
      </c>
      <c r="K1035">
        <f t="shared" si="16"/>
        <v>43</v>
      </c>
    </row>
    <row r="1036" spans="1:11" x14ac:dyDescent="0.35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 s="15">
        <v>8413.4599999999991</v>
      </c>
      <c r="G1036" t="s">
        <v>12</v>
      </c>
      <c r="H1036" t="s">
        <v>16</v>
      </c>
      <c r="I1036" t="s">
        <v>23</v>
      </c>
      <c r="J1036" s="11">
        <f>DATE(B1036,MATCH(C1036,{"Jan","Feb","Mar","Apr","May","Jun","Jul","Aug","Sep","Oct","Nov","Dec"},0),D1036)</f>
        <v>28372</v>
      </c>
      <c r="K1036">
        <f t="shared" si="16"/>
        <v>45</v>
      </c>
    </row>
    <row r="1037" spans="1:11" x14ac:dyDescent="0.35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 s="15">
        <v>8428.07</v>
      </c>
      <c r="G1037" t="s">
        <v>12</v>
      </c>
      <c r="H1037" t="s">
        <v>11</v>
      </c>
      <c r="I1037" t="s">
        <v>23</v>
      </c>
      <c r="J1037" s="11">
        <f>DATE(B1037,MATCH(C1037,{"Jan","Feb","Mar","Apr","May","Jun","Jul","Aug","Sep","Oct","Nov","Dec"},0),D1037)</f>
        <v>27665</v>
      </c>
      <c r="K1037">
        <f t="shared" si="16"/>
        <v>47</v>
      </c>
    </row>
    <row r="1038" spans="1:11" x14ac:dyDescent="0.35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 s="15">
        <v>8440.0499999999993</v>
      </c>
      <c r="G1038" t="s">
        <v>12</v>
      </c>
      <c r="H1038" t="s">
        <v>11</v>
      </c>
      <c r="I1038" t="s">
        <v>13</v>
      </c>
      <c r="J1038" s="11">
        <f>DATE(B1038,MATCH(C1038,{"Jan","Feb","Mar","Apr","May","Jun","Jul","Aug","Sep","Oct","Nov","Dec"},0),D1038)</f>
        <v>23278</v>
      </c>
      <c r="K1038">
        <f t="shared" si="16"/>
        <v>59</v>
      </c>
    </row>
    <row r="1039" spans="1:11" x14ac:dyDescent="0.35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 s="15">
        <v>8442.67</v>
      </c>
      <c r="G1039" t="s">
        <v>11</v>
      </c>
      <c r="H1039" t="s">
        <v>12</v>
      </c>
      <c r="I1039" t="s">
        <v>13</v>
      </c>
      <c r="J1039" s="11">
        <f>DATE(B1039,MATCH(C1039,{"Jan","Feb","Mar","Apr","May","Jun","Jul","Aug","Sep","Oct","Nov","Dec"},0),D1039)</f>
        <v>26551</v>
      </c>
      <c r="K1039">
        <f t="shared" si="16"/>
        <v>50</v>
      </c>
    </row>
    <row r="1040" spans="1:11" x14ac:dyDescent="0.35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 s="15">
        <v>8444.4699999999993</v>
      </c>
      <c r="G1040" t="s">
        <v>12</v>
      </c>
      <c r="H1040" t="s">
        <v>16</v>
      </c>
      <c r="I1040" t="s">
        <v>42</v>
      </c>
      <c r="J1040" s="11">
        <f>DATE(B1040,MATCH(C1040,{"Jan","Feb","Mar","Apr","May","Jun","Jul","Aug","Sep","Oct","Nov","Dec"},0),D1040)</f>
        <v>26546</v>
      </c>
      <c r="K1040">
        <f t="shared" si="16"/>
        <v>50</v>
      </c>
    </row>
    <row r="1041" spans="1:11" x14ac:dyDescent="0.35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 s="15">
        <v>8448.66</v>
      </c>
      <c r="G1041" t="s">
        <v>12</v>
      </c>
      <c r="H1041" t="s">
        <v>16</v>
      </c>
      <c r="I1041" t="s">
        <v>13</v>
      </c>
      <c r="J1041" s="11">
        <f>DATE(B1041,MATCH(C1041,{"Jan","Feb","Mar","Apr","May","Jun","Jul","Aug","Sep","Oct","Nov","Dec"},0),D1041)</f>
        <v>24270</v>
      </c>
      <c r="K1041">
        <f t="shared" si="16"/>
        <v>56</v>
      </c>
    </row>
    <row r="1042" spans="1:11" x14ac:dyDescent="0.35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 s="15">
        <v>8450.82</v>
      </c>
      <c r="G1042" t="s">
        <v>11</v>
      </c>
      <c r="H1042" t="s">
        <v>11</v>
      </c>
      <c r="I1042" t="s">
        <v>200</v>
      </c>
      <c r="J1042" s="11">
        <f>DATE(B1042,MATCH(C1042,{"Jan","Feb","Mar","Apr","May","Jun","Jul","Aug","Sep","Oct","Nov","Dec"},0),D1042)</f>
        <v>30852</v>
      </c>
      <c r="K1042">
        <f t="shared" si="16"/>
        <v>38</v>
      </c>
    </row>
    <row r="1043" spans="1:11" x14ac:dyDescent="0.35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 s="15">
        <v>8457.82</v>
      </c>
      <c r="G1043" t="s">
        <v>11</v>
      </c>
      <c r="H1043" t="s">
        <v>12</v>
      </c>
      <c r="I1043" t="s">
        <v>42</v>
      </c>
      <c r="J1043" s="11">
        <f>DATE(B1043,MATCH(C1043,{"Jan","Feb","Mar","Apr","May","Jun","Jul","Aug","Sep","Oct","Nov","Dec"},0),D1043)</f>
        <v>26659</v>
      </c>
      <c r="K1043">
        <f t="shared" si="16"/>
        <v>50</v>
      </c>
    </row>
    <row r="1044" spans="1:11" x14ac:dyDescent="0.35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 s="15">
        <v>8466.35</v>
      </c>
      <c r="G1044" t="s">
        <v>11</v>
      </c>
      <c r="H1044" t="s">
        <v>11</v>
      </c>
      <c r="I1044" t="s">
        <v>23</v>
      </c>
      <c r="J1044" s="11">
        <f>DATE(B1044,MATCH(C1044,{"Jan","Feb","Mar","Apr","May","Jun","Jul","Aug","Sep","Oct","Nov","Dec"},0),D1044)</f>
        <v>33856</v>
      </c>
      <c r="K1044">
        <f t="shared" si="16"/>
        <v>30</v>
      </c>
    </row>
    <row r="1045" spans="1:11" x14ac:dyDescent="0.35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 s="15">
        <v>8471.65</v>
      </c>
      <c r="G1045" t="s">
        <v>11</v>
      </c>
      <c r="H1045" t="s">
        <v>16</v>
      </c>
      <c r="I1045" t="s">
        <v>23</v>
      </c>
      <c r="J1045" s="11">
        <f>DATE(B1045,MATCH(C1045,{"Jan","Feb","Mar","Apr","May","Jun","Jul","Aug","Sep","Oct","Nov","Dec"},0),D1045)</f>
        <v>34283</v>
      </c>
      <c r="K1045">
        <f t="shared" si="16"/>
        <v>29</v>
      </c>
    </row>
    <row r="1046" spans="1:11" x14ac:dyDescent="0.35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 s="15">
        <v>8515.76</v>
      </c>
      <c r="G1046" t="s">
        <v>11</v>
      </c>
      <c r="H1046" t="s">
        <v>11</v>
      </c>
      <c r="I1046" t="s">
        <v>13</v>
      </c>
      <c r="J1046" s="11">
        <f>DATE(B1046,MATCH(C1046,{"Jan","Feb","Mar","Apr","May","Jun","Jul","Aug","Sep","Oct","Nov","Dec"},0),D1046)</f>
        <v>28485</v>
      </c>
      <c r="K1046">
        <f t="shared" si="16"/>
        <v>45</v>
      </c>
    </row>
    <row r="1047" spans="1:11" x14ac:dyDescent="0.35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 s="15">
        <v>8516.83</v>
      </c>
      <c r="G1047" t="s">
        <v>11</v>
      </c>
      <c r="H1047" t="s">
        <v>16</v>
      </c>
      <c r="I1047" t="s">
        <v>13</v>
      </c>
      <c r="J1047" s="11">
        <f>DATE(B1047,MATCH(C1047,{"Jan","Feb","Mar","Apr","May","Jun","Jul","Aug","Sep","Oct","Nov","Dec"},0),D1047)</f>
        <v>28297</v>
      </c>
      <c r="K1047">
        <f t="shared" si="16"/>
        <v>45</v>
      </c>
    </row>
    <row r="1048" spans="1:11" x14ac:dyDescent="0.35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 s="15">
        <v>8520.0300000000007</v>
      </c>
      <c r="G1048" t="s">
        <v>11</v>
      </c>
      <c r="H1048" t="s">
        <v>12</v>
      </c>
      <c r="I1048" t="s">
        <v>42</v>
      </c>
      <c r="J1048" s="11">
        <f>DATE(B1048,MATCH(C1048,{"Jan","Feb","Mar","Apr","May","Jun","Jul","Aug","Sep","Oct","Nov","Dec"},0),D1048)</f>
        <v>28488</v>
      </c>
      <c r="K1048">
        <f t="shared" si="16"/>
        <v>45</v>
      </c>
    </row>
    <row r="1049" spans="1:11" x14ac:dyDescent="0.35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 s="15">
        <v>8522</v>
      </c>
      <c r="G1049" t="s">
        <v>11</v>
      </c>
      <c r="H1049" t="s">
        <v>11</v>
      </c>
      <c r="I1049" t="s">
        <v>42</v>
      </c>
      <c r="J1049" s="11">
        <f>DATE(B1049,MATCH(C1049,{"Jan","Feb","Mar","Apr","May","Jun","Jul","Aug","Sep","Oct","Nov","Dec"},0),D1049)</f>
        <v>29080</v>
      </c>
      <c r="K1049">
        <f t="shared" si="16"/>
        <v>43</v>
      </c>
    </row>
    <row r="1050" spans="1:11" x14ac:dyDescent="0.35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 s="15">
        <v>8527.5300000000007</v>
      </c>
      <c r="G1050" t="s">
        <v>11</v>
      </c>
      <c r="H1050" t="s">
        <v>11</v>
      </c>
      <c r="I1050" t="s">
        <v>13</v>
      </c>
      <c r="J1050" s="11">
        <f>DATE(B1050,MATCH(C1050,{"Jan","Feb","Mar","Apr","May","Jun","Jul","Aug","Sep","Oct","Nov","Dec"},0),D1050)</f>
        <v>28332</v>
      </c>
      <c r="K1050">
        <f t="shared" si="16"/>
        <v>45</v>
      </c>
    </row>
    <row r="1051" spans="1:11" x14ac:dyDescent="0.35">
      <c r="A1051" t="s">
        <v>1082</v>
      </c>
      <c r="B1051">
        <v>1983</v>
      </c>
      <c r="C1051" t="s">
        <v>10</v>
      </c>
      <c r="D1051">
        <v>24</v>
      </c>
      <c r="E1051">
        <v>0</v>
      </c>
      <c r="F1051" s="15">
        <v>8534.67</v>
      </c>
      <c r="G1051" t="s">
        <v>11</v>
      </c>
      <c r="H1051" t="s">
        <v>12</v>
      </c>
      <c r="I1051" t="s">
        <v>247</v>
      </c>
      <c r="J1051" s="11">
        <f>DATE(B1051,MATCH(C1051,{"Jan","Feb","Mar","Apr","May","Jun","Jul","Aug","Sep","Oct","Nov","Dec"},0),D1051)</f>
        <v>30521</v>
      </c>
      <c r="K1051">
        <f t="shared" si="16"/>
        <v>39</v>
      </c>
    </row>
    <row r="1052" spans="1:11" x14ac:dyDescent="0.35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 s="15">
        <v>8538.2900000000009</v>
      </c>
      <c r="G1052" t="s">
        <v>11</v>
      </c>
      <c r="H1052" t="s">
        <v>12</v>
      </c>
      <c r="I1052" t="s">
        <v>247</v>
      </c>
      <c r="J1052" s="11">
        <f>DATE(B1052,MATCH(C1052,{"Jan","Feb","Mar","Apr","May","Jun","Jul","Aug","Sep","Oct","Nov","Dec"},0),D1052)</f>
        <v>29947</v>
      </c>
      <c r="K1052">
        <f t="shared" si="16"/>
        <v>41</v>
      </c>
    </row>
    <row r="1053" spans="1:11" x14ac:dyDescent="0.35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 s="15">
        <v>8539.67</v>
      </c>
      <c r="G1053" t="s">
        <v>11</v>
      </c>
      <c r="H1053" t="s">
        <v>12</v>
      </c>
      <c r="I1053" t="s">
        <v>42</v>
      </c>
      <c r="J1053" s="11">
        <f>DATE(B1053,MATCH(C1053,{"Jan","Feb","Mar","Apr","May","Jun","Jul","Aug","Sep","Oct","Nov","Dec"},0),D1053)</f>
        <v>27704</v>
      </c>
      <c r="K1053">
        <f t="shared" si="16"/>
        <v>47</v>
      </c>
    </row>
    <row r="1054" spans="1:11" x14ac:dyDescent="0.35">
      <c r="A1054" t="s">
        <v>1085</v>
      </c>
      <c r="B1054">
        <v>1983</v>
      </c>
      <c r="C1054" t="s">
        <v>30</v>
      </c>
      <c r="D1054">
        <v>12</v>
      </c>
      <c r="E1054">
        <v>1</v>
      </c>
      <c r="F1054" s="15">
        <v>8547.69</v>
      </c>
      <c r="G1054" t="s">
        <v>11</v>
      </c>
      <c r="H1054" t="s">
        <v>16</v>
      </c>
      <c r="I1054" t="s">
        <v>13</v>
      </c>
      <c r="J1054" s="11">
        <f>DATE(B1054,MATCH(C1054,{"Jan","Feb","Mar","Apr","May","Jun","Jul","Aug","Sep","Oct","Nov","Dec"},0),D1054)</f>
        <v>30662</v>
      </c>
      <c r="K1054">
        <f t="shared" si="16"/>
        <v>39</v>
      </c>
    </row>
    <row r="1055" spans="1:11" x14ac:dyDescent="0.35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 s="15">
        <v>8551.35</v>
      </c>
      <c r="G1055" t="s">
        <v>11</v>
      </c>
      <c r="H1055" t="s">
        <v>11</v>
      </c>
      <c r="I1055" t="s">
        <v>42</v>
      </c>
      <c r="J1055" s="11">
        <f>DATE(B1055,MATCH(C1055,{"Jan","Feb","Mar","Apr","May","Jun","Jul","Aug","Sep","Oct","Nov","Dec"},0),D1055)</f>
        <v>27612</v>
      </c>
      <c r="K1055">
        <f t="shared" si="16"/>
        <v>47</v>
      </c>
    </row>
    <row r="1056" spans="1:11" x14ac:dyDescent="0.35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 s="15">
        <v>8556.91</v>
      </c>
      <c r="G1056" t="s">
        <v>11</v>
      </c>
      <c r="H1056" t="s">
        <v>16</v>
      </c>
      <c r="I1056" t="s">
        <v>42</v>
      </c>
      <c r="J1056" s="11">
        <f>DATE(B1056,MATCH(C1056,{"Jan","Feb","Mar","Apr","May","Jun","Jul","Aug","Sep","Oct","Nov","Dec"},0),D1056)</f>
        <v>27627</v>
      </c>
      <c r="K1056">
        <f t="shared" si="16"/>
        <v>47</v>
      </c>
    </row>
    <row r="1057" spans="1:11" x14ac:dyDescent="0.35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 s="15">
        <v>8567.25</v>
      </c>
      <c r="G1057" t="s">
        <v>11</v>
      </c>
      <c r="H1057" t="s">
        <v>16</v>
      </c>
      <c r="I1057" t="s">
        <v>23</v>
      </c>
      <c r="J1057" s="11">
        <f>DATE(B1057,MATCH(C1057,{"Jan","Feb","Mar","Apr","May","Jun","Jul","Aug","Sep","Oct","Nov","Dec"},0),D1057)</f>
        <v>32407</v>
      </c>
      <c r="K1057">
        <f t="shared" si="16"/>
        <v>34</v>
      </c>
    </row>
    <row r="1058" spans="1:11" x14ac:dyDescent="0.35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 s="15">
        <v>8569.86</v>
      </c>
      <c r="G1058" t="s">
        <v>11</v>
      </c>
      <c r="H1058" t="s">
        <v>12</v>
      </c>
      <c r="I1058" t="s">
        <v>13</v>
      </c>
      <c r="J1058" s="11">
        <f>DATE(B1058,MATCH(C1058,{"Jan","Feb","Mar","Apr","May","Jun","Jul","Aug","Sep","Oct","Nov","Dec"},0),D1058)</f>
        <v>27663</v>
      </c>
      <c r="K1058">
        <f t="shared" si="16"/>
        <v>47</v>
      </c>
    </row>
    <row r="1059" spans="1:11" x14ac:dyDescent="0.35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 s="15">
        <v>8572.0400000000009</v>
      </c>
      <c r="G1059" t="s">
        <v>11</v>
      </c>
      <c r="H1059" t="s">
        <v>11</v>
      </c>
      <c r="I1059" t="s">
        <v>300</v>
      </c>
      <c r="J1059" s="11">
        <f>DATE(B1059,MATCH(C1059,{"Jan","Feb","Mar","Apr","May","Jun","Jul","Aug","Sep","Oct","Nov","Dec"},0),D1059)</f>
        <v>30291</v>
      </c>
      <c r="K1059">
        <f t="shared" si="16"/>
        <v>40</v>
      </c>
    </row>
    <row r="1060" spans="1:11" x14ac:dyDescent="0.35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 s="15">
        <v>8573.2999999999993</v>
      </c>
      <c r="G1060" t="s">
        <v>11</v>
      </c>
      <c r="H1060" t="s">
        <v>11</v>
      </c>
      <c r="I1060" t="s">
        <v>300</v>
      </c>
      <c r="J1060" s="11">
        <f>DATE(B1060,MATCH(C1060,{"Jan","Feb","Mar","Apr","May","Jun","Jul","Aug","Sep","Oct","Nov","Dec"},0),D1060)</f>
        <v>32092</v>
      </c>
      <c r="K1060">
        <f t="shared" si="16"/>
        <v>35</v>
      </c>
    </row>
    <row r="1061" spans="1:11" x14ac:dyDescent="0.35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 s="15">
        <v>8582.2999999999993</v>
      </c>
      <c r="G1061" t="s">
        <v>11</v>
      </c>
      <c r="H1061" t="s">
        <v>16</v>
      </c>
      <c r="I1061" t="s">
        <v>13</v>
      </c>
      <c r="J1061" s="11">
        <f>DATE(B1061,MATCH(C1061,{"Jan","Feb","Mar","Apr","May","Jun","Jul","Aug","Sep","Oct","Nov","Dec"},0),D1061)</f>
        <v>30680</v>
      </c>
      <c r="K1061">
        <f t="shared" si="16"/>
        <v>39</v>
      </c>
    </row>
    <row r="1062" spans="1:11" x14ac:dyDescent="0.35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 s="15">
        <v>8596.83</v>
      </c>
      <c r="G1062" t="s">
        <v>11</v>
      </c>
      <c r="H1062" t="s">
        <v>12</v>
      </c>
      <c r="I1062" t="s">
        <v>13</v>
      </c>
      <c r="J1062" s="11">
        <f>DATE(B1062,MATCH(C1062,{"Jan","Feb","Mar","Apr","May","Jun","Jul","Aug","Sep","Oct","Nov","Dec"},0),D1062)</f>
        <v>30522</v>
      </c>
      <c r="K1062">
        <f t="shared" si="16"/>
        <v>39</v>
      </c>
    </row>
    <row r="1063" spans="1:11" x14ac:dyDescent="0.35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 s="15">
        <v>8601.33</v>
      </c>
      <c r="G1063" t="s">
        <v>11</v>
      </c>
      <c r="H1063" t="s">
        <v>16</v>
      </c>
      <c r="I1063" t="s">
        <v>13</v>
      </c>
      <c r="J1063" s="11">
        <f>DATE(B1063,MATCH(C1063,{"Jan","Feb","Mar","Apr","May","Jun","Jul","Aug","Sep","Oct","Nov","Dec"},0),D1063)</f>
        <v>26856</v>
      </c>
      <c r="K1063">
        <f t="shared" si="16"/>
        <v>49</v>
      </c>
    </row>
    <row r="1064" spans="1:11" x14ac:dyDescent="0.35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 s="15">
        <v>8603.82</v>
      </c>
      <c r="G1064" t="s">
        <v>11</v>
      </c>
      <c r="H1064" t="s">
        <v>16</v>
      </c>
      <c r="I1064" t="s">
        <v>166</v>
      </c>
      <c r="J1064" s="11">
        <f>DATE(B1064,MATCH(C1064,{"Jan","Feb","Mar","Apr","May","Jun","Jul","Aug","Sep","Oct","Nov","Dec"},0),D1064)</f>
        <v>28392</v>
      </c>
      <c r="K1064">
        <f t="shared" si="16"/>
        <v>45</v>
      </c>
    </row>
    <row r="1065" spans="1:11" x14ac:dyDescent="0.35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 s="15">
        <v>8604.48</v>
      </c>
      <c r="G1065" t="s">
        <v>12</v>
      </c>
      <c r="H1065" t="s">
        <v>11</v>
      </c>
      <c r="I1065" t="s">
        <v>168</v>
      </c>
      <c r="J1065" s="11">
        <f>DATE(B1065,MATCH(C1065,{"Jan","Feb","Mar","Apr","May","Jun","Jul","Aug","Sep","Oct","Nov","Dec"},0),D1065)</f>
        <v>28441</v>
      </c>
      <c r="K1065">
        <f t="shared" si="16"/>
        <v>45</v>
      </c>
    </row>
    <row r="1066" spans="1:11" x14ac:dyDescent="0.35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 s="15">
        <v>8605.36</v>
      </c>
      <c r="G1066" t="s">
        <v>11</v>
      </c>
      <c r="H1066" t="s">
        <v>11</v>
      </c>
      <c r="I1066" t="s">
        <v>13</v>
      </c>
      <c r="J1066" s="11">
        <f>DATE(B1066,MATCH(C1066,{"Jan","Feb","Mar","Apr","May","Jun","Jul","Aug","Sep","Oct","Nov","Dec"},0),D1066)</f>
        <v>28413</v>
      </c>
      <c r="K1066">
        <f t="shared" si="16"/>
        <v>45</v>
      </c>
    </row>
    <row r="1067" spans="1:11" x14ac:dyDescent="0.35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 s="15">
        <v>8606.2199999999993</v>
      </c>
      <c r="G1067" t="s">
        <v>16</v>
      </c>
      <c r="H1067" t="s">
        <v>11</v>
      </c>
      <c r="I1067" t="s">
        <v>276</v>
      </c>
      <c r="J1067" s="11">
        <f>DATE(B1067,MATCH(C1067,{"Jan","Feb","Mar","Apr","May","Jun","Jul","Aug","Sep","Oct","Nov","Dec"},0),D1067)</f>
        <v>29053</v>
      </c>
      <c r="K1067">
        <f t="shared" si="16"/>
        <v>43</v>
      </c>
    </row>
    <row r="1068" spans="1:11" x14ac:dyDescent="0.35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 s="15">
        <v>8615.2999999999993</v>
      </c>
      <c r="G1068" t="s">
        <v>11</v>
      </c>
      <c r="H1068" t="s">
        <v>12</v>
      </c>
      <c r="I1068" t="s">
        <v>42</v>
      </c>
      <c r="J1068" s="11">
        <f>DATE(B1068,MATCH(C1068,{"Jan","Feb","Mar","Apr","May","Jun","Jul","Aug","Sep","Oct","Nov","Dec"},0),D1068)</f>
        <v>28370</v>
      </c>
      <c r="K1068">
        <f t="shared" si="16"/>
        <v>45</v>
      </c>
    </row>
    <row r="1069" spans="1:11" x14ac:dyDescent="0.35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 s="15">
        <v>8627.5400000000009</v>
      </c>
      <c r="G1069" t="s">
        <v>11</v>
      </c>
      <c r="H1069" t="s">
        <v>11</v>
      </c>
      <c r="I1069" t="s">
        <v>356</v>
      </c>
      <c r="J1069" s="11">
        <f>DATE(B1069,MATCH(C1069,{"Jan","Feb","Mar","Apr","May","Jun","Jul","Aug","Sep","Oct","Nov","Dec"},0),D1069)</f>
        <v>27609</v>
      </c>
      <c r="K1069">
        <f t="shared" si="16"/>
        <v>47</v>
      </c>
    </row>
    <row r="1070" spans="1:11" x14ac:dyDescent="0.35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 s="15">
        <v>8665.09</v>
      </c>
      <c r="G1070" t="s">
        <v>12</v>
      </c>
      <c r="H1070" t="s">
        <v>11</v>
      </c>
      <c r="I1070" t="s">
        <v>23</v>
      </c>
      <c r="J1070" s="11">
        <f>DATE(B1070,MATCH(C1070,{"Jan","Feb","Mar","Apr","May","Jun","Jul","Aug","Sep","Oct","Nov","Dec"},0),D1070)</f>
        <v>24036</v>
      </c>
      <c r="K1070">
        <f t="shared" si="16"/>
        <v>57</v>
      </c>
    </row>
    <row r="1071" spans="1:11" x14ac:dyDescent="0.35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 s="15">
        <v>8665.14</v>
      </c>
      <c r="G1071" t="s">
        <v>11</v>
      </c>
      <c r="H1071" t="s">
        <v>12</v>
      </c>
      <c r="I1071" t="s">
        <v>13</v>
      </c>
      <c r="J1071" s="11">
        <f>DATE(B1071,MATCH(C1071,{"Jan","Feb","Mar","Apr","May","Jun","Jul","Aug","Sep","Oct","Nov","Dec"},0),D1071)</f>
        <v>25425</v>
      </c>
      <c r="K1071">
        <f t="shared" si="16"/>
        <v>53</v>
      </c>
    </row>
    <row r="1072" spans="1:11" x14ac:dyDescent="0.35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 s="15">
        <v>8671.19</v>
      </c>
      <c r="G1072" t="s">
        <v>11</v>
      </c>
      <c r="H1072" t="s">
        <v>16</v>
      </c>
      <c r="I1072" t="s">
        <v>23</v>
      </c>
      <c r="J1072" s="11">
        <f>DATE(B1072,MATCH(C1072,{"Jan","Feb","Mar","Apr","May","Jun","Jul","Aug","Sep","Oct","Nov","Dec"},0),D1072)</f>
        <v>27257</v>
      </c>
      <c r="K1072">
        <f t="shared" si="16"/>
        <v>48</v>
      </c>
    </row>
    <row r="1073" spans="1:11" x14ac:dyDescent="0.35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 s="15">
        <v>8688.86</v>
      </c>
      <c r="G1073" t="s">
        <v>11</v>
      </c>
      <c r="H1073" t="s">
        <v>16</v>
      </c>
      <c r="I1073" t="s">
        <v>356</v>
      </c>
      <c r="J1073" s="11">
        <f>DATE(B1073,MATCH(C1073,{"Jan","Feb","Mar","Apr","May","Jun","Jul","Aug","Sep","Oct","Nov","Dec"},0),D1073)</f>
        <v>26948</v>
      </c>
      <c r="K1073">
        <f t="shared" si="16"/>
        <v>49</v>
      </c>
    </row>
    <row r="1074" spans="1:11" x14ac:dyDescent="0.35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 s="15">
        <v>8701.84</v>
      </c>
      <c r="G1074" t="s">
        <v>11</v>
      </c>
      <c r="H1074" t="s">
        <v>12</v>
      </c>
      <c r="I1074" t="s">
        <v>300</v>
      </c>
      <c r="J1074" s="11">
        <f>DATE(B1074,MATCH(C1074,{"Jan","Feb","Mar","Apr","May","Jun","Jul","Aug","Sep","Oct","Nov","Dec"},0),D1074)</f>
        <v>29522</v>
      </c>
      <c r="K1074">
        <f t="shared" si="16"/>
        <v>42</v>
      </c>
    </row>
    <row r="1075" spans="1:11" x14ac:dyDescent="0.35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 s="15">
        <v>8703.4599999999991</v>
      </c>
      <c r="G1075" t="s">
        <v>12</v>
      </c>
      <c r="H1075" t="s">
        <v>12</v>
      </c>
      <c r="I1075" t="s">
        <v>42</v>
      </c>
      <c r="J1075" s="11">
        <f>DATE(B1075,MATCH(C1075,{"Jan","Feb","Mar","Apr","May","Jun","Jul","Aug","Sep","Oct","Nov","Dec"},0),D1075)</f>
        <v>26840</v>
      </c>
      <c r="K1075">
        <f t="shared" si="16"/>
        <v>49</v>
      </c>
    </row>
    <row r="1076" spans="1:11" x14ac:dyDescent="0.35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 s="15">
        <v>8733.23</v>
      </c>
      <c r="G1076" t="s">
        <v>11</v>
      </c>
      <c r="H1076" t="s">
        <v>12</v>
      </c>
      <c r="I1076" t="s">
        <v>23</v>
      </c>
      <c r="J1076" s="11">
        <f>DATE(B1076,MATCH(C1076,{"Jan","Feb","Mar","Apr","May","Jun","Jul","Aug","Sep","Oct","Nov","Dec"},0),D1076)</f>
        <v>27928</v>
      </c>
      <c r="K1076">
        <f t="shared" si="16"/>
        <v>46</v>
      </c>
    </row>
    <row r="1077" spans="1:11" x14ac:dyDescent="0.35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 s="15">
        <v>8747.68</v>
      </c>
      <c r="G1077" t="s">
        <v>11</v>
      </c>
      <c r="H1077" t="s">
        <v>12</v>
      </c>
      <c r="I1077" t="s">
        <v>42</v>
      </c>
      <c r="J1077" s="11">
        <f>DATE(B1077,MATCH(C1077,{"Jan","Feb","Mar","Apr","May","Jun","Jul","Aug","Sep","Oct","Nov","Dec"},0),D1077)</f>
        <v>36395</v>
      </c>
      <c r="K1077">
        <f t="shared" si="16"/>
        <v>23</v>
      </c>
    </row>
    <row r="1078" spans="1:11" x14ac:dyDescent="0.35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 s="15">
        <v>8760.1200000000008</v>
      </c>
      <c r="G1078" t="s">
        <v>11</v>
      </c>
      <c r="H1078" t="s">
        <v>16</v>
      </c>
      <c r="I1078" t="s">
        <v>13</v>
      </c>
      <c r="J1078" s="11">
        <f>DATE(B1078,MATCH(C1078,{"Jan","Feb","Mar","Apr","May","Jun","Jul","Aug","Sep","Oct","Nov","Dec"},0),D1078)</f>
        <v>25455</v>
      </c>
      <c r="K1078">
        <f t="shared" si="16"/>
        <v>53</v>
      </c>
    </row>
    <row r="1079" spans="1:11" x14ac:dyDescent="0.35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 s="15">
        <v>8765.25</v>
      </c>
      <c r="G1079" t="s">
        <v>11</v>
      </c>
      <c r="H1079" t="s">
        <v>12</v>
      </c>
      <c r="I1079" t="s">
        <v>23</v>
      </c>
      <c r="J1079" s="11">
        <f>DATE(B1079,MATCH(C1079,{"Jan","Feb","Mar","Apr","May","Jun","Jul","Aug","Sep","Oct","Nov","Dec"},0),D1079)</f>
        <v>27278</v>
      </c>
      <c r="K1079">
        <f t="shared" si="16"/>
        <v>48</v>
      </c>
    </row>
    <row r="1080" spans="1:11" x14ac:dyDescent="0.35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 s="15">
        <v>8782.4699999999993</v>
      </c>
      <c r="G1080" t="s">
        <v>11</v>
      </c>
      <c r="H1080" t="s">
        <v>12</v>
      </c>
      <c r="I1080" t="s">
        <v>42</v>
      </c>
      <c r="J1080" s="11">
        <f>DATE(B1080,MATCH(C1080,{"Jan","Feb","Mar","Apr","May","Jun","Jul","Aug","Sep","Oct","Nov","Dec"},0),D1080)</f>
        <v>26168</v>
      </c>
      <c r="K1080">
        <f t="shared" si="16"/>
        <v>51</v>
      </c>
    </row>
    <row r="1081" spans="1:11" x14ac:dyDescent="0.35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 s="15">
        <v>8798.59</v>
      </c>
      <c r="G1081" t="s">
        <v>11</v>
      </c>
      <c r="H1081" t="s">
        <v>16</v>
      </c>
      <c r="I1081" t="s">
        <v>42</v>
      </c>
      <c r="J1081" s="11">
        <f>DATE(B1081,MATCH(C1081,{"Jan","Feb","Mar","Apr","May","Jun","Jul","Aug","Sep","Oct","Nov","Dec"},0),D1081)</f>
        <v>26102</v>
      </c>
      <c r="K1081">
        <f t="shared" si="16"/>
        <v>51</v>
      </c>
    </row>
    <row r="1082" spans="1:11" x14ac:dyDescent="0.35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 s="15">
        <v>8800.49</v>
      </c>
      <c r="G1082" t="s">
        <v>12</v>
      </c>
      <c r="H1082" t="s">
        <v>11</v>
      </c>
      <c r="I1082" t="s">
        <v>13</v>
      </c>
      <c r="J1082" s="11">
        <f>DATE(B1082,MATCH(C1082,{"Jan","Feb","Mar","Apr","May","Jun","Jul","Aug","Sep","Oct","Nov","Dec"},0),D1082)</f>
        <v>23983</v>
      </c>
      <c r="K1082">
        <f t="shared" si="16"/>
        <v>57</v>
      </c>
    </row>
    <row r="1083" spans="1:11" x14ac:dyDescent="0.35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 s="15">
        <v>8821.8799999999992</v>
      </c>
      <c r="G1083" t="s">
        <v>11</v>
      </c>
      <c r="H1083" t="s">
        <v>12</v>
      </c>
      <c r="I1083" t="s">
        <v>249</v>
      </c>
      <c r="J1083" s="11">
        <f>DATE(B1083,MATCH(C1083,{"Jan","Feb","Mar","Apr","May","Jun","Jul","Aug","Sep","Oct","Nov","Dec"},0),D1083)</f>
        <v>37202</v>
      </c>
      <c r="K1083">
        <f t="shared" si="16"/>
        <v>21</v>
      </c>
    </row>
    <row r="1084" spans="1:11" x14ac:dyDescent="0.35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 s="15">
        <v>8823.2800000000007</v>
      </c>
      <c r="G1084" t="s">
        <v>11</v>
      </c>
      <c r="H1084" t="s">
        <v>16</v>
      </c>
      <c r="I1084" t="s">
        <v>42</v>
      </c>
      <c r="J1084" s="11">
        <f>DATE(B1084,MATCH(C1084,{"Jan","Feb","Mar","Apr","May","Jun","Jul","Aug","Sep","Oct","Nov","Dec"},0),D1084)</f>
        <v>27925</v>
      </c>
      <c r="K1084">
        <f t="shared" si="16"/>
        <v>46</v>
      </c>
    </row>
    <row r="1085" spans="1:11" x14ac:dyDescent="0.35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 s="15">
        <v>8823.99</v>
      </c>
      <c r="G1085" t="s">
        <v>11</v>
      </c>
      <c r="H1085" t="s">
        <v>12</v>
      </c>
      <c r="I1085" t="s">
        <v>247</v>
      </c>
      <c r="J1085" s="11">
        <f>DATE(B1085,MATCH(C1085,{"Jan","Feb","Mar","Apr","May","Jun","Jul","Aug","Sep","Oct","Nov","Dec"},0),D1085)</f>
        <v>28052</v>
      </c>
      <c r="K1085">
        <f t="shared" si="16"/>
        <v>46</v>
      </c>
    </row>
    <row r="1086" spans="1:11" x14ac:dyDescent="0.35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 s="15">
        <v>8824.27</v>
      </c>
      <c r="G1086" t="s">
        <v>11</v>
      </c>
      <c r="H1086" t="s">
        <v>16</v>
      </c>
      <c r="I1086" t="s">
        <v>200</v>
      </c>
      <c r="J1086" s="11">
        <f>DATE(B1086,MATCH(C1086,{"Jan","Feb","Mar","Apr","May","Jun","Jul","Aug","Sep","Oct","Nov","Dec"},0),D1086)</f>
        <v>32377</v>
      </c>
      <c r="K1086">
        <f t="shared" si="16"/>
        <v>34</v>
      </c>
    </row>
    <row r="1087" spans="1:11" x14ac:dyDescent="0.35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 s="15">
        <v>8825.09</v>
      </c>
      <c r="G1087" t="s">
        <v>11</v>
      </c>
      <c r="H1087" t="s">
        <v>12</v>
      </c>
      <c r="I1087" t="s">
        <v>42</v>
      </c>
      <c r="J1087" s="11">
        <f>DATE(B1087,MATCH(C1087,{"Jan","Feb","Mar","Apr","May","Jun","Jul","Aug","Sep","Oct","Nov","Dec"},0),D1087)</f>
        <v>27955</v>
      </c>
      <c r="K1087">
        <f t="shared" si="16"/>
        <v>46</v>
      </c>
    </row>
    <row r="1088" spans="1:11" x14ac:dyDescent="0.35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 s="15">
        <v>8827.2099999999991</v>
      </c>
      <c r="G1088" t="s">
        <v>12</v>
      </c>
      <c r="H1088" t="s">
        <v>16</v>
      </c>
      <c r="I1088" t="s">
        <v>23</v>
      </c>
      <c r="J1088" s="11">
        <f>DATE(B1088,MATCH(C1088,{"Jan","Feb","Mar","Apr","May","Jun","Jul","Aug","Sep","Oct","Nov","Dec"},0),D1088)</f>
        <v>26617</v>
      </c>
      <c r="K1088">
        <f t="shared" si="16"/>
        <v>50</v>
      </c>
    </row>
    <row r="1089" spans="1:11" x14ac:dyDescent="0.35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 s="15">
        <v>8835.26</v>
      </c>
      <c r="G1089" t="s">
        <v>12</v>
      </c>
      <c r="H1089" t="s">
        <v>11</v>
      </c>
      <c r="I1089" t="s">
        <v>23</v>
      </c>
      <c r="J1089" s="11">
        <f>DATE(B1089,MATCH(C1089,{"Jan","Feb","Mar","Apr","May","Jun","Jul","Aug","Sep","Oct","Nov","Dec"},0),D1089)</f>
        <v>26625</v>
      </c>
      <c r="K1089">
        <f t="shared" si="16"/>
        <v>50</v>
      </c>
    </row>
    <row r="1090" spans="1:11" x14ac:dyDescent="0.35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 s="15">
        <v>8871.15</v>
      </c>
      <c r="G1090" t="s">
        <v>11</v>
      </c>
      <c r="H1090" t="s">
        <v>12</v>
      </c>
      <c r="I1090" t="s">
        <v>13</v>
      </c>
      <c r="J1090" s="11">
        <f>DATE(B1090,MATCH(C1090,{"Jan","Feb","Mar","Apr","May","Jun","Jul","Aug","Sep","Oct","Nov","Dec"},0),D1090)</f>
        <v>27198</v>
      </c>
      <c r="K1090">
        <f t="shared" si="16"/>
        <v>48</v>
      </c>
    </row>
    <row r="1091" spans="1:11" x14ac:dyDescent="0.35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 s="15">
        <v>8890.59</v>
      </c>
      <c r="G1091" t="s">
        <v>11</v>
      </c>
      <c r="H1091" t="s">
        <v>12</v>
      </c>
      <c r="I1091" t="s">
        <v>23</v>
      </c>
      <c r="J1091" s="11">
        <f>DATE(B1091,MATCH(C1091,{"Jan","Feb","Mar","Apr","May","Jun","Jul","Aug","Sep","Oct","Nov","Dec"},0),D1091)</f>
        <v>26916</v>
      </c>
      <c r="K1091">
        <f t="shared" ref="K1091:K1154" si="17">DATEDIF(J1091,$N$1,"Y")</f>
        <v>49</v>
      </c>
    </row>
    <row r="1092" spans="1:11" x14ac:dyDescent="0.35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 s="15">
        <v>8891.14</v>
      </c>
      <c r="G1092" t="s">
        <v>11</v>
      </c>
      <c r="H1092" t="s">
        <v>12</v>
      </c>
      <c r="I1092" t="s">
        <v>356</v>
      </c>
      <c r="J1092" s="11">
        <f>DATE(B1092,MATCH(C1092,{"Jan","Feb","Mar","Apr","May","Jun","Jul","Aug","Sep","Oct","Nov","Dec"},0),D1092)</f>
        <v>28840</v>
      </c>
      <c r="K1092">
        <f t="shared" si="17"/>
        <v>44</v>
      </c>
    </row>
    <row r="1093" spans="1:11" x14ac:dyDescent="0.35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 s="15">
        <v>8906.14</v>
      </c>
      <c r="G1093" t="s">
        <v>11</v>
      </c>
      <c r="H1093" t="s">
        <v>11</v>
      </c>
      <c r="I1093" t="s">
        <v>23</v>
      </c>
      <c r="J1093" s="11">
        <f>DATE(B1093,MATCH(C1093,{"Jan","Feb","Mar","Apr","May","Jun","Jul","Aug","Sep","Oct","Nov","Dec"},0),D1093)</f>
        <v>35762</v>
      </c>
      <c r="K1093">
        <f t="shared" si="17"/>
        <v>25</v>
      </c>
    </row>
    <row r="1094" spans="1:11" x14ac:dyDescent="0.35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 s="15">
        <v>8908.4699999999993</v>
      </c>
      <c r="G1094" t="s">
        <v>12</v>
      </c>
      <c r="H1094" t="s">
        <v>11</v>
      </c>
      <c r="I1094" t="s">
        <v>13</v>
      </c>
      <c r="J1094" s="11">
        <f>DATE(B1094,MATCH(C1094,{"Jan","Feb","Mar","Apr","May","Jun","Jul","Aug","Sep","Oct","Nov","Dec"},0),D1094)</f>
        <v>24721</v>
      </c>
      <c r="K1094">
        <f t="shared" si="17"/>
        <v>55</v>
      </c>
    </row>
    <row r="1095" spans="1:11" x14ac:dyDescent="0.35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 s="15">
        <v>8930.93</v>
      </c>
      <c r="G1095" t="s">
        <v>11</v>
      </c>
      <c r="H1095" t="s">
        <v>11</v>
      </c>
      <c r="I1095" t="s">
        <v>23</v>
      </c>
      <c r="J1095" s="11">
        <f>DATE(B1095,MATCH(C1095,{"Jan","Feb","Mar","Apr","May","Jun","Jul","Aug","Sep","Oct","Nov","Dec"},0),D1095)</f>
        <v>27582</v>
      </c>
      <c r="K1095">
        <f t="shared" si="17"/>
        <v>47</v>
      </c>
    </row>
    <row r="1096" spans="1:11" x14ac:dyDescent="0.35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 s="15">
        <v>8932.08</v>
      </c>
      <c r="G1096" t="s">
        <v>11</v>
      </c>
      <c r="H1096" t="s">
        <v>16</v>
      </c>
      <c r="I1096" t="s">
        <v>42</v>
      </c>
      <c r="J1096" s="11">
        <f>DATE(B1096,MATCH(C1096,{"Jan","Feb","Mar","Apr","May","Jun","Jul","Aug","Sep","Oct","Nov","Dec"},0),D1096)</f>
        <v>26456</v>
      </c>
      <c r="K1096">
        <f t="shared" si="17"/>
        <v>51</v>
      </c>
    </row>
    <row r="1097" spans="1:11" x14ac:dyDescent="0.35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 s="15">
        <v>8944.1200000000008</v>
      </c>
      <c r="G1097" t="s">
        <v>12</v>
      </c>
      <c r="H1097" t="s">
        <v>11</v>
      </c>
      <c r="I1097" t="s">
        <v>13</v>
      </c>
      <c r="J1097" s="11">
        <f>DATE(B1097,MATCH(C1097,{"Jan","Feb","Mar","Apr","May","Jun","Jul","Aug","Sep","Oct","Nov","Dec"},0),D1097)</f>
        <v>28119</v>
      </c>
      <c r="K1097">
        <f t="shared" si="17"/>
        <v>46</v>
      </c>
    </row>
    <row r="1098" spans="1:11" x14ac:dyDescent="0.35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 s="15">
        <v>8954.99</v>
      </c>
      <c r="G1098" t="s">
        <v>11</v>
      </c>
      <c r="H1098" t="s">
        <v>12</v>
      </c>
      <c r="I1098" t="s">
        <v>535</v>
      </c>
      <c r="J1098" s="11">
        <f>DATE(B1098,MATCH(C1098,{"Jan","Feb","Mar","Apr","May","Jun","Jul","Aug","Sep","Oct","Nov","Dec"},0),D1098)</f>
        <v>33874</v>
      </c>
      <c r="K1098">
        <f t="shared" si="17"/>
        <v>30</v>
      </c>
    </row>
    <row r="1099" spans="1:11" x14ac:dyDescent="0.35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 s="15">
        <v>8964.06</v>
      </c>
      <c r="G1099" t="s">
        <v>12</v>
      </c>
      <c r="H1099" t="s">
        <v>11</v>
      </c>
      <c r="I1099" t="s">
        <v>168</v>
      </c>
      <c r="J1099" s="11">
        <f>DATE(B1099,MATCH(C1099,{"Jan","Feb","Mar","Apr","May","Jun","Jul","Aug","Sep","Oct","Nov","Dec"},0),D1099)</f>
        <v>27258</v>
      </c>
      <c r="K1099">
        <f t="shared" si="17"/>
        <v>48</v>
      </c>
    </row>
    <row r="1100" spans="1:11" x14ac:dyDescent="0.35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 s="15">
        <v>8965.7999999999993</v>
      </c>
      <c r="G1100" t="s">
        <v>11</v>
      </c>
      <c r="H1100" t="s">
        <v>12</v>
      </c>
      <c r="I1100" t="s">
        <v>23</v>
      </c>
      <c r="J1100" s="11">
        <f>DATE(B1100,MATCH(C1100,{"Jan","Feb","Mar","Apr","May","Jun","Jul","Aug","Sep","Oct","Nov","Dec"},0),D1100)</f>
        <v>30512</v>
      </c>
      <c r="K1100">
        <f t="shared" si="17"/>
        <v>39</v>
      </c>
    </row>
    <row r="1101" spans="1:11" x14ac:dyDescent="0.35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 s="15">
        <v>8968.33</v>
      </c>
      <c r="G1101" t="s">
        <v>12</v>
      </c>
      <c r="H1101" t="s">
        <v>11</v>
      </c>
      <c r="I1101" t="s">
        <v>42</v>
      </c>
      <c r="J1101" s="11">
        <f>DATE(B1101,MATCH(C1101,{"Jan","Feb","Mar","Apr","May","Jun","Jul","Aug","Sep","Oct","Nov","Dec"},0),D1101)</f>
        <v>27280</v>
      </c>
      <c r="K1101">
        <f t="shared" si="17"/>
        <v>48</v>
      </c>
    </row>
    <row r="1102" spans="1:11" x14ac:dyDescent="0.35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 s="15">
        <v>8978.19</v>
      </c>
      <c r="G1102" t="s">
        <v>11</v>
      </c>
      <c r="H1102" t="s">
        <v>11</v>
      </c>
      <c r="I1102" t="s">
        <v>13</v>
      </c>
      <c r="J1102" s="11">
        <f>DATE(B1102,MATCH(C1102,{"Jan","Feb","Mar","Apr","May","Jun","Jul","Aug","Sep","Oct","Nov","Dec"},0),D1102)</f>
        <v>27231</v>
      </c>
      <c r="K1102">
        <f t="shared" si="17"/>
        <v>48</v>
      </c>
    </row>
    <row r="1103" spans="1:11" x14ac:dyDescent="0.35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 s="15">
        <v>8988.16</v>
      </c>
      <c r="G1103" t="s">
        <v>11</v>
      </c>
      <c r="H1103" t="s">
        <v>16</v>
      </c>
      <c r="I1103" t="s">
        <v>23</v>
      </c>
      <c r="J1103" s="11">
        <f>DATE(B1103,MATCH(C1103,{"Jan","Feb","Mar","Apr","May","Jun","Jul","Aug","Sep","Oct","Nov","Dec"},0),D1103)</f>
        <v>26948</v>
      </c>
      <c r="K1103">
        <f t="shared" si="17"/>
        <v>49</v>
      </c>
    </row>
    <row r="1104" spans="1:11" x14ac:dyDescent="0.35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 s="15">
        <v>8998.43</v>
      </c>
      <c r="G1104" t="s">
        <v>11</v>
      </c>
      <c r="H1104" t="s">
        <v>16</v>
      </c>
      <c r="I1104" t="s">
        <v>200</v>
      </c>
      <c r="J1104" s="11">
        <f>DATE(B1104,MATCH(C1104,{"Jan","Feb","Mar","Apr","May","Jun","Jul","Aug","Sep","Oct","Nov","Dec"},0),D1104)</f>
        <v>29205</v>
      </c>
      <c r="K1104">
        <f t="shared" si="17"/>
        <v>43</v>
      </c>
    </row>
    <row r="1105" spans="1:11" x14ac:dyDescent="0.35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 s="15">
        <v>9010.2000000000007</v>
      </c>
      <c r="G1105" t="s">
        <v>11</v>
      </c>
      <c r="H1105" t="s">
        <v>12</v>
      </c>
      <c r="I1105" t="s">
        <v>535</v>
      </c>
      <c r="J1105" s="11">
        <f>DATE(B1105,MATCH(C1105,{"Jan","Feb","Mar","Apr","May","Jun","Jul","Aug","Sep","Oct","Nov","Dec"},0),D1105)</f>
        <v>34304</v>
      </c>
      <c r="K1105">
        <f t="shared" si="17"/>
        <v>29</v>
      </c>
    </row>
    <row r="1106" spans="1:11" x14ac:dyDescent="0.35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 s="15">
        <v>9048.0300000000007</v>
      </c>
      <c r="G1106" t="s">
        <v>11</v>
      </c>
      <c r="H1106" t="s">
        <v>11</v>
      </c>
      <c r="I1106" t="s">
        <v>13</v>
      </c>
      <c r="J1106" s="11">
        <f>DATE(B1106,MATCH(C1106,{"Jan","Feb","Mar","Apr","May","Jun","Jul","Aug","Sep","Oct","Nov","Dec"},0),D1106)</f>
        <v>26640</v>
      </c>
      <c r="K1106">
        <f t="shared" si="17"/>
        <v>50</v>
      </c>
    </row>
    <row r="1107" spans="1:11" x14ac:dyDescent="0.35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 s="15">
        <v>9058.73</v>
      </c>
      <c r="G1107" t="s">
        <v>12</v>
      </c>
      <c r="H1107" t="s">
        <v>11</v>
      </c>
      <c r="I1107" t="s">
        <v>13</v>
      </c>
      <c r="J1107" s="11">
        <f>DATE(B1107,MATCH(C1107,{"Jan","Feb","Mar","Apr","May","Jun","Jul","Aug","Sep","Oct","Nov","Dec"},0),D1107)</f>
        <v>26635</v>
      </c>
      <c r="K1107">
        <f t="shared" si="17"/>
        <v>50</v>
      </c>
    </row>
    <row r="1108" spans="1:11" x14ac:dyDescent="0.35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 s="15">
        <v>9095.07</v>
      </c>
      <c r="G1108" t="s">
        <v>11</v>
      </c>
      <c r="H1108" t="s">
        <v>11</v>
      </c>
      <c r="I1108" t="s">
        <v>247</v>
      </c>
      <c r="J1108" s="11">
        <f>DATE(B1108,MATCH(C1108,{"Jan","Feb","Mar","Apr","May","Jun","Jul","Aug","Sep","Oct","Nov","Dec"},0),D1108)</f>
        <v>28433</v>
      </c>
      <c r="K1108">
        <f t="shared" si="17"/>
        <v>45</v>
      </c>
    </row>
    <row r="1109" spans="1:11" x14ac:dyDescent="0.35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 s="15">
        <v>9095.94</v>
      </c>
      <c r="G1109" t="s">
        <v>12</v>
      </c>
      <c r="H1109" t="s">
        <v>16</v>
      </c>
      <c r="I1109" t="s">
        <v>42</v>
      </c>
      <c r="J1109" s="11">
        <f>DATE(B1109,MATCH(C1109,{"Jan","Feb","Mar","Apr","May","Jun","Jul","Aug","Sep","Oct","Nov","Dec"},0),D1109)</f>
        <v>24055</v>
      </c>
      <c r="K1109">
        <f t="shared" si="17"/>
        <v>57</v>
      </c>
    </row>
    <row r="1110" spans="1:11" x14ac:dyDescent="0.35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 s="15">
        <v>9101.7999999999993</v>
      </c>
      <c r="G1110" t="s">
        <v>11</v>
      </c>
      <c r="H1110" t="s">
        <v>16</v>
      </c>
      <c r="I1110" t="s">
        <v>42</v>
      </c>
      <c r="J1110" s="11">
        <f>DATE(B1110,MATCH(C1110,{"Jan","Feb","Mar","Apr","May","Jun","Jul","Aug","Sep","Oct","Nov","Dec"},0),D1110)</f>
        <v>28461</v>
      </c>
      <c r="K1110">
        <f t="shared" si="17"/>
        <v>45</v>
      </c>
    </row>
    <row r="1111" spans="1:11" x14ac:dyDescent="0.35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 s="15">
        <v>9140.9500000000007</v>
      </c>
      <c r="G1111" t="s">
        <v>12</v>
      </c>
      <c r="H1111" t="s">
        <v>12</v>
      </c>
      <c r="I1111" t="s">
        <v>13</v>
      </c>
      <c r="J1111" s="11">
        <f>DATE(B1111,MATCH(C1111,{"Jan","Feb","Mar","Apr","May","Jun","Jul","Aug","Sep","Oct","Nov","Dec"},0),D1111)</f>
        <v>25792</v>
      </c>
      <c r="K1111">
        <f t="shared" si="17"/>
        <v>52</v>
      </c>
    </row>
    <row r="1112" spans="1:11" x14ac:dyDescent="0.35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 s="15">
        <v>9144.57</v>
      </c>
      <c r="G1112" t="s">
        <v>12</v>
      </c>
      <c r="H1112" t="s">
        <v>11</v>
      </c>
      <c r="I1112" t="s">
        <v>42</v>
      </c>
      <c r="J1112" s="11">
        <f>DATE(B1112,MATCH(C1112,{"Jan","Feb","Mar","Apr","May","Jun","Jul","Aug","Sep","Oct","Nov","Dec"},0),D1112)</f>
        <v>25859</v>
      </c>
      <c r="K1112">
        <f t="shared" si="17"/>
        <v>52</v>
      </c>
    </row>
    <row r="1113" spans="1:11" x14ac:dyDescent="0.35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 s="15">
        <v>9147.5</v>
      </c>
      <c r="G1113" t="s">
        <v>11</v>
      </c>
      <c r="H1113" t="s">
        <v>16</v>
      </c>
      <c r="I1113" t="s">
        <v>23</v>
      </c>
      <c r="J1113" s="11">
        <f>DATE(B1113,MATCH(C1113,{"Jan","Feb","Mar","Apr","May","Jun","Jul","Aug","Sep","Oct","Nov","Dec"},0),D1113)</f>
        <v>30293</v>
      </c>
      <c r="K1113">
        <f t="shared" si="17"/>
        <v>40</v>
      </c>
    </row>
    <row r="1114" spans="1:11" x14ac:dyDescent="0.35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 s="15">
        <v>9159.51</v>
      </c>
      <c r="G1114" t="s">
        <v>11</v>
      </c>
      <c r="H1114" t="s">
        <v>11</v>
      </c>
      <c r="I1114" t="s">
        <v>300</v>
      </c>
      <c r="J1114" s="11">
        <f>DATE(B1114,MATCH(C1114,{"Jan","Feb","Mar","Apr","May","Jun","Jul","Aug","Sep","Oct","Nov","Dec"},0),D1114)</f>
        <v>33108</v>
      </c>
      <c r="K1114">
        <f t="shared" si="17"/>
        <v>32</v>
      </c>
    </row>
    <row r="1115" spans="1:11" x14ac:dyDescent="0.35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 s="15">
        <v>9171.75</v>
      </c>
      <c r="G1115" t="s">
        <v>11</v>
      </c>
      <c r="H1115" t="s">
        <v>11</v>
      </c>
      <c r="I1115" t="s">
        <v>23</v>
      </c>
      <c r="J1115" s="11">
        <f>DATE(B1115,MATCH(C1115,{"Jan","Feb","Mar","Apr","May","Jun","Jul","Aug","Sep","Oct","Nov","Dec"},0),D1115)</f>
        <v>25865</v>
      </c>
      <c r="K1115">
        <f t="shared" si="17"/>
        <v>52</v>
      </c>
    </row>
    <row r="1116" spans="1:11" x14ac:dyDescent="0.35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 s="15">
        <v>9174.14</v>
      </c>
      <c r="G1116" t="s">
        <v>12</v>
      </c>
      <c r="H1116" t="s">
        <v>16</v>
      </c>
      <c r="I1116" t="s">
        <v>23</v>
      </c>
      <c r="J1116" s="11">
        <f>DATE(B1116,MATCH(C1116,{"Jan","Feb","Mar","Apr","May","Jun","Jul","Aug","Sep","Oct","Nov","Dec"},0),D1116)</f>
        <v>26296</v>
      </c>
      <c r="K1116">
        <f t="shared" si="17"/>
        <v>51</v>
      </c>
    </row>
    <row r="1117" spans="1:11" x14ac:dyDescent="0.35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 s="15">
        <v>9182.17</v>
      </c>
      <c r="G1117" t="s">
        <v>11</v>
      </c>
      <c r="H1117" t="s">
        <v>12</v>
      </c>
      <c r="I1117" t="s">
        <v>42</v>
      </c>
      <c r="J1117" s="11">
        <f>DATE(B1117,MATCH(C1117,{"Jan","Feb","Mar","Apr","May","Jun","Jul","Aug","Sep","Oct","Nov","Dec"},0),D1117)</f>
        <v>27023</v>
      </c>
      <c r="K1117">
        <f t="shared" si="17"/>
        <v>49</v>
      </c>
    </row>
    <row r="1118" spans="1:11" x14ac:dyDescent="0.35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 s="15">
        <v>9193.84</v>
      </c>
      <c r="G1118" t="s">
        <v>11</v>
      </c>
      <c r="H1118" t="s">
        <v>16</v>
      </c>
      <c r="I1118" t="s">
        <v>23</v>
      </c>
      <c r="J1118" s="11">
        <f>DATE(B1118,MATCH(C1118,{"Jan","Feb","Mar","Apr","May","Jun","Jul","Aug","Sep","Oct","Nov","Dec"},0),D1118)</f>
        <v>28013</v>
      </c>
      <c r="K1118">
        <f t="shared" si="17"/>
        <v>46</v>
      </c>
    </row>
    <row r="1119" spans="1:11" x14ac:dyDescent="0.35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 s="15">
        <v>9210.06</v>
      </c>
      <c r="G1119" t="s">
        <v>11</v>
      </c>
      <c r="H1119" t="s">
        <v>12</v>
      </c>
      <c r="I1119" t="s">
        <v>300</v>
      </c>
      <c r="J1119" s="11">
        <f>DATE(B1119,MATCH(C1119,{"Jan","Feb","Mar","Apr","May","Jun","Jul","Aug","Sep","Oct","Nov","Dec"},0),D1119)</f>
        <v>31771</v>
      </c>
      <c r="K1119">
        <f t="shared" si="17"/>
        <v>36</v>
      </c>
    </row>
    <row r="1120" spans="1:11" x14ac:dyDescent="0.35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 s="15">
        <v>9222.4</v>
      </c>
      <c r="G1120" t="s">
        <v>11</v>
      </c>
      <c r="H1120" t="s">
        <v>12</v>
      </c>
      <c r="I1120" t="s">
        <v>166</v>
      </c>
      <c r="J1120" s="11">
        <f>DATE(B1120,MATCH(C1120,{"Jan","Feb","Mar","Apr","May","Jun","Jul","Aug","Sep","Oct","Nov","Dec"},0),D1120)</f>
        <v>29925</v>
      </c>
      <c r="K1120">
        <f t="shared" si="17"/>
        <v>41</v>
      </c>
    </row>
    <row r="1121" spans="1:11" x14ac:dyDescent="0.35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 s="15">
        <v>9225.26</v>
      </c>
      <c r="G1121" t="s">
        <v>12</v>
      </c>
      <c r="H1121" t="s">
        <v>12</v>
      </c>
      <c r="I1121" t="s">
        <v>164</v>
      </c>
      <c r="J1121" s="11">
        <f>DATE(B1121,MATCH(C1121,{"Jan","Feb","Mar","Apr","May","Jun","Jul","Aug","Sep","Oct","Nov","Dec"},0),D1121)</f>
        <v>27734</v>
      </c>
      <c r="K1121">
        <f t="shared" si="17"/>
        <v>47</v>
      </c>
    </row>
    <row r="1122" spans="1:11" x14ac:dyDescent="0.35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 s="15">
        <v>9247.94</v>
      </c>
      <c r="G1122" t="s">
        <v>11</v>
      </c>
      <c r="H1122" t="s">
        <v>16</v>
      </c>
      <c r="I1122" t="s">
        <v>300</v>
      </c>
      <c r="J1122" s="11">
        <f>DATE(B1122,MATCH(C1122,{"Jan","Feb","Mar","Apr","May","Jun","Jul","Aug","Sep","Oct","Nov","Dec"},0),D1122)</f>
        <v>29499</v>
      </c>
      <c r="K1122">
        <f t="shared" si="17"/>
        <v>42</v>
      </c>
    </row>
    <row r="1123" spans="1:11" x14ac:dyDescent="0.35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 s="15">
        <v>9249.5</v>
      </c>
      <c r="G1123" t="s">
        <v>11</v>
      </c>
      <c r="H1123" t="s">
        <v>16</v>
      </c>
      <c r="I1123" t="s">
        <v>23</v>
      </c>
      <c r="J1123" s="11">
        <f>DATE(B1123,MATCH(C1123,{"Jan","Feb","Mar","Apr","May","Jun","Jul","Aug","Sep","Oct","Nov","Dec"},0),D1123)</f>
        <v>27262</v>
      </c>
      <c r="K1123">
        <f t="shared" si="17"/>
        <v>48</v>
      </c>
    </row>
    <row r="1124" spans="1:11" x14ac:dyDescent="0.35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 s="15">
        <v>9264.7999999999993</v>
      </c>
      <c r="G1124" t="s">
        <v>11</v>
      </c>
      <c r="H1124" t="s">
        <v>16</v>
      </c>
      <c r="I1124" t="s">
        <v>42</v>
      </c>
      <c r="J1124" s="11">
        <f>DATE(B1124,MATCH(C1124,{"Jan","Feb","Mar","Apr","May","Jun","Jul","Aug","Sep","Oct","Nov","Dec"},0),D1124)</f>
        <v>26151</v>
      </c>
      <c r="K1124">
        <f t="shared" si="17"/>
        <v>51</v>
      </c>
    </row>
    <row r="1125" spans="1:11" x14ac:dyDescent="0.35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 s="15">
        <v>9282.48</v>
      </c>
      <c r="G1125" t="s">
        <v>12</v>
      </c>
      <c r="H1125" t="s">
        <v>11</v>
      </c>
      <c r="I1125" t="s">
        <v>168</v>
      </c>
      <c r="J1125" s="11">
        <f>DATE(B1125,MATCH(C1125,{"Jan","Feb","Mar","Apr","May","Jun","Jul","Aug","Sep","Oct","Nov","Dec"},0),D1125)</f>
        <v>26964</v>
      </c>
      <c r="K1125">
        <f t="shared" si="17"/>
        <v>49</v>
      </c>
    </row>
    <row r="1126" spans="1:11" x14ac:dyDescent="0.35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 s="15">
        <v>9283.56</v>
      </c>
      <c r="G1126" t="s">
        <v>11</v>
      </c>
      <c r="H1126" t="s">
        <v>12</v>
      </c>
      <c r="I1126" t="s">
        <v>13</v>
      </c>
      <c r="J1126" s="11">
        <f>DATE(B1126,MATCH(C1126,{"Jan","Feb","Mar","Apr","May","Jun","Jul","Aug","Sep","Oct","Nov","Dec"},0),D1126)</f>
        <v>26116</v>
      </c>
      <c r="K1126">
        <f t="shared" si="17"/>
        <v>51</v>
      </c>
    </row>
    <row r="1127" spans="1:11" x14ac:dyDescent="0.35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 s="15">
        <v>9285.8700000000008</v>
      </c>
      <c r="G1127" t="s">
        <v>11</v>
      </c>
      <c r="H1127" t="s">
        <v>12</v>
      </c>
      <c r="I1127" t="s">
        <v>13</v>
      </c>
      <c r="J1127" s="11">
        <f>DATE(B1127,MATCH(C1127,{"Jan","Feb","Mar","Apr","May","Jun","Jul","Aug","Sep","Oct","Nov","Dec"},0),D1127)</f>
        <v>25533</v>
      </c>
      <c r="K1127">
        <f t="shared" si="17"/>
        <v>53</v>
      </c>
    </row>
    <row r="1128" spans="1:11" x14ac:dyDescent="0.35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 s="15">
        <v>9288.0300000000007</v>
      </c>
      <c r="G1128" t="s">
        <v>11</v>
      </c>
      <c r="H1128" t="s">
        <v>12</v>
      </c>
      <c r="I1128" t="s">
        <v>170</v>
      </c>
      <c r="J1128" s="11">
        <f>DATE(B1128,MATCH(C1128,{"Jan","Feb","Mar","Apr","May","Jun","Jul","Aug","Sep","Oct","Nov","Dec"},0),D1128)</f>
        <v>26953</v>
      </c>
      <c r="K1128">
        <f t="shared" si="17"/>
        <v>49</v>
      </c>
    </row>
    <row r="1129" spans="1:11" x14ac:dyDescent="0.35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 s="15">
        <v>9290.14</v>
      </c>
      <c r="G1129" t="s">
        <v>12</v>
      </c>
      <c r="H1129" t="s">
        <v>12</v>
      </c>
      <c r="I1129" t="s">
        <v>168</v>
      </c>
      <c r="J1129" s="11">
        <f>DATE(B1129,MATCH(C1129,{"Jan","Feb","Mar","Apr","May","Jun","Jul","Aug","Sep","Oct","Nov","Dec"},0),D1129)</f>
        <v>26925</v>
      </c>
      <c r="K1129">
        <f t="shared" si="17"/>
        <v>49</v>
      </c>
    </row>
    <row r="1130" spans="1:11" x14ac:dyDescent="0.35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 s="15">
        <v>9301.89</v>
      </c>
      <c r="G1130" t="s">
        <v>11</v>
      </c>
      <c r="H1130" t="s">
        <v>16</v>
      </c>
      <c r="I1130" t="s">
        <v>23</v>
      </c>
      <c r="J1130" s="11">
        <f>DATE(B1130,MATCH(C1130,{"Jan","Feb","Mar","Apr","May","Jun","Jul","Aug","Sep","Oct","Nov","Dec"},0),D1130)</f>
        <v>28067</v>
      </c>
      <c r="K1130">
        <f t="shared" si="17"/>
        <v>46</v>
      </c>
    </row>
    <row r="1131" spans="1:11" x14ac:dyDescent="0.35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 s="15">
        <v>9304.7000000000007</v>
      </c>
      <c r="G1131" t="s">
        <v>12</v>
      </c>
      <c r="H1131" t="s">
        <v>12</v>
      </c>
      <c r="I1131" t="s">
        <v>13</v>
      </c>
      <c r="J1131" s="11">
        <f>DATE(B1131,MATCH(C1131,{"Jan","Feb","Mar","Apr","May","Jun","Jul","Aug","Sep","Oct","Nov","Dec"},0),D1131)</f>
        <v>26953</v>
      </c>
      <c r="K1131">
        <f t="shared" si="17"/>
        <v>49</v>
      </c>
    </row>
    <row r="1132" spans="1:11" x14ac:dyDescent="0.35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 s="15">
        <v>9310.81</v>
      </c>
      <c r="G1132" t="s">
        <v>12</v>
      </c>
      <c r="H1132" t="s">
        <v>16</v>
      </c>
      <c r="I1132" t="s">
        <v>13</v>
      </c>
      <c r="J1132" s="11">
        <f>DATE(B1132,MATCH(C1132,{"Jan","Feb","Mar","Apr","May","Jun","Jul","Aug","Sep","Oct","Nov","Dec"},0),D1132)</f>
        <v>23170</v>
      </c>
      <c r="K1132">
        <f t="shared" si="17"/>
        <v>60</v>
      </c>
    </row>
    <row r="1133" spans="1:11" x14ac:dyDescent="0.35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 s="15">
        <v>9315.41</v>
      </c>
      <c r="G1133" t="s">
        <v>11</v>
      </c>
      <c r="H1133" t="s">
        <v>16</v>
      </c>
      <c r="I1133" t="s">
        <v>247</v>
      </c>
      <c r="J1133" s="11">
        <f>DATE(B1133,MATCH(C1133,{"Jan","Feb","Mar","Apr","May","Jun","Jul","Aug","Sep","Oct","Nov","Dec"},0),D1133)</f>
        <v>28410</v>
      </c>
      <c r="K1133">
        <f t="shared" si="17"/>
        <v>45</v>
      </c>
    </row>
    <row r="1134" spans="1:11" x14ac:dyDescent="0.35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 s="15">
        <v>9320.26</v>
      </c>
      <c r="G1134" t="s">
        <v>11</v>
      </c>
      <c r="H1134" t="s">
        <v>16</v>
      </c>
      <c r="I1134" t="s">
        <v>23</v>
      </c>
      <c r="J1134" s="11">
        <f>DATE(B1134,MATCH(C1134,{"Jan","Feb","Mar","Apr","May","Jun","Jul","Aug","Sep","Oct","Nov","Dec"},0),D1134)</f>
        <v>32333</v>
      </c>
      <c r="K1134">
        <f t="shared" si="17"/>
        <v>34</v>
      </c>
    </row>
    <row r="1135" spans="1:11" x14ac:dyDescent="0.35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 s="15">
        <v>9338.61</v>
      </c>
      <c r="G1135" t="s">
        <v>11</v>
      </c>
      <c r="H1135" t="s">
        <v>16</v>
      </c>
      <c r="I1135" t="s">
        <v>535</v>
      </c>
      <c r="J1135" s="11">
        <f>DATE(B1135,MATCH(C1135,{"Jan","Feb","Mar","Apr","May","Jun","Jul","Aug","Sep","Oct","Nov","Dec"},0),D1135)</f>
        <v>35350</v>
      </c>
      <c r="K1135">
        <f t="shared" si="17"/>
        <v>26</v>
      </c>
    </row>
    <row r="1136" spans="1:11" x14ac:dyDescent="0.35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 s="15">
        <v>9344.2000000000007</v>
      </c>
      <c r="G1136" t="s">
        <v>11</v>
      </c>
      <c r="H1136" t="s">
        <v>16</v>
      </c>
      <c r="I1136" t="s">
        <v>300</v>
      </c>
      <c r="J1136" s="11">
        <f>DATE(B1136,MATCH(C1136,{"Jan","Feb","Mar","Apr","May","Jun","Jul","Aug","Sep","Oct","Nov","Dec"},0),D1136)</f>
        <v>32325</v>
      </c>
      <c r="K1136">
        <f t="shared" si="17"/>
        <v>34</v>
      </c>
    </row>
    <row r="1137" spans="1:11" x14ac:dyDescent="0.35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 s="15">
        <v>9361.33</v>
      </c>
      <c r="G1137" t="s">
        <v>12</v>
      </c>
      <c r="H1137" t="s">
        <v>16</v>
      </c>
      <c r="I1137" t="s">
        <v>168</v>
      </c>
      <c r="J1137" s="11">
        <f>DATE(B1137,MATCH(C1137,{"Jan","Feb","Mar","Apr","May","Jun","Jul","Aug","Sep","Oct","Nov","Dec"},0),D1137)</f>
        <v>26214</v>
      </c>
      <c r="K1137">
        <f t="shared" si="17"/>
        <v>51</v>
      </c>
    </row>
    <row r="1138" spans="1:11" x14ac:dyDescent="0.35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 s="15">
        <v>9377.4500000000007</v>
      </c>
      <c r="G1138" t="s">
        <v>11</v>
      </c>
      <c r="H1138" t="s">
        <v>12</v>
      </c>
      <c r="I1138" t="s">
        <v>13</v>
      </c>
      <c r="J1138" s="11">
        <f>DATE(B1138,MATCH(C1138,{"Jan","Feb","Mar","Apr","May","Jun","Jul","Aug","Sep","Oct","Nov","Dec"},0),D1138)</f>
        <v>25531</v>
      </c>
      <c r="K1138">
        <f t="shared" si="17"/>
        <v>53</v>
      </c>
    </row>
    <row r="1139" spans="1:11" x14ac:dyDescent="0.35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 s="15">
        <v>9377.9</v>
      </c>
      <c r="G1139" t="s">
        <v>11</v>
      </c>
      <c r="H1139" t="s">
        <v>16</v>
      </c>
      <c r="I1139" t="s">
        <v>13</v>
      </c>
      <c r="J1139" s="11">
        <f>DATE(B1139,MATCH(C1139,{"Jan","Feb","Mar","Apr","May","Jun","Jul","Aug","Sep","Oct","Nov","Dec"},0),D1139)</f>
        <v>26263</v>
      </c>
      <c r="K1139">
        <f t="shared" si="17"/>
        <v>51</v>
      </c>
    </row>
    <row r="1140" spans="1:11" x14ac:dyDescent="0.35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 s="15">
        <v>9380.75</v>
      </c>
      <c r="G1140" t="s">
        <v>11</v>
      </c>
      <c r="H1140" t="s">
        <v>11</v>
      </c>
      <c r="I1140" t="s">
        <v>247</v>
      </c>
      <c r="J1140" s="11">
        <f>DATE(B1140,MATCH(C1140,{"Jan","Feb","Mar","Apr","May","Jun","Jul","Aug","Sep","Oct","Nov","Dec"},0),D1140)</f>
        <v>27730</v>
      </c>
      <c r="K1140">
        <f t="shared" si="17"/>
        <v>47</v>
      </c>
    </row>
    <row r="1141" spans="1:11" x14ac:dyDescent="0.35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 s="15">
        <v>9386.16</v>
      </c>
      <c r="G1141" t="s">
        <v>12</v>
      </c>
      <c r="H1141" t="s">
        <v>11</v>
      </c>
      <c r="I1141" t="s">
        <v>13</v>
      </c>
      <c r="J1141" s="11">
        <f>DATE(B1141,MATCH(C1141,{"Jan","Feb","Mar","Apr","May","Jun","Jul","Aug","Sep","Oct","Nov","Dec"},0),D1141)</f>
        <v>26296</v>
      </c>
      <c r="K1141">
        <f t="shared" si="17"/>
        <v>51</v>
      </c>
    </row>
    <row r="1142" spans="1:11" x14ac:dyDescent="0.35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 s="15">
        <v>9391.35</v>
      </c>
      <c r="G1142" t="s">
        <v>12</v>
      </c>
      <c r="H1142" t="s">
        <v>12</v>
      </c>
      <c r="I1142" t="s">
        <v>42</v>
      </c>
      <c r="J1142" s="11">
        <f>DATE(B1142,MATCH(C1142,{"Jan","Feb","Mar","Apr","May","Jun","Jul","Aug","Sep","Oct","Nov","Dec"},0),D1142)</f>
        <v>26226</v>
      </c>
      <c r="K1142">
        <f t="shared" si="17"/>
        <v>51</v>
      </c>
    </row>
    <row r="1143" spans="1:11" x14ac:dyDescent="0.35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 s="15">
        <v>9411.01</v>
      </c>
      <c r="G1143" t="s">
        <v>11</v>
      </c>
      <c r="H1143" t="s">
        <v>12</v>
      </c>
      <c r="I1143" t="s">
        <v>247</v>
      </c>
      <c r="J1143" s="11">
        <f>DATE(B1143,MATCH(C1143,{"Jan","Feb","Mar","Apr","May","Jun","Jul","Aug","Sep","Oct","Nov","Dec"},0),D1143)</f>
        <v>28050</v>
      </c>
      <c r="K1143">
        <f t="shared" si="17"/>
        <v>46</v>
      </c>
    </row>
    <row r="1144" spans="1:11" x14ac:dyDescent="0.35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 s="15">
        <v>9414.92</v>
      </c>
      <c r="G1144" t="s">
        <v>11</v>
      </c>
      <c r="H1144" t="s">
        <v>11</v>
      </c>
      <c r="I1144" t="s">
        <v>42</v>
      </c>
      <c r="J1144" s="11">
        <f>DATE(B1144,MATCH(C1144,{"Jan","Feb","Mar","Apr","May","Jun","Jul","Aug","Sep","Oct","Nov","Dec"},0),D1144)</f>
        <v>28063</v>
      </c>
      <c r="K1144">
        <f t="shared" si="17"/>
        <v>46</v>
      </c>
    </row>
    <row r="1145" spans="1:11" x14ac:dyDescent="0.35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 s="15">
        <v>9432.93</v>
      </c>
      <c r="G1145" t="s">
        <v>11</v>
      </c>
      <c r="H1145" t="s">
        <v>16</v>
      </c>
      <c r="I1145" t="s">
        <v>247</v>
      </c>
      <c r="J1145" s="11">
        <f>DATE(B1145,MATCH(C1145,{"Jan","Feb","Mar","Apr","May","Jun","Jul","Aug","Sep","Oct","Nov","Dec"},0),D1145)</f>
        <v>28067</v>
      </c>
      <c r="K1145">
        <f t="shared" si="17"/>
        <v>46</v>
      </c>
    </row>
    <row r="1146" spans="1:11" x14ac:dyDescent="0.35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 s="15">
        <v>9447.25</v>
      </c>
      <c r="G1146" t="s">
        <v>11</v>
      </c>
      <c r="H1146" t="s">
        <v>16</v>
      </c>
      <c r="I1146" t="s">
        <v>247</v>
      </c>
      <c r="J1146" s="11">
        <f>DATE(B1146,MATCH(C1146,{"Jan","Feb","Mar","Apr","May","Jun","Jul","Aug","Sep","Oct","Nov","Dec"},0),D1146)</f>
        <v>27360</v>
      </c>
      <c r="K1146">
        <f t="shared" si="17"/>
        <v>48</v>
      </c>
    </row>
    <row r="1147" spans="1:11" x14ac:dyDescent="0.35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 s="15">
        <v>9447.3799999999992</v>
      </c>
      <c r="G1147" t="s">
        <v>11</v>
      </c>
      <c r="H1147" t="s">
        <v>12</v>
      </c>
      <c r="I1147" t="s">
        <v>247</v>
      </c>
      <c r="J1147" s="11">
        <f>DATE(B1147,MATCH(C1147,{"Jan","Feb","Mar","Apr","May","Jun","Jul","Aug","Sep","Oct","Nov","Dec"},0),D1147)</f>
        <v>27188</v>
      </c>
      <c r="K1147">
        <f t="shared" si="17"/>
        <v>49</v>
      </c>
    </row>
    <row r="1148" spans="1:11" x14ac:dyDescent="0.35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 s="15">
        <v>9448.42</v>
      </c>
      <c r="G1148" t="s">
        <v>11</v>
      </c>
      <c r="H1148" t="s">
        <v>12</v>
      </c>
      <c r="I1148" t="s">
        <v>300</v>
      </c>
      <c r="J1148" s="11">
        <f>DATE(B1148,MATCH(C1148,{"Jan","Feb","Mar","Apr","May","Jun","Jul","Aug","Sep","Oct","Nov","Dec"},0),D1148)</f>
        <v>32095</v>
      </c>
      <c r="K1148">
        <f t="shared" si="17"/>
        <v>35</v>
      </c>
    </row>
    <row r="1149" spans="1:11" x14ac:dyDescent="0.35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 s="15">
        <v>9453.92</v>
      </c>
      <c r="G1149" t="s">
        <v>11</v>
      </c>
      <c r="H1149" t="s">
        <v>11</v>
      </c>
      <c r="I1149" t="s">
        <v>300</v>
      </c>
      <c r="J1149" s="11">
        <f>DATE(B1149,MATCH(C1149,{"Jan","Feb","Mar","Apr","May","Jun","Jul","Aug","Sep","Oct","Nov","Dec"},0),D1149)</f>
        <v>29053</v>
      </c>
      <c r="K1149">
        <f t="shared" si="17"/>
        <v>43</v>
      </c>
    </row>
    <row r="1150" spans="1:11" x14ac:dyDescent="0.35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 s="15">
        <v>9487.64</v>
      </c>
      <c r="G1150" t="s">
        <v>11</v>
      </c>
      <c r="H1150" t="s">
        <v>11</v>
      </c>
      <c r="I1150" t="s">
        <v>13</v>
      </c>
      <c r="J1150" s="11">
        <f>DATE(B1150,MATCH(C1150,{"Jan","Feb","Mar","Apr","May","Jun","Jul","Aug","Sep","Oct","Nov","Dec"},0),D1150)</f>
        <v>25358</v>
      </c>
      <c r="K1150">
        <f t="shared" si="17"/>
        <v>54</v>
      </c>
    </row>
    <row r="1151" spans="1:11" x14ac:dyDescent="0.35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 s="15">
        <v>9500.57</v>
      </c>
      <c r="G1151" t="s">
        <v>11</v>
      </c>
      <c r="H1151" t="s">
        <v>12</v>
      </c>
      <c r="I1151" t="s">
        <v>356</v>
      </c>
      <c r="J1151" s="11">
        <f>DATE(B1151,MATCH(C1151,{"Jan","Feb","Mar","Apr","May","Jun","Jul","Aug","Sep","Oct","Nov","Dec"},0),D1151)</f>
        <v>28092</v>
      </c>
      <c r="K1151">
        <f t="shared" si="17"/>
        <v>46</v>
      </c>
    </row>
    <row r="1152" spans="1:11" x14ac:dyDescent="0.35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 s="15">
        <v>9504.31</v>
      </c>
      <c r="G1152" t="s">
        <v>12</v>
      </c>
      <c r="H1152" t="s">
        <v>11</v>
      </c>
      <c r="I1152" t="s">
        <v>13</v>
      </c>
      <c r="J1152" s="11">
        <f>DATE(B1152,MATCH(C1152,{"Jan","Feb","Mar","Apr","May","Jun","Jul","Aug","Sep","Oct","Nov","Dec"},0),D1152)</f>
        <v>25439</v>
      </c>
      <c r="K1152">
        <f t="shared" si="17"/>
        <v>53</v>
      </c>
    </row>
    <row r="1153" spans="1:11" x14ac:dyDescent="0.35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 s="15">
        <v>9507.68</v>
      </c>
      <c r="G1153" t="s">
        <v>11</v>
      </c>
      <c r="H1153" t="s">
        <v>16</v>
      </c>
      <c r="I1153" t="s">
        <v>23</v>
      </c>
      <c r="J1153" s="11">
        <f>DATE(B1153,MATCH(C1153,{"Jan","Feb","Mar","Apr","May","Jun","Jul","Aug","Sep","Oct","Nov","Dec"},0),D1153)</f>
        <v>33838</v>
      </c>
      <c r="K1153">
        <f t="shared" si="17"/>
        <v>30</v>
      </c>
    </row>
    <row r="1154" spans="1:11" x14ac:dyDescent="0.35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 s="15">
        <v>9528.9</v>
      </c>
      <c r="G1154" t="s">
        <v>11</v>
      </c>
      <c r="H1154" t="s">
        <v>11</v>
      </c>
      <c r="I1154" t="s">
        <v>42</v>
      </c>
      <c r="J1154" s="11">
        <f>DATE(B1154,MATCH(C1154,{"Jan","Feb","Mar","Apr","May","Jun","Jul","Aug","Sep","Oct","Nov","Dec"},0),D1154)</f>
        <v>26266</v>
      </c>
      <c r="K1154">
        <f t="shared" si="17"/>
        <v>51</v>
      </c>
    </row>
    <row r="1155" spans="1:11" x14ac:dyDescent="0.35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 s="15">
        <v>9538.65</v>
      </c>
      <c r="G1155" t="s">
        <v>11</v>
      </c>
      <c r="H1155" t="s">
        <v>12</v>
      </c>
      <c r="I1155" t="s">
        <v>300</v>
      </c>
      <c r="J1155" s="11">
        <f>DATE(B1155,MATCH(C1155,{"Jan","Feb","Mar","Apr","May","Jun","Jul","Aug","Sep","Oct","Nov","Dec"},0),D1155)</f>
        <v>27019</v>
      </c>
      <c r="K1155">
        <f t="shared" ref="K1155:K1218" si="18">DATEDIF(J1155,$N$1,"Y")</f>
        <v>49</v>
      </c>
    </row>
    <row r="1156" spans="1:11" x14ac:dyDescent="0.35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 s="15">
        <v>9540.17</v>
      </c>
      <c r="G1156" t="s">
        <v>11</v>
      </c>
      <c r="H1156" t="s">
        <v>11</v>
      </c>
      <c r="I1156" t="s">
        <v>247</v>
      </c>
      <c r="J1156" s="11">
        <f>DATE(B1156,MATCH(C1156,{"Jan","Feb","Mar","Apr","May","Jun","Jul","Aug","Sep","Oct","Nov","Dec"},0),D1156)</f>
        <v>27603</v>
      </c>
      <c r="K1156">
        <f t="shared" si="18"/>
        <v>47</v>
      </c>
    </row>
    <row r="1157" spans="1:11" x14ac:dyDescent="0.35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 s="15">
        <v>9541.7000000000007</v>
      </c>
      <c r="G1157" t="s">
        <v>11</v>
      </c>
      <c r="H1157" t="s">
        <v>16</v>
      </c>
      <c r="I1157" t="s">
        <v>247</v>
      </c>
      <c r="J1157" s="11">
        <f>DATE(B1157,MATCH(C1157,{"Jan","Feb","Mar","Apr","May","Jun","Jul","Aug","Sep","Oct","Nov","Dec"},0),D1157)</f>
        <v>26564</v>
      </c>
      <c r="K1157">
        <f t="shared" si="18"/>
        <v>50</v>
      </c>
    </row>
    <row r="1158" spans="1:11" x14ac:dyDescent="0.35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 s="15">
        <v>9549.57</v>
      </c>
      <c r="G1158" t="s">
        <v>11</v>
      </c>
      <c r="H1158" t="s">
        <v>16</v>
      </c>
      <c r="I1158" t="s">
        <v>13</v>
      </c>
      <c r="J1158" s="11">
        <f>DATE(B1158,MATCH(C1158,{"Jan","Feb","Mar","Apr","May","Jun","Jul","Aug","Sep","Oct","Nov","Dec"},0),D1158)</f>
        <v>26564</v>
      </c>
      <c r="K1158">
        <f t="shared" si="18"/>
        <v>50</v>
      </c>
    </row>
    <row r="1159" spans="1:11" x14ac:dyDescent="0.35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 s="15">
        <v>9563.0300000000007</v>
      </c>
      <c r="G1159" t="s">
        <v>12</v>
      </c>
      <c r="H1159" t="s">
        <v>16</v>
      </c>
      <c r="I1159" t="s">
        <v>42</v>
      </c>
      <c r="J1159" s="11">
        <f>DATE(B1159,MATCH(C1159,{"Jan","Feb","Mar","Apr","May","Jun","Jul","Aug","Sep","Oct","Nov","Dec"},0),D1159)</f>
        <v>27255</v>
      </c>
      <c r="K1159">
        <f t="shared" si="18"/>
        <v>48</v>
      </c>
    </row>
    <row r="1160" spans="1:11" x14ac:dyDescent="0.35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 s="15">
        <v>9566.99</v>
      </c>
      <c r="G1160" t="s">
        <v>11</v>
      </c>
      <c r="H1160" t="s">
        <v>16</v>
      </c>
      <c r="I1160" t="s">
        <v>23</v>
      </c>
      <c r="J1160" s="11">
        <f>DATE(B1160,MATCH(C1160,{"Jan","Feb","Mar","Apr","May","Jun","Jul","Aug","Sep","Oct","Nov","Dec"},0),D1160)</f>
        <v>26999</v>
      </c>
      <c r="K1160">
        <f t="shared" si="18"/>
        <v>49</v>
      </c>
    </row>
    <row r="1161" spans="1:11" x14ac:dyDescent="0.35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 s="15">
        <v>9582.5400000000009</v>
      </c>
      <c r="G1161" t="s">
        <v>12</v>
      </c>
      <c r="H1161" t="s">
        <v>11</v>
      </c>
      <c r="I1161" t="s">
        <v>13</v>
      </c>
      <c r="J1161" s="11">
        <f>DATE(B1161,MATCH(C1161,{"Jan","Feb","Mar","Apr","May","Jun","Jul","Aug","Sep","Oct","Nov","Dec"},0),D1161)</f>
        <v>24445</v>
      </c>
      <c r="K1161">
        <f t="shared" si="18"/>
        <v>56</v>
      </c>
    </row>
    <row r="1162" spans="1:11" x14ac:dyDescent="0.35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 s="15">
        <v>9583.89</v>
      </c>
      <c r="G1162" t="s">
        <v>11</v>
      </c>
      <c r="H1162" t="s">
        <v>12</v>
      </c>
      <c r="I1162" t="s">
        <v>23</v>
      </c>
      <c r="J1162" s="11">
        <f>DATE(B1162,MATCH(C1162,{"Jan","Feb","Mar","Apr","May","Jun","Jul","Aug","Sep","Oct","Nov","Dec"},0),D1162)</f>
        <v>26996</v>
      </c>
      <c r="K1162">
        <f t="shared" si="18"/>
        <v>49</v>
      </c>
    </row>
    <row r="1163" spans="1:11" x14ac:dyDescent="0.35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 s="15">
        <v>9584.0400000000009</v>
      </c>
      <c r="G1163" t="s">
        <v>11</v>
      </c>
      <c r="H1163" t="s">
        <v>16</v>
      </c>
      <c r="I1163" t="s">
        <v>300</v>
      </c>
      <c r="J1163" s="11">
        <f>DATE(B1163,MATCH(C1163,{"Jan","Feb","Mar","Apr","May","Jun","Jul","Aug","Sep","Oct","Nov","Dec"},0),D1163)</f>
        <v>29877</v>
      </c>
      <c r="K1163">
        <f t="shared" si="18"/>
        <v>41</v>
      </c>
    </row>
    <row r="1164" spans="1:11" x14ac:dyDescent="0.35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 s="15">
        <v>9597.6299999999992</v>
      </c>
      <c r="G1164" t="s">
        <v>12</v>
      </c>
      <c r="H1164" t="s">
        <v>12</v>
      </c>
      <c r="I1164" t="s">
        <v>13</v>
      </c>
      <c r="J1164" s="11">
        <f>DATE(B1164,MATCH(C1164,{"Jan","Feb","Mar","Apr","May","Jun","Jul","Aug","Sep","Oct","Nov","Dec"},0),D1164)</f>
        <v>23726</v>
      </c>
      <c r="K1164">
        <f t="shared" si="18"/>
        <v>58</v>
      </c>
    </row>
    <row r="1165" spans="1:11" x14ac:dyDescent="0.35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 s="15">
        <v>9617.66</v>
      </c>
      <c r="G1165" t="s">
        <v>12</v>
      </c>
      <c r="H1165" t="s">
        <v>12</v>
      </c>
      <c r="I1165" t="s">
        <v>168</v>
      </c>
      <c r="J1165" s="11">
        <f>DATE(B1165,MATCH(C1165,{"Jan","Feb","Mar","Apr","May","Jun","Jul","Aug","Sep","Oct","Nov","Dec"},0),D1165)</f>
        <v>26660</v>
      </c>
      <c r="K1165">
        <f t="shared" si="18"/>
        <v>50</v>
      </c>
    </row>
    <row r="1166" spans="1:11" x14ac:dyDescent="0.35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 s="15">
        <v>9619.18</v>
      </c>
      <c r="G1166" t="s">
        <v>11</v>
      </c>
      <c r="H1166" t="s">
        <v>16</v>
      </c>
      <c r="I1166" t="s">
        <v>200</v>
      </c>
      <c r="J1166" s="11">
        <f>DATE(B1166,MATCH(C1166,{"Jan","Feb","Mar","Apr","May","Jun","Jul","Aug","Sep","Oct","Nov","Dec"},0),D1166)</f>
        <v>30192</v>
      </c>
      <c r="K1166">
        <f t="shared" si="18"/>
        <v>40</v>
      </c>
    </row>
    <row r="1167" spans="1:11" x14ac:dyDescent="0.35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 s="15">
        <v>9620.33</v>
      </c>
      <c r="G1167" t="s">
        <v>12</v>
      </c>
      <c r="H1167" t="s">
        <v>12</v>
      </c>
      <c r="I1167" t="s">
        <v>23</v>
      </c>
      <c r="J1167" s="11">
        <f>DATE(B1167,MATCH(C1167,{"Jan","Feb","Mar","Apr","May","Jun","Jul","Aug","Sep","Oct","Nov","Dec"},0),D1167)</f>
        <v>27696</v>
      </c>
      <c r="K1167">
        <f t="shared" si="18"/>
        <v>47</v>
      </c>
    </row>
    <row r="1168" spans="1:11" x14ac:dyDescent="0.35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 s="15">
        <v>9625.92</v>
      </c>
      <c r="G1168" t="s">
        <v>11</v>
      </c>
      <c r="H1168" t="s">
        <v>12</v>
      </c>
      <c r="I1168" t="s">
        <v>42</v>
      </c>
      <c r="J1168" s="11">
        <f>DATE(B1168,MATCH(C1168,{"Jan","Feb","Mar","Apr","May","Jun","Jul","Aug","Sep","Oct","Nov","Dec"},0),D1168)</f>
        <v>25918</v>
      </c>
      <c r="K1168">
        <f t="shared" si="18"/>
        <v>52</v>
      </c>
    </row>
    <row r="1169" spans="1:11" x14ac:dyDescent="0.35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 s="15">
        <v>9628.7900000000009</v>
      </c>
      <c r="G1169" t="s">
        <v>11</v>
      </c>
      <c r="H1169" t="s">
        <v>11</v>
      </c>
      <c r="I1169" t="s">
        <v>535</v>
      </c>
      <c r="J1169" s="11">
        <f>DATE(B1169,MATCH(C1169,{"Jan","Feb","Mar","Apr","May","Jun","Jul","Aug","Sep","Oct","Nov","Dec"},0),D1169)</f>
        <v>35969</v>
      </c>
      <c r="K1169">
        <f t="shared" si="18"/>
        <v>24</v>
      </c>
    </row>
    <row r="1170" spans="1:11" x14ac:dyDescent="0.35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 s="15">
        <v>9630.2999999999993</v>
      </c>
      <c r="G1170" t="s">
        <v>11</v>
      </c>
      <c r="H1170" t="s">
        <v>11</v>
      </c>
      <c r="I1170" t="s">
        <v>300</v>
      </c>
      <c r="J1170" s="11">
        <f>DATE(B1170,MATCH(C1170,{"Jan","Feb","Mar","Apr","May","Jun","Jul","Aug","Sep","Oct","Nov","Dec"},0),D1170)</f>
        <v>29208</v>
      </c>
      <c r="K1170">
        <f t="shared" si="18"/>
        <v>43</v>
      </c>
    </row>
    <row r="1171" spans="1:11" x14ac:dyDescent="0.35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 s="15">
        <v>9630.4</v>
      </c>
      <c r="G1171" t="s">
        <v>11</v>
      </c>
      <c r="H1171" t="s">
        <v>11</v>
      </c>
      <c r="I1171" t="s">
        <v>42</v>
      </c>
      <c r="J1171" s="11">
        <f>DATE(B1171,MATCH(C1171,{"Jan","Feb","Mar","Apr","May","Jun","Jul","Aug","Sep","Oct","Nov","Dec"},0),D1171)</f>
        <v>26595</v>
      </c>
      <c r="K1171">
        <f t="shared" si="18"/>
        <v>50</v>
      </c>
    </row>
    <row r="1172" spans="1:11" x14ac:dyDescent="0.35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 s="15">
        <v>9630.91</v>
      </c>
      <c r="G1172" t="s">
        <v>12</v>
      </c>
      <c r="H1172" t="s">
        <v>11</v>
      </c>
      <c r="I1172" t="s">
        <v>13</v>
      </c>
      <c r="J1172" s="11">
        <f>DATE(B1172,MATCH(C1172,{"Jan","Feb","Mar","Apr","May","Jun","Jul","Aug","Sep","Oct","Nov","Dec"},0),D1172)</f>
        <v>25011</v>
      </c>
      <c r="K1172">
        <f t="shared" si="18"/>
        <v>54</v>
      </c>
    </row>
    <row r="1173" spans="1:11" x14ac:dyDescent="0.35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 s="15">
        <v>9634.5400000000009</v>
      </c>
      <c r="G1173" t="s">
        <v>11</v>
      </c>
      <c r="H1173" t="s">
        <v>11</v>
      </c>
      <c r="I1173" t="s">
        <v>42</v>
      </c>
      <c r="J1173" s="11">
        <f>DATE(B1173,MATCH(C1173,{"Jan","Feb","Mar","Apr","May","Jun","Jul","Aug","Sep","Oct","Nov","Dec"},0),D1173)</f>
        <v>25841</v>
      </c>
      <c r="K1173">
        <f t="shared" si="18"/>
        <v>52</v>
      </c>
    </row>
    <row r="1174" spans="1:11" x14ac:dyDescent="0.35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 s="15">
        <v>9644.25</v>
      </c>
      <c r="G1174" t="s">
        <v>11</v>
      </c>
      <c r="H1174" t="s">
        <v>16</v>
      </c>
      <c r="I1174" t="s">
        <v>23</v>
      </c>
      <c r="J1174" s="11">
        <f>DATE(B1174,MATCH(C1174,{"Jan","Feb","Mar","Apr","May","Jun","Jul","Aug","Sep","Oct","Nov","Dec"},0),D1174)</f>
        <v>26133</v>
      </c>
      <c r="K1174">
        <f t="shared" si="18"/>
        <v>51</v>
      </c>
    </row>
    <row r="1175" spans="1:11" x14ac:dyDescent="0.35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 s="15">
        <v>9653.81</v>
      </c>
      <c r="G1175" t="s">
        <v>11</v>
      </c>
      <c r="H1175" t="s">
        <v>11</v>
      </c>
      <c r="I1175" t="s">
        <v>42</v>
      </c>
      <c r="J1175" s="11">
        <f>DATE(B1175,MATCH(C1175,{"Jan","Feb","Mar","Apr","May","Jun","Jul","Aug","Sep","Oct","Nov","Dec"},0),D1175)</f>
        <v>27218</v>
      </c>
      <c r="K1175">
        <f t="shared" si="18"/>
        <v>48</v>
      </c>
    </row>
    <row r="1176" spans="1:11" x14ac:dyDescent="0.35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 s="15">
        <v>9664.34</v>
      </c>
      <c r="G1176" t="s">
        <v>11</v>
      </c>
      <c r="H1176" t="s">
        <v>12</v>
      </c>
      <c r="I1176" t="s">
        <v>42</v>
      </c>
      <c r="J1176" s="11">
        <f>DATE(B1176,MATCH(C1176,{"Jan","Feb","Mar","Apr","May","Jun","Jul","Aug","Sep","Oct","Nov","Dec"},0),D1176)</f>
        <v>29806</v>
      </c>
      <c r="K1176">
        <f t="shared" si="18"/>
        <v>41</v>
      </c>
    </row>
    <row r="1177" spans="1:11" x14ac:dyDescent="0.35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 s="15">
        <v>9684.2900000000009</v>
      </c>
      <c r="G1177" t="s">
        <v>12</v>
      </c>
      <c r="H1177" t="s">
        <v>11</v>
      </c>
      <c r="I1177" t="s">
        <v>13</v>
      </c>
      <c r="J1177" s="11">
        <f>DATE(B1177,MATCH(C1177,{"Jan","Feb","Mar","Apr","May","Jun","Jul","Aug","Sep","Oct","Nov","Dec"},0),D1177)</f>
        <v>24366</v>
      </c>
      <c r="K1177">
        <f t="shared" si="18"/>
        <v>56</v>
      </c>
    </row>
    <row r="1178" spans="1:11" x14ac:dyDescent="0.35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 s="15">
        <v>9698.42</v>
      </c>
      <c r="G1178" t="s">
        <v>12</v>
      </c>
      <c r="H1178" t="s">
        <v>12</v>
      </c>
      <c r="I1178" t="s">
        <v>13</v>
      </c>
      <c r="J1178" s="11">
        <f>DATE(B1178,MATCH(C1178,{"Jan","Feb","Mar","Apr","May","Jun","Jul","Aug","Sep","Oct","Nov","Dec"},0),D1178)</f>
        <v>23688</v>
      </c>
      <c r="K1178">
        <f t="shared" si="18"/>
        <v>58</v>
      </c>
    </row>
    <row r="1179" spans="1:11" x14ac:dyDescent="0.35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 s="15">
        <v>9704.67</v>
      </c>
      <c r="G1179" t="s">
        <v>11</v>
      </c>
      <c r="H1179" t="s">
        <v>12</v>
      </c>
      <c r="I1179" t="s">
        <v>247</v>
      </c>
      <c r="J1179" s="11">
        <f>DATE(B1179,MATCH(C1179,{"Jan","Feb","Mar","Apr","May","Jun","Jul","Aug","Sep","Oct","Nov","Dec"},0),D1179)</f>
        <v>28387</v>
      </c>
      <c r="K1179">
        <f t="shared" si="18"/>
        <v>45</v>
      </c>
    </row>
    <row r="1180" spans="1:11" x14ac:dyDescent="0.35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 s="15">
        <v>9710.7099999999991</v>
      </c>
      <c r="G1180" t="s">
        <v>11</v>
      </c>
      <c r="H1180" t="s">
        <v>16</v>
      </c>
      <c r="I1180" t="s">
        <v>300</v>
      </c>
      <c r="J1180" s="11">
        <f>DATE(B1180,MATCH(C1180,{"Jan","Feb","Mar","Apr","May","Jun","Jul","Aug","Sep","Oct","Nov","Dec"},0),D1180)</f>
        <v>26490</v>
      </c>
      <c r="K1180">
        <f t="shared" si="18"/>
        <v>50</v>
      </c>
    </row>
    <row r="1181" spans="1:11" x14ac:dyDescent="0.35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 s="15">
        <v>9715.84</v>
      </c>
      <c r="G1181" t="s">
        <v>11</v>
      </c>
      <c r="H1181" t="s">
        <v>16</v>
      </c>
      <c r="I1181" t="s">
        <v>247</v>
      </c>
      <c r="J1181" s="11">
        <f>DATE(B1181,MATCH(C1181,{"Jan","Feb","Mar","Apr","May","Jun","Jul","Aug","Sep","Oct","Nov","Dec"},0),D1181)</f>
        <v>27572</v>
      </c>
      <c r="K1181">
        <f t="shared" si="18"/>
        <v>47</v>
      </c>
    </row>
    <row r="1182" spans="1:11" x14ac:dyDescent="0.35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 s="15">
        <v>9722.77</v>
      </c>
      <c r="G1182" t="s">
        <v>12</v>
      </c>
      <c r="H1182" t="s">
        <v>16</v>
      </c>
      <c r="I1182" t="s">
        <v>168</v>
      </c>
      <c r="J1182" s="11">
        <f>DATE(B1182,MATCH(C1182,{"Jan","Feb","Mar","Apr","May","Jun","Jul","Aug","Sep","Oct","Nov","Dec"},0),D1182)</f>
        <v>25823</v>
      </c>
      <c r="K1182">
        <f t="shared" si="18"/>
        <v>52</v>
      </c>
    </row>
    <row r="1183" spans="1:11" x14ac:dyDescent="0.35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 s="15">
        <v>9724.5300000000007</v>
      </c>
      <c r="G1183" t="s">
        <v>12</v>
      </c>
      <c r="H1183" t="s">
        <v>16</v>
      </c>
      <c r="I1183" t="s">
        <v>42</v>
      </c>
      <c r="J1183" s="11">
        <f>DATE(B1183,MATCH(C1183,{"Jan","Feb","Mar","Apr","May","Jun","Jul","Aug","Sep","Oct","Nov","Dec"},0),D1183)</f>
        <v>25798</v>
      </c>
      <c r="K1183">
        <f t="shared" si="18"/>
        <v>52</v>
      </c>
    </row>
    <row r="1184" spans="1:11" x14ac:dyDescent="0.35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 s="15">
        <v>9748.91</v>
      </c>
      <c r="G1184" t="s">
        <v>11</v>
      </c>
      <c r="H1184" t="s">
        <v>16</v>
      </c>
      <c r="I1184" t="s">
        <v>13</v>
      </c>
      <c r="J1184" s="11">
        <f>DATE(B1184,MATCH(C1184,{"Jan","Feb","Mar","Apr","May","Jun","Jul","Aug","Sep","Oct","Nov","Dec"},0),D1184)</f>
        <v>25753</v>
      </c>
      <c r="K1184">
        <f t="shared" si="18"/>
        <v>52</v>
      </c>
    </row>
    <row r="1185" spans="1:11" x14ac:dyDescent="0.35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 s="15">
        <v>9753.49</v>
      </c>
      <c r="G1185" t="s">
        <v>11</v>
      </c>
      <c r="H1185" t="s">
        <v>11</v>
      </c>
      <c r="I1185" t="s">
        <v>23</v>
      </c>
      <c r="J1185" s="11">
        <f>DATE(B1185,MATCH(C1185,{"Jan","Feb","Mar","Apr","May","Jun","Jul","Aug","Sep","Oct","Nov","Dec"},0),D1185)</f>
        <v>37086</v>
      </c>
      <c r="K1185">
        <f t="shared" si="18"/>
        <v>21</v>
      </c>
    </row>
    <row r="1186" spans="1:11" x14ac:dyDescent="0.35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 s="15">
        <v>9764.08</v>
      </c>
      <c r="G1186" t="s">
        <v>12</v>
      </c>
      <c r="H1186" t="s">
        <v>16</v>
      </c>
      <c r="I1186" t="s">
        <v>23</v>
      </c>
      <c r="J1186" s="11">
        <f>DATE(B1186,MATCH(C1186,{"Jan","Feb","Mar","Apr","May","Jun","Jul","Aug","Sep","Oct","Nov","Dec"},0),D1186)</f>
        <v>23990</v>
      </c>
      <c r="K1186">
        <f t="shared" si="18"/>
        <v>57</v>
      </c>
    </row>
    <row r="1187" spans="1:11" x14ac:dyDescent="0.35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 s="15">
        <v>9778.35</v>
      </c>
      <c r="G1187" t="s">
        <v>11</v>
      </c>
      <c r="H1187" t="s">
        <v>11</v>
      </c>
      <c r="I1187" t="s">
        <v>247</v>
      </c>
      <c r="J1187" s="11">
        <f>DATE(B1187,MATCH(C1187,{"Jan","Feb","Mar","Apr","May","Jun","Jul","Aug","Sep","Oct","Nov","Dec"},0),D1187)</f>
        <v>26852</v>
      </c>
      <c r="K1187">
        <f t="shared" si="18"/>
        <v>49</v>
      </c>
    </row>
    <row r="1188" spans="1:11" x14ac:dyDescent="0.35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 s="15">
        <v>9787.32</v>
      </c>
      <c r="G1188" t="s">
        <v>11</v>
      </c>
      <c r="H1188" t="s">
        <v>12</v>
      </c>
      <c r="I1188" t="s">
        <v>249</v>
      </c>
      <c r="J1188" s="11">
        <f>DATE(B1188,MATCH(C1188,{"Jan","Feb","Mar","Apr","May","Jun","Jul","Aug","Sep","Oct","Nov","Dec"},0),D1188)</f>
        <v>35285</v>
      </c>
      <c r="K1188">
        <f t="shared" si="18"/>
        <v>26</v>
      </c>
    </row>
    <row r="1189" spans="1:11" x14ac:dyDescent="0.35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 s="15">
        <v>9788.8700000000008</v>
      </c>
      <c r="G1189" t="s">
        <v>12</v>
      </c>
      <c r="H1189" t="s">
        <v>11</v>
      </c>
      <c r="I1189" t="s">
        <v>13</v>
      </c>
      <c r="J1189" s="11">
        <f>DATE(B1189,MATCH(C1189,{"Jan","Feb","Mar","Apr","May","Jun","Jul","Aug","Sep","Oct","Nov","Dec"},0),D1189)</f>
        <v>28283</v>
      </c>
      <c r="K1189">
        <f t="shared" si="18"/>
        <v>46</v>
      </c>
    </row>
    <row r="1190" spans="1:11" x14ac:dyDescent="0.35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 s="15">
        <v>9800.89</v>
      </c>
      <c r="G1190" t="s">
        <v>11</v>
      </c>
      <c r="H1190" t="s">
        <v>16</v>
      </c>
      <c r="I1190" t="s">
        <v>13</v>
      </c>
      <c r="J1190" s="11">
        <f>DATE(B1190,MATCH(C1190,{"Jan","Feb","Mar","Apr","May","Jun","Jul","Aug","Sep","Oct","Nov","Dec"},0),D1190)</f>
        <v>26924</v>
      </c>
      <c r="K1190">
        <f t="shared" si="18"/>
        <v>49</v>
      </c>
    </row>
    <row r="1191" spans="1:11" x14ac:dyDescent="0.35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 s="15">
        <v>9819.25</v>
      </c>
      <c r="G1191" t="s">
        <v>11</v>
      </c>
      <c r="H1191" t="s">
        <v>11</v>
      </c>
      <c r="I1191" t="s">
        <v>300</v>
      </c>
      <c r="J1191" s="11">
        <f>DATE(B1191,MATCH(C1191,{"Jan","Feb","Mar","Apr","May","Jun","Jul","Aug","Sep","Oct","Nov","Dec"},0),D1191)</f>
        <v>26478</v>
      </c>
      <c r="K1191">
        <f t="shared" si="18"/>
        <v>50</v>
      </c>
    </row>
    <row r="1192" spans="1:11" x14ac:dyDescent="0.35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 s="15">
        <v>9836.2099999999991</v>
      </c>
      <c r="G1192" t="s">
        <v>11</v>
      </c>
      <c r="H1192" t="s">
        <v>12</v>
      </c>
      <c r="I1192" t="s">
        <v>300</v>
      </c>
      <c r="J1192" s="11">
        <f>DATE(B1192,MATCH(C1192,{"Jan","Feb","Mar","Apr","May","Jun","Jul","Aug","Sep","Oct","Nov","Dec"},0),D1192)</f>
        <v>26568</v>
      </c>
      <c r="K1192">
        <f t="shared" si="18"/>
        <v>50</v>
      </c>
    </row>
    <row r="1193" spans="1:11" x14ac:dyDescent="0.35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 s="15">
        <v>9844.4500000000007</v>
      </c>
      <c r="G1193" t="s">
        <v>11</v>
      </c>
      <c r="H1193" t="s">
        <v>16</v>
      </c>
      <c r="I1193" t="s">
        <v>23</v>
      </c>
      <c r="J1193" s="11">
        <f>DATE(B1193,MATCH(C1193,{"Jan","Feb","Mar","Apr","May","Jun","Jul","Aug","Sep","Oct","Nov","Dec"},0),D1193)</f>
        <v>33829</v>
      </c>
      <c r="K1193">
        <f t="shared" si="18"/>
        <v>30</v>
      </c>
    </row>
    <row r="1194" spans="1:11" x14ac:dyDescent="0.35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 s="15">
        <v>9850.43</v>
      </c>
      <c r="G1194" t="s">
        <v>12</v>
      </c>
      <c r="H1194" t="s">
        <v>12</v>
      </c>
      <c r="I1194" t="s">
        <v>42</v>
      </c>
      <c r="J1194" s="11">
        <f>DATE(B1194,MATCH(C1194,{"Jan","Feb","Mar","Apr","May","Jun","Jul","Aug","Sep","Oct","Nov","Dec"},0),D1194)</f>
        <v>25146</v>
      </c>
      <c r="K1194">
        <f t="shared" si="18"/>
        <v>54</v>
      </c>
    </row>
    <row r="1195" spans="1:11" x14ac:dyDescent="0.35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 s="15">
        <v>9855.1299999999992</v>
      </c>
      <c r="G1195" t="s">
        <v>11</v>
      </c>
      <c r="H1195" t="s">
        <v>12</v>
      </c>
      <c r="I1195" t="s">
        <v>13</v>
      </c>
      <c r="J1195" s="11">
        <f>DATE(B1195,MATCH(C1195,{"Jan","Feb","Mar","Apr","May","Jun","Jul","Aug","Sep","Oct","Nov","Dec"},0),D1195)</f>
        <v>26229</v>
      </c>
      <c r="K1195">
        <f t="shared" si="18"/>
        <v>51</v>
      </c>
    </row>
    <row r="1196" spans="1:11" x14ac:dyDescent="0.35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 s="15">
        <v>9861.0300000000007</v>
      </c>
      <c r="G1196" t="s">
        <v>11</v>
      </c>
      <c r="H1196" t="s">
        <v>11</v>
      </c>
      <c r="I1196" t="s">
        <v>42</v>
      </c>
      <c r="J1196" s="11">
        <f>DATE(B1196,MATCH(C1196,{"Jan","Feb","Mar","Apr","May","Jun","Jul","Aug","Sep","Oct","Nov","Dec"},0),D1196)</f>
        <v>26131</v>
      </c>
      <c r="K1196">
        <f t="shared" si="18"/>
        <v>51</v>
      </c>
    </row>
    <row r="1197" spans="1:11" x14ac:dyDescent="0.35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 s="15">
        <v>9863.4699999999993</v>
      </c>
      <c r="G1197" t="s">
        <v>12</v>
      </c>
      <c r="H1197" t="s">
        <v>12</v>
      </c>
      <c r="I1197" t="s">
        <v>23</v>
      </c>
      <c r="J1197" s="11">
        <f>DATE(B1197,MATCH(C1197,{"Jan","Feb","Mar","Apr","May","Jun","Jul","Aug","Sep","Oct","Nov","Dec"},0),D1197)</f>
        <v>25496</v>
      </c>
      <c r="K1197">
        <f t="shared" si="18"/>
        <v>53</v>
      </c>
    </row>
    <row r="1198" spans="1:11" x14ac:dyDescent="0.35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 s="15">
        <v>9866.2999999999993</v>
      </c>
      <c r="G1198" t="s">
        <v>11</v>
      </c>
      <c r="H1198" t="s">
        <v>12</v>
      </c>
      <c r="I1198" t="s">
        <v>247</v>
      </c>
      <c r="J1198" s="11">
        <f>DATE(B1198,MATCH(C1198,{"Jan","Feb","Mar","Apr","May","Jun","Jul","Aug","Sep","Oct","Nov","Dec"},0),D1198)</f>
        <v>26246</v>
      </c>
      <c r="K1198">
        <f t="shared" si="18"/>
        <v>51</v>
      </c>
    </row>
    <row r="1199" spans="1:11" x14ac:dyDescent="0.35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 s="15">
        <v>9869.81</v>
      </c>
      <c r="G1199" t="s">
        <v>12</v>
      </c>
      <c r="H1199" t="s">
        <v>12</v>
      </c>
      <c r="I1199" t="s">
        <v>23</v>
      </c>
      <c r="J1199" s="11">
        <f>DATE(B1199,MATCH(C1199,{"Jan","Feb","Mar","Apr","May","Jun","Jul","Aug","Sep","Oct","Nov","Dec"},0),D1199)</f>
        <v>25428</v>
      </c>
      <c r="K1199">
        <f t="shared" si="18"/>
        <v>53</v>
      </c>
    </row>
    <row r="1200" spans="1:11" x14ac:dyDescent="0.35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 s="15">
        <v>9870.59</v>
      </c>
      <c r="G1200" t="s">
        <v>11</v>
      </c>
      <c r="H1200" t="s">
        <v>11</v>
      </c>
      <c r="I1200" t="s">
        <v>249</v>
      </c>
      <c r="J1200" s="11">
        <f>DATE(B1200,MATCH(C1200,{"Jan","Feb","Mar","Apr","May","Jun","Jul","Aug","Sep","Oct","Nov","Dec"},0),D1200)</f>
        <v>35982</v>
      </c>
      <c r="K1200">
        <f t="shared" si="18"/>
        <v>24</v>
      </c>
    </row>
    <row r="1201" spans="1:11" x14ac:dyDescent="0.35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 s="15">
        <v>9872.7000000000007</v>
      </c>
      <c r="G1201" t="s">
        <v>11</v>
      </c>
      <c r="H1201" t="s">
        <v>11</v>
      </c>
      <c r="I1201" t="s">
        <v>42</v>
      </c>
      <c r="J1201" s="11">
        <f>DATE(B1201,MATCH(C1201,{"Jan","Feb","Mar","Apr","May","Jun","Jul","Aug","Sep","Oct","Nov","Dec"},0),D1201)</f>
        <v>26289</v>
      </c>
      <c r="K1201">
        <f t="shared" si="18"/>
        <v>51</v>
      </c>
    </row>
    <row r="1202" spans="1:11" x14ac:dyDescent="0.35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 s="15">
        <v>9875.68</v>
      </c>
      <c r="G1202" t="s">
        <v>11</v>
      </c>
      <c r="H1202" t="s">
        <v>12</v>
      </c>
      <c r="I1202" t="s">
        <v>247</v>
      </c>
      <c r="J1202" s="11">
        <f>DATE(B1202,MATCH(C1202,{"Jan","Feb","Mar","Apr","May","Jun","Jul","Aug","Sep","Oct","Nov","Dec"},0),D1202)</f>
        <v>26117</v>
      </c>
      <c r="K1202">
        <f t="shared" si="18"/>
        <v>51</v>
      </c>
    </row>
    <row r="1203" spans="1:11" x14ac:dyDescent="0.35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 s="15">
        <v>9877.61</v>
      </c>
      <c r="G1203" t="s">
        <v>11</v>
      </c>
      <c r="H1203" t="s">
        <v>16</v>
      </c>
      <c r="I1203" t="s">
        <v>13</v>
      </c>
      <c r="J1203" s="11">
        <f>DATE(B1203,MATCH(C1203,{"Jan","Feb","Mar","Apr","May","Jun","Jul","Aug","Sep","Oct","Nov","Dec"},0),D1203)</f>
        <v>26209</v>
      </c>
      <c r="K1203">
        <f t="shared" si="18"/>
        <v>51</v>
      </c>
    </row>
    <row r="1204" spans="1:11" x14ac:dyDescent="0.35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 s="15">
        <v>9880.07</v>
      </c>
      <c r="G1204" t="s">
        <v>11</v>
      </c>
      <c r="H1204" t="s">
        <v>12</v>
      </c>
      <c r="I1204" t="s">
        <v>42</v>
      </c>
      <c r="J1204" s="11">
        <f>DATE(B1204,MATCH(C1204,{"Jan","Feb","Mar","Apr","May","Jun","Jul","Aug","Sep","Oct","Nov","Dec"},0),D1204)</f>
        <v>26245</v>
      </c>
      <c r="K1204">
        <f t="shared" si="18"/>
        <v>51</v>
      </c>
    </row>
    <row r="1205" spans="1:11" x14ac:dyDescent="0.35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 s="15">
        <v>9890.23</v>
      </c>
      <c r="G1205" t="s">
        <v>12</v>
      </c>
      <c r="H1205" t="s">
        <v>12</v>
      </c>
      <c r="I1205" t="s">
        <v>13</v>
      </c>
      <c r="J1205" s="11">
        <f>DATE(B1205,MATCH(C1205,{"Jan","Feb","Mar","Apr","May","Jun","Jul","Aug","Sep","Oct","Nov","Dec"},0),D1205)</f>
        <v>24416</v>
      </c>
      <c r="K1205">
        <f t="shared" si="18"/>
        <v>56</v>
      </c>
    </row>
    <row r="1206" spans="1:11" x14ac:dyDescent="0.35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 s="15">
        <v>9894.69</v>
      </c>
      <c r="G1206" t="s">
        <v>11</v>
      </c>
      <c r="H1206" t="s">
        <v>12</v>
      </c>
      <c r="I1206" t="s">
        <v>23</v>
      </c>
      <c r="J1206" s="11">
        <f>DATE(B1206,MATCH(C1206,{"Jan","Feb","Mar","Apr","May","Jun","Jul","Aug","Sep","Oct","Nov","Dec"},0),D1206)</f>
        <v>35254</v>
      </c>
      <c r="K1206">
        <f t="shared" si="18"/>
        <v>26</v>
      </c>
    </row>
    <row r="1207" spans="1:11" x14ac:dyDescent="0.35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 s="15">
        <v>9907.83</v>
      </c>
      <c r="G1207" t="s">
        <v>12</v>
      </c>
      <c r="H1207" t="s">
        <v>11</v>
      </c>
      <c r="I1207" t="s">
        <v>13</v>
      </c>
      <c r="J1207" s="11">
        <f>DATE(B1207,MATCH(C1207,{"Jan","Feb","Mar","Apr","May","Jun","Jul","Aug","Sep","Oct","Nov","Dec"},0),D1207)</f>
        <v>22875</v>
      </c>
      <c r="K1207">
        <f t="shared" si="18"/>
        <v>60</v>
      </c>
    </row>
    <row r="1208" spans="1:11" x14ac:dyDescent="0.35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 s="15">
        <v>9910.36</v>
      </c>
      <c r="G1208" t="s">
        <v>11</v>
      </c>
      <c r="H1208" t="s">
        <v>12</v>
      </c>
      <c r="I1208" t="s">
        <v>23</v>
      </c>
      <c r="J1208" s="11">
        <f>DATE(B1208,MATCH(C1208,{"Jan","Feb","Mar","Apr","May","Jun","Jul","Aug","Sep","Oct","Nov","Dec"},0),D1208)</f>
        <v>26556</v>
      </c>
      <c r="K1208">
        <f t="shared" si="18"/>
        <v>50</v>
      </c>
    </row>
    <row r="1209" spans="1:11" x14ac:dyDescent="0.35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 s="15">
        <v>9930.64</v>
      </c>
      <c r="G1209" t="s">
        <v>11</v>
      </c>
      <c r="H1209" t="s">
        <v>12</v>
      </c>
      <c r="I1209" t="s">
        <v>200</v>
      </c>
      <c r="J1209" s="11">
        <f>DATE(B1209,MATCH(C1209,{"Jan","Feb","Mar","Apr","May","Jun","Jul","Aug","Sep","Oct","Nov","Dec"},0),D1209)</f>
        <v>31278</v>
      </c>
      <c r="K1209">
        <f t="shared" si="18"/>
        <v>37</v>
      </c>
    </row>
    <row r="1210" spans="1:11" x14ac:dyDescent="0.35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 s="15">
        <v>9931.9599999999991</v>
      </c>
      <c r="G1210" t="s">
        <v>11</v>
      </c>
      <c r="H1210" t="s">
        <v>11</v>
      </c>
      <c r="I1210" t="s">
        <v>23</v>
      </c>
      <c r="J1210" s="11">
        <f>DATE(B1210,MATCH(C1210,{"Jan","Feb","Mar","Apr","May","Jun","Jul","Aug","Sep","Oct","Nov","Dec"},0),D1210)</f>
        <v>30653</v>
      </c>
      <c r="K1210">
        <f t="shared" si="18"/>
        <v>39</v>
      </c>
    </row>
    <row r="1211" spans="1:11" x14ac:dyDescent="0.35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 s="15">
        <v>9933.44</v>
      </c>
      <c r="G1211" t="s">
        <v>12</v>
      </c>
      <c r="H1211" t="s">
        <v>12</v>
      </c>
      <c r="I1211" t="s">
        <v>13</v>
      </c>
      <c r="J1211" s="11">
        <f>DATE(B1211,MATCH(C1211,{"Jan","Feb","Mar","Apr","May","Jun","Jul","Aug","Sep","Oct","Nov","Dec"},0),D1211)</f>
        <v>23631</v>
      </c>
      <c r="K1211">
        <f t="shared" si="18"/>
        <v>58</v>
      </c>
    </row>
    <row r="1212" spans="1:11" x14ac:dyDescent="0.35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 s="15">
        <v>9957.7199999999993</v>
      </c>
      <c r="G1212" t="s">
        <v>11</v>
      </c>
      <c r="H1212" t="s">
        <v>12</v>
      </c>
      <c r="I1212" t="s">
        <v>170</v>
      </c>
      <c r="J1212" s="11">
        <f>DATE(B1212,MATCH(C1212,{"Jan","Feb","Mar","Apr","May","Jun","Jul","Aug","Sep","Oct","Nov","Dec"},0),D1212)</f>
        <v>26293</v>
      </c>
      <c r="K1212">
        <f t="shared" si="18"/>
        <v>51</v>
      </c>
    </row>
    <row r="1213" spans="1:11" x14ac:dyDescent="0.35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 s="15">
        <v>9964.06</v>
      </c>
      <c r="G1213" t="s">
        <v>11</v>
      </c>
      <c r="H1213" t="s">
        <v>11</v>
      </c>
      <c r="I1213" t="s">
        <v>166</v>
      </c>
      <c r="J1213" s="11">
        <f>DATE(B1213,MATCH(C1213,{"Jan","Feb","Mar","Apr","May","Jun","Jul","Aug","Sep","Oct","Nov","Dec"},0),D1213)</f>
        <v>26212</v>
      </c>
      <c r="K1213">
        <f t="shared" si="18"/>
        <v>51</v>
      </c>
    </row>
    <row r="1214" spans="1:11" x14ac:dyDescent="0.35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 s="15">
        <v>9991.0400000000009</v>
      </c>
      <c r="G1214" t="s">
        <v>11</v>
      </c>
      <c r="H1214" t="s">
        <v>12</v>
      </c>
      <c r="I1214" t="s">
        <v>23</v>
      </c>
      <c r="J1214" s="11">
        <f>DATE(B1214,MATCH(C1214,{"Jan","Feb","Mar","Apr","May","Jun","Jul","Aug","Sep","Oct","Nov","Dec"},0),D1214)</f>
        <v>25791</v>
      </c>
      <c r="K1214">
        <f t="shared" si="18"/>
        <v>52</v>
      </c>
    </row>
    <row r="1215" spans="1:11" x14ac:dyDescent="0.35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 s="15">
        <v>10011.44</v>
      </c>
      <c r="G1215" t="s">
        <v>12</v>
      </c>
      <c r="H1215" t="s">
        <v>12</v>
      </c>
      <c r="I1215" t="s">
        <v>535</v>
      </c>
      <c r="J1215" s="11">
        <f>DATE(B1215,MATCH(C1215,{"Jan","Feb","Mar","Apr","May","Jun","Jul","Aug","Sep","Oct","Nov","Dec"},0),D1215)</f>
        <v>32327</v>
      </c>
      <c r="K1215">
        <f t="shared" si="18"/>
        <v>34</v>
      </c>
    </row>
    <row r="1216" spans="1:11" x14ac:dyDescent="0.35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 s="15">
        <v>10027.15</v>
      </c>
      <c r="G1216" t="s">
        <v>12</v>
      </c>
      <c r="H1216" t="s">
        <v>16</v>
      </c>
      <c r="I1216" t="s">
        <v>300</v>
      </c>
      <c r="J1216" s="11">
        <f>DATE(B1216,MATCH(C1216,{"Jan","Feb","Mar","Apr","May","Jun","Jul","Aug","Sep","Oct","Nov","Dec"},0),D1216)</f>
        <v>29217</v>
      </c>
      <c r="K1216">
        <f t="shared" si="18"/>
        <v>43</v>
      </c>
    </row>
    <row r="1217" spans="1:11" x14ac:dyDescent="0.35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 s="15">
        <v>10043.25</v>
      </c>
      <c r="G1217" t="s">
        <v>12</v>
      </c>
      <c r="H1217" t="s">
        <v>11</v>
      </c>
      <c r="I1217" t="s">
        <v>247</v>
      </c>
      <c r="J1217" s="11">
        <f>DATE(B1217,MATCH(C1217,{"Jan","Feb","Mar","Apr","May","Jun","Jul","Aug","Sep","Oct","Nov","Dec"},0),D1217)</f>
        <v>27271</v>
      </c>
      <c r="K1217">
        <f t="shared" si="18"/>
        <v>48</v>
      </c>
    </row>
    <row r="1218" spans="1:11" x14ac:dyDescent="0.35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 s="15">
        <v>10065.41</v>
      </c>
      <c r="G1218" t="s">
        <v>12</v>
      </c>
      <c r="H1218" t="s">
        <v>11</v>
      </c>
      <c r="I1218" t="s">
        <v>42</v>
      </c>
      <c r="J1218" s="11">
        <f>DATE(B1218,MATCH(C1218,{"Jan","Feb","Mar","Apr","May","Jun","Jul","Aug","Sep","Oct","Nov","Dec"},0),D1218)</f>
        <v>25437</v>
      </c>
      <c r="K1218">
        <f t="shared" si="18"/>
        <v>53</v>
      </c>
    </row>
    <row r="1219" spans="1:11" x14ac:dyDescent="0.35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 s="15">
        <v>10072.06</v>
      </c>
      <c r="G1219" t="s">
        <v>12</v>
      </c>
      <c r="H1219" t="s">
        <v>16</v>
      </c>
      <c r="I1219" t="s">
        <v>356</v>
      </c>
      <c r="J1219" s="11">
        <f>DATE(B1219,MATCH(C1219,{"Jan","Feb","Mar","Apr","May","Jun","Jul","Aug","Sep","Oct","Nov","Dec"},0),D1219)</f>
        <v>25503</v>
      </c>
      <c r="K1219">
        <f t="shared" ref="K1219:K1282" si="19">DATEDIF(J1219,$N$1,"Y")</f>
        <v>53</v>
      </c>
    </row>
    <row r="1220" spans="1:11" x14ac:dyDescent="0.35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 s="15">
        <v>10085.85</v>
      </c>
      <c r="G1220" t="s">
        <v>12</v>
      </c>
      <c r="H1220" t="s">
        <v>12</v>
      </c>
      <c r="I1220" t="s">
        <v>42</v>
      </c>
      <c r="J1220" s="11">
        <f>DATE(B1220,MATCH(C1220,{"Jan","Feb","Mar","Apr","May","Jun","Jul","Aug","Sep","Oct","Nov","Dec"},0),D1220)</f>
        <v>25387</v>
      </c>
      <c r="K1220">
        <f t="shared" si="19"/>
        <v>53</v>
      </c>
    </row>
    <row r="1221" spans="1:11" x14ac:dyDescent="0.35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 s="15">
        <v>10096.969999999999</v>
      </c>
      <c r="G1221" t="s">
        <v>12</v>
      </c>
      <c r="H1221" t="s">
        <v>11</v>
      </c>
      <c r="I1221" t="s">
        <v>42</v>
      </c>
      <c r="J1221" s="11">
        <f>DATE(B1221,MATCH(C1221,{"Jan","Feb","Mar","Apr","May","Jun","Jul","Aug","Sep","Oct","Nov","Dec"},0),D1221)</f>
        <v>28113</v>
      </c>
      <c r="K1221">
        <f t="shared" si="19"/>
        <v>46</v>
      </c>
    </row>
    <row r="1222" spans="1:11" x14ac:dyDescent="0.35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 s="15">
        <v>10106.129999999999</v>
      </c>
      <c r="G1222" t="s">
        <v>12</v>
      </c>
      <c r="H1222" t="s">
        <v>16</v>
      </c>
      <c r="I1222" t="s">
        <v>247</v>
      </c>
      <c r="J1222" s="11">
        <f>DATE(B1222,MATCH(C1222,{"Jan","Feb","Mar","Apr","May","Jun","Jul","Aug","Sep","Oct","Nov","Dec"},0),D1222)</f>
        <v>26591</v>
      </c>
      <c r="K1222">
        <f t="shared" si="19"/>
        <v>50</v>
      </c>
    </row>
    <row r="1223" spans="1:11" x14ac:dyDescent="0.35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 s="15">
        <v>10107.219999999999</v>
      </c>
      <c r="G1223" t="s">
        <v>12</v>
      </c>
      <c r="H1223" t="s">
        <v>16</v>
      </c>
      <c r="I1223" t="s">
        <v>13</v>
      </c>
      <c r="J1223" s="11">
        <f>DATE(B1223,MATCH(C1223,{"Jan","Feb","Mar","Apr","May","Jun","Jul","Aug","Sep","Oct","Nov","Dec"},0),D1223)</f>
        <v>26519</v>
      </c>
      <c r="K1223">
        <f t="shared" si="19"/>
        <v>50</v>
      </c>
    </row>
    <row r="1224" spans="1:11" x14ac:dyDescent="0.35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 s="15">
        <v>10115.01</v>
      </c>
      <c r="G1224" t="s">
        <v>12</v>
      </c>
      <c r="H1224" t="s">
        <v>12</v>
      </c>
      <c r="I1224" t="s">
        <v>23</v>
      </c>
      <c r="J1224" s="11">
        <f>DATE(B1224,MATCH(C1224,{"Jan","Feb","Mar","Apr","May","Jun","Jul","Aug","Sep","Oct","Nov","Dec"},0),D1224)</f>
        <v>27577</v>
      </c>
      <c r="K1224">
        <f t="shared" si="19"/>
        <v>47</v>
      </c>
    </row>
    <row r="1225" spans="1:11" x14ac:dyDescent="0.35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 s="15">
        <v>10118.42</v>
      </c>
      <c r="G1225" t="s">
        <v>12</v>
      </c>
      <c r="H1225" t="s">
        <v>12</v>
      </c>
      <c r="I1225" t="s">
        <v>42</v>
      </c>
      <c r="J1225" s="11">
        <f>DATE(B1225,MATCH(C1225,{"Jan","Feb","Mar","Apr","May","Jun","Jul","Aug","Sep","Oct","Nov","Dec"},0),D1225)</f>
        <v>26619</v>
      </c>
      <c r="K1225">
        <f t="shared" si="19"/>
        <v>50</v>
      </c>
    </row>
    <row r="1226" spans="1:11" x14ac:dyDescent="0.35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 s="15">
        <v>10139.84</v>
      </c>
      <c r="G1226" t="s">
        <v>12</v>
      </c>
      <c r="H1226" t="s">
        <v>11</v>
      </c>
      <c r="I1226" t="s">
        <v>23</v>
      </c>
      <c r="J1226" s="11">
        <f>DATE(B1226,MATCH(C1226,{"Jan","Feb","Mar","Apr","May","Jun","Jul","Aug","Sep","Oct","Nov","Dec"},0),D1226)</f>
        <v>35678</v>
      </c>
      <c r="K1226">
        <f t="shared" si="19"/>
        <v>25</v>
      </c>
    </row>
    <row r="1227" spans="1:11" x14ac:dyDescent="0.35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 s="15">
        <v>10141.14</v>
      </c>
      <c r="G1227" t="s">
        <v>12</v>
      </c>
      <c r="H1227" t="s">
        <v>16</v>
      </c>
      <c r="I1227" t="s">
        <v>168</v>
      </c>
      <c r="J1227" s="11">
        <f>DATE(B1227,MATCH(C1227,{"Jan","Feb","Mar","Apr","May","Jun","Jul","Aug","Sep","Oct","Nov","Dec"},0),D1227)</f>
        <v>27393</v>
      </c>
      <c r="K1227">
        <f t="shared" si="19"/>
        <v>48</v>
      </c>
    </row>
    <row r="1228" spans="1:11" x14ac:dyDescent="0.35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 s="15">
        <v>10146.129999999999</v>
      </c>
      <c r="G1228" t="s">
        <v>12</v>
      </c>
      <c r="H1228" t="s">
        <v>16</v>
      </c>
      <c r="I1228" t="s">
        <v>200</v>
      </c>
      <c r="J1228" s="11">
        <f>DATE(B1228,MATCH(C1228,{"Jan","Feb","Mar","Apr","May","Jun","Jul","Aug","Sep","Oct","Nov","Dec"},0),D1228)</f>
        <v>29749</v>
      </c>
      <c r="K1228">
        <f t="shared" si="19"/>
        <v>41</v>
      </c>
    </row>
    <row r="1229" spans="1:11" x14ac:dyDescent="0.35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 s="15">
        <v>10156.780000000001</v>
      </c>
      <c r="G1229" t="s">
        <v>12</v>
      </c>
      <c r="H1229" t="s">
        <v>11</v>
      </c>
      <c r="I1229" t="s">
        <v>23</v>
      </c>
      <c r="J1229" s="11">
        <f>DATE(B1229,MATCH(C1229,{"Jan","Feb","Mar","Apr","May","Jun","Jul","Aug","Sep","Oct","Nov","Dec"},0),D1229)</f>
        <v>26950</v>
      </c>
      <c r="K1229">
        <f t="shared" si="19"/>
        <v>49</v>
      </c>
    </row>
    <row r="1230" spans="1:11" x14ac:dyDescent="0.35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 s="15">
        <v>10160.870000000001</v>
      </c>
      <c r="G1230" t="s">
        <v>12</v>
      </c>
      <c r="H1230" t="s">
        <v>12</v>
      </c>
      <c r="I1230" t="s">
        <v>200</v>
      </c>
      <c r="J1230" s="11">
        <f>DATE(B1230,MATCH(C1230,{"Jan","Feb","Mar","Apr","May","Jun","Jul","Aug","Sep","Oct","Nov","Dec"},0),D1230)</f>
        <v>26490</v>
      </c>
      <c r="K1230">
        <f t="shared" si="19"/>
        <v>50</v>
      </c>
    </row>
    <row r="1231" spans="1:11" x14ac:dyDescent="0.35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 s="15">
        <v>10191.82</v>
      </c>
      <c r="G1231" t="s">
        <v>12</v>
      </c>
      <c r="H1231" t="s">
        <v>11</v>
      </c>
      <c r="I1231" t="s">
        <v>535</v>
      </c>
      <c r="J1231" s="11">
        <f>DATE(B1231,MATCH(C1231,{"Jan","Feb","Mar","Apr","May","Jun","Jul","Aug","Sep","Oct","Nov","Dec"},0),D1231)</f>
        <v>31336</v>
      </c>
      <c r="K1231">
        <f t="shared" si="19"/>
        <v>37</v>
      </c>
    </row>
    <row r="1232" spans="1:11" x14ac:dyDescent="0.35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 s="15">
        <v>10197.77</v>
      </c>
      <c r="G1232" t="s">
        <v>12</v>
      </c>
      <c r="H1232" t="s">
        <v>16</v>
      </c>
      <c r="I1232" t="s">
        <v>247</v>
      </c>
      <c r="J1232" s="11">
        <f>DATE(B1232,MATCH(C1232,{"Jan","Feb","Mar","Apr","May","Jun","Jul","Aug","Sep","Oct","Nov","Dec"},0),D1232)</f>
        <v>25926</v>
      </c>
      <c r="K1232">
        <f t="shared" si="19"/>
        <v>52</v>
      </c>
    </row>
    <row r="1233" spans="1:11" x14ac:dyDescent="0.35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 s="15">
        <v>10214.64</v>
      </c>
      <c r="G1233" t="s">
        <v>12</v>
      </c>
      <c r="H1233" t="s">
        <v>11</v>
      </c>
      <c r="I1233" t="s">
        <v>42</v>
      </c>
      <c r="J1233" s="11">
        <f>DATE(B1233,MATCH(C1233,{"Jan","Feb","Mar","Apr","May","Jun","Jul","Aug","Sep","Oct","Nov","Dec"},0),D1233)</f>
        <v>24741</v>
      </c>
      <c r="K1233">
        <f t="shared" si="19"/>
        <v>55</v>
      </c>
    </row>
    <row r="1234" spans="1:11" x14ac:dyDescent="0.35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 s="15">
        <v>10226.280000000001</v>
      </c>
      <c r="G1234" t="s">
        <v>12</v>
      </c>
      <c r="H1234" t="s">
        <v>12</v>
      </c>
      <c r="I1234" t="s">
        <v>13</v>
      </c>
      <c r="J1234" s="11">
        <f>DATE(B1234,MATCH(C1234,{"Jan","Feb","Mar","Apr","May","Jun","Jul","Aug","Sep","Oct","Nov","Dec"},0),D1234)</f>
        <v>24651</v>
      </c>
      <c r="K1234">
        <f t="shared" si="19"/>
        <v>55</v>
      </c>
    </row>
    <row r="1235" spans="1:11" x14ac:dyDescent="0.35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 s="15">
        <v>10231.5</v>
      </c>
      <c r="G1235" t="s">
        <v>12</v>
      </c>
      <c r="H1235" t="s">
        <v>16</v>
      </c>
      <c r="I1235" t="s">
        <v>23</v>
      </c>
      <c r="J1235" s="11">
        <f>DATE(B1235,MATCH(C1235,{"Jan","Feb","Mar","Apr","May","Jun","Jul","Aug","Sep","Oct","Nov","Dec"},0),D1235)</f>
        <v>25104</v>
      </c>
      <c r="K1235">
        <f t="shared" si="19"/>
        <v>54</v>
      </c>
    </row>
    <row r="1236" spans="1:11" x14ac:dyDescent="0.35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 s="15">
        <v>10259.129999999999</v>
      </c>
      <c r="G1236" t="s">
        <v>12</v>
      </c>
      <c r="H1236" t="s">
        <v>11</v>
      </c>
      <c r="I1236" t="s">
        <v>42</v>
      </c>
      <c r="J1236" s="11">
        <f>DATE(B1236,MATCH(C1236,{"Jan","Feb","Mar","Apr","May","Jun","Jul","Aug","Sep","Oct","Nov","Dec"},0),D1236)</f>
        <v>27621</v>
      </c>
      <c r="K1236">
        <f t="shared" si="19"/>
        <v>47</v>
      </c>
    </row>
    <row r="1237" spans="1:11" x14ac:dyDescent="0.35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 s="15">
        <v>10264.44</v>
      </c>
      <c r="G1237" t="s">
        <v>12</v>
      </c>
      <c r="H1237" t="s">
        <v>11</v>
      </c>
      <c r="I1237" t="s">
        <v>23</v>
      </c>
      <c r="J1237" s="11">
        <f>DATE(B1237,MATCH(C1237,{"Jan","Feb","Mar","Apr","May","Jun","Jul","Aug","Sep","Oct","Nov","Dec"},0),D1237)</f>
        <v>26912</v>
      </c>
      <c r="K1237">
        <f t="shared" si="19"/>
        <v>49</v>
      </c>
    </row>
    <row r="1238" spans="1:11" x14ac:dyDescent="0.35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 s="15">
        <v>10269.459999999999</v>
      </c>
      <c r="G1238" t="s">
        <v>12</v>
      </c>
      <c r="H1238" t="s">
        <v>12</v>
      </c>
      <c r="I1238" t="s">
        <v>23</v>
      </c>
      <c r="J1238" s="11">
        <f>DATE(B1238,MATCH(C1238,{"Jan","Feb","Mar","Apr","May","Jun","Jul","Aug","Sep","Oct","Nov","Dec"},0),D1238)</f>
        <v>26995</v>
      </c>
      <c r="K1238">
        <f t="shared" si="19"/>
        <v>49</v>
      </c>
    </row>
    <row r="1239" spans="1:11" x14ac:dyDescent="0.35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 s="15">
        <v>10274.33</v>
      </c>
      <c r="G1239" t="s">
        <v>12</v>
      </c>
      <c r="H1239" t="s">
        <v>16</v>
      </c>
      <c r="I1239" t="s">
        <v>247</v>
      </c>
      <c r="J1239" s="11">
        <f>DATE(B1239,MATCH(C1239,{"Jan","Feb","Mar","Apr","May","Jun","Jul","Aug","Sep","Oct","Nov","Dec"},0),D1239)</f>
        <v>25740</v>
      </c>
      <c r="K1239">
        <f t="shared" si="19"/>
        <v>52</v>
      </c>
    </row>
    <row r="1240" spans="1:11" x14ac:dyDescent="0.35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 s="15">
        <v>10276.99</v>
      </c>
      <c r="G1240" t="s">
        <v>12</v>
      </c>
      <c r="H1240" t="s">
        <v>16</v>
      </c>
      <c r="I1240" t="s">
        <v>300</v>
      </c>
      <c r="J1240" s="11">
        <f>DATE(B1240,MATCH(C1240,{"Jan","Feb","Mar","Apr","May","Jun","Jul","Aug","Sep","Oct","Nov","Dec"},0),D1240)</f>
        <v>32400</v>
      </c>
      <c r="K1240">
        <f t="shared" si="19"/>
        <v>34</v>
      </c>
    </row>
    <row r="1241" spans="1:11" x14ac:dyDescent="0.35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 s="15">
        <v>10308.040000000001</v>
      </c>
      <c r="G1241" t="s">
        <v>12</v>
      </c>
      <c r="H1241" t="s">
        <v>16</v>
      </c>
      <c r="I1241" t="s">
        <v>13</v>
      </c>
      <c r="J1241" s="11">
        <f>DATE(B1241,MATCH(C1241,{"Jan","Feb","Mar","Apr","May","Jun","Jul","Aug","Sep","Oct","Nov","Dec"},0),D1241)</f>
        <v>23278</v>
      </c>
      <c r="K1241">
        <f t="shared" si="19"/>
        <v>59</v>
      </c>
    </row>
    <row r="1242" spans="1:11" x14ac:dyDescent="0.35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 s="15">
        <v>10310.780000000001</v>
      </c>
      <c r="G1242" t="s">
        <v>12</v>
      </c>
      <c r="H1242" t="s">
        <v>12</v>
      </c>
      <c r="I1242" t="s">
        <v>23</v>
      </c>
      <c r="J1242" s="11">
        <f>DATE(B1242,MATCH(C1242,{"Jan","Feb","Mar","Apr","May","Jun","Jul","Aug","Sep","Oct","Nov","Dec"},0),D1242)</f>
        <v>22839</v>
      </c>
      <c r="K1242">
        <f t="shared" si="19"/>
        <v>60</v>
      </c>
    </row>
    <row r="1243" spans="1:11" x14ac:dyDescent="0.35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 s="15">
        <v>10315.91</v>
      </c>
      <c r="G1243" t="s">
        <v>12</v>
      </c>
      <c r="H1243" t="s">
        <v>11</v>
      </c>
      <c r="I1243" t="s">
        <v>23</v>
      </c>
      <c r="J1243" s="11">
        <f>DATE(B1243,MATCH(C1243,{"Jan","Feb","Mar","Apr","May","Jun","Jul","Aug","Sep","Oct","Nov","Dec"},0),D1243)</f>
        <v>33559</v>
      </c>
      <c r="K1243">
        <f t="shared" si="19"/>
        <v>31</v>
      </c>
    </row>
    <row r="1244" spans="1:11" x14ac:dyDescent="0.35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 s="15">
        <v>10322.9</v>
      </c>
      <c r="G1244" t="s">
        <v>12</v>
      </c>
      <c r="H1244" t="s">
        <v>16</v>
      </c>
      <c r="I1244" t="s">
        <v>535</v>
      </c>
      <c r="J1244" s="11">
        <f>DATE(B1244,MATCH(C1244,{"Jan","Feb","Mar","Apr","May","Jun","Jul","Aug","Sep","Oct","Nov","Dec"},0),D1244)</f>
        <v>33471</v>
      </c>
      <c r="K1244">
        <f t="shared" si="19"/>
        <v>31</v>
      </c>
    </row>
    <row r="1245" spans="1:11" x14ac:dyDescent="0.35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 s="15">
        <v>10325.209999999999</v>
      </c>
      <c r="G1245" t="s">
        <v>12</v>
      </c>
      <c r="H1245" t="s">
        <v>12</v>
      </c>
      <c r="I1245" t="s">
        <v>42</v>
      </c>
      <c r="J1245" s="11">
        <f>DATE(B1245,MATCH(C1245,{"Jan","Feb","Mar","Apr","May","Jun","Jul","Aug","Sep","Oct","Nov","Dec"},0),D1245)</f>
        <v>25903</v>
      </c>
      <c r="K1245">
        <f t="shared" si="19"/>
        <v>52</v>
      </c>
    </row>
    <row r="1246" spans="1:11" x14ac:dyDescent="0.35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 s="15">
        <v>10329.06</v>
      </c>
      <c r="G1246" t="s">
        <v>12</v>
      </c>
      <c r="H1246" t="s">
        <v>16</v>
      </c>
      <c r="I1246" t="s">
        <v>300</v>
      </c>
      <c r="J1246" s="11">
        <f>DATE(B1246,MATCH(C1246,{"Jan","Feb","Mar","Apr","May","Jun","Jul","Aug","Sep","Oct","Nov","Dec"},0),D1246)</f>
        <v>30153</v>
      </c>
      <c r="K1246">
        <f t="shared" si="19"/>
        <v>40</v>
      </c>
    </row>
    <row r="1247" spans="1:11" x14ac:dyDescent="0.35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 s="15">
        <v>10338.93</v>
      </c>
      <c r="G1247" t="s">
        <v>12</v>
      </c>
      <c r="H1247" t="s">
        <v>16</v>
      </c>
      <c r="I1247" t="s">
        <v>13</v>
      </c>
      <c r="J1247" s="11">
        <f>DATE(B1247,MATCH(C1247,{"Jan","Feb","Mar","Apr","May","Jun","Jul","Aug","Sep","Oct","Nov","Dec"},0),D1247)</f>
        <v>25038</v>
      </c>
      <c r="K1247">
        <f t="shared" si="19"/>
        <v>54</v>
      </c>
    </row>
    <row r="1248" spans="1:11" x14ac:dyDescent="0.35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 s="15">
        <v>10345.93</v>
      </c>
      <c r="G1248" t="s">
        <v>12</v>
      </c>
      <c r="H1248" t="s">
        <v>11</v>
      </c>
      <c r="I1248" t="s">
        <v>300</v>
      </c>
      <c r="J1248" s="11">
        <f>DATE(B1248,MATCH(C1248,{"Jan","Feb","Mar","Apr","May","Jun","Jul","Aug","Sep","Oct","Nov","Dec"},0),D1248)</f>
        <v>26884</v>
      </c>
      <c r="K1248">
        <f t="shared" si="19"/>
        <v>49</v>
      </c>
    </row>
    <row r="1249" spans="1:11" x14ac:dyDescent="0.35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 s="15">
        <v>10352.48</v>
      </c>
      <c r="G1249" t="s">
        <v>12</v>
      </c>
      <c r="H1249" t="s">
        <v>16</v>
      </c>
      <c r="I1249" t="s">
        <v>23</v>
      </c>
      <c r="J1249" s="11">
        <f>DATE(B1249,MATCH(C1249,{"Jan","Feb","Mar","Apr","May","Jun","Jul","Aug","Sep","Oct","Nov","Dec"},0),D1249)</f>
        <v>27301</v>
      </c>
      <c r="K1249">
        <f t="shared" si="19"/>
        <v>48</v>
      </c>
    </row>
    <row r="1250" spans="1:11" x14ac:dyDescent="0.35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 s="15">
        <v>10355.64</v>
      </c>
      <c r="G1250" t="s">
        <v>12</v>
      </c>
      <c r="H1250" t="s">
        <v>16</v>
      </c>
      <c r="I1250" t="s">
        <v>23</v>
      </c>
      <c r="J1250" s="11">
        <f>DATE(B1250,MATCH(C1250,{"Jan","Feb","Mar","Apr","May","Jun","Jul","Aug","Sep","Oct","Nov","Dec"},0),D1250)</f>
        <v>25371</v>
      </c>
      <c r="K1250">
        <f t="shared" si="19"/>
        <v>53</v>
      </c>
    </row>
    <row r="1251" spans="1:11" x14ac:dyDescent="0.35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 s="15">
        <v>10356.67</v>
      </c>
      <c r="G1251" t="s">
        <v>12</v>
      </c>
      <c r="H1251" t="s">
        <v>16</v>
      </c>
      <c r="I1251" t="s">
        <v>200</v>
      </c>
      <c r="J1251" s="11">
        <f>DATE(B1251,MATCH(C1251,{"Jan","Feb","Mar","Apr","May","Jun","Jul","Aug","Sep","Oct","Nov","Dec"},0),D1251)</f>
        <v>26182</v>
      </c>
      <c r="K1251">
        <f t="shared" si="19"/>
        <v>51</v>
      </c>
    </row>
    <row r="1252" spans="1:11" x14ac:dyDescent="0.35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 s="15">
        <v>10370.91</v>
      </c>
      <c r="G1252" t="s">
        <v>12</v>
      </c>
      <c r="H1252" t="s">
        <v>12</v>
      </c>
      <c r="I1252" t="s">
        <v>247</v>
      </c>
      <c r="J1252" s="11">
        <f>DATE(B1252,MATCH(C1252,{"Jan","Feb","Mar","Apr","May","Jun","Jul","Aug","Sep","Oct","Nov","Dec"},0),D1252)</f>
        <v>26936</v>
      </c>
      <c r="K1252">
        <f t="shared" si="19"/>
        <v>49</v>
      </c>
    </row>
    <row r="1253" spans="1:11" x14ac:dyDescent="0.35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 s="15">
        <v>10381.48</v>
      </c>
      <c r="G1253" t="s">
        <v>12</v>
      </c>
      <c r="H1253" t="s">
        <v>12</v>
      </c>
      <c r="I1253" t="s">
        <v>13</v>
      </c>
      <c r="J1253" s="11">
        <f>DATE(B1253,MATCH(C1253,{"Jan","Feb","Mar","Apr","May","Jun","Jul","Aug","Sep","Oct","Nov","Dec"},0),D1253)</f>
        <v>26926</v>
      </c>
      <c r="K1253">
        <f t="shared" si="19"/>
        <v>49</v>
      </c>
    </row>
    <row r="1254" spans="1:11" x14ac:dyDescent="0.35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 s="15">
        <v>10403.27</v>
      </c>
      <c r="G1254" t="s">
        <v>12</v>
      </c>
      <c r="H1254" t="s">
        <v>11</v>
      </c>
      <c r="I1254" t="s">
        <v>516</v>
      </c>
      <c r="J1254" s="11">
        <f>DATE(B1254,MATCH(C1254,{"Jan","Feb","Mar","Apr","May","Jun","Jul","Aug","Sep","Oct","Nov","Dec"},0),D1254)</f>
        <v>25391</v>
      </c>
      <c r="K1254">
        <f t="shared" si="19"/>
        <v>53</v>
      </c>
    </row>
    <row r="1255" spans="1:11" x14ac:dyDescent="0.35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 s="15">
        <v>10407.09</v>
      </c>
      <c r="G1255" t="s">
        <v>12</v>
      </c>
      <c r="H1255" t="s">
        <v>16</v>
      </c>
      <c r="I1255" t="s">
        <v>164</v>
      </c>
      <c r="J1255" s="11">
        <f>DATE(B1255,MATCH(C1255,{"Jan","Feb","Mar","Apr","May","Jun","Jul","Aug","Sep","Oct","Nov","Dec"},0),D1255)</f>
        <v>27550</v>
      </c>
      <c r="K1255">
        <f t="shared" si="19"/>
        <v>48</v>
      </c>
    </row>
    <row r="1256" spans="1:11" x14ac:dyDescent="0.35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 s="15">
        <v>10407.98</v>
      </c>
      <c r="G1256" t="s">
        <v>12</v>
      </c>
      <c r="H1256" t="s">
        <v>16</v>
      </c>
      <c r="I1256" t="s">
        <v>300</v>
      </c>
      <c r="J1256" s="11">
        <f>DATE(B1256,MATCH(C1256,{"Jan","Feb","Mar","Apr","May","Jun","Jul","Aug","Sep","Oct","Nov","Dec"},0),D1256)</f>
        <v>29518</v>
      </c>
      <c r="K1256">
        <f t="shared" si="19"/>
        <v>42</v>
      </c>
    </row>
    <row r="1257" spans="1:11" x14ac:dyDescent="0.35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 s="15">
        <v>10419.59</v>
      </c>
      <c r="G1257" t="s">
        <v>12</v>
      </c>
      <c r="H1257" t="s">
        <v>11</v>
      </c>
      <c r="I1257" t="s">
        <v>200</v>
      </c>
      <c r="J1257" s="11">
        <f>DATE(B1257,MATCH(C1257,{"Jan","Feb","Mar","Apr","May","Jun","Jul","Aug","Sep","Oct","Nov","Dec"},0),D1257)</f>
        <v>26948</v>
      </c>
      <c r="K1257">
        <f t="shared" si="19"/>
        <v>49</v>
      </c>
    </row>
    <row r="1258" spans="1:11" x14ac:dyDescent="0.35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 s="15">
        <v>10419.65</v>
      </c>
      <c r="G1258" t="s">
        <v>12</v>
      </c>
      <c r="H1258" t="s">
        <v>11</v>
      </c>
      <c r="I1258" t="s">
        <v>200</v>
      </c>
      <c r="J1258" s="11">
        <f>DATE(B1258,MATCH(C1258,{"Jan","Feb","Mar","Apr","May","Jun","Jul","Aug","Sep","Oct","Nov","Dec"},0),D1258)</f>
        <v>29184</v>
      </c>
      <c r="K1258">
        <f t="shared" si="19"/>
        <v>43</v>
      </c>
    </row>
    <row r="1259" spans="1:11" x14ac:dyDescent="0.35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 s="15">
        <v>10422.92</v>
      </c>
      <c r="G1259" t="s">
        <v>12</v>
      </c>
      <c r="H1259" t="s">
        <v>16</v>
      </c>
      <c r="I1259" t="s">
        <v>356</v>
      </c>
      <c r="J1259" s="11">
        <f>DATE(B1259,MATCH(C1259,{"Jan","Feb","Mar","Apr","May","Jun","Jul","Aug","Sep","Oct","Nov","Dec"},0),D1259)</f>
        <v>25199</v>
      </c>
      <c r="K1259">
        <f t="shared" si="19"/>
        <v>54</v>
      </c>
    </row>
    <row r="1260" spans="1:11" x14ac:dyDescent="0.35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 s="15">
        <v>10435.07</v>
      </c>
      <c r="G1260" t="s">
        <v>12</v>
      </c>
      <c r="H1260" t="s">
        <v>16</v>
      </c>
      <c r="I1260" t="s">
        <v>168</v>
      </c>
      <c r="J1260" s="11">
        <f>DATE(B1260,MATCH(C1260,{"Jan","Feb","Mar","Apr","May","Jun","Jul","Aug","Sep","Oct","Nov","Dec"},0),D1260)</f>
        <v>25073</v>
      </c>
      <c r="K1260">
        <f t="shared" si="19"/>
        <v>54</v>
      </c>
    </row>
    <row r="1261" spans="1:11" x14ac:dyDescent="0.35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 s="15">
        <v>10436.1</v>
      </c>
      <c r="G1261" t="s">
        <v>12</v>
      </c>
      <c r="H1261" t="s">
        <v>12</v>
      </c>
      <c r="I1261" t="s">
        <v>42</v>
      </c>
      <c r="J1261" s="11">
        <f>DATE(B1261,MATCH(C1261,{"Jan","Feb","Mar","Apr","May","Jun","Jul","Aug","Sep","Oct","Nov","Dec"},0),D1261)</f>
        <v>25079</v>
      </c>
      <c r="K1261">
        <f t="shared" si="19"/>
        <v>54</v>
      </c>
    </row>
    <row r="1262" spans="1:11" x14ac:dyDescent="0.35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 s="15">
        <v>10450.549999999999</v>
      </c>
      <c r="G1262" t="s">
        <v>12</v>
      </c>
      <c r="H1262" t="s">
        <v>16</v>
      </c>
      <c r="I1262" t="s">
        <v>42</v>
      </c>
      <c r="J1262" s="11">
        <f>DATE(B1262,MATCH(C1262,{"Jan","Feb","Mar","Apr","May","Jun","Jul","Aug","Sep","Oct","Nov","Dec"},0),D1262)</f>
        <v>25150</v>
      </c>
      <c r="K1262">
        <f t="shared" si="19"/>
        <v>54</v>
      </c>
    </row>
    <row r="1263" spans="1:11" x14ac:dyDescent="0.35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 s="15">
        <v>10455.1</v>
      </c>
      <c r="G1263" t="s">
        <v>12</v>
      </c>
      <c r="H1263" t="s">
        <v>16</v>
      </c>
      <c r="I1263" t="s">
        <v>23</v>
      </c>
      <c r="J1263" s="11">
        <f>DATE(B1263,MATCH(C1263,{"Jan","Feb","Mar","Apr","May","Jun","Jul","Aug","Sep","Oct","Nov","Dec"},0),D1263)</f>
        <v>23664</v>
      </c>
      <c r="K1263">
        <f t="shared" si="19"/>
        <v>58</v>
      </c>
    </row>
    <row r="1264" spans="1:11" x14ac:dyDescent="0.35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 s="15">
        <v>10455.14</v>
      </c>
      <c r="G1264" t="s">
        <v>12</v>
      </c>
      <c r="H1264" t="s">
        <v>11</v>
      </c>
      <c r="I1264" t="s">
        <v>300</v>
      </c>
      <c r="J1264" s="11">
        <f>DATE(B1264,MATCH(C1264,{"Jan","Feb","Mar","Apr","May","Jun","Jul","Aug","Sep","Oct","Nov","Dec"},0),D1264)</f>
        <v>27975</v>
      </c>
      <c r="K1264">
        <f t="shared" si="19"/>
        <v>46</v>
      </c>
    </row>
    <row r="1265" spans="1:11" x14ac:dyDescent="0.35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 s="15">
        <v>10459.19</v>
      </c>
      <c r="G1265" t="s">
        <v>12</v>
      </c>
      <c r="H1265" t="s">
        <v>16</v>
      </c>
      <c r="I1265" t="s">
        <v>13</v>
      </c>
      <c r="J1265" s="11">
        <f>DATE(B1265,MATCH(C1265,{"Jan","Feb","Mar","Apr","May","Jun","Jul","Aug","Sep","Oct","Nov","Dec"},0),D1265)</f>
        <v>23585</v>
      </c>
      <c r="K1265">
        <f t="shared" si="19"/>
        <v>58</v>
      </c>
    </row>
    <row r="1266" spans="1:11" x14ac:dyDescent="0.35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 s="15">
        <v>10461.98</v>
      </c>
      <c r="G1266" t="s">
        <v>12</v>
      </c>
      <c r="H1266" t="s">
        <v>16</v>
      </c>
      <c r="I1266" t="s">
        <v>23</v>
      </c>
      <c r="J1266" s="11">
        <f>DATE(B1266,MATCH(C1266,{"Jan","Feb","Mar","Apr","May","Jun","Jul","Aug","Sep","Oct","Nov","Dec"},0),D1266)</f>
        <v>25468</v>
      </c>
      <c r="K1266">
        <f t="shared" si="19"/>
        <v>53</v>
      </c>
    </row>
    <row r="1267" spans="1:11" x14ac:dyDescent="0.35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 s="15">
        <v>10464.83</v>
      </c>
      <c r="G1267" t="s">
        <v>12</v>
      </c>
      <c r="H1267" t="s">
        <v>16</v>
      </c>
      <c r="I1267" t="s">
        <v>23</v>
      </c>
      <c r="J1267" s="11">
        <f>DATE(B1267,MATCH(C1267,{"Jan","Feb","Mar","Apr","May","Jun","Jul","Aug","Sep","Oct","Nov","Dec"},0),D1267)</f>
        <v>31956</v>
      </c>
      <c r="K1267">
        <f t="shared" si="19"/>
        <v>35</v>
      </c>
    </row>
    <row r="1268" spans="1:11" x14ac:dyDescent="0.35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 s="15">
        <v>10486.55</v>
      </c>
      <c r="G1268" t="s">
        <v>12</v>
      </c>
      <c r="H1268" t="s">
        <v>12</v>
      </c>
      <c r="I1268" t="s">
        <v>200</v>
      </c>
      <c r="J1268" s="11">
        <f>DATE(B1268,MATCH(C1268,{"Jan","Feb","Mar","Apr","May","Jun","Jul","Aug","Sep","Oct","Nov","Dec"},0),D1268)</f>
        <v>28723</v>
      </c>
      <c r="K1268">
        <f t="shared" si="19"/>
        <v>44</v>
      </c>
    </row>
    <row r="1269" spans="1:11" x14ac:dyDescent="0.35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 s="15">
        <v>10493.95</v>
      </c>
      <c r="G1269" t="s">
        <v>12</v>
      </c>
      <c r="H1269" t="s">
        <v>16</v>
      </c>
      <c r="I1269" t="s">
        <v>23</v>
      </c>
      <c r="J1269" s="11">
        <f>DATE(B1269,MATCH(C1269,{"Jan","Feb","Mar","Apr","May","Jun","Jul","Aug","Sep","Oct","Nov","Dec"},0),D1269)</f>
        <v>26591</v>
      </c>
      <c r="K1269">
        <f t="shared" si="19"/>
        <v>50</v>
      </c>
    </row>
    <row r="1270" spans="1:11" x14ac:dyDescent="0.35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 s="15">
        <v>10495.6</v>
      </c>
      <c r="G1270" t="s">
        <v>12</v>
      </c>
      <c r="H1270" t="s">
        <v>16</v>
      </c>
      <c r="I1270" t="s">
        <v>23</v>
      </c>
      <c r="J1270" s="11">
        <f>DATE(B1270,MATCH(C1270,{"Jan","Feb","Mar","Apr","May","Jun","Jul","Aug","Sep","Oct","Nov","Dec"},0),D1270)</f>
        <v>28423</v>
      </c>
      <c r="K1270">
        <f t="shared" si="19"/>
        <v>45</v>
      </c>
    </row>
    <row r="1271" spans="1:11" x14ac:dyDescent="0.35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 s="15">
        <v>10546.48</v>
      </c>
      <c r="G1271" t="s">
        <v>12</v>
      </c>
      <c r="H1271" t="s">
        <v>12</v>
      </c>
      <c r="I1271" t="s">
        <v>42</v>
      </c>
      <c r="J1271" s="11">
        <f>DATE(B1271,MATCH(C1271,{"Jan","Feb","Mar","Apr","May","Jun","Jul","Aug","Sep","Oct","Nov","Dec"},0),D1271)</f>
        <v>26202</v>
      </c>
      <c r="K1271">
        <f t="shared" si="19"/>
        <v>51</v>
      </c>
    </row>
    <row r="1272" spans="1:11" x14ac:dyDescent="0.35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 s="15">
        <v>10560.49</v>
      </c>
      <c r="G1272" t="s">
        <v>12</v>
      </c>
      <c r="H1272" t="s">
        <v>11</v>
      </c>
      <c r="I1272" t="s">
        <v>13</v>
      </c>
      <c r="J1272" s="11">
        <f>DATE(B1272,MATCH(C1272,{"Jan","Feb","Mar","Apr","May","Jun","Jul","Aug","Sep","Oct","Nov","Dec"},0),D1272)</f>
        <v>26113</v>
      </c>
      <c r="K1272">
        <f t="shared" si="19"/>
        <v>51</v>
      </c>
    </row>
    <row r="1273" spans="1:11" x14ac:dyDescent="0.35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 s="15">
        <v>10564.88</v>
      </c>
      <c r="G1273" t="s">
        <v>12</v>
      </c>
      <c r="H1273" t="s">
        <v>16</v>
      </c>
      <c r="I1273" t="s">
        <v>247</v>
      </c>
      <c r="J1273" s="11">
        <f>DATE(B1273,MATCH(C1273,{"Jan","Feb","Mar","Apr","May","Jun","Jul","Aug","Sep","Oct","Nov","Dec"},0),D1273)</f>
        <v>25401</v>
      </c>
      <c r="K1273">
        <f t="shared" si="19"/>
        <v>53</v>
      </c>
    </row>
    <row r="1274" spans="1:11" x14ac:dyDescent="0.35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 s="15">
        <v>10577.09</v>
      </c>
      <c r="G1274" t="s">
        <v>12</v>
      </c>
      <c r="H1274" t="s">
        <v>12</v>
      </c>
      <c r="I1274" t="s">
        <v>42</v>
      </c>
      <c r="J1274" s="11">
        <f>DATE(B1274,MATCH(C1274,{"Jan","Feb","Mar","Apr","May","Jun","Jul","Aug","Sep","Oct","Nov","Dec"},0),D1274)</f>
        <v>24452</v>
      </c>
      <c r="K1274">
        <f t="shared" si="19"/>
        <v>56</v>
      </c>
    </row>
    <row r="1275" spans="1:11" x14ac:dyDescent="0.35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 s="15">
        <v>10579.71</v>
      </c>
      <c r="G1275" t="s">
        <v>12</v>
      </c>
      <c r="H1275" t="s">
        <v>12</v>
      </c>
      <c r="I1275" t="s">
        <v>13</v>
      </c>
      <c r="J1275" s="11">
        <f>DATE(B1275,MATCH(C1275,{"Jan","Feb","Mar","Apr","May","Jun","Jul","Aug","Sep","Oct","Nov","Dec"},0),D1275)</f>
        <v>25562</v>
      </c>
      <c r="K1275">
        <f t="shared" si="19"/>
        <v>53</v>
      </c>
    </row>
    <row r="1276" spans="1:11" x14ac:dyDescent="0.35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 s="15">
        <v>10594.23</v>
      </c>
      <c r="G1276" t="s">
        <v>12</v>
      </c>
      <c r="H1276" t="s">
        <v>12</v>
      </c>
      <c r="I1276" t="s">
        <v>13</v>
      </c>
      <c r="J1276" s="11">
        <f>DATE(B1276,MATCH(C1276,{"Jan","Feb","Mar","Apr","May","Jun","Jul","Aug","Sep","Oct","Nov","Dec"},0),D1276)</f>
        <v>24414</v>
      </c>
      <c r="K1276">
        <f t="shared" si="19"/>
        <v>56</v>
      </c>
    </row>
    <row r="1277" spans="1:11" x14ac:dyDescent="0.35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 s="15">
        <v>10594.5</v>
      </c>
      <c r="G1277" t="s">
        <v>12</v>
      </c>
      <c r="H1277" t="s">
        <v>16</v>
      </c>
      <c r="I1277" t="s">
        <v>23</v>
      </c>
      <c r="J1277" s="11">
        <f>DATE(B1277,MATCH(C1277,{"Jan","Feb","Mar","Apr","May","Jun","Jul","Aug","Sep","Oct","Nov","Dec"},0),D1277)</f>
        <v>24805</v>
      </c>
      <c r="K1277">
        <f t="shared" si="19"/>
        <v>55</v>
      </c>
    </row>
    <row r="1278" spans="1:11" x14ac:dyDescent="0.35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 s="15">
        <v>10600.55</v>
      </c>
      <c r="G1278" t="s">
        <v>12</v>
      </c>
      <c r="H1278" t="s">
        <v>16</v>
      </c>
      <c r="I1278" t="s">
        <v>23</v>
      </c>
      <c r="J1278" s="11">
        <f>DATE(B1278,MATCH(C1278,{"Jan","Feb","Mar","Apr","May","Jun","Jul","Aug","Sep","Oct","Nov","Dec"},0),D1278)</f>
        <v>26647</v>
      </c>
      <c r="K1278">
        <f t="shared" si="19"/>
        <v>50</v>
      </c>
    </row>
    <row r="1279" spans="1:11" x14ac:dyDescent="0.35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 s="15">
        <v>10601.41</v>
      </c>
      <c r="G1279" t="s">
        <v>12</v>
      </c>
      <c r="H1279" t="s">
        <v>11</v>
      </c>
      <c r="I1279" t="s">
        <v>42</v>
      </c>
      <c r="J1279" s="11">
        <f>DATE(B1279,MATCH(C1279,{"Jan","Feb","Mar","Apr","May","Jun","Jul","Aug","Sep","Oct","Nov","Dec"},0),D1279)</f>
        <v>24308</v>
      </c>
      <c r="K1279">
        <f t="shared" si="19"/>
        <v>56</v>
      </c>
    </row>
    <row r="1280" spans="1:11" x14ac:dyDescent="0.35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 s="15">
        <v>10601.63</v>
      </c>
      <c r="G1280" t="s">
        <v>12</v>
      </c>
      <c r="H1280" t="s">
        <v>11</v>
      </c>
      <c r="I1280" t="s">
        <v>23</v>
      </c>
      <c r="J1280" s="11">
        <f>DATE(B1280,MATCH(C1280,{"Jan","Feb","Mar","Apr","May","Jun","Jul","Aug","Sep","Oct","Nov","Dec"},0),D1280)</f>
        <v>24646</v>
      </c>
      <c r="K1280">
        <f t="shared" si="19"/>
        <v>55</v>
      </c>
    </row>
    <row r="1281" spans="1:11" x14ac:dyDescent="0.35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 s="15">
        <v>10602.39</v>
      </c>
      <c r="G1281" t="s">
        <v>12</v>
      </c>
      <c r="H1281" t="s">
        <v>12</v>
      </c>
      <c r="I1281" t="s">
        <v>42</v>
      </c>
      <c r="J1281" s="11">
        <f>DATE(B1281,MATCH(C1281,{"Jan","Feb","Mar","Apr","May","Jun","Jul","Aug","Sep","Oct","Nov","Dec"},0),D1281)</f>
        <v>24290</v>
      </c>
      <c r="K1281">
        <f t="shared" si="19"/>
        <v>56</v>
      </c>
    </row>
    <row r="1282" spans="1:11" x14ac:dyDescent="0.35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 s="15">
        <v>10608.67</v>
      </c>
      <c r="G1282" t="s">
        <v>12</v>
      </c>
      <c r="H1282" t="s">
        <v>12</v>
      </c>
      <c r="I1282" t="s">
        <v>23</v>
      </c>
      <c r="J1282" s="11">
        <f>DATE(B1282,MATCH(C1282,{"Jan","Feb","Mar","Apr","May","Jun","Jul","Aug","Sep","Oct","Nov","Dec"},0),D1282)</f>
        <v>23920</v>
      </c>
      <c r="K1282">
        <f t="shared" si="19"/>
        <v>57</v>
      </c>
    </row>
    <row r="1283" spans="1:11" x14ac:dyDescent="0.35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 s="15">
        <v>10617.04</v>
      </c>
      <c r="G1283" t="s">
        <v>12</v>
      </c>
      <c r="H1283" t="s">
        <v>12</v>
      </c>
      <c r="I1283" t="s">
        <v>535</v>
      </c>
      <c r="J1283" s="11">
        <f>DATE(B1283,MATCH(C1283,{"Jan","Feb","Mar","Apr","May","Jun","Jul","Aug","Sep","Oct","Nov","Dec"},0),D1283)</f>
        <v>33808</v>
      </c>
      <c r="K1283">
        <f t="shared" ref="K1283:K1346" si="20">DATEDIF(J1283,$N$1,"Y")</f>
        <v>30</v>
      </c>
    </row>
    <row r="1284" spans="1:11" x14ac:dyDescent="0.35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 s="15">
        <v>10620.26</v>
      </c>
      <c r="G1284" t="s">
        <v>12</v>
      </c>
      <c r="H1284" t="s">
        <v>12</v>
      </c>
      <c r="I1284" t="s">
        <v>23</v>
      </c>
      <c r="J1284" s="11">
        <f>DATE(B1284,MATCH(C1284,{"Jan","Feb","Mar","Apr","May","Jun","Jul","Aug","Sep","Oct","Nov","Dec"},0),D1284)</f>
        <v>33060</v>
      </c>
      <c r="K1284">
        <f t="shared" si="20"/>
        <v>32</v>
      </c>
    </row>
    <row r="1285" spans="1:11" x14ac:dyDescent="0.35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 s="15">
        <v>10627.81</v>
      </c>
      <c r="G1285" t="s">
        <v>12</v>
      </c>
      <c r="H1285" t="s">
        <v>12</v>
      </c>
      <c r="I1285" t="s">
        <v>13</v>
      </c>
      <c r="J1285" s="11">
        <f>DATE(B1285,MATCH(C1285,{"Jan","Feb","Mar","Apr","May","Jun","Jul","Aug","Sep","Oct","Nov","Dec"},0),D1285)</f>
        <v>23597</v>
      </c>
      <c r="K1285">
        <f t="shared" si="20"/>
        <v>58</v>
      </c>
    </row>
    <row r="1286" spans="1:11" x14ac:dyDescent="0.35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 s="15">
        <v>10665.44</v>
      </c>
      <c r="G1286" t="s">
        <v>12</v>
      </c>
      <c r="H1286" t="s">
        <v>11</v>
      </c>
      <c r="I1286" t="s">
        <v>300</v>
      </c>
      <c r="J1286" s="11">
        <f>DATE(B1286,MATCH(C1286,{"Jan","Feb","Mar","Apr","May","Jun","Jul","Aug","Sep","Oct","Nov","Dec"},0),D1286)</f>
        <v>28086</v>
      </c>
      <c r="K1286">
        <f t="shared" si="20"/>
        <v>46</v>
      </c>
    </row>
    <row r="1287" spans="1:11" x14ac:dyDescent="0.35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 s="15">
        <v>10676.83</v>
      </c>
      <c r="G1287" t="s">
        <v>12</v>
      </c>
      <c r="H1287" t="s">
        <v>12</v>
      </c>
      <c r="I1287" t="s">
        <v>13</v>
      </c>
      <c r="J1287" s="11">
        <f>DATE(B1287,MATCH(C1287,{"Jan","Feb","Mar","Apr","May","Jun","Jul","Aug","Sep","Oct","Nov","Dec"},0),D1287)</f>
        <v>22896</v>
      </c>
      <c r="K1287">
        <f t="shared" si="20"/>
        <v>60</v>
      </c>
    </row>
    <row r="1288" spans="1:11" x14ac:dyDescent="0.35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 s="15">
        <v>10690.11</v>
      </c>
      <c r="G1288" t="s">
        <v>12</v>
      </c>
      <c r="H1288" t="s">
        <v>11</v>
      </c>
      <c r="I1288" t="s">
        <v>300</v>
      </c>
      <c r="J1288" s="11">
        <f>DATE(B1288,MATCH(C1288,{"Jan","Feb","Mar","Apr","May","Jun","Jul","Aug","Sep","Oct","Nov","Dec"},0),D1288)</f>
        <v>28339</v>
      </c>
      <c r="K1288">
        <f t="shared" si="20"/>
        <v>45</v>
      </c>
    </row>
    <row r="1289" spans="1:11" x14ac:dyDescent="0.35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 s="15">
        <v>10698.38</v>
      </c>
      <c r="G1289" t="s">
        <v>12</v>
      </c>
      <c r="H1289" t="s">
        <v>16</v>
      </c>
      <c r="I1289" t="s">
        <v>200</v>
      </c>
      <c r="J1289" s="11">
        <f>DATE(B1289,MATCH(C1289,{"Jan","Feb","Mar","Apr","May","Jun","Jul","Aug","Sep","Oct","Nov","Dec"},0),D1289)</f>
        <v>28033</v>
      </c>
      <c r="K1289">
        <f t="shared" si="20"/>
        <v>46</v>
      </c>
    </row>
    <row r="1290" spans="1:11" x14ac:dyDescent="0.35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 s="15">
        <v>10702.64</v>
      </c>
      <c r="G1290" t="s">
        <v>12</v>
      </c>
      <c r="H1290" t="s">
        <v>12</v>
      </c>
      <c r="I1290" t="s">
        <v>13</v>
      </c>
      <c r="J1290" s="11">
        <f>DATE(B1290,MATCH(C1290,{"Jan","Feb","Mar","Apr","May","Jun","Jul","Aug","Sep","Oct","Nov","Dec"},0),D1290)</f>
        <v>26596</v>
      </c>
      <c r="K1290">
        <f t="shared" si="20"/>
        <v>50</v>
      </c>
    </row>
    <row r="1291" spans="1:11" x14ac:dyDescent="0.35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 s="15">
        <v>10704.47</v>
      </c>
      <c r="G1291" t="s">
        <v>12</v>
      </c>
      <c r="H1291" t="s">
        <v>11</v>
      </c>
      <c r="I1291" t="s">
        <v>42</v>
      </c>
      <c r="J1291" s="11">
        <f>DATE(B1291,MATCH(C1291,{"Jan","Feb","Mar","Apr","May","Jun","Jul","Aug","Sep","Oct","Nov","Dec"},0),D1291)</f>
        <v>24683</v>
      </c>
      <c r="K1291">
        <f t="shared" si="20"/>
        <v>55</v>
      </c>
    </row>
    <row r="1292" spans="1:11" x14ac:dyDescent="0.35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 s="15">
        <v>10713.64</v>
      </c>
      <c r="G1292" t="s">
        <v>12</v>
      </c>
      <c r="H1292" t="s">
        <v>12</v>
      </c>
      <c r="I1292" t="s">
        <v>42</v>
      </c>
      <c r="J1292" s="11">
        <f>DATE(B1292,MATCH(C1292,{"Jan","Feb","Mar","Apr","May","Jun","Jul","Aug","Sep","Oct","Nov","Dec"},0),D1292)</f>
        <v>24750</v>
      </c>
      <c r="K1292">
        <f t="shared" si="20"/>
        <v>55</v>
      </c>
    </row>
    <row r="1293" spans="1:11" x14ac:dyDescent="0.35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 s="15">
        <v>10719.57</v>
      </c>
      <c r="G1293" t="s">
        <v>12</v>
      </c>
      <c r="H1293" t="s">
        <v>16</v>
      </c>
      <c r="I1293" t="s">
        <v>23</v>
      </c>
      <c r="J1293" s="11">
        <f>DATE(B1293,MATCH(C1293,{"Jan","Feb","Mar","Apr","May","Jun","Jul","Aug","Sep","Oct","Nov","Dec"},0),D1293)</f>
        <v>33780</v>
      </c>
      <c r="K1293">
        <f t="shared" si="20"/>
        <v>30</v>
      </c>
    </row>
    <row r="1294" spans="1:11" x14ac:dyDescent="0.35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 s="15">
        <v>10736.87</v>
      </c>
      <c r="G1294" t="s">
        <v>12</v>
      </c>
      <c r="H1294" t="s">
        <v>16</v>
      </c>
      <c r="I1294" t="s">
        <v>168</v>
      </c>
      <c r="J1294" s="11">
        <f>DATE(B1294,MATCH(C1294,{"Jan","Feb","Mar","Apr","May","Jun","Jul","Aug","Sep","Oct","Nov","Dec"},0),D1294)</f>
        <v>27372</v>
      </c>
      <c r="K1294">
        <f t="shared" si="20"/>
        <v>48</v>
      </c>
    </row>
    <row r="1295" spans="1:11" x14ac:dyDescent="0.35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 s="15">
        <v>10749.02</v>
      </c>
      <c r="G1295" t="s">
        <v>12</v>
      </c>
      <c r="H1295" t="s">
        <v>16</v>
      </c>
      <c r="I1295" t="s">
        <v>535</v>
      </c>
      <c r="J1295" s="11">
        <f>DATE(B1295,MATCH(C1295,{"Jan","Feb","Mar","Apr","May","Jun","Jul","Aug","Sep","Oct","Nov","Dec"},0),D1295)</f>
        <v>31653</v>
      </c>
      <c r="K1295">
        <f t="shared" si="20"/>
        <v>36</v>
      </c>
    </row>
    <row r="1296" spans="1:11" x14ac:dyDescent="0.35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 s="15">
        <v>10769.75</v>
      </c>
      <c r="G1296" t="s">
        <v>12</v>
      </c>
      <c r="H1296" t="s">
        <v>11</v>
      </c>
      <c r="I1296" t="s">
        <v>632</v>
      </c>
      <c r="J1296" s="11">
        <f>DATE(B1296,MATCH(C1296,{"Jan","Feb","Mar","Apr","May","Jun","Jul","Aug","Sep","Oct","Nov","Dec"},0),D1296)</f>
        <v>32837</v>
      </c>
      <c r="K1296">
        <f t="shared" si="20"/>
        <v>33</v>
      </c>
    </row>
    <row r="1297" spans="1:11" x14ac:dyDescent="0.35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 s="15">
        <v>10791.96</v>
      </c>
      <c r="G1297" t="s">
        <v>12</v>
      </c>
      <c r="H1297" t="s">
        <v>11</v>
      </c>
      <c r="I1297" t="s">
        <v>42</v>
      </c>
      <c r="J1297" s="11">
        <f>DATE(B1297,MATCH(C1297,{"Jan","Feb","Mar","Apr","May","Jun","Jul","Aug","Sep","Oct","Nov","Dec"},0),D1297)</f>
        <v>24787</v>
      </c>
      <c r="K1297">
        <f t="shared" si="20"/>
        <v>55</v>
      </c>
    </row>
    <row r="1298" spans="1:11" x14ac:dyDescent="0.35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 s="15">
        <v>10795.94</v>
      </c>
      <c r="G1298" t="s">
        <v>12</v>
      </c>
      <c r="H1298" t="s">
        <v>16</v>
      </c>
      <c r="I1298" t="s">
        <v>42</v>
      </c>
      <c r="J1298" s="11">
        <f>DATE(B1298,MATCH(C1298,{"Jan","Feb","Mar","Apr","May","Jun","Jul","Aug","Sep","Oct","Nov","Dec"},0),D1298)</f>
        <v>36518</v>
      </c>
      <c r="K1298">
        <f t="shared" si="20"/>
        <v>23</v>
      </c>
    </row>
    <row r="1299" spans="1:11" x14ac:dyDescent="0.35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 s="15">
        <v>10796.35</v>
      </c>
      <c r="G1299" t="s">
        <v>12</v>
      </c>
      <c r="H1299" t="s">
        <v>16</v>
      </c>
      <c r="I1299" t="s">
        <v>166</v>
      </c>
      <c r="J1299" s="11">
        <f>DATE(B1299,MATCH(C1299,{"Jan","Feb","Mar","Apr","May","Jun","Jul","Aug","Sep","Oct","Nov","Dec"},0),D1299)</f>
        <v>24768</v>
      </c>
      <c r="K1299">
        <f t="shared" si="20"/>
        <v>55</v>
      </c>
    </row>
    <row r="1300" spans="1:11" x14ac:dyDescent="0.35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 s="15">
        <v>10797.34</v>
      </c>
      <c r="G1300" t="s">
        <v>12</v>
      </c>
      <c r="H1300" t="s">
        <v>11</v>
      </c>
      <c r="I1300" t="s">
        <v>249</v>
      </c>
      <c r="J1300" s="11">
        <f>DATE(B1300,MATCH(C1300,{"Jan","Feb","Mar","Apr","May","Jun","Jul","Aug","Sep","Oct","Nov","Dec"},0),D1300)</f>
        <v>25869</v>
      </c>
      <c r="K1300">
        <f t="shared" si="20"/>
        <v>52</v>
      </c>
    </row>
    <row r="1301" spans="1:11" x14ac:dyDescent="0.35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 s="15">
        <v>10806.84</v>
      </c>
      <c r="G1301" t="s">
        <v>12</v>
      </c>
      <c r="H1301" t="s">
        <v>11</v>
      </c>
      <c r="I1301" t="s">
        <v>42</v>
      </c>
      <c r="J1301" s="11">
        <f>DATE(B1301,MATCH(C1301,{"Jan","Feb","Mar","Apr","May","Jun","Jul","Aug","Sep","Oct","Nov","Dec"},0),D1301)</f>
        <v>25920</v>
      </c>
      <c r="K1301">
        <f t="shared" si="20"/>
        <v>52</v>
      </c>
    </row>
    <row r="1302" spans="1:11" x14ac:dyDescent="0.35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 s="15">
        <v>10807.49</v>
      </c>
      <c r="G1302" t="s">
        <v>12</v>
      </c>
      <c r="H1302" t="s">
        <v>11</v>
      </c>
      <c r="I1302" t="s">
        <v>13</v>
      </c>
      <c r="J1302" s="11">
        <f>DATE(B1302,MATCH(C1302,{"Jan","Feb","Mar","Apr","May","Jun","Jul","Aug","Sep","Oct","Nov","Dec"},0),D1302)</f>
        <v>24747</v>
      </c>
      <c r="K1302">
        <f t="shared" si="20"/>
        <v>55</v>
      </c>
    </row>
    <row r="1303" spans="1:11" x14ac:dyDescent="0.35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 s="15">
        <v>10825.25</v>
      </c>
      <c r="G1303" t="s">
        <v>12</v>
      </c>
      <c r="H1303" t="s">
        <v>12</v>
      </c>
      <c r="I1303" t="s">
        <v>23</v>
      </c>
      <c r="J1303" s="11">
        <f>DATE(B1303,MATCH(C1303,{"Jan","Feb","Mar","Apr","May","Jun","Jul","Aug","Sep","Oct","Nov","Dec"},0),D1303)</f>
        <v>25047</v>
      </c>
      <c r="K1303">
        <f t="shared" si="20"/>
        <v>54</v>
      </c>
    </row>
    <row r="1304" spans="1:11" x14ac:dyDescent="0.35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 s="15">
        <v>10848.13</v>
      </c>
      <c r="G1304" t="s">
        <v>12</v>
      </c>
      <c r="H1304" t="s">
        <v>12</v>
      </c>
      <c r="I1304" t="s">
        <v>23</v>
      </c>
      <c r="J1304" s="11">
        <f>DATE(B1304,MATCH(C1304,{"Jan","Feb","Mar","Apr","May","Jun","Jul","Aug","Sep","Oct","Nov","Dec"},0),D1304)</f>
        <v>26287</v>
      </c>
      <c r="K1304">
        <f t="shared" si="20"/>
        <v>51</v>
      </c>
    </row>
    <row r="1305" spans="1:11" x14ac:dyDescent="0.35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 s="15">
        <v>10886.66</v>
      </c>
      <c r="G1305" t="s">
        <v>12</v>
      </c>
      <c r="H1305" t="s">
        <v>12</v>
      </c>
      <c r="I1305" t="s">
        <v>23</v>
      </c>
      <c r="J1305" s="11">
        <f>DATE(B1305,MATCH(C1305,{"Jan","Feb","Mar","Apr","May","Jun","Jul","Aug","Sep","Oct","Nov","Dec"},0),D1305)</f>
        <v>34583</v>
      </c>
      <c r="K1305">
        <f t="shared" si="20"/>
        <v>28</v>
      </c>
    </row>
    <row r="1306" spans="1:11" x14ac:dyDescent="0.35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 s="15">
        <v>10923.93</v>
      </c>
      <c r="G1306" t="s">
        <v>12</v>
      </c>
      <c r="H1306" t="s">
        <v>16</v>
      </c>
      <c r="I1306" t="s">
        <v>247</v>
      </c>
      <c r="J1306" s="11">
        <f>DATE(B1306,MATCH(C1306,{"Jan","Feb","Mar","Apr","May","Jun","Jul","Aug","Sep","Oct","Nov","Dec"},0),D1306)</f>
        <v>25155</v>
      </c>
      <c r="K1306">
        <f t="shared" si="20"/>
        <v>54</v>
      </c>
    </row>
    <row r="1307" spans="1:11" x14ac:dyDescent="0.35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 s="15">
        <v>10928.85</v>
      </c>
      <c r="G1307" t="s">
        <v>12</v>
      </c>
      <c r="H1307" t="s">
        <v>12</v>
      </c>
      <c r="I1307" t="s">
        <v>13</v>
      </c>
      <c r="J1307" s="11">
        <f>DATE(B1307,MATCH(C1307,{"Jan","Feb","Mar","Apr","May","Jun","Jul","Aug","Sep","Oct","Nov","Dec"},0),D1307)</f>
        <v>25154</v>
      </c>
      <c r="K1307">
        <f t="shared" si="20"/>
        <v>54</v>
      </c>
    </row>
    <row r="1308" spans="1:11" x14ac:dyDescent="0.35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 s="15">
        <v>10942.13</v>
      </c>
      <c r="G1308" t="s">
        <v>12</v>
      </c>
      <c r="H1308" t="s">
        <v>12</v>
      </c>
      <c r="I1308" t="s">
        <v>23</v>
      </c>
      <c r="J1308" s="11">
        <f>DATE(B1308,MATCH(C1308,{"Jan","Feb","Mar","Apr","May","Jun","Jul","Aug","Sep","Oct","Nov","Dec"},0),D1308)</f>
        <v>25517</v>
      </c>
      <c r="K1308">
        <f t="shared" si="20"/>
        <v>53</v>
      </c>
    </row>
    <row r="1309" spans="1:11" x14ac:dyDescent="0.35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 s="15">
        <v>10959.33</v>
      </c>
      <c r="G1309" t="s">
        <v>12</v>
      </c>
      <c r="H1309" t="s">
        <v>12</v>
      </c>
      <c r="I1309" t="s">
        <v>42</v>
      </c>
      <c r="J1309" s="11">
        <f>DATE(B1309,MATCH(C1309,{"Jan","Feb","Mar","Apr","May","Jun","Jul","Aug","Sep","Oct","Nov","Dec"},0),D1309)</f>
        <v>24080</v>
      </c>
      <c r="K1309">
        <f t="shared" si="20"/>
        <v>57</v>
      </c>
    </row>
    <row r="1310" spans="1:11" x14ac:dyDescent="0.35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 s="15">
        <v>10959.69</v>
      </c>
      <c r="G1310" t="s">
        <v>12</v>
      </c>
      <c r="H1310" t="s">
        <v>12</v>
      </c>
      <c r="I1310" t="s">
        <v>23</v>
      </c>
      <c r="J1310" s="11">
        <f>DATE(B1310,MATCH(C1310,{"Jan","Feb","Mar","Apr","May","Jun","Jul","Aug","Sep","Oct","Nov","Dec"},0),D1310)</f>
        <v>25429</v>
      </c>
      <c r="K1310">
        <f t="shared" si="20"/>
        <v>53</v>
      </c>
    </row>
    <row r="1311" spans="1:11" x14ac:dyDescent="0.35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 s="15">
        <v>10965.45</v>
      </c>
      <c r="G1311" t="s">
        <v>12</v>
      </c>
      <c r="H1311" t="s">
        <v>11</v>
      </c>
      <c r="I1311" t="s">
        <v>42</v>
      </c>
      <c r="J1311" s="11">
        <f>DATE(B1311,MATCH(C1311,{"Jan","Feb","Mar","Apr","May","Jun","Jul","Aug","Sep","Oct","Nov","Dec"},0),D1311)</f>
        <v>23912</v>
      </c>
      <c r="K1311">
        <f t="shared" si="20"/>
        <v>57</v>
      </c>
    </row>
    <row r="1312" spans="1:11" x14ac:dyDescent="0.35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 s="15">
        <v>10976.25</v>
      </c>
      <c r="G1312" t="s">
        <v>12</v>
      </c>
      <c r="H1312" t="s">
        <v>11</v>
      </c>
      <c r="I1312" t="s">
        <v>23</v>
      </c>
      <c r="J1312" s="11">
        <f>DATE(B1312,MATCH(C1312,{"Jan","Feb","Mar","Apr","May","Jun","Jul","Aug","Sep","Oct","Nov","Dec"},0),D1312)</f>
        <v>24297</v>
      </c>
      <c r="K1312">
        <f t="shared" si="20"/>
        <v>56</v>
      </c>
    </row>
    <row r="1313" spans="1:11" x14ac:dyDescent="0.35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 s="15">
        <v>10977.21</v>
      </c>
      <c r="G1313" t="s">
        <v>12</v>
      </c>
      <c r="H1313" t="s">
        <v>16</v>
      </c>
      <c r="I1313" t="s">
        <v>13</v>
      </c>
      <c r="J1313" s="11">
        <f>DATE(B1313,MATCH(C1313,{"Jan","Feb","Mar","Apr","May","Jun","Jul","Aug","Sep","Oct","Nov","Dec"},0),D1313)</f>
        <v>26958</v>
      </c>
      <c r="K1313">
        <f t="shared" si="20"/>
        <v>49</v>
      </c>
    </row>
    <row r="1314" spans="1:11" x14ac:dyDescent="0.35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 s="15">
        <v>10982.5</v>
      </c>
      <c r="G1314" t="s">
        <v>12</v>
      </c>
      <c r="H1314" t="s">
        <v>12</v>
      </c>
      <c r="I1314" t="s">
        <v>13</v>
      </c>
      <c r="J1314" s="11">
        <f>DATE(B1314,MATCH(C1314,{"Jan","Feb","Mar","Apr","May","Jun","Jul","Aug","Sep","Oct","Nov","Dec"},0),D1314)</f>
        <v>24094</v>
      </c>
      <c r="K1314">
        <f t="shared" si="20"/>
        <v>57</v>
      </c>
    </row>
    <row r="1315" spans="1:11" x14ac:dyDescent="0.35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 s="15">
        <v>10991.58</v>
      </c>
      <c r="G1315" t="s">
        <v>12</v>
      </c>
      <c r="H1315" t="s">
        <v>12</v>
      </c>
      <c r="I1315" t="s">
        <v>23</v>
      </c>
      <c r="J1315" s="11">
        <f>DATE(B1315,MATCH(C1315,{"Jan","Feb","Mar","Apr","May","Jun","Jul","Aug","Sep","Oct","Nov","Dec"},0),D1315)</f>
        <v>36786</v>
      </c>
      <c r="K1315">
        <f t="shared" si="20"/>
        <v>22</v>
      </c>
    </row>
    <row r="1316" spans="1:11" x14ac:dyDescent="0.35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 s="15">
        <v>11013.71</v>
      </c>
      <c r="G1316" t="s">
        <v>12</v>
      </c>
      <c r="H1316" t="s">
        <v>16</v>
      </c>
      <c r="I1316" t="s">
        <v>13</v>
      </c>
      <c r="J1316" s="11">
        <f>DATE(B1316,MATCH(C1316,{"Jan","Feb","Mar","Apr","May","Jun","Jul","Aug","Sep","Oct","Nov","Dec"},0),D1316)</f>
        <v>25135</v>
      </c>
      <c r="K1316">
        <f t="shared" si="20"/>
        <v>54</v>
      </c>
    </row>
    <row r="1317" spans="1:11" x14ac:dyDescent="0.35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 s="15">
        <v>11015.17</v>
      </c>
      <c r="G1317" t="s">
        <v>12</v>
      </c>
      <c r="H1317" t="s">
        <v>16</v>
      </c>
      <c r="I1317" t="s">
        <v>23</v>
      </c>
      <c r="J1317" s="11">
        <f>DATE(B1317,MATCH(C1317,{"Jan","Feb","Mar","Apr","May","Jun","Jul","Aug","Sep","Oct","Nov","Dec"},0),D1317)</f>
        <v>27378</v>
      </c>
      <c r="K1317">
        <f t="shared" si="20"/>
        <v>48</v>
      </c>
    </row>
    <row r="1318" spans="1:11" x14ac:dyDescent="0.35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 s="15">
        <v>11018.05</v>
      </c>
      <c r="G1318" t="s">
        <v>12</v>
      </c>
      <c r="H1318" t="s">
        <v>11</v>
      </c>
      <c r="I1318" t="s">
        <v>23</v>
      </c>
      <c r="J1318" s="11">
        <f>DATE(B1318,MATCH(C1318,{"Jan","Feb","Mar","Apr","May","Jun","Jul","Aug","Sep","Oct","Nov","Dec"},0),D1318)</f>
        <v>33415</v>
      </c>
      <c r="K1318">
        <f t="shared" si="20"/>
        <v>31</v>
      </c>
    </row>
    <row r="1319" spans="1:11" x14ac:dyDescent="0.35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 s="15">
        <v>11028.56</v>
      </c>
      <c r="G1319" t="s">
        <v>12</v>
      </c>
      <c r="H1319" t="s">
        <v>12</v>
      </c>
      <c r="I1319" t="s">
        <v>23</v>
      </c>
      <c r="J1319" s="11">
        <f>DATE(B1319,MATCH(C1319,{"Jan","Feb","Mar","Apr","May","Jun","Jul","Aug","Sep","Oct","Nov","Dec"},0),D1319)</f>
        <v>35267</v>
      </c>
      <c r="K1319">
        <f t="shared" si="20"/>
        <v>26</v>
      </c>
    </row>
    <row r="1320" spans="1:11" x14ac:dyDescent="0.35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 s="15">
        <v>11033.66</v>
      </c>
      <c r="G1320" t="s">
        <v>12</v>
      </c>
      <c r="H1320" t="s">
        <v>12</v>
      </c>
      <c r="I1320" t="s">
        <v>23</v>
      </c>
      <c r="J1320" s="11">
        <f>DATE(B1320,MATCH(C1320,{"Jan","Feb","Mar","Apr","May","Jun","Jul","Aug","Sep","Oct","Nov","Dec"},0),D1320)</f>
        <v>27373</v>
      </c>
      <c r="K1320">
        <f t="shared" si="20"/>
        <v>48</v>
      </c>
    </row>
    <row r="1321" spans="1:11" x14ac:dyDescent="0.35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 s="15">
        <v>11037.51</v>
      </c>
      <c r="G1321" t="s">
        <v>12</v>
      </c>
      <c r="H1321" t="s">
        <v>16</v>
      </c>
      <c r="I1321" t="s">
        <v>23</v>
      </c>
      <c r="J1321" s="11">
        <f>DATE(B1321,MATCH(C1321,{"Jan","Feb","Mar","Apr","May","Jun","Jul","Aug","Sep","Oct","Nov","Dec"},0),D1321)</f>
        <v>32806</v>
      </c>
      <c r="K1321">
        <f t="shared" si="20"/>
        <v>33</v>
      </c>
    </row>
    <row r="1322" spans="1:11" x14ac:dyDescent="0.35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 s="15">
        <v>11037.85</v>
      </c>
      <c r="G1322" t="s">
        <v>12</v>
      </c>
      <c r="H1322" t="s">
        <v>11</v>
      </c>
      <c r="I1322" t="s">
        <v>200</v>
      </c>
      <c r="J1322" s="11">
        <f>DATE(B1322,MATCH(C1322,{"Jan","Feb","Mar","Apr","May","Jun","Jul","Aug","Sep","Oct","Nov","Dec"},0),D1322)</f>
        <v>27271</v>
      </c>
      <c r="K1322">
        <f t="shared" si="20"/>
        <v>48</v>
      </c>
    </row>
    <row r="1323" spans="1:11" x14ac:dyDescent="0.35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 s="15">
        <v>11046.02</v>
      </c>
      <c r="G1323" t="s">
        <v>12</v>
      </c>
      <c r="H1323" t="s">
        <v>16</v>
      </c>
      <c r="I1323" t="s">
        <v>535</v>
      </c>
      <c r="J1323" s="11">
        <f>DATE(B1323,MATCH(C1323,{"Jan","Feb","Mar","Apr","May","Jun","Jul","Aug","Sep","Oct","Nov","Dec"},0),D1323)</f>
        <v>37242</v>
      </c>
      <c r="K1323">
        <f t="shared" si="20"/>
        <v>21</v>
      </c>
    </row>
    <row r="1324" spans="1:11" x14ac:dyDescent="0.35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 s="15">
        <v>11068.7</v>
      </c>
      <c r="G1324" t="s">
        <v>12</v>
      </c>
      <c r="H1324" t="s">
        <v>16</v>
      </c>
      <c r="I1324" t="s">
        <v>42</v>
      </c>
      <c r="J1324" s="11">
        <f>DATE(B1324,MATCH(C1324,{"Jan","Feb","Mar","Apr","May","Jun","Jul","Aug","Sep","Oct","Nov","Dec"},0),D1324)</f>
        <v>36787</v>
      </c>
      <c r="K1324">
        <f t="shared" si="20"/>
        <v>22</v>
      </c>
    </row>
    <row r="1325" spans="1:11" x14ac:dyDescent="0.35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 s="15">
        <v>11068.77</v>
      </c>
      <c r="G1325" t="s">
        <v>12</v>
      </c>
      <c r="H1325" t="s">
        <v>11</v>
      </c>
      <c r="I1325" t="s">
        <v>23</v>
      </c>
      <c r="J1325" s="11">
        <f>DATE(B1325,MATCH(C1325,{"Jan","Feb","Mar","Apr","May","Jun","Jul","Aug","Sep","Oct","Nov","Dec"},0),D1325)</f>
        <v>26246</v>
      </c>
      <c r="K1325">
        <f t="shared" si="20"/>
        <v>51</v>
      </c>
    </row>
    <row r="1326" spans="1:11" x14ac:dyDescent="0.35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 s="15">
        <v>11070.54</v>
      </c>
      <c r="G1326" t="s">
        <v>12</v>
      </c>
      <c r="H1326" t="s">
        <v>12</v>
      </c>
      <c r="I1326" t="s">
        <v>42</v>
      </c>
      <c r="J1326" s="11">
        <f>DATE(B1326,MATCH(C1326,{"Jan","Feb","Mar","Apr","May","Jun","Jul","Aug","Sep","Oct","Nov","Dec"},0),D1326)</f>
        <v>24418</v>
      </c>
      <c r="K1326">
        <f t="shared" si="20"/>
        <v>56</v>
      </c>
    </row>
    <row r="1327" spans="1:11" x14ac:dyDescent="0.35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 s="15">
        <v>11073.18</v>
      </c>
      <c r="G1327" t="s">
        <v>12</v>
      </c>
      <c r="H1327" t="s">
        <v>12</v>
      </c>
      <c r="I1327" t="s">
        <v>42</v>
      </c>
      <c r="J1327" s="11">
        <f>DATE(B1327,MATCH(C1327,{"Jan","Feb","Mar","Apr","May","Jun","Jul","Aug","Sep","Oct","Nov","Dec"},0),D1327)</f>
        <v>24431</v>
      </c>
      <c r="K1327">
        <f t="shared" si="20"/>
        <v>56</v>
      </c>
    </row>
    <row r="1328" spans="1:11" x14ac:dyDescent="0.35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 s="15">
        <v>11082.58</v>
      </c>
      <c r="G1328" t="s">
        <v>12</v>
      </c>
      <c r="H1328" t="s">
        <v>11</v>
      </c>
      <c r="I1328" t="s">
        <v>23</v>
      </c>
      <c r="J1328" s="11">
        <f>DATE(B1328,MATCH(C1328,{"Jan","Feb","Mar","Apr","May","Jun","Jul","Aug","Sep","Oct","Nov","Dec"},0),D1328)</f>
        <v>24719</v>
      </c>
      <c r="K1328">
        <f t="shared" si="20"/>
        <v>55</v>
      </c>
    </row>
    <row r="1329" spans="1:11" x14ac:dyDescent="0.35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 s="15">
        <v>11085.59</v>
      </c>
      <c r="G1329" t="s">
        <v>12</v>
      </c>
      <c r="H1329" t="s">
        <v>11</v>
      </c>
      <c r="I1329" t="s">
        <v>23</v>
      </c>
      <c r="J1329" s="11">
        <f>DATE(B1329,MATCH(C1329,{"Jan","Feb","Mar","Apr","May","Jun","Jul","Aug","Sep","Oct","Nov","Dec"},0),D1329)</f>
        <v>26579</v>
      </c>
      <c r="K1329">
        <f t="shared" si="20"/>
        <v>50</v>
      </c>
    </row>
    <row r="1330" spans="1:11" x14ac:dyDescent="0.35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 s="15">
        <v>11090.72</v>
      </c>
      <c r="G1330" t="s">
        <v>12</v>
      </c>
      <c r="H1330" t="s">
        <v>16</v>
      </c>
      <c r="I1330" t="s">
        <v>13</v>
      </c>
      <c r="J1330" s="11">
        <f>DATE(B1330,MATCH(C1330,{"Jan","Feb","Mar","Apr","May","Jun","Jul","Aug","Sep","Oct","Nov","Dec"},0),D1330)</f>
        <v>24359</v>
      </c>
      <c r="K1330">
        <f t="shared" si="20"/>
        <v>56</v>
      </c>
    </row>
    <row r="1331" spans="1:11" x14ac:dyDescent="0.35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 s="15">
        <v>11093.62</v>
      </c>
      <c r="G1331" t="s">
        <v>12</v>
      </c>
      <c r="H1331" t="s">
        <v>16</v>
      </c>
      <c r="I1331" t="s">
        <v>13</v>
      </c>
      <c r="J1331" s="11">
        <f>DATE(B1331,MATCH(C1331,{"Jan","Feb","Mar","Apr","May","Jun","Jul","Aug","Sep","Oct","Nov","Dec"},0),D1331)</f>
        <v>24293</v>
      </c>
      <c r="K1331">
        <f t="shared" si="20"/>
        <v>56</v>
      </c>
    </row>
    <row r="1332" spans="1:11" x14ac:dyDescent="0.35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 s="15">
        <v>11103.33</v>
      </c>
      <c r="G1332" t="s">
        <v>12</v>
      </c>
      <c r="H1332" t="s">
        <v>16</v>
      </c>
      <c r="I1332" t="s">
        <v>300</v>
      </c>
      <c r="J1332" s="11">
        <f>DATE(B1332,MATCH(C1332,{"Jan","Feb","Mar","Apr","May","Jun","Jul","Aug","Sep","Oct","Nov","Dec"},0),D1332)</f>
        <v>29453</v>
      </c>
      <c r="K1332">
        <f t="shared" si="20"/>
        <v>42</v>
      </c>
    </row>
    <row r="1333" spans="1:11" x14ac:dyDescent="0.35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 s="15">
        <v>11150.78</v>
      </c>
      <c r="G1333" t="s">
        <v>12</v>
      </c>
      <c r="H1333" t="s">
        <v>11</v>
      </c>
      <c r="I1333" t="s">
        <v>42</v>
      </c>
      <c r="J1333" s="11">
        <f>DATE(B1333,MATCH(C1333,{"Jan","Feb","Mar","Apr","May","Jun","Jul","Aug","Sep","Oct","Nov","Dec"},0),D1333)</f>
        <v>25537</v>
      </c>
      <c r="K1333">
        <f t="shared" si="20"/>
        <v>53</v>
      </c>
    </row>
    <row r="1334" spans="1:11" x14ac:dyDescent="0.35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 s="15">
        <v>11163.57</v>
      </c>
      <c r="G1334" t="s">
        <v>12</v>
      </c>
      <c r="H1334" t="s">
        <v>11</v>
      </c>
      <c r="I1334" t="s">
        <v>42</v>
      </c>
      <c r="J1334" s="11">
        <f>DATE(B1334,MATCH(C1334,{"Jan","Feb","Mar","Apr","May","Jun","Jul","Aug","Sep","Oct","Nov","Dec"},0),D1334)</f>
        <v>25379</v>
      </c>
      <c r="K1334">
        <f t="shared" si="20"/>
        <v>53</v>
      </c>
    </row>
    <row r="1335" spans="1:11" x14ac:dyDescent="0.35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 s="15">
        <v>11165.42</v>
      </c>
      <c r="G1335" t="s">
        <v>12</v>
      </c>
      <c r="H1335" t="s">
        <v>16</v>
      </c>
      <c r="I1335" t="s">
        <v>168</v>
      </c>
      <c r="J1335" s="11">
        <f>DATE(B1335,MATCH(C1335,{"Jan","Feb","Mar","Apr","May","Jun","Jul","Aug","Sep","Oct","Nov","Dec"},0),D1335)</f>
        <v>24325</v>
      </c>
      <c r="K1335">
        <f t="shared" si="20"/>
        <v>56</v>
      </c>
    </row>
    <row r="1336" spans="1:11" x14ac:dyDescent="0.35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 s="15">
        <v>11186.2</v>
      </c>
      <c r="G1336" t="s">
        <v>12</v>
      </c>
      <c r="H1336" t="s">
        <v>11</v>
      </c>
      <c r="I1336" t="s">
        <v>300</v>
      </c>
      <c r="J1336" s="11">
        <f>DATE(B1336,MATCH(C1336,{"Jan","Feb","Mar","Apr","May","Jun","Jul","Aug","Sep","Oct","Nov","Dec"},0),D1336)</f>
        <v>26545</v>
      </c>
      <c r="K1336">
        <f t="shared" si="20"/>
        <v>50</v>
      </c>
    </row>
    <row r="1337" spans="1:11" x14ac:dyDescent="0.35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 s="15">
        <v>11187.66</v>
      </c>
      <c r="G1337" t="s">
        <v>12</v>
      </c>
      <c r="H1337" t="s">
        <v>11</v>
      </c>
      <c r="I1337" t="s">
        <v>23</v>
      </c>
      <c r="J1337" s="11">
        <f>DATE(B1337,MATCH(C1337,{"Jan","Feb","Mar","Apr","May","Jun","Jul","Aug","Sep","Oct","Nov","Dec"},0),D1337)</f>
        <v>25733</v>
      </c>
      <c r="K1337">
        <f t="shared" si="20"/>
        <v>52</v>
      </c>
    </row>
    <row r="1338" spans="1:11" x14ac:dyDescent="0.35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 s="15">
        <v>11217.35</v>
      </c>
      <c r="G1338" t="s">
        <v>12</v>
      </c>
      <c r="H1338" t="s">
        <v>11</v>
      </c>
      <c r="I1338" t="s">
        <v>200</v>
      </c>
      <c r="J1338" s="11">
        <f>DATE(B1338,MATCH(C1338,{"Jan","Feb","Mar","Apr","May","Jun","Jul","Aug","Sep","Oct","Nov","Dec"},0),D1338)</f>
        <v>27939</v>
      </c>
      <c r="K1338">
        <f t="shared" si="20"/>
        <v>46</v>
      </c>
    </row>
    <row r="1339" spans="1:11" x14ac:dyDescent="0.35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 s="15">
        <v>11244.38</v>
      </c>
      <c r="G1339" t="s">
        <v>12</v>
      </c>
      <c r="H1339" t="s">
        <v>16</v>
      </c>
      <c r="I1339" t="s">
        <v>168</v>
      </c>
      <c r="J1339" s="11">
        <f>DATE(B1339,MATCH(C1339,{"Jan","Feb","Mar","Apr","May","Jun","Jul","Aug","Sep","Oct","Nov","Dec"},0),D1339)</f>
        <v>25567</v>
      </c>
      <c r="K1339">
        <f t="shared" si="20"/>
        <v>53</v>
      </c>
    </row>
    <row r="1340" spans="1:11" x14ac:dyDescent="0.35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 s="15">
        <v>11250.43</v>
      </c>
      <c r="G1340" t="s">
        <v>12</v>
      </c>
      <c r="H1340" t="s">
        <v>11</v>
      </c>
      <c r="I1340" t="s">
        <v>535</v>
      </c>
      <c r="J1340" s="11">
        <f>DATE(B1340,MATCH(C1340,{"Jan","Feb","Mar","Apr","May","Jun","Jul","Aug","Sep","Oct","Nov","Dec"},0),D1340)</f>
        <v>32859</v>
      </c>
      <c r="K1340">
        <f t="shared" si="20"/>
        <v>33</v>
      </c>
    </row>
    <row r="1341" spans="1:11" x14ac:dyDescent="0.35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 s="15">
        <v>11253.42</v>
      </c>
      <c r="G1341" t="s">
        <v>12</v>
      </c>
      <c r="H1341" t="s">
        <v>16</v>
      </c>
      <c r="I1341" t="s">
        <v>42</v>
      </c>
      <c r="J1341" s="11">
        <f>DATE(B1341,MATCH(C1341,{"Jan","Feb","Mar","Apr","May","Jun","Jul","Aug","Sep","Oct","Nov","Dec"},0),D1341)</f>
        <v>25435</v>
      </c>
      <c r="K1341">
        <f t="shared" si="20"/>
        <v>53</v>
      </c>
    </row>
    <row r="1342" spans="1:11" x14ac:dyDescent="0.35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 s="15">
        <v>11255.29</v>
      </c>
      <c r="G1342" t="s">
        <v>12</v>
      </c>
      <c r="H1342" t="s">
        <v>16</v>
      </c>
      <c r="I1342" t="s">
        <v>535</v>
      </c>
      <c r="J1342" s="11">
        <f>DATE(B1342,MATCH(C1342,{"Jan","Feb","Mar","Apr","May","Jun","Jul","Aug","Sep","Oct","Nov","Dec"},0),D1342)</f>
        <v>29861</v>
      </c>
      <c r="K1342">
        <f t="shared" si="20"/>
        <v>41</v>
      </c>
    </row>
    <row r="1343" spans="1:11" x14ac:dyDescent="0.35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 s="15">
        <v>11264.54</v>
      </c>
      <c r="G1343" t="s">
        <v>12</v>
      </c>
      <c r="H1343" t="s">
        <v>11</v>
      </c>
      <c r="I1343" t="s">
        <v>42</v>
      </c>
      <c r="J1343" s="11">
        <f>DATE(B1343,MATCH(C1343,{"Jan","Feb","Mar","Apr","May","Jun","Jul","Aug","Sep","Oct","Nov","Dec"},0),D1343)</f>
        <v>25487</v>
      </c>
      <c r="K1343">
        <f t="shared" si="20"/>
        <v>53</v>
      </c>
    </row>
    <row r="1344" spans="1:11" x14ac:dyDescent="0.35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 s="15">
        <v>11265.71</v>
      </c>
      <c r="G1344" t="s">
        <v>12</v>
      </c>
      <c r="H1344" t="s">
        <v>16</v>
      </c>
      <c r="I1344" t="s">
        <v>200</v>
      </c>
      <c r="J1344" s="11">
        <f>DATE(B1344,MATCH(C1344,{"Jan","Feb","Mar","Apr","May","Jun","Jul","Aug","Sep","Oct","Nov","Dec"},0),D1344)</f>
        <v>26293</v>
      </c>
      <c r="K1344">
        <f t="shared" si="20"/>
        <v>51</v>
      </c>
    </row>
    <row r="1345" spans="1:11" x14ac:dyDescent="0.35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 s="15">
        <v>11272.33</v>
      </c>
      <c r="G1345" t="s">
        <v>12</v>
      </c>
      <c r="H1345" t="s">
        <v>11</v>
      </c>
      <c r="I1345" t="s">
        <v>166</v>
      </c>
      <c r="J1345" s="11">
        <f>DATE(B1345,MATCH(C1345,{"Jan","Feb","Mar","Apr","May","Jun","Jul","Aug","Sep","Oct","Nov","Dec"},0),D1345)</f>
        <v>38264</v>
      </c>
      <c r="K1345">
        <f t="shared" si="20"/>
        <v>18</v>
      </c>
    </row>
    <row r="1346" spans="1:11" x14ac:dyDescent="0.35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 s="15">
        <v>11286.54</v>
      </c>
      <c r="G1346" t="s">
        <v>12</v>
      </c>
      <c r="H1346" t="s">
        <v>12</v>
      </c>
      <c r="I1346" t="s">
        <v>247</v>
      </c>
      <c r="J1346" s="11">
        <f>DATE(B1346,MATCH(C1346,{"Jan","Feb","Mar","Apr","May","Jun","Jul","Aug","Sep","Oct","Nov","Dec"},0),D1346)</f>
        <v>24637</v>
      </c>
      <c r="K1346">
        <f t="shared" si="20"/>
        <v>55</v>
      </c>
    </row>
    <row r="1347" spans="1:11" x14ac:dyDescent="0.35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 s="15">
        <v>11289.11</v>
      </c>
      <c r="G1347" t="s">
        <v>12</v>
      </c>
      <c r="H1347" t="s">
        <v>16</v>
      </c>
      <c r="I1347" t="s">
        <v>23</v>
      </c>
      <c r="J1347" s="11">
        <f>DATE(B1347,MATCH(C1347,{"Jan","Feb","Mar","Apr","May","Jun","Jul","Aug","Sep","Oct","Nov","Dec"},0),D1347)</f>
        <v>25741</v>
      </c>
      <c r="K1347">
        <f t="shared" ref="K1347:K1410" si="21">DATEDIF(J1347,$N$1,"Y")</f>
        <v>52</v>
      </c>
    </row>
    <row r="1348" spans="1:11" x14ac:dyDescent="0.35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 s="15">
        <v>11294.57</v>
      </c>
      <c r="G1348" t="s">
        <v>12</v>
      </c>
      <c r="H1348" t="s">
        <v>16</v>
      </c>
      <c r="I1348" t="s">
        <v>632</v>
      </c>
      <c r="J1348" s="11">
        <f>DATE(B1348,MATCH(C1348,{"Jan","Feb","Mar","Apr","May","Jun","Jul","Aug","Sep","Oct","Nov","Dec"},0),D1348)</f>
        <v>32461</v>
      </c>
      <c r="K1348">
        <f t="shared" si="21"/>
        <v>34</v>
      </c>
    </row>
    <row r="1349" spans="1:11" x14ac:dyDescent="0.35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 s="15">
        <v>11299.34</v>
      </c>
      <c r="G1349" t="s">
        <v>12</v>
      </c>
      <c r="H1349" t="s">
        <v>11</v>
      </c>
      <c r="I1349" t="s">
        <v>42</v>
      </c>
      <c r="J1349" s="11">
        <f>DATE(B1349,MATCH(C1349,{"Jan","Feb","Mar","Apr","May","Jun","Jul","Aug","Sep","Oct","Nov","Dec"},0),D1349)</f>
        <v>26567</v>
      </c>
      <c r="K1349">
        <f t="shared" si="21"/>
        <v>50</v>
      </c>
    </row>
    <row r="1350" spans="1:11" x14ac:dyDescent="0.35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 s="15">
        <v>11305.93</v>
      </c>
      <c r="G1350" t="s">
        <v>12</v>
      </c>
      <c r="H1350" t="s">
        <v>16</v>
      </c>
      <c r="I1350" t="s">
        <v>23</v>
      </c>
      <c r="J1350" s="11">
        <f>DATE(B1350,MATCH(C1350,{"Jan","Feb","Mar","Apr","May","Jun","Jul","Aug","Sep","Oct","Nov","Dec"},0),D1350)</f>
        <v>25117</v>
      </c>
      <c r="K1350">
        <f t="shared" si="21"/>
        <v>54</v>
      </c>
    </row>
    <row r="1351" spans="1:11" x14ac:dyDescent="0.35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 s="15">
        <v>11312.33</v>
      </c>
      <c r="G1351" t="s">
        <v>12</v>
      </c>
      <c r="H1351" t="s">
        <v>12</v>
      </c>
      <c r="I1351" t="s">
        <v>23</v>
      </c>
      <c r="J1351" s="11">
        <f>DATE(B1351,MATCH(C1351,{"Jan","Feb","Mar","Apr","May","Jun","Jul","Aug","Sep","Oct","Nov","Dec"},0),D1351)</f>
        <v>23337</v>
      </c>
      <c r="K1351">
        <f t="shared" si="21"/>
        <v>59</v>
      </c>
    </row>
    <row r="1352" spans="1:11" x14ac:dyDescent="0.35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 s="15">
        <v>11318.57</v>
      </c>
      <c r="G1352" t="s">
        <v>12</v>
      </c>
      <c r="H1352" t="s">
        <v>11</v>
      </c>
      <c r="I1352" t="s">
        <v>535</v>
      </c>
      <c r="J1352" s="11">
        <f>DATE(B1352,MATCH(C1352,{"Jan","Feb","Mar","Apr","May","Jun","Jul","Aug","Sep","Oct","Nov","Dec"},0),D1352)</f>
        <v>35043</v>
      </c>
      <c r="K1352">
        <f t="shared" si="21"/>
        <v>27</v>
      </c>
    </row>
    <row r="1353" spans="1:11" x14ac:dyDescent="0.35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 s="15">
        <v>11319.12</v>
      </c>
      <c r="G1353" t="s">
        <v>12</v>
      </c>
      <c r="H1353" t="s">
        <v>16</v>
      </c>
      <c r="I1353" t="s">
        <v>23</v>
      </c>
      <c r="J1353" s="11">
        <f>DATE(B1353,MATCH(C1353,{"Jan","Feb","Mar","Apr","May","Jun","Jul","Aug","Sep","Oct","Nov","Dec"},0),D1353)</f>
        <v>23203</v>
      </c>
      <c r="K1353">
        <f t="shared" si="21"/>
        <v>59</v>
      </c>
    </row>
    <row r="1354" spans="1:11" x14ac:dyDescent="0.35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 s="15">
        <v>11321.49</v>
      </c>
      <c r="G1354" t="s">
        <v>12</v>
      </c>
      <c r="H1354" t="s">
        <v>12</v>
      </c>
      <c r="I1354" t="s">
        <v>23</v>
      </c>
      <c r="J1354" s="11">
        <f>DATE(B1354,MATCH(C1354,{"Jan","Feb","Mar","Apr","May","Jun","Jul","Aug","Sep","Oct","Nov","Dec"},0),D1354)</f>
        <v>37519</v>
      </c>
      <c r="K1354">
        <f t="shared" si="21"/>
        <v>20</v>
      </c>
    </row>
    <row r="1355" spans="1:11" x14ac:dyDescent="0.35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 s="15">
        <v>11326.71</v>
      </c>
      <c r="G1355" t="s">
        <v>12</v>
      </c>
      <c r="H1355" t="s">
        <v>12</v>
      </c>
      <c r="I1355" t="s">
        <v>13</v>
      </c>
      <c r="J1355" s="11">
        <f>DATE(B1355,MATCH(C1355,{"Jan","Feb","Mar","Apr","May","Jun","Jul","Aug","Sep","Oct","Nov","Dec"},0),D1355)</f>
        <v>32739</v>
      </c>
      <c r="K1355">
        <f t="shared" si="21"/>
        <v>33</v>
      </c>
    </row>
    <row r="1356" spans="1:11" x14ac:dyDescent="0.35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 s="15">
        <v>11344.32</v>
      </c>
      <c r="G1356" t="s">
        <v>12</v>
      </c>
      <c r="H1356" t="s">
        <v>11</v>
      </c>
      <c r="I1356" t="s">
        <v>200</v>
      </c>
      <c r="J1356" s="11">
        <f>DATE(B1356,MATCH(C1356,{"Jan","Feb","Mar","Apr","May","Jun","Jul","Aug","Sep","Oct","Nov","Dec"},0),D1356)</f>
        <v>25144</v>
      </c>
      <c r="K1356">
        <f t="shared" si="21"/>
        <v>54</v>
      </c>
    </row>
    <row r="1357" spans="1:11" x14ac:dyDescent="0.35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 s="15">
        <v>11345.52</v>
      </c>
      <c r="G1357" t="s">
        <v>12</v>
      </c>
      <c r="H1357" t="s">
        <v>12</v>
      </c>
      <c r="I1357" t="s">
        <v>42</v>
      </c>
      <c r="J1357" s="11">
        <f>DATE(B1357,MATCH(C1357,{"Jan","Feb","Mar","Apr","May","Jun","Jul","Aug","Sep","Oct","Nov","Dec"},0),D1357)</f>
        <v>23570</v>
      </c>
      <c r="K1357">
        <f t="shared" si="21"/>
        <v>58</v>
      </c>
    </row>
    <row r="1358" spans="1:11" x14ac:dyDescent="0.35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 s="15">
        <v>11353.23</v>
      </c>
      <c r="G1358" t="s">
        <v>12</v>
      </c>
      <c r="H1358" t="s">
        <v>16</v>
      </c>
      <c r="I1358" t="s">
        <v>23</v>
      </c>
      <c r="J1358" s="11">
        <f>DATE(B1358,MATCH(C1358,{"Jan","Feb","Mar","Apr","May","Jun","Jul","Aug","Sep","Oct","Nov","Dec"},0),D1358)</f>
        <v>24075</v>
      </c>
      <c r="K1358">
        <f t="shared" si="21"/>
        <v>57</v>
      </c>
    </row>
    <row r="1359" spans="1:11" x14ac:dyDescent="0.35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 s="15">
        <v>11356.66</v>
      </c>
      <c r="G1359" t="s">
        <v>12</v>
      </c>
      <c r="H1359" t="s">
        <v>12</v>
      </c>
      <c r="I1359" t="s">
        <v>23</v>
      </c>
      <c r="J1359" s="11">
        <f>DATE(B1359,MATCH(C1359,{"Jan","Feb","Mar","Apr","May","Jun","Jul","Aug","Sep","Oct","Nov","Dec"},0),D1359)</f>
        <v>24011</v>
      </c>
      <c r="K1359">
        <f t="shared" si="21"/>
        <v>57</v>
      </c>
    </row>
    <row r="1360" spans="1:11" x14ac:dyDescent="0.35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 s="15">
        <v>11362.76</v>
      </c>
      <c r="G1360" t="s">
        <v>12</v>
      </c>
      <c r="H1360" t="s">
        <v>16</v>
      </c>
      <c r="I1360" t="s">
        <v>42</v>
      </c>
      <c r="J1360" s="11">
        <f>DATE(B1360,MATCH(C1360,{"Jan","Feb","Mar","Apr","May","Jun","Jul","Aug","Sep","Oct","Nov","Dec"},0),D1360)</f>
        <v>23562</v>
      </c>
      <c r="K1360">
        <f t="shared" si="21"/>
        <v>58</v>
      </c>
    </row>
    <row r="1361" spans="1:11" x14ac:dyDescent="0.35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 s="15">
        <v>11363.28</v>
      </c>
      <c r="G1361" t="s">
        <v>12</v>
      </c>
      <c r="H1361" t="s">
        <v>16</v>
      </c>
      <c r="I1361" t="s">
        <v>13</v>
      </c>
      <c r="J1361" s="11">
        <f>DATE(B1361,MATCH(C1361,{"Jan","Feb","Mar","Apr","May","Jun","Jul","Aug","Sep","Oct","Nov","Dec"},0),D1361)</f>
        <v>23561</v>
      </c>
      <c r="K1361">
        <f t="shared" si="21"/>
        <v>58</v>
      </c>
    </row>
    <row r="1362" spans="1:11" x14ac:dyDescent="0.35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 s="15">
        <v>11365.95</v>
      </c>
      <c r="G1362" t="s">
        <v>12</v>
      </c>
      <c r="H1362" t="s">
        <v>11</v>
      </c>
      <c r="I1362" t="s">
        <v>42</v>
      </c>
      <c r="J1362" s="11">
        <f>DATE(B1362,MATCH(C1362,{"Jan","Feb","Mar","Apr","May","Jun","Jul","Aug","Sep","Oct","Nov","Dec"},0),D1362)</f>
        <v>23724</v>
      </c>
      <c r="K1362">
        <f t="shared" si="21"/>
        <v>58</v>
      </c>
    </row>
    <row r="1363" spans="1:11" x14ac:dyDescent="0.35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 s="15">
        <v>11369.39</v>
      </c>
      <c r="G1363" t="s">
        <v>12</v>
      </c>
      <c r="H1363" t="s">
        <v>16</v>
      </c>
      <c r="I1363" t="s">
        <v>535</v>
      </c>
      <c r="J1363" s="11">
        <f>DATE(B1363,MATCH(C1363,{"Jan","Feb","Mar","Apr","May","Jun","Jul","Aug","Sep","Oct","Nov","Dec"},0),D1363)</f>
        <v>29013</v>
      </c>
      <c r="K1363">
        <f t="shared" si="21"/>
        <v>44</v>
      </c>
    </row>
    <row r="1364" spans="1:11" x14ac:dyDescent="0.35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 s="15">
        <v>11378.57</v>
      </c>
      <c r="G1364" t="s">
        <v>12</v>
      </c>
      <c r="H1364" t="s">
        <v>11</v>
      </c>
      <c r="I1364" t="s">
        <v>200</v>
      </c>
      <c r="J1364" s="11">
        <f>DATE(B1364,MATCH(C1364,{"Jan","Feb","Mar","Apr","May","Jun","Jul","Aug","Sep","Oct","Nov","Dec"},0),D1364)</f>
        <v>26639</v>
      </c>
      <c r="K1364">
        <f t="shared" si="21"/>
        <v>50</v>
      </c>
    </row>
    <row r="1365" spans="1:11" x14ac:dyDescent="0.35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 s="15">
        <v>11381.33</v>
      </c>
      <c r="G1365" t="s">
        <v>12</v>
      </c>
      <c r="H1365" t="s">
        <v>11</v>
      </c>
      <c r="I1365" t="s">
        <v>13</v>
      </c>
      <c r="J1365" s="11">
        <f>DATE(B1365,MATCH(C1365,{"Jan","Feb","Mar","Apr","May","Jun","Jul","Aug","Sep","Oct","Nov","Dec"},0),D1365)</f>
        <v>23541</v>
      </c>
      <c r="K1365">
        <f t="shared" si="21"/>
        <v>58</v>
      </c>
    </row>
    <row r="1366" spans="1:11" x14ac:dyDescent="0.35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 s="15">
        <v>11388.27</v>
      </c>
      <c r="G1366" t="s">
        <v>12</v>
      </c>
      <c r="H1366" t="s">
        <v>11</v>
      </c>
      <c r="I1366" t="s">
        <v>535</v>
      </c>
      <c r="J1366" s="11">
        <f>DATE(B1366,MATCH(C1366,{"Jan","Feb","Mar","Apr","May","Jun","Jul","Aug","Sep","Oct","Nov","Dec"},0),D1366)</f>
        <v>35639</v>
      </c>
      <c r="K1366">
        <f t="shared" si="21"/>
        <v>25</v>
      </c>
    </row>
    <row r="1367" spans="1:11" x14ac:dyDescent="0.35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 s="15">
        <v>11394.07</v>
      </c>
      <c r="G1367" t="s">
        <v>12</v>
      </c>
      <c r="H1367" t="s">
        <v>16</v>
      </c>
      <c r="I1367" t="s">
        <v>170</v>
      </c>
      <c r="J1367" s="11">
        <f>DATE(B1367,MATCH(C1367,{"Jan","Feb","Mar","Apr","May","Jun","Jul","Aug","Sep","Oct","Nov","Dec"},0),D1367)</f>
        <v>24825</v>
      </c>
      <c r="K1367">
        <f t="shared" si="21"/>
        <v>55</v>
      </c>
    </row>
    <row r="1368" spans="1:11" x14ac:dyDescent="0.35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 s="15">
        <v>11396.9</v>
      </c>
      <c r="G1368" t="s">
        <v>12</v>
      </c>
      <c r="H1368" t="s">
        <v>12</v>
      </c>
      <c r="I1368" t="s">
        <v>247</v>
      </c>
      <c r="J1368" s="11">
        <f>DATE(B1368,MATCH(C1368,{"Jan","Feb","Mar","Apr","May","Jun","Jul","Aug","Sep","Oct","Nov","Dec"},0),D1368)</f>
        <v>25843</v>
      </c>
      <c r="K1368">
        <f t="shared" si="21"/>
        <v>52</v>
      </c>
    </row>
    <row r="1369" spans="1:11" x14ac:dyDescent="0.35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 s="15">
        <v>11411.69</v>
      </c>
      <c r="G1369" t="s">
        <v>12</v>
      </c>
      <c r="H1369" t="s">
        <v>11</v>
      </c>
      <c r="I1369" t="s">
        <v>42</v>
      </c>
      <c r="J1369" s="11">
        <f>DATE(B1369,MATCH(C1369,{"Jan","Feb","Mar","Apr","May","Jun","Jul","Aug","Sep","Oct","Nov","Dec"},0),D1369)</f>
        <v>25848</v>
      </c>
      <c r="K1369">
        <f t="shared" si="21"/>
        <v>52</v>
      </c>
    </row>
    <row r="1370" spans="1:11" x14ac:dyDescent="0.35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 s="15">
        <v>11412.02</v>
      </c>
      <c r="G1370" t="s">
        <v>12</v>
      </c>
      <c r="H1370" t="s">
        <v>16</v>
      </c>
      <c r="I1370" t="s">
        <v>300</v>
      </c>
      <c r="J1370" s="11">
        <f>DATE(B1370,MATCH(C1370,{"Jan","Feb","Mar","Apr","May","Jun","Jul","Aug","Sep","Oct","Nov","Dec"},0),D1370)</f>
        <v>30612</v>
      </c>
      <c r="K1370">
        <f t="shared" si="21"/>
        <v>39</v>
      </c>
    </row>
    <row r="1371" spans="1:11" x14ac:dyDescent="0.35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 s="15">
        <v>11419.49</v>
      </c>
      <c r="G1371" t="s">
        <v>12</v>
      </c>
      <c r="H1371" t="s">
        <v>16</v>
      </c>
      <c r="I1371" t="s">
        <v>23</v>
      </c>
      <c r="J1371" s="11">
        <f>DATE(B1371,MATCH(C1371,{"Jan","Feb","Mar","Apr","May","Jun","Jul","Aug","Sep","Oct","Nov","Dec"},0),D1371)</f>
        <v>31207</v>
      </c>
      <c r="K1371">
        <f t="shared" si="21"/>
        <v>37</v>
      </c>
    </row>
    <row r="1372" spans="1:11" x14ac:dyDescent="0.35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 s="15">
        <v>11435.74</v>
      </c>
      <c r="G1372" t="s">
        <v>12</v>
      </c>
      <c r="H1372" t="s">
        <v>12</v>
      </c>
      <c r="I1372" t="s">
        <v>300</v>
      </c>
      <c r="J1372" s="11">
        <f>DATE(B1372,MATCH(C1372,{"Jan","Feb","Mar","Apr","May","Jun","Jul","Aug","Sep","Oct","Nov","Dec"},0),D1372)</f>
        <v>29419</v>
      </c>
      <c r="K1372">
        <f t="shared" si="21"/>
        <v>42</v>
      </c>
    </row>
    <row r="1373" spans="1:11" x14ac:dyDescent="0.35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 s="15">
        <v>11436.74</v>
      </c>
      <c r="G1373" t="s">
        <v>12</v>
      </c>
      <c r="H1373" t="s">
        <v>12</v>
      </c>
      <c r="I1373" t="s">
        <v>23</v>
      </c>
      <c r="J1373" s="11">
        <f>DATE(B1373,MATCH(C1373,{"Jan","Feb","Mar","Apr","May","Jun","Jul","Aug","Sep","Oct","Nov","Dec"},0),D1373)</f>
        <v>26188</v>
      </c>
      <c r="K1373">
        <f t="shared" si="21"/>
        <v>51</v>
      </c>
    </row>
    <row r="1374" spans="1:11" x14ac:dyDescent="0.35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 s="15">
        <v>11454.02</v>
      </c>
      <c r="G1374" t="s">
        <v>12</v>
      </c>
      <c r="H1374" t="s">
        <v>16</v>
      </c>
      <c r="I1374" t="s">
        <v>23</v>
      </c>
      <c r="J1374" s="11">
        <f>DATE(B1374,MATCH(C1374,{"Jan","Feb","Mar","Apr","May","Jun","Jul","Aug","Sep","Oct","Nov","Dec"},0),D1374)</f>
        <v>24272</v>
      </c>
      <c r="K1374">
        <f t="shared" si="21"/>
        <v>56</v>
      </c>
    </row>
    <row r="1375" spans="1:11" x14ac:dyDescent="0.35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 s="15">
        <v>11455.28</v>
      </c>
      <c r="G1375" t="s">
        <v>12</v>
      </c>
      <c r="H1375" t="s">
        <v>11</v>
      </c>
      <c r="I1375" t="s">
        <v>42</v>
      </c>
      <c r="J1375" s="11">
        <f>DATE(B1375,MATCH(C1375,{"Jan","Feb","Mar","Apr","May","Jun","Jul","Aug","Sep","Oct","Nov","Dec"},0),D1375)</f>
        <v>23916</v>
      </c>
      <c r="K1375">
        <f t="shared" si="21"/>
        <v>57</v>
      </c>
    </row>
    <row r="1376" spans="1:11" x14ac:dyDescent="0.35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 s="15">
        <v>11478.14</v>
      </c>
      <c r="G1376" t="s">
        <v>12</v>
      </c>
      <c r="H1376" t="s">
        <v>11</v>
      </c>
      <c r="I1376" t="s">
        <v>200</v>
      </c>
      <c r="J1376" s="11">
        <f>DATE(B1376,MATCH(C1376,{"Jan","Feb","Mar","Apr","May","Jun","Jul","Aug","Sep","Oct","Nov","Dec"},0),D1376)</f>
        <v>24357</v>
      </c>
      <c r="K1376">
        <f t="shared" si="21"/>
        <v>56</v>
      </c>
    </row>
    <row r="1377" spans="1:11" x14ac:dyDescent="0.35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 s="15">
        <v>11482.63</v>
      </c>
      <c r="G1377" t="s">
        <v>12</v>
      </c>
      <c r="H1377" t="s">
        <v>11</v>
      </c>
      <c r="I1377" t="s">
        <v>13</v>
      </c>
      <c r="J1377" s="11">
        <f>DATE(B1377,MATCH(C1377,{"Jan","Feb","Mar","Apr","May","Jun","Jul","Aug","Sep","Oct","Nov","Dec"},0),D1377)</f>
        <v>38240</v>
      </c>
      <c r="K1377">
        <f t="shared" si="21"/>
        <v>18</v>
      </c>
    </row>
    <row r="1378" spans="1:11" x14ac:dyDescent="0.35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 s="15">
        <v>11488.32</v>
      </c>
      <c r="G1378" t="s">
        <v>12</v>
      </c>
      <c r="H1378" t="s">
        <v>16</v>
      </c>
      <c r="I1378" t="s">
        <v>276</v>
      </c>
      <c r="J1378" s="11">
        <f>DATE(B1378,MATCH(C1378,{"Jan","Feb","Mar","Apr","May","Jun","Jul","Aug","Sep","Oct","Nov","Dec"},0),D1378)</f>
        <v>25854</v>
      </c>
      <c r="K1378">
        <f t="shared" si="21"/>
        <v>52</v>
      </c>
    </row>
    <row r="1379" spans="1:11" x14ac:dyDescent="0.35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 s="15">
        <v>11492.46</v>
      </c>
      <c r="G1379" t="s">
        <v>12</v>
      </c>
      <c r="H1379" t="s">
        <v>12</v>
      </c>
      <c r="I1379" t="s">
        <v>535</v>
      </c>
      <c r="J1379" s="11">
        <f>DATE(B1379,MATCH(C1379,{"Jan","Feb","Mar","Apr","May","Jun","Jul","Aug","Sep","Oct","Nov","Dec"},0),D1379)</f>
        <v>30474</v>
      </c>
      <c r="K1379">
        <f t="shared" si="21"/>
        <v>40</v>
      </c>
    </row>
    <row r="1380" spans="1:11" x14ac:dyDescent="0.35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 s="15">
        <v>11497.69</v>
      </c>
      <c r="G1380" t="s">
        <v>12</v>
      </c>
      <c r="H1380" t="s">
        <v>16</v>
      </c>
      <c r="I1380" t="s">
        <v>23</v>
      </c>
      <c r="J1380" s="11">
        <f>DATE(B1380,MATCH(C1380,{"Jan","Feb","Mar","Apr","May","Jun","Jul","Aug","Sep","Oct","Nov","Dec"},0),D1380)</f>
        <v>25426</v>
      </c>
      <c r="K1380">
        <f t="shared" si="21"/>
        <v>53</v>
      </c>
    </row>
    <row r="1381" spans="1:11" x14ac:dyDescent="0.35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 s="15">
        <v>11511.61</v>
      </c>
      <c r="G1381" t="s">
        <v>12</v>
      </c>
      <c r="H1381" t="s">
        <v>12</v>
      </c>
      <c r="I1381" t="s">
        <v>535</v>
      </c>
      <c r="J1381" s="11">
        <f>DATE(B1381,MATCH(C1381,{"Jan","Feb","Mar","Apr","May","Jun","Jul","Aug","Sep","Oct","Nov","Dec"},0),D1381)</f>
        <v>32787</v>
      </c>
      <c r="K1381">
        <f t="shared" si="21"/>
        <v>33</v>
      </c>
    </row>
    <row r="1382" spans="1:11" x14ac:dyDescent="0.35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 s="15">
        <v>11512.41</v>
      </c>
      <c r="G1382" t="s">
        <v>12</v>
      </c>
      <c r="H1382" t="s">
        <v>16</v>
      </c>
      <c r="I1382" t="s">
        <v>247</v>
      </c>
      <c r="J1382" s="11">
        <f>DATE(B1382,MATCH(C1382,{"Jan","Feb","Mar","Apr","May","Jun","Jul","Aug","Sep","Oct","Nov","Dec"},0),D1382)</f>
        <v>25013</v>
      </c>
      <c r="K1382">
        <f t="shared" si="21"/>
        <v>54</v>
      </c>
    </row>
    <row r="1383" spans="1:11" x14ac:dyDescent="0.35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 s="15">
        <v>11520.1</v>
      </c>
      <c r="G1383" t="s">
        <v>12</v>
      </c>
      <c r="H1383" t="s">
        <v>16</v>
      </c>
      <c r="I1383" t="s">
        <v>23</v>
      </c>
      <c r="J1383" s="11">
        <f>DATE(B1383,MATCH(C1383,{"Jan","Feb","Mar","Apr","May","Jun","Jul","Aug","Sep","Oct","Nov","Dec"},0),D1383)</f>
        <v>26286</v>
      </c>
      <c r="K1383">
        <f t="shared" si="21"/>
        <v>51</v>
      </c>
    </row>
    <row r="1384" spans="1:11" x14ac:dyDescent="0.35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 s="15">
        <v>11524.25</v>
      </c>
      <c r="G1384" t="s">
        <v>12</v>
      </c>
      <c r="H1384" t="s">
        <v>16</v>
      </c>
      <c r="I1384" t="s">
        <v>535</v>
      </c>
      <c r="J1384" s="11">
        <f>DATE(B1384,MATCH(C1384,{"Jan","Feb","Mar","Apr","May","Jun","Jul","Aug","Sep","Oct","Nov","Dec"},0),D1384)</f>
        <v>32306</v>
      </c>
      <c r="K1384">
        <f t="shared" si="21"/>
        <v>34</v>
      </c>
    </row>
    <row r="1385" spans="1:11" x14ac:dyDescent="0.35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 s="15">
        <v>11530.12</v>
      </c>
      <c r="G1385" t="s">
        <v>12</v>
      </c>
      <c r="H1385" t="s">
        <v>16</v>
      </c>
      <c r="I1385" t="s">
        <v>23</v>
      </c>
      <c r="J1385" s="11">
        <f>DATE(B1385,MATCH(C1385,{"Jan","Feb","Mar","Apr","May","Jun","Jul","Aug","Sep","Oct","Nov","Dec"},0),D1385)</f>
        <v>25772</v>
      </c>
      <c r="K1385">
        <f t="shared" si="21"/>
        <v>52</v>
      </c>
    </row>
    <row r="1386" spans="1:11" x14ac:dyDescent="0.35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 s="15">
        <v>11534.87</v>
      </c>
      <c r="G1386" t="s">
        <v>12</v>
      </c>
      <c r="H1386" t="s">
        <v>16</v>
      </c>
      <c r="I1386" t="s">
        <v>356</v>
      </c>
      <c r="J1386" s="11">
        <f>DATE(B1386,MATCH(C1386,{"Jan","Feb","Mar","Apr","May","Jun","Jul","Aug","Sep","Oct","Nov","Dec"},0),D1386)</f>
        <v>24018</v>
      </c>
      <c r="K1386">
        <f t="shared" si="21"/>
        <v>57</v>
      </c>
    </row>
    <row r="1387" spans="1:11" x14ac:dyDescent="0.35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 s="15">
        <v>11538.42</v>
      </c>
      <c r="G1387" t="s">
        <v>12</v>
      </c>
      <c r="H1387" t="s">
        <v>16</v>
      </c>
      <c r="I1387" t="s">
        <v>42</v>
      </c>
      <c r="J1387" s="11">
        <f>DATE(B1387,MATCH(C1387,{"Jan","Feb","Mar","Apr","May","Jun","Jul","Aug","Sep","Oct","Nov","Dec"},0),D1387)</f>
        <v>25156</v>
      </c>
      <c r="K1387">
        <f t="shared" si="21"/>
        <v>54</v>
      </c>
    </row>
    <row r="1388" spans="1:11" x14ac:dyDescent="0.35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 s="15">
        <v>11540.25</v>
      </c>
      <c r="G1388" t="s">
        <v>12</v>
      </c>
      <c r="H1388" t="s">
        <v>16</v>
      </c>
      <c r="I1388" t="s">
        <v>23</v>
      </c>
      <c r="J1388" s="11">
        <f>DATE(B1388,MATCH(C1388,{"Jan","Feb","Mar","Apr","May","Jun","Jul","Aug","Sep","Oct","Nov","Dec"},0),D1388)</f>
        <v>26268</v>
      </c>
      <c r="K1388">
        <f t="shared" si="21"/>
        <v>51</v>
      </c>
    </row>
    <row r="1389" spans="1:11" x14ac:dyDescent="0.35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 s="15">
        <v>11552.9</v>
      </c>
      <c r="G1389" t="s">
        <v>12</v>
      </c>
      <c r="H1389" t="s">
        <v>11</v>
      </c>
      <c r="I1389" t="s">
        <v>42</v>
      </c>
      <c r="J1389" s="11">
        <f>DATE(B1389,MATCH(C1389,{"Jan","Feb","Mar","Apr","May","Jun","Jul","Aug","Sep","Oct","Nov","Dec"},0),D1389)</f>
        <v>26868</v>
      </c>
      <c r="K1389">
        <f t="shared" si="21"/>
        <v>49</v>
      </c>
    </row>
    <row r="1390" spans="1:11" x14ac:dyDescent="0.35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 s="15">
        <v>11554.22</v>
      </c>
      <c r="G1390" t="s">
        <v>12</v>
      </c>
      <c r="H1390" t="s">
        <v>16</v>
      </c>
      <c r="I1390" t="s">
        <v>13</v>
      </c>
      <c r="J1390" s="11">
        <f>DATE(B1390,MATCH(C1390,{"Jan","Feb","Mar","Apr","May","Jun","Jul","Aug","Sep","Oct","Nov","Dec"},0),D1390)</f>
        <v>24042</v>
      </c>
      <c r="K1390">
        <f t="shared" si="21"/>
        <v>57</v>
      </c>
    </row>
    <row r="1391" spans="1:11" x14ac:dyDescent="0.35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 s="15">
        <v>11566.3</v>
      </c>
      <c r="G1391" t="s">
        <v>12</v>
      </c>
      <c r="H1391" t="s">
        <v>12</v>
      </c>
      <c r="I1391" t="s">
        <v>168</v>
      </c>
      <c r="J1391" s="11">
        <f>DATE(B1391,MATCH(C1391,{"Jan","Feb","Mar","Apr","May","Jun","Jul","Aug","Sep","Oct","Nov","Dec"},0),D1391)</f>
        <v>24101</v>
      </c>
      <c r="K1391">
        <f t="shared" si="21"/>
        <v>57</v>
      </c>
    </row>
    <row r="1392" spans="1:11" x14ac:dyDescent="0.35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 s="15">
        <v>11576.13</v>
      </c>
      <c r="G1392" t="s">
        <v>12</v>
      </c>
      <c r="H1392" t="s">
        <v>12</v>
      </c>
      <c r="I1392" t="s">
        <v>42</v>
      </c>
      <c r="J1392" s="11">
        <f>DATE(B1392,MATCH(C1392,{"Jan","Feb","Mar","Apr","May","Jun","Jul","Aug","Sep","Oct","Nov","Dec"},0),D1392)</f>
        <v>24052</v>
      </c>
      <c r="K1392">
        <f t="shared" si="21"/>
        <v>57</v>
      </c>
    </row>
    <row r="1393" spans="1:11" x14ac:dyDescent="0.35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 s="15">
        <v>11602.75</v>
      </c>
      <c r="G1393" t="s">
        <v>12</v>
      </c>
      <c r="H1393" t="s">
        <v>16</v>
      </c>
      <c r="I1393" t="s">
        <v>516</v>
      </c>
      <c r="J1393" s="11">
        <f>DATE(B1393,MATCH(C1393,{"Jan","Feb","Mar","Apr","May","Jun","Jul","Aug","Sep","Oct","Nov","Dec"},0),D1393)</f>
        <v>23548</v>
      </c>
      <c r="K1393">
        <f t="shared" si="21"/>
        <v>58</v>
      </c>
    </row>
    <row r="1394" spans="1:11" x14ac:dyDescent="0.35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 s="15">
        <v>11625.11</v>
      </c>
      <c r="G1394" t="s">
        <v>12</v>
      </c>
      <c r="H1394" t="s">
        <v>12</v>
      </c>
      <c r="I1394" t="s">
        <v>632</v>
      </c>
      <c r="J1394" s="11">
        <f>DATE(B1394,MATCH(C1394,{"Jan","Feb","Mar","Apr","May","Jun","Jul","Aug","Sep","Oct","Nov","Dec"},0),D1394)</f>
        <v>31610</v>
      </c>
      <c r="K1394">
        <f t="shared" si="21"/>
        <v>36</v>
      </c>
    </row>
    <row r="1395" spans="1:11" x14ac:dyDescent="0.35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 s="15">
        <v>11657.72</v>
      </c>
      <c r="G1395" t="s">
        <v>12</v>
      </c>
      <c r="H1395" t="s">
        <v>11</v>
      </c>
      <c r="I1395" t="s">
        <v>247</v>
      </c>
      <c r="J1395" s="11">
        <f>DATE(B1395,MATCH(C1395,{"Jan","Feb","Mar","Apr","May","Jun","Jul","Aug","Sep","Oct","Nov","Dec"},0),D1395)</f>
        <v>24384</v>
      </c>
      <c r="K1395">
        <f t="shared" si="21"/>
        <v>56</v>
      </c>
    </row>
    <row r="1396" spans="1:11" x14ac:dyDescent="0.35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 s="15">
        <v>11657.81</v>
      </c>
      <c r="G1396" t="s">
        <v>12</v>
      </c>
      <c r="H1396" t="s">
        <v>11</v>
      </c>
      <c r="I1396" t="s">
        <v>249</v>
      </c>
      <c r="J1396" s="11">
        <f>DATE(B1396,MATCH(C1396,{"Jan","Feb","Mar","Apr","May","Jun","Jul","Aug","Sep","Oct","Nov","Dec"},0),D1396)</f>
        <v>34535</v>
      </c>
      <c r="K1396">
        <f t="shared" si="21"/>
        <v>28</v>
      </c>
    </row>
    <row r="1397" spans="1:11" x14ac:dyDescent="0.35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 s="15">
        <v>11658.12</v>
      </c>
      <c r="G1397" t="s">
        <v>12</v>
      </c>
      <c r="H1397" t="s">
        <v>16</v>
      </c>
      <c r="I1397" t="s">
        <v>247</v>
      </c>
      <c r="J1397" s="11">
        <f>DATE(B1397,MATCH(C1397,{"Jan","Feb","Mar","Apr","May","Jun","Jul","Aug","Sep","Oct","Nov","Dec"},0),D1397)</f>
        <v>24294</v>
      </c>
      <c r="K1397">
        <f t="shared" si="21"/>
        <v>56</v>
      </c>
    </row>
    <row r="1398" spans="1:11" x14ac:dyDescent="0.35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 s="15">
        <v>11658.38</v>
      </c>
      <c r="G1398" t="s">
        <v>12</v>
      </c>
      <c r="H1398" t="s">
        <v>12</v>
      </c>
      <c r="I1398" t="s">
        <v>247</v>
      </c>
      <c r="J1398" s="11">
        <f>DATE(B1398,MATCH(C1398,{"Jan","Feb","Mar","Apr","May","Jun","Jul","Aug","Sep","Oct","Nov","Dec"},0),D1398)</f>
        <v>24342</v>
      </c>
      <c r="K1398">
        <f t="shared" si="21"/>
        <v>56</v>
      </c>
    </row>
    <row r="1399" spans="1:11" x14ac:dyDescent="0.35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 s="15">
        <v>11674.13</v>
      </c>
      <c r="G1399" t="s">
        <v>12</v>
      </c>
      <c r="H1399" t="s">
        <v>16</v>
      </c>
      <c r="I1399" t="s">
        <v>42</v>
      </c>
      <c r="J1399" s="11">
        <f>DATE(B1399,MATCH(C1399,{"Jan","Feb","Mar","Apr","May","Jun","Jul","Aug","Sep","Oct","Nov","Dec"},0),D1399)</f>
        <v>24420</v>
      </c>
      <c r="K1399">
        <f t="shared" si="21"/>
        <v>56</v>
      </c>
    </row>
    <row r="1400" spans="1:11" x14ac:dyDescent="0.35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 s="15">
        <v>11696.52</v>
      </c>
      <c r="G1400" t="s">
        <v>12</v>
      </c>
      <c r="H1400" t="s">
        <v>16</v>
      </c>
      <c r="I1400" t="s">
        <v>300</v>
      </c>
      <c r="J1400" s="11">
        <f>DATE(B1400,MATCH(C1400,{"Jan","Feb","Mar","Apr","May","Jun","Jul","Aug","Sep","Oct","Nov","Dec"},0),D1400)</f>
        <v>25903</v>
      </c>
      <c r="K1400">
        <f t="shared" si="21"/>
        <v>52</v>
      </c>
    </row>
    <row r="1401" spans="1:11" x14ac:dyDescent="0.35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 s="15">
        <v>11712.97</v>
      </c>
      <c r="G1401" t="s">
        <v>12</v>
      </c>
      <c r="H1401" t="s">
        <v>11</v>
      </c>
      <c r="I1401" t="s">
        <v>300</v>
      </c>
      <c r="J1401" s="11">
        <f>DATE(B1401,MATCH(C1401,{"Jan","Feb","Mar","Apr","May","Jun","Jul","Aug","Sep","Oct","Nov","Dec"},0),D1401)</f>
        <v>30245</v>
      </c>
      <c r="K1401">
        <f t="shared" si="21"/>
        <v>40</v>
      </c>
    </row>
    <row r="1402" spans="1:11" x14ac:dyDescent="0.35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 s="15">
        <v>11729.68</v>
      </c>
      <c r="G1402" t="s">
        <v>12</v>
      </c>
      <c r="H1402" t="s">
        <v>16</v>
      </c>
      <c r="I1402" t="s">
        <v>247</v>
      </c>
      <c r="J1402" s="11">
        <f>DATE(B1402,MATCH(C1402,{"Jan","Feb","Mar","Apr","May","Jun","Jul","Aug","Sep","Oct","Nov","Dec"},0),D1402)</f>
        <v>25488</v>
      </c>
      <c r="K1402">
        <f t="shared" si="21"/>
        <v>53</v>
      </c>
    </row>
    <row r="1403" spans="1:11" x14ac:dyDescent="0.35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 s="15">
        <v>11730.82</v>
      </c>
      <c r="G1403" t="s">
        <v>12</v>
      </c>
      <c r="H1403" t="s">
        <v>12</v>
      </c>
      <c r="I1403" t="s">
        <v>535</v>
      </c>
      <c r="J1403" s="11">
        <f>DATE(B1403,MATCH(C1403,{"Jan","Feb","Mar","Apr","May","Jun","Jul","Aug","Sep","Oct","Nov","Dec"},0),D1403)</f>
        <v>31012</v>
      </c>
      <c r="K1403">
        <f t="shared" si="21"/>
        <v>38</v>
      </c>
    </row>
    <row r="1404" spans="1:11" x14ac:dyDescent="0.35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 s="15">
        <v>11735.88</v>
      </c>
      <c r="G1404" t="s">
        <v>12</v>
      </c>
      <c r="H1404" t="s">
        <v>16</v>
      </c>
      <c r="I1404" t="s">
        <v>23</v>
      </c>
      <c r="J1404" s="11">
        <f>DATE(B1404,MATCH(C1404,{"Jan","Feb","Mar","Apr","May","Jun","Jul","Aug","Sep","Oct","Nov","Dec"},0),D1404)</f>
        <v>23690</v>
      </c>
      <c r="K1404">
        <f t="shared" si="21"/>
        <v>58</v>
      </c>
    </row>
    <row r="1405" spans="1:11" x14ac:dyDescent="0.35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 s="15">
        <v>11737.85</v>
      </c>
      <c r="G1405" t="s">
        <v>12</v>
      </c>
      <c r="H1405" t="s">
        <v>16</v>
      </c>
      <c r="I1405" t="s">
        <v>42</v>
      </c>
      <c r="J1405" s="11">
        <f>DATE(B1405,MATCH(C1405,{"Jan","Feb","Mar","Apr","May","Jun","Jul","Aug","Sep","Oct","Nov","Dec"},0),D1405)</f>
        <v>32391</v>
      </c>
      <c r="K1405">
        <f t="shared" si="21"/>
        <v>34</v>
      </c>
    </row>
    <row r="1406" spans="1:11" x14ac:dyDescent="0.35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 s="15">
        <v>11741.73</v>
      </c>
      <c r="G1406" t="s">
        <v>12</v>
      </c>
      <c r="H1406" t="s">
        <v>16</v>
      </c>
      <c r="I1406" t="s">
        <v>42</v>
      </c>
      <c r="J1406" s="11">
        <f>DATE(B1406,MATCH(C1406,{"Jan","Feb","Mar","Apr","May","Jun","Jul","Aug","Sep","Oct","Nov","Dec"},0),D1406)</f>
        <v>25519</v>
      </c>
      <c r="K1406">
        <f t="shared" si="21"/>
        <v>53</v>
      </c>
    </row>
    <row r="1407" spans="1:11" x14ac:dyDescent="0.35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 s="15">
        <v>11743.3</v>
      </c>
      <c r="G1407" t="s">
        <v>12</v>
      </c>
      <c r="H1407" t="s">
        <v>12</v>
      </c>
      <c r="I1407" t="s">
        <v>13</v>
      </c>
      <c r="J1407" s="11">
        <f>DATE(B1407,MATCH(C1407,{"Jan","Feb","Mar","Apr","May","Jun","Jul","Aug","Sep","Oct","Nov","Dec"},0),D1407)</f>
        <v>23171</v>
      </c>
      <c r="K1407">
        <f t="shared" si="21"/>
        <v>59</v>
      </c>
    </row>
    <row r="1408" spans="1:11" x14ac:dyDescent="0.35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 s="15">
        <v>11743.93</v>
      </c>
      <c r="G1408" t="s">
        <v>12</v>
      </c>
      <c r="H1408" t="s">
        <v>16</v>
      </c>
      <c r="I1408" t="s">
        <v>23</v>
      </c>
      <c r="J1408" s="11">
        <f>DATE(B1408,MATCH(C1408,{"Jan","Feb","Mar","Apr","May","Jun","Jul","Aug","Sep","Oct","Nov","Dec"},0),D1408)</f>
        <v>23713</v>
      </c>
      <c r="K1408">
        <f t="shared" si="21"/>
        <v>58</v>
      </c>
    </row>
    <row r="1409" spans="1:11" x14ac:dyDescent="0.35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 s="15">
        <v>11752.68</v>
      </c>
      <c r="G1409" t="s">
        <v>12</v>
      </c>
      <c r="H1409" t="s">
        <v>16</v>
      </c>
      <c r="I1409" t="s">
        <v>535</v>
      </c>
      <c r="J1409" s="11">
        <f>DATE(B1409,MATCH(C1409,{"Jan","Feb","Mar","Apr","May","Jun","Jul","Aug","Sep","Oct","Nov","Dec"},0),D1409)</f>
        <v>29165</v>
      </c>
      <c r="K1409">
        <f t="shared" si="21"/>
        <v>43</v>
      </c>
    </row>
    <row r="1410" spans="1:11" x14ac:dyDescent="0.35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 s="15">
        <v>11763</v>
      </c>
      <c r="G1410" t="s">
        <v>12</v>
      </c>
      <c r="H1410" t="s">
        <v>12</v>
      </c>
      <c r="I1410" t="s">
        <v>168</v>
      </c>
      <c r="J1410" s="11">
        <f>DATE(B1410,MATCH(C1410,{"Jan","Feb","Mar","Apr","May","Jun","Jul","Aug","Sep","Oct","Nov","Dec"},0),D1410)</f>
        <v>24313</v>
      </c>
      <c r="K1410">
        <f t="shared" si="21"/>
        <v>56</v>
      </c>
    </row>
    <row r="1411" spans="1:11" x14ac:dyDescent="0.35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 s="15">
        <v>11773.06</v>
      </c>
      <c r="G1411" t="s">
        <v>12</v>
      </c>
      <c r="H1411" t="s">
        <v>12</v>
      </c>
      <c r="I1411" t="s">
        <v>535</v>
      </c>
      <c r="J1411" s="11">
        <f>DATE(B1411,MATCH(C1411,{"Jan","Feb","Mar","Apr","May","Jun","Jul","Aug","Sep","Oct","Nov","Dec"},0),D1411)</f>
        <v>30275</v>
      </c>
      <c r="K1411">
        <f t="shared" ref="K1411:K1474" si="22">DATEDIF(J1411,$N$1,"Y")</f>
        <v>40</v>
      </c>
    </row>
    <row r="1412" spans="1:11" x14ac:dyDescent="0.35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 s="15">
        <v>11830.61</v>
      </c>
      <c r="G1412" t="s">
        <v>12</v>
      </c>
      <c r="H1412" t="s">
        <v>16</v>
      </c>
      <c r="I1412" t="s">
        <v>23</v>
      </c>
      <c r="J1412" s="11">
        <f>DATE(B1412,MATCH(C1412,{"Jan","Feb","Mar","Apr","May","Jun","Jul","Aug","Sep","Oct","Nov","Dec"},0),D1412)</f>
        <v>24018</v>
      </c>
      <c r="K1412">
        <f t="shared" si="22"/>
        <v>57</v>
      </c>
    </row>
    <row r="1413" spans="1:11" x14ac:dyDescent="0.35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 s="15">
        <v>11833.78</v>
      </c>
      <c r="G1413" t="s">
        <v>12</v>
      </c>
      <c r="H1413" t="s">
        <v>12</v>
      </c>
      <c r="I1413" t="s">
        <v>13</v>
      </c>
      <c r="J1413" s="11">
        <f>DATE(B1413,MATCH(C1413,{"Jan","Feb","Mar","Apr","May","Jun","Jul","Aug","Sep","Oct","Nov","Dec"},0),D1413)</f>
        <v>23555</v>
      </c>
      <c r="K1413">
        <f t="shared" si="22"/>
        <v>58</v>
      </c>
    </row>
    <row r="1414" spans="1:11" x14ac:dyDescent="0.35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 s="15">
        <v>11837.16</v>
      </c>
      <c r="G1414" t="s">
        <v>12</v>
      </c>
      <c r="H1414" t="s">
        <v>12</v>
      </c>
      <c r="I1414" t="s">
        <v>42</v>
      </c>
      <c r="J1414" s="11">
        <f>DATE(B1414,MATCH(C1414,{"Jan","Feb","Mar","Apr","May","Jun","Jul","Aug","Sep","Oct","Nov","Dec"},0),D1414)</f>
        <v>23631</v>
      </c>
      <c r="K1414">
        <f t="shared" si="22"/>
        <v>58</v>
      </c>
    </row>
    <row r="1415" spans="1:11" x14ac:dyDescent="0.35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 s="15">
        <v>11840.78</v>
      </c>
      <c r="G1415" t="s">
        <v>12</v>
      </c>
      <c r="H1415" t="s">
        <v>11</v>
      </c>
      <c r="I1415" t="s">
        <v>23</v>
      </c>
      <c r="J1415" s="11">
        <f>DATE(B1415,MATCH(C1415,{"Jan","Feb","Mar","Apr","May","Jun","Jul","Aug","Sep","Oct","Nov","Dec"},0),D1415)</f>
        <v>24010</v>
      </c>
      <c r="K1415">
        <f t="shared" si="22"/>
        <v>57</v>
      </c>
    </row>
    <row r="1416" spans="1:11" x14ac:dyDescent="0.35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 s="15">
        <v>11842.44</v>
      </c>
      <c r="G1416" t="s">
        <v>12</v>
      </c>
      <c r="H1416" t="s">
        <v>11</v>
      </c>
      <c r="I1416" t="s">
        <v>42</v>
      </c>
      <c r="J1416" s="11">
        <f>DATE(B1416,MATCH(C1416,{"Jan","Feb","Mar","Apr","May","Jun","Jul","Aug","Sep","Oct","Nov","Dec"},0),D1416)</f>
        <v>23569</v>
      </c>
      <c r="K1416">
        <f t="shared" si="22"/>
        <v>58</v>
      </c>
    </row>
    <row r="1417" spans="1:11" x14ac:dyDescent="0.35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 s="15">
        <v>11842.62</v>
      </c>
      <c r="G1417" t="s">
        <v>12</v>
      </c>
      <c r="H1417" t="s">
        <v>12</v>
      </c>
      <c r="I1417" t="s">
        <v>23</v>
      </c>
      <c r="J1417" s="11">
        <f>DATE(B1417,MATCH(C1417,{"Jan","Feb","Mar","Apr","May","Jun","Jul","Aug","Sep","Oct","Nov","Dec"},0),D1417)</f>
        <v>24056</v>
      </c>
      <c r="K1417">
        <f t="shared" si="22"/>
        <v>57</v>
      </c>
    </row>
    <row r="1418" spans="1:11" x14ac:dyDescent="0.35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 s="15">
        <v>11848.14</v>
      </c>
      <c r="G1418" t="s">
        <v>12</v>
      </c>
      <c r="H1418" t="s">
        <v>11</v>
      </c>
      <c r="I1418" t="s">
        <v>42</v>
      </c>
      <c r="J1418" s="11">
        <f>DATE(B1418,MATCH(C1418,{"Jan","Feb","Mar","Apr","May","Jun","Jul","Aug","Sep","Oct","Nov","Dec"},0),D1418)</f>
        <v>23555</v>
      </c>
      <c r="K1418">
        <f t="shared" si="22"/>
        <v>58</v>
      </c>
    </row>
    <row r="1419" spans="1:11" x14ac:dyDescent="0.35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 s="15">
        <v>11856.41</v>
      </c>
      <c r="G1419" t="s">
        <v>12</v>
      </c>
      <c r="H1419" t="s">
        <v>11</v>
      </c>
      <c r="I1419" t="s">
        <v>13</v>
      </c>
      <c r="J1419" s="11">
        <f>DATE(B1419,MATCH(C1419,{"Jan","Feb","Mar","Apr","May","Jun","Jul","Aug","Sep","Oct","Nov","Dec"},0),D1419)</f>
        <v>23649</v>
      </c>
      <c r="K1419">
        <f t="shared" si="22"/>
        <v>58</v>
      </c>
    </row>
    <row r="1420" spans="1:11" x14ac:dyDescent="0.35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 s="15">
        <v>11858.56</v>
      </c>
      <c r="G1420" t="s">
        <v>12</v>
      </c>
      <c r="H1420" t="s">
        <v>12</v>
      </c>
      <c r="I1420" t="s">
        <v>42</v>
      </c>
      <c r="J1420" s="11">
        <f>DATE(B1420,MATCH(C1420,{"Jan","Feb","Mar","Apr","May","Jun","Jul","Aug","Sep","Oct","Nov","Dec"},0),D1420)</f>
        <v>27217</v>
      </c>
      <c r="K1420">
        <f t="shared" si="22"/>
        <v>48</v>
      </c>
    </row>
    <row r="1421" spans="1:11" x14ac:dyDescent="0.35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 s="15">
        <v>11879.1</v>
      </c>
      <c r="G1421" t="s">
        <v>12</v>
      </c>
      <c r="H1421" t="s">
        <v>12</v>
      </c>
      <c r="I1421" t="s">
        <v>247</v>
      </c>
      <c r="J1421" s="11">
        <f>DATE(B1421,MATCH(C1421,{"Jan","Feb","Mar","Apr","May","Jun","Jul","Aug","Sep","Oct","Nov","Dec"},0),D1421)</f>
        <v>24708</v>
      </c>
      <c r="K1421">
        <f t="shared" si="22"/>
        <v>55</v>
      </c>
    </row>
    <row r="1422" spans="1:11" x14ac:dyDescent="0.35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 s="15">
        <v>11881.36</v>
      </c>
      <c r="G1422" t="s">
        <v>12</v>
      </c>
      <c r="H1422" t="s">
        <v>11</v>
      </c>
      <c r="I1422" t="s">
        <v>42</v>
      </c>
      <c r="J1422" s="11">
        <f>DATE(B1422,MATCH(C1422,{"Jan","Feb","Mar","Apr","May","Jun","Jul","Aug","Sep","Oct","Nov","Dec"},0),D1422)</f>
        <v>24667</v>
      </c>
      <c r="K1422">
        <f t="shared" si="22"/>
        <v>55</v>
      </c>
    </row>
    <row r="1423" spans="1:11" x14ac:dyDescent="0.35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 s="15">
        <v>11881.97</v>
      </c>
      <c r="G1423" t="s">
        <v>12</v>
      </c>
      <c r="H1423" t="s">
        <v>16</v>
      </c>
      <c r="I1423" t="s">
        <v>13</v>
      </c>
      <c r="J1423" s="11">
        <f>DATE(B1423,MATCH(C1423,{"Jan","Feb","Mar","Apr","May","Jun","Jul","Aug","Sep","Oct","Nov","Dec"},0),D1423)</f>
        <v>24774</v>
      </c>
      <c r="K1423">
        <f t="shared" si="22"/>
        <v>55</v>
      </c>
    </row>
    <row r="1424" spans="1:11" x14ac:dyDescent="0.35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 s="15">
        <v>11884.05</v>
      </c>
      <c r="G1424" t="s">
        <v>12</v>
      </c>
      <c r="H1424" t="s">
        <v>12</v>
      </c>
      <c r="I1424" t="s">
        <v>13</v>
      </c>
      <c r="J1424" s="11">
        <f>DATE(B1424,MATCH(C1424,{"Jan","Feb","Mar","Apr","May","Jun","Jul","Aug","Sep","Oct","Nov","Dec"},0),D1424)</f>
        <v>38140</v>
      </c>
      <c r="K1424">
        <f t="shared" si="22"/>
        <v>19</v>
      </c>
    </row>
    <row r="1425" spans="1:11" x14ac:dyDescent="0.35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 s="15">
        <v>11918.2</v>
      </c>
      <c r="G1425" t="s">
        <v>12</v>
      </c>
      <c r="H1425" t="s">
        <v>16</v>
      </c>
      <c r="I1425" t="s">
        <v>300</v>
      </c>
      <c r="J1425" s="11">
        <f>DATE(B1425,MATCH(C1425,{"Jan","Feb","Mar","Apr","May","Jun","Jul","Aug","Sep","Oct","Nov","Dec"},0),D1425)</f>
        <v>23700</v>
      </c>
      <c r="K1425">
        <f t="shared" si="22"/>
        <v>58</v>
      </c>
    </row>
    <row r="1426" spans="1:11" x14ac:dyDescent="0.35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 s="15">
        <v>11931.13</v>
      </c>
      <c r="G1426" t="s">
        <v>12</v>
      </c>
      <c r="H1426" t="s">
        <v>16</v>
      </c>
      <c r="I1426" t="s">
        <v>166</v>
      </c>
      <c r="J1426" s="11">
        <f>DATE(B1426,MATCH(C1426,{"Jan","Feb","Mar","Apr","May","Jun","Jul","Aug","Sep","Oct","Nov","Dec"},0),D1426)</f>
        <v>23731</v>
      </c>
      <c r="K1426">
        <f t="shared" si="22"/>
        <v>58</v>
      </c>
    </row>
    <row r="1427" spans="1:11" x14ac:dyDescent="0.35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 s="15">
        <v>11938.26</v>
      </c>
      <c r="G1427" t="s">
        <v>12</v>
      </c>
      <c r="H1427" t="s">
        <v>12</v>
      </c>
      <c r="I1427" t="s">
        <v>166</v>
      </c>
      <c r="J1427" s="11">
        <f>DATE(B1427,MATCH(C1427,{"Jan","Feb","Mar","Apr","May","Jun","Jul","Aug","Sep","Oct","Nov","Dec"},0),D1427)</f>
        <v>23591</v>
      </c>
      <c r="K1427">
        <f t="shared" si="22"/>
        <v>58</v>
      </c>
    </row>
    <row r="1428" spans="1:11" x14ac:dyDescent="0.35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 s="15">
        <v>11941.83</v>
      </c>
      <c r="G1428" t="s">
        <v>12</v>
      </c>
      <c r="H1428" t="s">
        <v>16</v>
      </c>
      <c r="I1428" t="s">
        <v>249</v>
      </c>
      <c r="J1428" s="11">
        <f>DATE(B1428,MATCH(C1428,{"Jan","Feb","Mar","Apr","May","Jun","Jul","Aug","Sep","Oct","Nov","Dec"},0),D1428)</f>
        <v>33530</v>
      </c>
      <c r="K1428">
        <f t="shared" si="22"/>
        <v>31</v>
      </c>
    </row>
    <row r="1429" spans="1:11" x14ac:dyDescent="0.35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 s="15">
        <v>11944.59</v>
      </c>
      <c r="G1429" t="s">
        <v>12</v>
      </c>
      <c r="H1429" t="s">
        <v>11</v>
      </c>
      <c r="I1429" t="s">
        <v>168</v>
      </c>
      <c r="J1429" s="11">
        <f>DATE(B1429,MATCH(C1429,{"Jan","Feb","Mar","Apr","May","Jun","Jul","Aug","Sep","Oct","Nov","Dec"},0),D1429)</f>
        <v>23736</v>
      </c>
      <c r="K1429">
        <f t="shared" si="22"/>
        <v>58</v>
      </c>
    </row>
    <row r="1430" spans="1:11" x14ac:dyDescent="0.35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 s="15">
        <v>11945.13</v>
      </c>
      <c r="G1430" t="s">
        <v>12</v>
      </c>
      <c r="H1430" t="s">
        <v>11</v>
      </c>
      <c r="I1430" t="s">
        <v>23</v>
      </c>
      <c r="J1430" s="11">
        <f>DATE(B1430,MATCH(C1430,{"Jan","Feb","Mar","Apr","May","Jun","Jul","Aug","Sep","Oct","Nov","Dec"},0),D1430)</f>
        <v>24047</v>
      </c>
      <c r="K1430">
        <f t="shared" si="22"/>
        <v>57</v>
      </c>
    </row>
    <row r="1431" spans="1:11" x14ac:dyDescent="0.35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 s="15">
        <v>11946.63</v>
      </c>
      <c r="G1431" t="s">
        <v>12</v>
      </c>
      <c r="H1431" t="s">
        <v>11</v>
      </c>
      <c r="I1431" t="s">
        <v>13</v>
      </c>
      <c r="J1431" s="11">
        <f>DATE(B1431,MATCH(C1431,{"Jan","Feb","Mar","Apr","May","Jun","Jul","Aug","Sep","Oct","Nov","Dec"},0),D1431)</f>
        <v>23649</v>
      </c>
      <c r="K1431">
        <f t="shared" si="22"/>
        <v>58</v>
      </c>
    </row>
    <row r="1432" spans="1:11" x14ac:dyDescent="0.35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 s="15">
        <v>11987.17</v>
      </c>
      <c r="G1432" t="s">
        <v>12</v>
      </c>
      <c r="H1432" t="s">
        <v>12</v>
      </c>
      <c r="I1432" t="s">
        <v>13</v>
      </c>
      <c r="J1432" s="11">
        <f>DATE(B1432,MATCH(C1432,{"Jan","Feb","Mar","Apr","May","Jun","Jul","Aug","Sep","Oct","Nov","Dec"},0),D1432)</f>
        <v>24828</v>
      </c>
      <c r="K1432">
        <f t="shared" si="22"/>
        <v>55</v>
      </c>
    </row>
    <row r="1433" spans="1:11" x14ac:dyDescent="0.35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 s="15">
        <v>11987.68</v>
      </c>
      <c r="G1433" t="s">
        <v>12</v>
      </c>
      <c r="H1433" t="s">
        <v>11</v>
      </c>
      <c r="I1433" t="s">
        <v>535</v>
      </c>
      <c r="J1433" s="11">
        <f>DATE(B1433,MATCH(C1433,{"Jan","Feb","Mar","Apr","May","Jun","Jul","Aug","Sep","Oct","Nov","Dec"},0),D1433)</f>
        <v>30501</v>
      </c>
      <c r="K1433">
        <f t="shared" si="22"/>
        <v>39</v>
      </c>
    </row>
    <row r="1434" spans="1:11" x14ac:dyDescent="0.35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 s="15">
        <v>11994.89</v>
      </c>
      <c r="G1434" t="s">
        <v>12</v>
      </c>
      <c r="H1434" t="s">
        <v>11</v>
      </c>
      <c r="I1434" t="s">
        <v>23</v>
      </c>
      <c r="J1434" s="11">
        <f>DATE(B1434,MATCH(C1434,{"Jan","Feb","Mar","Apr","May","Jun","Jul","Aug","Sep","Oct","Nov","Dec"},0),D1434)</f>
        <v>34315</v>
      </c>
      <c r="K1434">
        <f t="shared" si="22"/>
        <v>29</v>
      </c>
    </row>
    <row r="1435" spans="1:11" x14ac:dyDescent="0.35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 s="15">
        <v>12001.29</v>
      </c>
      <c r="G1435" t="s">
        <v>12</v>
      </c>
      <c r="H1435" t="s">
        <v>12</v>
      </c>
      <c r="I1435" t="s">
        <v>300</v>
      </c>
      <c r="J1435" s="11">
        <f>DATE(B1435,MATCH(C1435,{"Jan","Feb","Mar","Apr","May","Jun","Jul","Aug","Sep","Oct","Nov","Dec"},0),D1435)</f>
        <v>30241</v>
      </c>
      <c r="K1435">
        <f t="shared" si="22"/>
        <v>40</v>
      </c>
    </row>
    <row r="1436" spans="1:11" x14ac:dyDescent="0.35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 s="15">
        <v>12029.29</v>
      </c>
      <c r="G1436" t="s">
        <v>12</v>
      </c>
      <c r="H1436" t="s">
        <v>11</v>
      </c>
      <c r="I1436" t="s">
        <v>247</v>
      </c>
      <c r="J1436" s="11">
        <f>DATE(B1436,MATCH(C1436,{"Jan","Feb","Mar","Apr","May","Jun","Jul","Aug","Sep","Oct","Nov","Dec"},0),D1436)</f>
        <v>23902</v>
      </c>
      <c r="K1436">
        <f t="shared" si="22"/>
        <v>57</v>
      </c>
    </row>
    <row r="1437" spans="1:11" x14ac:dyDescent="0.35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 s="15">
        <v>12032.33</v>
      </c>
      <c r="G1437" t="s">
        <v>12</v>
      </c>
      <c r="H1437" t="s">
        <v>16</v>
      </c>
      <c r="I1437" t="s">
        <v>42</v>
      </c>
      <c r="J1437" s="11">
        <f>DATE(B1437,MATCH(C1437,{"Jan","Feb","Mar","Apr","May","Jun","Jul","Aug","Sep","Oct","Nov","Dec"},0),D1437)</f>
        <v>24044</v>
      </c>
      <c r="K1437">
        <f t="shared" si="22"/>
        <v>57</v>
      </c>
    </row>
    <row r="1438" spans="1:11" x14ac:dyDescent="0.35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 s="15">
        <v>12035.18</v>
      </c>
      <c r="G1438" t="s">
        <v>12</v>
      </c>
      <c r="H1438" t="s">
        <v>12</v>
      </c>
      <c r="I1438" t="s">
        <v>300</v>
      </c>
      <c r="J1438" s="11">
        <f>DATE(B1438,MATCH(C1438,{"Jan","Feb","Mar","Apr","May","Jun","Jul","Aug","Sep","Oct","Nov","Dec"},0),D1438)</f>
        <v>29144</v>
      </c>
      <c r="K1438">
        <f t="shared" si="22"/>
        <v>43</v>
      </c>
    </row>
    <row r="1439" spans="1:11" x14ac:dyDescent="0.35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 s="15">
        <v>12044.34</v>
      </c>
      <c r="G1439" t="s">
        <v>12</v>
      </c>
      <c r="H1439" t="s">
        <v>16</v>
      </c>
      <c r="I1439" t="s">
        <v>23</v>
      </c>
      <c r="J1439" s="11">
        <f>DATE(B1439,MATCH(C1439,{"Jan","Feb","Mar","Apr","May","Jun","Jul","Aug","Sep","Oct","Nov","Dec"},0),D1439)</f>
        <v>24435</v>
      </c>
      <c r="K1439">
        <f t="shared" si="22"/>
        <v>56</v>
      </c>
    </row>
    <row r="1440" spans="1:11" x14ac:dyDescent="0.35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 s="15">
        <v>12048.13</v>
      </c>
      <c r="G1440" t="s">
        <v>12</v>
      </c>
      <c r="H1440" t="s">
        <v>11</v>
      </c>
      <c r="I1440" t="s">
        <v>535</v>
      </c>
      <c r="J1440" s="11">
        <f>DATE(B1440,MATCH(C1440,{"Jan","Feb","Mar","Apr","May","Jun","Jul","Aug","Sep","Oct","Nov","Dec"},0),D1440)</f>
        <v>31662</v>
      </c>
      <c r="K1440">
        <f t="shared" si="22"/>
        <v>36</v>
      </c>
    </row>
    <row r="1441" spans="1:11" x14ac:dyDescent="0.35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 s="15">
        <v>12091.34</v>
      </c>
      <c r="G1441" t="s">
        <v>12</v>
      </c>
      <c r="H1441" t="s">
        <v>11</v>
      </c>
      <c r="I1441" t="s">
        <v>632</v>
      </c>
      <c r="J1441" s="11">
        <f>DATE(B1441,MATCH(C1441,{"Jan","Feb","Mar","Apr","May","Jun","Jul","Aug","Sep","Oct","Nov","Dec"},0),D1441)</f>
        <v>30927</v>
      </c>
      <c r="K1441">
        <f t="shared" si="22"/>
        <v>38</v>
      </c>
    </row>
    <row r="1442" spans="1:11" x14ac:dyDescent="0.35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 s="15">
        <v>12094.48</v>
      </c>
      <c r="G1442" t="s">
        <v>12</v>
      </c>
      <c r="H1442" t="s">
        <v>12</v>
      </c>
      <c r="I1442" t="s">
        <v>42</v>
      </c>
      <c r="J1442" s="11">
        <f>DATE(B1442,MATCH(C1442,{"Jan","Feb","Mar","Apr","May","Jun","Jul","Aug","Sep","Oct","Nov","Dec"},0),D1442)</f>
        <v>25010</v>
      </c>
      <c r="K1442">
        <f t="shared" si="22"/>
        <v>54</v>
      </c>
    </row>
    <row r="1443" spans="1:11" x14ac:dyDescent="0.35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 s="15">
        <v>12096.65</v>
      </c>
      <c r="G1443" t="s">
        <v>12</v>
      </c>
      <c r="H1443" t="s">
        <v>16</v>
      </c>
      <c r="I1443" t="s">
        <v>247</v>
      </c>
      <c r="J1443" s="11">
        <f>DATE(B1443,MATCH(C1443,{"Jan","Feb","Mar","Apr","May","Jun","Jul","Aug","Sep","Oct","Nov","Dec"},0),D1443)</f>
        <v>25181</v>
      </c>
      <c r="K1443">
        <f t="shared" si="22"/>
        <v>54</v>
      </c>
    </row>
    <row r="1444" spans="1:11" x14ac:dyDescent="0.35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 s="15">
        <v>12105.32</v>
      </c>
      <c r="G1444" t="s">
        <v>12</v>
      </c>
      <c r="H1444" t="s">
        <v>12</v>
      </c>
      <c r="I1444" t="s">
        <v>42</v>
      </c>
      <c r="J1444" s="11">
        <f>DATE(B1444,MATCH(C1444,{"Jan","Feb","Mar","Apr","May","Jun","Jul","Aug","Sep","Oct","Nov","Dec"},0),D1444)</f>
        <v>25136</v>
      </c>
      <c r="K1444">
        <f t="shared" si="22"/>
        <v>54</v>
      </c>
    </row>
    <row r="1445" spans="1:11" x14ac:dyDescent="0.35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 s="15">
        <v>12124.99</v>
      </c>
      <c r="G1445" t="s">
        <v>12</v>
      </c>
      <c r="H1445" t="s">
        <v>16</v>
      </c>
      <c r="I1445" t="s">
        <v>23</v>
      </c>
      <c r="J1445" s="11">
        <f>DATE(B1445,MATCH(C1445,{"Jan","Feb","Mar","Apr","May","Jun","Jul","Aug","Sep","Oct","Nov","Dec"},0),D1445)</f>
        <v>23212</v>
      </c>
      <c r="K1445">
        <f t="shared" si="22"/>
        <v>59</v>
      </c>
    </row>
    <row r="1446" spans="1:11" x14ac:dyDescent="0.35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 s="15">
        <v>12129.61</v>
      </c>
      <c r="G1446" t="s">
        <v>12</v>
      </c>
      <c r="H1446" t="s">
        <v>16</v>
      </c>
      <c r="I1446" t="s">
        <v>23</v>
      </c>
      <c r="J1446" s="11">
        <f>DATE(B1446,MATCH(C1446,{"Jan","Feb","Mar","Apr","May","Jun","Jul","Aug","Sep","Oct","Nov","Dec"},0),D1446)</f>
        <v>23166</v>
      </c>
      <c r="K1446">
        <f t="shared" si="22"/>
        <v>60</v>
      </c>
    </row>
    <row r="1447" spans="1:11" x14ac:dyDescent="0.35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 s="15">
        <v>12130.8</v>
      </c>
      <c r="G1447" t="s">
        <v>12</v>
      </c>
      <c r="H1447" t="s">
        <v>12</v>
      </c>
      <c r="I1447" t="s">
        <v>535</v>
      </c>
      <c r="J1447" s="11">
        <f>DATE(B1447,MATCH(C1447,{"Jan","Feb","Mar","Apr","May","Jun","Jul","Aug","Sep","Oct","Nov","Dec"},0),D1447)</f>
        <v>33548</v>
      </c>
      <c r="K1447">
        <f t="shared" si="22"/>
        <v>31</v>
      </c>
    </row>
    <row r="1448" spans="1:11" x14ac:dyDescent="0.35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 s="15">
        <v>12137.6</v>
      </c>
      <c r="G1448" t="s">
        <v>12</v>
      </c>
      <c r="H1448" t="s">
        <v>12</v>
      </c>
      <c r="I1448" t="s">
        <v>23</v>
      </c>
      <c r="J1448" s="11">
        <f>DATE(B1448,MATCH(C1448,{"Jan","Feb","Mar","Apr","May","Jun","Jul","Aug","Sep","Oct","Nov","Dec"},0),D1448)</f>
        <v>27288</v>
      </c>
      <c r="K1448">
        <f t="shared" si="22"/>
        <v>48</v>
      </c>
    </row>
    <row r="1449" spans="1:11" x14ac:dyDescent="0.35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 s="15">
        <v>12142.58</v>
      </c>
      <c r="G1449" t="s">
        <v>12</v>
      </c>
      <c r="H1449" t="s">
        <v>11</v>
      </c>
      <c r="I1449" t="s">
        <v>13</v>
      </c>
      <c r="J1449" s="11">
        <f>DATE(B1449,MATCH(C1449,{"Jan","Feb","Mar","Apr","May","Jun","Jul","Aug","Sep","Oct","Nov","Dec"},0),D1449)</f>
        <v>22954</v>
      </c>
      <c r="K1449">
        <f t="shared" si="22"/>
        <v>60</v>
      </c>
    </row>
    <row r="1450" spans="1:11" x14ac:dyDescent="0.35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 s="15">
        <v>12146.97</v>
      </c>
      <c r="G1450" t="s">
        <v>12</v>
      </c>
      <c r="H1450" t="s">
        <v>12</v>
      </c>
      <c r="I1450" t="s">
        <v>42</v>
      </c>
      <c r="J1450" s="11">
        <f>DATE(B1450,MATCH(C1450,{"Jan","Feb","Mar","Apr","May","Jun","Jul","Aug","Sep","Oct","Nov","Dec"},0),D1450)</f>
        <v>22904</v>
      </c>
      <c r="K1450">
        <f t="shared" si="22"/>
        <v>60</v>
      </c>
    </row>
    <row r="1451" spans="1:11" x14ac:dyDescent="0.35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 s="15">
        <v>12148.2</v>
      </c>
      <c r="G1451" t="s">
        <v>12</v>
      </c>
      <c r="H1451" t="s">
        <v>12</v>
      </c>
      <c r="I1451" t="s">
        <v>23</v>
      </c>
      <c r="J1451" s="11">
        <f>DATE(B1451,MATCH(C1451,{"Jan","Feb","Mar","Apr","May","Jun","Jul","Aug","Sep","Oct","Nov","Dec"},0),D1451)</f>
        <v>32055</v>
      </c>
      <c r="K1451">
        <f t="shared" si="22"/>
        <v>35</v>
      </c>
    </row>
    <row r="1452" spans="1:11" x14ac:dyDescent="0.35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 s="15">
        <v>12198.64</v>
      </c>
      <c r="G1452" t="s">
        <v>12</v>
      </c>
      <c r="H1452" t="s">
        <v>12</v>
      </c>
      <c r="I1452" t="s">
        <v>535</v>
      </c>
      <c r="J1452" s="11">
        <f>DATE(B1452,MATCH(C1452,{"Jan","Feb","Mar","Apr","May","Jun","Jul","Aug","Sep","Oct","Nov","Dec"},0),D1452)</f>
        <v>33479</v>
      </c>
      <c r="K1452">
        <f t="shared" si="22"/>
        <v>31</v>
      </c>
    </row>
    <row r="1453" spans="1:11" x14ac:dyDescent="0.35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 s="15">
        <v>12218.7</v>
      </c>
      <c r="G1453" t="s">
        <v>12</v>
      </c>
      <c r="H1453" t="s">
        <v>16</v>
      </c>
      <c r="I1453" t="s">
        <v>23</v>
      </c>
      <c r="J1453" s="11">
        <f>DATE(B1453,MATCH(C1453,{"Jan","Feb","Mar","Apr","May","Jun","Jul","Aug","Sep","Oct","Nov","Dec"},0),D1453)</f>
        <v>28351</v>
      </c>
      <c r="K1453">
        <f t="shared" si="22"/>
        <v>45</v>
      </c>
    </row>
    <row r="1454" spans="1:11" x14ac:dyDescent="0.35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 s="15">
        <v>12222.9</v>
      </c>
      <c r="G1454" t="s">
        <v>12</v>
      </c>
      <c r="H1454" t="s">
        <v>11</v>
      </c>
      <c r="I1454" t="s">
        <v>23</v>
      </c>
      <c r="J1454" s="11">
        <f>DATE(B1454,MATCH(C1454,{"Jan","Feb","Mar","Apr","May","Jun","Jul","Aug","Sep","Oct","Nov","Dec"},0),D1454)</f>
        <v>23578</v>
      </c>
      <c r="K1454">
        <f t="shared" si="22"/>
        <v>58</v>
      </c>
    </row>
    <row r="1455" spans="1:11" x14ac:dyDescent="0.35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 s="15">
        <v>12224.35</v>
      </c>
      <c r="G1455" t="s">
        <v>12</v>
      </c>
      <c r="H1455" t="s">
        <v>16</v>
      </c>
      <c r="I1455" t="s">
        <v>23</v>
      </c>
      <c r="J1455" s="11">
        <f>DATE(B1455,MATCH(C1455,{"Jan","Feb","Mar","Apr","May","Jun","Jul","Aug","Sep","Oct","Nov","Dec"},0),D1455)</f>
        <v>23560</v>
      </c>
      <c r="K1455">
        <f t="shared" si="22"/>
        <v>58</v>
      </c>
    </row>
    <row r="1456" spans="1:11" x14ac:dyDescent="0.35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 s="15">
        <v>12231.61</v>
      </c>
      <c r="G1456" t="s">
        <v>12</v>
      </c>
      <c r="H1456" t="s">
        <v>12</v>
      </c>
      <c r="I1456" t="s">
        <v>23</v>
      </c>
      <c r="J1456" s="11">
        <f>DATE(B1456,MATCH(C1456,{"Jan","Feb","Mar","Apr","May","Jun","Jul","Aug","Sep","Oct","Nov","Dec"},0),D1456)</f>
        <v>23552</v>
      </c>
      <c r="K1456">
        <f t="shared" si="22"/>
        <v>58</v>
      </c>
    </row>
    <row r="1457" spans="1:11" x14ac:dyDescent="0.35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 s="15">
        <v>12233.83</v>
      </c>
      <c r="G1457" t="s">
        <v>12</v>
      </c>
      <c r="H1457" t="s">
        <v>16</v>
      </c>
      <c r="I1457" t="s">
        <v>42</v>
      </c>
      <c r="J1457" s="11">
        <f>DATE(B1457,MATCH(C1457,{"Jan","Feb","Mar","Apr","May","Jun","Jul","Aug","Sep","Oct","Nov","Dec"},0),D1457)</f>
        <v>23211</v>
      </c>
      <c r="K1457">
        <f t="shared" si="22"/>
        <v>59</v>
      </c>
    </row>
    <row r="1458" spans="1:11" x14ac:dyDescent="0.35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 s="15">
        <v>12235.84</v>
      </c>
      <c r="G1458" t="s">
        <v>12</v>
      </c>
      <c r="H1458" t="s">
        <v>12</v>
      </c>
      <c r="I1458" t="s">
        <v>23</v>
      </c>
      <c r="J1458" s="11">
        <f>DATE(B1458,MATCH(C1458,{"Jan","Feb","Mar","Apr","May","Jun","Jul","Aug","Sep","Oct","Nov","Dec"},0),D1458)</f>
        <v>23665</v>
      </c>
      <c r="K1458">
        <f t="shared" si="22"/>
        <v>58</v>
      </c>
    </row>
    <row r="1459" spans="1:11" x14ac:dyDescent="0.35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 s="15">
        <v>12237.73</v>
      </c>
      <c r="G1459" t="s">
        <v>12</v>
      </c>
      <c r="H1459" t="s">
        <v>12</v>
      </c>
      <c r="I1459" t="s">
        <v>23</v>
      </c>
      <c r="J1459" s="11">
        <f>DATE(B1459,MATCH(C1459,{"Jan","Feb","Mar","Apr","May","Jun","Jul","Aug","Sep","Oct","Nov","Dec"},0),D1459)</f>
        <v>24317</v>
      </c>
      <c r="K1459">
        <f t="shared" si="22"/>
        <v>56</v>
      </c>
    </row>
    <row r="1460" spans="1:11" x14ac:dyDescent="0.35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 s="15">
        <v>12244.53</v>
      </c>
      <c r="G1460" t="s">
        <v>12</v>
      </c>
      <c r="H1460" t="s">
        <v>16</v>
      </c>
      <c r="I1460" t="s">
        <v>13</v>
      </c>
      <c r="J1460" s="11">
        <f>DATE(B1460,MATCH(C1460,{"Jan","Feb","Mar","Apr","May","Jun","Jul","Aug","Sep","Oct","Nov","Dec"},0),D1460)</f>
        <v>23209</v>
      </c>
      <c r="K1460">
        <f t="shared" si="22"/>
        <v>59</v>
      </c>
    </row>
    <row r="1461" spans="1:11" x14ac:dyDescent="0.35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 s="15">
        <v>12245.17</v>
      </c>
      <c r="G1461" t="s">
        <v>12</v>
      </c>
      <c r="H1461" t="s">
        <v>16</v>
      </c>
      <c r="I1461" t="s">
        <v>23</v>
      </c>
      <c r="J1461" s="11">
        <f>DATE(B1461,MATCH(C1461,{"Jan","Feb","Mar","Apr","May","Jun","Jul","Aug","Sep","Oct","Nov","Dec"},0),D1461)</f>
        <v>27203</v>
      </c>
      <c r="K1461">
        <f t="shared" si="22"/>
        <v>48</v>
      </c>
    </row>
    <row r="1462" spans="1:11" x14ac:dyDescent="0.35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 s="15">
        <v>12254.44</v>
      </c>
      <c r="G1462" t="s">
        <v>12</v>
      </c>
      <c r="H1462" t="s">
        <v>12</v>
      </c>
      <c r="I1462" t="s">
        <v>535</v>
      </c>
      <c r="J1462" s="11">
        <f>DATE(B1462,MATCH(C1462,{"Jan","Feb","Mar","Apr","May","Jun","Jul","Aug","Sep","Oct","Nov","Dec"},0),D1462)</f>
        <v>32835</v>
      </c>
      <c r="K1462">
        <f t="shared" si="22"/>
        <v>33</v>
      </c>
    </row>
    <row r="1463" spans="1:11" x14ac:dyDescent="0.35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 s="15">
        <v>12255.04</v>
      </c>
      <c r="G1463" t="s">
        <v>12</v>
      </c>
      <c r="H1463" t="s">
        <v>11</v>
      </c>
      <c r="I1463" t="s">
        <v>535</v>
      </c>
      <c r="J1463" s="11">
        <f>DATE(B1463,MATCH(C1463,{"Jan","Feb","Mar","Apr","May","Jun","Jul","Aug","Sep","Oct","Nov","Dec"},0),D1463)</f>
        <v>31637</v>
      </c>
      <c r="K1463">
        <f t="shared" si="22"/>
        <v>36</v>
      </c>
    </row>
    <row r="1464" spans="1:11" x14ac:dyDescent="0.35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 s="15">
        <v>12265.51</v>
      </c>
      <c r="G1464" t="s">
        <v>12</v>
      </c>
      <c r="H1464" t="s">
        <v>12</v>
      </c>
      <c r="I1464" t="s">
        <v>13</v>
      </c>
      <c r="J1464" s="11">
        <f>DATE(B1464,MATCH(C1464,{"Jan","Feb","Mar","Apr","May","Jun","Jul","Aug","Sep","Oct","Nov","Dec"},0),D1464)</f>
        <v>24447</v>
      </c>
      <c r="K1464">
        <f t="shared" si="22"/>
        <v>56</v>
      </c>
    </row>
    <row r="1465" spans="1:11" x14ac:dyDescent="0.35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 s="15">
        <v>12268.63</v>
      </c>
      <c r="G1465" t="s">
        <v>12</v>
      </c>
      <c r="H1465" t="s">
        <v>16</v>
      </c>
      <c r="I1465" t="s">
        <v>23</v>
      </c>
      <c r="J1465" s="11">
        <f>DATE(B1465,MATCH(C1465,{"Jan","Feb","Mar","Apr","May","Jun","Jul","Aug","Sep","Oct","Nov","Dec"},0),D1465)</f>
        <v>24836</v>
      </c>
      <c r="K1465">
        <f t="shared" si="22"/>
        <v>55</v>
      </c>
    </row>
    <row r="1466" spans="1:11" x14ac:dyDescent="0.35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 s="15">
        <v>12269.69</v>
      </c>
      <c r="G1466" t="s">
        <v>12</v>
      </c>
      <c r="H1466" t="s">
        <v>11</v>
      </c>
      <c r="I1466" t="s">
        <v>23</v>
      </c>
      <c r="J1466" s="11">
        <f>DATE(B1466,MATCH(C1466,{"Jan","Feb","Mar","Apr","May","Jun","Jul","Aug","Sep","Oct","Nov","Dec"},0),D1466)</f>
        <v>24712</v>
      </c>
      <c r="K1466">
        <f t="shared" si="22"/>
        <v>55</v>
      </c>
    </row>
    <row r="1467" spans="1:11" x14ac:dyDescent="0.35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 s="15">
        <v>12282.03</v>
      </c>
      <c r="G1467" t="s">
        <v>12</v>
      </c>
      <c r="H1467" t="s">
        <v>16</v>
      </c>
      <c r="I1467" t="s">
        <v>200</v>
      </c>
      <c r="J1467" s="11">
        <f>DATE(B1467,MATCH(C1467,{"Jan","Feb","Mar","Apr","May","Jun","Jul","Aug","Sep","Oct","Nov","Dec"},0),D1467)</f>
        <v>24427</v>
      </c>
      <c r="K1467">
        <f t="shared" si="22"/>
        <v>56</v>
      </c>
    </row>
    <row r="1468" spans="1:11" x14ac:dyDescent="0.35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 s="15">
        <v>12282.38</v>
      </c>
      <c r="G1468" t="s">
        <v>12</v>
      </c>
      <c r="H1468" t="s">
        <v>16</v>
      </c>
      <c r="I1468" t="s">
        <v>42</v>
      </c>
      <c r="J1468" s="11">
        <f>DATE(B1468,MATCH(C1468,{"Jan","Feb","Mar","Apr","May","Jun","Jul","Aug","Sep","Oct","Nov","Dec"},0),D1468)</f>
        <v>33175</v>
      </c>
      <c r="K1468">
        <f t="shared" si="22"/>
        <v>32</v>
      </c>
    </row>
    <row r="1469" spans="1:11" x14ac:dyDescent="0.35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 s="15">
        <v>12299.59</v>
      </c>
      <c r="G1469" t="s">
        <v>12</v>
      </c>
      <c r="H1469" t="s">
        <v>16</v>
      </c>
      <c r="I1469" t="s">
        <v>200</v>
      </c>
      <c r="J1469" s="11">
        <f>DATE(B1469,MATCH(C1469,{"Jan","Feb","Mar","Apr","May","Jun","Jul","Aug","Sep","Oct","Nov","Dec"},0),D1469)</f>
        <v>23312</v>
      </c>
      <c r="K1469">
        <f t="shared" si="22"/>
        <v>59</v>
      </c>
    </row>
    <row r="1470" spans="1:11" x14ac:dyDescent="0.35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 s="15">
        <v>12323.94</v>
      </c>
      <c r="G1470" t="s">
        <v>12</v>
      </c>
      <c r="H1470" t="s">
        <v>12</v>
      </c>
      <c r="I1470" t="s">
        <v>356</v>
      </c>
      <c r="J1470" s="11">
        <f>DATE(B1470,MATCH(C1470,{"Jan","Feb","Mar","Apr","May","Jun","Jul","Aug","Sep","Oct","Nov","Dec"},0),D1470)</f>
        <v>23252</v>
      </c>
      <c r="K1470">
        <f t="shared" si="22"/>
        <v>59</v>
      </c>
    </row>
    <row r="1471" spans="1:11" x14ac:dyDescent="0.35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 s="15">
        <v>12333.83</v>
      </c>
      <c r="G1471" t="s">
        <v>12</v>
      </c>
      <c r="H1471" t="s">
        <v>11</v>
      </c>
      <c r="I1471" t="s">
        <v>42</v>
      </c>
      <c r="J1471" s="11">
        <f>DATE(B1471,MATCH(C1471,{"Jan","Feb","Mar","Apr","May","Jun","Jul","Aug","Sep","Oct","Nov","Dec"},0),D1471)</f>
        <v>23225</v>
      </c>
      <c r="K1471">
        <f t="shared" si="22"/>
        <v>59</v>
      </c>
    </row>
    <row r="1472" spans="1:11" x14ac:dyDescent="0.35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 s="15">
        <v>12347.17</v>
      </c>
      <c r="G1472" t="s">
        <v>12</v>
      </c>
      <c r="H1472" t="s">
        <v>12</v>
      </c>
      <c r="I1472" t="s">
        <v>42</v>
      </c>
      <c r="J1472" s="11">
        <f>DATE(B1472,MATCH(C1472,{"Jan","Feb","Mar","Apr","May","Jun","Jul","Aug","Sep","Oct","Nov","Dec"},0),D1472)</f>
        <v>23276</v>
      </c>
      <c r="K1472">
        <f t="shared" si="22"/>
        <v>59</v>
      </c>
    </row>
    <row r="1473" spans="1:11" x14ac:dyDescent="0.35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 s="15">
        <v>12363.55</v>
      </c>
      <c r="G1473" t="s">
        <v>12</v>
      </c>
      <c r="H1473" t="s">
        <v>12</v>
      </c>
      <c r="I1473" t="s">
        <v>42</v>
      </c>
      <c r="J1473" s="11">
        <f>DATE(B1473,MATCH(C1473,{"Jan","Feb","Mar","Apr","May","Jun","Jul","Aug","Sep","Oct","Nov","Dec"},0),D1473)</f>
        <v>24470</v>
      </c>
      <c r="K1473">
        <f t="shared" si="22"/>
        <v>56</v>
      </c>
    </row>
    <row r="1474" spans="1:11" x14ac:dyDescent="0.35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 s="15">
        <v>12369.89</v>
      </c>
      <c r="G1474" t="s">
        <v>12</v>
      </c>
      <c r="H1474" t="s">
        <v>11</v>
      </c>
      <c r="I1474" t="s">
        <v>247</v>
      </c>
      <c r="J1474" s="11">
        <f>DATE(B1474,MATCH(C1474,{"Jan","Feb","Mar","Apr","May","Jun","Jul","Aug","Sep","Oct","Nov","Dec"},0),D1474)</f>
        <v>22915</v>
      </c>
      <c r="K1474">
        <f t="shared" si="22"/>
        <v>60</v>
      </c>
    </row>
    <row r="1475" spans="1:11" x14ac:dyDescent="0.35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 s="15">
        <v>12404.88</v>
      </c>
      <c r="G1475" t="s">
        <v>12</v>
      </c>
      <c r="H1475" t="s">
        <v>12</v>
      </c>
      <c r="I1475" t="s">
        <v>168</v>
      </c>
      <c r="J1475" s="11">
        <f>DATE(B1475,MATCH(C1475,{"Jan","Feb","Mar","Apr","May","Jun","Jul","Aug","Sep","Oct","Nov","Dec"},0),D1475)</f>
        <v>32871</v>
      </c>
      <c r="K1475">
        <f t="shared" ref="K1475:K1538" si="23">DATEDIF(J1475,$N$1,"Y")</f>
        <v>33</v>
      </c>
    </row>
    <row r="1476" spans="1:11" x14ac:dyDescent="0.35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 s="15">
        <v>12407.3</v>
      </c>
      <c r="G1476" t="s">
        <v>12</v>
      </c>
      <c r="H1476" t="s">
        <v>11</v>
      </c>
      <c r="I1476" t="s">
        <v>300</v>
      </c>
      <c r="J1476" s="11">
        <f>DATE(B1476,MATCH(C1476,{"Jan","Feb","Mar","Apr","May","Jun","Jul","Aug","Sep","Oct","Nov","Dec"},0),D1476)</f>
        <v>26532</v>
      </c>
      <c r="K1476">
        <f t="shared" si="23"/>
        <v>50</v>
      </c>
    </row>
    <row r="1477" spans="1:11" x14ac:dyDescent="0.35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 s="15">
        <v>12408.29</v>
      </c>
      <c r="G1477" t="s">
        <v>12</v>
      </c>
      <c r="H1477" t="s">
        <v>16</v>
      </c>
      <c r="I1477" t="s">
        <v>632</v>
      </c>
      <c r="J1477" s="11">
        <f>DATE(B1477,MATCH(C1477,{"Jan","Feb","Mar","Apr","May","Jun","Jul","Aug","Sep","Oct","Nov","Dec"},0),D1477)</f>
        <v>29050</v>
      </c>
      <c r="K1477">
        <f t="shared" si="23"/>
        <v>43</v>
      </c>
    </row>
    <row r="1478" spans="1:11" x14ac:dyDescent="0.35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 s="15">
        <v>12430.95</v>
      </c>
      <c r="G1478" t="s">
        <v>12</v>
      </c>
      <c r="H1478" t="s">
        <v>12</v>
      </c>
      <c r="I1478" t="s">
        <v>247</v>
      </c>
      <c r="J1478" s="11">
        <f>DATE(B1478,MATCH(C1478,{"Jan","Feb","Mar","Apr","May","Jun","Jul","Aug","Sep","Oct","Nov","Dec"},0),D1478)</f>
        <v>23593</v>
      </c>
      <c r="K1478">
        <f t="shared" si="23"/>
        <v>58</v>
      </c>
    </row>
    <row r="1479" spans="1:11" x14ac:dyDescent="0.35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 s="15">
        <v>12452.25</v>
      </c>
      <c r="G1479" t="s">
        <v>12</v>
      </c>
      <c r="H1479" t="s">
        <v>12</v>
      </c>
      <c r="I1479" t="s">
        <v>23</v>
      </c>
      <c r="J1479" s="11">
        <f>DATE(B1479,MATCH(C1479,{"Jan","Feb","Mar","Apr","May","Jun","Jul","Aug","Sep","Oct","Nov","Dec"},0),D1479)</f>
        <v>34920</v>
      </c>
      <c r="K1479">
        <f t="shared" si="23"/>
        <v>27</v>
      </c>
    </row>
    <row r="1480" spans="1:11" x14ac:dyDescent="0.35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 s="15">
        <v>12475.35</v>
      </c>
      <c r="G1480" t="s">
        <v>12</v>
      </c>
      <c r="H1480" t="s">
        <v>16</v>
      </c>
      <c r="I1480" t="s">
        <v>23</v>
      </c>
      <c r="J1480" s="11">
        <f>DATE(B1480,MATCH(C1480,{"Jan","Feb","Mar","Apr","May","Jun","Jul","Aug","Sep","Oct","Nov","Dec"},0),D1480)</f>
        <v>25168</v>
      </c>
      <c r="K1480">
        <f t="shared" si="23"/>
        <v>54</v>
      </c>
    </row>
    <row r="1481" spans="1:11" x14ac:dyDescent="0.35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 s="15">
        <v>12479.71</v>
      </c>
      <c r="G1481" t="s">
        <v>12</v>
      </c>
      <c r="H1481" t="s">
        <v>12</v>
      </c>
      <c r="I1481" t="s">
        <v>23</v>
      </c>
      <c r="J1481" s="11">
        <f>DATE(B1481,MATCH(C1481,{"Jan","Feb","Mar","Apr","May","Jun","Jul","Aug","Sep","Oct","Nov","Dec"},0),D1481)</f>
        <v>25154</v>
      </c>
      <c r="K1481">
        <f t="shared" si="23"/>
        <v>54</v>
      </c>
    </row>
    <row r="1482" spans="1:11" x14ac:dyDescent="0.35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 s="15">
        <v>12485.8</v>
      </c>
      <c r="G1482" t="s">
        <v>12</v>
      </c>
      <c r="H1482" t="s">
        <v>12</v>
      </c>
      <c r="I1482" t="s">
        <v>13</v>
      </c>
      <c r="J1482" s="11">
        <f>DATE(B1482,MATCH(C1482,{"Jan","Feb","Mar","Apr","May","Jun","Jul","Aug","Sep","Oct","Nov","Dec"},0),D1482)</f>
        <v>24716</v>
      </c>
      <c r="K1482">
        <f t="shared" si="23"/>
        <v>55</v>
      </c>
    </row>
    <row r="1483" spans="1:11" x14ac:dyDescent="0.35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 s="15">
        <v>12495.29</v>
      </c>
      <c r="G1483" t="s">
        <v>12</v>
      </c>
      <c r="H1483" t="s">
        <v>12</v>
      </c>
      <c r="I1483" t="s">
        <v>23</v>
      </c>
      <c r="J1483" s="11">
        <f>DATE(B1483,MATCH(C1483,{"Jan","Feb","Mar","Apr","May","Jun","Jul","Aug","Sep","Oct","Nov","Dec"},0),D1483)</f>
        <v>25175</v>
      </c>
      <c r="K1483">
        <f t="shared" si="23"/>
        <v>54</v>
      </c>
    </row>
    <row r="1484" spans="1:11" x14ac:dyDescent="0.35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 s="15">
        <v>12499.88</v>
      </c>
      <c r="G1484" t="s">
        <v>12</v>
      </c>
      <c r="H1484" t="s">
        <v>11</v>
      </c>
      <c r="I1484" t="s">
        <v>23</v>
      </c>
      <c r="J1484" s="11">
        <f>DATE(B1484,MATCH(C1484,{"Jan","Feb","Mar","Apr","May","Jun","Jul","Aug","Sep","Oct","Nov","Dec"},0),D1484)</f>
        <v>24300</v>
      </c>
      <c r="K1484">
        <f t="shared" si="23"/>
        <v>56</v>
      </c>
    </row>
    <row r="1485" spans="1:11" x14ac:dyDescent="0.35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 s="15">
        <v>12523.6</v>
      </c>
      <c r="G1485" t="s">
        <v>12</v>
      </c>
      <c r="H1485" t="s">
        <v>12</v>
      </c>
      <c r="I1485" t="s">
        <v>23</v>
      </c>
      <c r="J1485" s="11">
        <f>DATE(B1485,MATCH(C1485,{"Jan","Feb","Mar","Apr","May","Jun","Jul","Aug","Sep","Oct","Nov","Dec"},0),D1485)</f>
        <v>22935</v>
      </c>
      <c r="K1485">
        <f t="shared" si="23"/>
        <v>60</v>
      </c>
    </row>
    <row r="1486" spans="1:11" x14ac:dyDescent="0.35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 s="15">
        <v>12557.61</v>
      </c>
      <c r="G1486" t="s">
        <v>12</v>
      </c>
      <c r="H1486" t="s">
        <v>12</v>
      </c>
      <c r="I1486" t="s">
        <v>13</v>
      </c>
      <c r="J1486" s="11">
        <f>DATE(B1486,MATCH(C1486,{"Jan","Feb","Mar","Apr","May","Jun","Jul","Aug","Sep","Oct","Nov","Dec"},0),D1486)</f>
        <v>22613</v>
      </c>
      <c r="K1486">
        <f t="shared" si="23"/>
        <v>61</v>
      </c>
    </row>
    <row r="1487" spans="1:11" x14ac:dyDescent="0.35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 s="15">
        <v>12574.05</v>
      </c>
      <c r="G1487" t="s">
        <v>12</v>
      </c>
      <c r="H1487" t="s">
        <v>16</v>
      </c>
      <c r="I1487" t="s">
        <v>42</v>
      </c>
      <c r="J1487" s="11">
        <f>DATE(B1487,MATCH(C1487,{"Jan","Feb","Mar","Apr","May","Jun","Jul","Aug","Sep","Oct","Nov","Dec"},0),D1487)</f>
        <v>22613</v>
      </c>
      <c r="K1487">
        <f t="shared" si="23"/>
        <v>61</v>
      </c>
    </row>
    <row r="1488" spans="1:11" x14ac:dyDescent="0.35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 s="15">
        <v>12579.92</v>
      </c>
      <c r="G1488" t="s">
        <v>12</v>
      </c>
      <c r="H1488" t="s">
        <v>16</v>
      </c>
      <c r="I1488" t="s">
        <v>200</v>
      </c>
      <c r="J1488" s="11">
        <f>DATE(B1488,MATCH(C1488,{"Jan","Feb","Mar","Apr","May","Jun","Jul","Aug","Sep","Oct","Nov","Dec"},0),D1488)</f>
        <v>25533</v>
      </c>
      <c r="K1488">
        <f t="shared" si="23"/>
        <v>53</v>
      </c>
    </row>
    <row r="1489" spans="1:11" x14ac:dyDescent="0.35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 s="15">
        <v>12592.53</v>
      </c>
      <c r="G1489" t="s">
        <v>12</v>
      </c>
      <c r="H1489" t="s">
        <v>11</v>
      </c>
      <c r="I1489" t="s">
        <v>13</v>
      </c>
      <c r="J1489" s="11">
        <f>DATE(B1489,MATCH(C1489,{"Jan","Feb","Mar","Apr","May","Jun","Jul","Aug","Sep","Oct","Nov","Dec"},0),D1489)</f>
        <v>25737</v>
      </c>
      <c r="K1489">
        <f t="shared" si="23"/>
        <v>52</v>
      </c>
    </row>
    <row r="1490" spans="1:11" x14ac:dyDescent="0.35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 s="15">
        <v>12600.46</v>
      </c>
      <c r="G1490" t="s">
        <v>12</v>
      </c>
      <c r="H1490" t="s">
        <v>16</v>
      </c>
      <c r="I1490" t="s">
        <v>249</v>
      </c>
      <c r="J1490" s="11">
        <f>DATE(B1490,MATCH(C1490,{"Jan","Feb","Mar","Apr","May","Jun","Jul","Aug","Sep","Oct","Nov","Dec"},0),D1490)</f>
        <v>32366</v>
      </c>
      <c r="K1490">
        <f t="shared" si="23"/>
        <v>34</v>
      </c>
    </row>
    <row r="1491" spans="1:11" x14ac:dyDescent="0.35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 s="15">
        <v>12609.89</v>
      </c>
      <c r="G1491" t="s">
        <v>12</v>
      </c>
      <c r="H1491" t="s">
        <v>12</v>
      </c>
      <c r="I1491" t="s">
        <v>23</v>
      </c>
      <c r="J1491" s="11">
        <f>DATE(B1491,MATCH(C1491,{"Jan","Feb","Mar","Apr","May","Jun","Jul","Aug","Sep","Oct","Nov","Dec"},0),D1491)</f>
        <v>36117</v>
      </c>
      <c r="K1491">
        <f t="shared" si="23"/>
        <v>24</v>
      </c>
    </row>
    <row r="1492" spans="1:11" x14ac:dyDescent="0.35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 s="15">
        <v>12622.18</v>
      </c>
      <c r="G1492" t="s">
        <v>12</v>
      </c>
      <c r="H1492" t="s">
        <v>16</v>
      </c>
      <c r="I1492" t="s">
        <v>23</v>
      </c>
      <c r="J1492" s="11">
        <f>DATE(B1492,MATCH(C1492,{"Jan","Feb","Mar","Apr","May","Jun","Jul","Aug","Sep","Oct","Nov","Dec"},0),D1492)</f>
        <v>23242</v>
      </c>
      <c r="K1492">
        <f t="shared" si="23"/>
        <v>59</v>
      </c>
    </row>
    <row r="1493" spans="1:11" x14ac:dyDescent="0.35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 s="15">
        <v>12624.74</v>
      </c>
      <c r="G1493" t="s">
        <v>12</v>
      </c>
      <c r="H1493" t="s">
        <v>16</v>
      </c>
      <c r="I1493" t="s">
        <v>23</v>
      </c>
      <c r="J1493" s="11">
        <f>DATE(B1493,MATCH(C1493,{"Jan","Feb","Mar","Apr","May","Jun","Jul","Aug","Sep","Oct","Nov","Dec"},0),D1493)</f>
        <v>25930</v>
      </c>
      <c r="K1493">
        <f t="shared" si="23"/>
        <v>52</v>
      </c>
    </row>
    <row r="1494" spans="1:11" x14ac:dyDescent="0.35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 s="15">
        <v>12629.17</v>
      </c>
      <c r="G1494" t="s">
        <v>12</v>
      </c>
      <c r="H1494" t="s">
        <v>16</v>
      </c>
      <c r="I1494" t="s">
        <v>13</v>
      </c>
      <c r="J1494" s="11">
        <f>DATE(B1494,MATCH(C1494,{"Jan","Feb","Mar","Apr","May","Jun","Jul","Aug","Sep","Oct","Nov","Dec"},0),D1494)</f>
        <v>24019</v>
      </c>
      <c r="K1494">
        <f t="shared" si="23"/>
        <v>57</v>
      </c>
    </row>
    <row r="1495" spans="1:11" x14ac:dyDescent="0.35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 s="15">
        <v>12629.9</v>
      </c>
      <c r="G1495" t="s">
        <v>12</v>
      </c>
      <c r="H1495" t="s">
        <v>12</v>
      </c>
      <c r="I1495" t="s">
        <v>13</v>
      </c>
      <c r="J1495" s="11">
        <f>DATE(B1495,MATCH(C1495,{"Jan","Feb","Mar","Apr","May","Jun","Jul","Aug","Sep","Oct","Nov","Dec"},0),D1495)</f>
        <v>22972</v>
      </c>
      <c r="K1495">
        <f t="shared" si="23"/>
        <v>60</v>
      </c>
    </row>
    <row r="1496" spans="1:11" x14ac:dyDescent="0.35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 s="15">
        <v>12638.2</v>
      </c>
      <c r="G1496" t="s">
        <v>12</v>
      </c>
      <c r="H1496" t="s">
        <v>16</v>
      </c>
      <c r="I1496" t="s">
        <v>42</v>
      </c>
      <c r="J1496" s="11">
        <f>DATE(B1496,MATCH(C1496,{"Jan","Feb","Mar","Apr","May","Jun","Jul","Aug","Sep","Oct","Nov","Dec"},0),D1496)</f>
        <v>22849</v>
      </c>
      <c r="K1496">
        <f t="shared" si="23"/>
        <v>60</v>
      </c>
    </row>
    <row r="1497" spans="1:11" x14ac:dyDescent="0.35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 s="15">
        <v>12640.24</v>
      </c>
      <c r="G1497" t="s">
        <v>12</v>
      </c>
      <c r="H1497" t="s">
        <v>16</v>
      </c>
      <c r="I1497" t="s">
        <v>42</v>
      </c>
      <c r="J1497" s="11">
        <f>DATE(B1497,MATCH(C1497,{"Jan","Feb","Mar","Apr","May","Jun","Jul","Aug","Sep","Oct","Nov","Dec"},0),D1497)</f>
        <v>26547</v>
      </c>
      <c r="K1497">
        <f t="shared" si="23"/>
        <v>50</v>
      </c>
    </row>
    <row r="1498" spans="1:11" x14ac:dyDescent="0.35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 s="15">
        <v>12643.38</v>
      </c>
      <c r="G1498" t="s">
        <v>12</v>
      </c>
      <c r="H1498" t="s">
        <v>16</v>
      </c>
      <c r="I1498" t="s">
        <v>23</v>
      </c>
      <c r="J1498" s="11">
        <f>DATE(B1498,MATCH(C1498,{"Jan","Feb","Mar","Apr","May","Jun","Jul","Aug","Sep","Oct","Nov","Dec"},0),D1498)</f>
        <v>24458</v>
      </c>
      <c r="K1498">
        <f t="shared" si="23"/>
        <v>56</v>
      </c>
    </row>
    <row r="1499" spans="1:11" x14ac:dyDescent="0.35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 s="15">
        <v>12644.59</v>
      </c>
      <c r="G1499" t="s">
        <v>12</v>
      </c>
      <c r="H1499" t="s">
        <v>11</v>
      </c>
      <c r="I1499" t="s">
        <v>42</v>
      </c>
      <c r="J1499" s="11">
        <f>DATE(B1499,MATCH(C1499,{"Jan","Feb","Mar","Apr","May","Jun","Jul","Aug","Sep","Oct","Nov","Dec"},0),D1499)</f>
        <v>22838</v>
      </c>
      <c r="K1499">
        <f t="shared" si="23"/>
        <v>60</v>
      </c>
    </row>
    <row r="1500" spans="1:11" x14ac:dyDescent="0.35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 s="15">
        <v>12646.21</v>
      </c>
      <c r="G1500" t="s">
        <v>12</v>
      </c>
      <c r="H1500" t="s">
        <v>11</v>
      </c>
      <c r="I1500" t="s">
        <v>42</v>
      </c>
      <c r="J1500" s="11">
        <f>DATE(B1500,MATCH(C1500,{"Jan","Feb","Mar","Apr","May","Jun","Jul","Aug","Sep","Oct","Nov","Dec"},0),D1500)</f>
        <v>23999</v>
      </c>
      <c r="K1500">
        <f t="shared" si="23"/>
        <v>57</v>
      </c>
    </row>
    <row r="1501" spans="1:11" x14ac:dyDescent="0.35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 s="15">
        <v>12648.7</v>
      </c>
      <c r="G1501" t="s">
        <v>12</v>
      </c>
      <c r="H1501" t="s">
        <v>11</v>
      </c>
      <c r="I1501" t="s">
        <v>13</v>
      </c>
      <c r="J1501" s="11">
        <f>DATE(B1501,MATCH(C1501,{"Jan","Feb","Mar","Apr","May","Jun","Jul","Aug","Sep","Oct","Nov","Dec"},0),D1501)</f>
        <v>22885</v>
      </c>
      <c r="K1501">
        <f t="shared" si="23"/>
        <v>60</v>
      </c>
    </row>
    <row r="1502" spans="1:11" x14ac:dyDescent="0.35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 s="15">
        <v>12697.48</v>
      </c>
      <c r="G1502" t="s">
        <v>12</v>
      </c>
      <c r="H1502" t="s">
        <v>12</v>
      </c>
      <c r="I1502" t="s">
        <v>300</v>
      </c>
      <c r="J1502" s="11">
        <f>DATE(B1502,MATCH(C1502,{"Jan","Feb","Mar","Apr","May","Jun","Jul","Aug","Sep","Oct","Nov","Dec"},0),D1502)</f>
        <v>27296</v>
      </c>
      <c r="K1502">
        <f t="shared" si="23"/>
        <v>48</v>
      </c>
    </row>
    <row r="1503" spans="1:11" x14ac:dyDescent="0.35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 s="15">
        <v>12699.56</v>
      </c>
      <c r="G1503" t="s">
        <v>12</v>
      </c>
      <c r="H1503" t="s">
        <v>11</v>
      </c>
      <c r="I1503" t="s">
        <v>42</v>
      </c>
      <c r="J1503" s="11">
        <f>DATE(B1503,MATCH(C1503,{"Jan","Feb","Mar","Apr","May","Jun","Jul","Aug","Sep","Oct","Nov","Dec"},0),D1503)</f>
        <v>33792</v>
      </c>
      <c r="K1503">
        <f t="shared" si="23"/>
        <v>30</v>
      </c>
    </row>
    <row r="1504" spans="1:11" x14ac:dyDescent="0.35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 s="15">
        <v>12700.63</v>
      </c>
      <c r="G1504" t="s">
        <v>12</v>
      </c>
      <c r="H1504" t="s">
        <v>12</v>
      </c>
      <c r="I1504" t="s">
        <v>42</v>
      </c>
      <c r="J1504" s="11">
        <f>DATE(B1504,MATCH(C1504,{"Jan","Feb","Mar","Apr","May","Jun","Jul","Aug","Sep","Oct","Nov","Dec"},0),D1504)</f>
        <v>23709</v>
      </c>
      <c r="K1504">
        <f t="shared" si="23"/>
        <v>58</v>
      </c>
    </row>
    <row r="1505" spans="1:11" x14ac:dyDescent="0.35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 s="15">
        <v>12713</v>
      </c>
      <c r="G1505" t="s">
        <v>12</v>
      </c>
      <c r="H1505" t="s">
        <v>16</v>
      </c>
      <c r="I1505" t="s">
        <v>42</v>
      </c>
      <c r="J1505" s="11">
        <f>DATE(B1505,MATCH(C1505,{"Jan","Feb","Mar","Apr","May","Jun","Jul","Aug","Sep","Oct","Nov","Dec"},0),D1505)</f>
        <v>25757</v>
      </c>
      <c r="K1505">
        <f t="shared" si="23"/>
        <v>52</v>
      </c>
    </row>
    <row r="1506" spans="1:11" x14ac:dyDescent="0.35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 s="15">
        <v>12718.21</v>
      </c>
      <c r="G1506" t="s">
        <v>12</v>
      </c>
      <c r="H1506" t="s">
        <v>16</v>
      </c>
      <c r="I1506" t="s">
        <v>535</v>
      </c>
      <c r="J1506" s="11">
        <f>DATE(B1506,MATCH(C1506,{"Jan","Feb","Mar","Apr","May","Jun","Jul","Aug","Sep","Oct","Nov","Dec"},0),D1506)</f>
        <v>32341</v>
      </c>
      <c r="K1506">
        <f t="shared" si="23"/>
        <v>34</v>
      </c>
    </row>
    <row r="1507" spans="1:11" x14ac:dyDescent="0.35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 s="15">
        <v>12731</v>
      </c>
      <c r="G1507" t="s">
        <v>12</v>
      </c>
      <c r="H1507" t="s">
        <v>12</v>
      </c>
      <c r="I1507" t="s">
        <v>168</v>
      </c>
      <c r="J1507" s="11">
        <f>DATE(B1507,MATCH(C1507,{"Jan","Feb","Mar","Apr","May","Jun","Jul","Aug","Sep","Oct","Nov","Dec"},0),D1507)</f>
        <v>22891</v>
      </c>
      <c r="K1507">
        <f t="shared" si="23"/>
        <v>60</v>
      </c>
    </row>
    <row r="1508" spans="1:11" x14ac:dyDescent="0.35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 s="15">
        <v>12741.17</v>
      </c>
      <c r="G1508" t="s">
        <v>12</v>
      </c>
      <c r="H1508" t="s">
        <v>16</v>
      </c>
      <c r="I1508" t="s">
        <v>356</v>
      </c>
      <c r="J1508" s="11">
        <f>DATE(B1508,MATCH(C1508,{"Jan","Feb","Mar","Apr","May","Jun","Jul","Aug","Sep","Oct","Nov","Dec"},0),D1508)</f>
        <v>22920</v>
      </c>
      <c r="K1508">
        <f t="shared" si="23"/>
        <v>60</v>
      </c>
    </row>
    <row r="1509" spans="1:11" x14ac:dyDescent="0.35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 s="15">
        <v>12770.27</v>
      </c>
      <c r="G1509" t="s">
        <v>12</v>
      </c>
      <c r="H1509" t="s">
        <v>12</v>
      </c>
      <c r="I1509" t="s">
        <v>300</v>
      </c>
      <c r="J1509" s="11">
        <f>DATE(B1509,MATCH(C1509,{"Jan","Feb","Mar","Apr","May","Jun","Jul","Aug","Sep","Oct","Nov","Dec"},0),D1509)</f>
        <v>27662</v>
      </c>
      <c r="K1509">
        <f t="shared" si="23"/>
        <v>47</v>
      </c>
    </row>
    <row r="1510" spans="1:11" x14ac:dyDescent="0.35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 s="15">
        <v>12776.05</v>
      </c>
      <c r="G1510" t="s">
        <v>12</v>
      </c>
      <c r="H1510" t="s">
        <v>12</v>
      </c>
      <c r="I1510" t="s">
        <v>535</v>
      </c>
      <c r="J1510" s="11">
        <f>DATE(B1510,MATCH(C1510,{"Jan","Feb","Mar","Apr","May","Jun","Jul","Aug","Sep","Oct","Nov","Dec"},0),D1510)</f>
        <v>26579</v>
      </c>
      <c r="K1510">
        <f t="shared" si="23"/>
        <v>50</v>
      </c>
    </row>
    <row r="1511" spans="1:11" x14ac:dyDescent="0.35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 s="15">
        <v>12788.03</v>
      </c>
      <c r="G1511" t="s">
        <v>12</v>
      </c>
      <c r="H1511" t="s">
        <v>12</v>
      </c>
      <c r="I1511" t="s">
        <v>200</v>
      </c>
      <c r="J1511" s="11">
        <f>DATE(B1511,MATCH(C1511,{"Jan","Feb","Mar","Apr","May","Jun","Jul","Aug","Sep","Oct","Nov","Dec"},0),D1511)</f>
        <v>23350</v>
      </c>
      <c r="K1511">
        <f t="shared" si="23"/>
        <v>59</v>
      </c>
    </row>
    <row r="1512" spans="1:11" x14ac:dyDescent="0.35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 s="15">
        <v>12788.18</v>
      </c>
      <c r="G1512" t="s">
        <v>12</v>
      </c>
      <c r="H1512" t="s">
        <v>16</v>
      </c>
      <c r="I1512" t="s">
        <v>535</v>
      </c>
      <c r="J1512" s="11">
        <f>DATE(B1512,MATCH(C1512,{"Jan","Feb","Mar","Apr","May","Jun","Jul","Aug","Sep","Oct","Nov","Dec"},0),D1512)</f>
        <v>30618</v>
      </c>
      <c r="K1512">
        <f t="shared" si="23"/>
        <v>39</v>
      </c>
    </row>
    <row r="1513" spans="1:11" x14ac:dyDescent="0.35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 s="15">
        <v>12797.21</v>
      </c>
      <c r="G1513" t="s">
        <v>12</v>
      </c>
      <c r="H1513" t="s">
        <v>16</v>
      </c>
      <c r="I1513" t="s">
        <v>247</v>
      </c>
      <c r="J1513" s="11">
        <f>DATE(B1513,MATCH(C1513,{"Jan","Feb","Mar","Apr","May","Jun","Jul","Aug","Sep","Oct","Nov","Dec"},0),D1513)</f>
        <v>28695</v>
      </c>
      <c r="K1513">
        <f t="shared" si="23"/>
        <v>44</v>
      </c>
    </row>
    <row r="1514" spans="1:11" x14ac:dyDescent="0.35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 s="15">
        <v>12815.44</v>
      </c>
      <c r="G1514" t="s">
        <v>12</v>
      </c>
      <c r="H1514" t="s">
        <v>12</v>
      </c>
      <c r="I1514" t="s">
        <v>247</v>
      </c>
      <c r="J1514" s="11">
        <f>DATE(B1514,MATCH(C1514,{"Jan","Feb","Mar","Apr","May","Jun","Jul","Aug","Sep","Oct","Nov","Dec"},0),D1514)</f>
        <v>23212</v>
      </c>
      <c r="K1514">
        <f t="shared" si="23"/>
        <v>59</v>
      </c>
    </row>
    <row r="1515" spans="1:11" x14ac:dyDescent="0.35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 s="15">
        <v>12823.25</v>
      </c>
      <c r="G1515" t="s">
        <v>12</v>
      </c>
      <c r="H1515" t="s">
        <v>12</v>
      </c>
      <c r="I1515" t="s">
        <v>300</v>
      </c>
      <c r="J1515" s="11">
        <f>DATE(B1515,MATCH(C1515,{"Jan","Feb","Mar","Apr","May","Jun","Jul","Aug","Sep","Oct","Nov","Dec"},0),D1515)</f>
        <v>24740</v>
      </c>
      <c r="K1515">
        <f t="shared" si="23"/>
        <v>55</v>
      </c>
    </row>
    <row r="1516" spans="1:11" x14ac:dyDescent="0.35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 s="15">
        <v>12829.46</v>
      </c>
      <c r="G1516" t="s">
        <v>12</v>
      </c>
      <c r="H1516" t="s">
        <v>12</v>
      </c>
      <c r="I1516" t="s">
        <v>168</v>
      </c>
      <c r="J1516" s="11">
        <f>DATE(B1516,MATCH(C1516,{"Jan","Feb","Mar","Apr","May","Jun","Jul","Aug","Sep","Oct","Nov","Dec"},0),D1516)</f>
        <v>38300</v>
      </c>
      <c r="K1516">
        <f t="shared" si="23"/>
        <v>18</v>
      </c>
    </row>
    <row r="1517" spans="1:11" x14ac:dyDescent="0.35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 s="15">
        <v>12847.24</v>
      </c>
      <c r="G1517" t="s">
        <v>12</v>
      </c>
      <c r="H1517" t="s">
        <v>11</v>
      </c>
      <c r="I1517" t="s">
        <v>23</v>
      </c>
      <c r="J1517" s="11">
        <f>DATE(B1517,MATCH(C1517,{"Jan","Feb","Mar","Apr","May","Jun","Jul","Aug","Sep","Oct","Nov","Dec"},0),D1517)</f>
        <v>34239</v>
      </c>
      <c r="K1517">
        <f t="shared" si="23"/>
        <v>29</v>
      </c>
    </row>
    <row r="1518" spans="1:11" x14ac:dyDescent="0.35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 s="15">
        <v>12852.37</v>
      </c>
      <c r="G1518" t="s">
        <v>12</v>
      </c>
      <c r="H1518" t="s">
        <v>16</v>
      </c>
      <c r="I1518" t="s">
        <v>23</v>
      </c>
      <c r="J1518" s="11">
        <f>DATE(B1518,MATCH(C1518,{"Jan","Feb","Mar","Apr","May","Jun","Jul","Aug","Sep","Oct","Nov","Dec"},0),D1518)</f>
        <v>26929</v>
      </c>
      <c r="K1518">
        <f t="shared" si="23"/>
        <v>49</v>
      </c>
    </row>
    <row r="1519" spans="1:11" x14ac:dyDescent="0.35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 s="15">
        <v>12856.84</v>
      </c>
      <c r="G1519" t="s">
        <v>12</v>
      </c>
      <c r="H1519" t="s">
        <v>12</v>
      </c>
      <c r="I1519" t="s">
        <v>300</v>
      </c>
      <c r="J1519" s="11">
        <f>DATE(B1519,MATCH(C1519,{"Jan","Feb","Mar","Apr","May","Jun","Jul","Aug","Sep","Oct","Nov","Dec"},0),D1519)</f>
        <v>23281</v>
      </c>
      <c r="K1519">
        <f t="shared" si="23"/>
        <v>59</v>
      </c>
    </row>
    <row r="1520" spans="1:11" x14ac:dyDescent="0.35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 s="15">
        <v>12870.31</v>
      </c>
      <c r="G1520" t="s">
        <v>12</v>
      </c>
      <c r="H1520" t="s">
        <v>12</v>
      </c>
      <c r="I1520" t="s">
        <v>23</v>
      </c>
      <c r="J1520" s="11">
        <f>DATE(B1520,MATCH(C1520,{"Jan","Feb","Mar","Apr","May","Jun","Jul","Aug","Sep","Oct","Nov","Dec"},0),D1520)</f>
        <v>30900</v>
      </c>
      <c r="K1520">
        <f t="shared" si="23"/>
        <v>38</v>
      </c>
    </row>
    <row r="1521" spans="1:11" x14ac:dyDescent="0.35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 s="15">
        <v>12890.06</v>
      </c>
      <c r="G1521" t="s">
        <v>12</v>
      </c>
      <c r="H1521" t="s">
        <v>16</v>
      </c>
      <c r="I1521" t="s">
        <v>166</v>
      </c>
      <c r="J1521" s="11">
        <f>DATE(B1521,MATCH(C1521,{"Jan","Feb","Mar","Apr","May","Jun","Jul","Aug","Sep","Oct","Nov","Dec"},0),D1521)</f>
        <v>38177</v>
      </c>
      <c r="K1521">
        <f t="shared" si="23"/>
        <v>18</v>
      </c>
    </row>
    <row r="1522" spans="1:11" x14ac:dyDescent="0.35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 s="15">
        <v>12913.99</v>
      </c>
      <c r="G1522" t="s">
        <v>12</v>
      </c>
      <c r="H1522" t="s">
        <v>11</v>
      </c>
      <c r="I1522" t="s">
        <v>168</v>
      </c>
      <c r="J1522" s="11">
        <f>DATE(B1522,MATCH(C1522,{"Jan","Feb","Mar","Apr","May","Jun","Jul","Aug","Sep","Oct","Nov","Dec"},0),D1522)</f>
        <v>23239</v>
      </c>
      <c r="K1522">
        <f t="shared" si="23"/>
        <v>59</v>
      </c>
    </row>
    <row r="1523" spans="1:11" x14ac:dyDescent="0.35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 s="15">
        <v>12925.89</v>
      </c>
      <c r="G1523" t="s">
        <v>12</v>
      </c>
      <c r="H1523" t="s">
        <v>11</v>
      </c>
      <c r="I1523" t="s">
        <v>13</v>
      </c>
      <c r="J1523" s="11">
        <f>DATE(B1523,MATCH(C1523,{"Jan","Feb","Mar","Apr","May","Jun","Jul","Aug","Sep","Oct","Nov","Dec"},0),D1523)</f>
        <v>23255</v>
      </c>
      <c r="K1523">
        <f t="shared" si="23"/>
        <v>59</v>
      </c>
    </row>
    <row r="1524" spans="1:11" x14ac:dyDescent="0.35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 s="15">
        <v>12928.79</v>
      </c>
      <c r="G1524" t="s">
        <v>12</v>
      </c>
      <c r="H1524" t="s">
        <v>11</v>
      </c>
      <c r="I1524" t="s">
        <v>13</v>
      </c>
      <c r="J1524" s="11">
        <f>DATE(B1524,MATCH(C1524,{"Jan","Feb","Mar","Apr","May","Jun","Jul","Aug","Sep","Oct","Nov","Dec"},0),D1524)</f>
        <v>23237</v>
      </c>
      <c r="K1524">
        <f t="shared" si="23"/>
        <v>59</v>
      </c>
    </row>
    <row r="1525" spans="1:11" x14ac:dyDescent="0.35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 s="15">
        <v>12949.16</v>
      </c>
      <c r="G1525" t="s">
        <v>12</v>
      </c>
      <c r="H1525" t="s">
        <v>12</v>
      </c>
      <c r="I1525" t="s">
        <v>13</v>
      </c>
      <c r="J1525" s="11">
        <f>DATE(B1525,MATCH(C1525,{"Jan","Feb","Mar","Apr","May","Jun","Jul","Aug","Sep","Oct","Nov","Dec"},0),D1525)</f>
        <v>24463</v>
      </c>
      <c r="K1525">
        <f t="shared" si="23"/>
        <v>56</v>
      </c>
    </row>
    <row r="1526" spans="1:11" x14ac:dyDescent="0.35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 s="15">
        <v>12950.07</v>
      </c>
      <c r="G1526" t="s">
        <v>12</v>
      </c>
      <c r="H1526" t="s">
        <v>16</v>
      </c>
      <c r="I1526" t="s">
        <v>23</v>
      </c>
      <c r="J1526" s="11">
        <f>DATE(B1526,MATCH(C1526,{"Jan","Feb","Mar","Apr","May","Jun","Jul","Aug","Sep","Oct","Nov","Dec"},0),D1526)</f>
        <v>22513</v>
      </c>
      <c r="K1526">
        <f t="shared" si="23"/>
        <v>61</v>
      </c>
    </row>
    <row r="1527" spans="1:11" x14ac:dyDescent="0.35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 s="15">
        <v>12957.12</v>
      </c>
      <c r="G1527" t="s">
        <v>12</v>
      </c>
      <c r="H1527" t="s">
        <v>16</v>
      </c>
      <c r="I1527" t="s">
        <v>42</v>
      </c>
      <c r="J1527" s="11">
        <f>DATE(B1527,MATCH(C1527,{"Jan","Feb","Mar","Apr","May","Jun","Jul","Aug","Sep","Oct","Nov","Dec"},0),D1527)</f>
        <v>22224</v>
      </c>
      <c r="K1527">
        <f t="shared" si="23"/>
        <v>62</v>
      </c>
    </row>
    <row r="1528" spans="1:11" x14ac:dyDescent="0.35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 s="15">
        <v>12979.36</v>
      </c>
      <c r="G1528" t="s">
        <v>12</v>
      </c>
      <c r="H1528" t="s">
        <v>16</v>
      </c>
      <c r="I1528" t="s">
        <v>42</v>
      </c>
      <c r="J1528" s="11">
        <f>DATE(B1528,MATCH(C1528,{"Jan","Feb","Mar","Apr","May","Jun","Jul","Aug","Sep","Oct","Nov","Dec"},0),D1528)</f>
        <v>22089</v>
      </c>
      <c r="K1528">
        <f t="shared" si="23"/>
        <v>62</v>
      </c>
    </row>
    <row r="1529" spans="1:11" x14ac:dyDescent="0.35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 s="15">
        <v>12981.35</v>
      </c>
      <c r="G1529" t="s">
        <v>12</v>
      </c>
      <c r="H1529" t="s">
        <v>12</v>
      </c>
      <c r="I1529" t="s">
        <v>13</v>
      </c>
      <c r="J1529" s="11">
        <f>DATE(B1529,MATCH(C1529,{"Jan","Feb","Mar","Apr","May","Jun","Jul","Aug","Sep","Oct","Nov","Dec"},0),D1529)</f>
        <v>22182</v>
      </c>
      <c r="K1529">
        <f t="shared" si="23"/>
        <v>62</v>
      </c>
    </row>
    <row r="1530" spans="1:11" x14ac:dyDescent="0.35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 s="15">
        <v>12982.87</v>
      </c>
      <c r="G1530" t="s">
        <v>12</v>
      </c>
      <c r="H1530" t="s">
        <v>16</v>
      </c>
      <c r="I1530" t="s">
        <v>13</v>
      </c>
      <c r="J1530" s="11">
        <f>DATE(B1530,MATCH(C1530,{"Jan","Feb","Mar","Apr","May","Jun","Jul","Aug","Sep","Oct","Nov","Dec"},0),D1530)</f>
        <v>22248</v>
      </c>
      <c r="K1530">
        <f t="shared" si="23"/>
        <v>62</v>
      </c>
    </row>
    <row r="1531" spans="1:11" x14ac:dyDescent="0.35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 s="15">
        <v>12994.12</v>
      </c>
      <c r="G1531" t="s">
        <v>12</v>
      </c>
      <c r="H1531" t="s">
        <v>11</v>
      </c>
      <c r="I1531" t="s">
        <v>535</v>
      </c>
      <c r="J1531" s="11">
        <f>DATE(B1531,MATCH(C1531,{"Jan","Feb","Mar","Apr","May","Jun","Jul","Aug","Sep","Oct","Nov","Dec"},0),D1531)</f>
        <v>29186</v>
      </c>
      <c r="K1531">
        <f t="shared" si="23"/>
        <v>43</v>
      </c>
    </row>
    <row r="1532" spans="1:11" x14ac:dyDescent="0.35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 s="15">
        <v>13002.91</v>
      </c>
      <c r="G1532" t="s">
        <v>12</v>
      </c>
      <c r="H1532" t="s">
        <v>16</v>
      </c>
      <c r="I1532" t="s">
        <v>23</v>
      </c>
      <c r="J1532" s="11">
        <f>DATE(B1532,MATCH(C1532,{"Jan","Feb","Mar","Apr","May","Jun","Jul","Aug","Sep","Oct","Nov","Dec"},0),D1532)</f>
        <v>29889</v>
      </c>
      <c r="K1532">
        <f t="shared" si="23"/>
        <v>41</v>
      </c>
    </row>
    <row r="1533" spans="1:11" x14ac:dyDescent="0.35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 s="15">
        <v>13004.95</v>
      </c>
      <c r="G1533" t="s">
        <v>12</v>
      </c>
      <c r="H1533" t="s">
        <v>16</v>
      </c>
      <c r="I1533" t="s">
        <v>23</v>
      </c>
      <c r="J1533" s="11">
        <f>DATE(B1533,MATCH(C1533,{"Jan","Feb","Mar","Apr","May","Jun","Jul","Aug","Sep","Oct","Nov","Dec"},0),D1533)</f>
        <v>22821</v>
      </c>
      <c r="K1533">
        <f t="shared" si="23"/>
        <v>60</v>
      </c>
    </row>
    <row r="1534" spans="1:11" x14ac:dyDescent="0.35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 s="15">
        <v>13008.07</v>
      </c>
      <c r="G1534" t="s">
        <v>12</v>
      </c>
      <c r="H1534" t="s">
        <v>12</v>
      </c>
      <c r="I1534" t="s">
        <v>23</v>
      </c>
      <c r="J1534" s="11">
        <f>DATE(B1534,MATCH(C1534,{"Jan","Feb","Mar","Apr","May","Jun","Jul","Aug","Sep","Oct","Nov","Dec"},0),D1534)</f>
        <v>25550</v>
      </c>
      <c r="K1534">
        <f t="shared" si="23"/>
        <v>53</v>
      </c>
    </row>
    <row r="1535" spans="1:11" x14ac:dyDescent="0.35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 s="15">
        <v>13010.86</v>
      </c>
      <c r="G1535" t="s">
        <v>12</v>
      </c>
      <c r="H1535" t="s">
        <v>11</v>
      </c>
      <c r="I1535" t="s">
        <v>23</v>
      </c>
      <c r="J1535" s="11">
        <f>DATE(B1535,MATCH(C1535,{"Jan","Feb","Mar","Apr","May","Jun","Jul","Aug","Sep","Oct","Nov","Dec"},0),D1535)</f>
        <v>26569</v>
      </c>
      <c r="K1535">
        <f t="shared" si="23"/>
        <v>50</v>
      </c>
    </row>
    <row r="1536" spans="1:11" x14ac:dyDescent="0.35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 s="15">
        <v>13012.21</v>
      </c>
      <c r="G1536" t="s">
        <v>12</v>
      </c>
      <c r="H1536" t="s">
        <v>16</v>
      </c>
      <c r="I1536" t="s">
        <v>23</v>
      </c>
      <c r="J1536" s="11">
        <f>DATE(B1536,MATCH(C1536,{"Jan","Feb","Mar","Apr","May","Jun","Jul","Aug","Sep","Oct","Nov","Dec"},0),D1536)</f>
        <v>22847</v>
      </c>
      <c r="K1536">
        <f t="shared" si="23"/>
        <v>60</v>
      </c>
    </row>
    <row r="1537" spans="1:11" x14ac:dyDescent="0.35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 s="15">
        <v>13019.16</v>
      </c>
      <c r="G1537" t="s">
        <v>12</v>
      </c>
      <c r="H1537" t="s">
        <v>16</v>
      </c>
      <c r="I1537" t="s">
        <v>247</v>
      </c>
      <c r="J1537" s="11">
        <f>DATE(B1537,MATCH(C1537,{"Jan","Feb","Mar","Apr","May","Jun","Jul","Aug","Sep","Oct","Nov","Dec"},0),D1537)</f>
        <v>23643</v>
      </c>
      <c r="K1537">
        <f t="shared" si="23"/>
        <v>58</v>
      </c>
    </row>
    <row r="1538" spans="1:11" x14ac:dyDescent="0.35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 s="15">
        <v>13023.93</v>
      </c>
      <c r="G1538" t="s">
        <v>12</v>
      </c>
      <c r="H1538" t="s">
        <v>11</v>
      </c>
      <c r="I1538" t="s">
        <v>200</v>
      </c>
      <c r="J1538" s="11">
        <f>DATE(B1538,MATCH(C1538,{"Jan","Feb","Mar","Apr","May","Jun","Jul","Aug","Sep","Oct","Nov","Dec"},0),D1538)</f>
        <v>24050</v>
      </c>
      <c r="K1538">
        <f t="shared" si="23"/>
        <v>57</v>
      </c>
    </row>
    <row r="1539" spans="1:11" x14ac:dyDescent="0.35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 s="15">
        <v>13041.92</v>
      </c>
      <c r="G1539" t="s">
        <v>12</v>
      </c>
      <c r="H1539" t="s">
        <v>16</v>
      </c>
      <c r="I1539" t="s">
        <v>42</v>
      </c>
      <c r="J1539" s="11">
        <f>DATE(B1539,MATCH(C1539,{"Jan","Feb","Mar","Apr","May","Jun","Jul","Aug","Sep","Oct","Nov","Dec"},0),D1539)</f>
        <v>22594</v>
      </c>
      <c r="K1539">
        <f t="shared" ref="K1539:K1602" si="24">DATEDIF(J1539,$N$1,"Y")</f>
        <v>61</v>
      </c>
    </row>
    <row r="1540" spans="1:11" x14ac:dyDescent="0.35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 s="15">
        <v>13044.41</v>
      </c>
      <c r="G1540" t="s">
        <v>12</v>
      </c>
      <c r="H1540" t="s">
        <v>16</v>
      </c>
      <c r="I1540" t="s">
        <v>23</v>
      </c>
      <c r="J1540" s="11">
        <f>DATE(B1540,MATCH(C1540,{"Jan","Feb","Mar","Apr","May","Jun","Jul","Aug","Sep","Oct","Nov","Dec"},0),D1540)</f>
        <v>25469</v>
      </c>
      <c r="K1540">
        <f t="shared" si="24"/>
        <v>53</v>
      </c>
    </row>
    <row r="1541" spans="1:11" x14ac:dyDescent="0.35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 s="15">
        <v>13047.33</v>
      </c>
      <c r="G1541" t="s">
        <v>12</v>
      </c>
      <c r="H1541" t="s">
        <v>12</v>
      </c>
      <c r="I1541" t="s">
        <v>247</v>
      </c>
      <c r="J1541" s="11">
        <f>DATE(B1541,MATCH(C1541,{"Jan","Feb","Mar","Apr","May","Jun","Jul","Aug","Sep","Oct","Nov","Dec"},0),D1541)</f>
        <v>24690</v>
      </c>
      <c r="K1541">
        <f t="shared" si="24"/>
        <v>55</v>
      </c>
    </row>
    <row r="1542" spans="1:11" x14ac:dyDescent="0.35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 s="15">
        <v>13051.22</v>
      </c>
      <c r="G1542" t="s">
        <v>12</v>
      </c>
      <c r="H1542" t="s">
        <v>16</v>
      </c>
      <c r="I1542" t="s">
        <v>535</v>
      </c>
      <c r="J1542" s="11">
        <f>DATE(B1542,MATCH(C1542,{"Jan","Feb","Mar","Apr","May","Jun","Jul","Aug","Sep","Oct","Nov","Dec"},0),D1542)</f>
        <v>31346</v>
      </c>
      <c r="K1542">
        <f t="shared" si="24"/>
        <v>37</v>
      </c>
    </row>
    <row r="1543" spans="1:11" x14ac:dyDescent="0.35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 s="15">
        <v>13063.88</v>
      </c>
      <c r="G1543" t="s">
        <v>12</v>
      </c>
      <c r="H1543" t="s">
        <v>11</v>
      </c>
      <c r="I1543" t="s">
        <v>42</v>
      </c>
      <c r="J1543" s="11">
        <f>DATE(B1543,MATCH(C1543,{"Jan","Feb","Mar","Apr","May","Jun","Jul","Aug","Sep","Oct","Nov","Dec"},0),D1543)</f>
        <v>22591</v>
      </c>
      <c r="K1543">
        <f t="shared" si="24"/>
        <v>61</v>
      </c>
    </row>
    <row r="1544" spans="1:11" x14ac:dyDescent="0.35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 s="15">
        <v>13101.74</v>
      </c>
      <c r="G1544" t="s">
        <v>12</v>
      </c>
      <c r="H1544" t="s">
        <v>11</v>
      </c>
      <c r="I1544" t="s">
        <v>535</v>
      </c>
      <c r="J1544" s="11">
        <f>DATE(B1544,MATCH(C1544,{"Jan","Feb","Mar","Apr","May","Jun","Jul","Aug","Sep","Oct","Nov","Dec"},0),D1544)</f>
        <v>28688</v>
      </c>
      <c r="K1544">
        <f t="shared" si="24"/>
        <v>44</v>
      </c>
    </row>
    <row r="1545" spans="1:11" x14ac:dyDescent="0.35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 s="15">
        <v>13110.79</v>
      </c>
      <c r="G1545" t="s">
        <v>12</v>
      </c>
      <c r="H1545" t="s">
        <v>11</v>
      </c>
      <c r="I1545" t="s">
        <v>42</v>
      </c>
      <c r="J1545" s="11">
        <f>DATE(B1545,MATCH(C1545,{"Jan","Feb","Mar","Apr","May","Jun","Jul","Aug","Sep","Oct","Nov","Dec"},0),D1545)</f>
        <v>26236</v>
      </c>
      <c r="K1545">
        <f t="shared" si="24"/>
        <v>51</v>
      </c>
    </row>
    <row r="1546" spans="1:11" x14ac:dyDescent="0.35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 s="15">
        <v>13112.6</v>
      </c>
      <c r="G1546" t="s">
        <v>12</v>
      </c>
      <c r="H1546" t="s">
        <v>12</v>
      </c>
      <c r="I1546" t="s">
        <v>23</v>
      </c>
      <c r="J1546" s="11">
        <f>DATE(B1546,MATCH(C1546,{"Jan","Feb","Mar","Apr","May","Jun","Jul","Aug","Sep","Oct","Nov","Dec"},0),D1546)</f>
        <v>22860</v>
      </c>
      <c r="K1546">
        <f t="shared" si="24"/>
        <v>60</v>
      </c>
    </row>
    <row r="1547" spans="1:11" x14ac:dyDescent="0.35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 s="15">
        <v>13113.51</v>
      </c>
      <c r="G1547" t="s">
        <v>12</v>
      </c>
      <c r="H1547" t="s">
        <v>11</v>
      </c>
      <c r="I1547" t="s">
        <v>535</v>
      </c>
      <c r="J1547" s="11">
        <f>DATE(B1547,MATCH(C1547,{"Jan","Feb","Mar","Apr","May","Jun","Jul","Aug","Sep","Oct","Nov","Dec"},0),D1547)</f>
        <v>33828</v>
      </c>
      <c r="K1547">
        <f t="shared" si="24"/>
        <v>30</v>
      </c>
    </row>
    <row r="1548" spans="1:11" x14ac:dyDescent="0.35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 s="15">
        <v>13116.84</v>
      </c>
      <c r="G1548" t="s">
        <v>12</v>
      </c>
      <c r="H1548" t="s">
        <v>16</v>
      </c>
      <c r="I1548" t="s">
        <v>23</v>
      </c>
      <c r="J1548" s="11">
        <f>DATE(B1548,MATCH(C1548,{"Jan","Feb","Mar","Apr","May","Jun","Jul","Aug","Sep","Oct","Nov","Dec"},0),D1548)</f>
        <v>23268</v>
      </c>
      <c r="K1548">
        <f t="shared" si="24"/>
        <v>59</v>
      </c>
    </row>
    <row r="1549" spans="1:11" x14ac:dyDescent="0.35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 s="15">
        <v>13126.68</v>
      </c>
      <c r="G1549" t="s">
        <v>12</v>
      </c>
      <c r="H1549" t="s">
        <v>12</v>
      </c>
      <c r="I1549" t="s">
        <v>42</v>
      </c>
      <c r="J1549" s="11">
        <f>DATE(B1549,MATCH(C1549,{"Jan","Feb","Mar","Apr","May","Jun","Jul","Aug","Sep","Oct","Nov","Dec"},0),D1549)</f>
        <v>36388</v>
      </c>
      <c r="K1549">
        <f t="shared" si="24"/>
        <v>23</v>
      </c>
    </row>
    <row r="1550" spans="1:11" x14ac:dyDescent="0.35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 s="15">
        <v>13129.6</v>
      </c>
      <c r="G1550" t="s">
        <v>12</v>
      </c>
      <c r="H1550" t="s">
        <v>11</v>
      </c>
      <c r="I1550" t="s">
        <v>356</v>
      </c>
      <c r="J1550" s="11">
        <f>DATE(B1550,MATCH(C1550,{"Jan","Feb","Mar","Apr","May","Jun","Jul","Aug","Sep","Oct","Nov","Dec"},0),D1550)</f>
        <v>22531</v>
      </c>
      <c r="K1550">
        <f t="shared" si="24"/>
        <v>61</v>
      </c>
    </row>
    <row r="1551" spans="1:11" x14ac:dyDescent="0.35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 s="15">
        <v>13143.34</v>
      </c>
      <c r="G1551" t="s">
        <v>12</v>
      </c>
      <c r="H1551" t="s">
        <v>11</v>
      </c>
      <c r="I1551" t="s">
        <v>516</v>
      </c>
      <c r="J1551" s="11">
        <f>DATE(B1551,MATCH(C1551,{"Jan","Feb","Mar","Apr","May","Jun","Jul","Aug","Sep","Oct","Nov","Dec"},0),D1551)</f>
        <v>22621</v>
      </c>
      <c r="K1551">
        <f t="shared" si="24"/>
        <v>61</v>
      </c>
    </row>
    <row r="1552" spans="1:11" x14ac:dyDescent="0.35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 s="15">
        <v>13143.86</v>
      </c>
      <c r="G1552" t="s">
        <v>12</v>
      </c>
      <c r="H1552" t="s">
        <v>11</v>
      </c>
      <c r="I1552" t="s">
        <v>168</v>
      </c>
      <c r="J1552" s="11">
        <f>DATE(B1552,MATCH(C1552,{"Jan","Feb","Mar","Apr","May","Jun","Jul","Aug","Sep","Oct","Nov","Dec"},0),D1552)</f>
        <v>22621</v>
      </c>
      <c r="K1552">
        <f t="shared" si="24"/>
        <v>61</v>
      </c>
    </row>
    <row r="1553" spans="1:11" x14ac:dyDescent="0.35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 s="15">
        <v>13204.29</v>
      </c>
      <c r="G1553" t="s">
        <v>12</v>
      </c>
      <c r="H1553" t="s">
        <v>16</v>
      </c>
      <c r="I1553" t="s">
        <v>247</v>
      </c>
      <c r="J1553" s="11">
        <f>DATE(B1553,MATCH(C1553,{"Jan","Feb","Mar","Apr","May","Jun","Jul","Aug","Sep","Oct","Nov","Dec"},0),D1553)</f>
        <v>22863</v>
      </c>
      <c r="K1553">
        <f t="shared" si="24"/>
        <v>60</v>
      </c>
    </row>
    <row r="1554" spans="1:11" x14ac:dyDescent="0.35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 s="15">
        <v>13214.43</v>
      </c>
      <c r="G1554" t="s">
        <v>12</v>
      </c>
      <c r="H1554" t="s">
        <v>11</v>
      </c>
      <c r="I1554" t="s">
        <v>23</v>
      </c>
      <c r="J1554" s="11">
        <f>DATE(B1554,MATCH(C1554,{"Jan","Feb","Mar","Apr","May","Jun","Jul","Aug","Sep","Oct","Nov","Dec"},0),D1554)</f>
        <v>30239</v>
      </c>
      <c r="K1554">
        <f t="shared" si="24"/>
        <v>40</v>
      </c>
    </row>
    <row r="1555" spans="1:11" x14ac:dyDescent="0.35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 s="15">
        <v>13217.09</v>
      </c>
      <c r="G1555" t="s">
        <v>12</v>
      </c>
      <c r="H1555" t="s">
        <v>16</v>
      </c>
      <c r="I1555" t="s">
        <v>247</v>
      </c>
      <c r="J1555" s="11">
        <f>DATE(B1555,MATCH(C1555,{"Jan","Feb","Mar","Apr","May","Jun","Jul","Aug","Sep","Oct","Nov","Dec"},0),D1555)</f>
        <v>22987</v>
      </c>
      <c r="K1555">
        <f t="shared" si="24"/>
        <v>60</v>
      </c>
    </row>
    <row r="1556" spans="1:11" x14ac:dyDescent="0.35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 s="15">
        <v>13224.06</v>
      </c>
      <c r="G1556" t="s">
        <v>12</v>
      </c>
      <c r="H1556" t="s">
        <v>12</v>
      </c>
      <c r="I1556" t="s">
        <v>247</v>
      </c>
      <c r="J1556" s="11">
        <f>DATE(B1556,MATCH(C1556,{"Jan","Feb","Mar","Apr","May","Jun","Jul","Aug","Sep","Oct","Nov","Dec"},0),D1556)</f>
        <v>24059</v>
      </c>
      <c r="K1556">
        <f t="shared" si="24"/>
        <v>57</v>
      </c>
    </row>
    <row r="1557" spans="1:11" x14ac:dyDescent="0.35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 s="15">
        <v>13224.69</v>
      </c>
      <c r="G1557" t="s">
        <v>12</v>
      </c>
      <c r="H1557" t="s">
        <v>11</v>
      </c>
      <c r="I1557" t="s">
        <v>42</v>
      </c>
      <c r="J1557" s="11">
        <f>DATE(B1557,MATCH(C1557,{"Jan","Feb","Mar","Apr","May","Jun","Jul","Aug","Sep","Oct","Nov","Dec"},0),D1557)</f>
        <v>22974</v>
      </c>
      <c r="K1557">
        <f t="shared" si="24"/>
        <v>60</v>
      </c>
    </row>
    <row r="1558" spans="1:11" x14ac:dyDescent="0.35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 s="15">
        <v>13228.85</v>
      </c>
      <c r="G1558" t="s">
        <v>12</v>
      </c>
      <c r="H1558" t="s">
        <v>12</v>
      </c>
      <c r="I1558" t="s">
        <v>249</v>
      </c>
      <c r="J1558" s="11">
        <f>DATE(B1558,MATCH(C1558,{"Jan","Feb","Mar","Apr","May","Jun","Jul","Aug","Sep","Oct","Nov","Dec"},0),D1558)</f>
        <v>22930</v>
      </c>
      <c r="K1558">
        <f t="shared" si="24"/>
        <v>60</v>
      </c>
    </row>
    <row r="1559" spans="1:11" x14ac:dyDescent="0.35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 s="15">
        <v>13292.52</v>
      </c>
      <c r="G1559" t="s">
        <v>12</v>
      </c>
      <c r="H1559" t="s">
        <v>12</v>
      </c>
      <c r="I1559" t="s">
        <v>23</v>
      </c>
      <c r="J1559" s="11">
        <f>DATE(B1559,MATCH(C1559,{"Jan","Feb","Mar","Apr","May","Jun","Jul","Aug","Sep","Oct","Nov","Dec"},0),D1559)</f>
        <v>34516</v>
      </c>
      <c r="K1559">
        <f t="shared" si="24"/>
        <v>28</v>
      </c>
    </row>
    <row r="1560" spans="1:11" x14ac:dyDescent="0.35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 s="15">
        <v>13333.71</v>
      </c>
      <c r="G1560" t="s">
        <v>12</v>
      </c>
      <c r="H1560" t="s">
        <v>11</v>
      </c>
      <c r="I1560" t="s">
        <v>23</v>
      </c>
      <c r="J1560" s="11">
        <f>DATE(B1560,MATCH(C1560,{"Jan","Feb","Mar","Apr","May","Jun","Jul","Aug","Sep","Oct","Nov","Dec"},0),D1560)</f>
        <v>27995</v>
      </c>
      <c r="K1560">
        <f t="shared" si="24"/>
        <v>46</v>
      </c>
    </row>
    <row r="1561" spans="1:11" x14ac:dyDescent="0.35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 s="15">
        <v>13352.1</v>
      </c>
      <c r="G1561" t="s">
        <v>12</v>
      </c>
      <c r="H1561" t="s">
        <v>16</v>
      </c>
      <c r="I1561" t="s">
        <v>23</v>
      </c>
      <c r="J1561" s="11">
        <f>DATE(B1561,MATCH(C1561,{"Jan","Feb","Mar","Apr","May","Jun","Jul","Aug","Sep","Oct","Nov","Dec"},0),D1561)</f>
        <v>22231</v>
      </c>
      <c r="K1561">
        <f t="shared" si="24"/>
        <v>62</v>
      </c>
    </row>
    <row r="1562" spans="1:11" x14ac:dyDescent="0.35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 s="15">
        <v>13360.94</v>
      </c>
      <c r="G1562" t="s">
        <v>12</v>
      </c>
      <c r="H1562" t="s">
        <v>16</v>
      </c>
      <c r="I1562" t="s">
        <v>23</v>
      </c>
      <c r="J1562" s="11">
        <f>DATE(B1562,MATCH(C1562,{"Jan","Feb","Mar","Apr","May","Jun","Jul","Aug","Sep","Oct","Nov","Dec"},0),D1562)</f>
        <v>33148</v>
      </c>
      <c r="K1562">
        <f t="shared" si="24"/>
        <v>32</v>
      </c>
    </row>
    <row r="1563" spans="1:11" x14ac:dyDescent="0.35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 s="15">
        <v>13375.76</v>
      </c>
      <c r="G1563" t="s">
        <v>12</v>
      </c>
      <c r="H1563" t="s">
        <v>11</v>
      </c>
      <c r="I1563" t="s">
        <v>200</v>
      </c>
      <c r="J1563" s="11">
        <f>DATE(B1563,MATCH(C1563,{"Jan","Feb","Mar","Apr","May","Jun","Jul","Aug","Sep","Oct","Nov","Dec"},0),D1563)</f>
        <v>23644</v>
      </c>
      <c r="K1563">
        <f t="shared" si="24"/>
        <v>58</v>
      </c>
    </row>
    <row r="1564" spans="1:11" x14ac:dyDescent="0.35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 s="15">
        <v>13377.41</v>
      </c>
      <c r="G1564" t="s">
        <v>12</v>
      </c>
      <c r="H1564" t="s">
        <v>12</v>
      </c>
      <c r="I1564" t="s">
        <v>535</v>
      </c>
      <c r="J1564" s="11">
        <f>DATE(B1564,MATCH(C1564,{"Jan","Feb","Mar","Apr","May","Jun","Jul","Aug","Sep","Oct","Nov","Dec"},0),D1564)</f>
        <v>29128</v>
      </c>
      <c r="K1564">
        <f t="shared" si="24"/>
        <v>43</v>
      </c>
    </row>
    <row r="1565" spans="1:11" x14ac:dyDescent="0.35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 s="15">
        <v>13383.67</v>
      </c>
      <c r="G1565" t="s">
        <v>12</v>
      </c>
      <c r="H1565" t="s">
        <v>11</v>
      </c>
      <c r="I1565" t="s">
        <v>249</v>
      </c>
      <c r="J1565" s="11">
        <f>DATE(B1565,MATCH(C1565,{"Jan","Feb","Mar","Apr","May","Jun","Jul","Aug","Sep","Oct","Nov","Dec"},0),D1565)</f>
        <v>30839</v>
      </c>
      <c r="K1565">
        <f t="shared" si="24"/>
        <v>39</v>
      </c>
    </row>
    <row r="1566" spans="1:11" x14ac:dyDescent="0.35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 s="15">
        <v>13390.56</v>
      </c>
      <c r="G1566" t="s">
        <v>12</v>
      </c>
      <c r="H1566" t="s">
        <v>12</v>
      </c>
      <c r="I1566" t="s">
        <v>42</v>
      </c>
      <c r="J1566" s="11">
        <f>DATE(B1566,MATCH(C1566,{"Jan","Feb","Mar","Apr","May","Jun","Jul","Aug","Sep","Oct","Nov","Dec"},0),D1566)</f>
        <v>21893</v>
      </c>
      <c r="K1566">
        <f t="shared" si="24"/>
        <v>63</v>
      </c>
    </row>
    <row r="1567" spans="1:11" x14ac:dyDescent="0.35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 s="15">
        <v>13393.76</v>
      </c>
      <c r="G1567" t="s">
        <v>12</v>
      </c>
      <c r="H1567" t="s">
        <v>16</v>
      </c>
      <c r="I1567" t="s">
        <v>42</v>
      </c>
      <c r="J1567" s="11">
        <f>DATE(B1567,MATCH(C1567,{"Jan","Feb","Mar","Apr","May","Jun","Jul","Aug","Sep","Oct","Nov","Dec"},0),D1567)</f>
        <v>21879</v>
      </c>
      <c r="K1567">
        <f t="shared" si="24"/>
        <v>63</v>
      </c>
    </row>
    <row r="1568" spans="1:11" x14ac:dyDescent="0.35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 s="15">
        <v>13405.39</v>
      </c>
      <c r="G1568" t="s">
        <v>12</v>
      </c>
      <c r="H1568" t="s">
        <v>12</v>
      </c>
      <c r="I1568" t="s">
        <v>13</v>
      </c>
      <c r="J1568" s="11">
        <f>DATE(B1568,MATCH(C1568,{"Jan","Feb","Mar","Apr","May","Jun","Jul","Aug","Sep","Oct","Nov","Dec"},0),D1568)</f>
        <v>21904</v>
      </c>
      <c r="K1568">
        <f t="shared" si="24"/>
        <v>63</v>
      </c>
    </row>
    <row r="1569" spans="1:11" x14ac:dyDescent="0.35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 s="15">
        <v>13412.97</v>
      </c>
      <c r="G1569" t="s">
        <v>12</v>
      </c>
      <c r="H1569" t="s">
        <v>12</v>
      </c>
      <c r="I1569" t="s">
        <v>249</v>
      </c>
      <c r="J1569" s="11">
        <f>DATE(B1569,MATCH(C1569,{"Jan","Feb","Mar","Apr","May","Jun","Jul","Aug","Sep","Oct","Nov","Dec"},0),D1569)</f>
        <v>33957</v>
      </c>
      <c r="K1569">
        <f t="shared" si="24"/>
        <v>30</v>
      </c>
    </row>
    <row r="1570" spans="1:11" x14ac:dyDescent="0.35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 s="15">
        <v>13415.04</v>
      </c>
      <c r="G1570" t="s">
        <v>12</v>
      </c>
      <c r="H1570" t="s">
        <v>11</v>
      </c>
      <c r="I1570" t="s">
        <v>23</v>
      </c>
      <c r="J1570" s="11">
        <f>DATE(B1570,MATCH(C1570,{"Jan","Feb","Mar","Apr","May","Jun","Jul","Aug","Sep","Oct","Nov","Dec"},0),D1570)</f>
        <v>22484</v>
      </c>
      <c r="K1570">
        <f t="shared" si="24"/>
        <v>61</v>
      </c>
    </row>
    <row r="1571" spans="1:11" x14ac:dyDescent="0.35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 s="15">
        <v>13417.05</v>
      </c>
      <c r="G1571" t="s">
        <v>12</v>
      </c>
      <c r="H1571" t="s">
        <v>12</v>
      </c>
      <c r="I1571" t="s">
        <v>23</v>
      </c>
      <c r="J1571" s="11">
        <f>DATE(B1571,MATCH(C1571,{"Jan","Feb","Mar","Apr","May","Jun","Jul","Aug","Sep","Oct","Nov","Dec"},0),D1571)</f>
        <v>34502</v>
      </c>
      <c r="K1571">
        <f t="shared" si="24"/>
        <v>28</v>
      </c>
    </row>
    <row r="1572" spans="1:11" x14ac:dyDescent="0.35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 s="15">
        <v>13429.04</v>
      </c>
      <c r="G1572" t="s">
        <v>12</v>
      </c>
      <c r="H1572" t="s">
        <v>12</v>
      </c>
      <c r="I1572" t="s">
        <v>23</v>
      </c>
      <c r="J1572" s="11">
        <f>DATE(B1572,MATCH(C1572,{"Jan","Feb","Mar","Apr","May","Jun","Jul","Aug","Sep","Oct","Nov","Dec"},0),D1572)</f>
        <v>22588</v>
      </c>
      <c r="K1572">
        <f t="shared" si="24"/>
        <v>61</v>
      </c>
    </row>
    <row r="1573" spans="1:11" x14ac:dyDescent="0.35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 s="15">
        <v>13430.27</v>
      </c>
      <c r="G1573" t="s">
        <v>12</v>
      </c>
      <c r="H1573" t="s">
        <v>12</v>
      </c>
      <c r="I1573" t="s">
        <v>247</v>
      </c>
      <c r="J1573" s="11">
        <f>DATE(B1573,MATCH(C1573,{"Jan","Feb","Mar","Apr","May","Jun","Jul","Aug","Sep","Oct","Nov","Dec"},0),D1573)</f>
        <v>24425</v>
      </c>
      <c r="K1573">
        <f t="shared" si="24"/>
        <v>56</v>
      </c>
    </row>
    <row r="1574" spans="1:11" x14ac:dyDescent="0.35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 s="15">
        <v>13440.7</v>
      </c>
      <c r="G1574" t="s">
        <v>12</v>
      </c>
      <c r="H1574" t="s">
        <v>11</v>
      </c>
      <c r="I1574" t="s">
        <v>23</v>
      </c>
      <c r="J1574" s="11">
        <f>DATE(B1574,MATCH(C1574,{"Jan","Feb","Mar","Apr","May","Jun","Jul","Aug","Sep","Oct","Nov","Dec"},0),D1574)</f>
        <v>27574</v>
      </c>
      <c r="K1574">
        <f t="shared" si="24"/>
        <v>47</v>
      </c>
    </row>
    <row r="1575" spans="1:11" x14ac:dyDescent="0.35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 s="15">
        <v>13451.12</v>
      </c>
      <c r="G1575" t="s">
        <v>12</v>
      </c>
      <c r="H1575" t="s">
        <v>16</v>
      </c>
      <c r="I1575" t="s">
        <v>42</v>
      </c>
      <c r="J1575" s="11">
        <f>DATE(B1575,MATCH(C1575,{"Jan","Feb","Mar","Apr","May","Jun","Jul","Aug","Sep","Oct","Nov","Dec"},0),D1575)</f>
        <v>22141</v>
      </c>
      <c r="K1575">
        <f t="shared" si="24"/>
        <v>62</v>
      </c>
    </row>
    <row r="1576" spans="1:11" x14ac:dyDescent="0.35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 s="15">
        <v>13457.96</v>
      </c>
      <c r="G1576" t="s">
        <v>12</v>
      </c>
      <c r="H1576" t="s">
        <v>16</v>
      </c>
      <c r="I1576" t="s">
        <v>13</v>
      </c>
      <c r="J1576" s="11">
        <f>DATE(B1576,MATCH(C1576,{"Jan","Feb","Mar","Apr","May","Jun","Jul","Aug","Sep","Oct","Nov","Dec"},0),D1576)</f>
        <v>22108</v>
      </c>
      <c r="K1576">
        <f t="shared" si="24"/>
        <v>62</v>
      </c>
    </row>
    <row r="1577" spans="1:11" x14ac:dyDescent="0.35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 s="15">
        <v>13462.52</v>
      </c>
      <c r="G1577" t="s">
        <v>12</v>
      </c>
      <c r="H1577" t="s">
        <v>11</v>
      </c>
      <c r="I1577" t="s">
        <v>42</v>
      </c>
      <c r="J1577" s="11">
        <f>DATE(B1577,MATCH(C1577,{"Jan","Feb","Mar","Apr","May","Jun","Jul","Aug","Sep","Oct","Nov","Dec"},0),D1577)</f>
        <v>22266</v>
      </c>
      <c r="K1577">
        <f t="shared" si="24"/>
        <v>62</v>
      </c>
    </row>
    <row r="1578" spans="1:11" x14ac:dyDescent="0.35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 s="15">
        <v>13465.8</v>
      </c>
      <c r="G1578" t="s">
        <v>12</v>
      </c>
      <c r="H1578" t="s">
        <v>16</v>
      </c>
      <c r="I1578" t="s">
        <v>23</v>
      </c>
      <c r="J1578" s="11">
        <f>DATE(B1578,MATCH(C1578,{"Jan","Feb","Mar","Apr","May","Jun","Jul","Aug","Sep","Oct","Nov","Dec"},0),D1578)</f>
        <v>31278</v>
      </c>
      <c r="K1578">
        <f t="shared" si="24"/>
        <v>37</v>
      </c>
    </row>
    <row r="1579" spans="1:11" x14ac:dyDescent="0.35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 s="15">
        <v>13470.8</v>
      </c>
      <c r="G1579" t="s">
        <v>12</v>
      </c>
      <c r="H1579" t="s">
        <v>11</v>
      </c>
      <c r="I1579" t="s">
        <v>13</v>
      </c>
      <c r="J1579" s="11">
        <f>DATE(B1579,MATCH(C1579,{"Jan","Feb","Mar","Apr","May","Jun","Jul","Aug","Sep","Oct","Nov","Dec"},0),D1579)</f>
        <v>22125</v>
      </c>
      <c r="K1579">
        <f t="shared" si="24"/>
        <v>62</v>
      </c>
    </row>
    <row r="1580" spans="1:11" x14ac:dyDescent="0.35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 s="15">
        <v>13470.86</v>
      </c>
      <c r="G1580" t="s">
        <v>12</v>
      </c>
      <c r="H1580" t="s">
        <v>12</v>
      </c>
      <c r="I1580" t="s">
        <v>42</v>
      </c>
      <c r="J1580" s="11">
        <f>DATE(B1580,MATCH(C1580,{"Jan","Feb","Mar","Apr","May","Jun","Jul","Aug","Sep","Oct","Nov","Dec"},0),D1580)</f>
        <v>22121</v>
      </c>
      <c r="K1580">
        <f t="shared" si="24"/>
        <v>62</v>
      </c>
    </row>
    <row r="1581" spans="1:11" x14ac:dyDescent="0.35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 s="15">
        <v>13472.19</v>
      </c>
      <c r="G1581" t="s">
        <v>12</v>
      </c>
      <c r="H1581" t="s">
        <v>11</v>
      </c>
      <c r="I1581" t="s">
        <v>23</v>
      </c>
      <c r="J1581" s="11">
        <f>DATE(B1581,MATCH(C1581,{"Jan","Feb","Mar","Apr","May","Jun","Jul","Aug","Sep","Oct","Nov","Dec"},0),D1581)</f>
        <v>27613</v>
      </c>
      <c r="K1581">
        <f t="shared" si="24"/>
        <v>47</v>
      </c>
    </row>
    <row r="1582" spans="1:11" x14ac:dyDescent="0.35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 s="15">
        <v>13480.83</v>
      </c>
      <c r="G1582" t="s">
        <v>12</v>
      </c>
      <c r="H1582" t="s">
        <v>11</v>
      </c>
      <c r="I1582" t="s">
        <v>249</v>
      </c>
      <c r="J1582" s="11">
        <f>DATE(B1582,MATCH(C1582,{"Jan","Feb","Mar","Apr","May","Jun","Jul","Aug","Sep","Oct","Nov","Dec"},0),D1582)</f>
        <v>33115</v>
      </c>
      <c r="K1582">
        <f t="shared" si="24"/>
        <v>32</v>
      </c>
    </row>
    <row r="1583" spans="1:11" x14ac:dyDescent="0.35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 s="15">
        <v>13511.28</v>
      </c>
      <c r="G1583" t="s">
        <v>12</v>
      </c>
      <c r="H1583" t="s">
        <v>16</v>
      </c>
      <c r="I1583" t="s">
        <v>23</v>
      </c>
      <c r="J1583" s="11">
        <f>DATE(B1583,MATCH(C1583,{"Jan","Feb","Mar","Apr","May","Jun","Jul","Aug","Sep","Oct","Nov","Dec"},0),D1583)</f>
        <v>23298</v>
      </c>
      <c r="K1583">
        <f t="shared" si="24"/>
        <v>59</v>
      </c>
    </row>
    <row r="1584" spans="1:11" x14ac:dyDescent="0.35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 s="15">
        <v>13555</v>
      </c>
      <c r="G1584" t="s">
        <v>12</v>
      </c>
      <c r="H1584" t="s">
        <v>12</v>
      </c>
      <c r="I1584" t="s">
        <v>356</v>
      </c>
      <c r="J1584" s="11">
        <f>DATE(B1584,MATCH(C1584,{"Jan","Feb","Mar","Apr","May","Jun","Jul","Aug","Sep","Oct","Nov","Dec"},0),D1584)</f>
        <v>22108</v>
      </c>
      <c r="K1584">
        <f t="shared" si="24"/>
        <v>62</v>
      </c>
    </row>
    <row r="1585" spans="1:11" x14ac:dyDescent="0.35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 s="15">
        <v>13566.04</v>
      </c>
      <c r="G1585" t="s">
        <v>12</v>
      </c>
      <c r="H1585" t="s">
        <v>12</v>
      </c>
      <c r="I1585" t="s">
        <v>535</v>
      </c>
      <c r="J1585" s="11">
        <f>DATE(B1585,MATCH(C1585,{"Jan","Feb","Mar","Apr","May","Jun","Jul","Aug","Sep","Oct","Nov","Dec"},0),D1585)</f>
        <v>25034</v>
      </c>
      <c r="K1585">
        <f t="shared" si="24"/>
        <v>54</v>
      </c>
    </row>
    <row r="1586" spans="1:11" x14ac:dyDescent="0.35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 s="15">
        <v>13588.17</v>
      </c>
      <c r="G1586" t="s">
        <v>12</v>
      </c>
      <c r="H1586" t="s">
        <v>16</v>
      </c>
      <c r="I1586" t="s">
        <v>23</v>
      </c>
      <c r="J1586" s="11">
        <f>DATE(B1586,MATCH(C1586,{"Jan","Feb","Mar","Apr","May","Jun","Jul","Aug","Sep","Oct","Nov","Dec"},0),D1586)</f>
        <v>33830</v>
      </c>
      <c r="K1586">
        <f t="shared" si="24"/>
        <v>30</v>
      </c>
    </row>
    <row r="1587" spans="1:11" x14ac:dyDescent="0.35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 s="15">
        <v>13607.37</v>
      </c>
      <c r="G1587" t="s">
        <v>12</v>
      </c>
      <c r="H1587" t="s">
        <v>16</v>
      </c>
      <c r="I1587" t="s">
        <v>247</v>
      </c>
      <c r="J1587" s="11">
        <f>DATE(B1587,MATCH(C1587,{"Jan","Feb","Mar","Apr","May","Jun","Jul","Aug","Sep","Oct","Nov","Dec"},0),D1587)</f>
        <v>23630</v>
      </c>
      <c r="K1587">
        <f t="shared" si="24"/>
        <v>58</v>
      </c>
    </row>
    <row r="1588" spans="1:11" x14ac:dyDescent="0.35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 s="15">
        <v>13616.36</v>
      </c>
      <c r="G1588" t="s">
        <v>12</v>
      </c>
      <c r="H1588" t="s">
        <v>12</v>
      </c>
      <c r="I1588" t="s">
        <v>247</v>
      </c>
      <c r="J1588" s="11">
        <f>DATE(B1588,MATCH(C1588,{"Jan","Feb","Mar","Apr","May","Jun","Jul","Aug","Sep","Oct","Nov","Dec"},0),D1588)</f>
        <v>22603</v>
      </c>
      <c r="K1588">
        <f t="shared" si="24"/>
        <v>61</v>
      </c>
    </row>
    <row r="1589" spans="1:11" x14ac:dyDescent="0.35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 s="15">
        <v>13622.01</v>
      </c>
      <c r="G1589" t="s">
        <v>12</v>
      </c>
      <c r="H1589" t="s">
        <v>12</v>
      </c>
      <c r="I1589" t="s">
        <v>23</v>
      </c>
      <c r="J1589" s="11">
        <f>DATE(B1589,MATCH(C1589,{"Jan","Feb","Mar","Apr","May","Jun","Jul","Aug","Sep","Oct","Nov","Dec"},0),D1589)</f>
        <v>25410</v>
      </c>
      <c r="K1589">
        <f t="shared" si="24"/>
        <v>53</v>
      </c>
    </row>
    <row r="1590" spans="1:11" x14ac:dyDescent="0.35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 s="15">
        <v>13635.64</v>
      </c>
      <c r="G1590" t="s">
        <v>12</v>
      </c>
      <c r="H1590" t="s">
        <v>12</v>
      </c>
      <c r="I1590" t="s">
        <v>247</v>
      </c>
      <c r="J1590" s="11">
        <f>DATE(B1590,MATCH(C1590,{"Jan","Feb","Mar","Apr","May","Jun","Jul","Aug","Sep","Oct","Nov","Dec"},0),D1590)</f>
        <v>22639</v>
      </c>
      <c r="K1590">
        <f t="shared" si="24"/>
        <v>61</v>
      </c>
    </row>
    <row r="1591" spans="1:11" x14ac:dyDescent="0.35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 s="15">
        <v>13638.06</v>
      </c>
      <c r="G1591" t="s">
        <v>12</v>
      </c>
      <c r="H1591" t="s">
        <v>12</v>
      </c>
      <c r="I1591" t="s">
        <v>249</v>
      </c>
      <c r="J1591" s="11">
        <f>DATE(B1591,MATCH(C1591,{"Jan","Feb","Mar","Apr","May","Jun","Jul","Aug","Sep","Oct","Nov","Dec"},0),D1591)</f>
        <v>30883</v>
      </c>
      <c r="K1591">
        <f t="shared" si="24"/>
        <v>38</v>
      </c>
    </row>
    <row r="1592" spans="1:11" x14ac:dyDescent="0.35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 s="15">
        <v>13677.68</v>
      </c>
      <c r="G1592" t="s">
        <v>12</v>
      </c>
      <c r="H1592" t="s">
        <v>11</v>
      </c>
      <c r="I1592" t="s">
        <v>300</v>
      </c>
      <c r="J1592" s="11">
        <f>DATE(B1592,MATCH(C1592,{"Jan","Feb","Mar","Apr","May","Jun","Jul","Aug","Sep","Oct","Nov","Dec"},0),D1592)</f>
        <v>23227</v>
      </c>
      <c r="K1592">
        <f t="shared" si="24"/>
        <v>59</v>
      </c>
    </row>
    <row r="1593" spans="1:11" x14ac:dyDescent="0.35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 s="15">
        <v>13685.51</v>
      </c>
      <c r="G1593" t="s">
        <v>12</v>
      </c>
      <c r="H1593" t="s">
        <v>16</v>
      </c>
      <c r="I1593" t="s">
        <v>535</v>
      </c>
      <c r="J1593" s="11">
        <f>DATE(B1593,MATCH(C1593,{"Jan","Feb","Mar","Apr","May","Jun","Jul","Aug","Sep","Oct","Nov","Dec"},0),D1593)</f>
        <v>31304</v>
      </c>
      <c r="K1593">
        <f t="shared" si="24"/>
        <v>37</v>
      </c>
    </row>
    <row r="1594" spans="1:11" x14ac:dyDescent="0.35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 s="15">
        <v>13714.55</v>
      </c>
      <c r="G1594" t="s">
        <v>12</v>
      </c>
      <c r="H1594" t="s">
        <v>11</v>
      </c>
      <c r="I1594" t="s">
        <v>249</v>
      </c>
      <c r="J1594" s="11">
        <f>DATE(B1594,MATCH(C1594,{"Jan","Feb","Mar","Apr","May","Jun","Jul","Aug","Sep","Oct","Nov","Dec"},0),D1594)</f>
        <v>31740</v>
      </c>
      <c r="K1594">
        <f t="shared" si="24"/>
        <v>36</v>
      </c>
    </row>
    <row r="1595" spans="1:11" x14ac:dyDescent="0.35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 s="15">
        <v>13725.47</v>
      </c>
      <c r="G1595" t="s">
        <v>12</v>
      </c>
      <c r="H1595" t="s">
        <v>11</v>
      </c>
      <c r="I1595" t="s">
        <v>247</v>
      </c>
      <c r="J1595" s="11">
        <f>DATE(B1595,MATCH(C1595,{"Jan","Feb","Mar","Apr","May","Jun","Jul","Aug","Sep","Oct","Nov","Dec"},0),D1595)</f>
        <v>29800</v>
      </c>
      <c r="K1595">
        <f t="shared" si="24"/>
        <v>41</v>
      </c>
    </row>
    <row r="1596" spans="1:11" x14ac:dyDescent="0.35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 s="15">
        <v>13726.21</v>
      </c>
      <c r="G1596" t="s">
        <v>12</v>
      </c>
      <c r="H1596" t="s">
        <v>12</v>
      </c>
      <c r="I1596" t="s">
        <v>535</v>
      </c>
      <c r="J1596" s="11">
        <f>DATE(B1596,MATCH(C1596,{"Jan","Feb","Mar","Apr","May","Jun","Jul","Aug","Sep","Oct","Nov","Dec"},0),D1596)</f>
        <v>31288</v>
      </c>
      <c r="K1596">
        <f t="shared" si="24"/>
        <v>37</v>
      </c>
    </row>
    <row r="1597" spans="1:11" x14ac:dyDescent="0.35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 s="15">
        <v>13746.74</v>
      </c>
      <c r="G1597" t="s">
        <v>12</v>
      </c>
      <c r="H1597" t="s">
        <v>11</v>
      </c>
      <c r="I1597" t="s">
        <v>535</v>
      </c>
      <c r="J1597" s="11">
        <f>DATE(B1597,MATCH(C1597,{"Jan","Feb","Mar","Apr","May","Jun","Jul","Aug","Sep","Oct","Nov","Dec"},0),D1597)</f>
        <v>25499</v>
      </c>
      <c r="K1597">
        <f t="shared" si="24"/>
        <v>53</v>
      </c>
    </row>
    <row r="1598" spans="1:11" x14ac:dyDescent="0.35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 s="15">
        <v>13747.87</v>
      </c>
      <c r="G1598" t="s">
        <v>12</v>
      </c>
      <c r="H1598" t="s">
        <v>11</v>
      </c>
      <c r="I1598" t="s">
        <v>170</v>
      </c>
      <c r="J1598" s="11">
        <f>DATE(B1598,MATCH(C1598,{"Jan","Feb","Mar","Apr","May","Jun","Jul","Aug","Sep","Oct","Nov","Dec"},0),D1598)</f>
        <v>38184</v>
      </c>
      <c r="K1598">
        <f t="shared" si="24"/>
        <v>18</v>
      </c>
    </row>
    <row r="1599" spans="1:11" x14ac:dyDescent="0.35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 s="15">
        <v>13770.1</v>
      </c>
      <c r="G1599" t="s">
        <v>12</v>
      </c>
      <c r="H1599" t="s">
        <v>16</v>
      </c>
      <c r="I1599" t="s">
        <v>23</v>
      </c>
      <c r="J1599" s="11">
        <f>DATE(B1599,MATCH(C1599,{"Jan","Feb","Mar","Apr","May","Jun","Jul","Aug","Sep","Oct","Nov","Dec"},0),D1599)</f>
        <v>21768</v>
      </c>
      <c r="K1599">
        <f t="shared" si="24"/>
        <v>63</v>
      </c>
    </row>
    <row r="1600" spans="1:11" x14ac:dyDescent="0.35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 s="15">
        <v>13801.61</v>
      </c>
      <c r="G1600" t="s">
        <v>12</v>
      </c>
      <c r="H1600" t="s">
        <v>12</v>
      </c>
      <c r="I1600" t="s">
        <v>535</v>
      </c>
      <c r="J1600" s="11">
        <f>DATE(B1600,MATCH(C1600,{"Jan","Feb","Mar","Apr","May","Jun","Jul","Aug","Sep","Oct","Nov","Dec"},0),D1600)</f>
        <v>24421</v>
      </c>
      <c r="K1600">
        <f t="shared" si="24"/>
        <v>56</v>
      </c>
    </row>
    <row r="1601" spans="1:11" x14ac:dyDescent="0.35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 s="15">
        <v>13819.49</v>
      </c>
      <c r="G1601" t="s">
        <v>12</v>
      </c>
      <c r="H1601" t="s">
        <v>11</v>
      </c>
      <c r="I1601" t="s">
        <v>23</v>
      </c>
      <c r="J1601" s="11">
        <f>DATE(B1601,MATCH(C1601,{"Jan","Feb","Mar","Apr","May","Jun","Jul","Aug","Sep","Oct","Nov","Dec"},0),D1601)</f>
        <v>31754</v>
      </c>
      <c r="K1601">
        <f t="shared" si="24"/>
        <v>36</v>
      </c>
    </row>
    <row r="1602" spans="1:11" x14ac:dyDescent="0.35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 s="15">
        <v>13822.8</v>
      </c>
      <c r="G1602" t="s">
        <v>12</v>
      </c>
      <c r="H1602" t="s">
        <v>12</v>
      </c>
      <c r="I1602" t="s">
        <v>42</v>
      </c>
      <c r="J1602" s="11">
        <f>DATE(B1602,MATCH(C1602,{"Jan","Feb","Mar","Apr","May","Jun","Jul","Aug","Sep","Oct","Nov","Dec"},0),D1602)</f>
        <v>21514</v>
      </c>
      <c r="K1602">
        <f t="shared" si="24"/>
        <v>64</v>
      </c>
    </row>
    <row r="1603" spans="1:11" x14ac:dyDescent="0.35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 s="15">
        <v>13831.12</v>
      </c>
      <c r="G1603" t="s">
        <v>12</v>
      </c>
      <c r="H1603" t="s">
        <v>16</v>
      </c>
      <c r="I1603" t="s">
        <v>13</v>
      </c>
      <c r="J1603" s="11">
        <f>DATE(B1603,MATCH(C1603,{"Jan","Feb","Mar","Apr","May","Jun","Jul","Aug","Sep","Oct","Nov","Dec"},0),D1603)</f>
        <v>21529</v>
      </c>
      <c r="K1603">
        <f t="shared" ref="K1603:K1666" si="25">DATEDIF(J1603,$N$1,"Y")</f>
        <v>64</v>
      </c>
    </row>
    <row r="1604" spans="1:11" x14ac:dyDescent="0.35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 s="15">
        <v>13844.51</v>
      </c>
      <c r="G1604" t="s">
        <v>11</v>
      </c>
      <c r="H1604" t="s">
        <v>16</v>
      </c>
      <c r="I1604" t="s">
        <v>42</v>
      </c>
      <c r="J1604" s="11">
        <f>DATE(B1604,MATCH(C1604,{"Jan","Feb","Mar","Apr","May","Jun","Jul","Aug","Sep","Oct","Nov","Dec"},0),D1604)</f>
        <v>37779</v>
      </c>
      <c r="K1604">
        <f t="shared" si="25"/>
        <v>20</v>
      </c>
    </row>
    <row r="1605" spans="1:11" x14ac:dyDescent="0.35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 s="15">
        <v>13844.8</v>
      </c>
      <c r="G1605" t="s">
        <v>11</v>
      </c>
      <c r="H1605" t="s">
        <v>11</v>
      </c>
      <c r="I1605" t="s">
        <v>23</v>
      </c>
      <c r="J1605" s="11">
        <f>DATE(B1605,MATCH(C1605,{"Jan","Feb","Mar","Apr","May","Jun","Jul","Aug","Sep","Oct","Nov","Dec"},0),D1605)</f>
        <v>22118</v>
      </c>
      <c r="K1605">
        <f t="shared" si="25"/>
        <v>62</v>
      </c>
    </row>
    <row r="1606" spans="1:11" x14ac:dyDescent="0.35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 s="15">
        <v>13874.89</v>
      </c>
      <c r="G1606" t="s">
        <v>11</v>
      </c>
      <c r="H1606" t="s">
        <v>16</v>
      </c>
      <c r="I1606" t="s">
        <v>23</v>
      </c>
      <c r="J1606" s="11">
        <f>DATE(B1606,MATCH(C1606,{"Jan","Feb","Mar","Apr","May","Jun","Jul","Aug","Sep","Oct","Nov","Dec"},0),D1606)</f>
        <v>28843</v>
      </c>
      <c r="K1606">
        <f t="shared" si="25"/>
        <v>44</v>
      </c>
    </row>
    <row r="1607" spans="1:11" x14ac:dyDescent="0.35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 s="15">
        <v>13880.95</v>
      </c>
      <c r="G1607" t="s">
        <v>11</v>
      </c>
      <c r="H1607" t="s">
        <v>11</v>
      </c>
      <c r="I1607" t="s">
        <v>42</v>
      </c>
      <c r="J1607" s="11">
        <f>DATE(B1607,MATCH(C1607,{"Jan","Feb","Mar","Apr","May","Jun","Jul","Aug","Sep","Oct","Nov","Dec"},0),D1607)</f>
        <v>21828</v>
      </c>
      <c r="K1607">
        <f t="shared" si="25"/>
        <v>63</v>
      </c>
    </row>
    <row r="1608" spans="1:11" x14ac:dyDescent="0.35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 s="15">
        <v>13886.4</v>
      </c>
      <c r="G1608" t="s">
        <v>11</v>
      </c>
      <c r="H1608" t="s">
        <v>11</v>
      </c>
      <c r="I1608" t="s">
        <v>23</v>
      </c>
      <c r="J1608" s="11">
        <f>DATE(B1608,MATCH(C1608,{"Jan","Feb","Mar","Apr","May","Jun","Jul","Aug","Sep","Oct","Nov","Dec"},0),D1608)</f>
        <v>31315</v>
      </c>
      <c r="K1608">
        <f t="shared" si="25"/>
        <v>37</v>
      </c>
    </row>
    <row r="1609" spans="1:11" x14ac:dyDescent="0.35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 s="15">
        <v>13887.2</v>
      </c>
      <c r="G1609" t="s">
        <v>11</v>
      </c>
      <c r="H1609" t="s">
        <v>12</v>
      </c>
      <c r="I1609" t="s">
        <v>13</v>
      </c>
      <c r="J1609" s="11">
        <f>DATE(B1609,MATCH(C1609,{"Jan","Feb","Mar","Apr","May","Jun","Jul","Aug","Sep","Oct","Nov","Dec"},0),D1609)</f>
        <v>21913</v>
      </c>
      <c r="K1609">
        <f t="shared" si="25"/>
        <v>63</v>
      </c>
    </row>
    <row r="1610" spans="1:11" x14ac:dyDescent="0.35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 s="15">
        <v>13887.97</v>
      </c>
      <c r="G1610" t="s">
        <v>11</v>
      </c>
      <c r="H1610" t="s">
        <v>11</v>
      </c>
      <c r="I1610" t="s">
        <v>13</v>
      </c>
      <c r="J1610" s="11">
        <f>DATE(B1610,MATCH(C1610,{"Jan","Feb","Mar","Apr","May","Jun","Jul","Aug","Sep","Oct","Nov","Dec"},0),D1610)</f>
        <v>21738</v>
      </c>
      <c r="K1610">
        <f t="shared" si="25"/>
        <v>63</v>
      </c>
    </row>
    <row r="1611" spans="1:11" x14ac:dyDescent="0.35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 s="15">
        <v>13919.82</v>
      </c>
      <c r="G1611" t="s">
        <v>11</v>
      </c>
      <c r="H1611" t="s">
        <v>11</v>
      </c>
      <c r="I1611" t="s">
        <v>13</v>
      </c>
      <c r="J1611" s="11">
        <f>DATE(B1611,MATCH(C1611,{"Jan","Feb","Mar","Apr","May","Jun","Jul","Aug","Sep","Oct","Nov","Dec"},0),D1611)</f>
        <v>22854</v>
      </c>
      <c r="K1611">
        <f t="shared" si="25"/>
        <v>60</v>
      </c>
    </row>
    <row r="1612" spans="1:11" x14ac:dyDescent="0.35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 s="15">
        <v>13937.67</v>
      </c>
      <c r="G1612" t="s">
        <v>11</v>
      </c>
      <c r="H1612" t="s">
        <v>16</v>
      </c>
      <c r="I1612" t="s">
        <v>23</v>
      </c>
      <c r="J1612" s="11">
        <f>DATE(B1612,MATCH(C1612,{"Jan","Feb","Mar","Apr","May","Jun","Jul","Aug","Sep","Oct","Nov","Dec"},0),D1612)</f>
        <v>22085</v>
      </c>
      <c r="K1612">
        <f t="shared" si="25"/>
        <v>62</v>
      </c>
    </row>
    <row r="1613" spans="1:11" x14ac:dyDescent="0.35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 s="15">
        <v>13974.46</v>
      </c>
      <c r="G1613" t="s">
        <v>11</v>
      </c>
      <c r="H1613" t="s">
        <v>11</v>
      </c>
      <c r="I1613" t="s">
        <v>166</v>
      </c>
      <c r="J1613" s="11">
        <f>DATE(B1613,MATCH(C1613,{"Jan","Feb","Mar","Apr","May","Jun","Jul","Aug","Sep","Oct","Nov","Dec"},0),D1613)</f>
        <v>21791</v>
      </c>
      <c r="K1613">
        <f t="shared" si="25"/>
        <v>63</v>
      </c>
    </row>
    <row r="1614" spans="1:11" x14ac:dyDescent="0.35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 s="15">
        <v>13979.45</v>
      </c>
      <c r="G1614" t="s">
        <v>11</v>
      </c>
      <c r="H1614" t="s">
        <v>16</v>
      </c>
      <c r="I1614" t="s">
        <v>249</v>
      </c>
      <c r="J1614" s="11">
        <f>DATE(B1614,MATCH(C1614,{"Jan","Feb","Mar","Apr","May","Jun","Jul","Aug","Sep","Oct","Nov","Dec"},0),D1614)</f>
        <v>33067</v>
      </c>
      <c r="K1614">
        <f t="shared" si="25"/>
        <v>32</v>
      </c>
    </row>
    <row r="1615" spans="1:11" x14ac:dyDescent="0.35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 s="15">
        <v>13981.85</v>
      </c>
      <c r="G1615" t="s">
        <v>11</v>
      </c>
      <c r="H1615" t="s">
        <v>16</v>
      </c>
      <c r="I1615" t="s">
        <v>168</v>
      </c>
      <c r="J1615" s="11">
        <f>DATE(B1615,MATCH(C1615,{"Jan","Feb","Mar","Apr","May","Jun","Jul","Aug","Sep","Oct","Nov","Dec"},0),D1615)</f>
        <v>21799</v>
      </c>
      <c r="K1615">
        <f t="shared" si="25"/>
        <v>63</v>
      </c>
    </row>
    <row r="1616" spans="1:11" x14ac:dyDescent="0.35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 s="15">
        <v>14001.13</v>
      </c>
      <c r="G1616" t="s">
        <v>11</v>
      </c>
      <c r="H1616" t="s">
        <v>16</v>
      </c>
      <c r="I1616" t="s">
        <v>13</v>
      </c>
      <c r="J1616" s="11">
        <f>DATE(B1616,MATCH(C1616,{"Jan","Feb","Mar","Apr","May","Jun","Jul","Aug","Sep","Oct","Nov","Dec"},0),D1616)</f>
        <v>23368</v>
      </c>
      <c r="K1616">
        <f t="shared" si="25"/>
        <v>59</v>
      </c>
    </row>
    <row r="1617" spans="1:11" x14ac:dyDescent="0.35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 s="15">
        <v>14001.29</v>
      </c>
      <c r="G1617" t="s">
        <v>11</v>
      </c>
      <c r="H1617" t="s">
        <v>11</v>
      </c>
      <c r="I1617" t="s">
        <v>13</v>
      </c>
      <c r="J1617" s="11">
        <f>DATE(B1617,MATCH(C1617,{"Jan","Feb","Mar","Apr","May","Jun","Jul","Aug","Sep","Oct","Nov","Dec"},0),D1617)</f>
        <v>23198</v>
      </c>
      <c r="K1617">
        <f t="shared" si="25"/>
        <v>59</v>
      </c>
    </row>
    <row r="1618" spans="1:11" x14ac:dyDescent="0.35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 s="15">
        <v>14007.22</v>
      </c>
      <c r="G1618" t="s">
        <v>11</v>
      </c>
      <c r="H1618" t="s">
        <v>12</v>
      </c>
      <c r="I1618" t="s">
        <v>42</v>
      </c>
      <c r="J1618" s="11">
        <f>DATE(B1618,MATCH(C1618,{"Jan","Feb","Mar","Apr","May","Jun","Jul","Aug","Sep","Oct","Nov","Dec"},0),D1618)</f>
        <v>23200</v>
      </c>
      <c r="K1618">
        <f t="shared" si="25"/>
        <v>59</v>
      </c>
    </row>
    <row r="1619" spans="1:11" x14ac:dyDescent="0.35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 s="15">
        <v>14043.48</v>
      </c>
      <c r="G1619" t="s">
        <v>11</v>
      </c>
      <c r="H1619" t="s">
        <v>12</v>
      </c>
      <c r="I1619" t="s">
        <v>247</v>
      </c>
      <c r="J1619" s="11">
        <f>DATE(B1619,MATCH(C1619,{"Jan","Feb","Mar","Apr","May","Jun","Jul","Aug","Sep","Oct","Nov","Dec"},0),D1619)</f>
        <v>22228</v>
      </c>
      <c r="K1619">
        <f t="shared" si="25"/>
        <v>62</v>
      </c>
    </row>
    <row r="1620" spans="1:11" x14ac:dyDescent="0.35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 s="15">
        <v>14081.93</v>
      </c>
      <c r="G1620" t="s">
        <v>11</v>
      </c>
      <c r="H1620" t="s">
        <v>12</v>
      </c>
      <c r="I1620" t="s">
        <v>23</v>
      </c>
      <c r="J1620" s="11">
        <f>DATE(B1620,MATCH(C1620,{"Jan","Feb","Mar","Apr","May","Jun","Jul","Aug","Sep","Oct","Nov","Dec"},0),D1620)</f>
        <v>33493</v>
      </c>
      <c r="K1620">
        <f t="shared" si="25"/>
        <v>31</v>
      </c>
    </row>
    <row r="1621" spans="1:11" x14ac:dyDescent="0.35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 s="15">
        <v>14098.07</v>
      </c>
      <c r="G1621" t="s">
        <v>11</v>
      </c>
      <c r="H1621" t="s">
        <v>12</v>
      </c>
      <c r="I1621" t="s">
        <v>249</v>
      </c>
      <c r="J1621" s="11">
        <f>DATE(B1621,MATCH(C1621,{"Jan","Feb","Mar","Apr","May","Jun","Jul","Aug","Sep","Oct","Nov","Dec"},0),D1621)</f>
        <v>28029</v>
      </c>
      <c r="K1621">
        <f t="shared" si="25"/>
        <v>46</v>
      </c>
    </row>
    <row r="1622" spans="1:11" x14ac:dyDescent="0.35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 s="15">
        <v>14119.62</v>
      </c>
      <c r="G1622" t="s">
        <v>11</v>
      </c>
      <c r="H1622" t="s">
        <v>16</v>
      </c>
      <c r="I1622" t="s">
        <v>23</v>
      </c>
      <c r="J1622" s="11">
        <f>DATE(B1622,MATCH(C1622,{"Jan","Feb","Mar","Apr","May","Jun","Jul","Aug","Sep","Oct","Nov","Dec"},0),D1622)</f>
        <v>22446</v>
      </c>
      <c r="K1622">
        <f t="shared" si="25"/>
        <v>61</v>
      </c>
    </row>
    <row r="1623" spans="1:11" x14ac:dyDescent="0.35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 s="15">
        <v>14133.04</v>
      </c>
      <c r="G1623" t="s">
        <v>11</v>
      </c>
      <c r="H1623" t="s">
        <v>12</v>
      </c>
      <c r="I1623" t="s">
        <v>13</v>
      </c>
      <c r="J1623" s="11">
        <f>DATE(B1623,MATCH(C1623,{"Jan","Feb","Mar","Apr","May","Jun","Jul","Aug","Sep","Oct","Nov","Dec"},0),D1623)</f>
        <v>38174</v>
      </c>
      <c r="K1623">
        <f t="shared" si="25"/>
        <v>18</v>
      </c>
    </row>
    <row r="1624" spans="1:11" x14ac:dyDescent="0.35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 s="15">
        <v>14152.46</v>
      </c>
      <c r="G1624" t="s">
        <v>11</v>
      </c>
      <c r="H1624" t="s">
        <v>16</v>
      </c>
      <c r="I1624" t="s">
        <v>23</v>
      </c>
      <c r="J1624" s="11">
        <f>DATE(B1624,MATCH(C1624,{"Jan","Feb","Mar","Apr","May","Jun","Jul","Aug","Sep","Oct","Nov","Dec"},0),D1624)</f>
        <v>30870</v>
      </c>
      <c r="K1624">
        <f t="shared" si="25"/>
        <v>38</v>
      </c>
    </row>
    <row r="1625" spans="1:11" x14ac:dyDescent="0.35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 s="15">
        <v>14193.55</v>
      </c>
      <c r="G1625" t="s">
        <v>11</v>
      </c>
      <c r="H1625" t="s">
        <v>16</v>
      </c>
      <c r="I1625" t="s">
        <v>535</v>
      </c>
      <c r="J1625" s="11">
        <f>DATE(B1625,MATCH(C1625,{"Jan","Feb","Mar","Apr","May","Jun","Jul","Aug","Sep","Oct","Nov","Dec"},0),D1625)</f>
        <v>25197</v>
      </c>
      <c r="K1625">
        <f t="shared" si="25"/>
        <v>54</v>
      </c>
    </row>
    <row r="1626" spans="1:11" x14ac:dyDescent="0.35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 s="15">
        <v>14209.4</v>
      </c>
      <c r="G1626" t="s">
        <v>11</v>
      </c>
      <c r="H1626" t="s">
        <v>16</v>
      </c>
      <c r="I1626" t="s">
        <v>535</v>
      </c>
      <c r="J1626" s="11">
        <f>DATE(B1626,MATCH(C1626,{"Jan","Feb","Mar","Apr","May","Jun","Jul","Aug","Sep","Oct","Nov","Dec"},0),D1626)</f>
        <v>30637</v>
      </c>
      <c r="K1626">
        <f t="shared" si="25"/>
        <v>39</v>
      </c>
    </row>
    <row r="1627" spans="1:11" x14ac:dyDescent="0.35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 s="15">
        <v>14210.54</v>
      </c>
      <c r="G1627" t="s">
        <v>11</v>
      </c>
      <c r="H1627" t="s">
        <v>11</v>
      </c>
      <c r="I1627" t="s">
        <v>23</v>
      </c>
      <c r="J1627" s="11">
        <f>DATE(B1627,MATCH(C1627,{"Jan","Feb","Mar","Apr","May","Jun","Jul","Aug","Sep","Oct","Nov","Dec"},0),D1627)</f>
        <v>21449</v>
      </c>
      <c r="K1627">
        <f t="shared" si="25"/>
        <v>64</v>
      </c>
    </row>
    <row r="1628" spans="1:11" x14ac:dyDescent="0.35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 s="15">
        <v>14235.07</v>
      </c>
      <c r="G1628" t="s">
        <v>11</v>
      </c>
      <c r="H1628" t="s">
        <v>16</v>
      </c>
      <c r="I1628" t="s">
        <v>42</v>
      </c>
      <c r="J1628" s="11">
        <f>DATE(B1628,MATCH(C1628,{"Jan","Feb","Mar","Apr","May","Jun","Jul","Aug","Sep","Oct","Nov","Dec"},0),D1628)</f>
        <v>22549</v>
      </c>
      <c r="K1628">
        <f t="shared" si="25"/>
        <v>61</v>
      </c>
    </row>
    <row r="1629" spans="1:11" x14ac:dyDescent="0.35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 s="15">
        <v>14254.61</v>
      </c>
      <c r="G1629" t="s">
        <v>11</v>
      </c>
      <c r="H1629" t="s">
        <v>16</v>
      </c>
      <c r="I1629" t="s">
        <v>23</v>
      </c>
      <c r="J1629" s="11">
        <f>DATE(B1629,MATCH(C1629,{"Jan","Feb","Mar","Apr","May","Jun","Jul","Aug","Sep","Oct","Nov","Dec"},0),D1629)</f>
        <v>21833</v>
      </c>
      <c r="K1629">
        <f t="shared" si="25"/>
        <v>63</v>
      </c>
    </row>
    <row r="1630" spans="1:11" x14ac:dyDescent="0.35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 s="15">
        <v>14256.19</v>
      </c>
      <c r="G1630" t="s">
        <v>11</v>
      </c>
      <c r="H1630" t="s">
        <v>12</v>
      </c>
      <c r="I1630" t="s">
        <v>23</v>
      </c>
      <c r="J1630" s="11">
        <f>DATE(B1630,MATCH(C1630,{"Jan","Feb","Mar","Apr","May","Jun","Jul","Aug","Sep","Oct","Nov","Dec"},0),D1630)</f>
        <v>21862</v>
      </c>
      <c r="K1630">
        <f t="shared" si="25"/>
        <v>63</v>
      </c>
    </row>
    <row r="1631" spans="1:11" x14ac:dyDescent="0.35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 s="15">
        <v>14256.79</v>
      </c>
      <c r="G1631" t="s">
        <v>11</v>
      </c>
      <c r="H1631" t="s">
        <v>11</v>
      </c>
      <c r="I1631" t="s">
        <v>535</v>
      </c>
      <c r="J1631" s="11">
        <f>DATE(B1631,MATCH(C1631,{"Jan","Feb","Mar","Apr","May","Jun","Jul","Aug","Sep","Oct","Nov","Dec"},0),D1631)</f>
        <v>27389</v>
      </c>
      <c r="K1631">
        <f t="shared" si="25"/>
        <v>48</v>
      </c>
    </row>
    <row r="1632" spans="1:11" x14ac:dyDescent="0.35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 s="15">
        <v>14258.33</v>
      </c>
      <c r="G1632" t="s">
        <v>11</v>
      </c>
      <c r="H1632" t="s">
        <v>11</v>
      </c>
      <c r="I1632" t="s">
        <v>535</v>
      </c>
      <c r="J1632" s="11">
        <f>DATE(B1632,MATCH(C1632,{"Jan","Feb","Mar","Apr","May","Jun","Jul","Aug","Sep","Oct","Nov","Dec"},0),D1632)</f>
        <v>26493</v>
      </c>
      <c r="K1632">
        <f t="shared" si="25"/>
        <v>50</v>
      </c>
    </row>
    <row r="1633" spans="1:11" x14ac:dyDescent="0.35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 s="15">
        <v>14283.46</v>
      </c>
      <c r="G1633" t="s">
        <v>11</v>
      </c>
      <c r="H1633" t="s">
        <v>11</v>
      </c>
      <c r="I1633" t="s">
        <v>247</v>
      </c>
      <c r="J1633" s="11">
        <f>DATE(B1633,MATCH(C1633,{"Jan","Feb","Mar","Apr","May","Jun","Jul","Aug","Sep","Oct","Nov","Dec"},0),D1633)</f>
        <v>38236</v>
      </c>
      <c r="K1633">
        <f t="shared" si="25"/>
        <v>18</v>
      </c>
    </row>
    <row r="1634" spans="1:11" x14ac:dyDescent="0.35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 s="15">
        <v>14285.9</v>
      </c>
      <c r="G1634" t="s">
        <v>11</v>
      </c>
      <c r="H1634" t="s">
        <v>12</v>
      </c>
      <c r="I1634" t="s">
        <v>23</v>
      </c>
      <c r="J1634" s="11">
        <f>DATE(B1634,MATCH(C1634,{"Jan","Feb","Mar","Apr","May","Jun","Jul","Aug","Sep","Oct","Nov","Dec"},0),D1634)</f>
        <v>25187</v>
      </c>
      <c r="K1634">
        <f t="shared" si="25"/>
        <v>54</v>
      </c>
    </row>
    <row r="1635" spans="1:11" x14ac:dyDescent="0.35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 s="15">
        <v>14313.85</v>
      </c>
      <c r="G1635" t="s">
        <v>11</v>
      </c>
      <c r="H1635" t="s">
        <v>12</v>
      </c>
      <c r="I1635" t="s">
        <v>13</v>
      </c>
      <c r="J1635" s="11">
        <f>DATE(B1635,MATCH(C1635,{"Jan","Feb","Mar","Apr","May","Jun","Jul","Aug","Sep","Oct","Nov","Dec"},0),D1635)</f>
        <v>21473</v>
      </c>
      <c r="K1635">
        <f t="shared" si="25"/>
        <v>64</v>
      </c>
    </row>
    <row r="1636" spans="1:11" x14ac:dyDescent="0.35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 s="15">
        <v>14319.03</v>
      </c>
      <c r="G1636" t="s">
        <v>11</v>
      </c>
      <c r="H1636" t="s">
        <v>11</v>
      </c>
      <c r="I1636" t="s">
        <v>42</v>
      </c>
      <c r="J1636" s="11">
        <f>DATE(B1636,MATCH(C1636,{"Jan","Feb","Mar","Apr","May","Jun","Jul","Aug","Sep","Oct","Nov","Dec"},0),D1636)</f>
        <v>21376</v>
      </c>
      <c r="K1636">
        <f t="shared" si="25"/>
        <v>64</v>
      </c>
    </row>
    <row r="1637" spans="1:11" x14ac:dyDescent="0.35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 s="15">
        <v>14337.91</v>
      </c>
      <c r="G1637" t="s">
        <v>11</v>
      </c>
      <c r="H1637" t="s">
        <v>12</v>
      </c>
      <c r="I1637" t="s">
        <v>632</v>
      </c>
      <c r="J1637" s="11">
        <f>DATE(B1637,MATCH(C1637,{"Jan","Feb","Mar","Apr","May","Jun","Jul","Aug","Sep","Oct","Nov","Dec"},0),D1637)</f>
        <v>25472</v>
      </c>
      <c r="K1637">
        <f t="shared" si="25"/>
        <v>53</v>
      </c>
    </row>
    <row r="1638" spans="1:11" x14ac:dyDescent="0.35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 s="15">
        <v>14349.85</v>
      </c>
      <c r="G1638" t="s">
        <v>11</v>
      </c>
      <c r="H1638" t="s">
        <v>11</v>
      </c>
      <c r="I1638" t="s">
        <v>23</v>
      </c>
      <c r="J1638" s="11">
        <f>DATE(B1638,MATCH(C1638,{"Jan","Feb","Mar","Apr","May","Jun","Jul","Aug","Sep","Oct","Nov","Dec"},0),D1638)</f>
        <v>21908</v>
      </c>
      <c r="K1638">
        <f t="shared" si="25"/>
        <v>63</v>
      </c>
    </row>
    <row r="1639" spans="1:11" x14ac:dyDescent="0.35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 s="15">
        <v>14355.43</v>
      </c>
      <c r="G1639" t="s">
        <v>11</v>
      </c>
      <c r="H1639" t="s">
        <v>16</v>
      </c>
      <c r="I1639" t="s">
        <v>535</v>
      </c>
      <c r="J1639" s="11">
        <f>DATE(B1639,MATCH(C1639,{"Jan","Feb","Mar","Apr","May","Jun","Jul","Aug","Sep","Oct","Nov","Dec"},0),D1639)</f>
        <v>24755</v>
      </c>
      <c r="K1639">
        <f t="shared" si="25"/>
        <v>55</v>
      </c>
    </row>
    <row r="1640" spans="1:11" x14ac:dyDescent="0.35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 s="15">
        <v>14358.36</v>
      </c>
      <c r="G1640" t="s">
        <v>11</v>
      </c>
      <c r="H1640" t="s">
        <v>11</v>
      </c>
      <c r="I1640" t="s">
        <v>42</v>
      </c>
      <c r="J1640" s="11">
        <f>DATE(B1640,MATCH(C1640,{"Jan","Feb","Mar","Apr","May","Jun","Jul","Aug","Sep","Oct","Nov","Dec"},0),D1640)</f>
        <v>32463</v>
      </c>
      <c r="K1640">
        <f t="shared" si="25"/>
        <v>34</v>
      </c>
    </row>
    <row r="1641" spans="1:11" x14ac:dyDescent="0.35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 s="15">
        <v>14382.71</v>
      </c>
      <c r="G1641" t="s">
        <v>11</v>
      </c>
      <c r="H1641" t="s">
        <v>11</v>
      </c>
      <c r="I1641" t="s">
        <v>23</v>
      </c>
      <c r="J1641" s="11">
        <f>DATE(B1641,MATCH(C1641,{"Jan","Feb","Mar","Apr","May","Jun","Jul","Aug","Sep","Oct","Nov","Dec"},0),D1641)</f>
        <v>23208</v>
      </c>
      <c r="K1641">
        <f t="shared" si="25"/>
        <v>59</v>
      </c>
    </row>
    <row r="1642" spans="1:11" x14ac:dyDescent="0.35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 s="15">
        <v>14394.4</v>
      </c>
      <c r="G1642" t="s">
        <v>11</v>
      </c>
      <c r="H1642" t="s">
        <v>12</v>
      </c>
      <c r="I1642" t="s">
        <v>247</v>
      </c>
      <c r="J1642" s="11">
        <f>DATE(B1642,MATCH(C1642,{"Jan","Feb","Mar","Apr","May","Jun","Jul","Aug","Sep","Oct","Nov","Dec"},0),D1642)</f>
        <v>23915</v>
      </c>
      <c r="K1642">
        <f t="shared" si="25"/>
        <v>57</v>
      </c>
    </row>
    <row r="1643" spans="1:11" x14ac:dyDescent="0.35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 s="15">
        <v>14394.56</v>
      </c>
      <c r="G1643" t="s">
        <v>11</v>
      </c>
      <c r="H1643" t="s">
        <v>16</v>
      </c>
      <c r="I1643" t="s">
        <v>170</v>
      </c>
      <c r="J1643" s="11">
        <f>DATE(B1643,MATCH(C1643,{"Jan","Feb","Mar","Apr","May","Jun","Jul","Aug","Sep","Oct","Nov","Dec"},0),D1643)</f>
        <v>21442</v>
      </c>
      <c r="K1643">
        <f t="shared" si="25"/>
        <v>64</v>
      </c>
    </row>
    <row r="1644" spans="1:11" x14ac:dyDescent="0.35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 s="15">
        <v>14410.93</v>
      </c>
      <c r="G1644" t="s">
        <v>11</v>
      </c>
      <c r="H1644" t="s">
        <v>11</v>
      </c>
      <c r="I1644" t="s">
        <v>168</v>
      </c>
      <c r="J1644" s="11">
        <f>DATE(B1644,MATCH(C1644,{"Jan","Feb","Mar","Apr","May","Jun","Jul","Aug","Sep","Oct","Nov","Dec"},0),D1644)</f>
        <v>21395</v>
      </c>
      <c r="K1644">
        <f t="shared" si="25"/>
        <v>64</v>
      </c>
    </row>
    <row r="1645" spans="1:11" x14ac:dyDescent="0.35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 s="15">
        <v>14418.28</v>
      </c>
      <c r="G1645" t="s">
        <v>11</v>
      </c>
      <c r="H1645" t="s">
        <v>12</v>
      </c>
      <c r="I1645" t="s">
        <v>13</v>
      </c>
      <c r="J1645" s="11">
        <f>DATE(B1645,MATCH(C1645,{"Jan","Feb","Mar","Apr","May","Jun","Jul","Aug","Sep","Oct","Nov","Dec"},0),D1645)</f>
        <v>21448</v>
      </c>
      <c r="K1645">
        <f t="shared" si="25"/>
        <v>64</v>
      </c>
    </row>
    <row r="1646" spans="1:11" x14ac:dyDescent="0.35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 s="15">
        <v>14426.07</v>
      </c>
      <c r="G1646" t="s">
        <v>11</v>
      </c>
      <c r="H1646" t="s">
        <v>16</v>
      </c>
      <c r="I1646" t="s">
        <v>23</v>
      </c>
      <c r="J1646" s="11">
        <f>DATE(B1646,MATCH(C1646,{"Jan","Feb","Mar","Apr","May","Jun","Jul","Aug","Sep","Oct","Nov","Dec"},0),D1646)</f>
        <v>36382</v>
      </c>
      <c r="K1646">
        <f t="shared" si="25"/>
        <v>23</v>
      </c>
    </row>
    <row r="1647" spans="1:11" x14ac:dyDescent="0.35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 s="15">
        <v>14426.66</v>
      </c>
      <c r="G1647" t="s">
        <v>11</v>
      </c>
      <c r="H1647" t="s">
        <v>11</v>
      </c>
      <c r="I1647" t="s">
        <v>535</v>
      </c>
      <c r="J1647" s="11">
        <f>DATE(B1647,MATCH(C1647,{"Jan","Feb","Mar","Apr","May","Jun","Jul","Aug","Sep","Oct","Nov","Dec"},0),D1647)</f>
        <v>24699</v>
      </c>
      <c r="K1647">
        <f t="shared" si="25"/>
        <v>55</v>
      </c>
    </row>
    <row r="1648" spans="1:11" x14ac:dyDescent="0.35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 s="15">
        <v>14427.63</v>
      </c>
      <c r="G1648" t="s">
        <v>11</v>
      </c>
      <c r="H1648" t="s">
        <v>11</v>
      </c>
      <c r="I1648" t="s">
        <v>300</v>
      </c>
      <c r="J1648" s="11">
        <f>DATE(B1648,MATCH(C1648,{"Jan","Feb","Mar","Apr","May","Jun","Jul","Aug","Sep","Oct","Nov","Dec"},0),D1648)</f>
        <v>24780</v>
      </c>
      <c r="K1648">
        <f t="shared" si="25"/>
        <v>55</v>
      </c>
    </row>
    <row r="1649" spans="1:11" x14ac:dyDescent="0.35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 s="15">
        <v>14449.85</v>
      </c>
      <c r="G1649" t="s">
        <v>11</v>
      </c>
      <c r="H1649" t="s">
        <v>16</v>
      </c>
      <c r="I1649" t="s">
        <v>247</v>
      </c>
      <c r="J1649" s="11">
        <f>DATE(B1649,MATCH(C1649,{"Jan","Feb","Mar","Apr","May","Jun","Jul","Aug","Sep","Oct","Nov","Dec"},0),D1649)</f>
        <v>21730</v>
      </c>
      <c r="K1649">
        <f t="shared" si="25"/>
        <v>63</v>
      </c>
    </row>
    <row r="1650" spans="1:11" x14ac:dyDescent="0.35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 s="15">
        <v>14451.84</v>
      </c>
      <c r="G1650" t="s">
        <v>11</v>
      </c>
      <c r="H1650" t="s">
        <v>12</v>
      </c>
      <c r="I1650" t="s">
        <v>249</v>
      </c>
      <c r="J1650" s="11">
        <f>DATE(B1650,MATCH(C1650,{"Jan","Feb","Mar","Apr","May","Jun","Jul","Aug","Sep","Oct","Nov","Dec"},0),D1650)</f>
        <v>21765</v>
      </c>
      <c r="K1650">
        <f t="shared" si="25"/>
        <v>63</v>
      </c>
    </row>
    <row r="1651" spans="1:11" x14ac:dyDescent="0.35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 s="15">
        <v>14455.64</v>
      </c>
      <c r="G1651" t="s">
        <v>11</v>
      </c>
      <c r="H1651" t="s">
        <v>12</v>
      </c>
      <c r="I1651" t="s">
        <v>247</v>
      </c>
      <c r="J1651" s="11">
        <f>DATE(B1651,MATCH(C1651,{"Jan","Feb","Mar","Apr","May","Jun","Jul","Aug","Sep","Oct","Nov","Dec"},0),D1651)</f>
        <v>35379</v>
      </c>
      <c r="K1651">
        <f t="shared" si="25"/>
        <v>26</v>
      </c>
    </row>
    <row r="1652" spans="1:11" x14ac:dyDescent="0.35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 s="15">
        <v>14470.01</v>
      </c>
      <c r="G1652" t="s">
        <v>11</v>
      </c>
      <c r="H1652" t="s">
        <v>12</v>
      </c>
      <c r="I1652" t="s">
        <v>23</v>
      </c>
      <c r="J1652" s="11">
        <f>DATE(B1652,MATCH(C1652,{"Jan","Feb","Mar","Apr","May","Jun","Jul","Aug","Sep","Oct","Nov","Dec"},0),D1652)</f>
        <v>28091</v>
      </c>
      <c r="K1652">
        <f t="shared" si="25"/>
        <v>46</v>
      </c>
    </row>
    <row r="1653" spans="1:11" x14ac:dyDescent="0.35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 s="15">
        <v>14474.68</v>
      </c>
      <c r="G1653" t="s">
        <v>11</v>
      </c>
      <c r="H1653" t="s">
        <v>11</v>
      </c>
      <c r="I1653" t="s">
        <v>13</v>
      </c>
      <c r="J1653" s="11">
        <f>DATE(B1653,MATCH(C1653,{"Jan","Feb","Mar","Apr","May","Jun","Jul","Aug","Sep","Oct","Nov","Dec"},0),D1653)</f>
        <v>21874</v>
      </c>
      <c r="K1653">
        <f t="shared" si="25"/>
        <v>63</v>
      </c>
    </row>
    <row r="1654" spans="1:11" x14ac:dyDescent="0.35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 s="15">
        <v>14478.33</v>
      </c>
      <c r="G1654" t="s">
        <v>11</v>
      </c>
      <c r="H1654" t="s">
        <v>11</v>
      </c>
      <c r="I1654" t="s">
        <v>13</v>
      </c>
      <c r="J1654" s="11">
        <f>DATE(B1654,MATCH(C1654,{"Jan","Feb","Mar","Apr","May","Jun","Jul","Aug","Sep","Oct","Nov","Dec"},0),D1654)</f>
        <v>29148</v>
      </c>
      <c r="K1654">
        <f t="shared" si="25"/>
        <v>43</v>
      </c>
    </row>
    <row r="1655" spans="1:11" x14ac:dyDescent="0.35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 s="15">
        <v>14507.46</v>
      </c>
      <c r="G1655" t="s">
        <v>11</v>
      </c>
      <c r="H1655" t="s">
        <v>12</v>
      </c>
      <c r="I1655" t="s">
        <v>23</v>
      </c>
      <c r="J1655" s="11">
        <f>DATE(B1655,MATCH(C1655,{"Jan","Feb","Mar","Apr","May","Jun","Jul","Aug","Sep","Oct","Nov","Dec"},0),D1655)</f>
        <v>32711</v>
      </c>
      <c r="K1655">
        <f t="shared" si="25"/>
        <v>33</v>
      </c>
    </row>
    <row r="1656" spans="1:11" x14ac:dyDescent="0.35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 s="15">
        <v>14547.26</v>
      </c>
      <c r="G1656" t="s">
        <v>11</v>
      </c>
      <c r="H1656" t="s">
        <v>12</v>
      </c>
      <c r="I1656" t="s">
        <v>42</v>
      </c>
      <c r="J1656" s="11">
        <f>DATE(B1656,MATCH(C1656,{"Jan","Feb","Mar","Apr","May","Jun","Jul","Aug","Sep","Oct","Nov","Dec"},0),D1656)</f>
        <v>32703</v>
      </c>
      <c r="K1656">
        <f t="shared" si="25"/>
        <v>33</v>
      </c>
    </row>
    <row r="1657" spans="1:11" x14ac:dyDescent="0.35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 s="15">
        <v>14571.89</v>
      </c>
      <c r="G1657" t="s">
        <v>11</v>
      </c>
      <c r="H1657" t="s">
        <v>16</v>
      </c>
      <c r="I1657" t="s">
        <v>247</v>
      </c>
      <c r="J1657" s="11">
        <f>DATE(B1657,MATCH(C1657,{"Jan","Feb","Mar","Apr","May","Jun","Jul","Aug","Sep","Oct","Nov","Dec"},0),D1657)</f>
        <v>36050</v>
      </c>
      <c r="K1657">
        <f t="shared" si="25"/>
        <v>24</v>
      </c>
    </row>
    <row r="1658" spans="1:11" x14ac:dyDescent="0.35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 s="15">
        <v>14574.64</v>
      </c>
      <c r="G1658" t="s">
        <v>11</v>
      </c>
      <c r="H1658" t="s">
        <v>16</v>
      </c>
      <c r="I1658" t="s">
        <v>200</v>
      </c>
      <c r="J1658" s="11">
        <f>DATE(B1658,MATCH(C1658,{"Jan","Feb","Mar","Apr","May","Jun","Jul","Aug","Sep","Oct","Nov","Dec"},0),D1658)</f>
        <v>22983</v>
      </c>
      <c r="K1658">
        <f t="shared" si="25"/>
        <v>60</v>
      </c>
    </row>
    <row r="1659" spans="1:11" x14ac:dyDescent="0.35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 s="15">
        <v>14590.63</v>
      </c>
      <c r="G1659" t="s">
        <v>11</v>
      </c>
      <c r="H1659" t="s">
        <v>16</v>
      </c>
      <c r="I1659" t="s">
        <v>247</v>
      </c>
      <c r="J1659" s="11">
        <f>DATE(B1659,MATCH(C1659,{"Jan","Feb","Mar","Apr","May","Jun","Jul","Aug","Sep","Oct","Nov","Dec"},0),D1659)</f>
        <v>23298</v>
      </c>
      <c r="K1659">
        <f t="shared" si="25"/>
        <v>59</v>
      </c>
    </row>
    <row r="1660" spans="1:11" x14ac:dyDescent="0.35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 s="15">
        <v>14600.62</v>
      </c>
      <c r="G1660" t="s">
        <v>11</v>
      </c>
      <c r="H1660" t="s">
        <v>12</v>
      </c>
      <c r="I1660" t="s">
        <v>632</v>
      </c>
      <c r="J1660" s="11">
        <f>DATE(B1660,MATCH(C1660,{"Jan","Feb","Mar","Apr","May","Jun","Jul","Aug","Sep","Oct","Nov","Dec"},0),D1660)</f>
        <v>24671</v>
      </c>
      <c r="K1660">
        <f t="shared" si="25"/>
        <v>55</v>
      </c>
    </row>
    <row r="1661" spans="1:11" x14ac:dyDescent="0.35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 s="15">
        <v>14612.33</v>
      </c>
      <c r="G1661" t="s">
        <v>11</v>
      </c>
      <c r="H1661" t="s">
        <v>12</v>
      </c>
      <c r="I1661" t="s">
        <v>300</v>
      </c>
      <c r="J1661" s="11">
        <f>DATE(B1661,MATCH(C1661,{"Jan","Feb","Mar","Apr","May","Jun","Jul","Aug","Sep","Oct","Nov","Dec"},0),D1661)</f>
        <v>24054</v>
      </c>
      <c r="K1661">
        <f t="shared" si="25"/>
        <v>57</v>
      </c>
    </row>
    <row r="1662" spans="1:11" x14ac:dyDescent="0.35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 s="15">
        <v>14630.52</v>
      </c>
      <c r="G1662" t="s">
        <v>11</v>
      </c>
      <c r="H1662" t="s">
        <v>12</v>
      </c>
      <c r="I1662" t="s">
        <v>42</v>
      </c>
      <c r="J1662" s="11">
        <f>DATE(B1662,MATCH(C1662,{"Jan","Feb","Mar","Apr","May","Jun","Jul","Aug","Sep","Oct","Nov","Dec"},0),D1662)</f>
        <v>33471</v>
      </c>
      <c r="K1662">
        <f t="shared" si="25"/>
        <v>31</v>
      </c>
    </row>
    <row r="1663" spans="1:11" x14ac:dyDescent="0.35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 s="15">
        <v>14640.35</v>
      </c>
      <c r="G1663" t="s">
        <v>11</v>
      </c>
      <c r="H1663" t="s">
        <v>12</v>
      </c>
      <c r="I1663" t="s">
        <v>535</v>
      </c>
      <c r="J1663" s="11">
        <f>DATE(B1663,MATCH(C1663,{"Jan","Feb","Mar","Apr","May","Jun","Jul","Aug","Sep","Oct","Nov","Dec"},0),D1663)</f>
        <v>24716</v>
      </c>
      <c r="K1663">
        <f t="shared" si="25"/>
        <v>55</v>
      </c>
    </row>
    <row r="1664" spans="1:11" x14ac:dyDescent="0.35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 s="15">
        <v>14657.2</v>
      </c>
      <c r="G1664" t="s">
        <v>11</v>
      </c>
      <c r="H1664" t="s">
        <v>16</v>
      </c>
      <c r="I1664" t="s">
        <v>23</v>
      </c>
      <c r="J1664" s="11">
        <f>DATE(B1664,MATCH(C1664,{"Jan","Feb","Mar","Apr","May","Jun","Jul","Aug","Sep","Oct","Nov","Dec"},0),D1664)</f>
        <v>29903</v>
      </c>
      <c r="K1664">
        <f t="shared" si="25"/>
        <v>41</v>
      </c>
    </row>
    <row r="1665" spans="1:11" x14ac:dyDescent="0.35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 s="15">
        <v>14665.75</v>
      </c>
      <c r="G1665" t="s">
        <v>11</v>
      </c>
      <c r="H1665" t="s">
        <v>16</v>
      </c>
      <c r="I1665" t="s">
        <v>23</v>
      </c>
      <c r="J1665" s="11">
        <f>DATE(B1665,MATCH(C1665,{"Jan","Feb","Mar","Apr","May","Jun","Jul","Aug","Sep","Oct","Nov","Dec"},0),D1665)</f>
        <v>25496</v>
      </c>
      <c r="K1665">
        <f t="shared" si="25"/>
        <v>53</v>
      </c>
    </row>
    <row r="1666" spans="1:11" x14ac:dyDescent="0.35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 s="15">
        <v>14692.67</v>
      </c>
      <c r="G1666" t="s">
        <v>11</v>
      </c>
      <c r="H1666" t="s">
        <v>16</v>
      </c>
      <c r="I1666" t="s">
        <v>23</v>
      </c>
      <c r="J1666" s="11">
        <f>DATE(B1666,MATCH(C1666,{"Jan","Feb","Mar","Apr","May","Jun","Jul","Aug","Sep","Oct","Nov","Dec"},0),D1666)</f>
        <v>21389</v>
      </c>
      <c r="K1666">
        <f t="shared" si="25"/>
        <v>64</v>
      </c>
    </row>
    <row r="1667" spans="1:11" x14ac:dyDescent="0.35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 s="15">
        <v>14696.77</v>
      </c>
      <c r="G1667" t="s">
        <v>11</v>
      </c>
      <c r="H1667" t="s">
        <v>11</v>
      </c>
      <c r="I1667" t="s">
        <v>42</v>
      </c>
      <c r="J1667" s="11">
        <f>DATE(B1667,MATCH(C1667,{"Jan","Feb","Mar","Apr","May","Jun","Jul","Aug","Sep","Oct","Nov","Dec"},0),D1667)</f>
        <v>30198</v>
      </c>
      <c r="K1667">
        <f t="shared" ref="K1667:K1730" si="26">DATEDIF(J1667,$N$1,"Y")</f>
        <v>40</v>
      </c>
    </row>
    <row r="1668" spans="1:11" x14ac:dyDescent="0.35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 s="15">
        <v>14711.74</v>
      </c>
      <c r="G1668" t="s">
        <v>11</v>
      </c>
      <c r="H1668" t="s">
        <v>11</v>
      </c>
      <c r="I1668" t="s">
        <v>23</v>
      </c>
      <c r="J1668" s="11">
        <f>DATE(B1668,MATCH(C1668,{"Jan","Feb","Mar","Apr","May","Jun","Jul","Aug","Sep","Oct","Nov","Dec"},0),D1668)</f>
        <v>37523</v>
      </c>
      <c r="K1668">
        <f t="shared" si="26"/>
        <v>20</v>
      </c>
    </row>
    <row r="1669" spans="1:11" x14ac:dyDescent="0.35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 s="15">
        <v>14738.43</v>
      </c>
      <c r="G1669" t="s">
        <v>11</v>
      </c>
      <c r="H1669" t="s">
        <v>12</v>
      </c>
      <c r="I1669" t="s">
        <v>300</v>
      </c>
      <c r="J1669" s="11">
        <f>DATE(B1669,MATCH(C1669,{"Jan","Feb","Mar","Apr","May","Jun","Jul","Aug","Sep","Oct","Nov","Dec"},0),D1669)</f>
        <v>22856</v>
      </c>
      <c r="K1669">
        <f t="shared" si="26"/>
        <v>60</v>
      </c>
    </row>
    <row r="1670" spans="1:11" x14ac:dyDescent="0.35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 s="15">
        <v>14750.42</v>
      </c>
      <c r="G1670" t="s">
        <v>11</v>
      </c>
      <c r="H1670" t="s">
        <v>11</v>
      </c>
      <c r="I1670" t="s">
        <v>535</v>
      </c>
      <c r="J1670" s="11">
        <f>DATE(B1670,MATCH(C1670,{"Jan","Feb","Mar","Apr","May","Jun","Jul","Aug","Sep","Oct","Nov","Dec"},0),D1670)</f>
        <v>23950</v>
      </c>
      <c r="K1670">
        <f t="shared" si="26"/>
        <v>57</v>
      </c>
    </row>
    <row r="1671" spans="1:11" x14ac:dyDescent="0.35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 s="15">
        <v>14819</v>
      </c>
      <c r="G1671" t="s">
        <v>11</v>
      </c>
      <c r="H1671" t="s">
        <v>12</v>
      </c>
      <c r="I1671" t="s">
        <v>249</v>
      </c>
      <c r="J1671" s="11">
        <f>DATE(B1671,MATCH(C1671,{"Jan","Feb","Mar","Apr","May","Jun","Jul","Aug","Sep","Oct","Nov","Dec"},0),D1671)</f>
        <v>27738</v>
      </c>
      <c r="K1671">
        <f t="shared" si="26"/>
        <v>47</v>
      </c>
    </row>
    <row r="1672" spans="1:11" x14ac:dyDescent="0.35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 s="15">
        <v>14839.34</v>
      </c>
      <c r="G1672" t="s">
        <v>11</v>
      </c>
      <c r="H1672" t="s">
        <v>12</v>
      </c>
      <c r="I1672" t="s">
        <v>535</v>
      </c>
      <c r="J1672" s="11">
        <f>DATE(B1672,MATCH(C1672,{"Jan","Feb","Mar","Apr","May","Jun","Jul","Aug","Sep","Oct","Nov","Dec"},0),D1672)</f>
        <v>29146</v>
      </c>
      <c r="K1672">
        <f t="shared" si="26"/>
        <v>43</v>
      </c>
    </row>
    <row r="1673" spans="1:11" x14ac:dyDescent="0.35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 s="15">
        <v>14843.96</v>
      </c>
      <c r="G1673" t="s">
        <v>11</v>
      </c>
      <c r="H1673" t="s">
        <v>12</v>
      </c>
      <c r="I1673" t="s">
        <v>535</v>
      </c>
      <c r="J1673" s="11">
        <f>DATE(B1673,MATCH(C1673,{"Jan","Feb","Mar","Apr","May","Jun","Jul","Aug","Sep","Oct","Nov","Dec"},0),D1673)</f>
        <v>29742</v>
      </c>
      <c r="K1673">
        <f t="shared" si="26"/>
        <v>42</v>
      </c>
    </row>
    <row r="1674" spans="1:11" x14ac:dyDescent="0.35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 s="15">
        <v>14847.63</v>
      </c>
      <c r="G1674" t="s">
        <v>11</v>
      </c>
      <c r="H1674" t="s">
        <v>11</v>
      </c>
      <c r="I1674" t="s">
        <v>249</v>
      </c>
      <c r="J1674" s="11">
        <f>DATE(B1674,MATCH(C1674,{"Jan","Feb","Mar","Apr","May","Jun","Jul","Aug","Sep","Oct","Nov","Dec"},0),D1674)</f>
        <v>25883</v>
      </c>
      <c r="K1674">
        <f t="shared" si="26"/>
        <v>52</v>
      </c>
    </row>
    <row r="1675" spans="1:11" x14ac:dyDescent="0.35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 s="15">
        <v>14901.52</v>
      </c>
      <c r="G1675" t="s">
        <v>11</v>
      </c>
      <c r="H1675" t="s">
        <v>11</v>
      </c>
      <c r="I1675" t="s">
        <v>247</v>
      </c>
      <c r="J1675" s="11">
        <f>DATE(B1675,MATCH(C1675,{"Jan","Feb","Mar","Apr","May","Jun","Jul","Aug","Sep","Oct","Nov","Dec"},0),D1675)</f>
        <v>21475</v>
      </c>
      <c r="K1675">
        <f t="shared" si="26"/>
        <v>64</v>
      </c>
    </row>
    <row r="1676" spans="1:11" x14ac:dyDescent="0.35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 s="15">
        <v>14908.27</v>
      </c>
      <c r="G1676" t="s">
        <v>11</v>
      </c>
      <c r="H1676" t="s">
        <v>16</v>
      </c>
      <c r="I1676" t="s">
        <v>42</v>
      </c>
      <c r="J1676" s="11">
        <f>DATE(B1676,MATCH(C1676,{"Jan","Feb","Mar","Apr","May","Jun","Jul","Aug","Sep","Oct","Nov","Dec"},0),D1676)</f>
        <v>29771</v>
      </c>
      <c r="K1676">
        <f t="shared" si="26"/>
        <v>41</v>
      </c>
    </row>
    <row r="1677" spans="1:11" x14ac:dyDescent="0.35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 s="15">
        <v>14926.97</v>
      </c>
      <c r="G1677" t="s">
        <v>11</v>
      </c>
      <c r="H1677" t="s">
        <v>11</v>
      </c>
      <c r="I1677" t="s">
        <v>23</v>
      </c>
      <c r="J1677" s="11">
        <f>DATE(B1677,MATCH(C1677,{"Jan","Feb","Mar","Apr","May","Jun","Jul","Aug","Sep","Oct","Nov","Dec"},0),D1677)</f>
        <v>25150</v>
      </c>
      <c r="K1677">
        <f t="shared" si="26"/>
        <v>54</v>
      </c>
    </row>
    <row r="1678" spans="1:11" x14ac:dyDescent="0.35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 s="15">
        <v>14945.34</v>
      </c>
      <c r="G1678" t="s">
        <v>11</v>
      </c>
      <c r="H1678" t="s">
        <v>16</v>
      </c>
      <c r="I1678" t="s">
        <v>300</v>
      </c>
      <c r="J1678" s="11">
        <f>DATE(B1678,MATCH(C1678,{"Jan","Feb","Mar","Apr","May","Jun","Jul","Aug","Sep","Oct","Nov","Dec"},0),D1678)</f>
        <v>22979</v>
      </c>
      <c r="K1678">
        <f t="shared" si="26"/>
        <v>60</v>
      </c>
    </row>
    <row r="1679" spans="1:11" x14ac:dyDescent="0.35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 s="15">
        <v>14988.43</v>
      </c>
      <c r="G1679" t="s">
        <v>11</v>
      </c>
      <c r="H1679" t="s">
        <v>12</v>
      </c>
      <c r="I1679" t="s">
        <v>42</v>
      </c>
      <c r="J1679" s="11">
        <f>DATE(B1679,MATCH(C1679,{"Jan","Feb","Mar","Apr","May","Jun","Jul","Aug","Sep","Oct","Nov","Dec"},0),D1679)</f>
        <v>21395</v>
      </c>
      <c r="K1679">
        <f t="shared" si="26"/>
        <v>64</v>
      </c>
    </row>
    <row r="1680" spans="1:11" x14ac:dyDescent="0.35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 s="15">
        <v>15006.58</v>
      </c>
      <c r="G1680" t="s">
        <v>11</v>
      </c>
      <c r="H1680" t="s">
        <v>11</v>
      </c>
      <c r="I1680" t="s">
        <v>247</v>
      </c>
      <c r="J1680" s="11">
        <f>DATE(B1680,MATCH(C1680,{"Jan","Feb","Mar","Apr","May","Jun","Jul","Aug","Sep","Oct","Nov","Dec"},0),D1680)</f>
        <v>34913</v>
      </c>
      <c r="K1680">
        <f t="shared" si="26"/>
        <v>27</v>
      </c>
    </row>
    <row r="1681" spans="1:11" x14ac:dyDescent="0.35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 s="15">
        <v>15019.76</v>
      </c>
      <c r="G1681" t="s">
        <v>11</v>
      </c>
      <c r="H1681" t="s">
        <v>11</v>
      </c>
      <c r="I1681" t="s">
        <v>23</v>
      </c>
      <c r="J1681" s="11">
        <f>DATE(B1681,MATCH(C1681,{"Jan","Feb","Mar","Apr","May","Jun","Jul","Aug","Sep","Oct","Nov","Dec"},0),D1681)</f>
        <v>22136</v>
      </c>
      <c r="K1681">
        <f t="shared" si="26"/>
        <v>62</v>
      </c>
    </row>
    <row r="1682" spans="1:11" x14ac:dyDescent="0.35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 s="15">
        <v>15025.76</v>
      </c>
      <c r="G1682" t="s">
        <v>11</v>
      </c>
      <c r="H1682" t="s">
        <v>16</v>
      </c>
      <c r="I1682" t="s">
        <v>42</v>
      </c>
      <c r="J1682" s="11">
        <f>DATE(B1682,MATCH(C1682,{"Jan","Feb","Mar","Apr","May","Jun","Jul","Aug","Sep","Oct","Nov","Dec"},0),D1682)</f>
        <v>29184</v>
      </c>
      <c r="K1682">
        <f t="shared" si="26"/>
        <v>43</v>
      </c>
    </row>
    <row r="1683" spans="1:11" x14ac:dyDescent="0.35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 s="15">
        <v>15026.3</v>
      </c>
      <c r="G1683" t="s">
        <v>11</v>
      </c>
      <c r="H1683" t="s">
        <v>12</v>
      </c>
      <c r="I1683" t="s">
        <v>42</v>
      </c>
      <c r="J1683" s="11">
        <f>DATE(B1683,MATCH(C1683,{"Jan","Feb","Mar","Apr","May","Jun","Jul","Aug","Sep","Oct","Nov","Dec"},0),D1683)</f>
        <v>25822</v>
      </c>
      <c r="K1683">
        <f t="shared" si="26"/>
        <v>52</v>
      </c>
    </row>
    <row r="1684" spans="1:11" x14ac:dyDescent="0.35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 s="15">
        <v>15038.51</v>
      </c>
      <c r="G1684" t="s">
        <v>11</v>
      </c>
      <c r="H1684" t="s">
        <v>12</v>
      </c>
      <c r="I1684" t="s">
        <v>249</v>
      </c>
      <c r="J1684" s="11">
        <f>DATE(B1684,MATCH(C1684,{"Jan","Feb","Mar","Apr","May","Jun","Jul","Aug","Sep","Oct","Nov","Dec"},0),D1684)</f>
        <v>26160</v>
      </c>
      <c r="K1684">
        <f t="shared" si="26"/>
        <v>51</v>
      </c>
    </row>
    <row r="1685" spans="1:11" x14ac:dyDescent="0.35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 s="15">
        <v>15052.68</v>
      </c>
      <c r="G1685" t="s">
        <v>11</v>
      </c>
      <c r="H1685" t="s">
        <v>11</v>
      </c>
      <c r="I1685" t="s">
        <v>632</v>
      </c>
      <c r="J1685" s="11">
        <f>DATE(B1685,MATCH(C1685,{"Jan","Feb","Mar","Apr","May","Jun","Jul","Aug","Sep","Oct","Nov","Dec"},0),D1685)</f>
        <v>25001</v>
      </c>
      <c r="K1685">
        <f t="shared" si="26"/>
        <v>54</v>
      </c>
    </row>
    <row r="1686" spans="1:11" x14ac:dyDescent="0.35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 s="15">
        <v>15090.35</v>
      </c>
      <c r="G1686" t="s">
        <v>11</v>
      </c>
      <c r="H1686" t="s">
        <v>16</v>
      </c>
      <c r="I1686" t="s">
        <v>249</v>
      </c>
      <c r="J1686" s="11">
        <f>DATE(B1686,MATCH(C1686,{"Jan","Feb","Mar","Apr","May","Jun","Jul","Aug","Sep","Oct","Nov","Dec"},0),D1686)</f>
        <v>27693</v>
      </c>
      <c r="K1686">
        <f t="shared" si="26"/>
        <v>47</v>
      </c>
    </row>
    <row r="1687" spans="1:11" x14ac:dyDescent="0.35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 s="15">
        <v>15103.69</v>
      </c>
      <c r="G1687" t="s">
        <v>11</v>
      </c>
      <c r="H1687" t="s">
        <v>16</v>
      </c>
      <c r="I1687" t="s">
        <v>23</v>
      </c>
      <c r="J1687" s="11">
        <f>DATE(B1687,MATCH(C1687,{"Jan","Feb","Mar","Apr","May","Jun","Jul","Aug","Sep","Oct","Nov","Dec"},0),D1687)</f>
        <v>26610</v>
      </c>
      <c r="K1687">
        <f t="shared" si="26"/>
        <v>50</v>
      </c>
    </row>
    <row r="1688" spans="1:11" x14ac:dyDescent="0.35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 s="15">
        <v>15123.19</v>
      </c>
      <c r="G1688" t="s">
        <v>11</v>
      </c>
      <c r="H1688" t="s">
        <v>16</v>
      </c>
      <c r="I1688" t="s">
        <v>42</v>
      </c>
      <c r="J1688" s="11">
        <f>DATE(B1688,MATCH(C1688,{"Jan","Feb","Mar","Apr","May","Jun","Jul","Aug","Sep","Oct","Nov","Dec"},0),D1688)</f>
        <v>28738</v>
      </c>
      <c r="K1688">
        <f t="shared" si="26"/>
        <v>44</v>
      </c>
    </row>
    <row r="1689" spans="1:11" x14ac:dyDescent="0.35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 s="15">
        <v>15150.44</v>
      </c>
      <c r="G1689" t="s">
        <v>11</v>
      </c>
      <c r="H1689" t="s">
        <v>16</v>
      </c>
      <c r="I1689" t="s">
        <v>249</v>
      </c>
      <c r="J1689" s="11">
        <f>DATE(B1689,MATCH(C1689,{"Jan","Feb","Mar","Apr","May","Jun","Jul","Aug","Sep","Oct","Nov","Dec"},0),D1689)</f>
        <v>26262</v>
      </c>
      <c r="K1689">
        <f t="shared" si="26"/>
        <v>51</v>
      </c>
    </row>
    <row r="1690" spans="1:11" x14ac:dyDescent="0.35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 s="15">
        <v>15161.25</v>
      </c>
      <c r="G1690" t="s">
        <v>11</v>
      </c>
      <c r="H1690" t="s">
        <v>11</v>
      </c>
      <c r="I1690" t="s">
        <v>23</v>
      </c>
      <c r="J1690" s="11">
        <f>DATE(B1690,MATCH(C1690,{"Jan","Feb","Mar","Apr","May","Jun","Jul","Aug","Sep","Oct","Nov","Dec"},0),D1690)</f>
        <v>22944</v>
      </c>
      <c r="K1690">
        <f t="shared" si="26"/>
        <v>60</v>
      </c>
    </row>
    <row r="1691" spans="1:11" x14ac:dyDescent="0.35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 s="15">
        <v>15161.53</v>
      </c>
      <c r="G1691" t="s">
        <v>11</v>
      </c>
      <c r="H1691" t="s">
        <v>16</v>
      </c>
      <c r="I1691" t="s">
        <v>13</v>
      </c>
      <c r="J1691" s="11">
        <f>DATE(B1691,MATCH(C1691,{"Jan","Feb","Mar","Apr","May","Jun","Jul","Aug","Sep","Oct","Nov","Dec"},0),D1691)</f>
        <v>21705</v>
      </c>
      <c r="K1691">
        <f t="shared" si="26"/>
        <v>64</v>
      </c>
    </row>
    <row r="1692" spans="1:11" x14ac:dyDescent="0.35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 s="15">
        <v>15170.07</v>
      </c>
      <c r="G1692" t="s">
        <v>11</v>
      </c>
      <c r="H1692" t="s">
        <v>12</v>
      </c>
      <c r="I1692" t="s">
        <v>42</v>
      </c>
      <c r="J1692" s="11">
        <f>DATE(B1692,MATCH(C1692,{"Jan","Feb","Mar","Apr","May","Jun","Jul","Aug","Sep","Oct","Nov","Dec"},0),D1692)</f>
        <v>21887</v>
      </c>
      <c r="K1692">
        <f t="shared" si="26"/>
        <v>63</v>
      </c>
    </row>
    <row r="1693" spans="1:11" x14ac:dyDescent="0.35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 s="15">
        <v>15174.81</v>
      </c>
      <c r="G1693" t="s">
        <v>11</v>
      </c>
      <c r="H1693" t="s">
        <v>16</v>
      </c>
      <c r="I1693" t="s">
        <v>23</v>
      </c>
      <c r="J1693" s="11">
        <f>DATE(B1693,MATCH(C1693,{"Jan","Feb","Mar","Apr","May","Jun","Jul","Aug","Sep","Oct","Nov","Dec"},0),D1693)</f>
        <v>22814</v>
      </c>
      <c r="K1693">
        <f t="shared" si="26"/>
        <v>60</v>
      </c>
    </row>
    <row r="1694" spans="1:11" x14ac:dyDescent="0.35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 s="15">
        <v>15207.92</v>
      </c>
      <c r="G1694" t="s">
        <v>11</v>
      </c>
      <c r="H1694" t="s">
        <v>16</v>
      </c>
      <c r="I1694" t="s">
        <v>23</v>
      </c>
      <c r="J1694" s="11">
        <f>DATE(B1694,MATCH(C1694,{"Jan","Feb","Mar","Apr","May","Jun","Jul","Aug","Sep","Oct","Nov","Dec"},0),D1694)</f>
        <v>28817</v>
      </c>
      <c r="K1694">
        <f t="shared" si="26"/>
        <v>44</v>
      </c>
    </row>
    <row r="1695" spans="1:11" x14ac:dyDescent="0.35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 s="15">
        <v>15230.32</v>
      </c>
      <c r="G1695" t="s">
        <v>11</v>
      </c>
      <c r="H1695" t="s">
        <v>11</v>
      </c>
      <c r="I1695" t="s">
        <v>247</v>
      </c>
      <c r="J1695" s="11">
        <f>DATE(B1695,MATCH(C1695,{"Jan","Feb","Mar","Apr","May","Jun","Jul","Aug","Sep","Oct","Nov","Dec"},0),D1695)</f>
        <v>22122</v>
      </c>
      <c r="K1695">
        <f t="shared" si="26"/>
        <v>62</v>
      </c>
    </row>
    <row r="1696" spans="1:11" x14ac:dyDescent="0.35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 s="15">
        <v>15260.52</v>
      </c>
      <c r="G1696" t="s">
        <v>11</v>
      </c>
      <c r="H1696" t="s">
        <v>11</v>
      </c>
      <c r="I1696" t="s">
        <v>249</v>
      </c>
      <c r="J1696" s="11">
        <f>DATE(B1696,MATCH(C1696,{"Jan","Feb","Mar","Apr","May","Jun","Jul","Aug","Sep","Oct","Nov","Dec"},0),D1696)</f>
        <v>25462</v>
      </c>
      <c r="K1696">
        <f t="shared" si="26"/>
        <v>53</v>
      </c>
    </row>
    <row r="1697" spans="1:11" x14ac:dyDescent="0.35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 s="15">
        <v>15322.77</v>
      </c>
      <c r="G1697" t="s">
        <v>11</v>
      </c>
      <c r="H1697" t="s">
        <v>12</v>
      </c>
      <c r="I1697" t="s">
        <v>300</v>
      </c>
      <c r="J1697" s="11">
        <f>DATE(B1697,MATCH(C1697,{"Jan","Feb","Mar","Apr","May","Jun","Jul","Aug","Sep","Oct","Nov","Dec"},0),D1697)</f>
        <v>23358</v>
      </c>
      <c r="K1697">
        <f t="shared" si="26"/>
        <v>59</v>
      </c>
    </row>
    <row r="1698" spans="1:11" x14ac:dyDescent="0.35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 s="15">
        <v>15359.1</v>
      </c>
      <c r="G1698" t="s">
        <v>11</v>
      </c>
      <c r="H1698" t="s">
        <v>12</v>
      </c>
      <c r="I1698" t="s">
        <v>247</v>
      </c>
      <c r="J1698" s="11">
        <f>DATE(B1698,MATCH(C1698,{"Jan","Feb","Mar","Apr","May","Jun","Jul","Aug","Sep","Oct","Nov","Dec"},0),D1698)</f>
        <v>37086</v>
      </c>
      <c r="K1698">
        <f t="shared" si="26"/>
        <v>21</v>
      </c>
    </row>
    <row r="1699" spans="1:11" x14ac:dyDescent="0.35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 s="15">
        <v>15361.5</v>
      </c>
      <c r="G1699" t="s">
        <v>11</v>
      </c>
      <c r="H1699" t="s">
        <v>12</v>
      </c>
      <c r="I1699" t="s">
        <v>249</v>
      </c>
      <c r="J1699" s="11">
        <f>DATE(B1699,MATCH(C1699,{"Jan","Feb","Mar","Apr","May","Jun","Jul","Aug","Sep","Oct","Nov","Dec"},0),D1699)</f>
        <v>32494</v>
      </c>
      <c r="K1699">
        <f t="shared" si="26"/>
        <v>34</v>
      </c>
    </row>
    <row r="1700" spans="1:11" x14ac:dyDescent="0.35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 s="15">
        <v>15363.77</v>
      </c>
      <c r="G1700" t="s">
        <v>11</v>
      </c>
      <c r="H1700" t="s">
        <v>16</v>
      </c>
      <c r="I1700" t="s">
        <v>535</v>
      </c>
      <c r="J1700" s="11">
        <f>DATE(B1700,MATCH(C1700,{"Jan","Feb","Mar","Apr","May","Jun","Jul","Aug","Sep","Oct","Nov","Dec"},0),D1700)</f>
        <v>25037</v>
      </c>
      <c r="K1700">
        <f t="shared" si="26"/>
        <v>54</v>
      </c>
    </row>
    <row r="1701" spans="1:11" x14ac:dyDescent="0.35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 s="15">
        <v>15368.22</v>
      </c>
      <c r="G1701" t="s">
        <v>11</v>
      </c>
      <c r="H1701" t="s">
        <v>11</v>
      </c>
      <c r="I1701" t="s">
        <v>42</v>
      </c>
      <c r="J1701" s="11">
        <f>DATE(B1701,MATCH(C1701,{"Jan","Feb","Mar","Apr","May","Jun","Jul","Aug","Sep","Oct","Nov","Dec"},0),D1701)</f>
        <v>22895</v>
      </c>
      <c r="K1701">
        <f t="shared" si="26"/>
        <v>60</v>
      </c>
    </row>
    <row r="1702" spans="1:11" x14ac:dyDescent="0.35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 s="15">
        <v>15377.77</v>
      </c>
      <c r="G1702" t="s">
        <v>11</v>
      </c>
      <c r="H1702" t="s">
        <v>11</v>
      </c>
      <c r="I1702" t="s">
        <v>23</v>
      </c>
      <c r="J1702" s="11">
        <f>DATE(B1702,MATCH(C1702,{"Jan","Feb","Mar","Apr","May","Jun","Jul","Aug","Sep","Oct","Nov","Dec"},0),D1702)</f>
        <v>23624</v>
      </c>
      <c r="K1702">
        <f t="shared" si="26"/>
        <v>58</v>
      </c>
    </row>
    <row r="1703" spans="1:11" x14ac:dyDescent="0.35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 s="15">
        <v>15440.2</v>
      </c>
      <c r="G1703" t="s">
        <v>11</v>
      </c>
      <c r="H1703" t="s">
        <v>16</v>
      </c>
      <c r="I1703" t="s">
        <v>23</v>
      </c>
      <c r="J1703" s="11">
        <f>DATE(B1703,MATCH(C1703,{"Jan","Feb","Mar","Apr","May","Jun","Jul","Aug","Sep","Oct","Nov","Dec"},0),D1703)</f>
        <v>33171</v>
      </c>
      <c r="K1703">
        <f t="shared" si="26"/>
        <v>32</v>
      </c>
    </row>
    <row r="1704" spans="1:11" x14ac:dyDescent="0.35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 s="15">
        <v>15450.48</v>
      </c>
      <c r="G1704" t="s">
        <v>11</v>
      </c>
      <c r="H1704" t="s">
        <v>16</v>
      </c>
      <c r="I1704" t="s">
        <v>535</v>
      </c>
      <c r="J1704" s="11">
        <f>DATE(B1704,MATCH(C1704,{"Jan","Feb","Mar","Apr","May","Jun","Jul","Aug","Sep","Oct","Nov","Dec"},0),D1704)</f>
        <v>27961</v>
      </c>
      <c r="K1704">
        <f t="shared" si="26"/>
        <v>46</v>
      </c>
    </row>
    <row r="1705" spans="1:11" x14ac:dyDescent="0.35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 s="15">
        <v>15518.18</v>
      </c>
      <c r="G1705" t="s">
        <v>11</v>
      </c>
      <c r="H1705" t="s">
        <v>12</v>
      </c>
      <c r="I1705" t="s">
        <v>164</v>
      </c>
      <c r="J1705" s="11">
        <f>DATE(B1705,MATCH(C1705,{"Jan","Feb","Mar","Apr","May","Jun","Jul","Aug","Sep","Oct","Nov","Dec"},0),D1705)</f>
        <v>38185</v>
      </c>
      <c r="K1705">
        <f t="shared" si="26"/>
        <v>18</v>
      </c>
    </row>
    <row r="1706" spans="1:11" x14ac:dyDescent="0.35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 s="15">
        <v>15532.16</v>
      </c>
      <c r="G1706" t="s">
        <v>11</v>
      </c>
      <c r="H1706" t="s">
        <v>11</v>
      </c>
      <c r="I1706" t="s">
        <v>535</v>
      </c>
      <c r="J1706" s="11">
        <f>DATE(B1706,MATCH(C1706,{"Jan","Feb","Mar","Apr","May","Jun","Jul","Aug","Sep","Oct","Nov","Dec"},0),D1706)</f>
        <v>27208</v>
      </c>
      <c r="K1706">
        <f t="shared" si="26"/>
        <v>48</v>
      </c>
    </row>
    <row r="1707" spans="1:11" x14ac:dyDescent="0.35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 s="15">
        <v>15555.19</v>
      </c>
      <c r="G1707" t="s">
        <v>11</v>
      </c>
      <c r="H1707" t="s">
        <v>12</v>
      </c>
      <c r="I1707" t="s">
        <v>23</v>
      </c>
      <c r="J1707" s="11">
        <f>DATE(B1707,MATCH(C1707,{"Jan","Feb","Mar","Apr","May","Jun","Jul","Aug","Sep","Oct","Nov","Dec"},0),D1707)</f>
        <v>21825</v>
      </c>
      <c r="K1707">
        <f t="shared" si="26"/>
        <v>63</v>
      </c>
    </row>
    <row r="1708" spans="1:11" x14ac:dyDescent="0.35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 s="15">
        <v>15556.67</v>
      </c>
      <c r="G1708" t="s">
        <v>11</v>
      </c>
      <c r="H1708" t="s">
        <v>11</v>
      </c>
      <c r="I1708" t="s">
        <v>23</v>
      </c>
      <c r="J1708" s="11">
        <f>DATE(B1708,MATCH(C1708,{"Jan","Feb","Mar","Apr","May","Jun","Jul","Aug","Sep","Oct","Nov","Dec"},0),D1708)</f>
        <v>27240</v>
      </c>
      <c r="K1708">
        <f t="shared" si="26"/>
        <v>48</v>
      </c>
    </row>
    <row r="1709" spans="1:11" x14ac:dyDescent="0.35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 s="15">
        <v>15608.58</v>
      </c>
      <c r="G1709" t="s">
        <v>11</v>
      </c>
      <c r="H1709" t="s">
        <v>11</v>
      </c>
      <c r="I1709" t="s">
        <v>535</v>
      </c>
      <c r="J1709" s="11">
        <f>DATE(B1709,MATCH(C1709,{"Jan","Feb","Mar","Apr","May","Jun","Jul","Aug","Sep","Oct","Nov","Dec"},0),D1709)</f>
        <v>24043</v>
      </c>
      <c r="K1709">
        <f t="shared" si="26"/>
        <v>57</v>
      </c>
    </row>
    <row r="1710" spans="1:11" x14ac:dyDescent="0.35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 s="15">
        <v>15612.19</v>
      </c>
      <c r="G1710" t="s">
        <v>11</v>
      </c>
      <c r="H1710" t="s">
        <v>11</v>
      </c>
      <c r="I1710" t="s">
        <v>23</v>
      </c>
      <c r="J1710" s="11">
        <f>DATE(B1710,MATCH(C1710,{"Jan","Feb","Mar","Apr","May","Jun","Jul","Aug","Sep","Oct","Nov","Dec"},0),D1710)</f>
        <v>22073</v>
      </c>
      <c r="K1710">
        <f t="shared" si="26"/>
        <v>63</v>
      </c>
    </row>
    <row r="1711" spans="1:11" x14ac:dyDescent="0.35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 s="15">
        <v>15646.28</v>
      </c>
      <c r="G1711" t="s">
        <v>11</v>
      </c>
      <c r="H1711" t="s">
        <v>11</v>
      </c>
      <c r="I1711" t="s">
        <v>42</v>
      </c>
      <c r="J1711" s="11">
        <f>DATE(B1711,MATCH(C1711,{"Jan","Feb","Mar","Apr","May","Jun","Jul","Aug","Sep","Oct","Nov","Dec"},0),D1711)</f>
        <v>32499</v>
      </c>
      <c r="K1711">
        <f t="shared" si="26"/>
        <v>34</v>
      </c>
    </row>
    <row r="1712" spans="1:11" x14ac:dyDescent="0.35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 s="15">
        <v>15670.3</v>
      </c>
      <c r="G1712" t="s">
        <v>11</v>
      </c>
      <c r="H1712" t="s">
        <v>11</v>
      </c>
      <c r="I1712" t="s">
        <v>535</v>
      </c>
      <c r="J1712" s="11">
        <f>DATE(B1712,MATCH(C1712,{"Jan","Feb","Mar","Apr","May","Jun","Jul","Aug","Sep","Oct","Nov","Dec"},0),D1712)</f>
        <v>26841</v>
      </c>
      <c r="K1712">
        <f t="shared" si="26"/>
        <v>49</v>
      </c>
    </row>
    <row r="1713" spans="1:11" x14ac:dyDescent="0.35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 s="15">
        <v>15698.86</v>
      </c>
      <c r="G1713" t="s">
        <v>11</v>
      </c>
      <c r="H1713" t="s">
        <v>11</v>
      </c>
      <c r="I1713" t="s">
        <v>23</v>
      </c>
      <c r="J1713" s="11">
        <f>DATE(B1713,MATCH(C1713,{"Jan","Feb","Mar","Apr","May","Jun","Jul","Aug","Sep","Oct","Nov","Dec"},0),D1713)</f>
        <v>28023</v>
      </c>
      <c r="K1713">
        <f t="shared" si="26"/>
        <v>46</v>
      </c>
    </row>
    <row r="1714" spans="1:11" x14ac:dyDescent="0.35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 s="15">
        <v>15746.62</v>
      </c>
      <c r="G1714" t="s">
        <v>11</v>
      </c>
      <c r="H1714" t="s">
        <v>16</v>
      </c>
      <c r="I1714" t="s">
        <v>23</v>
      </c>
      <c r="J1714" s="11">
        <f>DATE(B1714,MATCH(C1714,{"Jan","Feb","Mar","Apr","May","Jun","Jul","Aug","Sep","Oct","Nov","Dec"},0),D1714)</f>
        <v>27270</v>
      </c>
      <c r="K1714">
        <f t="shared" si="26"/>
        <v>48</v>
      </c>
    </row>
    <row r="1715" spans="1:11" x14ac:dyDescent="0.35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 s="15">
        <v>15817.99</v>
      </c>
      <c r="G1715" t="s">
        <v>11</v>
      </c>
      <c r="H1715" t="s">
        <v>11</v>
      </c>
      <c r="I1715" t="s">
        <v>23</v>
      </c>
      <c r="J1715" s="11">
        <f>DATE(B1715,MATCH(C1715,{"Jan","Feb","Mar","Apr","May","Jun","Jul","Aug","Sep","Oct","Nov","Dec"},0),D1715)</f>
        <v>35712</v>
      </c>
      <c r="K1715">
        <f t="shared" si="26"/>
        <v>25</v>
      </c>
    </row>
    <row r="1716" spans="1:11" x14ac:dyDescent="0.35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 s="15">
        <v>15820.7</v>
      </c>
      <c r="G1716" t="s">
        <v>11</v>
      </c>
      <c r="H1716" t="s">
        <v>12</v>
      </c>
      <c r="I1716" t="s">
        <v>42</v>
      </c>
      <c r="J1716" s="11">
        <f>DATE(B1716,MATCH(C1716,{"Jan","Feb","Mar","Apr","May","Jun","Jul","Aug","Sep","Oct","Nov","Dec"},0),D1716)</f>
        <v>30859</v>
      </c>
      <c r="K1716">
        <f t="shared" si="26"/>
        <v>38</v>
      </c>
    </row>
    <row r="1717" spans="1:11" x14ac:dyDescent="0.35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 s="15">
        <v>15828.82</v>
      </c>
      <c r="G1717" t="s">
        <v>11</v>
      </c>
      <c r="H1717" t="s">
        <v>12</v>
      </c>
      <c r="I1717" t="s">
        <v>42</v>
      </c>
      <c r="J1717" s="11">
        <f>DATE(B1717,MATCH(C1717,{"Jan","Feb","Mar","Apr","May","Jun","Jul","Aug","Sep","Oct","Nov","Dec"},0),D1717)</f>
        <v>30266</v>
      </c>
      <c r="K1717">
        <f t="shared" si="26"/>
        <v>40</v>
      </c>
    </row>
    <row r="1718" spans="1:11" x14ac:dyDescent="0.35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 s="15">
        <v>15840.81</v>
      </c>
      <c r="G1718" t="s">
        <v>11</v>
      </c>
      <c r="H1718" t="s">
        <v>16</v>
      </c>
      <c r="I1718" t="s">
        <v>632</v>
      </c>
      <c r="J1718" s="11">
        <f>DATE(B1718,MATCH(C1718,{"Jan","Feb","Mar","Apr","May","Jun","Jul","Aug","Sep","Oct","Nov","Dec"},0),D1718)</f>
        <v>23005</v>
      </c>
      <c r="K1718">
        <f t="shared" si="26"/>
        <v>60</v>
      </c>
    </row>
    <row r="1719" spans="1:11" x14ac:dyDescent="0.35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 s="15">
        <v>15922.29</v>
      </c>
      <c r="G1719" t="s">
        <v>11</v>
      </c>
      <c r="H1719" t="s">
        <v>12</v>
      </c>
      <c r="I1719" t="s">
        <v>535</v>
      </c>
      <c r="J1719" s="11">
        <f>DATE(B1719,MATCH(C1719,{"Jan","Feb","Mar","Apr","May","Jun","Jul","Aug","Sep","Oct","Nov","Dec"},0),D1719)</f>
        <v>29506</v>
      </c>
      <c r="K1719">
        <f t="shared" si="26"/>
        <v>42</v>
      </c>
    </row>
    <row r="1720" spans="1:11" x14ac:dyDescent="0.35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 s="15">
        <v>15965.29</v>
      </c>
      <c r="G1720" t="s">
        <v>11</v>
      </c>
      <c r="H1720" t="s">
        <v>16</v>
      </c>
      <c r="I1720" t="s">
        <v>23</v>
      </c>
      <c r="J1720" s="11">
        <f>DATE(B1720,MATCH(C1720,{"Jan","Feb","Mar","Apr","May","Jun","Jul","Aug","Sep","Oct","Nov","Dec"},0),D1720)</f>
        <v>30156</v>
      </c>
      <c r="K1720">
        <f t="shared" si="26"/>
        <v>40</v>
      </c>
    </row>
    <row r="1721" spans="1:11" x14ac:dyDescent="0.35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 s="15">
        <v>15966.19</v>
      </c>
      <c r="G1721" t="s">
        <v>11</v>
      </c>
      <c r="H1721" t="s">
        <v>11</v>
      </c>
      <c r="I1721" t="s">
        <v>23</v>
      </c>
      <c r="J1721" s="11">
        <f>DATE(B1721,MATCH(C1721,{"Jan","Feb","Mar","Apr","May","Jun","Jul","Aug","Sep","Oct","Nov","Dec"},0),D1721)</f>
        <v>29483</v>
      </c>
      <c r="K1721">
        <f t="shared" si="26"/>
        <v>42</v>
      </c>
    </row>
    <row r="1722" spans="1:11" x14ac:dyDescent="0.35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 s="15">
        <v>16059.06</v>
      </c>
      <c r="G1722" t="s">
        <v>11</v>
      </c>
      <c r="H1722" t="s">
        <v>12</v>
      </c>
      <c r="I1722" t="s">
        <v>23</v>
      </c>
      <c r="J1722" s="11">
        <f>DATE(B1722,MATCH(C1722,{"Jan","Feb","Mar","Apr","May","Jun","Jul","Aug","Sep","Oct","Nov","Dec"},0),D1722)</f>
        <v>32482</v>
      </c>
      <c r="K1722">
        <f t="shared" si="26"/>
        <v>34</v>
      </c>
    </row>
    <row r="1723" spans="1:11" x14ac:dyDescent="0.35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 s="15">
        <v>16062.89</v>
      </c>
      <c r="G1723" t="s">
        <v>11</v>
      </c>
      <c r="H1723" t="s">
        <v>11</v>
      </c>
      <c r="I1723" t="s">
        <v>535</v>
      </c>
      <c r="J1723" s="11">
        <f>DATE(B1723,MATCH(C1723,{"Jan","Feb","Mar","Apr","May","Jun","Jul","Aug","Sep","Oct","Nov","Dec"},0),D1723)</f>
        <v>28749</v>
      </c>
      <c r="K1723">
        <f t="shared" si="26"/>
        <v>44</v>
      </c>
    </row>
    <row r="1724" spans="1:11" x14ac:dyDescent="0.35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 s="15">
        <v>16069.08</v>
      </c>
      <c r="G1724" t="s">
        <v>11</v>
      </c>
      <c r="H1724" t="s">
        <v>11</v>
      </c>
      <c r="I1724" t="s">
        <v>247</v>
      </c>
      <c r="J1724" s="11">
        <f>DATE(B1724,MATCH(C1724,{"Jan","Feb","Mar","Apr","May","Jun","Jul","Aug","Sep","Oct","Nov","Dec"},0),D1724)</f>
        <v>21480</v>
      </c>
      <c r="K1724">
        <f t="shared" si="26"/>
        <v>64</v>
      </c>
    </row>
    <row r="1725" spans="1:11" x14ac:dyDescent="0.35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 s="15">
        <v>16085.13</v>
      </c>
      <c r="G1725" t="s">
        <v>11</v>
      </c>
      <c r="H1725" t="s">
        <v>11</v>
      </c>
      <c r="I1725" t="s">
        <v>13</v>
      </c>
      <c r="J1725" s="11">
        <f>DATE(B1725,MATCH(C1725,{"Jan","Feb","Mar","Apr","May","Jun","Jul","Aug","Sep","Oct","Nov","Dec"},0),D1725)</f>
        <v>21357</v>
      </c>
      <c r="K1725">
        <f t="shared" si="26"/>
        <v>64</v>
      </c>
    </row>
    <row r="1726" spans="1:11" x14ac:dyDescent="0.35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 s="15">
        <v>16097.94</v>
      </c>
      <c r="G1726" t="s">
        <v>11</v>
      </c>
      <c r="H1726" t="s">
        <v>12</v>
      </c>
      <c r="I1726" t="s">
        <v>23</v>
      </c>
      <c r="J1726" s="11">
        <f>DATE(B1726,MATCH(C1726,{"Jan","Feb","Mar","Apr","May","Jun","Jul","Aug","Sep","Oct","Nov","Dec"},0),D1726)</f>
        <v>31286</v>
      </c>
      <c r="K1726">
        <f t="shared" si="26"/>
        <v>37</v>
      </c>
    </row>
    <row r="1727" spans="1:11" x14ac:dyDescent="0.35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 s="15">
        <v>16115.3</v>
      </c>
      <c r="G1727" t="s">
        <v>11</v>
      </c>
      <c r="H1727" t="s">
        <v>16</v>
      </c>
      <c r="I1727" t="s">
        <v>247</v>
      </c>
      <c r="J1727" s="11">
        <f>DATE(B1727,MATCH(C1727,{"Jan","Feb","Mar","Apr","May","Jun","Jul","Aug","Sep","Oct","Nov","Dec"},0),D1727)</f>
        <v>34189</v>
      </c>
      <c r="K1727">
        <f t="shared" si="26"/>
        <v>29</v>
      </c>
    </row>
    <row r="1728" spans="1:11" x14ac:dyDescent="0.35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 s="15">
        <v>16122.65</v>
      </c>
      <c r="G1728" t="s">
        <v>11</v>
      </c>
      <c r="H1728" t="s">
        <v>16</v>
      </c>
      <c r="I1728" t="s">
        <v>42</v>
      </c>
      <c r="J1728" s="11">
        <f>DATE(B1728,MATCH(C1728,{"Jan","Feb","Mar","Apr","May","Jun","Jul","Aug","Sep","Oct","Nov","Dec"},0),D1728)</f>
        <v>32056</v>
      </c>
      <c r="K1728">
        <f t="shared" si="26"/>
        <v>35</v>
      </c>
    </row>
    <row r="1729" spans="1:11" x14ac:dyDescent="0.35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 s="15">
        <v>16138.76</v>
      </c>
      <c r="G1729" t="s">
        <v>11</v>
      </c>
      <c r="H1729" t="s">
        <v>12</v>
      </c>
      <c r="I1729" t="s">
        <v>356</v>
      </c>
      <c r="J1729" s="11">
        <f>DATE(B1729,MATCH(C1729,{"Jan","Feb","Mar","Apr","May","Jun","Jul","Aug","Sep","Oct","Nov","Dec"},0),D1729)</f>
        <v>34315</v>
      </c>
      <c r="K1729">
        <f t="shared" si="26"/>
        <v>29</v>
      </c>
    </row>
    <row r="1730" spans="1:11" x14ac:dyDescent="0.35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 s="15">
        <v>16152.04</v>
      </c>
      <c r="G1730" t="s">
        <v>11</v>
      </c>
      <c r="H1730" t="s">
        <v>16</v>
      </c>
      <c r="I1730" t="s">
        <v>535</v>
      </c>
      <c r="J1730" s="11">
        <f>DATE(B1730,MATCH(C1730,{"Jan","Feb","Mar","Apr","May","Jun","Jul","Aug","Sep","Oct","Nov","Dec"},0),D1730)</f>
        <v>30138</v>
      </c>
      <c r="K1730">
        <f t="shared" si="26"/>
        <v>40</v>
      </c>
    </row>
    <row r="1731" spans="1:11" x14ac:dyDescent="0.35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 s="15">
        <v>16190.97</v>
      </c>
      <c r="G1731" t="s">
        <v>11</v>
      </c>
      <c r="H1731" t="s">
        <v>12</v>
      </c>
      <c r="I1731" t="s">
        <v>23</v>
      </c>
      <c r="J1731" s="11">
        <f>DATE(B1731,MATCH(C1731,{"Jan","Feb","Mar","Apr","May","Jun","Jul","Aug","Sep","Oct","Nov","Dec"},0),D1731)</f>
        <v>27283</v>
      </c>
      <c r="K1731">
        <f t="shared" ref="K1731:K1794" si="27">DATEDIF(J1731,$N$1,"Y")</f>
        <v>48</v>
      </c>
    </row>
    <row r="1732" spans="1:11" x14ac:dyDescent="0.35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 s="15">
        <v>16199.1</v>
      </c>
      <c r="G1732" t="s">
        <v>11</v>
      </c>
      <c r="H1732" t="s">
        <v>11</v>
      </c>
      <c r="I1732" t="s">
        <v>23</v>
      </c>
      <c r="J1732" s="11">
        <f>DATE(B1732,MATCH(C1732,{"Jan","Feb","Mar","Apr","May","Jun","Jul","Aug","Sep","Oct","Nov","Dec"},0),D1732)</f>
        <v>32361</v>
      </c>
      <c r="K1732">
        <f t="shared" si="27"/>
        <v>34</v>
      </c>
    </row>
    <row r="1733" spans="1:11" x14ac:dyDescent="0.35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 s="15">
        <v>16205.88</v>
      </c>
      <c r="G1733" t="s">
        <v>11</v>
      </c>
      <c r="H1733" t="s">
        <v>16</v>
      </c>
      <c r="I1733" t="s">
        <v>23</v>
      </c>
      <c r="J1733" s="11">
        <f>DATE(B1733,MATCH(C1733,{"Jan","Feb","Mar","Apr","May","Jun","Jul","Aug","Sep","Oct","Nov","Dec"},0),D1733)</f>
        <v>32376</v>
      </c>
      <c r="K1733">
        <f t="shared" si="27"/>
        <v>34</v>
      </c>
    </row>
    <row r="1734" spans="1:11" x14ac:dyDescent="0.35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 s="15">
        <v>16232.85</v>
      </c>
      <c r="G1734" t="s">
        <v>11</v>
      </c>
      <c r="H1734" t="s">
        <v>16</v>
      </c>
      <c r="I1734" t="s">
        <v>42</v>
      </c>
      <c r="J1734" s="11">
        <f>DATE(B1734,MATCH(C1734,{"Jan","Feb","Mar","Apr","May","Jun","Jul","Aug","Sep","Oct","Nov","Dec"},0),D1734)</f>
        <v>37507</v>
      </c>
      <c r="K1734">
        <f t="shared" si="27"/>
        <v>20</v>
      </c>
    </row>
    <row r="1735" spans="1:11" x14ac:dyDescent="0.35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 s="15">
        <v>16267.32</v>
      </c>
      <c r="G1735" t="s">
        <v>11</v>
      </c>
      <c r="H1735" t="s">
        <v>11</v>
      </c>
      <c r="I1735" t="s">
        <v>249</v>
      </c>
      <c r="J1735" s="11">
        <f>DATE(B1735,MATCH(C1735,{"Jan","Feb","Mar","Apr","May","Jun","Jul","Aug","Sep","Oct","Nov","Dec"},0),D1735)</f>
        <v>26510</v>
      </c>
      <c r="K1735">
        <f t="shared" si="27"/>
        <v>50</v>
      </c>
    </row>
    <row r="1736" spans="1:11" x14ac:dyDescent="0.35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 s="15">
        <v>16297.85</v>
      </c>
      <c r="G1736" t="s">
        <v>11</v>
      </c>
      <c r="H1736" t="s">
        <v>12</v>
      </c>
      <c r="I1736" t="s">
        <v>42</v>
      </c>
      <c r="J1736" s="11">
        <f>DATE(B1736,MATCH(C1736,{"Jan","Feb","Mar","Apr","May","Jun","Jul","Aug","Sep","Oct","Nov","Dec"},0),D1736)</f>
        <v>37857</v>
      </c>
      <c r="K1736">
        <f t="shared" si="27"/>
        <v>19</v>
      </c>
    </row>
    <row r="1737" spans="1:11" x14ac:dyDescent="0.35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 s="15">
        <v>16311.05</v>
      </c>
      <c r="G1737" t="s">
        <v>11</v>
      </c>
      <c r="H1737" t="s">
        <v>12</v>
      </c>
      <c r="I1737" t="s">
        <v>535</v>
      </c>
      <c r="J1737" s="11">
        <f>DATE(B1737,MATCH(C1737,{"Jan","Feb","Mar","Apr","May","Jun","Jul","Aug","Sep","Oct","Nov","Dec"},0),D1737)</f>
        <v>25423</v>
      </c>
      <c r="K1737">
        <f t="shared" si="27"/>
        <v>53</v>
      </c>
    </row>
    <row r="1738" spans="1:11" x14ac:dyDescent="0.35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 s="15">
        <v>16351.42</v>
      </c>
      <c r="G1738" t="s">
        <v>11</v>
      </c>
      <c r="H1738" t="s">
        <v>12</v>
      </c>
      <c r="I1738" t="s">
        <v>535</v>
      </c>
      <c r="J1738" s="11">
        <f>DATE(B1738,MATCH(C1738,{"Jan","Feb","Mar","Apr","May","Jun","Jul","Aug","Sep","Oct","Nov","Dec"},0),D1738)</f>
        <v>24081</v>
      </c>
      <c r="K1738">
        <f t="shared" si="27"/>
        <v>57</v>
      </c>
    </row>
    <row r="1739" spans="1:11" x14ac:dyDescent="0.35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 s="15">
        <v>16420.490000000002</v>
      </c>
      <c r="G1739" t="s">
        <v>11</v>
      </c>
      <c r="H1739" t="s">
        <v>12</v>
      </c>
      <c r="I1739" t="s">
        <v>23</v>
      </c>
      <c r="J1739" s="11">
        <f>DATE(B1739,MATCH(C1739,{"Jan","Feb","Mar","Apr","May","Jun","Jul","Aug","Sep","Oct","Nov","Dec"},0),D1739)</f>
        <v>34970</v>
      </c>
      <c r="K1739">
        <f t="shared" si="27"/>
        <v>27</v>
      </c>
    </row>
    <row r="1740" spans="1:11" x14ac:dyDescent="0.35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 s="15">
        <v>16450.89</v>
      </c>
      <c r="G1740" t="s">
        <v>11</v>
      </c>
      <c r="H1740" t="s">
        <v>16</v>
      </c>
      <c r="I1740" t="s">
        <v>23</v>
      </c>
      <c r="J1740" s="11">
        <f>DATE(B1740,MATCH(C1740,{"Jan","Feb","Mar","Apr","May","Jun","Jul","Aug","Sep","Oct","Nov","Dec"},0),D1740)</f>
        <v>37975</v>
      </c>
      <c r="K1740">
        <f t="shared" si="27"/>
        <v>19</v>
      </c>
    </row>
    <row r="1741" spans="1:11" x14ac:dyDescent="0.35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 s="15">
        <v>16455.71</v>
      </c>
      <c r="G1741" t="s">
        <v>11</v>
      </c>
      <c r="H1741" t="s">
        <v>11</v>
      </c>
      <c r="I1741" t="s">
        <v>23</v>
      </c>
      <c r="J1741" s="11">
        <f>DATE(B1741,MATCH(C1741,{"Jan","Feb","Mar","Apr","May","Jun","Jul","Aug","Sep","Oct","Nov","Dec"},0),D1741)</f>
        <v>21468</v>
      </c>
      <c r="K1741">
        <f t="shared" si="27"/>
        <v>64</v>
      </c>
    </row>
    <row r="1742" spans="1:11" x14ac:dyDescent="0.35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 s="15">
        <v>16577.78</v>
      </c>
      <c r="G1742" t="s">
        <v>11</v>
      </c>
      <c r="H1742" t="s">
        <v>16</v>
      </c>
      <c r="I1742" t="s">
        <v>13</v>
      </c>
      <c r="J1742" s="11">
        <f>DATE(B1742,MATCH(C1742,{"Jan","Feb","Mar","Apr","May","Jun","Jul","Aug","Sep","Oct","Nov","Dec"},0),D1742)</f>
        <v>35056</v>
      </c>
      <c r="K1742">
        <f t="shared" si="27"/>
        <v>27</v>
      </c>
    </row>
    <row r="1743" spans="1:11" x14ac:dyDescent="0.35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 s="15">
        <v>16586.5</v>
      </c>
      <c r="G1743" t="s">
        <v>11</v>
      </c>
      <c r="H1743" t="s">
        <v>16</v>
      </c>
      <c r="I1743" t="s">
        <v>13</v>
      </c>
      <c r="J1743" s="11">
        <f>DATE(B1743,MATCH(C1743,{"Jan","Feb","Mar","Apr","May","Jun","Jul","Aug","Sep","Oct","Nov","Dec"},0),D1743)</f>
        <v>37067</v>
      </c>
      <c r="K1743">
        <f t="shared" si="27"/>
        <v>21</v>
      </c>
    </row>
    <row r="1744" spans="1:11" x14ac:dyDescent="0.35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 s="15">
        <v>16587.96</v>
      </c>
      <c r="G1744" t="s">
        <v>11</v>
      </c>
      <c r="H1744" t="s">
        <v>11</v>
      </c>
      <c r="I1744" t="s">
        <v>249</v>
      </c>
      <c r="J1744" s="11">
        <f>DATE(B1744,MATCH(C1744,{"Jan","Feb","Mar","Apr","May","Jun","Jul","Aug","Sep","Oct","Nov","Dec"},0),D1744)</f>
        <v>23187</v>
      </c>
      <c r="K1744">
        <f t="shared" si="27"/>
        <v>59</v>
      </c>
    </row>
    <row r="1745" spans="1:11" x14ac:dyDescent="0.35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 s="15">
        <v>16600.16</v>
      </c>
      <c r="G1745" t="s">
        <v>11</v>
      </c>
      <c r="H1745" t="s">
        <v>11</v>
      </c>
      <c r="I1745" t="s">
        <v>42</v>
      </c>
      <c r="J1745" s="11">
        <f>DATE(B1745,MATCH(C1745,{"Jan","Feb","Mar","Apr","May","Jun","Jul","Aug","Sep","Oct","Nov","Dec"},0),D1745)</f>
        <v>25759</v>
      </c>
      <c r="K1745">
        <f t="shared" si="27"/>
        <v>52</v>
      </c>
    </row>
    <row r="1746" spans="1:11" x14ac:dyDescent="0.35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 s="15">
        <v>16602.18</v>
      </c>
      <c r="G1746" t="s">
        <v>11</v>
      </c>
      <c r="H1746" t="s">
        <v>16</v>
      </c>
      <c r="I1746" t="s">
        <v>535</v>
      </c>
      <c r="J1746" s="11">
        <f>DATE(B1746,MATCH(C1746,{"Jan","Feb","Mar","Apr","May","Jun","Jul","Aug","Sep","Oct","Nov","Dec"},0),D1746)</f>
        <v>27599</v>
      </c>
      <c r="K1746">
        <f t="shared" si="27"/>
        <v>47</v>
      </c>
    </row>
    <row r="1747" spans="1:11" x14ac:dyDescent="0.35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 s="15">
        <v>16631.61</v>
      </c>
      <c r="G1747" t="s">
        <v>11</v>
      </c>
      <c r="H1747" t="s">
        <v>16</v>
      </c>
      <c r="I1747" t="s">
        <v>23</v>
      </c>
      <c r="J1747" s="11">
        <f>DATE(B1747,MATCH(C1747,{"Jan","Feb","Mar","Apr","May","Jun","Jul","Aug","Sep","Oct","Nov","Dec"},0),D1747)</f>
        <v>28393</v>
      </c>
      <c r="K1747">
        <f t="shared" si="27"/>
        <v>45</v>
      </c>
    </row>
    <row r="1748" spans="1:11" x14ac:dyDescent="0.35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 s="15">
        <v>16657.72</v>
      </c>
      <c r="G1748" t="s">
        <v>11</v>
      </c>
      <c r="H1748" t="s">
        <v>16</v>
      </c>
      <c r="I1748" t="s">
        <v>247</v>
      </c>
      <c r="J1748" s="11">
        <f>DATE(B1748,MATCH(C1748,{"Jan","Feb","Mar","Apr","May","Jun","Jul","Aug","Sep","Oct","Nov","Dec"},0),D1748)</f>
        <v>34278</v>
      </c>
      <c r="K1748">
        <f t="shared" si="27"/>
        <v>29</v>
      </c>
    </row>
    <row r="1749" spans="1:11" x14ac:dyDescent="0.35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 s="15">
        <v>16770.990000000002</v>
      </c>
      <c r="G1749" t="s">
        <v>11</v>
      </c>
      <c r="H1749" t="s">
        <v>16</v>
      </c>
      <c r="I1749" t="s">
        <v>23</v>
      </c>
      <c r="J1749" s="11">
        <f>DATE(B1749,MATCH(C1749,{"Jan","Feb","Mar","Apr","May","Jun","Jul","Aug","Sep","Oct","Nov","Dec"},0),D1749)</f>
        <v>27269</v>
      </c>
      <c r="K1749">
        <f t="shared" si="27"/>
        <v>48</v>
      </c>
    </row>
    <row r="1750" spans="1:11" x14ac:dyDescent="0.35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 s="15">
        <v>16776.3</v>
      </c>
      <c r="G1750" t="s">
        <v>11</v>
      </c>
      <c r="H1750" t="s">
        <v>11</v>
      </c>
      <c r="I1750" t="s">
        <v>247</v>
      </c>
      <c r="J1750" s="11">
        <f>DATE(B1750,MATCH(C1750,{"Jan","Feb","Mar","Apr","May","Jun","Jul","Aug","Sep","Oct","Nov","Dec"},0),D1750)</f>
        <v>32774</v>
      </c>
      <c r="K1750">
        <f t="shared" si="27"/>
        <v>33</v>
      </c>
    </row>
    <row r="1751" spans="1:11" x14ac:dyDescent="0.35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 s="15">
        <v>16779.400000000001</v>
      </c>
      <c r="G1751" t="s">
        <v>11</v>
      </c>
      <c r="H1751" t="s">
        <v>11</v>
      </c>
      <c r="I1751" t="s">
        <v>535</v>
      </c>
      <c r="J1751" s="11">
        <f>DATE(B1751,MATCH(C1751,{"Jan","Feb","Mar","Apr","May","Jun","Jul","Aug","Sep","Oct","Nov","Dec"},0),D1751)</f>
        <v>22856</v>
      </c>
      <c r="K1751">
        <f t="shared" si="27"/>
        <v>60</v>
      </c>
    </row>
    <row r="1752" spans="1:11" x14ac:dyDescent="0.35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 s="15">
        <v>16796.41</v>
      </c>
      <c r="G1752" t="s">
        <v>11</v>
      </c>
      <c r="H1752" t="s">
        <v>12</v>
      </c>
      <c r="I1752" t="s">
        <v>247</v>
      </c>
      <c r="J1752" s="11">
        <f>DATE(B1752,MATCH(C1752,{"Jan","Feb","Mar","Apr","May","Jun","Jul","Aug","Sep","Oct","Nov","Dec"},0),D1752)</f>
        <v>34991</v>
      </c>
      <c r="K1752">
        <f t="shared" si="27"/>
        <v>27</v>
      </c>
    </row>
    <row r="1753" spans="1:11" x14ac:dyDescent="0.35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 s="15">
        <v>16841.32</v>
      </c>
      <c r="G1753" t="s">
        <v>11</v>
      </c>
      <c r="H1753" t="s">
        <v>12</v>
      </c>
      <c r="I1753" t="s">
        <v>42</v>
      </c>
      <c r="J1753" s="11">
        <f>DATE(B1753,MATCH(C1753,{"Jan","Feb","Mar","Apr","May","Jun","Jul","Aug","Sep","Oct","Nov","Dec"},0),D1753)</f>
        <v>27249</v>
      </c>
      <c r="K1753">
        <f t="shared" si="27"/>
        <v>48</v>
      </c>
    </row>
    <row r="1754" spans="1:11" x14ac:dyDescent="0.35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 s="15">
        <v>16884.919999999998</v>
      </c>
      <c r="G1754" t="s">
        <v>11</v>
      </c>
      <c r="H1754" t="s">
        <v>11</v>
      </c>
      <c r="I1754" t="s">
        <v>42</v>
      </c>
      <c r="J1754" s="11">
        <f>DATE(B1754,MATCH(C1754,{"Jan","Feb","Mar","Apr","May","Jun","Jul","Aug","Sep","Oct","Nov","Dec"},0),D1754)</f>
        <v>37874</v>
      </c>
      <c r="K1754">
        <f t="shared" si="27"/>
        <v>19</v>
      </c>
    </row>
    <row r="1755" spans="1:11" x14ac:dyDescent="0.35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 s="15">
        <v>16903.5</v>
      </c>
      <c r="G1755" t="s">
        <v>11</v>
      </c>
      <c r="H1755" t="s">
        <v>12</v>
      </c>
      <c r="I1755" t="s">
        <v>23</v>
      </c>
      <c r="J1755" s="11">
        <f>DATE(B1755,MATCH(C1755,{"Jan","Feb","Mar","Apr","May","Jun","Jul","Aug","Sep","Oct","Nov","Dec"},0),D1755)</f>
        <v>25132</v>
      </c>
      <c r="K1755">
        <f t="shared" si="27"/>
        <v>54</v>
      </c>
    </row>
    <row r="1756" spans="1:11" x14ac:dyDescent="0.35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 s="15">
        <v>16921.09</v>
      </c>
      <c r="G1756" t="s">
        <v>11</v>
      </c>
      <c r="H1756" t="s">
        <v>12</v>
      </c>
      <c r="I1756" t="s">
        <v>249</v>
      </c>
      <c r="J1756" s="11">
        <f>DATE(B1756,MATCH(C1756,{"Jan","Feb","Mar","Apr","May","Jun","Jul","Aug","Sep","Oct","Nov","Dec"},0),D1756)</f>
        <v>28362</v>
      </c>
      <c r="K1756">
        <f t="shared" si="27"/>
        <v>45</v>
      </c>
    </row>
    <row r="1757" spans="1:11" x14ac:dyDescent="0.35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 s="15">
        <v>16990.55</v>
      </c>
      <c r="G1757" t="s">
        <v>11</v>
      </c>
      <c r="H1757" t="s">
        <v>12</v>
      </c>
      <c r="I1757" t="s">
        <v>23</v>
      </c>
      <c r="J1757" s="11">
        <f>DATE(B1757,MATCH(C1757,{"Jan","Feb","Mar","Apr","May","Jun","Jul","Aug","Sep","Oct","Nov","Dec"},0),D1757)</f>
        <v>29418</v>
      </c>
      <c r="K1757">
        <f t="shared" si="27"/>
        <v>42</v>
      </c>
    </row>
    <row r="1758" spans="1:11" x14ac:dyDescent="0.35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 s="15">
        <v>17016.009999999998</v>
      </c>
      <c r="G1758" t="s">
        <v>11</v>
      </c>
      <c r="H1758" t="s">
        <v>11</v>
      </c>
      <c r="I1758" t="s">
        <v>249</v>
      </c>
      <c r="J1758" s="11">
        <f>DATE(B1758,MATCH(C1758,{"Jan","Feb","Mar","Apr","May","Jun","Jul","Aug","Sep","Oct","Nov","Dec"},0),D1758)</f>
        <v>26167</v>
      </c>
      <c r="K1758">
        <f t="shared" si="27"/>
        <v>51</v>
      </c>
    </row>
    <row r="1759" spans="1:11" x14ac:dyDescent="0.35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 s="15">
        <v>17043.34</v>
      </c>
      <c r="G1759" t="s">
        <v>11</v>
      </c>
      <c r="H1759" t="s">
        <v>12</v>
      </c>
      <c r="I1759" t="s">
        <v>13</v>
      </c>
      <c r="J1759" s="11">
        <f>DATE(B1759,MATCH(C1759,{"Jan","Feb","Mar","Apr","May","Jun","Jul","Aug","Sep","Oct","Nov","Dec"},0),D1759)</f>
        <v>35226</v>
      </c>
      <c r="K1759">
        <f t="shared" si="27"/>
        <v>26</v>
      </c>
    </row>
    <row r="1760" spans="1:11" x14ac:dyDescent="0.35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 s="15">
        <v>17081.080000000002</v>
      </c>
      <c r="G1760" t="s">
        <v>11</v>
      </c>
      <c r="H1760" t="s">
        <v>11</v>
      </c>
      <c r="I1760" t="s">
        <v>42</v>
      </c>
      <c r="J1760" s="11">
        <f>DATE(B1760,MATCH(C1760,{"Jan","Feb","Mar","Apr","May","Jun","Jul","Aug","Sep","Oct","Nov","Dec"},0),D1760)</f>
        <v>37981</v>
      </c>
      <c r="K1760">
        <f t="shared" si="27"/>
        <v>19</v>
      </c>
    </row>
    <row r="1761" spans="1:11" x14ac:dyDescent="0.35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 s="15">
        <v>17085.27</v>
      </c>
      <c r="G1761" t="s">
        <v>11</v>
      </c>
      <c r="H1761" t="s">
        <v>12</v>
      </c>
      <c r="I1761" t="s">
        <v>13</v>
      </c>
      <c r="J1761" s="11">
        <f>DATE(B1761,MATCH(C1761,{"Jan","Feb","Mar","Apr","May","Jun","Jul","Aug","Sep","Oct","Nov","Dec"},0),D1761)</f>
        <v>37435</v>
      </c>
      <c r="K1761">
        <f t="shared" si="27"/>
        <v>20</v>
      </c>
    </row>
    <row r="1762" spans="1:11" x14ac:dyDescent="0.35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 s="15">
        <v>17128.43</v>
      </c>
      <c r="G1762" t="s">
        <v>11</v>
      </c>
      <c r="H1762" t="s">
        <v>12</v>
      </c>
      <c r="I1762" t="s">
        <v>168</v>
      </c>
      <c r="J1762" s="11">
        <f>DATE(B1762,MATCH(C1762,{"Jan","Feb","Mar","Apr","May","Jun","Jul","Aug","Sep","Oct","Nov","Dec"},0),D1762)</f>
        <v>35949</v>
      </c>
      <c r="K1762">
        <f t="shared" si="27"/>
        <v>25</v>
      </c>
    </row>
    <row r="1763" spans="1:11" x14ac:dyDescent="0.35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 s="15">
        <v>17172.27</v>
      </c>
      <c r="G1763" t="s">
        <v>11</v>
      </c>
      <c r="H1763" t="s">
        <v>11</v>
      </c>
      <c r="I1763" t="s">
        <v>535</v>
      </c>
      <c r="J1763" s="11">
        <f>DATE(B1763,MATCH(C1763,{"Jan","Feb","Mar","Apr","May","Jun","Jul","Aug","Sep","Oct","Nov","Dec"},0),D1763)</f>
        <v>24001</v>
      </c>
      <c r="K1763">
        <f t="shared" si="27"/>
        <v>57</v>
      </c>
    </row>
    <row r="1764" spans="1:11" x14ac:dyDescent="0.35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 s="15">
        <v>17174.52</v>
      </c>
      <c r="G1764" t="s">
        <v>11</v>
      </c>
      <c r="H1764" t="s">
        <v>11</v>
      </c>
      <c r="I1764" t="s">
        <v>23</v>
      </c>
      <c r="J1764" s="11">
        <f>DATE(B1764,MATCH(C1764,{"Jan","Feb","Mar","Apr","May","Jun","Jul","Aug","Sep","Oct","Nov","Dec"},0),D1764)</f>
        <v>23535</v>
      </c>
      <c r="K1764">
        <f t="shared" si="27"/>
        <v>59</v>
      </c>
    </row>
    <row r="1765" spans="1:11" x14ac:dyDescent="0.35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 s="15">
        <v>17178.68</v>
      </c>
      <c r="G1765" t="s">
        <v>11</v>
      </c>
      <c r="H1765" t="s">
        <v>11</v>
      </c>
      <c r="I1765" t="s">
        <v>166</v>
      </c>
      <c r="J1765" s="11">
        <f>DATE(B1765,MATCH(C1765,{"Jan","Feb","Mar","Apr","May","Jun","Jul","Aug","Sep","Oct","Nov","Dec"},0),D1765)</f>
        <v>38217</v>
      </c>
      <c r="K1765">
        <f t="shared" si="27"/>
        <v>18</v>
      </c>
    </row>
    <row r="1766" spans="1:11" x14ac:dyDescent="0.35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 s="15">
        <v>17179.52</v>
      </c>
      <c r="G1766" t="s">
        <v>11</v>
      </c>
      <c r="H1766" t="s">
        <v>16</v>
      </c>
      <c r="I1766" t="s">
        <v>13</v>
      </c>
      <c r="J1766" s="11">
        <f>DATE(B1766,MATCH(C1766,{"Jan","Feb","Mar","Apr","May","Jun","Jul","Aug","Sep","Oct","Nov","Dec"},0),D1766)</f>
        <v>30246</v>
      </c>
      <c r="K1766">
        <f t="shared" si="27"/>
        <v>40</v>
      </c>
    </row>
    <row r="1767" spans="1:11" x14ac:dyDescent="0.35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 s="15">
        <v>17253.43</v>
      </c>
      <c r="G1767" t="s">
        <v>11</v>
      </c>
      <c r="H1767" t="s">
        <v>12</v>
      </c>
      <c r="I1767" t="s">
        <v>535</v>
      </c>
      <c r="J1767" s="11">
        <f>DATE(B1767,MATCH(C1767,{"Jan","Feb","Mar","Apr","May","Jun","Jul","Aug","Sep","Oct","Nov","Dec"},0),D1767)</f>
        <v>27631</v>
      </c>
      <c r="K1767">
        <f t="shared" si="27"/>
        <v>47</v>
      </c>
    </row>
    <row r="1768" spans="1:11" x14ac:dyDescent="0.35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 s="15">
        <v>17337.580000000002</v>
      </c>
      <c r="G1768" t="s">
        <v>11</v>
      </c>
      <c r="H1768" t="s">
        <v>12</v>
      </c>
      <c r="I1768" t="s">
        <v>249</v>
      </c>
      <c r="J1768" s="11">
        <f>DATE(B1768,MATCH(C1768,{"Jan","Feb","Mar","Apr","May","Jun","Jul","Aug","Sep","Oct","Nov","Dec"},0),D1768)</f>
        <v>23204</v>
      </c>
      <c r="K1768">
        <f t="shared" si="27"/>
        <v>59</v>
      </c>
    </row>
    <row r="1769" spans="1:11" x14ac:dyDescent="0.35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 s="15">
        <v>17352.68</v>
      </c>
      <c r="G1769" t="s">
        <v>11</v>
      </c>
      <c r="H1769" t="s">
        <v>12</v>
      </c>
      <c r="I1769" t="s">
        <v>23</v>
      </c>
      <c r="J1769" s="11">
        <f>DATE(B1769,MATCH(C1769,{"Jan","Feb","Mar","Apr","May","Jun","Jul","Aug","Sep","Oct","Nov","Dec"},0),D1769)</f>
        <v>37926</v>
      </c>
      <c r="K1769">
        <f t="shared" si="27"/>
        <v>19</v>
      </c>
    </row>
    <row r="1770" spans="1:11" x14ac:dyDescent="0.35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 s="15">
        <v>17361.77</v>
      </c>
      <c r="G1770" t="s">
        <v>11</v>
      </c>
      <c r="H1770" t="s">
        <v>16</v>
      </c>
      <c r="I1770" t="s">
        <v>23</v>
      </c>
      <c r="J1770" s="11">
        <f>DATE(B1770,MATCH(C1770,{"Jan","Feb","Mar","Apr","May","Jun","Jul","Aug","Sep","Oct","Nov","Dec"},0),D1770)</f>
        <v>33895</v>
      </c>
      <c r="K1770">
        <f t="shared" si="27"/>
        <v>30</v>
      </c>
    </row>
    <row r="1771" spans="1:11" x14ac:dyDescent="0.35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 s="15">
        <v>17468.98</v>
      </c>
      <c r="G1771" t="s">
        <v>11</v>
      </c>
      <c r="H1771" t="s">
        <v>16</v>
      </c>
      <c r="I1771" t="s">
        <v>23</v>
      </c>
      <c r="J1771" s="11">
        <f>DATE(B1771,MATCH(C1771,{"Jan","Feb","Mar","Apr","May","Jun","Jul","Aug","Sep","Oct","Nov","Dec"},0),D1771)</f>
        <v>37927</v>
      </c>
      <c r="K1771">
        <f t="shared" si="27"/>
        <v>19</v>
      </c>
    </row>
    <row r="1772" spans="1:11" x14ac:dyDescent="0.35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 s="15">
        <v>17479.53</v>
      </c>
      <c r="G1772" t="s">
        <v>16</v>
      </c>
      <c r="H1772" t="s">
        <v>16</v>
      </c>
      <c r="I1772" t="s">
        <v>23</v>
      </c>
      <c r="J1772" s="11">
        <f>DATE(B1772,MATCH(C1772,{"Jan","Feb","Mar","Apr","May","Jun","Jul","Aug","Sep","Oct","Nov","Dec"},0),D1772)</f>
        <v>26092</v>
      </c>
      <c r="K1772">
        <f t="shared" si="27"/>
        <v>52</v>
      </c>
    </row>
    <row r="1773" spans="1:11" x14ac:dyDescent="0.35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 s="15">
        <v>17496.310000000001</v>
      </c>
      <c r="G1773" t="s">
        <v>16</v>
      </c>
      <c r="H1773" t="s">
        <v>11</v>
      </c>
      <c r="I1773" t="s">
        <v>42</v>
      </c>
      <c r="J1773" s="11">
        <f>DATE(B1773,MATCH(C1773,{"Jan","Feb","Mar","Apr","May","Jun","Jul","Aug","Sep","Oct","Nov","Dec"},0),D1773)</f>
        <v>33236</v>
      </c>
      <c r="K1773">
        <f t="shared" si="27"/>
        <v>32</v>
      </c>
    </row>
    <row r="1774" spans="1:11" x14ac:dyDescent="0.35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 s="15">
        <v>17505.650000000001</v>
      </c>
      <c r="G1774" t="s">
        <v>16</v>
      </c>
      <c r="H1774" t="s">
        <v>11</v>
      </c>
      <c r="I1774" t="s">
        <v>249</v>
      </c>
      <c r="J1774" s="11">
        <f>DATE(B1774,MATCH(C1774,{"Jan","Feb","Mar","Apr","May","Jun","Jul","Aug","Sep","Oct","Nov","Dec"},0),D1774)</f>
        <v>23909</v>
      </c>
      <c r="K1774">
        <f t="shared" si="27"/>
        <v>57</v>
      </c>
    </row>
    <row r="1775" spans="1:11" x14ac:dyDescent="0.35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 s="15">
        <v>17507.47</v>
      </c>
      <c r="G1775" t="s">
        <v>16</v>
      </c>
      <c r="H1775" t="s">
        <v>16</v>
      </c>
      <c r="I1775" t="s">
        <v>535</v>
      </c>
      <c r="J1775" s="11">
        <f>DATE(B1775,MATCH(C1775,{"Jan","Feb","Mar","Apr","May","Jun","Jul","Aug","Sep","Oct","Nov","Dec"},0),D1775)</f>
        <v>25031</v>
      </c>
      <c r="K1775">
        <f t="shared" si="27"/>
        <v>54</v>
      </c>
    </row>
    <row r="1776" spans="1:11" x14ac:dyDescent="0.35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 s="15">
        <v>17556.88</v>
      </c>
      <c r="G1776" t="s">
        <v>16</v>
      </c>
      <c r="H1776" t="s">
        <v>11</v>
      </c>
      <c r="I1776" t="s">
        <v>23</v>
      </c>
      <c r="J1776" s="11">
        <f>DATE(B1776,MATCH(C1776,{"Jan","Feb","Mar","Apr","May","Jun","Jul","Aug","Sep","Oct","Nov","Dec"},0),D1776)</f>
        <v>23331</v>
      </c>
      <c r="K1776">
        <f t="shared" si="27"/>
        <v>59</v>
      </c>
    </row>
    <row r="1777" spans="1:11" x14ac:dyDescent="0.35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 s="15">
        <v>17560.38</v>
      </c>
      <c r="G1777" t="s">
        <v>16</v>
      </c>
      <c r="H1777" t="s">
        <v>16</v>
      </c>
      <c r="I1777" t="s">
        <v>23</v>
      </c>
      <c r="J1777" s="11">
        <f>DATE(B1777,MATCH(C1777,{"Jan","Feb","Mar","Apr","May","Jun","Jul","Aug","Sep","Oct","Nov","Dec"},0),D1777)</f>
        <v>37493</v>
      </c>
      <c r="K1777">
        <f t="shared" si="27"/>
        <v>20</v>
      </c>
    </row>
    <row r="1778" spans="1:11" x14ac:dyDescent="0.35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 s="15">
        <v>17584.72</v>
      </c>
      <c r="G1778" t="s">
        <v>16</v>
      </c>
      <c r="H1778" t="s">
        <v>12</v>
      </c>
      <c r="I1778" t="s">
        <v>23</v>
      </c>
      <c r="J1778" s="11">
        <f>DATE(B1778,MATCH(C1778,{"Jan","Feb","Mar","Apr","May","Jun","Jul","Aug","Sep","Oct","Nov","Dec"},0),D1778)</f>
        <v>25775</v>
      </c>
      <c r="K1778">
        <f t="shared" si="27"/>
        <v>52</v>
      </c>
    </row>
    <row r="1779" spans="1:11" x14ac:dyDescent="0.35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 s="15">
        <v>17626.240000000002</v>
      </c>
      <c r="G1779" t="s">
        <v>16</v>
      </c>
      <c r="H1779" t="s">
        <v>12</v>
      </c>
      <c r="I1779" t="s">
        <v>13</v>
      </c>
      <c r="J1779" s="11">
        <f>DATE(B1779,MATCH(C1779,{"Jan","Feb","Mar","Apr","May","Jun","Jul","Aug","Sep","Oct","Nov","Dec"},0),D1779)</f>
        <v>33171</v>
      </c>
      <c r="K1779">
        <f t="shared" si="27"/>
        <v>32</v>
      </c>
    </row>
    <row r="1780" spans="1:11" x14ac:dyDescent="0.35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 s="15">
        <v>17663.14</v>
      </c>
      <c r="G1780" t="s">
        <v>16</v>
      </c>
      <c r="H1780" t="s">
        <v>12</v>
      </c>
      <c r="I1780" t="s">
        <v>13</v>
      </c>
      <c r="J1780" s="11">
        <f>DATE(B1780,MATCH(C1780,{"Jan","Feb","Mar","Apr","May","Jun","Jul","Aug","Sep","Oct","Nov","Dec"},0),D1780)</f>
        <v>34516</v>
      </c>
      <c r="K1780">
        <f t="shared" si="27"/>
        <v>28</v>
      </c>
    </row>
    <row r="1781" spans="1:11" x14ac:dyDescent="0.35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 s="15">
        <v>17748.509999999998</v>
      </c>
      <c r="G1781" t="s">
        <v>16</v>
      </c>
      <c r="H1781" t="s">
        <v>16</v>
      </c>
      <c r="I1781" t="s">
        <v>23</v>
      </c>
      <c r="J1781" s="11">
        <f>DATE(B1781,MATCH(C1781,{"Jan","Feb","Mar","Apr","May","Jun","Jul","Aug","Sep","Oct","Nov","Dec"},0),D1781)</f>
        <v>37816</v>
      </c>
      <c r="K1781">
        <f t="shared" si="27"/>
        <v>19</v>
      </c>
    </row>
    <row r="1782" spans="1:11" x14ac:dyDescent="0.35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 s="15">
        <v>17777.73</v>
      </c>
      <c r="G1782" t="s">
        <v>16</v>
      </c>
      <c r="H1782" t="s">
        <v>12</v>
      </c>
      <c r="I1782" t="s">
        <v>23</v>
      </c>
      <c r="J1782" s="11">
        <f>DATE(B1782,MATCH(C1782,{"Jan","Feb","Mar","Apr","May","Jun","Jul","Aug","Sep","Oct","Nov","Dec"},0),D1782)</f>
        <v>24279</v>
      </c>
      <c r="K1782">
        <f t="shared" si="27"/>
        <v>56</v>
      </c>
    </row>
    <row r="1783" spans="1:11" x14ac:dyDescent="0.35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 s="15">
        <v>17779.939999999999</v>
      </c>
      <c r="G1783" t="s">
        <v>16</v>
      </c>
      <c r="H1783" t="s">
        <v>11</v>
      </c>
      <c r="I1783" t="s">
        <v>23</v>
      </c>
      <c r="J1783" s="11">
        <f>DATE(B1783,MATCH(C1783,{"Jan","Feb","Mar","Apr","May","Jun","Jul","Aug","Sep","Oct","Nov","Dec"},0),D1783)</f>
        <v>29138</v>
      </c>
      <c r="K1783">
        <f t="shared" si="27"/>
        <v>43</v>
      </c>
    </row>
    <row r="1784" spans="1:11" x14ac:dyDescent="0.35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 s="15">
        <v>17832.599999999999</v>
      </c>
      <c r="G1784" t="s">
        <v>16</v>
      </c>
      <c r="H1784" t="s">
        <v>11</v>
      </c>
      <c r="I1784" t="s">
        <v>23</v>
      </c>
      <c r="J1784" s="11">
        <f>DATE(B1784,MATCH(C1784,{"Jan","Feb","Mar","Apr","May","Jun","Jul","Aug","Sep","Oct","Nov","Dec"},0),D1784)</f>
        <v>23353</v>
      </c>
      <c r="K1784">
        <f t="shared" si="27"/>
        <v>59</v>
      </c>
    </row>
    <row r="1785" spans="1:11" x14ac:dyDescent="0.35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 s="15">
        <v>17862.919999999998</v>
      </c>
      <c r="G1785" t="s">
        <v>16</v>
      </c>
      <c r="H1785" t="s">
        <v>11</v>
      </c>
      <c r="I1785" t="s">
        <v>23</v>
      </c>
      <c r="J1785" s="11">
        <f>DATE(B1785,MATCH(C1785,{"Jan","Feb","Mar","Apr","May","Jun","Jul","Aug","Sep","Oct","Nov","Dec"},0),D1785)</f>
        <v>28106</v>
      </c>
      <c r="K1785">
        <f t="shared" si="27"/>
        <v>46</v>
      </c>
    </row>
    <row r="1786" spans="1:11" x14ac:dyDescent="0.35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 s="15">
        <v>17878.900000000001</v>
      </c>
      <c r="G1786" t="s">
        <v>16</v>
      </c>
      <c r="H1786" t="s">
        <v>11</v>
      </c>
      <c r="I1786" t="s">
        <v>247</v>
      </c>
      <c r="J1786" s="11">
        <f>DATE(B1786,MATCH(C1786,{"Jan","Feb","Mar","Apr","May","Jun","Jul","Aug","Sep","Oct","Nov","Dec"},0),D1786)</f>
        <v>35668</v>
      </c>
      <c r="K1786">
        <f t="shared" si="27"/>
        <v>25</v>
      </c>
    </row>
    <row r="1787" spans="1:11" x14ac:dyDescent="0.35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 s="15">
        <v>17882.669999999998</v>
      </c>
      <c r="G1787" t="s">
        <v>16</v>
      </c>
      <c r="H1787" t="s">
        <v>12</v>
      </c>
      <c r="I1787" t="s">
        <v>23</v>
      </c>
      <c r="J1787" s="11">
        <f>DATE(B1787,MATCH(C1787,{"Jan","Feb","Mar","Apr","May","Jun","Jul","Aug","Sep","Oct","Nov","Dec"},0),D1787)</f>
        <v>29171</v>
      </c>
      <c r="K1787">
        <f t="shared" si="27"/>
        <v>43</v>
      </c>
    </row>
    <row r="1788" spans="1:11" x14ac:dyDescent="0.35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 s="15">
        <v>17904.53</v>
      </c>
      <c r="G1788" t="s">
        <v>16</v>
      </c>
      <c r="H1788" t="s">
        <v>11</v>
      </c>
      <c r="I1788" t="s">
        <v>356</v>
      </c>
      <c r="J1788" s="11">
        <f>DATE(B1788,MATCH(C1788,{"Jan","Feb","Mar","Apr","May","Jun","Jul","Aug","Sep","Oct","Nov","Dec"},0),D1788)</f>
        <v>32846</v>
      </c>
      <c r="K1788">
        <f t="shared" si="27"/>
        <v>33</v>
      </c>
    </row>
    <row r="1789" spans="1:11" x14ac:dyDescent="0.35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 s="15">
        <v>17929.3</v>
      </c>
      <c r="G1789" t="s">
        <v>16</v>
      </c>
      <c r="H1789" t="s">
        <v>11</v>
      </c>
      <c r="I1789" t="s">
        <v>13</v>
      </c>
      <c r="J1789" s="11">
        <f>DATE(B1789,MATCH(C1789,{"Jan","Feb","Mar","Apr","May","Jun","Jul","Aug","Sep","Oct","Nov","Dec"},0),D1789)</f>
        <v>28415</v>
      </c>
      <c r="K1789">
        <f t="shared" si="27"/>
        <v>45</v>
      </c>
    </row>
    <row r="1790" spans="1:11" x14ac:dyDescent="0.35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 s="15">
        <v>17942.11</v>
      </c>
      <c r="G1790" t="s">
        <v>16</v>
      </c>
      <c r="H1790" t="s">
        <v>11</v>
      </c>
      <c r="I1790" t="s">
        <v>42</v>
      </c>
      <c r="J1790" s="11">
        <f>DATE(B1790,MATCH(C1790,{"Jan","Feb","Mar","Apr","May","Jun","Jul","Aug","Sep","Oct","Nov","Dec"},0),D1790)</f>
        <v>37162</v>
      </c>
      <c r="K1790">
        <f t="shared" si="27"/>
        <v>21</v>
      </c>
    </row>
    <row r="1791" spans="1:11" x14ac:dyDescent="0.35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 s="15">
        <v>18031.16</v>
      </c>
      <c r="G1791" t="s">
        <v>16</v>
      </c>
      <c r="H1791" t="s">
        <v>12</v>
      </c>
      <c r="I1791" t="s">
        <v>249</v>
      </c>
      <c r="J1791" s="11">
        <f>DATE(B1791,MATCH(C1791,{"Jan","Feb","Mar","Apr","May","Jun","Jul","Aug","Sep","Oct","Nov","Dec"},0),D1791)</f>
        <v>27572</v>
      </c>
      <c r="K1791">
        <f t="shared" si="27"/>
        <v>47</v>
      </c>
    </row>
    <row r="1792" spans="1:11" x14ac:dyDescent="0.35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 s="15">
        <v>18031.189999999999</v>
      </c>
      <c r="G1792" t="s">
        <v>16</v>
      </c>
      <c r="H1792" t="s">
        <v>11</v>
      </c>
      <c r="I1792" t="s">
        <v>23</v>
      </c>
      <c r="J1792" s="11">
        <f>DATE(B1792,MATCH(C1792,{"Jan","Feb","Mar","Apr","May","Jun","Jul","Aug","Sep","Oct","Nov","Dec"},0),D1792)</f>
        <v>24032</v>
      </c>
      <c r="K1792">
        <f t="shared" si="27"/>
        <v>57</v>
      </c>
    </row>
    <row r="1793" spans="1:11" x14ac:dyDescent="0.35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 s="15">
        <v>18033.97</v>
      </c>
      <c r="G1793" t="s">
        <v>16</v>
      </c>
      <c r="H1793" t="s">
        <v>16</v>
      </c>
      <c r="I1793" t="s">
        <v>23</v>
      </c>
      <c r="J1793" s="11">
        <f>DATE(B1793,MATCH(C1793,{"Jan","Feb","Mar","Apr","May","Jun","Jul","Aug","Sep","Oct","Nov","Dec"},0),D1793)</f>
        <v>36457</v>
      </c>
      <c r="K1793">
        <f t="shared" si="27"/>
        <v>23</v>
      </c>
    </row>
    <row r="1794" spans="1:11" x14ac:dyDescent="0.35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 s="15">
        <v>18157.88</v>
      </c>
      <c r="G1794" t="s">
        <v>16</v>
      </c>
      <c r="H1794" t="s">
        <v>16</v>
      </c>
      <c r="I1794" t="s">
        <v>23</v>
      </c>
      <c r="J1794" s="11">
        <f>DATE(B1794,MATCH(C1794,{"Jan","Feb","Mar","Apr","May","Jun","Jul","Aug","Sep","Oct","Nov","Dec"},0),D1794)</f>
        <v>34162</v>
      </c>
      <c r="K1794">
        <f t="shared" si="27"/>
        <v>29</v>
      </c>
    </row>
    <row r="1795" spans="1:11" x14ac:dyDescent="0.35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 s="15">
        <v>18208.34</v>
      </c>
      <c r="G1795" t="s">
        <v>16</v>
      </c>
      <c r="H1795" t="s">
        <v>11</v>
      </c>
      <c r="I1795" t="s">
        <v>535</v>
      </c>
      <c r="J1795" s="11">
        <f>DATE(B1795,MATCH(C1795,{"Jan","Feb","Mar","Apr","May","Jun","Jul","Aug","Sep","Oct","Nov","Dec"},0),D1795)</f>
        <v>23196</v>
      </c>
      <c r="K1795">
        <f t="shared" ref="K1795:K1858" si="28">DATEDIF(J1795,$N$1,"Y")</f>
        <v>59</v>
      </c>
    </row>
    <row r="1796" spans="1:11" x14ac:dyDescent="0.35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 s="15">
        <v>18218.16</v>
      </c>
      <c r="G1796" t="s">
        <v>16</v>
      </c>
      <c r="H1796" t="s">
        <v>16</v>
      </c>
      <c r="I1796" t="s">
        <v>13</v>
      </c>
      <c r="J1796" s="11">
        <f>DATE(B1796,MATCH(C1796,{"Jan","Feb","Mar","Apr","May","Jun","Jul","Aug","Sep","Oct","Nov","Dec"},0),D1796)</f>
        <v>35596</v>
      </c>
      <c r="K1796">
        <f t="shared" si="28"/>
        <v>25</v>
      </c>
    </row>
    <row r="1797" spans="1:11" x14ac:dyDescent="0.35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 s="15">
        <v>18223.45</v>
      </c>
      <c r="G1797" t="s">
        <v>16</v>
      </c>
      <c r="H1797" t="s">
        <v>12</v>
      </c>
      <c r="I1797" t="s">
        <v>13</v>
      </c>
      <c r="J1797" s="11">
        <f>DATE(B1797,MATCH(C1797,{"Jan","Feb","Mar","Apr","May","Jun","Jul","Aug","Sep","Oct","Nov","Dec"},0),D1797)</f>
        <v>38240</v>
      </c>
      <c r="K1797">
        <f t="shared" si="28"/>
        <v>18</v>
      </c>
    </row>
    <row r="1798" spans="1:11" x14ac:dyDescent="0.35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 s="15">
        <v>18246.5</v>
      </c>
      <c r="G1798" t="s">
        <v>16</v>
      </c>
      <c r="H1798" t="s">
        <v>16</v>
      </c>
      <c r="I1798" t="s">
        <v>13</v>
      </c>
      <c r="J1798" s="11">
        <f>DATE(B1798,MATCH(C1798,{"Jan","Feb","Mar","Apr","May","Jun","Jul","Aug","Sep","Oct","Nov","Dec"},0),D1798)</f>
        <v>34914</v>
      </c>
      <c r="K1798">
        <f t="shared" si="28"/>
        <v>27</v>
      </c>
    </row>
    <row r="1799" spans="1:11" x14ac:dyDescent="0.35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 s="15">
        <v>18259.22</v>
      </c>
      <c r="G1799" t="s">
        <v>16</v>
      </c>
      <c r="H1799" t="s">
        <v>12</v>
      </c>
      <c r="I1799" t="s">
        <v>42</v>
      </c>
      <c r="J1799" s="11">
        <f>DATE(B1799,MATCH(C1799,{"Jan","Feb","Mar","Apr","May","Jun","Jul","Aug","Sep","Oct","Nov","Dec"},0),D1799)</f>
        <v>33963</v>
      </c>
      <c r="K1799">
        <f t="shared" si="28"/>
        <v>30</v>
      </c>
    </row>
    <row r="1800" spans="1:11" x14ac:dyDescent="0.35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 s="15">
        <v>18310.740000000002</v>
      </c>
      <c r="G1800" t="s">
        <v>16</v>
      </c>
      <c r="H1800" t="s">
        <v>12</v>
      </c>
      <c r="I1800" t="s">
        <v>23</v>
      </c>
      <c r="J1800" s="11">
        <f>DATE(B1800,MATCH(C1800,{"Jan","Feb","Mar","Apr","May","Jun","Jul","Aug","Sep","Oct","Nov","Dec"},0),D1800)</f>
        <v>34884</v>
      </c>
      <c r="K1800">
        <f t="shared" si="28"/>
        <v>27</v>
      </c>
    </row>
    <row r="1801" spans="1:11" x14ac:dyDescent="0.35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 s="15">
        <v>18328.240000000002</v>
      </c>
      <c r="G1801" t="s">
        <v>16</v>
      </c>
      <c r="H1801" t="s">
        <v>11</v>
      </c>
      <c r="I1801" t="s">
        <v>13</v>
      </c>
      <c r="J1801" s="11">
        <f>DATE(B1801,MATCH(C1801,{"Jan","Feb","Mar","Apr","May","Jun","Jul","Aug","Sep","Oct","Nov","Dec"},0),D1801)</f>
        <v>36509</v>
      </c>
      <c r="K1801">
        <f t="shared" si="28"/>
        <v>23</v>
      </c>
    </row>
    <row r="1802" spans="1:11" x14ac:dyDescent="0.35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 s="15">
        <v>18443.11</v>
      </c>
      <c r="G1802" t="s">
        <v>16</v>
      </c>
      <c r="H1802" t="s">
        <v>11</v>
      </c>
      <c r="I1802" t="s">
        <v>23</v>
      </c>
      <c r="J1802" s="11">
        <f>DATE(B1802,MATCH(C1802,{"Jan","Feb","Mar","Apr","May","Jun","Jul","Aug","Sep","Oct","Nov","Dec"},0),D1802)</f>
        <v>23646</v>
      </c>
      <c r="K1802">
        <f t="shared" si="28"/>
        <v>58</v>
      </c>
    </row>
    <row r="1803" spans="1:11" x14ac:dyDescent="0.35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 s="15">
        <v>18608.259999999998</v>
      </c>
      <c r="G1803" t="s">
        <v>16</v>
      </c>
      <c r="H1803" t="s">
        <v>12</v>
      </c>
      <c r="I1803" t="s">
        <v>42</v>
      </c>
      <c r="J1803" s="11">
        <f>DATE(B1803,MATCH(C1803,{"Jan","Feb","Mar","Apr","May","Jun","Jul","Aug","Sep","Oct","Nov","Dec"},0),D1803)</f>
        <v>31636</v>
      </c>
      <c r="K1803">
        <f t="shared" si="28"/>
        <v>36</v>
      </c>
    </row>
    <row r="1804" spans="1:11" x14ac:dyDescent="0.35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 s="15">
        <v>18648.419999999998</v>
      </c>
      <c r="G1804" t="s">
        <v>16</v>
      </c>
      <c r="H1804" t="s">
        <v>16</v>
      </c>
      <c r="I1804" t="s">
        <v>166</v>
      </c>
      <c r="J1804" s="11">
        <f>DATE(B1804,MATCH(C1804,{"Jan","Feb","Mar","Apr","May","Jun","Jul","Aug","Sep","Oct","Nov","Dec"},0),D1804)</f>
        <v>36061</v>
      </c>
      <c r="K1804">
        <f t="shared" si="28"/>
        <v>24</v>
      </c>
    </row>
    <row r="1805" spans="1:11" x14ac:dyDescent="0.35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 s="15">
        <v>18682.740000000002</v>
      </c>
      <c r="G1805" t="s">
        <v>16</v>
      </c>
      <c r="H1805" t="s">
        <v>12</v>
      </c>
      <c r="I1805" t="s">
        <v>23</v>
      </c>
      <c r="J1805" s="11">
        <f>DATE(B1805,MATCH(C1805,{"Jan","Feb","Mar","Apr","May","Jun","Jul","Aug","Sep","Oct","Nov","Dec"},0),D1805)</f>
        <v>25858</v>
      </c>
      <c r="K1805">
        <f t="shared" si="28"/>
        <v>52</v>
      </c>
    </row>
    <row r="1806" spans="1:11" x14ac:dyDescent="0.35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 s="15">
        <v>18694.689999999999</v>
      </c>
      <c r="G1806" t="s">
        <v>16</v>
      </c>
      <c r="H1806" t="s">
        <v>16</v>
      </c>
      <c r="I1806" t="s">
        <v>249</v>
      </c>
      <c r="J1806" s="11">
        <f>DATE(B1806,MATCH(C1806,{"Jan","Feb","Mar","Apr","May","Jun","Jul","Aug","Sep","Oct","Nov","Dec"},0),D1806)</f>
        <v>24714</v>
      </c>
      <c r="K1806">
        <f t="shared" si="28"/>
        <v>55</v>
      </c>
    </row>
    <row r="1807" spans="1:11" x14ac:dyDescent="0.35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 s="15">
        <v>18765.88</v>
      </c>
      <c r="G1807" t="s">
        <v>16</v>
      </c>
      <c r="H1807" t="s">
        <v>11</v>
      </c>
      <c r="I1807" t="s">
        <v>23</v>
      </c>
      <c r="J1807" s="11">
        <f>DATE(B1807,MATCH(C1807,{"Jan","Feb","Mar","Apr","May","Jun","Jul","Aug","Sep","Oct","Nov","Dec"},0),D1807)</f>
        <v>33965</v>
      </c>
      <c r="K1807">
        <f t="shared" si="28"/>
        <v>30</v>
      </c>
    </row>
    <row r="1808" spans="1:11" x14ac:dyDescent="0.35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 s="15">
        <v>18767.740000000002</v>
      </c>
      <c r="G1808" t="s">
        <v>16</v>
      </c>
      <c r="H1808" t="s">
        <v>16</v>
      </c>
      <c r="I1808" t="s">
        <v>13</v>
      </c>
      <c r="J1808" s="11">
        <f>DATE(B1808,MATCH(C1808,{"Jan","Feb","Mar","Apr","May","Jun","Jul","Aug","Sep","Oct","Nov","Dec"},0),D1808)</f>
        <v>29178</v>
      </c>
      <c r="K1808">
        <f t="shared" si="28"/>
        <v>43</v>
      </c>
    </row>
    <row r="1809" spans="1:11" x14ac:dyDescent="0.35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 s="15">
        <v>18804.75</v>
      </c>
      <c r="G1809" t="s">
        <v>16</v>
      </c>
      <c r="H1809" t="s">
        <v>16</v>
      </c>
      <c r="I1809" t="s">
        <v>23</v>
      </c>
      <c r="J1809" s="11">
        <f>DATE(B1809,MATCH(C1809,{"Jan","Feb","Mar","Apr","May","Jun","Jul","Aug","Sep","Oct","Nov","Dec"},0),D1809)</f>
        <v>35031</v>
      </c>
      <c r="K1809">
        <f t="shared" si="28"/>
        <v>27</v>
      </c>
    </row>
    <row r="1810" spans="1:11" x14ac:dyDescent="0.35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 s="15">
        <v>18806.150000000001</v>
      </c>
      <c r="G1810" t="s">
        <v>16</v>
      </c>
      <c r="H1810" t="s">
        <v>11</v>
      </c>
      <c r="I1810" t="s">
        <v>13</v>
      </c>
      <c r="J1810" s="11">
        <f>DATE(B1810,MATCH(C1810,{"Jan","Feb","Mar","Apr","May","Jun","Jul","Aug","Sep","Oct","Nov","Dec"},0),D1810)</f>
        <v>29143</v>
      </c>
      <c r="K1810">
        <f t="shared" si="28"/>
        <v>43</v>
      </c>
    </row>
    <row r="1811" spans="1:11" x14ac:dyDescent="0.35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 s="15">
        <v>18815.53</v>
      </c>
      <c r="G1811" t="s">
        <v>16</v>
      </c>
      <c r="H1811" t="s">
        <v>16</v>
      </c>
      <c r="I1811" t="s">
        <v>249</v>
      </c>
      <c r="J1811" s="11">
        <f>DATE(B1811,MATCH(C1811,{"Jan","Feb","Mar","Apr","May","Jun","Jul","Aug","Sep","Oct","Nov","Dec"},0),D1811)</f>
        <v>22998</v>
      </c>
      <c r="K1811">
        <f t="shared" si="28"/>
        <v>60</v>
      </c>
    </row>
    <row r="1812" spans="1:11" x14ac:dyDescent="0.35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 s="15">
        <v>18838.7</v>
      </c>
      <c r="G1812" t="s">
        <v>16</v>
      </c>
      <c r="H1812" t="s">
        <v>12</v>
      </c>
      <c r="I1812" t="s">
        <v>23</v>
      </c>
      <c r="J1812" s="11">
        <f>DATE(B1812,MATCH(C1812,{"Jan","Feb","Mar","Apr","May","Jun","Jul","Aug","Sep","Oct","Nov","Dec"},0),D1812)</f>
        <v>37826</v>
      </c>
      <c r="K1812">
        <f t="shared" si="28"/>
        <v>19</v>
      </c>
    </row>
    <row r="1813" spans="1:11" x14ac:dyDescent="0.35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 s="15">
        <v>18883.330000000002</v>
      </c>
      <c r="G1813" t="s">
        <v>16</v>
      </c>
      <c r="H1813" t="s">
        <v>16</v>
      </c>
      <c r="I1813" t="s">
        <v>535</v>
      </c>
      <c r="J1813" s="11">
        <f>DATE(B1813,MATCH(C1813,{"Jan","Feb","Mar","Apr","May","Jun","Jul","Aug","Sep","Oct","Nov","Dec"},0),D1813)</f>
        <v>23351</v>
      </c>
      <c r="K1813">
        <f t="shared" si="28"/>
        <v>59</v>
      </c>
    </row>
    <row r="1814" spans="1:11" x14ac:dyDescent="0.35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 s="15">
        <v>18903.490000000002</v>
      </c>
      <c r="G1814" t="s">
        <v>16</v>
      </c>
      <c r="H1814" t="s">
        <v>11</v>
      </c>
      <c r="I1814" t="s">
        <v>247</v>
      </c>
      <c r="J1814" s="11">
        <f>DATE(B1814,MATCH(C1814,{"Jan","Feb","Mar","Apr","May","Jun","Jul","Aug","Sep","Oct","Nov","Dec"},0),D1814)</f>
        <v>34969</v>
      </c>
      <c r="K1814">
        <f t="shared" si="28"/>
        <v>27</v>
      </c>
    </row>
    <row r="1815" spans="1:11" x14ac:dyDescent="0.35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 s="15">
        <v>18932.810000000001</v>
      </c>
      <c r="G1815" t="s">
        <v>16</v>
      </c>
      <c r="H1815" t="s">
        <v>12</v>
      </c>
      <c r="I1815" t="s">
        <v>23</v>
      </c>
      <c r="J1815" s="11">
        <f>DATE(B1815,MATCH(C1815,{"Jan","Feb","Mar","Apr","May","Jun","Jul","Aug","Sep","Oct","Nov","Dec"},0),D1815)</f>
        <v>25418</v>
      </c>
      <c r="K1815">
        <f t="shared" si="28"/>
        <v>53</v>
      </c>
    </row>
    <row r="1816" spans="1:11" x14ac:dyDescent="0.35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 s="15">
        <v>18954.560000000001</v>
      </c>
      <c r="G1816" t="s">
        <v>16</v>
      </c>
      <c r="H1816" t="s">
        <v>16</v>
      </c>
      <c r="I1816" t="s">
        <v>535</v>
      </c>
      <c r="J1816" s="11">
        <f>DATE(B1816,MATCH(C1816,{"Jan","Feb","Mar","Apr","May","Jun","Jul","Aug","Sep","Oct","Nov","Dec"},0),D1816)</f>
        <v>23304</v>
      </c>
      <c r="K1816">
        <f t="shared" si="28"/>
        <v>59</v>
      </c>
    </row>
    <row r="1817" spans="1:11" x14ac:dyDescent="0.35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 s="15">
        <v>18955.22</v>
      </c>
      <c r="G1817" t="s">
        <v>16</v>
      </c>
      <c r="H1817" t="s">
        <v>12</v>
      </c>
      <c r="I1817" t="s">
        <v>42</v>
      </c>
      <c r="J1817" s="11">
        <f>DATE(B1817,MATCH(C1817,{"Jan","Feb","Mar","Apr","May","Jun","Jul","Aug","Sep","Oct","Nov","Dec"},0),D1817)</f>
        <v>36013</v>
      </c>
      <c r="K1817">
        <f t="shared" si="28"/>
        <v>24</v>
      </c>
    </row>
    <row r="1818" spans="1:11" x14ac:dyDescent="0.35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 s="15">
        <v>18963.169999999998</v>
      </c>
      <c r="G1818" t="s">
        <v>16</v>
      </c>
      <c r="H1818" t="s">
        <v>16</v>
      </c>
      <c r="I1818" t="s">
        <v>13</v>
      </c>
      <c r="J1818" s="11">
        <f>DATE(B1818,MATCH(C1818,{"Jan","Feb","Mar","Apr","May","Jun","Jul","Aug","Sep","Oct","Nov","Dec"},0),D1818)</f>
        <v>33938</v>
      </c>
      <c r="K1818">
        <f t="shared" si="28"/>
        <v>30</v>
      </c>
    </row>
    <row r="1819" spans="1:11" x14ac:dyDescent="0.35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 s="15">
        <v>18972.5</v>
      </c>
      <c r="G1819" t="s">
        <v>16</v>
      </c>
      <c r="H1819" t="s">
        <v>12</v>
      </c>
      <c r="I1819" t="s">
        <v>13</v>
      </c>
      <c r="J1819" s="11">
        <f>DATE(B1819,MATCH(C1819,{"Jan","Feb","Mar","Apr","May","Jun","Jul","Aug","Sep","Oct","Nov","Dec"},0),D1819)</f>
        <v>32440</v>
      </c>
      <c r="K1819">
        <f t="shared" si="28"/>
        <v>34</v>
      </c>
    </row>
    <row r="1820" spans="1:11" x14ac:dyDescent="0.35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 s="15">
        <v>19023.259999999998</v>
      </c>
      <c r="G1820" t="s">
        <v>16</v>
      </c>
      <c r="H1820" t="s">
        <v>12</v>
      </c>
      <c r="I1820" t="s">
        <v>42</v>
      </c>
      <c r="J1820" s="11">
        <f>DATE(B1820,MATCH(C1820,{"Jan","Feb","Mar","Apr","May","Jun","Jul","Aug","Sep","Oct","Nov","Dec"},0),D1820)</f>
        <v>30669</v>
      </c>
      <c r="K1820">
        <f t="shared" si="28"/>
        <v>39</v>
      </c>
    </row>
    <row r="1821" spans="1:11" x14ac:dyDescent="0.35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 s="15">
        <v>19040.88</v>
      </c>
      <c r="G1821" t="s">
        <v>16</v>
      </c>
      <c r="H1821" t="s">
        <v>12</v>
      </c>
      <c r="I1821" t="s">
        <v>42</v>
      </c>
      <c r="J1821" s="11">
        <f>DATE(B1821,MATCH(C1821,{"Jan","Feb","Mar","Apr","May","Jun","Jul","Aug","Sep","Oct","Nov","Dec"},0),D1821)</f>
        <v>32664</v>
      </c>
      <c r="K1821">
        <f t="shared" si="28"/>
        <v>34</v>
      </c>
    </row>
    <row r="1822" spans="1:11" x14ac:dyDescent="0.35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 s="15">
        <v>19107.78</v>
      </c>
      <c r="G1822" t="s">
        <v>16</v>
      </c>
      <c r="H1822" t="s">
        <v>11</v>
      </c>
      <c r="I1822" t="s">
        <v>13</v>
      </c>
      <c r="J1822" s="11">
        <f>DATE(B1822,MATCH(C1822,{"Jan","Feb","Mar","Apr","May","Jun","Jul","Aug","Sep","Oct","Nov","Dec"},0),D1822)</f>
        <v>34240</v>
      </c>
      <c r="K1822">
        <f t="shared" si="28"/>
        <v>29</v>
      </c>
    </row>
    <row r="1823" spans="1:11" x14ac:dyDescent="0.35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 s="15">
        <v>19144.580000000002</v>
      </c>
      <c r="G1823" t="s">
        <v>16</v>
      </c>
      <c r="H1823" t="s">
        <v>16</v>
      </c>
      <c r="I1823" t="s">
        <v>247</v>
      </c>
      <c r="J1823" s="11">
        <f>DATE(B1823,MATCH(C1823,{"Jan","Feb","Mar","Apr","May","Jun","Jul","Aug","Sep","Oct","Nov","Dec"},0),D1823)</f>
        <v>29038</v>
      </c>
      <c r="K1823">
        <f t="shared" si="28"/>
        <v>43</v>
      </c>
    </row>
    <row r="1824" spans="1:11" x14ac:dyDescent="0.35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 s="15">
        <v>19199.939999999999</v>
      </c>
      <c r="G1824" t="s">
        <v>16</v>
      </c>
      <c r="H1824" t="s">
        <v>12</v>
      </c>
      <c r="I1824" t="s">
        <v>42</v>
      </c>
      <c r="J1824" s="11">
        <f>DATE(B1824,MATCH(C1824,{"Jan","Feb","Mar","Apr","May","Jun","Jul","Aug","Sep","Oct","Nov","Dec"},0),D1824)</f>
        <v>33497</v>
      </c>
      <c r="K1824">
        <f t="shared" si="28"/>
        <v>31</v>
      </c>
    </row>
    <row r="1825" spans="1:11" x14ac:dyDescent="0.35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 s="15">
        <v>19214.71</v>
      </c>
      <c r="G1825" t="s">
        <v>16</v>
      </c>
      <c r="H1825" t="s">
        <v>12</v>
      </c>
      <c r="I1825" t="s">
        <v>13</v>
      </c>
      <c r="J1825" s="11">
        <f>DATE(B1825,MATCH(C1825,{"Jan","Feb","Mar","Apr","May","Jun","Jul","Aug","Sep","Oct","Nov","Dec"},0),D1825)</f>
        <v>31409</v>
      </c>
      <c r="K1825">
        <f t="shared" si="28"/>
        <v>37</v>
      </c>
    </row>
    <row r="1826" spans="1:11" x14ac:dyDescent="0.35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 s="15">
        <v>19259.96</v>
      </c>
      <c r="G1826" t="s">
        <v>16</v>
      </c>
      <c r="H1826" t="s">
        <v>16</v>
      </c>
      <c r="I1826" t="s">
        <v>23</v>
      </c>
      <c r="J1826" s="11">
        <f>DATE(B1826,MATCH(C1826,{"Jan","Feb","Mar","Apr","May","Jun","Jul","Aug","Sep","Oct","Nov","Dec"},0),D1826)</f>
        <v>24682</v>
      </c>
      <c r="K1826">
        <f t="shared" si="28"/>
        <v>55</v>
      </c>
    </row>
    <row r="1827" spans="1:11" x14ac:dyDescent="0.35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 s="15">
        <v>19321.060000000001</v>
      </c>
      <c r="G1827" t="s">
        <v>16</v>
      </c>
      <c r="H1827" t="s">
        <v>16</v>
      </c>
      <c r="I1827" t="s">
        <v>23</v>
      </c>
      <c r="J1827" s="11">
        <f>DATE(B1827,MATCH(C1827,{"Jan","Feb","Mar","Apr","May","Jun","Jul","Aug","Sep","Oct","Nov","Dec"},0),D1827)</f>
        <v>24426</v>
      </c>
      <c r="K1827">
        <f t="shared" si="28"/>
        <v>56</v>
      </c>
    </row>
    <row r="1828" spans="1:11" x14ac:dyDescent="0.35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 s="15">
        <v>19350.37</v>
      </c>
      <c r="G1828" t="s">
        <v>16</v>
      </c>
      <c r="H1828" t="s">
        <v>12</v>
      </c>
      <c r="I1828" t="s">
        <v>13</v>
      </c>
      <c r="J1828" s="11">
        <f>DATE(B1828,MATCH(C1828,{"Jan","Feb","Mar","Apr","May","Jun","Jul","Aug","Sep","Oct","Nov","Dec"},0),D1828)</f>
        <v>33474</v>
      </c>
      <c r="K1828">
        <f t="shared" si="28"/>
        <v>31</v>
      </c>
    </row>
    <row r="1829" spans="1:11" x14ac:dyDescent="0.35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 s="15">
        <v>19362</v>
      </c>
      <c r="G1829" t="s">
        <v>16</v>
      </c>
      <c r="H1829" t="s">
        <v>12</v>
      </c>
      <c r="I1829" t="s">
        <v>13</v>
      </c>
      <c r="J1829" s="11">
        <f>DATE(B1829,MATCH(C1829,{"Jan","Feb","Mar","Apr","May","Jun","Jul","Aug","Sep","Oct","Nov","Dec"},0),D1829)</f>
        <v>31958</v>
      </c>
      <c r="K1829">
        <f t="shared" si="28"/>
        <v>35</v>
      </c>
    </row>
    <row r="1830" spans="1:11" x14ac:dyDescent="0.35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 s="15">
        <v>19442.349999999999</v>
      </c>
      <c r="G1830" t="s">
        <v>16</v>
      </c>
      <c r="H1830" t="s">
        <v>12</v>
      </c>
      <c r="I1830" t="s">
        <v>23</v>
      </c>
      <c r="J1830" s="11">
        <f>DATE(B1830,MATCH(C1830,{"Jan","Feb","Mar","Apr","May","Jun","Jul","Aug","Sep","Oct","Nov","Dec"},0),D1830)</f>
        <v>34218</v>
      </c>
      <c r="K1830">
        <f t="shared" si="28"/>
        <v>29</v>
      </c>
    </row>
    <row r="1831" spans="1:11" x14ac:dyDescent="0.35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 s="15">
        <v>19444.27</v>
      </c>
      <c r="G1831" t="s">
        <v>16</v>
      </c>
      <c r="H1831" t="s">
        <v>16</v>
      </c>
      <c r="I1831" t="s">
        <v>13</v>
      </c>
      <c r="J1831" s="11">
        <f>DATE(B1831,MATCH(C1831,{"Jan","Feb","Mar","Apr","May","Jun","Jul","Aug","Sep","Oct","Nov","Dec"},0),D1831)</f>
        <v>30300</v>
      </c>
      <c r="K1831">
        <f t="shared" si="28"/>
        <v>40</v>
      </c>
    </row>
    <row r="1832" spans="1:11" x14ac:dyDescent="0.35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 s="15">
        <v>19496.72</v>
      </c>
      <c r="G1832" t="s">
        <v>16</v>
      </c>
      <c r="H1832" t="s">
        <v>12</v>
      </c>
      <c r="I1832" t="s">
        <v>166</v>
      </c>
      <c r="J1832" s="11">
        <f>DATE(B1832,MATCH(C1832,{"Jan","Feb","Mar","Apr","May","Jun","Jul","Aug","Sep","Oct","Nov","Dec"},0),D1832)</f>
        <v>32111</v>
      </c>
      <c r="K1832">
        <f t="shared" si="28"/>
        <v>35</v>
      </c>
    </row>
    <row r="1833" spans="1:11" x14ac:dyDescent="0.35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 s="15">
        <v>19515.54</v>
      </c>
      <c r="G1833" t="s">
        <v>16</v>
      </c>
      <c r="H1833" t="s">
        <v>16</v>
      </c>
      <c r="I1833" t="s">
        <v>13</v>
      </c>
      <c r="J1833" s="11">
        <f>DATE(B1833,MATCH(C1833,{"Jan","Feb","Mar","Apr","May","Jun","Jul","Aug","Sep","Oct","Nov","Dec"},0),D1833)</f>
        <v>29533</v>
      </c>
      <c r="K1833">
        <f t="shared" si="28"/>
        <v>42</v>
      </c>
    </row>
    <row r="1834" spans="1:11" x14ac:dyDescent="0.35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 s="15">
        <v>19521.97</v>
      </c>
      <c r="G1834" t="s">
        <v>16</v>
      </c>
      <c r="H1834" t="s">
        <v>11</v>
      </c>
      <c r="I1834" t="s">
        <v>13</v>
      </c>
      <c r="J1834" s="11">
        <f>DATE(B1834,MATCH(C1834,{"Jan","Feb","Mar","Apr","May","Jun","Jul","Aug","Sep","Oct","Nov","Dec"},0),D1834)</f>
        <v>33835</v>
      </c>
      <c r="K1834">
        <f t="shared" si="28"/>
        <v>30</v>
      </c>
    </row>
    <row r="1835" spans="1:11" x14ac:dyDescent="0.35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 s="15">
        <v>19539.240000000002</v>
      </c>
      <c r="G1835" t="s">
        <v>16</v>
      </c>
      <c r="H1835" t="s">
        <v>16</v>
      </c>
      <c r="I1835" t="s">
        <v>13</v>
      </c>
      <c r="J1835" s="11">
        <f>DATE(B1835,MATCH(C1835,{"Jan","Feb","Mar","Apr","May","Jun","Jul","Aug","Sep","Oct","Nov","Dec"},0),D1835)</f>
        <v>31307</v>
      </c>
      <c r="K1835">
        <f t="shared" si="28"/>
        <v>37</v>
      </c>
    </row>
    <row r="1836" spans="1:11" x14ac:dyDescent="0.35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 s="15">
        <v>19551.34</v>
      </c>
      <c r="G1836" t="s">
        <v>16</v>
      </c>
      <c r="H1836" t="s">
        <v>12</v>
      </c>
      <c r="I1836" t="s">
        <v>23</v>
      </c>
      <c r="J1836" s="11">
        <f>DATE(B1836,MATCH(C1836,{"Jan","Feb","Mar","Apr","May","Jun","Jul","Aug","Sep","Oct","Nov","Dec"},0),D1836)</f>
        <v>23206</v>
      </c>
      <c r="K1836">
        <f t="shared" si="28"/>
        <v>59</v>
      </c>
    </row>
    <row r="1837" spans="1:11" x14ac:dyDescent="0.35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 s="15">
        <v>19594.810000000001</v>
      </c>
      <c r="G1837" t="s">
        <v>16</v>
      </c>
      <c r="H1837" t="s">
        <v>16</v>
      </c>
      <c r="I1837" t="s">
        <v>247</v>
      </c>
      <c r="J1837" s="11">
        <f>DATE(B1837,MATCH(C1837,{"Jan","Feb","Mar","Apr","May","Jun","Jul","Aug","Sep","Oct","Nov","Dec"},0),D1837)</f>
        <v>28757</v>
      </c>
      <c r="K1837">
        <f t="shared" si="28"/>
        <v>44</v>
      </c>
    </row>
    <row r="1838" spans="1:11" x14ac:dyDescent="0.35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 s="15">
        <v>19673.34</v>
      </c>
      <c r="G1838" t="s">
        <v>16</v>
      </c>
      <c r="H1838" t="s">
        <v>11</v>
      </c>
      <c r="I1838" t="s">
        <v>23</v>
      </c>
      <c r="J1838" s="11">
        <f>DATE(B1838,MATCH(C1838,{"Jan","Feb","Mar","Apr","May","Jun","Jul","Aug","Sep","Oct","Nov","Dec"},0),D1838)</f>
        <v>34573</v>
      </c>
      <c r="K1838">
        <f t="shared" si="28"/>
        <v>28</v>
      </c>
    </row>
    <row r="1839" spans="1:11" x14ac:dyDescent="0.35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 s="15">
        <v>19719.689999999999</v>
      </c>
      <c r="G1839" t="s">
        <v>16</v>
      </c>
      <c r="H1839" t="s">
        <v>11</v>
      </c>
      <c r="I1839" t="s">
        <v>13</v>
      </c>
      <c r="J1839" s="11">
        <f>DATE(B1839,MATCH(C1839,{"Jan","Feb","Mar","Apr","May","Jun","Jul","Aug","Sep","Oct","Nov","Dec"},0),D1839)</f>
        <v>33093</v>
      </c>
      <c r="K1839">
        <f t="shared" si="28"/>
        <v>32</v>
      </c>
    </row>
    <row r="1840" spans="1:11" x14ac:dyDescent="0.35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 s="15">
        <v>19749.38</v>
      </c>
      <c r="G1840" t="s">
        <v>16</v>
      </c>
      <c r="H1840" t="s">
        <v>12</v>
      </c>
      <c r="I1840" t="s">
        <v>13</v>
      </c>
      <c r="J1840" s="11">
        <f>DATE(B1840,MATCH(C1840,{"Jan","Feb","Mar","Apr","May","Jun","Jul","Aug","Sep","Oct","Nov","Dec"},0),D1840)</f>
        <v>26464</v>
      </c>
      <c r="K1840">
        <f t="shared" si="28"/>
        <v>50</v>
      </c>
    </row>
    <row r="1841" spans="1:11" x14ac:dyDescent="0.35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 s="15">
        <v>19798.05</v>
      </c>
      <c r="G1841" t="s">
        <v>16</v>
      </c>
      <c r="H1841" t="s">
        <v>16</v>
      </c>
      <c r="I1841" t="s">
        <v>247</v>
      </c>
      <c r="J1841" s="11">
        <f>DATE(B1841,MATCH(C1841,{"Jan","Feb","Mar","Apr","May","Jun","Jul","Aug","Sep","Oct","Nov","Dec"},0),D1841)</f>
        <v>29158</v>
      </c>
      <c r="K1841">
        <f t="shared" si="28"/>
        <v>43</v>
      </c>
    </row>
    <row r="1842" spans="1:11" x14ac:dyDescent="0.35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 s="15">
        <v>19933.46</v>
      </c>
      <c r="G1842" t="s">
        <v>16</v>
      </c>
      <c r="H1842" t="s">
        <v>12</v>
      </c>
      <c r="I1842" t="s">
        <v>42</v>
      </c>
      <c r="J1842" s="11">
        <f>DATE(B1842,MATCH(C1842,{"Jan","Feb","Mar","Apr","May","Jun","Jul","Aug","Sep","Oct","Nov","Dec"},0),D1842)</f>
        <v>35721</v>
      </c>
      <c r="K1842">
        <f t="shared" si="28"/>
        <v>25</v>
      </c>
    </row>
    <row r="1843" spans="1:11" x14ac:dyDescent="0.35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 s="15">
        <v>19964.75</v>
      </c>
      <c r="G1843" t="s">
        <v>16</v>
      </c>
      <c r="H1843" t="s">
        <v>11</v>
      </c>
      <c r="I1843" t="s">
        <v>247</v>
      </c>
      <c r="J1843" s="11">
        <f>DATE(B1843,MATCH(C1843,{"Jan","Feb","Mar","Apr","May","Jun","Jul","Aug","Sep","Oct","Nov","Dec"},0),D1843)</f>
        <v>29503</v>
      </c>
      <c r="K1843">
        <f t="shared" si="28"/>
        <v>42</v>
      </c>
    </row>
    <row r="1844" spans="1:11" x14ac:dyDescent="0.35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 s="15">
        <v>19995.29</v>
      </c>
      <c r="G1844" t="s">
        <v>16</v>
      </c>
      <c r="H1844" t="s">
        <v>12</v>
      </c>
      <c r="I1844" t="s">
        <v>535</v>
      </c>
      <c r="J1844" s="11">
        <f>DATE(B1844,MATCH(C1844,{"Jan","Feb","Mar","Apr","May","Jun","Jul","Aug","Sep","Oct","Nov","Dec"},0),D1844)</f>
        <v>24329</v>
      </c>
      <c r="K1844">
        <f t="shared" si="28"/>
        <v>56</v>
      </c>
    </row>
    <row r="1845" spans="1:11" x14ac:dyDescent="0.35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 s="15">
        <v>20009.63</v>
      </c>
      <c r="G1845" t="s">
        <v>11</v>
      </c>
      <c r="H1845" t="s">
        <v>16</v>
      </c>
      <c r="I1845" t="s">
        <v>23</v>
      </c>
      <c r="J1845" s="11">
        <f>DATE(B1845,MATCH(C1845,{"Jan","Feb","Mar","Apr","May","Jun","Jul","Aug","Sep","Oct","Nov","Dec"},0),D1845)</f>
        <v>32349</v>
      </c>
      <c r="K1845">
        <f t="shared" si="28"/>
        <v>34</v>
      </c>
    </row>
    <row r="1846" spans="1:11" x14ac:dyDescent="0.35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 s="15">
        <v>20149.32</v>
      </c>
      <c r="G1846" t="s">
        <v>11</v>
      </c>
      <c r="H1846" t="s">
        <v>16</v>
      </c>
      <c r="I1846" t="s">
        <v>168</v>
      </c>
      <c r="J1846" s="11">
        <f>DATE(B1846,MATCH(C1846,{"Jan","Feb","Mar","Apr","May","Jun","Jul","Aug","Sep","Oct","Nov","Dec"},0),D1846)</f>
        <v>30595</v>
      </c>
      <c r="K1846">
        <f t="shared" si="28"/>
        <v>39</v>
      </c>
    </row>
    <row r="1847" spans="1:11" x14ac:dyDescent="0.35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 s="15">
        <v>20167.34</v>
      </c>
      <c r="G1847" t="s">
        <v>12</v>
      </c>
      <c r="H1847" t="s">
        <v>12</v>
      </c>
      <c r="I1847" t="s">
        <v>42</v>
      </c>
      <c r="J1847" s="11">
        <f>DATE(B1847,MATCH(C1847,{"Jan","Feb","Mar","Apr","May","Jun","Jul","Aug","Sep","Oct","Nov","Dec"},0),D1847)</f>
        <v>37446</v>
      </c>
      <c r="K1847">
        <f t="shared" si="28"/>
        <v>20</v>
      </c>
    </row>
    <row r="1848" spans="1:11" x14ac:dyDescent="0.35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 s="15">
        <v>20177.669999999998</v>
      </c>
      <c r="G1848" t="s">
        <v>11</v>
      </c>
      <c r="H1848" t="s">
        <v>16</v>
      </c>
      <c r="I1848" t="s">
        <v>42</v>
      </c>
      <c r="J1848" s="11">
        <f>DATE(B1848,MATCH(C1848,{"Jan","Feb","Mar","Apr","May","Jun","Jul","Aug","Sep","Oct","Nov","Dec"},0),D1848)</f>
        <v>34493</v>
      </c>
      <c r="K1848">
        <f t="shared" si="28"/>
        <v>29</v>
      </c>
    </row>
    <row r="1849" spans="1:11" x14ac:dyDescent="0.35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 s="15">
        <v>20234.849999999999</v>
      </c>
      <c r="G1849" t="s">
        <v>11</v>
      </c>
      <c r="H1849" t="s">
        <v>12</v>
      </c>
      <c r="I1849" t="s">
        <v>23</v>
      </c>
      <c r="J1849" s="11">
        <f>DATE(B1849,MATCH(C1849,{"Jan","Feb","Mar","Apr","May","Jun","Jul","Aug","Sep","Oct","Nov","Dec"},0),D1849)</f>
        <v>32067</v>
      </c>
      <c r="K1849">
        <f t="shared" si="28"/>
        <v>35</v>
      </c>
    </row>
    <row r="1850" spans="1:11" x14ac:dyDescent="0.35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 s="15">
        <v>20253.84</v>
      </c>
      <c r="G1850" t="s">
        <v>11</v>
      </c>
      <c r="H1850" t="s">
        <v>12</v>
      </c>
      <c r="I1850" t="s">
        <v>23</v>
      </c>
      <c r="J1850" s="11">
        <f>DATE(B1850,MATCH(C1850,{"Jan","Feb","Mar","Apr","May","Jun","Jul","Aug","Sep","Oct","Nov","Dec"},0),D1850)</f>
        <v>24341</v>
      </c>
      <c r="K1850">
        <f t="shared" si="28"/>
        <v>56</v>
      </c>
    </row>
    <row r="1851" spans="1:11" x14ac:dyDescent="0.35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 s="15">
        <v>20277.810000000001</v>
      </c>
      <c r="G1851" t="s">
        <v>12</v>
      </c>
      <c r="H1851" t="s">
        <v>12</v>
      </c>
      <c r="I1851" t="s">
        <v>168</v>
      </c>
      <c r="J1851" s="11">
        <f>DATE(B1851,MATCH(C1851,{"Jan","Feb","Mar","Apr","May","Jun","Jul","Aug","Sep","Oct","Nov","Dec"},0),D1851)</f>
        <v>34219</v>
      </c>
      <c r="K1851">
        <f t="shared" si="28"/>
        <v>29</v>
      </c>
    </row>
    <row r="1852" spans="1:11" x14ac:dyDescent="0.35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 s="15">
        <v>20296.86</v>
      </c>
      <c r="G1852" t="s">
        <v>12</v>
      </c>
      <c r="H1852" t="s">
        <v>16</v>
      </c>
      <c r="I1852" t="s">
        <v>247</v>
      </c>
      <c r="J1852" s="11">
        <f>DATE(B1852,MATCH(C1852,{"Jan","Feb","Mar","Apr","May","Jun","Jul","Aug","Sep","Oct","Nov","Dec"},0),D1852)</f>
        <v>31307</v>
      </c>
      <c r="K1852">
        <f t="shared" si="28"/>
        <v>37</v>
      </c>
    </row>
    <row r="1853" spans="1:11" x14ac:dyDescent="0.35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 s="15">
        <v>20354.5</v>
      </c>
      <c r="G1853" t="s">
        <v>12</v>
      </c>
      <c r="H1853" t="s">
        <v>11</v>
      </c>
      <c r="I1853" t="s">
        <v>535</v>
      </c>
      <c r="J1853" s="11">
        <f>DATE(B1853,MATCH(C1853,{"Jan","Feb","Mar","Apr","May","Jun","Jul","Aug","Sep","Oct","Nov","Dec"},0),D1853)</f>
        <v>22829</v>
      </c>
      <c r="K1853">
        <f t="shared" si="28"/>
        <v>60</v>
      </c>
    </row>
    <row r="1854" spans="1:11" x14ac:dyDescent="0.35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 s="15">
        <v>20420.599999999999</v>
      </c>
      <c r="G1854" t="s">
        <v>12</v>
      </c>
      <c r="H1854" t="s">
        <v>11</v>
      </c>
      <c r="I1854" t="s">
        <v>42</v>
      </c>
      <c r="J1854" s="11">
        <f>DATE(B1854,MATCH(C1854,{"Jan","Feb","Mar","Apr","May","Jun","Jul","Aug","Sep","Oct","Nov","Dec"},0),D1854)</f>
        <v>31240</v>
      </c>
      <c r="K1854">
        <f t="shared" si="28"/>
        <v>37</v>
      </c>
    </row>
    <row r="1855" spans="1:11" x14ac:dyDescent="0.35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 s="15">
        <v>20446.849999999999</v>
      </c>
      <c r="G1855" t="s">
        <v>11</v>
      </c>
      <c r="H1855" t="s">
        <v>16</v>
      </c>
      <c r="I1855" t="s">
        <v>23</v>
      </c>
      <c r="J1855" s="11">
        <f>DATE(B1855,MATCH(C1855,{"Jan","Feb","Mar","Apr","May","Jun","Jul","Aug","Sep","Oct","Nov","Dec"},0),D1855)</f>
        <v>22937</v>
      </c>
      <c r="K1855">
        <f t="shared" si="28"/>
        <v>60</v>
      </c>
    </row>
    <row r="1856" spans="1:11" x14ac:dyDescent="0.35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 s="15">
        <v>20463</v>
      </c>
      <c r="G1856" t="s">
        <v>11</v>
      </c>
      <c r="H1856" t="s">
        <v>11</v>
      </c>
      <c r="I1856" t="s">
        <v>13</v>
      </c>
      <c r="J1856" s="11">
        <f>DATE(B1856,MATCH(C1856,{"Jan","Feb","Mar","Apr","May","Jun","Jul","Aug","Sep","Oct","Nov","Dec"},0),D1856)</f>
        <v>25489</v>
      </c>
      <c r="K1856">
        <f t="shared" si="28"/>
        <v>53</v>
      </c>
    </row>
    <row r="1857" spans="1:11" x14ac:dyDescent="0.35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 s="15">
        <v>20568.32</v>
      </c>
      <c r="G1857" t="s">
        <v>12</v>
      </c>
      <c r="H1857" t="s">
        <v>11</v>
      </c>
      <c r="I1857" t="s">
        <v>23</v>
      </c>
      <c r="J1857" s="11">
        <f>DATE(B1857,MATCH(C1857,{"Jan","Feb","Mar","Apr","May","Jun","Jul","Aug","Sep","Oct","Nov","Dec"},0),D1857)</f>
        <v>24297</v>
      </c>
      <c r="K1857">
        <f t="shared" si="28"/>
        <v>56</v>
      </c>
    </row>
    <row r="1858" spans="1:11" x14ac:dyDescent="0.35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 s="15">
        <v>20630.28</v>
      </c>
      <c r="G1858" t="s">
        <v>11</v>
      </c>
      <c r="H1858" t="s">
        <v>12</v>
      </c>
      <c r="I1858" t="s">
        <v>42</v>
      </c>
      <c r="J1858" s="11">
        <f>DATE(B1858,MATCH(C1858,{"Jan","Feb","Mar","Apr","May","Jun","Jul","Aug","Sep","Oct","Nov","Dec"},0),D1858)</f>
        <v>24823</v>
      </c>
      <c r="K1858">
        <f t="shared" si="28"/>
        <v>55</v>
      </c>
    </row>
    <row r="1859" spans="1:11" x14ac:dyDescent="0.35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 s="15">
        <v>20709.02</v>
      </c>
      <c r="G1859" t="s">
        <v>12</v>
      </c>
      <c r="H1859" t="s">
        <v>11</v>
      </c>
      <c r="I1859" t="s">
        <v>166</v>
      </c>
      <c r="J1859" s="11">
        <f>DATE(B1859,MATCH(C1859,{"Jan","Feb","Mar","Apr","May","Jun","Jul","Aug","Sep","Oct","Nov","Dec"},0),D1859)</f>
        <v>23955</v>
      </c>
      <c r="K1859">
        <f t="shared" ref="K1859:K1922" si="29">DATEDIF(J1859,$N$1,"Y")</f>
        <v>57</v>
      </c>
    </row>
    <row r="1860" spans="1:11" x14ac:dyDescent="0.35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 s="15">
        <v>20745.990000000002</v>
      </c>
      <c r="G1860" t="s">
        <v>12</v>
      </c>
      <c r="H1860" t="s">
        <v>16</v>
      </c>
      <c r="I1860" t="s">
        <v>23</v>
      </c>
      <c r="J1860" s="11">
        <f>DATE(B1860,MATCH(C1860,{"Jan","Feb","Mar","Apr","May","Jun","Jul","Aug","Sep","Oct","Nov","Dec"},0),D1860)</f>
        <v>33861</v>
      </c>
      <c r="K1860">
        <f t="shared" si="29"/>
        <v>30</v>
      </c>
    </row>
    <row r="1861" spans="1:11" x14ac:dyDescent="0.35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 s="15">
        <v>20773.63</v>
      </c>
      <c r="G1861" t="s">
        <v>11</v>
      </c>
      <c r="H1861" t="s">
        <v>12</v>
      </c>
      <c r="I1861" t="s">
        <v>356</v>
      </c>
      <c r="J1861" s="11">
        <f>DATE(B1861,MATCH(C1861,{"Jan","Feb","Mar","Apr","May","Jun","Jul","Aug","Sep","Oct","Nov","Dec"},0),D1861)</f>
        <v>31628</v>
      </c>
      <c r="K1861">
        <f t="shared" si="29"/>
        <v>36</v>
      </c>
    </row>
    <row r="1862" spans="1:11" x14ac:dyDescent="0.35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 s="15">
        <v>20781.490000000002</v>
      </c>
      <c r="G1862" t="s">
        <v>11</v>
      </c>
      <c r="H1862" t="s">
        <v>12</v>
      </c>
      <c r="I1862" t="s">
        <v>13</v>
      </c>
      <c r="J1862" s="11">
        <f>DATE(B1862,MATCH(C1862,{"Jan","Feb","Mar","Apr","May","Jun","Jul","Aug","Sep","Oct","Nov","Dec"},0),D1862)</f>
        <v>24723</v>
      </c>
      <c r="K1862">
        <f t="shared" si="29"/>
        <v>55</v>
      </c>
    </row>
    <row r="1863" spans="1:11" x14ac:dyDescent="0.35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 s="15">
        <v>20878.78</v>
      </c>
      <c r="G1863" t="s">
        <v>11</v>
      </c>
      <c r="H1863" t="s">
        <v>16</v>
      </c>
      <c r="I1863" t="s">
        <v>247</v>
      </c>
      <c r="J1863" s="11">
        <f>DATE(B1863,MATCH(C1863,{"Jan","Feb","Mar","Apr","May","Jun","Jul","Aug","Sep","Oct","Nov","Dec"},0),D1863)</f>
        <v>27736</v>
      </c>
      <c r="K1863">
        <f t="shared" si="29"/>
        <v>47</v>
      </c>
    </row>
    <row r="1864" spans="1:11" x14ac:dyDescent="0.35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 s="15">
        <v>20893.060000000001</v>
      </c>
      <c r="G1864" t="s">
        <v>11</v>
      </c>
      <c r="H1864" t="s">
        <v>12</v>
      </c>
      <c r="I1864" t="s">
        <v>23</v>
      </c>
      <c r="J1864" s="11">
        <f>DATE(B1864,MATCH(C1864,{"Jan","Feb","Mar","Apr","May","Jun","Jul","Aug","Sep","Oct","Nov","Dec"},0),D1864)</f>
        <v>23700</v>
      </c>
      <c r="K1864">
        <f t="shared" si="29"/>
        <v>58</v>
      </c>
    </row>
    <row r="1865" spans="1:11" x14ac:dyDescent="0.35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 s="15">
        <v>20984.09</v>
      </c>
      <c r="G1865" t="s">
        <v>11</v>
      </c>
      <c r="H1865" t="s">
        <v>11</v>
      </c>
      <c r="I1865" t="s">
        <v>164</v>
      </c>
      <c r="J1865" s="11">
        <f>DATE(B1865,MATCH(C1865,{"Jan","Feb","Mar","Apr","May","Jun","Jul","Aug","Sep","Oct","Nov","Dec"},0),D1865)</f>
        <v>32108</v>
      </c>
      <c r="K1865">
        <f t="shared" si="29"/>
        <v>35</v>
      </c>
    </row>
    <row r="1866" spans="1:11" x14ac:dyDescent="0.35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 s="15">
        <v>21082.16</v>
      </c>
      <c r="G1866" t="s">
        <v>12</v>
      </c>
      <c r="H1866" t="s">
        <v>11</v>
      </c>
      <c r="I1866" t="s">
        <v>42</v>
      </c>
      <c r="J1866" s="11">
        <f>DATE(B1866,MATCH(C1866,{"Jan","Feb","Mar","Apr","May","Jun","Jul","Aug","Sep","Oct","Nov","Dec"},0),D1866)</f>
        <v>30499</v>
      </c>
      <c r="K1866">
        <f t="shared" si="29"/>
        <v>39</v>
      </c>
    </row>
    <row r="1867" spans="1:11" x14ac:dyDescent="0.35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 s="15">
        <v>21098.55</v>
      </c>
      <c r="G1867" t="s">
        <v>12</v>
      </c>
      <c r="H1867" t="s">
        <v>12</v>
      </c>
      <c r="I1867" t="s">
        <v>23</v>
      </c>
      <c r="J1867" s="11">
        <f>DATE(B1867,MATCH(C1867,{"Jan","Feb","Mar","Apr","May","Jun","Jul","Aug","Sep","Oct","Nov","Dec"},0),D1867)</f>
        <v>28452</v>
      </c>
      <c r="K1867">
        <f t="shared" si="29"/>
        <v>45</v>
      </c>
    </row>
    <row r="1868" spans="1:11" x14ac:dyDescent="0.35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 s="15">
        <v>21195.82</v>
      </c>
      <c r="G1868" t="s">
        <v>12</v>
      </c>
      <c r="H1868" t="s">
        <v>16</v>
      </c>
      <c r="I1868" t="s">
        <v>13</v>
      </c>
      <c r="J1868" s="11">
        <f>DATE(B1868,MATCH(C1868,{"Jan","Feb","Mar","Apr","May","Jun","Jul","Aug","Sep","Oct","Nov","Dec"},0),D1868)</f>
        <v>25441</v>
      </c>
      <c r="K1868">
        <f t="shared" si="29"/>
        <v>53</v>
      </c>
    </row>
    <row r="1869" spans="1:11" x14ac:dyDescent="0.35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 s="15">
        <v>21223.68</v>
      </c>
      <c r="G1869" t="s">
        <v>12</v>
      </c>
      <c r="H1869" t="s">
        <v>11</v>
      </c>
      <c r="I1869" t="s">
        <v>13</v>
      </c>
      <c r="J1869" s="11">
        <f>DATE(B1869,MATCH(C1869,{"Jan","Feb","Mar","Apr","May","Jun","Jul","Aug","Sep","Oct","Nov","Dec"},0),D1869)</f>
        <v>27316</v>
      </c>
      <c r="K1869">
        <f t="shared" si="29"/>
        <v>48</v>
      </c>
    </row>
    <row r="1870" spans="1:11" x14ac:dyDescent="0.35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 s="15">
        <v>21232.18</v>
      </c>
      <c r="G1870" t="s">
        <v>12</v>
      </c>
      <c r="H1870" t="s">
        <v>11</v>
      </c>
      <c r="I1870" t="s">
        <v>42</v>
      </c>
      <c r="J1870" s="11">
        <f>DATE(B1870,MATCH(C1870,{"Jan","Feb","Mar","Apr","May","Jun","Jul","Aug","Sep","Oct","Nov","Dec"},0),D1870)</f>
        <v>27275</v>
      </c>
      <c r="K1870">
        <f t="shared" si="29"/>
        <v>48</v>
      </c>
    </row>
    <row r="1871" spans="1:11" x14ac:dyDescent="0.35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 s="15">
        <v>21259.38</v>
      </c>
      <c r="G1871" t="s">
        <v>12</v>
      </c>
      <c r="H1871" t="s">
        <v>12</v>
      </c>
      <c r="I1871" t="s">
        <v>166</v>
      </c>
      <c r="J1871" s="11">
        <f>DATE(B1871,MATCH(C1871,{"Jan","Feb","Mar","Apr","May","Jun","Jul","Aug","Sep","Oct","Nov","Dec"},0),D1871)</f>
        <v>29565</v>
      </c>
      <c r="K1871">
        <f t="shared" si="29"/>
        <v>42</v>
      </c>
    </row>
    <row r="1872" spans="1:11" x14ac:dyDescent="0.35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 s="15">
        <v>21344.85</v>
      </c>
      <c r="G1872" t="s">
        <v>12</v>
      </c>
      <c r="H1872" t="s">
        <v>16</v>
      </c>
      <c r="I1872" t="s">
        <v>247</v>
      </c>
      <c r="J1872" s="11">
        <f>DATE(B1872,MATCH(C1872,{"Jan","Feb","Mar","Apr","May","Jun","Jul","Aug","Sep","Oct","Nov","Dec"},0),D1872)</f>
        <v>38203</v>
      </c>
      <c r="K1872">
        <f t="shared" si="29"/>
        <v>18</v>
      </c>
    </row>
    <row r="1873" spans="1:11" x14ac:dyDescent="0.35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 s="15">
        <v>21348.71</v>
      </c>
      <c r="G1873" t="s">
        <v>11</v>
      </c>
      <c r="H1873" t="s">
        <v>16</v>
      </c>
      <c r="I1873" t="s">
        <v>23</v>
      </c>
      <c r="J1873" s="11">
        <f>DATE(B1873,MATCH(C1873,{"Jan","Feb","Mar","Apr","May","Jun","Jul","Aug","Sep","Oct","Nov","Dec"},0),D1873)</f>
        <v>29468</v>
      </c>
      <c r="K1873">
        <f t="shared" si="29"/>
        <v>42</v>
      </c>
    </row>
    <row r="1874" spans="1:11" x14ac:dyDescent="0.35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 s="15">
        <v>21472.48</v>
      </c>
      <c r="G1874" t="s">
        <v>11</v>
      </c>
      <c r="H1874" t="s">
        <v>11</v>
      </c>
      <c r="I1874" t="s">
        <v>23</v>
      </c>
      <c r="J1874" s="11">
        <f>DATE(B1874,MATCH(C1874,{"Jan","Feb","Mar","Apr","May","Jun","Jul","Aug","Sep","Oct","Nov","Dec"},0),D1874)</f>
        <v>33198</v>
      </c>
      <c r="K1874">
        <f t="shared" si="29"/>
        <v>32</v>
      </c>
    </row>
    <row r="1875" spans="1:11" x14ac:dyDescent="0.35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 s="15">
        <v>21595.38</v>
      </c>
      <c r="G1875" t="s">
        <v>11</v>
      </c>
      <c r="H1875" t="s">
        <v>12</v>
      </c>
      <c r="I1875" t="s">
        <v>23</v>
      </c>
      <c r="J1875" s="11">
        <f>DATE(B1875,MATCH(C1875,{"Jan","Feb","Mar","Apr","May","Jun","Jul","Aug","Sep","Oct","Nov","Dec"},0),D1875)</f>
        <v>36323</v>
      </c>
      <c r="K1875">
        <f t="shared" si="29"/>
        <v>23</v>
      </c>
    </row>
    <row r="1876" spans="1:11" x14ac:dyDescent="0.35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 s="15">
        <v>21659.93</v>
      </c>
      <c r="G1876" t="s">
        <v>12</v>
      </c>
      <c r="H1876" t="s">
        <v>12</v>
      </c>
      <c r="I1876" t="s">
        <v>247</v>
      </c>
      <c r="J1876" s="11">
        <f>DATE(B1876,MATCH(C1876,{"Jan","Feb","Mar","Apr","May","Jun","Jul","Aug","Sep","Oct","Nov","Dec"},0),D1876)</f>
        <v>30675</v>
      </c>
      <c r="K1876">
        <f t="shared" si="29"/>
        <v>39</v>
      </c>
    </row>
    <row r="1877" spans="1:11" x14ac:dyDescent="0.35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 s="15">
        <v>21661.16</v>
      </c>
      <c r="G1877" t="s">
        <v>11</v>
      </c>
      <c r="H1877" t="s">
        <v>11</v>
      </c>
      <c r="I1877" t="s">
        <v>23</v>
      </c>
      <c r="J1877" s="11">
        <f>DATE(B1877,MATCH(C1877,{"Jan","Feb","Mar","Apr","May","Jun","Jul","Aug","Sep","Oct","Nov","Dec"},0),D1877)</f>
        <v>22966</v>
      </c>
      <c r="K1877">
        <f t="shared" si="29"/>
        <v>60</v>
      </c>
    </row>
    <row r="1878" spans="1:11" x14ac:dyDescent="0.35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 s="15">
        <v>21677.279999999999</v>
      </c>
      <c r="G1878" t="s">
        <v>12</v>
      </c>
      <c r="H1878" t="s">
        <v>16</v>
      </c>
      <c r="I1878" t="s">
        <v>23</v>
      </c>
      <c r="J1878" s="11">
        <f>DATE(B1878,MATCH(C1878,{"Jan","Feb","Mar","Apr","May","Jun","Jul","Aug","Sep","Oct","Nov","Dec"},0),D1878)</f>
        <v>27959</v>
      </c>
      <c r="K1878">
        <f t="shared" si="29"/>
        <v>46</v>
      </c>
    </row>
    <row r="1879" spans="1:11" x14ac:dyDescent="0.35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 s="15">
        <v>21771.34</v>
      </c>
      <c r="G1879" t="s">
        <v>12</v>
      </c>
      <c r="H1879" t="s">
        <v>16</v>
      </c>
      <c r="I1879" t="s">
        <v>247</v>
      </c>
      <c r="J1879" s="11">
        <f>DATE(B1879,MATCH(C1879,{"Jan","Feb","Mar","Apr","May","Jun","Jul","Aug","Sep","Oct","Nov","Dec"},0),D1879)</f>
        <v>29118</v>
      </c>
      <c r="K1879">
        <f t="shared" si="29"/>
        <v>43</v>
      </c>
    </row>
    <row r="1880" spans="1:11" x14ac:dyDescent="0.35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 s="15">
        <v>21774.32</v>
      </c>
      <c r="G1880" t="s">
        <v>12</v>
      </c>
      <c r="H1880" t="s">
        <v>11</v>
      </c>
      <c r="I1880" t="s">
        <v>23</v>
      </c>
      <c r="J1880" s="11">
        <f>DATE(B1880,MATCH(C1880,{"Jan","Feb","Mar","Apr","May","Jun","Jul","Aug","Sep","Oct","Nov","Dec"},0),D1880)</f>
        <v>29126</v>
      </c>
      <c r="K1880">
        <f t="shared" si="29"/>
        <v>43</v>
      </c>
    </row>
    <row r="1881" spans="1:11" x14ac:dyDescent="0.35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 s="15">
        <v>21797</v>
      </c>
      <c r="G1881" t="s">
        <v>12</v>
      </c>
      <c r="H1881" t="s">
        <v>16</v>
      </c>
      <c r="I1881" t="s">
        <v>42</v>
      </c>
      <c r="J1881" s="11">
        <f>DATE(B1881,MATCH(C1881,{"Jan","Feb","Mar","Apr","May","Jun","Jul","Aug","Sep","Oct","Nov","Dec"},0),D1881)</f>
        <v>23250</v>
      </c>
      <c r="K1881">
        <f t="shared" si="29"/>
        <v>59</v>
      </c>
    </row>
    <row r="1882" spans="1:11" x14ac:dyDescent="0.35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 s="15">
        <v>21880.82</v>
      </c>
      <c r="G1882" t="s">
        <v>12</v>
      </c>
      <c r="H1882" t="s">
        <v>16</v>
      </c>
      <c r="I1882" t="s">
        <v>23</v>
      </c>
      <c r="J1882" s="11">
        <f>DATE(B1882,MATCH(C1882,{"Jan","Feb","Mar","Apr","May","Jun","Jul","Aug","Sep","Oct","Nov","Dec"},0),D1882)</f>
        <v>29084</v>
      </c>
      <c r="K1882">
        <f t="shared" si="29"/>
        <v>43</v>
      </c>
    </row>
    <row r="1883" spans="1:11" x14ac:dyDescent="0.35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 s="15">
        <v>21882.400000000001</v>
      </c>
      <c r="G1883" t="s">
        <v>11</v>
      </c>
      <c r="H1883" t="s">
        <v>16</v>
      </c>
      <c r="I1883" t="s">
        <v>42</v>
      </c>
      <c r="J1883" s="11">
        <f>DATE(B1883,MATCH(C1883,{"Jan","Feb","Mar","Apr","May","Jun","Jul","Aug","Sep","Oct","Nov","Dec"},0),D1883)</f>
        <v>37892</v>
      </c>
      <c r="K1883">
        <f t="shared" si="29"/>
        <v>19</v>
      </c>
    </row>
    <row r="1884" spans="1:11" x14ac:dyDescent="0.35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 s="15">
        <v>21978.68</v>
      </c>
      <c r="G1884" t="s">
        <v>12</v>
      </c>
      <c r="H1884" t="s">
        <v>12</v>
      </c>
      <c r="I1884" t="s">
        <v>13</v>
      </c>
      <c r="J1884" s="11">
        <f>DATE(B1884,MATCH(C1884,{"Jan","Feb","Mar","Apr","May","Jun","Jul","Aug","Sep","Oct","Nov","Dec"},0),D1884)</f>
        <v>27747</v>
      </c>
      <c r="K1884">
        <f t="shared" si="29"/>
        <v>47</v>
      </c>
    </row>
    <row r="1885" spans="1:11" x14ac:dyDescent="0.35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 s="15">
        <v>21984.47</v>
      </c>
      <c r="G1885" t="s">
        <v>12</v>
      </c>
      <c r="H1885" t="s">
        <v>16</v>
      </c>
      <c r="I1885" t="s">
        <v>23</v>
      </c>
      <c r="J1885" s="11">
        <f>DATE(B1885,MATCH(C1885,{"Jan","Feb","Mar","Apr","May","Jun","Jul","Aug","Sep","Oct","Nov","Dec"},0),D1885)</f>
        <v>32795</v>
      </c>
      <c r="K1885">
        <f t="shared" si="29"/>
        <v>33</v>
      </c>
    </row>
    <row r="1886" spans="1:11" x14ac:dyDescent="0.35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 s="15">
        <v>22097.62</v>
      </c>
      <c r="G1886" t="s">
        <v>12</v>
      </c>
      <c r="H1886" t="s">
        <v>16</v>
      </c>
      <c r="I1886" t="s">
        <v>42</v>
      </c>
      <c r="J1886" s="11">
        <f>DATE(B1886,MATCH(C1886,{"Jan","Feb","Mar","Apr","May","Jun","Jul","Aug","Sep","Oct","Nov","Dec"},0),D1886)</f>
        <v>37131</v>
      </c>
      <c r="K1886">
        <f t="shared" si="29"/>
        <v>21</v>
      </c>
    </row>
    <row r="1887" spans="1:11" x14ac:dyDescent="0.35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 s="15">
        <v>22144.03</v>
      </c>
      <c r="G1887" t="s">
        <v>11</v>
      </c>
      <c r="H1887" t="s">
        <v>11</v>
      </c>
      <c r="I1887" t="s">
        <v>42</v>
      </c>
      <c r="J1887" s="11">
        <f>DATE(B1887,MATCH(C1887,{"Jan","Feb","Mar","Apr","May","Jun","Jul","Aug","Sep","Oct","Nov","Dec"},0),D1887)</f>
        <v>29476</v>
      </c>
      <c r="K1887">
        <f t="shared" si="29"/>
        <v>42</v>
      </c>
    </row>
    <row r="1888" spans="1:11" x14ac:dyDescent="0.35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 s="15">
        <v>22192.44</v>
      </c>
      <c r="G1888" t="s">
        <v>12</v>
      </c>
      <c r="H1888" t="s">
        <v>16</v>
      </c>
      <c r="I1888" t="s">
        <v>13</v>
      </c>
      <c r="J1888" s="11">
        <f>DATE(B1888,MATCH(C1888,{"Jan","Feb","Mar","Apr","May","Jun","Jul","Aug","Sep","Oct","Nov","Dec"},0),D1888)</f>
        <v>23978</v>
      </c>
      <c r="K1888">
        <f t="shared" si="29"/>
        <v>57</v>
      </c>
    </row>
    <row r="1889" spans="1:11" x14ac:dyDescent="0.35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 s="15">
        <v>22218.11</v>
      </c>
      <c r="G1889" t="s">
        <v>11</v>
      </c>
      <c r="H1889" t="s">
        <v>12</v>
      </c>
      <c r="I1889" t="s">
        <v>13</v>
      </c>
      <c r="J1889" s="11">
        <f>DATE(B1889,MATCH(C1889,{"Jan","Feb","Mar","Apr","May","Jun","Jul","Aug","Sep","Oct","Nov","Dec"},0),D1889)</f>
        <v>26100</v>
      </c>
      <c r="K1889">
        <f t="shared" si="29"/>
        <v>51</v>
      </c>
    </row>
    <row r="1890" spans="1:11" x14ac:dyDescent="0.35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 s="15">
        <v>22331.57</v>
      </c>
      <c r="G1890" t="s">
        <v>11</v>
      </c>
      <c r="H1890" t="s">
        <v>12</v>
      </c>
      <c r="I1890" t="s">
        <v>247</v>
      </c>
      <c r="J1890" s="11">
        <f>DATE(B1890,MATCH(C1890,{"Jan","Feb","Mar","Apr","May","Jun","Jul","Aug","Sep","Oct","Nov","Dec"},0),D1890)</f>
        <v>30312</v>
      </c>
      <c r="K1890">
        <f t="shared" si="29"/>
        <v>40</v>
      </c>
    </row>
    <row r="1891" spans="1:11" x14ac:dyDescent="0.35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 s="15">
        <v>22395.74</v>
      </c>
      <c r="G1891" t="s">
        <v>12</v>
      </c>
      <c r="H1891" t="s">
        <v>11</v>
      </c>
      <c r="I1891" t="s">
        <v>247</v>
      </c>
      <c r="J1891" s="11">
        <f>DATE(B1891,MATCH(C1891,{"Jan","Feb","Mar","Apr","May","Jun","Jul","Aug","Sep","Oct","Nov","Dec"},0),D1891)</f>
        <v>36398</v>
      </c>
      <c r="K1891">
        <f t="shared" si="29"/>
        <v>23</v>
      </c>
    </row>
    <row r="1892" spans="1:11" x14ac:dyDescent="0.35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 s="15">
        <v>22412.65</v>
      </c>
      <c r="G1892" t="s">
        <v>12</v>
      </c>
      <c r="H1892" t="s">
        <v>12</v>
      </c>
      <c r="I1892" t="s">
        <v>276</v>
      </c>
      <c r="J1892" s="11">
        <f>DATE(B1892,MATCH(C1892,{"Jan","Feb","Mar","Apr","May","Jun","Jul","Aug","Sep","Oct","Nov","Dec"},0),D1892)</f>
        <v>24337</v>
      </c>
      <c r="K1892">
        <f t="shared" si="29"/>
        <v>56</v>
      </c>
    </row>
    <row r="1893" spans="1:11" x14ac:dyDescent="0.35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 s="15">
        <v>22462.04</v>
      </c>
      <c r="G1893" t="s">
        <v>12</v>
      </c>
      <c r="H1893" t="s">
        <v>16</v>
      </c>
      <c r="I1893" t="s">
        <v>166</v>
      </c>
      <c r="J1893" s="11">
        <f>DATE(B1893,MATCH(C1893,{"Jan","Feb","Mar","Apr","May","Jun","Jul","Aug","Sep","Oct","Nov","Dec"},0),D1893)</f>
        <v>30671</v>
      </c>
      <c r="K1893">
        <f t="shared" si="29"/>
        <v>39</v>
      </c>
    </row>
    <row r="1894" spans="1:11" x14ac:dyDescent="0.35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 s="15">
        <v>22478.6</v>
      </c>
      <c r="G1894" t="s">
        <v>12</v>
      </c>
      <c r="H1894" t="s">
        <v>11</v>
      </c>
      <c r="I1894" t="s">
        <v>42</v>
      </c>
      <c r="J1894" s="11">
        <f>DATE(B1894,MATCH(C1894,{"Jan","Feb","Mar","Apr","May","Jun","Jul","Aug","Sep","Oct","Nov","Dec"},0),D1894)</f>
        <v>29173</v>
      </c>
      <c r="K1894">
        <f t="shared" si="29"/>
        <v>43</v>
      </c>
    </row>
    <row r="1895" spans="1:11" x14ac:dyDescent="0.35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 s="15">
        <v>22493.66</v>
      </c>
      <c r="G1895" t="s">
        <v>11</v>
      </c>
      <c r="H1895" t="s">
        <v>16</v>
      </c>
      <c r="I1895" t="s">
        <v>23</v>
      </c>
      <c r="J1895" s="11">
        <f>DATE(B1895,MATCH(C1895,{"Jan","Feb","Mar","Apr","May","Jun","Jul","Aug","Sep","Oct","Nov","Dec"},0),D1895)</f>
        <v>37827</v>
      </c>
      <c r="K1895">
        <f t="shared" si="29"/>
        <v>19</v>
      </c>
    </row>
    <row r="1896" spans="1:11" x14ac:dyDescent="0.35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 s="15">
        <v>23045.57</v>
      </c>
      <c r="G1896" t="s">
        <v>11</v>
      </c>
      <c r="H1896" t="s">
        <v>11</v>
      </c>
      <c r="I1896" t="s">
        <v>247</v>
      </c>
      <c r="J1896" s="11">
        <f>DATE(B1896,MATCH(C1896,{"Jan","Feb","Mar","Apr","May","Jun","Jul","Aug","Sep","Oct","Nov","Dec"},0),D1896)</f>
        <v>25881</v>
      </c>
      <c r="K1896">
        <f t="shared" si="29"/>
        <v>52</v>
      </c>
    </row>
    <row r="1897" spans="1:11" x14ac:dyDescent="0.35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 s="15">
        <v>23065.42</v>
      </c>
      <c r="G1897" t="s">
        <v>11</v>
      </c>
      <c r="H1897" t="s">
        <v>11</v>
      </c>
      <c r="I1897" t="s">
        <v>13</v>
      </c>
      <c r="J1897" s="11">
        <f>DATE(B1897,MATCH(C1897,{"Jan","Feb","Mar","Apr","May","Jun","Jul","Aug","Sep","Oct","Nov","Dec"},0),D1897)</f>
        <v>27646</v>
      </c>
      <c r="K1897">
        <f t="shared" si="29"/>
        <v>47</v>
      </c>
    </row>
    <row r="1898" spans="1:11" x14ac:dyDescent="0.35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 s="15">
        <v>23082.959999999999</v>
      </c>
      <c r="G1898" t="s">
        <v>11</v>
      </c>
      <c r="H1898" t="s">
        <v>11</v>
      </c>
      <c r="I1898" t="s">
        <v>42</v>
      </c>
      <c r="J1898" s="11">
        <f>DATE(B1898,MATCH(C1898,{"Jan","Feb","Mar","Apr","May","Jun","Jul","Aug","Sep","Oct","Nov","Dec"},0),D1898)</f>
        <v>37969</v>
      </c>
      <c r="K1898">
        <f t="shared" si="29"/>
        <v>19</v>
      </c>
    </row>
    <row r="1899" spans="1:11" x14ac:dyDescent="0.35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 s="15">
        <v>23241.47</v>
      </c>
      <c r="G1899" t="s">
        <v>11</v>
      </c>
      <c r="H1899" t="s">
        <v>12</v>
      </c>
      <c r="I1899" t="s">
        <v>170</v>
      </c>
      <c r="J1899" s="11">
        <f>DATE(B1899,MATCH(C1899,{"Jan","Feb","Mar","Apr","May","Jun","Jul","Aug","Sep","Oct","Nov","Dec"},0),D1899)</f>
        <v>35649</v>
      </c>
      <c r="K1899">
        <f t="shared" si="29"/>
        <v>25</v>
      </c>
    </row>
    <row r="1900" spans="1:11" x14ac:dyDescent="0.35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 s="15">
        <v>23244.79</v>
      </c>
      <c r="G1900" t="s">
        <v>11</v>
      </c>
      <c r="H1900" t="s">
        <v>12</v>
      </c>
      <c r="I1900" t="s">
        <v>13</v>
      </c>
      <c r="J1900" s="11">
        <f>DATE(B1900,MATCH(C1900,{"Jan","Feb","Mar","Apr","May","Jun","Jul","Aug","Sep","Oct","Nov","Dec"},0),D1900)</f>
        <v>25521</v>
      </c>
      <c r="K1900">
        <f t="shared" si="29"/>
        <v>53</v>
      </c>
    </row>
    <row r="1901" spans="1:11" x14ac:dyDescent="0.35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 s="15">
        <v>23288.93</v>
      </c>
      <c r="G1901" t="s">
        <v>11</v>
      </c>
      <c r="H1901" t="s">
        <v>12</v>
      </c>
      <c r="I1901" t="s">
        <v>247</v>
      </c>
      <c r="J1901" s="11">
        <f>DATE(B1901,MATCH(C1901,{"Jan","Feb","Mar","Apr","May","Jun","Jul","Aug","Sep","Oct","Nov","Dec"},0),D1901)</f>
        <v>34610</v>
      </c>
      <c r="K1901">
        <f t="shared" si="29"/>
        <v>28</v>
      </c>
    </row>
    <row r="1902" spans="1:11" x14ac:dyDescent="0.35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 s="15">
        <v>23306.55</v>
      </c>
      <c r="G1902" t="s">
        <v>11</v>
      </c>
      <c r="H1902" t="s">
        <v>11</v>
      </c>
      <c r="I1902" t="s">
        <v>42</v>
      </c>
      <c r="J1902" s="11">
        <f>DATE(B1902,MATCH(C1902,{"Jan","Feb","Mar","Apr","May","Jun","Jul","Aug","Sep","Oct","Nov","Dec"},0),D1902)</f>
        <v>26959</v>
      </c>
      <c r="K1902">
        <f t="shared" si="29"/>
        <v>49</v>
      </c>
    </row>
    <row r="1903" spans="1:11" x14ac:dyDescent="0.35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 s="15">
        <v>23401.31</v>
      </c>
      <c r="G1903" t="s">
        <v>11</v>
      </c>
      <c r="H1903" t="s">
        <v>12</v>
      </c>
      <c r="I1903" t="s">
        <v>247</v>
      </c>
      <c r="J1903" s="11">
        <f>DATE(B1903,MATCH(C1903,{"Jan","Feb","Mar","Apr","May","Jun","Jul","Aug","Sep","Oct","Nov","Dec"},0),D1903)</f>
        <v>27711</v>
      </c>
      <c r="K1903">
        <f t="shared" si="29"/>
        <v>47</v>
      </c>
    </row>
    <row r="1904" spans="1:11" x14ac:dyDescent="0.35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 s="15">
        <v>23563.02</v>
      </c>
      <c r="G1904" t="s">
        <v>11</v>
      </c>
      <c r="H1904" t="s">
        <v>11</v>
      </c>
      <c r="I1904" t="s">
        <v>13</v>
      </c>
      <c r="J1904" s="11">
        <f>DATE(B1904,MATCH(C1904,{"Jan","Feb","Mar","Apr","May","Jun","Jul","Aug","Sep","Oct","Nov","Dec"},0),D1904)</f>
        <v>30554</v>
      </c>
      <c r="K1904">
        <f t="shared" si="29"/>
        <v>39</v>
      </c>
    </row>
    <row r="1905" spans="1:11" x14ac:dyDescent="0.35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 s="15">
        <v>23568.27</v>
      </c>
      <c r="G1905" t="s">
        <v>11</v>
      </c>
      <c r="H1905" t="s">
        <v>11</v>
      </c>
      <c r="I1905" t="s">
        <v>42</v>
      </c>
      <c r="J1905" s="11">
        <f>DATE(B1905,MATCH(C1905,{"Jan","Feb","Mar","Apr","May","Jun","Jul","Aug","Sep","Oct","Nov","Dec"},0),D1905)</f>
        <v>27182</v>
      </c>
      <c r="K1905">
        <f t="shared" si="29"/>
        <v>49</v>
      </c>
    </row>
    <row r="1906" spans="1:11" x14ac:dyDescent="0.35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 s="15">
        <v>23807.24</v>
      </c>
      <c r="G1906" t="s">
        <v>11</v>
      </c>
      <c r="H1906" t="s">
        <v>12</v>
      </c>
      <c r="I1906" t="s">
        <v>23</v>
      </c>
      <c r="J1906" s="11">
        <f>DATE(B1906,MATCH(C1906,{"Jan","Feb","Mar","Apr","May","Jun","Jul","Aug","Sep","Oct","Nov","Dec"},0),D1906)</f>
        <v>26842</v>
      </c>
      <c r="K1906">
        <f t="shared" si="29"/>
        <v>49</v>
      </c>
    </row>
    <row r="1907" spans="1:11" x14ac:dyDescent="0.35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 s="15">
        <v>23887.66</v>
      </c>
      <c r="G1907" t="s">
        <v>11</v>
      </c>
      <c r="H1907" t="s">
        <v>12</v>
      </c>
      <c r="I1907" t="s">
        <v>23</v>
      </c>
      <c r="J1907" s="11">
        <f>DATE(B1907,MATCH(C1907,{"Jan","Feb","Mar","Apr","May","Jun","Jul","Aug","Sep","Oct","Nov","Dec"},0),D1907)</f>
        <v>25788</v>
      </c>
      <c r="K1907">
        <f t="shared" si="29"/>
        <v>52</v>
      </c>
    </row>
    <row r="1908" spans="1:11" x14ac:dyDescent="0.35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 s="15">
        <v>23967.38</v>
      </c>
      <c r="G1908" t="s">
        <v>11</v>
      </c>
      <c r="H1908" t="s">
        <v>11</v>
      </c>
      <c r="I1908" t="s">
        <v>23</v>
      </c>
      <c r="J1908" s="11">
        <f>DATE(B1908,MATCH(C1908,{"Jan","Feb","Mar","Apr","May","Jun","Jul","Aug","Sep","Oct","Nov","Dec"},0),D1908)</f>
        <v>26124</v>
      </c>
      <c r="K1908">
        <f t="shared" si="29"/>
        <v>51</v>
      </c>
    </row>
    <row r="1909" spans="1:11" x14ac:dyDescent="0.35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 s="15">
        <v>24059.68</v>
      </c>
      <c r="G1909" t="s">
        <v>11</v>
      </c>
      <c r="H1909" t="s">
        <v>11</v>
      </c>
      <c r="I1909" t="s">
        <v>23</v>
      </c>
      <c r="J1909" s="11">
        <f>DATE(B1909,MATCH(C1909,{"Jan","Feb","Mar","Apr","May","Jun","Jul","Aug","Sep","Oct","Nov","Dec"},0),D1909)</f>
        <v>37985</v>
      </c>
      <c r="K1909">
        <f t="shared" si="29"/>
        <v>19</v>
      </c>
    </row>
    <row r="1910" spans="1:11" x14ac:dyDescent="0.35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 s="15">
        <v>24106.91</v>
      </c>
      <c r="G1910" t="s">
        <v>11</v>
      </c>
      <c r="H1910" t="s">
        <v>11</v>
      </c>
      <c r="I1910" t="s">
        <v>247</v>
      </c>
      <c r="J1910" s="11">
        <f>DATE(B1910,MATCH(C1910,{"Jan","Feb","Mar","Apr","May","Jun","Jul","Aug","Sep","Oct","Nov","Dec"},0),D1910)</f>
        <v>26828</v>
      </c>
      <c r="K1910">
        <f t="shared" si="29"/>
        <v>49</v>
      </c>
    </row>
    <row r="1911" spans="1:11" x14ac:dyDescent="0.35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 s="15">
        <v>24180.93</v>
      </c>
      <c r="G1911" t="s">
        <v>11</v>
      </c>
      <c r="H1911" t="s">
        <v>16</v>
      </c>
      <c r="I1911" t="s">
        <v>13</v>
      </c>
      <c r="J1911" s="11">
        <f>DATE(B1911,MATCH(C1911,{"Jan","Feb","Mar","Apr","May","Jun","Jul","Aug","Sep","Oct","Nov","Dec"},0),D1911)</f>
        <v>27282</v>
      </c>
      <c r="K1911">
        <f t="shared" si="29"/>
        <v>48</v>
      </c>
    </row>
    <row r="1912" spans="1:11" x14ac:dyDescent="0.35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 s="15">
        <v>24227.34</v>
      </c>
      <c r="G1912" t="s">
        <v>11</v>
      </c>
      <c r="H1912" t="s">
        <v>16</v>
      </c>
      <c r="I1912" t="s">
        <v>13</v>
      </c>
      <c r="J1912" s="11">
        <f>DATE(B1912,MATCH(C1912,{"Jan","Feb","Mar","Apr","May","Jun","Jul","Aug","Sep","Oct","Nov","Dec"},0),D1912)</f>
        <v>23727</v>
      </c>
      <c r="K1912">
        <f t="shared" si="29"/>
        <v>58</v>
      </c>
    </row>
    <row r="1913" spans="1:11" x14ac:dyDescent="0.35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 s="15">
        <v>24294.02</v>
      </c>
      <c r="G1913" t="s">
        <v>11</v>
      </c>
      <c r="H1913" t="s">
        <v>16</v>
      </c>
      <c r="I1913" t="s">
        <v>42</v>
      </c>
      <c r="J1913" s="11">
        <f>DATE(B1913,MATCH(C1913,{"Jan","Feb","Mar","Apr","May","Jun","Jul","Aug","Sep","Oct","Nov","Dec"},0),D1913)</f>
        <v>38202</v>
      </c>
      <c r="K1913">
        <f t="shared" si="29"/>
        <v>18</v>
      </c>
    </row>
    <row r="1914" spans="1:11" x14ac:dyDescent="0.35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 s="15">
        <v>24387.74</v>
      </c>
      <c r="G1914" t="s">
        <v>11</v>
      </c>
      <c r="H1914" t="s">
        <v>16</v>
      </c>
      <c r="I1914" t="s">
        <v>42</v>
      </c>
      <c r="J1914" s="11">
        <f>DATE(B1914,MATCH(C1914,{"Jan","Feb","Mar","Apr","May","Jun","Jul","Aug","Sep","Oct","Nov","Dec"},0),D1914)</f>
        <v>36440</v>
      </c>
      <c r="K1914">
        <f t="shared" si="29"/>
        <v>23</v>
      </c>
    </row>
    <row r="1915" spans="1:11" x14ac:dyDescent="0.35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 s="15">
        <v>24393.62</v>
      </c>
      <c r="G1915" t="s">
        <v>11</v>
      </c>
      <c r="H1915" t="s">
        <v>12</v>
      </c>
      <c r="I1915" t="s">
        <v>23</v>
      </c>
      <c r="J1915" s="11">
        <f>DATE(B1915,MATCH(C1915,{"Jan","Feb","Mar","Apr","May","Jun","Jul","Aug","Sep","Oct","Nov","Dec"},0),D1915)</f>
        <v>25902</v>
      </c>
      <c r="K1915">
        <f t="shared" si="29"/>
        <v>52</v>
      </c>
    </row>
    <row r="1916" spans="1:11" x14ac:dyDescent="0.35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 s="15">
        <v>24476.48</v>
      </c>
      <c r="G1916" t="s">
        <v>11</v>
      </c>
      <c r="H1916" t="s">
        <v>11</v>
      </c>
      <c r="I1916" t="s">
        <v>23</v>
      </c>
      <c r="J1916" s="11">
        <f>DATE(B1916,MATCH(C1916,{"Jan","Feb","Mar","Apr","May","Jun","Jul","Aug","Sep","Oct","Nov","Dec"},0),D1916)</f>
        <v>25025</v>
      </c>
      <c r="K1916">
        <f t="shared" si="29"/>
        <v>54</v>
      </c>
    </row>
    <row r="1917" spans="1:11" x14ac:dyDescent="0.35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 s="15">
        <v>24513.09</v>
      </c>
      <c r="G1917" t="s">
        <v>11</v>
      </c>
      <c r="H1917" t="s">
        <v>11</v>
      </c>
      <c r="I1917" t="s">
        <v>13</v>
      </c>
      <c r="J1917" s="11">
        <f>DATE(B1917,MATCH(C1917,{"Jan","Feb","Mar","Apr","May","Jun","Jul","Aug","Sep","Oct","Nov","Dec"},0),D1917)</f>
        <v>22575</v>
      </c>
      <c r="K1917">
        <f t="shared" si="29"/>
        <v>61</v>
      </c>
    </row>
    <row r="1918" spans="1:11" x14ac:dyDescent="0.35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 s="15">
        <v>24520.26</v>
      </c>
      <c r="G1918" t="s">
        <v>11</v>
      </c>
      <c r="H1918" t="s">
        <v>12</v>
      </c>
      <c r="I1918" t="s">
        <v>42</v>
      </c>
      <c r="J1918" s="11">
        <f>DATE(B1918,MATCH(C1918,{"Jan","Feb","Mar","Apr","May","Jun","Jul","Aug","Sep","Oct","Nov","Dec"},0),D1918)</f>
        <v>26556</v>
      </c>
      <c r="K1918">
        <f t="shared" si="29"/>
        <v>50</v>
      </c>
    </row>
    <row r="1919" spans="1:11" x14ac:dyDescent="0.35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 s="15">
        <v>24535.7</v>
      </c>
      <c r="G1919" t="s">
        <v>11</v>
      </c>
      <c r="H1919" t="s">
        <v>11</v>
      </c>
      <c r="I1919" t="s">
        <v>23</v>
      </c>
      <c r="J1919" s="11">
        <f>DATE(B1919,MATCH(C1919,{"Jan","Feb","Mar","Apr","May","Jun","Jul","Aug","Sep","Oct","Nov","Dec"},0),D1919)</f>
        <v>27558</v>
      </c>
      <c r="K1919">
        <f t="shared" si="29"/>
        <v>47</v>
      </c>
    </row>
    <row r="1920" spans="1:11" x14ac:dyDescent="0.35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 s="15">
        <v>24603.05</v>
      </c>
      <c r="G1920" t="s">
        <v>11</v>
      </c>
      <c r="H1920" t="s">
        <v>11</v>
      </c>
      <c r="I1920" t="s">
        <v>42</v>
      </c>
      <c r="J1920" s="11">
        <f>DATE(B1920,MATCH(C1920,{"Jan","Feb","Mar","Apr","May","Jun","Jul","Aug","Sep","Oct","Nov","Dec"},0),D1920)</f>
        <v>28045</v>
      </c>
      <c r="K1920">
        <f t="shared" si="29"/>
        <v>46</v>
      </c>
    </row>
    <row r="1921" spans="1:11" x14ac:dyDescent="0.35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 s="15">
        <v>24667.42</v>
      </c>
      <c r="G1921" t="s">
        <v>11</v>
      </c>
      <c r="H1921" t="s">
        <v>12</v>
      </c>
      <c r="I1921" t="s">
        <v>13</v>
      </c>
      <c r="J1921" s="11">
        <f>DATE(B1921,MATCH(C1921,{"Jan","Feb","Mar","Apr","May","Jun","Jul","Aug","Sep","Oct","Nov","Dec"},0),D1921)</f>
        <v>25731</v>
      </c>
      <c r="K1921">
        <f t="shared" si="29"/>
        <v>52</v>
      </c>
    </row>
    <row r="1922" spans="1:11" x14ac:dyDescent="0.35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 s="15">
        <v>24671.66</v>
      </c>
      <c r="G1922" t="s">
        <v>11</v>
      </c>
      <c r="H1922" t="s">
        <v>16</v>
      </c>
      <c r="I1922" t="s">
        <v>247</v>
      </c>
      <c r="J1922" s="11">
        <f>DATE(B1922,MATCH(C1922,{"Jan","Feb","Mar","Apr","May","Jun","Jul","Aug","Sep","Oct","Nov","Dec"},0),D1922)</f>
        <v>35305</v>
      </c>
      <c r="K1922">
        <f t="shared" si="29"/>
        <v>26</v>
      </c>
    </row>
    <row r="1923" spans="1:11" x14ac:dyDescent="0.35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 s="15">
        <v>24795.040000000001</v>
      </c>
      <c r="G1923" t="s">
        <v>11</v>
      </c>
      <c r="H1923" t="s">
        <v>12</v>
      </c>
      <c r="I1923" t="s">
        <v>42</v>
      </c>
      <c r="J1923" s="11">
        <f>DATE(B1923,MATCH(C1923,{"Jan","Feb","Mar","Apr","May","Jun","Jul","Aug","Sep","Oct","Nov","Dec"},0),D1923)</f>
        <v>33888</v>
      </c>
      <c r="K1923">
        <f t="shared" ref="K1923:K1986" si="30">DATEDIF(J1923,$N$1,"Y")</f>
        <v>30</v>
      </c>
    </row>
    <row r="1924" spans="1:11" x14ac:dyDescent="0.35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 s="15">
        <v>24817.25</v>
      </c>
      <c r="G1924" t="s">
        <v>11</v>
      </c>
      <c r="H1924" t="s">
        <v>11</v>
      </c>
      <c r="I1924" t="s">
        <v>42</v>
      </c>
      <c r="J1924" s="11">
        <f>DATE(B1924,MATCH(C1924,{"Jan","Feb","Mar","Apr","May","Jun","Jul","Aug","Sep","Oct","Nov","Dec"},0),D1924)</f>
        <v>34586</v>
      </c>
      <c r="K1924">
        <f t="shared" si="30"/>
        <v>28</v>
      </c>
    </row>
    <row r="1925" spans="1:11" x14ac:dyDescent="0.35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 s="15">
        <v>24863.25</v>
      </c>
      <c r="G1925" t="s">
        <v>11</v>
      </c>
      <c r="H1925" t="s">
        <v>12</v>
      </c>
      <c r="I1925" t="s">
        <v>42</v>
      </c>
      <c r="J1925" s="11">
        <f>DATE(B1925,MATCH(C1925,{"Jan","Feb","Mar","Apr","May","Jun","Jul","Aug","Sep","Oct","Nov","Dec"},0),D1925)</f>
        <v>34860</v>
      </c>
      <c r="K1925">
        <f t="shared" si="30"/>
        <v>27</v>
      </c>
    </row>
    <row r="1926" spans="1:11" x14ac:dyDescent="0.35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 s="15">
        <v>24869.84</v>
      </c>
      <c r="G1926" t="s">
        <v>11</v>
      </c>
      <c r="H1926" t="s">
        <v>11</v>
      </c>
      <c r="I1926" t="s">
        <v>168</v>
      </c>
      <c r="J1926" s="11">
        <f>DATE(B1926,MATCH(C1926,{"Jan","Feb","Mar","Apr","May","Jun","Jul","Aug","Sep","Oct","Nov","Dec"},0),D1926)</f>
        <v>25898</v>
      </c>
      <c r="K1926">
        <f t="shared" si="30"/>
        <v>52</v>
      </c>
    </row>
    <row r="1927" spans="1:11" x14ac:dyDescent="0.35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 s="15">
        <v>24873.38</v>
      </c>
      <c r="G1927" t="s">
        <v>11</v>
      </c>
      <c r="H1927" t="s">
        <v>16</v>
      </c>
      <c r="I1927" t="s">
        <v>247</v>
      </c>
      <c r="J1927" s="11">
        <f>DATE(B1927,MATCH(C1927,{"Jan","Feb","Mar","Apr","May","Jun","Jul","Aug","Sep","Oct","Nov","Dec"},0),D1927)</f>
        <v>25407</v>
      </c>
      <c r="K1927">
        <f t="shared" si="30"/>
        <v>53</v>
      </c>
    </row>
    <row r="1928" spans="1:11" x14ac:dyDescent="0.35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 s="15">
        <v>24915.05</v>
      </c>
      <c r="G1928" t="s">
        <v>11</v>
      </c>
      <c r="H1928" t="s">
        <v>16</v>
      </c>
      <c r="I1928" t="s">
        <v>247</v>
      </c>
      <c r="J1928" s="11">
        <f>DATE(B1928,MATCH(C1928,{"Jan","Feb","Mar","Apr","May","Jun","Jul","Aug","Sep","Oct","Nov","Dec"},0),D1928)</f>
        <v>31942</v>
      </c>
      <c r="K1928">
        <f t="shared" si="30"/>
        <v>35</v>
      </c>
    </row>
    <row r="1929" spans="1:11" x14ac:dyDescent="0.35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 s="15">
        <v>24915.22</v>
      </c>
      <c r="G1929" t="s">
        <v>11</v>
      </c>
      <c r="H1929" t="s">
        <v>12</v>
      </c>
      <c r="I1929" t="s">
        <v>23</v>
      </c>
      <c r="J1929" s="11">
        <f>DATE(B1929,MATCH(C1929,{"Jan","Feb","Mar","Apr","May","Jun","Jul","Aug","Sep","Oct","Nov","Dec"},0),D1929)</f>
        <v>27712</v>
      </c>
      <c r="K1929">
        <f t="shared" si="30"/>
        <v>47</v>
      </c>
    </row>
    <row r="1930" spans="1:11" x14ac:dyDescent="0.35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 s="15">
        <v>25075.97</v>
      </c>
      <c r="G1930" t="s">
        <v>11</v>
      </c>
      <c r="H1930" t="s">
        <v>11</v>
      </c>
      <c r="I1930" t="s">
        <v>42</v>
      </c>
      <c r="J1930" s="11">
        <f>DATE(B1930,MATCH(C1930,{"Jan","Feb","Mar","Apr","May","Jun","Jul","Aug","Sep","Oct","Nov","Dec"},0),D1930)</f>
        <v>35037</v>
      </c>
      <c r="K1930">
        <f t="shared" si="30"/>
        <v>27</v>
      </c>
    </row>
    <row r="1931" spans="1:11" x14ac:dyDescent="0.35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 s="15">
        <v>25081.77</v>
      </c>
      <c r="G1931" t="s">
        <v>11</v>
      </c>
      <c r="H1931" t="s">
        <v>11</v>
      </c>
      <c r="I1931" t="s">
        <v>13</v>
      </c>
      <c r="J1931" s="11">
        <f>DATE(B1931,MATCH(C1931,{"Jan","Feb","Mar","Apr","May","Jun","Jul","Aug","Sep","Oct","Nov","Dec"},0),D1931)</f>
        <v>35960</v>
      </c>
      <c r="K1931">
        <f t="shared" si="30"/>
        <v>24</v>
      </c>
    </row>
    <row r="1932" spans="1:11" x14ac:dyDescent="0.35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 s="15">
        <v>25127.22</v>
      </c>
      <c r="G1932" t="s">
        <v>11</v>
      </c>
      <c r="H1932" t="s">
        <v>12</v>
      </c>
      <c r="I1932" t="s">
        <v>42</v>
      </c>
      <c r="J1932" s="11">
        <f>DATE(B1932,MATCH(C1932,{"Jan","Feb","Mar","Apr","May","Jun","Jul","Aug","Sep","Oct","Nov","Dec"},0),D1932)</f>
        <v>36123</v>
      </c>
      <c r="K1932">
        <f t="shared" si="30"/>
        <v>24</v>
      </c>
    </row>
    <row r="1933" spans="1:11" x14ac:dyDescent="0.35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 s="15">
        <v>25309.49</v>
      </c>
      <c r="G1933" t="s">
        <v>11</v>
      </c>
      <c r="H1933" t="s">
        <v>16</v>
      </c>
      <c r="I1933" t="s">
        <v>42</v>
      </c>
      <c r="J1933" s="11">
        <f>DATE(B1933,MATCH(C1933,{"Jan","Feb","Mar","Apr","May","Jun","Jul","Aug","Sep","Oct","Nov","Dec"},0),D1933)</f>
        <v>27742</v>
      </c>
      <c r="K1933">
        <f t="shared" si="30"/>
        <v>47</v>
      </c>
    </row>
    <row r="1934" spans="1:11" x14ac:dyDescent="0.35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 s="15">
        <v>25333.33</v>
      </c>
      <c r="G1934" t="s">
        <v>11</v>
      </c>
      <c r="H1934" t="s">
        <v>11</v>
      </c>
      <c r="I1934" t="s">
        <v>356</v>
      </c>
      <c r="J1934" s="11">
        <f>DATE(B1934,MATCH(C1934,{"Jan","Feb","Mar","Apr","May","Jun","Jul","Aug","Sep","Oct","Nov","Dec"},0),D1934)</f>
        <v>26568</v>
      </c>
      <c r="K1934">
        <f t="shared" si="30"/>
        <v>50</v>
      </c>
    </row>
    <row r="1935" spans="1:11" x14ac:dyDescent="0.35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 s="15">
        <v>25382.3</v>
      </c>
      <c r="G1935" t="s">
        <v>11</v>
      </c>
      <c r="H1935" t="s">
        <v>11</v>
      </c>
      <c r="I1935" t="s">
        <v>42</v>
      </c>
      <c r="J1935" s="11">
        <f>DATE(B1935,MATCH(C1935,{"Jan","Feb","Mar","Apr","May","Jun","Jul","Aug","Sep","Oct","Nov","Dec"},0),D1935)</f>
        <v>25072</v>
      </c>
      <c r="K1935">
        <f t="shared" si="30"/>
        <v>54</v>
      </c>
    </row>
    <row r="1936" spans="1:11" x14ac:dyDescent="0.35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 s="15">
        <v>25517.11</v>
      </c>
      <c r="G1936" t="s">
        <v>11</v>
      </c>
      <c r="H1936" t="s">
        <v>12</v>
      </c>
      <c r="I1936" t="s">
        <v>356</v>
      </c>
      <c r="J1936" s="11">
        <f>DATE(B1936,MATCH(C1936,{"Jan","Feb","Mar","Apr","May","Jun","Jul","Aug","Sep","Oct","Nov","Dec"},0),D1936)</f>
        <v>25183</v>
      </c>
      <c r="K1936">
        <f t="shared" si="30"/>
        <v>54</v>
      </c>
    </row>
    <row r="1937" spans="1:11" x14ac:dyDescent="0.35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 s="15">
        <v>25648.98</v>
      </c>
      <c r="G1937" t="s">
        <v>11</v>
      </c>
      <c r="H1937" t="s">
        <v>16</v>
      </c>
      <c r="I1937" t="s">
        <v>42</v>
      </c>
      <c r="J1937" s="11">
        <f>DATE(B1937,MATCH(C1937,{"Jan","Feb","Mar","Apr","May","Jun","Jul","Aug","Sep","Oct","Nov","Dec"},0),D1937)</f>
        <v>37105</v>
      </c>
      <c r="K1937">
        <f t="shared" si="30"/>
        <v>21</v>
      </c>
    </row>
    <row r="1938" spans="1:11" x14ac:dyDescent="0.35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 s="15">
        <v>25656.58</v>
      </c>
      <c r="G1938" t="s">
        <v>11</v>
      </c>
      <c r="H1938" t="s">
        <v>12</v>
      </c>
      <c r="I1938" t="s">
        <v>247</v>
      </c>
      <c r="J1938" s="11">
        <f>DATE(B1938,MATCH(C1938,{"Jan","Feb","Mar","Apr","May","Jun","Jul","Aug","Sep","Oct","Nov","Dec"},0),D1938)</f>
        <v>26497</v>
      </c>
      <c r="K1938">
        <f t="shared" si="30"/>
        <v>50</v>
      </c>
    </row>
    <row r="1939" spans="1:11" x14ac:dyDescent="0.35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 s="15">
        <v>25678.78</v>
      </c>
      <c r="G1939" t="s">
        <v>11</v>
      </c>
      <c r="H1939" t="s">
        <v>12</v>
      </c>
      <c r="I1939" t="s">
        <v>23</v>
      </c>
      <c r="J1939" s="11">
        <f>DATE(B1939,MATCH(C1939,{"Jan","Feb","Mar","Apr","May","Jun","Jul","Aug","Sep","Oct","Nov","Dec"},0),D1939)</f>
        <v>23244</v>
      </c>
      <c r="K1939">
        <f t="shared" si="30"/>
        <v>59</v>
      </c>
    </row>
    <row r="1940" spans="1:11" x14ac:dyDescent="0.35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 s="15">
        <v>25992.82</v>
      </c>
      <c r="G1940" t="s">
        <v>11</v>
      </c>
      <c r="H1940" t="s">
        <v>11</v>
      </c>
      <c r="I1940" t="s">
        <v>13</v>
      </c>
      <c r="J1940" s="11">
        <f>DATE(B1940,MATCH(C1940,{"Jan","Feb","Mar","Apr","May","Jun","Jul","Aug","Sep","Oct","Nov","Dec"},0),D1940)</f>
        <v>25905</v>
      </c>
      <c r="K1940">
        <f t="shared" si="30"/>
        <v>52</v>
      </c>
    </row>
    <row r="1941" spans="1:11" x14ac:dyDescent="0.35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 s="15">
        <v>26018.95</v>
      </c>
      <c r="G1941" t="s">
        <v>11</v>
      </c>
      <c r="H1941" t="s">
        <v>11</v>
      </c>
      <c r="I1941" t="s">
        <v>23</v>
      </c>
      <c r="J1941" s="11">
        <f>DATE(B1941,MATCH(C1941,{"Jan","Feb","Mar","Apr","May","Jun","Jul","Aug","Sep","Oct","Nov","Dec"},0),D1941)</f>
        <v>37047</v>
      </c>
      <c r="K1941">
        <f t="shared" si="30"/>
        <v>22</v>
      </c>
    </row>
    <row r="1942" spans="1:11" x14ac:dyDescent="0.35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 s="15">
        <v>26026.97</v>
      </c>
      <c r="G1942" t="s">
        <v>11</v>
      </c>
      <c r="H1942" t="s">
        <v>12</v>
      </c>
      <c r="I1942" t="s">
        <v>42</v>
      </c>
      <c r="J1942" s="11">
        <f>DATE(B1942,MATCH(C1942,{"Jan","Feb","Mar","Apr","May","Jun","Jul","Aug","Sep","Oct","Nov","Dec"},0),D1942)</f>
        <v>36886</v>
      </c>
      <c r="K1942">
        <f t="shared" si="30"/>
        <v>22</v>
      </c>
    </row>
    <row r="1943" spans="1:11" x14ac:dyDescent="0.35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 s="15">
        <v>26109.33</v>
      </c>
      <c r="G1943" t="s">
        <v>11</v>
      </c>
      <c r="H1943" t="s">
        <v>12</v>
      </c>
      <c r="I1943" t="s">
        <v>23</v>
      </c>
      <c r="J1943" s="11">
        <f>DATE(B1943,MATCH(C1943,{"Jan","Feb","Mar","Apr","May","Jun","Jul","Aug","Sep","Oct","Nov","Dec"},0),D1943)</f>
        <v>24297</v>
      </c>
      <c r="K1943">
        <f t="shared" si="30"/>
        <v>56</v>
      </c>
    </row>
    <row r="1944" spans="1:11" x14ac:dyDescent="0.35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 s="15">
        <v>26125.67</v>
      </c>
      <c r="G1944" t="s">
        <v>11</v>
      </c>
      <c r="H1944" t="s">
        <v>16</v>
      </c>
      <c r="I1944" t="s">
        <v>13</v>
      </c>
      <c r="J1944" s="11">
        <f>DATE(B1944,MATCH(C1944,{"Jan","Feb","Mar","Apr","May","Jun","Jul","Aug","Sep","Oct","Nov","Dec"},0),D1944)</f>
        <v>37540</v>
      </c>
      <c r="K1944">
        <f t="shared" si="30"/>
        <v>20</v>
      </c>
    </row>
    <row r="1945" spans="1:11" x14ac:dyDescent="0.35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 s="15">
        <v>26140.36</v>
      </c>
      <c r="G1945" t="s">
        <v>11</v>
      </c>
      <c r="H1945" t="s">
        <v>12</v>
      </c>
      <c r="I1945" t="s">
        <v>42</v>
      </c>
      <c r="J1945" s="11">
        <f>DATE(B1945,MATCH(C1945,{"Jan","Feb","Mar","Apr","May","Jun","Jul","Aug","Sep","Oct","Nov","Dec"},0),D1945)</f>
        <v>26852</v>
      </c>
      <c r="K1945">
        <f t="shared" si="30"/>
        <v>49</v>
      </c>
    </row>
    <row r="1946" spans="1:11" x14ac:dyDescent="0.35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 s="15">
        <v>26236.58</v>
      </c>
      <c r="G1946" t="s">
        <v>11</v>
      </c>
      <c r="H1946" t="s">
        <v>16</v>
      </c>
      <c r="I1946" t="s">
        <v>42</v>
      </c>
      <c r="J1946" s="11">
        <f>DATE(B1946,MATCH(C1946,{"Jan","Feb","Mar","Apr","May","Jun","Jul","Aug","Sep","Oct","Nov","Dec"},0),D1946)</f>
        <v>27549</v>
      </c>
      <c r="K1946">
        <f t="shared" si="30"/>
        <v>48</v>
      </c>
    </row>
    <row r="1947" spans="1:11" x14ac:dyDescent="0.35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 s="15">
        <v>26316.59</v>
      </c>
      <c r="G1947" t="s">
        <v>11</v>
      </c>
      <c r="H1947" t="s">
        <v>12</v>
      </c>
      <c r="I1947" t="s">
        <v>42</v>
      </c>
      <c r="J1947" s="11">
        <f>DATE(B1947,MATCH(C1947,{"Jan","Feb","Mar","Apr","May","Jun","Jul","Aug","Sep","Oct","Nov","Dec"},0),D1947)</f>
        <v>38326</v>
      </c>
      <c r="K1947">
        <f t="shared" si="30"/>
        <v>18</v>
      </c>
    </row>
    <row r="1948" spans="1:11" x14ac:dyDescent="0.35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 s="15">
        <v>26392.26</v>
      </c>
      <c r="G1948" t="s">
        <v>11</v>
      </c>
      <c r="H1948" t="s">
        <v>11</v>
      </c>
      <c r="I1948" t="s">
        <v>247</v>
      </c>
      <c r="J1948" s="11">
        <f>DATE(B1948,MATCH(C1948,{"Jan","Feb","Mar","Apr","May","Jun","Jul","Aug","Sep","Oct","Nov","Dec"},0),D1948)</f>
        <v>27293</v>
      </c>
      <c r="K1948">
        <f t="shared" si="30"/>
        <v>48</v>
      </c>
    </row>
    <row r="1949" spans="1:11" x14ac:dyDescent="0.35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 s="15">
        <v>26467.1</v>
      </c>
      <c r="G1949" t="s">
        <v>11</v>
      </c>
      <c r="H1949" t="s">
        <v>12</v>
      </c>
      <c r="I1949" t="s">
        <v>23</v>
      </c>
      <c r="J1949" s="11">
        <f>DATE(B1949,MATCH(C1949,{"Jan","Feb","Mar","Apr","May","Jun","Jul","Aug","Sep","Oct","Nov","Dec"},0),D1949)</f>
        <v>25807</v>
      </c>
      <c r="K1949">
        <f t="shared" si="30"/>
        <v>52</v>
      </c>
    </row>
    <row r="1950" spans="1:11" x14ac:dyDescent="0.35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 s="15">
        <v>26479.4</v>
      </c>
      <c r="G1950" t="s">
        <v>11</v>
      </c>
      <c r="H1950" t="s">
        <v>11</v>
      </c>
      <c r="I1950" t="s">
        <v>42</v>
      </c>
      <c r="J1950" s="11">
        <f>DATE(B1950,MATCH(C1950,{"Jan","Feb","Mar","Apr","May","Jun","Jul","Aug","Sep","Oct","Nov","Dec"},0),D1950)</f>
        <v>38235</v>
      </c>
      <c r="K1950">
        <f t="shared" si="30"/>
        <v>18</v>
      </c>
    </row>
    <row r="1951" spans="1:11" x14ac:dyDescent="0.35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 s="15">
        <v>26607.89</v>
      </c>
      <c r="G1951" t="s">
        <v>11</v>
      </c>
      <c r="H1951" t="s">
        <v>16</v>
      </c>
      <c r="I1951" t="s">
        <v>42</v>
      </c>
      <c r="J1951" s="11">
        <f>DATE(B1951,MATCH(C1951,{"Jan","Feb","Mar","Apr","May","Jun","Jul","Aug","Sep","Oct","Nov","Dec"},0),D1951)</f>
        <v>32346</v>
      </c>
      <c r="K1951">
        <f t="shared" si="30"/>
        <v>34</v>
      </c>
    </row>
    <row r="1952" spans="1:11" x14ac:dyDescent="0.35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 s="15">
        <v>26912.560000000001</v>
      </c>
      <c r="G1952" t="s">
        <v>11</v>
      </c>
      <c r="H1952" t="s">
        <v>11</v>
      </c>
      <c r="I1952" t="s">
        <v>42</v>
      </c>
      <c r="J1952" s="11">
        <f>DATE(B1952,MATCH(C1952,{"Jan","Feb","Mar","Apr","May","Jun","Jul","Aug","Sep","Oct","Nov","Dec"},0),D1952)</f>
        <v>33472</v>
      </c>
      <c r="K1952">
        <f t="shared" si="30"/>
        <v>31</v>
      </c>
    </row>
    <row r="1953" spans="1:11" x14ac:dyDescent="0.35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 s="15">
        <v>26926.51</v>
      </c>
      <c r="G1953" t="s">
        <v>11</v>
      </c>
      <c r="H1953" t="s">
        <v>16</v>
      </c>
      <c r="I1953" t="s">
        <v>13</v>
      </c>
      <c r="J1953" s="11">
        <f>DATE(B1953,MATCH(C1953,{"Jan","Feb","Mar","Apr","May","Jun","Jul","Aug","Sep","Oct","Nov","Dec"},0),D1953)</f>
        <v>21544</v>
      </c>
      <c r="K1953">
        <f t="shared" si="30"/>
        <v>64</v>
      </c>
    </row>
    <row r="1954" spans="1:11" x14ac:dyDescent="0.35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 s="15">
        <v>26927.69</v>
      </c>
      <c r="G1954" t="s">
        <v>11</v>
      </c>
      <c r="H1954" t="s">
        <v>11</v>
      </c>
      <c r="I1954" t="s">
        <v>42</v>
      </c>
      <c r="J1954" s="11">
        <f>DATE(B1954,MATCH(C1954,{"Jan","Feb","Mar","Apr","May","Jun","Jul","Aug","Sep","Oct","Nov","Dec"},0),D1954)</f>
        <v>37424</v>
      </c>
      <c r="K1954">
        <f t="shared" si="30"/>
        <v>20</v>
      </c>
    </row>
    <row r="1955" spans="1:11" x14ac:dyDescent="0.35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 s="15">
        <v>26936.98</v>
      </c>
      <c r="G1955" t="s">
        <v>11</v>
      </c>
      <c r="H1955" t="s">
        <v>12</v>
      </c>
      <c r="I1955" t="s">
        <v>42</v>
      </c>
      <c r="J1955" s="11">
        <f>DATE(B1955,MATCH(C1955,{"Jan","Feb","Mar","Apr","May","Jun","Jul","Aug","Sep","Oct","Nov","Dec"},0),D1955)</f>
        <v>36839</v>
      </c>
      <c r="K1955">
        <f t="shared" si="30"/>
        <v>22</v>
      </c>
    </row>
    <row r="1956" spans="1:11" x14ac:dyDescent="0.35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 s="15">
        <v>27000.98</v>
      </c>
      <c r="G1956" t="s">
        <v>11</v>
      </c>
      <c r="H1956" t="s">
        <v>11</v>
      </c>
      <c r="I1956" t="s">
        <v>13</v>
      </c>
      <c r="J1956" s="11">
        <f>DATE(B1956,MATCH(C1956,{"Jan","Feb","Mar","Apr","May","Jun","Jul","Aug","Sep","Oct","Nov","Dec"},0),D1956)</f>
        <v>22106</v>
      </c>
      <c r="K1956">
        <f t="shared" si="30"/>
        <v>62</v>
      </c>
    </row>
    <row r="1957" spans="1:11" x14ac:dyDescent="0.35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 s="15">
        <v>27037.91</v>
      </c>
      <c r="G1957" t="s">
        <v>11</v>
      </c>
      <c r="H1957" t="s">
        <v>11</v>
      </c>
      <c r="I1957" t="s">
        <v>13</v>
      </c>
      <c r="J1957" s="11">
        <f>DATE(B1957,MATCH(C1957,{"Jan","Feb","Mar","Apr","May","Jun","Jul","Aug","Sep","Oct","Nov","Dec"},0),D1957)</f>
        <v>21366</v>
      </c>
      <c r="K1957">
        <f t="shared" si="30"/>
        <v>64</v>
      </c>
    </row>
    <row r="1958" spans="1:11" x14ac:dyDescent="0.35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 s="15">
        <v>27080.639999999999</v>
      </c>
      <c r="G1958" t="s">
        <v>11</v>
      </c>
      <c r="H1958" t="s">
        <v>11</v>
      </c>
      <c r="I1958" t="s">
        <v>42</v>
      </c>
      <c r="J1958" s="11">
        <f>DATE(B1958,MATCH(C1958,{"Jan","Feb","Mar","Apr","May","Jun","Jul","Aug","Sep","Oct","Nov","Dec"},0),D1958)</f>
        <v>34517</v>
      </c>
      <c r="K1958">
        <f t="shared" si="30"/>
        <v>28</v>
      </c>
    </row>
    <row r="1959" spans="1:11" x14ac:dyDescent="0.35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 s="15">
        <v>27092.38</v>
      </c>
      <c r="G1959" t="s">
        <v>11</v>
      </c>
      <c r="H1959" t="s">
        <v>12</v>
      </c>
      <c r="I1959" t="s">
        <v>42</v>
      </c>
      <c r="J1959" s="11">
        <f>DATE(B1959,MATCH(C1959,{"Jan","Feb","Mar","Apr","May","Jun","Jul","Aug","Sep","Oct","Nov","Dec"},0),D1959)</f>
        <v>33220</v>
      </c>
      <c r="K1959">
        <f t="shared" si="30"/>
        <v>32</v>
      </c>
    </row>
    <row r="1960" spans="1:11" x14ac:dyDescent="0.35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 s="15">
        <v>27117.99</v>
      </c>
      <c r="G1960" t="s">
        <v>11</v>
      </c>
      <c r="H1960" t="s">
        <v>11</v>
      </c>
      <c r="I1960" t="s">
        <v>13</v>
      </c>
      <c r="J1960" s="11">
        <f>DATE(B1960,MATCH(C1960,{"Jan","Feb","Mar","Apr","May","Jun","Jul","Aug","Sep","Oct","Nov","Dec"},0),D1960)</f>
        <v>25843</v>
      </c>
      <c r="K1960">
        <f t="shared" si="30"/>
        <v>52</v>
      </c>
    </row>
    <row r="1961" spans="1:11" x14ac:dyDescent="0.35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 s="15">
        <v>27218.44</v>
      </c>
      <c r="G1961" t="s">
        <v>11</v>
      </c>
      <c r="H1961" t="s">
        <v>16</v>
      </c>
      <c r="I1961" t="s">
        <v>356</v>
      </c>
      <c r="J1961" s="11">
        <f>DATE(B1961,MATCH(C1961,{"Jan","Feb","Mar","Apr","May","Jun","Jul","Aug","Sep","Oct","Nov","Dec"},0),D1961)</f>
        <v>24097</v>
      </c>
      <c r="K1961">
        <f t="shared" si="30"/>
        <v>57</v>
      </c>
    </row>
    <row r="1962" spans="1:11" x14ac:dyDescent="0.35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 s="15">
        <v>27236.959999999999</v>
      </c>
      <c r="G1962" t="s">
        <v>11</v>
      </c>
      <c r="H1962" t="s">
        <v>16</v>
      </c>
      <c r="I1962" t="s">
        <v>42</v>
      </c>
      <c r="J1962" s="11">
        <f>DATE(B1962,MATCH(C1962,{"Jan","Feb","Mar","Apr","May","Jun","Jul","Aug","Sep","Oct","Nov","Dec"},0),D1962)</f>
        <v>36496</v>
      </c>
      <c r="K1962">
        <f t="shared" si="30"/>
        <v>23</v>
      </c>
    </row>
    <row r="1963" spans="1:11" x14ac:dyDescent="0.35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 s="15">
        <v>27322.73</v>
      </c>
      <c r="G1963" t="s">
        <v>11</v>
      </c>
      <c r="H1963" t="s">
        <v>11</v>
      </c>
      <c r="I1963" t="s">
        <v>13</v>
      </c>
      <c r="J1963" s="11">
        <f>DATE(B1963,MATCH(C1963,{"Jan","Feb","Mar","Apr","May","Jun","Jul","Aug","Sep","Oct","Nov","Dec"},0),D1963)</f>
        <v>24995</v>
      </c>
      <c r="K1963">
        <f t="shared" si="30"/>
        <v>55</v>
      </c>
    </row>
    <row r="1964" spans="1:11" x14ac:dyDescent="0.35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 s="15">
        <v>27346.04</v>
      </c>
      <c r="G1964" t="s">
        <v>11</v>
      </c>
      <c r="H1964" t="s">
        <v>11</v>
      </c>
      <c r="I1964" t="s">
        <v>13</v>
      </c>
      <c r="J1964" s="11">
        <f>DATE(B1964,MATCH(C1964,{"Jan","Feb","Mar","Apr","May","Jun","Jul","Aug","Sep","Oct","Nov","Dec"},0),D1964)</f>
        <v>25492</v>
      </c>
      <c r="K1964">
        <f t="shared" si="30"/>
        <v>53</v>
      </c>
    </row>
    <row r="1965" spans="1:11" x14ac:dyDescent="0.35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 s="15">
        <v>27375.9</v>
      </c>
      <c r="G1965" t="s">
        <v>11</v>
      </c>
      <c r="H1965" t="s">
        <v>12</v>
      </c>
      <c r="I1965" t="s">
        <v>164</v>
      </c>
      <c r="J1965" s="11">
        <f>DATE(B1965,MATCH(C1965,{"Jan","Feb","Mar","Apr","May","Jun","Jul","Aug","Sep","Oct","Nov","Dec"},0),D1965)</f>
        <v>32401</v>
      </c>
      <c r="K1965">
        <f t="shared" si="30"/>
        <v>34</v>
      </c>
    </row>
    <row r="1966" spans="1:11" x14ac:dyDescent="0.35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 s="15">
        <v>27432.73</v>
      </c>
      <c r="G1966" t="s">
        <v>11</v>
      </c>
      <c r="H1966" t="s">
        <v>16</v>
      </c>
      <c r="I1966" t="s">
        <v>42</v>
      </c>
      <c r="J1966" s="11">
        <f>DATE(B1966,MATCH(C1966,{"Jan","Feb","Mar","Apr","May","Jun","Jul","Aug","Sep","Oct","Nov","Dec"},0),D1966)</f>
        <v>31386</v>
      </c>
      <c r="K1966">
        <f t="shared" si="30"/>
        <v>37</v>
      </c>
    </row>
    <row r="1967" spans="1:11" x14ac:dyDescent="0.35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 s="15">
        <v>27495.59</v>
      </c>
      <c r="G1967" t="s">
        <v>11</v>
      </c>
      <c r="H1967" t="s">
        <v>16</v>
      </c>
      <c r="I1967" t="s">
        <v>42</v>
      </c>
      <c r="J1967" s="11">
        <f>DATE(B1967,MATCH(C1967,{"Jan","Feb","Mar","Apr","May","Jun","Jul","Aug","Sep","Oct","Nov","Dec"},0),D1967)</f>
        <v>29862</v>
      </c>
      <c r="K1967">
        <f t="shared" si="30"/>
        <v>41</v>
      </c>
    </row>
    <row r="1968" spans="1:11" x14ac:dyDescent="0.35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 s="15">
        <v>27533.91</v>
      </c>
      <c r="G1968" t="s">
        <v>11</v>
      </c>
      <c r="H1968" t="s">
        <v>12</v>
      </c>
      <c r="I1968" t="s">
        <v>13</v>
      </c>
      <c r="J1968" s="11">
        <f>DATE(B1968,MATCH(C1968,{"Jan","Feb","Mar","Apr","May","Jun","Jul","Aug","Sep","Oct","Nov","Dec"},0),D1968)</f>
        <v>24034</v>
      </c>
      <c r="K1968">
        <f t="shared" si="30"/>
        <v>57</v>
      </c>
    </row>
    <row r="1969" spans="1:11" x14ac:dyDescent="0.35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 s="15">
        <v>27534.53</v>
      </c>
      <c r="G1969" t="s">
        <v>11</v>
      </c>
      <c r="H1969" t="s">
        <v>11</v>
      </c>
      <c r="I1969" t="s">
        <v>42</v>
      </c>
      <c r="J1969" s="11">
        <f>DATE(B1969,MATCH(C1969,{"Jan","Feb","Mar","Apr","May","Jun","Jul","Aug","Sep","Oct","Nov","Dec"},0),D1969)</f>
        <v>30885</v>
      </c>
      <c r="K1969">
        <f t="shared" si="30"/>
        <v>38</v>
      </c>
    </row>
    <row r="1970" spans="1:11" x14ac:dyDescent="0.35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 s="15">
        <v>27598.93</v>
      </c>
      <c r="G1970" t="s">
        <v>11</v>
      </c>
      <c r="H1970" t="s">
        <v>16</v>
      </c>
      <c r="I1970" t="s">
        <v>42</v>
      </c>
      <c r="J1970" s="11">
        <f>DATE(B1970,MATCH(C1970,{"Jan","Feb","Mar","Apr","May","Jun","Jul","Aug","Sep","Oct","Nov","Dec"},0),D1970)</f>
        <v>31357</v>
      </c>
      <c r="K1970">
        <f t="shared" si="30"/>
        <v>37</v>
      </c>
    </row>
    <row r="1971" spans="1:11" x14ac:dyDescent="0.35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 s="15">
        <v>27614.71</v>
      </c>
      <c r="G1971" t="s">
        <v>11</v>
      </c>
      <c r="H1971" t="s">
        <v>12</v>
      </c>
      <c r="I1971" t="s">
        <v>42</v>
      </c>
      <c r="J1971" s="11">
        <f>DATE(B1971,MATCH(C1971,{"Jan","Feb","Mar","Apr","May","Jun","Jul","Aug","Sep","Oct","Nov","Dec"},0),D1971)</f>
        <v>33766</v>
      </c>
      <c r="K1971">
        <f t="shared" si="30"/>
        <v>30</v>
      </c>
    </row>
    <row r="1972" spans="1:11" x14ac:dyDescent="0.35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 s="15">
        <v>27619.360000000001</v>
      </c>
      <c r="G1972" t="s">
        <v>11</v>
      </c>
      <c r="H1972" t="s">
        <v>12</v>
      </c>
      <c r="I1972" t="s">
        <v>42</v>
      </c>
      <c r="J1972" s="11">
        <f>DATE(B1972,MATCH(C1972,{"Jan","Feb","Mar","Apr","May","Jun","Jul","Aug","Sep","Oct","Nov","Dec"},0),D1972)</f>
        <v>35682</v>
      </c>
      <c r="K1972">
        <f t="shared" si="30"/>
        <v>25</v>
      </c>
    </row>
    <row r="1973" spans="1:11" x14ac:dyDescent="0.35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 s="15">
        <v>27625.17</v>
      </c>
      <c r="G1973" t="s">
        <v>16</v>
      </c>
      <c r="H1973" t="s">
        <v>16</v>
      </c>
      <c r="I1973" t="s">
        <v>42</v>
      </c>
      <c r="J1973" s="11">
        <f>DATE(B1973,MATCH(C1973,{"Jan","Feb","Mar","Apr","May","Jun","Jul","Aug","Sep","Oct","Nov","Dec"},0),D1973)</f>
        <v>35710</v>
      </c>
      <c r="K1973">
        <f t="shared" si="30"/>
        <v>25</v>
      </c>
    </row>
    <row r="1974" spans="1:11" x14ac:dyDescent="0.35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 s="15">
        <v>27696.11</v>
      </c>
      <c r="G1974" t="s">
        <v>16</v>
      </c>
      <c r="H1974" t="s">
        <v>11</v>
      </c>
      <c r="I1974" t="s">
        <v>42</v>
      </c>
      <c r="J1974" s="11">
        <f>DATE(B1974,MATCH(C1974,{"Jan","Feb","Mar","Apr","May","Jun","Jul","Aug","Sep","Oct","Nov","Dec"},0),D1974)</f>
        <v>33788</v>
      </c>
      <c r="K1974">
        <f t="shared" si="30"/>
        <v>30</v>
      </c>
    </row>
    <row r="1975" spans="1:11" x14ac:dyDescent="0.35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 s="15">
        <v>27724.29</v>
      </c>
      <c r="G1975" t="s">
        <v>16</v>
      </c>
      <c r="H1975" t="s">
        <v>12</v>
      </c>
      <c r="I1975" t="s">
        <v>13</v>
      </c>
      <c r="J1975" s="11">
        <f>DATE(B1975,MATCH(C1975,{"Jan","Feb","Mar","Apr","May","Jun","Jul","Aug","Sep","Oct","Nov","Dec"},0),D1975)</f>
        <v>37596</v>
      </c>
      <c r="K1975">
        <f t="shared" si="30"/>
        <v>20</v>
      </c>
    </row>
    <row r="1976" spans="1:11" x14ac:dyDescent="0.35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 s="15">
        <v>27808.73</v>
      </c>
      <c r="G1976" t="s">
        <v>16</v>
      </c>
      <c r="H1976" t="s">
        <v>16</v>
      </c>
      <c r="I1976" t="s">
        <v>13</v>
      </c>
      <c r="J1976" s="11">
        <f>DATE(B1976,MATCH(C1976,{"Jan","Feb","Mar","Apr","May","Jun","Jul","Aug","Sep","Oct","Nov","Dec"},0),D1976)</f>
        <v>22103</v>
      </c>
      <c r="K1976">
        <f t="shared" si="30"/>
        <v>62</v>
      </c>
    </row>
    <row r="1977" spans="1:11" x14ac:dyDescent="0.35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 s="15">
        <v>27849.94</v>
      </c>
      <c r="G1977" t="s">
        <v>16</v>
      </c>
      <c r="H1977" t="s">
        <v>16</v>
      </c>
      <c r="I1977" t="s">
        <v>42</v>
      </c>
      <c r="J1977" s="11">
        <f>DATE(B1977,MATCH(C1977,{"Jan","Feb","Mar","Apr","May","Jun","Jul","Aug","Sep","Oct","Nov","Dec"},0),D1977)</f>
        <v>31385</v>
      </c>
      <c r="K1977">
        <f t="shared" si="30"/>
        <v>37</v>
      </c>
    </row>
    <row r="1978" spans="1:11" x14ac:dyDescent="0.35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 s="15">
        <v>27925.86</v>
      </c>
      <c r="G1978" t="s">
        <v>16</v>
      </c>
      <c r="H1978" t="s">
        <v>11</v>
      </c>
      <c r="I1978" t="s">
        <v>42</v>
      </c>
      <c r="J1978" s="11">
        <f>DATE(B1978,MATCH(C1978,{"Jan","Feb","Mar","Apr","May","Jun","Jul","Aug","Sep","Oct","Nov","Dec"},0),D1978)</f>
        <v>32833</v>
      </c>
      <c r="K1978">
        <f t="shared" si="30"/>
        <v>33</v>
      </c>
    </row>
    <row r="1979" spans="1:11" x14ac:dyDescent="0.35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 s="15">
        <v>27931.11</v>
      </c>
      <c r="G1979" t="s">
        <v>16</v>
      </c>
      <c r="H1979" t="s">
        <v>12</v>
      </c>
      <c r="I1979" t="s">
        <v>42</v>
      </c>
      <c r="J1979" s="11">
        <f>DATE(B1979,MATCH(C1979,{"Jan","Feb","Mar","Apr","May","Jun","Jul","Aug","Sep","Oct","Nov","Dec"},0),D1979)</f>
        <v>33393</v>
      </c>
      <c r="K1979">
        <f t="shared" si="30"/>
        <v>32</v>
      </c>
    </row>
    <row r="1980" spans="1:11" x14ac:dyDescent="0.35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 s="15">
        <v>27941.29</v>
      </c>
      <c r="G1980" t="s">
        <v>16</v>
      </c>
      <c r="H1980" t="s">
        <v>12</v>
      </c>
      <c r="I1980" t="s">
        <v>42</v>
      </c>
      <c r="J1980" s="11">
        <f>DATE(B1980,MATCH(C1980,{"Jan","Feb","Mar","Apr","May","Jun","Jul","Aug","Sep","Oct","Nov","Dec"},0),D1980)</f>
        <v>22490</v>
      </c>
      <c r="K1980">
        <f t="shared" si="30"/>
        <v>61</v>
      </c>
    </row>
    <row r="1981" spans="1:11" x14ac:dyDescent="0.35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 s="15">
        <v>27980.77</v>
      </c>
      <c r="G1981" t="s">
        <v>16</v>
      </c>
      <c r="H1981" t="s">
        <v>16</v>
      </c>
      <c r="I1981" t="s">
        <v>42</v>
      </c>
      <c r="J1981" s="11">
        <f>DATE(B1981,MATCH(C1981,{"Jan","Feb","Mar","Apr","May","Jun","Jul","Aug","Sep","Oct","Nov","Dec"},0),D1981)</f>
        <v>36515</v>
      </c>
      <c r="K1981">
        <f t="shared" si="30"/>
        <v>23</v>
      </c>
    </row>
    <row r="1982" spans="1:11" x14ac:dyDescent="0.35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 s="15">
        <v>28006.94</v>
      </c>
      <c r="G1982" t="s">
        <v>16</v>
      </c>
      <c r="H1982" t="s">
        <v>11</v>
      </c>
      <c r="I1982" t="s">
        <v>42</v>
      </c>
      <c r="J1982" s="11">
        <f>DATE(B1982,MATCH(C1982,{"Jan","Feb","Mar","Apr","May","Jun","Jul","Aug","Sep","Oct","Nov","Dec"},0),D1982)</f>
        <v>31380</v>
      </c>
      <c r="K1982">
        <f t="shared" si="30"/>
        <v>37</v>
      </c>
    </row>
    <row r="1983" spans="1:11" x14ac:dyDescent="0.35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 s="15">
        <v>28101.33</v>
      </c>
      <c r="G1983" t="s">
        <v>16</v>
      </c>
      <c r="H1983" t="s">
        <v>11</v>
      </c>
      <c r="I1983" t="s">
        <v>166</v>
      </c>
      <c r="J1983" s="11">
        <f>DATE(B1983,MATCH(C1983,{"Jan","Feb","Mar","Apr","May","Jun","Jul","Aug","Sep","Oct","Nov","Dec"},0),D1983)</f>
        <v>22242</v>
      </c>
      <c r="K1983">
        <f t="shared" si="30"/>
        <v>62</v>
      </c>
    </row>
    <row r="1984" spans="1:11" x14ac:dyDescent="0.35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 s="15">
        <v>28245.34</v>
      </c>
      <c r="G1984" t="s">
        <v>16</v>
      </c>
      <c r="H1984" t="s">
        <v>12</v>
      </c>
      <c r="I1984" t="s">
        <v>42</v>
      </c>
      <c r="J1984" s="11">
        <f>DATE(B1984,MATCH(C1984,{"Jan","Feb","Mar","Apr","May","Jun","Jul","Aug","Sep","Oct","Nov","Dec"},0),D1984)</f>
        <v>36409</v>
      </c>
      <c r="K1984">
        <f t="shared" si="30"/>
        <v>23</v>
      </c>
    </row>
    <row r="1985" spans="1:11" x14ac:dyDescent="0.35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 s="15">
        <v>28287.9</v>
      </c>
      <c r="G1985" t="s">
        <v>16</v>
      </c>
      <c r="H1985" t="s">
        <v>16</v>
      </c>
      <c r="I1985" t="s">
        <v>13</v>
      </c>
      <c r="J1985" s="11">
        <f>DATE(B1985,MATCH(C1985,{"Jan","Feb","Mar","Apr","May","Jun","Jul","Aug","Sep","Oct","Nov","Dec"},0),D1985)</f>
        <v>23340</v>
      </c>
      <c r="K1985">
        <f t="shared" si="30"/>
        <v>59</v>
      </c>
    </row>
    <row r="1986" spans="1:11" x14ac:dyDescent="0.35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 s="15">
        <v>28302.33</v>
      </c>
      <c r="G1986" t="s">
        <v>16</v>
      </c>
      <c r="H1986" t="s">
        <v>11</v>
      </c>
      <c r="I1986" t="s">
        <v>42</v>
      </c>
      <c r="J1986" s="11">
        <f>DATE(B1986,MATCH(C1986,{"Jan","Feb","Mar","Apr","May","Jun","Jul","Aug","Sep","Oct","Nov","Dec"},0),D1986)</f>
        <v>33231</v>
      </c>
      <c r="K1986">
        <f t="shared" si="30"/>
        <v>32</v>
      </c>
    </row>
    <row r="1987" spans="1:11" x14ac:dyDescent="0.35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 s="15">
        <v>28340.19</v>
      </c>
      <c r="G1987" t="s">
        <v>16</v>
      </c>
      <c r="H1987" t="s">
        <v>11</v>
      </c>
      <c r="I1987" t="s">
        <v>23</v>
      </c>
      <c r="J1987" s="11">
        <f>DATE(B1987,MATCH(C1987,{"Jan","Feb","Mar","Apr","May","Jun","Jul","Aug","Sep","Oct","Nov","Dec"},0),D1987)</f>
        <v>28461</v>
      </c>
      <c r="K1987">
        <f t="shared" ref="K1987:K2050" si="31">DATEDIF(J1987,$N$1,"Y")</f>
        <v>45</v>
      </c>
    </row>
    <row r="1988" spans="1:11" x14ac:dyDescent="0.35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 s="15">
        <v>28468.92</v>
      </c>
      <c r="G1988" t="s">
        <v>16</v>
      </c>
      <c r="H1988" t="s">
        <v>16</v>
      </c>
      <c r="I1988" t="s">
        <v>23</v>
      </c>
      <c r="J1988" s="11">
        <f>DATE(B1988,MATCH(C1988,{"Jan","Feb","Mar","Apr","May","Jun","Jul","Aug","Sep","Oct","Nov","Dec"},0),D1988)</f>
        <v>27288</v>
      </c>
      <c r="K1988">
        <f t="shared" si="31"/>
        <v>48</v>
      </c>
    </row>
    <row r="1989" spans="1:11" x14ac:dyDescent="0.35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 s="15">
        <v>28476.73</v>
      </c>
      <c r="G1989" t="s">
        <v>16</v>
      </c>
      <c r="H1989" t="s">
        <v>11</v>
      </c>
      <c r="I1989" t="s">
        <v>23</v>
      </c>
      <c r="J1989" s="11">
        <f>DATE(B1989,MATCH(C1989,{"Jan","Feb","Mar","Apr","May","Jun","Jul","Aug","Sep","Oct","Nov","Dec"},0),D1989)</f>
        <v>30296</v>
      </c>
      <c r="K1989">
        <f t="shared" si="31"/>
        <v>40</v>
      </c>
    </row>
    <row r="1990" spans="1:11" x14ac:dyDescent="0.35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 s="15">
        <v>28542.86</v>
      </c>
      <c r="G1990" t="s">
        <v>16</v>
      </c>
      <c r="H1990" t="s">
        <v>12</v>
      </c>
      <c r="I1990" t="s">
        <v>42</v>
      </c>
      <c r="J1990" s="11">
        <f>DATE(B1990,MATCH(C1990,{"Jan","Feb","Mar","Apr","May","Jun","Jul","Aug","Sep","Oct","Nov","Dec"},0),D1990)</f>
        <v>31317</v>
      </c>
      <c r="K1990">
        <f t="shared" si="31"/>
        <v>37</v>
      </c>
    </row>
    <row r="1991" spans="1:11" x14ac:dyDescent="0.35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 s="15">
        <v>28716.14</v>
      </c>
      <c r="G1991" t="s">
        <v>16</v>
      </c>
      <c r="H1991" t="s">
        <v>12</v>
      </c>
      <c r="I1991" t="s">
        <v>42</v>
      </c>
      <c r="J1991" s="11">
        <f>DATE(B1991,MATCH(C1991,{"Jan","Feb","Mar","Apr","May","Jun","Jul","Aug","Sep","Oct","Nov","Dec"},0),D1991)</f>
        <v>33212</v>
      </c>
      <c r="K1991">
        <f t="shared" si="31"/>
        <v>32</v>
      </c>
    </row>
    <row r="1992" spans="1:11" x14ac:dyDescent="0.35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 s="15">
        <v>28868.66</v>
      </c>
      <c r="G1992" t="s">
        <v>16</v>
      </c>
      <c r="H1992" t="s">
        <v>11</v>
      </c>
      <c r="I1992" t="s">
        <v>23</v>
      </c>
      <c r="J1992" s="11">
        <f>DATE(B1992,MATCH(C1992,{"Jan","Feb","Mar","Apr","May","Jun","Jul","Aug","Sep","Oct","Nov","Dec"},0),D1992)</f>
        <v>22496</v>
      </c>
      <c r="K1992">
        <f t="shared" si="31"/>
        <v>61</v>
      </c>
    </row>
    <row r="1993" spans="1:11" x14ac:dyDescent="0.35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 s="15">
        <v>28923.14</v>
      </c>
      <c r="G1993" t="s">
        <v>16</v>
      </c>
      <c r="H1993" t="s">
        <v>16</v>
      </c>
      <c r="I1993" t="s">
        <v>23</v>
      </c>
      <c r="J1993" s="11">
        <f>DATE(B1993,MATCH(C1993,{"Jan","Feb","Mar","Apr","May","Jun","Jul","Aug","Sep","Oct","Nov","Dec"},0),D1993)</f>
        <v>22852</v>
      </c>
      <c r="K1993">
        <f t="shared" si="31"/>
        <v>60</v>
      </c>
    </row>
    <row r="1994" spans="1:11" x14ac:dyDescent="0.35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 s="15">
        <v>28950.47</v>
      </c>
      <c r="G1994" t="s">
        <v>16</v>
      </c>
      <c r="H1994" t="s">
        <v>16</v>
      </c>
      <c r="I1994" t="s">
        <v>23</v>
      </c>
      <c r="J1994" s="11">
        <f>DATE(B1994,MATCH(C1994,{"Jan","Feb","Mar","Apr","May","Jun","Jul","Aug","Sep","Oct","Nov","Dec"},0),D1994)</f>
        <v>21889</v>
      </c>
      <c r="K1994">
        <f t="shared" si="31"/>
        <v>63</v>
      </c>
    </row>
    <row r="1995" spans="1:11" x14ac:dyDescent="0.35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 s="15">
        <v>28998.68</v>
      </c>
      <c r="G1995" t="s">
        <v>16</v>
      </c>
      <c r="H1995" t="s">
        <v>12</v>
      </c>
      <c r="I1995" t="s">
        <v>42</v>
      </c>
      <c r="J1995" s="11">
        <f>DATE(B1995,MATCH(C1995,{"Jan","Feb","Mar","Apr","May","Jun","Jul","Aug","Sep","Oct","Nov","Dec"},0),D1995)</f>
        <v>37865</v>
      </c>
      <c r="K1995">
        <f t="shared" si="31"/>
        <v>19</v>
      </c>
    </row>
    <row r="1996" spans="1:11" x14ac:dyDescent="0.35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 s="15">
        <v>29007.82</v>
      </c>
      <c r="G1996" t="s">
        <v>16</v>
      </c>
      <c r="H1996" t="s">
        <v>12</v>
      </c>
      <c r="I1996" t="s">
        <v>42</v>
      </c>
      <c r="J1996" s="11">
        <f>DATE(B1996,MATCH(C1996,{"Jan","Feb","Mar","Apr","May","Jun","Jul","Aug","Sep","Oct","Nov","Dec"},0),D1996)</f>
        <v>33792</v>
      </c>
      <c r="K1996">
        <f t="shared" si="31"/>
        <v>30</v>
      </c>
    </row>
    <row r="1997" spans="1:11" x14ac:dyDescent="0.35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 s="15">
        <v>29114.21</v>
      </c>
      <c r="G1997" t="s">
        <v>16</v>
      </c>
      <c r="H1997" t="s">
        <v>12</v>
      </c>
      <c r="I1997" t="s">
        <v>42</v>
      </c>
      <c r="J1997" s="11">
        <f>DATE(B1997,MATCH(C1997,{"Jan","Feb","Mar","Apr","May","Jun","Jul","Aug","Sep","Oct","Nov","Dec"},0),D1997)</f>
        <v>29416</v>
      </c>
      <c r="K1997">
        <f t="shared" si="31"/>
        <v>42</v>
      </c>
    </row>
    <row r="1998" spans="1:11" x14ac:dyDescent="0.35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 s="15">
        <v>29114.77</v>
      </c>
      <c r="G1998" t="s">
        <v>16</v>
      </c>
      <c r="H1998" t="s">
        <v>16</v>
      </c>
      <c r="I1998" t="s">
        <v>42</v>
      </c>
      <c r="J1998" s="11">
        <f>DATE(B1998,MATCH(C1998,{"Jan","Feb","Mar","Apr","May","Jun","Jul","Aug","Sep","Oct","Nov","Dec"},0),D1998)</f>
        <v>28823</v>
      </c>
      <c r="K1998">
        <f t="shared" si="31"/>
        <v>44</v>
      </c>
    </row>
    <row r="1999" spans="1:11" x14ac:dyDescent="0.35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 s="15">
        <v>29141.360000000001</v>
      </c>
      <c r="G1999" t="s">
        <v>16</v>
      </c>
      <c r="H1999" t="s">
        <v>12</v>
      </c>
      <c r="I1999" t="s">
        <v>23</v>
      </c>
      <c r="J1999" s="11">
        <f>DATE(B1999,MATCH(C1999,{"Jan","Feb","Mar","Apr","May","Jun","Jul","Aug","Sep","Oct","Nov","Dec"},0),D1999)</f>
        <v>22639</v>
      </c>
      <c r="K1999">
        <f t="shared" si="31"/>
        <v>61</v>
      </c>
    </row>
    <row r="2000" spans="1:11" x14ac:dyDescent="0.35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 s="15">
        <v>29160.39</v>
      </c>
      <c r="G2000" t="s">
        <v>16</v>
      </c>
      <c r="H2000" t="s">
        <v>11</v>
      </c>
      <c r="I2000" t="s">
        <v>42</v>
      </c>
      <c r="J2000" s="11">
        <f>DATE(B2000,MATCH(C2000,{"Jan","Feb","Mar","Apr","May","Jun","Jul","Aug","Sep","Oct","Nov","Dec"},0),D2000)</f>
        <v>28072</v>
      </c>
      <c r="K2000">
        <f t="shared" si="31"/>
        <v>46</v>
      </c>
    </row>
    <row r="2001" spans="1:11" x14ac:dyDescent="0.35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 s="15">
        <v>29186.48</v>
      </c>
      <c r="G2001" t="s">
        <v>16</v>
      </c>
      <c r="H2001" t="s">
        <v>12</v>
      </c>
      <c r="I2001" t="s">
        <v>247</v>
      </c>
      <c r="J2001" s="11">
        <f>DATE(B2001,MATCH(C2001,{"Jan","Feb","Mar","Apr","May","Jun","Jul","Aug","Sep","Oct","Nov","Dec"},0),D2001)</f>
        <v>25393</v>
      </c>
      <c r="K2001">
        <f t="shared" si="31"/>
        <v>53</v>
      </c>
    </row>
    <row r="2002" spans="1:11" x14ac:dyDescent="0.35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 s="15">
        <v>29227.599999999999</v>
      </c>
      <c r="G2002" t="s">
        <v>16</v>
      </c>
      <c r="H2002" t="s">
        <v>12</v>
      </c>
      <c r="I2002" t="s">
        <v>23</v>
      </c>
      <c r="J2002" s="11">
        <f>DATE(B2002,MATCH(C2002,{"Jan","Feb","Mar","Apr","May","Jun","Jul","Aug","Sep","Oct","Nov","Dec"},0),D2002)</f>
        <v>28692</v>
      </c>
      <c r="K2002">
        <f t="shared" si="31"/>
        <v>44</v>
      </c>
    </row>
    <row r="2003" spans="1:11" x14ac:dyDescent="0.35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 s="15">
        <v>29330.98</v>
      </c>
      <c r="G2003" t="s">
        <v>16</v>
      </c>
      <c r="H2003" t="s">
        <v>11</v>
      </c>
      <c r="I2003" t="s">
        <v>23</v>
      </c>
      <c r="J2003" s="11">
        <f>DATE(B2003,MATCH(C2003,{"Jan","Feb","Mar","Apr","May","Jun","Jul","Aug","Sep","Oct","Nov","Dec"},0),D2003)</f>
        <v>21341</v>
      </c>
      <c r="K2003">
        <f t="shared" si="31"/>
        <v>65</v>
      </c>
    </row>
    <row r="2004" spans="1:11" x14ac:dyDescent="0.35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 s="15">
        <v>29352.560000000001</v>
      </c>
      <c r="G2004" t="s">
        <v>16</v>
      </c>
      <c r="H2004" t="s">
        <v>16</v>
      </c>
      <c r="I2004" t="s">
        <v>42</v>
      </c>
      <c r="J2004" s="11">
        <f>DATE(B2004,MATCH(C2004,{"Jan","Feb","Mar","Apr","May","Jun","Jul","Aug","Sep","Oct","Nov","Dec"},0),D2004)</f>
        <v>31358</v>
      </c>
      <c r="K2004">
        <f t="shared" si="31"/>
        <v>37</v>
      </c>
    </row>
    <row r="2005" spans="1:11" x14ac:dyDescent="0.35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 s="15">
        <v>29443.59</v>
      </c>
      <c r="G2005" t="s">
        <v>16</v>
      </c>
      <c r="H2005" t="s">
        <v>16</v>
      </c>
      <c r="I2005" t="s">
        <v>42</v>
      </c>
      <c r="J2005" s="11">
        <f>DATE(B2005,MATCH(C2005,{"Jan","Feb","Mar","Apr","May","Jun","Jul","Aug","Sep","Oct","Nov","Dec"},0),D2005)</f>
        <v>31974</v>
      </c>
      <c r="K2005">
        <f t="shared" si="31"/>
        <v>35</v>
      </c>
    </row>
    <row r="2006" spans="1:11" x14ac:dyDescent="0.35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 s="15">
        <v>29523.17</v>
      </c>
      <c r="G2006" t="s">
        <v>16</v>
      </c>
      <c r="H2006" t="s">
        <v>11</v>
      </c>
      <c r="I2006" t="s">
        <v>247</v>
      </c>
      <c r="J2006" s="11">
        <f>DATE(B2006,MATCH(C2006,{"Jan","Feb","Mar","Apr","May","Jun","Jul","Aug","Sep","Oct","Nov","Dec"},0),D2006)</f>
        <v>21843</v>
      </c>
      <c r="K2006">
        <f t="shared" si="31"/>
        <v>63</v>
      </c>
    </row>
    <row r="2007" spans="1:11" x14ac:dyDescent="0.35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 s="15">
        <v>29583.8</v>
      </c>
      <c r="G2007" t="s">
        <v>16</v>
      </c>
      <c r="H2007" t="s">
        <v>16</v>
      </c>
      <c r="I2007" t="s">
        <v>42</v>
      </c>
      <c r="J2007" s="11">
        <f>DATE(B2007,MATCH(C2007,{"Jan","Feb","Mar","Apr","May","Jun","Jul","Aug","Sep","Oct","Nov","Dec"},0),D2007)</f>
        <v>27701</v>
      </c>
      <c r="K2007">
        <f t="shared" si="31"/>
        <v>47</v>
      </c>
    </row>
    <row r="2008" spans="1:11" x14ac:dyDescent="0.35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 s="15">
        <v>29622.69</v>
      </c>
      <c r="G2008" t="s">
        <v>16</v>
      </c>
      <c r="H2008" t="s">
        <v>16</v>
      </c>
      <c r="I2008" t="s">
        <v>42</v>
      </c>
      <c r="J2008" s="11">
        <f>DATE(B2008,MATCH(C2008,{"Jan","Feb","Mar","Apr","May","Jun","Jul","Aug","Sep","Oct","Nov","Dec"},0),D2008)</f>
        <v>34177</v>
      </c>
      <c r="K2008">
        <f t="shared" si="31"/>
        <v>29</v>
      </c>
    </row>
    <row r="2009" spans="1:11" x14ac:dyDescent="0.35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 s="15">
        <v>29757.69</v>
      </c>
      <c r="G2009" t="s">
        <v>16</v>
      </c>
      <c r="H2009" t="s">
        <v>12</v>
      </c>
      <c r="I2009" t="s">
        <v>42</v>
      </c>
      <c r="J2009" s="11">
        <f>DATE(B2009,MATCH(C2009,{"Jan","Feb","Mar","Apr","May","Jun","Jul","Aug","Sep","Oct","Nov","Dec"},0),D2009)</f>
        <v>26899</v>
      </c>
      <c r="K2009">
        <f t="shared" si="31"/>
        <v>49</v>
      </c>
    </row>
    <row r="2010" spans="1:11" x14ac:dyDescent="0.35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 s="15">
        <v>29760.6</v>
      </c>
      <c r="G2010" t="s">
        <v>16</v>
      </c>
      <c r="H2010" t="s">
        <v>11</v>
      </c>
      <c r="I2010" t="s">
        <v>42</v>
      </c>
      <c r="J2010" s="11">
        <f>DATE(B2010,MATCH(C2010,{"Jan","Feb","Mar","Apr","May","Jun","Jul","Aug","Sep","Oct","Nov","Dec"},0),D2010)</f>
        <v>35966</v>
      </c>
      <c r="K2010">
        <f t="shared" si="31"/>
        <v>24</v>
      </c>
    </row>
    <row r="2011" spans="1:11" x14ac:dyDescent="0.35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 s="15">
        <v>29816.639999999999</v>
      </c>
      <c r="G2011" t="s">
        <v>16</v>
      </c>
      <c r="H2011" t="s">
        <v>11</v>
      </c>
      <c r="I2011" t="s">
        <v>42</v>
      </c>
      <c r="J2011" s="11">
        <f>DATE(B2011,MATCH(C2011,{"Jan","Feb","Mar","Apr","May","Jun","Jul","Aug","Sep","Oct","Nov","Dec"},0),D2011)</f>
        <v>29811</v>
      </c>
      <c r="K2011">
        <f t="shared" si="31"/>
        <v>41</v>
      </c>
    </row>
    <row r="2012" spans="1:11" x14ac:dyDescent="0.35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 s="15">
        <v>29818.76</v>
      </c>
      <c r="G2012" t="s">
        <v>16</v>
      </c>
      <c r="H2012" t="s">
        <v>16</v>
      </c>
      <c r="I2012" t="s">
        <v>23</v>
      </c>
      <c r="J2012" s="11">
        <f>DATE(B2012,MATCH(C2012,{"Jan","Feb","Mar","Apr","May","Jun","Jul","Aug","Sep","Oct","Nov","Dec"},0),D2012)</f>
        <v>30253</v>
      </c>
      <c r="K2012">
        <f t="shared" si="31"/>
        <v>40</v>
      </c>
    </row>
    <row r="2013" spans="1:11" x14ac:dyDescent="0.35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 s="15">
        <v>29852.48</v>
      </c>
      <c r="G2013" t="s">
        <v>16</v>
      </c>
      <c r="H2013" t="s">
        <v>12</v>
      </c>
      <c r="I2013" t="s">
        <v>42</v>
      </c>
      <c r="J2013" s="11">
        <f>DATE(B2013,MATCH(C2013,{"Jan","Feb","Mar","Apr","May","Jun","Jul","Aug","Sep","Oct","Nov","Dec"},0),D2013)</f>
        <v>32872</v>
      </c>
      <c r="K2013">
        <f t="shared" si="31"/>
        <v>33</v>
      </c>
    </row>
    <row r="2014" spans="1:11" x14ac:dyDescent="0.35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 s="15">
        <v>29899.25</v>
      </c>
      <c r="G2014" t="s">
        <v>16</v>
      </c>
      <c r="H2014" t="s">
        <v>12</v>
      </c>
      <c r="I2014" t="s">
        <v>42</v>
      </c>
      <c r="J2014" s="11">
        <f>DATE(B2014,MATCH(C2014,{"Jan","Feb","Mar","Apr","May","Jun","Jul","Aug","Sep","Oct","Nov","Dec"},0),D2014)</f>
        <v>27625</v>
      </c>
      <c r="K2014">
        <f t="shared" si="31"/>
        <v>47</v>
      </c>
    </row>
    <row r="2015" spans="1:11" x14ac:dyDescent="0.35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 s="15">
        <v>29929.56</v>
      </c>
      <c r="G2015" t="s">
        <v>16</v>
      </c>
      <c r="H2015" t="s">
        <v>16</v>
      </c>
      <c r="I2015" t="s">
        <v>42</v>
      </c>
      <c r="J2015" s="11">
        <f>DATE(B2015,MATCH(C2015,{"Jan","Feb","Mar","Apr","May","Jun","Jul","Aug","Sep","Oct","Nov","Dec"},0),D2015)</f>
        <v>32507</v>
      </c>
      <c r="K2015">
        <f t="shared" si="31"/>
        <v>34</v>
      </c>
    </row>
    <row r="2016" spans="1:11" x14ac:dyDescent="0.35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 s="15">
        <v>29933.75</v>
      </c>
      <c r="G2016" t="s">
        <v>16</v>
      </c>
      <c r="H2016" t="s">
        <v>16</v>
      </c>
      <c r="I2016" t="s">
        <v>42</v>
      </c>
      <c r="J2016" s="11">
        <f>DATE(B2016,MATCH(C2016,{"Jan","Feb","Mar","Apr","May","Jun","Jul","Aug","Sep","Oct","Nov","Dec"},0),D2016)</f>
        <v>27923</v>
      </c>
      <c r="K2016">
        <f t="shared" si="31"/>
        <v>46</v>
      </c>
    </row>
    <row r="2017" spans="1:11" x14ac:dyDescent="0.35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 s="15">
        <v>29969.67</v>
      </c>
      <c r="G2017" t="s">
        <v>16</v>
      </c>
      <c r="H2017" t="s">
        <v>16</v>
      </c>
      <c r="I2017" t="s">
        <v>42</v>
      </c>
      <c r="J2017" s="11">
        <f>DATE(B2017,MATCH(C2017,{"Jan","Feb","Mar","Apr","May","Jun","Jul","Aug","Sep","Oct","Nov","Dec"},0),D2017)</f>
        <v>33516</v>
      </c>
      <c r="K2017">
        <f t="shared" si="31"/>
        <v>31</v>
      </c>
    </row>
    <row r="2018" spans="1:11" x14ac:dyDescent="0.35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 s="15">
        <v>30026.87</v>
      </c>
      <c r="G2018" t="s">
        <v>11</v>
      </c>
      <c r="H2018" t="s">
        <v>12</v>
      </c>
      <c r="I2018" t="s">
        <v>23</v>
      </c>
      <c r="J2018" s="11">
        <f>DATE(B2018,MATCH(C2018,{"Jan","Feb","Mar","Apr","May","Jun","Jul","Aug","Sep","Oct","Nov","Dec"},0),D2018)</f>
        <v>29802</v>
      </c>
      <c r="K2018">
        <f t="shared" si="31"/>
        <v>41</v>
      </c>
    </row>
    <row r="2019" spans="1:11" x14ac:dyDescent="0.35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 s="15">
        <v>30063.58</v>
      </c>
      <c r="G2019" t="s">
        <v>16</v>
      </c>
      <c r="H2019" t="s">
        <v>16</v>
      </c>
      <c r="I2019" t="s">
        <v>23</v>
      </c>
      <c r="J2019" s="11">
        <f>DATE(B2019,MATCH(C2019,{"Jan","Feb","Mar","Apr","May","Jun","Jul","Aug","Sep","Oct","Nov","Dec"},0),D2019)</f>
        <v>24639</v>
      </c>
      <c r="K2019">
        <f t="shared" si="31"/>
        <v>55</v>
      </c>
    </row>
    <row r="2020" spans="1:11" x14ac:dyDescent="0.35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 s="15">
        <v>30095.97</v>
      </c>
      <c r="G2020" t="s">
        <v>11</v>
      </c>
      <c r="H2020" t="s">
        <v>12</v>
      </c>
      <c r="I2020" t="s">
        <v>42</v>
      </c>
      <c r="J2020" s="11">
        <f>DATE(B2020,MATCH(C2020,{"Jan","Feb","Mar","Apr","May","Jun","Jul","Aug","Sep","Oct","Nov","Dec"},0),D2020)</f>
        <v>29100</v>
      </c>
      <c r="K2020">
        <f t="shared" si="31"/>
        <v>43</v>
      </c>
    </row>
    <row r="2021" spans="1:11" x14ac:dyDescent="0.35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 s="15">
        <v>30134.75</v>
      </c>
      <c r="G2021" t="s">
        <v>11</v>
      </c>
      <c r="H2021" t="s">
        <v>12</v>
      </c>
      <c r="I2021" t="s">
        <v>42</v>
      </c>
      <c r="J2021" s="11">
        <f>DATE(B2021,MATCH(C2021,{"Jan","Feb","Mar","Apr","May","Jun","Jul","Aug","Sep","Oct","Nov","Dec"},0),D2021)</f>
        <v>26292</v>
      </c>
      <c r="K2021">
        <f t="shared" si="31"/>
        <v>51</v>
      </c>
    </row>
    <row r="2022" spans="1:11" x14ac:dyDescent="0.35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 s="15">
        <v>30166.62</v>
      </c>
      <c r="G2022" t="s">
        <v>16</v>
      </c>
      <c r="H2022" t="s">
        <v>12</v>
      </c>
      <c r="I2022" t="s">
        <v>23</v>
      </c>
      <c r="J2022" s="11">
        <f>DATE(B2022,MATCH(C2022,{"Jan","Feb","Mar","Apr","May","Jun","Jul","Aug","Sep","Oct","Nov","Dec"},0),D2022)</f>
        <v>21408</v>
      </c>
      <c r="K2022">
        <f t="shared" si="31"/>
        <v>64</v>
      </c>
    </row>
    <row r="2023" spans="1:11" x14ac:dyDescent="0.35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 s="15">
        <v>30184.94</v>
      </c>
      <c r="G2023" t="s">
        <v>16</v>
      </c>
      <c r="H2023" t="s">
        <v>16</v>
      </c>
      <c r="I2023" t="s">
        <v>276</v>
      </c>
      <c r="J2023" s="11">
        <f>DATE(B2023,MATCH(C2023,{"Jan","Feb","Mar","Apr","May","Jun","Jul","Aug","Sep","Oct","Nov","Dec"},0),D2023)</f>
        <v>23267</v>
      </c>
      <c r="K2023">
        <f t="shared" si="31"/>
        <v>59</v>
      </c>
    </row>
    <row r="2024" spans="1:11" x14ac:dyDescent="0.35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 s="15">
        <v>30260</v>
      </c>
      <c r="G2024" t="s">
        <v>16</v>
      </c>
      <c r="H2024" t="s">
        <v>16</v>
      </c>
      <c r="I2024" t="s">
        <v>276</v>
      </c>
      <c r="J2024" s="11">
        <f>DATE(B2024,MATCH(C2024,{"Jan","Feb","Mar","Apr","May","Jun","Jul","Aug","Sep","Oct","Nov","Dec"},0),D2024)</f>
        <v>22904</v>
      </c>
      <c r="K2024">
        <f t="shared" si="31"/>
        <v>60</v>
      </c>
    </row>
    <row r="2025" spans="1:11" x14ac:dyDescent="0.35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 s="15">
        <v>30284.639999999999</v>
      </c>
      <c r="G2025" t="s">
        <v>16</v>
      </c>
      <c r="H2025" t="s">
        <v>16</v>
      </c>
      <c r="I2025" t="s">
        <v>23</v>
      </c>
      <c r="J2025" s="11">
        <f>DATE(B2025,MATCH(C2025,{"Jan","Feb","Mar","Apr","May","Jun","Jul","Aug","Sep","Oct","Nov","Dec"},0),D2025)</f>
        <v>26504</v>
      </c>
      <c r="K2025">
        <f t="shared" si="31"/>
        <v>50</v>
      </c>
    </row>
    <row r="2026" spans="1:11" x14ac:dyDescent="0.35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 s="15">
        <v>30328.27</v>
      </c>
      <c r="G2026" t="s">
        <v>11</v>
      </c>
      <c r="H2026" t="s">
        <v>11</v>
      </c>
      <c r="I2026" t="s">
        <v>42</v>
      </c>
      <c r="J2026" s="11">
        <f>DATE(B2026,MATCH(C2026,{"Jan","Feb","Mar","Apr","May","Jun","Jul","Aug","Sep","Oct","Nov","Dec"},0),D2026)</f>
        <v>38139</v>
      </c>
      <c r="K2026">
        <f t="shared" si="31"/>
        <v>19</v>
      </c>
    </row>
    <row r="2027" spans="1:11" x14ac:dyDescent="0.35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 s="15">
        <v>30366.93</v>
      </c>
      <c r="G2027" t="s">
        <v>11</v>
      </c>
      <c r="H2027" t="s">
        <v>11</v>
      </c>
      <c r="I2027" t="s">
        <v>42</v>
      </c>
      <c r="J2027" s="11">
        <f>DATE(B2027,MATCH(C2027,{"Jan","Feb","Mar","Apr","May","Jun","Jul","Aug","Sep","Oct","Nov","Dec"},0),D2027)</f>
        <v>25414</v>
      </c>
      <c r="K2027">
        <f t="shared" si="31"/>
        <v>53</v>
      </c>
    </row>
    <row r="2028" spans="1:11" x14ac:dyDescent="0.35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 s="15">
        <v>30409.53</v>
      </c>
      <c r="G2028" t="s">
        <v>11</v>
      </c>
      <c r="H2028" t="s">
        <v>12</v>
      </c>
      <c r="I2028" t="s">
        <v>23</v>
      </c>
      <c r="J2028" s="11">
        <f>DATE(B2028,MATCH(C2028,{"Jan","Feb","Mar","Apr","May","Jun","Jul","Aug","Sep","Oct","Nov","Dec"},0),D2028)</f>
        <v>28006</v>
      </c>
      <c r="K2028">
        <f t="shared" si="31"/>
        <v>46</v>
      </c>
    </row>
    <row r="2029" spans="1:11" x14ac:dyDescent="0.35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 s="15">
        <v>30422.03</v>
      </c>
      <c r="G2029" t="s">
        <v>11</v>
      </c>
      <c r="H2029" t="s">
        <v>12</v>
      </c>
      <c r="I2029" t="s">
        <v>42</v>
      </c>
      <c r="J2029" s="11">
        <f>DATE(B2029,MATCH(C2029,{"Jan","Feb","Mar","Apr","May","Jun","Jul","Aug","Sep","Oct","Nov","Dec"},0),D2029)</f>
        <v>36096</v>
      </c>
      <c r="K2029">
        <f t="shared" si="31"/>
        <v>24</v>
      </c>
    </row>
    <row r="2030" spans="1:11" x14ac:dyDescent="0.35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 s="15">
        <v>30457.37</v>
      </c>
      <c r="G2030" t="s">
        <v>11</v>
      </c>
      <c r="H2030" t="s">
        <v>16</v>
      </c>
      <c r="I2030" t="s">
        <v>23</v>
      </c>
      <c r="J2030" s="11">
        <f>DATE(B2030,MATCH(C2030,{"Jan","Feb","Mar","Apr","May","Jun","Jul","Aug","Sep","Oct","Nov","Dec"},0),D2030)</f>
        <v>30562</v>
      </c>
      <c r="K2030">
        <f t="shared" si="31"/>
        <v>39</v>
      </c>
    </row>
    <row r="2031" spans="1:11" x14ac:dyDescent="0.35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 s="15">
        <v>30530.5</v>
      </c>
      <c r="G2031" t="s">
        <v>11</v>
      </c>
      <c r="H2031" t="s">
        <v>16</v>
      </c>
      <c r="I2031" t="s">
        <v>42</v>
      </c>
      <c r="J2031" s="11">
        <f>DATE(B2031,MATCH(C2031,{"Jan","Feb","Mar","Apr","May","Jun","Jul","Aug","Sep","Oct","Nov","Dec"},0),D2031)</f>
        <v>31634</v>
      </c>
      <c r="K2031">
        <f t="shared" si="31"/>
        <v>36</v>
      </c>
    </row>
    <row r="2032" spans="1:11" x14ac:dyDescent="0.35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 s="15">
        <v>30625.65</v>
      </c>
      <c r="G2032" t="s">
        <v>11</v>
      </c>
      <c r="H2032" t="s">
        <v>12</v>
      </c>
      <c r="I2032" t="s">
        <v>42</v>
      </c>
      <c r="J2032" s="11">
        <f>DATE(B2032,MATCH(C2032,{"Jan","Feb","Mar","Apr","May","Jun","Jul","Aug","Sep","Oct","Nov","Dec"},0),D2032)</f>
        <v>25883</v>
      </c>
      <c r="K2032">
        <f t="shared" si="31"/>
        <v>52</v>
      </c>
    </row>
    <row r="2033" spans="1:11" x14ac:dyDescent="0.35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 s="15">
        <v>30697.71</v>
      </c>
      <c r="G2033" t="s">
        <v>16</v>
      </c>
      <c r="H2033" t="s">
        <v>11</v>
      </c>
      <c r="I2033" t="s">
        <v>42</v>
      </c>
      <c r="J2033" s="11">
        <f>DATE(B2033,MATCH(C2033,{"Jan","Feb","Mar","Apr","May","Jun","Jul","Aug","Sep","Oct","Nov","Dec"},0),D2033)</f>
        <v>36424</v>
      </c>
      <c r="K2033">
        <f t="shared" si="31"/>
        <v>23</v>
      </c>
    </row>
    <row r="2034" spans="1:11" x14ac:dyDescent="0.35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 s="15">
        <v>30724.44</v>
      </c>
      <c r="G2034" t="s">
        <v>11</v>
      </c>
      <c r="H2034" t="s">
        <v>12</v>
      </c>
      <c r="I2034" t="s">
        <v>42</v>
      </c>
      <c r="J2034" s="11">
        <f>DATE(B2034,MATCH(C2034,{"Jan","Feb","Mar","Apr","May","Jun","Jul","Aug","Sep","Oct","Nov","Dec"},0),D2034)</f>
        <v>30671</v>
      </c>
      <c r="K2034">
        <f t="shared" si="31"/>
        <v>39</v>
      </c>
    </row>
    <row r="2035" spans="1:11" x14ac:dyDescent="0.35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 s="15">
        <v>30763.01</v>
      </c>
      <c r="G2035" t="s">
        <v>11</v>
      </c>
      <c r="H2035" t="s">
        <v>16</v>
      </c>
      <c r="I2035" t="s">
        <v>42</v>
      </c>
      <c r="J2035" s="11">
        <f>DATE(B2035,MATCH(C2035,{"Jan","Feb","Mar","Apr","May","Jun","Jul","Aug","Sep","Oct","Nov","Dec"},0),D2035)</f>
        <v>32391</v>
      </c>
      <c r="K2035">
        <f t="shared" si="31"/>
        <v>34</v>
      </c>
    </row>
    <row r="2036" spans="1:11" x14ac:dyDescent="0.35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 s="15">
        <v>30942.19</v>
      </c>
      <c r="G2036" t="s">
        <v>11</v>
      </c>
      <c r="H2036" t="s">
        <v>11</v>
      </c>
      <c r="I2036" t="s">
        <v>13</v>
      </c>
      <c r="J2036" s="11">
        <f>DATE(B2036,MATCH(C2036,{"Jan","Feb","Mar","Apr","May","Jun","Jul","Aug","Sep","Oct","Nov","Dec"},0),D2036)</f>
        <v>22533</v>
      </c>
      <c r="K2036">
        <f t="shared" si="31"/>
        <v>61</v>
      </c>
    </row>
    <row r="2037" spans="1:11" x14ac:dyDescent="0.35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 s="15">
        <v>31196.61</v>
      </c>
      <c r="G2037" t="s">
        <v>11</v>
      </c>
      <c r="H2037" t="s">
        <v>16</v>
      </c>
      <c r="I2037" t="s">
        <v>42</v>
      </c>
      <c r="J2037" s="11">
        <f>DATE(B2037,MATCH(C2037,{"Jan","Feb","Mar","Apr","May","Jun","Jul","Aug","Sep","Oct","Nov","Dec"},0),D2037)</f>
        <v>38300</v>
      </c>
      <c r="K2037">
        <f t="shared" si="31"/>
        <v>18</v>
      </c>
    </row>
    <row r="2038" spans="1:11" x14ac:dyDescent="0.35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 s="15">
        <v>31234.560000000001</v>
      </c>
      <c r="G2038" t="s">
        <v>16</v>
      </c>
      <c r="H2038" t="s">
        <v>16</v>
      </c>
      <c r="I2038" t="s">
        <v>42</v>
      </c>
      <c r="J2038" s="11">
        <f>DATE(B2038,MATCH(C2038,{"Jan","Feb","Mar","Apr","May","Jun","Jul","Aug","Sep","Oct","Nov","Dec"},0),D2038)</f>
        <v>36729</v>
      </c>
      <c r="K2038">
        <f t="shared" si="31"/>
        <v>22</v>
      </c>
    </row>
    <row r="2039" spans="1:11" x14ac:dyDescent="0.35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 s="15">
        <v>31322.53</v>
      </c>
      <c r="G2039" t="s">
        <v>11</v>
      </c>
      <c r="H2039" t="s">
        <v>16</v>
      </c>
      <c r="I2039" t="s">
        <v>42</v>
      </c>
      <c r="J2039" s="11">
        <f>DATE(B2039,MATCH(C2039,{"Jan","Feb","Mar","Apr","May","Jun","Jul","Aug","Sep","Oct","Nov","Dec"},0),D2039)</f>
        <v>25028</v>
      </c>
      <c r="K2039">
        <f t="shared" si="31"/>
        <v>54</v>
      </c>
    </row>
    <row r="2040" spans="1:11" x14ac:dyDescent="0.35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 s="15">
        <v>31328.27</v>
      </c>
      <c r="G2040" t="s">
        <v>11</v>
      </c>
      <c r="H2040" t="s">
        <v>11</v>
      </c>
      <c r="I2040" t="s">
        <v>42</v>
      </c>
      <c r="J2040" s="11">
        <f>DATE(B2040,MATCH(C2040,{"Jan","Feb","Mar","Apr","May","Jun","Jul","Aug","Sep","Oct","Nov","Dec"},0),D2040)</f>
        <v>34969</v>
      </c>
      <c r="K2040">
        <f t="shared" si="31"/>
        <v>27</v>
      </c>
    </row>
    <row r="2041" spans="1:11" x14ac:dyDescent="0.35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 s="15">
        <v>31368.81</v>
      </c>
      <c r="G2041" t="s">
        <v>11</v>
      </c>
      <c r="H2041" t="s">
        <v>12</v>
      </c>
      <c r="I2041" t="s">
        <v>42</v>
      </c>
      <c r="J2041" s="11">
        <f>DATE(B2041,MATCH(C2041,{"Jan","Feb","Mar","Apr","May","Jun","Jul","Aug","Sep","Oct","Nov","Dec"},0),D2041)</f>
        <v>27310</v>
      </c>
      <c r="K2041">
        <f t="shared" si="31"/>
        <v>48</v>
      </c>
    </row>
    <row r="2042" spans="1:11" x14ac:dyDescent="0.35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 s="15">
        <v>31591.82</v>
      </c>
      <c r="G2042" t="s">
        <v>11</v>
      </c>
      <c r="H2042" t="s">
        <v>16</v>
      </c>
      <c r="I2042" t="s">
        <v>42</v>
      </c>
      <c r="J2042" s="11">
        <f>DATE(B2042,MATCH(C2042,{"Jan","Feb","Mar","Apr","May","Jun","Jul","Aug","Sep","Oct","Nov","Dec"},0),D2042)</f>
        <v>27696</v>
      </c>
      <c r="K2042">
        <f t="shared" si="31"/>
        <v>47</v>
      </c>
    </row>
    <row r="2043" spans="1:11" x14ac:dyDescent="0.35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 s="15">
        <v>31620</v>
      </c>
      <c r="G2043" t="s">
        <v>11</v>
      </c>
      <c r="H2043" t="s">
        <v>16</v>
      </c>
      <c r="I2043" t="s">
        <v>247</v>
      </c>
      <c r="J2043" s="11">
        <f>DATE(B2043,MATCH(C2043,{"Jan","Feb","Mar","Apr","May","Jun","Jul","Aug","Sep","Oct","Nov","Dec"},0),D2043)</f>
        <v>22263</v>
      </c>
      <c r="K2043">
        <f t="shared" si="31"/>
        <v>62</v>
      </c>
    </row>
    <row r="2044" spans="1:11" x14ac:dyDescent="0.35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 s="15">
        <v>31736.7</v>
      </c>
      <c r="G2044" t="s">
        <v>11</v>
      </c>
      <c r="H2044" t="s">
        <v>11</v>
      </c>
      <c r="I2044" t="s">
        <v>23</v>
      </c>
      <c r="J2044" s="11">
        <f>DATE(B2044,MATCH(C2044,{"Jan","Feb","Mar","Apr","May","Jun","Jul","Aug","Sep","Oct","Nov","Dec"},0),D2044)</f>
        <v>28412</v>
      </c>
      <c r="K2044">
        <f t="shared" si="31"/>
        <v>45</v>
      </c>
    </row>
    <row r="2045" spans="1:11" x14ac:dyDescent="0.35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 s="15">
        <v>31743.919999999998</v>
      </c>
      <c r="G2045" t="s">
        <v>11</v>
      </c>
      <c r="H2045" t="s">
        <v>16</v>
      </c>
      <c r="I2045" t="s">
        <v>42</v>
      </c>
      <c r="J2045" s="11">
        <f>DATE(B2045,MATCH(C2045,{"Jan","Feb","Mar","Apr","May","Jun","Jul","Aug","Sep","Oct","Nov","Dec"},0),D2045)</f>
        <v>30935</v>
      </c>
      <c r="K2045">
        <f t="shared" si="31"/>
        <v>38</v>
      </c>
    </row>
    <row r="2046" spans="1:11" x14ac:dyDescent="0.35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 s="15">
        <v>31897.1</v>
      </c>
      <c r="G2046" t="s">
        <v>11</v>
      </c>
      <c r="H2046" t="s">
        <v>12</v>
      </c>
      <c r="I2046" t="s">
        <v>42</v>
      </c>
      <c r="J2046" s="11">
        <f>DATE(B2046,MATCH(C2046,{"Jan","Feb","Mar","Apr","May","Jun","Jul","Aug","Sep","Oct","Nov","Dec"},0),D2046)</f>
        <v>27662</v>
      </c>
      <c r="K2046">
        <f t="shared" si="31"/>
        <v>47</v>
      </c>
    </row>
    <row r="2047" spans="1:11" x14ac:dyDescent="0.35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 s="15">
        <v>31980.89</v>
      </c>
      <c r="G2047" t="s">
        <v>11</v>
      </c>
      <c r="H2047" t="s">
        <v>16</v>
      </c>
      <c r="I2047" t="s">
        <v>42</v>
      </c>
      <c r="J2047" s="11">
        <f>DATE(B2047,MATCH(C2047,{"Jan","Feb","Mar","Apr","May","Jun","Jul","Aug","Sep","Oct","Nov","Dec"},0),D2047)</f>
        <v>26563</v>
      </c>
      <c r="K2047">
        <f t="shared" si="31"/>
        <v>50</v>
      </c>
    </row>
    <row r="2048" spans="1:11" x14ac:dyDescent="0.35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 s="15">
        <v>32086.21</v>
      </c>
      <c r="G2048" t="s">
        <v>16</v>
      </c>
      <c r="H2048" t="s">
        <v>12</v>
      </c>
      <c r="I2048" t="s">
        <v>42</v>
      </c>
      <c r="J2048" s="11">
        <f>DATE(B2048,MATCH(C2048,{"Jan","Feb","Mar","Apr","May","Jun","Jul","Aug","Sep","Oct","Nov","Dec"},0),D2048)</f>
        <v>34225</v>
      </c>
      <c r="K2048">
        <f t="shared" si="31"/>
        <v>29</v>
      </c>
    </row>
    <row r="2049" spans="1:11" x14ac:dyDescent="0.35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 s="15">
        <v>32108.66</v>
      </c>
      <c r="G2049" t="s">
        <v>16</v>
      </c>
      <c r="H2049" t="s">
        <v>12</v>
      </c>
      <c r="I2049" t="s">
        <v>356</v>
      </c>
      <c r="J2049" s="11">
        <f>DATE(B2049,MATCH(C2049,{"Jan","Feb","Mar","Apr","May","Jun","Jul","Aug","Sep","Oct","Nov","Dec"},0),D2049)</f>
        <v>28804</v>
      </c>
      <c r="K2049">
        <f t="shared" si="31"/>
        <v>44</v>
      </c>
    </row>
    <row r="2050" spans="1:11" x14ac:dyDescent="0.35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 s="15">
        <v>32192.76</v>
      </c>
      <c r="G2050" t="s">
        <v>16</v>
      </c>
      <c r="H2050" t="s">
        <v>11</v>
      </c>
      <c r="I2050" t="s">
        <v>42</v>
      </c>
      <c r="J2050" s="11">
        <f>DATE(B2050,MATCH(C2050,{"Jan","Feb","Mar","Apr","May","Jun","Jul","Aug","Sep","Oct","Nov","Dec"},0),D2050)</f>
        <v>25457</v>
      </c>
      <c r="K2050">
        <f t="shared" si="31"/>
        <v>53</v>
      </c>
    </row>
    <row r="2051" spans="1:11" x14ac:dyDescent="0.35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 s="15">
        <v>32222.81</v>
      </c>
      <c r="G2051" t="s">
        <v>11</v>
      </c>
      <c r="H2051" t="s">
        <v>16</v>
      </c>
      <c r="I2051" t="s">
        <v>42</v>
      </c>
      <c r="J2051" s="11">
        <f>DATE(B2051,MATCH(C2051,{"Jan","Feb","Mar","Apr","May","Jun","Jul","Aug","Sep","Oct","Nov","Dec"},0),D2051)</f>
        <v>34585</v>
      </c>
      <c r="K2051">
        <f t="shared" ref="K2051:K2114" si="32">DATEDIF(J2051,$N$1,"Y")</f>
        <v>28</v>
      </c>
    </row>
    <row r="2052" spans="1:11" x14ac:dyDescent="0.35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 s="15">
        <v>32259.96</v>
      </c>
      <c r="G2052" t="s">
        <v>11</v>
      </c>
      <c r="H2052" t="s">
        <v>12</v>
      </c>
      <c r="I2052" t="s">
        <v>23</v>
      </c>
      <c r="J2052" s="11">
        <f>DATE(B2052,MATCH(C2052,{"Jan","Feb","Mar","Apr","May","Jun","Jul","Aug","Sep","Oct","Nov","Dec"},0),D2052)</f>
        <v>27745</v>
      </c>
      <c r="K2052">
        <f t="shared" si="32"/>
        <v>47</v>
      </c>
    </row>
    <row r="2053" spans="1:11" x14ac:dyDescent="0.35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 s="15">
        <v>32288.49</v>
      </c>
      <c r="G2053" t="s">
        <v>11</v>
      </c>
      <c r="H2053" t="s">
        <v>11</v>
      </c>
      <c r="I2053" t="s">
        <v>42</v>
      </c>
      <c r="J2053" s="11">
        <f>DATE(B2053,MATCH(C2053,{"Jan","Feb","Mar","Apr","May","Jun","Jul","Aug","Sep","Oct","Nov","Dec"},0),D2053)</f>
        <v>31748</v>
      </c>
      <c r="K2053">
        <f t="shared" si="32"/>
        <v>36</v>
      </c>
    </row>
    <row r="2054" spans="1:11" x14ac:dyDescent="0.35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 s="15">
        <v>32428.63</v>
      </c>
      <c r="G2054" t="s">
        <v>11</v>
      </c>
      <c r="H2054" t="s">
        <v>11</v>
      </c>
      <c r="I2054" t="s">
        <v>42</v>
      </c>
      <c r="J2054" s="11">
        <f>DATE(B2054,MATCH(C2054,{"Jan","Feb","Mar","Apr","May","Jun","Jul","Aug","Sep","Oct","Nov","Dec"},0),D2054)</f>
        <v>26591</v>
      </c>
      <c r="K2054">
        <f t="shared" si="32"/>
        <v>50</v>
      </c>
    </row>
    <row r="2055" spans="1:11" x14ac:dyDescent="0.35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 s="15">
        <v>32430.22</v>
      </c>
      <c r="G2055" t="s">
        <v>11</v>
      </c>
      <c r="H2055" t="s">
        <v>12</v>
      </c>
      <c r="I2055" t="s">
        <v>42</v>
      </c>
      <c r="J2055" s="11">
        <f>DATE(B2055,MATCH(C2055,{"Jan","Feb","Mar","Apr","May","Jun","Jul","Aug","Sep","Oct","Nov","Dec"},0),D2055)</f>
        <v>27981</v>
      </c>
      <c r="K2055">
        <f t="shared" si="32"/>
        <v>46</v>
      </c>
    </row>
    <row r="2056" spans="1:11" x14ac:dyDescent="0.35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 s="15">
        <v>32462.35</v>
      </c>
      <c r="G2056" t="s">
        <v>11</v>
      </c>
      <c r="H2056" t="s">
        <v>11</v>
      </c>
      <c r="I2056" t="s">
        <v>42</v>
      </c>
      <c r="J2056" s="11">
        <f>DATE(B2056,MATCH(C2056,{"Jan","Feb","Mar","Apr","May","Jun","Jul","Aug","Sep","Oct","Nov","Dec"},0),D2056)</f>
        <v>29856</v>
      </c>
      <c r="K2056">
        <f t="shared" si="32"/>
        <v>41</v>
      </c>
    </row>
    <row r="2057" spans="1:11" x14ac:dyDescent="0.35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 s="15">
        <v>32485.46</v>
      </c>
      <c r="G2057" t="s">
        <v>11</v>
      </c>
      <c r="H2057" t="s">
        <v>16</v>
      </c>
      <c r="I2057" t="s">
        <v>42</v>
      </c>
      <c r="J2057" s="11">
        <f>DATE(B2057,MATCH(C2057,{"Jan","Feb","Mar","Apr","May","Jun","Jul","Aug","Sep","Oct","Nov","Dec"},0),D2057)</f>
        <v>28022</v>
      </c>
      <c r="K2057">
        <f t="shared" si="32"/>
        <v>46</v>
      </c>
    </row>
    <row r="2058" spans="1:11" x14ac:dyDescent="0.35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 s="15">
        <v>32548.34</v>
      </c>
      <c r="G2058" t="s">
        <v>16</v>
      </c>
      <c r="H2058" t="s">
        <v>11</v>
      </c>
      <c r="I2058" t="s">
        <v>13</v>
      </c>
      <c r="J2058" s="11">
        <f>DATE(B2058,MATCH(C2058,{"Jan","Feb","Mar","Apr","May","Jun","Jul","Aug","Sep","Oct","Nov","Dec"},0),D2058)</f>
        <v>37902</v>
      </c>
      <c r="K2058">
        <f t="shared" si="32"/>
        <v>19</v>
      </c>
    </row>
    <row r="2059" spans="1:11" x14ac:dyDescent="0.35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 s="15">
        <v>32672.11</v>
      </c>
      <c r="G2059" t="s">
        <v>16</v>
      </c>
      <c r="H2059" t="s">
        <v>16</v>
      </c>
      <c r="I2059" t="s">
        <v>42</v>
      </c>
      <c r="J2059" s="11">
        <f>DATE(B2059,MATCH(C2059,{"Jan","Feb","Mar","Apr","May","Jun","Jul","Aug","Sep","Oct","Nov","Dec"},0),D2059)</f>
        <v>33067</v>
      </c>
      <c r="K2059">
        <f t="shared" si="32"/>
        <v>32</v>
      </c>
    </row>
    <row r="2060" spans="1:11" x14ac:dyDescent="0.35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 s="15">
        <v>32686.080000000002</v>
      </c>
      <c r="G2060" t="s">
        <v>11</v>
      </c>
      <c r="H2060" t="s">
        <v>12</v>
      </c>
      <c r="I2060" t="s">
        <v>42</v>
      </c>
      <c r="J2060" s="11">
        <f>DATE(B2060,MATCH(C2060,{"Jan","Feb","Mar","Apr","May","Jun","Jul","Aug","Sep","Oct","Nov","Dec"},0),D2060)</f>
        <v>25143</v>
      </c>
      <c r="K2060">
        <f t="shared" si="32"/>
        <v>54</v>
      </c>
    </row>
    <row r="2061" spans="1:11" x14ac:dyDescent="0.35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 s="15">
        <v>32716.2</v>
      </c>
      <c r="G2061" t="s">
        <v>16</v>
      </c>
      <c r="H2061" t="s">
        <v>11</v>
      </c>
      <c r="I2061" t="s">
        <v>42</v>
      </c>
      <c r="J2061" s="11">
        <f>DATE(B2061,MATCH(C2061,{"Jan","Feb","Mar","Apr","May","Jun","Jul","Aug","Sep","Oct","Nov","Dec"},0),D2061)</f>
        <v>33146</v>
      </c>
      <c r="K2061">
        <f t="shared" si="32"/>
        <v>32</v>
      </c>
    </row>
    <row r="2062" spans="1:11" x14ac:dyDescent="0.35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 s="15">
        <v>32734.19</v>
      </c>
      <c r="G2062" t="s">
        <v>11</v>
      </c>
      <c r="H2062" t="s">
        <v>16</v>
      </c>
      <c r="I2062" t="s">
        <v>23</v>
      </c>
      <c r="J2062" s="11">
        <f>DATE(B2062,MATCH(C2062,{"Jan","Feb","Mar","Apr","May","Jun","Jul","Aug","Sep","Oct","Nov","Dec"},0),D2062)</f>
        <v>33063</v>
      </c>
      <c r="K2062">
        <f t="shared" si="32"/>
        <v>32</v>
      </c>
    </row>
    <row r="2063" spans="1:11" x14ac:dyDescent="0.35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 s="15">
        <v>32760.48</v>
      </c>
      <c r="G2063" t="s">
        <v>16</v>
      </c>
      <c r="H2063" t="s">
        <v>16</v>
      </c>
      <c r="I2063" t="s">
        <v>42</v>
      </c>
      <c r="J2063" s="11">
        <f>DATE(B2063,MATCH(C2063,{"Jan","Feb","Mar","Apr","May","Jun","Jul","Aug","Sep","Oct","Nov","Dec"},0),D2063)</f>
        <v>27369</v>
      </c>
      <c r="K2063">
        <f t="shared" si="32"/>
        <v>48</v>
      </c>
    </row>
    <row r="2064" spans="1:11" x14ac:dyDescent="0.35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 s="15">
        <v>32765.33</v>
      </c>
      <c r="G2064" t="s">
        <v>11</v>
      </c>
      <c r="H2064" t="s">
        <v>11</v>
      </c>
      <c r="I2064" t="s">
        <v>23</v>
      </c>
      <c r="J2064" s="11">
        <f>DATE(B2064,MATCH(C2064,{"Jan","Feb","Mar","Apr","May","Jun","Jul","Aug","Sep","Oct","Nov","Dec"},0),D2064)</f>
        <v>26610</v>
      </c>
      <c r="K2064">
        <f t="shared" si="32"/>
        <v>50</v>
      </c>
    </row>
    <row r="2065" spans="1:11" x14ac:dyDescent="0.35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 s="15">
        <v>32787.46</v>
      </c>
      <c r="G2065" t="s">
        <v>16</v>
      </c>
      <c r="H2065" t="s">
        <v>12</v>
      </c>
      <c r="I2065" t="s">
        <v>23</v>
      </c>
      <c r="J2065" s="11">
        <f>DATE(B2065,MATCH(C2065,{"Jan","Feb","Mar","Apr","May","Jun","Jul","Aug","Sep","Oct","Nov","Dec"},0),D2065)</f>
        <v>29567</v>
      </c>
      <c r="K2065">
        <f t="shared" si="32"/>
        <v>42</v>
      </c>
    </row>
    <row r="2066" spans="1:11" x14ac:dyDescent="0.35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 s="15">
        <v>32827.51</v>
      </c>
      <c r="G2066" t="s">
        <v>16</v>
      </c>
      <c r="H2066" t="s">
        <v>11</v>
      </c>
      <c r="I2066" t="s">
        <v>42</v>
      </c>
      <c r="J2066" s="11">
        <f>DATE(B2066,MATCH(C2066,{"Jan","Feb","Mar","Apr","May","Jun","Jul","Aug","Sep","Oct","Nov","Dec"},0),D2066)</f>
        <v>35037</v>
      </c>
      <c r="K2066">
        <f t="shared" si="32"/>
        <v>27</v>
      </c>
    </row>
    <row r="2067" spans="1:11" x14ac:dyDescent="0.35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 s="15">
        <v>32906.69</v>
      </c>
      <c r="G2067" t="s">
        <v>11</v>
      </c>
      <c r="H2067" t="s">
        <v>12</v>
      </c>
      <c r="I2067" t="s">
        <v>42</v>
      </c>
      <c r="J2067" s="11">
        <f>DATE(B2067,MATCH(C2067,{"Jan","Feb","Mar","Apr","May","Jun","Jul","Aug","Sep","Oct","Nov","Dec"},0),D2067)</f>
        <v>29907</v>
      </c>
      <c r="K2067">
        <f t="shared" si="32"/>
        <v>41</v>
      </c>
    </row>
    <row r="2068" spans="1:11" x14ac:dyDescent="0.35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 s="15">
        <v>32947.629999999997</v>
      </c>
      <c r="G2068" t="s">
        <v>11</v>
      </c>
      <c r="H2068" t="s">
        <v>16</v>
      </c>
      <c r="I2068" t="s">
        <v>42</v>
      </c>
      <c r="J2068" s="11">
        <f>DATE(B2068,MATCH(C2068,{"Jan","Feb","Mar","Apr","May","Jun","Jul","Aug","Sep","Oct","Nov","Dec"},0),D2068)</f>
        <v>26169</v>
      </c>
      <c r="K2068">
        <f t="shared" si="32"/>
        <v>51</v>
      </c>
    </row>
    <row r="2069" spans="1:11" x14ac:dyDescent="0.35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 s="15">
        <v>33017.46</v>
      </c>
      <c r="G2069" t="s">
        <v>16</v>
      </c>
      <c r="H2069" t="s">
        <v>16</v>
      </c>
      <c r="I2069" t="s">
        <v>42</v>
      </c>
      <c r="J2069" s="11">
        <f>DATE(B2069,MATCH(C2069,{"Jan","Feb","Mar","Apr","May","Jun","Jul","Aug","Sep","Oct","Nov","Dec"},0),D2069)</f>
        <v>34888</v>
      </c>
      <c r="K2069">
        <f t="shared" si="32"/>
        <v>27</v>
      </c>
    </row>
    <row r="2070" spans="1:11" x14ac:dyDescent="0.35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 s="15">
        <v>33025.32</v>
      </c>
      <c r="G2070" t="s">
        <v>11</v>
      </c>
      <c r="H2070" t="s">
        <v>12</v>
      </c>
      <c r="I2070" t="s">
        <v>42</v>
      </c>
      <c r="J2070" s="11">
        <f>DATE(B2070,MATCH(C2070,{"Jan","Feb","Mar","Apr","May","Jun","Jul","Aug","Sep","Oct","Nov","Dec"},0),D2070)</f>
        <v>24663</v>
      </c>
      <c r="K2070">
        <f t="shared" si="32"/>
        <v>55</v>
      </c>
    </row>
    <row r="2071" spans="1:11" x14ac:dyDescent="0.35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 s="15">
        <v>33057.230000000003</v>
      </c>
      <c r="G2071" t="s">
        <v>16</v>
      </c>
      <c r="H2071" t="s">
        <v>11</v>
      </c>
      <c r="I2071" t="s">
        <v>42</v>
      </c>
      <c r="J2071" s="11">
        <f>DATE(B2071,MATCH(C2071,{"Jan","Feb","Mar","Apr","May","Jun","Jul","Aug","Sep","Oct","Nov","Dec"},0),D2071)</f>
        <v>34543</v>
      </c>
      <c r="K2071">
        <f t="shared" si="32"/>
        <v>28</v>
      </c>
    </row>
    <row r="2072" spans="1:11" x14ac:dyDescent="0.35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 s="15">
        <v>33074.94</v>
      </c>
      <c r="G2072" t="s">
        <v>16</v>
      </c>
      <c r="H2072" t="s">
        <v>11</v>
      </c>
      <c r="I2072" t="s">
        <v>42</v>
      </c>
      <c r="J2072" s="11">
        <f>DATE(B2072,MATCH(C2072,{"Jan","Feb","Mar","Apr","May","Jun","Jul","Aug","Sep","Oct","Nov","Dec"},0),D2072)</f>
        <v>22828</v>
      </c>
      <c r="K2072">
        <f t="shared" si="32"/>
        <v>60</v>
      </c>
    </row>
    <row r="2073" spans="1:11" x14ac:dyDescent="0.35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 s="15">
        <v>33090.660000000003</v>
      </c>
      <c r="G2073" t="s">
        <v>11</v>
      </c>
      <c r="H2073" t="s">
        <v>11</v>
      </c>
      <c r="I2073" t="s">
        <v>42</v>
      </c>
      <c r="J2073" s="11">
        <f>DATE(B2073,MATCH(C2073,{"Jan","Feb","Mar","Apr","May","Jun","Jul","Aug","Sep","Oct","Nov","Dec"},0),D2073)</f>
        <v>25506</v>
      </c>
      <c r="K2073">
        <f t="shared" si="32"/>
        <v>53</v>
      </c>
    </row>
    <row r="2074" spans="1:11" x14ac:dyDescent="0.35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 s="15">
        <v>33121</v>
      </c>
      <c r="G2074" t="s">
        <v>11</v>
      </c>
      <c r="H2074" t="s">
        <v>16</v>
      </c>
      <c r="I2074" t="s">
        <v>42</v>
      </c>
      <c r="J2074" s="11">
        <f>DATE(B2074,MATCH(C2074,{"Jan","Feb","Mar","Apr","May","Jun","Jul","Aug","Sep","Oct","Nov","Dec"},0),D2074)</f>
        <v>31243</v>
      </c>
      <c r="K2074">
        <f t="shared" si="32"/>
        <v>37</v>
      </c>
    </row>
    <row r="2075" spans="1:11" x14ac:dyDescent="0.35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 s="15">
        <v>33292.83</v>
      </c>
      <c r="G2075" t="s">
        <v>11</v>
      </c>
      <c r="H2075" t="s">
        <v>16</v>
      </c>
      <c r="I2075" t="s">
        <v>42</v>
      </c>
      <c r="J2075" s="11">
        <f>DATE(B2075,MATCH(C2075,{"Jan","Feb","Mar","Apr","May","Jun","Jul","Aug","Sep","Oct","Nov","Dec"},0),D2075)</f>
        <v>33158</v>
      </c>
      <c r="K2075">
        <f t="shared" si="32"/>
        <v>32</v>
      </c>
    </row>
    <row r="2076" spans="1:11" x14ac:dyDescent="0.35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 s="15">
        <v>33307.550000000003</v>
      </c>
      <c r="G2076" t="s">
        <v>11</v>
      </c>
      <c r="H2076" t="s">
        <v>12</v>
      </c>
      <c r="I2076" t="s">
        <v>23</v>
      </c>
      <c r="J2076" s="11">
        <f>DATE(B2076,MATCH(C2076,{"Jan","Feb","Mar","Apr","May","Jun","Jul","Aug","Sep","Oct","Nov","Dec"},0),D2076)</f>
        <v>37953</v>
      </c>
      <c r="K2076">
        <f t="shared" si="32"/>
        <v>19</v>
      </c>
    </row>
    <row r="2077" spans="1:11" x14ac:dyDescent="0.35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 s="15">
        <v>33344.449999999997</v>
      </c>
      <c r="G2077" t="s">
        <v>11</v>
      </c>
      <c r="H2077" t="s">
        <v>12</v>
      </c>
      <c r="I2077" t="s">
        <v>42</v>
      </c>
      <c r="J2077" s="11">
        <f>DATE(B2077,MATCH(C2077,{"Jan","Feb","Mar","Apr","May","Jun","Jul","Aug","Sep","Oct","Nov","Dec"},0),D2077)</f>
        <v>26547</v>
      </c>
      <c r="K2077">
        <f t="shared" si="32"/>
        <v>50</v>
      </c>
    </row>
    <row r="2078" spans="1:11" x14ac:dyDescent="0.35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 s="15">
        <v>33450.99</v>
      </c>
      <c r="G2078" t="s">
        <v>11</v>
      </c>
      <c r="H2078" t="s">
        <v>11</v>
      </c>
      <c r="I2078" t="s">
        <v>42</v>
      </c>
      <c r="J2078" s="11">
        <f>DATE(B2078,MATCH(C2078,{"Jan","Feb","Mar","Apr","May","Jun","Jul","Aug","Sep","Oct","Nov","Dec"},0),D2078)</f>
        <v>31388</v>
      </c>
      <c r="K2078">
        <f t="shared" si="32"/>
        <v>37</v>
      </c>
    </row>
    <row r="2079" spans="1:11" x14ac:dyDescent="0.35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 s="15">
        <v>33471.97</v>
      </c>
      <c r="G2079" t="s">
        <v>11</v>
      </c>
      <c r="H2079" t="s">
        <v>11</v>
      </c>
      <c r="I2079" t="s">
        <v>23</v>
      </c>
      <c r="J2079" s="11">
        <f>DATE(B2079,MATCH(C2079,{"Jan","Feb","Mar","Apr","May","Jun","Jul","Aug","Sep","Oct","Nov","Dec"},0),D2079)</f>
        <v>25737</v>
      </c>
      <c r="K2079">
        <f t="shared" si="32"/>
        <v>52</v>
      </c>
    </row>
    <row r="2080" spans="1:11" x14ac:dyDescent="0.35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 s="15">
        <v>33475.82</v>
      </c>
      <c r="G2080" t="s">
        <v>16</v>
      </c>
      <c r="H2080" t="s">
        <v>16</v>
      </c>
      <c r="I2080" t="s">
        <v>170</v>
      </c>
      <c r="J2080" s="11">
        <f>DATE(B2080,MATCH(C2080,{"Jan","Feb","Mar","Apr","May","Jun","Jul","Aug","Sep","Oct","Nov","Dec"},0),D2080)</f>
        <v>37493</v>
      </c>
      <c r="K2080">
        <f t="shared" si="32"/>
        <v>20</v>
      </c>
    </row>
    <row r="2081" spans="1:11" x14ac:dyDescent="0.35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 s="15">
        <v>33527.1</v>
      </c>
      <c r="G2081" t="s">
        <v>11</v>
      </c>
      <c r="H2081" t="s">
        <v>12</v>
      </c>
      <c r="I2081" t="s">
        <v>42</v>
      </c>
      <c r="J2081" s="11">
        <f>DATE(B2081,MATCH(C2081,{"Jan","Feb","Mar","Apr","May","Jun","Jul","Aug","Sep","Oct","Nov","Dec"},0),D2081)</f>
        <v>30885</v>
      </c>
      <c r="K2081">
        <f t="shared" si="32"/>
        <v>38</v>
      </c>
    </row>
    <row r="2082" spans="1:11" x14ac:dyDescent="0.35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 s="15">
        <v>33611.71</v>
      </c>
      <c r="G2082" t="s">
        <v>16</v>
      </c>
      <c r="H2082" t="s">
        <v>11</v>
      </c>
      <c r="I2082" t="s">
        <v>42</v>
      </c>
      <c r="J2082" s="11">
        <f>DATE(B2082,MATCH(C2082,{"Jan","Feb","Mar","Apr","May","Jun","Jul","Aug","Sep","Oct","Nov","Dec"},0),D2082)</f>
        <v>37873</v>
      </c>
      <c r="K2082">
        <f t="shared" si="32"/>
        <v>19</v>
      </c>
    </row>
    <row r="2083" spans="1:11" x14ac:dyDescent="0.35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 s="15">
        <v>33707.550000000003</v>
      </c>
      <c r="G2083" t="s">
        <v>11</v>
      </c>
      <c r="H2083" t="s">
        <v>11</v>
      </c>
      <c r="I2083" t="s">
        <v>42</v>
      </c>
      <c r="J2083" s="11">
        <f>DATE(B2083,MATCH(C2083,{"Jan","Feb","Mar","Apr","May","Jun","Jul","Aug","Sep","Oct","Nov","Dec"},0),D2083)</f>
        <v>34301</v>
      </c>
      <c r="K2083">
        <f t="shared" si="32"/>
        <v>29</v>
      </c>
    </row>
    <row r="2084" spans="1:11" x14ac:dyDescent="0.35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 s="15">
        <v>33732.69</v>
      </c>
      <c r="G2084" t="s">
        <v>16</v>
      </c>
      <c r="H2084" t="s">
        <v>16</v>
      </c>
      <c r="I2084" t="s">
        <v>356</v>
      </c>
      <c r="J2084" s="11">
        <f>DATE(B2084,MATCH(C2084,{"Jan","Feb","Mar","Apr","May","Jun","Jul","Aug","Sep","Oct","Nov","Dec"},0),D2084)</f>
        <v>38292</v>
      </c>
      <c r="K2084">
        <f t="shared" si="32"/>
        <v>18</v>
      </c>
    </row>
    <row r="2085" spans="1:11" x14ac:dyDescent="0.35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 s="15">
        <v>33750.29</v>
      </c>
      <c r="G2085" t="s">
        <v>16</v>
      </c>
      <c r="H2085" t="s">
        <v>12</v>
      </c>
      <c r="I2085" t="s">
        <v>23</v>
      </c>
      <c r="J2085" s="11">
        <f>DATE(B2085,MATCH(C2085,{"Jan","Feb","Mar","Apr","May","Jun","Jul","Aug","Sep","Oct","Nov","Dec"},0),D2085)</f>
        <v>37876</v>
      </c>
      <c r="K2085">
        <f t="shared" si="32"/>
        <v>19</v>
      </c>
    </row>
    <row r="2086" spans="1:11" x14ac:dyDescent="0.35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 s="15">
        <v>33753.32</v>
      </c>
      <c r="G2086" t="s">
        <v>16</v>
      </c>
      <c r="H2086" t="s">
        <v>12</v>
      </c>
      <c r="I2086" t="s">
        <v>42</v>
      </c>
      <c r="J2086" s="11">
        <f>DATE(B2086,MATCH(C2086,{"Jan","Feb","Mar","Apr","May","Jun","Jul","Aug","Sep","Oct","Nov","Dec"},0),D2086)</f>
        <v>22991</v>
      </c>
      <c r="K2086">
        <f t="shared" si="32"/>
        <v>60</v>
      </c>
    </row>
    <row r="2087" spans="1:11" x14ac:dyDescent="0.35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 s="15">
        <v>33829.39</v>
      </c>
      <c r="G2087" t="s">
        <v>11</v>
      </c>
      <c r="H2087" t="s">
        <v>12</v>
      </c>
      <c r="I2087" t="s">
        <v>42</v>
      </c>
      <c r="J2087" s="11">
        <f>DATE(B2087,MATCH(C2087,{"Jan","Feb","Mar","Apr","May","Jun","Jul","Aug","Sep","Oct","Nov","Dec"},0),D2087)</f>
        <v>36825</v>
      </c>
      <c r="K2087">
        <f t="shared" si="32"/>
        <v>22</v>
      </c>
    </row>
    <row r="2088" spans="1:11" x14ac:dyDescent="0.35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 s="15">
        <v>33900.65</v>
      </c>
      <c r="G2088" t="s">
        <v>11</v>
      </c>
      <c r="H2088" t="s">
        <v>12</v>
      </c>
      <c r="I2088" t="s">
        <v>42</v>
      </c>
      <c r="J2088" s="11">
        <f>DATE(B2088,MATCH(C2088,{"Jan","Feb","Mar","Apr","May","Jun","Jul","Aug","Sep","Oct","Nov","Dec"},0),D2088)</f>
        <v>35651</v>
      </c>
      <c r="K2088">
        <f t="shared" si="32"/>
        <v>25</v>
      </c>
    </row>
    <row r="2089" spans="1:11" x14ac:dyDescent="0.35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 s="15">
        <v>33907.550000000003</v>
      </c>
      <c r="G2089" t="s">
        <v>11</v>
      </c>
      <c r="H2089" t="s">
        <v>11</v>
      </c>
      <c r="I2089" t="s">
        <v>23</v>
      </c>
      <c r="J2089" s="11">
        <f>DATE(B2089,MATCH(C2089,{"Jan","Feb","Mar","Apr","May","Jun","Jul","Aug","Sep","Oct","Nov","Dec"},0),D2089)</f>
        <v>36887</v>
      </c>
      <c r="K2089">
        <f t="shared" si="32"/>
        <v>22</v>
      </c>
    </row>
    <row r="2090" spans="1:11" x14ac:dyDescent="0.35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 s="15">
        <v>33975.47</v>
      </c>
      <c r="G2090" t="s">
        <v>11</v>
      </c>
      <c r="H2090" t="s">
        <v>11</v>
      </c>
      <c r="I2090" t="s">
        <v>42</v>
      </c>
      <c r="J2090" s="11">
        <f>DATE(B2090,MATCH(C2090,{"Jan","Feb","Mar","Apr","May","Jun","Jul","Aug","Sep","Oct","Nov","Dec"},0),D2090)</f>
        <v>34602</v>
      </c>
      <c r="K2090">
        <f t="shared" si="32"/>
        <v>28</v>
      </c>
    </row>
    <row r="2091" spans="1:11" x14ac:dyDescent="0.35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 s="15">
        <v>34053.360000000001</v>
      </c>
      <c r="G2091" t="s">
        <v>11</v>
      </c>
      <c r="H2091" t="s">
        <v>11</v>
      </c>
      <c r="I2091" t="s">
        <v>42</v>
      </c>
      <c r="J2091" s="11">
        <f>DATE(B2091,MATCH(C2091,{"Jan","Feb","Mar","Apr","May","Jun","Jul","Aug","Sep","Oct","Nov","Dec"},0),D2091)</f>
        <v>26506</v>
      </c>
      <c r="K2091">
        <f t="shared" si="32"/>
        <v>50</v>
      </c>
    </row>
    <row r="2092" spans="1:11" x14ac:dyDescent="0.35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 s="15">
        <v>34084.68</v>
      </c>
      <c r="G2092" t="s">
        <v>11</v>
      </c>
      <c r="H2092" t="s">
        <v>12</v>
      </c>
      <c r="I2092" t="s">
        <v>42</v>
      </c>
      <c r="J2092" s="11">
        <f>DATE(B2092,MATCH(C2092,{"Jan","Feb","Mar","Apr","May","Jun","Jul","Aug","Sep","Oct","Nov","Dec"},0),D2092)</f>
        <v>37616</v>
      </c>
      <c r="K2092">
        <f t="shared" si="32"/>
        <v>20</v>
      </c>
    </row>
    <row r="2093" spans="1:11" x14ac:dyDescent="0.35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 s="15">
        <v>34166.269999999997</v>
      </c>
      <c r="G2093" t="s">
        <v>11</v>
      </c>
      <c r="H2093" t="s">
        <v>12</v>
      </c>
      <c r="I2093" t="s">
        <v>42</v>
      </c>
      <c r="J2093" s="11">
        <f>DATE(B2093,MATCH(C2093,{"Jan","Feb","Mar","Apr","May","Jun","Jul","Aug","Sep","Oct","Nov","Dec"},0),D2093)</f>
        <v>36470</v>
      </c>
      <c r="K2093">
        <f t="shared" si="32"/>
        <v>23</v>
      </c>
    </row>
    <row r="2094" spans="1:11" x14ac:dyDescent="0.35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 s="15">
        <v>34205.07</v>
      </c>
      <c r="G2094" t="s">
        <v>11</v>
      </c>
      <c r="H2094" t="s">
        <v>11</v>
      </c>
      <c r="I2094" t="s">
        <v>42</v>
      </c>
      <c r="J2094" s="11">
        <f>DATE(B2094,MATCH(C2094,{"Jan","Feb","Mar","Apr","May","Jun","Jul","Aug","Sep","Oct","Nov","Dec"},0),D2094)</f>
        <v>26170</v>
      </c>
      <c r="K2094">
        <f t="shared" si="32"/>
        <v>51</v>
      </c>
    </row>
    <row r="2095" spans="1:11" x14ac:dyDescent="0.35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 s="15">
        <v>34210.33</v>
      </c>
      <c r="G2095" t="s">
        <v>11</v>
      </c>
      <c r="H2095" t="s">
        <v>16</v>
      </c>
      <c r="I2095" t="s">
        <v>23</v>
      </c>
      <c r="J2095" s="11">
        <f>DATE(B2095,MATCH(C2095,{"Jan","Feb","Mar","Apr","May","Jun","Jul","Aug","Sep","Oct","Nov","Dec"},0),D2095)</f>
        <v>27596</v>
      </c>
      <c r="K2095">
        <f t="shared" si="32"/>
        <v>47</v>
      </c>
    </row>
    <row r="2096" spans="1:11" x14ac:dyDescent="0.35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 s="15">
        <v>34218.019999999997</v>
      </c>
      <c r="G2096" t="s">
        <v>16</v>
      </c>
      <c r="H2096" t="s">
        <v>16</v>
      </c>
      <c r="I2096" t="s">
        <v>42</v>
      </c>
      <c r="J2096" s="11">
        <f>DATE(B2096,MATCH(C2096,{"Jan","Feb","Mar","Apr","May","Jun","Jul","Aug","Sep","Oct","Nov","Dec"},0),D2096)</f>
        <v>22832</v>
      </c>
      <c r="K2096">
        <f t="shared" si="32"/>
        <v>60</v>
      </c>
    </row>
    <row r="2097" spans="1:11" x14ac:dyDescent="0.35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 s="15">
        <v>34254.050000000003</v>
      </c>
      <c r="G2097" t="s">
        <v>16</v>
      </c>
      <c r="H2097" t="s">
        <v>12</v>
      </c>
      <c r="I2097" t="s">
        <v>166</v>
      </c>
      <c r="J2097" s="11">
        <f>DATE(B2097,MATCH(C2097,{"Jan","Feb","Mar","Apr","May","Jun","Jul","Aug","Sep","Oct","Nov","Dec"},0),D2097)</f>
        <v>35957</v>
      </c>
      <c r="K2097">
        <f t="shared" si="32"/>
        <v>24</v>
      </c>
    </row>
    <row r="2098" spans="1:11" x14ac:dyDescent="0.35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 s="15">
        <v>34289.43</v>
      </c>
      <c r="G2098" t="s">
        <v>16</v>
      </c>
      <c r="H2098" t="s">
        <v>16</v>
      </c>
      <c r="I2098" t="s">
        <v>42</v>
      </c>
      <c r="J2098" s="11">
        <f>DATE(B2098,MATCH(C2098,{"Jan","Feb","Mar","Apr","May","Jun","Jul","Aug","Sep","Oct","Nov","Dec"},0),D2098)</f>
        <v>35002</v>
      </c>
      <c r="K2098">
        <f t="shared" si="32"/>
        <v>27</v>
      </c>
    </row>
    <row r="2099" spans="1:11" x14ac:dyDescent="0.35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 s="15">
        <v>34293.120000000003</v>
      </c>
      <c r="G2099" t="s">
        <v>16</v>
      </c>
      <c r="H2099" t="s">
        <v>11</v>
      </c>
      <c r="I2099" t="s">
        <v>42</v>
      </c>
      <c r="J2099" s="11">
        <f>DATE(B2099,MATCH(C2099,{"Jan","Feb","Mar","Apr","May","Jun","Jul","Aug","Sep","Oct","Nov","Dec"},0),D2099)</f>
        <v>31696</v>
      </c>
      <c r="K2099">
        <f t="shared" si="32"/>
        <v>36</v>
      </c>
    </row>
    <row r="2100" spans="1:11" x14ac:dyDescent="0.35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 s="15">
        <v>34303.17</v>
      </c>
      <c r="G2100" t="s">
        <v>16</v>
      </c>
      <c r="H2100" t="s">
        <v>12</v>
      </c>
      <c r="I2100" t="s">
        <v>13</v>
      </c>
      <c r="J2100" s="11">
        <f>DATE(B2100,MATCH(C2100,{"Jan","Feb","Mar","Apr","May","Jun","Jul","Aug","Sep","Oct","Nov","Dec"},0),D2100)</f>
        <v>38292</v>
      </c>
      <c r="K2100">
        <f t="shared" si="32"/>
        <v>18</v>
      </c>
    </row>
    <row r="2101" spans="1:11" x14ac:dyDescent="0.35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 s="15">
        <v>34307.22</v>
      </c>
      <c r="G2101" t="s">
        <v>11</v>
      </c>
      <c r="H2101" t="s">
        <v>11</v>
      </c>
      <c r="I2101" t="s">
        <v>23</v>
      </c>
      <c r="J2101" s="11">
        <f>DATE(B2101,MATCH(C2101,{"Jan","Feb","Mar","Apr","May","Jun","Jul","Aug","Sep","Oct","Nov","Dec"},0),D2101)</f>
        <v>30591</v>
      </c>
      <c r="K2101">
        <f t="shared" si="32"/>
        <v>39</v>
      </c>
    </row>
    <row r="2102" spans="1:11" x14ac:dyDescent="0.35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 s="15">
        <v>34402.22</v>
      </c>
      <c r="G2102" t="s">
        <v>11</v>
      </c>
      <c r="H2102" t="s">
        <v>12</v>
      </c>
      <c r="I2102" t="s">
        <v>42</v>
      </c>
      <c r="J2102" s="11">
        <f>DATE(B2102,MATCH(C2102,{"Jan","Feb","Mar","Apr","May","Jun","Jul","Aug","Sep","Oct","Nov","Dec"},0),D2102)</f>
        <v>30956</v>
      </c>
      <c r="K2102">
        <f t="shared" si="32"/>
        <v>38</v>
      </c>
    </row>
    <row r="2103" spans="1:11" x14ac:dyDescent="0.35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 s="15">
        <v>34439.86</v>
      </c>
      <c r="G2103" t="s">
        <v>11</v>
      </c>
      <c r="H2103" t="s">
        <v>16</v>
      </c>
      <c r="I2103" t="s">
        <v>13</v>
      </c>
      <c r="J2103" s="11">
        <f>DATE(B2103,MATCH(C2103,{"Jan","Feb","Mar","Apr","May","Jun","Jul","Aug","Sep","Oct","Nov","Dec"},0),D2103)</f>
        <v>37899</v>
      </c>
      <c r="K2103">
        <f t="shared" si="32"/>
        <v>19</v>
      </c>
    </row>
    <row r="2104" spans="1:11" x14ac:dyDescent="0.35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 s="15">
        <v>34456.269999999997</v>
      </c>
      <c r="G2104" t="s">
        <v>16</v>
      </c>
      <c r="H2104" t="s">
        <v>11</v>
      </c>
      <c r="I2104" t="s">
        <v>42</v>
      </c>
      <c r="J2104" s="11">
        <f>DATE(B2104,MATCH(C2104,{"Jan","Feb","Mar","Apr","May","Jun","Jul","Aug","Sep","Oct","Nov","Dec"},0),D2104)</f>
        <v>33140</v>
      </c>
      <c r="K2104">
        <f t="shared" si="32"/>
        <v>32</v>
      </c>
    </row>
    <row r="2105" spans="1:11" x14ac:dyDescent="0.35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 s="15">
        <v>34472.839999999997</v>
      </c>
      <c r="G2105" t="s">
        <v>16</v>
      </c>
      <c r="H2105" t="s">
        <v>12</v>
      </c>
      <c r="I2105" t="s">
        <v>42</v>
      </c>
      <c r="J2105" s="11">
        <f>DATE(B2105,MATCH(C2105,{"Jan","Feb","Mar","Apr","May","Jun","Jul","Aug","Sep","Oct","Nov","Dec"},0),D2105)</f>
        <v>35970</v>
      </c>
      <c r="K2105">
        <f t="shared" si="32"/>
        <v>24</v>
      </c>
    </row>
    <row r="2106" spans="1:11" x14ac:dyDescent="0.35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 s="15">
        <v>34543.39</v>
      </c>
      <c r="G2106" t="s">
        <v>11</v>
      </c>
      <c r="H2106" t="s">
        <v>12</v>
      </c>
      <c r="I2106" t="s">
        <v>42</v>
      </c>
      <c r="J2106" s="11">
        <f>DATE(B2106,MATCH(C2106,{"Jan","Feb","Mar","Apr","May","Jun","Jul","Aug","Sep","Oct","Nov","Dec"},0),D2106)</f>
        <v>28089</v>
      </c>
      <c r="K2106">
        <f t="shared" si="32"/>
        <v>46</v>
      </c>
    </row>
    <row r="2107" spans="1:11" x14ac:dyDescent="0.35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 s="15">
        <v>34617.839999999997</v>
      </c>
      <c r="G2107" t="s">
        <v>16</v>
      </c>
      <c r="H2107" t="s">
        <v>12</v>
      </c>
      <c r="I2107" t="s">
        <v>168</v>
      </c>
      <c r="J2107" s="11">
        <f>DATE(B2107,MATCH(C2107,{"Jan","Feb","Mar","Apr","May","Jun","Jul","Aug","Sep","Oct","Nov","Dec"},0),D2107)</f>
        <v>38269</v>
      </c>
      <c r="K2107">
        <f t="shared" si="32"/>
        <v>18</v>
      </c>
    </row>
    <row r="2108" spans="1:11" x14ac:dyDescent="0.35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 s="15">
        <v>34672.15</v>
      </c>
      <c r="G2108" t="s">
        <v>16</v>
      </c>
      <c r="H2108" t="s">
        <v>12</v>
      </c>
      <c r="I2108" t="s">
        <v>13</v>
      </c>
      <c r="J2108" s="11">
        <f>DATE(B2108,MATCH(C2108,{"Jan","Feb","Mar","Apr","May","Jun","Jul","Aug","Sep","Oct","Nov","Dec"},0),D2108)</f>
        <v>34522</v>
      </c>
      <c r="K2108">
        <f t="shared" si="32"/>
        <v>28</v>
      </c>
    </row>
    <row r="2109" spans="1:11" x14ac:dyDescent="0.35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 s="15">
        <v>34779.620000000003</v>
      </c>
      <c r="G2109" t="s">
        <v>16</v>
      </c>
      <c r="H2109" t="s">
        <v>11</v>
      </c>
      <c r="I2109" t="s">
        <v>42</v>
      </c>
      <c r="J2109" s="11">
        <f>DATE(B2109,MATCH(C2109,{"Jan","Feb","Mar","Apr","May","Jun","Jul","Aug","Sep","Oct","Nov","Dec"},0),D2109)</f>
        <v>37805</v>
      </c>
      <c r="K2109">
        <f t="shared" si="32"/>
        <v>19</v>
      </c>
    </row>
    <row r="2110" spans="1:11" x14ac:dyDescent="0.35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 s="15">
        <v>34806.47</v>
      </c>
      <c r="G2110" t="s">
        <v>16</v>
      </c>
      <c r="H2110" t="s">
        <v>11</v>
      </c>
      <c r="I2110" t="s">
        <v>13</v>
      </c>
      <c r="J2110" s="11">
        <f>DATE(B2110,MATCH(C2110,{"Jan","Feb","Mar","Apr","May","Jun","Jul","Aug","Sep","Oct","Nov","Dec"},0),D2110)</f>
        <v>35060</v>
      </c>
      <c r="K2110">
        <f t="shared" si="32"/>
        <v>27</v>
      </c>
    </row>
    <row r="2111" spans="1:11" x14ac:dyDescent="0.35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 s="15">
        <v>34828.65</v>
      </c>
      <c r="G2111" t="s">
        <v>16</v>
      </c>
      <c r="H2111" t="s">
        <v>12</v>
      </c>
      <c r="I2111" t="s">
        <v>42</v>
      </c>
      <c r="J2111" s="11">
        <f>DATE(B2111,MATCH(C2111,{"Jan","Feb","Mar","Apr","May","Jun","Jul","Aug","Sep","Oct","Nov","Dec"},0),D2111)</f>
        <v>37881</v>
      </c>
      <c r="K2111">
        <f t="shared" si="32"/>
        <v>19</v>
      </c>
    </row>
    <row r="2112" spans="1:11" x14ac:dyDescent="0.35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 s="15">
        <v>34838.870000000003</v>
      </c>
      <c r="G2112" t="s">
        <v>11</v>
      </c>
      <c r="H2112" t="s">
        <v>12</v>
      </c>
      <c r="I2112" t="s">
        <v>42</v>
      </c>
      <c r="J2112" s="11">
        <f>DATE(B2112,MATCH(C2112,{"Jan","Feb","Mar","Apr","May","Jun","Jul","Aug","Sep","Oct","Nov","Dec"},0),D2112)</f>
        <v>34989</v>
      </c>
      <c r="K2112">
        <f t="shared" si="32"/>
        <v>27</v>
      </c>
    </row>
    <row r="2113" spans="1:11" x14ac:dyDescent="0.35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 s="15">
        <v>34940.61</v>
      </c>
      <c r="G2113" t="s">
        <v>11</v>
      </c>
      <c r="H2113" t="s">
        <v>12</v>
      </c>
      <c r="I2113" t="s">
        <v>42</v>
      </c>
      <c r="J2113" s="11">
        <f>DATE(B2113,MATCH(C2113,{"Jan","Feb","Mar","Apr","May","Jun","Jul","Aug","Sep","Oct","Nov","Dec"},0),D2113)</f>
        <v>30526</v>
      </c>
      <c r="K2113">
        <f t="shared" si="32"/>
        <v>39</v>
      </c>
    </row>
    <row r="2114" spans="1:11" x14ac:dyDescent="0.35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 s="15">
        <v>34975.68</v>
      </c>
      <c r="G2114" t="s">
        <v>11</v>
      </c>
      <c r="H2114" t="s">
        <v>11</v>
      </c>
      <c r="I2114" t="s">
        <v>42</v>
      </c>
      <c r="J2114" s="11">
        <f>DATE(B2114,MATCH(C2114,{"Jan","Feb","Mar","Apr","May","Jun","Jul","Aug","Sep","Oct","Nov","Dec"},0),D2114)</f>
        <v>24752</v>
      </c>
      <c r="K2114">
        <f t="shared" si="32"/>
        <v>55</v>
      </c>
    </row>
    <row r="2115" spans="1:11" x14ac:dyDescent="0.35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 s="15">
        <v>34976.42</v>
      </c>
      <c r="G2115" t="s">
        <v>11</v>
      </c>
      <c r="H2115" t="s">
        <v>16</v>
      </c>
      <c r="I2115" t="s">
        <v>42</v>
      </c>
      <c r="J2115" s="11">
        <f>DATE(B2115,MATCH(C2115,{"Jan","Feb","Mar","Apr","May","Jun","Jul","Aug","Sep","Oct","Nov","Dec"},0),D2115)</f>
        <v>36029</v>
      </c>
      <c r="K2115">
        <f t="shared" ref="K2115:K2178" si="33">DATEDIF(J2115,$N$1,"Y")</f>
        <v>24</v>
      </c>
    </row>
    <row r="2116" spans="1:11" x14ac:dyDescent="0.35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 s="15">
        <v>34979.86</v>
      </c>
      <c r="G2116" t="s">
        <v>11</v>
      </c>
      <c r="H2116" t="s">
        <v>11</v>
      </c>
      <c r="I2116" t="s">
        <v>42</v>
      </c>
      <c r="J2116" s="11">
        <f>DATE(B2116,MATCH(C2116,{"Jan","Feb","Mar","Apr","May","Jun","Jul","Aug","Sep","Oct","Nov","Dec"},0),D2116)</f>
        <v>35664</v>
      </c>
      <c r="K2116">
        <f t="shared" si="33"/>
        <v>25</v>
      </c>
    </row>
    <row r="2117" spans="1:11" x14ac:dyDescent="0.35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 s="15">
        <v>35000.730000000003</v>
      </c>
      <c r="G2117" t="s">
        <v>11</v>
      </c>
      <c r="H2117" t="s">
        <v>12</v>
      </c>
      <c r="I2117" t="s">
        <v>42</v>
      </c>
      <c r="J2117" s="11">
        <f>DATE(B2117,MATCH(C2117,{"Jan","Feb","Mar","Apr","May","Jun","Jul","Aug","Sep","Oct","Nov","Dec"},0),D2117)</f>
        <v>30137</v>
      </c>
      <c r="K2117">
        <f t="shared" si="33"/>
        <v>40</v>
      </c>
    </row>
    <row r="2118" spans="1:11" x14ac:dyDescent="0.35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 s="15">
        <v>35050.620000000003</v>
      </c>
      <c r="G2118" t="s">
        <v>11</v>
      </c>
      <c r="H2118" t="s">
        <v>16</v>
      </c>
      <c r="I2118" t="s">
        <v>42</v>
      </c>
      <c r="J2118" s="11">
        <f>DATE(B2118,MATCH(C2118,{"Jan","Feb","Mar","Apr","May","Jun","Jul","Aug","Sep","Oct","Nov","Dec"},0),D2118)</f>
        <v>27635</v>
      </c>
      <c r="K2118">
        <f t="shared" si="33"/>
        <v>47</v>
      </c>
    </row>
    <row r="2119" spans="1:11" x14ac:dyDescent="0.35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 s="15">
        <v>35069.370000000003</v>
      </c>
      <c r="G2119" t="s">
        <v>16</v>
      </c>
      <c r="H2119" t="s">
        <v>16</v>
      </c>
      <c r="I2119" t="s">
        <v>356</v>
      </c>
      <c r="J2119" s="11">
        <f>DATE(B2119,MATCH(C2119,{"Jan","Feb","Mar","Apr","May","Jun","Jul","Aug","Sep","Oct","Nov","Dec"},0),D2119)</f>
        <v>28305</v>
      </c>
      <c r="K2119">
        <f t="shared" si="33"/>
        <v>45</v>
      </c>
    </row>
    <row r="2120" spans="1:11" x14ac:dyDescent="0.35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 s="15">
        <v>35147.53</v>
      </c>
      <c r="G2120" t="s">
        <v>16</v>
      </c>
      <c r="H2120" t="s">
        <v>16</v>
      </c>
      <c r="I2120" t="s">
        <v>168</v>
      </c>
      <c r="J2120" s="11">
        <f>DATE(B2120,MATCH(C2120,{"Jan","Feb","Mar","Apr","May","Jun","Jul","Aug","Sep","Oct","Nov","Dec"},0),D2120)</f>
        <v>36151</v>
      </c>
      <c r="K2120">
        <f t="shared" si="33"/>
        <v>24</v>
      </c>
    </row>
    <row r="2121" spans="1:11" x14ac:dyDescent="0.35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 s="15">
        <v>35160.129999999997</v>
      </c>
      <c r="G2121" t="s">
        <v>11</v>
      </c>
      <c r="H2121" t="s">
        <v>11</v>
      </c>
      <c r="I2121" t="s">
        <v>42</v>
      </c>
      <c r="J2121" s="11">
        <f>DATE(B2121,MATCH(C2121,{"Jan","Feb","Mar","Apr","May","Jun","Jul","Aug","Sep","Oct","Nov","Dec"},0),D2121)</f>
        <v>24836</v>
      </c>
      <c r="K2121">
        <f t="shared" si="33"/>
        <v>55</v>
      </c>
    </row>
    <row r="2122" spans="1:11" x14ac:dyDescent="0.35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 s="15">
        <v>35302.089999999997</v>
      </c>
      <c r="G2122" t="s">
        <v>16</v>
      </c>
      <c r="H2122" t="s">
        <v>11</v>
      </c>
      <c r="I2122" t="s">
        <v>42</v>
      </c>
      <c r="J2122" s="11">
        <f>DATE(B2122,MATCH(C2122,{"Jan","Feb","Mar","Apr","May","Jun","Jul","Aug","Sep","Oct","Nov","Dec"},0),D2122)</f>
        <v>35620</v>
      </c>
      <c r="K2122">
        <f t="shared" si="33"/>
        <v>25</v>
      </c>
    </row>
    <row r="2123" spans="1:11" x14ac:dyDescent="0.35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 s="15">
        <v>35315.96</v>
      </c>
      <c r="G2123" t="s">
        <v>11</v>
      </c>
      <c r="H2123" t="s">
        <v>16</v>
      </c>
      <c r="I2123" t="s">
        <v>42</v>
      </c>
      <c r="J2123" s="11">
        <f>DATE(B2123,MATCH(C2123,{"Jan","Feb","Mar","Apr","May","Jun","Jul","Aug","Sep","Oct","Nov","Dec"},0),D2123)</f>
        <v>32405</v>
      </c>
      <c r="K2123">
        <f t="shared" si="33"/>
        <v>34</v>
      </c>
    </row>
    <row r="2124" spans="1:11" x14ac:dyDescent="0.35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 s="15">
        <v>35345.730000000003</v>
      </c>
      <c r="G2124" t="s">
        <v>11</v>
      </c>
      <c r="H2124" t="s">
        <v>12</v>
      </c>
      <c r="I2124" t="s">
        <v>42</v>
      </c>
      <c r="J2124" s="11">
        <f>DATE(B2124,MATCH(C2124,{"Jan","Feb","Mar","Apr","May","Jun","Jul","Aug","Sep","Oct","Nov","Dec"},0),D2124)</f>
        <v>26198</v>
      </c>
      <c r="K2124">
        <f t="shared" si="33"/>
        <v>51</v>
      </c>
    </row>
    <row r="2125" spans="1:11" x14ac:dyDescent="0.35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 s="15">
        <v>35491.64</v>
      </c>
      <c r="G2125" t="s">
        <v>16</v>
      </c>
      <c r="H2125" t="s">
        <v>11</v>
      </c>
      <c r="I2125" t="s">
        <v>42</v>
      </c>
      <c r="J2125" s="11">
        <f>DATE(B2125,MATCH(C2125,{"Jan","Feb","Mar","Apr","May","Jun","Jul","Aug","Sep","Oct","Nov","Dec"},0),D2125)</f>
        <v>32467</v>
      </c>
      <c r="K2125">
        <f t="shared" si="33"/>
        <v>34</v>
      </c>
    </row>
    <row r="2126" spans="1:11" x14ac:dyDescent="0.35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 s="15">
        <v>35517.19</v>
      </c>
      <c r="G2126" t="s">
        <v>11</v>
      </c>
      <c r="H2126" t="s">
        <v>11</v>
      </c>
      <c r="I2126" t="s">
        <v>42</v>
      </c>
      <c r="J2126" s="11">
        <f>DATE(B2126,MATCH(C2126,{"Jan","Feb","Mar","Apr","May","Jun","Jul","Aug","Sep","Oct","Nov","Dec"},0),D2126)</f>
        <v>27014</v>
      </c>
      <c r="K2126">
        <f t="shared" si="33"/>
        <v>49</v>
      </c>
    </row>
    <row r="2127" spans="1:11" x14ac:dyDescent="0.35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 s="15">
        <v>35547.47</v>
      </c>
      <c r="G2127" t="s">
        <v>11</v>
      </c>
      <c r="H2127" t="s">
        <v>12</v>
      </c>
      <c r="I2127" t="s">
        <v>42</v>
      </c>
      <c r="J2127" s="11">
        <f>DATE(B2127,MATCH(C2127,{"Jan","Feb","Mar","Apr","May","Jun","Jul","Aug","Sep","Oct","Nov","Dec"},0),D2127)</f>
        <v>33860</v>
      </c>
      <c r="K2127">
        <f t="shared" si="33"/>
        <v>30</v>
      </c>
    </row>
    <row r="2128" spans="1:11" x14ac:dyDescent="0.35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 s="15">
        <v>35547.72</v>
      </c>
      <c r="G2128" t="s">
        <v>16</v>
      </c>
      <c r="H2128" t="s">
        <v>16</v>
      </c>
      <c r="I2128" t="s">
        <v>42</v>
      </c>
      <c r="J2128" s="11">
        <f>DATE(B2128,MATCH(C2128,{"Jan","Feb","Mar","Apr","May","Jun","Jul","Aug","Sep","Oct","Nov","Dec"},0),D2128)</f>
        <v>26964</v>
      </c>
      <c r="K2128">
        <f t="shared" si="33"/>
        <v>49</v>
      </c>
    </row>
    <row r="2129" spans="1:11" x14ac:dyDescent="0.35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 s="15">
        <v>35573.26</v>
      </c>
      <c r="G2129" t="s">
        <v>11</v>
      </c>
      <c r="H2129" t="s">
        <v>16</v>
      </c>
      <c r="I2129" t="s">
        <v>42</v>
      </c>
      <c r="J2129" s="11">
        <f>DATE(B2129,MATCH(C2129,{"Jan","Feb","Mar","Apr","May","Jun","Jul","Aug","Sep","Oct","Nov","Dec"},0),D2129)</f>
        <v>23618</v>
      </c>
      <c r="K2129">
        <f t="shared" si="33"/>
        <v>58</v>
      </c>
    </row>
    <row r="2130" spans="1:11" x14ac:dyDescent="0.35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 s="15">
        <v>35583.17</v>
      </c>
      <c r="G2130" t="s">
        <v>16</v>
      </c>
      <c r="H2130" t="s">
        <v>12</v>
      </c>
      <c r="I2130" t="s">
        <v>42</v>
      </c>
      <c r="J2130" s="11">
        <f>DATE(B2130,MATCH(C2130,{"Jan","Feb","Mar","Apr","May","Jun","Jul","Aug","Sep","Oct","Nov","Dec"},0),D2130)</f>
        <v>26155</v>
      </c>
      <c r="K2130">
        <f t="shared" si="33"/>
        <v>51</v>
      </c>
    </row>
    <row r="2131" spans="1:11" x14ac:dyDescent="0.35">
      <c r="A2131" t="s">
        <v>31</v>
      </c>
      <c r="B2131">
        <v>2000</v>
      </c>
      <c r="C2131" t="s">
        <v>37</v>
      </c>
      <c r="D2131">
        <v>13</v>
      </c>
      <c r="E2131">
        <v>0</v>
      </c>
      <c r="F2131" s="15">
        <v>35585.58</v>
      </c>
      <c r="G2131" t="s">
        <v>16</v>
      </c>
      <c r="H2131" t="s">
        <v>11</v>
      </c>
      <c r="I2131" t="s">
        <v>42</v>
      </c>
      <c r="J2131" s="11">
        <f>DATE(B2131,MATCH(C2131,{"Jan","Feb","Mar","Apr","May","Jun","Jul","Aug","Sep","Oct","Nov","Dec"},0),D2131)</f>
        <v>36812</v>
      </c>
      <c r="K2131">
        <f t="shared" si="33"/>
        <v>22</v>
      </c>
    </row>
    <row r="2132" spans="1:11" x14ac:dyDescent="0.35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 s="15">
        <v>35585.58</v>
      </c>
      <c r="G2132" t="s">
        <v>11</v>
      </c>
      <c r="H2132" t="s">
        <v>12</v>
      </c>
      <c r="I2132" t="s">
        <v>42</v>
      </c>
      <c r="J2132" s="11">
        <f>DATE(B2132,MATCH(C2132,{"Jan","Feb","Mar","Apr","May","Jun","Jul","Aug","Sep","Oct","Nov","Dec"},0),D2132)</f>
        <v>36849</v>
      </c>
      <c r="K2132">
        <f t="shared" si="33"/>
        <v>22</v>
      </c>
    </row>
    <row r="2133" spans="1:11" x14ac:dyDescent="0.35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 s="15">
        <v>35595.589999999997</v>
      </c>
      <c r="G2133" t="s">
        <v>11</v>
      </c>
      <c r="H2133" t="s">
        <v>12</v>
      </c>
      <c r="I2133" t="s">
        <v>13</v>
      </c>
      <c r="J2133" s="11">
        <f>DATE(B2133,MATCH(C2133,{"Jan","Feb","Mar","Apr","May","Jun","Jul","Aug","Sep","Oct","Nov","Dec"},0),D2133)</f>
        <v>36877</v>
      </c>
      <c r="K2133">
        <f t="shared" si="33"/>
        <v>22</v>
      </c>
    </row>
    <row r="2134" spans="1:11" x14ac:dyDescent="0.35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 s="15">
        <v>35701.9</v>
      </c>
      <c r="G2134" t="s">
        <v>11</v>
      </c>
      <c r="H2134" t="s">
        <v>16</v>
      </c>
      <c r="I2134" t="s">
        <v>42</v>
      </c>
      <c r="J2134" s="11">
        <f>DATE(B2134,MATCH(C2134,{"Jan","Feb","Mar","Apr","May","Jun","Jul","Aug","Sep","Oct","Nov","Dec"},0),D2134)</f>
        <v>28843</v>
      </c>
      <c r="K2134">
        <f t="shared" si="33"/>
        <v>44</v>
      </c>
    </row>
    <row r="2135" spans="1:11" x14ac:dyDescent="0.35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 s="15">
        <v>35711.39</v>
      </c>
      <c r="G2135" t="s">
        <v>11</v>
      </c>
      <c r="H2135" t="s">
        <v>12</v>
      </c>
      <c r="I2135" t="s">
        <v>23</v>
      </c>
      <c r="J2135" s="11">
        <f>DATE(B2135,MATCH(C2135,{"Jan","Feb","Mar","Apr","May","Jun","Jul","Aug","Sep","Oct","Nov","Dec"},0),D2135)</f>
        <v>27225</v>
      </c>
      <c r="K2135">
        <f t="shared" si="33"/>
        <v>48</v>
      </c>
    </row>
    <row r="2136" spans="1:11" x14ac:dyDescent="0.35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 s="15">
        <v>35733.96</v>
      </c>
      <c r="G2136" t="s">
        <v>11</v>
      </c>
      <c r="H2136" t="s">
        <v>11</v>
      </c>
      <c r="I2136" t="s">
        <v>42</v>
      </c>
      <c r="J2136" s="11">
        <f>DATE(B2136,MATCH(C2136,{"Jan","Feb","Mar","Apr","May","Jun","Jul","Aug","Sep","Oct","Nov","Dec"},0),D2136)</f>
        <v>28037</v>
      </c>
      <c r="K2136">
        <f t="shared" si="33"/>
        <v>46</v>
      </c>
    </row>
    <row r="2137" spans="1:11" x14ac:dyDescent="0.35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 s="15">
        <v>35883.269999999997</v>
      </c>
      <c r="G2137" t="s">
        <v>11</v>
      </c>
      <c r="H2137" t="s">
        <v>16</v>
      </c>
      <c r="I2137" t="s">
        <v>42</v>
      </c>
      <c r="J2137" s="11">
        <f>DATE(B2137,MATCH(C2137,{"Jan","Feb","Mar","Apr","May","Jun","Jul","Aug","Sep","Oct","Nov","Dec"},0),D2137)</f>
        <v>33773</v>
      </c>
      <c r="K2137">
        <f t="shared" si="33"/>
        <v>30</v>
      </c>
    </row>
    <row r="2138" spans="1:11" x14ac:dyDescent="0.35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 s="15">
        <v>35952.65</v>
      </c>
      <c r="G2138" t="s">
        <v>16</v>
      </c>
      <c r="H2138" t="s">
        <v>12</v>
      </c>
      <c r="I2138" t="s">
        <v>42</v>
      </c>
      <c r="J2138" s="11">
        <f>DATE(B2138,MATCH(C2138,{"Jan","Feb","Mar","Apr","May","Jun","Jul","Aug","Sep","Oct","Nov","Dec"},0),D2138)</f>
        <v>29912</v>
      </c>
      <c r="K2138">
        <f t="shared" si="33"/>
        <v>41</v>
      </c>
    </row>
    <row r="2139" spans="1:11" x14ac:dyDescent="0.35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 s="15">
        <v>36021.01</v>
      </c>
      <c r="G2139" t="s">
        <v>11</v>
      </c>
      <c r="H2139" t="s">
        <v>12</v>
      </c>
      <c r="I2139" t="s">
        <v>13</v>
      </c>
      <c r="J2139" s="11">
        <f>DATE(B2139,MATCH(C2139,{"Jan","Feb","Mar","Apr","May","Jun","Jul","Aug","Sep","Oct","Nov","Dec"},0),D2139)</f>
        <v>36407</v>
      </c>
      <c r="K2139">
        <f t="shared" si="33"/>
        <v>23</v>
      </c>
    </row>
    <row r="2140" spans="1:11" x14ac:dyDescent="0.35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 s="15">
        <v>36074.339999999997</v>
      </c>
      <c r="G2140" t="s">
        <v>11</v>
      </c>
      <c r="H2140" t="s">
        <v>16</v>
      </c>
      <c r="I2140" t="s">
        <v>42</v>
      </c>
      <c r="J2140" s="11">
        <f>DATE(B2140,MATCH(C2140,{"Jan","Feb","Mar","Apr","May","Jun","Jul","Aug","Sep","Oct","Nov","Dec"},0),D2140)</f>
        <v>23214</v>
      </c>
      <c r="K2140">
        <f t="shared" si="33"/>
        <v>59</v>
      </c>
    </row>
    <row r="2141" spans="1:11" x14ac:dyDescent="0.35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 s="15">
        <v>36085.22</v>
      </c>
      <c r="G2141" t="s">
        <v>16</v>
      </c>
      <c r="H2141" t="s">
        <v>16</v>
      </c>
      <c r="I2141" t="s">
        <v>42</v>
      </c>
      <c r="J2141" s="11">
        <f>DATE(B2141,MATCH(C2141,{"Jan","Feb","Mar","Apr","May","Jun","Jul","Aug","Sep","Oct","Nov","Dec"},0),D2141)</f>
        <v>35297</v>
      </c>
      <c r="K2141">
        <f t="shared" si="33"/>
        <v>26</v>
      </c>
    </row>
    <row r="2142" spans="1:11" x14ac:dyDescent="0.35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 s="15">
        <v>36090.49</v>
      </c>
      <c r="G2142" t="s">
        <v>11</v>
      </c>
      <c r="H2142" t="s">
        <v>11</v>
      </c>
      <c r="I2142" t="s">
        <v>42</v>
      </c>
      <c r="J2142" s="11">
        <f>DATE(B2142,MATCH(C2142,{"Jan","Feb","Mar","Apr","May","Jun","Jul","Aug","Sep","Oct","Nov","Dec"},0),D2142)</f>
        <v>29163</v>
      </c>
      <c r="K2142">
        <f t="shared" si="33"/>
        <v>43</v>
      </c>
    </row>
    <row r="2143" spans="1:11" x14ac:dyDescent="0.35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 s="15">
        <v>36124.57</v>
      </c>
      <c r="G2143" t="s">
        <v>16</v>
      </c>
      <c r="H2143" t="s">
        <v>12</v>
      </c>
      <c r="I2143" t="s">
        <v>13</v>
      </c>
      <c r="J2143" s="11">
        <f>DATE(B2143,MATCH(C2143,{"Jan","Feb","Mar","Apr","May","Jun","Jul","Aug","Sep","Oct","Nov","Dec"},0),D2143)</f>
        <v>35593</v>
      </c>
      <c r="K2143">
        <f t="shared" si="33"/>
        <v>25</v>
      </c>
    </row>
    <row r="2144" spans="1:11" x14ac:dyDescent="0.35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 s="15">
        <v>36149.480000000003</v>
      </c>
      <c r="G2144" t="s">
        <v>11</v>
      </c>
      <c r="H2144" t="s">
        <v>11</v>
      </c>
      <c r="I2144" t="s">
        <v>13</v>
      </c>
      <c r="J2144" s="11">
        <f>DATE(B2144,MATCH(C2144,{"Jan","Feb","Mar","Apr","May","Jun","Jul","Aug","Sep","Oct","Nov","Dec"},0),D2144)</f>
        <v>38229</v>
      </c>
      <c r="K2144">
        <f t="shared" si="33"/>
        <v>18</v>
      </c>
    </row>
    <row r="2145" spans="1:11" x14ac:dyDescent="0.35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 s="15">
        <v>36182.870000000003</v>
      </c>
      <c r="G2145" t="s">
        <v>11</v>
      </c>
      <c r="H2145" t="s">
        <v>12</v>
      </c>
      <c r="I2145" t="s">
        <v>23</v>
      </c>
      <c r="J2145" s="11">
        <f>DATE(B2145,MATCH(C2145,{"Jan","Feb","Mar","Apr","May","Jun","Jul","Aug","Sep","Oct","Nov","Dec"},0),D2145)</f>
        <v>27369</v>
      </c>
      <c r="K2145">
        <f t="shared" si="33"/>
        <v>48</v>
      </c>
    </row>
    <row r="2146" spans="1:11" x14ac:dyDescent="0.35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 s="15">
        <v>36189.1</v>
      </c>
      <c r="G2146" t="s">
        <v>16</v>
      </c>
      <c r="H2146" t="s">
        <v>12</v>
      </c>
      <c r="I2146" t="s">
        <v>168</v>
      </c>
      <c r="J2146" s="11">
        <f>DATE(B2146,MATCH(C2146,{"Jan","Feb","Mar","Apr","May","Jun","Jul","Aug","Sep","Oct","Nov","Dec"},0),D2146)</f>
        <v>36434</v>
      </c>
      <c r="K2146">
        <f t="shared" si="33"/>
        <v>23</v>
      </c>
    </row>
    <row r="2147" spans="1:11" x14ac:dyDescent="0.35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 s="15">
        <v>36197.699999999997</v>
      </c>
      <c r="G2147" t="s">
        <v>16</v>
      </c>
      <c r="H2147" t="s">
        <v>12</v>
      </c>
      <c r="I2147" t="s">
        <v>42</v>
      </c>
      <c r="J2147" s="11">
        <f>DATE(B2147,MATCH(C2147,{"Jan","Feb","Mar","Apr","May","Jun","Jul","Aug","Sep","Oct","Nov","Dec"},0),D2147)</f>
        <v>34331</v>
      </c>
      <c r="K2147">
        <f t="shared" si="33"/>
        <v>29</v>
      </c>
    </row>
    <row r="2148" spans="1:11" x14ac:dyDescent="0.35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 s="15">
        <v>36219.410000000003</v>
      </c>
      <c r="G2148" t="s">
        <v>16</v>
      </c>
      <c r="H2148" t="s">
        <v>16</v>
      </c>
      <c r="I2148" t="s">
        <v>23</v>
      </c>
      <c r="J2148" s="11">
        <f>DATE(B2148,MATCH(C2148,{"Jan","Feb","Mar","Apr","May","Jun","Jul","Aug","Sep","Oct","Nov","Dec"},0),D2148)</f>
        <v>37869</v>
      </c>
      <c r="K2148">
        <f t="shared" si="33"/>
        <v>19</v>
      </c>
    </row>
    <row r="2149" spans="1:11" x14ac:dyDescent="0.35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 s="15">
        <v>36307.800000000003</v>
      </c>
      <c r="G2149" t="s">
        <v>16</v>
      </c>
      <c r="H2149" t="s">
        <v>11</v>
      </c>
      <c r="I2149" t="s">
        <v>13</v>
      </c>
      <c r="J2149" s="11">
        <f>DATE(B2149,MATCH(C2149,{"Jan","Feb","Mar","Apr","May","Jun","Jul","Aug","Sep","Oct","Nov","Dec"},0),D2149)</f>
        <v>38346</v>
      </c>
      <c r="K2149">
        <f t="shared" si="33"/>
        <v>18</v>
      </c>
    </row>
    <row r="2150" spans="1:11" x14ac:dyDescent="0.35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 s="15">
        <v>36314.050000000003</v>
      </c>
      <c r="G2150" t="s">
        <v>11</v>
      </c>
      <c r="H2150" t="s">
        <v>11</v>
      </c>
      <c r="I2150" t="s">
        <v>42</v>
      </c>
      <c r="J2150" s="11">
        <f>DATE(B2150,MATCH(C2150,{"Jan","Feb","Mar","Apr","May","Jun","Jul","Aug","Sep","Oct","Nov","Dec"},0),D2150)</f>
        <v>33771</v>
      </c>
      <c r="K2150">
        <f t="shared" si="33"/>
        <v>30</v>
      </c>
    </row>
    <row r="2151" spans="1:11" x14ac:dyDescent="0.35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 s="15">
        <v>36332.449999999997</v>
      </c>
      <c r="G2151" t="s">
        <v>16</v>
      </c>
      <c r="H2151" t="s">
        <v>12</v>
      </c>
      <c r="I2151" t="s">
        <v>42</v>
      </c>
      <c r="J2151" s="11">
        <f>DATE(B2151,MATCH(C2151,{"Jan","Feb","Mar","Apr","May","Jun","Jul","Aug","Sep","Oct","Nov","Dec"},0),D2151)</f>
        <v>24763</v>
      </c>
      <c r="K2151">
        <f t="shared" si="33"/>
        <v>55</v>
      </c>
    </row>
    <row r="2152" spans="1:11" x14ac:dyDescent="0.35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 s="15">
        <v>36350.71</v>
      </c>
      <c r="G2152" t="s">
        <v>16</v>
      </c>
      <c r="H2152" t="s">
        <v>11</v>
      </c>
      <c r="I2152" t="s">
        <v>42</v>
      </c>
      <c r="J2152" s="11">
        <f>DATE(B2152,MATCH(C2152,{"Jan","Feb","Mar","Apr","May","Jun","Jul","Aug","Sep","Oct","Nov","Dec"},0),D2152)</f>
        <v>27550</v>
      </c>
      <c r="K2152">
        <f t="shared" si="33"/>
        <v>48</v>
      </c>
    </row>
    <row r="2153" spans="1:11" x14ac:dyDescent="0.35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 s="15">
        <v>36397.58</v>
      </c>
      <c r="G2153" t="s">
        <v>11</v>
      </c>
      <c r="H2153" t="s">
        <v>12</v>
      </c>
      <c r="I2153" t="s">
        <v>42</v>
      </c>
      <c r="J2153" s="11">
        <f>DATE(B2153,MATCH(C2153,{"Jan","Feb","Mar","Apr","May","Jun","Jul","Aug","Sep","Oct","Nov","Dec"},0),D2153)</f>
        <v>37964</v>
      </c>
      <c r="K2153">
        <f t="shared" si="33"/>
        <v>19</v>
      </c>
    </row>
    <row r="2154" spans="1:11" x14ac:dyDescent="0.35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 s="15">
        <v>36445.550000000003</v>
      </c>
      <c r="G2154" t="s">
        <v>11</v>
      </c>
      <c r="H2154" t="s">
        <v>11</v>
      </c>
      <c r="I2154" t="s">
        <v>42</v>
      </c>
      <c r="J2154" s="11">
        <f>DATE(B2154,MATCH(C2154,{"Jan","Feb","Mar","Apr","May","Jun","Jul","Aug","Sep","Oct","Nov","Dec"},0),D2154)</f>
        <v>22969</v>
      </c>
      <c r="K2154">
        <f t="shared" si="33"/>
        <v>60</v>
      </c>
    </row>
    <row r="2155" spans="1:11" x14ac:dyDescent="0.35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 s="15">
        <v>36541.550000000003</v>
      </c>
      <c r="G2155" t="s">
        <v>11</v>
      </c>
      <c r="H2155" t="s">
        <v>12</v>
      </c>
      <c r="I2155" t="s">
        <v>42</v>
      </c>
      <c r="J2155" s="11">
        <f>DATE(B2155,MATCH(C2155,{"Jan","Feb","Mar","Apr","May","Jun","Jul","Aug","Sep","Oct","Nov","Dec"},0),D2155)</f>
        <v>26885</v>
      </c>
      <c r="K2155">
        <f t="shared" si="33"/>
        <v>49</v>
      </c>
    </row>
    <row r="2156" spans="1:11" x14ac:dyDescent="0.35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 s="15">
        <v>36572.800000000003</v>
      </c>
      <c r="G2156" t="s">
        <v>16</v>
      </c>
      <c r="H2156" t="s">
        <v>11</v>
      </c>
      <c r="I2156" t="s">
        <v>42</v>
      </c>
      <c r="J2156" s="11">
        <f>DATE(B2156,MATCH(C2156,{"Jan","Feb","Mar","Apr","May","Jun","Jul","Aug","Sep","Oct","Nov","Dec"},0),D2156)</f>
        <v>33886</v>
      </c>
      <c r="K2156">
        <f t="shared" si="33"/>
        <v>30</v>
      </c>
    </row>
    <row r="2157" spans="1:11" x14ac:dyDescent="0.35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 s="15">
        <v>36580.28</v>
      </c>
      <c r="G2157" t="s">
        <v>11</v>
      </c>
      <c r="H2157" t="s">
        <v>11</v>
      </c>
      <c r="I2157" t="s">
        <v>13</v>
      </c>
      <c r="J2157" s="11">
        <f>DATE(B2157,MATCH(C2157,{"Jan","Feb","Mar","Apr","May","Jun","Jul","Aug","Sep","Oct","Nov","Dec"},0),D2157)</f>
        <v>22491</v>
      </c>
      <c r="K2157">
        <f t="shared" si="33"/>
        <v>61</v>
      </c>
    </row>
    <row r="2158" spans="1:11" x14ac:dyDescent="0.35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 s="15">
        <v>36786.370000000003</v>
      </c>
      <c r="G2158" t="s">
        <v>16</v>
      </c>
      <c r="H2158" t="s">
        <v>16</v>
      </c>
      <c r="I2158" t="s">
        <v>42</v>
      </c>
      <c r="J2158" s="11">
        <f>DATE(B2158,MATCH(C2158,{"Jan","Feb","Mar","Apr","May","Jun","Jul","Aug","Sep","Oct","Nov","Dec"},0),D2158)</f>
        <v>25763</v>
      </c>
      <c r="K2158">
        <f t="shared" si="33"/>
        <v>52</v>
      </c>
    </row>
    <row r="2159" spans="1:11" x14ac:dyDescent="0.35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 s="15">
        <v>36795.29</v>
      </c>
      <c r="G2159" t="s">
        <v>11</v>
      </c>
      <c r="H2159" t="s">
        <v>16</v>
      </c>
      <c r="I2159" t="s">
        <v>42</v>
      </c>
      <c r="J2159" s="11">
        <f>DATE(B2159,MATCH(C2159,{"Jan","Feb","Mar","Apr","May","Jun","Jul","Aug","Sep","Oct","Nov","Dec"},0),D2159)</f>
        <v>24104</v>
      </c>
      <c r="K2159">
        <f t="shared" si="33"/>
        <v>57</v>
      </c>
    </row>
    <row r="2160" spans="1:11" x14ac:dyDescent="0.35">
      <c r="A2160" t="s">
        <v>31</v>
      </c>
      <c r="B2160">
        <v>1992</v>
      </c>
      <c r="C2160" t="s">
        <v>37</v>
      </c>
      <c r="D2160">
        <v>6</v>
      </c>
      <c r="E2160">
        <v>0</v>
      </c>
      <c r="F2160" s="15">
        <v>36837.47</v>
      </c>
      <c r="G2160" t="s">
        <v>16</v>
      </c>
      <c r="H2160" t="s">
        <v>11</v>
      </c>
      <c r="I2160" t="s">
        <v>42</v>
      </c>
      <c r="J2160" s="11">
        <f>DATE(B2160,MATCH(C2160,{"Jan","Feb","Mar","Apr","May","Jun","Jul","Aug","Sep","Oct","Nov","Dec"},0),D2160)</f>
        <v>33883</v>
      </c>
      <c r="K2160">
        <f t="shared" si="33"/>
        <v>30</v>
      </c>
    </row>
    <row r="2161" spans="1:11" x14ac:dyDescent="0.35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 s="15">
        <v>36837.47</v>
      </c>
      <c r="G2161" t="s">
        <v>11</v>
      </c>
      <c r="H2161" t="s">
        <v>12</v>
      </c>
      <c r="I2161" t="s">
        <v>42</v>
      </c>
      <c r="J2161" s="11">
        <f>DATE(B2161,MATCH(C2161,{"Jan","Feb","Mar","Apr","May","Jun","Jul","Aug","Sep","Oct","Nov","Dec"},0),D2161)</f>
        <v>33789</v>
      </c>
      <c r="K2161">
        <f t="shared" si="33"/>
        <v>30</v>
      </c>
    </row>
    <row r="2162" spans="1:11" x14ac:dyDescent="0.35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 s="15">
        <v>36889.99</v>
      </c>
      <c r="G2162" t="s">
        <v>16</v>
      </c>
      <c r="H2162" t="s">
        <v>12</v>
      </c>
      <c r="I2162" t="s">
        <v>42</v>
      </c>
      <c r="J2162" s="11">
        <f>DATE(B2162,MATCH(C2162,{"Jan","Feb","Mar","Apr","May","Jun","Jul","Aug","Sep","Oct","Nov","Dec"},0),D2162)</f>
        <v>26638</v>
      </c>
      <c r="K2162">
        <f t="shared" si="33"/>
        <v>50</v>
      </c>
    </row>
    <row r="2163" spans="1:11" x14ac:dyDescent="0.35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 s="15">
        <v>36898.730000000003</v>
      </c>
      <c r="G2163" t="s">
        <v>11</v>
      </c>
      <c r="H2163" t="s">
        <v>16</v>
      </c>
      <c r="I2163" t="s">
        <v>23</v>
      </c>
      <c r="J2163" s="11">
        <f>DATE(B2163,MATCH(C2163,{"Jan","Feb","Mar","Apr","May","Jun","Jul","Aug","Sep","Oct","Nov","Dec"},0),D2163)</f>
        <v>37793</v>
      </c>
      <c r="K2163">
        <f t="shared" si="33"/>
        <v>19</v>
      </c>
    </row>
    <row r="2164" spans="1:11" x14ac:dyDescent="0.35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 s="15">
        <v>36910.61</v>
      </c>
      <c r="G2164" t="s">
        <v>11</v>
      </c>
      <c r="H2164" t="s">
        <v>11</v>
      </c>
      <c r="I2164" t="s">
        <v>42</v>
      </c>
      <c r="J2164" s="11">
        <f>DATE(B2164,MATCH(C2164,{"Jan","Feb","Mar","Apr","May","Jun","Jul","Aug","Sep","Oct","Nov","Dec"},0),D2164)</f>
        <v>23216</v>
      </c>
      <c r="K2164">
        <f t="shared" si="33"/>
        <v>59</v>
      </c>
    </row>
    <row r="2165" spans="1:11" x14ac:dyDescent="0.35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 s="15">
        <v>36911.99</v>
      </c>
      <c r="G2165" t="s">
        <v>11</v>
      </c>
      <c r="H2165" t="s">
        <v>11</v>
      </c>
      <c r="I2165" t="s">
        <v>42</v>
      </c>
      <c r="J2165" s="11">
        <f>DATE(B2165,MATCH(C2165,{"Jan","Feb","Mar","Apr","May","Jun","Jul","Aug","Sep","Oct","Nov","Dec"},0),D2165)</f>
        <v>33399</v>
      </c>
      <c r="K2165">
        <f t="shared" si="33"/>
        <v>31</v>
      </c>
    </row>
    <row r="2166" spans="1:11" x14ac:dyDescent="0.35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 s="15">
        <v>36922.61</v>
      </c>
      <c r="G2166" t="s">
        <v>11</v>
      </c>
      <c r="H2166" t="s">
        <v>16</v>
      </c>
      <c r="I2166" t="s">
        <v>42</v>
      </c>
      <c r="J2166" s="11">
        <f>DATE(B2166,MATCH(C2166,{"Jan","Feb","Mar","Apr","May","Jun","Jul","Aug","Sep","Oct","Nov","Dec"},0),D2166)</f>
        <v>25133</v>
      </c>
      <c r="K2166">
        <f t="shared" si="33"/>
        <v>54</v>
      </c>
    </row>
    <row r="2167" spans="1:11" x14ac:dyDescent="0.35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 s="15">
        <v>36935.64</v>
      </c>
      <c r="G2167" t="s">
        <v>11</v>
      </c>
      <c r="H2167" t="s">
        <v>16</v>
      </c>
      <c r="I2167" t="s">
        <v>42</v>
      </c>
      <c r="J2167" s="11">
        <f>DATE(B2167,MATCH(C2167,{"Jan","Feb","Mar","Apr","May","Jun","Jul","Aug","Sep","Oct","Nov","Dec"},0),D2167)</f>
        <v>28350</v>
      </c>
      <c r="K2167">
        <f t="shared" si="33"/>
        <v>45</v>
      </c>
    </row>
    <row r="2168" spans="1:11" x14ac:dyDescent="0.35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 s="15">
        <v>36950.26</v>
      </c>
      <c r="G2168" t="s">
        <v>16</v>
      </c>
      <c r="H2168" t="s">
        <v>16</v>
      </c>
      <c r="I2168" t="s">
        <v>13</v>
      </c>
      <c r="J2168" s="11">
        <f>DATE(B2168,MATCH(C2168,{"Jan","Feb","Mar","Apr","May","Jun","Jul","Aug","Sep","Oct","Nov","Dec"},0),D2168)</f>
        <v>33841</v>
      </c>
      <c r="K2168">
        <f t="shared" si="33"/>
        <v>30</v>
      </c>
    </row>
    <row r="2169" spans="1:11" x14ac:dyDescent="0.35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 s="15">
        <v>36976.449999999997</v>
      </c>
      <c r="G2169" t="s">
        <v>11</v>
      </c>
      <c r="H2169" t="s">
        <v>12</v>
      </c>
      <c r="I2169" t="s">
        <v>42</v>
      </c>
      <c r="J2169" s="11">
        <f>DATE(B2169,MATCH(C2169,{"Jan","Feb","Mar","Apr","May","Jun","Jul","Aug","Sep","Oct","Nov","Dec"},0),D2169)</f>
        <v>33860</v>
      </c>
      <c r="K2169">
        <f t="shared" si="33"/>
        <v>30</v>
      </c>
    </row>
    <row r="2170" spans="1:11" x14ac:dyDescent="0.35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 s="15">
        <v>37040.879999999997</v>
      </c>
      <c r="G2170" t="s">
        <v>11</v>
      </c>
      <c r="H2170" t="s">
        <v>11</v>
      </c>
      <c r="I2170" t="s">
        <v>42</v>
      </c>
      <c r="J2170" s="11">
        <f>DATE(B2170,MATCH(C2170,{"Jan","Feb","Mar","Apr","May","Jun","Jul","Aug","Sep","Oct","Nov","Dec"},0),D2170)</f>
        <v>33543</v>
      </c>
      <c r="K2170">
        <f t="shared" si="33"/>
        <v>31</v>
      </c>
    </row>
    <row r="2171" spans="1:11" x14ac:dyDescent="0.35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 s="15">
        <v>37076.370000000003</v>
      </c>
      <c r="G2171" t="s">
        <v>11</v>
      </c>
      <c r="H2171" t="s">
        <v>16</v>
      </c>
      <c r="I2171" t="s">
        <v>42</v>
      </c>
      <c r="J2171" s="11">
        <f>DATE(B2171,MATCH(C2171,{"Jan","Feb","Mar","Apr","May","Jun","Jul","Aug","Sep","Oct","Nov","Dec"},0),D2171)</f>
        <v>32494</v>
      </c>
      <c r="K2171">
        <f t="shared" si="33"/>
        <v>34</v>
      </c>
    </row>
    <row r="2172" spans="1:11" x14ac:dyDescent="0.35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 s="15">
        <v>37079.370000000003</v>
      </c>
      <c r="G2172" t="s">
        <v>11</v>
      </c>
      <c r="H2172" t="s">
        <v>12</v>
      </c>
      <c r="I2172" t="s">
        <v>42</v>
      </c>
      <c r="J2172" s="11">
        <f>DATE(B2172,MATCH(C2172,{"Jan","Feb","Mar","Apr","May","Jun","Jul","Aug","Sep","Oct","Nov","Dec"},0),D2172)</f>
        <v>32669</v>
      </c>
      <c r="K2172">
        <f t="shared" si="33"/>
        <v>33</v>
      </c>
    </row>
    <row r="2173" spans="1:11" x14ac:dyDescent="0.35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 s="15">
        <v>37133.9</v>
      </c>
      <c r="G2173" t="s">
        <v>11</v>
      </c>
      <c r="H2173" t="s">
        <v>11</v>
      </c>
      <c r="I2173" t="s">
        <v>13</v>
      </c>
      <c r="J2173" s="11">
        <f>DATE(B2173,MATCH(C2173,{"Jan","Feb","Mar","Apr","May","Jun","Jul","Aug","Sep","Oct","Nov","Dec"},0),D2173)</f>
        <v>35002</v>
      </c>
      <c r="K2173">
        <f t="shared" si="33"/>
        <v>27</v>
      </c>
    </row>
    <row r="2174" spans="1:11" x14ac:dyDescent="0.35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 s="15">
        <v>37165.160000000003</v>
      </c>
      <c r="G2174" t="s">
        <v>16</v>
      </c>
      <c r="H2174" t="s">
        <v>12</v>
      </c>
      <c r="I2174" t="s">
        <v>4720</v>
      </c>
      <c r="J2174" s="11">
        <f>DATE(B2174,MATCH(C2174,{"Jan","Feb","Mar","Apr","May","Jun","Jul","Aug","Sep","Oct","Nov","Dec"},0),D2174)</f>
        <v>36774</v>
      </c>
      <c r="K2174">
        <f t="shared" si="33"/>
        <v>22</v>
      </c>
    </row>
    <row r="2175" spans="1:11" x14ac:dyDescent="0.35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 s="15">
        <v>37251.22</v>
      </c>
      <c r="G2175" t="s">
        <v>11</v>
      </c>
      <c r="H2175" t="s">
        <v>11</v>
      </c>
      <c r="I2175" t="s">
        <v>42</v>
      </c>
      <c r="J2175" s="11">
        <f>DATE(B2175,MATCH(C2175,{"Jan","Feb","Mar","Apr","May","Jun","Jul","Aug","Sep","Oct","Nov","Dec"},0),D2175)</f>
        <v>33163</v>
      </c>
      <c r="K2175">
        <f t="shared" si="33"/>
        <v>32</v>
      </c>
    </row>
    <row r="2176" spans="1:11" x14ac:dyDescent="0.35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 s="15">
        <v>37270.15</v>
      </c>
      <c r="G2176" t="s">
        <v>11</v>
      </c>
      <c r="H2176" t="s">
        <v>16</v>
      </c>
      <c r="I2176" t="s">
        <v>247</v>
      </c>
      <c r="J2176" s="11">
        <f>DATE(B2176,MATCH(C2176,{"Jan","Feb","Mar","Apr","May","Jun","Jul","Aug","Sep","Oct","Nov","Dec"},0),D2176)</f>
        <v>31368</v>
      </c>
      <c r="K2176">
        <f t="shared" si="33"/>
        <v>37</v>
      </c>
    </row>
    <row r="2177" spans="1:11" x14ac:dyDescent="0.35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 s="15">
        <v>37272.339999999997</v>
      </c>
      <c r="G2177" t="s">
        <v>11</v>
      </c>
      <c r="H2177" t="s">
        <v>12</v>
      </c>
      <c r="I2177" t="s">
        <v>42</v>
      </c>
      <c r="J2177" s="11">
        <f>DATE(B2177,MATCH(C2177,{"Jan","Feb","Mar","Apr","May","Jun","Jul","Aug","Sep","Oct","Nov","Dec"},0),D2177)</f>
        <v>27707</v>
      </c>
      <c r="K2177">
        <f t="shared" si="33"/>
        <v>47</v>
      </c>
    </row>
    <row r="2178" spans="1:11" x14ac:dyDescent="0.35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 s="15">
        <v>37277.269999999997</v>
      </c>
      <c r="G2178" t="s">
        <v>16</v>
      </c>
      <c r="H2178" t="s">
        <v>12</v>
      </c>
      <c r="I2178" t="s">
        <v>42</v>
      </c>
      <c r="J2178" s="11">
        <f>DATE(B2178,MATCH(C2178,{"Jan","Feb","Mar","Apr","May","Jun","Jul","Aug","Sep","Oct","Nov","Dec"},0),D2178)</f>
        <v>25506</v>
      </c>
      <c r="K2178">
        <f t="shared" si="33"/>
        <v>53</v>
      </c>
    </row>
    <row r="2179" spans="1:11" x14ac:dyDescent="0.35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 s="15">
        <v>37425.94</v>
      </c>
      <c r="G2179" t="s">
        <v>11</v>
      </c>
      <c r="H2179" t="s">
        <v>16</v>
      </c>
      <c r="I2179" t="s">
        <v>42</v>
      </c>
      <c r="J2179" s="11">
        <f>DATE(B2179,MATCH(C2179,{"Jan","Feb","Mar","Apr","May","Jun","Jul","Aug","Sep","Oct","Nov","Dec"},0),D2179)</f>
        <v>29070</v>
      </c>
      <c r="K2179">
        <f t="shared" ref="K2179:K2242" si="34">DATEDIF(J2179,$N$1,"Y")</f>
        <v>43</v>
      </c>
    </row>
    <row r="2180" spans="1:11" x14ac:dyDescent="0.35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 s="15">
        <v>37465.339999999997</v>
      </c>
      <c r="G2180" t="s">
        <v>16</v>
      </c>
      <c r="H2180" t="s">
        <v>11</v>
      </c>
      <c r="I2180" t="s">
        <v>23</v>
      </c>
      <c r="J2180" s="11">
        <f>DATE(B2180,MATCH(C2180,{"Jan","Feb","Mar","Apr","May","Jun","Jul","Aug","Sep","Oct","Nov","Dec"},0),D2180)</f>
        <v>37526</v>
      </c>
      <c r="K2180">
        <f t="shared" si="34"/>
        <v>20</v>
      </c>
    </row>
    <row r="2181" spans="1:11" x14ac:dyDescent="0.35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 s="15">
        <v>37484.449999999997</v>
      </c>
      <c r="G2181" t="s">
        <v>16</v>
      </c>
      <c r="H2181" t="s">
        <v>16</v>
      </c>
      <c r="I2181" t="s">
        <v>13</v>
      </c>
      <c r="J2181" s="11">
        <f>DATE(B2181,MATCH(C2181,{"Jan","Feb","Mar","Apr","May","Jun","Jul","Aug","Sep","Oct","Nov","Dec"},0),D2181)</f>
        <v>36811</v>
      </c>
      <c r="K2181">
        <f t="shared" si="34"/>
        <v>22</v>
      </c>
    </row>
    <row r="2182" spans="1:11" x14ac:dyDescent="0.35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 s="15">
        <v>37607.53</v>
      </c>
      <c r="G2182" t="s">
        <v>16</v>
      </c>
      <c r="H2182" t="s">
        <v>11</v>
      </c>
      <c r="I2182" t="s">
        <v>166</v>
      </c>
      <c r="J2182" s="11">
        <f>DATE(B2182,MATCH(C2182,{"Jan","Feb","Mar","Apr","May","Jun","Jul","Aug","Sep","Oct","Nov","Dec"},0),D2182)</f>
        <v>33193</v>
      </c>
      <c r="K2182">
        <f t="shared" si="34"/>
        <v>32</v>
      </c>
    </row>
    <row r="2183" spans="1:11" x14ac:dyDescent="0.35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 s="15">
        <v>37650.74</v>
      </c>
      <c r="G2183" t="s">
        <v>11</v>
      </c>
      <c r="H2183" t="s">
        <v>11</v>
      </c>
      <c r="I2183" t="s">
        <v>23</v>
      </c>
      <c r="J2183" s="11">
        <f>DATE(B2183,MATCH(C2183,{"Jan","Feb","Mar","Apr","May","Jun","Jul","Aug","Sep","Oct","Nov","Dec"},0),D2183)</f>
        <v>30122</v>
      </c>
      <c r="K2183">
        <f t="shared" si="34"/>
        <v>40</v>
      </c>
    </row>
    <row r="2184" spans="1:11" x14ac:dyDescent="0.35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 s="15">
        <v>37675.06</v>
      </c>
      <c r="G2184" t="s">
        <v>11</v>
      </c>
      <c r="H2184" t="s">
        <v>12</v>
      </c>
      <c r="I2184" t="s">
        <v>42</v>
      </c>
      <c r="J2184" s="11">
        <f>DATE(B2184,MATCH(C2184,{"Jan","Feb","Mar","Apr","May","Jun","Jul","Aug","Sep","Oct","Nov","Dec"},0),D2184)</f>
        <v>25869</v>
      </c>
      <c r="K2184">
        <f t="shared" si="34"/>
        <v>52</v>
      </c>
    </row>
    <row r="2185" spans="1:11" x14ac:dyDescent="0.35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 s="15">
        <v>37701.879999999997</v>
      </c>
      <c r="G2185" t="s">
        <v>11</v>
      </c>
      <c r="H2185" t="s">
        <v>12</v>
      </c>
      <c r="I2185" t="s">
        <v>249</v>
      </c>
      <c r="J2185" s="11">
        <f>DATE(B2185,MATCH(C2185,{"Jan","Feb","Mar","Apr","May","Jun","Jul","Aug","Sep","Oct","Nov","Dec"},0),D2185)</f>
        <v>32426</v>
      </c>
      <c r="K2185">
        <f t="shared" si="34"/>
        <v>34</v>
      </c>
    </row>
    <row r="2186" spans="1:11" x14ac:dyDescent="0.35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 s="15">
        <v>37735.199999999997</v>
      </c>
      <c r="G2186" t="s">
        <v>11</v>
      </c>
      <c r="H2186" t="s">
        <v>11</v>
      </c>
      <c r="I2186" t="s">
        <v>42</v>
      </c>
      <c r="J2186" s="11">
        <f>DATE(B2186,MATCH(C2186,{"Jan","Feb","Mar","Apr","May","Jun","Jul","Aug","Sep","Oct","Nov","Dec"},0),D2186)</f>
        <v>28021</v>
      </c>
      <c r="K2186">
        <f t="shared" si="34"/>
        <v>46</v>
      </c>
    </row>
    <row r="2187" spans="1:11" x14ac:dyDescent="0.35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 s="15">
        <v>37742.58</v>
      </c>
      <c r="G2187" t="s">
        <v>16</v>
      </c>
      <c r="H2187" t="s">
        <v>16</v>
      </c>
      <c r="I2187" t="s">
        <v>13</v>
      </c>
      <c r="J2187" s="11">
        <f>DATE(B2187,MATCH(C2187,{"Jan","Feb","Mar","Apr","May","Jun","Jul","Aug","Sep","Oct","Nov","Dec"},0),D2187)</f>
        <v>31639</v>
      </c>
      <c r="K2187">
        <f t="shared" si="34"/>
        <v>36</v>
      </c>
    </row>
    <row r="2188" spans="1:11" x14ac:dyDescent="0.35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 s="15">
        <v>37800.980000000003</v>
      </c>
      <c r="G2188" t="s">
        <v>11</v>
      </c>
      <c r="H2188" t="s">
        <v>11</v>
      </c>
      <c r="I2188" t="s">
        <v>42</v>
      </c>
      <c r="J2188" s="11">
        <f>DATE(B2188,MATCH(C2188,{"Jan","Feb","Mar","Apr","May","Jun","Jul","Aug","Sep","Oct","Nov","Dec"},0),D2188)</f>
        <v>30523</v>
      </c>
      <c r="K2188">
        <f t="shared" si="34"/>
        <v>39</v>
      </c>
    </row>
    <row r="2189" spans="1:11" x14ac:dyDescent="0.35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 s="15">
        <v>37829.72</v>
      </c>
      <c r="G2189" t="s">
        <v>16</v>
      </c>
      <c r="H2189" t="s">
        <v>11</v>
      </c>
      <c r="I2189" t="s">
        <v>42</v>
      </c>
      <c r="J2189" s="11">
        <f>DATE(B2189,MATCH(C2189,{"Jan","Feb","Mar","Apr","May","Jun","Jul","Aug","Sep","Oct","Nov","Dec"},0),D2189)</f>
        <v>29107</v>
      </c>
      <c r="K2189">
        <f t="shared" si="34"/>
        <v>43</v>
      </c>
    </row>
    <row r="2190" spans="1:11" x14ac:dyDescent="0.35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 s="15">
        <v>38126.25</v>
      </c>
      <c r="G2190" t="s">
        <v>16</v>
      </c>
      <c r="H2190" t="s">
        <v>12</v>
      </c>
      <c r="I2190" t="s">
        <v>13</v>
      </c>
      <c r="J2190" s="11">
        <f>DATE(B2190,MATCH(C2190,{"Jan","Feb","Mar","Apr","May","Jun","Jul","Aug","Sep","Oct","Nov","Dec"},0),D2190)</f>
        <v>36005</v>
      </c>
      <c r="K2190">
        <f t="shared" si="34"/>
        <v>24</v>
      </c>
    </row>
    <row r="2191" spans="1:11" x14ac:dyDescent="0.35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 s="15">
        <v>38189.1</v>
      </c>
      <c r="G2191" t="s">
        <v>11</v>
      </c>
      <c r="H2191" t="s">
        <v>11</v>
      </c>
      <c r="I2191" t="s">
        <v>42</v>
      </c>
      <c r="J2191" s="11">
        <f>DATE(B2191,MATCH(C2191,{"Jan","Feb","Mar","Apr","May","Jun","Jul","Aug","Sep","Oct","Nov","Dec"},0),D2191)</f>
        <v>26622</v>
      </c>
      <c r="K2191">
        <f t="shared" si="34"/>
        <v>50</v>
      </c>
    </row>
    <row r="2192" spans="1:11" x14ac:dyDescent="0.35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 s="15">
        <v>38237.339999999997</v>
      </c>
      <c r="G2192" t="s">
        <v>11</v>
      </c>
      <c r="H2192" t="s">
        <v>12</v>
      </c>
      <c r="I2192" t="s">
        <v>42</v>
      </c>
      <c r="J2192" s="11">
        <f>DATE(B2192,MATCH(C2192,{"Jan","Feb","Mar","Apr","May","Jun","Jul","Aug","Sep","Oct","Nov","Dec"},0),D2192)</f>
        <v>32759</v>
      </c>
      <c r="K2192">
        <f t="shared" si="34"/>
        <v>33</v>
      </c>
    </row>
    <row r="2193" spans="1:11" x14ac:dyDescent="0.35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 s="15">
        <v>38241.74</v>
      </c>
      <c r="G2193" t="s">
        <v>11</v>
      </c>
      <c r="H2193" t="s">
        <v>12</v>
      </c>
      <c r="I2193" t="s">
        <v>42</v>
      </c>
      <c r="J2193" s="11">
        <f>DATE(B2193,MATCH(C2193,{"Jan","Feb","Mar","Apr","May","Jun","Jul","Aug","Sep","Oct","Nov","Dec"},0),D2193)</f>
        <v>23544</v>
      </c>
      <c r="K2193">
        <f t="shared" si="34"/>
        <v>58</v>
      </c>
    </row>
    <row r="2194" spans="1:11" x14ac:dyDescent="0.35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 s="15">
        <v>38245.589999999997</v>
      </c>
      <c r="G2194" t="s">
        <v>16</v>
      </c>
      <c r="H2194" t="s">
        <v>11</v>
      </c>
      <c r="I2194" t="s">
        <v>13</v>
      </c>
      <c r="J2194" s="11">
        <f>DATE(B2194,MATCH(C2194,{"Jan","Feb","Mar","Apr","May","Jun","Jul","Aug","Sep","Oct","Nov","Dec"},0),D2194)</f>
        <v>29449</v>
      </c>
      <c r="K2194">
        <f t="shared" si="34"/>
        <v>42</v>
      </c>
    </row>
    <row r="2195" spans="1:11" x14ac:dyDescent="0.35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 s="15">
        <v>38282.75</v>
      </c>
      <c r="G2195" t="s">
        <v>16</v>
      </c>
      <c r="H2195" t="s">
        <v>11</v>
      </c>
      <c r="I2195" t="s">
        <v>13</v>
      </c>
      <c r="J2195" s="11">
        <f>DATE(B2195,MATCH(C2195,{"Jan","Feb","Mar","Apr","May","Jun","Jul","Aug","Sep","Oct","Nov","Dec"},0),D2195)</f>
        <v>32811</v>
      </c>
      <c r="K2195">
        <f t="shared" si="34"/>
        <v>33</v>
      </c>
    </row>
    <row r="2196" spans="1:11" x14ac:dyDescent="0.35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 s="15">
        <v>38313.129999999997</v>
      </c>
      <c r="G2196" t="s">
        <v>16</v>
      </c>
      <c r="H2196" t="s">
        <v>12</v>
      </c>
      <c r="I2196" t="s">
        <v>42</v>
      </c>
      <c r="J2196" s="11">
        <f>DATE(B2196,MATCH(C2196,{"Jan","Feb","Mar","Apr","May","Jun","Jul","Aug","Sep","Oct","Nov","Dec"},0),D2196)</f>
        <v>29384</v>
      </c>
      <c r="K2196">
        <f t="shared" si="34"/>
        <v>42</v>
      </c>
    </row>
    <row r="2197" spans="1:11" x14ac:dyDescent="0.35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 s="15">
        <v>38344.57</v>
      </c>
      <c r="G2197" t="s">
        <v>16</v>
      </c>
      <c r="H2197" t="s">
        <v>12</v>
      </c>
      <c r="I2197" t="s">
        <v>42</v>
      </c>
      <c r="J2197" s="11">
        <f>DATE(B2197,MATCH(C2197,{"Jan","Feb","Mar","Apr","May","Jun","Jul","Aug","Sep","Oct","Nov","Dec"},0),D2197)</f>
        <v>37516</v>
      </c>
      <c r="K2197">
        <f t="shared" si="34"/>
        <v>20</v>
      </c>
    </row>
    <row r="2198" spans="1:11" x14ac:dyDescent="0.35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 s="15">
        <v>38389.79</v>
      </c>
      <c r="G2198" t="s">
        <v>11</v>
      </c>
      <c r="H2198" t="s">
        <v>12</v>
      </c>
      <c r="I2198" t="s">
        <v>42</v>
      </c>
      <c r="J2198" s="11">
        <f>DATE(B2198,MATCH(C2198,{"Jan","Feb","Mar","Apr","May","Jun","Jul","Aug","Sep","Oct","Nov","Dec"},0),D2198)</f>
        <v>25802</v>
      </c>
      <c r="K2198">
        <f t="shared" si="34"/>
        <v>52</v>
      </c>
    </row>
    <row r="2199" spans="1:11" x14ac:dyDescent="0.35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 s="15">
        <v>38405.26</v>
      </c>
      <c r="G2199" t="s">
        <v>11</v>
      </c>
      <c r="H2199" t="s">
        <v>16</v>
      </c>
      <c r="I2199" t="s">
        <v>42</v>
      </c>
      <c r="J2199" s="11">
        <f>DATE(B2199,MATCH(C2199,{"Jan","Feb","Mar","Apr","May","Jun","Jul","Aug","Sep","Oct","Nov","Dec"},0),D2199)</f>
        <v>26290</v>
      </c>
      <c r="K2199">
        <f t="shared" si="34"/>
        <v>51</v>
      </c>
    </row>
    <row r="2200" spans="1:11" x14ac:dyDescent="0.35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 s="15">
        <v>38415.47</v>
      </c>
      <c r="G2200" t="s">
        <v>16</v>
      </c>
      <c r="H2200" t="s">
        <v>11</v>
      </c>
      <c r="I2200" t="s">
        <v>42</v>
      </c>
      <c r="J2200" s="11">
        <f>DATE(B2200,MATCH(C2200,{"Jan","Feb","Mar","Apr","May","Jun","Jul","Aug","Sep","Oct","Nov","Dec"},0),D2200)</f>
        <v>31584</v>
      </c>
      <c r="K2200">
        <f t="shared" si="34"/>
        <v>36</v>
      </c>
    </row>
    <row r="2201" spans="1:11" x14ac:dyDescent="0.35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 s="15">
        <v>38511.629999999997</v>
      </c>
      <c r="G2201" t="s">
        <v>11</v>
      </c>
      <c r="H2201" t="s">
        <v>11</v>
      </c>
      <c r="I2201" t="s">
        <v>247</v>
      </c>
      <c r="J2201" s="11">
        <f>DATE(B2201,MATCH(C2201,{"Jan","Feb","Mar","Apr","May","Jun","Jul","Aug","Sep","Oct","Nov","Dec"},0),D2201)</f>
        <v>36476</v>
      </c>
      <c r="K2201">
        <f t="shared" si="34"/>
        <v>23</v>
      </c>
    </row>
    <row r="2202" spans="1:11" x14ac:dyDescent="0.35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 s="15">
        <v>38652.089999999997</v>
      </c>
      <c r="G2202" t="s">
        <v>11</v>
      </c>
      <c r="H2202" t="s">
        <v>11</v>
      </c>
      <c r="I2202" t="s">
        <v>42</v>
      </c>
      <c r="J2202" s="11">
        <f>DATE(B2202,MATCH(C2202,{"Jan","Feb","Mar","Apr","May","Jun","Jul","Aug","Sep","Oct","Nov","Dec"},0),D2202)</f>
        <v>33067</v>
      </c>
      <c r="K2202">
        <f t="shared" si="34"/>
        <v>32</v>
      </c>
    </row>
    <row r="2203" spans="1:11" x14ac:dyDescent="0.35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 s="15">
        <v>38709.18</v>
      </c>
      <c r="G2203" t="s">
        <v>16</v>
      </c>
      <c r="H2203" t="s">
        <v>12</v>
      </c>
      <c r="I2203" t="s">
        <v>13</v>
      </c>
      <c r="J2203" s="11">
        <f>DATE(B2203,MATCH(C2203,{"Jan","Feb","Mar","Apr","May","Jun","Jul","Aug","Sep","Oct","Nov","Dec"},0),D2203)</f>
        <v>31613</v>
      </c>
      <c r="K2203">
        <f t="shared" si="34"/>
        <v>36</v>
      </c>
    </row>
    <row r="2204" spans="1:11" x14ac:dyDescent="0.35">
      <c r="A2204" t="s">
        <v>31</v>
      </c>
      <c r="B2204">
        <v>1991</v>
      </c>
      <c r="C2204" t="s">
        <v>15</v>
      </c>
      <c r="D2204">
        <v>22</v>
      </c>
      <c r="E2204">
        <v>2</v>
      </c>
      <c r="F2204" s="15">
        <v>38711</v>
      </c>
      <c r="G2204" t="s">
        <v>16</v>
      </c>
      <c r="H2204" t="s">
        <v>12</v>
      </c>
      <c r="I2204" t="s">
        <v>42</v>
      </c>
      <c r="J2204" s="11">
        <f>DATE(B2204,MATCH(C2204,{"Jan","Feb","Mar","Apr","May","Jun","Jul","Aug","Sep","Oct","Nov","Dec"},0),D2204)</f>
        <v>33564</v>
      </c>
      <c r="K2204">
        <f t="shared" si="34"/>
        <v>31</v>
      </c>
    </row>
    <row r="2205" spans="1:11" x14ac:dyDescent="0.35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 s="15">
        <v>38711</v>
      </c>
      <c r="G2205" t="s">
        <v>11</v>
      </c>
      <c r="H2205" t="s">
        <v>11</v>
      </c>
      <c r="I2205" t="s">
        <v>42</v>
      </c>
      <c r="J2205" s="11">
        <f>DATE(B2205,MATCH(C2205,{"Jan","Feb","Mar","Apr","May","Jun","Jul","Aug","Sep","Oct","Nov","Dec"},0),D2205)</f>
        <v>33544</v>
      </c>
      <c r="K2205">
        <f t="shared" si="34"/>
        <v>31</v>
      </c>
    </row>
    <row r="2206" spans="1:11" x14ac:dyDescent="0.35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 s="15">
        <v>38740.120000000003</v>
      </c>
      <c r="G2206" t="s">
        <v>11</v>
      </c>
      <c r="H2206" t="s">
        <v>11</v>
      </c>
      <c r="I2206" t="s">
        <v>23</v>
      </c>
      <c r="J2206" s="11">
        <f>DATE(B2206,MATCH(C2206,{"Jan","Feb","Mar","Apr","May","Jun","Jul","Aug","Sep","Oct","Nov","Dec"},0),D2206)</f>
        <v>27926</v>
      </c>
      <c r="K2206">
        <f t="shared" si="34"/>
        <v>46</v>
      </c>
    </row>
    <row r="2207" spans="1:11" x14ac:dyDescent="0.35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 s="15">
        <v>38746.36</v>
      </c>
      <c r="G2207" t="s">
        <v>16</v>
      </c>
      <c r="H2207" t="s">
        <v>11</v>
      </c>
      <c r="I2207" t="s">
        <v>23</v>
      </c>
      <c r="J2207" s="11">
        <f>DATE(B2207,MATCH(C2207,{"Jan","Feb","Mar","Apr","May","Jun","Jul","Aug","Sep","Oct","Nov","Dec"},0),D2207)</f>
        <v>33550</v>
      </c>
      <c r="K2207">
        <f t="shared" si="34"/>
        <v>31</v>
      </c>
    </row>
    <row r="2208" spans="1:11" x14ac:dyDescent="0.35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 s="15">
        <v>38792.69</v>
      </c>
      <c r="G2208" t="s">
        <v>11</v>
      </c>
      <c r="H2208" t="s">
        <v>11</v>
      </c>
      <c r="I2208" t="s">
        <v>13</v>
      </c>
      <c r="J2208" s="11">
        <f>DATE(B2208,MATCH(C2208,{"Jan","Feb","Mar","Apr","May","Jun","Jul","Aug","Sep","Oct","Nov","Dec"},0),D2208)</f>
        <v>38326</v>
      </c>
      <c r="K2208">
        <f t="shared" si="34"/>
        <v>18</v>
      </c>
    </row>
    <row r="2209" spans="1:11" x14ac:dyDescent="0.35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 s="15">
        <v>38836.980000000003</v>
      </c>
      <c r="G2209" t="s">
        <v>11</v>
      </c>
      <c r="H2209" t="s">
        <v>16</v>
      </c>
      <c r="I2209" t="s">
        <v>42</v>
      </c>
      <c r="J2209" s="11">
        <f>DATE(B2209,MATCH(C2209,{"Jan","Feb","Mar","Apr","May","Jun","Jul","Aug","Sep","Oct","Nov","Dec"},0),D2209)</f>
        <v>29192</v>
      </c>
      <c r="K2209">
        <f t="shared" si="34"/>
        <v>43</v>
      </c>
    </row>
    <row r="2210" spans="1:11" x14ac:dyDescent="0.35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 s="15">
        <v>38869.25</v>
      </c>
      <c r="G2210" t="s">
        <v>11</v>
      </c>
      <c r="H2210" t="s">
        <v>11</v>
      </c>
      <c r="I2210" t="s">
        <v>42</v>
      </c>
      <c r="J2210" s="11">
        <f>DATE(B2210,MATCH(C2210,{"Jan","Feb","Mar","Apr","May","Jun","Jul","Aug","Sep","Oct","Nov","Dec"},0),D2210)</f>
        <v>23534</v>
      </c>
      <c r="K2210">
        <f t="shared" si="34"/>
        <v>59</v>
      </c>
    </row>
    <row r="2211" spans="1:11" x14ac:dyDescent="0.35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 s="15">
        <v>38893.360000000001</v>
      </c>
      <c r="G2211" t="s">
        <v>16</v>
      </c>
      <c r="H2211" t="s">
        <v>11</v>
      </c>
      <c r="I2211" t="s">
        <v>42</v>
      </c>
      <c r="J2211" s="11">
        <f>DATE(B2211,MATCH(C2211,{"Jan","Feb","Mar","Apr","May","Jun","Jul","Aug","Sep","Oct","Nov","Dec"},0),D2211)</f>
        <v>24683</v>
      </c>
      <c r="K2211">
        <f t="shared" si="34"/>
        <v>55</v>
      </c>
    </row>
    <row r="2212" spans="1:11" x14ac:dyDescent="0.35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 s="15">
        <v>38924.04</v>
      </c>
      <c r="G2212" t="s">
        <v>11</v>
      </c>
      <c r="H2212" t="s">
        <v>11</v>
      </c>
      <c r="I2212" t="s">
        <v>42</v>
      </c>
      <c r="J2212" s="11">
        <f>DATE(B2212,MATCH(C2212,{"Jan","Feb","Mar","Apr","May","Jun","Jul","Aug","Sep","Oct","Nov","Dec"},0),D2212)</f>
        <v>31944</v>
      </c>
      <c r="K2212">
        <f t="shared" si="34"/>
        <v>35</v>
      </c>
    </row>
    <row r="2213" spans="1:11" x14ac:dyDescent="0.35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 s="15">
        <v>38932.559999999998</v>
      </c>
      <c r="G2213" t="s">
        <v>11</v>
      </c>
      <c r="H2213" t="s">
        <v>12</v>
      </c>
      <c r="I2213" t="s">
        <v>42</v>
      </c>
      <c r="J2213" s="11">
        <f>DATE(B2213,MATCH(C2213,{"Jan","Feb","Mar","Apr","May","Jun","Jul","Aug","Sep","Oct","Nov","Dec"},0),D2213)</f>
        <v>28109</v>
      </c>
      <c r="K2213">
        <f t="shared" si="34"/>
        <v>46</v>
      </c>
    </row>
    <row r="2214" spans="1:11" x14ac:dyDescent="0.35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 s="15">
        <v>38947.43</v>
      </c>
      <c r="G2214" t="s">
        <v>11</v>
      </c>
      <c r="H2214" t="s">
        <v>12</v>
      </c>
      <c r="I2214" t="s">
        <v>42</v>
      </c>
      <c r="J2214" s="11">
        <f>DATE(B2214,MATCH(C2214,{"Jan","Feb","Mar","Apr","May","Jun","Jul","Aug","Sep","Oct","Nov","Dec"},0),D2214)</f>
        <v>29488</v>
      </c>
      <c r="K2214">
        <f t="shared" si="34"/>
        <v>42</v>
      </c>
    </row>
    <row r="2215" spans="1:11" x14ac:dyDescent="0.35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 s="15">
        <v>38998.550000000003</v>
      </c>
      <c r="G2215" t="s">
        <v>16</v>
      </c>
      <c r="H2215" t="s">
        <v>16</v>
      </c>
      <c r="I2215" t="s">
        <v>42</v>
      </c>
      <c r="J2215" s="11">
        <f>DATE(B2215,MATCH(C2215,{"Jan","Feb","Mar","Apr","May","Jun","Jul","Aug","Sep","Oct","Nov","Dec"},0),D2215)</f>
        <v>28775</v>
      </c>
      <c r="K2215">
        <f t="shared" si="34"/>
        <v>44</v>
      </c>
    </row>
    <row r="2216" spans="1:11" x14ac:dyDescent="0.35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 s="15">
        <v>39047.29</v>
      </c>
      <c r="G2216" t="s">
        <v>16</v>
      </c>
      <c r="H2216" t="s">
        <v>12</v>
      </c>
      <c r="I2216" t="s">
        <v>356</v>
      </c>
      <c r="J2216" s="11">
        <f>DATE(B2216,MATCH(C2216,{"Jan","Feb","Mar","Apr","May","Jun","Jul","Aug","Sep","Oct","Nov","Dec"},0),D2216)</f>
        <v>31310</v>
      </c>
      <c r="K2216">
        <f t="shared" si="34"/>
        <v>37</v>
      </c>
    </row>
    <row r="2217" spans="1:11" x14ac:dyDescent="0.35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 s="15">
        <v>39125.33</v>
      </c>
      <c r="G2217" t="s">
        <v>16</v>
      </c>
      <c r="H2217" t="s">
        <v>16</v>
      </c>
      <c r="I2217" t="s">
        <v>168</v>
      </c>
      <c r="J2217" s="11">
        <f>DATE(B2217,MATCH(C2217,{"Jan","Feb","Mar","Apr","May","Jun","Jul","Aug","Sep","Oct","Nov","Dec"},0),D2217)</f>
        <v>30167</v>
      </c>
      <c r="K2217">
        <f t="shared" si="34"/>
        <v>40</v>
      </c>
    </row>
    <row r="2218" spans="1:11" x14ac:dyDescent="0.35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 s="15">
        <v>39221.120000000003</v>
      </c>
      <c r="G2218" t="s">
        <v>11</v>
      </c>
      <c r="H2218" t="s">
        <v>16</v>
      </c>
      <c r="I2218" t="s">
        <v>42</v>
      </c>
      <c r="J2218" s="11">
        <f>DATE(B2218,MATCH(C2218,{"Jan","Feb","Mar","Apr","May","Jun","Jul","Aug","Sep","Oct","Nov","Dec"},0),D2218)</f>
        <v>22834</v>
      </c>
      <c r="K2218">
        <f t="shared" si="34"/>
        <v>60</v>
      </c>
    </row>
    <row r="2219" spans="1:11" x14ac:dyDescent="0.35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 s="15">
        <v>39241.440000000002</v>
      </c>
      <c r="G2219" t="s">
        <v>16</v>
      </c>
      <c r="H2219" t="s">
        <v>12</v>
      </c>
      <c r="I2219" t="s">
        <v>42</v>
      </c>
      <c r="J2219" s="11">
        <f>DATE(B2219,MATCH(C2219,{"Jan","Feb","Mar","Apr","May","Jun","Jul","Aug","Sep","Oct","Nov","Dec"},0),D2219)</f>
        <v>33938</v>
      </c>
      <c r="K2219">
        <f t="shared" si="34"/>
        <v>30</v>
      </c>
    </row>
    <row r="2220" spans="1:11" x14ac:dyDescent="0.35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 s="15">
        <v>39315.279999999999</v>
      </c>
      <c r="G2220" t="s">
        <v>11</v>
      </c>
      <c r="H2220" t="s">
        <v>12</v>
      </c>
      <c r="I2220" t="s">
        <v>42</v>
      </c>
      <c r="J2220" s="11">
        <f>DATE(B2220,MATCH(C2220,{"Jan","Feb","Mar","Apr","May","Jun","Jul","Aug","Sep","Oct","Nov","Dec"},0),D2220)</f>
        <v>30179</v>
      </c>
      <c r="K2220">
        <f t="shared" si="34"/>
        <v>40</v>
      </c>
    </row>
    <row r="2221" spans="1:11" x14ac:dyDescent="0.35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 s="15">
        <v>39352.6</v>
      </c>
      <c r="G2221" t="s">
        <v>11</v>
      </c>
      <c r="H2221" t="s">
        <v>12</v>
      </c>
      <c r="I2221" t="s">
        <v>42</v>
      </c>
      <c r="J2221" s="11">
        <f>DATE(B2221,MATCH(C2221,{"Jan","Feb","Mar","Apr","May","Jun","Jul","Aug","Sep","Oct","Nov","Dec"},0),D2221)</f>
        <v>28707</v>
      </c>
      <c r="K2221">
        <f t="shared" si="34"/>
        <v>44</v>
      </c>
    </row>
    <row r="2222" spans="1:11" x14ac:dyDescent="0.35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 s="15">
        <v>39396.86</v>
      </c>
      <c r="G2222" t="s">
        <v>11</v>
      </c>
      <c r="H2222" t="s">
        <v>11</v>
      </c>
      <c r="I2222" t="s">
        <v>42</v>
      </c>
      <c r="J2222" s="11">
        <f>DATE(B2222,MATCH(C2222,{"Jan","Feb","Mar","Apr","May","Jun","Jul","Aug","Sep","Oct","Nov","Dec"},0),D2222)</f>
        <v>24282</v>
      </c>
      <c r="K2222">
        <f t="shared" si="34"/>
        <v>56</v>
      </c>
    </row>
    <row r="2223" spans="1:11" x14ac:dyDescent="0.35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 s="15">
        <v>39556.49</v>
      </c>
      <c r="G2223" t="s">
        <v>16</v>
      </c>
      <c r="H2223" t="s">
        <v>11</v>
      </c>
      <c r="I2223" t="s">
        <v>164</v>
      </c>
      <c r="J2223" s="11">
        <f>DATE(B2223,MATCH(C2223,{"Jan","Feb","Mar","Apr","May","Jun","Jul","Aug","Sep","Oct","Nov","Dec"},0),D2223)</f>
        <v>28683</v>
      </c>
      <c r="K2223">
        <f t="shared" si="34"/>
        <v>44</v>
      </c>
    </row>
    <row r="2224" spans="1:11" x14ac:dyDescent="0.35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 s="15">
        <v>39597.410000000003</v>
      </c>
      <c r="G2224" t="s">
        <v>16</v>
      </c>
      <c r="H2224" t="s">
        <v>11</v>
      </c>
      <c r="I2224" t="s">
        <v>356</v>
      </c>
      <c r="J2224" s="11">
        <f>DATE(B2224,MATCH(C2224,{"Jan","Feb","Mar","Apr","May","Jun","Jul","Aug","Sep","Oct","Nov","Dec"},0),D2224)</f>
        <v>29772</v>
      </c>
      <c r="K2224">
        <f t="shared" si="34"/>
        <v>41</v>
      </c>
    </row>
    <row r="2225" spans="1:11" x14ac:dyDescent="0.35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 s="15">
        <v>39611.760000000002</v>
      </c>
      <c r="G2225" t="s">
        <v>16</v>
      </c>
      <c r="H2225" t="s">
        <v>12</v>
      </c>
      <c r="I2225" t="s">
        <v>13</v>
      </c>
      <c r="J2225" s="11">
        <f>DATE(B2225,MATCH(C2225,{"Jan","Feb","Mar","Apr","May","Jun","Jul","Aug","Sep","Oct","Nov","Dec"},0),D2225)</f>
        <v>34918</v>
      </c>
      <c r="K2225">
        <f t="shared" si="34"/>
        <v>27</v>
      </c>
    </row>
    <row r="2226" spans="1:11" x14ac:dyDescent="0.35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 s="15">
        <v>39670.44</v>
      </c>
      <c r="G2226" t="s">
        <v>11</v>
      </c>
      <c r="H2226" t="s">
        <v>16</v>
      </c>
      <c r="I2226" t="s">
        <v>23</v>
      </c>
      <c r="J2226" s="11">
        <f>DATE(B2226,MATCH(C2226,{"Jan","Feb","Mar","Apr","May","Jun","Jul","Aug","Sep","Oct","Nov","Dec"},0),D2226)</f>
        <v>28476</v>
      </c>
      <c r="K2226">
        <f t="shared" si="34"/>
        <v>45</v>
      </c>
    </row>
    <row r="2227" spans="1:11" x14ac:dyDescent="0.35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 s="15">
        <v>39721.93</v>
      </c>
      <c r="G2227" t="s">
        <v>11</v>
      </c>
      <c r="H2227" t="s">
        <v>11</v>
      </c>
      <c r="I2227" t="s">
        <v>42</v>
      </c>
      <c r="J2227" s="11">
        <f>DATE(B2227,MATCH(C2227,{"Jan","Feb","Mar","Apr","May","Jun","Jul","Aug","Sep","Oct","Nov","Dec"},0),D2227)</f>
        <v>25110</v>
      </c>
      <c r="K2227">
        <f t="shared" si="34"/>
        <v>54</v>
      </c>
    </row>
    <row r="2228" spans="1:11" x14ac:dyDescent="0.35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 s="15">
        <v>39722.75</v>
      </c>
      <c r="G2228" t="s">
        <v>16</v>
      </c>
      <c r="H2228" t="s">
        <v>16</v>
      </c>
      <c r="I2228" t="s">
        <v>13</v>
      </c>
      <c r="J2228" s="11">
        <f>DATE(B2228,MATCH(C2228,{"Jan","Feb","Mar","Apr","May","Jun","Jul","Aug","Sep","Oct","Nov","Dec"},0),D2228)</f>
        <v>37818</v>
      </c>
      <c r="K2228">
        <f t="shared" si="34"/>
        <v>19</v>
      </c>
    </row>
    <row r="2229" spans="1:11" x14ac:dyDescent="0.35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 s="15">
        <v>39725.519999999997</v>
      </c>
      <c r="G2229" t="s">
        <v>11</v>
      </c>
      <c r="H2229" t="s">
        <v>16</v>
      </c>
      <c r="I2229" t="s">
        <v>23</v>
      </c>
      <c r="J2229" s="11">
        <f>DATE(B2229,MATCH(C2229,{"Jan","Feb","Mar","Apr","May","Jun","Jul","Aug","Sep","Oct","Nov","Dec"},0),D2229)</f>
        <v>28349</v>
      </c>
      <c r="K2229">
        <f t="shared" si="34"/>
        <v>45</v>
      </c>
    </row>
    <row r="2230" spans="1:11" x14ac:dyDescent="0.35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 s="15">
        <v>39727.61</v>
      </c>
      <c r="G2230" t="s">
        <v>16</v>
      </c>
      <c r="H2230" t="s">
        <v>11</v>
      </c>
      <c r="I2230" t="s">
        <v>42</v>
      </c>
      <c r="J2230" s="11">
        <f>DATE(B2230,MATCH(C2230,{"Jan","Feb","Mar","Apr","May","Jun","Jul","Aug","Sep","Oct","Nov","Dec"},0),D2230)</f>
        <v>27015</v>
      </c>
      <c r="K2230">
        <f t="shared" si="34"/>
        <v>49</v>
      </c>
    </row>
    <row r="2231" spans="1:11" x14ac:dyDescent="0.35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 s="15">
        <v>39774.28</v>
      </c>
      <c r="G2231" t="s">
        <v>16</v>
      </c>
      <c r="H2231" t="s">
        <v>16</v>
      </c>
      <c r="I2231" t="s">
        <v>276</v>
      </c>
      <c r="J2231" s="11">
        <f>DATE(B2231,MATCH(C2231,{"Jan","Feb","Mar","Apr","May","Jun","Jul","Aug","Sep","Oct","Nov","Dec"},0),D2231)</f>
        <v>31982</v>
      </c>
      <c r="K2231">
        <f t="shared" si="34"/>
        <v>35</v>
      </c>
    </row>
    <row r="2232" spans="1:11" x14ac:dyDescent="0.35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 s="15">
        <v>39836.519999999997</v>
      </c>
      <c r="G2232" t="s">
        <v>11</v>
      </c>
      <c r="H2232" t="s">
        <v>16</v>
      </c>
      <c r="I2232" t="s">
        <v>42</v>
      </c>
      <c r="J2232" s="11">
        <f>DATE(B2232,MATCH(C2232,{"Jan","Feb","Mar","Apr","May","Jun","Jul","Aug","Sep","Oct","Nov","Dec"},0),D2232)</f>
        <v>31245</v>
      </c>
      <c r="K2232">
        <f t="shared" si="34"/>
        <v>37</v>
      </c>
    </row>
    <row r="2233" spans="1:11" x14ac:dyDescent="0.35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 s="15">
        <v>39865.699999999997</v>
      </c>
      <c r="G2233" t="s">
        <v>11</v>
      </c>
      <c r="H2233" t="s">
        <v>11</v>
      </c>
      <c r="I2233" t="s">
        <v>42</v>
      </c>
      <c r="J2233" s="11">
        <f>DATE(B2233,MATCH(C2233,{"Jan","Feb","Mar","Apr","May","Jun","Jul","Aug","Sep","Oct","Nov","Dec"},0),D2233)</f>
        <v>30468</v>
      </c>
      <c r="K2233">
        <f t="shared" si="34"/>
        <v>40</v>
      </c>
    </row>
    <row r="2234" spans="1:11" x14ac:dyDescent="0.35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 s="15">
        <v>39871.699999999997</v>
      </c>
      <c r="G2234" t="s">
        <v>16</v>
      </c>
      <c r="H2234" t="s">
        <v>11</v>
      </c>
      <c r="I2234" t="s">
        <v>13</v>
      </c>
      <c r="J2234" s="11">
        <f>DATE(B2234,MATCH(C2234,{"Jan","Feb","Mar","Apr","May","Jun","Jul","Aug","Sep","Oct","Nov","Dec"},0),D2234)</f>
        <v>31281</v>
      </c>
      <c r="K2234">
        <f t="shared" si="34"/>
        <v>37</v>
      </c>
    </row>
    <row r="2235" spans="1:11" x14ac:dyDescent="0.35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 s="15">
        <v>39963.120000000003</v>
      </c>
      <c r="G2235" t="s">
        <v>11</v>
      </c>
      <c r="H2235" t="s">
        <v>11</v>
      </c>
      <c r="I2235" t="s">
        <v>42</v>
      </c>
      <c r="J2235" s="11">
        <f>DATE(B2235,MATCH(C2235,{"Jan","Feb","Mar","Apr","May","Jun","Jul","Aug","Sep","Oct","Nov","Dec"},0),D2235)</f>
        <v>27730</v>
      </c>
      <c r="K2235">
        <f t="shared" si="34"/>
        <v>47</v>
      </c>
    </row>
    <row r="2236" spans="1:11" x14ac:dyDescent="0.35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 s="15">
        <v>39983.43</v>
      </c>
      <c r="G2236" t="s">
        <v>11</v>
      </c>
      <c r="H2236" t="s">
        <v>12</v>
      </c>
      <c r="I2236" t="s">
        <v>23</v>
      </c>
      <c r="J2236" s="11">
        <f>DATE(B2236,MATCH(C2236,{"Jan","Feb","Mar","Apr","May","Jun","Jul","Aug","Sep","Oct","Nov","Dec"},0),D2236)</f>
        <v>31997</v>
      </c>
      <c r="K2236">
        <f t="shared" si="34"/>
        <v>35</v>
      </c>
    </row>
    <row r="2237" spans="1:11" x14ac:dyDescent="0.35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 s="15">
        <v>40003.33</v>
      </c>
      <c r="G2237" t="s">
        <v>16</v>
      </c>
      <c r="H2237" t="s">
        <v>16</v>
      </c>
      <c r="I2237" t="s">
        <v>23</v>
      </c>
      <c r="J2237" s="11">
        <f>DATE(B2237,MATCH(C2237,{"Jan","Feb","Mar","Apr","May","Jun","Jul","Aug","Sep","Oct","Nov","Dec"},0),D2237)</f>
        <v>30310</v>
      </c>
      <c r="K2237">
        <f t="shared" si="34"/>
        <v>40</v>
      </c>
    </row>
    <row r="2238" spans="1:11" x14ac:dyDescent="0.35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 s="15">
        <v>40054.730000000003</v>
      </c>
      <c r="G2238" t="s">
        <v>16</v>
      </c>
      <c r="H2238" t="s">
        <v>12</v>
      </c>
      <c r="I2238" t="s">
        <v>42</v>
      </c>
      <c r="J2238" s="11">
        <f>DATE(B2238,MATCH(C2238,{"Jan","Feb","Mar","Apr","May","Jun","Jul","Aug","Sep","Oct","Nov","Dec"},0),D2238)</f>
        <v>28844</v>
      </c>
      <c r="K2238">
        <f t="shared" si="34"/>
        <v>44</v>
      </c>
    </row>
    <row r="2239" spans="1:11" x14ac:dyDescent="0.35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 s="15">
        <v>40069.440000000002</v>
      </c>
      <c r="G2239" t="s">
        <v>16</v>
      </c>
      <c r="H2239" t="s">
        <v>12</v>
      </c>
      <c r="I2239" t="s">
        <v>42</v>
      </c>
      <c r="J2239" s="11">
        <f>DATE(B2239,MATCH(C2239,{"Jan","Feb","Mar","Apr","May","Jun","Jul","Aug","Sep","Oct","Nov","Dec"},0),D2239)</f>
        <v>24331</v>
      </c>
      <c r="K2239">
        <f t="shared" si="34"/>
        <v>56</v>
      </c>
    </row>
    <row r="2240" spans="1:11" x14ac:dyDescent="0.35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 s="15">
        <v>40103.89</v>
      </c>
      <c r="G2240" t="s">
        <v>16</v>
      </c>
      <c r="H2240" t="s">
        <v>11</v>
      </c>
      <c r="I2240" t="s">
        <v>42</v>
      </c>
      <c r="J2240" s="11">
        <f>DATE(B2240,MATCH(C2240,{"Jan","Feb","Mar","Apr","May","Jun","Jul","Aug","Sep","Oct","Nov","Dec"},0),D2240)</f>
        <v>30603</v>
      </c>
      <c r="K2240">
        <f t="shared" si="34"/>
        <v>39</v>
      </c>
    </row>
    <row r="2241" spans="1:11" x14ac:dyDescent="0.35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 s="15">
        <v>40182.25</v>
      </c>
      <c r="G2241" t="s">
        <v>16</v>
      </c>
      <c r="H2241" t="s">
        <v>11</v>
      </c>
      <c r="I2241" t="s">
        <v>42</v>
      </c>
      <c r="J2241" s="11">
        <f>DATE(B2241,MATCH(C2241,{"Jan","Feb","Mar","Apr","May","Jun","Jul","Aug","Sep","Oct","Nov","Dec"},0),D2241)</f>
        <v>31341</v>
      </c>
      <c r="K2241">
        <f t="shared" si="34"/>
        <v>37</v>
      </c>
    </row>
    <row r="2242" spans="1:11" x14ac:dyDescent="0.35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 s="15">
        <v>40204.83</v>
      </c>
      <c r="G2242" t="s">
        <v>16</v>
      </c>
      <c r="H2242" t="s">
        <v>12</v>
      </c>
      <c r="I2242" t="s">
        <v>23</v>
      </c>
      <c r="J2242" s="11">
        <f>DATE(B2242,MATCH(C2242,{"Jan","Feb","Mar","Apr","May","Jun","Jul","Aug","Sep","Oct","Nov","Dec"},0),D2242)</f>
        <v>29085</v>
      </c>
      <c r="K2242">
        <f t="shared" si="34"/>
        <v>43</v>
      </c>
    </row>
    <row r="2243" spans="1:11" x14ac:dyDescent="0.35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 s="15">
        <v>40208.559999999998</v>
      </c>
      <c r="G2243" t="s">
        <v>16</v>
      </c>
      <c r="H2243" t="s">
        <v>11</v>
      </c>
      <c r="I2243" t="s">
        <v>42</v>
      </c>
      <c r="J2243" s="11">
        <f>DATE(B2243,MATCH(C2243,{"Jan","Feb","Mar","Apr","May","Jun","Jul","Aug","Sep","Oct","Nov","Dec"},0),D2243)</f>
        <v>29795</v>
      </c>
      <c r="K2243">
        <f t="shared" ref="K2243:K2306" si="35">DATEDIF(J2243,$N$1,"Y")</f>
        <v>41</v>
      </c>
    </row>
    <row r="2244" spans="1:11" x14ac:dyDescent="0.35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 s="15">
        <v>40273.65</v>
      </c>
      <c r="G2244" t="s">
        <v>16</v>
      </c>
      <c r="H2244" t="s">
        <v>12</v>
      </c>
      <c r="I2244" t="s">
        <v>13</v>
      </c>
      <c r="J2244" s="11">
        <f>DATE(B2244,MATCH(C2244,{"Jan","Feb","Mar","Apr","May","Jun","Jul","Aug","Sep","Oct","Nov","Dec"},0),D2244)</f>
        <v>29863</v>
      </c>
      <c r="K2244">
        <f t="shared" si="35"/>
        <v>41</v>
      </c>
    </row>
    <row r="2245" spans="1:11" x14ac:dyDescent="0.35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 s="15">
        <v>40284.379999999997</v>
      </c>
      <c r="G2245" t="s">
        <v>16</v>
      </c>
      <c r="H2245" t="s">
        <v>12</v>
      </c>
      <c r="I2245" t="s">
        <v>23</v>
      </c>
      <c r="J2245" s="11">
        <f>DATE(B2245,MATCH(C2245,{"Jan","Feb","Mar","Apr","May","Jun","Jul","Aug","Sep","Oct","Nov","Dec"},0),D2245)</f>
        <v>28303</v>
      </c>
      <c r="K2245">
        <f t="shared" si="35"/>
        <v>45</v>
      </c>
    </row>
    <row r="2246" spans="1:11" x14ac:dyDescent="0.35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 s="15">
        <v>40309.93</v>
      </c>
      <c r="G2246" t="s">
        <v>16</v>
      </c>
      <c r="H2246" t="s">
        <v>12</v>
      </c>
      <c r="I2246" t="s">
        <v>42</v>
      </c>
      <c r="J2246" s="11">
        <f>DATE(B2246,MATCH(C2246,{"Jan","Feb","Mar","Apr","May","Jun","Jul","Aug","Sep","Oct","Nov","Dec"},0),D2246)</f>
        <v>22893</v>
      </c>
      <c r="K2246">
        <f t="shared" si="35"/>
        <v>60</v>
      </c>
    </row>
    <row r="2247" spans="1:11" x14ac:dyDescent="0.35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 s="15">
        <v>40373.74</v>
      </c>
      <c r="G2247" t="s">
        <v>16</v>
      </c>
      <c r="H2247" t="s">
        <v>12</v>
      </c>
      <c r="I2247" t="s">
        <v>42</v>
      </c>
      <c r="J2247" s="11">
        <f>DATE(B2247,MATCH(C2247,{"Jan","Feb","Mar","Apr","May","Jun","Jul","Aug","Sep","Oct","Nov","Dec"},0),D2247)</f>
        <v>24331</v>
      </c>
      <c r="K2247">
        <f t="shared" si="35"/>
        <v>56</v>
      </c>
    </row>
    <row r="2248" spans="1:11" x14ac:dyDescent="0.35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 s="15">
        <v>40419.019999999997</v>
      </c>
      <c r="G2248" t="s">
        <v>16</v>
      </c>
      <c r="H2248" t="s">
        <v>11</v>
      </c>
      <c r="I2248" t="s">
        <v>13</v>
      </c>
      <c r="J2248" s="11">
        <f>DATE(B2248,MATCH(C2248,{"Jan","Feb","Mar","Apr","May","Jun","Jul","Aug","Sep","Oct","Nov","Dec"},0),D2248)</f>
        <v>31354</v>
      </c>
      <c r="K2248">
        <f t="shared" si="35"/>
        <v>37</v>
      </c>
    </row>
    <row r="2249" spans="1:11" x14ac:dyDescent="0.35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 s="15">
        <v>40590.550000000003</v>
      </c>
      <c r="G2249" t="s">
        <v>16</v>
      </c>
      <c r="H2249" t="s">
        <v>12</v>
      </c>
      <c r="I2249" t="s">
        <v>23</v>
      </c>
      <c r="J2249" s="11">
        <f>DATE(B2249,MATCH(C2249,{"Jan","Feb","Mar","Apr","May","Jun","Jul","Aug","Sep","Oct","Nov","Dec"},0),D2249)</f>
        <v>27585</v>
      </c>
      <c r="K2249">
        <f t="shared" si="35"/>
        <v>47</v>
      </c>
    </row>
    <row r="2250" spans="1:11" x14ac:dyDescent="0.35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 s="15">
        <v>40692.910000000003</v>
      </c>
      <c r="G2250" t="s">
        <v>16</v>
      </c>
      <c r="H2250" t="s">
        <v>16</v>
      </c>
      <c r="I2250" t="s">
        <v>42</v>
      </c>
      <c r="J2250" s="11">
        <f>DATE(B2250,MATCH(C2250,{"Jan","Feb","Mar","Apr","May","Jun","Jul","Aug","Sep","Oct","Nov","Dec"},0),D2250)</f>
        <v>25836</v>
      </c>
      <c r="K2250">
        <f t="shared" si="35"/>
        <v>52</v>
      </c>
    </row>
    <row r="2251" spans="1:11" x14ac:dyDescent="0.35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 s="15">
        <v>40720.550000000003</v>
      </c>
      <c r="G2251" t="s">
        <v>16</v>
      </c>
      <c r="H2251" t="s">
        <v>12</v>
      </c>
      <c r="I2251" t="s">
        <v>23</v>
      </c>
      <c r="J2251" s="11">
        <f>DATE(B2251,MATCH(C2251,{"Jan","Feb","Mar","Apr","May","Jun","Jul","Aug","Sep","Oct","Nov","Dec"},0),D2251)</f>
        <v>28120</v>
      </c>
      <c r="K2251">
        <f t="shared" si="35"/>
        <v>46</v>
      </c>
    </row>
    <row r="2252" spans="1:11" x14ac:dyDescent="0.35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 s="15">
        <v>40817.85</v>
      </c>
      <c r="G2252" t="s">
        <v>16</v>
      </c>
      <c r="H2252" t="s">
        <v>12</v>
      </c>
      <c r="I2252" t="s">
        <v>42</v>
      </c>
      <c r="J2252" s="11">
        <f>DATE(B2252,MATCH(C2252,{"Jan","Feb","Mar","Apr","May","Jun","Jul","Aug","Sep","Oct","Nov","Dec"},0),D2252)</f>
        <v>26460</v>
      </c>
      <c r="K2252">
        <f t="shared" si="35"/>
        <v>50</v>
      </c>
    </row>
    <row r="2253" spans="1:11" x14ac:dyDescent="0.35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 s="15">
        <v>40904.199999999997</v>
      </c>
      <c r="G2253" t="s">
        <v>16</v>
      </c>
      <c r="H2253" t="s">
        <v>16</v>
      </c>
      <c r="I2253" t="s">
        <v>247</v>
      </c>
      <c r="J2253" s="11">
        <f>DATE(B2253,MATCH(C2253,{"Jan","Feb","Mar","Apr","May","Jun","Jul","Aug","Sep","Oct","Nov","Dec"},0),D2253)</f>
        <v>36343</v>
      </c>
      <c r="K2253">
        <f t="shared" si="35"/>
        <v>23</v>
      </c>
    </row>
    <row r="2254" spans="1:11" x14ac:dyDescent="0.35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 s="15">
        <v>40932.43</v>
      </c>
      <c r="G2254" t="s">
        <v>16</v>
      </c>
      <c r="H2254" t="s">
        <v>11</v>
      </c>
      <c r="I2254" t="s">
        <v>13</v>
      </c>
      <c r="J2254" s="11">
        <f>DATE(B2254,MATCH(C2254,{"Jan","Feb","Mar","Apr","May","Jun","Jul","Aug","Sep","Oct","Nov","Dec"},0),D2254)</f>
        <v>33820</v>
      </c>
      <c r="K2254">
        <f t="shared" si="35"/>
        <v>30</v>
      </c>
    </row>
    <row r="2255" spans="1:11" x14ac:dyDescent="0.35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 s="15">
        <v>40941.29</v>
      </c>
      <c r="G2255" t="s">
        <v>16</v>
      </c>
      <c r="H2255" t="s">
        <v>11</v>
      </c>
      <c r="I2255" t="s">
        <v>13</v>
      </c>
      <c r="J2255" s="11">
        <f>DATE(B2255,MATCH(C2255,{"Jan","Feb","Mar","Apr","May","Jun","Jul","Aug","Sep","Oct","Nov","Dec"},0),D2255)</f>
        <v>29114</v>
      </c>
      <c r="K2255">
        <f t="shared" si="35"/>
        <v>43</v>
      </c>
    </row>
    <row r="2256" spans="1:11" x14ac:dyDescent="0.35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 s="15">
        <v>40961.29</v>
      </c>
      <c r="G2256" t="s">
        <v>16</v>
      </c>
      <c r="H2256" t="s">
        <v>11</v>
      </c>
      <c r="I2256" t="s">
        <v>42</v>
      </c>
      <c r="J2256" s="11">
        <f>DATE(B2256,MATCH(C2256,{"Jan","Feb","Mar","Apr","May","Jun","Jul","Aug","Sep","Oct","Nov","Dec"},0),D2256)</f>
        <v>30567</v>
      </c>
      <c r="K2256">
        <f t="shared" si="35"/>
        <v>39</v>
      </c>
    </row>
    <row r="2257" spans="1:11" x14ac:dyDescent="0.35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 s="15">
        <v>40974.160000000003</v>
      </c>
      <c r="G2257" t="s">
        <v>16</v>
      </c>
      <c r="H2257" t="s">
        <v>11</v>
      </c>
      <c r="I2257" t="s">
        <v>13</v>
      </c>
      <c r="J2257" s="11">
        <f>DATE(B2257,MATCH(C2257,{"Jan","Feb","Mar","Apr","May","Jun","Jul","Aug","Sep","Oct","Nov","Dec"},0),D2257)</f>
        <v>27185</v>
      </c>
      <c r="K2257">
        <f t="shared" si="35"/>
        <v>49</v>
      </c>
    </row>
    <row r="2258" spans="1:11" x14ac:dyDescent="0.35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 s="15">
        <v>41034.22</v>
      </c>
      <c r="G2258" t="s">
        <v>16</v>
      </c>
      <c r="H2258" t="s">
        <v>12</v>
      </c>
      <c r="I2258" t="s">
        <v>356</v>
      </c>
      <c r="J2258" s="11">
        <f>DATE(B2258,MATCH(C2258,{"Jan","Feb","Mar","Apr","May","Jun","Jul","Aug","Sep","Oct","Nov","Dec"},0),D2258)</f>
        <v>29139</v>
      </c>
      <c r="K2258">
        <f t="shared" si="35"/>
        <v>43</v>
      </c>
    </row>
    <row r="2259" spans="1:11" x14ac:dyDescent="0.35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 s="15">
        <v>41055.29</v>
      </c>
      <c r="G2259" t="s">
        <v>16</v>
      </c>
      <c r="H2259" t="s">
        <v>11</v>
      </c>
      <c r="I2259" t="s">
        <v>42</v>
      </c>
      <c r="J2259" s="11">
        <f>DATE(B2259,MATCH(C2259,{"Jan","Feb","Mar","Apr","May","Jun","Jul","Aug","Sep","Oct","Nov","Dec"},0),D2259)</f>
        <v>26523</v>
      </c>
      <c r="K2259">
        <f t="shared" si="35"/>
        <v>50</v>
      </c>
    </row>
    <row r="2260" spans="1:11" x14ac:dyDescent="0.35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 s="15">
        <v>41097.160000000003</v>
      </c>
      <c r="G2260" t="s">
        <v>16</v>
      </c>
      <c r="H2260" t="s">
        <v>12</v>
      </c>
      <c r="I2260" t="s">
        <v>168</v>
      </c>
      <c r="J2260" s="11">
        <f>DATE(B2260,MATCH(C2260,{"Jan","Feb","Mar","Apr","May","Jun","Jul","Aug","Sep","Oct","Nov","Dec"},0),D2260)</f>
        <v>26548</v>
      </c>
      <c r="K2260">
        <f t="shared" si="35"/>
        <v>50</v>
      </c>
    </row>
    <row r="2261" spans="1:11" x14ac:dyDescent="0.35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 s="15">
        <v>41191.57</v>
      </c>
      <c r="G2261" t="s">
        <v>16</v>
      </c>
      <c r="H2261" t="s">
        <v>11</v>
      </c>
      <c r="I2261" t="s">
        <v>42</v>
      </c>
      <c r="J2261" s="11">
        <f>DATE(B2261,MATCH(C2261,{"Jan","Feb","Mar","Apr","May","Jun","Jul","Aug","Sep","Oct","Nov","Dec"},0),D2261)</f>
        <v>25423</v>
      </c>
      <c r="K2261">
        <f t="shared" si="35"/>
        <v>53</v>
      </c>
    </row>
    <row r="2262" spans="1:11" x14ac:dyDescent="0.35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 s="15">
        <v>41250.39</v>
      </c>
      <c r="G2262" t="s">
        <v>16</v>
      </c>
      <c r="H2262" t="s">
        <v>12</v>
      </c>
      <c r="I2262" t="s">
        <v>42</v>
      </c>
      <c r="J2262" s="11">
        <f>DATE(B2262,MATCH(C2262,{"Jan","Feb","Mar","Apr","May","Jun","Jul","Aug","Sep","Oct","Nov","Dec"},0),D2262)</f>
        <v>23534</v>
      </c>
      <c r="K2262">
        <f t="shared" si="35"/>
        <v>59</v>
      </c>
    </row>
    <row r="2263" spans="1:11" x14ac:dyDescent="0.35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 s="15">
        <v>41271.5</v>
      </c>
      <c r="G2263" t="s">
        <v>16</v>
      </c>
      <c r="H2263" t="s">
        <v>11</v>
      </c>
      <c r="I2263" t="s">
        <v>42</v>
      </c>
      <c r="J2263" s="11">
        <f>DATE(B2263,MATCH(C2263,{"Jan","Feb","Mar","Apr","May","Jun","Jul","Aug","Sep","Oct","Nov","Dec"},0),D2263)</f>
        <v>28364</v>
      </c>
      <c r="K2263">
        <f t="shared" si="35"/>
        <v>45</v>
      </c>
    </row>
    <row r="2264" spans="1:11" x14ac:dyDescent="0.35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 s="15">
        <v>41331.79</v>
      </c>
      <c r="G2264" t="s">
        <v>16</v>
      </c>
      <c r="H2264" t="s">
        <v>11</v>
      </c>
      <c r="I2264" t="s">
        <v>42</v>
      </c>
      <c r="J2264" s="11">
        <f>DATE(B2264,MATCH(C2264,{"Jan","Feb","Mar","Apr","May","Jun","Jul","Aug","Sep","Oct","Nov","Dec"},0),D2264)</f>
        <v>23657</v>
      </c>
      <c r="K2264">
        <f t="shared" si="35"/>
        <v>58</v>
      </c>
    </row>
    <row r="2265" spans="1:11" x14ac:dyDescent="0.35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 s="15">
        <v>41351.879999999997</v>
      </c>
      <c r="G2265" t="s">
        <v>16</v>
      </c>
      <c r="H2265" t="s">
        <v>11</v>
      </c>
      <c r="I2265" t="s">
        <v>42</v>
      </c>
      <c r="J2265" s="11">
        <f>DATE(B2265,MATCH(C2265,{"Jan","Feb","Mar","Apr","May","Jun","Jul","Aug","Sep","Oct","Nov","Dec"},0),D2265)</f>
        <v>26222</v>
      </c>
      <c r="K2265">
        <f t="shared" si="35"/>
        <v>51</v>
      </c>
    </row>
    <row r="2266" spans="1:11" x14ac:dyDescent="0.35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 s="15">
        <v>41505.15</v>
      </c>
      <c r="G2266" t="s">
        <v>16</v>
      </c>
      <c r="H2266" t="s">
        <v>11</v>
      </c>
      <c r="I2266" t="s">
        <v>42</v>
      </c>
      <c r="J2266" s="11">
        <f>DATE(B2266,MATCH(C2266,{"Jan","Feb","Mar","Apr","May","Jun","Jul","Aug","Sep","Oct","Nov","Dec"},0),D2266)</f>
        <v>24828</v>
      </c>
      <c r="K2266">
        <f t="shared" si="35"/>
        <v>55</v>
      </c>
    </row>
    <row r="2267" spans="1:11" x14ac:dyDescent="0.35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 s="15">
        <v>41636.199999999997</v>
      </c>
      <c r="G2267" t="s">
        <v>16</v>
      </c>
      <c r="H2267" t="s">
        <v>16</v>
      </c>
      <c r="I2267" t="s">
        <v>42</v>
      </c>
      <c r="J2267" s="11">
        <f>DATE(B2267,MATCH(C2267,{"Jan","Feb","Mar","Apr","May","Jun","Jul","Aug","Sep","Oct","Nov","Dec"},0),D2267)</f>
        <v>27357</v>
      </c>
      <c r="K2267">
        <f t="shared" si="35"/>
        <v>48</v>
      </c>
    </row>
    <row r="2268" spans="1:11" x14ac:dyDescent="0.35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 s="15">
        <v>41661.599999999999</v>
      </c>
      <c r="G2268" t="s">
        <v>16</v>
      </c>
      <c r="H2268" t="s">
        <v>12</v>
      </c>
      <c r="I2268" t="s">
        <v>42</v>
      </c>
      <c r="J2268" s="11">
        <f>DATE(B2268,MATCH(C2268,{"Jan","Feb","Mar","Apr","May","Jun","Jul","Aug","Sep","Oct","Nov","Dec"},0),D2268)</f>
        <v>28062</v>
      </c>
      <c r="K2268">
        <f t="shared" si="35"/>
        <v>46</v>
      </c>
    </row>
    <row r="2269" spans="1:11" x14ac:dyDescent="0.35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 s="15">
        <v>41676.080000000002</v>
      </c>
      <c r="G2269" t="s">
        <v>16</v>
      </c>
      <c r="H2269" t="s">
        <v>11</v>
      </c>
      <c r="I2269" t="s">
        <v>13</v>
      </c>
      <c r="J2269" s="11">
        <f>DATE(B2269,MATCH(C2269,{"Jan","Feb","Mar","Apr","May","Jun","Jul","Aug","Sep","Oct","Nov","Dec"},0),D2269)</f>
        <v>27712</v>
      </c>
      <c r="K2269">
        <f t="shared" si="35"/>
        <v>47</v>
      </c>
    </row>
    <row r="2270" spans="1:11" x14ac:dyDescent="0.35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 s="15">
        <v>41681.86</v>
      </c>
      <c r="G2270" t="s">
        <v>16</v>
      </c>
      <c r="H2270" t="s">
        <v>16</v>
      </c>
      <c r="I2270" t="s">
        <v>42</v>
      </c>
      <c r="J2270" s="11">
        <f>DATE(B2270,MATCH(C2270,{"Jan","Feb","Mar","Apr","May","Jun","Jul","Aug","Sep","Oct","Nov","Dec"},0),D2270)</f>
        <v>27666</v>
      </c>
      <c r="K2270">
        <f t="shared" si="35"/>
        <v>47</v>
      </c>
    </row>
    <row r="2271" spans="1:11" x14ac:dyDescent="0.35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 s="15">
        <v>41794.629999999997</v>
      </c>
      <c r="G2271" t="s">
        <v>16</v>
      </c>
      <c r="H2271" t="s">
        <v>12</v>
      </c>
      <c r="I2271" t="s">
        <v>42</v>
      </c>
      <c r="J2271" s="11">
        <f>DATE(B2271,MATCH(C2271,{"Jan","Feb","Mar","Apr","May","Jun","Jul","Aug","Sep","Oct","Nov","Dec"},0),D2271)</f>
        <v>22911</v>
      </c>
      <c r="K2271">
        <f t="shared" si="35"/>
        <v>60</v>
      </c>
    </row>
    <row r="2272" spans="1:11" x14ac:dyDescent="0.35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 s="15">
        <v>41886.54</v>
      </c>
      <c r="G2272" t="s">
        <v>16</v>
      </c>
      <c r="H2272" t="s">
        <v>12</v>
      </c>
      <c r="I2272" t="s">
        <v>42</v>
      </c>
      <c r="J2272" s="11">
        <f>DATE(B2272,MATCH(C2272,{"Jan","Feb","Mar","Apr","May","Jun","Jul","Aug","Sep","Oct","Nov","Dec"},0),D2272)</f>
        <v>24371</v>
      </c>
      <c r="K2272">
        <f t="shared" si="35"/>
        <v>56</v>
      </c>
    </row>
    <row r="2273" spans="1:11" x14ac:dyDescent="0.35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 s="15">
        <v>41919.1</v>
      </c>
      <c r="G2273" t="s">
        <v>16</v>
      </c>
      <c r="H2273" t="s">
        <v>16</v>
      </c>
      <c r="I2273" t="s">
        <v>168</v>
      </c>
      <c r="J2273" s="11">
        <f>DATE(B2273,MATCH(C2273,{"Jan","Feb","Mar","Apr","May","Jun","Jul","Aug","Sep","Oct","Nov","Dec"},0),D2273)</f>
        <v>26458</v>
      </c>
      <c r="K2273">
        <f t="shared" si="35"/>
        <v>51</v>
      </c>
    </row>
    <row r="2274" spans="1:11" x14ac:dyDescent="0.35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 s="15">
        <v>41949.24</v>
      </c>
      <c r="G2274" t="s">
        <v>16</v>
      </c>
      <c r="H2274" t="s">
        <v>16</v>
      </c>
      <c r="I2274" t="s">
        <v>13</v>
      </c>
      <c r="J2274" s="11">
        <f>DATE(B2274,MATCH(C2274,{"Jan","Feb","Mar","Apr","May","Jun","Jul","Aug","Sep","Oct","Nov","Dec"},0),D2274)</f>
        <v>30996</v>
      </c>
      <c r="K2274">
        <f t="shared" si="35"/>
        <v>38</v>
      </c>
    </row>
    <row r="2275" spans="1:11" x14ac:dyDescent="0.35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 s="15">
        <v>41999.519999999997</v>
      </c>
      <c r="G2275" t="s">
        <v>16</v>
      </c>
      <c r="H2275" t="s">
        <v>12</v>
      </c>
      <c r="I2275" t="s">
        <v>13</v>
      </c>
      <c r="J2275" s="11">
        <f>DATE(B2275,MATCH(C2275,{"Jan","Feb","Mar","Apr","May","Jun","Jul","Aug","Sep","Oct","Nov","Dec"},0),D2275)</f>
        <v>25191</v>
      </c>
      <c r="K2275">
        <f t="shared" si="35"/>
        <v>54</v>
      </c>
    </row>
    <row r="2276" spans="1:11" x14ac:dyDescent="0.35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 s="15">
        <v>42111.66</v>
      </c>
      <c r="G2276" t="s">
        <v>16</v>
      </c>
      <c r="H2276" t="s">
        <v>16</v>
      </c>
      <c r="I2276" t="s">
        <v>247</v>
      </c>
      <c r="J2276" s="11">
        <f>DATE(B2276,MATCH(C2276,{"Jan","Feb","Mar","Apr","May","Jun","Jul","Aug","Sep","Oct","Nov","Dec"},0),D2276)</f>
        <v>28092</v>
      </c>
      <c r="K2276">
        <f t="shared" si="35"/>
        <v>46</v>
      </c>
    </row>
    <row r="2277" spans="1:11" x14ac:dyDescent="0.35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 s="15">
        <v>42112.24</v>
      </c>
      <c r="G2277" t="s">
        <v>16</v>
      </c>
      <c r="H2277" t="s">
        <v>12</v>
      </c>
      <c r="I2277" t="s">
        <v>13</v>
      </c>
      <c r="J2277" s="11">
        <f>DATE(B2277,MATCH(C2277,{"Jan","Feb","Mar","Apr","May","Jun","Jul","Aug","Sep","Oct","Nov","Dec"},0),D2277)</f>
        <v>35773</v>
      </c>
      <c r="K2277">
        <f t="shared" si="35"/>
        <v>25</v>
      </c>
    </row>
    <row r="2278" spans="1:11" x14ac:dyDescent="0.35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 s="15">
        <v>42124.52</v>
      </c>
      <c r="G2278" t="s">
        <v>16</v>
      </c>
      <c r="H2278" t="s">
        <v>16</v>
      </c>
      <c r="I2278" t="s">
        <v>13</v>
      </c>
      <c r="J2278" s="11">
        <f>DATE(B2278,MATCH(C2278,{"Jan","Feb","Mar","Apr","May","Jun","Jul","Aug","Sep","Oct","Nov","Dec"},0),D2278)</f>
        <v>29039</v>
      </c>
      <c r="K2278">
        <f t="shared" si="35"/>
        <v>43</v>
      </c>
    </row>
    <row r="2279" spans="1:11" x14ac:dyDescent="0.35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 s="15">
        <v>42188.15</v>
      </c>
      <c r="G2279" t="s">
        <v>16</v>
      </c>
      <c r="H2279" t="s">
        <v>16</v>
      </c>
      <c r="I2279" t="s">
        <v>42</v>
      </c>
      <c r="J2279" s="11">
        <f>DATE(B2279,MATCH(C2279,{"Jan","Feb","Mar","Apr","May","Jun","Jul","Aug","Sep","Oct","Nov","Dec"},0),D2279)</f>
        <v>26925</v>
      </c>
      <c r="K2279">
        <f t="shared" si="35"/>
        <v>49</v>
      </c>
    </row>
    <row r="2280" spans="1:11" x14ac:dyDescent="0.35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 s="15">
        <v>42211.14</v>
      </c>
      <c r="G2280" t="s">
        <v>16</v>
      </c>
      <c r="H2280" t="s">
        <v>12</v>
      </c>
      <c r="I2280" t="s">
        <v>13</v>
      </c>
      <c r="J2280" s="11">
        <f>DATE(B2280,MATCH(C2280,{"Jan","Feb","Mar","Apr","May","Jun","Jul","Aug","Sep","Oct","Nov","Dec"},0),D2280)</f>
        <v>27621</v>
      </c>
      <c r="K2280">
        <f t="shared" si="35"/>
        <v>47</v>
      </c>
    </row>
    <row r="2281" spans="1:11" x14ac:dyDescent="0.35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 s="15">
        <v>42303.69</v>
      </c>
      <c r="G2281" t="s">
        <v>16</v>
      </c>
      <c r="H2281" t="s">
        <v>11</v>
      </c>
      <c r="I2281" t="s">
        <v>168</v>
      </c>
      <c r="J2281" s="11">
        <f>DATE(B2281,MATCH(C2281,{"Jan","Feb","Mar","Apr","May","Jun","Jul","Aug","Sep","Oct","Nov","Dec"},0),D2281)</f>
        <v>24651</v>
      </c>
      <c r="K2281">
        <f t="shared" si="35"/>
        <v>55</v>
      </c>
    </row>
    <row r="2282" spans="1:11" x14ac:dyDescent="0.35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 s="15">
        <v>42478.6</v>
      </c>
      <c r="G2282" t="s">
        <v>16</v>
      </c>
      <c r="H2282" t="s">
        <v>11</v>
      </c>
      <c r="I2282" t="s">
        <v>42</v>
      </c>
      <c r="J2282" s="11">
        <f>DATE(B2282,MATCH(C2282,{"Jan","Feb","Mar","Apr","May","Jun","Jul","Aug","Sep","Oct","Nov","Dec"},0),D2282)</f>
        <v>25053</v>
      </c>
      <c r="K2282">
        <f t="shared" si="35"/>
        <v>54</v>
      </c>
    </row>
    <row r="2283" spans="1:11" x14ac:dyDescent="0.35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 s="15">
        <v>42538.720000000001</v>
      </c>
      <c r="G2283" t="s">
        <v>16</v>
      </c>
      <c r="H2283" t="s">
        <v>12</v>
      </c>
      <c r="I2283" t="s">
        <v>42</v>
      </c>
      <c r="J2283" s="11">
        <f>DATE(B2283,MATCH(C2283,{"Jan","Feb","Mar","Apr","May","Jun","Jul","Aug","Sep","Oct","Nov","Dec"},0),D2283)</f>
        <v>24650</v>
      </c>
      <c r="K2283">
        <f t="shared" si="35"/>
        <v>55</v>
      </c>
    </row>
    <row r="2284" spans="1:11" x14ac:dyDescent="0.35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 s="15">
        <v>42560.43</v>
      </c>
      <c r="G2284" t="s">
        <v>16</v>
      </c>
      <c r="H2284" t="s">
        <v>12</v>
      </c>
      <c r="I2284" t="s">
        <v>13</v>
      </c>
      <c r="J2284" s="11">
        <f>DATE(B2284,MATCH(C2284,{"Jan","Feb","Mar","Apr","May","Jun","Jul","Aug","Sep","Oct","Nov","Dec"},0),D2284)</f>
        <v>29216</v>
      </c>
      <c r="K2284">
        <f t="shared" si="35"/>
        <v>43</v>
      </c>
    </row>
    <row r="2285" spans="1:11" x14ac:dyDescent="0.35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 s="15">
        <v>42644.2</v>
      </c>
      <c r="G2285" t="s">
        <v>16</v>
      </c>
      <c r="H2285" t="s">
        <v>12</v>
      </c>
      <c r="I2285" t="s">
        <v>42</v>
      </c>
      <c r="J2285" s="11">
        <f>DATE(B2285,MATCH(C2285,{"Jan","Feb","Mar","Apr","May","Jun","Jul","Aug","Sep","Oct","Nov","Dec"},0),D2285)</f>
        <v>26240</v>
      </c>
      <c r="K2285">
        <f t="shared" si="35"/>
        <v>51</v>
      </c>
    </row>
    <row r="2286" spans="1:11" x14ac:dyDescent="0.35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 s="15">
        <v>42760.5</v>
      </c>
      <c r="G2286" t="s">
        <v>16</v>
      </c>
      <c r="H2286" t="s">
        <v>11</v>
      </c>
      <c r="I2286" t="s">
        <v>23</v>
      </c>
      <c r="J2286" s="11">
        <f>DATE(B2286,MATCH(C2286,{"Jan","Feb","Mar","Apr","May","Jun","Jul","Aug","Sep","Oct","Nov","Dec"},0),D2286)</f>
        <v>28419</v>
      </c>
      <c r="K2286">
        <f t="shared" si="35"/>
        <v>45</v>
      </c>
    </row>
    <row r="2287" spans="1:11" x14ac:dyDescent="0.35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 s="15">
        <v>42764.12</v>
      </c>
      <c r="G2287" t="s">
        <v>16</v>
      </c>
      <c r="H2287" t="s">
        <v>11</v>
      </c>
      <c r="I2287" t="s">
        <v>42</v>
      </c>
      <c r="J2287" s="11">
        <f>DATE(B2287,MATCH(C2287,{"Jan","Feb","Mar","Apr","May","Jun","Jul","Aug","Sep","Oct","Nov","Dec"},0),D2287)</f>
        <v>24044</v>
      </c>
      <c r="K2287">
        <f t="shared" si="35"/>
        <v>57</v>
      </c>
    </row>
    <row r="2288" spans="1:11" x14ac:dyDescent="0.35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 s="15">
        <v>42856.84</v>
      </c>
      <c r="G2288" t="s">
        <v>16</v>
      </c>
      <c r="H2288" t="s">
        <v>16</v>
      </c>
      <c r="I2288" t="s">
        <v>42</v>
      </c>
      <c r="J2288" s="11">
        <f>DATE(B2288,MATCH(C2288,{"Jan","Feb","Mar","Apr","May","Jun","Jul","Aug","Sep","Oct","Nov","Dec"},0),D2288)</f>
        <v>26552</v>
      </c>
      <c r="K2288">
        <f t="shared" si="35"/>
        <v>50</v>
      </c>
    </row>
    <row r="2289" spans="1:11" x14ac:dyDescent="0.35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 s="15">
        <v>42969.85</v>
      </c>
      <c r="G2289" t="s">
        <v>16</v>
      </c>
      <c r="H2289" t="s">
        <v>12</v>
      </c>
      <c r="I2289" t="s">
        <v>13</v>
      </c>
      <c r="J2289" s="11">
        <f>DATE(B2289,MATCH(C2289,{"Jan","Feb","Mar","Apr","May","Jun","Jul","Aug","Sep","Oct","Nov","Dec"},0),D2289)</f>
        <v>27690</v>
      </c>
      <c r="K2289">
        <f t="shared" si="35"/>
        <v>47</v>
      </c>
    </row>
    <row r="2290" spans="1:11" x14ac:dyDescent="0.35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 s="15">
        <v>42983.46</v>
      </c>
      <c r="G2290" t="s">
        <v>16</v>
      </c>
      <c r="H2290" t="s">
        <v>11</v>
      </c>
      <c r="I2290" t="s">
        <v>23</v>
      </c>
      <c r="J2290" s="11">
        <f>DATE(B2290,MATCH(C2290,{"Jan","Feb","Mar","Apr","May","Jun","Jul","Aug","Sep","Oct","Nov","Dec"},0),D2290)</f>
        <v>28798</v>
      </c>
      <c r="K2290">
        <f t="shared" si="35"/>
        <v>44</v>
      </c>
    </row>
    <row r="2291" spans="1:11" x14ac:dyDescent="0.35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 s="15">
        <v>43073.760000000002</v>
      </c>
      <c r="G2291" t="s">
        <v>11</v>
      </c>
      <c r="H2291" t="s">
        <v>11</v>
      </c>
      <c r="I2291" t="s">
        <v>42</v>
      </c>
      <c r="J2291" s="11">
        <f>DATE(B2291,MATCH(C2291,{"Jan","Feb","Mar","Apr","May","Jun","Jul","Aug","Sep","Oct","Nov","Dec"},0),D2291)</f>
        <v>24075</v>
      </c>
      <c r="K2291">
        <f t="shared" si="35"/>
        <v>57</v>
      </c>
    </row>
    <row r="2292" spans="1:11" x14ac:dyDescent="0.35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 s="15">
        <v>43254.42</v>
      </c>
      <c r="G2292" t="s">
        <v>11</v>
      </c>
      <c r="H2292" t="s">
        <v>11</v>
      </c>
      <c r="I2292" t="s">
        <v>168</v>
      </c>
      <c r="J2292" s="11">
        <f>DATE(B2292,MATCH(C2292,{"Jan","Feb","Mar","Apr","May","Jun","Jul","Aug","Sep","Oct","Nov","Dec"},0),D2292)</f>
        <v>25540</v>
      </c>
      <c r="K2292">
        <f t="shared" si="35"/>
        <v>53</v>
      </c>
    </row>
    <row r="2293" spans="1:11" x14ac:dyDescent="0.35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 s="15">
        <v>43578.94</v>
      </c>
      <c r="G2293" t="s">
        <v>11</v>
      </c>
      <c r="H2293" t="s">
        <v>11</v>
      </c>
      <c r="I2293" t="s">
        <v>23</v>
      </c>
      <c r="J2293" s="11">
        <f>DATE(B2293,MATCH(C2293,{"Jan","Feb","Mar","Apr","May","Jun","Jul","Aug","Sep","Oct","Nov","Dec"},0),D2293)</f>
        <v>23976</v>
      </c>
      <c r="K2293">
        <f t="shared" si="35"/>
        <v>57</v>
      </c>
    </row>
    <row r="2294" spans="1:11" x14ac:dyDescent="0.35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 s="15">
        <v>43753.34</v>
      </c>
      <c r="G2294" t="s">
        <v>11</v>
      </c>
      <c r="H2294" t="s">
        <v>16</v>
      </c>
      <c r="I2294" t="s">
        <v>164</v>
      </c>
      <c r="J2294" s="11">
        <f>DATE(B2294,MATCH(C2294,{"Jan","Feb","Mar","Apr","May","Jun","Jul","Aug","Sep","Oct","Nov","Dec"},0),D2294)</f>
        <v>31775</v>
      </c>
      <c r="K2294">
        <f t="shared" si="35"/>
        <v>36</v>
      </c>
    </row>
    <row r="2295" spans="1:11" x14ac:dyDescent="0.35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 s="15">
        <v>43813.87</v>
      </c>
      <c r="G2295" t="s">
        <v>11</v>
      </c>
      <c r="H2295" t="s">
        <v>11</v>
      </c>
      <c r="I2295" t="s">
        <v>13</v>
      </c>
      <c r="J2295" s="11">
        <f>DATE(B2295,MATCH(C2295,{"Jan","Feb","Mar","Apr","May","Jun","Jul","Aug","Sep","Oct","Nov","Dec"},0),D2295)</f>
        <v>24405</v>
      </c>
      <c r="K2295">
        <f t="shared" si="35"/>
        <v>56</v>
      </c>
    </row>
    <row r="2296" spans="1:11" x14ac:dyDescent="0.35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 s="15">
        <v>43817.45</v>
      </c>
      <c r="G2296" t="s">
        <v>11</v>
      </c>
      <c r="H2296" t="s">
        <v>12</v>
      </c>
      <c r="I2296" t="s">
        <v>23</v>
      </c>
      <c r="J2296" s="11">
        <f>DATE(B2296,MATCH(C2296,{"Jan","Feb","Mar","Apr","May","Jun","Jul","Aug","Sep","Oct","Nov","Dec"},0),D2296)</f>
        <v>24290</v>
      </c>
      <c r="K2296">
        <f t="shared" si="35"/>
        <v>56</v>
      </c>
    </row>
    <row r="2297" spans="1:11" x14ac:dyDescent="0.35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 s="15">
        <v>43896.38</v>
      </c>
      <c r="G2297" t="s">
        <v>11</v>
      </c>
      <c r="H2297" t="s">
        <v>16</v>
      </c>
      <c r="I2297" t="s">
        <v>13</v>
      </c>
      <c r="J2297" s="11">
        <f>DATE(B2297,MATCH(C2297,{"Jan","Feb","Mar","Apr","May","Jun","Jul","Aug","Sep","Oct","Nov","Dec"},0),D2297)</f>
        <v>29535</v>
      </c>
      <c r="K2297">
        <f t="shared" si="35"/>
        <v>42</v>
      </c>
    </row>
    <row r="2298" spans="1:11" x14ac:dyDescent="0.35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 s="15">
        <v>43921.18</v>
      </c>
      <c r="G2298" t="s">
        <v>11</v>
      </c>
      <c r="H2298" t="s">
        <v>11</v>
      </c>
      <c r="I2298" t="s">
        <v>23</v>
      </c>
      <c r="J2298" s="11">
        <f>DATE(B2298,MATCH(C2298,{"Jan","Feb","Mar","Apr","May","Jun","Jul","Aug","Sep","Oct","Nov","Dec"},0),D2298)</f>
        <v>24385</v>
      </c>
      <c r="K2298">
        <f t="shared" si="35"/>
        <v>56</v>
      </c>
    </row>
    <row r="2299" spans="1:11" x14ac:dyDescent="0.35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 s="15">
        <v>43943.88</v>
      </c>
      <c r="G2299" t="s">
        <v>11</v>
      </c>
      <c r="H2299" t="s">
        <v>16</v>
      </c>
      <c r="I2299" t="s">
        <v>23</v>
      </c>
      <c r="J2299" s="11">
        <f>DATE(B2299,MATCH(C2299,{"Jan","Feb","Mar","Apr","May","Jun","Jul","Aug","Sep","Oct","Nov","Dec"},0),D2299)</f>
        <v>32340</v>
      </c>
      <c r="K2299">
        <f t="shared" si="35"/>
        <v>34</v>
      </c>
    </row>
    <row r="2300" spans="1:11" x14ac:dyDescent="0.35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 s="15">
        <v>44202.65</v>
      </c>
      <c r="G2300" t="s">
        <v>11</v>
      </c>
      <c r="H2300" t="s">
        <v>11</v>
      </c>
      <c r="I2300" t="s">
        <v>13</v>
      </c>
      <c r="J2300" s="11">
        <f>DATE(B2300,MATCH(C2300,{"Jan","Feb","Mar","Apr","May","Jun","Jul","Aug","Sep","Oct","Nov","Dec"},0),D2300)</f>
        <v>27546</v>
      </c>
      <c r="K2300">
        <f t="shared" si="35"/>
        <v>48</v>
      </c>
    </row>
    <row r="2301" spans="1:11" x14ac:dyDescent="0.35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 s="15">
        <v>44260.75</v>
      </c>
      <c r="G2301" t="s">
        <v>11</v>
      </c>
      <c r="H2301" t="s">
        <v>16</v>
      </c>
      <c r="I2301" t="s">
        <v>13</v>
      </c>
      <c r="J2301" s="11">
        <f>DATE(B2301,MATCH(C2301,{"Jan","Feb","Mar","Apr","May","Jun","Jul","Aug","Sep","Oct","Nov","Dec"},0),D2301)</f>
        <v>25166</v>
      </c>
      <c r="K2301">
        <f t="shared" si="35"/>
        <v>54</v>
      </c>
    </row>
    <row r="2302" spans="1:11" x14ac:dyDescent="0.35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 s="15">
        <v>44400.41</v>
      </c>
      <c r="G2302" t="s">
        <v>11</v>
      </c>
      <c r="H2302" t="s">
        <v>11</v>
      </c>
      <c r="I2302" t="s">
        <v>13</v>
      </c>
      <c r="J2302" s="11">
        <f>DATE(B2302,MATCH(C2302,{"Jan","Feb","Mar","Apr","May","Jun","Jul","Aug","Sep","Oct","Nov","Dec"},0),D2302)</f>
        <v>26235</v>
      </c>
      <c r="K2302">
        <f t="shared" si="35"/>
        <v>51</v>
      </c>
    </row>
    <row r="2303" spans="1:11" x14ac:dyDescent="0.35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 s="15">
        <v>44423.8</v>
      </c>
      <c r="G2303" t="s">
        <v>11</v>
      </c>
      <c r="H2303" t="s">
        <v>12</v>
      </c>
      <c r="I2303" t="s">
        <v>13</v>
      </c>
      <c r="J2303" s="11">
        <f>DATE(B2303,MATCH(C2303,{"Jan","Feb","Mar","Apr","May","Jun","Jul","Aug","Sep","Oct","Nov","Dec"},0),D2303)</f>
        <v>24729</v>
      </c>
      <c r="K2303">
        <f t="shared" si="35"/>
        <v>55</v>
      </c>
    </row>
    <row r="2304" spans="1:11" x14ac:dyDescent="0.35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 s="15">
        <v>44501.4</v>
      </c>
      <c r="G2304" t="s">
        <v>11</v>
      </c>
      <c r="H2304" t="s">
        <v>12</v>
      </c>
      <c r="I2304" t="s">
        <v>13</v>
      </c>
      <c r="J2304" s="11">
        <f>DATE(B2304,MATCH(C2304,{"Jan","Feb","Mar","Apr","May","Jun","Jul","Aug","Sep","Oct","Nov","Dec"},0),D2304)</f>
        <v>36740</v>
      </c>
      <c r="K2304">
        <f t="shared" si="35"/>
        <v>22</v>
      </c>
    </row>
    <row r="2305" spans="1:11" x14ac:dyDescent="0.35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 s="15">
        <v>44585.46</v>
      </c>
      <c r="G2305" t="s">
        <v>11</v>
      </c>
      <c r="H2305" t="s">
        <v>11</v>
      </c>
      <c r="I2305" t="s">
        <v>42</v>
      </c>
      <c r="J2305" s="11">
        <f>DATE(B2305,MATCH(C2305,{"Jan","Feb","Mar","Apr","May","Jun","Jul","Aug","Sep","Oct","Nov","Dec"},0),D2305)</f>
        <v>34253</v>
      </c>
      <c r="K2305">
        <f t="shared" si="35"/>
        <v>29</v>
      </c>
    </row>
    <row r="2306" spans="1:11" x14ac:dyDescent="0.35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 s="15">
        <v>44641.2</v>
      </c>
      <c r="G2306" t="s">
        <v>11</v>
      </c>
      <c r="H2306" t="s">
        <v>12</v>
      </c>
      <c r="I2306" t="s">
        <v>247</v>
      </c>
      <c r="J2306" s="11">
        <f>DATE(B2306,MATCH(C2306,{"Jan","Feb","Mar","Apr","May","Jun","Jul","Aug","Sep","Oct","Nov","Dec"},0),D2306)</f>
        <v>26158</v>
      </c>
      <c r="K2306">
        <f t="shared" si="35"/>
        <v>51</v>
      </c>
    </row>
    <row r="2307" spans="1:11" x14ac:dyDescent="0.35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 s="15">
        <v>45008.959999999999</v>
      </c>
      <c r="G2307" t="s">
        <v>11</v>
      </c>
      <c r="H2307" t="s">
        <v>11</v>
      </c>
      <c r="I2307" t="s">
        <v>13</v>
      </c>
      <c r="J2307" s="11">
        <f>DATE(B2307,MATCH(C2307,{"Jan","Feb","Mar","Apr","May","Jun","Jul","Aug","Sep","Oct","Nov","Dec"},0),D2307)</f>
        <v>22997</v>
      </c>
      <c r="K2307">
        <f t="shared" ref="K2307:K2344" si="36">DATEDIF(J2307,$N$1,"Y")</f>
        <v>60</v>
      </c>
    </row>
    <row r="2308" spans="1:11" x14ac:dyDescent="0.35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 s="15">
        <v>45702.02</v>
      </c>
      <c r="G2308" t="s">
        <v>11</v>
      </c>
      <c r="H2308" t="s">
        <v>11</v>
      </c>
      <c r="I2308" t="s">
        <v>23</v>
      </c>
      <c r="J2308" s="11">
        <f>DATE(B2308,MATCH(C2308,{"Jan","Feb","Mar","Apr","May","Jun","Jul","Aug","Sep","Oct","Nov","Dec"},0),D2308)</f>
        <v>27250</v>
      </c>
      <c r="K2308">
        <f t="shared" si="36"/>
        <v>48</v>
      </c>
    </row>
    <row r="2309" spans="1:11" x14ac:dyDescent="0.35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 s="15">
        <v>45710.21</v>
      </c>
      <c r="G2309" t="s">
        <v>11</v>
      </c>
      <c r="H2309" t="s">
        <v>11</v>
      </c>
      <c r="I2309" t="s">
        <v>168</v>
      </c>
      <c r="J2309" s="11">
        <f>DATE(B2309,MATCH(C2309,{"Jan","Feb","Mar","Apr","May","Jun","Jul","Aug","Sep","Oct","Nov","Dec"},0),D2309)</f>
        <v>22271</v>
      </c>
      <c r="K2309">
        <f t="shared" si="36"/>
        <v>62</v>
      </c>
    </row>
    <row r="2310" spans="1:11" x14ac:dyDescent="0.35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 s="15">
        <v>45863.21</v>
      </c>
      <c r="G2310" t="s">
        <v>11</v>
      </c>
      <c r="H2310" t="s">
        <v>16</v>
      </c>
      <c r="I2310" t="s">
        <v>13</v>
      </c>
      <c r="J2310" s="11">
        <f>DATE(B2310,MATCH(C2310,{"Jan","Feb","Mar","Apr","May","Jun","Jul","Aug","Sep","Oct","Nov","Dec"},0),D2310)</f>
        <v>29079</v>
      </c>
      <c r="K2310">
        <f t="shared" si="36"/>
        <v>43</v>
      </c>
    </row>
    <row r="2311" spans="1:11" x14ac:dyDescent="0.35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 s="15">
        <v>46113.51</v>
      </c>
      <c r="G2311" t="s">
        <v>11</v>
      </c>
      <c r="H2311" t="s">
        <v>12</v>
      </c>
      <c r="I2311" t="s">
        <v>42</v>
      </c>
      <c r="J2311" s="11">
        <f>DATE(B2311,MATCH(C2311,{"Jan","Feb","Mar","Apr","May","Jun","Jul","Aug","Sep","Oct","Nov","Dec"},0),D2311)</f>
        <v>31320</v>
      </c>
      <c r="K2311">
        <f t="shared" si="36"/>
        <v>37</v>
      </c>
    </row>
    <row r="2312" spans="1:11" x14ac:dyDescent="0.35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 s="15">
        <v>46130.53</v>
      </c>
      <c r="G2312" t="s">
        <v>16</v>
      </c>
      <c r="H2312" t="s">
        <v>16</v>
      </c>
      <c r="I2312" t="s">
        <v>23</v>
      </c>
      <c r="J2312" s="11">
        <f>DATE(B2312,MATCH(C2312,{"Jan","Feb","Mar","Apr","May","Jun","Jul","Aug","Sep","Oct","Nov","Dec"},0),D2312)</f>
        <v>22984</v>
      </c>
      <c r="K2312">
        <f t="shared" si="36"/>
        <v>60</v>
      </c>
    </row>
    <row r="2313" spans="1:11" x14ac:dyDescent="0.35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 s="15">
        <v>46151.12</v>
      </c>
      <c r="G2313" t="s">
        <v>16</v>
      </c>
      <c r="H2313" t="s">
        <v>12</v>
      </c>
      <c r="I2313" t="s">
        <v>13</v>
      </c>
      <c r="J2313" s="11">
        <f>DATE(B2313,MATCH(C2313,{"Jan","Feb","Mar","Apr","May","Jun","Jul","Aug","Sep","Oct","Nov","Dec"},0),D2313)</f>
        <v>28096</v>
      </c>
      <c r="K2313">
        <f t="shared" si="36"/>
        <v>46</v>
      </c>
    </row>
    <row r="2314" spans="1:11" x14ac:dyDescent="0.35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 s="15">
        <v>46200.99</v>
      </c>
      <c r="G2314" t="s">
        <v>16</v>
      </c>
      <c r="H2314" t="s">
        <v>16</v>
      </c>
      <c r="I2314" t="s">
        <v>13</v>
      </c>
      <c r="J2314" s="11">
        <f>DATE(B2314,MATCH(C2314,{"Jan","Feb","Mar","Apr","May","Jun","Jul","Aug","Sep","Oct","Nov","Dec"},0),D2314)</f>
        <v>28719</v>
      </c>
      <c r="K2314">
        <f t="shared" si="36"/>
        <v>44</v>
      </c>
    </row>
    <row r="2315" spans="1:11" x14ac:dyDescent="0.35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 s="15">
        <v>46255.11</v>
      </c>
      <c r="G2315" t="s">
        <v>16</v>
      </c>
      <c r="H2315" t="s">
        <v>12</v>
      </c>
      <c r="I2315" t="s">
        <v>247</v>
      </c>
      <c r="J2315" s="11">
        <f>DATE(B2315,MATCH(C2315,{"Jan","Feb","Mar","Apr","May","Jun","Jul","Aug","Sep","Oct","Nov","Dec"},0),D2315)</f>
        <v>26273</v>
      </c>
      <c r="K2315">
        <f t="shared" si="36"/>
        <v>51</v>
      </c>
    </row>
    <row r="2316" spans="1:11" x14ac:dyDescent="0.35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 s="15">
        <v>46599.11</v>
      </c>
      <c r="G2316" t="s">
        <v>16</v>
      </c>
      <c r="H2316" t="s">
        <v>16</v>
      </c>
      <c r="I2316" t="s">
        <v>13</v>
      </c>
      <c r="J2316" s="11">
        <f>DATE(B2316,MATCH(C2316,{"Jan","Feb","Mar","Apr","May","Jun","Jul","Aug","Sep","Oct","Nov","Dec"},0),D2316)</f>
        <v>22501</v>
      </c>
      <c r="K2316">
        <f t="shared" si="36"/>
        <v>61</v>
      </c>
    </row>
    <row r="2317" spans="1:11" x14ac:dyDescent="0.35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 s="15">
        <v>46661.440000000002</v>
      </c>
      <c r="G2317" t="s">
        <v>16</v>
      </c>
      <c r="H2317" t="s">
        <v>12</v>
      </c>
      <c r="I2317" t="s">
        <v>23</v>
      </c>
      <c r="J2317" s="11">
        <f>DATE(B2317,MATCH(C2317,{"Jan","Feb","Mar","Apr","May","Jun","Jul","Aug","Sep","Oct","Nov","Dec"},0),D2317)</f>
        <v>25377</v>
      </c>
      <c r="K2317">
        <f t="shared" si="36"/>
        <v>53</v>
      </c>
    </row>
    <row r="2318" spans="1:11" x14ac:dyDescent="0.35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 s="15">
        <v>46718.16</v>
      </c>
      <c r="G2318" t="s">
        <v>16</v>
      </c>
      <c r="H2318" t="s">
        <v>16</v>
      </c>
      <c r="I2318" t="s">
        <v>23</v>
      </c>
      <c r="J2318" s="11">
        <f>DATE(B2318,MATCH(C2318,{"Jan","Feb","Mar","Apr","May","Jun","Jul","Aug","Sep","Oct","Nov","Dec"},0),D2318)</f>
        <v>22237</v>
      </c>
      <c r="K2318">
        <f t="shared" si="36"/>
        <v>62</v>
      </c>
    </row>
    <row r="2319" spans="1:11" x14ac:dyDescent="0.35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 s="15">
        <v>46889.26</v>
      </c>
      <c r="G2319" t="s">
        <v>11</v>
      </c>
      <c r="H2319" t="s">
        <v>12</v>
      </c>
      <c r="I2319" t="s">
        <v>13</v>
      </c>
      <c r="J2319" s="11">
        <f>DATE(B2319,MATCH(C2319,{"Jan","Feb","Mar","Apr","May","Jun","Jul","Aug","Sep","Oct","Nov","Dec"},0),D2319)</f>
        <v>21443</v>
      </c>
      <c r="K2319">
        <f t="shared" si="36"/>
        <v>64</v>
      </c>
    </row>
    <row r="2320" spans="1:11" x14ac:dyDescent="0.35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 s="15">
        <v>47055.53</v>
      </c>
      <c r="G2320" t="s">
        <v>11</v>
      </c>
      <c r="H2320" t="s">
        <v>16</v>
      </c>
      <c r="I2320" t="s">
        <v>13</v>
      </c>
      <c r="J2320" s="11">
        <f>DATE(B2320,MATCH(C2320,{"Jan","Feb","Mar","Apr","May","Jun","Jul","Aug","Sep","Oct","Nov","Dec"},0),D2320)</f>
        <v>21745</v>
      </c>
      <c r="K2320">
        <f t="shared" si="36"/>
        <v>63</v>
      </c>
    </row>
    <row r="2321" spans="1:11" x14ac:dyDescent="0.35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 s="15">
        <v>47269.85</v>
      </c>
      <c r="G2321" t="s">
        <v>16</v>
      </c>
      <c r="H2321" t="s">
        <v>11</v>
      </c>
      <c r="I2321" t="s">
        <v>13</v>
      </c>
      <c r="J2321" s="11">
        <f>DATE(B2321,MATCH(C2321,{"Jan","Feb","Mar","Apr","May","Jun","Jul","Aug","Sep","Oct","Nov","Dec"},0),D2321)</f>
        <v>25930</v>
      </c>
      <c r="K2321">
        <f t="shared" si="36"/>
        <v>52</v>
      </c>
    </row>
    <row r="2322" spans="1:11" x14ac:dyDescent="0.35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 s="15">
        <v>47291.06</v>
      </c>
      <c r="G2322" t="s">
        <v>11</v>
      </c>
      <c r="H2322" t="s">
        <v>16</v>
      </c>
      <c r="I2322" t="s">
        <v>42</v>
      </c>
      <c r="J2322" s="11">
        <f>DATE(B2322,MATCH(C2322,{"Jan","Feb","Mar","Apr","May","Jun","Jul","Aug","Sep","Oct","Nov","Dec"},0),D2322)</f>
        <v>21431</v>
      </c>
      <c r="K2322">
        <f t="shared" si="36"/>
        <v>64</v>
      </c>
    </row>
    <row r="2323" spans="1:11" x14ac:dyDescent="0.35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 s="15">
        <v>47305.31</v>
      </c>
      <c r="G2323" t="s">
        <v>11</v>
      </c>
      <c r="H2323" t="s">
        <v>16</v>
      </c>
      <c r="I2323" t="s">
        <v>42</v>
      </c>
      <c r="J2323" s="11">
        <f>DATE(B2323,MATCH(C2323,{"Jan","Feb","Mar","Apr","May","Jun","Jul","Aug","Sep","Oct","Nov","Dec"},0),D2323)</f>
        <v>21827</v>
      </c>
      <c r="K2323">
        <f t="shared" si="36"/>
        <v>63</v>
      </c>
    </row>
    <row r="2324" spans="1:11" x14ac:dyDescent="0.35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 s="15">
        <v>47403.88</v>
      </c>
      <c r="G2324" t="s">
        <v>16</v>
      </c>
      <c r="H2324" t="s">
        <v>12</v>
      </c>
      <c r="I2324" t="s">
        <v>42</v>
      </c>
      <c r="J2324" s="11">
        <f>DATE(B2324,MATCH(C2324,{"Jan","Feb","Mar","Apr","May","Jun","Jul","Aug","Sep","Oct","Nov","Dec"},0),D2324)</f>
        <v>22445</v>
      </c>
      <c r="K2324">
        <f t="shared" si="36"/>
        <v>61</v>
      </c>
    </row>
    <row r="2325" spans="1:11" x14ac:dyDescent="0.35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 s="15">
        <v>47462.89</v>
      </c>
      <c r="G2325" t="s">
        <v>16</v>
      </c>
      <c r="H2325" t="s">
        <v>11</v>
      </c>
      <c r="I2325" t="s">
        <v>13</v>
      </c>
      <c r="J2325" s="11">
        <f>DATE(B2325,MATCH(C2325,{"Jan","Feb","Mar","Apr","May","Jun","Jul","Aug","Sep","Oct","Nov","Dec"},0),D2325)</f>
        <v>26203</v>
      </c>
      <c r="K2325">
        <f t="shared" si="36"/>
        <v>51</v>
      </c>
    </row>
    <row r="2326" spans="1:11" x14ac:dyDescent="0.35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 s="15">
        <v>47496.49</v>
      </c>
      <c r="G2326" t="s">
        <v>16</v>
      </c>
      <c r="H2326" t="s">
        <v>12</v>
      </c>
      <c r="I2326" t="s">
        <v>23</v>
      </c>
      <c r="J2326" s="11">
        <f>DATE(B2326,MATCH(C2326,{"Jan","Feb","Mar","Apr","May","Jun","Jul","Aug","Sep","Oct","Nov","Dec"},0),D2326)</f>
        <v>23688</v>
      </c>
      <c r="K2326">
        <f t="shared" si="36"/>
        <v>58</v>
      </c>
    </row>
    <row r="2327" spans="1:11" x14ac:dyDescent="0.35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 s="15">
        <v>47896.79</v>
      </c>
      <c r="G2327" t="s">
        <v>16</v>
      </c>
      <c r="H2327" t="s">
        <v>12</v>
      </c>
      <c r="I2327" t="s">
        <v>247</v>
      </c>
      <c r="J2327" s="11">
        <f>DATE(B2327,MATCH(C2327,{"Jan","Feb","Mar","Apr","May","Jun","Jul","Aug","Sep","Oct","Nov","Dec"},0),D2327)</f>
        <v>23228</v>
      </c>
      <c r="K2327">
        <f t="shared" si="36"/>
        <v>59</v>
      </c>
    </row>
    <row r="2328" spans="1:11" x14ac:dyDescent="0.35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 s="15">
        <v>47928.03</v>
      </c>
      <c r="G2328" t="s">
        <v>11</v>
      </c>
      <c r="H2328" t="s">
        <v>12</v>
      </c>
      <c r="I2328" t="s">
        <v>42</v>
      </c>
      <c r="J2328" s="11">
        <f>DATE(B2328,MATCH(C2328,{"Jan","Feb","Mar","Apr","May","Jun","Jul","Aug","Sep","Oct","Nov","Dec"},0),D2328)</f>
        <v>21505</v>
      </c>
      <c r="K2328">
        <f t="shared" si="36"/>
        <v>64</v>
      </c>
    </row>
    <row r="2329" spans="1:11" x14ac:dyDescent="0.35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 s="15">
        <v>48173.36</v>
      </c>
      <c r="G2329" t="s">
        <v>16</v>
      </c>
      <c r="H2329" t="s">
        <v>12</v>
      </c>
      <c r="I2329" t="s">
        <v>42</v>
      </c>
      <c r="J2329" s="11">
        <f>DATE(B2329,MATCH(C2329,{"Jan","Feb","Mar","Apr","May","Jun","Jul","Aug","Sep","Oct","Nov","Dec"},0),D2329)</f>
        <v>22885</v>
      </c>
      <c r="K2329">
        <f t="shared" si="36"/>
        <v>60</v>
      </c>
    </row>
    <row r="2330" spans="1:11" x14ac:dyDescent="0.35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 s="15">
        <v>48517.56</v>
      </c>
      <c r="G2330" t="s">
        <v>16</v>
      </c>
      <c r="H2330" t="s">
        <v>12</v>
      </c>
      <c r="I2330" t="s">
        <v>247</v>
      </c>
      <c r="J2330" s="11">
        <f>DATE(B2330,MATCH(C2330,{"Jan","Feb","Mar","Apr","May","Jun","Jul","Aug","Sep","Oct","Nov","Dec"},0),D2330)</f>
        <v>22636</v>
      </c>
      <c r="K2330">
        <f t="shared" si="36"/>
        <v>61</v>
      </c>
    </row>
    <row r="2331" spans="1:11" x14ac:dyDescent="0.35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 s="15">
        <v>48549.18</v>
      </c>
      <c r="G2331" t="s">
        <v>16</v>
      </c>
      <c r="H2331" t="s">
        <v>12</v>
      </c>
      <c r="I2331" t="s">
        <v>168</v>
      </c>
      <c r="J2331" s="11">
        <f>DATE(B2331,MATCH(C2331,{"Jan","Feb","Mar","Apr","May","Jun","Jul","Aug","Sep","Oct","Nov","Dec"},0),D2331)</f>
        <v>25173</v>
      </c>
      <c r="K2331">
        <f t="shared" si="36"/>
        <v>54</v>
      </c>
    </row>
    <row r="2332" spans="1:11" x14ac:dyDescent="0.35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 s="15">
        <v>48673.56</v>
      </c>
      <c r="G2332" t="s">
        <v>16</v>
      </c>
      <c r="H2332" t="s">
        <v>11</v>
      </c>
      <c r="I2332" t="s">
        <v>13</v>
      </c>
      <c r="J2332" s="11">
        <f>DATE(B2332,MATCH(C2332,{"Jan","Feb","Mar","Apr","May","Jun","Jul","Aug","Sep","Oct","Nov","Dec"},0),D2332)</f>
        <v>22930</v>
      </c>
      <c r="K2332">
        <f t="shared" si="36"/>
        <v>60</v>
      </c>
    </row>
    <row r="2333" spans="1:11" x14ac:dyDescent="0.35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 s="15">
        <v>48675.519999999997</v>
      </c>
      <c r="G2333" t="s">
        <v>16</v>
      </c>
      <c r="H2333" t="s">
        <v>11</v>
      </c>
      <c r="I2333" t="s">
        <v>13</v>
      </c>
      <c r="J2333" s="11">
        <f>DATE(B2333,MATCH(C2333,{"Jan","Feb","Mar","Apr","May","Jun","Jul","Aug","Sep","Oct","Nov","Dec"},0),D2333)</f>
        <v>24042</v>
      </c>
      <c r="K2333">
        <f t="shared" si="36"/>
        <v>57</v>
      </c>
    </row>
    <row r="2334" spans="1:11" x14ac:dyDescent="0.35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 s="15">
        <v>48824.45</v>
      </c>
      <c r="G2334" t="s">
        <v>11</v>
      </c>
      <c r="H2334" t="s">
        <v>16</v>
      </c>
      <c r="I2334" t="s">
        <v>42</v>
      </c>
      <c r="J2334" s="11">
        <f>DATE(B2334,MATCH(C2334,{"Jan","Feb","Mar","Apr","May","Jun","Jul","Aug","Sep","Oct","Nov","Dec"},0),D2334)</f>
        <v>21753</v>
      </c>
      <c r="K2334">
        <f t="shared" si="36"/>
        <v>63</v>
      </c>
    </row>
    <row r="2335" spans="1:11" x14ac:dyDescent="0.35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 s="15">
        <v>48885.14</v>
      </c>
      <c r="G2335" t="s">
        <v>16</v>
      </c>
      <c r="H2335" t="s">
        <v>11</v>
      </c>
      <c r="I2335" t="s">
        <v>13</v>
      </c>
      <c r="J2335" s="11">
        <f>DATE(B2335,MATCH(C2335,{"Jan","Feb","Mar","Apr","May","Jun","Jul","Aug","Sep","Oct","Nov","Dec"},0),D2335)</f>
        <v>28853</v>
      </c>
      <c r="K2335">
        <f t="shared" si="36"/>
        <v>44</v>
      </c>
    </row>
    <row r="2336" spans="1:11" x14ac:dyDescent="0.35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 s="15">
        <v>48970.25</v>
      </c>
      <c r="G2336" t="s">
        <v>16</v>
      </c>
      <c r="H2336" t="s">
        <v>11</v>
      </c>
      <c r="I2336" t="s">
        <v>13</v>
      </c>
      <c r="J2336" s="11">
        <f>DATE(B2336,MATCH(C2336,{"Jan","Feb","Mar","Apr","May","Jun","Jul","Aug","Sep","Oct","Nov","Dec"},0),D2336)</f>
        <v>23258</v>
      </c>
      <c r="K2336">
        <f t="shared" si="36"/>
        <v>59</v>
      </c>
    </row>
    <row r="2337" spans="1:11" x14ac:dyDescent="0.35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 s="15">
        <v>49577.66</v>
      </c>
      <c r="G2337" t="s">
        <v>11</v>
      </c>
      <c r="H2337" t="s">
        <v>11</v>
      </c>
      <c r="I2337" t="s">
        <v>13</v>
      </c>
      <c r="J2337" s="11">
        <f>DATE(B2337,MATCH(C2337,{"Jan","Feb","Mar","Apr","May","Jun","Jul","Aug","Sep","Oct","Nov","Dec"},0),D2337)</f>
        <v>21363</v>
      </c>
      <c r="K2337">
        <f t="shared" si="36"/>
        <v>64</v>
      </c>
    </row>
    <row r="2338" spans="1:11" x14ac:dyDescent="0.35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 s="15">
        <v>51194.559999999998</v>
      </c>
      <c r="G2338" t="s">
        <v>16</v>
      </c>
      <c r="H2338" t="s">
        <v>12</v>
      </c>
      <c r="I2338" t="s">
        <v>42</v>
      </c>
      <c r="J2338" s="11">
        <f>DATE(B2338,MATCH(C2338,{"Jan","Feb","Mar","Apr","May","Jun","Jul","Aug","Sep","Oct","Nov","Dec"},0),D2338)</f>
        <v>34634</v>
      </c>
      <c r="K2338">
        <f t="shared" si="36"/>
        <v>28</v>
      </c>
    </row>
    <row r="2339" spans="1:11" x14ac:dyDescent="0.35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 s="15">
        <v>52590.83</v>
      </c>
      <c r="G2339" t="s">
        <v>16</v>
      </c>
      <c r="H2339" t="s">
        <v>12</v>
      </c>
      <c r="I2339" t="s">
        <v>42</v>
      </c>
      <c r="J2339" s="11">
        <f>DATE(B2339,MATCH(C2339,{"Jan","Feb","Mar","Apr","May","Jun","Jul","Aug","Sep","Oct","Nov","Dec"},0),D2339)</f>
        <v>22862</v>
      </c>
      <c r="K2339">
        <f t="shared" si="36"/>
        <v>60</v>
      </c>
    </row>
    <row r="2340" spans="1:11" x14ac:dyDescent="0.35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 s="15">
        <v>55135.4</v>
      </c>
      <c r="G2340" t="s">
        <v>16</v>
      </c>
      <c r="H2340" t="s">
        <v>11</v>
      </c>
      <c r="I2340" t="s">
        <v>23</v>
      </c>
      <c r="J2340" s="11">
        <f>DATE(B2340,MATCH(C2340,{"Jan","Feb","Mar","Apr","May","Jun","Jul","Aug","Sep","Oct","Nov","Dec"},0),D2340)</f>
        <v>32678</v>
      </c>
      <c r="K2340">
        <f t="shared" si="36"/>
        <v>33</v>
      </c>
    </row>
    <row r="2341" spans="1:11" x14ac:dyDescent="0.35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 s="15">
        <v>58571.07</v>
      </c>
      <c r="G2341" t="s">
        <v>16</v>
      </c>
      <c r="H2341" t="s">
        <v>12</v>
      </c>
      <c r="I2341" t="s">
        <v>247</v>
      </c>
      <c r="J2341" s="11">
        <f>DATE(B2341,MATCH(C2341,{"Jan","Feb","Mar","Apr","May","Jun","Jul","Aug","Sep","Oct","Nov","Dec"},0),D2341)</f>
        <v>33395</v>
      </c>
      <c r="K2341">
        <f t="shared" si="36"/>
        <v>32</v>
      </c>
    </row>
    <row r="2342" spans="1:11" x14ac:dyDescent="0.35">
      <c r="A2342" t="s">
        <v>2370</v>
      </c>
      <c r="B2342">
        <v>1970</v>
      </c>
      <c r="C2342" t="s">
        <v>20</v>
      </c>
      <c r="D2342">
        <v>11</v>
      </c>
      <c r="E2342">
        <v>3</v>
      </c>
      <c r="F2342" s="15">
        <v>60021.4</v>
      </c>
      <c r="G2342" t="s">
        <v>16</v>
      </c>
      <c r="H2342" t="s">
        <v>16</v>
      </c>
      <c r="I2342" t="s">
        <v>23</v>
      </c>
      <c r="J2342" s="11">
        <f>DATE(B2342,MATCH(C2342,{"Jan","Feb","Mar","Apr","May","Jun","Jul","Aug","Sep","Oct","Nov","Dec"},0),D2342)</f>
        <v>25822</v>
      </c>
      <c r="K2342">
        <f t="shared" si="36"/>
        <v>52</v>
      </c>
    </row>
    <row r="2343" spans="1:11" x14ac:dyDescent="0.35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 s="15">
        <v>62592.87</v>
      </c>
      <c r="G2343" t="s">
        <v>11</v>
      </c>
      <c r="H2343" t="s">
        <v>12</v>
      </c>
      <c r="I2343" t="s">
        <v>13</v>
      </c>
      <c r="J2343" s="11">
        <f>DATE(B2343,MATCH(C2343,{"Jan","Feb","Mar","Apr","May","Jun","Jul","Aug","Sep","Oct","Nov","Dec"},0),D2343)</f>
        <v>28284</v>
      </c>
      <c r="K2343">
        <f t="shared" si="36"/>
        <v>46</v>
      </c>
    </row>
    <row r="2344" spans="1:11" x14ac:dyDescent="0.35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 s="15">
        <v>63770.43</v>
      </c>
      <c r="G2344" t="s">
        <v>16</v>
      </c>
      <c r="H2344" t="s">
        <v>12</v>
      </c>
      <c r="I2344" t="s">
        <v>13</v>
      </c>
      <c r="J2344" s="11">
        <f>DATE(B2344,MATCH(C2344,{"Jan","Feb","Mar","Apr","May","Jun","Jul","Aug","Sep","Oct","Nov","Dec"},0),D2344)</f>
        <v>25123</v>
      </c>
      <c r="K2344">
        <f t="shared" si="36"/>
        <v>54</v>
      </c>
    </row>
    <row r="2345" spans="1:11" x14ac:dyDescent="0.35">
      <c r="A2345" s="7">
        <f t="shared" ref="A2345:H2345" si="37">COUNTIF(A2:A2344,"?")</f>
        <v>6</v>
      </c>
      <c r="B2345" s="7">
        <v>0</v>
      </c>
      <c r="C2345" s="7">
        <f t="shared" si="37"/>
        <v>0</v>
      </c>
      <c r="D2345" s="7">
        <f t="shared" si="37"/>
        <v>0</v>
      </c>
      <c r="E2345" s="7">
        <f t="shared" si="37"/>
        <v>0</v>
      </c>
      <c r="F2345" s="16">
        <f t="shared" si="37"/>
        <v>0</v>
      </c>
      <c r="G2345" s="7">
        <f t="shared" si="37"/>
        <v>0</v>
      </c>
      <c r="H2345" s="7">
        <f t="shared" si="37"/>
        <v>0</v>
      </c>
      <c r="I2345" s="7">
        <f>COUNTIF(I2:I2344,"?")</f>
        <v>0</v>
      </c>
    </row>
    <row r="2346" spans="1:11" x14ac:dyDescent="0.35">
      <c r="B2346" s="8">
        <f>ROUND(AVERAGE(B2:B2344),0)</f>
        <v>1983</v>
      </c>
      <c r="G2346" s="9" t="str" cm="1">
        <f t="array" ref="G2346">INDEX(H2:H2336, MODE(MATCH(H2:H2336,H2:H2336,0)))</f>
        <v>tier - 2</v>
      </c>
      <c r="H2346" s="9" t="str" cm="1">
        <f t="array" ref="H2346">INDEX(H2:H2336, MODE(MATCH(H2:H2336,H2:H2336,0)))</f>
        <v>tier - 2</v>
      </c>
    </row>
    <row r="2347" spans="1:11" x14ac:dyDescent="0.35">
      <c r="B2347" s="8" t="s">
        <v>4719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6121D-2C03-4184-9F24-E9B3649A2E40}">
  <dimension ref="A1:R2345"/>
  <sheetViews>
    <sheetView tabSelected="1" workbookViewId="0">
      <selection activeCell="B1" sqref="B1"/>
    </sheetView>
  </sheetViews>
  <sheetFormatPr defaultRowHeight="14.5" x14ac:dyDescent="0.35"/>
  <cols>
    <col min="1" max="1" width="11.81640625" bestFit="1" customWidth="1"/>
    <col min="2" max="2" width="12.81640625" bestFit="1" customWidth="1"/>
    <col min="3" max="3" width="11.54296875" customWidth="1"/>
    <col min="4" max="4" width="14.54296875" customWidth="1"/>
    <col min="6" max="6" width="13.08984375" customWidth="1"/>
    <col min="7" max="7" width="16.1796875" customWidth="1"/>
    <col min="8" max="8" width="20.36328125" customWidth="1"/>
    <col min="9" max="9" width="8.54296875" customWidth="1"/>
    <col min="10" max="10" width="11.6328125" customWidth="1"/>
    <col min="11" max="11" width="15" customWidth="1"/>
    <col min="12" max="12" width="8.36328125" customWidth="1"/>
    <col min="14" max="14" width="10.08984375" style="11" bestFit="1" customWidth="1"/>
  </cols>
  <sheetData>
    <row r="1" spans="1:18" ht="43.5" x14ac:dyDescent="0.35">
      <c r="A1" s="4" t="s">
        <v>0</v>
      </c>
      <c r="B1" s="17" t="s">
        <v>0</v>
      </c>
      <c r="C1" s="17" t="s">
        <v>4722</v>
      </c>
      <c r="D1" s="17" t="s">
        <v>4731</v>
      </c>
      <c r="E1" s="17" t="s">
        <v>2374</v>
      </c>
      <c r="F1" s="17" t="s">
        <v>4729</v>
      </c>
      <c r="G1" s="17" t="s">
        <v>4730</v>
      </c>
      <c r="H1" s="4" t="s">
        <v>2377</v>
      </c>
      <c r="I1" s="18" t="s">
        <v>2378</v>
      </c>
      <c r="J1" s="4" t="s">
        <v>2379</v>
      </c>
      <c r="K1" s="4" t="s">
        <v>4725</v>
      </c>
      <c r="L1" s="19" t="s">
        <v>2373</v>
      </c>
      <c r="M1" s="20" t="s">
        <v>4733</v>
      </c>
      <c r="N1" s="21" t="s">
        <v>4732</v>
      </c>
      <c r="O1" s="22" t="s">
        <v>7</v>
      </c>
      <c r="P1" s="22" t="s">
        <v>4734</v>
      </c>
      <c r="Q1" s="23" t="s">
        <v>8</v>
      </c>
      <c r="R1" s="24" t="s">
        <v>4727</v>
      </c>
    </row>
    <row r="2" spans="1:18" x14ac:dyDescent="0.35">
      <c r="A2" t="s">
        <v>2372</v>
      </c>
      <c r="B2" t="s">
        <v>9</v>
      </c>
      <c r="C2" t="str">
        <f>VLOOKUP($A2,'Customer Names'!$A:$E,4,FALSE)</f>
        <v>Kelly</v>
      </c>
      <c r="D2" t="str">
        <f>VLOOKUP($A2,'Medical Examinations'!$A:$J,2,FALSE)</f>
        <v>Obesity</v>
      </c>
      <c r="E2">
        <f>VLOOKUP($A2,'Medical Examinations'!$A:$J,4,FALSE)</f>
        <v>7.47</v>
      </c>
      <c r="F2" t="str">
        <f>VLOOKUP($A2,'Medical Examinations'!$A:$J,6,FALSE)</f>
        <v>No</v>
      </c>
      <c r="G2" t="s">
        <v>2380</v>
      </c>
      <c r="H2" t="str">
        <f>VLOOKUP($A2,'Medical Examinations'!$A:$J,8,FALSE)</f>
        <v>No</v>
      </c>
      <c r="I2">
        <f ca="1">VLOOKUP($A2,'Medical Examinations'!$A:$J,9,FALSE)</f>
        <v>0</v>
      </c>
      <c r="J2" t="str">
        <f>VLOOKUP($A2,'Medical Examinations'!$A:$J,10,FALSE)</f>
        <v>yes</v>
      </c>
      <c r="K2" t="str">
        <f>VLOOKUP($A2,'Medical Examinations'!$A:$J,5,FALSE)</f>
        <v>Diabetes</v>
      </c>
      <c r="L2">
        <f>VLOOKUP($A3,'Medical Examinations'!$A:$J,3,FALSE)</f>
        <v>30.36</v>
      </c>
      <c r="M2">
        <f>VLOOKUP($A2,'Hospitalisation Details'!$A:$K,6,FALSE)</f>
        <v>63770.43</v>
      </c>
      <c r="N2" s="11">
        <f>R2</f>
        <v>30</v>
      </c>
      <c r="O2" t="str">
        <f>VLOOKUP($B2,'Hospitalisation Details'!A1:J2345,8,0)</f>
        <v>tier - 3</v>
      </c>
      <c r="P2" t="str">
        <f>VLOOKUP($B2,'Hospitalisation Details'!A1:J2345,7,0)</f>
        <v>tier - 2</v>
      </c>
      <c r="Q2" t="str">
        <f>VLOOKUP($B2,'Hospitalisation Details'!A1:J2345,9,0)</f>
        <v>R1013</v>
      </c>
      <c r="R2">
        <f>VLOOKUP($B2,'Hospitalisation Details'!A1:K2345,11,0)</f>
        <v>30</v>
      </c>
    </row>
    <row r="3" spans="1:18" x14ac:dyDescent="0.35">
      <c r="A3" t="s">
        <v>2371</v>
      </c>
      <c r="B3" t="s">
        <v>14</v>
      </c>
      <c r="C3" t="str">
        <f>VLOOKUP($A3,'Customer Names'!$A:$E,4,FALSE)</f>
        <v>Matthew D</v>
      </c>
      <c r="D3" t="str">
        <f>VLOOKUP($A3,'Medical Examinations'!$A:$J,2,FALSE)</f>
        <v>Obesity</v>
      </c>
      <c r="E3">
        <f>VLOOKUP($A3,'Medical Examinations'!$A:$J,4,FALSE)</f>
        <v>5.77</v>
      </c>
      <c r="F3" t="str">
        <f>VLOOKUP($A3,'Medical Examinations'!$A:$J,6,FALSE)</f>
        <v>No</v>
      </c>
      <c r="G3" t="str">
        <f>VLOOKUP($A3,'Medical Examinations'!$A:$J,7,FALSE)</f>
        <v>No</v>
      </c>
      <c r="H3" t="str">
        <f>VLOOKUP($A3,'Medical Examinations'!$A:$J,8,FALSE)</f>
        <v>No</v>
      </c>
      <c r="I3">
        <f ca="1">VLOOKUP($A3,'Medical Examinations'!$A:$J,9,FALSE)</f>
        <v>0</v>
      </c>
      <c r="J3" t="str">
        <f>VLOOKUP($A3,'Medical Examinations'!$A:$J,10,FALSE)</f>
        <v>yes</v>
      </c>
      <c r="K3" t="str">
        <f>VLOOKUP($A3,'Medical Examinations'!$A:$J,5,FALSE)</f>
        <v>Prediabetes</v>
      </c>
      <c r="L3">
        <f>VLOOKUP($A4,'Medical Examinations'!$A:$J,3,FALSE)</f>
        <v>34.484999999999999</v>
      </c>
      <c r="M3">
        <f>VLOOKUP($A3,'Hospitalisation Details'!$A:$K,6,FALSE)</f>
        <v>62592.87</v>
      </c>
      <c r="N3" s="11">
        <f>VLOOKUP($B3,'Hospitalisation Details'!A2:J2346,10,0)</f>
        <v>33938</v>
      </c>
      <c r="O3" t="str">
        <f>VLOOKUP($B3,'Hospitalisation Details'!A2:J2346,8,0)</f>
        <v>tier - 1</v>
      </c>
      <c r="P3" t="str">
        <f>VLOOKUP($B3,'Hospitalisation Details'!A2:J2346,7,0)</f>
        <v>tier - 2</v>
      </c>
      <c r="Q3" t="str">
        <f>VLOOKUP($B3,'Hospitalisation Details'!A2:J2346,9,0)</f>
        <v>R1013</v>
      </c>
      <c r="R3">
        <f>VLOOKUP($B3,'Hospitalisation Details'!A2:K2346,11,0)</f>
        <v>30</v>
      </c>
    </row>
    <row r="4" spans="1:18" x14ac:dyDescent="0.35">
      <c r="A4" t="s">
        <v>2370</v>
      </c>
      <c r="B4" t="s">
        <v>17</v>
      </c>
      <c r="C4" t="str">
        <f>VLOOKUP($A4,'Customer Names'!$A:$E,4,FALSE)</f>
        <v>Phil</v>
      </c>
      <c r="D4" t="str">
        <f>VLOOKUP($A4,'Medical Examinations'!$A:$J,2,FALSE)</f>
        <v>Obesity</v>
      </c>
      <c r="E4">
        <f>VLOOKUP($A4,'Medical Examinations'!$A:$J,4,FALSE)</f>
        <v>11.87</v>
      </c>
      <c r="F4" t="str">
        <f>VLOOKUP($A4,'Medical Examinations'!$A:$J,6,FALSE)</f>
        <v>yes</v>
      </c>
      <c r="G4" t="str">
        <f>VLOOKUP($A4,'Medical Examinations'!$A:$J,7,FALSE)</f>
        <v>No</v>
      </c>
      <c r="H4" t="str">
        <f>VLOOKUP($A4,'Medical Examinations'!$A:$J,8,FALSE)</f>
        <v>No</v>
      </c>
      <c r="I4">
        <f>VLOOKUP($A4,'Medical Examinations'!$A:$J,9,FALSE)</f>
        <v>2</v>
      </c>
      <c r="J4" t="str">
        <f>VLOOKUP($A4,'Medical Examinations'!$A:$J,10,FALSE)</f>
        <v>yes</v>
      </c>
      <c r="K4" t="str">
        <f>VLOOKUP($A4,'Medical Examinations'!$A:$J,5,FALSE)</f>
        <v>Diabetes</v>
      </c>
      <c r="L4">
        <f>VLOOKUP($A5,'Medical Examinations'!$A:$J,3,FALSE)</f>
        <v>38.094999999999999</v>
      </c>
      <c r="M4">
        <f>VLOOKUP($A4,'Hospitalisation Details'!$A:$K,6,FALSE)</f>
        <v>60021.4</v>
      </c>
      <c r="N4" s="11">
        <f>VLOOKUP($B4,'Hospitalisation Details'!A3:J2347,10,0)</f>
        <v>34150</v>
      </c>
      <c r="O4" t="str">
        <f>VLOOKUP($B4,'Hospitalisation Details'!A3:J2347,8,0)</f>
        <v>tier - 1</v>
      </c>
      <c r="P4" t="str">
        <f>VLOOKUP($B4,'Hospitalisation Details'!A3:J2347,7,0)</f>
        <v>tier - 2</v>
      </c>
      <c r="Q4" t="str">
        <f>VLOOKUP($B4,'Hospitalisation Details'!A3:J2347,9,0)</f>
        <v>R1013</v>
      </c>
      <c r="R4">
        <f>VLOOKUP($B4,'Hospitalisation Details'!A3:K2347,11,0)</f>
        <v>29</v>
      </c>
    </row>
    <row r="5" spans="1:18" x14ac:dyDescent="0.35">
      <c r="A5" t="s">
        <v>2369</v>
      </c>
      <c r="B5" t="s">
        <v>19</v>
      </c>
      <c r="C5" t="str">
        <f>VLOOKUP($A5,'Customer Names'!$A:$E,4,FALSE)</f>
        <v>Kelsey</v>
      </c>
      <c r="D5" t="str">
        <f>VLOOKUP($A5,'Medical Examinations'!$A:$J,2,FALSE)</f>
        <v>Obesity</v>
      </c>
      <c r="E5">
        <f>VLOOKUP($A5,'Medical Examinations'!$A:$J,4,FALSE)</f>
        <v>6.05</v>
      </c>
      <c r="F5" t="str">
        <f>VLOOKUP($A5,'Medical Examinations'!$A:$J,6,FALSE)</f>
        <v>No</v>
      </c>
      <c r="G5" t="str">
        <f>VLOOKUP($A5,'Medical Examinations'!$A:$J,7,FALSE)</f>
        <v>No</v>
      </c>
      <c r="H5" t="str">
        <f>VLOOKUP($A5,'Medical Examinations'!$A:$J,8,FALSE)</f>
        <v>No</v>
      </c>
      <c r="I5">
        <f ca="1">VLOOKUP($A5,'Medical Examinations'!$A:$J,9,FALSE)</f>
        <v>0</v>
      </c>
      <c r="J5" t="str">
        <f>VLOOKUP($A5,'Medical Examinations'!$A:$J,10,FALSE)</f>
        <v>yes</v>
      </c>
      <c r="K5" t="str">
        <f>VLOOKUP($A5,'Medical Examinations'!$A:$J,5,FALSE)</f>
        <v>Prediabetes</v>
      </c>
      <c r="L5">
        <f>VLOOKUP($A6,'Medical Examinations'!$A:$J,3,FALSE)</f>
        <v>35.53</v>
      </c>
      <c r="M5">
        <f>VLOOKUP($A5,'Hospitalisation Details'!$A:$K,6,FALSE)</f>
        <v>58571.07</v>
      </c>
      <c r="N5" s="11">
        <f>VLOOKUP($B5,'Hospitalisation Details'!A4:J2348,10,0)</f>
        <v>33860</v>
      </c>
      <c r="O5" t="str">
        <f>VLOOKUP($B5,'Hospitalisation Details'!A4:J2348,8,0)</f>
        <v>tier - 3</v>
      </c>
      <c r="P5" t="str">
        <f>VLOOKUP($B5,'Hospitalisation Details'!A4:J2348,7,0)</f>
        <v>tier - 3</v>
      </c>
      <c r="Q5" t="str">
        <f>VLOOKUP($B5,'Hospitalisation Details'!A4:J2348,9,0)</f>
        <v>R1013</v>
      </c>
      <c r="R5">
        <f>VLOOKUP($B5,'Hospitalisation Details'!A4:K2348,11,0)</f>
        <v>30</v>
      </c>
    </row>
    <row r="6" spans="1:18" x14ac:dyDescent="0.35">
      <c r="A6" t="s">
        <v>2368</v>
      </c>
      <c r="B6" t="s">
        <v>21</v>
      </c>
      <c r="C6" t="str">
        <f>VLOOKUP($A6,'Customer Names'!$A:$E,4,FALSE)</f>
        <v>Kristyn</v>
      </c>
      <c r="D6" t="str">
        <f>VLOOKUP($A6,'Medical Examinations'!$A:$J,2,FALSE)</f>
        <v>Obesity</v>
      </c>
      <c r="E6">
        <f>VLOOKUP($A6,'Medical Examinations'!$A:$J,4,FALSE)</f>
        <v>5.45</v>
      </c>
      <c r="F6" t="str">
        <f>VLOOKUP($A6,'Medical Examinations'!$A:$J,6,FALSE)</f>
        <v>No</v>
      </c>
      <c r="G6" t="str">
        <f>VLOOKUP($A6,'Medical Examinations'!$A:$J,7,FALSE)</f>
        <v>No</v>
      </c>
      <c r="H6" t="str">
        <f>VLOOKUP($A6,'Medical Examinations'!$A:$J,8,FALSE)</f>
        <v>No</v>
      </c>
      <c r="I6">
        <f ca="1">VLOOKUP($A6,'Medical Examinations'!$A:$J,9,FALSE)</f>
        <v>0</v>
      </c>
      <c r="J6" t="str">
        <f>VLOOKUP($A6,'Medical Examinations'!$A:$J,10,FALSE)</f>
        <v>yes</v>
      </c>
      <c r="K6" t="str">
        <f>VLOOKUP($A6,'Medical Examinations'!$A:$J,5,FALSE)</f>
        <v>Normal</v>
      </c>
      <c r="L6">
        <f>VLOOKUP($A7,'Medical Examinations'!$A:$J,3,FALSE)</f>
        <v>32.799999999999997</v>
      </c>
      <c r="M6">
        <f>VLOOKUP($A6,'Hospitalisation Details'!$A:$K,6,FALSE)</f>
        <v>55135.4</v>
      </c>
      <c r="N6" s="11">
        <f>VLOOKUP($B6,'Hospitalisation Details'!A5:J2349,10,0)</f>
        <v>36003</v>
      </c>
      <c r="O6" t="str">
        <f>VLOOKUP($B6,'Hospitalisation Details'!A5:J2349,8,0)</f>
        <v>tier - 3</v>
      </c>
      <c r="P6" t="str">
        <f>VLOOKUP($B6,'Hospitalisation Details'!A5:J2349,7,0)</f>
        <v>tier - 3</v>
      </c>
      <c r="Q6" t="str">
        <f>VLOOKUP($B6,'Hospitalisation Details'!A5:J2349,9,0)</f>
        <v>R1013</v>
      </c>
      <c r="R6">
        <f>VLOOKUP($B6,'Hospitalisation Details'!A5:K2349,11,0)</f>
        <v>24</v>
      </c>
    </row>
    <row r="7" spans="1:18" x14ac:dyDescent="0.35">
      <c r="A7" t="s">
        <v>2367</v>
      </c>
      <c r="B7" t="s">
        <v>22</v>
      </c>
      <c r="C7" t="str">
        <f>VLOOKUP($A7,'Customer Names'!$A:$E,4,FALSE)</f>
        <v>Russell B.</v>
      </c>
      <c r="D7" t="str">
        <f>VLOOKUP($A7,'Medical Examinations'!$A:$J,2,FALSE)</f>
        <v>Obesity</v>
      </c>
      <c r="E7">
        <f>VLOOKUP($A7,'Medical Examinations'!$A:$J,4,FALSE)</f>
        <v>6.59</v>
      </c>
      <c r="F7" t="str">
        <f>VLOOKUP($A7,'Medical Examinations'!$A:$J,6,FALSE)</f>
        <v>No</v>
      </c>
      <c r="G7" t="str">
        <f>VLOOKUP($A7,'Medical Examinations'!$A:$J,7,FALSE)</f>
        <v>No</v>
      </c>
      <c r="H7" t="str">
        <f>VLOOKUP($A7,'Medical Examinations'!$A:$J,8,FALSE)</f>
        <v>No</v>
      </c>
      <c r="I7">
        <f>VLOOKUP($A7,'Medical Examinations'!$A:$J,9,FALSE)</f>
        <v>2</v>
      </c>
      <c r="J7" t="str">
        <f>VLOOKUP($A7,'Medical Examinations'!$A:$J,10,FALSE)</f>
        <v>yes</v>
      </c>
      <c r="K7" t="str">
        <f>VLOOKUP($A7,'Medical Examinations'!$A:$J,5,FALSE)</f>
        <v>Diabetes</v>
      </c>
      <c r="L7">
        <f>VLOOKUP($A8,'Medical Examinations'!$A:$J,3,FALSE)</f>
        <v>36.4</v>
      </c>
      <c r="M7">
        <f>VLOOKUP($A7,'Hospitalisation Details'!$A:$K,6,FALSE)</f>
        <v>52590.83</v>
      </c>
      <c r="N7" s="11">
        <f>VLOOKUP($B7,'Hospitalisation Details'!A6:J2350,10,0)</f>
        <v>37215</v>
      </c>
      <c r="O7" t="str">
        <f>VLOOKUP($B7,'Hospitalisation Details'!A6:J2350,8,0)</f>
        <v>tier - 3</v>
      </c>
      <c r="P7" t="str">
        <f>VLOOKUP($B7,'Hospitalisation Details'!A6:J2350,7,0)</f>
        <v>tier - 3</v>
      </c>
      <c r="Q7" t="str">
        <f>VLOOKUP($B7,'Hospitalisation Details'!A6:J2350,9,0)</f>
        <v>R1012</v>
      </c>
      <c r="R7">
        <f>VLOOKUP($B7,'Hospitalisation Details'!A6:K2350,11,0)</f>
        <v>21</v>
      </c>
    </row>
    <row r="8" spans="1:18" x14ac:dyDescent="0.35">
      <c r="A8" t="s">
        <v>2366</v>
      </c>
      <c r="B8" t="s">
        <v>24</v>
      </c>
      <c r="C8" t="str">
        <f>VLOOKUP($A8,'Customer Names'!$A:$E,4,FALSE)</f>
        <v>Scott</v>
      </c>
      <c r="D8" t="str">
        <f>VLOOKUP($A8,'Medical Examinations'!$A:$J,2,FALSE)</f>
        <v>Obesity</v>
      </c>
      <c r="E8">
        <f>VLOOKUP($A8,'Medical Examinations'!$A:$J,4,FALSE)</f>
        <v>6.07</v>
      </c>
      <c r="F8" t="str">
        <f>VLOOKUP($A8,'Medical Examinations'!$A:$J,6,FALSE)</f>
        <v>No</v>
      </c>
      <c r="G8" t="str">
        <f>VLOOKUP($A8,'Medical Examinations'!$A:$J,7,FALSE)</f>
        <v>No</v>
      </c>
      <c r="H8" t="str">
        <f>VLOOKUP($A8,'Medical Examinations'!$A:$J,8,FALSE)</f>
        <v>No</v>
      </c>
      <c r="I8">
        <f ca="1">VLOOKUP($A8,'Medical Examinations'!$A:$J,9,FALSE)</f>
        <v>0</v>
      </c>
      <c r="J8" t="str">
        <f>VLOOKUP($A8,'Medical Examinations'!$A:$J,10,FALSE)</f>
        <v>yes</v>
      </c>
      <c r="K8" t="str">
        <f>VLOOKUP($A8,'Medical Examinations'!$A:$J,5,FALSE)</f>
        <v>Prediabetes</v>
      </c>
      <c r="L8">
        <f>VLOOKUP($A9,'Medical Examinations'!$A:$J,3,FALSE)</f>
        <v>36.96</v>
      </c>
      <c r="M8">
        <f>VLOOKUP($A8,'Hospitalisation Details'!$A:$K,6,FALSE)</f>
        <v>51194.559999999998</v>
      </c>
      <c r="N8" s="11">
        <f>VLOOKUP($B8,'Hospitalisation Details'!A7:J2351,10,0)</f>
        <v>34121</v>
      </c>
      <c r="O8" t="str">
        <f>VLOOKUP($B8,'Hospitalisation Details'!A7:J2351,8,0)</f>
        <v>tier - 3</v>
      </c>
      <c r="P8" t="str">
        <f>VLOOKUP($B8,'Hospitalisation Details'!A7:J2351,7,0)</f>
        <v>tier - 3</v>
      </c>
      <c r="Q8" t="str">
        <f>VLOOKUP($B8,'Hospitalisation Details'!A7:J2351,9,0)</f>
        <v>R1013</v>
      </c>
      <c r="R8">
        <f>VLOOKUP($B8,'Hospitalisation Details'!A7:K2351,11,0)</f>
        <v>30</v>
      </c>
    </row>
    <row r="9" spans="1:18" x14ac:dyDescent="0.35">
      <c r="A9" t="s">
        <v>2365</v>
      </c>
      <c r="B9" t="s">
        <v>25</v>
      </c>
      <c r="C9" t="str">
        <f>VLOOKUP($A9,'Customer Names'!$A:$E,4,FALSE)</f>
        <v>Stephen</v>
      </c>
      <c r="D9" t="str">
        <f>VLOOKUP($A9,'Medical Examinations'!$A:$J,2,FALSE)</f>
        <v>Obesity</v>
      </c>
      <c r="E9">
        <f>VLOOKUP($A9,'Medical Examinations'!$A:$J,4,FALSE)</f>
        <v>7.93</v>
      </c>
      <c r="F9" t="str">
        <f>VLOOKUP($A9,'Medical Examinations'!$A:$J,6,FALSE)</f>
        <v>No</v>
      </c>
      <c r="G9" t="str">
        <f>VLOOKUP($A9,'Medical Examinations'!$A:$J,7,FALSE)</f>
        <v>No</v>
      </c>
      <c r="H9" t="str">
        <f>VLOOKUP($A9,'Medical Examinations'!$A:$J,8,FALSE)</f>
        <v>No</v>
      </c>
      <c r="I9">
        <f>VLOOKUP($A9,'Medical Examinations'!$A:$J,9,FALSE)</f>
        <v>3</v>
      </c>
      <c r="J9" t="str">
        <f>VLOOKUP($A9,'Medical Examinations'!$A:$J,10,FALSE)</f>
        <v>yes</v>
      </c>
      <c r="K9" t="str">
        <f>VLOOKUP($A9,'Medical Examinations'!$A:$J,5,FALSE)</f>
        <v>Diabetes</v>
      </c>
      <c r="L9">
        <f>VLOOKUP($A10,'Medical Examinations'!$A:$J,3,FALSE)</f>
        <v>41.14</v>
      </c>
      <c r="M9">
        <f>VLOOKUP($A9,'Hospitalisation Details'!$A:$K,6,FALSE)</f>
        <v>49577.66</v>
      </c>
      <c r="N9" s="11">
        <f>VLOOKUP($B9,'Hospitalisation Details'!A8:J2352,10,0)</f>
        <v>34884</v>
      </c>
      <c r="O9" t="str">
        <f>VLOOKUP($B9,'Hospitalisation Details'!A8:J2352,8,0)</f>
        <v>tier - 3</v>
      </c>
      <c r="P9" t="str">
        <f>VLOOKUP($B9,'Hospitalisation Details'!A8:J2352,7,0)</f>
        <v>tier - 3</v>
      </c>
      <c r="Q9" t="str">
        <f>VLOOKUP($B9,'Hospitalisation Details'!A8:J2352,9,0)</f>
        <v>R1013</v>
      </c>
      <c r="R9">
        <f>VLOOKUP($B9,'Hospitalisation Details'!A8:K2352,11,0)</f>
        <v>27</v>
      </c>
    </row>
    <row r="10" spans="1:18" x14ac:dyDescent="0.35">
      <c r="A10" t="s">
        <v>2364</v>
      </c>
      <c r="B10" t="s">
        <v>26</v>
      </c>
      <c r="C10" t="str">
        <f>VLOOKUP($A10,'Customer Names'!$A:$E,4,FALSE)</f>
        <v>Patrick R.</v>
      </c>
      <c r="D10" t="str">
        <f>VLOOKUP($A10,'Medical Examinations'!$A:$J,2,FALSE)</f>
        <v>Obesity</v>
      </c>
      <c r="E10">
        <f>VLOOKUP($A10,'Medical Examinations'!$A:$J,4,FALSE)</f>
        <v>9.58</v>
      </c>
      <c r="F10" t="str">
        <f>VLOOKUP($A10,'Medical Examinations'!$A:$J,6,FALSE)</f>
        <v>yes</v>
      </c>
      <c r="G10" t="str">
        <f>VLOOKUP($A10,'Medical Examinations'!$A:$J,7,FALSE)</f>
        <v>No</v>
      </c>
      <c r="H10" t="str">
        <f>VLOOKUP($A10,'Medical Examinations'!$A:$J,8,FALSE)</f>
        <v>Yes</v>
      </c>
      <c r="I10">
        <f>VLOOKUP($A10,'Medical Examinations'!$A:$J,9,FALSE)</f>
        <v>1</v>
      </c>
      <c r="J10" t="str">
        <f>VLOOKUP($A10,'Medical Examinations'!$A:$J,10,FALSE)</f>
        <v>yes</v>
      </c>
      <c r="K10" t="str">
        <f>VLOOKUP($A10,'Medical Examinations'!$A:$J,5,FALSE)</f>
        <v>Diabetes</v>
      </c>
      <c r="L10">
        <f>VLOOKUP($A11,'Medical Examinations'!$A:$J,3,FALSE)</f>
        <v>38.06</v>
      </c>
      <c r="M10">
        <f>VLOOKUP($A10,'Hospitalisation Details'!$A:$K,6,FALSE)</f>
        <v>48970.25</v>
      </c>
      <c r="N10" s="11">
        <f>VLOOKUP($B10,'Hospitalisation Details'!A9:J2353,10,0)</f>
        <v>37589</v>
      </c>
      <c r="O10" t="str">
        <f>VLOOKUP($B10,'Hospitalisation Details'!A9:J2353,8,0)</f>
        <v>tier - 2</v>
      </c>
      <c r="P10" t="str">
        <f>VLOOKUP($B10,'Hospitalisation Details'!A9:J2353,7,0)</f>
        <v>tier - 3</v>
      </c>
      <c r="Q10" t="str">
        <f>VLOOKUP($B10,'Hospitalisation Details'!A9:J2353,9,0)</f>
        <v>R1012</v>
      </c>
      <c r="R10">
        <f>VLOOKUP($B10,'Hospitalisation Details'!A9:K2353,11,0)</f>
        <v>20</v>
      </c>
    </row>
    <row r="11" spans="1:18" x14ac:dyDescent="0.35">
      <c r="A11" t="s">
        <v>2363</v>
      </c>
      <c r="B11" t="s">
        <v>27</v>
      </c>
      <c r="C11" t="str">
        <f>VLOOKUP($A11,'Customer Names'!$A:$E,4,FALSE)</f>
        <v>Brooke N.</v>
      </c>
      <c r="D11" t="str">
        <f>VLOOKUP($A11,'Medical Examinations'!$A:$J,2,FALSE)</f>
        <v>Obesity</v>
      </c>
      <c r="E11">
        <f>VLOOKUP($A11,'Medical Examinations'!$A:$J,4,FALSE)</f>
        <v>10.79</v>
      </c>
      <c r="F11" t="str">
        <f>VLOOKUP($A11,'Medical Examinations'!$A:$J,6,FALSE)</f>
        <v>No</v>
      </c>
      <c r="G11" t="str">
        <f>VLOOKUP($A11,'Medical Examinations'!$A:$J,7,FALSE)</f>
        <v>No</v>
      </c>
      <c r="H11" t="str">
        <f>VLOOKUP($A11,'Medical Examinations'!$A:$J,8,FALSE)</f>
        <v>No</v>
      </c>
      <c r="I11">
        <f ca="1">VLOOKUP($A11,'Medical Examinations'!$A:$J,9,FALSE)</f>
        <v>0</v>
      </c>
      <c r="J11" t="str">
        <f>VLOOKUP($A11,'Medical Examinations'!$A:$J,10,FALSE)</f>
        <v>yes</v>
      </c>
      <c r="K11" t="str">
        <f>VLOOKUP($A11,'Medical Examinations'!$A:$J,5,FALSE)</f>
        <v>Diabetes</v>
      </c>
      <c r="L11">
        <f>VLOOKUP($A12,'Medical Examinations'!$A:$J,3,FALSE)</f>
        <v>37.700000000000003</v>
      </c>
      <c r="M11">
        <f>VLOOKUP($A11,'Hospitalisation Details'!$A:$K,6,FALSE)</f>
        <v>48885.14</v>
      </c>
      <c r="N11" s="11">
        <f>VLOOKUP($B11,'Hospitalisation Details'!A10:J2354,10,0)</f>
        <v>35743</v>
      </c>
      <c r="O11" t="str">
        <f>VLOOKUP($B11,'Hospitalisation Details'!A10:J2354,8,0)</f>
        <v>tier - 3</v>
      </c>
      <c r="P11" t="str">
        <f>VLOOKUP($B11,'Hospitalisation Details'!A10:J2354,7,0)</f>
        <v>tier - 3</v>
      </c>
      <c r="Q11" t="str">
        <f>VLOOKUP($B11,'Hospitalisation Details'!A10:J2354,9,0)</f>
        <v>R1013</v>
      </c>
      <c r="R11">
        <f>VLOOKUP($B11,'Hospitalisation Details'!A10:K2354,11,0)</f>
        <v>25</v>
      </c>
    </row>
    <row r="12" spans="1:18" x14ac:dyDescent="0.35">
      <c r="A12" t="s">
        <v>2362</v>
      </c>
      <c r="B12" t="s">
        <v>28</v>
      </c>
      <c r="C12" t="str">
        <f>VLOOKUP($A12,'Customer Names'!$A:$E,4,FALSE)</f>
        <v>Paola Andrea</v>
      </c>
      <c r="D12" t="str">
        <f>VLOOKUP($A12,'Medical Examinations'!$A:$J,2,FALSE)</f>
        <v>Obesity</v>
      </c>
      <c r="E12">
        <f>VLOOKUP($A12,'Medical Examinations'!$A:$J,4,FALSE)</f>
        <v>5.96</v>
      </c>
      <c r="F12" t="str">
        <f>VLOOKUP($A12,'Medical Examinations'!$A:$J,6,FALSE)</f>
        <v>yes</v>
      </c>
      <c r="G12" t="str">
        <f>VLOOKUP($A12,'Medical Examinations'!$A:$J,7,FALSE)</f>
        <v>No</v>
      </c>
      <c r="H12" t="str">
        <f>VLOOKUP($A12,'Medical Examinations'!$A:$J,8,FALSE)</f>
        <v>No</v>
      </c>
      <c r="I12">
        <f ca="1">VLOOKUP($A12,'Medical Examinations'!$A:$J,9,FALSE)</f>
        <v>0</v>
      </c>
      <c r="J12" t="str">
        <f>VLOOKUP($A12,'Medical Examinations'!$A:$J,10,FALSE)</f>
        <v>yes</v>
      </c>
      <c r="K12" t="str">
        <f>VLOOKUP($A12,'Medical Examinations'!$A:$J,5,FALSE)</f>
        <v>Prediabetes</v>
      </c>
      <c r="L12">
        <f>VLOOKUP($A13,'Medical Examinations'!$A:$J,3,FALSE)</f>
        <v>42.13</v>
      </c>
      <c r="M12">
        <f>VLOOKUP($A12,'Hospitalisation Details'!$A:$K,6,FALSE)</f>
        <v>48824.45</v>
      </c>
      <c r="N12" s="11">
        <f>VLOOKUP($B12,'Hospitalisation Details'!A11:J2355,10,0)</f>
        <v>37146</v>
      </c>
      <c r="O12" t="str">
        <f>VLOOKUP($B12,'Hospitalisation Details'!A11:J2355,8,0)</f>
        <v>tier - 2</v>
      </c>
      <c r="P12" t="str">
        <f>VLOOKUP($B12,'Hospitalisation Details'!A11:J2355,7,0)</f>
        <v>tier - 3</v>
      </c>
      <c r="Q12" t="str">
        <f>VLOOKUP($B12,'Hospitalisation Details'!A11:J2355,9,0)</f>
        <v>R1013</v>
      </c>
      <c r="R12">
        <f>VLOOKUP($B12,'Hospitalisation Details'!A11:K2355,11,0)</f>
        <v>21</v>
      </c>
    </row>
    <row r="13" spans="1:18" x14ac:dyDescent="0.35">
      <c r="A13" t="s">
        <v>2361</v>
      </c>
      <c r="B13" t="s">
        <v>29</v>
      </c>
      <c r="C13" t="str">
        <f>VLOOKUP($A13,'Customer Names'!$A:$E,4,FALSE)</f>
        <v>David</v>
      </c>
      <c r="D13" t="str">
        <f>VLOOKUP($A13,'Medical Examinations'!$A:$J,2,FALSE)</f>
        <v>Obesity</v>
      </c>
      <c r="E13">
        <f>VLOOKUP($A13,'Medical Examinations'!$A:$J,4,FALSE)</f>
        <v>11.9</v>
      </c>
      <c r="F13" t="str">
        <f>VLOOKUP($A13,'Medical Examinations'!$A:$J,6,FALSE)</f>
        <v>No</v>
      </c>
      <c r="G13" t="str">
        <f>VLOOKUP($A13,'Medical Examinations'!$A:$J,7,FALSE)</f>
        <v>No</v>
      </c>
      <c r="H13" t="str">
        <f>VLOOKUP($A13,'Medical Examinations'!$A:$J,8,FALSE)</f>
        <v>No</v>
      </c>
      <c r="I13">
        <f>VLOOKUP($A13,'Medical Examinations'!$A:$J,9,FALSE)</f>
        <v>2</v>
      </c>
      <c r="J13" t="str">
        <f>VLOOKUP($A13,'Medical Examinations'!$A:$J,10,FALSE)</f>
        <v>yes</v>
      </c>
      <c r="K13" t="str">
        <f>VLOOKUP($A13,'Medical Examinations'!$A:$J,5,FALSE)</f>
        <v>Diabetes</v>
      </c>
      <c r="L13">
        <f>VLOOKUP($A14,'Medical Examinations'!$A:$J,3,FALSE)</f>
        <v>40.92</v>
      </c>
      <c r="M13">
        <f>VLOOKUP($A13,'Hospitalisation Details'!$A:$K,6,FALSE)</f>
        <v>48675.519999999997</v>
      </c>
      <c r="N13" s="11">
        <f>VLOOKUP($B13,'Hospitalisation Details'!A12:J2356,10,0)</f>
        <v>36520</v>
      </c>
      <c r="O13" t="str">
        <f>VLOOKUP($B13,'Hospitalisation Details'!A12:J2356,8,0)</f>
        <v>tier - 3</v>
      </c>
      <c r="P13" t="str">
        <f>VLOOKUP($B13,'Hospitalisation Details'!A12:J2356,7,0)</f>
        <v>tier - 2</v>
      </c>
      <c r="Q13" t="str">
        <f>VLOOKUP($B13,'Hospitalisation Details'!A12:J2356,9,0)</f>
        <v>R1013</v>
      </c>
      <c r="R13">
        <f>VLOOKUP($B13,'Hospitalisation Details'!A12:K2356,11,0)</f>
        <v>23</v>
      </c>
    </row>
    <row r="14" spans="1:18" x14ac:dyDescent="0.35">
      <c r="A14" t="s">
        <v>2360</v>
      </c>
      <c r="B14" t="s">
        <v>32</v>
      </c>
      <c r="C14" t="str">
        <f>VLOOKUP($A14,'Customer Names'!$A:$E,4,FALSE)</f>
        <v>Wade</v>
      </c>
      <c r="D14" t="str">
        <f>VLOOKUP($A14,'Medical Examinations'!$A:$J,2,FALSE)</f>
        <v>Obesity</v>
      </c>
      <c r="E14">
        <f>VLOOKUP($A14,'Medical Examinations'!$A:$J,4,FALSE)</f>
        <v>8.41</v>
      </c>
      <c r="F14" t="str">
        <f>VLOOKUP($A14,'Medical Examinations'!$A:$J,6,FALSE)</f>
        <v>No</v>
      </c>
      <c r="G14" t="str">
        <f>VLOOKUP($A14,'Medical Examinations'!$A:$J,7,FALSE)</f>
        <v>No</v>
      </c>
      <c r="H14" t="str">
        <f>VLOOKUP($A14,'Medical Examinations'!$A:$J,8,FALSE)</f>
        <v>No</v>
      </c>
      <c r="I14">
        <f ca="1">VLOOKUP($A14,'Medical Examinations'!$A:$J,9,FALSE)</f>
        <v>0</v>
      </c>
      <c r="J14" t="str">
        <f>VLOOKUP($A14,'Medical Examinations'!$A:$J,10,FALSE)</f>
        <v>yes</v>
      </c>
      <c r="K14" t="str">
        <f>VLOOKUP($A14,'Medical Examinations'!$A:$J,5,FALSE)</f>
        <v>Diabetes</v>
      </c>
      <c r="L14">
        <f>VLOOKUP($A15,'Medical Examinations'!$A:$J,3,FALSE)</f>
        <v>40.564999999999998</v>
      </c>
      <c r="M14">
        <f>VLOOKUP($A14,'Hospitalisation Details'!$A:$K,6,FALSE)</f>
        <v>48673.56</v>
      </c>
      <c r="N14" s="11">
        <f>VLOOKUP($B14,'Hospitalisation Details'!A13:J2357,10,0)</f>
        <v>36508</v>
      </c>
      <c r="O14" t="str">
        <f>VLOOKUP($B14,'Hospitalisation Details'!A13:J2357,8,0)</f>
        <v>tier - 1</v>
      </c>
      <c r="P14" t="str">
        <f>VLOOKUP($B14,'Hospitalisation Details'!A13:J2357,7,0)</f>
        <v>tier - 3</v>
      </c>
      <c r="Q14" t="str">
        <f>VLOOKUP($B14,'Hospitalisation Details'!A13:J2357,9,0)</f>
        <v>R1013</v>
      </c>
      <c r="R14">
        <f>VLOOKUP($B14,'Hospitalisation Details'!A13:K2357,11,0)</f>
        <v>23</v>
      </c>
    </row>
    <row r="15" spans="1:18" x14ac:dyDescent="0.35">
      <c r="A15" t="s">
        <v>2359</v>
      </c>
      <c r="B15" t="s">
        <v>33</v>
      </c>
      <c r="C15" t="str">
        <f>VLOOKUP($A15,'Customer Names'!$A:$E,4,FALSE)</f>
        <v>Franklin</v>
      </c>
      <c r="D15" t="str">
        <f>VLOOKUP($A15,'Medical Examinations'!$A:$J,2,FALSE)</f>
        <v>Obesity</v>
      </c>
      <c r="E15">
        <f>VLOOKUP($A15,'Medical Examinations'!$A:$J,4,FALSE)</f>
        <v>7.02</v>
      </c>
      <c r="F15" t="str">
        <f>VLOOKUP($A15,'Medical Examinations'!$A:$J,6,FALSE)</f>
        <v>No</v>
      </c>
      <c r="G15" t="str">
        <f>VLOOKUP($A15,'Medical Examinations'!$A:$J,7,FALSE)</f>
        <v>No</v>
      </c>
      <c r="H15" t="str">
        <f>VLOOKUP($A15,'Medical Examinations'!$A:$J,8,FALSE)</f>
        <v>No</v>
      </c>
      <c r="I15">
        <f ca="1">VLOOKUP($A15,'Medical Examinations'!$A:$J,9,FALSE)</f>
        <v>0</v>
      </c>
      <c r="J15" t="str">
        <f>VLOOKUP($A15,'Medical Examinations'!$A:$J,10,FALSE)</f>
        <v>yes</v>
      </c>
      <c r="K15" t="str">
        <f>VLOOKUP($A15,'Medical Examinations'!$A:$J,5,FALSE)</f>
        <v>Diabetes</v>
      </c>
      <c r="L15">
        <f>VLOOKUP($A16,'Medical Examinations'!$A:$J,3,FALSE)</f>
        <v>36.384999999999998</v>
      </c>
      <c r="M15">
        <f>VLOOKUP($A15,'Hospitalisation Details'!$A:$K,6,FALSE)</f>
        <v>48549.18</v>
      </c>
      <c r="N15" s="11">
        <f>VLOOKUP($B15,'Hospitalisation Details'!A14:J2358,10,0)</f>
        <v>37518</v>
      </c>
      <c r="O15" t="str">
        <f>VLOOKUP($B15,'Hospitalisation Details'!A14:J2358,8,0)</f>
        <v>tier - 1</v>
      </c>
      <c r="P15" t="str">
        <f>VLOOKUP($B15,'Hospitalisation Details'!A14:J2358,7,0)</f>
        <v>tier - 3</v>
      </c>
      <c r="Q15" t="str">
        <f>VLOOKUP($B15,'Hospitalisation Details'!A14:J2358,9,0)</f>
        <v>R1012</v>
      </c>
      <c r="R15">
        <f>VLOOKUP($B15,'Hospitalisation Details'!A14:K2358,11,0)</f>
        <v>20</v>
      </c>
    </row>
    <row r="16" spans="1:18" x14ac:dyDescent="0.35">
      <c r="A16" t="s">
        <v>2358</v>
      </c>
      <c r="B16" t="s">
        <v>34</v>
      </c>
      <c r="C16" t="str">
        <f>VLOOKUP($A16,'Customer Names'!$A:$E,4,FALSE)</f>
        <v>Leilani M.</v>
      </c>
      <c r="D16" t="str">
        <f>VLOOKUP($A16,'Medical Examinations'!$A:$J,2,FALSE)</f>
        <v>Obesity</v>
      </c>
      <c r="E16">
        <f>VLOOKUP($A16,'Medical Examinations'!$A:$J,4,FALSE)</f>
        <v>7.59</v>
      </c>
      <c r="F16" t="str">
        <f>VLOOKUP($A16,'Medical Examinations'!$A:$J,6,FALSE)</f>
        <v>yes</v>
      </c>
      <c r="G16" t="str">
        <f>VLOOKUP($A16,'Medical Examinations'!$A:$J,7,FALSE)</f>
        <v>No</v>
      </c>
      <c r="H16" t="str">
        <f>VLOOKUP($A16,'Medical Examinations'!$A:$J,8,FALSE)</f>
        <v>No</v>
      </c>
      <c r="I16">
        <f>VLOOKUP($A16,'Medical Examinations'!$A:$J,9,FALSE)</f>
        <v>2</v>
      </c>
      <c r="J16" t="str">
        <f>VLOOKUP($A16,'Medical Examinations'!$A:$J,10,FALSE)</f>
        <v>yes</v>
      </c>
      <c r="K16" t="str">
        <f>VLOOKUP($A16,'Medical Examinations'!$A:$J,5,FALSE)</f>
        <v>Diabetes</v>
      </c>
      <c r="L16">
        <f>VLOOKUP($A17,'Medical Examinations'!$A:$J,3,FALSE)</f>
        <v>39.9</v>
      </c>
      <c r="M16">
        <f>VLOOKUP($A16,'Hospitalisation Details'!$A:$K,6,FALSE)</f>
        <v>48517.56</v>
      </c>
      <c r="N16" s="11">
        <f>VLOOKUP($B16,'Hospitalisation Details'!A15:J2359,10,0)</f>
        <v>34190</v>
      </c>
      <c r="O16" t="str">
        <f>VLOOKUP($B16,'Hospitalisation Details'!A15:J2359,8,0)</f>
        <v>tier - 1</v>
      </c>
      <c r="P16" t="str">
        <f>VLOOKUP($B16,'Hospitalisation Details'!A15:J2359,7,0)</f>
        <v>tier - 3</v>
      </c>
      <c r="Q16" t="str">
        <f>VLOOKUP($B16,'Hospitalisation Details'!A15:J2359,9,0)</f>
        <v>R1013</v>
      </c>
      <c r="R16">
        <f>VLOOKUP($B16,'Hospitalisation Details'!A15:K2359,11,0)</f>
        <v>29</v>
      </c>
    </row>
    <row r="17" spans="1:18" x14ac:dyDescent="0.35">
      <c r="A17" t="s">
        <v>2357</v>
      </c>
      <c r="B17" t="s">
        <v>36</v>
      </c>
      <c r="C17" t="str">
        <f>VLOOKUP($A17,'Customer Names'!$A:$E,4,FALSE)</f>
        <v>Philippe</v>
      </c>
      <c r="D17" t="str">
        <f>VLOOKUP($A17,'Medical Examinations'!$A:$J,2,FALSE)</f>
        <v>Obesity</v>
      </c>
      <c r="E17">
        <f>VLOOKUP($A17,'Medical Examinations'!$A:$J,4,FALSE)</f>
        <v>11.32</v>
      </c>
      <c r="F17" t="str">
        <f>VLOOKUP($A17,'Medical Examinations'!$A:$J,6,FALSE)</f>
        <v>No</v>
      </c>
      <c r="G17" t="str">
        <f>VLOOKUP($A17,'Medical Examinations'!$A:$J,7,FALSE)</f>
        <v>No</v>
      </c>
      <c r="H17" t="str">
        <f>VLOOKUP($A17,'Medical Examinations'!$A:$J,8,FALSE)</f>
        <v>No</v>
      </c>
      <c r="I17">
        <f ca="1">VLOOKUP($A17,'Medical Examinations'!$A:$J,9,FALSE)</f>
        <v>0</v>
      </c>
      <c r="J17" t="str">
        <f>VLOOKUP($A17,'Medical Examinations'!$A:$J,10,FALSE)</f>
        <v>yes</v>
      </c>
      <c r="K17" t="str">
        <f>VLOOKUP($A17,'Medical Examinations'!$A:$J,5,FALSE)</f>
        <v>Diabetes</v>
      </c>
      <c r="L17">
        <f>VLOOKUP($A18,'Medical Examinations'!$A:$J,3,FALSE)</f>
        <v>33.799999999999997</v>
      </c>
      <c r="M17">
        <f>VLOOKUP($A17,'Hospitalisation Details'!$A:$K,6,FALSE)</f>
        <v>48173.36</v>
      </c>
      <c r="N17" s="11">
        <f>VLOOKUP($B17,'Hospitalisation Details'!A16:J2360,10,0)</f>
        <v>35360</v>
      </c>
      <c r="O17" t="str">
        <f>VLOOKUP($B17,'Hospitalisation Details'!A16:J2360,8,0)</f>
        <v>tier - 3</v>
      </c>
      <c r="P17" t="str">
        <f>VLOOKUP($B17,'Hospitalisation Details'!A16:J2360,7,0)</f>
        <v>tier - 3</v>
      </c>
      <c r="Q17" t="str">
        <f>VLOOKUP($B17,'Hospitalisation Details'!A16:J2360,9,0)</f>
        <v>R1013</v>
      </c>
      <c r="R17">
        <f>VLOOKUP($B17,'Hospitalisation Details'!A16:K2360,11,0)</f>
        <v>26</v>
      </c>
    </row>
    <row r="18" spans="1:18" x14ac:dyDescent="0.35">
      <c r="A18" t="s">
        <v>2356</v>
      </c>
      <c r="B18" t="s">
        <v>38</v>
      </c>
      <c r="C18" t="str">
        <f>VLOOKUP($A18,'Customer Names'!$A:$E,4,FALSE)</f>
        <v>Jennifer A.</v>
      </c>
      <c r="D18" t="str">
        <f>VLOOKUP($A18,'Medical Examinations'!$A:$J,2,FALSE)</f>
        <v>Obesity</v>
      </c>
      <c r="E18">
        <f>VLOOKUP($A18,'Medical Examinations'!$A:$J,4,FALSE)</f>
        <v>7.67</v>
      </c>
      <c r="F18" t="str">
        <f>VLOOKUP($A18,'Medical Examinations'!$A:$J,6,FALSE)</f>
        <v>No</v>
      </c>
      <c r="G18" t="str">
        <f>VLOOKUP($A18,'Medical Examinations'!$A:$J,7,FALSE)</f>
        <v>No</v>
      </c>
      <c r="H18" t="str">
        <f>VLOOKUP($A18,'Medical Examinations'!$A:$J,8,FALSE)</f>
        <v>No</v>
      </c>
      <c r="I18">
        <f>VLOOKUP($A18,'Medical Examinations'!$A:$J,9,FALSE)</f>
        <v>3</v>
      </c>
      <c r="J18" t="str">
        <f>VLOOKUP($A18,'Medical Examinations'!$A:$J,10,FALSE)</f>
        <v>yes</v>
      </c>
      <c r="K18" t="str">
        <f>VLOOKUP($A18,'Medical Examinations'!$A:$J,5,FALSE)</f>
        <v>Diabetes</v>
      </c>
      <c r="L18">
        <f>VLOOKUP($A19,'Medical Examinations'!$A:$J,3,FALSE)</f>
        <v>36.765000000000001</v>
      </c>
      <c r="M18">
        <f>VLOOKUP($A18,'Hospitalisation Details'!$A:$K,6,FALSE)</f>
        <v>47928.03</v>
      </c>
      <c r="N18" s="11">
        <f>VLOOKUP($B18,'Hospitalisation Details'!A17:J2361,10,0)</f>
        <v>34148</v>
      </c>
      <c r="O18" t="str">
        <f>VLOOKUP($B18,'Hospitalisation Details'!A17:J2361,8,0)</f>
        <v>tier - 3</v>
      </c>
      <c r="P18" t="str">
        <f>VLOOKUP($B18,'Hospitalisation Details'!A17:J2361,7,0)</f>
        <v>tier - 3</v>
      </c>
      <c r="Q18" t="str">
        <f>VLOOKUP($B18,'Hospitalisation Details'!A17:J2361,9,0)</f>
        <v>R1013</v>
      </c>
      <c r="R18">
        <f>VLOOKUP($B18,'Hospitalisation Details'!A17:K2361,11,0)</f>
        <v>29</v>
      </c>
    </row>
    <row r="19" spans="1:18" x14ac:dyDescent="0.35">
      <c r="A19" t="s">
        <v>2355</v>
      </c>
      <c r="B19" t="s">
        <v>39</v>
      </c>
      <c r="C19" t="str">
        <f>VLOOKUP($A19,'Customer Names'!$A:$E,4,FALSE)</f>
        <v>Christina M.</v>
      </c>
      <c r="D19" t="str">
        <f>VLOOKUP($A19,'Medical Examinations'!$A:$J,2,FALSE)</f>
        <v>Obesity</v>
      </c>
      <c r="E19">
        <f>VLOOKUP($A19,'Medical Examinations'!$A:$J,4,FALSE)</f>
        <v>7.29</v>
      </c>
      <c r="F19" t="str">
        <f>VLOOKUP($A19,'Medical Examinations'!$A:$J,6,FALSE)</f>
        <v>yes</v>
      </c>
      <c r="G19" t="str">
        <f>VLOOKUP($A19,'Medical Examinations'!$A:$J,7,FALSE)</f>
        <v>No</v>
      </c>
      <c r="H19" t="str">
        <f>VLOOKUP($A19,'Medical Examinations'!$A:$J,8,FALSE)</f>
        <v>Yes</v>
      </c>
      <c r="I19">
        <f>VLOOKUP($A19,'Medical Examinations'!$A:$J,9,FALSE)</f>
        <v>1</v>
      </c>
      <c r="J19" t="str">
        <f>VLOOKUP($A19,'Medical Examinations'!$A:$J,10,FALSE)</f>
        <v>yes</v>
      </c>
      <c r="K19" t="str">
        <f>VLOOKUP($A19,'Medical Examinations'!$A:$J,5,FALSE)</f>
        <v>Diabetes</v>
      </c>
      <c r="L19">
        <f>VLOOKUP($A20,'Medical Examinations'!$A:$J,3,FALSE)</f>
        <v>36.954999999999998</v>
      </c>
      <c r="M19">
        <f>VLOOKUP($A19,'Hospitalisation Details'!$A:$K,6,FALSE)</f>
        <v>47896.79</v>
      </c>
      <c r="N19" s="11">
        <f>VLOOKUP($B19,'Hospitalisation Details'!A18:J2362,10,0)</f>
        <v>35326</v>
      </c>
      <c r="O19" t="str">
        <f>VLOOKUP($B19,'Hospitalisation Details'!A18:J2362,8,0)</f>
        <v>tier - 2</v>
      </c>
      <c r="P19" t="str">
        <f>VLOOKUP($B19,'Hospitalisation Details'!A18:J2362,7,0)</f>
        <v>tier - 3</v>
      </c>
      <c r="Q19" t="str">
        <f>VLOOKUP($B19,'Hospitalisation Details'!A18:J2362,9,0)</f>
        <v>R1012</v>
      </c>
      <c r="R19">
        <f>VLOOKUP($B19,'Hospitalisation Details'!A18:K2362,11,0)</f>
        <v>26</v>
      </c>
    </row>
    <row r="20" spans="1:18" x14ac:dyDescent="0.35">
      <c r="A20" t="s">
        <v>2354</v>
      </c>
      <c r="B20" t="s">
        <v>40</v>
      </c>
      <c r="C20" t="str">
        <f>VLOOKUP($A20,'Customer Names'!$A:$E,4,FALSE)</f>
        <v>Said Sr.</v>
      </c>
      <c r="D20" t="str">
        <f>VLOOKUP($A20,'Medical Examinations'!$A:$J,2,FALSE)</f>
        <v>Obesity</v>
      </c>
      <c r="E20">
        <f>VLOOKUP($A20,'Medical Examinations'!$A:$J,4,FALSE)</f>
        <v>4.72</v>
      </c>
      <c r="F20" t="str">
        <f>VLOOKUP($A20,'Medical Examinations'!$A:$J,6,FALSE)</f>
        <v>yes</v>
      </c>
      <c r="G20" t="str">
        <f>VLOOKUP($A20,'Medical Examinations'!$A:$J,7,FALSE)</f>
        <v>No</v>
      </c>
      <c r="H20" t="str">
        <f>VLOOKUP($A20,'Medical Examinations'!$A:$J,8,FALSE)</f>
        <v>No</v>
      </c>
      <c r="I20">
        <f>VLOOKUP($A20,'Medical Examinations'!$A:$J,9,FALSE)</f>
        <v>1</v>
      </c>
      <c r="J20" t="str">
        <f>VLOOKUP($A20,'Medical Examinations'!$A:$J,10,FALSE)</f>
        <v>yes</v>
      </c>
      <c r="K20" t="str">
        <f>VLOOKUP($A20,'Medical Examinations'!$A:$J,5,FALSE)</f>
        <v>Normal</v>
      </c>
      <c r="L20">
        <f>VLOOKUP($A21,'Medical Examinations'!$A:$J,3,FALSE)</f>
        <v>42.9</v>
      </c>
      <c r="M20">
        <f>VLOOKUP($A20,'Hospitalisation Details'!$A:$K,6,FALSE)</f>
        <v>47496.49</v>
      </c>
      <c r="N20" s="11">
        <f>VLOOKUP($B20,'Hospitalisation Details'!A19:J2363,10,0)</f>
        <v>35040</v>
      </c>
      <c r="O20" t="str">
        <f>VLOOKUP($B20,'Hospitalisation Details'!A19:J2363,8,0)</f>
        <v>tier - 2</v>
      </c>
      <c r="P20" t="str">
        <f>VLOOKUP($B20,'Hospitalisation Details'!A19:J2363,7,0)</f>
        <v>tier - 3</v>
      </c>
      <c r="Q20" t="str">
        <f>VLOOKUP($B20,'Hospitalisation Details'!A19:J2363,9,0)</f>
        <v>R1013</v>
      </c>
      <c r="R20">
        <f>VLOOKUP($B20,'Hospitalisation Details'!A19:K2363,11,0)</f>
        <v>27</v>
      </c>
    </row>
    <row r="21" spans="1:18" x14ac:dyDescent="0.35">
      <c r="A21" t="s">
        <v>2353</v>
      </c>
      <c r="B21" t="s">
        <v>41</v>
      </c>
      <c r="C21" t="str">
        <f>VLOOKUP($A21,'Customer Names'!$A:$E,4,FALSE)</f>
        <v>John</v>
      </c>
      <c r="D21" t="str">
        <f>VLOOKUP($A21,'Medical Examinations'!$A:$J,2,FALSE)</f>
        <v>Obesity</v>
      </c>
      <c r="E21">
        <f>VLOOKUP($A21,'Medical Examinations'!$A:$J,4,FALSE)</f>
        <v>11.41</v>
      </c>
      <c r="F21" t="str">
        <f>VLOOKUP($A21,'Medical Examinations'!$A:$J,6,FALSE)</f>
        <v>No</v>
      </c>
      <c r="G21" t="str">
        <f>VLOOKUP($A21,'Medical Examinations'!$A:$J,7,FALSE)</f>
        <v>No</v>
      </c>
      <c r="H21" t="str">
        <f>VLOOKUP($A21,'Medical Examinations'!$A:$J,8,FALSE)</f>
        <v>No</v>
      </c>
      <c r="I21">
        <f ca="1">VLOOKUP($A21,'Medical Examinations'!$A:$J,9,FALSE)</f>
        <v>0</v>
      </c>
      <c r="J21" t="str">
        <f>VLOOKUP($A21,'Medical Examinations'!$A:$J,10,FALSE)</f>
        <v>yes</v>
      </c>
      <c r="K21" t="str">
        <f>VLOOKUP($A21,'Medical Examinations'!$A:$J,5,FALSE)</f>
        <v>Diabetes</v>
      </c>
      <c r="L21">
        <f>VLOOKUP($A22,'Medical Examinations'!$A:$J,3,FALSE)</f>
        <v>36.299999999999997</v>
      </c>
      <c r="M21">
        <f>VLOOKUP($A21,'Hospitalisation Details'!$A:$K,6,FALSE)</f>
        <v>47462.89</v>
      </c>
      <c r="N21" s="11">
        <f>VLOOKUP($B21,'Hospitalisation Details'!A20:J2364,10,0)</f>
        <v>38267</v>
      </c>
      <c r="O21" t="str">
        <f>VLOOKUP($B21,'Hospitalisation Details'!A20:J2364,8,0)</f>
        <v>tier - 2</v>
      </c>
      <c r="P21" t="str">
        <f>VLOOKUP($B21,'Hospitalisation Details'!A20:J2364,7,0)</f>
        <v>tier - 3</v>
      </c>
      <c r="Q21" t="str">
        <f>VLOOKUP($B21,'Hospitalisation Details'!A20:J2364,9,0)</f>
        <v>R1011</v>
      </c>
      <c r="R21">
        <f>VLOOKUP($B21,'Hospitalisation Details'!A20:K2364,11,0)</f>
        <v>18</v>
      </c>
    </row>
    <row r="22" spans="1:18" x14ac:dyDescent="0.35">
      <c r="A22" t="s">
        <v>2352</v>
      </c>
      <c r="B22" t="s">
        <v>43</v>
      </c>
      <c r="C22" t="str">
        <f>VLOOKUP($A22,'Customer Names'!$A:$E,4,FALSE)</f>
        <v>Myles</v>
      </c>
      <c r="D22" t="str">
        <f>VLOOKUP($A22,'Medical Examinations'!$A:$J,2,FALSE)</f>
        <v>Obesity</v>
      </c>
      <c r="E22">
        <f>VLOOKUP($A22,'Medical Examinations'!$A:$J,4,FALSE)</f>
        <v>11.5</v>
      </c>
      <c r="F22" t="str">
        <f>VLOOKUP($A22,'Medical Examinations'!$A:$J,6,FALSE)</f>
        <v>yes</v>
      </c>
      <c r="G22" t="str">
        <f>VLOOKUP($A22,'Medical Examinations'!$A:$J,7,FALSE)</f>
        <v>No</v>
      </c>
      <c r="H22" t="str">
        <f>VLOOKUP($A22,'Medical Examinations'!$A:$J,8,FALSE)</f>
        <v>No</v>
      </c>
      <c r="I22">
        <f>VLOOKUP($A22,'Medical Examinations'!$A:$J,9,FALSE)</f>
        <v>2</v>
      </c>
      <c r="J22" t="str">
        <f>VLOOKUP($A22,'Medical Examinations'!$A:$J,10,FALSE)</f>
        <v>yes</v>
      </c>
      <c r="K22" t="str">
        <f>VLOOKUP($A22,'Medical Examinations'!$A:$J,5,FALSE)</f>
        <v>Diabetes</v>
      </c>
      <c r="L22">
        <f>VLOOKUP($A23,'Medical Examinations'!$A:$J,3,FALSE)</f>
        <v>32.200000000000003</v>
      </c>
      <c r="M22">
        <f>VLOOKUP($A22,'Hospitalisation Details'!$A:$K,6,FALSE)</f>
        <v>47403.88</v>
      </c>
      <c r="N22" s="11">
        <f>VLOOKUP($B22,'Hospitalisation Details'!A21:J2365,10,0)</f>
        <v>36848</v>
      </c>
      <c r="O22" t="str">
        <f>VLOOKUP($B22,'Hospitalisation Details'!A21:J2365,8,0)</f>
        <v>tier - 1</v>
      </c>
      <c r="P22" t="str">
        <f>VLOOKUP($B22,'Hospitalisation Details'!A21:J2365,7,0)</f>
        <v>tier - 3</v>
      </c>
      <c r="Q22" t="str">
        <f>VLOOKUP($B22,'Hospitalisation Details'!A21:J2365,9,0)</f>
        <v>R1013</v>
      </c>
      <c r="R22">
        <f>VLOOKUP($B22,'Hospitalisation Details'!A21:K2365,11,0)</f>
        <v>22</v>
      </c>
    </row>
    <row r="23" spans="1:18" x14ac:dyDescent="0.35">
      <c r="A23" t="s">
        <v>2351</v>
      </c>
      <c r="B23" t="s">
        <v>44</v>
      </c>
      <c r="C23" t="str">
        <f>VLOOKUP($A23,'Customer Names'!$A:$E,4,FALSE)</f>
        <v>Madelyn C</v>
      </c>
      <c r="D23" t="str">
        <f>VLOOKUP($A23,'Medical Examinations'!$A:$J,2,FALSE)</f>
        <v>Obesity</v>
      </c>
      <c r="E23">
        <f>VLOOKUP($A23,'Medical Examinations'!$A:$J,4,FALSE)</f>
        <v>6.22</v>
      </c>
      <c r="F23" t="str">
        <f>VLOOKUP($A23,'Medical Examinations'!$A:$J,6,FALSE)</f>
        <v>yes</v>
      </c>
      <c r="G23" t="str">
        <f>VLOOKUP($A23,'Medical Examinations'!$A:$J,7,FALSE)</f>
        <v>No</v>
      </c>
      <c r="H23" t="str">
        <f>VLOOKUP($A23,'Medical Examinations'!$A:$J,8,FALSE)</f>
        <v>No</v>
      </c>
      <c r="I23">
        <f>VLOOKUP($A23,'Medical Examinations'!$A:$J,9,FALSE)</f>
        <v>2</v>
      </c>
      <c r="J23" t="str">
        <f>VLOOKUP($A23,'Medical Examinations'!$A:$J,10,FALSE)</f>
        <v>yes</v>
      </c>
      <c r="K23" t="str">
        <f>VLOOKUP($A23,'Medical Examinations'!$A:$J,5,FALSE)</f>
        <v>Prediabetes</v>
      </c>
      <c r="L23">
        <f>VLOOKUP($A24,'Medical Examinations'!$A:$J,3,FALSE)</f>
        <v>31.3</v>
      </c>
      <c r="M23">
        <f>VLOOKUP($A23,'Hospitalisation Details'!$A:$K,6,FALSE)</f>
        <v>47305.31</v>
      </c>
      <c r="N23" s="11">
        <f>VLOOKUP($B23,'Hospitalisation Details'!A22:J2366,10,0)</f>
        <v>34300</v>
      </c>
      <c r="O23" t="str">
        <f>VLOOKUP($B23,'Hospitalisation Details'!A22:J2366,8,0)</f>
        <v>tier - 1</v>
      </c>
      <c r="P23" t="str">
        <f>VLOOKUP($B23,'Hospitalisation Details'!A22:J2366,7,0)</f>
        <v>tier - 3</v>
      </c>
      <c r="Q23" t="str">
        <f>VLOOKUP($B23,'Hospitalisation Details'!A22:J2366,9,0)</f>
        <v>R1013</v>
      </c>
      <c r="R23">
        <f>VLOOKUP($B23,'Hospitalisation Details'!A22:K2366,11,0)</f>
        <v>29</v>
      </c>
    </row>
    <row r="24" spans="1:18" x14ac:dyDescent="0.35">
      <c r="A24" t="s">
        <v>2350</v>
      </c>
      <c r="B24" t="s">
        <v>45</v>
      </c>
      <c r="C24" t="str">
        <f>VLOOKUP($A24,'Customer Names'!$A:$E,4,FALSE)</f>
        <v>Nicole</v>
      </c>
      <c r="D24" t="str">
        <f>VLOOKUP($A24,'Medical Examinations'!$A:$J,2,FALSE)</f>
        <v>Obesity</v>
      </c>
      <c r="E24">
        <f>VLOOKUP($A24,'Medical Examinations'!$A:$J,4,FALSE)</f>
        <v>11.38</v>
      </c>
      <c r="F24" t="str">
        <f>VLOOKUP($A24,'Medical Examinations'!$A:$J,6,FALSE)</f>
        <v>No</v>
      </c>
      <c r="G24" t="str">
        <f>VLOOKUP($A24,'Medical Examinations'!$A:$J,7,FALSE)</f>
        <v>No</v>
      </c>
      <c r="H24" t="str">
        <f>VLOOKUP($A24,'Medical Examinations'!$A:$J,8,FALSE)</f>
        <v>No</v>
      </c>
      <c r="I24">
        <f>VLOOKUP($A24,'Medical Examinations'!$A:$J,9,FALSE)</f>
        <v>3</v>
      </c>
      <c r="J24" t="str">
        <f>VLOOKUP($A24,'Medical Examinations'!$A:$J,10,FALSE)</f>
        <v>yes</v>
      </c>
      <c r="K24" t="str">
        <f>VLOOKUP($A24,'Medical Examinations'!$A:$J,5,FALSE)</f>
        <v>Diabetes</v>
      </c>
      <c r="L24">
        <f>VLOOKUP($A25,'Medical Examinations'!$A:$J,3,FALSE)</f>
        <v>41.8</v>
      </c>
      <c r="M24">
        <f>VLOOKUP($A24,'Hospitalisation Details'!$A:$K,6,FALSE)</f>
        <v>47291.06</v>
      </c>
      <c r="N24" s="11">
        <f>VLOOKUP($B24,'Hospitalisation Details'!A23:J2367,10,0)</f>
        <v>34637</v>
      </c>
      <c r="O24" t="str">
        <f>VLOOKUP($B24,'Hospitalisation Details'!A23:J2367,8,0)</f>
        <v>tier - 1</v>
      </c>
      <c r="P24" t="str">
        <f>VLOOKUP($B24,'Hospitalisation Details'!A23:J2367,7,0)</f>
        <v>tier - 3</v>
      </c>
      <c r="Q24" t="str">
        <f>VLOOKUP($B24,'Hospitalisation Details'!A23:J2367,9,0)</f>
        <v>R1013</v>
      </c>
      <c r="R24">
        <f>VLOOKUP($B24,'Hospitalisation Details'!A23:K2367,11,0)</f>
        <v>28</v>
      </c>
    </row>
    <row r="25" spans="1:18" x14ac:dyDescent="0.35">
      <c r="A25" t="s">
        <v>2349</v>
      </c>
      <c r="B25" t="s">
        <v>46</v>
      </c>
      <c r="C25" t="str">
        <f>VLOOKUP($A25,'Customer Names'!$A:$E,4,FALSE)</f>
        <v>Eric A.</v>
      </c>
      <c r="D25" t="str">
        <f>VLOOKUP($A25,'Medical Examinations'!$A:$J,2,FALSE)</f>
        <v>Obesity</v>
      </c>
      <c r="E25">
        <f>VLOOKUP($A25,'Medical Examinations'!$A:$J,4,FALSE)</f>
        <v>7.89</v>
      </c>
      <c r="F25" t="str">
        <f>VLOOKUP($A25,'Medical Examinations'!$A:$J,6,FALSE)</f>
        <v>yes</v>
      </c>
      <c r="G25" t="str">
        <f>VLOOKUP($A25,'Medical Examinations'!$A:$J,7,FALSE)</f>
        <v>No</v>
      </c>
      <c r="H25" t="str">
        <f>VLOOKUP($A25,'Medical Examinations'!$A:$J,8,FALSE)</f>
        <v>No</v>
      </c>
      <c r="I25">
        <f>VLOOKUP($A25,'Medical Examinations'!$A:$J,9,FALSE)</f>
        <v>2</v>
      </c>
      <c r="J25" t="str">
        <f>VLOOKUP($A25,'Medical Examinations'!$A:$J,10,FALSE)</f>
        <v>yes</v>
      </c>
      <c r="K25" t="str">
        <f>VLOOKUP($A25,'Medical Examinations'!$A:$J,5,FALSE)</f>
        <v>Diabetes</v>
      </c>
      <c r="L25">
        <f>VLOOKUP($A26,'Medical Examinations'!$A:$J,3,FALSE)</f>
        <v>35.090000000000003</v>
      </c>
      <c r="M25">
        <f>VLOOKUP($A25,'Hospitalisation Details'!$A:$K,6,FALSE)</f>
        <v>47269.85</v>
      </c>
      <c r="N25" s="11">
        <f>VLOOKUP($B25,'Hospitalisation Details'!A24:J2368,10,0)</f>
        <v>35000</v>
      </c>
      <c r="O25" t="str">
        <f>VLOOKUP($B25,'Hospitalisation Details'!A24:J2368,8,0)</f>
        <v>tier - 1</v>
      </c>
      <c r="P25" t="str">
        <f>VLOOKUP($B25,'Hospitalisation Details'!A24:J2368,7,0)</f>
        <v>tier - 3</v>
      </c>
      <c r="Q25" t="str">
        <f>VLOOKUP($B25,'Hospitalisation Details'!A24:J2368,9,0)</f>
        <v>R1013</v>
      </c>
      <c r="R25">
        <f>VLOOKUP($B25,'Hospitalisation Details'!A24:K2368,11,0)</f>
        <v>27</v>
      </c>
    </row>
    <row r="26" spans="1:18" x14ac:dyDescent="0.35">
      <c r="A26" t="s">
        <v>2348</v>
      </c>
      <c r="B26" t="s">
        <v>47</v>
      </c>
      <c r="C26" t="str">
        <f>VLOOKUP($A26,'Customer Names'!$A:$E,4,FALSE)</f>
        <v>Emiliano I.</v>
      </c>
      <c r="D26" t="str">
        <f>VLOOKUP($A26,'Medical Examinations'!$A:$J,2,FALSE)</f>
        <v>Obesity</v>
      </c>
      <c r="E26">
        <f>VLOOKUP($A26,'Medical Examinations'!$A:$J,4,FALSE)</f>
        <v>4.38</v>
      </c>
      <c r="F26" t="str">
        <f>VLOOKUP($A26,'Medical Examinations'!$A:$J,6,FALSE)</f>
        <v>yes</v>
      </c>
      <c r="G26" t="str">
        <f>VLOOKUP($A26,'Medical Examinations'!$A:$J,7,FALSE)</f>
        <v>No</v>
      </c>
      <c r="H26" t="str">
        <f>VLOOKUP($A26,'Medical Examinations'!$A:$J,8,FALSE)</f>
        <v>No</v>
      </c>
      <c r="I26">
        <f>VLOOKUP($A26,'Medical Examinations'!$A:$J,9,FALSE)</f>
        <v>2</v>
      </c>
      <c r="J26" t="str">
        <f>VLOOKUP($A26,'Medical Examinations'!$A:$J,10,FALSE)</f>
        <v>yes</v>
      </c>
      <c r="K26" t="str">
        <f>VLOOKUP($A26,'Medical Examinations'!$A:$J,5,FALSE)</f>
        <v>Normal</v>
      </c>
      <c r="L26">
        <f>VLOOKUP($A27,'Medical Examinations'!$A:$J,3,FALSE)</f>
        <v>33.880000000000003</v>
      </c>
      <c r="M26">
        <f>VLOOKUP($A26,'Hospitalisation Details'!$A:$K,6,FALSE)</f>
        <v>47055.53</v>
      </c>
      <c r="N26" s="11">
        <f>VLOOKUP($B26,'Hospitalisation Details'!A25:J2369,10,0)</f>
        <v>37122</v>
      </c>
      <c r="O26" t="str">
        <f>VLOOKUP($B26,'Hospitalisation Details'!A25:J2369,8,0)</f>
        <v>tier - 2</v>
      </c>
      <c r="P26" t="str">
        <f>VLOOKUP($B26,'Hospitalisation Details'!A25:J2369,7,0)</f>
        <v>tier - 3</v>
      </c>
      <c r="Q26" t="str">
        <f>VLOOKUP($B26,'Hospitalisation Details'!A25:J2369,9,0)</f>
        <v>R1013</v>
      </c>
      <c r="R26">
        <f>VLOOKUP($B26,'Hospitalisation Details'!A25:K2369,11,0)</f>
        <v>21</v>
      </c>
    </row>
    <row r="27" spans="1:18" x14ac:dyDescent="0.35">
      <c r="A27" t="s">
        <v>2347</v>
      </c>
      <c r="B27" t="s">
        <v>48</v>
      </c>
      <c r="C27" t="str">
        <f>VLOOKUP($A27,'Customer Names'!$A:$E,4,FALSE)</f>
        <v>Adam</v>
      </c>
      <c r="D27" t="str">
        <f>VLOOKUP($A27,'Medical Examinations'!$A:$J,2,FALSE)</f>
        <v>Obesity</v>
      </c>
      <c r="E27">
        <f>VLOOKUP($A27,'Medical Examinations'!$A:$J,4,FALSE)</f>
        <v>7.01</v>
      </c>
      <c r="F27" t="str">
        <f>VLOOKUP($A27,'Medical Examinations'!$A:$J,6,FALSE)</f>
        <v>No</v>
      </c>
      <c r="G27" t="str">
        <f>VLOOKUP($A27,'Medical Examinations'!$A:$J,7,FALSE)</f>
        <v>No</v>
      </c>
      <c r="H27" t="str">
        <f>VLOOKUP($A27,'Medical Examinations'!$A:$J,8,FALSE)</f>
        <v>No</v>
      </c>
      <c r="I27">
        <f>VLOOKUP($A27,'Medical Examinations'!$A:$J,9,FALSE)</f>
        <v>3</v>
      </c>
      <c r="J27" t="str">
        <f>VLOOKUP($A27,'Medical Examinations'!$A:$J,10,FALSE)</f>
        <v>yes</v>
      </c>
      <c r="K27" t="str">
        <f>VLOOKUP($A27,'Medical Examinations'!$A:$J,5,FALSE)</f>
        <v>Diabetes</v>
      </c>
      <c r="L27">
        <f>VLOOKUP($A28,'Medical Examinations'!$A:$J,3,FALSE)</f>
        <v>30.875</v>
      </c>
      <c r="M27">
        <f>VLOOKUP($A27,'Hospitalisation Details'!$A:$K,6,FALSE)</f>
        <v>46889.26</v>
      </c>
      <c r="N27" s="11">
        <f>VLOOKUP($B27,'Hospitalisation Details'!A26:J2370,10,0)</f>
        <v>34660</v>
      </c>
      <c r="O27" t="str">
        <f>VLOOKUP($B27,'Hospitalisation Details'!A26:J2370,8,0)</f>
        <v>tier - 2</v>
      </c>
      <c r="P27" t="str">
        <f>VLOOKUP($B27,'Hospitalisation Details'!A26:J2370,7,0)</f>
        <v>tier - 3</v>
      </c>
      <c r="Q27" t="str">
        <f>VLOOKUP($B27,'Hospitalisation Details'!A26:J2370,9,0)</f>
        <v>R1013</v>
      </c>
      <c r="R27">
        <f>VLOOKUP($B27,'Hospitalisation Details'!A26:K2370,11,0)</f>
        <v>28</v>
      </c>
    </row>
    <row r="28" spans="1:18" x14ac:dyDescent="0.35">
      <c r="A28" t="s">
        <v>2346</v>
      </c>
      <c r="B28" t="s">
        <v>49</v>
      </c>
      <c r="C28" t="str">
        <f>VLOOKUP($A28,'Customer Names'!$A:$E,4,FALSE)</f>
        <v>Zach</v>
      </c>
      <c r="D28" t="str">
        <f>VLOOKUP($A28,'Medical Examinations'!$A:$J,2,FALSE)</f>
        <v>Obesity</v>
      </c>
      <c r="E28">
        <f>VLOOKUP($A28,'Medical Examinations'!$A:$J,4,FALSE)</f>
        <v>11.88</v>
      </c>
      <c r="F28" t="str">
        <f>VLOOKUP($A28,'Medical Examinations'!$A:$J,6,FALSE)</f>
        <v>No</v>
      </c>
      <c r="G28" t="str">
        <f>VLOOKUP($A28,'Medical Examinations'!$A:$J,7,FALSE)</f>
        <v>No</v>
      </c>
      <c r="H28" t="str">
        <f>VLOOKUP($A28,'Medical Examinations'!$A:$J,8,FALSE)</f>
        <v>No</v>
      </c>
      <c r="I28">
        <f ca="1">VLOOKUP($A28,'Medical Examinations'!$A:$J,9,FALSE)</f>
        <v>0</v>
      </c>
      <c r="J28" t="str">
        <f>VLOOKUP($A28,'Medical Examinations'!$A:$J,10,FALSE)</f>
        <v>yes</v>
      </c>
      <c r="K28" t="str">
        <f>VLOOKUP($A28,'Medical Examinations'!$A:$J,5,FALSE)</f>
        <v>Diabetes</v>
      </c>
      <c r="L28">
        <f>VLOOKUP($A29,'Medical Examinations'!$A:$J,3,FALSE)</f>
        <v>36.86</v>
      </c>
      <c r="M28">
        <f>VLOOKUP($A28,'Hospitalisation Details'!$A:$K,6,FALSE)</f>
        <v>46718.16</v>
      </c>
      <c r="N28" s="11">
        <f>VLOOKUP($B28,'Hospitalisation Details'!A27:J2371,10,0)</f>
        <v>36808</v>
      </c>
      <c r="O28" t="str">
        <f>VLOOKUP($B28,'Hospitalisation Details'!A27:J2371,8,0)</f>
        <v>tier - 2</v>
      </c>
      <c r="P28" t="str">
        <f>VLOOKUP($B28,'Hospitalisation Details'!A27:J2371,7,0)</f>
        <v>tier - 3</v>
      </c>
      <c r="Q28" t="str">
        <f>VLOOKUP($B28,'Hospitalisation Details'!A27:J2371,9,0)</f>
        <v>R1013</v>
      </c>
      <c r="R28">
        <f>VLOOKUP($B28,'Hospitalisation Details'!A27:K2371,11,0)</f>
        <v>22</v>
      </c>
    </row>
    <row r="29" spans="1:18" x14ac:dyDescent="0.35">
      <c r="A29" t="s">
        <v>2345</v>
      </c>
      <c r="B29" t="s">
        <v>50</v>
      </c>
      <c r="C29" t="str">
        <f>VLOOKUP($A29,'Customer Names'!$A:$E,4,FALSE)</f>
        <v>Stephanie W.</v>
      </c>
      <c r="D29" t="str">
        <f>VLOOKUP($A29,'Medical Examinations'!$A:$J,2,FALSE)</f>
        <v>Obesity</v>
      </c>
      <c r="E29">
        <f>VLOOKUP($A29,'Medical Examinations'!$A:$J,4,FALSE)</f>
        <v>5.19</v>
      </c>
      <c r="F29" t="str">
        <f>VLOOKUP($A29,'Medical Examinations'!$A:$J,6,FALSE)</f>
        <v>yes</v>
      </c>
      <c r="G29" t="str">
        <f>VLOOKUP($A29,'Medical Examinations'!$A:$J,7,FALSE)</f>
        <v>No</v>
      </c>
      <c r="H29" t="str">
        <f>VLOOKUP($A29,'Medical Examinations'!$A:$J,8,FALSE)</f>
        <v>Yes</v>
      </c>
      <c r="I29">
        <f>VLOOKUP($A29,'Medical Examinations'!$A:$J,9,FALSE)</f>
        <v>1</v>
      </c>
      <c r="J29" t="str">
        <f>VLOOKUP($A29,'Medical Examinations'!$A:$J,10,FALSE)</f>
        <v>yes</v>
      </c>
      <c r="K29" t="str">
        <f>VLOOKUP($A29,'Medical Examinations'!$A:$J,5,FALSE)</f>
        <v>Normal</v>
      </c>
      <c r="L29">
        <f>VLOOKUP($A30,'Medical Examinations'!$A:$J,3,FALSE)</f>
        <v>35.86</v>
      </c>
      <c r="M29">
        <f>VLOOKUP($A29,'Hospitalisation Details'!$A:$K,6,FALSE)</f>
        <v>46661.440000000002</v>
      </c>
      <c r="N29" s="11">
        <f>VLOOKUP($B29,'Hospitalisation Details'!A28:J2372,10,0)</f>
        <v>36377</v>
      </c>
      <c r="O29" t="str">
        <f>VLOOKUP($B29,'Hospitalisation Details'!A28:J2372,8,0)</f>
        <v>tier - 2</v>
      </c>
      <c r="P29" t="str">
        <f>VLOOKUP($B29,'Hospitalisation Details'!A28:J2372,7,0)</f>
        <v>tier - 3</v>
      </c>
      <c r="Q29" t="str">
        <f>VLOOKUP($B29,'Hospitalisation Details'!A28:J2372,9,0)</f>
        <v>R1013</v>
      </c>
      <c r="R29">
        <f>VLOOKUP($B29,'Hospitalisation Details'!A28:K2372,11,0)</f>
        <v>23</v>
      </c>
    </row>
    <row r="30" spans="1:18" x14ac:dyDescent="0.35">
      <c r="A30" t="s">
        <v>2344</v>
      </c>
      <c r="B30" t="s">
        <v>51</v>
      </c>
      <c r="C30" t="str">
        <f>VLOOKUP($A30,'Customer Names'!$A:$E,4,FALSE)</f>
        <v>Stephen</v>
      </c>
      <c r="D30" t="str">
        <f>VLOOKUP($A30,'Medical Examinations'!$A:$J,2,FALSE)</f>
        <v>Obesity</v>
      </c>
      <c r="E30">
        <f>VLOOKUP($A30,'Medical Examinations'!$A:$J,4,FALSE)</f>
        <v>6.74</v>
      </c>
      <c r="F30" t="str">
        <f>VLOOKUP($A30,'Medical Examinations'!$A:$J,6,FALSE)</f>
        <v>yes</v>
      </c>
      <c r="G30" t="str">
        <f>VLOOKUP($A30,'Medical Examinations'!$A:$J,7,FALSE)</f>
        <v>No</v>
      </c>
      <c r="H30" t="str">
        <f>VLOOKUP($A30,'Medical Examinations'!$A:$J,8,FALSE)</f>
        <v>No</v>
      </c>
      <c r="I30">
        <f>VLOOKUP($A30,'Medical Examinations'!$A:$J,9,FALSE)</f>
        <v>2</v>
      </c>
      <c r="J30" t="str">
        <f>VLOOKUP($A30,'Medical Examinations'!$A:$J,10,FALSE)</f>
        <v>yes</v>
      </c>
      <c r="K30" t="str">
        <f>VLOOKUP($A30,'Medical Examinations'!$A:$J,5,FALSE)</f>
        <v>Diabetes</v>
      </c>
      <c r="L30">
        <f>VLOOKUP($A31,'Medical Examinations'!$A:$J,3,FALSE)</f>
        <v>37.049999999999997</v>
      </c>
      <c r="M30">
        <f>VLOOKUP($A30,'Hospitalisation Details'!$A:$K,6,FALSE)</f>
        <v>46599.11</v>
      </c>
      <c r="N30" s="11">
        <f>VLOOKUP($B30,'Hospitalisation Details'!A29:J2373,10,0)</f>
        <v>34977</v>
      </c>
      <c r="O30" t="str">
        <f>VLOOKUP($B30,'Hospitalisation Details'!A29:J2373,8,0)</f>
        <v>tier - 1</v>
      </c>
      <c r="P30" t="str">
        <f>VLOOKUP($B30,'Hospitalisation Details'!A29:J2373,7,0)</f>
        <v>tier - 3</v>
      </c>
      <c r="Q30" t="str">
        <f>VLOOKUP($B30,'Hospitalisation Details'!A29:J2373,9,0)</f>
        <v>R1013</v>
      </c>
      <c r="R30">
        <f>VLOOKUP($B30,'Hospitalisation Details'!A29:K2373,11,0)</f>
        <v>27</v>
      </c>
    </row>
    <row r="31" spans="1:18" x14ac:dyDescent="0.35">
      <c r="A31" t="s">
        <v>2343</v>
      </c>
      <c r="B31" t="s">
        <v>52</v>
      </c>
      <c r="C31" t="str">
        <f>VLOOKUP($A31,'Customer Names'!$A:$E,4,FALSE)</f>
        <v>Natalie</v>
      </c>
      <c r="D31" t="str">
        <f>VLOOKUP($A31,'Medical Examinations'!$A:$J,2,FALSE)</f>
        <v>Obesity</v>
      </c>
      <c r="E31">
        <f>VLOOKUP($A31,'Medical Examinations'!$A:$J,4,FALSE)</f>
        <v>8.44</v>
      </c>
      <c r="F31" t="str">
        <f>VLOOKUP($A31,'Medical Examinations'!$A:$J,6,FALSE)</f>
        <v>No</v>
      </c>
      <c r="G31" t="str">
        <f>VLOOKUP($A31,'Medical Examinations'!$A:$J,7,FALSE)</f>
        <v>No</v>
      </c>
      <c r="H31" t="str">
        <f>VLOOKUP($A31,'Medical Examinations'!$A:$J,8,FALSE)</f>
        <v>No</v>
      </c>
      <c r="I31">
        <f ca="1">VLOOKUP($A31,'Medical Examinations'!$A:$J,9,FALSE)</f>
        <v>0</v>
      </c>
      <c r="J31" t="str">
        <f>VLOOKUP($A31,'Medical Examinations'!$A:$J,10,FALSE)</f>
        <v>yes</v>
      </c>
      <c r="K31" t="str">
        <f>VLOOKUP($A31,'Medical Examinations'!$A:$J,5,FALSE)</f>
        <v>Diabetes</v>
      </c>
      <c r="L31">
        <f>VLOOKUP($A32,'Medical Examinations'!$A:$J,3,FALSE)</f>
        <v>43.89</v>
      </c>
      <c r="M31">
        <f>VLOOKUP($A31,'Hospitalisation Details'!$A:$K,6,FALSE)</f>
        <v>46255.11</v>
      </c>
      <c r="N31" s="11">
        <f>VLOOKUP($B31,'Hospitalisation Details'!A30:J2374,10,0)</f>
        <v>34655</v>
      </c>
      <c r="O31" t="str">
        <f>VLOOKUP($B31,'Hospitalisation Details'!A30:J2374,8,0)</f>
        <v>tier - 2</v>
      </c>
      <c r="P31" t="str">
        <f>VLOOKUP($B31,'Hospitalisation Details'!A30:J2374,7,0)</f>
        <v>tier - 3</v>
      </c>
      <c r="Q31" t="str">
        <f>VLOOKUP($B31,'Hospitalisation Details'!A30:J2374,9,0)</f>
        <v>R1013</v>
      </c>
      <c r="R31">
        <f>VLOOKUP($B31,'Hospitalisation Details'!A30:K2374,11,0)</f>
        <v>28</v>
      </c>
    </row>
    <row r="32" spans="1:18" x14ac:dyDescent="0.35">
      <c r="A32" t="s">
        <v>2342</v>
      </c>
      <c r="B32" t="s">
        <v>53</v>
      </c>
      <c r="C32" t="str">
        <f>VLOOKUP($A32,'Customer Names'!$A:$E,4,FALSE)</f>
        <v>Nicole J.</v>
      </c>
      <c r="D32" t="str">
        <f>VLOOKUP($A32,'Medical Examinations'!$A:$J,2,FALSE)</f>
        <v>Obesity</v>
      </c>
      <c r="E32">
        <f>VLOOKUP($A32,'Medical Examinations'!$A:$J,4,FALSE)</f>
        <v>8.7100000000000009</v>
      </c>
      <c r="F32" t="str">
        <f>VLOOKUP($A32,'Medical Examinations'!$A:$J,6,FALSE)</f>
        <v>No</v>
      </c>
      <c r="G32" t="str">
        <f>VLOOKUP($A32,'Medical Examinations'!$A:$J,7,FALSE)</f>
        <v>No</v>
      </c>
      <c r="H32" t="str">
        <f>VLOOKUP($A32,'Medical Examinations'!$A:$J,8,FALSE)</f>
        <v>No</v>
      </c>
      <c r="I32">
        <f ca="1">VLOOKUP($A32,'Medical Examinations'!$A:$J,9,FALSE)</f>
        <v>0</v>
      </c>
      <c r="J32" t="str">
        <f>VLOOKUP($A32,'Medical Examinations'!$A:$J,10,FALSE)</f>
        <v>yes</v>
      </c>
      <c r="K32" t="str">
        <f>VLOOKUP($A32,'Medical Examinations'!$A:$J,5,FALSE)</f>
        <v>Diabetes</v>
      </c>
      <c r="L32">
        <f>VLOOKUP($A33,'Medical Examinations'!$A:$J,3,FALSE)</f>
        <v>42.35</v>
      </c>
      <c r="M32">
        <f>VLOOKUP($A32,'Hospitalisation Details'!$A:$K,6,FALSE)</f>
        <v>46200.99</v>
      </c>
      <c r="N32" s="11">
        <f>VLOOKUP($B32,'Hospitalisation Details'!A31:J2375,10,0)</f>
        <v>37457</v>
      </c>
      <c r="O32" t="str">
        <f>VLOOKUP($B32,'Hospitalisation Details'!A31:J2375,8,0)</f>
        <v>tier - 1</v>
      </c>
      <c r="P32" t="str">
        <f>VLOOKUP($B32,'Hospitalisation Details'!A31:J2375,7,0)</f>
        <v>tier - 3</v>
      </c>
      <c r="Q32" t="str">
        <f>VLOOKUP($B32,'Hospitalisation Details'!A31:J2375,9,0)</f>
        <v>R1013</v>
      </c>
      <c r="R32">
        <f>VLOOKUP($B32,'Hospitalisation Details'!A31:K2375,11,0)</f>
        <v>20</v>
      </c>
    </row>
    <row r="33" spans="1:18" x14ac:dyDescent="0.35">
      <c r="A33" t="s">
        <v>2341</v>
      </c>
      <c r="B33" t="s">
        <v>54</v>
      </c>
      <c r="C33" t="str">
        <f>VLOOKUP($A33,'Customer Names'!$A:$E,4,FALSE)</f>
        <v>Jefferson D</v>
      </c>
      <c r="D33" t="str">
        <f>VLOOKUP($A33,'Medical Examinations'!$A:$J,2,FALSE)</f>
        <v>Obesity</v>
      </c>
      <c r="E33">
        <f>VLOOKUP($A33,'Medical Examinations'!$A:$J,4,FALSE)</f>
        <v>5.08</v>
      </c>
      <c r="F33" t="str">
        <f>VLOOKUP($A33,'Medical Examinations'!$A:$J,6,FALSE)</f>
        <v>yes</v>
      </c>
      <c r="G33" t="str">
        <f>VLOOKUP($A33,'Medical Examinations'!$A:$J,7,FALSE)</f>
        <v>No</v>
      </c>
      <c r="H33" t="str">
        <f>VLOOKUP($A33,'Medical Examinations'!$A:$J,8,FALSE)</f>
        <v>No</v>
      </c>
      <c r="I33">
        <f>VLOOKUP($A33,'Medical Examinations'!$A:$J,9,FALSE)</f>
        <v>2</v>
      </c>
      <c r="J33" t="str">
        <f>VLOOKUP($A33,'Medical Examinations'!$A:$J,10,FALSE)</f>
        <v>yes</v>
      </c>
      <c r="K33" t="str">
        <f>VLOOKUP($A33,'Medical Examinations'!$A:$J,5,FALSE)</f>
        <v>Normal</v>
      </c>
      <c r="L33">
        <f>VLOOKUP($A34,'Medical Examinations'!$A:$J,3,FALSE)</f>
        <v>31.35</v>
      </c>
      <c r="M33">
        <f>VLOOKUP($A33,'Hospitalisation Details'!$A:$K,6,FALSE)</f>
        <v>46151.12</v>
      </c>
      <c r="N33" s="11">
        <f>VLOOKUP($B33,'Hospitalisation Details'!A32:J2376,10,0)</f>
        <v>37438</v>
      </c>
      <c r="O33" t="str">
        <f>VLOOKUP($B33,'Hospitalisation Details'!A32:J2376,8,0)</f>
        <v>tier - 2</v>
      </c>
      <c r="P33" t="str">
        <f>VLOOKUP($B33,'Hospitalisation Details'!A32:J2376,7,0)</f>
        <v>tier - 3</v>
      </c>
      <c r="Q33" t="str">
        <f>VLOOKUP($B33,'Hospitalisation Details'!A32:J2376,9,0)</f>
        <v>R1012</v>
      </c>
      <c r="R33">
        <f>VLOOKUP($B33,'Hospitalisation Details'!A32:K2376,11,0)</f>
        <v>20</v>
      </c>
    </row>
    <row r="34" spans="1:18" x14ac:dyDescent="0.35">
      <c r="A34" t="s">
        <v>2340</v>
      </c>
      <c r="B34" t="s">
        <v>55</v>
      </c>
      <c r="C34" t="str">
        <f>VLOOKUP($A34,'Customer Names'!$A:$E,4,FALSE)</f>
        <v>Brendan D.</v>
      </c>
      <c r="D34" t="str">
        <f>VLOOKUP($A34,'Medical Examinations'!$A:$J,2,FALSE)</f>
        <v>Obesity</v>
      </c>
      <c r="E34">
        <f>VLOOKUP($A34,'Medical Examinations'!$A:$J,4,FALSE)</f>
        <v>6.86</v>
      </c>
      <c r="F34" t="str">
        <f>VLOOKUP($A34,'Medical Examinations'!$A:$J,6,FALSE)</f>
        <v>No</v>
      </c>
      <c r="G34" t="str">
        <f>VLOOKUP($A34,'Medical Examinations'!$A:$J,7,FALSE)</f>
        <v>No</v>
      </c>
      <c r="H34" t="str">
        <f>VLOOKUP($A34,'Medical Examinations'!$A:$J,8,FALSE)</f>
        <v>No</v>
      </c>
      <c r="I34">
        <f ca="1">VLOOKUP($A34,'Medical Examinations'!$A:$J,9,FALSE)</f>
        <v>0</v>
      </c>
      <c r="J34" t="str">
        <f>VLOOKUP($A34,'Medical Examinations'!$A:$J,10,FALSE)</f>
        <v>yes</v>
      </c>
      <c r="K34" t="str">
        <f>VLOOKUP($A34,'Medical Examinations'!$A:$J,5,FALSE)</f>
        <v>Diabetes</v>
      </c>
      <c r="L34">
        <f>VLOOKUP($A35,'Medical Examinations'!$A:$J,3,FALSE)</f>
        <v>47.6</v>
      </c>
      <c r="M34">
        <f>VLOOKUP($A34,'Hospitalisation Details'!$A:$K,6,FALSE)</f>
        <v>46130.53</v>
      </c>
      <c r="N34" s="11">
        <f>VLOOKUP($B34,'Hospitalisation Details'!A33:J2377,10,0)</f>
        <v>34851</v>
      </c>
      <c r="O34" t="str">
        <f>VLOOKUP($B34,'Hospitalisation Details'!A33:J2377,8,0)</f>
        <v>tier - 2</v>
      </c>
      <c r="P34" t="str">
        <f>VLOOKUP($B34,'Hospitalisation Details'!A33:J2377,7,0)</f>
        <v>tier - 3</v>
      </c>
      <c r="Q34" t="str">
        <f>VLOOKUP($B34,'Hospitalisation Details'!A33:J2377,9,0)</f>
        <v>R1013</v>
      </c>
      <c r="R34">
        <f>VLOOKUP($B34,'Hospitalisation Details'!A33:K2377,11,0)</f>
        <v>28</v>
      </c>
    </row>
    <row r="35" spans="1:18" x14ac:dyDescent="0.35">
      <c r="A35" t="s">
        <v>2339</v>
      </c>
      <c r="B35" t="s">
        <v>56</v>
      </c>
      <c r="C35" t="str">
        <f>VLOOKUP($A35,'Customer Names'!$A:$E,4,FALSE)</f>
        <v>Courtney</v>
      </c>
      <c r="D35" t="str">
        <f>VLOOKUP($A35,'Medical Examinations'!$A:$J,2,FALSE)</f>
        <v>Obesity</v>
      </c>
      <c r="E35">
        <f>VLOOKUP($A35,'Medical Examinations'!$A:$J,4,FALSE)</f>
        <v>5.95</v>
      </c>
      <c r="F35" t="str">
        <f>VLOOKUP($A35,'Medical Examinations'!$A:$J,6,FALSE)</f>
        <v>yes</v>
      </c>
      <c r="G35" t="str">
        <f>VLOOKUP($A35,'Medical Examinations'!$A:$J,7,FALSE)</f>
        <v>No</v>
      </c>
      <c r="H35" t="str">
        <f>VLOOKUP($A35,'Medical Examinations'!$A:$J,8,FALSE)</f>
        <v>No</v>
      </c>
      <c r="I35">
        <f>VLOOKUP($A35,'Medical Examinations'!$A:$J,9,FALSE)</f>
        <v>3</v>
      </c>
      <c r="J35" t="str">
        <f>VLOOKUP($A35,'Medical Examinations'!$A:$J,10,FALSE)</f>
        <v>yes</v>
      </c>
      <c r="K35" t="str">
        <f>VLOOKUP($A35,'Medical Examinations'!$A:$J,5,FALSE)</f>
        <v>Prediabetes</v>
      </c>
      <c r="L35">
        <f>VLOOKUP($A36,'Medical Examinations'!$A:$J,3,FALSE)</f>
        <v>46.2</v>
      </c>
      <c r="M35">
        <f>VLOOKUP($A35,'Hospitalisation Details'!$A:$K,6,FALSE)</f>
        <v>46113.51</v>
      </c>
      <c r="N35" s="11">
        <f>VLOOKUP($B35,'Hospitalisation Details'!A34:J2378,10,0)</f>
        <v>34240</v>
      </c>
      <c r="O35" t="str">
        <f>VLOOKUP($B35,'Hospitalisation Details'!A34:J2378,8,0)</f>
        <v>tier - 1</v>
      </c>
      <c r="P35" t="str">
        <f>VLOOKUP($B35,'Hospitalisation Details'!A34:J2378,7,0)</f>
        <v>tier - 3</v>
      </c>
      <c r="Q35" t="str">
        <f>VLOOKUP($B35,'Hospitalisation Details'!A34:J2378,9,0)</f>
        <v>R1013</v>
      </c>
      <c r="R35">
        <f>VLOOKUP($B35,'Hospitalisation Details'!A34:K2378,11,0)</f>
        <v>29</v>
      </c>
    </row>
    <row r="36" spans="1:18" x14ac:dyDescent="0.35">
      <c r="A36" t="s">
        <v>2338</v>
      </c>
      <c r="B36" t="s">
        <v>57</v>
      </c>
      <c r="C36" t="str">
        <f>VLOOKUP($A36,'Customer Names'!$A:$E,4,FALSE)</f>
        <v>Sydney L.</v>
      </c>
      <c r="D36" t="str">
        <f>VLOOKUP($A36,'Medical Examinations'!$A:$J,2,FALSE)</f>
        <v>Obesity</v>
      </c>
      <c r="E36">
        <f>VLOOKUP($A36,'Medical Examinations'!$A:$J,4,FALSE)</f>
        <v>6.09</v>
      </c>
      <c r="F36" t="str">
        <f>VLOOKUP($A36,'Medical Examinations'!$A:$J,6,FALSE)</f>
        <v>No</v>
      </c>
      <c r="G36" t="str">
        <f>VLOOKUP($A36,'Medical Examinations'!$A:$J,7,FALSE)</f>
        <v>No</v>
      </c>
      <c r="H36" t="str">
        <f>VLOOKUP($A36,'Medical Examinations'!$A:$J,8,FALSE)</f>
        <v>Yes</v>
      </c>
      <c r="I36">
        <f>VLOOKUP($A36,'Medical Examinations'!$A:$J,9,FALSE)</f>
        <v>1</v>
      </c>
      <c r="J36" t="str">
        <f>VLOOKUP($A36,'Medical Examinations'!$A:$J,10,FALSE)</f>
        <v>yes</v>
      </c>
      <c r="K36" t="str">
        <f>VLOOKUP($A36,'Medical Examinations'!$A:$J,5,FALSE)</f>
        <v>Prediabetes</v>
      </c>
      <c r="L36">
        <f>VLOOKUP($A37,'Medical Examinations'!$A:$J,3,FALSE)</f>
        <v>32.015000000000001</v>
      </c>
      <c r="M36">
        <f>VLOOKUP($A36,'Hospitalisation Details'!$A:$K,6,FALSE)</f>
        <v>45863.21</v>
      </c>
      <c r="N36" s="11">
        <f>VLOOKUP($B36,'Hospitalisation Details'!A35:J2379,10,0)</f>
        <v>38223</v>
      </c>
      <c r="O36" t="str">
        <f>VLOOKUP($B36,'Hospitalisation Details'!A35:J2379,8,0)</f>
        <v>tier - 3</v>
      </c>
      <c r="P36" t="str">
        <f>VLOOKUP($B36,'Hospitalisation Details'!A35:J2379,7,0)</f>
        <v>tier - 3</v>
      </c>
      <c r="Q36" t="str">
        <f>VLOOKUP($B36,'Hospitalisation Details'!A35:J2379,9,0)</f>
        <v>R1013</v>
      </c>
      <c r="R36">
        <f>VLOOKUP($B36,'Hospitalisation Details'!A35:K2379,11,0)</f>
        <v>18</v>
      </c>
    </row>
    <row r="37" spans="1:18" x14ac:dyDescent="0.35">
      <c r="A37" t="s">
        <v>2337</v>
      </c>
      <c r="B37" t="s">
        <v>58</v>
      </c>
      <c r="C37" t="str">
        <f>VLOOKUP($A37,'Customer Names'!$A:$E,4,FALSE)</f>
        <v>Julien</v>
      </c>
      <c r="D37" t="str">
        <f>VLOOKUP($A37,'Medical Examinations'!$A:$J,2,FALSE)</f>
        <v>Obesity</v>
      </c>
      <c r="E37">
        <f>VLOOKUP($A37,'Medical Examinations'!$A:$J,4,FALSE)</f>
        <v>11.75</v>
      </c>
      <c r="F37" t="str">
        <f>VLOOKUP($A37,'Medical Examinations'!$A:$J,6,FALSE)</f>
        <v>No</v>
      </c>
      <c r="G37" t="str">
        <f>VLOOKUP($A37,'Medical Examinations'!$A:$J,7,FALSE)</f>
        <v>No</v>
      </c>
      <c r="H37" t="str">
        <f>VLOOKUP($A37,'Medical Examinations'!$A:$J,8,FALSE)</f>
        <v>No</v>
      </c>
      <c r="I37">
        <f ca="1">VLOOKUP($A37,'Medical Examinations'!$A:$J,9,FALSE)</f>
        <v>0</v>
      </c>
      <c r="J37" t="str">
        <f>VLOOKUP($A37,'Medical Examinations'!$A:$J,10,FALSE)</f>
        <v>yes</v>
      </c>
      <c r="K37" t="str">
        <f>VLOOKUP($A37,'Medical Examinations'!$A:$J,5,FALSE)</f>
        <v>Diabetes</v>
      </c>
      <c r="L37">
        <f>VLOOKUP($A38,'Medical Examinations'!$A:$J,3,FALSE)</f>
        <v>40.564999999999998</v>
      </c>
      <c r="M37">
        <f>VLOOKUP($A37,'Hospitalisation Details'!$A:$K,6,FALSE)</f>
        <v>45710.21</v>
      </c>
      <c r="N37" s="11">
        <f>VLOOKUP($B37,'Hospitalisation Details'!A36:J2380,10,0)</f>
        <v>35655</v>
      </c>
      <c r="O37" t="str">
        <f>VLOOKUP($B37,'Hospitalisation Details'!A36:J2380,8,0)</f>
        <v>tier - 3</v>
      </c>
      <c r="P37" t="str">
        <f>VLOOKUP($B37,'Hospitalisation Details'!A36:J2380,7,0)</f>
        <v>tier - 3</v>
      </c>
      <c r="Q37" t="str">
        <f>VLOOKUP($B37,'Hospitalisation Details'!A36:J2380,9,0)</f>
        <v>R1013</v>
      </c>
      <c r="R37">
        <f>VLOOKUP($B37,'Hospitalisation Details'!A36:K2380,11,0)</f>
        <v>25</v>
      </c>
    </row>
    <row r="38" spans="1:18" x14ac:dyDescent="0.35">
      <c r="A38" t="s">
        <v>2336</v>
      </c>
      <c r="B38" t="s">
        <v>59</v>
      </c>
      <c r="C38" t="str">
        <f>VLOOKUP($A38,'Customer Names'!$A:$E,4,FALSE)</f>
        <v>Ryan M</v>
      </c>
      <c r="D38" t="str">
        <f>VLOOKUP($A38,'Medical Examinations'!$A:$J,2,FALSE)</f>
        <v>Obesity</v>
      </c>
      <c r="E38">
        <f>VLOOKUP($A38,'Medical Examinations'!$A:$J,4,FALSE)</f>
        <v>7.37</v>
      </c>
      <c r="F38" t="str">
        <f>VLOOKUP($A38,'Medical Examinations'!$A:$J,6,FALSE)</f>
        <v>No</v>
      </c>
      <c r="G38" t="str">
        <f>VLOOKUP($A38,'Medical Examinations'!$A:$J,7,FALSE)</f>
        <v>No</v>
      </c>
      <c r="H38" t="str">
        <f>VLOOKUP($A38,'Medical Examinations'!$A:$J,8,FALSE)</f>
        <v>No</v>
      </c>
      <c r="I38">
        <f ca="1">VLOOKUP($A38,'Medical Examinations'!$A:$J,9,FALSE)</f>
        <v>0</v>
      </c>
      <c r="J38" t="str">
        <f>VLOOKUP($A38,'Medical Examinations'!$A:$J,10,FALSE)</f>
        <v>yes</v>
      </c>
      <c r="K38" t="str">
        <f>VLOOKUP($A38,'Medical Examinations'!$A:$J,5,FALSE)</f>
        <v>Diabetes</v>
      </c>
      <c r="L38">
        <f>VLOOKUP($A39,'Medical Examinations'!$A:$J,3,FALSE)</f>
        <v>32.450000000000003</v>
      </c>
      <c r="M38">
        <f>VLOOKUP($A38,'Hospitalisation Details'!$A:$K,6,FALSE)</f>
        <v>45702.02</v>
      </c>
      <c r="N38" s="11">
        <f>VLOOKUP($B38,'Hospitalisation Details'!A37:J2381,10,0)</f>
        <v>36155</v>
      </c>
      <c r="O38" t="str">
        <f>VLOOKUP($B38,'Hospitalisation Details'!A37:J2381,8,0)</f>
        <v>tier - 2</v>
      </c>
      <c r="P38" t="str">
        <f>VLOOKUP($B38,'Hospitalisation Details'!A37:J2381,7,0)</f>
        <v>tier - 3</v>
      </c>
      <c r="Q38" t="str">
        <f>VLOOKUP($B38,'Hospitalisation Details'!A37:J2381,9,0)</f>
        <v>R1013</v>
      </c>
      <c r="R38">
        <f>VLOOKUP($B38,'Hospitalisation Details'!A37:K2381,11,0)</f>
        <v>24</v>
      </c>
    </row>
    <row r="39" spans="1:18" x14ac:dyDescent="0.35">
      <c r="A39" t="s">
        <v>2335</v>
      </c>
      <c r="B39" t="s">
        <v>60</v>
      </c>
      <c r="C39" t="str">
        <f>VLOOKUP($A39,'Customer Names'!$A:$E,4,FALSE)</f>
        <v>Anna H.</v>
      </c>
      <c r="D39" t="str">
        <f>VLOOKUP($A39,'Medical Examinations'!$A:$J,2,FALSE)</f>
        <v>Obesity</v>
      </c>
      <c r="E39">
        <f>VLOOKUP($A39,'Medical Examinations'!$A:$J,4,FALSE)</f>
        <v>11.91</v>
      </c>
      <c r="F39" t="str">
        <f>VLOOKUP($A39,'Medical Examinations'!$A:$J,6,FALSE)</f>
        <v>No</v>
      </c>
      <c r="G39" t="str">
        <f>VLOOKUP($A39,'Medical Examinations'!$A:$J,7,FALSE)</f>
        <v>No</v>
      </c>
      <c r="H39" t="str">
        <f>VLOOKUP($A39,'Medical Examinations'!$A:$J,8,FALSE)</f>
        <v>No</v>
      </c>
      <c r="I39">
        <f>VLOOKUP($A39,'Medical Examinations'!$A:$J,9,FALSE)</f>
        <v>2</v>
      </c>
      <c r="J39" t="str">
        <f>VLOOKUP($A39,'Medical Examinations'!$A:$J,10,FALSE)</f>
        <v>yes</v>
      </c>
      <c r="K39" t="str">
        <f>VLOOKUP($A39,'Medical Examinations'!$A:$J,5,FALSE)</f>
        <v>Diabetes</v>
      </c>
      <c r="L39">
        <f>VLOOKUP($A40,'Medical Examinations'!$A:$J,3,FALSE)</f>
        <v>34.96</v>
      </c>
      <c r="M39">
        <f>VLOOKUP($A39,'Hospitalisation Details'!$A:$K,6,FALSE)</f>
        <v>45008.959999999999</v>
      </c>
      <c r="N39" s="11">
        <f>VLOOKUP($B39,'Hospitalisation Details'!A38:J2382,10,0)</f>
        <v>37481</v>
      </c>
      <c r="O39" t="str">
        <f>VLOOKUP($B39,'Hospitalisation Details'!A38:J2382,8,0)</f>
        <v>tier - 3</v>
      </c>
      <c r="P39" t="str">
        <f>VLOOKUP($B39,'Hospitalisation Details'!A38:J2382,7,0)</f>
        <v>tier - 3</v>
      </c>
      <c r="Q39" t="str">
        <f>VLOOKUP($B39,'Hospitalisation Details'!A38:J2382,9,0)</f>
        <v>R1013</v>
      </c>
      <c r="R39">
        <f>VLOOKUP($B39,'Hospitalisation Details'!A38:K2382,11,0)</f>
        <v>20</v>
      </c>
    </row>
    <row r="40" spans="1:18" x14ac:dyDescent="0.35">
      <c r="A40" t="s">
        <v>2334</v>
      </c>
      <c r="B40" t="s">
        <v>61</v>
      </c>
      <c r="C40" t="str">
        <f>VLOOKUP($A40,'Customer Names'!$A:$E,4,FALSE)</f>
        <v>Samantha</v>
      </c>
      <c r="D40" t="str">
        <f>VLOOKUP($A40,'Medical Examinations'!$A:$J,2,FALSE)</f>
        <v>Obesity</v>
      </c>
      <c r="E40">
        <f>VLOOKUP($A40,'Medical Examinations'!$A:$J,4,FALSE)</f>
        <v>6.52</v>
      </c>
      <c r="F40" t="str">
        <f>VLOOKUP($A40,'Medical Examinations'!$A:$J,6,FALSE)</f>
        <v>No</v>
      </c>
      <c r="G40" t="str">
        <f>VLOOKUP($A40,'Medical Examinations'!$A:$J,7,FALSE)</f>
        <v>No</v>
      </c>
      <c r="H40" t="str">
        <f>VLOOKUP($A40,'Medical Examinations'!$A:$J,8,FALSE)</f>
        <v>No</v>
      </c>
      <c r="I40">
        <f ca="1">VLOOKUP($A40,'Medical Examinations'!$A:$J,9,FALSE)</f>
        <v>0</v>
      </c>
      <c r="J40" t="str">
        <f>VLOOKUP($A40,'Medical Examinations'!$A:$J,10,FALSE)</f>
        <v>yes</v>
      </c>
      <c r="K40" t="str">
        <f>VLOOKUP($A40,'Medical Examinations'!$A:$J,5,FALSE)</f>
        <v>Diabetes</v>
      </c>
      <c r="L40">
        <f>VLOOKUP($A41,'Medical Examinations'!$A:$J,3,FALSE)</f>
        <v>35.5</v>
      </c>
      <c r="M40">
        <f>VLOOKUP($A40,'Hospitalisation Details'!$A:$K,6,FALSE)</f>
        <v>44641.2</v>
      </c>
      <c r="N40" s="11">
        <f>VLOOKUP($B40,'Hospitalisation Details'!A39:J2383,10,0)</f>
        <v>38303</v>
      </c>
      <c r="O40" t="str">
        <f>VLOOKUP($B40,'Hospitalisation Details'!A39:J2383,8,0)</f>
        <v>tier - 1</v>
      </c>
      <c r="P40" t="str">
        <f>VLOOKUP($B40,'Hospitalisation Details'!A39:J2383,7,0)</f>
        <v>tier - 3</v>
      </c>
      <c r="Q40" t="str">
        <f>VLOOKUP($B40,'Hospitalisation Details'!A39:J2383,9,0)</f>
        <v>R1013</v>
      </c>
      <c r="R40">
        <f>VLOOKUP($B40,'Hospitalisation Details'!A39:K2383,11,0)</f>
        <v>18</v>
      </c>
    </row>
    <row r="41" spans="1:18" x14ac:dyDescent="0.35">
      <c r="A41" t="s">
        <v>2333</v>
      </c>
      <c r="B41" t="s">
        <v>62</v>
      </c>
      <c r="C41" t="str">
        <f>VLOOKUP($A41,'Customer Names'!$A:$E,4,FALSE)</f>
        <v>Robert</v>
      </c>
      <c r="D41" t="str">
        <f>VLOOKUP($A41,'Medical Examinations'!$A:$J,2,FALSE)</f>
        <v>Obesity</v>
      </c>
      <c r="E41">
        <f>VLOOKUP($A41,'Medical Examinations'!$A:$J,4,FALSE)</f>
        <v>5.14</v>
      </c>
      <c r="F41" t="str">
        <f>VLOOKUP($A41,'Medical Examinations'!$A:$J,6,FALSE)</f>
        <v>No</v>
      </c>
      <c r="G41" t="str">
        <f>VLOOKUP($A41,'Medical Examinations'!$A:$J,7,FALSE)</f>
        <v>No</v>
      </c>
      <c r="H41" t="str">
        <f>VLOOKUP($A41,'Medical Examinations'!$A:$J,8,FALSE)</f>
        <v>Yes</v>
      </c>
      <c r="I41">
        <f>VLOOKUP($A41,'Medical Examinations'!$A:$J,9,FALSE)</f>
        <v>1</v>
      </c>
      <c r="J41" t="str">
        <f>VLOOKUP($A41,'Medical Examinations'!$A:$J,10,FALSE)</f>
        <v>yes</v>
      </c>
      <c r="K41" t="str">
        <f>VLOOKUP($A41,'Medical Examinations'!$A:$J,5,FALSE)</f>
        <v>Normal</v>
      </c>
      <c r="L41">
        <f>VLOOKUP($A42,'Medical Examinations'!$A:$J,3,FALSE)</f>
        <v>52.58</v>
      </c>
      <c r="M41">
        <f>VLOOKUP($A41,'Hospitalisation Details'!$A:$K,6,FALSE)</f>
        <v>44585.46</v>
      </c>
      <c r="N41" s="11">
        <f>VLOOKUP($B41,'Hospitalisation Details'!A40:J2384,10,0)</f>
        <v>38152</v>
      </c>
      <c r="O41" t="str">
        <f>VLOOKUP($B41,'Hospitalisation Details'!A40:J2384,8,0)</f>
        <v>tier - 1</v>
      </c>
      <c r="P41" t="str">
        <f>VLOOKUP($B41,'Hospitalisation Details'!A40:J2384,7,0)</f>
        <v>tier - 3</v>
      </c>
      <c r="Q41" t="str">
        <f>VLOOKUP($B41,'Hospitalisation Details'!A40:J2384,9,0)</f>
        <v>R1013</v>
      </c>
      <c r="R41">
        <f>VLOOKUP($B41,'Hospitalisation Details'!A40:K2384,11,0)</f>
        <v>18</v>
      </c>
    </row>
    <row r="42" spans="1:18" x14ac:dyDescent="0.35">
      <c r="A42" t="s">
        <v>2332</v>
      </c>
      <c r="B42" t="s">
        <v>63</v>
      </c>
      <c r="C42" t="str">
        <f>VLOOKUP($A42,'Customer Names'!$A:$E,4,FALSE)</f>
        <v>James R.</v>
      </c>
      <c r="D42" t="str">
        <f>VLOOKUP($A42,'Medical Examinations'!$A:$J,2,FALSE)</f>
        <v>Obesity</v>
      </c>
      <c r="E42">
        <f>VLOOKUP($A42,'Medical Examinations'!$A:$J,4,FALSE)</f>
        <v>4.1900000000000004</v>
      </c>
      <c r="F42" t="str">
        <f>VLOOKUP($A42,'Medical Examinations'!$A:$J,6,FALSE)</f>
        <v>No</v>
      </c>
      <c r="G42" t="str">
        <f>VLOOKUP($A42,'Medical Examinations'!$A:$J,7,FALSE)</f>
        <v>yes</v>
      </c>
      <c r="H42" t="str">
        <f>VLOOKUP($A42,'Medical Examinations'!$A:$J,8,FALSE)</f>
        <v>No</v>
      </c>
      <c r="I42">
        <f>VLOOKUP($A42,'Medical Examinations'!$A:$J,9,FALSE)</f>
        <v>1</v>
      </c>
      <c r="J42" t="str">
        <f>VLOOKUP($A42,'Medical Examinations'!$A:$J,10,FALSE)</f>
        <v>yes</v>
      </c>
      <c r="K42" t="str">
        <f>VLOOKUP($A42,'Medical Examinations'!$A:$J,5,FALSE)</f>
        <v>Normal</v>
      </c>
      <c r="L42">
        <f>VLOOKUP($A43,'Medical Examinations'!$A:$J,3,FALSE)</f>
        <v>35.200000000000003</v>
      </c>
      <c r="M42">
        <f>VLOOKUP($A42,'Hospitalisation Details'!$A:$K,6,FALSE)</f>
        <v>44501.4</v>
      </c>
      <c r="N42" s="11">
        <f>VLOOKUP($B42,'Hospitalisation Details'!A41:J2385,10,0)</f>
        <v>37456</v>
      </c>
      <c r="O42" t="str">
        <f>VLOOKUP($B42,'Hospitalisation Details'!A41:J2385,8,0)</f>
        <v>tier - 1</v>
      </c>
      <c r="P42" t="str">
        <f>VLOOKUP($B42,'Hospitalisation Details'!A41:J2385,7,0)</f>
        <v>tier - 3</v>
      </c>
      <c r="Q42" t="str">
        <f>VLOOKUP($B42,'Hospitalisation Details'!A41:J2385,9,0)</f>
        <v>R1013</v>
      </c>
      <c r="R42">
        <f>VLOOKUP($B42,'Hospitalisation Details'!A41:K2385,11,0)</f>
        <v>20</v>
      </c>
    </row>
    <row r="43" spans="1:18" x14ac:dyDescent="0.35">
      <c r="A43" t="s">
        <v>2331</v>
      </c>
      <c r="B43" t="s">
        <v>64</v>
      </c>
      <c r="C43" t="str">
        <f>VLOOKUP($A43,'Customer Names'!$A:$E,4,FALSE)</f>
        <v>Roseann</v>
      </c>
      <c r="D43" t="str">
        <f>VLOOKUP($A43,'Medical Examinations'!$A:$J,2,FALSE)</f>
        <v>Obesity</v>
      </c>
      <c r="E43">
        <f>VLOOKUP($A43,'Medical Examinations'!$A:$J,4,FALSE)</f>
        <v>11.68</v>
      </c>
      <c r="F43" t="str">
        <f>VLOOKUP($A43,'Medical Examinations'!$A:$J,6,FALSE)</f>
        <v>yes</v>
      </c>
      <c r="G43" t="str">
        <f>VLOOKUP($A43,'Medical Examinations'!$A:$J,7,FALSE)</f>
        <v>No</v>
      </c>
      <c r="H43" t="str">
        <f>VLOOKUP($A43,'Medical Examinations'!$A:$J,8,FALSE)</f>
        <v>No</v>
      </c>
      <c r="I43">
        <f ca="1">VLOOKUP($A43,'Medical Examinations'!$A:$J,9,FALSE)</f>
        <v>0</v>
      </c>
      <c r="J43" t="str">
        <f>VLOOKUP($A43,'Medical Examinations'!$A:$J,10,FALSE)</f>
        <v>yes</v>
      </c>
      <c r="K43" t="str">
        <f>VLOOKUP($A43,'Medical Examinations'!$A:$J,5,FALSE)</f>
        <v>Diabetes</v>
      </c>
      <c r="L43">
        <f>VLOOKUP($A44,'Medical Examinations'!$A:$J,3,FALSE)</f>
        <v>38.06</v>
      </c>
      <c r="M43">
        <f>VLOOKUP($A43,'Hospitalisation Details'!$A:$K,6,FALSE)</f>
        <v>44423.8</v>
      </c>
      <c r="N43" s="11">
        <f>VLOOKUP($B43,'Hospitalisation Details'!A42:J2386,10,0)</f>
        <v>38266</v>
      </c>
      <c r="O43" t="str">
        <f>VLOOKUP($B43,'Hospitalisation Details'!A42:J2386,8,0)</f>
        <v>tier - 3</v>
      </c>
      <c r="P43" t="str">
        <f>VLOOKUP($B43,'Hospitalisation Details'!A42:J2386,7,0)</f>
        <v>tier - 3</v>
      </c>
      <c r="Q43" t="str">
        <f>VLOOKUP($B43,'Hospitalisation Details'!A42:J2386,9,0)</f>
        <v>R1013</v>
      </c>
      <c r="R43">
        <f>VLOOKUP($B43,'Hospitalisation Details'!A42:K2386,11,0)</f>
        <v>18</v>
      </c>
    </row>
    <row r="44" spans="1:18" x14ac:dyDescent="0.35">
      <c r="A44" t="s">
        <v>2330</v>
      </c>
      <c r="B44" t="s">
        <v>65</v>
      </c>
      <c r="C44" t="str">
        <f>VLOOKUP($A44,'Customer Names'!$A:$E,4,FALSE)</f>
        <v>Nicole</v>
      </c>
      <c r="D44" t="str">
        <f>VLOOKUP($A44,'Medical Examinations'!$A:$J,2,FALSE)</f>
        <v>Obesity</v>
      </c>
      <c r="E44">
        <f>VLOOKUP($A44,'Medical Examinations'!$A:$J,4,FALSE)</f>
        <v>6.98</v>
      </c>
      <c r="F44" t="str">
        <f>VLOOKUP($A44,'Medical Examinations'!$A:$J,6,FALSE)</f>
        <v>No</v>
      </c>
      <c r="G44" t="str">
        <f>VLOOKUP($A44,'Medical Examinations'!$A:$J,7,FALSE)</f>
        <v>No</v>
      </c>
      <c r="H44" t="str">
        <f>VLOOKUP($A44,'Medical Examinations'!$A:$J,8,FALSE)</f>
        <v>No</v>
      </c>
      <c r="I44">
        <f ca="1">VLOOKUP($A44,'Medical Examinations'!$A:$J,9,FALSE)</f>
        <v>0</v>
      </c>
      <c r="J44" t="str">
        <f>VLOOKUP($A44,'Medical Examinations'!$A:$J,10,FALSE)</f>
        <v>yes</v>
      </c>
      <c r="K44" t="str">
        <f>VLOOKUP($A44,'Medical Examinations'!$A:$J,5,FALSE)</f>
        <v>Diabetes</v>
      </c>
      <c r="L44">
        <f>VLOOKUP($A45,'Medical Examinations'!$A:$J,3,FALSE)</f>
        <v>34.21</v>
      </c>
      <c r="M44">
        <f>VLOOKUP($A44,'Hospitalisation Details'!$A:$K,6,FALSE)</f>
        <v>44400.41</v>
      </c>
      <c r="N44" s="11">
        <f>VLOOKUP($B44,'Hospitalisation Details'!A43:J2387,10,0)</f>
        <v>38149</v>
      </c>
      <c r="O44" t="str">
        <f>VLOOKUP($B44,'Hospitalisation Details'!A43:J2387,8,0)</f>
        <v>tier - 3</v>
      </c>
      <c r="P44" t="str">
        <f>VLOOKUP($B44,'Hospitalisation Details'!A43:J2387,7,0)</f>
        <v>tier - 3</v>
      </c>
      <c r="Q44" t="str">
        <f>VLOOKUP($B44,'Hospitalisation Details'!A43:J2387,9,0)</f>
        <v>R1013</v>
      </c>
      <c r="R44">
        <f>VLOOKUP($B44,'Hospitalisation Details'!A43:K2387,11,0)</f>
        <v>18</v>
      </c>
    </row>
    <row r="45" spans="1:18" x14ac:dyDescent="0.35">
      <c r="A45" t="s">
        <v>2329</v>
      </c>
      <c r="B45" t="s">
        <v>66</v>
      </c>
      <c r="C45" t="str">
        <f>VLOOKUP($A45,'Customer Names'!$A:$E,4,FALSE)</f>
        <v>Spencer</v>
      </c>
      <c r="D45" t="str">
        <f>VLOOKUP($A45,'Medical Examinations'!$A:$J,2,FALSE)</f>
        <v>Obesity</v>
      </c>
      <c r="E45">
        <f>VLOOKUP($A45,'Medical Examinations'!$A:$J,4,FALSE)</f>
        <v>8.34</v>
      </c>
      <c r="F45" t="str">
        <f>VLOOKUP($A45,'Medical Examinations'!$A:$J,6,FALSE)</f>
        <v>No</v>
      </c>
      <c r="G45" t="str">
        <f>VLOOKUP($A45,'Medical Examinations'!$A:$J,7,FALSE)</f>
        <v>No</v>
      </c>
      <c r="H45" t="str">
        <f>VLOOKUP($A45,'Medical Examinations'!$A:$J,8,FALSE)</f>
        <v>No</v>
      </c>
      <c r="I45">
        <f>VLOOKUP($A45,'Medical Examinations'!$A:$J,9,FALSE)</f>
        <v>0</v>
      </c>
      <c r="J45" t="str">
        <f>VLOOKUP($A45,'Medical Examinations'!$A:$J,10,FALSE)</f>
        <v>yes</v>
      </c>
      <c r="K45" t="str">
        <f>VLOOKUP($A45,'Medical Examinations'!$A:$J,5,FALSE)</f>
        <v>Diabetes</v>
      </c>
      <c r="L45">
        <f>VLOOKUP($A46,'Medical Examinations'!$A:$J,3,FALSE)</f>
        <v>38.94</v>
      </c>
      <c r="M45">
        <f>VLOOKUP($A45,'Hospitalisation Details'!$A:$K,6,FALSE)</f>
        <v>44260.75</v>
      </c>
      <c r="N45" s="11">
        <f>VLOOKUP($B45,'Hospitalisation Details'!A44:J2388,10,0)</f>
        <v>38319</v>
      </c>
      <c r="O45" t="str">
        <f>VLOOKUP($B45,'Hospitalisation Details'!A44:J2388,8,0)</f>
        <v>tier - 3</v>
      </c>
      <c r="P45" t="str">
        <f>VLOOKUP($B45,'Hospitalisation Details'!A44:J2388,7,0)</f>
        <v>tier - 3</v>
      </c>
      <c r="Q45" t="str">
        <f>VLOOKUP($B45,'Hospitalisation Details'!A44:J2388,9,0)</f>
        <v>R1013</v>
      </c>
      <c r="R45">
        <f>VLOOKUP($B45,'Hospitalisation Details'!A44:K2388,11,0)</f>
        <v>18</v>
      </c>
    </row>
    <row r="46" spans="1:18" x14ac:dyDescent="0.35">
      <c r="A46" t="s">
        <v>2328</v>
      </c>
      <c r="B46" t="s">
        <v>67</v>
      </c>
      <c r="C46" t="str">
        <f>VLOOKUP($A46,'Customer Names'!$A:$E,4,FALSE)</f>
        <v>Eric W</v>
      </c>
      <c r="D46" t="str">
        <f>VLOOKUP($A46,'Medical Examinations'!$A:$J,2,FALSE)</f>
        <v>Obesity</v>
      </c>
      <c r="E46">
        <f>VLOOKUP($A46,'Medical Examinations'!$A:$J,4,FALSE)</f>
        <v>8.49</v>
      </c>
      <c r="F46" t="str">
        <f>VLOOKUP($A46,'Medical Examinations'!$A:$J,6,FALSE)</f>
        <v>yes</v>
      </c>
      <c r="G46" t="str">
        <f>VLOOKUP($A46,'Medical Examinations'!$A:$J,7,FALSE)</f>
        <v>No</v>
      </c>
      <c r="H46" t="str">
        <f>VLOOKUP($A46,'Medical Examinations'!$A:$J,8,FALSE)</f>
        <v>No</v>
      </c>
      <c r="I46">
        <f>VLOOKUP($A46,'Medical Examinations'!$A:$J,9,FALSE)</f>
        <v>1</v>
      </c>
      <c r="J46" t="str">
        <f>VLOOKUP($A46,'Medical Examinations'!$A:$J,10,FALSE)</f>
        <v>yes</v>
      </c>
      <c r="K46" t="str">
        <f>VLOOKUP($A46,'Medical Examinations'!$A:$J,5,FALSE)</f>
        <v>Diabetes</v>
      </c>
      <c r="L46">
        <f>VLOOKUP($A47,'Medical Examinations'!$A:$J,3,FALSE)</f>
        <v>30.21</v>
      </c>
      <c r="M46">
        <f>VLOOKUP($A46,'Hospitalisation Details'!$A:$K,6,FALSE)</f>
        <v>44202.65</v>
      </c>
      <c r="N46" s="11">
        <f>VLOOKUP($B46,'Hospitalisation Details'!A45:J2389,10,0)</f>
        <v>37479</v>
      </c>
      <c r="O46" t="str">
        <f>VLOOKUP($B46,'Hospitalisation Details'!A45:J2389,8,0)</f>
        <v>tier - 1</v>
      </c>
      <c r="P46" t="str">
        <f>VLOOKUP($B46,'Hospitalisation Details'!A45:J2389,7,0)</f>
        <v>tier - 3</v>
      </c>
      <c r="Q46" t="str">
        <f>VLOOKUP($B46,'Hospitalisation Details'!A45:J2389,9,0)</f>
        <v>R1013</v>
      </c>
      <c r="R46">
        <f>VLOOKUP($B46,'Hospitalisation Details'!A45:K2389,11,0)</f>
        <v>20</v>
      </c>
    </row>
    <row r="47" spans="1:18" x14ac:dyDescent="0.35">
      <c r="A47" t="s">
        <v>2327</v>
      </c>
      <c r="B47" t="s">
        <v>31</v>
      </c>
      <c r="C47" t="str">
        <f>VLOOKUP($A47,'Customer Names'!$A:$E,4,FALSE)</f>
        <v>Brianna L</v>
      </c>
      <c r="D47" t="str">
        <f>VLOOKUP($A47,'Medical Examinations'!$A:$J,2,FALSE)</f>
        <v>Obesity</v>
      </c>
      <c r="E47">
        <f>VLOOKUP($A47,'Medical Examinations'!$A:$J,4,FALSE)</f>
        <v>5.34</v>
      </c>
      <c r="F47" t="str">
        <f>VLOOKUP($A47,'Medical Examinations'!$A:$J,6,FALSE)</f>
        <v>yes</v>
      </c>
      <c r="G47" t="str">
        <f>VLOOKUP($A47,'Medical Examinations'!$A:$J,7,FALSE)</f>
        <v>No</v>
      </c>
      <c r="H47" t="str">
        <f>VLOOKUP($A47,'Medical Examinations'!$A:$J,8,FALSE)</f>
        <v>No</v>
      </c>
      <c r="I47">
        <f>VLOOKUP($A47,'Medical Examinations'!$A:$J,9,FALSE)</f>
        <v>1</v>
      </c>
      <c r="J47" t="str">
        <f>VLOOKUP($A47,'Medical Examinations'!$A:$J,10,FALSE)</f>
        <v>yes</v>
      </c>
      <c r="K47" t="str">
        <f>VLOOKUP($A47,'Medical Examinations'!$A:$J,5,FALSE)</f>
        <v>Normal</v>
      </c>
      <c r="L47">
        <f>VLOOKUP($A48,'Medical Examinations'!$A:$J,3,FALSE)</f>
        <v>33.630000000000003</v>
      </c>
      <c r="M47">
        <f>VLOOKUP($A47,'Hospitalisation Details'!$A:$K,6,FALSE)</f>
        <v>43943.88</v>
      </c>
      <c r="N47" s="11">
        <f>VLOOKUP($B47,'Hospitalisation Details'!A46:J2390,10,0)</f>
        <v>38297</v>
      </c>
      <c r="O47" t="str">
        <f>VLOOKUP($B47,'Hospitalisation Details'!A46:J2390,8,0)</f>
        <v>tier - 1</v>
      </c>
      <c r="P47" t="str">
        <f>VLOOKUP($B47,'Hospitalisation Details'!A46:J2390,7,0)</f>
        <v>tier - 3</v>
      </c>
      <c r="Q47" t="str">
        <f>VLOOKUP($B47,'Hospitalisation Details'!A46:J2390,9,0)</f>
        <v>R1013</v>
      </c>
      <c r="R47">
        <f>VLOOKUP($B47,'Hospitalisation Details'!A46:K2390,11,0)</f>
        <v>18</v>
      </c>
    </row>
    <row r="48" spans="1:18" x14ac:dyDescent="0.35">
      <c r="A48" t="s">
        <v>2326</v>
      </c>
      <c r="B48" t="s">
        <v>68</v>
      </c>
      <c r="C48" t="str">
        <f>VLOOKUP($A48,'Customer Names'!$A:$E,4,FALSE)</f>
        <v>Thomas J.</v>
      </c>
      <c r="D48" t="str">
        <f>VLOOKUP($A48,'Medical Examinations'!$A:$J,2,FALSE)</f>
        <v>Obesity</v>
      </c>
      <c r="E48">
        <f>VLOOKUP($A48,'Medical Examinations'!$A:$J,4,FALSE)</f>
        <v>4.43</v>
      </c>
      <c r="F48" t="str">
        <f>VLOOKUP($A48,'Medical Examinations'!$A:$J,6,FALSE)</f>
        <v>yes</v>
      </c>
      <c r="G48" t="str">
        <f>VLOOKUP($A48,'Medical Examinations'!$A:$J,7,FALSE)</f>
        <v>No</v>
      </c>
      <c r="H48" t="str">
        <f>VLOOKUP($A48,'Medical Examinations'!$A:$J,8,FALSE)</f>
        <v>No</v>
      </c>
      <c r="I48">
        <f>VLOOKUP($A48,'Medical Examinations'!$A:$J,9,FALSE)</f>
        <v>2</v>
      </c>
      <c r="J48" t="str">
        <f>VLOOKUP($A48,'Medical Examinations'!$A:$J,10,FALSE)</f>
        <v>yes</v>
      </c>
      <c r="K48" t="str">
        <f>VLOOKUP($A48,'Medical Examinations'!$A:$J,5,FALSE)</f>
        <v>Normal</v>
      </c>
      <c r="L48">
        <f>VLOOKUP($A49,'Medical Examinations'!$A:$J,3,FALSE)</f>
        <v>40.369999999999997</v>
      </c>
      <c r="M48">
        <f>VLOOKUP($A48,'Hospitalisation Details'!$A:$K,6,FALSE)</f>
        <v>43921.18</v>
      </c>
      <c r="N48" s="11">
        <f>VLOOKUP($B48,'Hospitalisation Details'!A47:J2391,10,0)</f>
        <v>38275</v>
      </c>
      <c r="O48" t="str">
        <f>VLOOKUP($B48,'Hospitalisation Details'!A47:J2391,8,0)</f>
        <v>tier - 1</v>
      </c>
      <c r="P48" t="str">
        <f>VLOOKUP($B48,'Hospitalisation Details'!A47:J2391,7,0)</f>
        <v>tier - 3</v>
      </c>
      <c r="Q48" t="str">
        <f>VLOOKUP($B48,'Hospitalisation Details'!A47:J2391,9,0)</f>
        <v>R1013</v>
      </c>
      <c r="R48">
        <f>VLOOKUP($B48,'Hospitalisation Details'!A47:K2391,11,0)</f>
        <v>18</v>
      </c>
    </row>
    <row r="49" spans="1:18" x14ac:dyDescent="0.35">
      <c r="A49" t="s">
        <v>2325</v>
      </c>
      <c r="B49" t="s">
        <v>69</v>
      </c>
      <c r="C49" t="str">
        <f>VLOOKUP($A49,'Customer Names'!$A:$E,4,FALSE)</f>
        <v>Melissa L</v>
      </c>
      <c r="D49" t="str">
        <f>VLOOKUP($A49,'Medical Examinations'!$A:$J,2,FALSE)</f>
        <v>Obesity</v>
      </c>
      <c r="E49">
        <f>VLOOKUP($A49,'Medical Examinations'!$A:$J,4,FALSE)</f>
        <v>4.47</v>
      </c>
      <c r="F49" t="str">
        <f>VLOOKUP($A49,'Medical Examinations'!$A:$J,6,FALSE)</f>
        <v>No</v>
      </c>
      <c r="G49" t="str">
        <f>VLOOKUP($A49,'Medical Examinations'!$A:$J,7,FALSE)</f>
        <v>No</v>
      </c>
      <c r="H49" t="str">
        <f>VLOOKUP($A49,'Medical Examinations'!$A:$J,8,FALSE)</f>
        <v>No</v>
      </c>
      <c r="I49">
        <f>VLOOKUP($A49,'Medical Examinations'!$A:$J,9,FALSE)</f>
        <v>0</v>
      </c>
      <c r="J49" t="str">
        <f>VLOOKUP($A49,'Medical Examinations'!$A:$J,10,FALSE)</f>
        <v>yes</v>
      </c>
      <c r="K49" t="str">
        <f>VLOOKUP($A49,'Medical Examinations'!$A:$J,5,FALSE)</f>
        <v>Normal</v>
      </c>
      <c r="L49">
        <f>VLOOKUP($A50,'Medical Examinations'!$A:$J,3,FALSE)</f>
        <v>53.09</v>
      </c>
      <c r="M49">
        <f>VLOOKUP($A49,'Hospitalisation Details'!$A:$K,6,FALSE)</f>
        <v>43896.38</v>
      </c>
      <c r="N49" s="11">
        <f>VLOOKUP($B49,'Hospitalisation Details'!A48:J2392,10,0)</f>
        <v>38318</v>
      </c>
      <c r="O49" t="str">
        <f>VLOOKUP($B49,'Hospitalisation Details'!A48:J2392,8,0)</f>
        <v>tier - 2</v>
      </c>
      <c r="P49" t="str">
        <f>VLOOKUP($B49,'Hospitalisation Details'!A48:J2392,7,0)</f>
        <v>tier - 3</v>
      </c>
      <c r="Q49" t="str">
        <f>VLOOKUP($B49,'Hospitalisation Details'!A48:J2392,9,0)</f>
        <v>R1013</v>
      </c>
      <c r="R49">
        <f>VLOOKUP($B49,'Hospitalisation Details'!A48:K2392,11,0)</f>
        <v>18</v>
      </c>
    </row>
    <row r="50" spans="1:18" x14ac:dyDescent="0.35">
      <c r="A50" t="s">
        <v>2324</v>
      </c>
      <c r="B50" t="s">
        <v>70</v>
      </c>
      <c r="C50" t="str">
        <f>VLOOKUP($A50,'Customer Names'!$A:$E,4,FALSE)</f>
        <v>Flavio</v>
      </c>
      <c r="D50" t="str">
        <f>VLOOKUP($A50,'Medical Examinations'!$A:$J,2,FALSE)</f>
        <v>Obesity</v>
      </c>
      <c r="E50">
        <f>VLOOKUP($A50,'Medical Examinations'!$A:$J,4,FALSE)</f>
        <v>4.82</v>
      </c>
      <c r="F50" t="str">
        <f>VLOOKUP($A50,'Medical Examinations'!$A:$J,6,FALSE)</f>
        <v>yes</v>
      </c>
      <c r="G50" t="str">
        <f>VLOOKUP($A50,'Medical Examinations'!$A:$J,7,FALSE)</f>
        <v>No</v>
      </c>
      <c r="H50" t="str">
        <f>VLOOKUP($A50,'Medical Examinations'!$A:$J,8,FALSE)</f>
        <v>No</v>
      </c>
      <c r="I50">
        <f>VLOOKUP($A50,'Medical Examinations'!$A:$J,9,FALSE)</f>
        <v>2</v>
      </c>
      <c r="J50" t="str">
        <f>VLOOKUP($A50,'Medical Examinations'!$A:$J,10,FALSE)</f>
        <v>yes</v>
      </c>
      <c r="K50" t="str">
        <f>VLOOKUP($A50,'Medical Examinations'!$A:$J,5,FALSE)</f>
        <v>Normal</v>
      </c>
      <c r="L50">
        <f>VLOOKUP($A51,'Medical Examinations'!$A:$J,3,FALSE)</f>
        <v>31.79</v>
      </c>
      <c r="M50">
        <f>VLOOKUP($A50,'Hospitalisation Details'!$A:$K,6,FALSE)</f>
        <v>43817.45</v>
      </c>
      <c r="N50" s="11">
        <f>VLOOKUP($B50,'Hospitalisation Details'!A49:J2393,10,0)</f>
        <v>37189</v>
      </c>
      <c r="O50" t="str">
        <f>VLOOKUP($B50,'Hospitalisation Details'!A49:J2393,8,0)</f>
        <v>tier - 1</v>
      </c>
      <c r="P50" t="str">
        <f>VLOOKUP($B50,'Hospitalisation Details'!A49:J2393,7,0)</f>
        <v>tier - 3</v>
      </c>
      <c r="Q50" t="str">
        <f>VLOOKUP($B50,'Hospitalisation Details'!A49:J2393,9,0)</f>
        <v>R1013</v>
      </c>
      <c r="R50">
        <f>VLOOKUP($B50,'Hospitalisation Details'!A49:K2393,11,0)</f>
        <v>21</v>
      </c>
    </row>
    <row r="51" spans="1:18" x14ac:dyDescent="0.35">
      <c r="A51" t="s">
        <v>2323</v>
      </c>
      <c r="B51" t="s">
        <v>71</v>
      </c>
      <c r="C51" t="str">
        <f>VLOOKUP($A51,'Customer Names'!$A:$E,4,FALSE)</f>
        <v>Ryan</v>
      </c>
      <c r="D51" t="str">
        <f>VLOOKUP($A51,'Medical Examinations'!$A:$J,2,FALSE)</f>
        <v>Obesity</v>
      </c>
      <c r="E51">
        <f>VLOOKUP($A51,'Medical Examinations'!$A:$J,4,FALSE)</f>
        <v>5.51</v>
      </c>
      <c r="F51" t="str">
        <f>VLOOKUP($A51,'Medical Examinations'!$A:$J,6,FALSE)</f>
        <v>yes</v>
      </c>
      <c r="G51" t="str">
        <f>VLOOKUP($A51,'Medical Examinations'!$A:$J,7,FALSE)</f>
        <v>No</v>
      </c>
      <c r="H51" t="str">
        <f>VLOOKUP($A51,'Medical Examinations'!$A:$J,8,FALSE)</f>
        <v>No</v>
      </c>
      <c r="I51">
        <f>VLOOKUP($A51,'Medical Examinations'!$A:$J,9,FALSE)</f>
        <v>2</v>
      </c>
      <c r="J51" t="str">
        <f>VLOOKUP($A51,'Medical Examinations'!$A:$J,10,FALSE)</f>
        <v>yes</v>
      </c>
      <c r="K51" t="str">
        <f>VLOOKUP($A51,'Medical Examinations'!$A:$J,5,FALSE)</f>
        <v>Normal</v>
      </c>
      <c r="L51">
        <f>VLOOKUP($A52,'Medical Examinations'!$A:$J,3,FALSE)</f>
        <v>41.895000000000003</v>
      </c>
      <c r="M51">
        <f>VLOOKUP($A51,'Hospitalisation Details'!$A:$K,6,FALSE)</f>
        <v>43813.87</v>
      </c>
      <c r="N51" s="11">
        <f>VLOOKUP($B51,'Hospitalisation Details'!A50:J2394,10,0)</f>
        <v>38242</v>
      </c>
      <c r="O51" t="str">
        <f>VLOOKUP($B51,'Hospitalisation Details'!A50:J2394,8,0)</f>
        <v>tier - 3</v>
      </c>
      <c r="P51" t="str">
        <f>VLOOKUP($B51,'Hospitalisation Details'!A50:J2394,7,0)</f>
        <v>tier - 3</v>
      </c>
      <c r="Q51" t="str">
        <f>VLOOKUP($B51,'Hospitalisation Details'!A50:J2394,9,0)</f>
        <v>R1013</v>
      </c>
      <c r="R51">
        <f>VLOOKUP($B51,'Hospitalisation Details'!A50:K2394,11,0)</f>
        <v>18</v>
      </c>
    </row>
    <row r="52" spans="1:18" x14ac:dyDescent="0.35">
      <c r="A52" t="s">
        <v>2322</v>
      </c>
      <c r="B52" t="s">
        <v>72</v>
      </c>
      <c r="C52" t="str">
        <f>VLOOKUP($A52,'Customer Names'!$A:$E,4,FALSE)</f>
        <v>Anthony J.</v>
      </c>
      <c r="D52" t="str">
        <f>VLOOKUP($A52,'Medical Examinations'!$A:$J,2,FALSE)</f>
        <v>Obesity</v>
      </c>
      <c r="E52">
        <f>VLOOKUP($A52,'Medical Examinations'!$A:$J,4,FALSE)</f>
        <v>10.87</v>
      </c>
      <c r="F52" t="str">
        <f>VLOOKUP($A52,'Medical Examinations'!$A:$J,6,FALSE)</f>
        <v>yes</v>
      </c>
      <c r="G52" t="str">
        <f>VLOOKUP($A52,'Medical Examinations'!$A:$J,7,FALSE)</f>
        <v>No</v>
      </c>
      <c r="H52" t="str">
        <f>VLOOKUP($A52,'Medical Examinations'!$A:$J,8,FALSE)</f>
        <v>No</v>
      </c>
      <c r="I52">
        <f>VLOOKUP($A52,'Medical Examinations'!$A:$J,9,FALSE)</f>
        <v>1</v>
      </c>
      <c r="J52" t="str">
        <f>VLOOKUP($A52,'Medical Examinations'!$A:$J,10,FALSE)</f>
        <v>yes</v>
      </c>
      <c r="K52" t="str">
        <f>VLOOKUP($A52,'Medical Examinations'!$A:$J,5,FALSE)</f>
        <v>Diabetes</v>
      </c>
      <c r="L52">
        <f>VLOOKUP($A53,'Medical Examinations'!$A:$J,3,FALSE)</f>
        <v>31.16</v>
      </c>
      <c r="M52">
        <f>VLOOKUP($A52,'Hospitalisation Details'!$A:$K,6,FALSE)</f>
        <v>43753.34</v>
      </c>
      <c r="N52" s="11">
        <f>VLOOKUP($B52,'Hospitalisation Details'!A51:J2395,10,0)</f>
        <v>37530</v>
      </c>
      <c r="O52" t="str">
        <f>VLOOKUP($B52,'Hospitalisation Details'!A51:J2395,8,0)</f>
        <v>tier - 2</v>
      </c>
      <c r="P52" t="str">
        <f>VLOOKUP($B52,'Hospitalisation Details'!A51:J2395,7,0)</f>
        <v>tier - 3</v>
      </c>
      <c r="Q52" t="str">
        <f>VLOOKUP($B52,'Hospitalisation Details'!A51:J2395,9,0)</f>
        <v>R1011</v>
      </c>
      <c r="R52">
        <f>VLOOKUP($B52,'Hospitalisation Details'!A51:K2395,11,0)</f>
        <v>20</v>
      </c>
    </row>
    <row r="53" spans="1:18" x14ac:dyDescent="0.35">
      <c r="A53" t="s">
        <v>2321</v>
      </c>
      <c r="B53" t="s">
        <v>73</v>
      </c>
      <c r="C53" t="str">
        <f>VLOOKUP($A53,'Customer Names'!$A:$E,4,FALSE)</f>
        <v>Alex</v>
      </c>
      <c r="D53" t="str">
        <f>VLOOKUP($A53,'Medical Examinations'!$A:$J,2,FALSE)</f>
        <v>Obesity</v>
      </c>
      <c r="E53">
        <f>VLOOKUP($A53,'Medical Examinations'!$A:$J,4,FALSE)</f>
        <v>9.34</v>
      </c>
      <c r="F53" t="str">
        <f>VLOOKUP($A53,'Medical Examinations'!$A:$J,6,FALSE)</f>
        <v>No</v>
      </c>
      <c r="G53" t="str">
        <f>VLOOKUP($A53,'Medical Examinations'!$A:$J,7,FALSE)</f>
        <v>No</v>
      </c>
      <c r="H53" t="str">
        <f>VLOOKUP($A53,'Medical Examinations'!$A:$J,8,FALSE)</f>
        <v>No</v>
      </c>
      <c r="I53">
        <f>VLOOKUP($A53,'Medical Examinations'!$A:$J,9,FALSE)</f>
        <v>0</v>
      </c>
      <c r="J53" t="str">
        <f>VLOOKUP($A53,'Medical Examinations'!$A:$J,10,FALSE)</f>
        <v>yes</v>
      </c>
      <c r="K53" t="str">
        <f>VLOOKUP($A53,'Medical Examinations'!$A:$J,5,FALSE)</f>
        <v>Diabetes</v>
      </c>
      <c r="L53">
        <f>VLOOKUP($A54,'Medical Examinations'!$A:$J,3,FALSE)</f>
        <v>34.104999999999997</v>
      </c>
      <c r="M53">
        <f>VLOOKUP($A53,'Hospitalisation Details'!$A:$K,6,FALSE)</f>
        <v>43578.94</v>
      </c>
      <c r="N53" s="11">
        <f>VLOOKUP($B53,'Hospitalisation Details'!A52:J2396,10,0)</f>
        <v>38148</v>
      </c>
      <c r="O53" t="str">
        <f>VLOOKUP($B53,'Hospitalisation Details'!A52:J2396,8,0)</f>
        <v>tier - 2</v>
      </c>
      <c r="P53" t="str">
        <f>VLOOKUP($B53,'Hospitalisation Details'!A52:J2396,7,0)</f>
        <v>tier - 2</v>
      </c>
      <c r="Q53" t="str">
        <f>VLOOKUP($B53,'Hospitalisation Details'!A52:J2396,9,0)</f>
        <v>R1013</v>
      </c>
      <c r="R53">
        <f>VLOOKUP($B53,'Hospitalisation Details'!A52:K2396,11,0)</f>
        <v>18</v>
      </c>
    </row>
    <row r="54" spans="1:18" x14ac:dyDescent="0.35">
      <c r="A54" t="s">
        <v>2320</v>
      </c>
      <c r="B54" t="s">
        <v>74</v>
      </c>
      <c r="C54" t="str">
        <f>VLOOKUP($A54,'Customer Names'!$A:$E,4,FALSE)</f>
        <v>David</v>
      </c>
      <c r="D54" t="str">
        <f>VLOOKUP($A54,'Medical Examinations'!$A:$J,2,FALSE)</f>
        <v>Obesity</v>
      </c>
      <c r="E54">
        <f>VLOOKUP($A54,'Medical Examinations'!$A:$J,4,FALSE)</f>
        <v>5.03</v>
      </c>
      <c r="F54" t="str">
        <f>VLOOKUP($A54,'Medical Examinations'!$A:$J,6,FALSE)</f>
        <v>yes</v>
      </c>
      <c r="G54" t="str">
        <f>VLOOKUP($A54,'Medical Examinations'!$A:$J,7,FALSE)</f>
        <v>No</v>
      </c>
      <c r="H54" t="str">
        <f>VLOOKUP($A54,'Medical Examinations'!$A:$J,8,FALSE)</f>
        <v>Yes</v>
      </c>
      <c r="I54">
        <f>VLOOKUP($A54,'Medical Examinations'!$A:$J,9,FALSE)</f>
        <v>1</v>
      </c>
      <c r="J54" t="str">
        <f>VLOOKUP($A54,'Medical Examinations'!$A:$J,10,FALSE)</f>
        <v>yes</v>
      </c>
      <c r="K54" t="str">
        <f>VLOOKUP($A54,'Medical Examinations'!$A:$J,5,FALSE)</f>
        <v>Normal</v>
      </c>
      <c r="L54">
        <f>VLOOKUP($A55,'Medical Examinations'!$A:$J,3,FALSE)</f>
        <v>51.93</v>
      </c>
      <c r="M54">
        <f>VLOOKUP($A54,'Hospitalisation Details'!$A:$K,6,FALSE)</f>
        <v>43254.42</v>
      </c>
      <c r="N54" s="11">
        <f>VLOOKUP($B54,'Hospitalisation Details'!A53:J2397,10,0)</f>
        <v>37784</v>
      </c>
      <c r="O54" t="str">
        <f>VLOOKUP($B54,'Hospitalisation Details'!A53:J2397,8,0)</f>
        <v>tier - 1</v>
      </c>
      <c r="P54" t="str">
        <f>VLOOKUP($B54,'Hospitalisation Details'!A53:J2397,7,0)</f>
        <v>tier - 2</v>
      </c>
      <c r="Q54" t="str">
        <f>VLOOKUP($B54,'Hospitalisation Details'!A53:J2397,9,0)</f>
        <v>R1012</v>
      </c>
      <c r="R54">
        <f>VLOOKUP($B54,'Hospitalisation Details'!A53:K2397,11,0)</f>
        <v>19</v>
      </c>
    </row>
    <row r="55" spans="1:18" x14ac:dyDescent="0.35">
      <c r="A55" t="s">
        <v>2319</v>
      </c>
      <c r="B55" t="s">
        <v>75</v>
      </c>
      <c r="C55" t="str">
        <f>VLOOKUP($A55,'Customer Names'!$A:$E,4,FALSE)</f>
        <v>Andrew B</v>
      </c>
      <c r="D55" t="str">
        <f>VLOOKUP($A55,'Medical Examinations'!$A:$J,2,FALSE)</f>
        <v>Obesity</v>
      </c>
      <c r="E55">
        <f>VLOOKUP($A55,'Medical Examinations'!$A:$J,4,FALSE)</f>
        <v>11.05</v>
      </c>
      <c r="F55" t="str">
        <f>VLOOKUP($A55,'Medical Examinations'!$A:$J,6,FALSE)</f>
        <v>No</v>
      </c>
      <c r="G55" t="str">
        <f>VLOOKUP($A55,'Medical Examinations'!$A:$J,7,FALSE)</f>
        <v>No</v>
      </c>
      <c r="H55" t="str">
        <f>VLOOKUP($A55,'Medical Examinations'!$A:$J,8,FALSE)</f>
        <v>No</v>
      </c>
      <c r="I55">
        <f>VLOOKUP($A55,'Medical Examinations'!$A:$J,9,FALSE)</f>
        <v>0</v>
      </c>
      <c r="J55" t="str">
        <f>VLOOKUP($A55,'Medical Examinations'!$A:$J,10,FALSE)</f>
        <v>yes</v>
      </c>
      <c r="K55" t="str">
        <f>VLOOKUP($A55,'Medical Examinations'!$A:$J,5,FALSE)</f>
        <v>Diabetes</v>
      </c>
      <c r="L55">
        <f>VLOOKUP($A56,'Medical Examinations'!$A:$J,3,FALSE)</f>
        <v>38.950000000000003</v>
      </c>
      <c r="M55">
        <f>VLOOKUP($A55,'Hospitalisation Details'!$A:$K,6,FALSE)</f>
        <v>43073.760000000002</v>
      </c>
      <c r="N55" s="11">
        <f>VLOOKUP($B55,'Hospitalisation Details'!A54:J2398,10,0)</f>
        <v>38186</v>
      </c>
      <c r="O55" t="str">
        <f>VLOOKUP($B55,'Hospitalisation Details'!A54:J2398,8,0)</f>
        <v>tier - 2</v>
      </c>
      <c r="P55" t="str">
        <f>VLOOKUP($B55,'Hospitalisation Details'!A54:J2398,7,0)</f>
        <v>tier - 2</v>
      </c>
      <c r="Q55" t="str">
        <f>VLOOKUP($B55,'Hospitalisation Details'!A54:J2398,9,0)</f>
        <v>R1013</v>
      </c>
      <c r="R55">
        <f>VLOOKUP($B55,'Hospitalisation Details'!A54:K2398,11,0)</f>
        <v>18</v>
      </c>
    </row>
    <row r="56" spans="1:18" x14ac:dyDescent="0.35">
      <c r="A56" t="s">
        <v>2318</v>
      </c>
      <c r="B56" t="s">
        <v>76</v>
      </c>
      <c r="C56" t="str">
        <f>VLOOKUP($A56,'Customer Names'!$A:$E,4,FALSE)</f>
        <v>Dara E</v>
      </c>
      <c r="D56" t="str">
        <f>VLOOKUP($A56,'Medical Examinations'!$A:$J,2,FALSE)</f>
        <v>Obesity</v>
      </c>
      <c r="E56">
        <f>VLOOKUP($A56,'Medical Examinations'!$A:$J,4,FALSE)</f>
        <v>11.95</v>
      </c>
      <c r="F56" t="str">
        <f>VLOOKUP($A56,'Medical Examinations'!$A:$J,6,FALSE)</f>
        <v>No</v>
      </c>
      <c r="G56" t="str">
        <f>VLOOKUP($A56,'Medical Examinations'!$A:$J,7,FALSE)</f>
        <v>No</v>
      </c>
      <c r="H56" t="str">
        <f>VLOOKUP($A56,'Medical Examinations'!$A:$J,8,FALSE)</f>
        <v>No</v>
      </c>
      <c r="I56">
        <f>VLOOKUP($A56,'Medical Examinations'!$A:$J,9,FALSE)</f>
        <v>0</v>
      </c>
      <c r="J56" t="str">
        <f>VLOOKUP($A56,'Medical Examinations'!$A:$J,10,FALSE)</f>
        <v>yes</v>
      </c>
      <c r="K56" t="str">
        <f>VLOOKUP($A56,'Medical Examinations'!$A:$J,5,FALSE)</f>
        <v>Diabetes</v>
      </c>
      <c r="L56">
        <f>VLOOKUP($A57,'Medical Examinations'!$A:$J,3,FALSE)</f>
        <v>36.630000000000003</v>
      </c>
      <c r="M56">
        <f>VLOOKUP($A56,'Hospitalisation Details'!$A:$K,6,FALSE)</f>
        <v>42983.46</v>
      </c>
      <c r="N56" s="11">
        <f>VLOOKUP($B56,'Hospitalisation Details'!A55:J2399,10,0)</f>
        <v>34541</v>
      </c>
      <c r="O56" t="str">
        <f>VLOOKUP($B56,'Hospitalisation Details'!A55:J2399,8,0)</f>
        <v>tier - 1</v>
      </c>
      <c r="P56" t="str">
        <f>VLOOKUP($B56,'Hospitalisation Details'!A55:J2399,7,0)</f>
        <v>tier - 2</v>
      </c>
      <c r="Q56" t="str">
        <f>VLOOKUP($B56,'Hospitalisation Details'!A55:J2399,9,0)</f>
        <v>R1013</v>
      </c>
      <c r="R56">
        <f>VLOOKUP($B56,'Hospitalisation Details'!A55:K2399,11,0)</f>
        <v>28</v>
      </c>
    </row>
    <row r="57" spans="1:18" x14ac:dyDescent="0.35">
      <c r="A57" t="s">
        <v>2317</v>
      </c>
      <c r="B57" t="s">
        <v>77</v>
      </c>
      <c r="C57" t="str">
        <f>VLOOKUP($A57,'Customer Names'!$A:$E,4,FALSE)</f>
        <v>Inna</v>
      </c>
      <c r="D57" t="str">
        <f>VLOOKUP($A57,'Medical Examinations'!$A:$J,2,FALSE)</f>
        <v>Obesity</v>
      </c>
      <c r="E57">
        <f>VLOOKUP($A57,'Medical Examinations'!$A:$J,4,FALSE)</f>
        <v>7.72</v>
      </c>
      <c r="F57" t="str">
        <f>VLOOKUP($A57,'Medical Examinations'!$A:$J,6,FALSE)</f>
        <v>yes</v>
      </c>
      <c r="G57" t="str">
        <f>VLOOKUP($A57,'Medical Examinations'!$A:$J,7,FALSE)</f>
        <v>No</v>
      </c>
      <c r="H57" t="str">
        <f>VLOOKUP($A57,'Medical Examinations'!$A:$J,8,FALSE)</f>
        <v>No</v>
      </c>
      <c r="I57">
        <f>VLOOKUP($A57,'Medical Examinations'!$A:$J,9,FALSE)</f>
        <v>1</v>
      </c>
      <c r="J57" t="str">
        <f>VLOOKUP($A57,'Medical Examinations'!$A:$J,10,FALSE)</f>
        <v>yes</v>
      </c>
      <c r="K57" t="str">
        <f>VLOOKUP($A57,'Medical Examinations'!$A:$J,5,FALSE)</f>
        <v>Diabetes</v>
      </c>
      <c r="L57">
        <f>VLOOKUP($A58,'Medical Examinations'!$A:$J,3,FALSE)</f>
        <v>34.200000000000003</v>
      </c>
      <c r="M57">
        <f>VLOOKUP($A57,'Hospitalisation Details'!$A:$K,6,FALSE)</f>
        <v>42969.85</v>
      </c>
      <c r="N57" s="11">
        <f>VLOOKUP($B57,'Hospitalisation Details'!A56:J2400,10,0)</f>
        <v>38302</v>
      </c>
      <c r="O57" t="str">
        <f>VLOOKUP($B57,'Hospitalisation Details'!A56:J2400,8,0)</f>
        <v>tier - 3</v>
      </c>
      <c r="P57" t="str">
        <f>VLOOKUP($B57,'Hospitalisation Details'!A56:J2400,7,0)</f>
        <v>tier - 2</v>
      </c>
      <c r="Q57" t="str">
        <f>VLOOKUP($B57,'Hospitalisation Details'!A56:J2400,9,0)</f>
        <v>R1013</v>
      </c>
      <c r="R57">
        <f>VLOOKUP($B57,'Hospitalisation Details'!A56:K2400,11,0)</f>
        <v>18</v>
      </c>
    </row>
    <row r="58" spans="1:18" x14ac:dyDescent="0.35">
      <c r="A58" t="s">
        <v>2316</v>
      </c>
      <c r="B58" t="s">
        <v>78</v>
      </c>
      <c r="C58" t="str">
        <f>VLOOKUP($A58,'Customer Names'!$A:$E,4,FALSE)</f>
        <v>Ari</v>
      </c>
      <c r="D58" t="str">
        <f>VLOOKUP($A58,'Medical Examinations'!$A:$J,2,FALSE)</f>
        <v>Obesity</v>
      </c>
      <c r="E58">
        <f>VLOOKUP($A58,'Medical Examinations'!$A:$J,4,FALSE)</f>
        <v>5.75</v>
      </c>
      <c r="F58" t="str">
        <f>VLOOKUP($A58,'Medical Examinations'!$A:$J,6,FALSE)</f>
        <v>No</v>
      </c>
      <c r="G58" t="str">
        <f>VLOOKUP($A58,'Medical Examinations'!$A:$J,7,FALSE)</f>
        <v>No</v>
      </c>
      <c r="H58" t="str">
        <f>VLOOKUP($A58,'Medical Examinations'!$A:$J,8,FALSE)</f>
        <v>No</v>
      </c>
      <c r="I58">
        <f>VLOOKUP($A58,'Medical Examinations'!$A:$J,9,FALSE)</f>
        <v>2</v>
      </c>
      <c r="J58" t="str">
        <f>VLOOKUP($A58,'Medical Examinations'!$A:$J,10,FALSE)</f>
        <v>yes</v>
      </c>
      <c r="K58" t="str">
        <f>VLOOKUP($A58,'Medical Examinations'!$A:$J,5,FALSE)</f>
        <v>Prediabetes</v>
      </c>
      <c r="L58">
        <f>VLOOKUP($A59,'Medical Examinations'!$A:$J,3,FALSE)</f>
        <v>50.63</v>
      </c>
      <c r="M58">
        <f>VLOOKUP($A58,'Hospitalisation Details'!$A:$K,6,FALSE)</f>
        <v>42856.84</v>
      </c>
      <c r="N58" s="11">
        <f>VLOOKUP($B58,'Hospitalisation Details'!A57:J2401,10,0)</f>
        <v>37418</v>
      </c>
      <c r="O58" t="str">
        <f>VLOOKUP($B58,'Hospitalisation Details'!A57:J2401,8,0)</f>
        <v>tier - 3</v>
      </c>
      <c r="P58" t="str">
        <f>VLOOKUP($B58,'Hospitalisation Details'!A57:J2401,7,0)</f>
        <v>tier - 2</v>
      </c>
      <c r="Q58" t="str">
        <f>VLOOKUP($B58,'Hospitalisation Details'!A57:J2401,9,0)</f>
        <v>R1012</v>
      </c>
      <c r="R58">
        <f>VLOOKUP($B58,'Hospitalisation Details'!A57:K2401,11,0)</f>
        <v>20</v>
      </c>
    </row>
    <row r="59" spans="1:18" x14ac:dyDescent="0.35">
      <c r="A59" t="s">
        <v>2315</v>
      </c>
      <c r="B59" t="s">
        <v>79</v>
      </c>
      <c r="C59" t="str">
        <f>VLOOKUP($A59,'Customer Names'!$A:$E,4,FALSE)</f>
        <v>Lindsey</v>
      </c>
      <c r="D59" t="str">
        <f>VLOOKUP($A59,'Medical Examinations'!$A:$J,2,FALSE)</f>
        <v>Obesity</v>
      </c>
      <c r="E59">
        <f>VLOOKUP($A59,'Medical Examinations'!$A:$J,4,FALSE)</f>
        <v>11.89</v>
      </c>
      <c r="F59" t="str">
        <f>VLOOKUP($A59,'Medical Examinations'!$A:$J,6,FALSE)</f>
        <v>No</v>
      </c>
      <c r="G59" t="str">
        <f>VLOOKUP($A59,'Medical Examinations'!$A:$J,7,FALSE)</f>
        <v>No</v>
      </c>
      <c r="H59" t="str">
        <f>VLOOKUP($A59,'Medical Examinations'!$A:$J,8,FALSE)</f>
        <v>No</v>
      </c>
      <c r="I59">
        <f>VLOOKUP($A59,'Medical Examinations'!$A:$J,9,FALSE)</f>
        <v>0</v>
      </c>
      <c r="J59" t="str">
        <f>VLOOKUP($A59,'Medical Examinations'!$A:$J,10,FALSE)</f>
        <v>yes</v>
      </c>
      <c r="K59" t="str">
        <f>VLOOKUP($A59,'Medical Examinations'!$A:$J,5,FALSE)</f>
        <v>Diabetes</v>
      </c>
      <c r="L59">
        <f>VLOOKUP($A60,'Medical Examinations'!$A:$J,3,FALSE)</f>
        <v>36.479999999999997</v>
      </c>
      <c r="M59">
        <f>VLOOKUP($A59,'Hospitalisation Details'!$A:$K,6,FALSE)</f>
        <v>42764.12</v>
      </c>
      <c r="N59" s="11">
        <f>VLOOKUP($B59,'Hospitalisation Details'!A58:J2402,10,0)</f>
        <v>37207</v>
      </c>
      <c r="O59" t="str">
        <f>VLOOKUP($B59,'Hospitalisation Details'!A58:J2402,8,0)</f>
        <v>tier - 1</v>
      </c>
      <c r="P59" t="str">
        <f>VLOOKUP($B59,'Hospitalisation Details'!A58:J2402,7,0)</f>
        <v>tier - 2</v>
      </c>
      <c r="Q59" t="str">
        <f>VLOOKUP($B59,'Hospitalisation Details'!A58:J2402,9,0)</f>
        <v>R1013</v>
      </c>
      <c r="R59">
        <f>VLOOKUP($B59,'Hospitalisation Details'!A58:K2402,11,0)</f>
        <v>21</v>
      </c>
    </row>
    <row r="60" spans="1:18" x14ac:dyDescent="0.35">
      <c r="A60" t="s">
        <v>2314</v>
      </c>
      <c r="B60" t="s">
        <v>80</v>
      </c>
      <c r="C60" t="str">
        <f>VLOOKUP($A60,'Customer Names'!$A:$E,4,FALSE)</f>
        <v>Kenny</v>
      </c>
      <c r="D60" t="str">
        <f>VLOOKUP($A60,'Medical Examinations'!$A:$J,2,FALSE)</f>
        <v>Obesity</v>
      </c>
      <c r="E60">
        <f>VLOOKUP($A60,'Medical Examinations'!$A:$J,4,FALSE)</f>
        <v>6.2</v>
      </c>
      <c r="F60" t="str">
        <f>VLOOKUP($A60,'Medical Examinations'!$A:$J,6,FALSE)</f>
        <v>No</v>
      </c>
      <c r="G60" t="str">
        <f>VLOOKUP($A60,'Medical Examinations'!$A:$J,7,FALSE)</f>
        <v>No</v>
      </c>
      <c r="H60" t="str">
        <f>VLOOKUP($A60,'Medical Examinations'!$A:$J,8,FALSE)</f>
        <v>No</v>
      </c>
      <c r="I60">
        <f>VLOOKUP($A60,'Medical Examinations'!$A:$J,9,FALSE)</f>
        <v>0</v>
      </c>
      <c r="J60" t="str">
        <f>VLOOKUP($A60,'Medical Examinations'!$A:$J,10,FALSE)</f>
        <v>yes</v>
      </c>
      <c r="K60" t="str">
        <f>VLOOKUP($A60,'Medical Examinations'!$A:$J,5,FALSE)</f>
        <v>Prediabetes</v>
      </c>
      <c r="L60">
        <f>VLOOKUP($A61,'Medical Examinations'!$A:$J,3,FALSE)</f>
        <v>54.82</v>
      </c>
      <c r="M60">
        <f>VLOOKUP($A60,'Hospitalisation Details'!$A:$K,6,FALSE)</f>
        <v>42760.5</v>
      </c>
      <c r="N60" s="11">
        <f>VLOOKUP($B60,'Hospitalisation Details'!A59:J2403,10,0)</f>
        <v>35288</v>
      </c>
      <c r="O60" t="str">
        <f>VLOOKUP($B60,'Hospitalisation Details'!A59:J2403,8,0)</f>
        <v>tier - 3</v>
      </c>
      <c r="P60" t="str">
        <f>VLOOKUP($B60,'Hospitalisation Details'!A59:J2403,7,0)</f>
        <v>tier - 2</v>
      </c>
      <c r="Q60" t="str">
        <f>VLOOKUP($B60,'Hospitalisation Details'!A59:J2403,9,0)</f>
        <v>R1013</v>
      </c>
      <c r="R60">
        <f>VLOOKUP($B60,'Hospitalisation Details'!A59:K2403,11,0)</f>
        <v>26</v>
      </c>
    </row>
    <row r="61" spans="1:18" x14ac:dyDescent="0.35">
      <c r="A61" t="s">
        <v>2313</v>
      </c>
      <c r="B61" t="s">
        <v>81</v>
      </c>
      <c r="C61" t="str">
        <f>VLOOKUP($A61,'Customer Names'!$A:$E,4,FALSE)</f>
        <v>Louise</v>
      </c>
      <c r="D61" t="str">
        <f>VLOOKUP($A61,'Medical Examinations'!$A:$J,2,FALSE)</f>
        <v>Obesity</v>
      </c>
      <c r="E61">
        <f>VLOOKUP($A61,'Medical Examinations'!$A:$J,4,FALSE)</f>
        <v>10.61</v>
      </c>
      <c r="F61" t="str">
        <f>VLOOKUP($A61,'Medical Examinations'!$A:$J,6,FALSE)</f>
        <v>No</v>
      </c>
      <c r="G61" t="str">
        <f>VLOOKUP($A61,'Medical Examinations'!$A:$J,7,FALSE)</f>
        <v>No</v>
      </c>
      <c r="H61" t="str">
        <f>VLOOKUP($A61,'Medical Examinations'!$A:$J,8,FALSE)</f>
        <v>No</v>
      </c>
      <c r="I61">
        <f>VLOOKUP($A61,'Medical Examinations'!$A:$J,9,FALSE)</f>
        <v>0</v>
      </c>
      <c r="J61" t="str">
        <f>VLOOKUP($A61,'Medical Examinations'!$A:$J,10,FALSE)</f>
        <v>yes</v>
      </c>
      <c r="K61" t="str">
        <f>VLOOKUP($A61,'Medical Examinations'!$A:$J,5,FALSE)</f>
        <v>Diabetes</v>
      </c>
      <c r="L61">
        <f>VLOOKUP($A62,'Medical Examinations'!$A:$J,3,FALSE)</f>
        <v>38.06</v>
      </c>
      <c r="M61">
        <f>VLOOKUP($A61,'Hospitalisation Details'!$A:$K,6,FALSE)</f>
        <v>42644.2</v>
      </c>
      <c r="N61" s="11">
        <f>VLOOKUP($B61,'Hospitalisation Details'!A60:J2404,10,0)</f>
        <v>35609</v>
      </c>
      <c r="O61" t="str">
        <f>VLOOKUP($B61,'Hospitalisation Details'!A60:J2404,8,0)</f>
        <v>tier - 2</v>
      </c>
      <c r="P61" t="str">
        <f>VLOOKUP($B61,'Hospitalisation Details'!A60:J2404,7,0)</f>
        <v>tier - 2</v>
      </c>
      <c r="Q61" t="str">
        <f>VLOOKUP($B61,'Hospitalisation Details'!A60:J2404,9,0)</f>
        <v>R1013</v>
      </c>
      <c r="R61">
        <f>VLOOKUP($B61,'Hospitalisation Details'!A60:K2404,11,0)</f>
        <v>25</v>
      </c>
    </row>
    <row r="62" spans="1:18" x14ac:dyDescent="0.35">
      <c r="A62" t="s">
        <v>2312</v>
      </c>
      <c r="B62" t="s">
        <v>82</v>
      </c>
      <c r="C62" t="str">
        <f>VLOOKUP($A62,'Customer Names'!$A:$E,4,FALSE)</f>
        <v>Cameron</v>
      </c>
      <c r="D62" t="str">
        <f>VLOOKUP($A62,'Medical Examinations'!$A:$J,2,FALSE)</f>
        <v>Obesity</v>
      </c>
      <c r="E62">
        <f>VLOOKUP($A62,'Medical Examinations'!$A:$J,4,FALSE)</f>
        <v>6.04</v>
      </c>
      <c r="F62" t="str">
        <f>VLOOKUP($A62,'Medical Examinations'!$A:$J,6,FALSE)</f>
        <v>No</v>
      </c>
      <c r="G62" t="str">
        <f>VLOOKUP($A62,'Medical Examinations'!$A:$J,7,FALSE)</f>
        <v>No</v>
      </c>
      <c r="H62" t="str">
        <f>VLOOKUP($A62,'Medical Examinations'!$A:$J,8,FALSE)</f>
        <v>Yes</v>
      </c>
      <c r="I62">
        <f>VLOOKUP($A62,'Medical Examinations'!$A:$J,9,FALSE)</f>
        <v>1</v>
      </c>
      <c r="J62" t="str">
        <f>VLOOKUP($A62,'Medical Examinations'!$A:$J,10,FALSE)</f>
        <v>yes</v>
      </c>
      <c r="K62" t="str">
        <f>VLOOKUP($A62,'Medical Examinations'!$A:$J,5,FALSE)</f>
        <v>Prediabetes</v>
      </c>
      <c r="L62">
        <f>VLOOKUP($A63,'Medical Examinations'!$A:$J,3,FALSE)</f>
        <v>51.48</v>
      </c>
      <c r="M62">
        <f>VLOOKUP($A62,'Hospitalisation Details'!$A:$K,6,FALSE)</f>
        <v>42560.43</v>
      </c>
      <c r="N62" s="11">
        <f>VLOOKUP($B62,'Hospitalisation Details'!A61:J2405,10,0)</f>
        <v>37494</v>
      </c>
      <c r="O62" t="str">
        <f>VLOOKUP($B62,'Hospitalisation Details'!A61:J2405,8,0)</f>
        <v>tier - 1</v>
      </c>
      <c r="P62" t="str">
        <f>VLOOKUP($B62,'Hospitalisation Details'!A61:J2405,7,0)</f>
        <v>tier - 2</v>
      </c>
      <c r="Q62" t="str">
        <f>VLOOKUP($B62,'Hospitalisation Details'!A61:J2405,9,0)</f>
        <v>R1013</v>
      </c>
      <c r="R62">
        <f>VLOOKUP($B62,'Hospitalisation Details'!A61:K2405,11,0)</f>
        <v>20</v>
      </c>
    </row>
    <row r="63" spans="1:18" x14ac:dyDescent="0.35">
      <c r="A63" t="s">
        <v>2311</v>
      </c>
      <c r="B63" t="s">
        <v>83</v>
      </c>
      <c r="C63" t="str">
        <f>VLOOKUP($A63,'Customer Names'!$A:$E,4,FALSE)</f>
        <v>Katie T.</v>
      </c>
      <c r="D63" t="str">
        <f>VLOOKUP($A63,'Medical Examinations'!$A:$J,2,FALSE)</f>
        <v>Obesity</v>
      </c>
      <c r="E63">
        <f>VLOOKUP($A63,'Medical Examinations'!$A:$J,4,FALSE)</f>
        <v>9.33</v>
      </c>
      <c r="F63" t="str">
        <f>VLOOKUP($A63,'Medical Examinations'!$A:$J,6,FALSE)</f>
        <v>yes</v>
      </c>
      <c r="G63" t="str">
        <f>VLOOKUP($A63,'Medical Examinations'!$A:$J,7,FALSE)</f>
        <v>No</v>
      </c>
      <c r="H63" t="str">
        <f>VLOOKUP($A63,'Medical Examinations'!$A:$J,8,FALSE)</f>
        <v>No</v>
      </c>
      <c r="I63">
        <f>VLOOKUP($A63,'Medical Examinations'!$A:$J,9,FALSE)</f>
        <v>0</v>
      </c>
      <c r="J63" t="str">
        <f>VLOOKUP($A63,'Medical Examinations'!$A:$J,10,FALSE)</f>
        <v>yes</v>
      </c>
      <c r="K63" t="str">
        <f>VLOOKUP($A63,'Medical Examinations'!$A:$J,5,FALSE)</f>
        <v>Diabetes</v>
      </c>
      <c r="L63">
        <f>VLOOKUP($A64,'Medical Examinations'!$A:$J,3,FALSE)</f>
        <v>52.06</v>
      </c>
      <c r="M63">
        <f>VLOOKUP($A63,'Hospitalisation Details'!$A:$K,6,FALSE)</f>
        <v>42538.720000000001</v>
      </c>
      <c r="N63" s="11">
        <f>VLOOKUP($B63,'Hospitalisation Details'!A62:J2406,10,0)</f>
        <v>36339</v>
      </c>
      <c r="O63" t="str">
        <f>VLOOKUP($B63,'Hospitalisation Details'!A62:J2406,8,0)</f>
        <v>tier - 3</v>
      </c>
      <c r="P63" t="str">
        <f>VLOOKUP($B63,'Hospitalisation Details'!A62:J2406,7,0)</f>
        <v>tier - 2</v>
      </c>
      <c r="Q63" t="str">
        <f>VLOOKUP($B63,'Hospitalisation Details'!A62:J2406,9,0)</f>
        <v>R1012</v>
      </c>
      <c r="R63">
        <f>VLOOKUP($B63,'Hospitalisation Details'!A62:K2406,11,0)</f>
        <v>23</v>
      </c>
    </row>
    <row r="64" spans="1:18" x14ac:dyDescent="0.35">
      <c r="A64" t="s">
        <v>2310</v>
      </c>
      <c r="B64" t="s">
        <v>84</v>
      </c>
      <c r="C64" t="str">
        <f>VLOOKUP($A64,'Customer Names'!$A:$E,4,FALSE)</f>
        <v>Casey</v>
      </c>
      <c r="D64" t="str">
        <f>VLOOKUP($A64,'Medical Examinations'!$A:$J,2,FALSE)</f>
        <v>Obesity</v>
      </c>
      <c r="E64">
        <f>VLOOKUP($A64,'Medical Examinations'!$A:$J,4,FALSE)</f>
        <v>11.47</v>
      </c>
      <c r="F64" t="str">
        <f>VLOOKUP($A64,'Medical Examinations'!$A:$J,6,FALSE)</f>
        <v>No</v>
      </c>
      <c r="G64" t="str">
        <f>VLOOKUP($A64,'Medical Examinations'!$A:$J,7,FALSE)</f>
        <v>No</v>
      </c>
      <c r="H64" t="str">
        <f>VLOOKUP($A64,'Medical Examinations'!$A:$J,8,FALSE)</f>
        <v>No</v>
      </c>
      <c r="I64">
        <f>VLOOKUP($A64,'Medical Examinations'!$A:$J,9,FALSE)</f>
        <v>0</v>
      </c>
      <c r="J64" t="str">
        <f>VLOOKUP($A64,'Medical Examinations'!$A:$J,10,FALSE)</f>
        <v>yes</v>
      </c>
      <c r="K64" t="str">
        <f>VLOOKUP($A64,'Medical Examinations'!$A:$J,5,FALSE)</f>
        <v>Diabetes</v>
      </c>
      <c r="L64">
        <f>VLOOKUP($A65,'Medical Examinations'!$A:$J,3,FALSE)</f>
        <v>30.684999999999999</v>
      </c>
      <c r="M64">
        <f>VLOOKUP($A64,'Hospitalisation Details'!$A:$K,6,FALSE)</f>
        <v>42478.6</v>
      </c>
      <c r="N64" s="11">
        <f>VLOOKUP($B64,'Hospitalisation Details'!A63:J2407,10,0)</f>
        <v>33883</v>
      </c>
      <c r="O64" t="str">
        <f>VLOOKUP($B64,'Hospitalisation Details'!A63:J2407,8,0)</f>
        <v>tier - 3</v>
      </c>
      <c r="P64" t="str">
        <f>VLOOKUP($B64,'Hospitalisation Details'!A63:J2407,7,0)</f>
        <v>tier - 2</v>
      </c>
      <c r="Q64" t="str">
        <f>VLOOKUP($B64,'Hospitalisation Details'!A63:J2407,9,0)</f>
        <v>R1013</v>
      </c>
      <c r="R64">
        <f>VLOOKUP($B64,'Hospitalisation Details'!A63:K2407,11,0)</f>
        <v>30</v>
      </c>
    </row>
    <row r="65" spans="1:18" x14ac:dyDescent="0.35">
      <c r="A65" t="s">
        <v>2309</v>
      </c>
      <c r="B65" t="s">
        <v>85</v>
      </c>
      <c r="C65" t="str">
        <f>VLOOKUP($A65,'Customer Names'!$A:$E,4,FALSE)</f>
        <v>David</v>
      </c>
      <c r="D65" t="str">
        <f>VLOOKUP($A65,'Medical Examinations'!$A:$J,2,FALSE)</f>
        <v>Obesity</v>
      </c>
      <c r="E65">
        <f>VLOOKUP($A65,'Medical Examinations'!$A:$J,4,FALSE)</f>
        <v>7.02</v>
      </c>
      <c r="F65" t="str">
        <f>VLOOKUP($A65,'Medical Examinations'!$A:$J,6,FALSE)</f>
        <v>yes</v>
      </c>
      <c r="G65" t="str">
        <f>VLOOKUP($A65,'Medical Examinations'!$A:$J,7,FALSE)</f>
        <v>No</v>
      </c>
      <c r="H65" t="str">
        <f>VLOOKUP($A65,'Medical Examinations'!$A:$J,8,FALSE)</f>
        <v>No</v>
      </c>
      <c r="I65">
        <f>VLOOKUP($A65,'Medical Examinations'!$A:$J,9,FALSE)</f>
        <v>0</v>
      </c>
      <c r="J65" t="str">
        <f>VLOOKUP($A65,'Medical Examinations'!$A:$J,10,FALSE)</f>
        <v>yes</v>
      </c>
      <c r="K65" t="str">
        <f>VLOOKUP($A65,'Medical Examinations'!$A:$J,5,FALSE)</f>
        <v>Diabetes</v>
      </c>
      <c r="L65">
        <f>VLOOKUP($A66,'Medical Examinations'!$A:$J,3,FALSE)</f>
        <v>36.08</v>
      </c>
      <c r="M65">
        <f>VLOOKUP($A65,'Hospitalisation Details'!$A:$K,6,FALSE)</f>
        <v>42303.69</v>
      </c>
      <c r="N65" s="11">
        <f>VLOOKUP($B65,'Hospitalisation Details'!A64:J2408,10,0)</f>
        <v>38140</v>
      </c>
      <c r="O65" t="str">
        <f>VLOOKUP($B65,'Hospitalisation Details'!A64:J2408,8,0)</f>
        <v>tier - 1</v>
      </c>
      <c r="P65" t="str">
        <f>VLOOKUP($B65,'Hospitalisation Details'!A64:J2408,7,0)</f>
        <v>tier - 2</v>
      </c>
      <c r="Q65" t="str">
        <f>VLOOKUP($B65,'Hospitalisation Details'!A64:J2408,9,0)</f>
        <v>R1013</v>
      </c>
      <c r="R65">
        <f>VLOOKUP($B65,'Hospitalisation Details'!A64:K2408,11,0)</f>
        <v>19</v>
      </c>
    </row>
    <row r="66" spans="1:18" x14ac:dyDescent="0.35">
      <c r="A66" t="s">
        <v>2308</v>
      </c>
      <c r="B66" t="s">
        <v>86</v>
      </c>
      <c r="C66" t="str">
        <f>VLOOKUP($A66,'Customer Names'!$A:$E,4,FALSE)</f>
        <v>Bryson C.</v>
      </c>
      <c r="D66" t="str">
        <f>VLOOKUP($A66,'Medical Examinations'!$A:$J,2,FALSE)</f>
        <v>Obesity</v>
      </c>
      <c r="E66">
        <f>VLOOKUP($A66,'Medical Examinations'!$A:$J,4,FALSE)</f>
        <v>8.8000000000000007</v>
      </c>
      <c r="F66" t="str">
        <f>VLOOKUP($A66,'Medical Examinations'!$A:$J,6,FALSE)</f>
        <v>yes</v>
      </c>
      <c r="G66" t="str">
        <f>VLOOKUP($A66,'Medical Examinations'!$A:$J,7,FALSE)</f>
        <v>No</v>
      </c>
      <c r="H66" t="str">
        <f>VLOOKUP($A66,'Medical Examinations'!$A:$J,8,FALSE)</f>
        <v>No</v>
      </c>
      <c r="I66">
        <f>VLOOKUP($A66,'Medical Examinations'!$A:$J,9,FALSE)</f>
        <v>1</v>
      </c>
      <c r="J66" t="str">
        <f>VLOOKUP($A66,'Medical Examinations'!$A:$J,10,FALSE)</f>
        <v>yes</v>
      </c>
      <c r="K66" t="str">
        <f>VLOOKUP($A66,'Medical Examinations'!$A:$J,5,FALSE)</f>
        <v>Diabetes</v>
      </c>
      <c r="L66">
        <f>VLOOKUP($A67,'Medical Examinations'!$A:$J,3,FALSE)</f>
        <v>54.99</v>
      </c>
      <c r="M66">
        <f>VLOOKUP($A66,'Hospitalisation Details'!$A:$K,6,FALSE)</f>
        <v>42211.14</v>
      </c>
      <c r="N66" s="11">
        <f>VLOOKUP($B66,'Hospitalisation Details'!A65:J2409,10,0)</f>
        <v>35373</v>
      </c>
      <c r="O66" t="str">
        <f>VLOOKUP($B66,'Hospitalisation Details'!A65:J2409,8,0)</f>
        <v>tier - 3</v>
      </c>
      <c r="P66" t="str">
        <f>VLOOKUP($B66,'Hospitalisation Details'!A65:J2409,7,0)</f>
        <v>tier - 2</v>
      </c>
      <c r="Q66" t="str">
        <f>VLOOKUP($B66,'Hospitalisation Details'!A65:J2409,9,0)</f>
        <v>R1012</v>
      </c>
      <c r="R66">
        <f>VLOOKUP($B66,'Hospitalisation Details'!A65:K2409,11,0)</f>
        <v>26</v>
      </c>
    </row>
    <row r="67" spans="1:18" x14ac:dyDescent="0.35">
      <c r="A67" t="s">
        <v>2307</v>
      </c>
      <c r="B67" t="s">
        <v>87</v>
      </c>
      <c r="C67" t="str">
        <f>VLOOKUP($A67,'Customer Names'!$A:$E,4,FALSE)</f>
        <v>Megan</v>
      </c>
      <c r="D67" t="str">
        <f>VLOOKUP($A67,'Medical Examinations'!$A:$J,2,FALSE)</f>
        <v>Obesity</v>
      </c>
      <c r="E67">
        <f>VLOOKUP($A67,'Medical Examinations'!$A:$J,4,FALSE)</f>
        <v>8.68</v>
      </c>
      <c r="F67" t="str">
        <f>VLOOKUP($A67,'Medical Examinations'!$A:$J,6,FALSE)</f>
        <v>No</v>
      </c>
      <c r="G67" t="str">
        <f>VLOOKUP($A67,'Medical Examinations'!$A:$J,7,FALSE)</f>
        <v>No</v>
      </c>
      <c r="H67" t="str">
        <f>VLOOKUP($A67,'Medical Examinations'!$A:$J,8,FALSE)</f>
        <v>No</v>
      </c>
      <c r="I67">
        <f>VLOOKUP($A67,'Medical Examinations'!$A:$J,9,FALSE)</f>
        <v>2</v>
      </c>
      <c r="J67" t="str">
        <f>VLOOKUP($A67,'Medical Examinations'!$A:$J,10,FALSE)</f>
        <v>yes</v>
      </c>
      <c r="K67" t="str">
        <f>VLOOKUP($A67,'Medical Examinations'!$A:$J,5,FALSE)</f>
        <v>Diabetes</v>
      </c>
      <c r="L67">
        <f>VLOOKUP($A68,'Medical Examinations'!$A:$J,3,FALSE)</f>
        <v>35.97</v>
      </c>
      <c r="M67">
        <f>VLOOKUP($A67,'Hospitalisation Details'!$A:$K,6,FALSE)</f>
        <v>42188.15</v>
      </c>
      <c r="N67" s="11">
        <f>VLOOKUP($B67,'Hospitalisation Details'!A66:J2410,10,0)</f>
        <v>38177</v>
      </c>
      <c r="O67" t="str">
        <f>VLOOKUP($B67,'Hospitalisation Details'!A66:J2410,8,0)</f>
        <v>tier - 1</v>
      </c>
      <c r="P67" t="str">
        <f>VLOOKUP($B67,'Hospitalisation Details'!A66:J2410,7,0)</f>
        <v>tier - 2</v>
      </c>
      <c r="Q67" t="str">
        <f>VLOOKUP($B67,'Hospitalisation Details'!A66:J2410,9,0)</f>
        <v>R1013</v>
      </c>
      <c r="R67">
        <f>VLOOKUP($B67,'Hospitalisation Details'!A66:K2410,11,0)</f>
        <v>18</v>
      </c>
    </row>
    <row r="68" spans="1:18" x14ac:dyDescent="0.35">
      <c r="A68" t="s">
        <v>2306</v>
      </c>
      <c r="B68" t="s">
        <v>88</v>
      </c>
      <c r="C68" t="str">
        <f>VLOOKUP($A68,'Customer Names'!$A:$E,4,FALSE)</f>
        <v>Daniel</v>
      </c>
      <c r="D68" t="str">
        <f>VLOOKUP($A68,'Medical Examinations'!$A:$J,2,FALSE)</f>
        <v>Obesity</v>
      </c>
      <c r="E68">
        <f>VLOOKUP($A68,'Medical Examinations'!$A:$J,4,FALSE)</f>
        <v>6.12</v>
      </c>
      <c r="F68" t="str">
        <f>VLOOKUP($A68,'Medical Examinations'!$A:$J,6,FALSE)</f>
        <v>No</v>
      </c>
      <c r="G68" t="str">
        <f>VLOOKUP($A68,'Medical Examinations'!$A:$J,7,FALSE)</f>
        <v>No</v>
      </c>
      <c r="H68" t="str">
        <f>VLOOKUP($A68,'Medical Examinations'!$A:$J,8,FALSE)</f>
        <v>Yes</v>
      </c>
      <c r="I68">
        <f>VLOOKUP($A68,'Medical Examinations'!$A:$J,9,FALSE)</f>
        <v>1</v>
      </c>
      <c r="J68" t="str">
        <f>VLOOKUP($A68,'Medical Examinations'!$A:$J,10,FALSE)</f>
        <v>yes</v>
      </c>
      <c r="K68" t="str">
        <f>VLOOKUP($A68,'Medical Examinations'!$A:$J,5,FALSE)</f>
        <v>Prediabetes</v>
      </c>
      <c r="L68">
        <f>VLOOKUP($A69,'Medical Examinations'!$A:$J,3,FALSE)</f>
        <v>45.54</v>
      </c>
      <c r="M68">
        <f>VLOOKUP($A68,'Hospitalisation Details'!$A:$K,6,FALSE)</f>
        <v>42124.52</v>
      </c>
      <c r="N68" s="11">
        <f>VLOOKUP($B68,'Hospitalisation Details'!A67:J2411,10,0)</f>
        <v>38276</v>
      </c>
      <c r="O68" t="str">
        <f>VLOOKUP($B68,'Hospitalisation Details'!A67:J2411,8,0)</f>
        <v>tier - 1</v>
      </c>
      <c r="P68" t="str">
        <f>VLOOKUP($B68,'Hospitalisation Details'!A67:J2411,7,0)</f>
        <v>tier - 2</v>
      </c>
      <c r="Q68" t="str">
        <f>VLOOKUP($B68,'Hospitalisation Details'!A67:J2411,9,0)</f>
        <v>R1012</v>
      </c>
      <c r="R68">
        <f>VLOOKUP($B68,'Hospitalisation Details'!A67:K2411,11,0)</f>
        <v>18</v>
      </c>
    </row>
    <row r="69" spans="1:18" x14ac:dyDescent="0.35">
      <c r="A69" t="s">
        <v>2305</v>
      </c>
      <c r="B69" t="s">
        <v>89</v>
      </c>
      <c r="C69" t="str">
        <f>VLOOKUP($A69,'Customer Names'!$A:$E,4,FALSE)</f>
        <v>Steven M.</v>
      </c>
      <c r="D69" t="str">
        <f>VLOOKUP($A69,'Medical Examinations'!$A:$J,2,FALSE)</f>
        <v>Obesity</v>
      </c>
      <c r="E69">
        <f>VLOOKUP($A69,'Medical Examinations'!$A:$J,4,FALSE)</f>
        <v>5.4</v>
      </c>
      <c r="F69" t="str">
        <f>VLOOKUP($A69,'Medical Examinations'!$A:$J,6,FALSE)</f>
        <v>yes</v>
      </c>
      <c r="G69" t="str">
        <f>VLOOKUP($A69,'Medical Examinations'!$A:$J,7,FALSE)</f>
        <v>No</v>
      </c>
      <c r="H69" t="str">
        <f>VLOOKUP($A69,'Medical Examinations'!$A:$J,8,FALSE)</f>
        <v>Yes</v>
      </c>
      <c r="I69">
        <f>VLOOKUP($A69,'Medical Examinations'!$A:$J,9,FALSE)</f>
        <v>1</v>
      </c>
      <c r="J69" t="str">
        <f>VLOOKUP($A69,'Medical Examinations'!$A:$J,10,FALSE)</f>
        <v>yes</v>
      </c>
      <c r="K69" t="str">
        <f>VLOOKUP($A69,'Medical Examinations'!$A:$J,5,FALSE)</f>
        <v>Normal</v>
      </c>
      <c r="L69">
        <f>VLOOKUP($A70,'Medical Examinations'!$A:$J,3,FALSE)</f>
        <v>35.53</v>
      </c>
      <c r="M69">
        <f>VLOOKUP($A69,'Hospitalisation Details'!$A:$K,6,FALSE)</f>
        <v>42112.24</v>
      </c>
      <c r="N69" s="11">
        <f>VLOOKUP($B69,'Hospitalisation Details'!A68:J2412,10,0)</f>
        <v>35989</v>
      </c>
      <c r="O69" t="str">
        <f>VLOOKUP($B69,'Hospitalisation Details'!A68:J2412,8,0)</f>
        <v>tier - 1</v>
      </c>
      <c r="P69" t="str">
        <f>VLOOKUP($B69,'Hospitalisation Details'!A68:J2412,7,0)</f>
        <v>tier - 2</v>
      </c>
      <c r="Q69" t="str">
        <f>VLOOKUP($B69,'Hospitalisation Details'!A68:J2412,9,0)</f>
        <v>R1013</v>
      </c>
      <c r="R69">
        <f>VLOOKUP($B69,'Hospitalisation Details'!A68:K2412,11,0)</f>
        <v>24</v>
      </c>
    </row>
    <row r="70" spans="1:18" x14ac:dyDescent="0.35">
      <c r="A70" t="s">
        <v>2304</v>
      </c>
      <c r="B70" t="s">
        <v>90</v>
      </c>
      <c r="C70" t="str">
        <f>VLOOKUP($A70,'Customer Names'!$A:$E,4,FALSE)</f>
        <v>Jenna L.</v>
      </c>
      <c r="D70" t="str">
        <f>VLOOKUP($A70,'Medical Examinations'!$A:$J,2,FALSE)</f>
        <v>Obesity</v>
      </c>
      <c r="E70">
        <f>VLOOKUP($A70,'Medical Examinations'!$A:$J,4,FALSE)</f>
        <v>4.3600000000000003</v>
      </c>
      <c r="F70" t="str">
        <f>VLOOKUP($A70,'Medical Examinations'!$A:$J,6,FALSE)</f>
        <v>yes</v>
      </c>
      <c r="G70" t="str">
        <f>VLOOKUP($A70,'Medical Examinations'!$A:$J,7,FALSE)</f>
        <v>No</v>
      </c>
      <c r="H70" t="str">
        <f>VLOOKUP($A70,'Medical Examinations'!$A:$J,8,FALSE)</f>
        <v>No</v>
      </c>
      <c r="I70">
        <f>VLOOKUP($A70,'Medical Examinations'!$A:$J,9,FALSE)</f>
        <v>0</v>
      </c>
      <c r="J70" t="str">
        <f>VLOOKUP($A70,'Medical Examinations'!$A:$J,10,FALSE)</f>
        <v>yes</v>
      </c>
      <c r="K70" t="str">
        <f>VLOOKUP($A70,'Medical Examinations'!$A:$J,5,FALSE)</f>
        <v>Normal</v>
      </c>
      <c r="L70">
        <f>VLOOKUP($A71,'Medical Examinations'!$A:$J,3,FALSE)</f>
        <v>30.8</v>
      </c>
      <c r="M70">
        <f>VLOOKUP($A70,'Hospitalisation Details'!$A:$K,6,FALSE)</f>
        <v>42111.66</v>
      </c>
      <c r="N70" s="11">
        <f>VLOOKUP($B70,'Hospitalisation Details'!A69:J2413,10,0)</f>
        <v>37602</v>
      </c>
      <c r="O70" t="str">
        <f>VLOOKUP($B70,'Hospitalisation Details'!A69:J2413,8,0)</f>
        <v>tier - 2</v>
      </c>
      <c r="P70" t="str">
        <f>VLOOKUP($B70,'Hospitalisation Details'!A69:J2413,7,0)</f>
        <v>tier - 2</v>
      </c>
      <c r="Q70" t="str">
        <f>VLOOKUP($B70,'Hospitalisation Details'!A69:J2413,9,0)</f>
        <v>R1013</v>
      </c>
      <c r="R70">
        <f>VLOOKUP($B70,'Hospitalisation Details'!A69:K2413,11,0)</f>
        <v>20</v>
      </c>
    </row>
    <row r="71" spans="1:18" x14ac:dyDescent="0.35">
      <c r="A71" t="s">
        <v>2303</v>
      </c>
      <c r="B71" t="s">
        <v>91</v>
      </c>
      <c r="C71" t="str">
        <f>VLOOKUP($A71,'Customer Names'!$A:$E,4,FALSE)</f>
        <v>Freeman</v>
      </c>
      <c r="D71" t="str">
        <f>VLOOKUP($A71,'Medical Examinations'!$A:$J,2,FALSE)</f>
        <v>Obesity</v>
      </c>
      <c r="E71">
        <f>VLOOKUP($A71,'Medical Examinations'!$A:$J,4,FALSE)</f>
        <v>9.77</v>
      </c>
      <c r="F71" t="str">
        <f>VLOOKUP($A71,'Medical Examinations'!$A:$J,6,FALSE)</f>
        <v>No</v>
      </c>
      <c r="G71" t="str">
        <f>VLOOKUP($A71,'Medical Examinations'!$A:$J,7,FALSE)</f>
        <v>No</v>
      </c>
      <c r="H71" t="str">
        <f>VLOOKUP($A71,'Medical Examinations'!$A:$J,8,FALSE)</f>
        <v>No</v>
      </c>
      <c r="I71">
        <f>VLOOKUP($A71,'Medical Examinations'!$A:$J,9,FALSE)</f>
        <v>0</v>
      </c>
      <c r="J71" t="str">
        <f>VLOOKUP($A71,'Medical Examinations'!$A:$J,10,FALSE)</f>
        <v>yes</v>
      </c>
      <c r="K71" t="str">
        <f>VLOOKUP($A71,'Medical Examinations'!$A:$J,5,FALSE)</f>
        <v>Diabetes</v>
      </c>
      <c r="L71">
        <f>VLOOKUP($A72,'Medical Examinations'!$A:$J,3,FALSE)</f>
        <v>38.39</v>
      </c>
      <c r="M71">
        <f>VLOOKUP($A71,'Hospitalisation Details'!$A:$K,6,FALSE)</f>
        <v>41999.519999999997</v>
      </c>
      <c r="N71" s="11">
        <f>VLOOKUP($B71,'Hospitalisation Details'!A70:J2414,10,0)</f>
        <v>36079</v>
      </c>
      <c r="O71" t="str">
        <f>VLOOKUP($B71,'Hospitalisation Details'!A70:J2414,8,0)</f>
        <v>tier - 1</v>
      </c>
      <c r="P71" t="str">
        <f>VLOOKUP($B71,'Hospitalisation Details'!A70:J2414,7,0)</f>
        <v>tier - 2</v>
      </c>
      <c r="Q71" t="str">
        <f>VLOOKUP($B71,'Hospitalisation Details'!A70:J2414,9,0)</f>
        <v>R1012</v>
      </c>
      <c r="R71">
        <f>VLOOKUP($B71,'Hospitalisation Details'!A70:K2414,11,0)</f>
        <v>24</v>
      </c>
    </row>
    <row r="72" spans="1:18" x14ac:dyDescent="0.35">
      <c r="A72" t="s">
        <v>2302</v>
      </c>
      <c r="B72" t="s">
        <v>92</v>
      </c>
      <c r="C72" t="str">
        <f>VLOOKUP($A72,'Customer Names'!$A:$E,4,FALSE)</f>
        <v>Jeff</v>
      </c>
      <c r="D72" t="str">
        <f>VLOOKUP($A72,'Medical Examinations'!$A:$J,2,FALSE)</f>
        <v>Obesity</v>
      </c>
      <c r="E72">
        <f>VLOOKUP($A72,'Medical Examinations'!$A:$J,4,FALSE)</f>
        <v>4.25</v>
      </c>
      <c r="F72" t="str">
        <f>VLOOKUP($A72,'Medical Examinations'!$A:$J,6,FALSE)</f>
        <v>No</v>
      </c>
      <c r="G72" t="str">
        <f>VLOOKUP($A72,'Medical Examinations'!$A:$J,7,FALSE)</f>
        <v>No</v>
      </c>
      <c r="H72" t="str">
        <f>VLOOKUP($A72,'Medical Examinations'!$A:$J,8,FALSE)</f>
        <v>No</v>
      </c>
      <c r="I72">
        <f>VLOOKUP($A72,'Medical Examinations'!$A:$J,9,FALSE)</f>
        <v>1</v>
      </c>
      <c r="J72" t="str">
        <f>VLOOKUP($A72,'Medical Examinations'!$A:$J,10,FALSE)</f>
        <v>yes</v>
      </c>
      <c r="K72" t="str">
        <f>VLOOKUP($A72,'Medical Examinations'!$A:$J,5,FALSE)</f>
        <v>Normal</v>
      </c>
      <c r="L72">
        <f>VLOOKUP($A73,'Medical Examinations'!$A:$J,3,FALSE)</f>
        <v>32.299999999999997</v>
      </c>
      <c r="M72">
        <f>VLOOKUP($A72,'Hospitalisation Details'!$A:$K,6,FALSE)</f>
        <v>41949.24</v>
      </c>
      <c r="N72" s="11">
        <f>VLOOKUP($B72,'Hospitalisation Details'!A71:J2415,10,0)</f>
        <v>37438</v>
      </c>
      <c r="O72" t="str">
        <f>VLOOKUP($B72,'Hospitalisation Details'!A71:J2415,8,0)</f>
        <v>tier - 2</v>
      </c>
      <c r="P72" t="str">
        <f>VLOOKUP($B72,'Hospitalisation Details'!A71:J2415,7,0)</f>
        <v>tier - 2</v>
      </c>
      <c r="Q72" t="str">
        <f>VLOOKUP($B72,'Hospitalisation Details'!A71:J2415,9,0)</f>
        <v>R1013</v>
      </c>
      <c r="R72">
        <f>VLOOKUP($B72,'Hospitalisation Details'!A71:K2415,11,0)</f>
        <v>20</v>
      </c>
    </row>
    <row r="73" spans="1:18" x14ac:dyDescent="0.35">
      <c r="A73" t="s">
        <v>2301</v>
      </c>
      <c r="B73" t="s">
        <v>93</v>
      </c>
      <c r="C73" t="str">
        <f>VLOOKUP($A73,'Customer Names'!$A:$E,4,FALSE)</f>
        <v>Elenilton V. Sr.</v>
      </c>
      <c r="D73" t="str">
        <f>VLOOKUP($A73,'Medical Examinations'!$A:$J,2,FALSE)</f>
        <v>Obesity</v>
      </c>
      <c r="E73">
        <f>VLOOKUP($A73,'Medical Examinations'!$A:$J,4,FALSE)</f>
        <v>4.76</v>
      </c>
      <c r="F73" t="str">
        <f>VLOOKUP($A73,'Medical Examinations'!$A:$J,6,FALSE)</f>
        <v>No</v>
      </c>
      <c r="G73" t="str">
        <f>VLOOKUP($A73,'Medical Examinations'!$A:$J,7,FALSE)</f>
        <v>No</v>
      </c>
      <c r="H73" t="str">
        <f>VLOOKUP($A73,'Medical Examinations'!$A:$J,8,FALSE)</f>
        <v>No</v>
      </c>
      <c r="I73">
        <f>VLOOKUP($A73,'Medical Examinations'!$A:$J,9,FALSE)</f>
        <v>2</v>
      </c>
      <c r="J73" t="str">
        <f>VLOOKUP($A73,'Medical Examinations'!$A:$J,10,FALSE)</f>
        <v>yes</v>
      </c>
      <c r="K73" t="str">
        <f>VLOOKUP($A73,'Medical Examinations'!$A:$J,5,FALSE)</f>
        <v>Normal</v>
      </c>
      <c r="L73">
        <f>VLOOKUP($A74,'Medical Examinations'!$A:$J,3,FALSE)</f>
        <v>48.8</v>
      </c>
      <c r="M73">
        <f>VLOOKUP($A73,'Hospitalisation Details'!$A:$K,6,FALSE)</f>
        <v>41919.1</v>
      </c>
      <c r="N73" s="11">
        <f>VLOOKUP($B73,'Hospitalisation Details'!A72:J2416,10,0)</f>
        <v>37835</v>
      </c>
      <c r="O73" t="str">
        <f>VLOOKUP($B73,'Hospitalisation Details'!A72:J2416,8,0)</f>
        <v>tier - 2</v>
      </c>
      <c r="P73" t="str">
        <f>VLOOKUP($B73,'Hospitalisation Details'!A72:J2416,7,0)</f>
        <v>tier - 2</v>
      </c>
      <c r="Q73" t="str">
        <f>VLOOKUP($B73,'Hospitalisation Details'!A72:J2416,9,0)</f>
        <v>R1011</v>
      </c>
      <c r="R73">
        <f>VLOOKUP($B73,'Hospitalisation Details'!A72:K2416,11,0)</f>
        <v>19</v>
      </c>
    </row>
    <row r="74" spans="1:18" x14ac:dyDescent="0.35">
      <c r="A74" t="s">
        <v>2300</v>
      </c>
      <c r="B74" t="s">
        <v>94</v>
      </c>
      <c r="C74" t="str">
        <f>VLOOKUP($A74,'Customer Names'!$A:$E,4,FALSE)</f>
        <v>Maurya</v>
      </c>
      <c r="D74" t="str">
        <f>VLOOKUP($A74,'Medical Examinations'!$A:$J,2,FALSE)</f>
        <v>Obesity</v>
      </c>
      <c r="E74">
        <f>VLOOKUP($A74,'Medical Examinations'!$A:$J,4,FALSE)</f>
        <v>6.22</v>
      </c>
      <c r="F74" t="str">
        <f>VLOOKUP($A74,'Medical Examinations'!$A:$J,6,FALSE)</f>
        <v>yes</v>
      </c>
      <c r="G74" t="str">
        <f>VLOOKUP($A74,'Medical Examinations'!$A:$J,7,FALSE)</f>
        <v>No</v>
      </c>
      <c r="H74" t="str">
        <f>VLOOKUP($A74,'Medical Examinations'!$A:$J,8,FALSE)</f>
        <v>No</v>
      </c>
      <c r="I74">
        <f>VLOOKUP($A74,'Medical Examinations'!$A:$J,9,FALSE)</f>
        <v>2</v>
      </c>
      <c r="J74" t="str">
        <f>VLOOKUP($A74,'Medical Examinations'!$A:$J,10,FALSE)</f>
        <v>yes</v>
      </c>
      <c r="K74" t="str">
        <f>VLOOKUP($A74,'Medical Examinations'!$A:$J,5,FALSE)</f>
        <v>Prediabetes</v>
      </c>
      <c r="L74">
        <f>VLOOKUP($A75,'Medical Examinations'!$A:$J,3,FALSE)</f>
        <v>45.5</v>
      </c>
      <c r="M74">
        <f>VLOOKUP($A74,'Hospitalisation Details'!$A:$K,6,FALSE)</f>
        <v>41886.54</v>
      </c>
      <c r="N74" s="11">
        <f>VLOOKUP($B74,'Hospitalisation Details'!A73:J2417,10,0)</f>
        <v>37879</v>
      </c>
      <c r="O74" t="str">
        <f>VLOOKUP($B74,'Hospitalisation Details'!A73:J2417,8,0)</f>
        <v>tier - 1</v>
      </c>
      <c r="P74" t="str">
        <f>VLOOKUP($B74,'Hospitalisation Details'!A73:J2417,7,0)</f>
        <v>tier - 2</v>
      </c>
      <c r="Q74" t="str">
        <f>VLOOKUP($B74,'Hospitalisation Details'!A73:J2417,9,0)</f>
        <v>R1011</v>
      </c>
      <c r="R74">
        <f>VLOOKUP($B74,'Hospitalisation Details'!A73:K2417,11,0)</f>
        <v>19</v>
      </c>
    </row>
    <row r="75" spans="1:18" x14ac:dyDescent="0.35">
      <c r="A75" t="s">
        <v>2299</v>
      </c>
      <c r="B75" t="s">
        <v>95</v>
      </c>
      <c r="C75" t="str">
        <f>VLOOKUP($A75,'Customer Names'!$A:$E,4,FALSE)</f>
        <v>Samantha C</v>
      </c>
      <c r="D75" t="str">
        <f>VLOOKUP($A75,'Medical Examinations'!$A:$J,2,FALSE)</f>
        <v>Obesity</v>
      </c>
      <c r="E75">
        <f>VLOOKUP($A75,'Medical Examinations'!$A:$J,4,FALSE)</f>
        <v>7.96</v>
      </c>
      <c r="F75" t="str">
        <f>VLOOKUP($A75,'Medical Examinations'!$A:$J,6,FALSE)</f>
        <v>No</v>
      </c>
      <c r="G75" t="str">
        <f>VLOOKUP($A75,'Medical Examinations'!$A:$J,7,FALSE)</f>
        <v>No</v>
      </c>
      <c r="H75" t="str">
        <f>VLOOKUP($A75,'Medical Examinations'!$A:$J,8,FALSE)</f>
        <v>No</v>
      </c>
      <c r="I75">
        <f>VLOOKUP($A75,'Medical Examinations'!$A:$J,9,FALSE)</f>
        <v>0</v>
      </c>
      <c r="J75" t="str">
        <f>VLOOKUP($A75,'Medical Examinations'!$A:$J,10,FALSE)</f>
        <v>yes</v>
      </c>
      <c r="K75" t="str">
        <f>VLOOKUP($A75,'Medical Examinations'!$A:$J,5,FALSE)</f>
        <v>Diabetes</v>
      </c>
      <c r="L75">
        <f>VLOOKUP($A76,'Medical Examinations'!$A:$J,3,FALSE)</f>
        <v>53.61</v>
      </c>
      <c r="M75">
        <f>VLOOKUP($A75,'Hospitalisation Details'!$A:$K,6,FALSE)</f>
        <v>41794.629999999997</v>
      </c>
      <c r="N75" s="11">
        <f>VLOOKUP($B75,'Hospitalisation Details'!A74:J2418,10,0)</f>
        <v>37872</v>
      </c>
      <c r="O75" t="str">
        <f>VLOOKUP($B75,'Hospitalisation Details'!A74:J2418,8,0)</f>
        <v>tier - 1</v>
      </c>
      <c r="P75" t="str">
        <f>VLOOKUP($B75,'Hospitalisation Details'!A74:J2418,7,0)</f>
        <v>tier - 2</v>
      </c>
      <c r="Q75" t="str">
        <f>VLOOKUP($B75,'Hospitalisation Details'!A74:J2418,9,0)</f>
        <v>R1011</v>
      </c>
      <c r="R75">
        <f>VLOOKUP($B75,'Hospitalisation Details'!A74:K2418,11,0)</f>
        <v>19</v>
      </c>
    </row>
    <row r="76" spans="1:18" x14ac:dyDescent="0.35">
      <c r="A76" t="s">
        <v>2298</v>
      </c>
      <c r="B76" t="s">
        <v>96</v>
      </c>
      <c r="C76" t="str">
        <f>VLOOKUP($A76,'Customer Names'!$A:$E,4,FALSE)</f>
        <v>Bethany A</v>
      </c>
      <c r="D76" t="str">
        <f>VLOOKUP($A76,'Medical Examinations'!$A:$J,2,FALSE)</f>
        <v>Obesity</v>
      </c>
      <c r="E76">
        <f>VLOOKUP($A76,'Medical Examinations'!$A:$J,4,FALSE)</f>
        <v>10.92</v>
      </c>
      <c r="F76" t="str">
        <f>VLOOKUP($A76,'Medical Examinations'!$A:$J,6,FALSE)</f>
        <v>yes</v>
      </c>
      <c r="G76" t="str">
        <f>VLOOKUP($A76,'Medical Examinations'!$A:$J,7,FALSE)</f>
        <v>No</v>
      </c>
      <c r="H76" t="str">
        <f>VLOOKUP($A76,'Medical Examinations'!$A:$J,8,FALSE)</f>
        <v>No</v>
      </c>
      <c r="I76">
        <f>VLOOKUP($A76,'Medical Examinations'!$A:$J,9,FALSE)</f>
        <v>1</v>
      </c>
      <c r="J76" t="str">
        <f>VLOOKUP($A76,'Medical Examinations'!$A:$J,10,FALSE)</f>
        <v>yes</v>
      </c>
      <c r="K76" t="str">
        <f>VLOOKUP($A76,'Medical Examinations'!$A:$J,5,FALSE)</f>
        <v>Diabetes</v>
      </c>
      <c r="L76">
        <f>VLOOKUP($A77,'Medical Examinations'!$A:$J,3,FALSE)</f>
        <v>36.19</v>
      </c>
      <c r="M76">
        <f>VLOOKUP($A76,'Hospitalisation Details'!$A:$K,6,FALSE)</f>
        <v>41681.86</v>
      </c>
      <c r="N76" s="11">
        <f>VLOOKUP($B76,'Hospitalisation Details'!A75:J2419,10,0)</f>
        <v>37879</v>
      </c>
      <c r="O76" t="str">
        <f>VLOOKUP($B76,'Hospitalisation Details'!A75:J2419,8,0)</f>
        <v>tier - 3</v>
      </c>
      <c r="P76" t="str">
        <f>VLOOKUP($B76,'Hospitalisation Details'!A75:J2419,7,0)</f>
        <v>tier - 2</v>
      </c>
      <c r="Q76" t="str">
        <f>VLOOKUP($B76,'Hospitalisation Details'!A75:J2419,9,0)</f>
        <v>R1011</v>
      </c>
      <c r="R76">
        <f>VLOOKUP($B76,'Hospitalisation Details'!A75:K2419,11,0)</f>
        <v>19</v>
      </c>
    </row>
    <row r="77" spans="1:18" x14ac:dyDescent="0.35">
      <c r="A77" t="s">
        <v>2297</v>
      </c>
      <c r="B77" t="s">
        <v>97</v>
      </c>
      <c r="C77" t="str">
        <f>VLOOKUP($A77,'Customer Names'!$A:$E,4,FALSE)</f>
        <v>Yves</v>
      </c>
      <c r="D77" t="str">
        <f>VLOOKUP($A77,'Medical Examinations'!$A:$J,2,FALSE)</f>
        <v>Obesity</v>
      </c>
      <c r="E77">
        <f>VLOOKUP($A77,'Medical Examinations'!$A:$J,4,FALSE)</f>
        <v>11.51</v>
      </c>
      <c r="F77" t="str">
        <f>VLOOKUP($A77,'Medical Examinations'!$A:$J,6,FALSE)</f>
        <v>yes</v>
      </c>
      <c r="G77" t="str">
        <f>VLOOKUP($A77,'Medical Examinations'!$A:$J,7,FALSE)</f>
        <v>No</v>
      </c>
      <c r="H77" t="str">
        <f>VLOOKUP($A77,'Medical Examinations'!$A:$J,8,FALSE)</f>
        <v>No</v>
      </c>
      <c r="I77">
        <f>VLOOKUP($A77,'Medical Examinations'!$A:$J,9,FALSE)</f>
        <v>1</v>
      </c>
      <c r="J77" t="str">
        <f>VLOOKUP($A77,'Medical Examinations'!$A:$J,10,FALSE)</f>
        <v>yes</v>
      </c>
      <c r="K77" t="str">
        <f>VLOOKUP($A77,'Medical Examinations'!$A:$J,5,FALSE)</f>
        <v>Diabetes</v>
      </c>
      <c r="L77">
        <f>VLOOKUP($A78,'Medical Examinations'!$A:$J,3,FALSE)</f>
        <v>34.6</v>
      </c>
      <c r="M77">
        <f>VLOOKUP($A77,'Hospitalisation Details'!$A:$K,6,FALSE)</f>
        <v>41676.080000000002</v>
      </c>
      <c r="N77" s="11">
        <f>VLOOKUP($B77,'Hospitalisation Details'!A76:J2420,10,0)</f>
        <v>35738</v>
      </c>
      <c r="O77" t="str">
        <f>VLOOKUP($B77,'Hospitalisation Details'!A76:J2420,8,0)</f>
        <v>tier - 2</v>
      </c>
      <c r="P77" t="str">
        <f>VLOOKUP($B77,'Hospitalisation Details'!A76:J2420,7,0)</f>
        <v>tier - 2</v>
      </c>
      <c r="Q77" t="str">
        <f>VLOOKUP($B77,'Hospitalisation Details'!A76:J2420,9,0)</f>
        <v>R1013</v>
      </c>
      <c r="R77">
        <f>VLOOKUP($B77,'Hospitalisation Details'!A76:K2420,11,0)</f>
        <v>25</v>
      </c>
    </row>
    <row r="78" spans="1:18" x14ac:dyDescent="0.35">
      <c r="A78" t="s">
        <v>2296</v>
      </c>
      <c r="B78" t="s">
        <v>98</v>
      </c>
      <c r="C78" t="str">
        <f>VLOOKUP($A78,'Customer Names'!$A:$E,4,FALSE)</f>
        <v>Danielle</v>
      </c>
      <c r="D78" t="str">
        <f>VLOOKUP($A78,'Medical Examinations'!$A:$J,2,FALSE)</f>
        <v>Obesity</v>
      </c>
      <c r="E78">
        <f>VLOOKUP($A78,'Medical Examinations'!$A:$J,4,FALSE)</f>
        <v>5.99</v>
      </c>
      <c r="F78" t="str">
        <f>VLOOKUP($A78,'Medical Examinations'!$A:$J,6,FALSE)</f>
        <v>yes</v>
      </c>
      <c r="G78" t="str">
        <f>VLOOKUP($A78,'Medical Examinations'!$A:$J,7,FALSE)</f>
        <v>No</v>
      </c>
      <c r="H78" t="str">
        <f>VLOOKUP($A78,'Medical Examinations'!$A:$J,8,FALSE)</f>
        <v>No</v>
      </c>
      <c r="I78">
        <f>VLOOKUP($A78,'Medical Examinations'!$A:$J,9,FALSE)</f>
        <v>0</v>
      </c>
      <c r="J78" t="str">
        <f>VLOOKUP($A78,'Medical Examinations'!$A:$J,10,FALSE)</f>
        <v>yes</v>
      </c>
      <c r="K78" t="str">
        <f>VLOOKUP($A78,'Medical Examinations'!$A:$J,5,FALSE)</f>
        <v>Prediabetes</v>
      </c>
      <c r="L78">
        <f>VLOOKUP($A79,'Medical Examinations'!$A:$J,3,FALSE)</f>
        <v>54.12</v>
      </c>
      <c r="M78">
        <f>VLOOKUP($A78,'Hospitalisation Details'!$A:$K,6,FALSE)</f>
        <v>41661.599999999999</v>
      </c>
      <c r="N78" s="11">
        <f>VLOOKUP($B78,'Hospitalisation Details'!A77:J2421,10,0)</f>
        <v>37965</v>
      </c>
      <c r="O78" t="str">
        <f>VLOOKUP($B78,'Hospitalisation Details'!A77:J2421,8,0)</f>
        <v>tier - 2</v>
      </c>
      <c r="P78" t="str">
        <f>VLOOKUP($B78,'Hospitalisation Details'!A77:J2421,7,0)</f>
        <v>tier - 2</v>
      </c>
      <c r="Q78" t="str">
        <f>VLOOKUP($B78,'Hospitalisation Details'!A77:J2421,9,0)</f>
        <v>R1011</v>
      </c>
      <c r="R78">
        <f>VLOOKUP($B78,'Hospitalisation Details'!A77:K2421,11,0)</f>
        <v>19</v>
      </c>
    </row>
    <row r="79" spans="1:18" x14ac:dyDescent="0.35">
      <c r="A79" t="s">
        <v>2295</v>
      </c>
      <c r="B79" t="s">
        <v>99</v>
      </c>
      <c r="C79" t="str">
        <f>VLOOKUP($A79,'Customer Names'!$A:$E,4,FALSE)</f>
        <v>Julia</v>
      </c>
      <c r="D79" t="str">
        <f>VLOOKUP($A79,'Medical Examinations'!$A:$J,2,FALSE)</f>
        <v>Obesity</v>
      </c>
      <c r="E79">
        <f>VLOOKUP($A79,'Medical Examinations'!$A:$J,4,FALSE)</f>
        <v>11.57</v>
      </c>
      <c r="F79" t="str">
        <f>VLOOKUP($A79,'Medical Examinations'!$A:$J,6,FALSE)</f>
        <v>No</v>
      </c>
      <c r="G79" t="str">
        <f>VLOOKUP($A79,'Medical Examinations'!$A:$J,7,FALSE)</f>
        <v>No</v>
      </c>
      <c r="H79" t="str">
        <f>VLOOKUP($A79,'Medical Examinations'!$A:$J,8,FALSE)</f>
        <v>No</v>
      </c>
      <c r="I79">
        <f>VLOOKUP($A79,'Medical Examinations'!$A:$J,9,FALSE)</f>
        <v>0</v>
      </c>
      <c r="J79" t="str">
        <f>VLOOKUP($A79,'Medical Examinations'!$A:$J,10,FALSE)</f>
        <v>yes</v>
      </c>
      <c r="K79" t="str">
        <f>VLOOKUP($A79,'Medical Examinations'!$A:$J,5,FALSE)</f>
        <v>Diabetes</v>
      </c>
      <c r="L79">
        <f>VLOOKUP($A80,'Medical Examinations'!$A:$J,3,FALSE)</f>
        <v>48.82</v>
      </c>
      <c r="M79">
        <f>VLOOKUP($A79,'Hospitalisation Details'!$A:$K,6,FALSE)</f>
        <v>41636.199999999997</v>
      </c>
      <c r="N79" s="11">
        <f>VLOOKUP($B79,'Hospitalisation Details'!A78:J2422,10,0)</f>
        <v>37907</v>
      </c>
      <c r="O79" t="str">
        <f>VLOOKUP($B79,'Hospitalisation Details'!A78:J2422,8,0)</f>
        <v>tier - 3</v>
      </c>
      <c r="P79" t="str">
        <f>VLOOKUP($B79,'Hospitalisation Details'!A78:J2422,7,0)</f>
        <v>tier - 2</v>
      </c>
      <c r="Q79" t="str">
        <f>VLOOKUP($B79,'Hospitalisation Details'!A78:J2422,9,0)</f>
        <v>R1011</v>
      </c>
      <c r="R79">
        <f>VLOOKUP($B79,'Hospitalisation Details'!A78:K2422,11,0)</f>
        <v>19</v>
      </c>
    </row>
    <row r="80" spans="1:18" x14ac:dyDescent="0.35">
      <c r="A80" t="s">
        <v>2294</v>
      </c>
      <c r="B80" t="s">
        <v>100</v>
      </c>
      <c r="C80" t="str">
        <f>VLOOKUP($A80,'Customer Names'!$A:$E,4,FALSE)</f>
        <v>Joshua</v>
      </c>
      <c r="D80" t="str">
        <f>VLOOKUP($A80,'Medical Examinations'!$A:$J,2,FALSE)</f>
        <v>Obesity</v>
      </c>
      <c r="E80">
        <f>VLOOKUP($A80,'Medical Examinations'!$A:$J,4,FALSE)</f>
        <v>6.67</v>
      </c>
      <c r="F80" t="str">
        <f>VLOOKUP($A80,'Medical Examinations'!$A:$J,6,FALSE)</f>
        <v>yes</v>
      </c>
      <c r="G80" t="str">
        <f>VLOOKUP($A80,'Medical Examinations'!$A:$J,7,FALSE)</f>
        <v>No</v>
      </c>
      <c r="H80" t="str">
        <f>VLOOKUP($A80,'Medical Examinations'!$A:$J,8,FALSE)</f>
        <v>No</v>
      </c>
      <c r="I80">
        <f>VLOOKUP($A80,'Medical Examinations'!$A:$J,9,FALSE)</f>
        <v>0</v>
      </c>
      <c r="J80" t="str">
        <f>VLOOKUP($A80,'Medical Examinations'!$A:$J,10,FALSE)</f>
        <v>yes</v>
      </c>
      <c r="K80" t="str">
        <f>VLOOKUP($A80,'Medical Examinations'!$A:$J,5,FALSE)</f>
        <v>Diabetes</v>
      </c>
      <c r="L80">
        <f>VLOOKUP($A81,'Medical Examinations'!$A:$J,3,FALSE)</f>
        <v>51.01</v>
      </c>
      <c r="M80">
        <f>VLOOKUP($A80,'Hospitalisation Details'!$A:$K,6,FALSE)</f>
        <v>41505.15</v>
      </c>
      <c r="N80" s="11">
        <f>VLOOKUP($B80,'Hospitalisation Details'!A79:J2423,10,0)</f>
        <v>37924</v>
      </c>
      <c r="O80" t="str">
        <f>VLOOKUP($B80,'Hospitalisation Details'!A79:J2423,8,0)</f>
        <v>tier - 3</v>
      </c>
      <c r="P80" t="str">
        <f>VLOOKUP($B80,'Hospitalisation Details'!A79:J2423,7,0)</f>
        <v>tier - 2</v>
      </c>
      <c r="Q80" t="str">
        <f>VLOOKUP($B80,'Hospitalisation Details'!A79:J2423,9,0)</f>
        <v>R1011</v>
      </c>
      <c r="R80">
        <f>VLOOKUP($B80,'Hospitalisation Details'!A79:K2423,11,0)</f>
        <v>19</v>
      </c>
    </row>
    <row r="81" spans="1:18" x14ac:dyDescent="0.35">
      <c r="A81" t="s">
        <v>2293</v>
      </c>
      <c r="B81" t="s">
        <v>101</v>
      </c>
      <c r="C81" t="str">
        <f>VLOOKUP($A81,'Customer Names'!$A:$E,4,FALSE)</f>
        <v>Jennifer</v>
      </c>
      <c r="D81" t="str">
        <f>VLOOKUP($A81,'Medical Examinations'!$A:$J,2,FALSE)</f>
        <v>Obesity</v>
      </c>
      <c r="E81">
        <f>VLOOKUP($A81,'Medical Examinations'!$A:$J,4,FALSE)</f>
        <v>9.1999999999999993</v>
      </c>
      <c r="F81" t="str">
        <f>VLOOKUP($A81,'Medical Examinations'!$A:$J,6,FALSE)</f>
        <v>No</v>
      </c>
      <c r="G81" t="str">
        <f>VLOOKUP($A81,'Medical Examinations'!$A:$J,7,FALSE)</f>
        <v>No</v>
      </c>
      <c r="H81" t="str">
        <f>VLOOKUP($A81,'Medical Examinations'!$A:$J,8,FALSE)</f>
        <v>No</v>
      </c>
      <c r="I81">
        <f>VLOOKUP($A81,'Medical Examinations'!$A:$J,9,FALSE)</f>
        <v>0</v>
      </c>
      <c r="J81" t="str">
        <f>VLOOKUP($A81,'Medical Examinations'!$A:$J,10,FALSE)</f>
        <v>yes</v>
      </c>
      <c r="K81" t="str">
        <f>VLOOKUP($A81,'Medical Examinations'!$A:$J,5,FALSE)</f>
        <v>Diabetes</v>
      </c>
      <c r="L81">
        <f>VLOOKUP($A82,'Medical Examinations'!$A:$J,3,FALSE)</f>
        <v>45.65</v>
      </c>
      <c r="M81">
        <f>VLOOKUP($A81,'Hospitalisation Details'!$A:$K,6,FALSE)</f>
        <v>41351.879999999997</v>
      </c>
      <c r="N81" s="11">
        <f>VLOOKUP($B81,'Hospitalisation Details'!A80:J2424,10,0)</f>
        <v>37848</v>
      </c>
      <c r="O81" t="str">
        <f>VLOOKUP($B81,'Hospitalisation Details'!A80:J2424,8,0)</f>
        <v>tier - 3</v>
      </c>
      <c r="P81" t="str">
        <f>VLOOKUP($B81,'Hospitalisation Details'!A80:J2424,7,0)</f>
        <v>tier - 2</v>
      </c>
      <c r="Q81" t="str">
        <f>VLOOKUP($B81,'Hospitalisation Details'!A80:J2424,9,0)</f>
        <v>R1011</v>
      </c>
      <c r="R81">
        <f>VLOOKUP($B81,'Hospitalisation Details'!A80:K2424,11,0)</f>
        <v>19</v>
      </c>
    </row>
    <row r="82" spans="1:18" x14ac:dyDescent="0.35">
      <c r="A82" t="s">
        <v>2292</v>
      </c>
      <c r="B82" t="s">
        <v>102</v>
      </c>
      <c r="C82" t="str">
        <f>VLOOKUP($A82,'Customer Names'!$A:$E,4,FALSE)</f>
        <v>Gwen M.</v>
      </c>
      <c r="D82" t="str">
        <f>VLOOKUP($A82,'Medical Examinations'!$A:$J,2,FALSE)</f>
        <v>Obesity</v>
      </c>
      <c r="E82">
        <f>VLOOKUP($A82,'Medical Examinations'!$A:$J,4,FALSE)</f>
        <v>5.1100000000000003</v>
      </c>
      <c r="F82" t="str">
        <f>VLOOKUP($A82,'Medical Examinations'!$A:$J,6,FALSE)</f>
        <v>yes</v>
      </c>
      <c r="G82" t="str">
        <f>VLOOKUP($A82,'Medical Examinations'!$A:$J,7,FALSE)</f>
        <v>No</v>
      </c>
      <c r="H82" t="str">
        <f>VLOOKUP($A82,'Medical Examinations'!$A:$J,8,FALSE)</f>
        <v>No</v>
      </c>
      <c r="I82">
        <f>VLOOKUP($A82,'Medical Examinations'!$A:$J,9,FALSE)</f>
        <v>1</v>
      </c>
      <c r="J82" t="str">
        <f>VLOOKUP($A82,'Medical Examinations'!$A:$J,10,FALSE)</f>
        <v>yes</v>
      </c>
      <c r="K82" t="str">
        <f>VLOOKUP($A82,'Medical Examinations'!$A:$J,5,FALSE)</f>
        <v>Normal</v>
      </c>
      <c r="L82">
        <f>VLOOKUP($A83,'Medical Examinations'!$A:$J,3,FALSE)</f>
        <v>52.9</v>
      </c>
      <c r="M82">
        <f>VLOOKUP($A82,'Hospitalisation Details'!$A:$K,6,FALSE)</f>
        <v>41331.79</v>
      </c>
      <c r="N82" s="11">
        <f>VLOOKUP($B82,'Hospitalisation Details'!A81:J2425,10,0)</f>
        <v>37946</v>
      </c>
      <c r="O82" t="str">
        <f>VLOOKUP($B82,'Hospitalisation Details'!A81:J2425,8,0)</f>
        <v>tier - 3</v>
      </c>
      <c r="P82" t="str">
        <f>VLOOKUP($B82,'Hospitalisation Details'!A81:J2425,7,0)</f>
        <v>tier - 2</v>
      </c>
      <c r="Q82" t="str">
        <f>VLOOKUP($B82,'Hospitalisation Details'!A81:J2425,9,0)</f>
        <v>R1011</v>
      </c>
      <c r="R82">
        <f>VLOOKUP($B82,'Hospitalisation Details'!A81:K2425,11,0)</f>
        <v>19</v>
      </c>
    </row>
    <row r="83" spans="1:18" x14ac:dyDescent="0.35">
      <c r="A83" t="s">
        <v>2291</v>
      </c>
      <c r="B83" t="s">
        <v>103</v>
      </c>
      <c r="C83" t="str">
        <f>VLOOKUP($A83,'Customer Names'!$A:$E,4,FALSE)</f>
        <v>Patrick</v>
      </c>
      <c r="D83" t="str">
        <f>VLOOKUP($A83,'Medical Examinations'!$A:$J,2,FALSE)</f>
        <v>Obesity</v>
      </c>
      <c r="E83">
        <f>VLOOKUP($A83,'Medical Examinations'!$A:$J,4,FALSE)</f>
        <v>5.34</v>
      </c>
      <c r="F83" t="str">
        <f>VLOOKUP($A83,'Medical Examinations'!$A:$J,6,FALSE)</f>
        <v>No</v>
      </c>
      <c r="G83" t="str">
        <f>VLOOKUP($A83,'Medical Examinations'!$A:$J,7,FALSE)</f>
        <v>No</v>
      </c>
      <c r="H83" t="str">
        <f>VLOOKUP($A83,'Medical Examinations'!$A:$J,8,FALSE)</f>
        <v>No</v>
      </c>
      <c r="I83">
        <f>VLOOKUP($A83,'Medical Examinations'!$A:$J,9,FALSE)</f>
        <v>0</v>
      </c>
      <c r="J83" t="str">
        <f>VLOOKUP($A83,'Medical Examinations'!$A:$J,10,FALSE)</f>
        <v>yes</v>
      </c>
      <c r="K83" t="str">
        <f>VLOOKUP($A83,'Medical Examinations'!$A:$J,5,FALSE)</f>
        <v>Normal</v>
      </c>
      <c r="L83">
        <f>VLOOKUP($A84,'Medical Examinations'!$A:$J,3,FALSE)</f>
        <v>45.41</v>
      </c>
      <c r="M83">
        <f>VLOOKUP($A83,'Hospitalisation Details'!$A:$K,6,FALSE)</f>
        <v>41271.5</v>
      </c>
      <c r="N83" s="11">
        <f>VLOOKUP($B83,'Hospitalisation Details'!A82:J2426,10,0)</f>
        <v>37594</v>
      </c>
      <c r="O83" t="str">
        <f>VLOOKUP($B83,'Hospitalisation Details'!A82:J2426,8,0)</f>
        <v>tier - 1</v>
      </c>
      <c r="P83" t="str">
        <f>VLOOKUP($B83,'Hospitalisation Details'!A82:J2426,7,0)</f>
        <v>tier - 2</v>
      </c>
      <c r="Q83" t="str">
        <f>VLOOKUP($B83,'Hospitalisation Details'!A82:J2426,9,0)</f>
        <v>R1013</v>
      </c>
      <c r="R83">
        <f>VLOOKUP($B83,'Hospitalisation Details'!A82:K2426,11,0)</f>
        <v>20</v>
      </c>
    </row>
    <row r="84" spans="1:18" x14ac:dyDescent="0.35">
      <c r="A84" t="s">
        <v>2290</v>
      </c>
      <c r="B84" t="s">
        <v>104</v>
      </c>
      <c r="C84" t="str">
        <f>VLOOKUP($A84,'Customer Names'!$A:$E,4,FALSE)</f>
        <v>Kate</v>
      </c>
      <c r="D84" t="str">
        <f>VLOOKUP($A84,'Medical Examinations'!$A:$J,2,FALSE)</f>
        <v>Obesity</v>
      </c>
      <c r="E84">
        <f>VLOOKUP($A84,'Medical Examinations'!$A:$J,4,FALSE)</f>
        <v>4.03</v>
      </c>
      <c r="F84" t="str">
        <f>VLOOKUP($A84,'Medical Examinations'!$A:$J,6,FALSE)</f>
        <v>yes</v>
      </c>
      <c r="G84" t="str">
        <f>VLOOKUP($A84,'Medical Examinations'!$A:$J,7,FALSE)</f>
        <v>No</v>
      </c>
      <c r="H84" t="str">
        <f>VLOOKUP($A84,'Medical Examinations'!$A:$J,8,FALSE)</f>
        <v>No</v>
      </c>
      <c r="I84">
        <f>VLOOKUP($A84,'Medical Examinations'!$A:$J,9,FALSE)</f>
        <v>1</v>
      </c>
      <c r="J84" t="str">
        <f>VLOOKUP($A84,'Medical Examinations'!$A:$J,10,FALSE)</f>
        <v>yes</v>
      </c>
      <c r="K84" t="str">
        <f>VLOOKUP($A84,'Medical Examinations'!$A:$J,5,FALSE)</f>
        <v>Normal</v>
      </c>
      <c r="L84">
        <f>VLOOKUP($A85,'Medical Examinations'!$A:$J,3,FALSE)</f>
        <v>49.41</v>
      </c>
      <c r="M84">
        <f>VLOOKUP($A84,'Hospitalisation Details'!$A:$K,6,FALSE)</f>
        <v>41250.39</v>
      </c>
      <c r="N84" s="11">
        <f>VLOOKUP($B84,'Hospitalisation Details'!A83:J2427,10,0)</f>
        <v>35729</v>
      </c>
      <c r="O84" t="str">
        <f>VLOOKUP($B84,'Hospitalisation Details'!A83:J2427,8,0)</f>
        <v>tier - 2</v>
      </c>
      <c r="P84" t="str">
        <f>VLOOKUP($B84,'Hospitalisation Details'!A83:J2427,7,0)</f>
        <v>tier - 2</v>
      </c>
      <c r="Q84" t="str">
        <f>VLOOKUP($B84,'Hospitalisation Details'!A83:J2427,9,0)</f>
        <v>R1012</v>
      </c>
      <c r="R84">
        <f>VLOOKUP($B84,'Hospitalisation Details'!A83:K2427,11,0)</f>
        <v>25</v>
      </c>
    </row>
    <row r="85" spans="1:18" x14ac:dyDescent="0.35">
      <c r="A85" t="s">
        <v>2289</v>
      </c>
      <c r="B85" t="s">
        <v>105</v>
      </c>
      <c r="C85" t="str">
        <f>VLOOKUP($A85,'Customer Names'!$A:$E,4,FALSE)</f>
        <v>Kevin</v>
      </c>
      <c r="D85" t="str">
        <f>VLOOKUP($A85,'Medical Examinations'!$A:$J,2,FALSE)</f>
        <v>Obesity</v>
      </c>
      <c r="E85">
        <f>VLOOKUP($A85,'Medical Examinations'!$A:$J,4,FALSE)</f>
        <v>4.2300000000000004</v>
      </c>
      <c r="F85" t="str">
        <f>VLOOKUP($A85,'Medical Examinations'!$A:$J,6,FALSE)</f>
        <v>yes</v>
      </c>
      <c r="G85" t="str">
        <f>VLOOKUP($A85,'Medical Examinations'!$A:$J,7,FALSE)</f>
        <v>No</v>
      </c>
      <c r="H85" t="str">
        <f>VLOOKUP($A85,'Medical Examinations'!$A:$J,8,FALSE)</f>
        <v>Yes</v>
      </c>
      <c r="I85">
        <f>VLOOKUP($A85,'Medical Examinations'!$A:$J,9,FALSE)</f>
        <v>1</v>
      </c>
      <c r="J85" t="str">
        <f>VLOOKUP($A85,'Medical Examinations'!$A:$J,10,FALSE)</f>
        <v>yes</v>
      </c>
      <c r="K85" t="str">
        <f>VLOOKUP($A85,'Medical Examinations'!$A:$J,5,FALSE)</f>
        <v>Normal</v>
      </c>
      <c r="L85">
        <f>VLOOKUP($A86,'Medical Examinations'!$A:$J,3,FALSE)</f>
        <v>31.824999999999999</v>
      </c>
      <c r="M85">
        <f>VLOOKUP($A85,'Hospitalisation Details'!$A:$K,6,FALSE)</f>
        <v>41191.57</v>
      </c>
      <c r="N85" s="11">
        <f>VLOOKUP($B85,'Hospitalisation Details'!A84:J2428,10,0)</f>
        <v>38260</v>
      </c>
      <c r="O85" t="str">
        <f>VLOOKUP($B85,'Hospitalisation Details'!A84:J2428,8,0)</f>
        <v>tier - 1</v>
      </c>
      <c r="P85" t="str">
        <f>VLOOKUP($B85,'Hospitalisation Details'!A84:J2428,7,0)</f>
        <v>tier - 2</v>
      </c>
      <c r="Q85" t="str">
        <f>VLOOKUP($B85,'Hospitalisation Details'!A84:J2428,9,0)</f>
        <v>R1013</v>
      </c>
      <c r="R85">
        <f>VLOOKUP($B85,'Hospitalisation Details'!A84:K2428,11,0)</f>
        <v>18</v>
      </c>
    </row>
    <row r="86" spans="1:18" x14ac:dyDescent="0.35">
      <c r="A86" t="s">
        <v>2288</v>
      </c>
      <c r="B86" t="s">
        <v>106</v>
      </c>
      <c r="C86" t="str">
        <f>VLOOKUP($A86,'Customer Names'!$A:$E,4,FALSE)</f>
        <v>Stephen II</v>
      </c>
      <c r="D86" t="str">
        <f>VLOOKUP($A86,'Medical Examinations'!$A:$J,2,FALSE)</f>
        <v>Obesity</v>
      </c>
      <c r="E86">
        <f>VLOOKUP($A86,'Medical Examinations'!$A:$J,4,FALSE)</f>
        <v>4.0599999999999996</v>
      </c>
      <c r="F86" t="str">
        <f>VLOOKUP($A86,'Medical Examinations'!$A:$J,6,FALSE)</f>
        <v>No</v>
      </c>
      <c r="G86" t="str">
        <f>VLOOKUP($A86,'Medical Examinations'!$A:$J,7,FALSE)</f>
        <v>No</v>
      </c>
      <c r="H86" t="str">
        <f>VLOOKUP($A86,'Medical Examinations'!$A:$J,8,FALSE)</f>
        <v>No</v>
      </c>
      <c r="I86">
        <f>VLOOKUP($A86,'Medical Examinations'!$A:$J,9,FALSE)</f>
        <v>2</v>
      </c>
      <c r="J86" t="str">
        <f>VLOOKUP($A86,'Medical Examinations'!$A:$J,10,FALSE)</f>
        <v>yes</v>
      </c>
      <c r="K86" t="str">
        <f>VLOOKUP($A86,'Medical Examinations'!$A:$J,5,FALSE)</f>
        <v>Normal</v>
      </c>
      <c r="L86">
        <f>VLOOKUP($A87,'Medical Examinations'!$A:$J,3,FALSE)</f>
        <v>51.28</v>
      </c>
      <c r="M86">
        <f>VLOOKUP($A86,'Hospitalisation Details'!$A:$K,6,FALSE)</f>
        <v>41097.160000000003</v>
      </c>
      <c r="N86" s="11">
        <f>VLOOKUP($B86,'Hospitalisation Details'!A85:J2429,10,0)</f>
        <v>38196</v>
      </c>
      <c r="O86" t="str">
        <f>VLOOKUP($B86,'Hospitalisation Details'!A85:J2429,8,0)</f>
        <v>tier - 3</v>
      </c>
      <c r="P86" t="str">
        <f>VLOOKUP($B86,'Hospitalisation Details'!A85:J2429,7,0)</f>
        <v>tier - 2</v>
      </c>
      <c r="Q86" t="str">
        <f>VLOOKUP($B86,'Hospitalisation Details'!A85:J2429,9,0)</f>
        <v>R1013</v>
      </c>
      <c r="R86">
        <f>VLOOKUP($B86,'Hospitalisation Details'!A85:K2429,11,0)</f>
        <v>18</v>
      </c>
    </row>
    <row r="87" spans="1:18" x14ac:dyDescent="0.35">
      <c r="A87" t="s">
        <v>2287</v>
      </c>
      <c r="B87" t="s">
        <v>107</v>
      </c>
      <c r="C87" t="str">
        <f>VLOOKUP($A87,'Customer Names'!$A:$E,4,FALSE)</f>
        <v>Philip</v>
      </c>
      <c r="D87" t="str">
        <f>VLOOKUP($A87,'Medical Examinations'!$A:$J,2,FALSE)</f>
        <v>Obesity</v>
      </c>
      <c r="E87">
        <f>VLOOKUP($A87,'Medical Examinations'!$A:$J,4,FALSE)</f>
        <v>4.68</v>
      </c>
      <c r="F87" t="str">
        <f>VLOOKUP($A87,'Medical Examinations'!$A:$J,6,FALSE)</f>
        <v>No</v>
      </c>
      <c r="G87" t="str">
        <f>VLOOKUP($A87,'Medical Examinations'!$A:$J,7,FALSE)</f>
        <v>No</v>
      </c>
      <c r="H87" t="str">
        <f>VLOOKUP($A87,'Medical Examinations'!$A:$J,8,FALSE)</f>
        <v>No</v>
      </c>
      <c r="I87">
        <f>VLOOKUP($A87,'Medical Examinations'!$A:$J,9,FALSE)</f>
        <v>2</v>
      </c>
      <c r="J87" t="str">
        <f>VLOOKUP($A87,'Medical Examinations'!$A:$J,10,FALSE)</f>
        <v>yes</v>
      </c>
      <c r="K87" t="str">
        <f>VLOOKUP($A87,'Medical Examinations'!$A:$J,5,FALSE)</f>
        <v>Normal</v>
      </c>
      <c r="L87">
        <f>VLOOKUP($A88,'Medical Examinations'!$A:$J,3,FALSE)</f>
        <v>34.96</v>
      </c>
      <c r="M87">
        <f>VLOOKUP($A87,'Hospitalisation Details'!$A:$K,6,FALSE)</f>
        <v>41055.29</v>
      </c>
      <c r="N87" s="11">
        <f>VLOOKUP($B87,'Hospitalisation Details'!A86:J2430,10,0)</f>
        <v>36703</v>
      </c>
      <c r="O87" t="str">
        <f>VLOOKUP($B87,'Hospitalisation Details'!A86:J2430,8,0)</f>
        <v>tier - 2</v>
      </c>
      <c r="P87" t="str">
        <f>VLOOKUP($B87,'Hospitalisation Details'!A86:J2430,7,0)</f>
        <v>tier - 2</v>
      </c>
      <c r="Q87" t="str">
        <f>VLOOKUP($B87,'Hospitalisation Details'!A86:J2430,9,0)</f>
        <v>R1013</v>
      </c>
      <c r="R87">
        <f>VLOOKUP($B87,'Hospitalisation Details'!A86:K2430,11,0)</f>
        <v>22</v>
      </c>
    </row>
    <row r="88" spans="1:18" x14ac:dyDescent="0.35">
      <c r="A88" t="s">
        <v>2286</v>
      </c>
      <c r="B88" t="s">
        <v>108</v>
      </c>
      <c r="C88" t="str">
        <f>VLOOKUP($A88,'Customer Names'!$A:$E,4,FALSE)</f>
        <v>Brett A</v>
      </c>
      <c r="D88" t="str">
        <f>VLOOKUP($A88,'Medical Examinations'!$A:$J,2,FALSE)</f>
        <v>Obesity</v>
      </c>
      <c r="E88">
        <f>VLOOKUP($A88,'Medical Examinations'!$A:$J,4,FALSE)</f>
        <v>4.34</v>
      </c>
      <c r="F88" t="str">
        <f>VLOOKUP($A88,'Medical Examinations'!$A:$J,6,FALSE)</f>
        <v>No</v>
      </c>
      <c r="G88" t="str">
        <f>VLOOKUP($A88,'Medical Examinations'!$A:$J,7,FALSE)</f>
        <v>No</v>
      </c>
      <c r="H88" t="str">
        <f>VLOOKUP($A88,'Medical Examinations'!$A:$J,8,FALSE)</f>
        <v>Yes</v>
      </c>
      <c r="I88">
        <f>VLOOKUP($A88,'Medical Examinations'!$A:$J,9,FALSE)</f>
        <v>1</v>
      </c>
      <c r="J88" t="str">
        <f>VLOOKUP($A88,'Medical Examinations'!$A:$J,10,FALSE)</f>
        <v>yes</v>
      </c>
      <c r="K88" t="str">
        <f>VLOOKUP($A88,'Medical Examinations'!$A:$J,5,FALSE)</f>
        <v>Normal</v>
      </c>
      <c r="L88">
        <f>VLOOKUP($A89,'Medical Examinations'!$A:$J,3,FALSE)</f>
        <v>33.11</v>
      </c>
      <c r="M88">
        <f>VLOOKUP($A88,'Hospitalisation Details'!$A:$K,6,FALSE)</f>
        <v>41034.22</v>
      </c>
      <c r="N88" s="11">
        <f>VLOOKUP($B88,'Hospitalisation Details'!A87:J2431,10,0)</f>
        <v>35950</v>
      </c>
      <c r="O88" t="str">
        <f>VLOOKUP($B88,'Hospitalisation Details'!A87:J2431,8,0)</f>
        <v>tier - 2</v>
      </c>
      <c r="P88" t="str">
        <f>VLOOKUP($B88,'Hospitalisation Details'!A87:J2431,7,0)</f>
        <v>tier - 2</v>
      </c>
      <c r="Q88" t="str">
        <f>VLOOKUP($B88,'Hospitalisation Details'!A87:J2431,9,0)</f>
        <v>R1013</v>
      </c>
      <c r="R88">
        <f>VLOOKUP($B88,'Hospitalisation Details'!A87:K2431,11,0)</f>
        <v>25</v>
      </c>
    </row>
    <row r="89" spans="1:18" x14ac:dyDescent="0.35">
      <c r="A89" t="s">
        <v>2285</v>
      </c>
      <c r="B89" t="s">
        <v>109</v>
      </c>
      <c r="C89" t="str">
        <f>VLOOKUP($A89,'Customer Names'!$A:$E,4,FALSE)</f>
        <v>Rebecca</v>
      </c>
      <c r="D89" t="str">
        <f>VLOOKUP($A89,'Medical Examinations'!$A:$J,2,FALSE)</f>
        <v>Obesity</v>
      </c>
      <c r="E89">
        <f>VLOOKUP($A89,'Medical Examinations'!$A:$J,4,FALSE)</f>
        <v>10.51</v>
      </c>
      <c r="F89" t="str">
        <f>VLOOKUP($A89,'Medical Examinations'!$A:$J,6,FALSE)</f>
        <v>No</v>
      </c>
      <c r="G89" t="str">
        <f>VLOOKUP($A89,'Medical Examinations'!$A:$J,7,FALSE)</f>
        <v>No</v>
      </c>
      <c r="H89" t="str">
        <f>VLOOKUP($A89,'Medical Examinations'!$A:$J,8,FALSE)</f>
        <v>No</v>
      </c>
      <c r="I89">
        <f>VLOOKUP($A89,'Medical Examinations'!$A:$J,9,FALSE)</f>
        <v>0</v>
      </c>
      <c r="J89" t="str">
        <f>VLOOKUP($A89,'Medical Examinations'!$A:$J,10,FALSE)</f>
        <v>yes</v>
      </c>
      <c r="K89" t="str">
        <f>VLOOKUP($A89,'Medical Examinations'!$A:$J,5,FALSE)</f>
        <v>Diabetes</v>
      </c>
      <c r="L89">
        <f>VLOOKUP($A90,'Medical Examinations'!$A:$J,3,FALSE)</f>
        <v>54.74</v>
      </c>
      <c r="M89">
        <f>VLOOKUP($A89,'Hospitalisation Details'!$A:$K,6,FALSE)</f>
        <v>40974.160000000003</v>
      </c>
      <c r="N89" s="11">
        <f>VLOOKUP($B89,'Hospitalisation Details'!A88:J2432,10,0)</f>
        <v>37224</v>
      </c>
      <c r="O89" t="str">
        <f>VLOOKUP($B89,'Hospitalisation Details'!A88:J2432,8,0)</f>
        <v>tier - 3</v>
      </c>
      <c r="P89" t="str">
        <f>VLOOKUP($B89,'Hospitalisation Details'!A88:J2432,7,0)</f>
        <v>tier - 2</v>
      </c>
      <c r="Q89" t="str">
        <f>VLOOKUP($B89,'Hospitalisation Details'!A88:J2432,9,0)</f>
        <v>R1012</v>
      </c>
      <c r="R89">
        <f>VLOOKUP($B89,'Hospitalisation Details'!A88:K2432,11,0)</f>
        <v>21</v>
      </c>
    </row>
    <row r="90" spans="1:18" x14ac:dyDescent="0.35">
      <c r="A90" t="s">
        <v>2284</v>
      </c>
      <c r="B90" t="s">
        <v>110</v>
      </c>
      <c r="C90" t="str">
        <f>VLOOKUP($A90,'Customer Names'!$A:$E,4,FALSE)</f>
        <v>Kelley</v>
      </c>
      <c r="D90" t="str">
        <f>VLOOKUP($A90,'Medical Examinations'!$A:$J,2,FALSE)</f>
        <v>Obesity</v>
      </c>
      <c r="E90">
        <f>VLOOKUP($A90,'Medical Examinations'!$A:$J,4,FALSE)</f>
        <v>5.84</v>
      </c>
      <c r="F90" t="str">
        <f>VLOOKUP($A90,'Medical Examinations'!$A:$J,6,FALSE)</f>
        <v>yes</v>
      </c>
      <c r="G90" t="str">
        <f>VLOOKUP($A90,'Medical Examinations'!$A:$J,7,FALSE)</f>
        <v>No</v>
      </c>
      <c r="H90" t="str">
        <f>VLOOKUP($A90,'Medical Examinations'!$A:$J,8,FALSE)</f>
        <v>Yes</v>
      </c>
      <c r="I90">
        <f>VLOOKUP($A90,'Medical Examinations'!$A:$J,9,FALSE)</f>
        <v>1</v>
      </c>
      <c r="J90" t="str">
        <f>VLOOKUP($A90,'Medical Examinations'!$A:$J,10,FALSE)</f>
        <v>yes</v>
      </c>
      <c r="K90" t="str">
        <f>VLOOKUP($A90,'Medical Examinations'!$A:$J,5,FALSE)</f>
        <v>Prediabetes</v>
      </c>
      <c r="L90">
        <f>VLOOKUP($A91,'Medical Examinations'!$A:$J,3,FALSE)</f>
        <v>32.56</v>
      </c>
      <c r="M90">
        <f>VLOOKUP($A90,'Hospitalisation Details'!$A:$K,6,FALSE)</f>
        <v>40961.29</v>
      </c>
      <c r="N90" s="11">
        <f>VLOOKUP($B90,'Hospitalisation Details'!A89:J2433,10,0)</f>
        <v>37600</v>
      </c>
      <c r="O90" t="str">
        <f>VLOOKUP($B90,'Hospitalisation Details'!A89:J2433,8,0)</f>
        <v>tier - 2</v>
      </c>
      <c r="P90" t="str">
        <f>VLOOKUP($B90,'Hospitalisation Details'!A89:J2433,7,0)</f>
        <v>tier - 2</v>
      </c>
      <c r="Q90" t="str">
        <f>VLOOKUP($B90,'Hospitalisation Details'!A89:J2433,9,0)</f>
        <v>R1012</v>
      </c>
      <c r="R90">
        <f>VLOOKUP($B90,'Hospitalisation Details'!A89:K2433,11,0)</f>
        <v>20</v>
      </c>
    </row>
    <row r="91" spans="1:18" x14ac:dyDescent="0.35">
      <c r="A91" t="s">
        <v>2283</v>
      </c>
      <c r="B91" t="s">
        <v>111</v>
      </c>
      <c r="C91" t="str">
        <f>VLOOKUP($A91,'Customer Names'!$A:$E,4,FALSE)</f>
        <v>Abigail K</v>
      </c>
      <c r="D91" t="str">
        <f>VLOOKUP($A91,'Medical Examinations'!$A:$J,2,FALSE)</f>
        <v>Obesity</v>
      </c>
      <c r="E91">
        <f>VLOOKUP($A91,'Medical Examinations'!$A:$J,4,FALSE)</f>
        <v>5.41</v>
      </c>
      <c r="F91" t="str">
        <f>VLOOKUP($A91,'Medical Examinations'!$A:$J,6,FALSE)</f>
        <v>No</v>
      </c>
      <c r="G91" t="str">
        <f>VLOOKUP($A91,'Medical Examinations'!$A:$J,7,FALSE)</f>
        <v>No</v>
      </c>
      <c r="H91" t="str">
        <f>VLOOKUP($A91,'Medical Examinations'!$A:$J,8,FALSE)</f>
        <v>Yes</v>
      </c>
      <c r="I91">
        <f>VLOOKUP($A91,'Medical Examinations'!$A:$J,9,FALSE)</f>
        <v>1</v>
      </c>
      <c r="J91" t="str">
        <f>VLOOKUP($A91,'Medical Examinations'!$A:$J,10,FALSE)</f>
        <v>yes</v>
      </c>
      <c r="K91" t="str">
        <f>VLOOKUP($A91,'Medical Examinations'!$A:$J,5,FALSE)</f>
        <v>Normal</v>
      </c>
      <c r="L91">
        <f>VLOOKUP($A92,'Medical Examinations'!$A:$J,3,FALSE)</f>
        <v>39.049999999999997</v>
      </c>
      <c r="M91">
        <f>VLOOKUP($A91,'Hospitalisation Details'!$A:$K,6,FALSE)</f>
        <v>40941.29</v>
      </c>
      <c r="N91" s="11">
        <f>VLOOKUP($B91,'Hospitalisation Details'!A90:J2434,10,0)</f>
        <v>36496</v>
      </c>
      <c r="O91" t="str">
        <f>VLOOKUP($B91,'Hospitalisation Details'!A90:J2434,8,0)</f>
        <v>tier - 2</v>
      </c>
      <c r="P91" t="str">
        <f>VLOOKUP($B91,'Hospitalisation Details'!A90:J2434,7,0)</f>
        <v>tier - 2</v>
      </c>
      <c r="Q91" t="str">
        <f>VLOOKUP($B91,'Hospitalisation Details'!A90:J2434,9,0)</f>
        <v>R1013</v>
      </c>
      <c r="R91">
        <f>VLOOKUP($B91,'Hospitalisation Details'!A90:K2434,11,0)</f>
        <v>23</v>
      </c>
    </row>
    <row r="92" spans="1:18" x14ac:dyDescent="0.35">
      <c r="A92" t="s">
        <v>2282</v>
      </c>
      <c r="B92" t="s">
        <v>112</v>
      </c>
      <c r="C92" t="str">
        <f>VLOOKUP($A92,'Customer Names'!$A:$E,4,FALSE)</f>
        <v>Hope</v>
      </c>
      <c r="D92" t="str">
        <f>VLOOKUP($A92,'Medical Examinations'!$A:$J,2,FALSE)</f>
        <v>Obesity</v>
      </c>
      <c r="E92">
        <f>VLOOKUP($A92,'Medical Examinations'!$A:$J,4,FALSE)</f>
        <v>6.06</v>
      </c>
      <c r="F92" t="str">
        <f>VLOOKUP($A92,'Medical Examinations'!$A:$J,6,FALSE)</f>
        <v>No</v>
      </c>
      <c r="G92" t="str">
        <f>VLOOKUP($A92,'Medical Examinations'!$A:$J,7,FALSE)</f>
        <v>No</v>
      </c>
      <c r="H92" t="str">
        <f>VLOOKUP($A92,'Medical Examinations'!$A:$J,8,FALSE)</f>
        <v>No</v>
      </c>
      <c r="I92">
        <f>VLOOKUP($A92,'Medical Examinations'!$A:$J,9,FALSE)</f>
        <v>1</v>
      </c>
      <c r="J92" t="str">
        <f>VLOOKUP($A92,'Medical Examinations'!$A:$J,10,FALSE)</f>
        <v>yes</v>
      </c>
      <c r="K92" t="str">
        <f>VLOOKUP($A92,'Medical Examinations'!$A:$J,5,FALSE)</f>
        <v>Prediabetes</v>
      </c>
      <c r="L92">
        <f>VLOOKUP($A93,'Medical Examinations'!$A:$J,3,FALSE)</f>
        <v>42.75</v>
      </c>
      <c r="M92">
        <f>VLOOKUP($A92,'Hospitalisation Details'!$A:$K,6,FALSE)</f>
        <v>40932.43</v>
      </c>
      <c r="N92" s="11">
        <f>VLOOKUP($B92,'Hospitalisation Details'!A91:J2435,10,0)</f>
        <v>37542</v>
      </c>
      <c r="O92" t="str">
        <f>VLOOKUP($B92,'Hospitalisation Details'!A91:J2435,8,0)</f>
        <v>tier - 2</v>
      </c>
      <c r="P92" t="str">
        <f>VLOOKUP($B92,'Hospitalisation Details'!A91:J2435,7,0)</f>
        <v>tier - 2</v>
      </c>
      <c r="Q92" t="str">
        <f>VLOOKUP($B92,'Hospitalisation Details'!A91:J2435,9,0)</f>
        <v>R1013</v>
      </c>
      <c r="R92">
        <f>VLOOKUP($B92,'Hospitalisation Details'!A91:K2435,11,0)</f>
        <v>20</v>
      </c>
    </row>
    <row r="93" spans="1:18" x14ac:dyDescent="0.35">
      <c r="A93" t="s">
        <v>2281</v>
      </c>
      <c r="B93" t="s">
        <v>113</v>
      </c>
      <c r="C93" t="str">
        <f>VLOOKUP($A93,'Customer Names'!$A:$E,4,FALSE)</f>
        <v>Elyse M.</v>
      </c>
      <c r="D93" t="str">
        <f>VLOOKUP($A93,'Medical Examinations'!$A:$J,2,FALSE)</f>
        <v>Obesity</v>
      </c>
      <c r="E93">
        <f>VLOOKUP($A93,'Medical Examinations'!$A:$J,4,FALSE)</f>
        <v>4.22</v>
      </c>
      <c r="F93" t="str">
        <f>VLOOKUP($A93,'Medical Examinations'!$A:$J,6,FALSE)</f>
        <v>No</v>
      </c>
      <c r="G93" t="str">
        <f>VLOOKUP($A93,'Medical Examinations'!$A:$J,7,FALSE)</f>
        <v>No</v>
      </c>
      <c r="H93" t="str">
        <f>VLOOKUP($A93,'Medical Examinations'!$A:$J,8,FALSE)</f>
        <v>No</v>
      </c>
      <c r="I93">
        <f>VLOOKUP($A93,'Medical Examinations'!$A:$J,9,FALSE)</f>
        <v>0</v>
      </c>
      <c r="J93" t="str">
        <f>VLOOKUP($A93,'Medical Examinations'!$A:$J,10,FALSE)</f>
        <v>yes</v>
      </c>
      <c r="K93" t="str">
        <f>VLOOKUP($A93,'Medical Examinations'!$A:$J,5,FALSE)</f>
        <v>Normal</v>
      </c>
      <c r="L93">
        <f>VLOOKUP($A94,'Medical Examinations'!$A:$J,3,FALSE)</f>
        <v>50.58</v>
      </c>
      <c r="M93">
        <f>VLOOKUP($A93,'Hospitalisation Details'!$A:$K,6,FALSE)</f>
        <v>40904.199999999997</v>
      </c>
      <c r="N93" s="11">
        <f>VLOOKUP($B93,'Hospitalisation Details'!A92:J2436,10,0)</f>
        <v>36447</v>
      </c>
      <c r="O93" t="str">
        <f>VLOOKUP($B93,'Hospitalisation Details'!A92:J2436,8,0)</f>
        <v>tier - 3</v>
      </c>
      <c r="P93" t="str">
        <f>VLOOKUP($B93,'Hospitalisation Details'!A92:J2436,7,0)</f>
        <v>tier - 2</v>
      </c>
      <c r="Q93" t="str">
        <f>VLOOKUP($B93,'Hospitalisation Details'!A92:J2436,9,0)</f>
        <v>R1013</v>
      </c>
      <c r="R93">
        <f>VLOOKUP($B93,'Hospitalisation Details'!A92:K2436,11,0)</f>
        <v>23</v>
      </c>
    </row>
    <row r="94" spans="1:18" x14ac:dyDescent="0.35">
      <c r="A94" t="s">
        <v>2280</v>
      </c>
      <c r="B94" t="s">
        <v>114</v>
      </c>
      <c r="C94" t="str">
        <f>VLOOKUP($A94,'Customer Names'!$A:$E,4,FALSE)</f>
        <v>Nicholas</v>
      </c>
      <c r="D94" t="str">
        <f>VLOOKUP($A94,'Medical Examinations'!$A:$J,2,FALSE)</f>
        <v>Obesity</v>
      </c>
      <c r="E94">
        <f>VLOOKUP($A94,'Medical Examinations'!$A:$J,4,FALSE)</f>
        <v>5.12</v>
      </c>
      <c r="F94" t="str">
        <f>VLOOKUP($A94,'Medical Examinations'!$A:$J,6,FALSE)</f>
        <v>No</v>
      </c>
      <c r="G94" t="str">
        <f>VLOOKUP($A94,'Medical Examinations'!$A:$J,7,FALSE)</f>
        <v>No</v>
      </c>
      <c r="H94" t="str">
        <f>VLOOKUP($A94,'Medical Examinations'!$A:$J,8,FALSE)</f>
        <v>No</v>
      </c>
      <c r="I94">
        <f>VLOOKUP($A94,'Medical Examinations'!$A:$J,9,FALSE)</f>
        <v>2</v>
      </c>
      <c r="J94" t="str">
        <f>VLOOKUP($A94,'Medical Examinations'!$A:$J,10,FALSE)</f>
        <v>yes</v>
      </c>
      <c r="K94" t="str">
        <f>VLOOKUP($A94,'Medical Examinations'!$A:$J,5,FALSE)</f>
        <v>Normal</v>
      </c>
      <c r="L94">
        <f>VLOOKUP($A95,'Medical Examinations'!$A:$J,3,FALSE)</f>
        <v>30.495000000000001</v>
      </c>
      <c r="M94">
        <f>VLOOKUP($A94,'Hospitalisation Details'!$A:$K,6,FALSE)</f>
        <v>40817.85</v>
      </c>
      <c r="N94" s="11">
        <f>VLOOKUP($B94,'Hospitalisation Details'!A93:J2437,10,0)</f>
        <v>35988</v>
      </c>
      <c r="O94" t="str">
        <f>VLOOKUP($B94,'Hospitalisation Details'!A93:J2437,8,0)</f>
        <v>tier - 3</v>
      </c>
      <c r="P94" t="str">
        <f>VLOOKUP($B94,'Hospitalisation Details'!A93:J2437,7,0)</f>
        <v>tier - 2</v>
      </c>
      <c r="Q94" t="str">
        <f>VLOOKUP($B94,'Hospitalisation Details'!A93:J2437,9,0)</f>
        <v>R1013</v>
      </c>
      <c r="R94">
        <f>VLOOKUP($B94,'Hospitalisation Details'!A93:K2437,11,0)</f>
        <v>24</v>
      </c>
    </row>
    <row r="95" spans="1:18" x14ac:dyDescent="0.35">
      <c r="A95" t="s">
        <v>2279</v>
      </c>
      <c r="B95" t="s">
        <v>115</v>
      </c>
      <c r="C95" t="str">
        <f>VLOOKUP($A95,'Customer Names'!$A:$E,4,FALSE)</f>
        <v>David</v>
      </c>
      <c r="D95" t="str">
        <f>VLOOKUP($A95,'Medical Examinations'!$A:$J,2,FALSE)</f>
        <v>Obesity</v>
      </c>
      <c r="E95">
        <f>VLOOKUP($A95,'Medical Examinations'!$A:$J,4,FALSE)</f>
        <v>4.57</v>
      </c>
      <c r="F95" t="str">
        <f>VLOOKUP($A95,'Medical Examinations'!$A:$J,6,FALSE)</f>
        <v>yes</v>
      </c>
      <c r="G95" t="str">
        <f>VLOOKUP($A95,'Medical Examinations'!$A:$J,7,FALSE)</f>
        <v>No</v>
      </c>
      <c r="H95" t="str">
        <f>VLOOKUP($A95,'Medical Examinations'!$A:$J,8,FALSE)</f>
        <v>No</v>
      </c>
      <c r="I95">
        <f>VLOOKUP($A95,'Medical Examinations'!$A:$J,9,FALSE)</f>
        <v>0</v>
      </c>
      <c r="J95" t="str">
        <f>VLOOKUP($A95,'Medical Examinations'!$A:$J,10,FALSE)</f>
        <v>yes</v>
      </c>
      <c r="K95" t="str">
        <f>VLOOKUP($A95,'Medical Examinations'!$A:$J,5,FALSE)</f>
        <v>Normal</v>
      </c>
      <c r="L95">
        <f>VLOOKUP($A96,'Medical Examinations'!$A:$J,3,FALSE)</f>
        <v>48.31</v>
      </c>
      <c r="M95">
        <f>VLOOKUP($A95,'Hospitalisation Details'!$A:$K,6,FALSE)</f>
        <v>40720.550000000003</v>
      </c>
      <c r="N95" s="11">
        <f>VLOOKUP($B95,'Hospitalisation Details'!A94:J2438,10,0)</f>
        <v>34910</v>
      </c>
      <c r="O95" t="str">
        <f>VLOOKUP($B95,'Hospitalisation Details'!A94:J2438,8,0)</f>
        <v>tier - 3</v>
      </c>
      <c r="P95" t="str">
        <f>VLOOKUP($B95,'Hospitalisation Details'!A94:J2438,7,0)</f>
        <v>tier - 2</v>
      </c>
      <c r="Q95" t="str">
        <f>VLOOKUP($B95,'Hospitalisation Details'!A94:J2438,9,0)</f>
        <v>R1012</v>
      </c>
      <c r="R95">
        <f>VLOOKUP($B95,'Hospitalisation Details'!A94:K2438,11,0)</f>
        <v>27</v>
      </c>
    </row>
    <row r="96" spans="1:18" x14ac:dyDescent="0.35">
      <c r="A96" t="s">
        <v>2278</v>
      </c>
      <c r="B96" t="s">
        <v>116</v>
      </c>
      <c r="C96" t="str">
        <f>VLOOKUP($A96,'Customer Names'!$A:$E,4,FALSE)</f>
        <v>Natalie</v>
      </c>
      <c r="D96" t="str">
        <f>VLOOKUP($A96,'Medical Examinations'!$A:$J,2,FALSE)</f>
        <v>Obesity</v>
      </c>
      <c r="E96">
        <f>VLOOKUP($A96,'Medical Examinations'!$A:$J,4,FALSE)</f>
        <v>9.58</v>
      </c>
      <c r="F96" t="str">
        <f>VLOOKUP($A96,'Medical Examinations'!$A:$J,6,FALSE)</f>
        <v>yes</v>
      </c>
      <c r="G96" t="str">
        <f>VLOOKUP($A96,'Medical Examinations'!$A:$J,7,FALSE)</f>
        <v>No</v>
      </c>
      <c r="H96" t="str">
        <f>VLOOKUP($A96,'Medical Examinations'!$A:$J,8,FALSE)</f>
        <v>No</v>
      </c>
      <c r="I96">
        <f>VLOOKUP($A96,'Medical Examinations'!$A:$J,9,FALSE)</f>
        <v>2</v>
      </c>
      <c r="J96" t="str">
        <f>VLOOKUP($A96,'Medical Examinations'!$A:$J,10,FALSE)</f>
        <v>yes</v>
      </c>
      <c r="K96" t="str">
        <f>VLOOKUP($A96,'Medical Examinations'!$A:$J,5,FALSE)</f>
        <v>Diabetes</v>
      </c>
      <c r="L96">
        <f>VLOOKUP($A97,'Medical Examinations'!$A:$J,3,FALSE)</f>
        <v>48.99</v>
      </c>
      <c r="M96">
        <f>VLOOKUP($A96,'Hospitalisation Details'!$A:$K,6,FALSE)</f>
        <v>40692.910000000003</v>
      </c>
      <c r="N96" s="11">
        <f>VLOOKUP($B96,'Hospitalisation Details'!A95:J2439,10,0)</f>
        <v>35741</v>
      </c>
      <c r="O96" t="str">
        <f>VLOOKUP($B96,'Hospitalisation Details'!A95:J2439,8,0)</f>
        <v>tier - 2</v>
      </c>
      <c r="P96" t="str">
        <f>VLOOKUP($B96,'Hospitalisation Details'!A95:J2439,7,0)</f>
        <v>tier - 2</v>
      </c>
      <c r="Q96" t="str">
        <f>VLOOKUP($B96,'Hospitalisation Details'!A95:J2439,9,0)</f>
        <v>R1012</v>
      </c>
      <c r="R96">
        <f>VLOOKUP($B96,'Hospitalisation Details'!A95:K2439,11,0)</f>
        <v>25</v>
      </c>
    </row>
    <row r="97" spans="1:18" x14ac:dyDescent="0.35">
      <c r="A97" t="s">
        <v>2277</v>
      </c>
      <c r="B97" t="s">
        <v>117</v>
      </c>
      <c r="C97" t="str">
        <f>VLOOKUP($A97,'Customer Names'!$A:$E,4,FALSE)</f>
        <v>Thomas</v>
      </c>
      <c r="D97" t="str">
        <f>VLOOKUP($A97,'Medical Examinations'!$A:$J,2,FALSE)</f>
        <v>Obesity</v>
      </c>
      <c r="E97">
        <f>VLOOKUP($A97,'Medical Examinations'!$A:$J,4,FALSE)</f>
        <v>9.7799999999999994</v>
      </c>
      <c r="F97" t="str">
        <f>VLOOKUP($A97,'Medical Examinations'!$A:$J,6,FALSE)</f>
        <v>yes</v>
      </c>
      <c r="G97" t="str">
        <f>VLOOKUP($A97,'Medical Examinations'!$A:$J,7,FALSE)</f>
        <v>No</v>
      </c>
      <c r="H97" t="str">
        <f>VLOOKUP($A97,'Medical Examinations'!$A:$J,8,FALSE)</f>
        <v>No</v>
      </c>
      <c r="I97">
        <f>VLOOKUP($A97,'Medical Examinations'!$A:$J,9,FALSE)</f>
        <v>1</v>
      </c>
      <c r="J97" t="str">
        <f>VLOOKUP($A97,'Medical Examinations'!$A:$J,10,FALSE)</f>
        <v>yes</v>
      </c>
      <c r="K97" t="str">
        <f>VLOOKUP($A97,'Medical Examinations'!$A:$J,5,FALSE)</f>
        <v>Diabetes</v>
      </c>
      <c r="L97">
        <f>VLOOKUP($A98,'Medical Examinations'!$A:$J,3,FALSE)</f>
        <v>38.39</v>
      </c>
      <c r="M97">
        <f>VLOOKUP($A97,'Hospitalisation Details'!$A:$K,6,FALSE)</f>
        <v>40590.550000000003</v>
      </c>
      <c r="N97" s="11">
        <f>VLOOKUP($B97,'Hospitalisation Details'!A96:J2440,10,0)</f>
        <v>36132</v>
      </c>
      <c r="O97" t="str">
        <f>VLOOKUP($B97,'Hospitalisation Details'!A96:J2440,8,0)</f>
        <v>tier - 1</v>
      </c>
      <c r="P97" t="str">
        <f>VLOOKUP($B97,'Hospitalisation Details'!A96:J2440,7,0)</f>
        <v>tier - 2</v>
      </c>
      <c r="Q97" t="str">
        <f>VLOOKUP($B97,'Hospitalisation Details'!A96:J2440,9,0)</f>
        <v>R1013</v>
      </c>
      <c r="R97">
        <f>VLOOKUP($B97,'Hospitalisation Details'!A96:K2440,11,0)</f>
        <v>24</v>
      </c>
    </row>
    <row r="98" spans="1:18" x14ac:dyDescent="0.35">
      <c r="A98" t="s">
        <v>2276</v>
      </c>
      <c r="B98" t="s">
        <v>118</v>
      </c>
      <c r="C98" t="str">
        <f>VLOOKUP($A98,'Customer Names'!$A:$E,4,FALSE)</f>
        <v>Pamela J.</v>
      </c>
      <c r="D98" t="str">
        <f>VLOOKUP($A98,'Medical Examinations'!$A:$J,2,FALSE)</f>
        <v>Obesity</v>
      </c>
      <c r="E98">
        <f>VLOOKUP($A98,'Medical Examinations'!$A:$J,4,FALSE)</f>
        <v>4.1100000000000003</v>
      </c>
      <c r="F98" t="str">
        <f>VLOOKUP($A98,'Medical Examinations'!$A:$J,6,FALSE)</f>
        <v>yes</v>
      </c>
      <c r="G98" t="str">
        <f>VLOOKUP($A98,'Medical Examinations'!$A:$J,7,FALSE)</f>
        <v>No</v>
      </c>
      <c r="H98" t="str">
        <f>VLOOKUP($A98,'Medical Examinations'!$A:$J,8,FALSE)</f>
        <v>No</v>
      </c>
      <c r="I98">
        <f>VLOOKUP($A98,'Medical Examinations'!$A:$J,9,FALSE)</f>
        <v>0</v>
      </c>
      <c r="J98" t="str">
        <f>VLOOKUP($A98,'Medical Examinations'!$A:$J,10,FALSE)</f>
        <v>yes</v>
      </c>
      <c r="K98" t="str">
        <f>VLOOKUP($A98,'Medical Examinations'!$A:$J,5,FALSE)</f>
        <v>Normal</v>
      </c>
      <c r="L98">
        <f>VLOOKUP($A99,'Medical Examinations'!$A:$J,3,FALSE)</f>
        <v>44.34</v>
      </c>
      <c r="M98">
        <f>VLOOKUP($A98,'Hospitalisation Details'!$A:$K,6,FALSE)</f>
        <v>40419.019999999997</v>
      </c>
      <c r="N98" s="11">
        <f>VLOOKUP($B98,'Hospitalisation Details'!A97:J2441,10,0)</f>
        <v>37483</v>
      </c>
      <c r="O98" t="str">
        <f>VLOOKUP($B98,'Hospitalisation Details'!A97:J2441,8,0)</f>
        <v>tier - 1</v>
      </c>
      <c r="P98" t="str">
        <f>VLOOKUP($B98,'Hospitalisation Details'!A97:J2441,7,0)</f>
        <v>tier - 2</v>
      </c>
      <c r="Q98" t="str">
        <f>VLOOKUP($B98,'Hospitalisation Details'!A97:J2441,9,0)</f>
        <v>R1013</v>
      </c>
      <c r="R98">
        <f>VLOOKUP($B98,'Hospitalisation Details'!A97:K2441,11,0)</f>
        <v>20</v>
      </c>
    </row>
    <row r="99" spans="1:18" x14ac:dyDescent="0.35">
      <c r="A99" t="s">
        <v>2275</v>
      </c>
      <c r="B99" t="s">
        <v>119</v>
      </c>
      <c r="C99" t="str">
        <f>VLOOKUP($A99,'Customer Names'!$A:$E,4,FALSE)</f>
        <v>Jessica</v>
      </c>
      <c r="D99" t="str">
        <f>VLOOKUP($A99,'Medical Examinations'!$A:$J,2,FALSE)</f>
        <v>Obesity</v>
      </c>
      <c r="E99">
        <f>VLOOKUP($A99,'Medical Examinations'!$A:$J,4,FALSE)</f>
        <v>4.0199999999999996</v>
      </c>
      <c r="F99" t="str">
        <f>VLOOKUP($A99,'Medical Examinations'!$A:$J,6,FALSE)</f>
        <v>yes</v>
      </c>
      <c r="G99" t="str">
        <f>VLOOKUP($A99,'Medical Examinations'!$A:$J,7,FALSE)</f>
        <v>No</v>
      </c>
      <c r="H99" t="str">
        <f>VLOOKUP($A99,'Medical Examinations'!$A:$J,8,FALSE)</f>
        <v>No</v>
      </c>
      <c r="I99">
        <f>VLOOKUP($A99,'Medical Examinations'!$A:$J,9,FALSE)</f>
        <v>2</v>
      </c>
      <c r="J99" t="str">
        <f>VLOOKUP($A99,'Medical Examinations'!$A:$J,10,FALSE)</f>
        <v>yes</v>
      </c>
      <c r="K99" t="str">
        <f>VLOOKUP($A99,'Medical Examinations'!$A:$J,5,FALSE)</f>
        <v>Normal</v>
      </c>
      <c r="L99">
        <f>VLOOKUP($A100,'Medical Examinations'!$A:$J,3,FALSE)</f>
        <v>41.51</v>
      </c>
      <c r="M99">
        <f>VLOOKUP($A99,'Hospitalisation Details'!$A:$K,6,FALSE)</f>
        <v>40373.74</v>
      </c>
      <c r="N99" s="11">
        <f>VLOOKUP($B99,'Hospitalisation Details'!A98:J2442,10,0)</f>
        <v>36347</v>
      </c>
      <c r="O99" t="str">
        <f>VLOOKUP($B99,'Hospitalisation Details'!A98:J2442,8,0)</f>
        <v>tier - 2</v>
      </c>
      <c r="P99" t="str">
        <f>VLOOKUP($B99,'Hospitalisation Details'!A98:J2442,7,0)</f>
        <v>tier - 2</v>
      </c>
      <c r="Q99" t="str">
        <f>VLOOKUP($B99,'Hospitalisation Details'!A98:J2442,9,0)</f>
        <v>R1013</v>
      </c>
      <c r="R99">
        <f>VLOOKUP($B99,'Hospitalisation Details'!A98:K2442,11,0)</f>
        <v>23</v>
      </c>
    </row>
    <row r="100" spans="1:18" x14ac:dyDescent="0.35">
      <c r="A100" t="s">
        <v>2274</v>
      </c>
      <c r="B100" t="s">
        <v>120</v>
      </c>
      <c r="C100" t="str">
        <f>VLOOKUP($A100,'Customer Names'!$A:$E,4,FALSE)</f>
        <v>Ron N</v>
      </c>
      <c r="D100" t="str">
        <f>VLOOKUP($A100,'Medical Examinations'!$A:$J,2,FALSE)</f>
        <v>Obesity</v>
      </c>
      <c r="E100">
        <f>VLOOKUP($A100,'Medical Examinations'!$A:$J,4,FALSE)</f>
        <v>6.92</v>
      </c>
      <c r="F100" t="str">
        <f>VLOOKUP($A100,'Medical Examinations'!$A:$J,6,FALSE)</f>
        <v>No</v>
      </c>
      <c r="G100" t="str">
        <f>VLOOKUP($A100,'Medical Examinations'!$A:$J,7,FALSE)</f>
        <v>No</v>
      </c>
      <c r="H100" t="str">
        <f>VLOOKUP($A100,'Medical Examinations'!$A:$J,8,FALSE)</f>
        <v>No</v>
      </c>
      <c r="I100">
        <f>VLOOKUP($A100,'Medical Examinations'!$A:$J,9,FALSE)</f>
        <v>0</v>
      </c>
      <c r="J100" t="str">
        <f>VLOOKUP($A100,'Medical Examinations'!$A:$J,10,FALSE)</f>
        <v>yes</v>
      </c>
      <c r="K100" t="str">
        <f>VLOOKUP($A100,'Medical Examinations'!$A:$J,5,FALSE)</f>
        <v>Diabetes</v>
      </c>
      <c r="L100">
        <f>VLOOKUP($A101,'Medical Examinations'!$A:$J,3,FALSE)</f>
        <v>48.2</v>
      </c>
      <c r="M100">
        <f>VLOOKUP($A100,'Hospitalisation Details'!$A:$K,6,FALSE)</f>
        <v>40309.93</v>
      </c>
      <c r="N100" s="11">
        <f>VLOOKUP($B100,'Hospitalisation Details'!A99:J2443,10,0)</f>
        <v>37574</v>
      </c>
      <c r="O100" t="str">
        <f>VLOOKUP($B100,'Hospitalisation Details'!A99:J2443,8,0)</f>
        <v>tier - 2</v>
      </c>
      <c r="P100" t="str">
        <f>VLOOKUP($B100,'Hospitalisation Details'!A99:J2443,7,0)</f>
        <v>tier - 2</v>
      </c>
      <c r="Q100" t="str">
        <f>VLOOKUP($B100,'Hospitalisation Details'!A99:J2443,9,0)</f>
        <v>R1013</v>
      </c>
      <c r="R100">
        <f>VLOOKUP($B100,'Hospitalisation Details'!A99:K2443,11,0)</f>
        <v>20</v>
      </c>
    </row>
    <row r="101" spans="1:18" x14ac:dyDescent="0.35">
      <c r="A101" t="s">
        <v>2273</v>
      </c>
      <c r="B101" t="s">
        <v>121</v>
      </c>
      <c r="C101" t="str">
        <f>VLOOKUP($A101,'Customer Names'!$A:$E,4,FALSE)</f>
        <v>Daniel</v>
      </c>
      <c r="D101" t="str">
        <f>VLOOKUP($A101,'Medical Examinations'!$A:$J,2,FALSE)</f>
        <v>Obesity</v>
      </c>
      <c r="E101">
        <f>VLOOKUP($A101,'Medical Examinations'!$A:$J,4,FALSE)</f>
        <v>4.84</v>
      </c>
      <c r="F101" t="str">
        <f>VLOOKUP($A101,'Medical Examinations'!$A:$J,6,FALSE)</f>
        <v>No</v>
      </c>
      <c r="G101" t="str">
        <f>VLOOKUP($A101,'Medical Examinations'!$A:$J,7,FALSE)</f>
        <v>No</v>
      </c>
      <c r="H101" t="str">
        <f>VLOOKUP($A101,'Medical Examinations'!$A:$J,8,FALSE)</f>
        <v>No</v>
      </c>
      <c r="I101">
        <f>VLOOKUP($A101,'Medical Examinations'!$A:$J,9,FALSE)</f>
        <v>0</v>
      </c>
      <c r="J101" t="str">
        <f>VLOOKUP($A101,'Medical Examinations'!$A:$J,10,FALSE)</f>
        <v>yes</v>
      </c>
      <c r="K101" t="str">
        <f>VLOOKUP($A101,'Medical Examinations'!$A:$J,5,FALSE)</f>
        <v>Normal</v>
      </c>
      <c r="L101">
        <f>VLOOKUP($A102,'Medical Examinations'!$A:$J,3,FALSE)</f>
        <v>35.75</v>
      </c>
      <c r="M101">
        <f>VLOOKUP($A101,'Hospitalisation Details'!$A:$K,6,FALSE)</f>
        <v>40284.379999999997</v>
      </c>
      <c r="N101" s="11">
        <f>VLOOKUP($B101,'Hospitalisation Details'!A100:J2444,10,0)</f>
        <v>37612</v>
      </c>
      <c r="O101" t="str">
        <f>VLOOKUP($B101,'Hospitalisation Details'!A100:J2444,8,0)</f>
        <v>tier - 1</v>
      </c>
      <c r="P101" t="str">
        <f>VLOOKUP($B101,'Hospitalisation Details'!A100:J2444,7,0)</f>
        <v>tier - 2</v>
      </c>
      <c r="Q101" t="str">
        <f>VLOOKUP($B101,'Hospitalisation Details'!A100:J2444,9,0)</f>
        <v>R1013</v>
      </c>
      <c r="R101">
        <f>VLOOKUP($B101,'Hospitalisation Details'!A100:K2444,11,0)</f>
        <v>20</v>
      </c>
    </row>
    <row r="102" spans="1:18" x14ac:dyDescent="0.35">
      <c r="A102" t="s">
        <v>2272</v>
      </c>
      <c r="B102" t="s">
        <v>122</v>
      </c>
      <c r="C102" t="str">
        <f>VLOOKUP($A102,'Customer Names'!$A:$E,4,FALSE)</f>
        <v>Brian</v>
      </c>
      <c r="D102" t="str">
        <f>VLOOKUP($A102,'Medical Examinations'!$A:$J,2,FALSE)</f>
        <v>Obesity</v>
      </c>
      <c r="E102">
        <f>VLOOKUP($A102,'Medical Examinations'!$A:$J,4,FALSE)</f>
        <v>8</v>
      </c>
      <c r="F102" t="str">
        <f>VLOOKUP($A102,'Medical Examinations'!$A:$J,6,FALSE)</f>
        <v>yes</v>
      </c>
      <c r="G102" t="str">
        <f>VLOOKUP($A102,'Medical Examinations'!$A:$J,7,FALSE)</f>
        <v>No</v>
      </c>
      <c r="H102" t="str">
        <f>VLOOKUP($A102,'Medical Examinations'!$A:$J,8,FALSE)</f>
        <v>No</v>
      </c>
      <c r="I102">
        <f>VLOOKUP($A102,'Medical Examinations'!$A:$J,9,FALSE)</f>
        <v>0</v>
      </c>
      <c r="J102" t="str">
        <f>VLOOKUP($A102,'Medical Examinations'!$A:$J,10,FALSE)</f>
        <v>yes</v>
      </c>
      <c r="K102" t="str">
        <f>VLOOKUP($A102,'Medical Examinations'!$A:$J,5,FALSE)</f>
        <v>Diabetes</v>
      </c>
      <c r="L102">
        <f>VLOOKUP($A103,'Medical Examinations'!$A:$J,3,FALSE)</f>
        <v>53.81</v>
      </c>
      <c r="M102">
        <f>VLOOKUP($A102,'Hospitalisation Details'!$A:$K,6,FALSE)</f>
        <v>40273.65</v>
      </c>
      <c r="N102" s="11">
        <f>VLOOKUP($B102,'Hospitalisation Details'!A101:J2445,10,0)</f>
        <v>36043</v>
      </c>
      <c r="O102" t="str">
        <f>VLOOKUP($B102,'Hospitalisation Details'!A101:J2445,8,0)</f>
        <v>tier - 2</v>
      </c>
      <c r="P102" t="str">
        <f>VLOOKUP($B102,'Hospitalisation Details'!A101:J2445,7,0)</f>
        <v>tier - 2</v>
      </c>
      <c r="Q102" t="str">
        <f>VLOOKUP($B102,'Hospitalisation Details'!A101:J2445,9,0)</f>
        <v>R1013</v>
      </c>
      <c r="R102">
        <f>VLOOKUP($B102,'Hospitalisation Details'!A101:K2445,11,0)</f>
        <v>24</v>
      </c>
    </row>
    <row r="103" spans="1:18" x14ac:dyDescent="0.35">
      <c r="A103" t="s">
        <v>2271</v>
      </c>
      <c r="B103" t="s">
        <v>123</v>
      </c>
      <c r="C103" t="str">
        <f>VLOOKUP($A103,'Customer Names'!$A:$E,4,FALSE)</f>
        <v>Sari</v>
      </c>
      <c r="D103" t="str">
        <f>VLOOKUP($A103,'Medical Examinations'!$A:$J,2,FALSE)</f>
        <v>Obesity</v>
      </c>
      <c r="E103">
        <f>VLOOKUP($A103,'Medical Examinations'!$A:$J,4,FALSE)</f>
        <v>8.77</v>
      </c>
      <c r="F103" t="str">
        <f>VLOOKUP($A103,'Medical Examinations'!$A:$J,6,FALSE)</f>
        <v>yes</v>
      </c>
      <c r="G103" t="str">
        <f>VLOOKUP($A103,'Medical Examinations'!$A:$J,7,FALSE)</f>
        <v>No</v>
      </c>
      <c r="H103" t="str">
        <f>VLOOKUP($A103,'Medical Examinations'!$A:$J,8,FALSE)</f>
        <v>No</v>
      </c>
      <c r="I103">
        <f>VLOOKUP($A103,'Medical Examinations'!$A:$J,9,FALSE)</f>
        <v>0</v>
      </c>
      <c r="J103" t="str">
        <f>VLOOKUP($A103,'Medical Examinations'!$A:$J,10,FALSE)</f>
        <v>yes</v>
      </c>
      <c r="K103" t="str">
        <f>VLOOKUP($A103,'Medical Examinations'!$A:$J,5,FALSE)</f>
        <v>Diabetes</v>
      </c>
      <c r="L103">
        <f>VLOOKUP($A104,'Medical Examinations'!$A:$J,3,FALSE)</f>
        <v>49.48</v>
      </c>
      <c r="M103">
        <f>VLOOKUP($A103,'Hospitalisation Details'!$A:$K,6,FALSE)</f>
        <v>40208.559999999998</v>
      </c>
      <c r="N103" s="11">
        <f>VLOOKUP($B103,'Hospitalisation Details'!A102:J2446,10,0)</f>
        <v>35730</v>
      </c>
      <c r="O103" t="str">
        <f>VLOOKUP($B103,'Hospitalisation Details'!A102:J2446,8,0)</f>
        <v>tier - 3</v>
      </c>
      <c r="P103" t="str">
        <f>VLOOKUP($B103,'Hospitalisation Details'!A102:J2446,7,0)</f>
        <v>tier - 2</v>
      </c>
      <c r="Q103" t="str">
        <f>VLOOKUP($B103,'Hospitalisation Details'!A102:J2446,9,0)</f>
        <v>R1011</v>
      </c>
      <c r="R103">
        <f>VLOOKUP($B103,'Hospitalisation Details'!A102:K2446,11,0)</f>
        <v>25</v>
      </c>
    </row>
    <row r="104" spans="1:18" x14ac:dyDescent="0.35">
      <c r="A104" t="s">
        <v>2270</v>
      </c>
      <c r="B104" t="s">
        <v>124</v>
      </c>
      <c r="C104" t="str">
        <f>VLOOKUP($A104,'Customer Names'!$A:$E,4,FALSE)</f>
        <v>Robert M.</v>
      </c>
      <c r="D104" t="str">
        <f>VLOOKUP($A104,'Medical Examinations'!$A:$J,2,FALSE)</f>
        <v>Obesity</v>
      </c>
      <c r="E104">
        <f>VLOOKUP($A104,'Medical Examinations'!$A:$J,4,FALSE)</f>
        <v>4.96</v>
      </c>
      <c r="F104" t="str">
        <f>VLOOKUP($A104,'Medical Examinations'!$A:$J,6,FALSE)</f>
        <v>No</v>
      </c>
      <c r="G104" t="str">
        <f>VLOOKUP($A104,'Medical Examinations'!$A:$J,7,FALSE)</f>
        <v>No</v>
      </c>
      <c r="H104" t="str">
        <f>VLOOKUP($A104,'Medical Examinations'!$A:$J,8,FALSE)</f>
        <v>Yes</v>
      </c>
      <c r="I104">
        <f>VLOOKUP($A104,'Medical Examinations'!$A:$J,9,FALSE)</f>
        <v>1</v>
      </c>
      <c r="J104" t="str">
        <f>VLOOKUP($A104,'Medical Examinations'!$A:$J,10,FALSE)</f>
        <v>yes</v>
      </c>
      <c r="K104" t="str">
        <f>VLOOKUP($A104,'Medical Examinations'!$A:$J,5,FALSE)</f>
        <v>Normal</v>
      </c>
      <c r="L104">
        <f>VLOOKUP($A105,'Medical Examinations'!$A:$J,3,FALSE)</f>
        <v>34.1</v>
      </c>
      <c r="M104">
        <f>VLOOKUP($A104,'Hospitalisation Details'!$A:$K,6,FALSE)</f>
        <v>40204.83</v>
      </c>
      <c r="N104" s="11">
        <f>VLOOKUP($B104,'Hospitalisation Details'!A103:J2447,10,0)</f>
        <v>35239</v>
      </c>
      <c r="O104" t="str">
        <f>VLOOKUP($B104,'Hospitalisation Details'!A103:J2447,8,0)</f>
        <v>tier - 3</v>
      </c>
      <c r="P104" t="str">
        <f>VLOOKUP($B104,'Hospitalisation Details'!A103:J2447,7,0)</f>
        <v>tier - 2</v>
      </c>
      <c r="Q104" t="str">
        <f>VLOOKUP($B104,'Hospitalisation Details'!A103:J2447,9,0)</f>
        <v>R1013</v>
      </c>
      <c r="R104">
        <f>VLOOKUP($B104,'Hospitalisation Details'!A103:K2447,11,0)</f>
        <v>26</v>
      </c>
    </row>
    <row r="105" spans="1:18" x14ac:dyDescent="0.35">
      <c r="A105" t="s">
        <v>2269</v>
      </c>
      <c r="B105" t="s">
        <v>125</v>
      </c>
      <c r="C105" t="str">
        <f>VLOOKUP($A105,'Customer Names'!$A:$E,4,FALSE)</f>
        <v>Ricardo</v>
      </c>
      <c r="D105" t="str">
        <f>VLOOKUP($A105,'Medical Examinations'!$A:$J,2,FALSE)</f>
        <v>Obesity</v>
      </c>
      <c r="E105">
        <f>VLOOKUP($A105,'Medical Examinations'!$A:$J,4,FALSE)</f>
        <v>4.43</v>
      </c>
      <c r="F105" t="str">
        <f>VLOOKUP($A105,'Medical Examinations'!$A:$J,6,FALSE)</f>
        <v>yes</v>
      </c>
      <c r="G105" t="str">
        <f>VLOOKUP($A105,'Medical Examinations'!$A:$J,7,FALSE)</f>
        <v>No</v>
      </c>
      <c r="H105" t="str">
        <f>VLOOKUP($A105,'Medical Examinations'!$A:$J,8,FALSE)</f>
        <v>No</v>
      </c>
      <c r="I105">
        <f>VLOOKUP($A105,'Medical Examinations'!$A:$J,9,FALSE)</f>
        <v>0</v>
      </c>
      <c r="J105" t="str">
        <f>VLOOKUP($A105,'Medical Examinations'!$A:$J,10,FALSE)</f>
        <v>yes</v>
      </c>
      <c r="K105" t="str">
        <f>VLOOKUP($A105,'Medical Examinations'!$A:$J,5,FALSE)</f>
        <v>Normal</v>
      </c>
      <c r="L105">
        <f>VLOOKUP($A106,'Medical Examinations'!$A:$J,3,FALSE)</f>
        <v>35.299999999999997</v>
      </c>
      <c r="M105">
        <f>VLOOKUP($A105,'Hospitalisation Details'!$A:$K,6,FALSE)</f>
        <v>40182.25</v>
      </c>
      <c r="N105" s="11">
        <f>VLOOKUP($B105,'Hospitalisation Details'!A104:J2448,10,0)</f>
        <v>37126</v>
      </c>
      <c r="O105" t="str">
        <f>VLOOKUP($B105,'Hospitalisation Details'!A104:J2448,8,0)</f>
        <v>tier - 2</v>
      </c>
      <c r="P105" t="str">
        <f>VLOOKUP($B105,'Hospitalisation Details'!A104:J2448,7,0)</f>
        <v>tier - 2</v>
      </c>
      <c r="Q105" t="str">
        <f>VLOOKUP($B105,'Hospitalisation Details'!A104:J2448,9,0)</f>
        <v>R1013</v>
      </c>
      <c r="R105">
        <f>VLOOKUP($B105,'Hospitalisation Details'!A104:K2448,11,0)</f>
        <v>21</v>
      </c>
    </row>
    <row r="106" spans="1:18" x14ac:dyDescent="0.35">
      <c r="A106" t="s">
        <v>2268</v>
      </c>
      <c r="B106" t="s">
        <v>126</v>
      </c>
      <c r="C106" t="str">
        <f>VLOOKUP($A106,'Customer Names'!$A:$E,4,FALSE)</f>
        <v>Gedion</v>
      </c>
      <c r="D106" t="str">
        <f>VLOOKUP($A106,'Medical Examinations'!$A:$J,2,FALSE)</f>
        <v>Obesity</v>
      </c>
      <c r="E106">
        <f>VLOOKUP($A106,'Medical Examinations'!$A:$J,4,FALSE)</f>
        <v>5.82</v>
      </c>
      <c r="F106" t="str">
        <f>VLOOKUP($A106,'Medical Examinations'!$A:$J,6,FALSE)</f>
        <v>yes</v>
      </c>
      <c r="G106" t="str">
        <f>VLOOKUP($A106,'Medical Examinations'!$A:$J,7,FALSE)</f>
        <v>No</v>
      </c>
      <c r="H106" t="str">
        <f>VLOOKUP($A106,'Medical Examinations'!$A:$J,8,FALSE)</f>
        <v>Yes</v>
      </c>
      <c r="I106">
        <f>VLOOKUP($A106,'Medical Examinations'!$A:$J,9,FALSE)</f>
        <v>1</v>
      </c>
      <c r="J106" t="str">
        <f>VLOOKUP($A106,'Medical Examinations'!$A:$J,10,FALSE)</f>
        <v>yes</v>
      </c>
      <c r="K106" t="str">
        <f>VLOOKUP($A106,'Medical Examinations'!$A:$J,5,FALSE)</f>
        <v>Prediabetes</v>
      </c>
      <c r="L106">
        <f>VLOOKUP($A107,'Medical Examinations'!$A:$J,3,FALSE)</f>
        <v>43.83</v>
      </c>
      <c r="M106">
        <f>VLOOKUP($A106,'Hospitalisation Details'!$A:$K,6,FALSE)</f>
        <v>40103.89</v>
      </c>
      <c r="N106" s="11">
        <f>VLOOKUP($B106,'Hospitalisation Details'!A105:J2449,10,0)</f>
        <v>35769</v>
      </c>
      <c r="O106" t="str">
        <f>VLOOKUP($B106,'Hospitalisation Details'!A105:J2449,8,0)</f>
        <v>tier - 2</v>
      </c>
      <c r="P106" t="str">
        <f>VLOOKUP($B106,'Hospitalisation Details'!A105:J2449,7,0)</f>
        <v>tier - 2</v>
      </c>
      <c r="Q106" t="str">
        <f>VLOOKUP($B106,'Hospitalisation Details'!A105:J2449,9,0)</f>
        <v>R1013</v>
      </c>
      <c r="R106">
        <f>VLOOKUP($B106,'Hospitalisation Details'!A105:K2449,11,0)</f>
        <v>25</v>
      </c>
    </row>
    <row r="107" spans="1:18" x14ac:dyDescent="0.35">
      <c r="A107" t="s">
        <v>2267</v>
      </c>
      <c r="B107" t="s">
        <v>127</v>
      </c>
      <c r="C107" t="str">
        <f>VLOOKUP($A107,'Customer Names'!$A:$E,4,FALSE)</f>
        <v>Mark</v>
      </c>
      <c r="D107" t="str">
        <f>VLOOKUP($A107,'Medical Examinations'!$A:$J,2,FALSE)</f>
        <v>Obesity</v>
      </c>
      <c r="E107">
        <f>VLOOKUP($A107,'Medical Examinations'!$A:$J,4,FALSE)</f>
        <v>6.03</v>
      </c>
      <c r="F107" t="str">
        <f>VLOOKUP($A107,'Medical Examinations'!$A:$J,6,FALSE)</f>
        <v>yes</v>
      </c>
      <c r="G107" t="str">
        <f>VLOOKUP($A107,'Medical Examinations'!$A:$J,7,FALSE)</f>
        <v>No</v>
      </c>
      <c r="H107" t="str">
        <f>VLOOKUP($A107,'Medical Examinations'!$A:$J,8,FALSE)</f>
        <v>No</v>
      </c>
      <c r="I107">
        <f>VLOOKUP($A107,'Medical Examinations'!$A:$J,9,FALSE)</f>
        <v>2</v>
      </c>
      <c r="J107" t="str">
        <f>VLOOKUP($A107,'Medical Examinations'!$A:$J,10,FALSE)</f>
        <v>yes</v>
      </c>
      <c r="K107" t="str">
        <f>VLOOKUP($A107,'Medical Examinations'!$A:$J,5,FALSE)</f>
        <v>Prediabetes</v>
      </c>
      <c r="L107">
        <f>VLOOKUP($A108,'Medical Examinations'!$A:$J,3,FALSE)</f>
        <v>50.07</v>
      </c>
      <c r="M107">
        <f>VLOOKUP($A107,'Hospitalisation Details'!$A:$K,6,FALSE)</f>
        <v>40069.440000000002</v>
      </c>
      <c r="N107" s="11">
        <f>VLOOKUP($B107,'Hospitalisation Details'!A106:J2450,10,0)</f>
        <v>36770</v>
      </c>
      <c r="O107" t="str">
        <f>VLOOKUP($B107,'Hospitalisation Details'!A106:J2450,8,0)</f>
        <v>tier - 2</v>
      </c>
      <c r="P107" t="str">
        <f>VLOOKUP($B107,'Hospitalisation Details'!A106:J2450,7,0)</f>
        <v>tier - 2</v>
      </c>
      <c r="Q107" t="str">
        <f>VLOOKUP($B107,'Hospitalisation Details'!A106:J2450,9,0)</f>
        <v>R1013</v>
      </c>
      <c r="R107">
        <f>VLOOKUP($B107,'Hospitalisation Details'!A106:K2450,11,0)</f>
        <v>22</v>
      </c>
    </row>
    <row r="108" spans="1:18" x14ac:dyDescent="0.35">
      <c r="A108" t="s">
        <v>2266</v>
      </c>
      <c r="B108" t="s">
        <v>128</v>
      </c>
      <c r="C108" t="str">
        <f>VLOOKUP($A108,'Customer Names'!$A:$E,4,FALSE)</f>
        <v>Gamini P.</v>
      </c>
      <c r="D108" t="str">
        <f>VLOOKUP($A108,'Medical Examinations'!$A:$J,2,FALSE)</f>
        <v>Obesity</v>
      </c>
      <c r="E108">
        <f>VLOOKUP($A108,'Medical Examinations'!$A:$J,4,FALSE)</f>
        <v>9.27</v>
      </c>
      <c r="F108" t="str">
        <f>VLOOKUP($A108,'Medical Examinations'!$A:$J,6,FALSE)</f>
        <v>No</v>
      </c>
      <c r="G108" t="str">
        <f>VLOOKUP($A108,'Medical Examinations'!$A:$J,7,FALSE)</f>
        <v>No</v>
      </c>
      <c r="H108" t="str">
        <f>VLOOKUP($A108,'Medical Examinations'!$A:$J,8,FALSE)</f>
        <v>No</v>
      </c>
      <c r="I108">
        <f>VLOOKUP($A108,'Medical Examinations'!$A:$J,9,FALSE)</f>
        <v>0</v>
      </c>
      <c r="J108" t="str">
        <f>VLOOKUP($A108,'Medical Examinations'!$A:$J,10,FALSE)</f>
        <v>yes</v>
      </c>
      <c r="K108" t="str">
        <f>VLOOKUP($A108,'Medical Examinations'!$A:$J,5,FALSE)</f>
        <v>Diabetes</v>
      </c>
      <c r="L108">
        <f>VLOOKUP($A109,'Medical Examinations'!$A:$J,3,FALSE)</f>
        <v>32.774999999999999</v>
      </c>
      <c r="M108">
        <f>VLOOKUP($A108,'Hospitalisation Details'!$A:$K,6,FALSE)</f>
        <v>40054.730000000003</v>
      </c>
      <c r="N108" s="11">
        <f>VLOOKUP($B108,'Hospitalisation Details'!A107:J2451,10,0)</f>
        <v>35600</v>
      </c>
      <c r="O108" t="str">
        <f>VLOOKUP($B108,'Hospitalisation Details'!A107:J2451,8,0)</f>
        <v>tier - 1</v>
      </c>
      <c r="P108" t="str">
        <f>VLOOKUP($B108,'Hospitalisation Details'!A107:J2451,7,0)</f>
        <v>tier - 2</v>
      </c>
      <c r="Q108" t="str">
        <f>VLOOKUP($B108,'Hospitalisation Details'!A107:J2451,9,0)</f>
        <v>R1013</v>
      </c>
      <c r="R108">
        <f>VLOOKUP($B108,'Hospitalisation Details'!A107:K2451,11,0)</f>
        <v>25</v>
      </c>
    </row>
    <row r="109" spans="1:18" x14ac:dyDescent="0.35">
      <c r="A109" t="s">
        <v>2265</v>
      </c>
      <c r="B109" t="s">
        <v>129</v>
      </c>
      <c r="C109" t="str">
        <f>VLOOKUP($A109,'Customer Names'!$A:$E,4,FALSE)</f>
        <v>Emily J</v>
      </c>
      <c r="D109" t="str">
        <f>VLOOKUP($A109,'Medical Examinations'!$A:$J,2,FALSE)</f>
        <v>Obesity</v>
      </c>
      <c r="E109">
        <f>VLOOKUP($A109,'Medical Examinations'!$A:$J,4,FALSE)</f>
        <v>5.53</v>
      </c>
      <c r="F109" t="str">
        <f>VLOOKUP($A109,'Medical Examinations'!$A:$J,6,FALSE)</f>
        <v>No</v>
      </c>
      <c r="G109" t="str">
        <f>VLOOKUP($A109,'Medical Examinations'!$A:$J,7,FALSE)</f>
        <v>No</v>
      </c>
      <c r="H109" t="str">
        <f>VLOOKUP($A109,'Medical Examinations'!$A:$J,8,FALSE)</f>
        <v>No</v>
      </c>
      <c r="I109">
        <f>VLOOKUP($A109,'Medical Examinations'!$A:$J,9,FALSE)</f>
        <v>0</v>
      </c>
      <c r="J109" t="str">
        <f>VLOOKUP($A109,'Medical Examinations'!$A:$J,10,FALSE)</f>
        <v>yes</v>
      </c>
      <c r="K109" t="str">
        <f>VLOOKUP($A109,'Medical Examinations'!$A:$J,5,FALSE)</f>
        <v>Normal</v>
      </c>
      <c r="L109">
        <f>VLOOKUP($A110,'Medical Examinations'!$A:$J,3,FALSE)</f>
        <v>34.104999999999997</v>
      </c>
      <c r="M109">
        <f>VLOOKUP($A109,'Hospitalisation Details'!$A:$K,6,FALSE)</f>
        <v>40003.33</v>
      </c>
      <c r="N109" s="11">
        <f>VLOOKUP($B109,'Hospitalisation Details'!A108:J2452,10,0)</f>
        <v>37792</v>
      </c>
      <c r="O109" t="str">
        <f>VLOOKUP($B109,'Hospitalisation Details'!A108:J2452,8,0)</f>
        <v>tier - 2</v>
      </c>
      <c r="P109" t="str">
        <f>VLOOKUP($B109,'Hospitalisation Details'!A108:J2452,7,0)</f>
        <v>tier - 2</v>
      </c>
      <c r="Q109" t="str">
        <f>VLOOKUP($B109,'Hospitalisation Details'!A108:J2452,9,0)</f>
        <v>R1013</v>
      </c>
      <c r="R109">
        <f>VLOOKUP($B109,'Hospitalisation Details'!A108:K2452,11,0)</f>
        <v>19</v>
      </c>
    </row>
    <row r="110" spans="1:18" x14ac:dyDescent="0.35">
      <c r="A110" t="s">
        <v>2264</v>
      </c>
      <c r="B110" t="s">
        <v>130</v>
      </c>
      <c r="C110" t="str">
        <f>VLOOKUP($A110,'Customer Names'!$A:$E,4,FALSE)</f>
        <v>Amanda</v>
      </c>
      <c r="D110" t="str">
        <f>VLOOKUP($A110,'Medical Examinations'!$A:$J,2,FALSE)</f>
        <v>Obesity</v>
      </c>
      <c r="E110">
        <f>VLOOKUP($A110,'Medical Examinations'!$A:$J,4,FALSE)</f>
        <v>5.07</v>
      </c>
      <c r="F110" t="str">
        <f>VLOOKUP($A110,'Medical Examinations'!$A:$J,6,FALSE)</f>
        <v>No</v>
      </c>
      <c r="G110" t="str">
        <f>VLOOKUP($A110,'Medical Examinations'!$A:$J,7,FALSE)</f>
        <v>No</v>
      </c>
      <c r="H110" t="str">
        <f>VLOOKUP($A110,'Medical Examinations'!$A:$J,8,FALSE)</f>
        <v>No</v>
      </c>
      <c r="I110">
        <f>VLOOKUP($A110,'Medical Examinations'!$A:$J,9,FALSE)</f>
        <v>1</v>
      </c>
      <c r="J110" t="str">
        <f>VLOOKUP($A110,'Medical Examinations'!$A:$J,10,FALSE)</f>
        <v>yes</v>
      </c>
      <c r="K110" t="str">
        <f>VLOOKUP($A110,'Medical Examinations'!$A:$J,5,FALSE)</f>
        <v>Normal</v>
      </c>
      <c r="L110">
        <f>VLOOKUP($A111,'Medical Examinations'!$A:$J,3,FALSE)</f>
        <v>48.93</v>
      </c>
      <c r="M110">
        <f>VLOOKUP($A110,'Hospitalisation Details'!$A:$K,6,FALSE)</f>
        <v>39983.43</v>
      </c>
      <c r="N110" s="11">
        <f>VLOOKUP($B110,'Hospitalisation Details'!A109:J2453,10,0)</f>
        <v>36136</v>
      </c>
      <c r="O110" t="str">
        <f>VLOOKUP($B110,'Hospitalisation Details'!A109:J2453,8,0)</f>
        <v>tier - 1</v>
      </c>
      <c r="P110" t="str">
        <f>VLOOKUP($B110,'Hospitalisation Details'!A109:J2453,7,0)</f>
        <v>tier - 2</v>
      </c>
      <c r="Q110" t="str">
        <f>VLOOKUP($B110,'Hospitalisation Details'!A109:J2453,9,0)</f>
        <v>R1013</v>
      </c>
      <c r="R110">
        <f>VLOOKUP($B110,'Hospitalisation Details'!A109:K2453,11,0)</f>
        <v>24</v>
      </c>
    </row>
    <row r="111" spans="1:18" x14ac:dyDescent="0.35">
      <c r="A111" t="s">
        <v>2263</v>
      </c>
      <c r="B111" t="s">
        <v>131</v>
      </c>
      <c r="C111" t="str">
        <f>VLOOKUP($A111,'Customer Names'!$A:$E,4,FALSE)</f>
        <v>Nicholas</v>
      </c>
      <c r="D111" t="str">
        <f>VLOOKUP($A111,'Medical Examinations'!$A:$J,2,FALSE)</f>
        <v>Obesity</v>
      </c>
      <c r="E111">
        <f>VLOOKUP($A111,'Medical Examinations'!$A:$J,4,FALSE)</f>
        <v>11.17</v>
      </c>
      <c r="F111" t="str">
        <f>VLOOKUP($A111,'Medical Examinations'!$A:$J,6,FALSE)</f>
        <v>yes</v>
      </c>
      <c r="G111" t="str">
        <f>VLOOKUP($A111,'Medical Examinations'!$A:$J,7,FALSE)</f>
        <v>No</v>
      </c>
      <c r="H111" t="str">
        <f>VLOOKUP($A111,'Medical Examinations'!$A:$J,8,FALSE)</f>
        <v>No</v>
      </c>
      <c r="I111">
        <f>VLOOKUP($A111,'Medical Examinations'!$A:$J,9,FALSE)</f>
        <v>1</v>
      </c>
      <c r="J111" t="str">
        <f>VLOOKUP($A111,'Medical Examinations'!$A:$J,10,FALSE)</f>
        <v>yes</v>
      </c>
      <c r="K111" t="str">
        <f>VLOOKUP($A111,'Medical Examinations'!$A:$J,5,FALSE)</f>
        <v>Diabetes</v>
      </c>
      <c r="L111">
        <f>VLOOKUP($A112,'Medical Examinations'!$A:$J,3,FALSE)</f>
        <v>37.07</v>
      </c>
      <c r="M111">
        <f>VLOOKUP($A111,'Hospitalisation Details'!$A:$K,6,FALSE)</f>
        <v>39963.120000000003</v>
      </c>
      <c r="N111" s="11">
        <f>VLOOKUP($B111,'Hospitalisation Details'!A110:J2454,10,0)</f>
        <v>35590</v>
      </c>
      <c r="O111" t="str">
        <f>VLOOKUP($B111,'Hospitalisation Details'!A110:J2454,8,0)</f>
        <v>tier - 1</v>
      </c>
      <c r="P111" t="str">
        <f>VLOOKUP($B111,'Hospitalisation Details'!A110:J2454,7,0)</f>
        <v>tier - 2</v>
      </c>
      <c r="Q111" t="str">
        <f>VLOOKUP($B111,'Hospitalisation Details'!A110:J2454,9,0)</f>
        <v>R1012</v>
      </c>
      <c r="R111">
        <f>VLOOKUP($B111,'Hospitalisation Details'!A110:K2454,11,0)</f>
        <v>25</v>
      </c>
    </row>
    <row r="112" spans="1:18" x14ac:dyDescent="0.35">
      <c r="A112" t="s">
        <v>2262</v>
      </c>
      <c r="B112" t="s">
        <v>132</v>
      </c>
      <c r="C112" t="str">
        <f>VLOOKUP($A112,'Customer Names'!$A:$E,4,FALSE)</f>
        <v>Knox</v>
      </c>
      <c r="D112" t="str">
        <f>VLOOKUP($A112,'Medical Examinations'!$A:$J,2,FALSE)</f>
        <v>Obesity</v>
      </c>
      <c r="E112">
        <f>VLOOKUP($A112,'Medical Examinations'!$A:$J,4,FALSE)</f>
        <v>6.14</v>
      </c>
      <c r="F112" t="str">
        <f>VLOOKUP($A112,'Medical Examinations'!$A:$J,6,FALSE)</f>
        <v>yes</v>
      </c>
      <c r="G112" t="str">
        <f>VLOOKUP($A112,'Medical Examinations'!$A:$J,7,FALSE)</f>
        <v>No</v>
      </c>
      <c r="H112" t="str">
        <f>VLOOKUP($A112,'Medical Examinations'!$A:$J,8,FALSE)</f>
        <v>No</v>
      </c>
      <c r="I112">
        <f>VLOOKUP($A112,'Medical Examinations'!$A:$J,9,FALSE)</f>
        <v>0</v>
      </c>
      <c r="J112" t="str">
        <f>VLOOKUP($A112,'Medical Examinations'!$A:$J,10,FALSE)</f>
        <v>yes</v>
      </c>
      <c r="K112" t="str">
        <f>VLOOKUP($A112,'Medical Examinations'!$A:$J,5,FALSE)</f>
        <v>Prediabetes</v>
      </c>
      <c r="L112">
        <f>VLOOKUP($A113,'Medical Examinations'!$A:$J,3,FALSE)</f>
        <v>51.51</v>
      </c>
      <c r="M112">
        <f>VLOOKUP($A112,'Hospitalisation Details'!$A:$K,6,FALSE)</f>
        <v>39871.699999999997</v>
      </c>
      <c r="N112" s="11">
        <f>VLOOKUP($B112,'Hospitalisation Details'!A111:J2455,10,0)</f>
        <v>34979</v>
      </c>
      <c r="O112" t="str">
        <f>VLOOKUP($B112,'Hospitalisation Details'!A111:J2455,8,0)</f>
        <v>tier - 3</v>
      </c>
      <c r="P112" t="str">
        <f>VLOOKUP($B112,'Hospitalisation Details'!A111:J2455,7,0)</f>
        <v>tier - 2</v>
      </c>
      <c r="Q112" t="str">
        <f>VLOOKUP($B112,'Hospitalisation Details'!A111:J2455,9,0)</f>
        <v>R1013</v>
      </c>
      <c r="R112">
        <f>VLOOKUP($B112,'Hospitalisation Details'!A111:K2455,11,0)</f>
        <v>27</v>
      </c>
    </row>
    <row r="113" spans="1:18" x14ac:dyDescent="0.35">
      <c r="A113" t="s">
        <v>2261</v>
      </c>
      <c r="B113" t="s">
        <v>133</v>
      </c>
      <c r="C113" t="str">
        <f>VLOOKUP($A113,'Customer Names'!$A:$E,4,FALSE)</f>
        <v>Yianna</v>
      </c>
      <c r="D113" t="str">
        <f>VLOOKUP($A113,'Medical Examinations'!$A:$J,2,FALSE)</f>
        <v>Obesity</v>
      </c>
      <c r="E113">
        <f>VLOOKUP($A113,'Medical Examinations'!$A:$J,4,FALSE)</f>
        <v>6.26</v>
      </c>
      <c r="F113" t="str">
        <f>VLOOKUP($A113,'Medical Examinations'!$A:$J,6,FALSE)</f>
        <v>yes</v>
      </c>
      <c r="G113" t="str">
        <f>VLOOKUP($A113,'Medical Examinations'!$A:$J,7,FALSE)</f>
        <v>No</v>
      </c>
      <c r="H113" t="str">
        <f>VLOOKUP($A113,'Medical Examinations'!$A:$J,8,FALSE)</f>
        <v>Yes</v>
      </c>
      <c r="I113">
        <f>VLOOKUP($A113,'Medical Examinations'!$A:$J,9,FALSE)</f>
        <v>1</v>
      </c>
      <c r="J113" t="str">
        <f>VLOOKUP($A113,'Medical Examinations'!$A:$J,10,FALSE)</f>
        <v>yes</v>
      </c>
      <c r="K113" t="str">
        <f>VLOOKUP($A113,'Medical Examinations'!$A:$J,5,FALSE)</f>
        <v>Prediabetes</v>
      </c>
      <c r="L113">
        <f>VLOOKUP($A114,'Medical Examinations'!$A:$J,3,FALSE)</f>
        <v>34.799999999999997</v>
      </c>
      <c r="M113">
        <f>VLOOKUP($A113,'Hospitalisation Details'!$A:$K,6,FALSE)</f>
        <v>39865.699999999997</v>
      </c>
      <c r="N113" s="11">
        <f>VLOOKUP($B113,'Hospitalisation Details'!A112:J2456,10,0)</f>
        <v>35965</v>
      </c>
      <c r="O113" t="str">
        <f>VLOOKUP($B113,'Hospitalisation Details'!A112:J2456,8,0)</f>
        <v>tier - 2</v>
      </c>
      <c r="P113" t="str">
        <f>VLOOKUP($B113,'Hospitalisation Details'!A112:J2456,7,0)</f>
        <v>tier - 2</v>
      </c>
      <c r="Q113" t="str">
        <f>VLOOKUP($B113,'Hospitalisation Details'!A112:J2456,9,0)</f>
        <v>R1013</v>
      </c>
      <c r="R113">
        <f>VLOOKUP($B113,'Hospitalisation Details'!A112:K2456,11,0)</f>
        <v>24</v>
      </c>
    </row>
    <row r="114" spans="1:18" x14ac:dyDescent="0.35">
      <c r="A114" t="s">
        <v>2260</v>
      </c>
      <c r="B114" t="s">
        <v>134</v>
      </c>
      <c r="C114" t="str">
        <f>VLOOKUP($A114,'Customer Names'!$A:$E,4,FALSE)</f>
        <v>Roberta</v>
      </c>
      <c r="D114" t="str">
        <f>VLOOKUP($A114,'Medical Examinations'!$A:$J,2,FALSE)</f>
        <v>Obesity</v>
      </c>
      <c r="E114">
        <f>VLOOKUP($A114,'Medical Examinations'!$A:$J,4,FALSE)</f>
        <v>4.72</v>
      </c>
      <c r="F114" t="str">
        <f>VLOOKUP($A114,'Medical Examinations'!$A:$J,6,FALSE)</f>
        <v>yes</v>
      </c>
      <c r="G114" t="str">
        <f>VLOOKUP($A114,'Medical Examinations'!$A:$J,7,FALSE)</f>
        <v>No</v>
      </c>
      <c r="H114" t="str">
        <f>VLOOKUP($A114,'Medical Examinations'!$A:$J,8,FALSE)</f>
        <v>No</v>
      </c>
      <c r="I114">
        <f>VLOOKUP($A114,'Medical Examinations'!$A:$J,9,FALSE)</f>
        <v>0</v>
      </c>
      <c r="J114" t="str">
        <f>VLOOKUP($A114,'Medical Examinations'!$A:$J,10,FALSE)</f>
        <v>yes</v>
      </c>
      <c r="K114" t="str">
        <f>VLOOKUP($A114,'Medical Examinations'!$A:$J,5,FALSE)</f>
        <v>Normal</v>
      </c>
      <c r="L114">
        <f>VLOOKUP($A115,'Medical Examinations'!$A:$J,3,FALSE)</f>
        <v>36.67</v>
      </c>
      <c r="M114">
        <f>VLOOKUP($A114,'Hospitalisation Details'!$A:$K,6,FALSE)</f>
        <v>39836.519999999997</v>
      </c>
      <c r="N114" s="11">
        <f>VLOOKUP($B114,'Hospitalisation Details'!A113:J2457,10,0)</f>
        <v>37128</v>
      </c>
      <c r="O114" t="str">
        <f>VLOOKUP($B114,'Hospitalisation Details'!A113:J2457,8,0)</f>
        <v>tier - 3</v>
      </c>
      <c r="P114" t="str">
        <f>VLOOKUP($B114,'Hospitalisation Details'!A113:J2457,7,0)</f>
        <v>tier - 2</v>
      </c>
      <c r="Q114" t="str">
        <f>VLOOKUP($B114,'Hospitalisation Details'!A113:J2457,9,0)</f>
        <v>R1013</v>
      </c>
      <c r="R114">
        <f>VLOOKUP($B114,'Hospitalisation Details'!A113:K2457,11,0)</f>
        <v>21</v>
      </c>
    </row>
    <row r="115" spans="1:18" x14ac:dyDescent="0.35">
      <c r="A115" t="s">
        <v>2259</v>
      </c>
      <c r="B115" t="s">
        <v>135</v>
      </c>
      <c r="C115" t="str">
        <f>VLOOKUP($A115,'Customer Names'!$A:$E,4,FALSE)</f>
        <v>Benjamin P.</v>
      </c>
      <c r="D115" t="str">
        <f>VLOOKUP($A115,'Medical Examinations'!$A:$J,2,FALSE)</f>
        <v>Obesity</v>
      </c>
      <c r="E115">
        <f>VLOOKUP($A115,'Medical Examinations'!$A:$J,4,FALSE)</f>
        <v>5.18</v>
      </c>
      <c r="F115" t="str">
        <f>VLOOKUP($A115,'Medical Examinations'!$A:$J,6,FALSE)</f>
        <v>No</v>
      </c>
      <c r="G115" t="str">
        <f>VLOOKUP($A115,'Medical Examinations'!$A:$J,7,FALSE)</f>
        <v>No</v>
      </c>
      <c r="H115" t="str">
        <f>VLOOKUP($A115,'Medical Examinations'!$A:$J,8,FALSE)</f>
        <v>No</v>
      </c>
      <c r="I115">
        <f>VLOOKUP($A115,'Medical Examinations'!$A:$J,9,FALSE)</f>
        <v>1</v>
      </c>
      <c r="J115" t="str">
        <f>VLOOKUP($A115,'Medical Examinations'!$A:$J,10,FALSE)</f>
        <v>yes</v>
      </c>
      <c r="K115" t="str">
        <f>VLOOKUP($A115,'Medical Examinations'!$A:$J,5,FALSE)</f>
        <v>Normal</v>
      </c>
      <c r="L115">
        <f>VLOOKUP($A116,'Medical Examinations'!$A:$J,3,FALSE)</f>
        <v>30.9</v>
      </c>
      <c r="M115">
        <f>VLOOKUP($A115,'Hospitalisation Details'!$A:$K,6,FALSE)</f>
        <v>39774.28</v>
      </c>
      <c r="N115" s="11">
        <f>VLOOKUP($B115,'Hospitalisation Details'!A114:J2458,10,0)</f>
        <v>37079</v>
      </c>
      <c r="O115" t="str">
        <f>VLOOKUP($B115,'Hospitalisation Details'!A114:J2458,8,0)</f>
        <v>tier - 3</v>
      </c>
      <c r="P115" t="str">
        <f>VLOOKUP($B115,'Hospitalisation Details'!A114:J2458,7,0)</f>
        <v>tier - 2</v>
      </c>
      <c r="Q115" t="str">
        <f>VLOOKUP($B115,'Hospitalisation Details'!A114:J2458,9,0)</f>
        <v>R1011</v>
      </c>
      <c r="R115">
        <f>VLOOKUP($B115,'Hospitalisation Details'!A114:K2458,11,0)</f>
        <v>21</v>
      </c>
    </row>
    <row r="116" spans="1:18" x14ac:dyDescent="0.35">
      <c r="A116" t="s">
        <v>2258</v>
      </c>
      <c r="B116" t="s">
        <v>136</v>
      </c>
      <c r="C116" t="str">
        <f>VLOOKUP($A116,'Customer Names'!$A:$E,4,FALSE)</f>
        <v>Craig</v>
      </c>
      <c r="D116" t="str">
        <f>VLOOKUP($A116,'Medical Examinations'!$A:$J,2,FALSE)</f>
        <v>Obesity</v>
      </c>
      <c r="E116">
        <f>VLOOKUP($A116,'Medical Examinations'!$A:$J,4,FALSE)</f>
        <v>9.4</v>
      </c>
      <c r="F116" t="str">
        <f>VLOOKUP($A116,'Medical Examinations'!$A:$J,6,FALSE)</f>
        <v>No</v>
      </c>
      <c r="G116" t="str">
        <f>VLOOKUP($A116,'Medical Examinations'!$A:$J,7,FALSE)</f>
        <v>No</v>
      </c>
      <c r="H116" t="str">
        <f>VLOOKUP($A116,'Medical Examinations'!$A:$J,8,FALSE)</f>
        <v>No</v>
      </c>
      <c r="I116">
        <f>VLOOKUP($A116,'Medical Examinations'!$A:$J,9,FALSE)</f>
        <v>2</v>
      </c>
      <c r="J116" t="str">
        <f>VLOOKUP($A116,'Medical Examinations'!$A:$J,10,FALSE)</f>
        <v>yes</v>
      </c>
      <c r="K116" t="str">
        <f>VLOOKUP($A116,'Medical Examinations'!$A:$J,5,FALSE)</f>
        <v>Diabetes</v>
      </c>
      <c r="L116">
        <f>VLOOKUP($A117,'Medical Examinations'!$A:$J,3,FALSE)</f>
        <v>30.495000000000001</v>
      </c>
      <c r="M116">
        <f>VLOOKUP($A116,'Hospitalisation Details'!$A:$K,6,FALSE)</f>
        <v>39727.61</v>
      </c>
      <c r="N116" s="11">
        <f>VLOOKUP($B116,'Hospitalisation Details'!A115:J2459,10,0)</f>
        <v>37044</v>
      </c>
      <c r="O116" t="str">
        <f>VLOOKUP($B116,'Hospitalisation Details'!A115:J2459,8,0)</f>
        <v>tier - 2</v>
      </c>
      <c r="P116" t="str">
        <f>VLOOKUP($B116,'Hospitalisation Details'!A115:J2459,7,0)</f>
        <v>tier - 2</v>
      </c>
      <c r="Q116" t="str">
        <f>VLOOKUP($B116,'Hospitalisation Details'!A115:J2459,9,0)</f>
        <v>R1013</v>
      </c>
      <c r="R116">
        <f>VLOOKUP($B116,'Hospitalisation Details'!A115:K2459,11,0)</f>
        <v>22</v>
      </c>
    </row>
    <row r="117" spans="1:18" x14ac:dyDescent="0.35">
      <c r="A117" t="s">
        <v>2257</v>
      </c>
      <c r="B117" t="s">
        <v>137</v>
      </c>
      <c r="C117" t="str">
        <f>VLOOKUP($A117,'Customer Names'!$A:$E,4,FALSE)</f>
        <v>Ann</v>
      </c>
      <c r="D117" t="str">
        <f>VLOOKUP($A117,'Medical Examinations'!$A:$J,2,FALSE)</f>
        <v>Obesity</v>
      </c>
      <c r="E117">
        <f>VLOOKUP($A117,'Medical Examinations'!$A:$J,4,FALSE)</f>
        <v>6.29</v>
      </c>
      <c r="F117" t="str">
        <f>VLOOKUP($A117,'Medical Examinations'!$A:$J,6,FALSE)</f>
        <v>No</v>
      </c>
      <c r="G117" t="str">
        <f>VLOOKUP($A117,'Medical Examinations'!$A:$J,7,FALSE)</f>
        <v>No</v>
      </c>
      <c r="H117" t="str">
        <f>VLOOKUP($A117,'Medical Examinations'!$A:$J,8,FALSE)</f>
        <v>No</v>
      </c>
      <c r="I117">
        <f>VLOOKUP($A117,'Medical Examinations'!$A:$J,9,FALSE)</f>
        <v>0</v>
      </c>
      <c r="J117" t="str">
        <f>VLOOKUP($A117,'Medical Examinations'!$A:$J,10,FALSE)</f>
        <v>yes</v>
      </c>
      <c r="K117" t="str">
        <f>VLOOKUP($A117,'Medical Examinations'!$A:$J,5,FALSE)</f>
        <v>Prediabetes</v>
      </c>
      <c r="L117">
        <f>VLOOKUP($A118,'Medical Examinations'!$A:$J,3,FALSE)</f>
        <v>44.88</v>
      </c>
      <c r="M117">
        <f>VLOOKUP($A117,'Hospitalisation Details'!$A:$K,6,FALSE)</f>
        <v>39725.519999999997</v>
      </c>
      <c r="N117" s="11">
        <f>VLOOKUP($B117,'Hospitalisation Details'!A116:J2460,10,0)</f>
        <v>37230</v>
      </c>
      <c r="O117" t="str">
        <f>VLOOKUP($B117,'Hospitalisation Details'!A116:J2460,8,0)</f>
        <v>tier - 2</v>
      </c>
      <c r="P117" t="str">
        <f>VLOOKUP($B117,'Hospitalisation Details'!A116:J2460,7,0)</f>
        <v>tier - 2</v>
      </c>
      <c r="Q117" t="str">
        <f>VLOOKUP($B117,'Hospitalisation Details'!A116:J2460,9,0)</f>
        <v>R1013</v>
      </c>
      <c r="R117">
        <f>VLOOKUP($B117,'Hospitalisation Details'!A116:K2460,11,0)</f>
        <v>21</v>
      </c>
    </row>
    <row r="118" spans="1:18" x14ac:dyDescent="0.35">
      <c r="A118" t="s">
        <v>2256</v>
      </c>
      <c r="B118" t="s">
        <v>138</v>
      </c>
      <c r="C118" t="str">
        <f>VLOOKUP($A118,'Customer Names'!$A:$E,4,FALSE)</f>
        <v>Jamie P</v>
      </c>
      <c r="D118" t="str">
        <f>VLOOKUP($A118,'Medical Examinations'!$A:$J,2,FALSE)</f>
        <v>Obesity</v>
      </c>
      <c r="E118">
        <f>VLOOKUP($A118,'Medical Examinations'!$A:$J,4,FALSE)</f>
        <v>6.04</v>
      </c>
      <c r="F118" t="str">
        <f>VLOOKUP($A118,'Medical Examinations'!$A:$J,6,FALSE)</f>
        <v>No</v>
      </c>
      <c r="G118" t="str">
        <f>VLOOKUP($A118,'Medical Examinations'!$A:$J,7,FALSE)</f>
        <v>No</v>
      </c>
      <c r="H118" t="str">
        <f>VLOOKUP($A118,'Medical Examinations'!$A:$J,8,FALSE)</f>
        <v>Yes</v>
      </c>
      <c r="I118">
        <f>VLOOKUP($A118,'Medical Examinations'!$A:$J,9,FALSE)</f>
        <v>1</v>
      </c>
      <c r="J118" t="str">
        <f>VLOOKUP($A118,'Medical Examinations'!$A:$J,10,FALSE)</f>
        <v>yes</v>
      </c>
      <c r="K118" t="str">
        <f>VLOOKUP($A118,'Medical Examinations'!$A:$J,5,FALSE)</f>
        <v>Prediabetes</v>
      </c>
      <c r="L118">
        <f>VLOOKUP($A119,'Medical Examinations'!$A:$J,3,FALSE)</f>
        <v>44.32</v>
      </c>
      <c r="M118">
        <f>VLOOKUP($A118,'Hospitalisation Details'!$A:$K,6,FALSE)</f>
        <v>39722.75</v>
      </c>
      <c r="N118" s="11">
        <f>VLOOKUP($B118,'Hospitalisation Details'!A117:J2461,10,0)</f>
        <v>33869</v>
      </c>
      <c r="O118" t="str">
        <f>VLOOKUP($B118,'Hospitalisation Details'!A117:J2461,8,0)</f>
        <v>tier - 1</v>
      </c>
      <c r="P118" t="str">
        <f>VLOOKUP($B118,'Hospitalisation Details'!A117:J2461,7,0)</f>
        <v>tier - 2</v>
      </c>
      <c r="Q118" t="str">
        <f>VLOOKUP($B118,'Hospitalisation Details'!A117:J2461,9,0)</f>
        <v>R1013</v>
      </c>
      <c r="R118">
        <f>VLOOKUP($B118,'Hospitalisation Details'!A117:K2461,11,0)</f>
        <v>30</v>
      </c>
    </row>
    <row r="119" spans="1:18" x14ac:dyDescent="0.35">
      <c r="A119" t="s">
        <v>2255</v>
      </c>
      <c r="B119" t="s">
        <v>139</v>
      </c>
      <c r="C119" t="str">
        <f>VLOOKUP($A119,'Customer Names'!$A:$E,4,FALSE)</f>
        <v>John</v>
      </c>
      <c r="D119" t="str">
        <f>VLOOKUP($A119,'Medical Examinations'!$A:$J,2,FALSE)</f>
        <v>Obesity</v>
      </c>
      <c r="E119">
        <f>VLOOKUP($A119,'Medical Examinations'!$A:$J,4,FALSE)</f>
        <v>10.55</v>
      </c>
      <c r="F119" t="str">
        <f>VLOOKUP($A119,'Medical Examinations'!$A:$J,6,FALSE)</f>
        <v>No</v>
      </c>
      <c r="G119" t="str">
        <f>VLOOKUP($A119,'Medical Examinations'!$A:$J,7,FALSE)</f>
        <v>No</v>
      </c>
      <c r="H119" t="str">
        <f>VLOOKUP($A119,'Medical Examinations'!$A:$J,8,FALSE)</f>
        <v>No</v>
      </c>
      <c r="I119">
        <f>VLOOKUP($A119,'Medical Examinations'!$A:$J,9,FALSE)</f>
        <v>0</v>
      </c>
      <c r="J119" t="str">
        <f>VLOOKUP($A119,'Medical Examinations'!$A:$J,10,FALSE)</f>
        <v>yes</v>
      </c>
      <c r="K119" t="str">
        <f>VLOOKUP($A119,'Medical Examinations'!$A:$J,5,FALSE)</f>
        <v>Diabetes</v>
      </c>
      <c r="L119">
        <f>VLOOKUP($A120,'Medical Examinations'!$A:$J,3,FALSE)</f>
        <v>46.39</v>
      </c>
      <c r="M119">
        <f>VLOOKUP($A119,'Hospitalisation Details'!$A:$K,6,FALSE)</f>
        <v>39721.93</v>
      </c>
      <c r="N119" s="11">
        <f>VLOOKUP($B119,'Hospitalisation Details'!A118:J2462,10,0)</f>
        <v>38310</v>
      </c>
      <c r="O119" t="str">
        <f>VLOOKUP($B119,'Hospitalisation Details'!A118:J2462,8,0)</f>
        <v>tier - 3</v>
      </c>
      <c r="P119" t="str">
        <f>VLOOKUP($B119,'Hospitalisation Details'!A118:J2462,7,0)</f>
        <v>tier - 2</v>
      </c>
      <c r="Q119" t="str">
        <f>VLOOKUP($B119,'Hospitalisation Details'!A118:J2462,9,0)</f>
        <v>R1013</v>
      </c>
      <c r="R119">
        <f>VLOOKUP($B119,'Hospitalisation Details'!A118:K2462,11,0)</f>
        <v>18</v>
      </c>
    </row>
    <row r="120" spans="1:18" x14ac:dyDescent="0.35">
      <c r="A120" t="s">
        <v>2254</v>
      </c>
      <c r="B120" t="s">
        <v>140</v>
      </c>
      <c r="C120" t="str">
        <f>VLOOKUP($A120,'Customer Names'!$A:$E,4,FALSE)</f>
        <v>Charlie</v>
      </c>
      <c r="D120" t="str">
        <f>VLOOKUP($A120,'Medical Examinations'!$A:$J,2,FALSE)</f>
        <v>Obesity</v>
      </c>
      <c r="E120">
        <f>VLOOKUP($A120,'Medical Examinations'!$A:$J,4,FALSE)</f>
        <v>5.09</v>
      </c>
      <c r="F120" t="str">
        <f>VLOOKUP($A120,'Medical Examinations'!$A:$J,6,FALSE)</f>
        <v>No</v>
      </c>
      <c r="G120" t="str">
        <f>VLOOKUP($A120,'Medical Examinations'!$A:$J,7,FALSE)</f>
        <v>No</v>
      </c>
      <c r="H120" t="str">
        <f>VLOOKUP($A120,'Medical Examinations'!$A:$J,8,FALSE)</f>
        <v>No</v>
      </c>
      <c r="I120">
        <f>VLOOKUP($A120,'Medical Examinations'!$A:$J,9,FALSE)</f>
        <v>0</v>
      </c>
      <c r="J120" t="str">
        <f>VLOOKUP($A120,'Medical Examinations'!$A:$J,10,FALSE)</f>
        <v>yes</v>
      </c>
      <c r="K120" t="str">
        <f>VLOOKUP($A120,'Medical Examinations'!$A:$J,5,FALSE)</f>
        <v>Normal</v>
      </c>
      <c r="L120">
        <f>VLOOKUP($A121,'Medical Examinations'!$A:$J,3,FALSE)</f>
        <v>42.13</v>
      </c>
      <c r="M120">
        <f>VLOOKUP($A120,'Hospitalisation Details'!$A:$K,6,FALSE)</f>
        <v>39670.44</v>
      </c>
      <c r="N120" s="11">
        <f>VLOOKUP($B120,'Hospitalisation Details'!A119:J2463,10,0)</f>
        <v>38190</v>
      </c>
      <c r="O120" t="str">
        <f>VLOOKUP($B120,'Hospitalisation Details'!A119:J2463,8,0)</f>
        <v>tier - 1</v>
      </c>
      <c r="P120" t="str">
        <f>VLOOKUP($B120,'Hospitalisation Details'!A119:J2463,7,0)</f>
        <v>tier - 2</v>
      </c>
      <c r="Q120" t="str">
        <f>VLOOKUP($B120,'Hospitalisation Details'!A119:J2463,9,0)</f>
        <v>R1013</v>
      </c>
      <c r="R120">
        <f>VLOOKUP($B120,'Hospitalisation Details'!A119:K2463,11,0)</f>
        <v>18</v>
      </c>
    </row>
    <row r="121" spans="1:18" x14ac:dyDescent="0.35">
      <c r="A121" t="s">
        <v>2253</v>
      </c>
      <c r="B121" t="s">
        <v>141</v>
      </c>
      <c r="C121" t="str">
        <f>VLOOKUP($A121,'Customer Names'!$A:$E,4,FALSE)</f>
        <v>Meb</v>
      </c>
      <c r="D121" t="str">
        <f>VLOOKUP($A121,'Medical Examinations'!$A:$J,2,FALSE)</f>
        <v>Obesity</v>
      </c>
      <c r="E121">
        <f>VLOOKUP($A121,'Medical Examinations'!$A:$J,4,FALSE)</f>
        <v>5.2</v>
      </c>
      <c r="F121" t="str">
        <f>VLOOKUP($A121,'Medical Examinations'!$A:$J,6,FALSE)</f>
        <v>yes</v>
      </c>
      <c r="G121" t="str">
        <f>VLOOKUP($A121,'Medical Examinations'!$A:$J,7,FALSE)</f>
        <v>No</v>
      </c>
      <c r="H121" t="str">
        <f>VLOOKUP($A121,'Medical Examinations'!$A:$J,8,FALSE)</f>
        <v>No</v>
      </c>
      <c r="I121">
        <f>VLOOKUP($A121,'Medical Examinations'!$A:$J,9,FALSE)</f>
        <v>1</v>
      </c>
      <c r="J121" t="str">
        <f>VLOOKUP($A121,'Medical Examinations'!$A:$J,10,FALSE)</f>
        <v>yes</v>
      </c>
      <c r="K121" t="str">
        <f>VLOOKUP($A121,'Medical Examinations'!$A:$J,5,FALSE)</f>
        <v>Normal</v>
      </c>
      <c r="L121">
        <f>VLOOKUP($A122,'Medical Examinations'!$A:$J,3,FALSE)</f>
        <v>30.78</v>
      </c>
      <c r="M121">
        <f>VLOOKUP($A121,'Hospitalisation Details'!$A:$K,6,FALSE)</f>
        <v>39611.760000000002</v>
      </c>
      <c r="N121" s="11">
        <f>VLOOKUP($B121,'Hospitalisation Details'!A120:J2464,10,0)</f>
        <v>34916</v>
      </c>
      <c r="O121" t="str">
        <f>VLOOKUP($B121,'Hospitalisation Details'!A120:J2464,8,0)</f>
        <v>tier - 1</v>
      </c>
      <c r="P121" t="str">
        <f>VLOOKUP($B121,'Hospitalisation Details'!A120:J2464,7,0)</f>
        <v>tier - 2</v>
      </c>
      <c r="Q121" t="str">
        <f>VLOOKUP($B121,'Hospitalisation Details'!A120:J2464,9,0)</f>
        <v>R1013</v>
      </c>
      <c r="R121">
        <f>VLOOKUP($B121,'Hospitalisation Details'!A120:K2464,11,0)</f>
        <v>27</v>
      </c>
    </row>
    <row r="122" spans="1:18" x14ac:dyDescent="0.35">
      <c r="A122" t="s">
        <v>2252</v>
      </c>
      <c r="B122" t="s">
        <v>142</v>
      </c>
      <c r="C122" t="str">
        <f>VLOOKUP($A122,'Customer Names'!$A:$E,4,FALSE)</f>
        <v>Aaqib L.</v>
      </c>
      <c r="D122" t="str">
        <f>VLOOKUP($A122,'Medical Examinations'!$A:$J,2,FALSE)</f>
        <v>Obesity</v>
      </c>
      <c r="E122">
        <f>VLOOKUP($A122,'Medical Examinations'!$A:$J,4,FALSE)</f>
        <v>8.4499999999999993</v>
      </c>
      <c r="F122" t="str">
        <f>VLOOKUP($A122,'Medical Examinations'!$A:$J,6,FALSE)</f>
        <v>yes</v>
      </c>
      <c r="G122" t="str">
        <f>VLOOKUP($A122,'Medical Examinations'!$A:$J,7,FALSE)</f>
        <v>No</v>
      </c>
      <c r="H122" t="str">
        <f>VLOOKUP($A122,'Medical Examinations'!$A:$J,8,FALSE)</f>
        <v>No</v>
      </c>
      <c r="I122">
        <f>VLOOKUP($A122,'Medical Examinations'!$A:$J,9,FALSE)</f>
        <v>0</v>
      </c>
      <c r="J122" t="str">
        <f>VLOOKUP($A122,'Medical Examinations'!$A:$J,10,FALSE)</f>
        <v>yes</v>
      </c>
      <c r="K122" t="str">
        <f>VLOOKUP($A122,'Medical Examinations'!$A:$J,5,FALSE)</f>
        <v>Diabetes</v>
      </c>
      <c r="L122">
        <f>VLOOKUP($A123,'Medical Examinations'!$A:$J,3,FALSE)</f>
        <v>31.35</v>
      </c>
      <c r="M122">
        <f>VLOOKUP($A122,'Hospitalisation Details'!$A:$K,6,FALSE)</f>
        <v>39597.410000000003</v>
      </c>
      <c r="N122" s="11">
        <f>VLOOKUP($B122,'Hospitalisation Details'!A121:J2465,10,0)</f>
        <v>37878</v>
      </c>
      <c r="O122" t="str">
        <f>VLOOKUP($B122,'Hospitalisation Details'!A121:J2465,8,0)</f>
        <v>tier - 2</v>
      </c>
      <c r="P122" t="str">
        <f>VLOOKUP($B122,'Hospitalisation Details'!A121:J2465,7,0)</f>
        <v>tier - 2</v>
      </c>
      <c r="Q122" t="str">
        <f>VLOOKUP($B122,'Hospitalisation Details'!A121:J2465,9,0)</f>
        <v>R1012</v>
      </c>
      <c r="R122">
        <f>VLOOKUP($B122,'Hospitalisation Details'!A121:K2465,11,0)</f>
        <v>19</v>
      </c>
    </row>
    <row r="123" spans="1:18" x14ac:dyDescent="0.35">
      <c r="A123" t="s">
        <v>2251</v>
      </c>
      <c r="B123" t="s">
        <v>143</v>
      </c>
      <c r="C123" t="str">
        <f>VLOOKUP($A123,'Customer Names'!$A:$E,4,FALSE)</f>
        <v>Craig A.</v>
      </c>
      <c r="D123" t="str">
        <f>VLOOKUP($A123,'Medical Examinations'!$A:$J,2,FALSE)</f>
        <v>Obesity</v>
      </c>
      <c r="E123">
        <f>VLOOKUP($A123,'Medical Examinations'!$A:$J,4,FALSE)</f>
        <v>9.5399999999999991</v>
      </c>
      <c r="F123" t="str">
        <f>VLOOKUP($A123,'Medical Examinations'!$A:$J,6,FALSE)</f>
        <v>No</v>
      </c>
      <c r="G123" t="str">
        <f>VLOOKUP($A123,'Medical Examinations'!$A:$J,7,FALSE)</f>
        <v>No</v>
      </c>
      <c r="H123" t="str">
        <f>VLOOKUP($A123,'Medical Examinations'!$A:$J,8,FALSE)</f>
        <v>No</v>
      </c>
      <c r="I123">
        <f>VLOOKUP($A123,'Medical Examinations'!$A:$J,9,FALSE)</f>
        <v>0</v>
      </c>
      <c r="J123" t="str">
        <f>VLOOKUP($A123,'Medical Examinations'!$A:$J,10,FALSE)</f>
        <v>yes</v>
      </c>
      <c r="K123" t="str">
        <f>VLOOKUP($A123,'Medical Examinations'!$A:$J,5,FALSE)</f>
        <v>Diabetes</v>
      </c>
      <c r="L123">
        <f>VLOOKUP($A124,'Medical Examinations'!$A:$J,3,FALSE)</f>
        <v>41.46</v>
      </c>
      <c r="M123">
        <f>VLOOKUP($A123,'Hospitalisation Details'!$A:$K,6,FALSE)</f>
        <v>39556.49</v>
      </c>
      <c r="N123" s="11">
        <f>VLOOKUP($B123,'Hospitalisation Details'!A122:J2466,10,0)</f>
        <v>38220</v>
      </c>
      <c r="O123" t="str">
        <f>VLOOKUP($B123,'Hospitalisation Details'!A122:J2466,8,0)</f>
        <v>tier - 2</v>
      </c>
      <c r="P123" t="str">
        <f>VLOOKUP($B123,'Hospitalisation Details'!A122:J2466,7,0)</f>
        <v>tier - 2</v>
      </c>
      <c r="Q123" t="str">
        <f>VLOOKUP($B123,'Hospitalisation Details'!A122:J2466,9,0)</f>
        <v>R1013</v>
      </c>
      <c r="R123">
        <f>VLOOKUP($B123,'Hospitalisation Details'!A122:K2466,11,0)</f>
        <v>18</v>
      </c>
    </row>
    <row r="124" spans="1:18" x14ac:dyDescent="0.35">
      <c r="A124" t="s">
        <v>2250</v>
      </c>
      <c r="B124" t="s">
        <v>144</v>
      </c>
      <c r="C124" t="str">
        <f>VLOOKUP($A124,'Customer Names'!$A:$E,4,FALSE)</f>
        <v>Meredith</v>
      </c>
      <c r="D124" t="str">
        <f>VLOOKUP($A124,'Medical Examinations'!$A:$J,2,FALSE)</f>
        <v>Obesity</v>
      </c>
      <c r="E124">
        <f>VLOOKUP($A124,'Medical Examinations'!$A:$J,4,FALSE)</f>
        <v>4.99</v>
      </c>
      <c r="F124" t="str">
        <f>VLOOKUP($A124,'Medical Examinations'!$A:$J,6,FALSE)</f>
        <v>yes</v>
      </c>
      <c r="G124" t="str">
        <f>VLOOKUP($A124,'Medical Examinations'!$A:$J,7,FALSE)</f>
        <v>No</v>
      </c>
      <c r="H124" t="str">
        <f>VLOOKUP($A124,'Medical Examinations'!$A:$J,8,FALSE)</f>
        <v>No</v>
      </c>
      <c r="I124">
        <f>VLOOKUP($A124,'Medical Examinations'!$A:$J,9,FALSE)</f>
        <v>2</v>
      </c>
      <c r="J124" t="str">
        <f>VLOOKUP($A124,'Medical Examinations'!$A:$J,10,FALSE)</f>
        <v>yes</v>
      </c>
      <c r="K124" t="str">
        <f>VLOOKUP($A124,'Medical Examinations'!$A:$J,5,FALSE)</f>
        <v>Normal</v>
      </c>
      <c r="L124">
        <f>VLOOKUP($A125,'Medical Examinations'!$A:$J,3,FALSE)</f>
        <v>48</v>
      </c>
      <c r="M124">
        <f>VLOOKUP($A124,'Hospitalisation Details'!$A:$K,6,FALSE)</f>
        <v>39396.86</v>
      </c>
      <c r="N124" s="11">
        <f>VLOOKUP($B124,'Hospitalisation Details'!A123:J2467,10,0)</f>
        <v>38193</v>
      </c>
      <c r="O124" t="str">
        <f>VLOOKUP($B124,'Hospitalisation Details'!A123:J2467,8,0)</f>
        <v>tier - 1</v>
      </c>
      <c r="P124" t="str">
        <f>VLOOKUP($B124,'Hospitalisation Details'!A123:J2467,7,0)</f>
        <v>tier - 2</v>
      </c>
      <c r="Q124" t="str">
        <f>VLOOKUP($B124,'Hospitalisation Details'!A123:J2467,9,0)</f>
        <v>R1013</v>
      </c>
      <c r="R124">
        <f>VLOOKUP($B124,'Hospitalisation Details'!A123:K2467,11,0)</f>
        <v>18</v>
      </c>
    </row>
    <row r="125" spans="1:18" x14ac:dyDescent="0.35">
      <c r="A125" t="s">
        <v>2249</v>
      </c>
      <c r="B125" t="s">
        <v>145</v>
      </c>
      <c r="C125" t="str">
        <f>VLOOKUP($A125,'Customer Names'!$A:$E,4,FALSE)</f>
        <v>Doug</v>
      </c>
      <c r="D125" t="str">
        <f>VLOOKUP($A125,'Medical Examinations'!$A:$J,2,FALSE)</f>
        <v>Obesity</v>
      </c>
      <c r="E125">
        <f>VLOOKUP($A125,'Medical Examinations'!$A:$J,4,FALSE)</f>
        <v>10.54</v>
      </c>
      <c r="F125" t="str">
        <f>VLOOKUP($A125,'Medical Examinations'!$A:$J,6,FALSE)</f>
        <v>No</v>
      </c>
      <c r="G125" t="str">
        <f>VLOOKUP($A125,'Medical Examinations'!$A:$J,7,FALSE)</f>
        <v>No</v>
      </c>
      <c r="H125" t="str">
        <f>VLOOKUP($A125,'Medical Examinations'!$A:$J,8,FALSE)</f>
        <v>No</v>
      </c>
      <c r="I125">
        <f>VLOOKUP($A125,'Medical Examinations'!$A:$J,9,FALSE)</f>
        <v>0</v>
      </c>
      <c r="J125" t="str">
        <f>VLOOKUP($A125,'Medical Examinations'!$A:$J,10,FALSE)</f>
        <v>yes</v>
      </c>
      <c r="K125" t="str">
        <f>VLOOKUP($A125,'Medical Examinations'!$A:$J,5,FALSE)</f>
        <v>Diabetes</v>
      </c>
      <c r="L125">
        <f>VLOOKUP($A126,'Medical Examinations'!$A:$J,3,FALSE)</f>
        <v>49.13</v>
      </c>
      <c r="M125">
        <f>VLOOKUP($A125,'Hospitalisation Details'!$A:$K,6,FALSE)</f>
        <v>39352.6</v>
      </c>
      <c r="N125" s="11">
        <f>VLOOKUP($B125,'Hospitalisation Details'!A124:J2468,10,0)</f>
        <v>37873</v>
      </c>
      <c r="O125" t="str">
        <f>VLOOKUP($B125,'Hospitalisation Details'!A124:J2468,8,0)</f>
        <v>tier - 3</v>
      </c>
      <c r="P125" t="str">
        <f>VLOOKUP($B125,'Hospitalisation Details'!A124:J2468,7,0)</f>
        <v>tier - 2</v>
      </c>
      <c r="Q125" t="str">
        <f>VLOOKUP($B125,'Hospitalisation Details'!A124:J2468,9,0)</f>
        <v>R1012</v>
      </c>
      <c r="R125">
        <f>VLOOKUP($B125,'Hospitalisation Details'!A124:K2468,11,0)</f>
        <v>19</v>
      </c>
    </row>
    <row r="126" spans="1:18" x14ac:dyDescent="0.35">
      <c r="A126" t="s">
        <v>2248</v>
      </c>
      <c r="B126" t="s">
        <v>146</v>
      </c>
      <c r="C126" t="str">
        <f>VLOOKUP($A126,'Customer Names'!$A:$E,4,FALSE)</f>
        <v>Elizabeth J.</v>
      </c>
      <c r="D126" t="str">
        <f>VLOOKUP($A126,'Medical Examinations'!$A:$J,2,FALSE)</f>
        <v>Obesity</v>
      </c>
      <c r="E126">
        <f>VLOOKUP($A126,'Medical Examinations'!$A:$J,4,FALSE)</f>
        <v>4.54</v>
      </c>
      <c r="F126" t="str">
        <f>VLOOKUP($A126,'Medical Examinations'!$A:$J,6,FALSE)</f>
        <v>No</v>
      </c>
      <c r="G126" t="str">
        <f>VLOOKUP($A126,'Medical Examinations'!$A:$J,7,FALSE)</f>
        <v>No</v>
      </c>
      <c r="H126" t="str">
        <f>VLOOKUP($A126,'Medical Examinations'!$A:$J,8,FALSE)</f>
        <v>No</v>
      </c>
      <c r="I126">
        <f>VLOOKUP($A126,'Medical Examinations'!$A:$J,9,FALSE)</f>
        <v>0</v>
      </c>
      <c r="J126" t="str">
        <f>VLOOKUP($A126,'Medical Examinations'!$A:$J,10,FALSE)</f>
        <v>yes</v>
      </c>
      <c r="K126" t="str">
        <f>VLOOKUP($A126,'Medical Examinations'!$A:$J,5,FALSE)</f>
        <v>Normal</v>
      </c>
      <c r="L126">
        <f>VLOOKUP($A127,'Medical Examinations'!$A:$J,3,FALSE)</f>
        <v>37.799999999999997</v>
      </c>
      <c r="M126">
        <f>VLOOKUP($A126,'Hospitalisation Details'!$A:$K,6,FALSE)</f>
        <v>39315.279999999999</v>
      </c>
      <c r="N126" s="11">
        <f>VLOOKUP($B126,'Hospitalisation Details'!A125:J2469,10,0)</f>
        <v>37959</v>
      </c>
      <c r="O126" t="str">
        <f>VLOOKUP($B126,'Hospitalisation Details'!A125:J2469,8,0)</f>
        <v>tier - 2</v>
      </c>
      <c r="P126" t="str">
        <f>VLOOKUP($B126,'Hospitalisation Details'!A125:J2469,7,0)</f>
        <v>tier - 2</v>
      </c>
      <c r="Q126" t="str">
        <f>VLOOKUP($B126,'Hospitalisation Details'!A125:J2469,9,0)</f>
        <v>R1012</v>
      </c>
      <c r="R126">
        <f>VLOOKUP($B126,'Hospitalisation Details'!A125:K2469,11,0)</f>
        <v>19</v>
      </c>
    </row>
    <row r="127" spans="1:18" x14ac:dyDescent="0.35">
      <c r="A127" t="s">
        <v>2247</v>
      </c>
      <c r="B127" t="s">
        <v>147</v>
      </c>
      <c r="C127" t="str">
        <f>VLOOKUP($A127,'Customer Names'!$A:$E,4,FALSE)</f>
        <v>Matthew P</v>
      </c>
      <c r="D127" t="str">
        <f>VLOOKUP($A127,'Medical Examinations'!$A:$J,2,FALSE)</f>
        <v>Obesity</v>
      </c>
      <c r="E127">
        <f>VLOOKUP($A127,'Medical Examinations'!$A:$J,4,FALSE)</f>
        <v>6.29</v>
      </c>
      <c r="F127" t="str">
        <f>VLOOKUP($A127,'Medical Examinations'!$A:$J,6,FALSE)</f>
        <v>No</v>
      </c>
      <c r="G127" t="str">
        <f>VLOOKUP($A127,'Medical Examinations'!$A:$J,7,FALSE)</f>
        <v>No</v>
      </c>
      <c r="H127" t="str">
        <f>VLOOKUP($A127,'Medical Examinations'!$A:$J,8,FALSE)</f>
        <v>No</v>
      </c>
      <c r="I127">
        <f>VLOOKUP($A127,'Medical Examinations'!$A:$J,9,FALSE)</f>
        <v>1</v>
      </c>
      <c r="J127" t="str">
        <f>VLOOKUP($A127,'Medical Examinations'!$A:$J,10,FALSE)</f>
        <v>yes</v>
      </c>
      <c r="K127" t="str">
        <f>VLOOKUP($A127,'Medical Examinations'!$A:$J,5,FALSE)</f>
        <v>Prediabetes</v>
      </c>
      <c r="L127">
        <f>VLOOKUP($A128,'Medical Examinations'!$A:$J,3,FALSE)</f>
        <v>38.299999999999997</v>
      </c>
      <c r="M127">
        <f>VLOOKUP($A127,'Hospitalisation Details'!$A:$K,6,FALSE)</f>
        <v>39241.440000000002</v>
      </c>
      <c r="N127" s="11">
        <f>VLOOKUP($B127,'Hospitalisation Details'!A126:J2470,10,0)</f>
        <v>37819</v>
      </c>
      <c r="O127" t="str">
        <f>VLOOKUP($B127,'Hospitalisation Details'!A126:J2470,8,0)</f>
        <v>tier - 1</v>
      </c>
      <c r="P127" t="str">
        <f>VLOOKUP($B127,'Hospitalisation Details'!A126:J2470,7,0)</f>
        <v>tier - 2</v>
      </c>
      <c r="Q127" t="str">
        <f>VLOOKUP($B127,'Hospitalisation Details'!A126:J2470,9,0)</f>
        <v>R1012</v>
      </c>
      <c r="R127">
        <f>VLOOKUP($B127,'Hospitalisation Details'!A126:K2470,11,0)</f>
        <v>19</v>
      </c>
    </row>
    <row r="128" spans="1:18" x14ac:dyDescent="0.35">
      <c r="A128" t="s">
        <v>2246</v>
      </c>
      <c r="B128" t="s">
        <v>148</v>
      </c>
      <c r="C128" t="str">
        <f>VLOOKUP($A128,'Customer Names'!$A:$E,4,FALSE)</f>
        <v>Guillermo Sr.</v>
      </c>
      <c r="D128" t="str">
        <f>VLOOKUP($A128,'Medical Examinations'!$A:$J,2,FALSE)</f>
        <v>Obesity</v>
      </c>
      <c r="E128">
        <f>VLOOKUP($A128,'Medical Examinations'!$A:$J,4,FALSE)</f>
        <v>9.51</v>
      </c>
      <c r="F128" t="str">
        <f>VLOOKUP($A128,'Medical Examinations'!$A:$J,6,FALSE)</f>
        <v>No</v>
      </c>
      <c r="G128" t="str">
        <f>VLOOKUP($A128,'Medical Examinations'!$A:$J,7,FALSE)</f>
        <v>No</v>
      </c>
      <c r="H128" t="str">
        <f>VLOOKUP($A128,'Medical Examinations'!$A:$J,8,FALSE)</f>
        <v>No</v>
      </c>
      <c r="I128">
        <f>VLOOKUP($A128,'Medical Examinations'!$A:$J,9,FALSE)</f>
        <v>0</v>
      </c>
      <c r="J128" t="str">
        <f>VLOOKUP($A128,'Medical Examinations'!$A:$J,10,FALSE)</f>
        <v>yes</v>
      </c>
      <c r="K128" t="str">
        <f>VLOOKUP($A128,'Medical Examinations'!$A:$J,5,FALSE)</f>
        <v>Diabetes</v>
      </c>
      <c r="L128">
        <f>VLOOKUP($A129,'Medical Examinations'!$A:$J,3,FALSE)</f>
        <v>32.774999999999999</v>
      </c>
      <c r="M128">
        <f>VLOOKUP($A128,'Hospitalisation Details'!$A:$K,6,FALSE)</f>
        <v>39221.120000000003</v>
      </c>
      <c r="N128" s="11">
        <f>VLOOKUP($B128,'Hospitalisation Details'!A127:J2471,10,0)</f>
        <v>38264</v>
      </c>
      <c r="O128" t="str">
        <f>VLOOKUP($B128,'Hospitalisation Details'!A127:J2471,8,0)</f>
        <v>tier - 2</v>
      </c>
      <c r="P128" t="str">
        <f>VLOOKUP($B128,'Hospitalisation Details'!A127:J2471,7,0)</f>
        <v>tier - 2</v>
      </c>
      <c r="Q128" t="str">
        <f>VLOOKUP($B128,'Hospitalisation Details'!A127:J2471,9,0)</f>
        <v>R1013</v>
      </c>
      <c r="R128">
        <f>VLOOKUP($B128,'Hospitalisation Details'!A127:K2471,11,0)</f>
        <v>18</v>
      </c>
    </row>
    <row r="129" spans="1:18" x14ac:dyDescent="0.35">
      <c r="A129" t="s">
        <v>2245</v>
      </c>
      <c r="B129" t="s">
        <v>149</v>
      </c>
      <c r="C129" t="str">
        <f>VLOOKUP($A129,'Customer Names'!$A:$E,4,FALSE)</f>
        <v>Ryan C</v>
      </c>
      <c r="D129" t="str">
        <f>VLOOKUP($A129,'Medical Examinations'!$A:$J,2,FALSE)</f>
        <v>Obesity</v>
      </c>
      <c r="E129">
        <f>VLOOKUP($A129,'Medical Examinations'!$A:$J,4,FALSE)</f>
        <v>4.72</v>
      </c>
      <c r="F129" t="str">
        <f>VLOOKUP($A129,'Medical Examinations'!$A:$J,6,FALSE)</f>
        <v>No</v>
      </c>
      <c r="G129" t="str">
        <f>VLOOKUP($A129,'Medical Examinations'!$A:$J,7,FALSE)</f>
        <v>No</v>
      </c>
      <c r="H129" t="str">
        <f>VLOOKUP($A129,'Medical Examinations'!$A:$J,8,FALSE)</f>
        <v>No</v>
      </c>
      <c r="I129">
        <f>VLOOKUP($A129,'Medical Examinations'!$A:$J,9,FALSE)</f>
        <v>0</v>
      </c>
      <c r="J129" t="str">
        <f>VLOOKUP($A129,'Medical Examinations'!$A:$J,10,FALSE)</f>
        <v>yes</v>
      </c>
      <c r="K129" t="str">
        <f>VLOOKUP($A129,'Medical Examinations'!$A:$J,5,FALSE)</f>
        <v>Normal</v>
      </c>
      <c r="L129">
        <f>VLOOKUP($A130,'Medical Examinations'!$A:$J,3,FALSE)</f>
        <v>34.200000000000003</v>
      </c>
      <c r="M129">
        <f>VLOOKUP($A129,'Hospitalisation Details'!$A:$K,6,FALSE)</f>
        <v>39125.33</v>
      </c>
      <c r="N129" s="11">
        <f>VLOOKUP($B129,'Hospitalisation Details'!A128:J2472,10,0)</f>
        <v>38326</v>
      </c>
      <c r="O129" t="str">
        <f>VLOOKUP($B129,'Hospitalisation Details'!A128:J2472,8,0)</f>
        <v>tier - 3</v>
      </c>
      <c r="P129" t="str">
        <f>VLOOKUP($B129,'Hospitalisation Details'!A128:J2472,7,0)</f>
        <v>tier - 2</v>
      </c>
      <c r="Q129" t="str">
        <f>VLOOKUP($B129,'Hospitalisation Details'!A128:J2472,9,0)</f>
        <v>R1013</v>
      </c>
      <c r="R129">
        <f>VLOOKUP($B129,'Hospitalisation Details'!A128:K2472,11,0)</f>
        <v>18</v>
      </c>
    </row>
    <row r="130" spans="1:18" x14ac:dyDescent="0.35">
      <c r="A130" t="s">
        <v>2244</v>
      </c>
      <c r="B130" t="s">
        <v>150</v>
      </c>
      <c r="C130" t="str">
        <f>VLOOKUP($A130,'Customer Names'!$A:$E,4,FALSE)</f>
        <v>Dane</v>
      </c>
      <c r="D130" t="str">
        <f>VLOOKUP($A130,'Medical Examinations'!$A:$J,2,FALSE)</f>
        <v>Obesity</v>
      </c>
      <c r="E130">
        <f>VLOOKUP($A130,'Medical Examinations'!$A:$J,4,FALSE)</f>
        <v>5.91</v>
      </c>
      <c r="F130" t="str">
        <f>VLOOKUP($A130,'Medical Examinations'!$A:$J,6,FALSE)</f>
        <v>yes</v>
      </c>
      <c r="G130" t="str">
        <f>VLOOKUP($A130,'Medical Examinations'!$A:$J,7,FALSE)</f>
        <v>No</v>
      </c>
      <c r="H130" t="str">
        <f>VLOOKUP($A130,'Medical Examinations'!$A:$J,8,FALSE)</f>
        <v>No</v>
      </c>
      <c r="I130">
        <f>VLOOKUP($A130,'Medical Examinations'!$A:$J,9,FALSE)</f>
        <v>0</v>
      </c>
      <c r="J130" t="str">
        <f>VLOOKUP($A130,'Medical Examinations'!$A:$J,10,FALSE)</f>
        <v>yes</v>
      </c>
      <c r="K130" t="str">
        <f>VLOOKUP($A130,'Medical Examinations'!$A:$J,5,FALSE)</f>
        <v>Prediabetes</v>
      </c>
      <c r="L130">
        <f>VLOOKUP($A131,'Medical Examinations'!$A:$J,3,FALSE)</f>
        <v>30.2</v>
      </c>
      <c r="M130">
        <f>VLOOKUP($A130,'Hospitalisation Details'!$A:$K,6,FALSE)</f>
        <v>39047.29</v>
      </c>
      <c r="N130" s="11">
        <f>VLOOKUP($B130,'Hospitalisation Details'!A129:J2473,10,0)</f>
        <v>38177</v>
      </c>
      <c r="O130" t="str">
        <f>VLOOKUP($B130,'Hospitalisation Details'!A129:J2473,8,0)</f>
        <v>tier - 1</v>
      </c>
      <c r="P130" t="str">
        <f>VLOOKUP($B130,'Hospitalisation Details'!A129:J2473,7,0)</f>
        <v>tier - 2</v>
      </c>
      <c r="Q130" t="str">
        <f>VLOOKUP($B130,'Hospitalisation Details'!A129:J2473,9,0)</f>
        <v>R1013</v>
      </c>
      <c r="R130">
        <f>VLOOKUP($B130,'Hospitalisation Details'!A129:K2473,11,0)</f>
        <v>18</v>
      </c>
    </row>
    <row r="131" spans="1:18" x14ac:dyDescent="0.35">
      <c r="A131" t="s">
        <v>2243</v>
      </c>
      <c r="B131" t="s">
        <v>151</v>
      </c>
      <c r="C131" t="str">
        <f>VLOOKUP($A131,'Customer Names'!$A:$E,4,FALSE)</f>
        <v>Jonas</v>
      </c>
      <c r="D131" t="str">
        <f>VLOOKUP($A131,'Medical Examinations'!$A:$J,2,FALSE)</f>
        <v>Obesity</v>
      </c>
      <c r="E131">
        <f>VLOOKUP($A131,'Medical Examinations'!$A:$J,4,FALSE)</f>
        <v>9.58</v>
      </c>
      <c r="F131" t="str">
        <f>VLOOKUP($A131,'Medical Examinations'!$A:$J,6,FALSE)</f>
        <v>No</v>
      </c>
      <c r="G131" t="str">
        <f>VLOOKUP($A131,'Medical Examinations'!$A:$J,7,FALSE)</f>
        <v>No</v>
      </c>
      <c r="H131" t="str">
        <f>VLOOKUP($A131,'Medical Examinations'!$A:$J,8,FALSE)</f>
        <v>No</v>
      </c>
      <c r="I131">
        <f>VLOOKUP($A131,'Medical Examinations'!$A:$J,9,FALSE)</f>
        <v>0</v>
      </c>
      <c r="J131" t="str">
        <f>VLOOKUP($A131,'Medical Examinations'!$A:$J,10,FALSE)</f>
        <v>yes</v>
      </c>
      <c r="K131" t="str">
        <f>VLOOKUP($A131,'Medical Examinations'!$A:$J,5,FALSE)</f>
        <v>Diabetes</v>
      </c>
      <c r="L131">
        <f>VLOOKUP($A132,'Medical Examinations'!$A:$J,3,FALSE)</f>
        <v>48.32</v>
      </c>
      <c r="M131">
        <f>VLOOKUP($A131,'Hospitalisation Details'!$A:$K,6,FALSE)</f>
        <v>38998.550000000003</v>
      </c>
      <c r="N131" s="11">
        <f>VLOOKUP($B131,'Hospitalisation Details'!A130:J2474,10,0)</f>
        <v>37897</v>
      </c>
      <c r="O131" t="str">
        <f>VLOOKUP($B131,'Hospitalisation Details'!A130:J2474,8,0)</f>
        <v>tier - 2</v>
      </c>
      <c r="P131" t="str">
        <f>VLOOKUP($B131,'Hospitalisation Details'!A130:J2474,7,0)</f>
        <v>tier - 2</v>
      </c>
      <c r="Q131" t="str">
        <f>VLOOKUP($B131,'Hospitalisation Details'!A130:J2474,9,0)</f>
        <v>R1012</v>
      </c>
      <c r="R131">
        <f>VLOOKUP($B131,'Hospitalisation Details'!A130:K2474,11,0)</f>
        <v>19</v>
      </c>
    </row>
    <row r="132" spans="1:18" x14ac:dyDescent="0.35">
      <c r="A132" t="s">
        <v>2242</v>
      </c>
      <c r="B132" t="s">
        <v>152</v>
      </c>
      <c r="C132" t="str">
        <f>VLOOKUP($A132,'Customer Names'!$A:$E,4,FALSE)</f>
        <v>George E</v>
      </c>
      <c r="D132" t="str">
        <f>VLOOKUP($A132,'Medical Examinations'!$A:$J,2,FALSE)</f>
        <v>Obesity</v>
      </c>
      <c r="E132">
        <f>VLOOKUP($A132,'Medical Examinations'!$A:$J,4,FALSE)</f>
        <v>5.77</v>
      </c>
      <c r="F132" t="str">
        <f>VLOOKUP($A132,'Medical Examinations'!$A:$J,6,FALSE)</f>
        <v>No</v>
      </c>
      <c r="G132" t="str">
        <f>VLOOKUP($A132,'Medical Examinations'!$A:$J,7,FALSE)</f>
        <v>No</v>
      </c>
      <c r="H132" t="str">
        <f>VLOOKUP($A132,'Medical Examinations'!$A:$J,8,FALSE)</f>
        <v>No</v>
      </c>
      <c r="I132">
        <f>VLOOKUP($A132,'Medical Examinations'!$A:$J,9,FALSE)</f>
        <v>0</v>
      </c>
      <c r="J132" t="str">
        <f>VLOOKUP($A132,'Medical Examinations'!$A:$J,10,FALSE)</f>
        <v>yes</v>
      </c>
      <c r="K132" t="str">
        <f>VLOOKUP($A132,'Medical Examinations'!$A:$J,5,FALSE)</f>
        <v>Prediabetes</v>
      </c>
      <c r="L132">
        <f>VLOOKUP($A133,'Medical Examinations'!$A:$J,3,FALSE)</f>
        <v>44.86</v>
      </c>
      <c r="M132">
        <f>VLOOKUP($A132,'Hospitalisation Details'!$A:$K,6,FALSE)</f>
        <v>38947.43</v>
      </c>
      <c r="N132" s="11">
        <f>VLOOKUP($B132,'Hospitalisation Details'!A131:J2475,10,0)</f>
        <v>37880</v>
      </c>
      <c r="O132" t="str">
        <f>VLOOKUP($B132,'Hospitalisation Details'!A131:J2475,8,0)</f>
        <v>tier - 2</v>
      </c>
      <c r="P132" t="str">
        <f>VLOOKUP($B132,'Hospitalisation Details'!A131:J2475,7,0)</f>
        <v>tier - 2</v>
      </c>
      <c r="Q132" t="str">
        <f>VLOOKUP($B132,'Hospitalisation Details'!A131:J2475,9,0)</f>
        <v>R1012</v>
      </c>
      <c r="R132">
        <f>VLOOKUP($B132,'Hospitalisation Details'!A131:K2475,11,0)</f>
        <v>19</v>
      </c>
    </row>
    <row r="133" spans="1:18" x14ac:dyDescent="0.35">
      <c r="A133" t="s">
        <v>2241</v>
      </c>
      <c r="B133" t="s">
        <v>153</v>
      </c>
      <c r="C133" t="str">
        <f>VLOOKUP($A133,'Customer Names'!$A:$E,4,FALSE)</f>
        <v>Sara S</v>
      </c>
      <c r="D133" t="str">
        <f>VLOOKUP($A133,'Medical Examinations'!$A:$J,2,FALSE)</f>
        <v>Obesity</v>
      </c>
      <c r="E133">
        <f>VLOOKUP($A133,'Medical Examinations'!$A:$J,4,FALSE)</f>
        <v>4.38</v>
      </c>
      <c r="F133" t="str">
        <f>VLOOKUP($A133,'Medical Examinations'!$A:$J,6,FALSE)</f>
        <v>yes</v>
      </c>
      <c r="G133" t="str">
        <f>VLOOKUP($A133,'Medical Examinations'!$A:$J,7,FALSE)</f>
        <v>No</v>
      </c>
      <c r="H133" t="str">
        <f>VLOOKUP($A133,'Medical Examinations'!$A:$J,8,FALSE)</f>
        <v>No</v>
      </c>
      <c r="I133">
        <f>VLOOKUP($A133,'Medical Examinations'!$A:$J,9,FALSE)</f>
        <v>0</v>
      </c>
      <c r="J133" t="str">
        <f>VLOOKUP($A133,'Medical Examinations'!$A:$J,10,FALSE)</f>
        <v>yes</v>
      </c>
      <c r="K133" t="str">
        <f>VLOOKUP($A133,'Medical Examinations'!$A:$J,5,FALSE)</f>
        <v>Normal</v>
      </c>
      <c r="L133">
        <f>VLOOKUP($A134,'Medical Examinations'!$A:$J,3,FALSE)</f>
        <v>52.15</v>
      </c>
      <c r="M133">
        <f>VLOOKUP($A133,'Hospitalisation Details'!$A:$K,6,FALSE)</f>
        <v>38932.559999999998</v>
      </c>
      <c r="N133" s="11">
        <f>VLOOKUP($B133,'Hospitalisation Details'!A132:J2476,10,0)</f>
        <v>38334</v>
      </c>
      <c r="O133" t="str">
        <f>VLOOKUP($B133,'Hospitalisation Details'!A132:J2476,8,0)</f>
        <v>tier - 2</v>
      </c>
      <c r="P133" t="str">
        <f>VLOOKUP($B133,'Hospitalisation Details'!A132:J2476,7,0)</f>
        <v>tier - 2</v>
      </c>
      <c r="Q133" t="str">
        <f>VLOOKUP($B133,'Hospitalisation Details'!A132:J2476,9,0)</f>
        <v>R1013</v>
      </c>
      <c r="R133">
        <f>VLOOKUP($B133,'Hospitalisation Details'!A132:K2476,11,0)</f>
        <v>18</v>
      </c>
    </row>
    <row r="134" spans="1:18" x14ac:dyDescent="0.35">
      <c r="A134" t="s">
        <v>2240</v>
      </c>
      <c r="B134" t="s">
        <v>154</v>
      </c>
      <c r="C134" t="str">
        <f>VLOOKUP($A134,'Customer Names'!$A:$E,4,FALSE)</f>
        <v>Nick</v>
      </c>
      <c r="D134" t="str">
        <f>VLOOKUP($A134,'Medical Examinations'!$A:$J,2,FALSE)</f>
        <v>Obesity</v>
      </c>
      <c r="E134">
        <f>VLOOKUP($A134,'Medical Examinations'!$A:$J,4,FALSE)</f>
        <v>5.65</v>
      </c>
      <c r="F134" t="str">
        <f>VLOOKUP($A134,'Medical Examinations'!$A:$J,6,FALSE)</f>
        <v>No</v>
      </c>
      <c r="G134" t="str">
        <f>VLOOKUP($A134,'Medical Examinations'!$A:$J,7,FALSE)</f>
        <v>No</v>
      </c>
      <c r="H134" t="str">
        <f>VLOOKUP($A134,'Medical Examinations'!$A:$J,8,FALSE)</f>
        <v>No</v>
      </c>
      <c r="I134">
        <f>VLOOKUP($A134,'Medical Examinations'!$A:$J,9,FALSE)</f>
        <v>1</v>
      </c>
      <c r="J134" t="str">
        <f>VLOOKUP($A134,'Medical Examinations'!$A:$J,10,FALSE)</f>
        <v>yes</v>
      </c>
      <c r="K134" t="str">
        <f>VLOOKUP($A134,'Medical Examinations'!$A:$J,5,FALSE)</f>
        <v>Normal</v>
      </c>
      <c r="L134">
        <f>VLOOKUP($A135,'Medical Examinations'!$A:$J,3,FALSE)</f>
        <v>41.12</v>
      </c>
      <c r="M134">
        <f>VLOOKUP($A134,'Hospitalisation Details'!$A:$K,6,FALSE)</f>
        <v>38924.04</v>
      </c>
      <c r="N134" s="11">
        <f>VLOOKUP($B134,'Hospitalisation Details'!A133:J2477,10,0)</f>
        <v>38207</v>
      </c>
      <c r="O134" t="str">
        <f>VLOOKUP($B134,'Hospitalisation Details'!A133:J2477,8,0)</f>
        <v>tier - 1</v>
      </c>
      <c r="P134" t="str">
        <f>VLOOKUP($B134,'Hospitalisation Details'!A133:J2477,7,0)</f>
        <v>tier - 2</v>
      </c>
      <c r="Q134" t="str">
        <f>VLOOKUP($B134,'Hospitalisation Details'!A133:J2477,9,0)</f>
        <v>R1013</v>
      </c>
      <c r="R134">
        <f>VLOOKUP($B134,'Hospitalisation Details'!A133:K2477,11,0)</f>
        <v>18</v>
      </c>
    </row>
    <row r="135" spans="1:18" x14ac:dyDescent="0.35">
      <c r="A135" t="s">
        <v>2239</v>
      </c>
      <c r="B135" t="s">
        <v>155</v>
      </c>
      <c r="C135" t="str">
        <f>VLOOKUP($A135,'Customer Names'!$A:$E,4,FALSE)</f>
        <v>Timothy</v>
      </c>
      <c r="D135" t="str">
        <f>VLOOKUP($A135,'Medical Examinations'!$A:$J,2,FALSE)</f>
        <v>Obesity</v>
      </c>
      <c r="E135">
        <f>VLOOKUP($A135,'Medical Examinations'!$A:$J,4,FALSE)</f>
        <v>7.54</v>
      </c>
      <c r="F135" t="str">
        <f>VLOOKUP($A135,'Medical Examinations'!$A:$J,6,FALSE)</f>
        <v>yes</v>
      </c>
      <c r="G135" t="str">
        <f>VLOOKUP($A135,'Medical Examinations'!$A:$J,7,FALSE)</f>
        <v>No</v>
      </c>
      <c r="H135" t="str">
        <f>VLOOKUP($A135,'Medical Examinations'!$A:$J,8,FALSE)</f>
        <v>No</v>
      </c>
      <c r="I135">
        <f>VLOOKUP($A135,'Medical Examinations'!$A:$J,9,FALSE)</f>
        <v>0</v>
      </c>
      <c r="J135" t="str">
        <f>VLOOKUP($A135,'Medical Examinations'!$A:$J,10,FALSE)</f>
        <v>yes</v>
      </c>
      <c r="K135" t="str">
        <f>VLOOKUP($A135,'Medical Examinations'!$A:$J,5,FALSE)</f>
        <v>Diabetes</v>
      </c>
      <c r="L135">
        <f>VLOOKUP($A136,'Medical Examinations'!$A:$J,3,FALSE)</f>
        <v>38.39</v>
      </c>
      <c r="M135">
        <f>VLOOKUP($A135,'Hospitalisation Details'!$A:$K,6,FALSE)</f>
        <v>38893.360000000001</v>
      </c>
      <c r="N135" s="11">
        <f>VLOOKUP($B135,'Hospitalisation Details'!A134:J2478,10,0)</f>
        <v>38151</v>
      </c>
      <c r="O135" t="str">
        <f>VLOOKUP($B135,'Hospitalisation Details'!A134:J2478,8,0)</f>
        <v>tier - 2</v>
      </c>
      <c r="P135" t="str">
        <f>VLOOKUP($B135,'Hospitalisation Details'!A134:J2478,7,0)</f>
        <v>tier - 2</v>
      </c>
      <c r="Q135" t="str">
        <f>VLOOKUP($B135,'Hospitalisation Details'!A134:J2478,9,0)</f>
        <v>R1013</v>
      </c>
      <c r="R135">
        <f>VLOOKUP($B135,'Hospitalisation Details'!A134:K2478,11,0)</f>
        <v>18</v>
      </c>
    </row>
    <row r="136" spans="1:18" x14ac:dyDescent="0.35">
      <c r="A136" t="s">
        <v>2238</v>
      </c>
      <c r="B136" t="s">
        <v>156</v>
      </c>
      <c r="C136" t="str">
        <f>VLOOKUP($A136,'Customer Names'!$A:$E,4,FALSE)</f>
        <v>Becky L</v>
      </c>
      <c r="D136" t="str">
        <f>VLOOKUP($A136,'Medical Examinations'!$A:$J,2,FALSE)</f>
        <v>Obesity</v>
      </c>
      <c r="E136">
        <f>VLOOKUP($A136,'Medical Examinations'!$A:$J,4,FALSE)</f>
        <v>5.1100000000000003</v>
      </c>
      <c r="F136" t="str">
        <f>VLOOKUP($A136,'Medical Examinations'!$A:$J,6,FALSE)</f>
        <v>yes</v>
      </c>
      <c r="G136" t="str">
        <f>VLOOKUP($A136,'Medical Examinations'!$A:$J,7,FALSE)</f>
        <v>No</v>
      </c>
      <c r="H136" t="str">
        <f>VLOOKUP($A136,'Medical Examinations'!$A:$J,8,FALSE)</f>
        <v>No</v>
      </c>
      <c r="I136">
        <f>VLOOKUP($A136,'Medical Examinations'!$A:$J,9,FALSE)</f>
        <v>1</v>
      </c>
      <c r="J136" t="str">
        <f>VLOOKUP($A136,'Medical Examinations'!$A:$J,10,FALSE)</f>
        <v>yes</v>
      </c>
      <c r="K136" t="str">
        <f>VLOOKUP($A136,'Medical Examinations'!$A:$J,5,FALSE)</f>
        <v>Normal</v>
      </c>
      <c r="L136">
        <f>VLOOKUP($A137,'Medical Examinations'!$A:$J,3,FALSE)</f>
        <v>46.85</v>
      </c>
      <c r="M136">
        <f>VLOOKUP($A136,'Hospitalisation Details'!$A:$K,6,FALSE)</f>
        <v>38869.25</v>
      </c>
      <c r="N136" s="11">
        <f>VLOOKUP($B136,'Hospitalisation Details'!A135:J2479,10,0)</f>
        <v>37985</v>
      </c>
      <c r="O136" t="str">
        <f>VLOOKUP($B136,'Hospitalisation Details'!A135:J2479,8,0)</f>
        <v>tier - 3</v>
      </c>
      <c r="P136" t="str">
        <f>VLOOKUP($B136,'Hospitalisation Details'!A135:J2479,7,0)</f>
        <v>tier - 2</v>
      </c>
      <c r="Q136" t="str">
        <f>VLOOKUP($B136,'Hospitalisation Details'!A135:J2479,9,0)</f>
        <v>R1012</v>
      </c>
      <c r="R136">
        <f>VLOOKUP($B136,'Hospitalisation Details'!A135:K2479,11,0)</f>
        <v>19</v>
      </c>
    </row>
    <row r="137" spans="1:18" x14ac:dyDescent="0.35">
      <c r="A137" t="s">
        <v>2237</v>
      </c>
      <c r="B137" t="s">
        <v>157</v>
      </c>
      <c r="C137" t="str">
        <f>VLOOKUP($A137,'Customer Names'!$A:$E,4,FALSE)</f>
        <v>Steph K.</v>
      </c>
      <c r="D137" t="str">
        <f>VLOOKUP($A137,'Medical Examinations'!$A:$J,2,FALSE)</f>
        <v>Obesity</v>
      </c>
      <c r="E137">
        <f>VLOOKUP($A137,'Medical Examinations'!$A:$J,4,FALSE)</f>
        <v>4.25</v>
      </c>
      <c r="F137" t="str">
        <f>VLOOKUP($A137,'Medical Examinations'!$A:$J,6,FALSE)</f>
        <v>No</v>
      </c>
      <c r="G137" t="str">
        <f>VLOOKUP($A137,'Medical Examinations'!$A:$J,7,FALSE)</f>
        <v>No</v>
      </c>
      <c r="H137" t="str">
        <f>VLOOKUP($A137,'Medical Examinations'!$A:$J,8,FALSE)</f>
        <v>Yes</v>
      </c>
      <c r="I137">
        <f>VLOOKUP($A137,'Medical Examinations'!$A:$J,9,FALSE)</f>
        <v>1</v>
      </c>
      <c r="J137" t="str">
        <f>VLOOKUP($A137,'Medical Examinations'!$A:$J,10,FALSE)</f>
        <v>yes</v>
      </c>
      <c r="K137" t="str">
        <f>VLOOKUP($A137,'Medical Examinations'!$A:$J,5,FALSE)</f>
        <v>Normal</v>
      </c>
      <c r="L137">
        <f>VLOOKUP($A138,'Medical Examinations'!$A:$J,3,FALSE)</f>
        <v>42.24</v>
      </c>
      <c r="M137">
        <f>VLOOKUP($A137,'Hospitalisation Details'!$A:$K,6,FALSE)</f>
        <v>38836.980000000003</v>
      </c>
      <c r="N137" s="11">
        <f>VLOOKUP($B137,'Hospitalisation Details'!A136:J2480,10,0)</f>
        <v>37880</v>
      </c>
      <c r="O137" t="str">
        <f>VLOOKUP($B137,'Hospitalisation Details'!A136:J2480,8,0)</f>
        <v>tier - 2</v>
      </c>
      <c r="P137" t="str">
        <f>VLOOKUP($B137,'Hospitalisation Details'!A136:J2480,7,0)</f>
        <v>tier - 2</v>
      </c>
      <c r="Q137" t="str">
        <f>VLOOKUP($B137,'Hospitalisation Details'!A136:J2480,9,0)</f>
        <v>R1012</v>
      </c>
      <c r="R137">
        <f>VLOOKUP($B137,'Hospitalisation Details'!A136:K2480,11,0)</f>
        <v>19</v>
      </c>
    </row>
    <row r="138" spans="1:18" x14ac:dyDescent="0.35">
      <c r="A138" t="s">
        <v>2236</v>
      </c>
      <c r="B138" t="s">
        <v>158</v>
      </c>
      <c r="C138" t="str">
        <f>VLOOKUP($A138,'Customer Names'!$A:$E,4,FALSE)</f>
        <v>Kristine B.</v>
      </c>
      <c r="D138" t="str">
        <f>VLOOKUP($A138,'Medical Examinations'!$A:$J,2,FALSE)</f>
        <v>Obesity</v>
      </c>
      <c r="E138">
        <f>VLOOKUP($A138,'Medical Examinations'!$A:$J,4,FALSE)</f>
        <v>5.55</v>
      </c>
      <c r="F138" t="str">
        <f>VLOOKUP($A138,'Medical Examinations'!$A:$J,6,FALSE)</f>
        <v>No</v>
      </c>
      <c r="G138" t="str">
        <f>VLOOKUP($A138,'Medical Examinations'!$A:$J,7,FALSE)</f>
        <v>yes</v>
      </c>
      <c r="H138" t="str">
        <f>VLOOKUP($A138,'Medical Examinations'!$A:$J,8,FALSE)</f>
        <v>No</v>
      </c>
      <c r="I138">
        <f>VLOOKUP($A138,'Medical Examinations'!$A:$J,9,FALSE)</f>
        <v>1</v>
      </c>
      <c r="J138" t="str">
        <f>VLOOKUP($A138,'Medical Examinations'!$A:$J,10,FALSE)</f>
        <v>yes</v>
      </c>
      <c r="K138" t="str">
        <f>VLOOKUP($A138,'Medical Examinations'!$A:$J,5,FALSE)</f>
        <v>Normal</v>
      </c>
      <c r="L138">
        <f>VLOOKUP($A139,'Medical Examinations'!$A:$J,3,FALSE)</f>
        <v>34.39</v>
      </c>
      <c r="M138">
        <f>VLOOKUP($A138,'Hospitalisation Details'!$A:$K,6,FALSE)</f>
        <v>38792.69</v>
      </c>
      <c r="N138" s="11">
        <f>VLOOKUP($B138,'Hospitalisation Details'!A137:J2481,10,0)</f>
        <v>37854</v>
      </c>
      <c r="O138" t="str">
        <f>VLOOKUP($B138,'Hospitalisation Details'!A137:J2481,8,0)</f>
        <v>tier - 2</v>
      </c>
      <c r="P138" t="str">
        <f>VLOOKUP($B138,'Hospitalisation Details'!A137:J2481,7,0)</f>
        <v>tier - 2</v>
      </c>
      <c r="Q138" t="str">
        <f>VLOOKUP($B138,'Hospitalisation Details'!A137:J2481,9,0)</f>
        <v>R1012</v>
      </c>
      <c r="R138">
        <f>VLOOKUP($B138,'Hospitalisation Details'!A137:K2481,11,0)</f>
        <v>19</v>
      </c>
    </row>
    <row r="139" spans="1:18" x14ac:dyDescent="0.35">
      <c r="A139" t="s">
        <v>2235</v>
      </c>
      <c r="B139" t="s">
        <v>159</v>
      </c>
      <c r="C139" t="str">
        <f>VLOOKUP($A139,'Customer Names'!$A:$E,4,FALSE)</f>
        <v>Taylor B</v>
      </c>
      <c r="D139" t="str">
        <f>VLOOKUP($A139,'Medical Examinations'!$A:$J,2,FALSE)</f>
        <v>Obesity</v>
      </c>
      <c r="E139">
        <f>VLOOKUP($A139,'Medical Examinations'!$A:$J,4,FALSE)</f>
        <v>5.78</v>
      </c>
      <c r="F139" t="str">
        <f>VLOOKUP($A139,'Medical Examinations'!$A:$J,6,FALSE)</f>
        <v>No</v>
      </c>
      <c r="G139" t="str">
        <f>VLOOKUP($A139,'Medical Examinations'!$A:$J,7,FALSE)</f>
        <v>No</v>
      </c>
      <c r="H139" t="str">
        <f>VLOOKUP($A139,'Medical Examinations'!$A:$J,8,FALSE)</f>
        <v>No</v>
      </c>
      <c r="I139">
        <f>VLOOKUP($A139,'Medical Examinations'!$A:$J,9,FALSE)</f>
        <v>0</v>
      </c>
      <c r="J139" t="str">
        <f>VLOOKUP($A139,'Medical Examinations'!$A:$J,10,FALSE)</f>
        <v>yes</v>
      </c>
      <c r="K139" t="str">
        <f>VLOOKUP($A139,'Medical Examinations'!$A:$J,5,FALSE)</f>
        <v>Prediabetes</v>
      </c>
      <c r="L139">
        <f>VLOOKUP($A140,'Medical Examinations'!$A:$J,3,FALSE)</f>
        <v>42.89</v>
      </c>
      <c r="M139">
        <f>VLOOKUP($A139,'Hospitalisation Details'!$A:$K,6,FALSE)</f>
        <v>38746.36</v>
      </c>
      <c r="N139" s="11">
        <f>VLOOKUP($B139,'Hospitalisation Details'!A138:J2482,10,0)</f>
        <v>37985</v>
      </c>
      <c r="O139" t="str">
        <f>VLOOKUP($B139,'Hospitalisation Details'!A138:J2482,8,0)</f>
        <v>tier - 1</v>
      </c>
      <c r="P139" t="str">
        <f>VLOOKUP($B139,'Hospitalisation Details'!A138:J2482,7,0)</f>
        <v>tier - 2</v>
      </c>
      <c r="Q139" t="str">
        <f>VLOOKUP($B139,'Hospitalisation Details'!A138:J2482,9,0)</f>
        <v>R1012</v>
      </c>
      <c r="R139">
        <f>VLOOKUP($B139,'Hospitalisation Details'!A138:K2482,11,0)</f>
        <v>19</v>
      </c>
    </row>
    <row r="140" spans="1:18" x14ac:dyDescent="0.35">
      <c r="A140" t="s">
        <v>2234</v>
      </c>
      <c r="B140" t="s">
        <v>160</v>
      </c>
      <c r="C140" t="str">
        <f>VLOOKUP($A140,'Customer Names'!$A:$E,4,FALSE)</f>
        <v>William</v>
      </c>
      <c r="D140" t="str">
        <f>VLOOKUP($A140,'Medical Examinations'!$A:$J,2,FALSE)</f>
        <v>Obesity</v>
      </c>
      <c r="E140">
        <f>VLOOKUP($A140,'Medical Examinations'!$A:$J,4,FALSE)</f>
        <v>5.28</v>
      </c>
      <c r="F140" t="str">
        <f>VLOOKUP($A140,'Medical Examinations'!$A:$J,6,FALSE)</f>
        <v>yes</v>
      </c>
      <c r="G140" t="str">
        <f>VLOOKUP($A140,'Medical Examinations'!$A:$J,7,FALSE)</f>
        <v>No</v>
      </c>
      <c r="H140" t="str">
        <f>VLOOKUP($A140,'Medical Examinations'!$A:$J,8,FALSE)</f>
        <v>No</v>
      </c>
      <c r="I140">
        <f>VLOOKUP($A140,'Medical Examinations'!$A:$J,9,FALSE)</f>
        <v>0</v>
      </c>
      <c r="J140" t="str">
        <f>VLOOKUP($A140,'Medical Examinations'!$A:$J,10,FALSE)</f>
        <v>yes</v>
      </c>
      <c r="K140" t="str">
        <f>VLOOKUP($A140,'Medical Examinations'!$A:$J,5,FALSE)</f>
        <v>Normal</v>
      </c>
      <c r="L140">
        <f>VLOOKUP($A141,'Medical Examinations'!$A:$J,3,FALSE)</f>
        <v>36.299999999999997</v>
      </c>
      <c r="M140">
        <f>VLOOKUP($A140,'Hospitalisation Details'!$A:$K,6,FALSE)</f>
        <v>38740.120000000003</v>
      </c>
      <c r="N140" s="11">
        <f>VLOOKUP($B140,'Hospitalisation Details'!A139:J2483,10,0)</f>
        <v>36822</v>
      </c>
      <c r="O140" t="str">
        <f>VLOOKUP($B140,'Hospitalisation Details'!A139:J2483,8,0)</f>
        <v>tier - 2</v>
      </c>
      <c r="P140" t="str">
        <f>VLOOKUP($B140,'Hospitalisation Details'!A139:J2483,7,0)</f>
        <v>tier - 2</v>
      </c>
      <c r="Q140" t="str">
        <f>VLOOKUP($B140,'Hospitalisation Details'!A139:J2483,9,0)</f>
        <v>R1013</v>
      </c>
      <c r="R140">
        <f>VLOOKUP($B140,'Hospitalisation Details'!A139:K2483,11,0)</f>
        <v>22</v>
      </c>
    </row>
    <row r="141" spans="1:18" x14ac:dyDescent="0.35">
      <c r="A141" t="s">
        <v>2233</v>
      </c>
      <c r="B141" t="s">
        <v>161</v>
      </c>
      <c r="C141" t="str">
        <f>VLOOKUP($A141,'Customer Names'!$A:$E,4,FALSE)</f>
        <v>Sage</v>
      </c>
      <c r="D141" t="str">
        <f>VLOOKUP($A141,'Medical Examinations'!$A:$J,2,FALSE)</f>
        <v>Obesity</v>
      </c>
      <c r="E141">
        <f>VLOOKUP($A141,'Medical Examinations'!$A:$J,4,FALSE)</f>
        <v>5.39</v>
      </c>
      <c r="F141" t="str">
        <f>VLOOKUP($A141,'Medical Examinations'!$A:$J,6,FALSE)</f>
        <v>No</v>
      </c>
      <c r="G141" t="str">
        <f>VLOOKUP($A141,'Medical Examinations'!$A:$J,7,FALSE)</f>
        <v>No</v>
      </c>
      <c r="H141" t="str">
        <f>VLOOKUP($A141,'Medical Examinations'!$A:$J,8,FALSE)</f>
        <v>No</v>
      </c>
      <c r="I141">
        <f>VLOOKUP($A141,'Medical Examinations'!$A:$J,9,FALSE)</f>
        <v>0</v>
      </c>
      <c r="J141" t="str">
        <f>VLOOKUP($A141,'Medical Examinations'!$A:$J,10,FALSE)</f>
        <v>yes</v>
      </c>
      <c r="K141" t="str">
        <f>VLOOKUP($A141,'Medical Examinations'!$A:$J,5,FALSE)</f>
        <v>Normal</v>
      </c>
      <c r="L141">
        <f>VLOOKUP($A142,'Medical Examinations'!$A:$J,3,FALSE)</f>
        <v>35.200000000000003</v>
      </c>
      <c r="M141">
        <f>VLOOKUP($A141,'Hospitalisation Details'!$A:$K,6,FALSE)</f>
        <v>38711</v>
      </c>
      <c r="N141" s="11">
        <f>VLOOKUP($B141,'Hospitalisation Details'!A140:J2484,10,0)</f>
        <v>36687</v>
      </c>
      <c r="O141" t="str">
        <f>VLOOKUP($B141,'Hospitalisation Details'!A140:J2484,8,0)</f>
        <v>tier - 2</v>
      </c>
      <c r="P141" t="str">
        <f>VLOOKUP($B141,'Hospitalisation Details'!A140:J2484,7,0)</f>
        <v>tier - 2</v>
      </c>
      <c r="Q141" t="str">
        <f>VLOOKUP($B141,'Hospitalisation Details'!A140:J2484,9,0)</f>
        <v>R1013</v>
      </c>
      <c r="R141">
        <f>VLOOKUP($B141,'Hospitalisation Details'!A140:K2484,11,0)</f>
        <v>22</v>
      </c>
    </row>
    <row r="142" spans="1:18" x14ac:dyDescent="0.35">
      <c r="A142" t="s">
        <v>2232</v>
      </c>
      <c r="B142" t="s">
        <v>162</v>
      </c>
      <c r="C142" t="str">
        <f>VLOOKUP($A142,'Customer Names'!$A:$E,4,FALSE)</f>
        <v>Cole</v>
      </c>
      <c r="D142" t="str">
        <f>VLOOKUP($A142,'Medical Examinations'!$A:$J,2,FALSE)</f>
        <v>Obesity</v>
      </c>
      <c r="E142">
        <f>VLOOKUP($A142,'Medical Examinations'!$A:$J,4,FALSE)</f>
        <v>8.01</v>
      </c>
      <c r="F142" t="str">
        <f>VLOOKUP($A142,'Medical Examinations'!$A:$J,6,FALSE)</f>
        <v>yes</v>
      </c>
      <c r="G142" t="str">
        <f>VLOOKUP($A142,'Medical Examinations'!$A:$J,7,FALSE)</f>
        <v>No</v>
      </c>
      <c r="H142" t="str">
        <f>VLOOKUP($A142,'Medical Examinations'!$A:$J,8,FALSE)</f>
        <v>No</v>
      </c>
      <c r="I142">
        <f>VLOOKUP($A142,'Medical Examinations'!$A:$J,9,FALSE)</f>
        <v>1</v>
      </c>
      <c r="J142" t="str">
        <f>VLOOKUP($A142,'Medical Examinations'!$A:$J,10,FALSE)</f>
        <v>yes</v>
      </c>
      <c r="K142" t="str">
        <f>VLOOKUP($A142,'Medical Examinations'!$A:$J,5,FALSE)</f>
        <v>Diabetes</v>
      </c>
      <c r="L142">
        <f>VLOOKUP($A143,'Medical Examinations'!$A:$J,3,FALSE)</f>
        <v>53.62</v>
      </c>
      <c r="M142">
        <f>VLOOKUP($A142,'Hospitalisation Details'!$A:$K,6,FALSE)</f>
        <v>38709.18</v>
      </c>
      <c r="N142" s="11">
        <f>VLOOKUP($B142,'Hospitalisation Details'!A141:J2485,10,0)</f>
        <v>36820</v>
      </c>
      <c r="O142" t="str">
        <f>VLOOKUP($B142,'Hospitalisation Details'!A141:J2485,8,0)</f>
        <v>tier - 2</v>
      </c>
      <c r="P142" t="str">
        <f>VLOOKUP($B142,'Hospitalisation Details'!A141:J2485,7,0)</f>
        <v>tier - 2</v>
      </c>
      <c r="Q142" t="str">
        <f>VLOOKUP($B142,'Hospitalisation Details'!A141:J2485,9,0)</f>
        <v>R1011</v>
      </c>
      <c r="R142">
        <f>VLOOKUP($B142,'Hospitalisation Details'!A141:K2485,11,0)</f>
        <v>22</v>
      </c>
    </row>
    <row r="143" spans="1:18" x14ac:dyDescent="0.35">
      <c r="A143" t="s">
        <v>2231</v>
      </c>
      <c r="B143" t="s">
        <v>163</v>
      </c>
      <c r="C143" t="str">
        <f>VLOOKUP($A143,'Customer Names'!$A:$E,4,FALSE)</f>
        <v>Jesse</v>
      </c>
      <c r="D143" t="str">
        <f>VLOOKUP($A143,'Medical Examinations'!$A:$J,2,FALSE)</f>
        <v>Obesity</v>
      </c>
      <c r="E143">
        <f>VLOOKUP($A143,'Medical Examinations'!$A:$J,4,FALSE)</f>
        <v>5.21</v>
      </c>
      <c r="F143" t="str">
        <f>VLOOKUP($A143,'Medical Examinations'!$A:$J,6,FALSE)</f>
        <v>No</v>
      </c>
      <c r="G143" t="str">
        <f>VLOOKUP($A143,'Medical Examinations'!$A:$J,7,FALSE)</f>
        <v>No</v>
      </c>
      <c r="H143" t="str">
        <f>VLOOKUP($A143,'Medical Examinations'!$A:$J,8,FALSE)</f>
        <v>No</v>
      </c>
      <c r="I143">
        <f>VLOOKUP($A143,'Medical Examinations'!$A:$J,9,FALSE)</f>
        <v>0</v>
      </c>
      <c r="J143" t="str">
        <f>VLOOKUP($A143,'Medical Examinations'!$A:$J,10,FALSE)</f>
        <v>yes</v>
      </c>
      <c r="K143" t="str">
        <f>VLOOKUP($A143,'Medical Examinations'!$A:$J,5,FALSE)</f>
        <v>Normal</v>
      </c>
      <c r="L143">
        <f>VLOOKUP($A144,'Medical Examinations'!$A:$J,3,FALSE)</f>
        <v>36.67</v>
      </c>
      <c r="M143">
        <f>VLOOKUP($A143,'Hospitalisation Details'!$A:$K,6,FALSE)</f>
        <v>38652.089999999997</v>
      </c>
      <c r="N143" s="11">
        <f>VLOOKUP($B143,'Hospitalisation Details'!A142:J2486,10,0)</f>
        <v>38308</v>
      </c>
      <c r="O143" t="str">
        <f>VLOOKUP($B143,'Hospitalisation Details'!A142:J2486,8,0)</f>
        <v>tier - 2</v>
      </c>
      <c r="P143" t="str">
        <f>VLOOKUP($B143,'Hospitalisation Details'!A142:J2486,7,0)</f>
        <v>tier - 2</v>
      </c>
      <c r="Q143" t="str">
        <f>VLOOKUP($B143,'Hospitalisation Details'!A142:J2486,9,0)</f>
        <v>R1015</v>
      </c>
      <c r="R143">
        <f>VLOOKUP($B143,'Hospitalisation Details'!A142:K2486,11,0)</f>
        <v>18</v>
      </c>
    </row>
    <row r="144" spans="1:18" x14ac:dyDescent="0.35">
      <c r="A144" t="s">
        <v>2230</v>
      </c>
      <c r="B144" t="s">
        <v>165</v>
      </c>
      <c r="C144" t="str">
        <f>VLOOKUP($A144,'Customer Names'!$A:$E,4,FALSE)</f>
        <v>Tammi J.</v>
      </c>
      <c r="D144" t="str">
        <f>VLOOKUP($A144,'Medical Examinations'!$A:$J,2,FALSE)</f>
        <v>Obesity</v>
      </c>
      <c r="E144">
        <f>VLOOKUP($A144,'Medical Examinations'!$A:$J,4,FALSE)</f>
        <v>6.27</v>
      </c>
      <c r="F144" t="str">
        <f>VLOOKUP($A144,'Medical Examinations'!$A:$J,6,FALSE)</f>
        <v>No</v>
      </c>
      <c r="G144" t="str">
        <f>VLOOKUP($A144,'Medical Examinations'!$A:$J,7,FALSE)</f>
        <v>No</v>
      </c>
      <c r="H144" t="str">
        <f>VLOOKUP($A144,'Medical Examinations'!$A:$J,8,FALSE)</f>
        <v>No</v>
      </c>
      <c r="I144">
        <f>VLOOKUP($A144,'Medical Examinations'!$A:$J,9,FALSE)</f>
        <v>0</v>
      </c>
      <c r="J144" t="str">
        <f>VLOOKUP($A144,'Medical Examinations'!$A:$J,10,FALSE)</f>
        <v>yes</v>
      </c>
      <c r="K144" t="str">
        <f>VLOOKUP($A144,'Medical Examinations'!$A:$J,5,FALSE)</f>
        <v>Prediabetes</v>
      </c>
      <c r="L144">
        <f>VLOOKUP($A145,'Medical Examinations'!$A:$J,3,FALSE)</f>
        <v>33.4</v>
      </c>
      <c r="M144">
        <f>VLOOKUP($A144,'Hospitalisation Details'!$A:$K,6,FALSE)</f>
        <v>38511.629999999997</v>
      </c>
      <c r="N144" s="11">
        <f>VLOOKUP($B144,'Hospitalisation Details'!A143:J2487,10,0)</f>
        <v>38331</v>
      </c>
      <c r="O144" t="str">
        <f>VLOOKUP($B144,'Hospitalisation Details'!A143:J2487,8,0)</f>
        <v>tier - 3</v>
      </c>
      <c r="P144" t="str">
        <f>VLOOKUP($B144,'Hospitalisation Details'!A143:J2487,7,0)</f>
        <v>tier - 2</v>
      </c>
      <c r="Q144" t="str">
        <f>VLOOKUP($B144,'Hospitalisation Details'!A143:J2487,9,0)</f>
        <v>R1019</v>
      </c>
      <c r="R144">
        <f>VLOOKUP($B144,'Hospitalisation Details'!A143:K2487,11,0)</f>
        <v>18</v>
      </c>
    </row>
    <row r="145" spans="1:18" x14ac:dyDescent="0.35">
      <c r="A145" t="s">
        <v>2229</v>
      </c>
      <c r="B145" t="s">
        <v>167</v>
      </c>
      <c r="C145" t="str">
        <f>VLOOKUP($A145,'Customer Names'!$A:$E,4,FALSE)</f>
        <v>Matthew S.</v>
      </c>
      <c r="D145" t="str">
        <f>VLOOKUP($A145,'Medical Examinations'!$A:$J,2,FALSE)</f>
        <v>Obesity</v>
      </c>
      <c r="E145">
        <f>VLOOKUP($A145,'Medical Examinations'!$A:$J,4,FALSE)</f>
        <v>10.73</v>
      </c>
      <c r="F145" t="str">
        <f>VLOOKUP($A145,'Medical Examinations'!$A:$J,6,FALSE)</f>
        <v>yes</v>
      </c>
      <c r="G145" t="str">
        <f>VLOOKUP($A145,'Medical Examinations'!$A:$J,7,FALSE)</f>
        <v>No</v>
      </c>
      <c r="H145" t="str">
        <f>VLOOKUP($A145,'Medical Examinations'!$A:$J,8,FALSE)</f>
        <v>No</v>
      </c>
      <c r="I145">
        <f>VLOOKUP($A145,'Medical Examinations'!$A:$J,9,FALSE)</f>
        <v>1</v>
      </c>
      <c r="J145" t="str">
        <f>VLOOKUP($A145,'Medical Examinations'!$A:$J,10,FALSE)</f>
        <v>yes</v>
      </c>
      <c r="K145" t="str">
        <f>VLOOKUP($A145,'Medical Examinations'!$A:$J,5,FALSE)</f>
        <v>Diabetes</v>
      </c>
      <c r="L145">
        <f>VLOOKUP($A146,'Medical Examinations'!$A:$J,3,FALSE)</f>
        <v>42.71</v>
      </c>
      <c r="M145">
        <f>VLOOKUP($A145,'Hospitalisation Details'!$A:$K,6,FALSE)</f>
        <v>38415.47</v>
      </c>
      <c r="N145" s="11">
        <f>VLOOKUP($B145,'Hospitalisation Details'!A144:J2488,10,0)</f>
        <v>38298</v>
      </c>
      <c r="O145" t="str">
        <f>VLOOKUP($B145,'Hospitalisation Details'!A144:J2488,8,0)</f>
        <v>tier - 1</v>
      </c>
      <c r="P145" t="str">
        <f>VLOOKUP($B145,'Hospitalisation Details'!A144:J2488,7,0)</f>
        <v>tier - 2</v>
      </c>
      <c r="Q145" t="str">
        <f>VLOOKUP($B145,'Hospitalisation Details'!A144:J2488,9,0)</f>
        <v>R1016</v>
      </c>
      <c r="R145">
        <f>VLOOKUP($B145,'Hospitalisation Details'!A144:K2488,11,0)</f>
        <v>18</v>
      </c>
    </row>
    <row r="146" spans="1:18" x14ac:dyDescent="0.35">
      <c r="A146" t="s">
        <v>2228</v>
      </c>
      <c r="B146" t="s">
        <v>169</v>
      </c>
      <c r="C146" t="str">
        <f>VLOOKUP($A146,'Customer Names'!$A:$E,4,FALSE)</f>
        <v>Eric</v>
      </c>
      <c r="D146" t="str">
        <f>VLOOKUP($A146,'Medical Examinations'!$A:$J,2,FALSE)</f>
        <v>Obesity</v>
      </c>
      <c r="E146">
        <f>VLOOKUP($A146,'Medical Examinations'!$A:$J,4,FALSE)</f>
        <v>10.52</v>
      </c>
      <c r="F146" t="str">
        <f>VLOOKUP($A146,'Medical Examinations'!$A:$J,6,FALSE)</f>
        <v>No</v>
      </c>
      <c r="G146" t="str">
        <f>VLOOKUP($A146,'Medical Examinations'!$A:$J,7,FALSE)</f>
        <v>No</v>
      </c>
      <c r="H146" t="str">
        <f>VLOOKUP($A146,'Medical Examinations'!$A:$J,8,FALSE)</f>
        <v>No</v>
      </c>
      <c r="I146">
        <f>VLOOKUP($A146,'Medical Examinations'!$A:$J,9,FALSE)</f>
        <v>0</v>
      </c>
      <c r="J146" t="str">
        <f>VLOOKUP($A146,'Medical Examinations'!$A:$J,10,FALSE)</f>
        <v>yes</v>
      </c>
      <c r="K146" t="str">
        <f>VLOOKUP($A146,'Medical Examinations'!$A:$J,5,FALSE)</f>
        <v>Diabetes</v>
      </c>
      <c r="L146">
        <f>VLOOKUP($A147,'Medical Examinations'!$A:$J,3,FALSE)</f>
        <v>41.52</v>
      </c>
      <c r="M146">
        <f>VLOOKUP($A146,'Hospitalisation Details'!$A:$K,6,FALSE)</f>
        <v>38405.26</v>
      </c>
      <c r="N146" s="11">
        <f>VLOOKUP($B146,'Hospitalisation Details'!A145:J2489,10,0)</f>
        <v>38335</v>
      </c>
      <c r="O146" t="str">
        <f>VLOOKUP($B146,'Hospitalisation Details'!A145:J2489,8,0)</f>
        <v>tier - 3</v>
      </c>
      <c r="P146" t="str">
        <f>VLOOKUP($B146,'Hospitalisation Details'!A145:J2489,7,0)</f>
        <v>tier - 2</v>
      </c>
      <c r="Q146" t="str">
        <f>VLOOKUP($B146,'Hospitalisation Details'!A145:J2489,9,0)</f>
        <v>R1018</v>
      </c>
      <c r="R146">
        <f>VLOOKUP($B146,'Hospitalisation Details'!A145:K2489,11,0)</f>
        <v>18</v>
      </c>
    </row>
    <row r="147" spans="1:18" x14ac:dyDescent="0.35">
      <c r="A147" t="s">
        <v>2227</v>
      </c>
      <c r="B147" t="s">
        <v>171</v>
      </c>
      <c r="C147" t="str">
        <f>VLOOKUP($A147,'Customer Names'!$A:$E,4,FALSE)</f>
        <v>Valeria R</v>
      </c>
      <c r="D147" t="str">
        <f>VLOOKUP($A147,'Medical Examinations'!$A:$J,2,FALSE)</f>
        <v>Obesity</v>
      </c>
      <c r="E147">
        <f>VLOOKUP($A147,'Medical Examinations'!$A:$J,4,FALSE)</f>
        <v>11.82</v>
      </c>
      <c r="F147" t="str">
        <f>VLOOKUP($A147,'Medical Examinations'!$A:$J,6,FALSE)</f>
        <v>yes</v>
      </c>
      <c r="G147" t="str">
        <f>VLOOKUP($A147,'Medical Examinations'!$A:$J,7,FALSE)</f>
        <v>No</v>
      </c>
      <c r="H147" t="str">
        <f>VLOOKUP($A147,'Medical Examinations'!$A:$J,8,FALSE)</f>
        <v>No</v>
      </c>
      <c r="I147">
        <f>VLOOKUP($A147,'Medical Examinations'!$A:$J,9,FALSE)</f>
        <v>2</v>
      </c>
      <c r="J147" t="str">
        <f>VLOOKUP($A147,'Medical Examinations'!$A:$J,10,FALSE)</f>
        <v>yes</v>
      </c>
      <c r="K147" t="str">
        <f>VLOOKUP($A147,'Medical Examinations'!$A:$J,5,FALSE)</f>
        <v>Diabetes</v>
      </c>
      <c r="L147">
        <f>VLOOKUP($A148,'Medical Examinations'!$A:$J,3,FALSE)</f>
        <v>39.4</v>
      </c>
      <c r="M147">
        <f>VLOOKUP($A147,'Hospitalisation Details'!$A:$K,6,FALSE)</f>
        <v>38389.79</v>
      </c>
      <c r="N147" s="11">
        <f>VLOOKUP($B147,'Hospitalisation Details'!A146:J2490,10,0)</f>
        <v>38327</v>
      </c>
      <c r="O147" t="str">
        <f>VLOOKUP($B147,'Hospitalisation Details'!A146:J2490,8,0)</f>
        <v>tier - 2</v>
      </c>
      <c r="P147" t="str">
        <f>VLOOKUP($B147,'Hospitalisation Details'!A146:J2490,7,0)</f>
        <v>tier - 2</v>
      </c>
      <c r="Q147" t="str">
        <f>VLOOKUP($B147,'Hospitalisation Details'!A146:J2490,9,0)</f>
        <v>R1015</v>
      </c>
      <c r="R147">
        <f>VLOOKUP($B147,'Hospitalisation Details'!A146:K2490,11,0)</f>
        <v>18</v>
      </c>
    </row>
    <row r="148" spans="1:18" x14ac:dyDescent="0.35">
      <c r="A148" t="s">
        <v>2226</v>
      </c>
      <c r="B148" t="s">
        <v>172</v>
      </c>
      <c r="C148" t="str">
        <f>VLOOKUP($A148,'Customer Names'!$A:$E,4,FALSE)</f>
        <v>Michael P</v>
      </c>
      <c r="D148" t="str">
        <f>VLOOKUP($A148,'Medical Examinations'!$A:$J,2,FALSE)</f>
        <v>Obesity</v>
      </c>
      <c r="E148">
        <f>VLOOKUP($A148,'Medical Examinations'!$A:$J,4,FALSE)</f>
        <v>6.76</v>
      </c>
      <c r="F148" t="str">
        <f>VLOOKUP($A148,'Medical Examinations'!$A:$J,6,FALSE)</f>
        <v>No</v>
      </c>
      <c r="G148" t="str">
        <f>VLOOKUP($A148,'Medical Examinations'!$A:$J,7,FALSE)</f>
        <v>No</v>
      </c>
      <c r="H148" t="str">
        <f>VLOOKUP($A148,'Medical Examinations'!$A:$J,8,FALSE)</f>
        <v>No</v>
      </c>
      <c r="I148">
        <f>VLOOKUP($A148,'Medical Examinations'!$A:$J,9,FALSE)</f>
        <v>0</v>
      </c>
      <c r="J148" t="str">
        <f>VLOOKUP($A148,'Medical Examinations'!$A:$J,10,FALSE)</f>
        <v>yes</v>
      </c>
      <c r="K148" t="str">
        <f>VLOOKUP($A148,'Medical Examinations'!$A:$J,5,FALSE)</f>
        <v>Diabetes</v>
      </c>
      <c r="L148">
        <f>VLOOKUP($A149,'Medical Examinations'!$A:$J,3,FALSE)</f>
        <v>46.45</v>
      </c>
      <c r="M148">
        <f>VLOOKUP($A148,'Hospitalisation Details'!$A:$K,6,FALSE)</f>
        <v>38344.57</v>
      </c>
      <c r="N148" s="11">
        <f>VLOOKUP($B148,'Hospitalisation Details'!A147:J2491,10,0)</f>
        <v>38277</v>
      </c>
      <c r="O148" t="str">
        <f>VLOOKUP($B148,'Hospitalisation Details'!A147:J2491,8,0)</f>
        <v>tier - 2</v>
      </c>
      <c r="P148" t="str">
        <f>VLOOKUP($B148,'Hospitalisation Details'!A147:J2491,7,0)</f>
        <v>tier - 3</v>
      </c>
      <c r="Q148" t="str">
        <f>VLOOKUP($B148,'Hospitalisation Details'!A147:J2491,9,0)</f>
        <v>R1016</v>
      </c>
      <c r="R148">
        <f>VLOOKUP($B148,'Hospitalisation Details'!A147:K2491,11,0)</f>
        <v>18</v>
      </c>
    </row>
    <row r="149" spans="1:18" x14ac:dyDescent="0.35">
      <c r="A149" t="s">
        <v>2225</v>
      </c>
      <c r="B149" t="s">
        <v>173</v>
      </c>
      <c r="C149" t="str">
        <f>VLOOKUP($A149,'Customer Names'!$A:$E,4,FALSE)</f>
        <v>Rami</v>
      </c>
      <c r="D149" t="str">
        <f>VLOOKUP($A149,'Medical Examinations'!$A:$J,2,FALSE)</f>
        <v>Obesity</v>
      </c>
      <c r="E149">
        <f>VLOOKUP($A149,'Medical Examinations'!$A:$J,4,FALSE)</f>
        <v>5.62</v>
      </c>
      <c r="F149" t="str">
        <f>VLOOKUP($A149,'Medical Examinations'!$A:$J,6,FALSE)</f>
        <v>No</v>
      </c>
      <c r="G149" t="str">
        <f>VLOOKUP($A149,'Medical Examinations'!$A:$J,7,FALSE)</f>
        <v>No</v>
      </c>
      <c r="H149" t="str">
        <f>VLOOKUP($A149,'Medical Examinations'!$A:$J,8,FALSE)</f>
        <v>No</v>
      </c>
      <c r="I149">
        <f>VLOOKUP($A149,'Medical Examinations'!$A:$J,9,FALSE)</f>
        <v>0</v>
      </c>
      <c r="J149" t="str">
        <f>VLOOKUP($A149,'Medical Examinations'!$A:$J,10,FALSE)</f>
        <v>yes</v>
      </c>
      <c r="K149" t="str">
        <f>VLOOKUP($A149,'Medical Examinations'!$A:$J,5,FALSE)</f>
        <v>Normal</v>
      </c>
      <c r="L149">
        <f>VLOOKUP($A150,'Medical Examinations'!$A:$J,3,FALSE)</f>
        <v>35.75</v>
      </c>
      <c r="M149">
        <f>VLOOKUP($A149,'Hospitalisation Details'!$A:$K,6,FALSE)</f>
        <v>38313.129999999997</v>
      </c>
      <c r="N149" s="11">
        <f>VLOOKUP($B149,'Hospitalisation Details'!A148:J2492,10,0)</f>
        <v>38333</v>
      </c>
      <c r="O149" t="str">
        <f>VLOOKUP($B149,'Hospitalisation Details'!A148:J2492,8,0)</f>
        <v>tier - 1</v>
      </c>
      <c r="P149" t="str">
        <f>VLOOKUP($B149,'Hospitalisation Details'!A148:J2492,7,0)</f>
        <v>tier - 3</v>
      </c>
      <c r="Q149" t="str">
        <f>VLOOKUP($B149,'Hospitalisation Details'!A148:J2492,9,0)</f>
        <v>R1019</v>
      </c>
      <c r="R149">
        <f>VLOOKUP($B149,'Hospitalisation Details'!A148:K2492,11,0)</f>
        <v>18</v>
      </c>
    </row>
    <row r="150" spans="1:18" x14ac:dyDescent="0.35">
      <c r="A150" t="s">
        <v>2224</v>
      </c>
      <c r="B150" t="s">
        <v>174</v>
      </c>
      <c r="C150" t="str">
        <f>VLOOKUP($A150,'Customer Names'!$A:$E,4,FALSE)</f>
        <v>Denis</v>
      </c>
      <c r="D150" t="str">
        <f>VLOOKUP($A150,'Medical Examinations'!$A:$J,2,FALSE)</f>
        <v>Obesity</v>
      </c>
      <c r="E150">
        <f>VLOOKUP($A150,'Medical Examinations'!$A:$J,4,FALSE)</f>
        <v>4.1900000000000004</v>
      </c>
      <c r="F150" t="str">
        <f>VLOOKUP($A150,'Medical Examinations'!$A:$J,6,FALSE)</f>
        <v>No</v>
      </c>
      <c r="G150" t="str">
        <f>VLOOKUP($A150,'Medical Examinations'!$A:$J,7,FALSE)</f>
        <v>No</v>
      </c>
      <c r="H150" t="str">
        <f>VLOOKUP($A150,'Medical Examinations'!$A:$J,8,FALSE)</f>
        <v>No</v>
      </c>
      <c r="I150">
        <f>VLOOKUP($A150,'Medical Examinations'!$A:$J,9,FALSE)</f>
        <v>0</v>
      </c>
      <c r="J150" t="str">
        <f>VLOOKUP($A150,'Medical Examinations'!$A:$J,10,FALSE)</f>
        <v>yes</v>
      </c>
      <c r="K150" t="str">
        <f>VLOOKUP($A150,'Medical Examinations'!$A:$J,5,FALSE)</f>
        <v>Normal</v>
      </c>
      <c r="L150">
        <f>VLOOKUP($A151,'Medical Examinations'!$A:$J,3,FALSE)</f>
        <v>26.07</v>
      </c>
      <c r="M150">
        <f>VLOOKUP($A150,'Hospitalisation Details'!$A:$K,6,FALSE)</f>
        <v>38282.75</v>
      </c>
      <c r="N150" s="11">
        <f>VLOOKUP($B150,'Hospitalisation Details'!A149:J2493,10,0)</f>
        <v>38249</v>
      </c>
      <c r="O150" t="str">
        <f>VLOOKUP($B150,'Hospitalisation Details'!A149:J2493,8,0)</f>
        <v>tier - 3</v>
      </c>
      <c r="P150" t="str">
        <f>VLOOKUP($B150,'Hospitalisation Details'!A149:J2493,7,0)</f>
        <v>tier - 3</v>
      </c>
      <c r="Q150" t="str">
        <f>VLOOKUP($B150,'Hospitalisation Details'!A149:J2493,9,0)</f>
        <v>R1013</v>
      </c>
      <c r="R150">
        <f>VLOOKUP($B150,'Hospitalisation Details'!A149:K2493,11,0)</f>
        <v>18</v>
      </c>
    </row>
    <row r="151" spans="1:18" x14ac:dyDescent="0.35">
      <c r="A151" t="s">
        <v>2223</v>
      </c>
      <c r="B151" t="s">
        <v>175</v>
      </c>
      <c r="C151" t="str">
        <f>VLOOKUP($A151,'Customer Names'!$A:$E,4,FALSE)</f>
        <v>Brian E</v>
      </c>
      <c r="D151" t="str">
        <f>VLOOKUP($A151,'Medical Examinations'!$A:$J,2,FALSE)</f>
        <v>Overweight</v>
      </c>
      <c r="E151">
        <f>VLOOKUP($A151,'Medical Examinations'!$A:$J,4,FALSE)</f>
        <v>5.32</v>
      </c>
      <c r="F151" t="str">
        <f>VLOOKUP($A151,'Medical Examinations'!$A:$J,6,FALSE)</f>
        <v>No</v>
      </c>
      <c r="G151" t="str">
        <f>VLOOKUP($A151,'Medical Examinations'!$A:$J,7,FALSE)</f>
        <v>No</v>
      </c>
      <c r="H151" t="str">
        <f>VLOOKUP($A151,'Medical Examinations'!$A:$J,8,FALSE)</f>
        <v>No</v>
      </c>
      <c r="I151">
        <f>VLOOKUP($A151,'Medical Examinations'!$A:$J,9,FALSE)</f>
        <v>0</v>
      </c>
      <c r="J151" t="str">
        <f>VLOOKUP($A151,'Medical Examinations'!$A:$J,10,FALSE)</f>
        <v>yes</v>
      </c>
      <c r="K151" t="str">
        <f>VLOOKUP($A151,'Medical Examinations'!$A:$J,5,FALSE)</f>
        <v>Normal</v>
      </c>
      <c r="L151">
        <f>VLOOKUP($A152,'Medical Examinations'!$A:$J,3,FALSE)</f>
        <v>36.54</v>
      </c>
      <c r="M151">
        <f>VLOOKUP($A151,'Hospitalisation Details'!$A:$K,6,FALSE)</f>
        <v>38245.589999999997</v>
      </c>
      <c r="N151" s="11">
        <f>VLOOKUP($B151,'Hospitalisation Details'!A150:J2494,10,0)</f>
        <v>38251</v>
      </c>
      <c r="O151" t="str">
        <f>VLOOKUP($B151,'Hospitalisation Details'!A150:J2494,8,0)</f>
        <v>tier - 1</v>
      </c>
      <c r="P151" t="str">
        <f>VLOOKUP($B151,'Hospitalisation Details'!A150:J2494,7,0)</f>
        <v>tier - 3</v>
      </c>
      <c r="Q151" t="str">
        <f>VLOOKUP($B151,'Hospitalisation Details'!A150:J2494,9,0)</f>
        <v>R1016</v>
      </c>
      <c r="R151">
        <f>VLOOKUP($B151,'Hospitalisation Details'!A150:K2494,11,0)</f>
        <v>18</v>
      </c>
    </row>
    <row r="152" spans="1:18" x14ac:dyDescent="0.35">
      <c r="A152" t="s">
        <v>2222</v>
      </c>
      <c r="B152" t="s">
        <v>176</v>
      </c>
      <c r="C152" t="str">
        <f>VLOOKUP($A152,'Customer Names'!$A:$E,4,FALSE)</f>
        <v>Bonnie</v>
      </c>
      <c r="D152" t="str">
        <f>VLOOKUP($A152,'Medical Examinations'!$A:$J,2,FALSE)</f>
        <v>Obesity</v>
      </c>
      <c r="E152">
        <f>VLOOKUP($A152,'Medical Examinations'!$A:$J,4,FALSE)</f>
        <v>4.46</v>
      </c>
      <c r="F152" t="str">
        <f>VLOOKUP($A152,'Medical Examinations'!$A:$J,6,FALSE)</f>
        <v>yes</v>
      </c>
      <c r="G152" t="str">
        <f>VLOOKUP($A152,'Medical Examinations'!$A:$J,7,FALSE)</f>
        <v>No</v>
      </c>
      <c r="H152" t="str">
        <f>VLOOKUP($A152,'Medical Examinations'!$A:$J,8,FALSE)</f>
        <v>No</v>
      </c>
      <c r="I152">
        <f>VLOOKUP($A152,'Medical Examinations'!$A:$J,9,FALSE)</f>
        <v>1</v>
      </c>
      <c r="J152" t="str">
        <f>VLOOKUP($A152,'Medical Examinations'!$A:$J,10,FALSE)</f>
        <v>yes</v>
      </c>
      <c r="K152" t="str">
        <f>VLOOKUP($A152,'Medical Examinations'!$A:$J,5,FALSE)</f>
        <v>Normal</v>
      </c>
      <c r="L152">
        <f>VLOOKUP($A153,'Medical Examinations'!$A:$J,3,FALSE)</f>
        <v>51.64</v>
      </c>
      <c r="M152">
        <f>VLOOKUP($A152,'Hospitalisation Details'!$A:$K,6,FALSE)</f>
        <v>38241.74</v>
      </c>
      <c r="N152" s="11">
        <f>VLOOKUP($B152,'Hospitalisation Details'!A151:J2495,10,0)</f>
        <v>38148</v>
      </c>
      <c r="O152" t="str">
        <f>VLOOKUP($B152,'Hospitalisation Details'!A151:J2495,8,0)</f>
        <v>tier - 3</v>
      </c>
      <c r="P152" t="str">
        <f>VLOOKUP($B152,'Hospitalisation Details'!A151:J2495,7,0)</f>
        <v>tier - 3</v>
      </c>
      <c r="Q152" t="str">
        <f>VLOOKUP($B152,'Hospitalisation Details'!A151:J2495,9,0)</f>
        <v>R1013</v>
      </c>
      <c r="R152">
        <f>VLOOKUP($B152,'Hospitalisation Details'!A151:K2495,11,0)</f>
        <v>18</v>
      </c>
    </row>
    <row r="153" spans="1:18" x14ac:dyDescent="0.35">
      <c r="A153" t="s">
        <v>2221</v>
      </c>
      <c r="B153" t="s">
        <v>177</v>
      </c>
      <c r="C153" t="str">
        <f>VLOOKUP($A153,'Customer Names'!$A:$E,4,FALSE)</f>
        <v>Michael P</v>
      </c>
      <c r="D153" t="str">
        <f>VLOOKUP($A153,'Medical Examinations'!$A:$J,2,FALSE)</f>
        <v>Obesity</v>
      </c>
      <c r="E153">
        <f>VLOOKUP($A153,'Medical Examinations'!$A:$J,4,FALSE)</f>
        <v>5.65</v>
      </c>
      <c r="F153" t="str">
        <f>VLOOKUP($A153,'Medical Examinations'!$A:$J,6,FALSE)</f>
        <v>No</v>
      </c>
      <c r="G153" t="str">
        <f>VLOOKUP($A153,'Medical Examinations'!$A:$J,7,FALSE)</f>
        <v>No</v>
      </c>
      <c r="H153" t="str">
        <f>VLOOKUP($A153,'Medical Examinations'!$A:$J,8,FALSE)</f>
        <v>No</v>
      </c>
      <c r="I153">
        <f>VLOOKUP($A153,'Medical Examinations'!$A:$J,9,FALSE)</f>
        <v>0</v>
      </c>
      <c r="J153" t="str">
        <f>VLOOKUP($A153,'Medical Examinations'!$A:$J,10,FALSE)</f>
        <v>yes</v>
      </c>
      <c r="K153" t="str">
        <f>VLOOKUP($A153,'Medical Examinations'!$A:$J,5,FALSE)</f>
        <v>Normal</v>
      </c>
      <c r="L153">
        <f>VLOOKUP($A154,'Medical Examinations'!$A:$J,3,FALSE)</f>
        <v>42.83</v>
      </c>
      <c r="M153">
        <f>VLOOKUP($A153,'Hospitalisation Details'!$A:$K,6,FALSE)</f>
        <v>38237.339999999997</v>
      </c>
      <c r="N153" s="11">
        <f>VLOOKUP($B153,'Hospitalisation Details'!A152:J2496,10,0)</f>
        <v>38241</v>
      </c>
      <c r="O153" t="str">
        <f>VLOOKUP($B153,'Hospitalisation Details'!A152:J2496,8,0)</f>
        <v>tier - 3</v>
      </c>
      <c r="P153" t="str">
        <f>VLOOKUP($B153,'Hospitalisation Details'!A152:J2496,7,0)</f>
        <v>tier - 3</v>
      </c>
      <c r="Q153" t="str">
        <f>VLOOKUP($B153,'Hospitalisation Details'!A152:J2496,9,0)</f>
        <v>R1013</v>
      </c>
      <c r="R153">
        <f>VLOOKUP($B153,'Hospitalisation Details'!A152:K2496,11,0)</f>
        <v>18</v>
      </c>
    </row>
    <row r="154" spans="1:18" x14ac:dyDescent="0.35">
      <c r="A154" t="s">
        <v>2220</v>
      </c>
      <c r="B154" t="s">
        <v>178</v>
      </c>
      <c r="C154" t="str">
        <f>VLOOKUP($A154,'Customer Names'!$A:$E,4,FALSE)</f>
        <v>Paul</v>
      </c>
      <c r="D154" t="str">
        <f>VLOOKUP($A154,'Medical Examinations'!$A:$J,2,FALSE)</f>
        <v>Obesity</v>
      </c>
      <c r="E154">
        <f>VLOOKUP($A154,'Medical Examinations'!$A:$J,4,FALSE)</f>
        <v>6.04</v>
      </c>
      <c r="F154" t="str">
        <f>VLOOKUP($A154,'Medical Examinations'!$A:$J,6,FALSE)</f>
        <v>No</v>
      </c>
      <c r="G154" t="str">
        <f>VLOOKUP($A154,'Medical Examinations'!$A:$J,7,FALSE)</f>
        <v>No</v>
      </c>
      <c r="H154" t="str">
        <f>VLOOKUP($A154,'Medical Examinations'!$A:$J,8,FALSE)</f>
        <v>No</v>
      </c>
      <c r="I154">
        <f>VLOOKUP($A154,'Medical Examinations'!$A:$J,9,FALSE)</f>
        <v>2</v>
      </c>
      <c r="J154" t="str">
        <f>VLOOKUP($A154,'Medical Examinations'!$A:$J,10,FALSE)</f>
        <v>yes</v>
      </c>
      <c r="K154" t="str">
        <f>VLOOKUP($A154,'Medical Examinations'!$A:$J,5,FALSE)</f>
        <v>Prediabetes</v>
      </c>
      <c r="L154">
        <f>VLOOKUP($A155,'Medical Examinations'!$A:$J,3,FALSE)</f>
        <v>40.15</v>
      </c>
      <c r="M154">
        <f>VLOOKUP($A154,'Hospitalisation Details'!$A:$K,6,FALSE)</f>
        <v>38189.1</v>
      </c>
      <c r="N154" s="11">
        <f>VLOOKUP($B154,'Hospitalisation Details'!A153:J2497,10,0)</f>
        <v>38281</v>
      </c>
      <c r="O154" t="str">
        <f>VLOOKUP($B154,'Hospitalisation Details'!A153:J2497,8,0)</f>
        <v>tier - 2</v>
      </c>
      <c r="P154" t="str">
        <f>VLOOKUP($B154,'Hospitalisation Details'!A153:J2497,7,0)</f>
        <v>tier - 3</v>
      </c>
      <c r="Q154" t="str">
        <f>VLOOKUP($B154,'Hospitalisation Details'!A153:J2497,9,0)</f>
        <v>R1013</v>
      </c>
      <c r="R154">
        <f>VLOOKUP($B154,'Hospitalisation Details'!A153:K2497,11,0)</f>
        <v>18</v>
      </c>
    </row>
    <row r="155" spans="1:18" x14ac:dyDescent="0.35">
      <c r="A155" t="s">
        <v>2219</v>
      </c>
      <c r="B155" t="s">
        <v>179</v>
      </c>
      <c r="C155" t="str">
        <f>VLOOKUP($A155,'Customer Names'!$A:$E,4,FALSE)</f>
        <v>Michael</v>
      </c>
      <c r="D155" t="str">
        <f>VLOOKUP($A155,'Medical Examinations'!$A:$J,2,FALSE)</f>
        <v>Obesity</v>
      </c>
      <c r="E155">
        <f>VLOOKUP($A155,'Medical Examinations'!$A:$J,4,FALSE)</f>
        <v>5.76</v>
      </c>
      <c r="F155" t="str">
        <f>VLOOKUP($A155,'Medical Examinations'!$A:$J,6,FALSE)</f>
        <v>No</v>
      </c>
      <c r="G155" t="str">
        <f>VLOOKUP($A155,'Medical Examinations'!$A:$J,7,FALSE)</f>
        <v>No</v>
      </c>
      <c r="H155" t="str">
        <f>VLOOKUP($A155,'Medical Examinations'!$A:$J,8,FALSE)</f>
        <v>No</v>
      </c>
      <c r="I155">
        <f>VLOOKUP($A155,'Medical Examinations'!$A:$J,9,FALSE)</f>
        <v>1</v>
      </c>
      <c r="J155" t="str">
        <f>VLOOKUP($A155,'Medical Examinations'!$A:$J,10,FALSE)</f>
        <v>yes</v>
      </c>
      <c r="K155" t="str">
        <f>VLOOKUP($A155,'Medical Examinations'!$A:$J,5,FALSE)</f>
        <v>Prediabetes</v>
      </c>
      <c r="L155">
        <f>VLOOKUP($A156,'Medical Examinations'!$A:$J,3,FALSE)</f>
        <v>27.8</v>
      </c>
      <c r="M155">
        <f>VLOOKUP($A155,'Hospitalisation Details'!$A:$K,6,FALSE)</f>
        <v>38126.25</v>
      </c>
      <c r="N155" s="11">
        <f>VLOOKUP($B155,'Hospitalisation Details'!A154:J2498,10,0)</f>
        <v>38239</v>
      </c>
      <c r="O155" t="str">
        <f>VLOOKUP($B155,'Hospitalisation Details'!A154:J2498,8,0)</f>
        <v>tier - 1</v>
      </c>
      <c r="P155" t="str">
        <f>VLOOKUP($B155,'Hospitalisation Details'!A154:J2498,7,0)</f>
        <v>tier - 3</v>
      </c>
      <c r="Q155" t="str">
        <f>VLOOKUP($B155,'Hospitalisation Details'!A154:J2498,9,0)</f>
        <v>R1013</v>
      </c>
      <c r="R155">
        <f>VLOOKUP($B155,'Hospitalisation Details'!A154:K2498,11,0)</f>
        <v>18</v>
      </c>
    </row>
    <row r="156" spans="1:18" x14ac:dyDescent="0.35">
      <c r="A156" t="s">
        <v>2218</v>
      </c>
      <c r="B156" t="s">
        <v>180</v>
      </c>
      <c r="C156" t="str">
        <f>VLOOKUP($A156,'Customer Names'!$A:$E,4,FALSE)</f>
        <v>Samuel</v>
      </c>
      <c r="D156" t="str">
        <f>VLOOKUP($A156,'Medical Examinations'!$A:$J,2,FALSE)</f>
        <v>Overweight</v>
      </c>
      <c r="E156">
        <f>VLOOKUP($A156,'Medical Examinations'!$A:$J,4,FALSE)</f>
        <v>4.3600000000000003</v>
      </c>
      <c r="F156" t="str">
        <f>VLOOKUP($A156,'Medical Examinations'!$A:$J,6,FALSE)</f>
        <v>No</v>
      </c>
      <c r="G156" t="str">
        <f>VLOOKUP($A156,'Medical Examinations'!$A:$J,7,FALSE)</f>
        <v>No</v>
      </c>
      <c r="H156" t="str">
        <f>VLOOKUP($A156,'Medical Examinations'!$A:$J,8,FALSE)</f>
        <v>Yes</v>
      </c>
      <c r="I156">
        <f>VLOOKUP($A156,'Medical Examinations'!$A:$J,9,FALSE)</f>
        <v>1</v>
      </c>
      <c r="J156" t="str">
        <f>VLOOKUP($A156,'Medical Examinations'!$A:$J,10,FALSE)</f>
        <v>yes</v>
      </c>
      <c r="K156" t="str">
        <f>VLOOKUP($A156,'Medical Examinations'!$A:$J,5,FALSE)</f>
        <v>Normal</v>
      </c>
      <c r="L156">
        <f>VLOOKUP($A157,'Medical Examinations'!$A:$J,3,FALSE)</f>
        <v>45.81</v>
      </c>
      <c r="M156">
        <f>VLOOKUP($A156,'Hospitalisation Details'!$A:$K,6,FALSE)</f>
        <v>37829.72</v>
      </c>
      <c r="N156" s="11">
        <f>VLOOKUP($B156,'Hospitalisation Details'!A155:J2499,10,0)</f>
        <v>37946</v>
      </c>
      <c r="O156" t="str">
        <f>VLOOKUP($B156,'Hospitalisation Details'!A155:J2499,8,0)</f>
        <v>tier - 3</v>
      </c>
      <c r="P156" t="str">
        <f>VLOOKUP($B156,'Hospitalisation Details'!A155:J2499,7,0)</f>
        <v>tier - 3</v>
      </c>
      <c r="Q156" t="str">
        <f>VLOOKUP($B156,'Hospitalisation Details'!A155:J2499,9,0)</f>
        <v>R1011</v>
      </c>
      <c r="R156">
        <f>VLOOKUP($B156,'Hospitalisation Details'!A155:K2499,11,0)</f>
        <v>19</v>
      </c>
    </row>
    <row r="157" spans="1:18" x14ac:dyDescent="0.35">
      <c r="A157" t="s">
        <v>2217</v>
      </c>
      <c r="B157" t="s">
        <v>181</v>
      </c>
      <c r="C157" t="str">
        <f>VLOOKUP($A157,'Customer Names'!$A:$E,4,FALSE)</f>
        <v>Matthew</v>
      </c>
      <c r="D157" t="str">
        <f>VLOOKUP($A157,'Medical Examinations'!$A:$J,2,FALSE)</f>
        <v>Obesity</v>
      </c>
      <c r="E157">
        <f>VLOOKUP($A157,'Medical Examinations'!$A:$J,4,FALSE)</f>
        <v>4.76</v>
      </c>
      <c r="F157" t="str">
        <f>VLOOKUP($A157,'Medical Examinations'!$A:$J,6,FALSE)</f>
        <v>yes</v>
      </c>
      <c r="G157" t="str">
        <f>VLOOKUP($A157,'Medical Examinations'!$A:$J,7,FALSE)</f>
        <v>No</v>
      </c>
      <c r="H157" t="str">
        <f>VLOOKUP($A157,'Medical Examinations'!$A:$J,8,FALSE)</f>
        <v>Yes</v>
      </c>
      <c r="I157">
        <f>VLOOKUP($A157,'Medical Examinations'!$A:$J,9,FALSE)</f>
        <v>1</v>
      </c>
      <c r="J157" t="str">
        <f>VLOOKUP($A157,'Medical Examinations'!$A:$J,10,FALSE)</f>
        <v>yes</v>
      </c>
      <c r="K157" t="str">
        <f>VLOOKUP($A157,'Medical Examinations'!$A:$J,5,FALSE)</f>
        <v>Normal</v>
      </c>
      <c r="L157">
        <f>VLOOKUP($A158,'Medical Examinations'!$A:$J,3,FALSE)</f>
        <v>34.43</v>
      </c>
      <c r="M157">
        <f>VLOOKUP($A157,'Hospitalisation Details'!$A:$K,6,FALSE)</f>
        <v>37800.980000000003</v>
      </c>
      <c r="N157" s="11">
        <f>VLOOKUP($B157,'Hospitalisation Details'!A156:J2500,10,0)</f>
        <v>37865</v>
      </c>
      <c r="O157" t="str">
        <f>VLOOKUP($B157,'Hospitalisation Details'!A156:J2500,8,0)</f>
        <v>tier - 2</v>
      </c>
      <c r="P157" t="str">
        <f>VLOOKUP($B157,'Hospitalisation Details'!A156:J2500,7,0)</f>
        <v>tier - 3</v>
      </c>
      <c r="Q157" t="str">
        <f>VLOOKUP($B157,'Hospitalisation Details'!A156:J2500,9,0)</f>
        <v>R1011</v>
      </c>
      <c r="R157">
        <f>VLOOKUP($B157,'Hospitalisation Details'!A156:K2500,11,0)</f>
        <v>19</v>
      </c>
    </row>
    <row r="158" spans="1:18" x14ac:dyDescent="0.35">
      <c r="A158" t="s">
        <v>2216</v>
      </c>
      <c r="B158" t="s">
        <v>182</v>
      </c>
      <c r="C158" t="str">
        <f>VLOOKUP($A158,'Customer Names'!$A:$E,4,FALSE)</f>
        <v>Daniel</v>
      </c>
      <c r="D158" t="str">
        <f>VLOOKUP($A158,'Medical Examinations'!$A:$J,2,FALSE)</f>
        <v>Obesity</v>
      </c>
      <c r="E158">
        <f>VLOOKUP($A158,'Medical Examinations'!$A:$J,4,FALSE)</f>
        <v>10.82</v>
      </c>
      <c r="F158" t="str">
        <f>VLOOKUP($A158,'Medical Examinations'!$A:$J,6,FALSE)</f>
        <v>yes</v>
      </c>
      <c r="G158" t="str">
        <f>VLOOKUP($A158,'Medical Examinations'!$A:$J,7,FALSE)</f>
        <v>No</v>
      </c>
      <c r="H158" t="str">
        <f>VLOOKUP($A158,'Medical Examinations'!$A:$J,8,FALSE)</f>
        <v>No</v>
      </c>
      <c r="I158">
        <f>VLOOKUP($A158,'Medical Examinations'!$A:$J,9,FALSE)</f>
        <v>1</v>
      </c>
      <c r="J158" t="str">
        <f>VLOOKUP($A158,'Medical Examinations'!$A:$J,10,FALSE)</f>
        <v>yes</v>
      </c>
      <c r="K158" t="str">
        <f>VLOOKUP($A158,'Medical Examinations'!$A:$J,5,FALSE)</f>
        <v>Diabetes</v>
      </c>
      <c r="L158">
        <f>VLOOKUP($A159,'Medical Examinations'!$A:$J,3,FALSE)</f>
        <v>41.33</v>
      </c>
      <c r="M158">
        <f>VLOOKUP($A158,'Hospitalisation Details'!$A:$K,6,FALSE)</f>
        <v>37742.58</v>
      </c>
      <c r="N158" s="11">
        <f>VLOOKUP($B158,'Hospitalisation Details'!A157:J2501,10,0)</f>
        <v>37934</v>
      </c>
      <c r="O158" t="str">
        <f>VLOOKUP($B158,'Hospitalisation Details'!A157:J2501,8,0)</f>
        <v>tier - 2</v>
      </c>
      <c r="P158" t="str">
        <f>VLOOKUP($B158,'Hospitalisation Details'!A157:J2501,7,0)</f>
        <v>tier - 3</v>
      </c>
      <c r="Q158" t="str">
        <f>VLOOKUP($B158,'Hospitalisation Details'!A157:J2501,9,0)</f>
        <v>R1011</v>
      </c>
      <c r="R158">
        <f>VLOOKUP($B158,'Hospitalisation Details'!A157:K2501,11,0)</f>
        <v>19</v>
      </c>
    </row>
    <row r="159" spans="1:18" x14ac:dyDescent="0.35">
      <c r="A159" t="s">
        <v>2215</v>
      </c>
      <c r="B159" t="s">
        <v>183</v>
      </c>
      <c r="C159" t="str">
        <f>VLOOKUP($A159,'Customer Names'!$A:$E,4,FALSE)</f>
        <v>Syndy</v>
      </c>
      <c r="D159" t="str">
        <f>VLOOKUP($A159,'Medical Examinations'!$A:$J,2,FALSE)</f>
        <v>Obesity</v>
      </c>
      <c r="E159">
        <f>VLOOKUP($A159,'Medical Examinations'!$A:$J,4,FALSE)</f>
        <v>4.01</v>
      </c>
      <c r="F159" t="str">
        <f>VLOOKUP($A159,'Medical Examinations'!$A:$J,6,FALSE)</f>
        <v>yes</v>
      </c>
      <c r="G159" t="str">
        <f>VLOOKUP($A159,'Medical Examinations'!$A:$J,7,FALSE)</f>
        <v>No</v>
      </c>
      <c r="H159" t="str">
        <f>VLOOKUP($A159,'Medical Examinations'!$A:$J,8,FALSE)</f>
        <v>No</v>
      </c>
      <c r="I159">
        <f>VLOOKUP($A159,'Medical Examinations'!$A:$J,9,FALSE)</f>
        <v>0</v>
      </c>
      <c r="J159" t="str">
        <f>VLOOKUP($A159,'Medical Examinations'!$A:$J,10,FALSE)</f>
        <v>yes</v>
      </c>
      <c r="K159" t="str">
        <f>VLOOKUP($A159,'Medical Examinations'!$A:$J,5,FALSE)</f>
        <v>Normal</v>
      </c>
      <c r="L159">
        <f>VLOOKUP($A160,'Medical Examinations'!$A:$J,3,FALSE)</f>
        <v>31.92</v>
      </c>
      <c r="M159">
        <f>VLOOKUP($A159,'Hospitalisation Details'!$A:$K,6,FALSE)</f>
        <v>37735.199999999997</v>
      </c>
      <c r="N159" s="11">
        <f>VLOOKUP($B159,'Hospitalisation Details'!A158:J2502,10,0)</f>
        <v>37939</v>
      </c>
      <c r="O159" t="str">
        <f>VLOOKUP($B159,'Hospitalisation Details'!A158:J2502,8,0)</f>
        <v>tier - 2</v>
      </c>
      <c r="P159" t="str">
        <f>VLOOKUP($B159,'Hospitalisation Details'!A158:J2502,7,0)</f>
        <v>tier - 3</v>
      </c>
      <c r="Q159" t="str">
        <f>VLOOKUP($B159,'Hospitalisation Details'!A158:J2502,9,0)</f>
        <v>R1011</v>
      </c>
      <c r="R159">
        <f>VLOOKUP($B159,'Hospitalisation Details'!A158:K2502,11,0)</f>
        <v>19</v>
      </c>
    </row>
    <row r="160" spans="1:18" x14ac:dyDescent="0.35">
      <c r="A160" t="s">
        <v>2214</v>
      </c>
      <c r="B160" t="s">
        <v>184</v>
      </c>
      <c r="C160" t="str">
        <f>VLOOKUP($A160,'Customer Names'!$A:$E,4,FALSE)</f>
        <v>Aleksandra</v>
      </c>
      <c r="D160" t="str">
        <f>VLOOKUP($A160,'Medical Examinations'!$A:$J,2,FALSE)</f>
        <v>Obesity</v>
      </c>
      <c r="E160">
        <f>VLOOKUP($A160,'Medical Examinations'!$A:$J,4,FALSE)</f>
        <v>5.12</v>
      </c>
      <c r="F160" t="str">
        <f>VLOOKUP($A160,'Medical Examinations'!$A:$J,6,FALSE)</f>
        <v>yes</v>
      </c>
      <c r="G160" t="str">
        <f>VLOOKUP($A160,'Medical Examinations'!$A:$J,7,FALSE)</f>
        <v>No</v>
      </c>
      <c r="H160" t="str">
        <f>VLOOKUP($A160,'Medical Examinations'!$A:$J,8,FALSE)</f>
        <v>No</v>
      </c>
      <c r="I160">
        <f>VLOOKUP($A160,'Medical Examinations'!$A:$J,9,FALSE)</f>
        <v>1</v>
      </c>
      <c r="J160" t="str">
        <f>VLOOKUP($A160,'Medical Examinations'!$A:$J,10,FALSE)</f>
        <v>yes</v>
      </c>
      <c r="K160" t="str">
        <f>VLOOKUP($A160,'Medical Examinations'!$A:$J,5,FALSE)</f>
        <v>Normal</v>
      </c>
      <c r="L160">
        <f>VLOOKUP($A161,'Medical Examinations'!$A:$J,3,FALSE)</f>
        <v>39.799999999999997</v>
      </c>
      <c r="M160">
        <f>VLOOKUP($A160,'Hospitalisation Details'!$A:$K,6,FALSE)</f>
        <v>37701.879999999997</v>
      </c>
      <c r="N160" s="11">
        <f>VLOOKUP($B160,'Hospitalisation Details'!A159:J2503,10,0)</f>
        <v>37827</v>
      </c>
      <c r="O160" t="str">
        <f>VLOOKUP($B160,'Hospitalisation Details'!A159:J2503,8,0)</f>
        <v>tier - 1</v>
      </c>
      <c r="P160" t="str">
        <f>VLOOKUP($B160,'Hospitalisation Details'!A159:J2503,7,0)</f>
        <v>tier - 3</v>
      </c>
      <c r="Q160" t="str">
        <f>VLOOKUP($B160,'Hospitalisation Details'!A159:J2503,9,0)</f>
        <v>R1011</v>
      </c>
      <c r="R160">
        <f>VLOOKUP($B160,'Hospitalisation Details'!A159:K2503,11,0)</f>
        <v>19</v>
      </c>
    </row>
    <row r="161" spans="1:18" x14ac:dyDescent="0.35">
      <c r="A161" t="s">
        <v>2213</v>
      </c>
      <c r="B161" t="s">
        <v>185</v>
      </c>
      <c r="C161" t="str">
        <f>VLOOKUP($A161,'Customer Names'!$A:$E,4,FALSE)</f>
        <v>Steeve T Sr.</v>
      </c>
      <c r="D161" t="str">
        <f>VLOOKUP($A161,'Medical Examinations'!$A:$J,2,FALSE)</f>
        <v>Obesity</v>
      </c>
      <c r="E161">
        <f>VLOOKUP($A161,'Medical Examinations'!$A:$J,4,FALSE)</f>
        <v>10.54</v>
      </c>
      <c r="F161" t="str">
        <f>VLOOKUP($A161,'Medical Examinations'!$A:$J,6,FALSE)</f>
        <v>yes</v>
      </c>
      <c r="G161" t="str">
        <f>VLOOKUP($A161,'Medical Examinations'!$A:$J,7,FALSE)</f>
        <v>No</v>
      </c>
      <c r="H161" t="str">
        <f>VLOOKUP($A161,'Medical Examinations'!$A:$J,8,FALSE)</f>
        <v>No</v>
      </c>
      <c r="I161">
        <f>VLOOKUP($A161,'Medical Examinations'!$A:$J,9,FALSE)</f>
        <v>2</v>
      </c>
      <c r="J161" t="str">
        <f>VLOOKUP($A161,'Medical Examinations'!$A:$J,10,FALSE)</f>
        <v>yes</v>
      </c>
      <c r="K161" t="str">
        <f>VLOOKUP($A161,'Medical Examinations'!$A:$J,5,FALSE)</f>
        <v>Diabetes</v>
      </c>
      <c r="L161">
        <f>VLOOKUP($A162,'Medical Examinations'!$A:$J,3,FALSE)</f>
        <v>42.82</v>
      </c>
      <c r="M161">
        <f>VLOOKUP($A161,'Hospitalisation Details'!$A:$K,6,FALSE)</f>
        <v>37675.06</v>
      </c>
      <c r="N161" s="11">
        <f>VLOOKUP($B161,'Hospitalisation Details'!A160:J2504,10,0)</f>
        <v>37830</v>
      </c>
      <c r="O161" t="str">
        <f>VLOOKUP($B161,'Hospitalisation Details'!A160:J2504,8,0)</f>
        <v>tier - 1</v>
      </c>
      <c r="P161" t="str">
        <f>VLOOKUP($B161,'Hospitalisation Details'!A160:J2504,7,0)</f>
        <v>tier - 3</v>
      </c>
      <c r="Q161" t="str">
        <f>VLOOKUP($B161,'Hospitalisation Details'!A160:J2504,9,0)</f>
        <v>R1011</v>
      </c>
      <c r="R161">
        <f>VLOOKUP($B161,'Hospitalisation Details'!A160:K2504,11,0)</f>
        <v>19</v>
      </c>
    </row>
    <row r="162" spans="1:18" x14ac:dyDescent="0.35">
      <c r="A162" t="s">
        <v>2212</v>
      </c>
      <c r="B162" t="s">
        <v>186</v>
      </c>
      <c r="C162" t="str">
        <f>VLOOKUP($A162,'Customer Names'!$A:$E,4,FALSE)</f>
        <v>Richard</v>
      </c>
      <c r="D162" t="str">
        <f>VLOOKUP($A162,'Medical Examinations'!$A:$J,2,FALSE)</f>
        <v>Obesity</v>
      </c>
      <c r="E162">
        <f>VLOOKUP($A162,'Medical Examinations'!$A:$J,4,FALSE)</f>
        <v>4.21</v>
      </c>
      <c r="F162" t="str">
        <f>VLOOKUP($A162,'Medical Examinations'!$A:$J,6,FALSE)</f>
        <v>No</v>
      </c>
      <c r="G162" t="str">
        <f>VLOOKUP($A162,'Medical Examinations'!$A:$J,7,FALSE)</f>
        <v>No</v>
      </c>
      <c r="H162" t="str">
        <f>VLOOKUP($A162,'Medical Examinations'!$A:$J,8,FALSE)</f>
        <v>No</v>
      </c>
      <c r="I162">
        <f>VLOOKUP($A162,'Medical Examinations'!$A:$J,9,FALSE)</f>
        <v>0</v>
      </c>
      <c r="J162" t="str">
        <f>VLOOKUP($A162,'Medical Examinations'!$A:$J,10,FALSE)</f>
        <v>yes</v>
      </c>
      <c r="K162" t="str">
        <f>VLOOKUP($A162,'Medical Examinations'!$A:$J,5,FALSE)</f>
        <v>Normal</v>
      </c>
      <c r="L162">
        <f>VLOOKUP($A163,'Medical Examinations'!$A:$J,3,FALSE)</f>
        <v>33.630000000000003</v>
      </c>
      <c r="M162">
        <f>VLOOKUP($A162,'Hospitalisation Details'!$A:$K,6,FALSE)</f>
        <v>37650.74</v>
      </c>
      <c r="N162" s="11">
        <f>VLOOKUP($B162,'Hospitalisation Details'!A161:J2505,10,0)</f>
        <v>37890</v>
      </c>
      <c r="O162" t="str">
        <f>VLOOKUP($B162,'Hospitalisation Details'!A161:J2505,8,0)</f>
        <v>tier - 1</v>
      </c>
      <c r="P162" t="str">
        <f>VLOOKUP($B162,'Hospitalisation Details'!A161:J2505,7,0)</f>
        <v>tier - 3</v>
      </c>
      <c r="Q162" t="str">
        <f>VLOOKUP($B162,'Hospitalisation Details'!A161:J2505,9,0)</f>
        <v>R1011</v>
      </c>
      <c r="R162">
        <f>VLOOKUP($B162,'Hospitalisation Details'!A161:K2505,11,0)</f>
        <v>19</v>
      </c>
    </row>
    <row r="163" spans="1:18" x14ac:dyDescent="0.35">
      <c r="A163" t="s">
        <v>2211</v>
      </c>
      <c r="B163" t="s">
        <v>187</v>
      </c>
      <c r="C163" t="str">
        <f>VLOOKUP($A163,'Customer Names'!$A:$E,4,FALSE)</f>
        <v>Aaron T</v>
      </c>
      <c r="D163" t="str">
        <f>VLOOKUP($A163,'Medical Examinations'!$A:$J,2,FALSE)</f>
        <v>Obesity</v>
      </c>
      <c r="E163">
        <f>VLOOKUP($A163,'Medical Examinations'!$A:$J,4,FALSE)</f>
        <v>5.42</v>
      </c>
      <c r="F163" t="str">
        <f>VLOOKUP($A163,'Medical Examinations'!$A:$J,6,FALSE)</f>
        <v>No</v>
      </c>
      <c r="G163" t="str">
        <f>VLOOKUP($A163,'Medical Examinations'!$A:$J,7,FALSE)</f>
        <v>No</v>
      </c>
      <c r="H163" t="str">
        <f>VLOOKUP($A163,'Medical Examinations'!$A:$J,8,FALSE)</f>
        <v>No</v>
      </c>
      <c r="I163">
        <f>VLOOKUP($A163,'Medical Examinations'!$A:$J,9,FALSE)</f>
        <v>0</v>
      </c>
      <c r="J163" t="str">
        <f>VLOOKUP($A163,'Medical Examinations'!$A:$J,10,FALSE)</f>
        <v>yes</v>
      </c>
      <c r="K163" t="str">
        <f>VLOOKUP($A163,'Medical Examinations'!$A:$J,5,FALSE)</f>
        <v>Normal</v>
      </c>
      <c r="L163">
        <f>VLOOKUP($A164,'Medical Examinations'!$A:$J,3,FALSE)</f>
        <v>37.07</v>
      </c>
      <c r="M163">
        <f>VLOOKUP($A163,'Hospitalisation Details'!$A:$K,6,FALSE)</f>
        <v>37607.53</v>
      </c>
      <c r="N163" s="11">
        <f>VLOOKUP($B163,'Hospitalisation Details'!A162:J2506,10,0)</f>
        <v>36075</v>
      </c>
      <c r="O163" t="str">
        <f>VLOOKUP($B163,'Hospitalisation Details'!A162:J2506,8,0)</f>
        <v>tier - 3</v>
      </c>
      <c r="P163" t="str">
        <f>VLOOKUP($B163,'Hospitalisation Details'!A162:J2506,7,0)</f>
        <v>tier - 3</v>
      </c>
      <c r="Q163" t="str">
        <f>VLOOKUP($B163,'Hospitalisation Details'!A162:J2506,9,0)</f>
        <v>R1013</v>
      </c>
      <c r="R163">
        <f>VLOOKUP($B163,'Hospitalisation Details'!A162:K2506,11,0)</f>
        <v>24</v>
      </c>
    </row>
    <row r="164" spans="1:18" x14ac:dyDescent="0.35">
      <c r="A164" t="s">
        <v>2210</v>
      </c>
      <c r="B164" t="s">
        <v>188</v>
      </c>
      <c r="C164" t="str">
        <f>VLOOKUP($A164,'Customer Names'!$A:$E,4,FALSE)</f>
        <v>Akira</v>
      </c>
      <c r="D164" t="str">
        <f>VLOOKUP($A164,'Medical Examinations'!$A:$J,2,FALSE)</f>
        <v>Obesity</v>
      </c>
      <c r="E164">
        <f>VLOOKUP($A164,'Medical Examinations'!$A:$J,4,FALSE)</f>
        <v>4.28</v>
      </c>
      <c r="F164" t="str">
        <f>VLOOKUP($A164,'Medical Examinations'!$A:$J,6,FALSE)</f>
        <v>No</v>
      </c>
      <c r="G164" t="str">
        <f>VLOOKUP($A164,'Medical Examinations'!$A:$J,7,FALSE)</f>
        <v>yes</v>
      </c>
      <c r="H164" t="str">
        <f>VLOOKUP($A164,'Medical Examinations'!$A:$J,8,FALSE)</f>
        <v>No</v>
      </c>
      <c r="I164">
        <f>VLOOKUP($A164,'Medical Examinations'!$A:$J,9,FALSE)</f>
        <v>1</v>
      </c>
      <c r="J164" t="str">
        <f>VLOOKUP($A164,'Medical Examinations'!$A:$J,10,FALSE)</f>
        <v>yes</v>
      </c>
      <c r="K164" t="str">
        <f>VLOOKUP($A164,'Medical Examinations'!$A:$J,5,FALSE)</f>
        <v>Normal</v>
      </c>
      <c r="L164">
        <f>VLOOKUP($A165,'Medical Examinations'!$A:$J,3,FALSE)</f>
        <v>35.625</v>
      </c>
      <c r="M164">
        <f>VLOOKUP($A164,'Hospitalisation Details'!$A:$K,6,FALSE)</f>
        <v>37484.449999999997</v>
      </c>
      <c r="N164" s="11">
        <f>VLOOKUP($B164,'Hospitalisation Details'!A163:J2507,10,0)</f>
        <v>37944</v>
      </c>
      <c r="O164" t="str">
        <f>VLOOKUP($B164,'Hospitalisation Details'!A163:J2507,8,0)</f>
        <v>tier - 1</v>
      </c>
      <c r="P164" t="str">
        <f>VLOOKUP($B164,'Hospitalisation Details'!A163:J2507,7,0)</f>
        <v>tier - 3</v>
      </c>
      <c r="Q164" t="str">
        <f>VLOOKUP($B164,'Hospitalisation Details'!A163:J2507,9,0)</f>
        <v>R1011</v>
      </c>
      <c r="R164">
        <f>VLOOKUP($B164,'Hospitalisation Details'!A163:K2507,11,0)</f>
        <v>19</v>
      </c>
    </row>
    <row r="165" spans="1:18" x14ac:dyDescent="0.35">
      <c r="A165" t="s">
        <v>2209</v>
      </c>
      <c r="B165" t="s">
        <v>189</v>
      </c>
      <c r="C165" t="str">
        <f>VLOOKUP($A165,'Customer Names'!$A:$E,4,FALSE)</f>
        <v>Ben</v>
      </c>
      <c r="D165" t="str">
        <f>VLOOKUP($A165,'Medical Examinations'!$A:$J,2,FALSE)</f>
        <v>Obesity</v>
      </c>
      <c r="E165">
        <f>VLOOKUP($A165,'Medical Examinations'!$A:$J,4,FALSE)</f>
        <v>8.9</v>
      </c>
      <c r="F165" t="str">
        <f>VLOOKUP($A165,'Medical Examinations'!$A:$J,6,FALSE)</f>
        <v>No</v>
      </c>
      <c r="G165" t="str">
        <f>VLOOKUP($A165,'Medical Examinations'!$A:$J,7,FALSE)</f>
        <v>No</v>
      </c>
      <c r="H165" t="str">
        <f>VLOOKUP($A165,'Medical Examinations'!$A:$J,8,FALSE)</f>
        <v>No</v>
      </c>
      <c r="I165">
        <f>VLOOKUP($A165,'Medical Examinations'!$A:$J,9,FALSE)</f>
        <v>0</v>
      </c>
      <c r="J165" t="str">
        <f>VLOOKUP($A165,'Medical Examinations'!$A:$J,10,FALSE)</f>
        <v>yes</v>
      </c>
      <c r="K165" t="str">
        <f>VLOOKUP($A165,'Medical Examinations'!$A:$J,5,FALSE)</f>
        <v>Diabetes</v>
      </c>
      <c r="L165">
        <f>VLOOKUP($A166,'Medical Examinations'!$A:$J,3,FALSE)</f>
        <v>42.69</v>
      </c>
      <c r="M165">
        <f>VLOOKUP($A165,'Hospitalisation Details'!$A:$K,6,FALSE)</f>
        <v>37465.339999999997</v>
      </c>
      <c r="N165" s="11">
        <f>VLOOKUP($B165,'Hospitalisation Details'!A164:J2508,10,0)</f>
        <v>37603</v>
      </c>
      <c r="O165" t="str">
        <f>VLOOKUP($B165,'Hospitalisation Details'!A164:J2508,8,0)</f>
        <v>tier - 3</v>
      </c>
      <c r="P165" t="str">
        <f>VLOOKUP($B165,'Hospitalisation Details'!A164:J2508,7,0)</f>
        <v>tier - 3</v>
      </c>
      <c r="Q165" t="str">
        <f>VLOOKUP($B165,'Hospitalisation Details'!A164:J2508,9,0)</f>
        <v>R1012</v>
      </c>
      <c r="R165">
        <f>VLOOKUP($B165,'Hospitalisation Details'!A164:K2508,11,0)</f>
        <v>20</v>
      </c>
    </row>
    <row r="166" spans="1:18" x14ac:dyDescent="0.35">
      <c r="A166" t="s">
        <v>2208</v>
      </c>
      <c r="B166" t="s">
        <v>190</v>
      </c>
      <c r="C166" t="str">
        <f>VLOOKUP($A166,'Customer Names'!$A:$E,4,FALSE)</f>
        <v>Jana</v>
      </c>
      <c r="D166" t="str">
        <f>VLOOKUP($A166,'Medical Examinations'!$A:$J,2,FALSE)</f>
        <v>Obesity</v>
      </c>
      <c r="E166">
        <f>VLOOKUP($A166,'Medical Examinations'!$A:$J,4,FALSE)</f>
        <v>4.8899999999999997</v>
      </c>
      <c r="F166" t="str">
        <f>VLOOKUP($A166,'Medical Examinations'!$A:$J,6,FALSE)</f>
        <v>No</v>
      </c>
      <c r="G166" t="str">
        <f>VLOOKUP($A166,'Medical Examinations'!$A:$J,7,FALSE)</f>
        <v>No</v>
      </c>
      <c r="H166" t="str">
        <f>VLOOKUP($A166,'Medical Examinations'!$A:$J,8,FALSE)</f>
        <v>Yes</v>
      </c>
      <c r="I166">
        <f>VLOOKUP($A166,'Medical Examinations'!$A:$J,9,FALSE)</f>
        <v>1</v>
      </c>
      <c r="J166" t="str">
        <f>VLOOKUP($A166,'Medical Examinations'!$A:$J,10,FALSE)</f>
        <v>yes</v>
      </c>
      <c r="K166" t="str">
        <f>VLOOKUP($A166,'Medical Examinations'!$A:$J,5,FALSE)</f>
        <v>Normal</v>
      </c>
      <c r="L166">
        <f>VLOOKUP($A167,'Medical Examinations'!$A:$J,3,FALSE)</f>
        <v>37.869999999999997</v>
      </c>
      <c r="M166">
        <f>VLOOKUP($A166,'Hospitalisation Details'!$A:$K,6,FALSE)</f>
        <v>37425.94</v>
      </c>
      <c r="N166" s="11">
        <f>VLOOKUP($B166,'Hospitalisation Details'!A165:J2509,10,0)</f>
        <v>36428</v>
      </c>
      <c r="O166" t="str">
        <f>VLOOKUP($B166,'Hospitalisation Details'!A165:J2509,8,0)</f>
        <v>tier - 3</v>
      </c>
      <c r="P166" t="str">
        <f>VLOOKUP($B166,'Hospitalisation Details'!A165:J2509,7,0)</f>
        <v>tier - 3</v>
      </c>
      <c r="Q166" t="str">
        <f>VLOOKUP($B166,'Hospitalisation Details'!A165:J2509,9,0)</f>
        <v>R1013</v>
      </c>
      <c r="R166">
        <f>VLOOKUP($B166,'Hospitalisation Details'!A165:K2509,11,0)</f>
        <v>23</v>
      </c>
    </row>
    <row r="167" spans="1:18" x14ac:dyDescent="0.35">
      <c r="A167" t="s">
        <v>2207</v>
      </c>
      <c r="B167" t="s">
        <v>191</v>
      </c>
      <c r="C167" t="str">
        <f>VLOOKUP($A167,'Customer Names'!$A:$E,4,FALSE)</f>
        <v>Jay T.</v>
      </c>
      <c r="D167" t="str">
        <f>VLOOKUP($A167,'Medical Examinations'!$A:$J,2,FALSE)</f>
        <v>Obesity</v>
      </c>
      <c r="E167">
        <f>VLOOKUP($A167,'Medical Examinations'!$A:$J,4,FALSE)</f>
        <v>4.29</v>
      </c>
      <c r="F167" t="str">
        <f>VLOOKUP($A167,'Medical Examinations'!$A:$J,6,FALSE)</f>
        <v>yes</v>
      </c>
      <c r="G167" t="str">
        <f>VLOOKUP($A167,'Medical Examinations'!$A:$J,7,FALSE)</f>
        <v>No</v>
      </c>
      <c r="H167" t="str">
        <f>VLOOKUP($A167,'Medical Examinations'!$A:$J,8,FALSE)</f>
        <v>Yes</v>
      </c>
      <c r="I167">
        <f>VLOOKUP($A167,'Medical Examinations'!$A:$J,9,FALSE)</f>
        <v>1</v>
      </c>
      <c r="J167" t="str">
        <f>VLOOKUP($A167,'Medical Examinations'!$A:$J,10,FALSE)</f>
        <v>yes</v>
      </c>
      <c r="K167" t="str">
        <f>VLOOKUP($A167,'Medical Examinations'!$A:$J,5,FALSE)</f>
        <v>Normal</v>
      </c>
      <c r="L167">
        <f>VLOOKUP($A168,'Medical Examinations'!$A:$J,3,FALSE)</f>
        <v>40.61</v>
      </c>
      <c r="M167">
        <f>VLOOKUP($A167,'Hospitalisation Details'!$A:$K,6,FALSE)</f>
        <v>37277.269999999997</v>
      </c>
      <c r="N167" s="11">
        <f>VLOOKUP($B167,'Hospitalisation Details'!A166:J2510,10,0)</f>
        <v>38218</v>
      </c>
      <c r="O167" t="str">
        <f>VLOOKUP($B167,'Hospitalisation Details'!A166:J2510,8,0)</f>
        <v>tier - 1</v>
      </c>
      <c r="P167" t="str">
        <f>VLOOKUP($B167,'Hospitalisation Details'!A166:J2510,7,0)</f>
        <v>tier - 3</v>
      </c>
      <c r="Q167" t="str">
        <f>VLOOKUP($B167,'Hospitalisation Details'!A166:J2510,9,0)</f>
        <v>R1012</v>
      </c>
      <c r="R167">
        <f>VLOOKUP($B167,'Hospitalisation Details'!A166:K2510,11,0)</f>
        <v>18</v>
      </c>
    </row>
    <row r="168" spans="1:18" x14ac:dyDescent="0.35">
      <c r="A168" t="s">
        <v>2206</v>
      </c>
      <c r="B168" t="s">
        <v>192</v>
      </c>
      <c r="C168" t="str">
        <f>VLOOKUP($A168,'Customer Names'!$A:$E,4,FALSE)</f>
        <v>Marie-Helene</v>
      </c>
      <c r="D168" t="str">
        <f>VLOOKUP($A168,'Medical Examinations'!$A:$J,2,FALSE)</f>
        <v>Obesity</v>
      </c>
      <c r="E168">
        <f>VLOOKUP($A168,'Medical Examinations'!$A:$J,4,FALSE)</f>
        <v>8</v>
      </c>
      <c r="F168" t="str">
        <f>VLOOKUP($A168,'Medical Examinations'!$A:$J,6,FALSE)</f>
        <v>yes</v>
      </c>
      <c r="G168" t="str">
        <f>VLOOKUP($A168,'Medical Examinations'!$A:$J,7,FALSE)</f>
        <v>No</v>
      </c>
      <c r="H168" t="str">
        <f>VLOOKUP($A168,'Medical Examinations'!$A:$J,8,FALSE)</f>
        <v>No</v>
      </c>
      <c r="I168">
        <f>VLOOKUP($A168,'Medical Examinations'!$A:$J,9,FALSE)</f>
        <v>1</v>
      </c>
      <c r="J168" t="str">
        <f>VLOOKUP($A168,'Medical Examinations'!$A:$J,10,FALSE)</f>
        <v>yes</v>
      </c>
      <c r="K168" t="str">
        <f>VLOOKUP($A168,'Medical Examinations'!$A:$J,5,FALSE)</f>
        <v>Diabetes</v>
      </c>
      <c r="L168">
        <f>VLOOKUP($A169,'Medical Examinations'!$A:$J,3,FALSE)</f>
        <v>30.78</v>
      </c>
      <c r="M168">
        <f>VLOOKUP($A168,'Hospitalisation Details'!$A:$K,6,FALSE)</f>
        <v>37272.339999999997</v>
      </c>
      <c r="N168" s="11">
        <f>VLOOKUP($B168,'Hospitalisation Details'!A167:J2511,10,0)</f>
        <v>36481</v>
      </c>
      <c r="O168" t="str">
        <f>VLOOKUP($B168,'Hospitalisation Details'!A167:J2511,8,0)</f>
        <v>tier - 3</v>
      </c>
      <c r="P168" t="str">
        <f>VLOOKUP($B168,'Hospitalisation Details'!A167:J2511,7,0)</f>
        <v>tier - 3</v>
      </c>
      <c r="Q168" t="str">
        <f>VLOOKUP($B168,'Hospitalisation Details'!A167:J2511,9,0)</f>
        <v>R1013</v>
      </c>
      <c r="R168">
        <f>VLOOKUP($B168,'Hospitalisation Details'!A167:K2511,11,0)</f>
        <v>23</v>
      </c>
    </row>
    <row r="169" spans="1:18" x14ac:dyDescent="0.35">
      <c r="A169" t="s">
        <v>2205</v>
      </c>
      <c r="B169" t="s">
        <v>193</v>
      </c>
      <c r="C169" t="str">
        <f>VLOOKUP($A169,'Customer Names'!$A:$E,4,FALSE)</f>
        <v>Bret R</v>
      </c>
      <c r="D169" t="str">
        <f>VLOOKUP($A169,'Medical Examinations'!$A:$J,2,FALSE)</f>
        <v>Obesity</v>
      </c>
      <c r="E169">
        <f>VLOOKUP($A169,'Medical Examinations'!$A:$J,4,FALSE)</f>
        <v>4.67</v>
      </c>
      <c r="F169" t="str">
        <f>VLOOKUP($A169,'Medical Examinations'!$A:$J,6,FALSE)</f>
        <v>yes</v>
      </c>
      <c r="G169" t="str">
        <f>VLOOKUP($A169,'Medical Examinations'!$A:$J,7,FALSE)</f>
        <v>No</v>
      </c>
      <c r="H169" t="str">
        <f>VLOOKUP($A169,'Medical Examinations'!$A:$J,8,FALSE)</f>
        <v>No</v>
      </c>
      <c r="I169">
        <f>VLOOKUP($A169,'Medical Examinations'!$A:$J,9,FALSE)</f>
        <v>0</v>
      </c>
      <c r="J169" t="str">
        <f>VLOOKUP($A169,'Medical Examinations'!$A:$J,10,FALSE)</f>
        <v>yes</v>
      </c>
      <c r="K169" t="str">
        <f>VLOOKUP($A169,'Medical Examinations'!$A:$J,5,FALSE)</f>
        <v>Normal</v>
      </c>
      <c r="L169">
        <f>VLOOKUP($A170,'Medical Examinations'!$A:$J,3,FALSE)</f>
        <v>49.49</v>
      </c>
      <c r="M169">
        <f>VLOOKUP($A169,'Hospitalisation Details'!$A:$K,6,FALSE)</f>
        <v>37270.15</v>
      </c>
      <c r="N169" s="11">
        <f>VLOOKUP($B169,'Hospitalisation Details'!A168:J2512,10,0)</f>
        <v>36434</v>
      </c>
      <c r="O169" t="str">
        <f>VLOOKUP($B169,'Hospitalisation Details'!A168:J2512,8,0)</f>
        <v>tier - 2</v>
      </c>
      <c r="P169" t="str">
        <f>VLOOKUP($B169,'Hospitalisation Details'!A168:J2512,7,0)</f>
        <v>tier - 3</v>
      </c>
      <c r="Q169" t="str">
        <f>VLOOKUP($B169,'Hospitalisation Details'!A168:J2512,9,0)</f>
        <v>R1011</v>
      </c>
      <c r="R169">
        <f>VLOOKUP($B169,'Hospitalisation Details'!A168:K2512,11,0)</f>
        <v>23</v>
      </c>
    </row>
    <row r="170" spans="1:18" x14ac:dyDescent="0.35">
      <c r="A170" t="s">
        <v>2204</v>
      </c>
      <c r="B170" t="s">
        <v>194</v>
      </c>
      <c r="C170" t="str">
        <f>VLOOKUP($A170,'Customer Names'!$A:$E,4,FALSE)</f>
        <v>Gardner L</v>
      </c>
      <c r="D170" t="str">
        <f>VLOOKUP($A170,'Medical Examinations'!$A:$J,2,FALSE)</f>
        <v>Obesity</v>
      </c>
      <c r="E170">
        <f>VLOOKUP($A170,'Medical Examinations'!$A:$J,4,FALSE)</f>
        <v>4.5</v>
      </c>
      <c r="F170" t="str">
        <f>VLOOKUP($A170,'Medical Examinations'!$A:$J,6,FALSE)</f>
        <v>No</v>
      </c>
      <c r="G170" t="str">
        <f>VLOOKUP($A170,'Medical Examinations'!$A:$J,7,FALSE)</f>
        <v>No</v>
      </c>
      <c r="H170" t="str">
        <f>VLOOKUP($A170,'Medical Examinations'!$A:$J,8,FALSE)</f>
        <v>No</v>
      </c>
      <c r="I170">
        <f>VLOOKUP($A170,'Medical Examinations'!$A:$J,9,FALSE)</f>
        <v>0</v>
      </c>
      <c r="J170" t="str">
        <f>VLOOKUP($A170,'Medical Examinations'!$A:$J,10,FALSE)</f>
        <v>yes</v>
      </c>
      <c r="K170" t="str">
        <f>VLOOKUP($A170,'Medical Examinations'!$A:$J,5,FALSE)</f>
        <v>Normal</v>
      </c>
      <c r="L170">
        <f>VLOOKUP($A171,'Medical Examinations'!$A:$J,3,FALSE)</f>
        <v>37.619999999999997</v>
      </c>
      <c r="M170">
        <f>VLOOKUP($A170,'Hospitalisation Details'!$A:$K,6,FALSE)</f>
        <v>37251.22</v>
      </c>
      <c r="N170" s="11">
        <f>VLOOKUP($B170,'Hospitalisation Details'!A169:J2513,10,0)</f>
        <v>37844</v>
      </c>
      <c r="O170" t="str">
        <f>VLOOKUP($B170,'Hospitalisation Details'!A169:J2513,8,0)</f>
        <v>tier - 3</v>
      </c>
      <c r="P170" t="str">
        <f>VLOOKUP($B170,'Hospitalisation Details'!A169:J2513,7,0)</f>
        <v>tier - 3</v>
      </c>
      <c r="Q170" t="str">
        <f>VLOOKUP($B170,'Hospitalisation Details'!A169:J2513,9,0)</f>
        <v>R1011</v>
      </c>
      <c r="R170">
        <f>VLOOKUP($B170,'Hospitalisation Details'!A169:K2513,11,0)</f>
        <v>19</v>
      </c>
    </row>
    <row r="171" spans="1:18" x14ac:dyDescent="0.35">
      <c r="A171" t="s">
        <v>2203</v>
      </c>
      <c r="B171" t="s">
        <v>195</v>
      </c>
      <c r="C171" t="str">
        <f>VLOOKUP($A171,'Customer Names'!$A:$E,4,FALSE)</f>
        <v>Bobby</v>
      </c>
      <c r="D171" t="str">
        <f>VLOOKUP($A171,'Medical Examinations'!$A:$J,2,FALSE)</f>
        <v>Obesity</v>
      </c>
      <c r="E171">
        <f>VLOOKUP($A171,'Medical Examinations'!$A:$J,4,FALSE)</f>
        <v>6.32</v>
      </c>
      <c r="F171" t="str">
        <f>VLOOKUP($A171,'Medical Examinations'!$A:$J,6,FALSE)</f>
        <v>yes</v>
      </c>
      <c r="G171" t="str">
        <f>VLOOKUP($A171,'Medical Examinations'!$A:$J,7,FALSE)</f>
        <v>yes</v>
      </c>
      <c r="H171" t="str">
        <f>VLOOKUP($A171,'Medical Examinations'!$A:$J,8,FALSE)</f>
        <v>No</v>
      </c>
      <c r="I171">
        <f>VLOOKUP($A171,'Medical Examinations'!$A:$J,9,FALSE)</f>
        <v>2</v>
      </c>
      <c r="J171" t="str">
        <f>VLOOKUP($A171,'Medical Examinations'!$A:$J,10,FALSE)</f>
        <v>yes</v>
      </c>
      <c r="K171" t="str">
        <f>VLOOKUP($A171,'Medical Examinations'!$A:$J,5,FALSE)</f>
        <v>Prediabetes</v>
      </c>
      <c r="L171">
        <f>VLOOKUP($A172,'Medical Examinations'!$A:$J,3,FALSE)</f>
        <v>36.08</v>
      </c>
      <c r="M171">
        <f>VLOOKUP($A171,'Hospitalisation Details'!$A:$K,6,FALSE)</f>
        <v>37165.160000000003</v>
      </c>
      <c r="N171" s="11">
        <f>VLOOKUP($B171,'Hospitalisation Details'!A170:J2514,10,0)</f>
        <v>37837</v>
      </c>
      <c r="O171" t="str">
        <f>VLOOKUP($B171,'Hospitalisation Details'!A170:J2514,8,0)</f>
        <v>tier - 2</v>
      </c>
      <c r="P171" t="str">
        <f>VLOOKUP($B171,'Hospitalisation Details'!A170:J2514,7,0)</f>
        <v>tier - 3</v>
      </c>
      <c r="Q171" t="str">
        <f>VLOOKUP($B171,'Hospitalisation Details'!A170:J2514,9,0)</f>
        <v>R1011</v>
      </c>
      <c r="R171">
        <f>VLOOKUP($B171,'Hospitalisation Details'!A170:K2514,11,0)</f>
        <v>19</v>
      </c>
    </row>
    <row r="172" spans="1:18" x14ac:dyDescent="0.35">
      <c r="A172" t="s">
        <v>2202</v>
      </c>
      <c r="B172" t="s">
        <v>196</v>
      </c>
      <c r="C172" t="str">
        <f>VLOOKUP($A172,'Customer Names'!$A:$E,4,FALSE)</f>
        <v>Natalie</v>
      </c>
      <c r="D172" t="str">
        <f>VLOOKUP($A172,'Medical Examinations'!$A:$J,2,FALSE)</f>
        <v>Obesity</v>
      </c>
      <c r="E172">
        <f>VLOOKUP($A172,'Medical Examinations'!$A:$J,4,FALSE)</f>
        <v>6.1</v>
      </c>
      <c r="F172" t="str">
        <f>VLOOKUP($A172,'Medical Examinations'!$A:$J,6,FALSE)</f>
        <v>yes</v>
      </c>
      <c r="G172" t="str">
        <f>VLOOKUP($A172,'Medical Examinations'!$A:$J,7,FALSE)</f>
        <v>No</v>
      </c>
      <c r="H172" t="str">
        <f>VLOOKUP($A172,'Medical Examinations'!$A:$J,8,FALSE)</f>
        <v>No</v>
      </c>
      <c r="I172">
        <f>VLOOKUP($A172,'Medical Examinations'!$A:$J,9,FALSE)</f>
        <v>1</v>
      </c>
      <c r="J172" t="str">
        <f>VLOOKUP($A172,'Medical Examinations'!$A:$J,10,FALSE)</f>
        <v>yes</v>
      </c>
      <c r="K172" t="str">
        <f>VLOOKUP($A172,'Medical Examinations'!$A:$J,5,FALSE)</f>
        <v>Prediabetes</v>
      </c>
      <c r="L172">
        <f>VLOOKUP($A173,'Medical Examinations'!$A:$J,3,FALSE)</f>
        <v>33.5</v>
      </c>
      <c r="M172">
        <f>VLOOKUP($A172,'Hospitalisation Details'!$A:$K,6,FALSE)</f>
        <v>37133.9</v>
      </c>
      <c r="N172" s="11">
        <f>VLOOKUP($B172,'Hospitalisation Details'!A171:J2515,10,0)</f>
        <v>36506</v>
      </c>
      <c r="O172" t="str">
        <f>VLOOKUP($B172,'Hospitalisation Details'!A171:J2515,8,0)</f>
        <v>tier - 2</v>
      </c>
      <c r="P172" t="str">
        <f>VLOOKUP($B172,'Hospitalisation Details'!A171:J2515,7,0)</f>
        <v>tier - 3</v>
      </c>
      <c r="Q172" t="str">
        <f>VLOOKUP($B172,'Hospitalisation Details'!A171:J2515,9,0)</f>
        <v>R1013</v>
      </c>
      <c r="R172">
        <f>VLOOKUP($B172,'Hospitalisation Details'!A171:K2515,11,0)</f>
        <v>23</v>
      </c>
    </row>
    <row r="173" spans="1:18" x14ac:dyDescent="0.35">
      <c r="A173" t="s">
        <v>2201</v>
      </c>
      <c r="B173" t="s">
        <v>197</v>
      </c>
      <c r="C173" t="str">
        <f>VLOOKUP($A173,'Customer Names'!$A:$E,4,FALSE)</f>
        <v>Lina</v>
      </c>
      <c r="D173" t="str">
        <f>VLOOKUP($A173,'Medical Examinations'!$A:$J,2,FALSE)</f>
        <v>Obesity</v>
      </c>
      <c r="E173">
        <f>VLOOKUP($A173,'Medical Examinations'!$A:$J,4,FALSE)</f>
        <v>5.4</v>
      </c>
      <c r="F173" t="str">
        <f>VLOOKUP($A173,'Medical Examinations'!$A:$J,6,FALSE)</f>
        <v>No</v>
      </c>
      <c r="G173" t="str">
        <f>VLOOKUP($A173,'Medical Examinations'!$A:$J,7,FALSE)</f>
        <v>No</v>
      </c>
      <c r="H173" t="str">
        <f>VLOOKUP($A173,'Medical Examinations'!$A:$J,8,FALSE)</f>
        <v>No</v>
      </c>
      <c r="I173">
        <f>VLOOKUP($A173,'Medical Examinations'!$A:$J,9,FALSE)</f>
        <v>0</v>
      </c>
      <c r="J173" t="str">
        <f>VLOOKUP($A173,'Medical Examinations'!$A:$J,10,FALSE)</f>
        <v>yes</v>
      </c>
      <c r="K173" t="str">
        <f>VLOOKUP($A173,'Medical Examinations'!$A:$J,5,FALSE)</f>
        <v>Normal</v>
      </c>
      <c r="L173">
        <f>VLOOKUP($A174,'Medical Examinations'!$A:$J,3,FALSE)</f>
        <v>47.46</v>
      </c>
      <c r="M173">
        <f>VLOOKUP($A173,'Hospitalisation Details'!$A:$K,6,FALSE)</f>
        <v>37079.370000000003</v>
      </c>
      <c r="N173" s="11">
        <f>VLOOKUP($B173,'Hospitalisation Details'!A172:J2516,10,0)</f>
        <v>37822</v>
      </c>
      <c r="O173" t="str">
        <f>VLOOKUP($B173,'Hospitalisation Details'!A172:J2516,8,0)</f>
        <v>tier - 2</v>
      </c>
      <c r="P173" t="str">
        <f>VLOOKUP($B173,'Hospitalisation Details'!A172:J2516,7,0)</f>
        <v>tier - 3</v>
      </c>
      <c r="Q173" t="str">
        <f>VLOOKUP($B173,'Hospitalisation Details'!A172:J2516,9,0)</f>
        <v>R1011</v>
      </c>
      <c r="R173">
        <f>VLOOKUP($B173,'Hospitalisation Details'!A172:K2516,11,0)</f>
        <v>19</v>
      </c>
    </row>
    <row r="174" spans="1:18" x14ac:dyDescent="0.35">
      <c r="A174" t="s">
        <v>2200</v>
      </c>
      <c r="B174" t="s">
        <v>198</v>
      </c>
      <c r="C174" t="str">
        <f>VLOOKUP($A174,'Customer Names'!$A:$E,4,FALSE)</f>
        <v>Zebulon</v>
      </c>
      <c r="D174" t="str">
        <f>VLOOKUP($A174,'Medical Examinations'!$A:$J,2,FALSE)</f>
        <v>Obesity</v>
      </c>
      <c r="E174">
        <f>VLOOKUP($A174,'Medical Examinations'!$A:$J,4,FALSE)</f>
        <v>6.24</v>
      </c>
      <c r="F174" t="str">
        <f>VLOOKUP($A174,'Medical Examinations'!$A:$J,6,FALSE)</f>
        <v>yes</v>
      </c>
      <c r="G174" t="str">
        <f>VLOOKUP($A174,'Medical Examinations'!$A:$J,7,FALSE)</f>
        <v>No</v>
      </c>
      <c r="H174" t="str">
        <f>VLOOKUP($A174,'Medical Examinations'!$A:$J,8,FALSE)</f>
        <v>No</v>
      </c>
      <c r="I174">
        <f>VLOOKUP($A174,'Medical Examinations'!$A:$J,9,FALSE)</f>
        <v>1</v>
      </c>
      <c r="J174" t="str">
        <f>VLOOKUP($A174,'Medical Examinations'!$A:$J,10,FALSE)</f>
        <v>yes</v>
      </c>
      <c r="K174" t="str">
        <f>VLOOKUP($A174,'Medical Examinations'!$A:$J,5,FALSE)</f>
        <v>Prediabetes</v>
      </c>
      <c r="L174">
        <f>VLOOKUP($A175,'Medical Examinations'!$A:$J,3,FALSE)</f>
        <v>49.24</v>
      </c>
      <c r="M174">
        <f>VLOOKUP($A174,'Hospitalisation Details'!$A:$K,6,FALSE)</f>
        <v>37076.370000000003</v>
      </c>
      <c r="N174" s="11">
        <f>VLOOKUP($B174,'Hospitalisation Details'!A173:J2517,10,0)</f>
        <v>34674</v>
      </c>
      <c r="O174" t="str">
        <f>VLOOKUP($B174,'Hospitalisation Details'!A173:J2517,8,0)</f>
        <v>tier - 2</v>
      </c>
      <c r="P174" t="str">
        <f>VLOOKUP($B174,'Hospitalisation Details'!A173:J2517,7,0)</f>
        <v>tier - 3</v>
      </c>
      <c r="Q174" t="str">
        <f>VLOOKUP($B174,'Hospitalisation Details'!A173:J2517,9,0)</f>
        <v>R1012</v>
      </c>
      <c r="R174">
        <f>VLOOKUP($B174,'Hospitalisation Details'!A173:K2517,11,0)</f>
        <v>28</v>
      </c>
    </row>
    <row r="175" spans="1:18" x14ac:dyDescent="0.35">
      <c r="A175" t="s">
        <v>2199</v>
      </c>
      <c r="B175" t="s">
        <v>199</v>
      </c>
      <c r="C175" t="str">
        <f>VLOOKUP($A175,'Customer Names'!$A:$E,4,FALSE)</f>
        <v>Amanda</v>
      </c>
      <c r="D175" t="str">
        <f>VLOOKUP($A175,'Medical Examinations'!$A:$J,2,FALSE)</f>
        <v>Obesity</v>
      </c>
      <c r="E175">
        <f>VLOOKUP($A175,'Medical Examinations'!$A:$J,4,FALSE)</f>
        <v>4.45</v>
      </c>
      <c r="F175" t="str">
        <f>VLOOKUP($A175,'Medical Examinations'!$A:$J,6,FALSE)</f>
        <v>No</v>
      </c>
      <c r="G175" t="str">
        <f>VLOOKUP($A175,'Medical Examinations'!$A:$J,7,FALSE)</f>
        <v>No</v>
      </c>
      <c r="H175" t="str">
        <f>VLOOKUP($A175,'Medical Examinations'!$A:$J,8,FALSE)</f>
        <v>No</v>
      </c>
      <c r="I175">
        <f>VLOOKUP($A175,'Medical Examinations'!$A:$J,9,FALSE)</f>
        <v>0</v>
      </c>
      <c r="J175" t="str">
        <f>VLOOKUP($A175,'Medical Examinations'!$A:$J,10,FALSE)</f>
        <v>yes</v>
      </c>
      <c r="K175" t="str">
        <f>VLOOKUP($A175,'Medical Examinations'!$A:$J,5,FALSE)</f>
        <v>Normal</v>
      </c>
      <c r="L175">
        <f>VLOOKUP($A176,'Medical Examinations'!$A:$J,3,FALSE)</f>
        <v>54.4</v>
      </c>
      <c r="M175">
        <f>VLOOKUP($A175,'Hospitalisation Details'!$A:$K,6,FALSE)</f>
        <v>37040.879999999997</v>
      </c>
      <c r="N175" s="11">
        <f>VLOOKUP($B175,'Hospitalisation Details'!A174:J2518,10,0)</f>
        <v>38348</v>
      </c>
      <c r="O175" t="str">
        <f>VLOOKUP($B175,'Hospitalisation Details'!A174:J2518,8,0)</f>
        <v>tier - 1</v>
      </c>
      <c r="P175" t="str">
        <f>VLOOKUP($B175,'Hospitalisation Details'!A174:J2518,7,0)</f>
        <v>tier - 3</v>
      </c>
      <c r="Q175" t="str">
        <f>VLOOKUP($B175,'Hospitalisation Details'!A174:J2518,9,0)</f>
        <v>R1025</v>
      </c>
      <c r="R175">
        <f>VLOOKUP($B175,'Hospitalisation Details'!A174:K2518,11,0)</f>
        <v>18</v>
      </c>
    </row>
    <row r="176" spans="1:18" x14ac:dyDescent="0.35">
      <c r="A176" t="s">
        <v>2198</v>
      </c>
      <c r="B176" t="s">
        <v>201</v>
      </c>
      <c r="C176" t="str">
        <f>VLOOKUP($A176,'Customer Names'!$A:$E,4,FALSE)</f>
        <v>Greg</v>
      </c>
      <c r="D176" t="str">
        <f>VLOOKUP($A176,'Medical Examinations'!$A:$J,2,FALSE)</f>
        <v>Obesity</v>
      </c>
      <c r="E176">
        <f>VLOOKUP($A176,'Medical Examinations'!$A:$J,4,FALSE)</f>
        <v>5.22</v>
      </c>
      <c r="F176" t="str">
        <f>VLOOKUP($A176,'Medical Examinations'!$A:$J,6,FALSE)</f>
        <v>No</v>
      </c>
      <c r="G176" t="str">
        <f>VLOOKUP($A176,'Medical Examinations'!$A:$J,7,FALSE)</f>
        <v>No</v>
      </c>
      <c r="H176" t="str">
        <f>VLOOKUP($A176,'Medical Examinations'!$A:$J,8,FALSE)</f>
        <v>No</v>
      </c>
      <c r="I176">
        <f>VLOOKUP($A176,'Medical Examinations'!$A:$J,9,FALSE)</f>
        <v>1</v>
      </c>
      <c r="J176" t="str">
        <f>VLOOKUP($A176,'Medical Examinations'!$A:$J,10,FALSE)</f>
        <v>yes</v>
      </c>
      <c r="K176" t="str">
        <f>VLOOKUP($A176,'Medical Examinations'!$A:$J,5,FALSE)</f>
        <v>Normal</v>
      </c>
      <c r="L176">
        <f>VLOOKUP($A177,'Medical Examinations'!$A:$J,3,FALSE)</f>
        <v>35.53</v>
      </c>
      <c r="M176">
        <f>VLOOKUP($A176,'Hospitalisation Details'!$A:$K,6,FALSE)</f>
        <v>36976.449999999997</v>
      </c>
      <c r="N176" s="11">
        <f>VLOOKUP($B176,'Hospitalisation Details'!A175:J2519,10,0)</f>
        <v>35248</v>
      </c>
      <c r="O176" t="str">
        <f>VLOOKUP($B176,'Hospitalisation Details'!A175:J2519,8,0)</f>
        <v>tier - 3</v>
      </c>
      <c r="P176" t="str">
        <f>VLOOKUP($B176,'Hospitalisation Details'!A175:J2519,7,0)</f>
        <v>tier - 3</v>
      </c>
      <c r="Q176" t="str">
        <f>VLOOKUP($B176,'Hospitalisation Details'!A175:J2519,9,0)</f>
        <v>R1012</v>
      </c>
      <c r="R176">
        <f>VLOOKUP($B176,'Hospitalisation Details'!A175:K2519,11,0)</f>
        <v>26</v>
      </c>
    </row>
    <row r="177" spans="1:18" x14ac:dyDescent="0.35">
      <c r="A177" t="s">
        <v>2197</v>
      </c>
      <c r="B177" t="s">
        <v>202</v>
      </c>
      <c r="C177" t="str">
        <f>VLOOKUP($A177,'Customer Names'!$A:$E,4,FALSE)</f>
        <v>John</v>
      </c>
      <c r="D177" t="str">
        <f>VLOOKUP($A177,'Medical Examinations'!$A:$J,2,FALSE)</f>
        <v>Obesity</v>
      </c>
      <c r="E177">
        <f>VLOOKUP($A177,'Medical Examinations'!$A:$J,4,FALSE)</f>
        <v>4.6100000000000003</v>
      </c>
      <c r="F177" t="str">
        <f>VLOOKUP($A177,'Medical Examinations'!$A:$J,6,FALSE)</f>
        <v>No</v>
      </c>
      <c r="G177" t="str">
        <f>VLOOKUP($A177,'Medical Examinations'!$A:$J,7,FALSE)</f>
        <v>No</v>
      </c>
      <c r="H177" t="str">
        <f>VLOOKUP($A177,'Medical Examinations'!$A:$J,8,FALSE)</f>
        <v>No</v>
      </c>
      <c r="I177">
        <f>VLOOKUP($A177,'Medical Examinations'!$A:$J,9,FALSE)</f>
        <v>1</v>
      </c>
      <c r="J177" t="str">
        <f>VLOOKUP($A177,'Medical Examinations'!$A:$J,10,FALSE)</f>
        <v>yes</v>
      </c>
      <c r="K177" t="str">
        <f>VLOOKUP($A177,'Medical Examinations'!$A:$J,5,FALSE)</f>
        <v>Normal</v>
      </c>
      <c r="L177">
        <f>VLOOKUP($A178,'Medical Examinations'!$A:$J,3,FALSE)</f>
        <v>39.729999999999997</v>
      </c>
      <c r="M177">
        <f>VLOOKUP($A177,'Hospitalisation Details'!$A:$K,6,FALSE)</f>
        <v>36950.26</v>
      </c>
      <c r="N177" s="11">
        <f>VLOOKUP($B177,'Hospitalisation Details'!A176:J2520,10,0)</f>
        <v>37521</v>
      </c>
      <c r="O177" t="str">
        <f>VLOOKUP($B177,'Hospitalisation Details'!A176:J2520,8,0)</f>
        <v>tier - 2</v>
      </c>
      <c r="P177" t="str">
        <f>VLOOKUP($B177,'Hospitalisation Details'!A176:J2520,7,0)</f>
        <v>tier - 3</v>
      </c>
      <c r="Q177" t="str">
        <f>VLOOKUP($B177,'Hospitalisation Details'!A176:J2520,9,0)</f>
        <v>R1011</v>
      </c>
      <c r="R177">
        <f>VLOOKUP($B177,'Hospitalisation Details'!A176:K2520,11,0)</f>
        <v>20</v>
      </c>
    </row>
    <row r="178" spans="1:18" x14ac:dyDescent="0.35">
      <c r="A178" t="s">
        <v>2196</v>
      </c>
      <c r="B178" t="s">
        <v>203</v>
      </c>
      <c r="C178" t="str">
        <f>VLOOKUP($A178,'Customer Names'!$A:$E,4,FALSE)</f>
        <v>Kelsey A.</v>
      </c>
      <c r="D178" t="str">
        <f>VLOOKUP($A178,'Medical Examinations'!$A:$J,2,FALSE)</f>
        <v>Obesity</v>
      </c>
      <c r="E178">
        <f>VLOOKUP($A178,'Medical Examinations'!$A:$J,4,FALSE)</f>
        <v>6.24</v>
      </c>
      <c r="F178" t="str">
        <f>VLOOKUP($A178,'Medical Examinations'!$A:$J,6,FALSE)</f>
        <v>No</v>
      </c>
      <c r="G178" t="str">
        <f>VLOOKUP($A178,'Medical Examinations'!$A:$J,7,FALSE)</f>
        <v>No</v>
      </c>
      <c r="H178" t="str">
        <f>VLOOKUP($A178,'Medical Examinations'!$A:$J,8,FALSE)</f>
        <v>No</v>
      </c>
      <c r="I178">
        <f>VLOOKUP($A178,'Medical Examinations'!$A:$J,9,FALSE)</f>
        <v>0</v>
      </c>
      <c r="J178" t="str">
        <f>VLOOKUP($A178,'Medical Examinations'!$A:$J,10,FALSE)</f>
        <v>yes</v>
      </c>
      <c r="K178" t="str">
        <f>VLOOKUP($A178,'Medical Examinations'!$A:$J,5,FALSE)</f>
        <v>Prediabetes</v>
      </c>
      <c r="L178">
        <f>VLOOKUP($A179,'Medical Examinations'!$A:$J,3,FALSE)</f>
        <v>35.68</v>
      </c>
      <c r="M178">
        <f>VLOOKUP($A178,'Hospitalisation Details'!$A:$K,6,FALSE)</f>
        <v>36935.64</v>
      </c>
      <c r="N178" s="11">
        <f>VLOOKUP($B178,'Hospitalisation Details'!A177:J2521,10,0)</f>
        <v>37558</v>
      </c>
      <c r="O178" t="str">
        <f>VLOOKUP($B178,'Hospitalisation Details'!A177:J2521,8,0)</f>
        <v>tier - 1</v>
      </c>
      <c r="P178" t="str">
        <f>VLOOKUP($B178,'Hospitalisation Details'!A177:J2521,7,0)</f>
        <v>tier - 3</v>
      </c>
      <c r="Q178" t="str">
        <f>VLOOKUP($B178,'Hospitalisation Details'!A177:J2521,9,0)</f>
        <v>R1013</v>
      </c>
      <c r="R178">
        <f>VLOOKUP($B178,'Hospitalisation Details'!A177:K2521,11,0)</f>
        <v>20</v>
      </c>
    </row>
    <row r="179" spans="1:18" x14ac:dyDescent="0.35">
      <c r="A179" t="s">
        <v>2195</v>
      </c>
      <c r="B179" t="s">
        <v>204</v>
      </c>
      <c r="C179" t="str">
        <f>VLOOKUP($A179,'Customer Names'!$A:$E,4,FALSE)</f>
        <v>Bronwen L</v>
      </c>
      <c r="D179" t="str">
        <f>VLOOKUP($A179,'Medical Examinations'!$A:$J,2,FALSE)</f>
        <v>Obesity</v>
      </c>
      <c r="E179">
        <f>VLOOKUP($A179,'Medical Examinations'!$A:$J,4,FALSE)</f>
        <v>10.039999999999999</v>
      </c>
      <c r="F179" t="str">
        <f>VLOOKUP($A179,'Medical Examinations'!$A:$J,6,FALSE)</f>
        <v>No</v>
      </c>
      <c r="G179" t="str">
        <f>VLOOKUP($A179,'Medical Examinations'!$A:$J,7,FALSE)</f>
        <v>No</v>
      </c>
      <c r="H179" t="str">
        <f>VLOOKUP($A179,'Medical Examinations'!$A:$J,8,FALSE)</f>
        <v>No</v>
      </c>
      <c r="I179">
        <f>VLOOKUP($A179,'Medical Examinations'!$A:$J,9,FALSE)</f>
        <v>0</v>
      </c>
      <c r="J179" t="str">
        <f>VLOOKUP($A179,'Medical Examinations'!$A:$J,10,FALSE)</f>
        <v>yes</v>
      </c>
      <c r="K179" t="str">
        <f>VLOOKUP($A179,'Medical Examinations'!$A:$J,5,FALSE)</f>
        <v>Diabetes</v>
      </c>
      <c r="L179">
        <f>VLOOKUP($A180,'Medical Examinations'!$A:$J,3,FALSE)</f>
        <v>48.86</v>
      </c>
      <c r="M179">
        <f>VLOOKUP($A179,'Hospitalisation Details'!$A:$K,6,FALSE)</f>
        <v>36922.61</v>
      </c>
      <c r="N179" s="11">
        <f>VLOOKUP($B179,'Hospitalisation Details'!A178:J2522,10,0)</f>
        <v>37497</v>
      </c>
      <c r="O179" t="str">
        <f>VLOOKUP($B179,'Hospitalisation Details'!A178:J2522,8,0)</f>
        <v>tier - 2</v>
      </c>
      <c r="P179" t="str">
        <f>VLOOKUP($B179,'Hospitalisation Details'!A178:J2522,7,0)</f>
        <v>tier - 3</v>
      </c>
      <c r="Q179" t="str">
        <f>VLOOKUP($B179,'Hospitalisation Details'!A178:J2522,9,0)</f>
        <v>R1013</v>
      </c>
      <c r="R179">
        <f>VLOOKUP($B179,'Hospitalisation Details'!A178:K2522,11,0)</f>
        <v>20</v>
      </c>
    </row>
    <row r="180" spans="1:18" x14ac:dyDescent="0.35">
      <c r="A180" t="s">
        <v>2194</v>
      </c>
      <c r="B180" t="s">
        <v>205</v>
      </c>
      <c r="C180" t="str">
        <f>VLOOKUP($A180,'Customer Names'!$A:$E,4,FALSE)</f>
        <v>Manuela</v>
      </c>
      <c r="D180" t="str">
        <f>VLOOKUP($A180,'Medical Examinations'!$A:$J,2,FALSE)</f>
        <v>Obesity</v>
      </c>
      <c r="E180">
        <f>VLOOKUP($A180,'Medical Examinations'!$A:$J,4,FALSE)</f>
        <v>6.09</v>
      </c>
      <c r="F180" t="str">
        <f>VLOOKUP($A180,'Medical Examinations'!$A:$J,6,FALSE)</f>
        <v>No</v>
      </c>
      <c r="G180" t="str">
        <f>VLOOKUP($A180,'Medical Examinations'!$A:$J,7,FALSE)</f>
        <v>No</v>
      </c>
      <c r="H180" t="str">
        <f>VLOOKUP($A180,'Medical Examinations'!$A:$J,8,FALSE)</f>
        <v>No</v>
      </c>
      <c r="I180">
        <f>VLOOKUP($A180,'Medical Examinations'!$A:$J,9,FALSE)</f>
        <v>0</v>
      </c>
      <c r="J180" t="str">
        <f>VLOOKUP($A180,'Medical Examinations'!$A:$J,10,FALSE)</f>
        <v>yes</v>
      </c>
      <c r="K180" t="str">
        <f>VLOOKUP($A180,'Medical Examinations'!$A:$J,5,FALSE)</f>
        <v>Prediabetes</v>
      </c>
      <c r="L180">
        <f>VLOOKUP($A181,'Medical Examinations'!$A:$J,3,FALSE)</f>
        <v>34.799999999999997</v>
      </c>
      <c r="M180">
        <f>VLOOKUP($A180,'Hospitalisation Details'!$A:$K,6,FALSE)</f>
        <v>36911.99</v>
      </c>
      <c r="N180" s="11">
        <f>VLOOKUP($B180,'Hospitalisation Details'!A179:J2523,10,0)</f>
        <v>37489</v>
      </c>
      <c r="O180" t="str">
        <f>VLOOKUP($B180,'Hospitalisation Details'!A179:J2523,8,0)</f>
        <v>tier - 1</v>
      </c>
      <c r="P180" t="str">
        <f>VLOOKUP($B180,'Hospitalisation Details'!A179:J2523,7,0)</f>
        <v>tier - 3</v>
      </c>
      <c r="Q180" t="str">
        <f>VLOOKUP($B180,'Hospitalisation Details'!A179:J2523,9,0)</f>
        <v>R1011</v>
      </c>
      <c r="R180">
        <f>VLOOKUP($B180,'Hospitalisation Details'!A179:K2523,11,0)</f>
        <v>20</v>
      </c>
    </row>
    <row r="181" spans="1:18" x14ac:dyDescent="0.35">
      <c r="A181" t="s">
        <v>2193</v>
      </c>
      <c r="B181" t="s">
        <v>206</v>
      </c>
      <c r="C181" t="str">
        <f>VLOOKUP($A181,'Customer Names'!$A:$E,4,FALSE)</f>
        <v>Jennifer L</v>
      </c>
      <c r="D181" t="str">
        <f>VLOOKUP($A181,'Medical Examinations'!$A:$J,2,FALSE)</f>
        <v>Obesity</v>
      </c>
      <c r="E181">
        <f>VLOOKUP($A181,'Medical Examinations'!$A:$J,4,FALSE)</f>
        <v>11.4</v>
      </c>
      <c r="F181" t="str">
        <f>VLOOKUP($A181,'Medical Examinations'!$A:$J,6,FALSE)</f>
        <v>yes</v>
      </c>
      <c r="G181" t="str">
        <f>VLOOKUP($A181,'Medical Examinations'!$A:$J,7,FALSE)</f>
        <v>No</v>
      </c>
      <c r="H181" t="str">
        <f>VLOOKUP($A181,'Medical Examinations'!$A:$J,8,FALSE)</f>
        <v>Yes</v>
      </c>
      <c r="I181">
        <f>VLOOKUP($A181,'Medical Examinations'!$A:$J,9,FALSE)</f>
        <v>1</v>
      </c>
      <c r="J181" t="str">
        <f>VLOOKUP($A181,'Medical Examinations'!$A:$J,10,FALSE)</f>
        <v>No</v>
      </c>
      <c r="K181" t="str">
        <f>VLOOKUP($A181,'Medical Examinations'!$A:$J,5,FALSE)</f>
        <v>Diabetes</v>
      </c>
      <c r="L181">
        <f>VLOOKUP($A182,'Medical Examinations'!$A:$J,3,FALSE)</f>
        <v>32.49</v>
      </c>
      <c r="M181">
        <f>VLOOKUP($A181,'Hospitalisation Details'!$A:$K,6,FALSE)</f>
        <v>36910.61</v>
      </c>
      <c r="N181" s="11">
        <f>VLOOKUP($B181,'Hospitalisation Details'!A180:J2524,10,0)</f>
        <v>37113</v>
      </c>
      <c r="O181" t="str">
        <f>VLOOKUP($B181,'Hospitalisation Details'!A180:J2524,8,0)</f>
        <v>tier - 1</v>
      </c>
      <c r="P181" t="str">
        <f>VLOOKUP($B181,'Hospitalisation Details'!A180:J2524,7,0)</f>
        <v>tier - 3</v>
      </c>
      <c r="Q181" t="str">
        <f>VLOOKUP($B181,'Hospitalisation Details'!A180:J2524,9,0)</f>
        <v>R1012</v>
      </c>
      <c r="R181">
        <f>VLOOKUP($B181,'Hospitalisation Details'!A180:K2524,11,0)</f>
        <v>21</v>
      </c>
    </row>
    <row r="182" spans="1:18" x14ac:dyDescent="0.35">
      <c r="A182" t="s">
        <v>2192</v>
      </c>
      <c r="B182" t="s">
        <v>207</v>
      </c>
      <c r="C182" t="str">
        <f>VLOOKUP($A182,'Customer Names'!$A:$E,4,FALSE)</f>
        <v>Abby W.</v>
      </c>
      <c r="D182" t="str">
        <f>VLOOKUP($A182,'Medical Examinations'!$A:$J,2,FALSE)</f>
        <v>Obesity</v>
      </c>
      <c r="E182">
        <f>VLOOKUP($A182,'Medical Examinations'!$A:$J,4,FALSE)</f>
        <v>4.29</v>
      </c>
      <c r="F182" t="str">
        <f>VLOOKUP($A182,'Medical Examinations'!$A:$J,6,FALSE)</f>
        <v>No</v>
      </c>
      <c r="G182" t="str">
        <f>VLOOKUP($A182,'Medical Examinations'!$A:$J,7,FALSE)</f>
        <v>No</v>
      </c>
      <c r="H182" t="str">
        <f>VLOOKUP($A182,'Medical Examinations'!$A:$J,8,FALSE)</f>
        <v>Yes</v>
      </c>
      <c r="I182">
        <f>VLOOKUP($A182,'Medical Examinations'!$A:$J,9,FALSE)</f>
        <v>1</v>
      </c>
      <c r="J182" t="str">
        <f>VLOOKUP($A182,'Medical Examinations'!$A:$J,10,FALSE)</f>
        <v>yes</v>
      </c>
      <c r="K182" t="str">
        <f>VLOOKUP($A182,'Medical Examinations'!$A:$J,5,FALSE)</f>
        <v>Normal</v>
      </c>
      <c r="L182">
        <f>VLOOKUP($A183,'Medical Examinations'!$A:$J,3,FALSE)</f>
        <v>39</v>
      </c>
      <c r="M182">
        <f>VLOOKUP($A182,'Hospitalisation Details'!$A:$K,6,FALSE)</f>
        <v>36898.730000000003</v>
      </c>
      <c r="N182" s="11">
        <f>VLOOKUP($B182,'Hospitalisation Details'!A181:J2525,10,0)</f>
        <v>34613</v>
      </c>
      <c r="O182" t="str">
        <f>VLOOKUP($B182,'Hospitalisation Details'!A181:J2525,8,0)</f>
        <v>tier - 3</v>
      </c>
      <c r="P182" t="str">
        <f>VLOOKUP($B182,'Hospitalisation Details'!A181:J2525,7,0)</f>
        <v>tier - 3</v>
      </c>
      <c r="Q182" t="str">
        <f>VLOOKUP($B182,'Hospitalisation Details'!A181:J2525,9,0)</f>
        <v>R1013</v>
      </c>
      <c r="R182">
        <f>VLOOKUP($B182,'Hospitalisation Details'!A181:K2525,11,0)</f>
        <v>28</v>
      </c>
    </row>
    <row r="183" spans="1:18" x14ac:dyDescent="0.35">
      <c r="A183" t="s">
        <v>2191</v>
      </c>
      <c r="B183" t="s">
        <v>208</v>
      </c>
      <c r="C183" t="str">
        <f>VLOOKUP($A183,'Customer Names'!$A:$E,4,FALSE)</f>
        <v>Tyler</v>
      </c>
      <c r="D183" t="str">
        <f>VLOOKUP($A183,'Medical Examinations'!$A:$J,2,FALSE)</f>
        <v>Obesity</v>
      </c>
      <c r="E183">
        <f>VLOOKUP($A183,'Medical Examinations'!$A:$J,4,FALSE)</f>
        <v>5.7</v>
      </c>
      <c r="F183" t="str">
        <f>VLOOKUP($A183,'Medical Examinations'!$A:$J,6,FALSE)</f>
        <v>No</v>
      </c>
      <c r="G183" t="str">
        <f>VLOOKUP($A183,'Medical Examinations'!$A:$J,7,FALSE)</f>
        <v>No</v>
      </c>
      <c r="H183" t="str">
        <f>VLOOKUP($A183,'Medical Examinations'!$A:$J,8,FALSE)</f>
        <v>No</v>
      </c>
      <c r="I183">
        <f>VLOOKUP($A183,'Medical Examinations'!$A:$J,9,FALSE)</f>
        <v>2</v>
      </c>
      <c r="J183" t="str">
        <f>VLOOKUP($A183,'Medical Examinations'!$A:$J,10,FALSE)</f>
        <v>yes</v>
      </c>
      <c r="K183" t="str">
        <f>VLOOKUP($A183,'Medical Examinations'!$A:$J,5,FALSE)</f>
        <v>Prediabetes</v>
      </c>
      <c r="L183">
        <f>VLOOKUP($A184,'Medical Examinations'!$A:$J,3,FALSE)</f>
        <v>35.299999999999997</v>
      </c>
      <c r="M183">
        <f>VLOOKUP($A183,'Hospitalisation Details'!$A:$K,6,FALSE)</f>
        <v>36889.99</v>
      </c>
      <c r="N183" s="11">
        <f>VLOOKUP($B183,'Hospitalisation Details'!A182:J2526,10,0)</f>
        <v>37106</v>
      </c>
      <c r="O183" t="str">
        <f>VLOOKUP($B183,'Hospitalisation Details'!A182:J2526,8,0)</f>
        <v>tier - 3</v>
      </c>
      <c r="P183" t="str">
        <f>VLOOKUP($B183,'Hospitalisation Details'!A182:J2526,7,0)</f>
        <v>tier - 3</v>
      </c>
      <c r="Q183" t="str">
        <f>VLOOKUP($B183,'Hospitalisation Details'!A182:J2526,9,0)</f>
        <v>R1012</v>
      </c>
      <c r="R183">
        <f>VLOOKUP($B183,'Hospitalisation Details'!A182:K2526,11,0)</f>
        <v>21</v>
      </c>
    </row>
    <row r="184" spans="1:18" x14ac:dyDescent="0.35">
      <c r="A184" t="s">
        <v>2190</v>
      </c>
      <c r="B184" t="s">
        <v>209</v>
      </c>
      <c r="C184" t="str">
        <f>VLOOKUP($A184,'Customer Names'!$A:$E,4,FALSE)</f>
        <v>Jeffrey</v>
      </c>
      <c r="D184" t="str">
        <f>VLOOKUP($A184,'Medical Examinations'!$A:$J,2,FALSE)</f>
        <v>Obesity</v>
      </c>
      <c r="E184">
        <f>VLOOKUP($A184,'Medical Examinations'!$A:$J,4,FALSE)</f>
        <v>6.09</v>
      </c>
      <c r="F184" t="str">
        <f>VLOOKUP($A184,'Medical Examinations'!$A:$J,6,FALSE)</f>
        <v>No</v>
      </c>
      <c r="G184" t="str">
        <f>VLOOKUP($A184,'Medical Examinations'!$A:$J,7,FALSE)</f>
        <v>No</v>
      </c>
      <c r="H184" t="str">
        <f>VLOOKUP($A184,'Medical Examinations'!$A:$J,8,FALSE)</f>
        <v>No</v>
      </c>
      <c r="I184">
        <f>VLOOKUP($A184,'Medical Examinations'!$A:$J,9,FALSE)</f>
        <v>1</v>
      </c>
      <c r="J184" t="str">
        <f>VLOOKUP($A184,'Medical Examinations'!$A:$J,10,FALSE)</f>
        <v>yes</v>
      </c>
      <c r="K184" t="str">
        <f>VLOOKUP($A184,'Medical Examinations'!$A:$J,5,FALSE)</f>
        <v>Prediabetes</v>
      </c>
      <c r="L184">
        <f>VLOOKUP($A185,'Medical Examinations'!$A:$J,3,FALSE)</f>
        <v>33.42</v>
      </c>
      <c r="M184">
        <f>VLOOKUP($A184,'Hospitalisation Details'!$A:$K,6,FALSE)</f>
        <v>36837.47</v>
      </c>
      <c r="N184" s="11">
        <f>VLOOKUP($B184,'Hospitalisation Details'!A183:J2527,10,0)</f>
        <v>37234</v>
      </c>
      <c r="O184" t="str">
        <f>VLOOKUP($B184,'Hospitalisation Details'!A183:J2527,8,0)</f>
        <v>tier - 2</v>
      </c>
      <c r="P184" t="str">
        <f>VLOOKUP($B184,'Hospitalisation Details'!A183:J2527,7,0)</f>
        <v>tier - 3</v>
      </c>
      <c r="Q184" t="str">
        <f>VLOOKUP($B184,'Hospitalisation Details'!A183:J2527,9,0)</f>
        <v>R1012</v>
      </c>
      <c r="R184">
        <f>VLOOKUP($B184,'Hospitalisation Details'!A183:K2527,11,0)</f>
        <v>21</v>
      </c>
    </row>
    <row r="185" spans="1:18" x14ac:dyDescent="0.35">
      <c r="A185" t="s">
        <v>2189</v>
      </c>
      <c r="B185" t="s">
        <v>210</v>
      </c>
      <c r="C185" t="str">
        <f>VLOOKUP($A185,'Customer Names'!$A:$E,4,FALSE)</f>
        <v>Matthew F</v>
      </c>
      <c r="D185" t="str">
        <f>VLOOKUP($A185,'Medical Examinations'!$A:$J,2,FALSE)</f>
        <v>Obesity</v>
      </c>
      <c r="E185">
        <f>VLOOKUP($A185,'Medical Examinations'!$A:$J,4,FALSE)</f>
        <v>10.67</v>
      </c>
      <c r="F185" t="str">
        <f>VLOOKUP($A185,'Medical Examinations'!$A:$J,6,FALSE)</f>
        <v>No</v>
      </c>
      <c r="G185" t="str">
        <f>VLOOKUP($A185,'Medical Examinations'!$A:$J,7,FALSE)</f>
        <v>No</v>
      </c>
      <c r="H185" t="str">
        <f>VLOOKUP($A185,'Medical Examinations'!$A:$J,8,FALSE)</f>
        <v>No</v>
      </c>
      <c r="I185">
        <f>VLOOKUP($A185,'Medical Examinations'!$A:$J,9,FALSE)</f>
        <v>0</v>
      </c>
      <c r="J185" t="str">
        <f>VLOOKUP($A185,'Medical Examinations'!$A:$J,10,FALSE)</f>
        <v>yes</v>
      </c>
      <c r="K185" t="str">
        <f>VLOOKUP($A185,'Medical Examinations'!$A:$J,5,FALSE)</f>
        <v>Diabetes</v>
      </c>
      <c r="L185">
        <f>VLOOKUP($A186,'Medical Examinations'!$A:$J,3,FALSE)</f>
        <v>37.18</v>
      </c>
      <c r="M185">
        <f>VLOOKUP($A185,'Hospitalisation Details'!$A:$K,6,FALSE)</f>
        <v>36795.29</v>
      </c>
      <c r="N185" s="11">
        <f>VLOOKUP($B185,'Hospitalisation Details'!A184:J2528,10,0)</f>
        <v>37506</v>
      </c>
      <c r="O185" t="str">
        <f>VLOOKUP($B185,'Hospitalisation Details'!A184:J2528,8,0)</f>
        <v>tier - 1</v>
      </c>
      <c r="P185" t="str">
        <f>VLOOKUP($B185,'Hospitalisation Details'!A184:J2528,7,0)</f>
        <v>tier - 3</v>
      </c>
      <c r="Q185" t="str">
        <f>VLOOKUP($B185,'Hospitalisation Details'!A184:J2528,9,0)</f>
        <v>R1011</v>
      </c>
      <c r="R185">
        <f>VLOOKUP($B185,'Hospitalisation Details'!A184:K2528,11,0)</f>
        <v>20</v>
      </c>
    </row>
    <row r="186" spans="1:18" x14ac:dyDescent="0.35">
      <c r="A186" t="s">
        <v>2188</v>
      </c>
      <c r="B186" t="s">
        <v>211</v>
      </c>
      <c r="C186" t="str">
        <f>VLOOKUP($A186,'Customer Names'!$A:$E,4,FALSE)</f>
        <v>Ryan J.</v>
      </c>
      <c r="D186" t="str">
        <f>VLOOKUP($A186,'Medical Examinations'!$A:$J,2,FALSE)</f>
        <v>Obesity</v>
      </c>
      <c r="E186">
        <f>VLOOKUP($A186,'Medical Examinations'!$A:$J,4,FALSE)</f>
        <v>6.75</v>
      </c>
      <c r="F186" t="str">
        <f>VLOOKUP($A186,'Medical Examinations'!$A:$J,6,FALSE)</f>
        <v>yes</v>
      </c>
      <c r="G186" t="str">
        <f>VLOOKUP($A186,'Medical Examinations'!$A:$J,7,FALSE)</f>
        <v>No</v>
      </c>
      <c r="H186" t="str">
        <f>VLOOKUP($A186,'Medical Examinations'!$A:$J,8,FALSE)</f>
        <v>No</v>
      </c>
      <c r="I186">
        <f>VLOOKUP($A186,'Medical Examinations'!$A:$J,9,FALSE)</f>
        <v>2</v>
      </c>
      <c r="J186" t="str">
        <f>VLOOKUP($A186,'Medical Examinations'!$A:$J,10,FALSE)</f>
        <v>yes</v>
      </c>
      <c r="K186" t="str">
        <f>VLOOKUP($A186,'Medical Examinations'!$A:$J,5,FALSE)</f>
        <v>Diabetes</v>
      </c>
      <c r="L186">
        <f>VLOOKUP($A187,'Medical Examinations'!$A:$J,3,FALSE)</f>
        <v>33.33</v>
      </c>
      <c r="M186">
        <f>VLOOKUP($A186,'Hospitalisation Details'!$A:$K,6,FALSE)</f>
        <v>36786.370000000003</v>
      </c>
      <c r="N186" s="11">
        <f>VLOOKUP($B186,'Hospitalisation Details'!A185:J2529,10,0)</f>
        <v>37466</v>
      </c>
      <c r="O186" t="str">
        <f>VLOOKUP($B186,'Hospitalisation Details'!A185:J2529,8,0)</f>
        <v>tier - 2</v>
      </c>
      <c r="P186" t="str">
        <f>VLOOKUP($B186,'Hospitalisation Details'!A185:J2529,7,0)</f>
        <v>tier - 3</v>
      </c>
      <c r="Q186" t="str">
        <f>VLOOKUP($B186,'Hospitalisation Details'!A185:J2529,9,0)</f>
        <v>R1016</v>
      </c>
      <c r="R186">
        <f>VLOOKUP($B186,'Hospitalisation Details'!A185:K2529,11,0)</f>
        <v>20</v>
      </c>
    </row>
    <row r="187" spans="1:18" x14ac:dyDescent="0.35">
      <c r="A187" t="s">
        <v>2187</v>
      </c>
      <c r="B187" t="s">
        <v>212</v>
      </c>
      <c r="C187" t="str">
        <f>VLOOKUP($A187,'Customer Names'!$A:$E,4,FALSE)</f>
        <v>Amy</v>
      </c>
      <c r="D187" t="str">
        <f>VLOOKUP($A187,'Medical Examinations'!$A:$J,2,FALSE)</f>
        <v>Obesity</v>
      </c>
      <c r="E187">
        <f>VLOOKUP($A187,'Medical Examinations'!$A:$J,4,FALSE)</f>
        <v>9.26</v>
      </c>
      <c r="F187" t="str">
        <f>VLOOKUP($A187,'Medical Examinations'!$A:$J,6,FALSE)</f>
        <v>yes</v>
      </c>
      <c r="G187" t="str">
        <f>VLOOKUP($A187,'Medical Examinations'!$A:$J,7,FALSE)</f>
        <v>No</v>
      </c>
      <c r="H187" t="str">
        <f>VLOOKUP($A187,'Medical Examinations'!$A:$J,8,FALSE)</f>
        <v>No</v>
      </c>
      <c r="I187">
        <f>VLOOKUP($A187,'Medical Examinations'!$A:$J,9,FALSE)</f>
        <v>2</v>
      </c>
      <c r="J187" t="str">
        <f>VLOOKUP($A187,'Medical Examinations'!$A:$J,10,FALSE)</f>
        <v>No</v>
      </c>
      <c r="K187" t="str">
        <f>VLOOKUP($A187,'Medical Examinations'!$A:$J,5,FALSE)</f>
        <v>Diabetes</v>
      </c>
      <c r="L187">
        <f>VLOOKUP($A188,'Medical Examinations'!$A:$J,3,FALSE)</f>
        <v>53.21</v>
      </c>
      <c r="M187">
        <f>VLOOKUP($A187,'Hospitalisation Details'!$A:$K,6,FALSE)</f>
        <v>36580.28</v>
      </c>
      <c r="N187" s="11">
        <f>VLOOKUP($B187,'Hospitalisation Details'!A186:J2530,10,0)</f>
        <v>36066</v>
      </c>
      <c r="O187" t="str">
        <f>VLOOKUP($B187,'Hospitalisation Details'!A186:J2530,8,0)</f>
        <v>tier - 3</v>
      </c>
      <c r="P187" t="str">
        <f>VLOOKUP($B187,'Hospitalisation Details'!A186:J2530,7,0)</f>
        <v>tier - 3</v>
      </c>
      <c r="Q187" t="str">
        <f>VLOOKUP($B187,'Hospitalisation Details'!A186:J2530,9,0)</f>
        <v>R1011</v>
      </c>
      <c r="R187">
        <f>VLOOKUP($B187,'Hospitalisation Details'!A186:K2530,11,0)</f>
        <v>24</v>
      </c>
    </row>
    <row r="188" spans="1:18" x14ac:dyDescent="0.35">
      <c r="A188" t="s">
        <v>2186</v>
      </c>
      <c r="B188" t="s">
        <v>213</v>
      </c>
      <c r="C188" t="str">
        <f>VLOOKUP($A188,'Customer Names'!$A:$E,4,FALSE)</f>
        <v>Andrew P</v>
      </c>
      <c r="D188" t="str">
        <f>VLOOKUP($A188,'Medical Examinations'!$A:$J,2,FALSE)</f>
        <v>Obesity</v>
      </c>
      <c r="E188">
        <f>VLOOKUP($A188,'Medical Examinations'!$A:$J,4,FALSE)</f>
        <v>4.2699999999999996</v>
      </c>
      <c r="F188" t="str">
        <f>VLOOKUP($A188,'Medical Examinations'!$A:$J,6,FALSE)</f>
        <v>No</v>
      </c>
      <c r="G188" t="str">
        <f>VLOOKUP($A188,'Medical Examinations'!$A:$J,7,FALSE)</f>
        <v>No</v>
      </c>
      <c r="H188" t="str">
        <f>VLOOKUP($A188,'Medical Examinations'!$A:$J,8,FALSE)</f>
        <v>No</v>
      </c>
      <c r="I188">
        <f>VLOOKUP($A188,'Medical Examinations'!$A:$J,9,FALSE)</f>
        <v>1</v>
      </c>
      <c r="J188" t="str">
        <f>VLOOKUP($A188,'Medical Examinations'!$A:$J,10,FALSE)</f>
        <v>yes</v>
      </c>
      <c r="K188" t="str">
        <f>VLOOKUP($A188,'Medical Examinations'!$A:$J,5,FALSE)</f>
        <v>Normal</v>
      </c>
      <c r="L188">
        <f>VLOOKUP($A189,'Medical Examinations'!$A:$J,3,FALSE)</f>
        <v>38.729999999999997</v>
      </c>
      <c r="M188">
        <f>VLOOKUP($A188,'Hospitalisation Details'!$A:$K,6,FALSE)</f>
        <v>36572.800000000003</v>
      </c>
      <c r="N188" s="11">
        <f>VLOOKUP($B188,'Hospitalisation Details'!A187:J2531,10,0)</f>
        <v>36073</v>
      </c>
      <c r="O188" t="str">
        <f>VLOOKUP($B188,'Hospitalisation Details'!A187:J2531,8,0)</f>
        <v>tier - 1</v>
      </c>
      <c r="P188" t="str">
        <f>VLOOKUP($B188,'Hospitalisation Details'!A187:J2531,7,0)</f>
        <v>tier - 3</v>
      </c>
      <c r="Q188" t="str">
        <f>VLOOKUP($B188,'Hospitalisation Details'!A187:J2531,9,0)</f>
        <v>R1011</v>
      </c>
      <c r="R188">
        <f>VLOOKUP($B188,'Hospitalisation Details'!A187:K2531,11,0)</f>
        <v>24</v>
      </c>
    </row>
    <row r="189" spans="1:18" x14ac:dyDescent="0.35">
      <c r="A189" t="s">
        <v>2185</v>
      </c>
      <c r="B189" t="s">
        <v>214</v>
      </c>
      <c r="C189" t="str">
        <f>VLOOKUP($A189,'Customer Names'!$A:$E,4,FALSE)</f>
        <v>George M. V</v>
      </c>
      <c r="D189" t="str">
        <f>VLOOKUP($A189,'Medical Examinations'!$A:$J,2,FALSE)</f>
        <v>Obesity</v>
      </c>
      <c r="E189">
        <f>VLOOKUP($A189,'Medical Examinations'!$A:$J,4,FALSE)</f>
        <v>11.51</v>
      </c>
      <c r="F189" t="str">
        <f>VLOOKUP($A189,'Medical Examinations'!$A:$J,6,FALSE)</f>
        <v>No</v>
      </c>
      <c r="G189" t="str">
        <f>VLOOKUP($A189,'Medical Examinations'!$A:$J,7,FALSE)</f>
        <v>No</v>
      </c>
      <c r="H189" t="str">
        <f>VLOOKUP($A189,'Medical Examinations'!$A:$J,8,FALSE)</f>
        <v>No</v>
      </c>
      <c r="I189">
        <f>VLOOKUP($A189,'Medical Examinations'!$A:$J,9,FALSE)</f>
        <v>2</v>
      </c>
      <c r="J189" t="str">
        <f>VLOOKUP($A189,'Medical Examinations'!$A:$J,10,FALSE)</f>
        <v>yes</v>
      </c>
      <c r="K189" t="str">
        <f>VLOOKUP($A189,'Medical Examinations'!$A:$J,5,FALSE)</f>
        <v>Diabetes</v>
      </c>
      <c r="L189">
        <f>VLOOKUP($A190,'Medical Examinations'!$A:$J,3,FALSE)</f>
        <v>29.73</v>
      </c>
      <c r="M189">
        <f>VLOOKUP($A189,'Hospitalisation Details'!$A:$K,6,FALSE)</f>
        <v>36541.550000000003</v>
      </c>
      <c r="N189" s="11">
        <f>VLOOKUP($B189,'Hospitalisation Details'!A188:J2532,10,0)</f>
        <v>36067</v>
      </c>
      <c r="O189" t="str">
        <f>VLOOKUP($B189,'Hospitalisation Details'!A188:J2532,8,0)</f>
        <v>tier - 1</v>
      </c>
      <c r="P189" t="str">
        <f>VLOOKUP($B189,'Hospitalisation Details'!A188:J2532,7,0)</f>
        <v>tier - 3</v>
      </c>
      <c r="Q189" t="str">
        <f>VLOOKUP($B189,'Hospitalisation Details'!A188:J2532,9,0)</f>
        <v>R1011</v>
      </c>
      <c r="R189">
        <f>VLOOKUP($B189,'Hospitalisation Details'!A188:K2532,11,0)</f>
        <v>24</v>
      </c>
    </row>
    <row r="190" spans="1:18" x14ac:dyDescent="0.35">
      <c r="A190" t="s">
        <v>2184</v>
      </c>
      <c r="B190" t="s">
        <v>215</v>
      </c>
      <c r="C190" t="str">
        <f>VLOOKUP($A190,'Customer Names'!$A:$E,4,FALSE)</f>
        <v>Sarah</v>
      </c>
      <c r="D190" t="str">
        <f>VLOOKUP($A190,'Medical Examinations'!$A:$J,2,FALSE)</f>
        <v>Overweight</v>
      </c>
      <c r="E190">
        <f>VLOOKUP($A190,'Medical Examinations'!$A:$J,4,FALSE)</f>
        <v>7.22</v>
      </c>
      <c r="F190" t="str">
        <f>VLOOKUP($A190,'Medical Examinations'!$A:$J,6,FALSE)</f>
        <v>No</v>
      </c>
      <c r="G190" t="str">
        <f>VLOOKUP($A190,'Medical Examinations'!$A:$J,7,FALSE)</f>
        <v>No</v>
      </c>
      <c r="H190" t="str">
        <f>VLOOKUP($A190,'Medical Examinations'!$A:$J,8,FALSE)</f>
        <v>No</v>
      </c>
      <c r="I190">
        <f>VLOOKUP($A190,'Medical Examinations'!$A:$J,9,FALSE)</f>
        <v>0</v>
      </c>
      <c r="J190" t="str">
        <f>VLOOKUP($A190,'Medical Examinations'!$A:$J,10,FALSE)</f>
        <v>yes</v>
      </c>
      <c r="K190" t="str">
        <f>VLOOKUP($A190,'Medical Examinations'!$A:$J,5,FALSE)</f>
        <v>Diabetes</v>
      </c>
      <c r="L190">
        <f>VLOOKUP($A191,'Medical Examinations'!$A:$J,3,FALSE)</f>
        <v>34.700000000000003</v>
      </c>
      <c r="M190">
        <f>VLOOKUP($A190,'Hospitalisation Details'!$A:$K,6,FALSE)</f>
        <v>36445.550000000003</v>
      </c>
      <c r="N190" s="11">
        <f>VLOOKUP($B190,'Hospitalisation Details'!A189:J2533,10,0)</f>
        <v>37453</v>
      </c>
      <c r="O190" t="str">
        <f>VLOOKUP($B190,'Hospitalisation Details'!A189:J2533,8,0)</f>
        <v>tier - 3</v>
      </c>
      <c r="P190" t="str">
        <f>VLOOKUP($B190,'Hospitalisation Details'!A189:J2533,7,0)</f>
        <v>tier - 3</v>
      </c>
      <c r="Q190" t="str">
        <f>VLOOKUP($B190,'Hospitalisation Details'!A189:J2533,9,0)</f>
        <v>R1011</v>
      </c>
      <c r="R190">
        <f>VLOOKUP($B190,'Hospitalisation Details'!A189:K2533,11,0)</f>
        <v>20</v>
      </c>
    </row>
    <row r="191" spans="1:18" x14ac:dyDescent="0.35">
      <c r="A191" t="s">
        <v>2183</v>
      </c>
      <c r="B191" t="s">
        <v>216</v>
      </c>
      <c r="C191" t="str">
        <f>VLOOKUP($A191,'Customer Names'!$A:$E,4,FALSE)</f>
        <v>Lara</v>
      </c>
      <c r="D191" t="str">
        <f>VLOOKUP($A191,'Medical Examinations'!$A:$J,2,FALSE)</f>
        <v>Obesity</v>
      </c>
      <c r="E191">
        <f>VLOOKUP($A191,'Medical Examinations'!$A:$J,4,FALSE)</f>
        <v>4.37</v>
      </c>
      <c r="F191" t="str">
        <f>VLOOKUP($A191,'Medical Examinations'!$A:$J,6,FALSE)</f>
        <v>No</v>
      </c>
      <c r="G191" t="str">
        <f>VLOOKUP($A191,'Medical Examinations'!$A:$J,7,FALSE)</f>
        <v>No</v>
      </c>
      <c r="H191" t="str">
        <f>VLOOKUP($A191,'Medical Examinations'!$A:$J,8,FALSE)</f>
        <v>Yes</v>
      </c>
      <c r="I191">
        <f>VLOOKUP($A191,'Medical Examinations'!$A:$J,9,FALSE)</f>
        <v>1</v>
      </c>
      <c r="J191" t="str">
        <f>VLOOKUP($A191,'Medical Examinations'!$A:$J,10,FALSE)</f>
        <v>yes</v>
      </c>
      <c r="K191" t="str">
        <f>VLOOKUP($A191,'Medical Examinations'!$A:$J,5,FALSE)</f>
        <v>Normal</v>
      </c>
      <c r="L191">
        <f>VLOOKUP($A192,'Medical Examinations'!$A:$J,3,FALSE)</f>
        <v>38.28</v>
      </c>
      <c r="M191">
        <f>VLOOKUP($A191,'Hospitalisation Details'!$A:$K,6,FALSE)</f>
        <v>36397.58</v>
      </c>
      <c r="N191" s="11">
        <f>VLOOKUP($B191,'Hospitalisation Details'!A190:J2534,10,0)</f>
        <v>36158</v>
      </c>
      <c r="O191" t="str">
        <f>VLOOKUP($B191,'Hospitalisation Details'!A190:J2534,8,0)</f>
        <v>tier - 1</v>
      </c>
      <c r="P191" t="str">
        <f>VLOOKUP($B191,'Hospitalisation Details'!A190:J2534,7,0)</f>
        <v>tier - 3</v>
      </c>
      <c r="Q191" t="str">
        <f>VLOOKUP($B191,'Hospitalisation Details'!A190:J2534,9,0)</f>
        <v>R1013</v>
      </c>
      <c r="R191">
        <f>VLOOKUP($B191,'Hospitalisation Details'!A190:K2534,11,0)</f>
        <v>24</v>
      </c>
    </row>
    <row r="192" spans="1:18" x14ac:dyDescent="0.35">
      <c r="A192" t="s">
        <v>2182</v>
      </c>
      <c r="B192" t="s">
        <v>217</v>
      </c>
      <c r="C192" t="str">
        <f>VLOOKUP($A192,'Customer Names'!$A:$E,4,FALSE)</f>
        <v>Sebastien</v>
      </c>
      <c r="D192" t="str">
        <f>VLOOKUP($A192,'Medical Examinations'!$A:$J,2,FALSE)</f>
        <v>Obesity</v>
      </c>
      <c r="E192">
        <f>VLOOKUP($A192,'Medical Examinations'!$A:$J,4,FALSE)</f>
        <v>11.56</v>
      </c>
      <c r="F192" t="str">
        <f>VLOOKUP($A192,'Medical Examinations'!$A:$J,6,FALSE)</f>
        <v>yes</v>
      </c>
      <c r="G192" t="str">
        <f>VLOOKUP($A192,'Medical Examinations'!$A:$J,7,FALSE)</f>
        <v>No</v>
      </c>
      <c r="H192" t="str">
        <f>VLOOKUP($A192,'Medical Examinations'!$A:$J,8,FALSE)</f>
        <v>No</v>
      </c>
      <c r="I192">
        <f>VLOOKUP($A192,'Medical Examinations'!$A:$J,9,FALSE)</f>
        <v>1</v>
      </c>
      <c r="J192" t="str">
        <f>VLOOKUP($A192,'Medical Examinations'!$A:$J,10,FALSE)</f>
        <v>yes</v>
      </c>
      <c r="K192" t="str">
        <f>VLOOKUP($A192,'Medical Examinations'!$A:$J,5,FALSE)</f>
        <v>Diabetes</v>
      </c>
      <c r="L192">
        <f>VLOOKUP($A193,'Medical Examinations'!$A:$J,3,FALSE)</f>
        <v>33.57</v>
      </c>
      <c r="M192">
        <f>VLOOKUP($A192,'Hospitalisation Details'!$A:$K,6,FALSE)</f>
        <v>36350.71</v>
      </c>
      <c r="N192" s="11">
        <f>VLOOKUP($B192,'Hospitalisation Details'!A191:J2535,10,0)</f>
        <v>37528</v>
      </c>
      <c r="O192" t="str">
        <f>VLOOKUP($B192,'Hospitalisation Details'!A191:J2535,8,0)</f>
        <v>tier - 3</v>
      </c>
      <c r="P192" t="str">
        <f>VLOOKUP($B192,'Hospitalisation Details'!A191:J2535,7,0)</f>
        <v>tier - 3</v>
      </c>
      <c r="Q192" t="str">
        <f>VLOOKUP($B192,'Hospitalisation Details'!A191:J2535,9,0)</f>
        <v>R1016</v>
      </c>
      <c r="R192">
        <f>VLOOKUP($B192,'Hospitalisation Details'!A191:K2535,11,0)</f>
        <v>20</v>
      </c>
    </row>
    <row r="193" spans="1:18" x14ac:dyDescent="0.35">
      <c r="A193" t="s">
        <v>2181</v>
      </c>
      <c r="B193" t="s">
        <v>218</v>
      </c>
      <c r="C193" t="str">
        <f>VLOOKUP($A193,'Customer Names'!$A:$E,4,FALSE)</f>
        <v>Padraig</v>
      </c>
      <c r="D193" t="str">
        <f>VLOOKUP($A193,'Medical Examinations'!$A:$J,2,FALSE)</f>
        <v>Obesity</v>
      </c>
      <c r="E193">
        <f>VLOOKUP($A193,'Medical Examinations'!$A:$J,4,FALSE)</f>
        <v>8.82</v>
      </c>
      <c r="F193" t="str">
        <f>VLOOKUP($A193,'Medical Examinations'!$A:$J,6,FALSE)</f>
        <v>yes</v>
      </c>
      <c r="G193" t="str">
        <f>VLOOKUP($A193,'Medical Examinations'!$A:$J,7,FALSE)</f>
        <v>No</v>
      </c>
      <c r="H193" t="str">
        <f>VLOOKUP($A193,'Medical Examinations'!$A:$J,8,FALSE)</f>
        <v>No</v>
      </c>
      <c r="I193">
        <f>VLOOKUP($A193,'Medical Examinations'!$A:$J,9,FALSE)</f>
        <v>0</v>
      </c>
      <c r="J193" t="str">
        <f>VLOOKUP($A193,'Medical Examinations'!$A:$J,10,FALSE)</f>
        <v>yes</v>
      </c>
      <c r="K193" t="str">
        <f>VLOOKUP($A193,'Medical Examinations'!$A:$J,5,FALSE)</f>
        <v>Diabetes</v>
      </c>
      <c r="L193">
        <f>VLOOKUP($A194,'Medical Examinations'!$A:$J,3,FALSE)</f>
        <v>52.06</v>
      </c>
      <c r="M193">
        <f>VLOOKUP($A193,'Hospitalisation Details'!$A:$K,6,FALSE)</f>
        <v>36332.449999999997</v>
      </c>
      <c r="N193" s="11">
        <f>VLOOKUP($B193,'Hospitalisation Details'!A192:J2536,10,0)</f>
        <v>36052</v>
      </c>
      <c r="O193" t="str">
        <f>VLOOKUP($B193,'Hospitalisation Details'!A192:J2536,8,0)</f>
        <v>tier - 2</v>
      </c>
      <c r="P193" t="str">
        <f>VLOOKUP($B193,'Hospitalisation Details'!A192:J2536,7,0)</f>
        <v>tier - 3</v>
      </c>
      <c r="Q193" t="str">
        <f>VLOOKUP($B193,'Hospitalisation Details'!A192:J2536,9,0)</f>
        <v>R1013</v>
      </c>
      <c r="R193">
        <f>VLOOKUP($B193,'Hospitalisation Details'!A192:K2536,11,0)</f>
        <v>24</v>
      </c>
    </row>
    <row r="194" spans="1:18" x14ac:dyDescent="0.35">
      <c r="A194" t="s">
        <v>2180</v>
      </c>
      <c r="B194" t="s">
        <v>219</v>
      </c>
      <c r="C194" t="str">
        <f>VLOOKUP($A194,'Customer Names'!$A:$E,4,FALSE)</f>
        <v>Heather</v>
      </c>
      <c r="D194" t="str">
        <f>VLOOKUP($A194,'Medical Examinations'!$A:$J,2,FALSE)</f>
        <v>Obesity</v>
      </c>
      <c r="E194">
        <f>VLOOKUP($A194,'Medical Examinations'!$A:$J,4,FALSE)</f>
        <v>4.6900000000000004</v>
      </c>
      <c r="F194" t="str">
        <f>VLOOKUP($A194,'Medical Examinations'!$A:$J,6,FALSE)</f>
        <v>No</v>
      </c>
      <c r="G194" t="str">
        <f>VLOOKUP($A194,'Medical Examinations'!$A:$J,7,FALSE)</f>
        <v>No</v>
      </c>
      <c r="H194" t="str">
        <f>VLOOKUP($A194,'Medical Examinations'!$A:$J,8,FALSE)</f>
        <v>No</v>
      </c>
      <c r="I194">
        <f>VLOOKUP($A194,'Medical Examinations'!$A:$J,9,FALSE)</f>
        <v>1</v>
      </c>
      <c r="J194" t="str">
        <f>VLOOKUP($A194,'Medical Examinations'!$A:$J,10,FALSE)</f>
        <v>yes</v>
      </c>
      <c r="K194" t="str">
        <f>VLOOKUP($A194,'Medical Examinations'!$A:$J,5,FALSE)</f>
        <v>Normal</v>
      </c>
      <c r="L194">
        <f>VLOOKUP($A195,'Medical Examinations'!$A:$J,3,FALSE)</f>
        <v>38.17</v>
      </c>
      <c r="M194">
        <f>VLOOKUP($A194,'Hospitalisation Details'!$A:$K,6,FALSE)</f>
        <v>36314.050000000003</v>
      </c>
      <c r="N194" s="11">
        <f>VLOOKUP($B194,'Hospitalisation Details'!A193:J2537,10,0)</f>
        <v>37117</v>
      </c>
      <c r="O194" t="str">
        <f>VLOOKUP($B194,'Hospitalisation Details'!A193:J2537,8,0)</f>
        <v>tier - 2</v>
      </c>
      <c r="P194" t="str">
        <f>VLOOKUP($B194,'Hospitalisation Details'!A193:J2537,7,0)</f>
        <v>tier - 3</v>
      </c>
      <c r="Q194" t="str">
        <f>VLOOKUP($B194,'Hospitalisation Details'!A193:J2537,9,0)</f>
        <v>R1011</v>
      </c>
      <c r="R194">
        <f>VLOOKUP($B194,'Hospitalisation Details'!A193:K2537,11,0)</f>
        <v>21</v>
      </c>
    </row>
    <row r="195" spans="1:18" x14ac:dyDescent="0.35">
      <c r="A195" t="s">
        <v>2179</v>
      </c>
      <c r="B195" t="s">
        <v>220</v>
      </c>
      <c r="C195" t="str">
        <f>VLOOKUP($A195,'Customer Names'!$A:$E,4,FALSE)</f>
        <v>Jorge</v>
      </c>
      <c r="D195" t="str">
        <f>VLOOKUP($A195,'Medical Examinations'!$A:$J,2,FALSE)</f>
        <v>Obesity</v>
      </c>
      <c r="E195">
        <f>VLOOKUP($A195,'Medical Examinations'!$A:$J,4,FALSE)</f>
        <v>4.53</v>
      </c>
      <c r="F195" t="str">
        <f>VLOOKUP($A195,'Medical Examinations'!$A:$J,6,FALSE)</f>
        <v>No</v>
      </c>
      <c r="G195" t="str">
        <f>VLOOKUP($A195,'Medical Examinations'!$A:$J,7,FALSE)</f>
        <v>yes</v>
      </c>
      <c r="H195" t="str">
        <f>VLOOKUP($A195,'Medical Examinations'!$A:$J,8,FALSE)</f>
        <v>No</v>
      </c>
      <c r="I195">
        <f>VLOOKUP($A195,'Medical Examinations'!$A:$J,9,FALSE)</f>
        <v>1</v>
      </c>
      <c r="J195" t="str">
        <f>VLOOKUP($A195,'Medical Examinations'!$A:$J,10,FALSE)</f>
        <v>yes</v>
      </c>
      <c r="K195" t="str">
        <f>VLOOKUP($A195,'Medical Examinations'!$A:$J,5,FALSE)</f>
        <v>Normal</v>
      </c>
      <c r="L195">
        <f>VLOOKUP($A196,'Medical Examinations'!$A:$J,3,FALSE)</f>
        <v>36.954999999999998</v>
      </c>
      <c r="M195">
        <f>VLOOKUP($A195,'Hospitalisation Details'!$A:$K,6,FALSE)</f>
        <v>36307.800000000003</v>
      </c>
      <c r="N195" s="11">
        <f>VLOOKUP($B195,'Hospitalisation Details'!A194:J2538,10,0)</f>
        <v>37073</v>
      </c>
      <c r="O195" t="str">
        <f>VLOOKUP($B195,'Hospitalisation Details'!A194:J2538,8,0)</f>
        <v>tier - 1</v>
      </c>
      <c r="P195" t="str">
        <f>VLOOKUP($B195,'Hospitalisation Details'!A194:J2538,7,0)</f>
        <v>tier - 3</v>
      </c>
      <c r="Q195" t="str">
        <f>VLOOKUP($B195,'Hospitalisation Details'!A194:J2538,9,0)</f>
        <v>R1011</v>
      </c>
      <c r="R195">
        <f>VLOOKUP($B195,'Hospitalisation Details'!A194:K2538,11,0)</f>
        <v>21</v>
      </c>
    </row>
    <row r="196" spans="1:18" x14ac:dyDescent="0.35">
      <c r="A196" t="s">
        <v>2178</v>
      </c>
      <c r="B196" t="s">
        <v>221</v>
      </c>
      <c r="C196" t="str">
        <f>VLOOKUP($A196,'Customer Names'!$A:$E,4,FALSE)</f>
        <v>Jack R</v>
      </c>
      <c r="D196" t="str">
        <f>VLOOKUP($A196,'Medical Examinations'!$A:$J,2,FALSE)</f>
        <v>Obesity</v>
      </c>
      <c r="E196">
        <f>VLOOKUP($A196,'Medical Examinations'!$A:$J,4,FALSE)</f>
        <v>5.84</v>
      </c>
      <c r="F196" t="str">
        <f>VLOOKUP($A196,'Medical Examinations'!$A:$J,6,FALSE)</f>
        <v>No</v>
      </c>
      <c r="G196" t="str">
        <f>VLOOKUP($A196,'Medical Examinations'!$A:$J,7,FALSE)</f>
        <v>No</v>
      </c>
      <c r="H196" t="str">
        <f>VLOOKUP($A196,'Medical Examinations'!$A:$J,8,FALSE)</f>
        <v>Yes</v>
      </c>
      <c r="I196">
        <f>VLOOKUP($A196,'Medical Examinations'!$A:$J,9,FALSE)</f>
        <v>1</v>
      </c>
      <c r="J196" t="str">
        <f>VLOOKUP($A196,'Medical Examinations'!$A:$J,10,FALSE)</f>
        <v>yes</v>
      </c>
      <c r="K196" t="str">
        <f>VLOOKUP($A196,'Medical Examinations'!$A:$J,5,FALSE)</f>
        <v>Prediabetes</v>
      </c>
      <c r="L196">
        <f>VLOOKUP($A197,'Medical Examinations'!$A:$J,3,FALSE)</f>
        <v>34.4</v>
      </c>
      <c r="M196">
        <f>VLOOKUP($A196,'Hospitalisation Details'!$A:$K,6,FALSE)</f>
        <v>36219.410000000003</v>
      </c>
      <c r="N196" s="11">
        <f>VLOOKUP($B196,'Hospitalisation Details'!A195:J2539,10,0)</f>
        <v>37140</v>
      </c>
      <c r="O196" t="str">
        <f>VLOOKUP($B196,'Hospitalisation Details'!A195:J2539,8,0)</f>
        <v>tier - 2</v>
      </c>
      <c r="P196" t="str">
        <f>VLOOKUP($B196,'Hospitalisation Details'!A195:J2539,7,0)</f>
        <v>tier - 3</v>
      </c>
      <c r="Q196" t="str">
        <f>VLOOKUP($B196,'Hospitalisation Details'!A195:J2539,9,0)</f>
        <v>R1013</v>
      </c>
      <c r="R196">
        <f>VLOOKUP($B196,'Hospitalisation Details'!A195:K2539,11,0)</f>
        <v>21</v>
      </c>
    </row>
    <row r="197" spans="1:18" x14ac:dyDescent="0.35">
      <c r="A197" t="s">
        <v>2177</v>
      </c>
      <c r="B197" t="s">
        <v>222</v>
      </c>
      <c r="C197" t="str">
        <f>VLOOKUP($A197,'Customer Names'!$A:$E,4,FALSE)</f>
        <v>Felix</v>
      </c>
      <c r="D197" t="str">
        <f>VLOOKUP($A197,'Medical Examinations'!$A:$J,2,FALSE)</f>
        <v>Obesity</v>
      </c>
      <c r="E197">
        <f>VLOOKUP($A197,'Medical Examinations'!$A:$J,4,FALSE)</f>
        <v>4.9000000000000004</v>
      </c>
      <c r="F197" t="str">
        <f>VLOOKUP($A197,'Medical Examinations'!$A:$J,6,FALSE)</f>
        <v>No</v>
      </c>
      <c r="G197" t="str">
        <f>VLOOKUP($A197,'Medical Examinations'!$A:$J,7,FALSE)</f>
        <v>No</v>
      </c>
      <c r="H197" t="str">
        <f>VLOOKUP($A197,'Medical Examinations'!$A:$J,8,FALSE)</f>
        <v>Yes</v>
      </c>
      <c r="I197">
        <f>VLOOKUP($A197,'Medical Examinations'!$A:$J,9,FALSE)</f>
        <v>1</v>
      </c>
      <c r="J197" t="str">
        <f>VLOOKUP($A197,'Medical Examinations'!$A:$J,10,FALSE)</f>
        <v>yes</v>
      </c>
      <c r="K197" t="str">
        <f>VLOOKUP($A197,'Medical Examinations'!$A:$J,5,FALSE)</f>
        <v>Normal</v>
      </c>
      <c r="L197">
        <f>VLOOKUP($A198,'Medical Examinations'!$A:$J,3,FALSE)</f>
        <v>31.73</v>
      </c>
      <c r="M197">
        <f>VLOOKUP($A197,'Hospitalisation Details'!$A:$K,6,FALSE)</f>
        <v>36197.699999999997</v>
      </c>
      <c r="N197" s="11">
        <f>VLOOKUP($B197,'Hospitalisation Details'!A196:J2540,10,0)</f>
        <v>37107</v>
      </c>
      <c r="O197" t="str">
        <f>VLOOKUP($B197,'Hospitalisation Details'!A196:J2540,8,0)</f>
        <v>tier - 2</v>
      </c>
      <c r="P197" t="str">
        <f>VLOOKUP($B197,'Hospitalisation Details'!A196:J2540,7,0)</f>
        <v>tier - 3</v>
      </c>
      <c r="Q197" t="str">
        <f>VLOOKUP($B197,'Hospitalisation Details'!A196:J2540,9,0)</f>
        <v>R1013</v>
      </c>
      <c r="R197">
        <f>VLOOKUP($B197,'Hospitalisation Details'!A196:K2540,11,0)</f>
        <v>21</v>
      </c>
    </row>
    <row r="198" spans="1:18" x14ac:dyDescent="0.35">
      <c r="A198" t="s">
        <v>2176</v>
      </c>
      <c r="B198" t="s">
        <v>223</v>
      </c>
      <c r="C198" t="str">
        <f>VLOOKUP($A198,'Customer Names'!$A:$E,4,FALSE)</f>
        <v>Christopher C</v>
      </c>
      <c r="D198" t="str">
        <f>VLOOKUP($A198,'Medical Examinations'!$A:$J,2,FALSE)</f>
        <v>Obesity</v>
      </c>
      <c r="E198">
        <f>VLOOKUP($A198,'Medical Examinations'!$A:$J,4,FALSE)</f>
        <v>4.3</v>
      </c>
      <c r="F198" t="str">
        <f>VLOOKUP($A198,'Medical Examinations'!$A:$J,6,FALSE)</f>
        <v>No</v>
      </c>
      <c r="G198" t="str">
        <f>VLOOKUP($A198,'Medical Examinations'!$A:$J,7,FALSE)</f>
        <v>No</v>
      </c>
      <c r="H198" t="str">
        <f>VLOOKUP($A198,'Medical Examinations'!$A:$J,8,FALSE)</f>
        <v>No</v>
      </c>
      <c r="I198">
        <f>VLOOKUP($A198,'Medical Examinations'!$A:$J,9,FALSE)</f>
        <v>0</v>
      </c>
      <c r="J198" t="str">
        <f>VLOOKUP($A198,'Medical Examinations'!$A:$J,10,FALSE)</f>
        <v>yes</v>
      </c>
      <c r="K198" t="str">
        <f>VLOOKUP($A198,'Medical Examinations'!$A:$J,5,FALSE)</f>
        <v>Normal</v>
      </c>
      <c r="L198">
        <f>VLOOKUP($A199,'Medical Examinations'!$A:$J,3,FALSE)</f>
        <v>36.64</v>
      </c>
      <c r="M198">
        <f>VLOOKUP($A198,'Hospitalisation Details'!$A:$K,6,FALSE)</f>
        <v>36189.1</v>
      </c>
      <c r="N198" s="11">
        <f>VLOOKUP($B198,'Hospitalisation Details'!A197:J2541,10,0)</f>
        <v>36771</v>
      </c>
      <c r="O198" t="str">
        <f>VLOOKUP($B198,'Hospitalisation Details'!A197:J2541,8,0)</f>
        <v>tier - 3</v>
      </c>
      <c r="P198" t="str">
        <f>VLOOKUP($B198,'Hospitalisation Details'!A197:J2541,7,0)</f>
        <v>tier - 3</v>
      </c>
      <c r="Q198" t="str">
        <f>VLOOKUP($B198,'Hospitalisation Details'!A197:J2541,9,0)</f>
        <v>R1012</v>
      </c>
      <c r="R198">
        <f>VLOOKUP($B198,'Hospitalisation Details'!A197:K2541,11,0)</f>
        <v>22</v>
      </c>
    </row>
    <row r="199" spans="1:18" x14ac:dyDescent="0.35">
      <c r="A199" t="s">
        <v>2175</v>
      </c>
      <c r="B199" t="s">
        <v>224</v>
      </c>
      <c r="C199" t="str">
        <f>VLOOKUP($A199,'Customer Names'!$A:$E,4,FALSE)</f>
        <v>Jesse</v>
      </c>
      <c r="D199" t="str">
        <f>VLOOKUP($A199,'Medical Examinations'!$A:$J,2,FALSE)</f>
        <v>Obesity</v>
      </c>
      <c r="E199">
        <f>VLOOKUP($A199,'Medical Examinations'!$A:$J,4,FALSE)</f>
        <v>11.34</v>
      </c>
      <c r="F199" t="str">
        <f>VLOOKUP($A199,'Medical Examinations'!$A:$J,6,FALSE)</f>
        <v>No</v>
      </c>
      <c r="G199" t="str">
        <f>VLOOKUP($A199,'Medical Examinations'!$A:$J,7,FALSE)</f>
        <v>No</v>
      </c>
      <c r="H199" t="str">
        <f>VLOOKUP($A199,'Medical Examinations'!$A:$J,8,FALSE)</f>
        <v>No</v>
      </c>
      <c r="I199">
        <f>VLOOKUP($A199,'Medical Examinations'!$A:$J,9,FALSE)</f>
        <v>0</v>
      </c>
      <c r="J199" t="str">
        <f>VLOOKUP($A199,'Medical Examinations'!$A:$J,10,FALSE)</f>
        <v>yes</v>
      </c>
      <c r="K199" t="str">
        <f>VLOOKUP($A199,'Medical Examinations'!$A:$J,5,FALSE)</f>
        <v>Diabetes</v>
      </c>
      <c r="L199">
        <f>VLOOKUP($A200,'Medical Examinations'!$A:$J,3,FALSE)</f>
        <v>36.85</v>
      </c>
      <c r="M199">
        <f>VLOOKUP($A199,'Hospitalisation Details'!$A:$K,6,FALSE)</f>
        <v>36182.870000000003</v>
      </c>
      <c r="N199" s="11">
        <f>VLOOKUP($B199,'Hospitalisation Details'!A198:J2542,10,0)</f>
        <v>36733</v>
      </c>
      <c r="O199" t="str">
        <f>VLOOKUP($B199,'Hospitalisation Details'!A198:J2542,8,0)</f>
        <v>tier - 3</v>
      </c>
      <c r="P199" t="str">
        <f>VLOOKUP($B199,'Hospitalisation Details'!A198:J2542,7,0)</f>
        <v>tier - 3</v>
      </c>
      <c r="Q199" t="str">
        <f>VLOOKUP($B199,'Hospitalisation Details'!A198:J2542,9,0)</f>
        <v>R1012</v>
      </c>
      <c r="R199">
        <f>VLOOKUP($B199,'Hospitalisation Details'!A198:K2542,11,0)</f>
        <v>22</v>
      </c>
    </row>
    <row r="200" spans="1:18" x14ac:dyDescent="0.35">
      <c r="A200" t="s">
        <v>2174</v>
      </c>
      <c r="B200" t="s">
        <v>225</v>
      </c>
      <c r="C200" t="str">
        <f>VLOOKUP($A200,'Customer Names'!$A:$E,4,FALSE)</f>
        <v>Jill</v>
      </c>
      <c r="D200" t="str">
        <f>VLOOKUP($A200,'Medical Examinations'!$A:$J,2,FALSE)</f>
        <v>Obesity</v>
      </c>
      <c r="E200">
        <f>VLOOKUP($A200,'Medical Examinations'!$A:$J,4,FALSE)</f>
        <v>5.88</v>
      </c>
      <c r="F200" t="str">
        <f>VLOOKUP($A200,'Medical Examinations'!$A:$J,6,FALSE)</f>
        <v>No</v>
      </c>
      <c r="G200" t="str">
        <f>VLOOKUP($A200,'Medical Examinations'!$A:$J,7,FALSE)</f>
        <v>yes</v>
      </c>
      <c r="H200" t="str">
        <f>VLOOKUP($A200,'Medical Examinations'!$A:$J,8,FALSE)</f>
        <v>No</v>
      </c>
      <c r="I200">
        <f>VLOOKUP($A200,'Medical Examinations'!$A:$J,9,FALSE)</f>
        <v>1</v>
      </c>
      <c r="J200" t="str">
        <f>VLOOKUP($A200,'Medical Examinations'!$A:$J,10,FALSE)</f>
        <v>yes</v>
      </c>
      <c r="K200" t="str">
        <f>VLOOKUP($A200,'Medical Examinations'!$A:$J,5,FALSE)</f>
        <v>Prediabetes</v>
      </c>
      <c r="L200">
        <f>VLOOKUP($A201,'Medical Examinations'!$A:$J,3,FALSE)</f>
        <v>33.33</v>
      </c>
      <c r="M200">
        <f>VLOOKUP($A200,'Hospitalisation Details'!$A:$K,6,FALSE)</f>
        <v>36149.480000000003</v>
      </c>
      <c r="N200" s="11">
        <f>VLOOKUP($B200,'Hospitalisation Details'!A199:J2543,10,0)</f>
        <v>38150</v>
      </c>
      <c r="O200" t="str">
        <f>VLOOKUP($B200,'Hospitalisation Details'!A199:J2543,8,0)</f>
        <v>tier - 2</v>
      </c>
      <c r="P200" t="str">
        <f>VLOOKUP($B200,'Hospitalisation Details'!A199:J2543,7,0)</f>
        <v>tier - 3</v>
      </c>
      <c r="Q200" t="str">
        <f>VLOOKUP($B200,'Hospitalisation Details'!A199:J2543,9,0)</f>
        <v>R1025</v>
      </c>
      <c r="R200">
        <f>VLOOKUP($B200,'Hospitalisation Details'!A199:K2543,11,0)</f>
        <v>18</v>
      </c>
    </row>
    <row r="201" spans="1:18" x14ac:dyDescent="0.35">
      <c r="A201" t="s">
        <v>2173</v>
      </c>
      <c r="B201" t="s">
        <v>226</v>
      </c>
      <c r="C201" t="str">
        <f>VLOOKUP($A201,'Customer Names'!$A:$E,4,FALSE)</f>
        <v>William</v>
      </c>
      <c r="D201" t="str">
        <f>VLOOKUP($A201,'Medical Examinations'!$A:$J,2,FALSE)</f>
        <v>Obesity</v>
      </c>
      <c r="E201">
        <f>VLOOKUP($A201,'Medical Examinations'!$A:$J,4,FALSE)</f>
        <v>5.01</v>
      </c>
      <c r="F201" t="str">
        <f>VLOOKUP($A201,'Medical Examinations'!$A:$J,6,FALSE)</f>
        <v>yes</v>
      </c>
      <c r="G201" t="str">
        <f>VLOOKUP($A201,'Medical Examinations'!$A:$J,7,FALSE)</f>
        <v>No</v>
      </c>
      <c r="H201" t="str">
        <f>VLOOKUP($A201,'Medical Examinations'!$A:$J,8,FALSE)</f>
        <v>Yes</v>
      </c>
      <c r="I201">
        <f>VLOOKUP($A201,'Medical Examinations'!$A:$J,9,FALSE)</f>
        <v>1</v>
      </c>
      <c r="J201" t="str">
        <f>VLOOKUP($A201,'Medical Examinations'!$A:$J,10,FALSE)</f>
        <v>yes</v>
      </c>
      <c r="K201" t="str">
        <f>VLOOKUP($A201,'Medical Examinations'!$A:$J,5,FALSE)</f>
        <v>Normal</v>
      </c>
      <c r="L201">
        <f>VLOOKUP($A202,'Medical Examinations'!$A:$J,3,FALSE)</f>
        <v>39.14</v>
      </c>
      <c r="M201">
        <f>VLOOKUP($A201,'Hospitalisation Details'!$A:$K,6,FALSE)</f>
        <v>36124.57</v>
      </c>
      <c r="N201" s="11">
        <f>VLOOKUP($B201,'Hospitalisation Details'!A200:J2544,10,0)</f>
        <v>37117</v>
      </c>
      <c r="O201" t="str">
        <f>VLOOKUP($B201,'Hospitalisation Details'!A200:J2544,8,0)</f>
        <v>tier - 2</v>
      </c>
      <c r="P201" t="str">
        <f>VLOOKUP($B201,'Hospitalisation Details'!A200:J2544,7,0)</f>
        <v>tier - 3</v>
      </c>
      <c r="Q201" t="str">
        <f>VLOOKUP($B201,'Hospitalisation Details'!A200:J2544,9,0)</f>
        <v>R1019</v>
      </c>
      <c r="R201">
        <f>VLOOKUP($B201,'Hospitalisation Details'!A200:K2544,11,0)</f>
        <v>21</v>
      </c>
    </row>
    <row r="202" spans="1:18" x14ac:dyDescent="0.35">
      <c r="A202" t="s">
        <v>2172</v>
      </c>
      <c r="B202" t="s">
        <v>227</v>
      </c>
      <c r="C202" t="str">
        <f>VLOOKUP($A202,'Customer Names'!$A:$E,4,FALSE)</f>
        <v>Alejandro</v>
      </c>
      <c r="D202" t="str">
        <f>VLOOKUP($A202,'Medical Examinations'!$A:$J,2,FALSE)</f>
        <v>Obesity</v>
      </c>
      <c r="E202">
        <f>VLOOKUP($A202,'Medical Examinations'!$A:$J,4,FALSE)</f>
        <v>4.4000000000000004</v>
      </c>
      <c r="F202" t="str">
        <f>VLOOKUP($A202,'Medical Examinations'!$A:$J,6,FALSE)</f>
        <v>No</v>
      </c>
      <c r="G202" t="str">
        <f>VLOOKUP($A202,'Medical Examinations'!$A:$J,7,FALSE)</f>
        <v>No</v>
      </c>
      <c r="H202" t="str">
        <f>VLOOKUP($A202,'Medical Examinations'!$A:$J,8,FALSE)</f>
        <v>Yes</v>
      </c>
      <c r="I202">
        <f>VLOOKUP($A202,'Medical Examinations'!$A:$J,9,FALSE)</f>
        <v>1</v>
      </c>
      <c r="J202" t="str">
        <f>VLOOKUP($A202,'Medical Examinations'!$A:$J,10,FALSE)</f>
        <v>yes</v>
      </c>
      <c r="K202" t="str">
        <f>VLOOKUP($A202,'Medical Examinations'!$A:$J,5,FALSE)</f>
        <v>Normal</v>
      </c>
      <c r="L202">
        <f>VLOOKUP($A203,'Medical Examinations'!$A:$J,3,FALSE)</f>
        <v>32.9</v>
      </c>
      <c r="M202">
        <f>VLOOKUP($A202,'Hospitalisation Details'!$A:$K,6,FALSE)</f>
        <v>36090.49</v>
      </c>
      <c r="N202" s="11">
        <f>VLOOKUP($B202,'Hospitalisation Details'!A201:J2545,10,0)</f>
        <v>37064</v>
      </c>
      <c r="O202" t="str">
        <f>VLOOKUP($B202,'Hospitalisation Details'!A201:J2545,8,0)</f>
        <v>tier - 2</v>
      </c>
      <c r="P202" t="str">
        <f>VLOOKUP($B202,'Hospitalisation Details'!A201:J2545,7,0)</f>
        <v>tier - 3</v>
      </c>
      <c r="Q202" t="str">
        <f>VLOOKUP($B202,'Hospitalisation Details'!A201:J2545,9,0)</f>
        <v>R1011</v>
      </c>
      <c r="R202">
        <f>VLOOKUP($B202,'Hospitalisation Details'!A201:K2545,11,0)</f>
        <v>21</v>
      </c>
    </row>
    <row r="203" spans="1:18" x14ac:dyDescent="0.35">
      <c r="A203" t="s">
        <v>2171</v>
      </c>
      <c r="B203" t="s">
        <v>228</v>
      </c>
      <c r="C203" t="str">
        <f>VLOOKUP($A203,'Customer Names'!$A:$E,4,FALSE)</f>
        <v>Ian E.</v>
      </c>
      <c r="D203" t="str">
        <f>VLOOKUP($A203,'Medical Examinations'!$A:$J,2,FALSE)</f>
        <v>Obesity</v>
      </c>
      <c r="E203">
        <f>VLOOKUP($A203,'Medical Examinations'!$A:$J,4,FALSE)</f>
        <v>6.26</v>
      </c>
      <c r="F203" t="str">
        <f>VLOOKUP($A203,'Medical Examinations'!$A:$J,6,FALSE)</f>
        <v>yes</v>
      </c>
      <c r="G203" t="str">
        <f>VLOOKUP($A203,'Medical Examinations'!$A:$J,7,FALSE)</f>
        <v>No</v>
      </c>
      <c r="H203" t="str">
        <f>VLOOKUP($A203,'Medical Examinations'!$A:$J,8,FALSE)</f>
        <v>No</v>
      </c>
      <c r="I203">
        <f>VLOOKUP($A203,'Medical Examinations'!$A:$J,9,FALSE)</f>
        <v>0</v>
      </c>
      <c r="J203" t="str">
        <f>VLOOKUP($A203,'Medical Examinations'!$A:$J,10,FALSE)</f>
        <v>yes</v>
      </c>
      <c r="K203" t="str">
        <f>VLOOKUP($A203,'Medical Examinations'!$A:$J,5,FALSE)</f>
        <v>Prediabetes</v>
      </c>
      <c r="L203">
        <f>VLOOKUP($A204,'Medical Examinations'!$A:$J,3,FALSE)</f>
        <v>29.78</v>
      </c>
      <c r="M203">
        <f>VLOOKUP($A203,'Hospitalisation Details'!$A:$K,6,FALSE)</f>
        <v>36085.22</v>
      </c>
      <c r="N203" s="11">
        <f>VLOOKUP($B203,'Hospitalisation Details'!A202:J2546,10,0)</f>
        <v>37223</v>
      </c>
      <c r="O203" t="str">
        <f>VLOOKUP($B203,'Hospitalisation Details'!A202:J2546,8,0)</f>
        <v>tier - 1</v>
      </c>
      <c r="P203" t="str">
        <f>VLOOKUP($B203,'Hospitalisation Details'!A202:J2546,7,0)</f>
        <v>tier - 2</v>
      </c>
      <c r="Q203" t="str">
        <f>VLOOKUP($B203,'Hospitalisation Details'!A202:J2546,9,0)</f>
        <v>R1016</v>
      </c>
      <c r="R203">
        <f>VLOOKUP($B203,'Hospitalisation Details'!A202:K2546,11,0)</f>
        <v>21</v>
      </c>
    </row>
    <row r="204" spans="1:18" x14ac:dyDescent="0.35">
      <c r="A204" t="s">
        <v>2170</v>
      </c>
      <c r="B204" t="s">
        <v>229</v>
      </c>
      <c r="C204" t="str">
        <f>VLOOKUP($A204,'Customer Names'!$A:$E,4,FALSE)</f>
        <v>Hector Sr.</v>
      </c>
      <c r="D204" t="str">
        <f>VLOOKUP($A204,'Medical Examinations'!$A:$J,2,FALSE)</f>
        <v>Overweight</v>
      </c>
      <c r="E204">
        <f>VLOOKUP($A204,'Medical Examinations'!$A:$J,4,FALSE)</f>
        <v>10.27</v>
      </c>
      <c r="F204" t="str">
        <f>VLOOKUP($A204,'Medical Examinations'!$A:$J,6,FALSE)</f>
        <v>yes</v>
      </c>
      <c r="G204" t="str">
        <f>VLOOKUP($A204,'Medical Examinations'!$A:$J,7,FALSE)</f>
        <v>No</v>
      </c>
      <c r="H204" t="str">
        <f>VLOOKUP($A204,'Medical Examinations'!$A:$J,8,FALSE)</f>
        <v>Yes</v>
      </c>
      <c r="I204">
        <f>VLOOKUP($A204,'Medical Examinations'!$A:$J,9,FALSE)</f>
        <v>1</v>
      </c>
      <c r="J204" t="str">
        <f>VLOOKUP($A204,'Medical Examinations'!$A:$J,10,FALSE)</f>
        <v>yes</v>
      </c>
      <c r="K204" t="str">
        <f>VLOOKUP($A204,'Medical Examinations'!$A:$J,5,FALSE)</f>
        <v>Diabetes</v>
      </c>
      <c r="L204">
        <f>VLOOKUP($A205,'Medical Examinations'!$A:$J,3,FALSE)</f>
        <v>32.78</v>
      </c>
      <c r="M204">
        <f>VLOOKUP($A204,'Hospitalisation Details'!$A:$K,6,FALSE)</f>
        <v>36074.339999999997</v>
      </c>
      <c r="N204" s="11">
        <f>VLOOKUP($B204,'Hospitalisation Details'!A203:J2547,10,0)</f>
        <v>32710</v>
      </c>
      <c r="O204" t="str">
        <f>VLOOKUP($B204,'Hospitalisation Details'!A203:J2547,8,0)</f>
        <v>tier - 2</v>
      </c>
      <c r="P204" t="str">
        <f>VLOOKUP($B204,'Hospitalisation Details'!A203:J2547,7,0)</f>
        <v>tier - 2</v>
      </c>
      <c r="Q204" t="str">
        <f>VLOOKUP($B204,'Hospitalisation Details'!A203:J2547,9,0)</f>
        <v>R1013</v>
      </c>
      <c r="R204">
        <f>VLOOKUP($B204,'Hospitalisation Details'!A203:K2547,11,0)</f>
        <v>33</v>
      </c>
    </row>
    <row r="205" spans="1:18" x14ac:dyDescent="0.35">
      <c r="A205" t="s">
        <v>2169</v>
      </c>
      <c r="B205" t="s">
        <v>230</v>
      </c>
      <c r="C205" t="str">
        <f>VLOOKUP($A205,'Customer Names'!$A:$E,4,FALSE)</f>
        <v>Rebecca</v>
      </c>
      <c r="D205" t="str">
        <f>VLOOKUP($A205,'Medical Examinations'!$A:$J,2,FALSE)</f>
        <v>Obesity</v>
      </c>
      <c r="E205">
        <f>VLOOKUP($A205,'Medical Examinations'!$A:$J,4,FALSE)</f>
        <v>5.27</v>
      </c>
      <c r="F205" t="str">
        <f>VLOOKUP($A205,'Medical Examinations'!$A:$J,6,FALSE)</f>
        <v>No</v>
      </c>
      <c r="G205" t="str">
        <f>VLOOKUP($A205,'Medical Examinations'!$A:$J,7,FALSE)</f>
        <v>No</v>
      </c>
      <c r="H205" t="str">
        <f>VLOOKUP($A205,'Medical Examinations'!$A:$J,8,FALSE)</f>
        <v>No</v>
      </c>
      <c r="I205">
        <f>VLOOKUP($A205,'Medical Examinations'!$A:$J,9,FALSE)</f>
        <v>0</v>
      </c>
      <c r="J205" t="str">
        <f>VLOOKUP($A205,'Medical Examinations'!$A:$J,10,FALSE)</f>
        <v>yes</v>
      </c>
      <c r="K205" t="str">
        <f>VLOOKUP($A205,'Medical Examinations'!$A:$J,5,FALSE)</f>
        <v>Normal</v>
      </c>
      <c r="L205">
        <f>VLOOKUP($A206,'Medical Examinations'!$A:$J,3,FALSE)</f>
        <v>41.65</v>
      </c>
      <c r="M205">
        <f>VLOOKUP($A205,'Hospitalisation Details'!$A:$K,6,FALSE)</f>
        <v>36021.01</v>
      </c>
      <c r="N205" s="11">
        <f>VLOOKUP($B205,'Hospitalisation Details'!A204:J2548,10,0)</f>
        <v>37894</v>
      </c>
      <c r="O205" t="str">
        <f>VLOOKUP($B205,'Hospitalisation Details'!A204:J2548,8,0)</f>
        <v>tier - 3</v>
      </c>
      <c r="P205" t="str">
        <f>VLOOKUP($B205,'Hospitalisation Details'!A204:J2548,7,0)</f>
        <v>tier - 2</v>
      </c>
      <c r="Q205" t="str">
        <f>VLOOKUP($B205,'Hospitalisation Details'!A204:J2548,9,0)</f>
        <v>R1012</v>
      </c>
      <c r="R205">
        <f>VLOOKUP($B205,'Hospitalisation Details'!A204:K2548,11,0)</f>
        <v>19</v>
      </c>
    </row>
    <row r="206" spans="1:18" x14ac:dyDescent="0.35">
      <c r="A206" t="s">
        <v>2168</v>
      </c>
      <c r="B206" t="s">
        <v>231</v>
      </c>
      <c r="C206" t="str">
        <f>VLOOKUP($A206,'Customer Names'!$A:$E,4,FALSE)</f>
        <v>Matt</v>
      </c>
      <c r="D206" t="str">
        <f>VLOOKUP($A206,'Medical Examinations'!$A:$J,2,FALSE)</f>
        <v>Obesity</v>
      </c>
      <c r="E206">
        <f>VLOOKUP($A206,'Medical Examinations'!$A:$J,4,FALSE)</f>
        <v>10.73</v>
      </c>
      <c r="F206" t="str">
        <f>VLOOKUP($A206,'Medical Examinations'!$A:$J,6,FALSE)</f>
        <v>yes</v>
      </c>
      <c r="G206" t="str">
        <f>VLOOKUP($A206,'Medical Examinations'!$A:$J,7,FALSE)</f>
        <v>No</v>
      </c>
      <c r="H206" t="str">
        <f>VLOOKUP($A206,'Medical Examinations'!$A:$J,8,FALSE)</f>
        <v>No</v>
      </c>
      <c r="I206">
        <f>VLOOKUP($A206,'Medical Examinations'!$A:$J,9,FALSE)</f>
        <v>0</v>
      </c>
      <c r="J206" t="str">
        <f>VLOOKUP($A206,'Medical Examinations'!$A:$J,10,FALSE)</f>
        <v>yes</v>
      </c>
      <c r="K206" t="str">
        <f>VLOOKUP($A206,'Medical Examinations'!$A:$J,5,FALSE)</f>
        <v>Diabetes</v>
      </c>
      <c r="L206">
        <f>VLOOKUP($A207,'Medical Examinations'!$A:$J,3,FALSE)</f>
        <v>50.79</v>
      </c>
      <c r="M206">
        <f>VLOOKUP($A206,'Hospitalisation Details'!$A:$K,6,FALSE)</f>
        <v>35952.65</v>
      </c>
      <c r="N206" s="11">
        <f>VLOOKUP($B206,'Hospitalisation Details'!A205:J2549,10,0)</f>
        <v>38295</v>
      </c>
      <c r="O206" t="str">
        <f>VLOOKUP($B206,'Hospitalisation Details'!A205:J2549,8,0)</f>
        <v>tier - 1</v>
      </c>
      <c r="P206" t="str">
        <f>VLOOKUP($B206,'Hospitalisation Details'!A205:J2549,7,0)</f>
        <v>tier - 2</v>
      </c>
      <c r="Q206" t="str">
        <f>VLOOKUP($B206,'Hospitalisation Details'!A205:J2549,9,0)</f>
        <v>R1012</v>
      </c>
      <c r="R206">
        <f>VLOOKUP($B206,'Hospitalisation Details'!A205:K2549,11,0)</f>
        <v>18</v>
      </c>
    </row>
    <row r="207" spans="1:18" x14ac:dyDescent="0.35">
      <c r="A207" t="s">
        <v>2167</v>
      </c>
      <c r="B207" t="s">
        <v>232</v>
      </c>
      <c r="C207" t="str">
        <f>VLOOKUP($A207,'Customer Names'!$A:$E,4,FALSE)</f>
        <v>Elizabeth H</v>
      </c>
      <c r="D207" t="str">
        <f>VLOOKUP($A207,'Medical Examinations'!$A:$J,2,FALSE)</f>
        <v>Obesity</v>
      </c>
      <c r="E207">
        <f>VLOOKUP($A207,'Medical Examinations'!$A:$J,4,FALSE)</f>
        <v>4.45</v>
      </c>
      <c r="F207" t="str">
        <f>VLOOKUP($A207,'Medical Examinations'!$A:$J,6,FALSE)</f>
        <v>No</v>
      </c>
      <c r="G207" t="str">
        <f>VLOOKUP($A207,'Medical Examinations'!$A:$J,7,FALSE)</f>
        <v>No</v>
      </c>
      <c r="H207" t="str">
        <f>VLOOKUP($A207,'Medical Examinations'!$A:$J,8,FALSE)</f>
        <v>No</v>
      </c>
      <c r="I207">
        <f>VLOOKUP($A207,'Medical Examinations'!$A:$J,9,FALSE)</f>
        <v>1</v>
      </c>
      <c r="J207" t="str">
        <f>VLOOKUP($A207,'Medical Examinations'!$A:$J,10,FALSE)</f>
        <v>yes</v>
      </c>
      <c r="K207" t="str">
        <f>VLOOKUP($A207,'Medical Examinations'!$A:$J,5,FALSE)</f>
        <v>Normal</v>
      </c>
      <c r="L207">
        <f>VLOOKUP($A208,'Medical Examinations'!$A:$J,3,FALSE)</f>
        <v>35.43</v>
      </c>
      <c r="M207">
        <f>VLOOKUP($A207,'Hospitalisation Details'!$A:$K,6,FALSE)</f>
        <v>35883.269999999997</v>
      </c>
      <c r="N207" s="11">
        <f>VLOOKUP($B207,'Hospitalisation Details'!A206:J2550,10,0)</f>
        <v>37863</v>
      </c>
      <c r="O207" t="str">
        <f>VLOOKUP($B207,'Hospitalisation Details'!A206:J2550,8,0)</f>
        <v>tier - 1</v>
      </c>
      <c r="P207" t="str">
        <f>VLOOKUP($B207,'Hospitalisation Details'!A206:J2550,7,0)</f>
        <v>tier - 2</v>
      </c>
      <c r="Q207" t="str">
        <f>VLOOKUP($B207,'Hospitalisation Details'!A206:J2550,9,0)</f>
        <v>R1012</v>
      </c>
      <c r="R207">
        <f>VLOOKUP($B207,'Hospitalisation Details'!A206:K2550,11,0)</f>
        <v>19</v>
      </c>
    </row>
    <row r="208" spans="1:18" x14ac:dyDescent="0.35">
      <c r="A208" t="s">
        <v>2166</v>
      </c>
      <c r="B208" t="s">
        <v>233</v>
      </c>
      <c r="C208" t="str">
        <f>VLOOKUP($A208,'Customer Names'!$A:$E,4,FALSE)</f>
        <v>Grace</v>
      </c>
      <c r="D208" t="str">
        <f>VLOOKUP($A208,'Medical Examinations'!$A:$J,2,FALSE)</f>
        <v>Obesity</v>
      </c>
      <c r="E208">
        <f>VLOOKUP($A208,'Medical Examinations'!$A:$J,4,FALSE)</f>
        <v>5.25</v>
      </c>
      <c r="F208" t="str">
        <f>VLOOKUP($A208,'Medical Examinations'!$A:$J,6,FALSE)</f>
        <v>yes</v>
      </c>
      <c r="G208" t="str">
        <f>VLOOKUP($A208,'Medical Examinations'!$A:$J,7,FALSE)</f>
        <v>No</v>
      </c>
      <c r="H208" t="str">
        <f>VLOOKUP($A208,'Medical Examinations'!$A:$J,8,FALSE)</f>
        <v>No</v>
      </c>
      <c r="I208">
        <f>VLOOKUP($A208,'Medical Examinations'!$A:$J,9,FALSE)</f>
        <v>0</v>
      </c>
      <c r="J208" t="str">
        <f>VLOOKUP($A208,'Medical Examinations'!$A:$J,10,FALSE)</f>
        <v>yes</v>
      </c>
      <c r="K208" t="str">
        <f>VLOOKUP($A208,'Medical Examinations'!$A:$J,5,FALSE)</f>
        <v>Normal</v>
      </c>
      <c r="L208">
        <f>VLOOKUP($A209,'Medical Examinations'!$A:$J,3,FALSE)</f>
        <v>35.25</v>
      </c>
      <c r="M208">
        <f>VLOOKUP($A208,'Hospitalisation Details'!$A:$K,6,FALSE)</f>
        <v>35733.96</v>
      </c>
      <c r="N208" s="11">
        <f>VLOOKUP($B208,'Hospitalisation Details'!A207:J2551,10,0)</f>
        <v>37977</v>
      </c>
      <c r="O208" t="str">
        <f>VLOOKUP($B208,'Hospitalisation Details'!A207:J2551,8,0)</f>
        <v>tier - 3</v>
      </c>
      <c r="P208" t="str">
        <f>VLOOKUP($B208,'Hospitalisation Details'!A207:J2551,7,0)</f>
        <v>tier - 2</v>
      </c>
      <c r="Q208" t="str">
        <f>VLOOKUP($B208,'Hospitalisation Details'!A207:J2551,9,0)</f>
        <v>R1012</v>
      </c>
      <c r="R208">
        <f>VLOOKUP($B208,'Hospitalisation Details'!A207:K2551,11,0)</f>
        <v>19</v>
      </c>
    </row>
    <row r="209" spans="1:18" x14ac:dyDescent="0.35">
      <c r="A209" t="s">
        <v>2165</v>
      </c>
      <c r="B209" t="s">
        <v>234</v>
      </c>
      <c r="C209" t="str">
        <f>VLOOKUP($A209,'Customer Names'!$A:$E,4,FALSE)</f>
        <v>Jaime</v>
      </c>
      <c r="D209" t="str">
        <f>VLOOKUP($A209,'Medical Examinations'!$A:$J,2,FALSE)</f>
        <v>Obesity</v>
      </c>
      <c r="E209">
        <f>VLOOKUP($A209,'Medical Examinations'!$A:$J,4,FALSE)</f>
        <v>9.51</v>
      </c>
      <c r="F209" t="str">
        <f>VLOOKUP($A209,'Medical Examinations'!$A:$J,6,FALSE)</f>
        <v>No</v>
      </c>
      <c r="G209" t="str">
        <f>VLOOKUP($A209,'Medical Examinations'!$A:$J,7,FALSE)</f>
        <v>No</v>
      </c>
      <c r="H209" t="str">
        <f>VLOOKUP($A209,'Medical Examinations'!$A:$J,8,FALSE)</f>
        <v>No</v>
      </c>
      <c r="I209">
        <f>VLOOKUP($A209,'Medical Examinations'!$A:$J,9,FALSE)</f>
        <v>0</v>
      </c>
      <c r="J209" t="str">
        <f>VLOOKUP($A209,'Medical Examinations'!$A:$J,10,FALSE)</f>
        <v>yes</v>
      </c>
      <c r="K209" t="str">
        <f>VLOOKUP($A209,'Medical Examinations'!$A:$J,5,FALSE)</f>
        <v>Diabetes</v>
      </c>
      <c r="L209">
        <f>VLOOKUP($A210,'Medical Examinations'!$A:$J,3,FALSE)</f>
        <v>36.85</v>
      </c>
      <c r="M209">
        <f>VLOOKUP($A209,'Hospitalisation Details'!$A:$K,6,FALSE)</f>
        <v>35711.39</v>
      </c>
      <c r="N209" s="11">
        <f>VLOOKUP($B209,'Hospitalisation Details'!A208:J2552,10,0)</f>
        <v>37865</v>
      </c>
      <c r="O209" t="str">
        <f>VLOOKUP($B209,'Hospitalisation Details'!A208:J2552,8,0)</f>
        <v>tier - 3</v>
      </c>
      <c r="P209" t="str">
        <f>VLOOKUP($B209,'Hospitalisation Details'!A208:J2552,7,0)</f>
        <v>tier - 2</v>
      </c>
      <c r="Q209" t="str">
        <f>VLOOKUP($B209,'Hospitalisation Details'!A208:J2552,9,0)</f>
        <v>R1012</v>
      </c>
      <c r="R209">
        <f>VLOOKUP($B209,'Hospitalisation Details'!A208:K2552,11,0)</f>
        <v>19</v>
      </c>
    </row>
    <row r="210" spans="1:18" x14ac:dyDescent="0.35">
      <c r="A210" t="s">
        <v>2164</v>
      </c>
      <c r="B210" t="s">
        <v>235</v>
      </c>
      <c r="C210" t="str">
        <f>VLOOKUP($A210,'Customer Names'!$A:$E,4,FALSE)</f>
        <v>Calesse</v>
      </c>
      <c r="D210" t="str">
        <f>VLOOKUP($A210,'Medical Examinations'!$A:$J,2,FALSE)</f>
        <v>Obesity</v>
      </c>
      <c r="E210">
        <f>VLOOKUP($A210,'Medical Examinations'!$A:$J,4,FALSE)</f>
        <v>11.12</v>
      </c>
      <c r="F210" t="str">
        <f>VLOOKUP($A210,'Medical Examinations'!$A:$J,6,FALSE)</f>
        <v>No</v>
      </c>
      <c r="G210" t="str">
        <f>VLOOKUP($A210,'Medical Examinations'!$A:$J,7,FALSE)</f>
        <v>No</v>
      </c>
      <c r="H210" t="str">
        <f>VLOOKUP($A210,'Medical Examinations'!$A:$J,8,FALSE)</f>
        <v>No</v>
      </c>
      <c r="I210">
        <f>VLOOKUP($A210,'Medical Examinations'!$A:$J,9,FALSE)</f>
        <v>0</v>
      </c>
      <c r="J210" t="str">
        <f>VLOOKUP($A210,'Medical Examinations'!$A:$J,10,FALSE)</f>
        <v>yes</v>
      </c>
      <c r="K210" t="str">
        <f>VLOOKUP($A210,'Medical Examinations'!$A:$J,5,FALSE)</f>
        <v>Diabetes</v>
      </c>
      <c r="L210">
        <f>VLOOKUP($A211,'Medical Examinations'!$A:$J,3,FALSE)</f>
        <v>31.02</v>
      </c>
      <c r="M210">
        <f>VLOOKUP($A210,'Hospitalisation Details'!$A:$K,6,FALSE)</f>
        <v>35701.9</v>
      </c>
      <c r="N210" s="11">
        <f>VLOOKUP($B210,'Hospitalisation Details'!A209:J2553,10,0)</f>
        <v>37890</v>
      </c>
      <c r="O210" t="str">
        <f>VLOOKUP($B210,'Hospitalisation Details'!A209:J2553,8,0)</f>
        <v>tier - 2</v>
      </c>
      <c r="P210" t="str">
        <f>VLOOKUP($B210,'Hospitalisation Details'!A209:J2553,7,0)</f>
        <v>tier - 2</v>
      </c>
      <c r="Q210" t="str">
        <f>VLOOKUP($B210,'Hospitalisation Details'!A209:J2553,9,0)</f>
        <v>R1012</v>
      </c>
      <c r="R210">
        <f>VLOOKUP($B210,'Hospitalisation Details'!A209:K2553,11,0)</f>
        <v>19</v>
      </c>
    </row>
    <row r="211" spans="1:18" x14ac:dyDescent="0.35">
      <c r="A211" t="s">
        <v>2163</v>
      </c>
      <c r="B211" t="s">
        <v>236</v>
      </c>
      <c r="C211" t="str">
        <f>VLOOKUP($A211,'Customer Names'!$A:$E,4,FALSE)</f>
        <v>Kate L</v>
      </c>
      <c r="D211" t="str">
        <f>VLOOKUP($A211,'Medical Examinations'!$A:$J,2,FALSE)</f>
        <v>Obesity</v>
      </c>
      <c r="E211">
        <f>VLOOKUP($A211,'Medical Examinations'!$A:$J,4,FALSE)</f>
        <v>4.5599999999999996</v>
      </c>
      <c r="F211" t="str">
        <f>VLOOKUP($A211,'Medical Examinations'!$A:$J,6,FALSE)</f>
        <v>No</v>
      </c>
      <c r="G211" t="str">
        <f>VLOOKUP($A211,'Medical Examinations'!$A:$J,7,FALSE)</f>
        <v>yes</v>
      </c>
      <c r="H211" t="str">
        <f>VLOOKUP($A211,'Medical Examinations'!$A:$J,8,FALSE)</f>
        <v>No</v>
      </c>
      <c r="I211">
        <f>VLOOKUP($A211,'Medical Examinations'!$A:$J,9,FALSE)</f>
        <v>1</v>
      </c>
      <c r="J211" t="str">
        <f>VLOOKUP($A211,'Medical Examinations'!$A:$J,10,FALSE)</f>
        <v>yes</v>
      </c>
      <c r="K211" t="str">
        <f>VLOOKUP($A211,'Medical Examinations'!$A:$J,5,FALSE)</f>
        <v>Normal</v>
      </c>
      <c r="L211">
        <f>VLOOKUP($A212,'Medical Examinations'!$A:$J,3,FALSE)</f>
        <v>35.6</v>
      </c>
      <c r="M211">
        <f>VLOOKUP($A211,'Hospitalisation Details'!$A:$K,6,FALSE)</f>
        <v>35595.589999999997</v>
      </c>
      <c r="N211" s="11">
        <f>VLOOKUP($B211,'Hospitalisation Details'!A210:J2554,10,0)</f>
        <v>35676</v>
      </c>
      <c r="O211" t="str">
        <f>VLOOKUP($B211,'Hospitalisation Details'!A210:J2554,8,0)</f>
        <v>tier - 1</v>
      </c>
      <c r="P211" t="str">
        <f>VLOOKUP($B211,'Hospitalisation Details'!A210:J2554,7,0)</f>
        <v>tier - 3</v>
      </c>
      <c r="Q211" t="str">
        <f>VLOOKUP($B211,'Hospitalisation Details'!A210:J2554,9,0)</f>
        <v>R1013</v>
      </c>
      <c r="R211">
        <f>VLOOKUP($B211,'Hospitalisation Details'!A210:K2554,11,0)</f>
        <v>25</v>
      </c>
    </row>
    <row r="212" spans="1:18" x14ac:dyDescent="0.35">
      <c r="A212" t="s">
        <v>2162</v>
      </c>
      <c r="B212" t="s">
        <v>237</v>
      </c>
      <c r="C212" t="str">
        <f>VLOOKUP($A212,'Customer Names'!$A:$E,4,FALSE)</f>
        <v>Sergey</v>
      </c>
      <c r="D212" t="str">
        <f>VLOOKUP($A212,'Medical Examinations'!$A:$J,2,FALSE)</f>
        <v>Obesity</v>
      </c>
      <c r="E212">
        <f>VLOOKUP($A212,'Medical Examinations'!$A:$J,4,FALSE)</f>
        <v>4.0199999999999996</v>
      </c>
      <c r="F212" t="str">
        <f>VLOOKUP($A212,'Medical Examinations'!$A:$J,6,FALSE)</f>
        <v>yes</v>
      </c>
      <c r="G212" t="str">
        <f>VLOOKUP($A212,'Medical Examinations'!$A:$J,7,FALSE)</f>
        <v>yes</v>
      </c>
      <c r="H212" t="str">
        <f>VLOOKUP($A212,'Medical Examinations'!$A:$J,8,FALSE)</f>
        <v>No</v>
      </c>
      <c r="I212">
        <f>VLOOKUP($A212,'Medical Examinations'!$A:$J,9,FALSE)</f>
        <v>2</v>
      </c>
      <c r="J212" t="str">
        <f>VLOOKUP($A212,'Medical Examinations'!$A:$J,10,FALSE)</f>
        <v>yes</v>
      </c>
      <c r="K212" t="str">
        <f>VLOOKUP($A212,'Medical Examinations'!$A:$J,5,FALSE)</f>
        <v>Normal</v>
      </c>
      <c r="L212">
        <f>VLOOKUP($A213,'Medical Examinations'!$A:$J,3,FALSE)</f>
        <v>34.39</v>
      </c>
      <c r="M212">
        <f>VLOOKUP($A212,'Hospitalisation Details'!$A:$K,6,FALSE)</f>
        <v>35585.58</v>
      </c>
      <c r="N212" s="11">
        <f>VLOOKUP($B212,'Hospitalisation Details'!A211:J2555,10,0)</f>
        <v>37852</v>
      </c>
      <c r="O212" t="str">
        <f>VLOOKUP($B212,'Hospitalisation Details'!A211:J2555,8,0)</f>
        <v>tier - 1</v>
      </c>
      <c r="P212" t="str">
        <f>VLOOKUP($B212,'Hospitalisation Details'!A211:J2555,7,0)</f>
        <v>tier - 2</v>
      </c>
      <c r="Q212" t="str">
        <f>VLOOKUP($B212,'Hospitalisation Details'!A211:J2555,9,0)</f>
        <v>R1012</v>
      </c>
      <c r="R212">
        <f>VLOOKUP($B212,'Hospitalisation Details'!A211:K2555,11,0)</f>
        <v>19</v>
      </c>
    </row>
    <row r="213" spans="1:18" x14ac:dyDescent="0.35">
      <c r="A213" t="s">
        <v>2161</v>
      </c>
      <c r="B213" t="s">
        <v>238</v>
      </c>
      <c r="C213" t="str">
        <f>VLOOKUP($A213,'Customer Names'!$A:$E,4,FALSE)</f>
        <v>Timothy V</v>
      </c>
      <c r="D213" t="str">
        <f>VLOOKUP($A213,'Medical Examinations'!$A:$J,2,FALSE)</f>
        <v>Obesity</v>
      </c>
      <c r="E213">
        <f>VLOOKUP($A213,'Medical Examinations'!$A:$J,4,FALSE)</f>
        <v>8.7200000000000006</v>
      </c>
      <c r="F213" t="str">
        <f>VLOOKUP($A213,'Medical Examinations'!$A:$J,6,FALSE)</f>
        <v>No</v>
      </c>
      <c r="G213" t="str">
        <f>VLOOKUP($A213,'Medical Examinations'!$A:$J,7,FALSE)</f>
        <v>No</v>
      </c>
      <c r="H213" t="str">
        <f>VLOOKUP($A213,'Medical Examinations'!$A:$J,8,FALSE)</f>
        <v>No</v>
      </c>
      <c r="I213">
        <f>VLOOKUP($A213,'Medical Examinations'!$A:$J,9,FALSE)</f>
        <v>0</v>
      </c>
      <c r="J213" t="str">
        <f>VLOOKUP($A213,'Medical Examinations'!$A:$J,10,FALSE)</f>
        <v>yes</v>
      </c>
      <c r="K213" t="str">
        <f>VLOOKUP($A213,'Medical Examinations'!$A:$J,5,FALSE)</f>
        <v>Diabetes</v>
      </c>
      <c r="L213">
        <f>VLOOKUP($A214,'Medical Examinations'!$A:$J,3,FALSE)</f>
        <v>29.06</v>
      </c>
      <c r="M213">
        <f>VLOOKUP($A213,'Hospitalisation Details'!$A:$K,6,FALSE)</f>
        <v>35583.17</v>
      </c>
      <c r="N213" s="11">
        <f>VLOOKUP($B213,'Hospitalisation Details'!A212:J2556,10,0)</f>
        <v>38264</v>
      </c>
      <c r="O213" t="str">
        <f>VLOOKUP($B213,'Hospitalisation Details'!A212:J2556,8,0)</f>
        <v>tier - 1</v>
      </c>
      <c r="P213" t="str">
        <f>VLOOKUP($B213,'Hospitalisation Details'!A212:J2556,7,0)</f>
        <v>tier - 2</v>
      </c>
      <c r="Q213" t="str">
        <f>VLOOKUP($B213,'Hospitalisation Details'!A212:J2556,9,0)</f>
        <v>R1011</v>
      </c>
      <c r="R213">
        <f>VLOOKUP($B213,'Hospitalisation Details'!A212:K2556,11,0)</f>
        <v>18</v>
      </c>
    </row>
    <row r="214" spans="1:18" x14ac:dyDescent="0.35">
      <c r="A214" t="s">
        <v>2160</v>
      </c>
      <c r="B214" t="s">
        <v>239</v>
      </c>
      <c r="C214" t="str">
        <f>VLOOKUP($A214,'Customer Names'!$A:$E,4,FALSE)</f>
        <v>Andrew S</v>
      </c>
      <c r="D214" t="str">
        <f>VLOOKUP($A214,'Medical Examinations'!$A:$J,2,FALSE)</f>
        <v>Overweight</v>
      </c>
      <c r="E214">
        <f>VLOOKUP($A214,'Medical Examinations'!$A:$J,4,FALSE)</f>
        <v>6.25</v>
      </c>
      <c r="F214" t="str">
        <f>VLOOKUP($A214,'Medical Examinations'!$A:$J,6,FALSE)</f>
        <v>yes</v>
      </c>
      <c r="G214" t="str">
        <f>VLOOKUP($A214,'Medical Examinations'!$A:$J,7,FALSE)</f>
        <v>No</v>
      </c>
      <c r="H214" t="str">
        <f>VLOOKUP($A214,'Medical Examinations'!$A:$J,8,FALSE)</f>
        <v>No</v>
      </c>
      <c r="I214">
        <f>VLOOKUP($A214,'Medical Examinations'!$A:$J,9,FALSE)</f>
        <v>1</v>
      </c>
      <c r="J214" t="str">
        <f>VLOOKUP($A214,'Medical Examinations'!$A:$J,10,FALSE)</f>
        <v>yes</v>
      </c>
      <c r="K214" t="str">
        <f>VLOOKUP($A214,'Medical Examinations'!$A:$J,5,FALSE)</f>
        <v>Prediabetes</v>
      </c>
      <c r="L214">
        <f>VLOOKUP($A215,'Medical Examinations'!$A:$J,3,FALSE)</f>
        <v>35.799999999999997</v>
      </c>
      <c r="M214">
        <f>VLOOKUP($A214,'Hospitalisation Details'!$A:$K,6,FALSE)</f>
        <v>35573.26</v>
      </c>
      <c r="N214" s="11">
        <f>VLOOKUP($B214,'Hospitalisation Details'!A213:J2557,10,0)</f>
        <v>36887</v>
      </c>
      <c r="O214" t="str">
        <f>VLOOKUP($B214,'Hospitalisation Details'!A213:J2557,8,0)</f>
        <v>tier - 3</v>
      </c>
      <c r="P214" t="str">
        <f>VLOOKUP($B214,'Hospitalisation Details'!A213:J2557,7,0)</f>
        <v>tier - 2</v>
      </c>
      <c r="Q214" t="str">
        <f>VLOOKUP($B214,'Hospitalisation Details'!A213:J2557,9,0)</f>
        <v>R1011</v>
      </c>
      <c r="R214">
        <f>VLOOKUP($B214,'Hospitalisation Details'!A213:K2557,11,0)</f>
        <v>22</v>
      </c>
    </row>
    <row r="215" spans="1:18" x14ac:dyDescent="0.35">
      <c r="A215" t="s">
        <v>2159</v>
      </c>
      <c r="B215" t="s">
        <v>240</v>
      </c>
      <c r="C215" t="str">
        <f>VLOOKUP($A215,'Customer Names'!$A:$E,4,FALSE)</f>
        <v>Matthew D</v>
      </c>
      <c r="D215" t="str">
        <f>VLOOKUP($A215,'Medical Examinations'!$A:$J,2,FALSE)</f>
        <v>Obesity</v>
      </c>
      <c r="E215">
        <f>VLOOKUP($A215,'Medical Examinations'!$A:$J,4,FALSE)</f>
        <v>7.32</v>
      </c>
      <c r="F215" t="str">
        <f>VLOOKUP($A215,'Medical Examinations'!$A:$J,6,FALSE)</f>
        <v>No</v>
      </c>
      <c r="G215" t="str">
        <f>VLOOKUP($A215,'Medical Examinations'!$A:$J,7,FALSE)</f>
        <v>No</v>
      </c>
      <c r="H215" t="str">
        <f>VLOOKUP($A215,'Medical Examinations'!$A:$J,8,FALSE)</f>
        <v>No</v>
      </c>
      <c r="I215">
        <f>VLOOKUP($A215,'Medical Examinations'!$A:$J,9,FALSE)</f>
        <v>2</v>
      </c>
      <c r="J215" t="str">
        <f>VLOOKUP($A215,'Medical Examinations'!$A:$J,10,FALSE)</f>
        <v>yes</v>
      </c>
      <c r="K215" t="str">
        <f>VLOOKUP($A215,'Medical Examinations'!$A:$J,5,FALSE)</f>
        <v>Diabetes</v>
      </c>
      <c r="L215">
        <f>VLOOKUP($A216,'Medical Examinations'!$A:$J,3,FALSE)</f>
        <v>49.8</v>
      </c>
      <c r="M215">
        <f>VLOOKUP($A215,'Hospitalisation Details'!$A:$K,6,FALSE)</f>
        <v>35547.72</v>
      </c>
      <c r="N215" s="11">
        <f>VLOOKUP($B215,'Hospitalisation Details'!A214:J2558,10,0)</f>
        <v>36821</v>
      </c>
      <c r="O215" t="str">
        <f>VLOOKUP($B215,'Hospitalisation Details'!A214:J2558,8,0)</f>
        <v>tier - 2</v>
      </c>
      <c r="P215" t="str">
        <f>VLOOKUP($B215,'Hospitalisation Details'!A214:J2558,7,0)</f>
        <v>tier - 2</v>
      </c>
      <c r="Q215" t="str">
        <f>VLOOKUP($B215,'Hospitalisation Details'!A214:J2558,9,0)</f>
        <v>R1011</v>
      </c>
      <c r="R215">
        <f>VLOOKUP($B215,'Hospitalisation Details'!A214:K2558,11,0)</f>
        <v>22</v>
      </c>
    </row>
    <row r="216" spans="1:18" x14ac:dyDescent="0.35">
      <c r="A216" t="s">
        <v>2158</v>
      </c>
      <c r="B216" t="s">
        <v>241</v>
      </c>
      <c r="C216" t="str">
        <f>VLOOKUP($A216,'Customer Names'!$A:$E,4,FALSE)</f>
        <v>Jessica</v>
      </c>
      <c r="D216" t="str">
        <f>VLOOKUP($A216,'Medical Examinations'!$A:$J,2,FALSE)</f>
        <v>Obesity</v>
      </c>
      <c r="E216">
        <f>VLOOKUP($A216,'Medical Examinations'!$A:$J,4,FALSE)</f>
        <v>4.24</v>
      </c>
      <c r="F216" t="str">
        <f>VLOOKUP($A216,'Medical Examinations'!$A:$J,6,FALSE)</f>
        <v>No</v>
      </c>
      <c r="G216" t="str">
        <f>VLOOKUP($A216,'Medical Examinations'!$A:$J,7,FALSE)</f>
        <v>No</v>
      </c>
      <c r="H216" t="str">
        <f>VLOOKUP($A216,'Medical Examinations'!$A:$J,8,FALSE)</f>
        <v>No</v>
      </c>
      <c r="I216">
        <f>VLOOKUP($A216,'Medical Examinations'!$A:$J,9,FALSE)</f>
        <v>1</v>
      </c>
      <c r="J216" t="str">
        <f>VLOOKUP($A216,'Medical Examinations'!$A:$J,10,FALSE)</f>
        <v>yes</v>
      </c>
      <c r="K216" t="str">
        <f>VLOOKUP($A216,'Medical Examinations'!$A:$J,5,FALSE)</f>
        <v>Normal</v>
      </c>
      <c r="L216">
        <f>VLOOKUP($A217,'Medical Examinations'!$A:$J,3,FALSE)</f>
        <v>35.71</v>
      </c>
      <c r="M216">
        <f>VLOOKUP($A216,'Hospitalisation Details'!$A:$K,6,FALSE)</f>
        <v>35547.47</v>
      </c>
      <c r="N216" s="11">
        <f>VLOOKUP($B216,'Hospitalisation Details'!A215:J2559,10,0)</f>
        <v>36859</v>
      </c>
      <c r="O216" t="str">
        <f>VLOOKUP($B216,'Hospitalisation Details'!A215:J2559,8,0)</f>
        <v>tier - 3</v>
      </c>
      <c r="P216" t="str">
        <f>VLOOKUP($B216,'Hospitalisation Details'!A215:J2559,7,0)</f>
        <v>tier - 2</v>
      </c>
      <c r="Q216" t="str">
        <f>VLOOKUP($B216,'Hospitalisation Details'!A215:J2559,9,0)</f>
        <v>R1013</v>
      </c>
      <c r="R216">
        <f>VLOOKUP($B216,'Hospitalisation Details'!A215:K2559,11,0)</f>
        <v>22</v>
      </c>
    </row>
    <row r="217" spans="1:18" x14ac:dyDescent="0.35">
      <c r="A217" t="s">
        <v>2157</v>
      </c>
      <c r="B217" t="s">
        <v>242</v>
      </c>
      <c r="C217" t="str">
        <f>VLOOKUP($A217,'Customer Names'!$A:$E,4,FALSE)</f>
        <v>Lawrence</v>
      </c>
      <c r="D217" t="str">
        <f>VLOOKUP($A217,'Medical Examinations'!$A:$J,2,FALSE)</f>
        <v>Obesity</v>
      </c>
      <c r="E217">
        <f>VLOOKUP($A217,'Medical Examinations'!$A:$J,4,FALSE)</f>
        <v>6.84</v>
      </c>
      <c r="F217" t="str">
        <f>VLOOKUP($A217,'Medical Examinations'!$A:$J,6,FALSE)</f>
        <v>No</v>
      </c>
      <c r="G217" t="str">
        <f>VLOOKUP($A217,'Medical Examinations'!$A:$J,7,FALSE)</f>
        <v>No</v>
      </c>
      <c r="H217" t="str">
        <f>VLOOKUP($A217,'Medical Examinations'!$A:$J,8,FALSE)</f>
        <v>No</v>
      </c>
      <c r="I217">
        <f>VLOOKUP($A217,'Medical Examinations'!$A:$J,9,FALSE)</f>
        <v>2</v>
      </c>
      <c r="J217" t="str">
        <f>VLOOKUP($A217,'Medical Examinations'!$A:$J,10,FALSE)</f>
        <v>yes</v>
      </c>
      <c r="K217" t="str">
        <f>VLOOKUP($A217,'Medical Examinations'!$A:$J,5,FALSE)</f>
        <v>Diabetes</v>
      </c>
      <c r="L217">
        <f>VLOOKUP($A218,'Medical Examinations'!$A:$J,3,FALSE)</f>
        <v>30.8</v>
      </c>
      <c r="M217">
        <f>VLOOKUP($A217,'Hospitalisation Details'!$A:$K,6,FALSE)</f>
        <v>35517.19</v>
      </c>
      <c r="N217" s="11">
        <f>VLOOKUP($B217,'Hospitalisation Details'!A216:J2560,10,0)</f>
        <v>36870</v>
      </c>
      <c r="O217" t="str">
        <f>VLOOKUP($B217,'Hospitalisation Details'!A216:J2560,8,0)</f>
        <v>tier - 2</v>
      </c>
      <c r="P217" t="str">
        <f>VLOOKUP($B217,'Hospitalisation Details'!A216:J2560,7,0)</f>
        <v>tier - 2</v>
      </c>
      <c r="Q217" t="str">
        <f>VLOOKUP($B217,'Hospitalisation Details'!A216:J2560,9,0)</f>
        <v>R1013</v>
      </c>
      <c r="R217">
        <f>VLOOKUP($B217,'Hospitalisation Details'!A216:K2560,11,0)</f>
        <v>22</v>
      </c>
    </row>
    <row r="218" spans="1:18" x14ac:dyDescent="0.35">
      <c r="A218" t="s">
        <v>2156</v>
      </c>
      <c r="B218" t="s">
        <v>243</v>
      </c>
      <c r="C218" t="str">
        <f>VLOOKUP($A218,'Customer Names'!$A:$E,4,FALSE)</f>
        <v>Alex</v>
      </c>
      <c r="D218" t="str">
        <f>VLOOKUP($A218,'Medical Examinations'!$A:$J,2,FALSE)</f>
        <v>Obesity</v>
      </c>
      <c r="E218">
        <f>VLOOKUP($A218,'Medical Examinations'!$A:$J,4,FALSE)</f>
        <v>5.23</v>
      </c>
      <c r="F218" t="str">
        <f>VLOOKUP($A218,'Medical Examinations'!$A:$J,6,FALSE)</f>
        <v>yes</v>
      </c>
      <c r="G218" t="str">
        <f>VLOOKUP($A218,'Medical Examinations'!$A:$J,7,FALSE)</f>
        <v>No</v>
      </c>
      <c r="H218" t="str">
        <f>VLOOKUP($A218,'Medical Examinations'!$A:$J,8,FALSE)</f>
        <v>No</v>
      </c>
      <c r="I218">
        <f>VLOOKUP($A218,'Medical Examinations'!$A:$J,9,FALSE)</f>
        <v>1</v>
      </c>
      <c r="J218" t="str">
        <f>VLOOKUP($A218,'Medical Examinations'!$A:$J,10,FALSE)</f>
        <v>yes</v>
      </c>
      <c r="K218" t="str">
        <f>VLOOKUP($A218,'Medical Examinations'!$A:$J,5,FALSE)</f>
        <v>Normal</v>
      </c>
      <c r="L218">
        <f>VLOOKUP($A219,'Medical Examinations'!$A:$J,3,FALSE)</f>
        <v>33.69</v>
      </c>
      <c r="M218">
        <f>VLOOKUP($A218,'Hospitalisation Details'!$A:$K,6,FALSE)</f>
        <v>35491.64</v>
      </c>
      <c r="N218" s="11">
        <f>VLOOKUP($B218,'Hospitalisation Details'!A217:J2561,10,0)</f>
        <v>36761</v>
      </c>
      <c r="O218" t="str">
        <f>VLOOKUP($B218,'Hospitalisation Details'!A217:J2561,8,0)</f>
        <v>tier - 2</v>
      </c>
      <c r="P218" t="str">
        <f>VLOOKUP($B218,'Hospitalisation Details'!A217:J2561,7,0)</f>
        <v>tier - 2</v>
      </c>
      <c r="Q218" t="str">
        <f>VLOOKUP($B218,'Hospitalisation Details'!A217:J2561,9,0)</f>
        <v>R1011</v>
      </c>
      <c r="R218">
        <f>VLOOKUP($B218,'Hospitalisation Details'!A217:K2561,11,0)</f>
        <v>22</v>
      </c>
    </row>
    <row r="219" spans="1:18" x14ac:dyDescent="0.35">
      <c r="A219" t="s">
        <v>2155</v>
      </c>
      <c r="B219" t="s">
        <v>244</v>
      </c>
      <c r="C219" t="str">
        <f>VLOOKUP($A219,'Customer Names'!$A:$E,4,FALSE)</f>
        <v>Kevin</v>
      </c>
      <c r="D219" t="str">
        <f>VLOOKUP($A219,'Medical Examinations'!$A:$J,2,FALSE)</f>
        <v>Obesity</v>
      </c>
      <c r="E219">
        <f>VLOOKUP($A219,'Medical Examinations'!$A:$J,4,FALSE)</f>
        <v>9.68</v>
      </c>
      <c r="F219" t="str">
        <f>VLOOKUP($A219,'Medical Examinations'!$A:$J,6,FALSE)</f>
        <v>No</v>
      </c>
      <c r="G219" t="str">
        <f>VLOOKUP($A219,'Medical Examinations'!$A:$J,7,FALSE)</f>
        <v>No</v>
      </c>
      <c r="H219" t="str">
        <f>VLOOKUP($A219,'Medical Examinations'!$A:$J,8,FALSE)</f>
        <v>No</v>
      </c>
      <c r="I219">
        <f>VLOOKUP($A219,'Medical Examinations'!$A:$J,9,FALSE)</f>
        <v>0</v>
      </c>
      <c r="J219" t="str">
        <f>VLOOKUP($A219,'Medical Examinations'!$A:$J,10,FALSE)</f>
        <v>yes</v>
      </c>
      <c r="K219" t="str">
        <f>VLOOKUP($A219,'Medical Examinations'!$A:$J,5,FALSE)</f>
        <v>Diabetes</v>
      </c>
      <c r="L219">
        <f>VLOOKUP($A220,'Medical Examinations'!$A:$J,3,FALSE)</f>
        <v>42.27</v>
      </c>
      <c r="M219">
        <f>VLOOKUP($A219,'Hospitalisation Details'!$A:$K,6,FALSE)</f>
        <v>35345.730000000003</v>
      </c>
      <c r="N219" s="11">
        <f>VLOOKUP($B219,'Hospitalisation Details'!A218:J2562,10,0)</f>
        <v>34604</v>
      </c>
      <c r="O219" t="str">
        <f>VLOOKUP($B219,'Hospitalisation Details'!A218:J2562,8,0)</f>
        <v>tier - 2</v>
      </c>
      <c r="P219" t="str">
        <f>VLOOKUP($B219,'Hospitalisation Details'!A218:J2562,7,0)</f>
        <v>tier - 2</v>
      </c>
      <c r="Q219" t="str">
        <f>VLOOKUP($B219,'Hospitalisation Details'!A218:J2562,9,0)</f>
        <v>R1013</v>
      </c>
      <c r="R219">
        <f>VLOOKUP($B219,'Hospitalisation Details'!A218:K2562,11,0)</f>
        <v>28</v>
      </c>
    </row>
    <row r="220" spans="1:18" x14ac:dyDescent="0.35">
      <c r="A220" t="s">
        <v>2154</v>
      </c>
      <c r="B220" t="s">
        <v>245</v>
      </c>
      <c r="C220" t="str">
        <f>VLOOKUP($A220,'Customer Names'!$A:$E,4,FALSE)</f>
        <v>Gavin M.</v>
      </c>
      <c r="D220" t="str">
        <f>VLOOKUP($A220,'Medical Examinations'!$A:$J,2,FALSE)</f>
        <v>Obesity</v>
      </c>
      <c r="E220">
        <f>VLOOKUP($A220,'Medical Examinations'!$A:$J,4,FALSE)</f>
        <v>6.05</v>
      </c>
      <c r="F220" t="str">
        <f>VLOOKUP($A220,'Medical Examinations'!$A:$J,6,FALSE)</f>
        <v>yes</v>
      </c>
      <c r="G220" t="str">
        <f>VLOOKUP($A220,'Medical Examinations'!$A:$J,7,FALSE)</f>
        <v>No</v>
      </c>
      <c r="H220" t="str">
        <f>VLOOKUP($A220,'Medical Examinations'!$A:$J,8,FALSE)</f>
        <v>No</v>
      </c>
      <c r="I220">
        <f>VLOOKUP($A220,'Medical Examinations'!$A:$J,9,FALSE)</f>
        <v>1</v>
      </c>
      <c r="J220" t="str">
        <f>VLOOKUP($A220,'Medical Examinations'!$A:$J,10,FALSE)</f>
        <v>yes</v>
      </c>
      <c r="K220" t="str">
        <f>VLOOKUP($A220,'Medical Examinations'!$A:$J,5,FALSE)</f>
        <v>Prediabetes</v>
      </c>
      <c r="L220">
        <f>VLOOKUP($A221,'Medical Examinations'!$A:$J,3,FALSE)</f>
        <v>53.25</v>
      </c>
      <c r="M220">
        <f>VLOOKUP($A220,'Hospitalisation Details'!$A:$K,6,FALSE)</f>
        <v>35315.96</v>
      </c>
      <c r="N220" s="11">
        <f>VLOOKUP($B220,'Hospitalisation Details'!A219:J2563,10,0)</f>
        <v>33588</v>
      </c>
      <c r="O220" t="str">
        <f>VLOOKUP($B220,'Hospitalisation Details'!A219:J2563,8,0)</f>
        <v>tier - 2</v>
      </c>
      <c r="P220" t="str">
        <f>VLOOKUP($B220,'Hospitalisation Details'!A219:J2563,7,0)</f>
        <v>tier - 2</v>
      </c>
      <c r="Q220" t="str">
        <f>VLOOKUP($B220,'Hospitalisation Details'!A219:J2563,9,0)</f>
        <v>R1012</v>
      </c>
      <c r="R220">
        <f>VLOOKUP($B220,'Hospitalisation Details'!A219:K2563,11,0)</f>
        <v>31</v>
      </c>
    </row>
    <row r="221" spans="1:18" x14ac:dyDescent="0.35">
      <c r="A221" t="s">
        <v>2153</v>
      </c>
      <c r="B221" t="s">
        <v>246</v>
      </c>
      <c r="C221" t="str">
        <f>VLOOKUP($A221,'Customer Names'!$A:$E,4,FALSE)</f>
        <v>Rick E</v>
      </c>
      <c r="D221" t="str">
        <f>VLOOKUP($A221,'Medical Examinations'!$A:$J,2,FALSE)</f>
        <v>Obesity</v>
      </c>
      <c r="E221">
        <f>VLOOKUP($A221,'Medical Examinations'!$A:$J,4,FALSE)</f>
        <v>6.11</v>
      </c>
      <c r="F221" t="str">
        <f>VLOOKUP($A221,'Medical Examinations'!$A:$J,6,FALSE)</f>
        <v>yes</v>
      </c>
      <c r="G221" t="str">
        <f>VLOOKUP($A221,'Medical Examinations'!$A:$J,7,FALSE)</f>
        <v>No</v>
      </c>
      <c r="H221" t="str">
        <f>VLOOKUP($A221,'Medical Examinations'!$A:$J,8,FALSE)</f>
        <v>Yes</v>
      </c>
      <c r="I221">
        <f>VLOOKUP($A221,'Medical Examinations'!$A:$J,9,FALSE)</f>
        <v>1</v>
      </c>
      <c r="J221" t="str">
        <f>VLOOKUP($A221,'Medical Examinations'!$A:$J,10,FALSE)</f>
        <v>yes</v>
      </c>
      <c r="K221" t="str">
        <f>VLOOKUP($A221,'Medical Examinations'!$A:$J,5,FALSE)</f>
        <v>Prediabetes</v>
      </c>
      <c r="L221">
        <f>VLOOKUP($A222,'Medical Examinations'!$A:$J,3,FALSE)</f>
        <v>26.8</v>
      </c>
      <c r="M221">
        <f>VLOOKUP($A221,'Hospitalisation Details'!$A:$K,6,FALSE)</f>
        <v>35302.089999999997</v>
      </c>
      <c r="N221" s="11">
        <f>VLOOKUP($B221,'Hospitalisation Details'!A220:J2564,10,0)</f>
        <v>38328</v>
      </c>
      <c r="O221" t="str">
        <f>VLOOKUP($B221,'Hospitalisation Details'!A220:J2564,8,0)</f>
        <v>tier - 3</v>
      </c>
      <c r="P221" t="str">
        <f>VLOOKUP($B221,'Hospitalisation Details'!A220:J2564,7,0)</f>
        <v>tier - 2</v>
      </c>
      <c r="Q221" t="str">
        <f>VLOOKUP($B221,'Hospitalisation Details'!A220:J2564,9,0)</f>
        <v>R1024</v>
      </c>
      <c r="R221">
        <f>VLOOKUP($B221,'Hospitalisation Details'!A220:K2564,11,0)</f>
        <v>18</v>
      </c>
    </row>
    <row r="222" spans="1:18" x14ac:dyDescent="0.35">
      <c r="A222" t="s">
        <v>2152</v>
      </c>
      <c r="B222" t="s">
        <v>248</v>
      </c>
      <c r="C222" t="str">
        <f>VLOOKUP($A222,'Customer Names'!$A:$E,4,FALSE)</f>
        <v>Andrea H.</v>
      </c>
      <c r="D222" t="str">
        <f>VLOOKUP($A222,'Medical Examinations'!$A:$J,2,FALSE)</f>
        <v>Overweight</v>
      </c>
      <c r="E222">
        <f>VLOOKUP($A222,'Medical Examinations'!$A:$J,4,FALSE)</f>
        <v>10.93</v>
      </c>
      <c r="F222" t="str">
        <f>VLOOKUP($A222,'Medical Examinations'!$A:$J,6,FALSE)</f>
        <v>yes</v>
      </c>
      <c r="G222" t="str">
        <f>VLOOKUP($A222,'Medical Examinations'!$A:$J,7,FALSE)</f>
        <v>No</v>
      </c>
      <c r="H222" t="str">
        <f>VLOOKUP($A222,'Medical Examinations'!$A:$J,8,FALSE)</f>
        <v>No</v>
      </c>
      <c r="I222">
        <f>VLOOKUP($A222,'Medical Examinations'!$A:$J,9,FALSE)</f>
        <v>0</v>
      </c>
      <c r="J222" t="str">
        <f>VLOOKUP($A222,'Medical Examinations'!$A:$J,10,FALSE)</f>
        <v>No</v>
      </c>
      <c r="K222" t="str">
        <f>VLOOKUP($A222,'Medical Examinations'!$A:$J,5,FALSE)</f>
        <v>Diabetes</v>
      </c>
      <c r="L222">
        <f>VLOOKUP($A223,'Medical Examinations'!$A:$J,3,FALSE)</f>
        <v>28.5</v>
      </c>
      <c r="M222">
        <f>VLOOKUP($A222,'Hospitalisation Details'!$A:$K,6,FALSE)</f>
        <v>35160.129999999997</v>
      </c>
      <c r="N222" s="11">
        <f>VLOOKUP($B222,'Hospitalisation Details'!A221:J2565,10,0)</f>
        <v>38233</v>
      </c>
      <c r="O222" t="str">
        <f>VLOOKUP($B222,'Hospitalisation Details'!A221:J2565,8,0)</f>
        <v>tier - 1</v>
      </c>
      <c r="P222" t="str">
        <f>VLOOKUP($B222,'Hospitalisation Details'!A221:J2565,7,0)</f>
        <v>tier - 2</v>
      </c>
      <c r="Q222" t="str">
        <f>VLOOKUP($B222,'Hospitalisation Details'!A221:J2565,9,0)</f>
        <v>R1023</v>
      </c>
      <c r="R222">
        <f>VLOOKUP($B222,'Hospitalisation Details'!A221:K2565,11,0)</f>
        <v>18</v>
      </c>
    </row>
    <row r="223" spans="1:18" x14ac:dyDescent="0.35">
      <c r="A223" t="s">
        <v>2151</v>
      </c>
      <c r="B223" t="s">
        <v>250</v>
      </c>
      <c r="C223" t="str">
        <f>VLOOKUP($A223,'Customer Names'!$A:$E,4,FALSE)</f>
        <v>Anthony S</v>
      </c>
      <c r="D223" t="str">
        <f>VLOOKUP($A223,'Medical Examinations'!$A:$J,2,FALSE)</f>
        <v>Overweight</v>
      </c>
      <c r="E223">
        <f>VLOOKUP($A223,'Medical Examinations'!$A:$J,4,FALSE)</f>
        <v>5.12</v>
      </c>
      <c r="F223" t="str">
        <f>VLOOKUP($A223,'Medical Examinations'!$A:$J,6,FALSE)</f>
        <v>No</v>
      </c>
      <c r="G223" t="str">
        <f>VLOOKUP($A223,'Medical Examinations'!$A:$J,7,FALSE)</f>
        <v>No</v>
      </c>
      <c r="H223" t="str">
        <f>VLOOKUP($A223,'Medical Examinations'!$A:$J,8,FALSE)</f>
        <v>No</v>
      </c>
      <c r="I223">
        <f>VLOOKUP($A223,'Medical Examinations'!$A:$J,9,FALSE)</f>
        <v>1</v>
      </c>
      <c r="J223" t="str">
        <f>VLOOKUP($A223,'Medical Examinations'!$A:$J,10,FALSE)</f>
        <v>yes</v>
      </c>
      <c r="K223" t="str">
        <f>VLOOKUP($A223,'Medical Examinations'!$A:$J,5,FALSE)</f>
        <v>Normal</v>
      </c>
      <c r="L223">
        <f>VLOOKUP($A224,'Medical Examinations'!$A:$J,3,FALSE)</f>
        <v>22.895</v>
      </c>
      <c r="M223">
        <f>VLOOKUP($A223,'Hospitalisation Details'!$A:$K,6,FALSE)</f>
        <v>35147.53</v>
      </c>
      <c r="N223" s="11">
        <f>VLOOKUP($B223,'Hospitalisation Details'!A222:J2566,10,0)</f>
        <v>38242</v>
      </c>
      <c r="O223" t="str">
        <f>VLOOKUP($B223,'Hospitalisation Details'!A222:J2566,8,0)</f>
        <v>tier - 2</v>
      </c>
      <c r="P223" t="str">
        <f>VLOOKUP($B223,'Hospitalisation Details'!A222:J2566,7,0)</f>
        <v>tier - 2</v>
      </c>
      <c r="Q223" t="str">
        <f>VLOOKUP($B223,'Hospitalisation Details'!A222:J2566,9,0)</f>
        <v>R1024</v>
      </c>
      <c r="R223">
        <f>VLOOKUP($B223,'Hospitalisation Details'!A222:K2566,11,0)</f>
        <v>18</v>
      </c>
    </row>
    <row r="224" spans="1:18" x14ac:dyDescent="0.35">
      <c r="A224" t="s">
        <v>2150</v>
      </c>
      <c r="B224" t="s">
        <v>251</v>
      </c>
      <c r="C224" t="str">
        <f>VLOOKUP($A224,'Customer Names'!$A:$E,4,FALSE)</f>
        <v>Erik</v>
      </c>
      <c r="D224" t="str">
        <f>VLOOKUP($A224,'Medical Examinations'!$A:$J,2,FALSE)</f>
        <v>Normal Weight</v>
      </c>
      <c r="E224">
        <f>VLOOKUP($A224,'Medical Examinations'!$A:$J,4,FALSE)</f>
        <v>5.72</v>
      </c>
      <c r="F224" t="str">
        <f>VLOOKUP($A224,'Medical Examinations'!$A:$J,6,FALSE)</f>
        <v>No</v>
      </c>
      <c r="G224" t="str">
        <f>VLOOKUP($A224,'Medical Examinations'!$A:$J,7,FALSE)</f>
        <v>No</v>
      </c>
      <c r="H224" t="str">
        <f>VLOOKUP($A224,'Medical Examinations'!$A:$J,8,FALSE)</f>
        <v>No</v>
      </c>
      <c r="I224">
        <f>VLOOKUP($A224,'Medical Examinations'!$A:$J,9,FALSE)</f>
        <v>0</v>
      </c>
      <c r="J224" t="str">
        <f>VLOOKUP($A224,'Medical Examinations'!$A:$J,10,FALSE)</f>
        <v>yes</v>
      </c>
      <c r="K224" t="str">
        <f>VLOOKUP($A224,'Medical Examinations'!$A:$J,5,FALSE)</f>
        <v>Prediabetes</v>
      </c>
      <c r="L224">
        <f>VLOOKUP($A225,'Medical Examinations'!$A:$J,3,FALSE)</f>
        <v>34.06</v>
      </c>
      <c r="M224">
        <f>VLOOKUP($A224,'Hospitalisation Details'!$A:$K,6,FALSE)</f>
        <v>35069.370000000003</v>
      </c>
      <c r="N224" s="11">
        <f>VLOOKUP($B224,'Hospitalisation Details'!A223:J2567,10,0)</f>
        <v>38195</v>
      </c>
      <c r="O224" t="str">
        <f>VLOOKUP($B224,'Hospitalisation Details'!A223:J2567,8,0)</f>
        <v>tier - 3</v>
      </c>
      <c r="P224" t="str">
        <f>VLOOKUP($B224,'Hospitalisation Details'!A223:J2567,7,0)</f>
        <v>tier - 2</v>
      </c>
      <c r="Q224" t="str">
        <f>VLOOKUP($B224,'Hospitalisation Details'!A223:J2567,9,0)</f>
        <v>R1013</v>
      </c>
      <c r="R224">
        <f>VLOOKUP($B224,'Hospitalisation Details'!A223:K2567,11,0)</f>
        <v>18</v>
      </c>
    </row>
    <row r="225" spans="1:18" x14ac:dyDescent="0.35">
      <c r="A225" t="s">
        <v>2149</v>
      </c>
      <c r="B225" t="s">
        <v>252</v>
      </c>
      <c r="C225" t="str">
        <f>VLOOKUP($A225,'Customer Names'!$A:$E,4,FALSE)</f>
        <v>Kiley D</v>
      </c>
      <c r="D225" t="str">
        <f>VLOOKUP($A225,'Medical Examinations'!$A:$J,2,FALSE)</f>
        <v>Obesity</v>
      </c>
      <c r="E225">
        <f>VLOOKUP($A225,'Medical Examinations'!$A:$J,4,FALSE)</f>
        <v>11.83</v>
      </c>
      <c r="F225" t="str">
        <f>VLOOKUP($A225,'Medical Examinations'!$A:$J,6,FALSE)</f>
        <v>yes</v>
      </c>
      <c r="G225" t="str">
        <f>VLOOKUP($A225,'Medical Examinations'!$A:$J,7,FALSE)</f>
        <v>No</v>
      </c>
      <c r="H225" t="str">
        <f>VLOOKUP($A225,'Medical Examinations'!$A:$J,8,FALSE)</f>
        <v>No</v>
      </c>
      <c r="I225">
        <f>VLOOKUP($A225,'Medical Examinations'!$A:$J,9,FALSE)</f>
        <v>1</v>
      </c>
      <c r="J225" t="str">
        <f>VLOOKUP($A225,'Medical Examinations'!$A:$J,10,FALSE)</f>
        <v>yes</v>
      </c>
      <c r="K225" t="str">
        <f>VLOOKUP($A225,'Medical Examinations'!$A:$J,5,FALSE)</f>
        <v>Diabetes</v>
      </c>
      <c r="L225">
        <f>VLOOKUP($A226,'Medical Examinations'!$A:$J,3,FALSE)</f>
        <v>36.409999999999997</v>
      </c>
      <c r="M225">
        <f>VLOOKUP($A225,'Hospitalisation Details'!$A:$K,6,FALSE)</f>
        <v>35050.620000000003</v>
      </c>
      <c r="N225" s="11">
        <f>VLOOKUP($B225,'Hospitalisation Details'!A224:J2568,10,0)</f>
        <v>38205</v>
      </c>
      <c r="O225" t="str">
        <f>VLOOKUP($B225,'Hospitalisation Details'!A224:J2568,8,0)</f>
        <v>tier - 2</v>
      </c>
      <c r="P225" t="str">
        <f>VLOOKUP($B225,'Hospitalisation Details'!A224:J2568,7,0)</f>
        <v>tier - 2</v>
      </c>
      <c r="Q225" t="str">
        <f>VLOOKUP($B225,'Hospitalisation Details'!A224:J2568,9,0)</f>
        <v>R1024</v>
      </c>
      <c r="R225">
        <f>VLOOKUP($B225,'Hospitalisation Details'!A224:K2568,11,0)</f>
        <v>18</v>
      </c>
    </row>
    <row r="226" spans="1:18" x14ac:dyDescent="0.35">
      <c r="A226" t="s">
        <v>2148</v>
      </c>
      <c r="B226" t="s">
        <v>253</v>
      </c>
      <c r="C226" t="str">
        <f>VLOOKUP($A226,'Customer Names'!$A:$E,4,FALSE)</f>
        <v>Jennifer</v>
      </c>
      <c r="D226" t="str">
        <f>VLOOKUP($A226,'Medical Examinations'!$A:$J,2,FALSE)</f>
        <v>Obesity</v>
      </c>
      <c r="E226">
        <f>VLOOKUP($A226,'Medical Examinations'!$A:$J,4,FALSE)</f>
        <v>4.55</v>
      </c>
      <c r="F226" t="str">
        <f>VLOOKUP($A226,'Medical Examinations'!$A:$J,6,FALSE)</f>
        <v>No</v>
      </c>
      <c r="G226" t="str">
        <f>VLOOKUP($A226,'Medical Examinations'!$A:$J,7,FALSE)</f>
        <v>No</v>
      </c>
      <c r="H226" t="str">
        <f>VLOOKUP($A226,'Medical Examinations'!$A:$J,8,FALSE)</f>
        <v>No</v>
      </c>
      <c r="I226">
        <f>VLOOKUP($A226,'Medical Examinations'!$A:$J,9,FALSE)</f>
        <v>0</v>
      </c>
      <c r="J226" t="str">
        <f>VLOOKUP($A226,'Medical Examinations'!$A:$J,10,FALSE)</f>
        <v>yes</v>
      </c>
      <c r="K226" t="str">
        <f>VLOOKUP($A226,'Medical Examinations'!$A:$J,5,FALSE)</f>
        <v>Normal</v>
      </c>
      <c r="L226">
        <f>VLOOKUP($A227,'Medical Examinations'!$A:$J,3,FALSE)</f>
        <v>52.3</v>
      </c>
      <c r="M226">
        <f>VLOOKUP($A226,'Hospitalisation Details'!$A:$K,6,FALSE)</f>
        <v>35000.730000000003</v>
      </c>
      <c r="N226" s="11">
        <f>VLOOKUP($B226,'Hospitalisation Details'!A225:J2569,10,0)</f>
        <v>38288</v>
      </c>
      <c r="O226" t="str">
        <f>VLOOKUP($B226,'Hospitalisation Details'!A225:J2569,8,0)</f>
        <v>tier - 2</v>
      </c>
      <c r="P226" t="str">
        <f>VLOOKUP($B226,'Hospitalisation Details'!A225:J2569,7,0)</f>
        <v>tier - 2</v>
      </c>
      <c r="Q226" t="str">
        <f>VLOOKUP($B226,'Hospitalisation Details'!A225:J2569,9,0)</f>
        <v>R1024</v>
      </c>
      <c r="R226">
        <f>VLOOKUP($B226,'Hospitalisation Details'!A225:K2569,11,0)</f>
        <v>18</v>
      </c>
    </row>
    <row r="227" spans="1:18" x14ac:dyDescent="0.35">
      <c r="A227" t="s">
        <v>2147</v>
      </c>
      <c r="B227" t="s">
        <v>254</v>
      </c>
      <c r="C227" t="str">
        <f>VLOOKUP($A227,'Customer Names'!$A:$E,4,FALSE)</f>
        <v>Chris</v>
      </c>
      <c r="D227" t="str">
        <f>VLOOKUP($A227,'Medical Examinations'!$A:$J,2,FALSE)</f>
        <v>Obesity</v>
      </c>
      <c r="E227">
        <f>VLOOKUP($A227,'Medical Examinations'!$A:$J,4,FALSE)</f>
        <v>4.87</v>
      </c>
      <c r="F227" t="str">
        <f>VLOOKUP($A227,'Medical Examinations'!$A:$J,6,FALSE)</f>
        <v>yes</v>
      </c>
      <c r="G227" t="str">
        <f>VLOOKUP($A227,'Medical Examinations'!$A:$J,7,FALSE)</f>
        <v>No</v>
      </c>
      <c r="H227" t="str">
        <f>VLOOKUP($A227,'Medical Examinations'!$A:$J,8,FALSE)</f>
        <v>Yes</v>
      </c>
      <c r="I227">
        <f>VLOOKUP($A227,'Medical Examinations'!$A:$J,9,FALSE)</f>
        <v>1</v>
      </c>
      <c r="J227" t="str">
        <f>VLOOKUP($A227,'Medical Examinations'!$A:$J,10,FALSE)</f>
        <v>yes</v>
      </c>
      <c r="K227" t="str">
        <f>VLOOKUP($A227,'Medical Examinations'!$A:$J,5,FALSE)</f>
        <v>Normal</v>
      </c>
      <c r="L227">
        <f>VLOOKUP($A228,'Medical Examinations'!$A:$J,3,FALSE)</f>
        <v>52.66</v>
      </c>
      <c r="M227">
        <f>VLOOKUP($A227,'Hospitalisation Details'!$A:$K,6,FALSE)</f>
        <v>34979.86</v>
      </c>
      <c r="N227" s="11">
        <f>VLOOKUP($B227,'Hospitalisation Details'!A226:J2570,10,0)</f>
        <v>38304</v>
      </c>
      <c r="O227" t="str">
        <f>VLOOKUP($B227,'Hospitalisation Details'!A226:J2570,8,0)</f>
        <v>tier - 3</v>
      </c>
      <c r="P227" t="str">
        <f>VLOOKUP($B227,'Hospitalisation Details'!A226:J2570,7,0)</f>
        <v>tier - 2</v>
      </c>
      <c r="Q227" t="str">
        <f>VLOOKUP($B227,'Hospitalisation Details'!A226:J2570,9,0)</f>
        <v>R1024</v>
      </c>
      <c r="R227">
        <f>VLOOKUP($B227,'Hospitalisation Details'!A226:K2570,11,0)</f>
        <v>18</v>
      </c>
    </row>
    <row r="228" spans="1:18" x14ac:dyDescent="0.35">
      <c r="A228" t="s">
        <v>2146</v>
      </c>
      <c r="B228" t="s">
        <v>255</v>
      </c>
      <c r="C228" t="str">
        <f>VLOOKUP($A228,'Customer Names'!$A:$E,4,FALSE)</f>
        <v>Marian M.</v>
      </c>
      <c r="D228" t="str">
        <f>VLOOKUP($A228,'Medical Examinations'!$A:$J,2,FALSE)</f>
        <v>Obesity</v>
      </c>
      <c r="E228">
        <f>VLOOKUP($A228,'Medical Examinations'!$A:$J,4,FALSE)</f>
        <v>4.45</v>
      </c>
      <c r="F228" t="str">
        <f>VLOOKUP($A228,'Medical Examinations'!$A:$J,6,FALSE)</f>
        <v>No</v>
      </c>
      <c r="G228" t="str">
        <f>VLOOKUP($A228,'Medical Examinations'!$A:$J,7,FALSE)</f>
        <v>No</v>
      </c>
      <c r="H228" t="str">
        <f>VLOOKUP($A228,'Medical Examinations'!$A:$J,8,FALSE)</f>
        <v>No</v>
      </c>
      <c r="I228">
        <f>VLOOKUP($A228,'Medical Examinations'!$A:$J,9,FALSE)</f>
        <v>1</v>
      </c>
      <c r="J228" t="str">
        <f>VLOOKUP($A228,'Medical Examinations'!$A:$J,10,FALSE)</f>
        <v>yes</v>
      </c>
      <c r="K228" t="str">
        <f>VLOOKUP($A228,'Medical Examinations'!$A:$J,5,FALSE)</f>
        <v>Normal</v>
      </c>
      <c r="L228">
        <f>VLOOKUP($A229,'Medical Examinations'!$A:$J,3,FALSE)</f>
        <v>29.57</v>
      </c>
      <c r="M228">
        <f>VLOOKUP($A228,'Hospitalisation Details'!$A:$K,6,FALSE)</f>
        <v>34976.42</v>
      </c>
      <c r="N228" s="11">
        <f>VLOOKUP($B228,'Hospitalisation Details'!A227:J2571,10,0)</f>
        <v>38205</v>
      </c>
      <c r="O228" t="str">
        <f>VLOOKUP($B228,'Hospitalisation Details'!A227:J2571,8,0)</f>
        <v>tier - 2</v>
      </c>
      <c r="P228" t="str">
        <f>VLOOKUP($B228,'Hospitalisation Details'!A227:J2571,7,0)</f>
        <v>tier - 2</v>
      </c>
      <c r="Q228" t="str">
        <f>VLOOKUP($B228,'Hospitalisation Details'!A227:J2571,9,0)</f>
        <v>R1024</v>
      </c>
      <c r="R228">
        <f>VLOOKUP($B228,'Hospitalisation Details'!A227:K2571,11,0)</f>
        <v>18</v>
      </c>
    </row>
    <row r="229" spans="1:18" x14ac:dyDescent="0.35">
      <c r="A229" t="s">
        <v>2145</v>
      </c>
      <c r="B229" t="s">
        <v>256</v>
      </c>
      <c r="C229" t="str">
        <f>VLOOKUP($A229,'Customer Names'!$A:$E,4,FALSE)</f>
        <v>Jeremy</v>
      </c>
      <c r="D229" t="str">
        <f>VLOOKUP($A229,'Medical Examinations'!$A:$J,2,FALSE)</f>
        <v>Overweight</v>
      </c>
      <c r="E229">
        <f>VLOOKUP($A229,'Medical Examinations'!$A:$J,4,FALSE)</f>
        <v>9.42</v>
      </c>
      <c r="F229" t="str">
        <f>VLOOKUP($A229,'Medical Examinations'!$A:$J,6,FALSE)</f>
        <v>yes</v>
      </c>
      <c r="G229" t="str">
        <f>VLOOKUP($A229,'Medical Examinations'!$A:$J,7,FALSE)</f>
        <v>No</v>
      </c>
      <c r="H229" t="str">
        <f>VLOOKUP($A229,'Medical Examinations'!$A:$J,8,FALSE)</f>
        <v>No</v>
      </c>
      <c r="I229">
        <f>VLOOKUP($A229,'Medical Examinations'!$A:$J,9,FALSE)</f>
        <v>0</v>
      </c>
      <c r="J229" t="str">
        <f>VLOOKUP($A229,'Medical Examinations'!$A:$J,10,FALSE)</f>
        <v>yes</v>
      </c>
      <c r="K229" t="str">
        <f>VLOOKUP($A229,'Medical Examinations'!$A:$J,5,FALSE)</f>
        <v>Diabetes</v>
      </c>
      <c r="L229">
        <f>VLOOKUP($A230,'Medical Examinations'!$A:$J,3,FALSE)</f>
        <v>36.99</v>
      </c>
      <c r="M229">
        <f>VLOOKUP($A229,'Hospitalisation Details'!$A:$K,6,FALSE)</f>
        <v>34975.68</v>
      </c>
      <c r="N229" s="11">
        <f>VLOOKUP($B229,'Hospitalisation Details'!A228:J2572,10,0)</f>
        <v>38195</v>
      </c>
      <c r="O229" t="str">
        <f>VLOOKUP($B229,'Hospitalisation Details'!A228:J2572,8,0)</f>
        <v>tier - 2</v>
      </c>
      <c r="P229" t="str">
        <f>VLOOKUP($B229,'Hospitalisation Details'!A228:J2572,7,0)</f>
        <v>tier - 2</v>
      </c>
      <c r="Q229" t="str">
        <f>VLOOKUP($B229,'Hospitalisation Details'!A228:J2572,9,0)</f>
        <v>R1024</v>
      </c>
      <c r="R229">
        <f>VLOOKUP($B229,'Hospitalisation Details'!A228:K2572,11,0)</f>
        <v>18</v>
      </c>
    </row>
    <row r="230" spans="1:18" x14ac:dyDescent="0.35">
      <c r="A230" t="s">
        <v>2144</v>
      </c>
      <c r="B230" t="s">
        <v>257</v>
      </c>
      <c r="C230" t="str">
        <f>VLOOKUP($A230,'Customer Names'!$A:$E,4,FALSE)</f>
        <v>Allison H</v>
      </c>
      <c r="D230" t="str">
        <f>VLOOKUP($A230,'Medical Examinations'!$A:$J,2,FALSE)</f>
        <v>Obesity</v>
      </c>
      <c r="E230">
        <f>VLOOKUP($A230,'Medical Examinations'!$A:$J,4,FALSE)</f>
        <v>5.37</v>
      </c>
      <c r="F230" t="str">
        <f>VLOOKUP($A230,'Medical Examinations'!$A:$J,6,FALSE)</f>
        <v>yes</v>
      </c>
      <c r="G230" t="str">
        <f>VLOOKUP($A230,'Medical Examinations'!$A:$J,7,FALSE)</f>
        <v>No</v>
      </c>
      <c r="H230" t="str">
        <f>VLOOKUP($A230,'Medical Examinations'!$A:$J,8,FALSE)</f>
        <v>Yes</v>
      </c>
      <c r="I230">
        <f>VLOOKUP($A230,'Medical Examinations'!$A:$J,9,FALSE)</f>
        <v>1</v>
      </c>
      <c r="J230" t="str">
        <f>VLOOKUP($A230,'Medical Examinations'!$A:$J,10,FALSE)</f>
        <v>yes</v>
      </c>
      <c r="K230" t="str">
        <f>VLOOKUP($A230,'Medical Examinations'!$A:$J,5,FALSE)</f>
        <v>Normal</v>
      </c>
      <c r="L230">
        <f>VLOOKUP($A231,'Medical Examinations'!$A:$J,3,FALSE)</f>
        <v>31.4</v>
      </c>
      <c r="M230">
        <f>VLOOKUP($A230,'Hospitalisation Details'!$A:$K,6,FALSE)</f>
        <v>34940.61</v>
      </c>
      <c r="N230" s="11">
        <f>VLOOKUP($B230,'Hospitalisation Details'!A229:J2573,10,0)</f>
        <v>34655</v>
      </c>
      <c r="O230" t="str">
        <f>VLOOKUP($B230,'Hospitalisation Details'!A229:J2573,8,0)</f>
        <v>tier - 2</v>
      </c>
      <c r="P230" t="str">
        <f>VLOOKUP($B230,'Hospitalisation Details'!A229:J2573,7,0)</f>
        <v>tier - 2</v>
      </c>
      <c r="Q230" t="str">
        <f>VLOOKUP($B230,'Hospitalisation Details'!A229:J2573,9,0)</f>
        <v>R1013</v>
      </c>
      <c r="R230">
        <f>VLOOKUP($B230,'Hospitalisation Details'!A229:K2573,11,0)</f>
        <v>28</v>
      </c>
    </row>
    <row r="231" spans="1:18" x14ac:dyDescent="0.35">
      <c r="A231" t="s">
        <v>2143</v>
      </c>
      <c r="B231" t="s">
        <v>258</v>
      </c>
      <c r="C231" t="str">
        <f>VLOOKUP($A231,'Customer Names'!$A:$E,4,FALSE)</f>
        <v>Elizabeth</v>
      </c>
      <c r="D231" t="str">
        <f>VLOOKUP($A231,'Medical Examinations'!$A:$J,2,FALSE)</f>
        <v>Obesity</v>
      </c>
      <c r="E231">
        <f>VLOOKUP($A231,'Medical Examinations'!$A:$J,4,FALSE)</f>
        <v>4.5999999999999996</v>
      </c>
      <c r="F231" t="str">
        <f>VLOOKUP($A231,'Medical Examinations'!$A:$J,6,FALSE)</f>
        <v>yes</v>
      </c>
      <c r="G231" t="str">
        <f>VLOOKUP($A231,'Medical Examinations'!$A:$J,7,FALSE)</f>
        <v>No</v>
      </c>
      <c r="H231" t="str">
        <f>VLOOKUP($A231,'Medical Examinations'!$A:$J,8,FALSE)</f>
        <v>No</v>
      </c>
      <c r="I231">
        <f>VLOOKUP($A231,'Medical Examinations'!$A:$J,9,FALSE)</f>
        <v>1</v>
      </c>
      <c r="J231" t="str">
        <f>VLOOKUP($A231,'Medical Examinations'!$A:$J,10,FALSE)</f>
        <v>yes</v>
      </c>
      <c r="K231" t="str">
        <f>VLOOKUP($A231,'Medical Examinations'!$A:$J,5,FALSE)</f>
        <v>Normal</v>
      </c>
      <c r="L231">
        <f>VLOOKUP($A232,'Medical Examinations'!$A:$J,3,FALSE)</f>
        <v>34.9</v>
      </c>
      <c r="M231">
        <f>VLOOKUP($A231,'Hospitalisation Details'!$A:$K,6,FALSE)</f>
        <v>34838.870000000003</v>
      </c>
      <c r="N231" s="11">
        <f>VLOOKUP($B231,'Hospitalisation Details'!A230:J2574,10,0)</f>
        <v>38151</v>
      </c>
      <c r="O231" t="str">
        <f>VLOOKUP($B231,'Hospitalisation Details'!A230:J2574,8,0)</f>
        <v>tier - 1</v>
      </c>
      <c r="P231" t="str">
        <f>VLOOKUP($B231,'Hospitalisation Details'!A230:J2574,7,0)</f>
        <v>tier - 2</v>
      </c>
      <c r="Q231" t="str">
        <f>VLOOKUP($B231,'Hospitalisation Details'!A230:J2574,9,0)</f>
        <v>R1024</v>
      </c>
      <c r="R231">
        <f>VLOOKUP($B231,'Hospitalisation Details'!A230:K2574,11,0)</f>
        <v>18</v>
      </c>
    </row>
    <row r="232" spans="1:18" x14ac:dyDescent="0.35">
      <c r="A232" t="s">
        <v>2142</v>
      </c>
      <c r="B232" t="s">
        <v>259</v>
      </c>
      <c r="C232" t="str">
        <f>VLOOKUP($A232,'Customer Names'!$A:$E,4,FALSE)</f>
        <v>Andrew</v>
      </c>
      <c r="D232" t="str">
        <f>VLOOKUP($A232,'Medical Examinations'!$A:$J,2,FALSE)</f>
        <v>Obesity</v>
      </c>
      <c r="E232">
        <f>VLOOKUP($A232,'Medical Examinations'!$A:$J,4,FALSE)</f>
        <v>6.22</v>
      </c>
      <c r="F232" t="str">
        <f>VLOOKUP($A232,'Medical Examinations'!$A:$J,6,FALSE)</f>
        <v>No</v>
      </c>
      <c r="G232" t="str">
        <f>VLOOKUP($A232,'Medical Examinations'!$A:$J,7,FALSE)</f>
        <v>No</v>
      </c>
      <c r="H232" t="str">
        <f>VLOOKUP($A232,'Medical Examinations'!$A:$J,8,FALSE)</f>
        <v>Yes</v>
      </c>
      <c r="I232">
        <f>VLOOKUP($A232,'Medical Examinations'!$A:$J,9,FALSE)</f>
        <v>1</v>
      </c>
      <c r="J232" t="str">
        <f>VLOOKUP($A232,'Medical Examinations'!$A:$J,10,FALSE)</f>
        <v>yes</v>
      </c>
      <c r="K232" t="str">
        <f>VLOOKUP($A232,'Medical Examinations'!$A:$J,5,FALSE)</f>
        <v>Prediabetes</v>
      </c>
      <c r="L232">
        <f>VLOOKUP($A233,'Medical Examinations'!$A:$J,3,FALSE)</f>
        <v>31.13</v>
      </c>
      <c r="M232">
        <f>VLOOKUP($A232,'Hospitalisation Details'!$A:$K,6,FALSE)</f>
        <v>34828.65</v>
      </c>
      <c r="N232" s="11">
        <f>VLOOKUP($B232,'Hospitalisation Details'!A231:J2575,10,0)</f>
        <v>38255</v>
      </c>
      <c r="O232" t="str">
        <f>VLOOKUP($B232,'Hospitalisation Details'!A231:J2575,8,0)</f>
        <v>tier - 1</v>
      </c>
      <c r="P232" t="str">
        <f>VLOOKUP($B232,'Hospitalisation Details'!A231:J2575,7,0)</f>
        <v>tier - 2</v>
      </c>
      <c r="Q232" t="str">
        <f>VLOOKUP($B232,'Hospitalisation Details'!A231:J2575,9,0)</f>
        <v>R1024</v>
      </c>
      <c r="R232">
        <f>VLOOKUP($B232,'Hospitalisation Details'!A231:K2575,11,0)</f>
        <v>18</v>
      </c>
    </row>
    <row r="233" spans="1:18" x14ac:dyDescent="0.35">
      <c r="A233" t="s">
        <v>2141</v>
      </c>
      <c r="B233" t="s">
        <v>260</v>
      </c>
      <c r="C233" t="str">
        <f>VLOOKUP($A233,'Customer Names'!$A:$E,4,FALSE)</f>
        <v>Anders J</v>
      </c>
      <c r="D233" t="str">
        <f>VLOOKUP($A233,'Medical Examinations'!$A:$J,2,FALSE)</f>
        <v>Obesity</v>
      </c>
      <c r="E233">
        <f>VLOOKUP($A233,'Medical Examinations'!$A:$J,4,FALSE)</f>
        <v>4.5199999999999996</v>
      </c>
      <c r="F233" t="str">
        <f>VLOOKUP($A233,'Medical Examinations'!$A:$J,6,FALSE)</f>
        <v>yes</v>
      </c>
      <c r="G233" t="str">
        <f>VLOOKUP($A233,'Medical Examinations'!$A:$J,7,FALSE)</f>
        <v>No</v>
      </c>
      <c r="H233" t="str">
        <f>VLOOKUP($A233,'Medical Examinations'!$A:$J,8,FALSE)</f>
        <v>No</v>
      </c>
      <c r="I233">
        <f>VLOOKUP($A233,'Medical Examinations'!$A:$J,9,FALSE)</f>
        <v>1</v>
      </c>
      <c r="J233" t="str">
        <f>VLOOKUP($A233,'Medical Examinations'!$A:$J,10,FALSE)</f>
        <v>yes</v>
      </c>
      <c r="K233" t="str">
        <f>VLOOKUP($A233,'Medical Examinations'!$A:$J,5,FALSE)</f>
        <v>Normal</v>
      </c>
      <c r="L233">
        <f>VLOOKUP($A234,'Medical Examinations'!$A:$J,3,FALSE)</f>
        <v>34.799999999999997</v>
      </c>
      <c r="M233">
        <f>VLOOKUP($A233,'Hospitalisation Details'!$A:$K,6,FALSE)</f>
        <v>34806.47</v>
      </c>
      <c r="N233" s="11">
        <f>VLOOKUP($B233,'Hospitalisation Details'!A232:J2576,10,0)</f>
        <v>38333</v>
      </c>
      <c r="O233" t="str">
        <f>VLOOKUP($B233,'Hospitalisation Details'!A232:J2576,8,0)</f>
        <v>tier - 1</v>
      </c>
      <c r="P233" t="str">
        <f>VLOOKUP($B233,'Hospitalisation Details'!A232:J2576,7,0)</f>
        <v>tier - 2</v>
      </c>
      <c r="Q233" t="str">
        <f>VLOOKUP($B233,'Hospitalisation Details'!A232:J2576,9,0)</f>
        <v>R1013</v>
      </c>
      <c r="R233">
        <f>VLOOKUP($B233,'Hospitalisation Details'!A232:K2576,11,0)</f>
        <v>18</v>
      </c>
    </row>
    <row r="234" spans="1:18" x14ac:dyDescent="0.35">
      <c r="A234" t="s">
        <v>2140</v>
      </c>
      <c r="B234" t="s">
        <v>261</v>
      </c>
      <c r="C234" t="str">
        <f>VLOOKUP($A234,'Customer Names'!$A:$E,4,FALSE)</f>
        <v>Sean</v>
      </c>
      <c r="D234" t="str">
        <f>VLOOKUP($A234,'Medical Examinations'!$A:$J,2,FALSE)</f>
        <v>Obesity</v>
      </c>
      <c r="E234">
        <f>VLOOKUP($A234,'Medical Examinations'!$A:$J,4,FALSE)</f>
        <v>6.18</v>
      </c>
      <c r="F234" t="str">
        <f>VLOOKUP($A234,'Medical Examinations'!$A:$J,6,FALSE)</f>
        <v>No</v>
      </c>
      <c r="G234" t="str">
        <f>VLOOKUP($A234,'Medical Examinations'!$A:$J,7,FALSE)</f>
        <v>No</v>
      </c>
      <c r="H234" t="str">
        <f>VLOOKUP($A234,'Medical Examinations'!$A:$J,8,FALSE)</f>
        <v>Yes</v>
      </c>
      <c r="I234">
        <f>VLOOKUP($A234,'Medical Examinations'!$A:$J,9,FALSE)</f>
        <v>1</v>
      </c>
      <c r="J234" t="str">
        <f>VLOOKUP($A234,'Medical Examinations'!$A:$J,10,FALSE)</f>
        <v>yes</v>
      </c>
      <c r="K234" t="str">
        <f>VLOOKUP($A234,'Medical Examinations'!$A:$J,5,FALSE)</f>
        <v>Prediabetes</v>
      </c>
      <c r="L234">
        <f>VLOOKUP($A235,'Medical Examinations'!$A:$J,3,FALSE)</f>
        <v>31.68</v>
      </c>
      <c r="M234">
        <f>VLOOKUP($A234,'Hospitalisation Details'!$A:$K,6,FALSE)</f>
        <v>34779.620000000003</v>
      </c>
      <c r="N234" s="11">
        <f>VLOOKUP($B234,'Hospitalisation Details'!A233:J2577,10,0)</f>
        <v>37965</v>
      </c>
      <c r="O234" t="str">
        <f>VLOOKUP($B234,'Hospitalisation Details'!A233:J2577,8,0)</f>
        <v>tier - 3</v>
      </c>
      <c r="P234" t="str">
        <f>VLOOKUP($B234,'Hospitalisation Details'!A233:J2577,7,0)</f>
        <v>tier - 2</v>
      </c>
      <c r="Q234" t="str">
        <f>VLOOKUP($B234,'Hospitalisation Details'!A233:J2577,9,0)</f>
        <v>R1012</v>
      </c>
      <c r="R234">
        <f>VLOOKUP($B234,'Hospitalisation Details'!A233:K2577,11,0)</f>
        <v>19</v>
      </c>
    </row>
    <row r="235" spans="1:18" x14ac:dyDescent="0.35">
      <c r="A235" t="s">
        <v>2139</v>
      </c>
      <c r="B235" t="s">
        <v>262</v>
      </c>
      <c r="C235" t="str">
        <f>VLOOKUP($A235,'Customer Names'!$A:$E,4,FALSE)</f>
        <v>Brian M.</v>
      </c>
      <c r="D235" t="str">
        <f>VLOOKUP($A235,'Medical Examinations'!$A:$J,2,FALSE)</f>
        <v>Obesity</v>
      </c>
      <c r="E235">
        <f>VLOOKUP($A235,'Medical Examinations'!$A:$J,4,FALSE)</f>
        <v>4.4000000000000004</v>
      </c>
      <c r="F235" t="str">
        <f>VLOOKUP($A235,'Medical Examinations'!$A:$J,6,FALSE)</f>
        <v>No</v>
      </c>
      <c r="G235" t="str">
        <f>VLOOKUP($A235,'Medical Examinations'!$A:$J,7,FALSE)</f>
        <v>No</v>
      </c>
      <c r="H235" t="str">
        <f>VLOOKUP($A235,'Medical Examinations'!$A:$J,8,FALSE)</f>
        <v>No</v>
      </c>
      <c r="I235">
        <f>VLOOKUP($A235,'Medical Examinations'!$A:$J,9,FALSE)</f>
        <v>0</v>
      </c>
      <c r="J235" t="str">
        <f>VLOOKUP($A235,'Medical Examinations'!$A:$J,10,FALSE)</f>
        <v>yes</v>
      </c>
      <c r="K235" t="str">
        <f>VLOOKUP($A235,'Medical Examinations'!$A:$J,5,FALSE)</f>
        <v>Normal</v>
      </c>
      <c r="L235">
        <f>VLOOKUP($A236,'Medical Examinations'!$A:$J,3,FALSE)</f>
        <v>33.534999999999997</v>
      </c>
      <c r="M235">
        <f>VLOOKUP($A235,'Hospitalisation Details'!$A:$K,6,FALSE)</f>
        <v>34672.15</v>
      </c>
      <c r="N235" s="11">
        <f>VLOOKUP($B235,'Hospitalisation Details'!A234:J2578,10,0)</f>
        <v>36707</v>
      </c>
      <c r="O235" t="str">
        <f>VLOOKUP($B235,'Hospitalisation Details'!A234:J2578,8,0)</f>
        <v>tier - 2</v>
      </c>
      <c r="P235" t="str">
        <f>VLOOKUP($B235,'Hospitalisation Details'!A234:J2578,7,0)</f>
        <v>tier - 2</v>
      </c>
      <c r="Q235" t="str">
        <f>VLOOKUP($B235,'Hospitalisation Details'!A234:J2578,9,0)</f>
        <v>R1018</v>
      </c>
      <c r="R235">
        <f>VLOOKUP($B235,'Hospitalisation Details'!A234:K2578,11,0)</f>
        <v>22</v>
      </c>
    </row>
    <row r="236" spans="1:18" x14ac:dyDescent="0.35">
      <c r="A236" t="s">
        <v>2138</v>
      </c>
      <c r="B236" t="s">
        <v>263</v>
      </c>
      <c r="C236" t="str">
        <f>VLOOKUP($A236,'Customer Names'!$A:$E,4,FALSE)</f>
        <v>Jeremy</v>
      </c>
      <c r="D236" t="str">
        <f>VLOOKUP($A236,'Medical Examinations'!$A:$J,2,FALSE)</f>
        <v>Obesity</v>
      </c>
      <c r="E236">
        <f>VLOOKUP($A236,'Medical Examinations'!$A:$J,4,FALSE)</f>
        <v>6.23</v>
      </c>
      <c r="F236" t="str">
        <f>VLOOKUP($A236,'Medical Examinations'!$A:$J,6,FALSE)</f>
        <v>No</v>
      </c>
      <c r="G236" t="str">
        <f>VLOOKUP($A236,'Medical Examinations'!$A:$J,7,FALSE)</f>
        <v>yes</v>
      </c>
      <c r="H236" t="str">
        <f>VLOOKUP($A236,'Medical Examinations'!$A:$J,8,FALSE)</f>
        <v>No</v>
      </c>
      <c r="I236">
        <f>VLOOKUP($A236,'Medical Examinations'!$A:$J,9,FALSE)</f>
        <v>1</v>
      </c>
      <c r="J236" t="str">
        <f>VLOOKUP($A236,'Medical Examinations'!$A:$J,10,FALSE)</f>
        <v>yes</v>
      </c>
      <c r="K236" t="str">
        <f>VLOOKUP($A236,'Medical Examinations'!$A:$J,5,FALSE)</f>
        <v>Prediabetes</v>
      </c>
      <c r="L236">
        <f>VLOOKUP($A237,'Medical Examinations'!$A:$J,3,FALSE)</f>
        <v>31.92</v>
      </c>
      <c r="M236">
        <f>VLOOKUP($A236,'Hospitalisation Details'!$A:$K,6,FALSE)</f>
        <v>34617.839999999997</v>
      </c>
      <c r="N236" s="11">
        <f>VLOOKUP($B236,'Hospitalisation Details'!A235:J2579,10,0)</f>
        <v>36871</v>
      </c>
      <c r="O236" t="str">
        <f>VLOOKUP($B236,'Hospitalisation Details'!A235:J2579,8,0)</f>
        <v>tier - 3</v>
      </c>
      <c r="P236" t="str">
        <f>VLOOKUP($B236,'Hospitalisation Details'!A235:J2579,7,0)</f>
        <v>tier - 2</v>
      </c>
      <c r="Q236" t="str">
        <f>VLOOKUP($B236,'Hospitalisation Details'!A235:J2579,9,0)</f>
        <v>R1016</v>
      </c>
      <c r="R236">
        <f>VLOOKUP($B236,'Hospitalisation Details'!A235:K2579,11,0)</f>
        <v>22</v>
      </c>
    </row>
    <row r="237" spans="1:18" x14ac:dyDescent="0.35">
      <c r="A237" t="s">
        <v>2137</v>
      </c>
      <c r="B237" t="s">
        <v>264</v>
      </c>
      <c r="C237" t="str">
        <f>VLOOKUP($A237,'Customer Names'!$A:$E,4,FALSE)</f>
        <v>Susannah</v>
      </c>
      <c r="D237" t="str">
        <f>VLOOKUP($A237,'Medical Examinations'!$A:$J,2,FALSE)</f>
        <v>Obesity</v>
      </c>
      <c r="E237">
        <f>VLOOKUP($A237,'Medical Examinations'!$A:$J,4,FALSE)</f>
        <v>5.33</v>
      </c>
      <c r="F237" t="str">
        <f>VLOOKUP($A237,'Medical Examinations'!$A:$J,6,FALSE)</f>
        <v>yes</v>
      </c>
      <c r="G237" t="str">
        <f>VLOOKUP($A237,'Medical Examinations'!$A:$J,7,FALSE)</f>
        <v>No</v>
      </c>
      <c r="H237" t="str">
        <f>VLOOKUP($A237,'Medical Examinations'!$A:$J,8,FALSE)</f>
        <v>No</v>
      </c>
      <c r="I237">
        <f>VLOOKUP($A237,'Medical Examinations'!$A:$J,9,FALSE)</f>
        <v>0</v>
      </c>
      <c r="J237" t="str">
        <f>VLOOKUP($A237,'Medical Examinations'!$A:$J,10,FALSE)</f>
        <v>yes</v>
      </c>
      <c r="K237" t="str">
        <f>VLOOKUP($A237,'Medical Examinations'!$A:$J,5,FALSE)</f>
        <v>Normal</v>
      </c>
      <c r="L237">
        <f>VLOOKUP($A238,'Medical Examinations'!$A:$J,3,FALSE)</f>
        <v>32.700000000000003</v>
      </c>
      <c r="M237">
        <f>VLOOKUP($A237,'Hospitalisation Details'!$A:$K,6,FALSE)</f>
        <v>34543.39</v>
      </c>
      <c r="N237" s="11">
        <f>VLOOKUP($B237,'Hospitalisation Details'!A236:J2580,10,0)</f>
        <v>37452</v>
      </c>
      <c r="O237" t="str">
        <f>VLOOKUP($B237,'Hospitalisation Details'!A236:J2580,8,0)</f>
        <v>tier - 1</v>
      </c>
      <c r="P237" t="str">
        <f>VLOOKUP($B237,'Hospitalisation Details'!A236:J2580,7,0)</f>
        <v>tier - 2</v>
      </c>
      <c r="Q237" t="str">
        <f>VLOOKUP($B237,'Hospitalisation Details'!A236:J2580,9,0)</f>
        <v>R1012</v>
      </c>
      <c r="R237">
        <f>VLOOKUP($B237,'Hospitalisation Details'!A236:K2580,11,0)</f>
        <v>20</v>
      </c>
    </row>
    <row r="238" spans="1:18" x14ac:dyDescent="0.35">
      <c r="A238" t="s">
        <v>2136</v>
      </c>
      <c r="B238" t="s">
        <v>265</v>
      </c>
      <c r="C238" t="str">
        <f>VLOOKUP($A238,'Customer Names'!$A:$E,4,FALSE)</f>
        <v>Randy</v>
      </c>
      <c r="D238" t="str">
        <f>VLOOKUP($A238,'Medical Examinations'!$A:$J,2,FALSE)</f>
        <v>Obesity</v>
      </c>
      <c r="E238">
        <f>VLOOKUP($A238,'Medical Examinations'!$A:$J,4,FALSE)</f>
        <v>4.09</v>
      </c>
      <c r="F238" t="str">
        <f>VLOOKUP($A238,'Medical Examinations'!$A:$J,6,FALSE)</f>
        <v>No</v>
      </c>
      <c r="G238" t="str">
        <f>VLOOKUP($A238,'Medical Examinations'!$A:$J,7,FALSE)</f>
        <v>No</v>
      </c>
      <c r="H238" t="str">
        <f>VLOOKUP($A238,'Medical Examinations'!$A:$J,8,FALSE)</f>
        <v>No</v>
      </c>
      <c r="I238">
        <f>VLOOKUP($A238,'Medical Examinations'!$A:$J,9,FALSE)</f>
        <v>1</v>
      </c>
      <c r="J238" t="str">
        <f>VLOOKUP($A238,'Medical Examinations'!$A:$J,10,FALSE)</f>
        <v>yes</v>
      </c>
      <c r="K238" t="str">
        <f>VLOOKUP($A238,'Medical Examinations'!$A:$J,5,FALSE)</f>
        <v>Normal</v>
      </c>
      <c r="L238">
        <f>VLOOKUP($A239,'Medical Examinations'!$A:$J,3,FALSE)</f>
        <v>41.25</v>
      </c>
      <c r="M238">
        <f>VLOOKUP($A238,'Hospitalisation Details'!$A:$K,6,FALSE)</f>
        <v>34472.839999999997</v>
      </c>
      <c r="N238" s="11">
        <f>VLOOKUP($B238,'Hospitalisation Details'!A237:J2581,10,0)</f>
        <v>37572</v>
      </c>
      <c r="O238" t="str">
        <f>VLOOKUP($B238,'Hospitalisation Details'!A237:J2581,8,0)</f>
        <v>tier - 1</v>
      </c>
      <c r="P238" t="str">
        <f>VLOOKUP($B238,'Hospitalisation Details'!A237:J2581,7,0)</f>
        <v>tier - 2</v>
      </c>
      <c r="Q238" t="str">
        <f>VLOOKUP($B238,'Hospitalisation Details'!A237:J2581,9,0)</f>
        <v>R1012</v>
      </c>
      <c r="R238">
        <f>VLOOKUP($B238,'Hospitalisation Details'!A237:K2581,11,0)</f>
        <v>20</v>
      </c>
    </row>
    <row r="239" spans="1:18" x14ac:dyDescent="0.35">
      <c r="A239" t="s">
        <v>2135</v>
      </c>
      <c r="B239" t="s">
        <v>266</v>
      </c>
      <c r="C239" t="str">
        <f>VLOOKUP($A239,'Customer Names'!$A:$E,4,FALSE)</f>
        <v>Leslie</v>
      </c>
      <c r="D239" t="str">
        <f>VLOOKUP($A239,'Medical Examinations'!$A:$J,2,FALSE)</f>
        <v>Obesity</v>
      </c>
      <c r="E239">
        <f>VLOOKUP($A239,'Medical Examinations'!$A:$J,4,FALSE)</f>
        <v>5.19</v>
      </c>
      <c r="F239" t="str">
        <f>VLOOKUP($A239,'Medical Examinations'!$A:$J,6,FALSE)</f>
        <v>No</v>
      </c>
      <c r="G239" t="str">
        <f>VLOOKUP($A239,'Medical Examinations'!$A:$J,7,FALSE)</f>
        <v>No</v>
      </c>
      <c r="H239" t="str">
        <f>VLOOKUP($A239,'Medical Examinations'!$A:$J,8,FALSE)</f>
        <v>No</v>
      </c>
      <c r="I239">
        <f>VLOOKUP($A239,'Medical Examinations'!$A:$J,9,FALSE)</f>
        <v>0</v>
      </c>
      <c r="J239" t="str">
        <f>VLOOKUP($A239,'Medical Examinations'!$A:$J,10,FALSE)</f>
        <v>yes</v>
      </c>
      <c r="K239" t="str">
        <f>VLOOKUP($A239,'Medical Examinations'!$A:$J,5,FALSE)</f>
        <v>Normal</v>
      </c>
      <c r="L239">
        <f>VLOOKUP($A240,'Medical Examinations'!$A:$J,3,FALSE)</f>
        <v>33.11</v>
      </c>
      <c r="M239">
        <f>VLOOKUP($A239,'Hospitalisation Details'!$A:$K,6,FALSE)</f>
        <v>34456.269999999997</v>
      </c>
      <c r="N239" s="11">
        <f>VLOOKUP($B239,'Hospitalisation Details'!A238:J2582,10,0)</f>
        <v>33405</v>
      </c>
      <c r="O239" t="str">
        <f>VLOOKUP($B239,'Hospitalisation Details'!A238:J2582,8,0)</f>
        <v>tier - 1</v>
      </c>
      <c r="P239" t="str">
        <f>VLOOKUP($B239,'Hospitalisation Details'!A238:J2582,7,0)</f>
        <v>tier - 2</v>
      </c>
      <c r="Q239" t="str">
        <f>VLOOKUP($B239,'Hospitalisation Details'!A238:J2582,9,0)</f>
        <v>R1013</v>
      </c>
      <c r="R239">
        <f>VLOOKUP($B239,'Hospitalisation Details'!A238:K2582,11,0)</f>
        <v>31</v>
      </c>
    </row>
    <row r="240" spans="1:18" x14ac:dyDescent="0.35">
      <c r="A240" t="s">
        <v>2134</v>
      </c>
      <c r="B240" t="s">
        <v>267</v>
      </c>
      <c r="C240" t="str">
        <f>VLOOKUP($A240,'Customer Names'!$A:$E,4,FALSE)</f>
        <v>Brittany L.</v>
      </c>
      <c r="D240" t="str">
        <f>VLOOKUP($A240,'Medical Examinations'!$A:$J,2,FALSE)</f>
        <v>Obesity</v>
      </c>
      <c r="E240">
        <f>VLOOKUP($A240,'Medical Examinations'!$A:$J,4,FALSE)</f>
        <v>4.12</v>
      </c>
      <c r="F240" t="str">
        <f>VLOOKUP($A240,'Medical Examinations'!$A:$J,6,FALSE)</f>
        <v>No</v>
      </c>
      <c r="G240" t="str">
        <f>VLOOKUP($A240,'Medical Examinations'!$A:$J,7,FALSE)</f>
        <v>No</v>
      </c>
      <c r="H240" t="str">
        <f>VLOOKUP($A240,'Medical Examinations'!$A:$J,8,FALSE)</f>
        <v>Yes</v>
      </c>
      <c r="I240">
        <f>VLOOKUP($A240,'Medical Examinations'!$A:$J,9,FALSE)</f>
        <v>1</v>
      </c>
      <c r="J240" t="str">
        <f>VLOOKUP($A240,'Medical Examinations'!$A:$J,10,FALSE)</f>
        <v>yes</v>
      </c>
      <c r="K240" t="str">
        <f>VLOOKUP($A240,'Medical Examinations'!$A:$J,5,FALSE)</f>
        <v>Normal</v>
      </c>
      <c r="L240">
        <f>VLOOKUP($A241,'Medical Examinations'!$A:$J,3,FALSE)</f>
        <v>36.159999999999997</v>
      </c>
      <c r="M240">
        <f>VLOOKUP($A240,'Hospitalisation Details'!$A:$K,6,FALSE)</f>
        <v>34439.86</v>
      </c>
      <c r="N240" s="11">
        <f>VLOOKUP($B240,'Hospitalisation Details'!A239:J2583,10,0)</f>
        <v>32786</v>
      </c>
      <c r="O240" t="str">
        <f>VLOOKUP($B240,'Hospitalisation Details'!A239:J2583,8,0)</f>
        <v>tier - 1</v>
      </c>
      <c r="P240" t="str">
        <f>VLOOKUP($B240,'Hospitalisation Details'!A239:J2583,7,0)</f>
        <v>tier - 2</v>
      </c>
      <c r="Q240" t="str">
        <f>VLOOKUP($B240,'Hospitalisation Details'!A239:J2583,9,0)</f>
        <v>R1013</v>
      </c>
      <c r="R240">
        <f>VLOOKUP($B240,'Hospitalisation Details'!A239:K2583,11,0)</f>
        <v>33</v>
      </c>
    </row>
    <row r="241" spans="1:18" x14ac:dyDescent="0.35">
      <c r="A241" t="s">
        <v>2133</v>
      </c>
      <c r="B241" t="s">
        <v>268</v>
      </c>
      <c r="C241" t="str">
        <f>VLOOKUP($A241,'Customer Names'!$A:$E,4,FALSE)</f>
        <v>Cassie J.</v>
      </c>
      <c r="D241" t="str">
        <f>VLOOKUP($A241,'Medical Examinations'!$A:$J,2,FALSE)</f>
        <v>Obesity</v>
      </c>
      <c r="E241">
        <f>VLOOKUP($A241,'Medical Examinations'!$A:$J,4,FALSE)</f>
        <v>5.0999999999999996</v>
      </c>
      <c r="F241" t="str">
        <f>VLOOKUP($A241,'Medical Examinations'!$A:$J,6,FALSE)</f>
        <v>No</v>
      </c>
      <c r="G241" t="str">
        <f>VLOOKUP($A241,'Medical Examinations'!$A:$J,7,FALSE)</f>
        <v>No</v>
      </c>
      <c r="H241" t="str">
        <f>VLOOKUP($A241,'Medical Examinations'!$A:$J,8,FALSE)</f>
        <v>No</v>
      </c>
      <c r="I241">
        <f>VLOOKUP($A241,'Medical Examinations'!$A:$J,9,FALSE)</f>
        <v>1</v>
      </c>
      <c r="J241" t="str">
        <f>VLOOKUP($A241,'Medical Examinations'!$A:$J,10,FALSE)</f>
        <v>yes</v>
      </c>
      <c r="K241" t="str">
        <f>VLOOKUP($A241,'Medical Examinations'!$A:$J,5,FALSE)</f>
        <v>Normal</v>
      </c>
      <c r="L241">
        <f>VLOOKUP($A242,'Medical Examinations'!$A:$J,3,FALSE)</f>
        <v>33.72</v>
      </c>
      <c r="M241">
        <f>VLOOKUP($A241,'Hospitalisation Details'!$A:$K,6,FALSE)</f>
        <v>34402.22</v>
      </c>
      <c r="N241" s="11">
        <f>VLOOKUP($B241,'Hospitalisation Details'!A240:J2584,10,0)</f>
        <v>35397</v>
      </c>
      <c r="O241" t="str">
        <f>VLOOKUP($B241,'Hospitalisation Details'!A240:J2584,8,0)</f>
        <v>tier - 2</v>
      </c>
      <c r="P241" t="str">
        <f>VLOOKUP($B241,'Hospitalisation Details'!A240:J2584,7,0)</f>
        <v>tier - 1</v>
      </c>
      <c r="Q241" t="str">
        <f>VLOOKUP($B241,'Hospitalisation Details'!A240:J2584,9,0)</f>
        <v>R1011</v>
      </c>
      <c r="R241">
        <f>VLOOKUP($B241,'Hospitalisation Details'!A240:K2584,11,0)</f>
        <v>26</v>
      </c>
    </row>
    <row r="242" spans="1:18" x14ac:dyDescent="0.35">
      <c r="A242" t="s">
        <v>2132</v>
      </c>
      <c r="B242" t="s">
        <v>269</v>
      </c>
      <c r="C242" t="str">
        <f>VLOOKUP($A242,'Customer Names'!$A:$E,4,FALSE)</f>
        <v>Peter W</v>
      </c>
      <c r="D242" t="str">
        <f>VLOOKUP($A242,'Medical Examinations'!$A:$J,2,FALSE)</f>
        <v>Obesity</v>
      </c>
      <c r="E242">
        <f>VLOOKUP($A242,'Medical Examinations'!$A:$J,4,FALSE)</f>
        <v>6.21</v>
      </c>
      <c r="F242" t="str">
        <f>VLOOKUP($A242,'Medical Examinations'!$A:$J,6,FALSE)</f>
        <v>yes</v>
      </c>
      <c r="G242" t="str">
        <f>VLOOKUP($A242,'Medical Examinations'!$A:$J,7,FALSE)</f>
        <v>No</v>
      </c>
      <c r="H242" t="str">
        <f>VLOOKUP($A242,'Medical Examinations'!$A:$J,8,FALSE)</f>
        <v>Yes</v>
      </c>
      <c r="I242">
        <f>VLOOKUP($A242,'Medical Examinations'!$A:$J,9,FALSE)</f>
        <v>1</v>
      </c>
      <c r="J242" t="str">
        <f>VLOOKUP($A242,'Medical Examinations'!$A:$J,10,FALSE)</f>
        <v>yes</v>
      </c>
      <c r="K242" t="str">
        <f>VLOOKUP($A242,'Medical Examinations'!$A:$J,5,FALSE)</f>
        <v>Prediabetes</v>
      </c>
      <c r="L242">
        <f>VLOOKUP($A243,'Medical Examinations'!$A:$J,3,FALSE)</f>
        <v>37.74</v>
      </c>
      <c r="M242">
        <f>VLOOKUP($A242,'Hospitalisation Details'!$A:$K,6,FALSE)</f>
        <v>34307.22</v>
      </c>
      <c r="N242" s="11">
        <f>VLOOKUP($B242,'Hospitalisation Details'!A241:J2585,10,0)</f>
        <v>38236</v>
      </c>
      <c r="O242" t="str">
        <f>VLOOKUP($B242,'Hospitalisation Details'!A241:J2585,8,0)</f>
        <v>tier - 3</v>
      </c>
      <c r="P242" t="str">
        <f>VLOOKUP($B242,'Hospitalisation Details'!A241:J2585,7,0)</f>
        <v>tier - 2</v>
      </c>
      <c r="Q242" t="str">
        <f>VLOOKUP($B242,'Hospitalisation Details'!A241:J2585,9,0)</f>
        <v>R1013</v>
      </c>
      <c r="R242">
        <f>VLOOKUP($B242,'Hospitalisation Details'!A241:K2585,11,0)</f>
        <v>18</v>
      </c>
    </row>
    <row r="243" spans="1:18" x14ac:dyDescent="0.35">
      <c r="A243" t="s">
        <v>2130</v>
      </c>
      <c r="B243" t="s">
        <v>270</v>
      </c>
      <c r="C243" t="str">
        <f>VLOOKUP($A243,'Customer Names'!$A:$E,4,FALSE)</f>
        <v>Douglas</v>
      </c>
      <c r="D243" t="str">
        <f>VLOOKUP($A243,'Medical Examinations'!$A:$J,2,FALSE)</f>
        <v>Obesity</v>
      </c>
      <c r="E243">
        <f>VLOOKUP($A243,'Medical Examinations'!$A:$J,4,FALSE)</f>
        <v>9.5299999999999994</v>
      </c>
      <c r="F243" t="str">
        <f>VLOOKUP($A243,'Medical Examinations'!$A:$J,6,FALSE)</f>
        <v>yes</v>
      </c>
      <c r="G243" t="str">
        <f>VLOOKUP($A243,'Medical Examinations'!$A:$J,7,FALSE)</f>
        <v>No</v>
      </c>
      <c r="H243" t="str">
        <f>VLOOKUP($A243,'Medical Examinations'!$A:$J,8,FALSE)</f>
        <v>No</v>
      </c>
      <c r="I243">
        <f>VLOOKUP($A243,'Medical Examinations'!$A:$J,9,FALSE)</f>
        <v>1</v>
      </c>
      <c r="J243" t="str">
        <f>VLOOKUP($A243,'Medical Examinations'!$A:$J,10,FALSE)</f>
        <v>yes</v>
      </c>
      <c r="K243" t="str">
        <f>VLOOKUP($A243,'Medical Examinations'!$A:$J,5,FALSE)</f>
        <v>Diabetes</v>
      </c>
      <c r="L243">
        <f>VLOOKUP($A244,'Medical Examinations'!$A:$J,3,FALSE)</f>
        <v>48.75</v>
      </c>
      <c r="M243">
        <f>VLOOKUP($A243,'Hospitalisation Details'!$A:$K,6,FALSE)</f>
        <v>34293.120000000003</v>
      </c>
      <c r="N243" s="11">
        <f>VLOOKUP($B243,'Hospitalisation Details'!A242:J2586,10,0)</f>
        <v>35416</v>
      </c>
      <c r="O243" t="str">
        <f>VLOOKUP($B243,'Hospitalisation Details'!A242:J2586,8,0)</f>
        <v>tier - 1</v>
      </c>
      <c r="P243" t="str">
        <f>VLOOKUP($B243,'Hospitalisation Details'!A242:J2586,7,0)</f>
        <v>tier - 2</v>
      </c>
      <c r="Q243" t="str">
        <f>VLOOKUP($B243,'Hospitalisation Details'!A242:J2586,9,0)</f>
        <v>R1013</v>
      </c>
      <c r="R243">
        <f>VLOOKUP($B243,'Hospitalisation Details'!A242:K2586,11,0)</f>
        <v>26</v>
      </c>
    </row>
    <row r="244" spans="1:18" x14ac:dyDescent="0.35">
      <c r="A244" t="s">
        <v>2129</v>
      </c>
      <c r="B244" t="s">
        <v>271</v>
      </c>
      <c r="C244" t="str">
        <f>VLOOKUP($A244,'Customer Names'!$A:$E,4,FALSE)</f>
        <v>Dan</v>
      </c>
      <c r="D244" t="str">
        <f>VLOOKUP($A244,'Medical Examinations'!$A:$J,2,FALSE)</f>
        <v>Obesity</v>
      </c>
      <c r="E244">
        <f>VLOOKUP($A244,'Medical Examinations'!$A:$J,4,FALSE)</f>
        <v>4.6399999999999997</v>
      </c>
      <c r="F244" t="str">
        <f>VLOOKUP($A244,'Medical Examinations'!$A:$J,6,FALSE)</f>
        <v>yes</v>
      </c>
      <c r="G244" t="str">
        <f>VLOOKUP($A244,'Medical Examinations'!$A:$J,7,FALSE)</f>
        <v>No</v>
      </c>
      <c r="H244" t="str">
        <f>VLOOKUP($A244,'Medical Examinations'!$A:$J,8,FALSE)</f>
        <v>No</v>
      </c>
      <c r="I244">
        <f>VLOOKUP($A244,'Medical Examinations'!$A:$J,9,FALSE)</f>
        <v>1</v>
      </c>
      <c r="J244" t="str">
        <f>VLOOKUP($A244,'Medical Examinations'!$A:$J,10,FALSE)</f>
        <v>yes</v>
      </c>
      <c r="K244" t="str">
        <f>VLOOKUP($A244,'Medical Examinations'!$A:$J,5,FALSE)</f>
        <v>Normal</v>
      </c>
      <c r="L244">
        <f>VLOOKUP($A245,'Medical Examinations'!$A:$J,3,FALSE)</f>
        <v>31.065000000000001</v>
      </c>
      <c r="M244">
        <f>VLOOKUP($A244,'Hospitalisation Details'!$A:$K,6,FALSE)</f>
        <v>34289.43</v>
      </c>
      <c r="N244" s="11">
        <f>VLOOKUP($B244,'Hospitalisation Details'!A243:J2587,10,0)</f>
        <v>37943</v>
      </c>
      <c r="O244" t="str">
        <f>VLOOKUP($B244,'Hospitalisation Details'!A243:J2587,8,0)</f>
        <v>tier - 3</v>
      </c>
      <c r="P244" t="str">
        <f>VLOOKUP($B244,'Hospitalisation Details'!A243:J2587,7,0)</f>
        <v>tier - 2</v>
      </c>
      <c r="Q244" t="str">
        <f>VLOOKUP($B244,'Hospitalisation Details'!A243:J2587,9,0)</f>
        <v>R1011</v>
      </c>
      <c r="R244">
        <f>VLOOKUP($B244,'Hospitalisation Details'!A243:K2587,11,0)</f>
        <v>19</v>
      </c>
    </row>
    <row r="245" spans="1:18" x14ac:dyDescent="0.35">
      <c r="A245" t="s">
        <v>2128</v>
      </c>
      <c r="B245" t="s">
        <v>272</v>
      </c>
      <c r="C245" t="str">
        <f>VLOOKUP($A245,'Customer Names'!$A:$E,4,FALSE)</f>
        <v>Dan M.</v>
      </c>
      <c r="D245" t="str">
        <f>VLOOKUP($A245,'Medical Examinations'!$A:$J,2,FALSE)</f>
        <v>Obesity</v>
      </c>
      <c r="E245">
        <f>VLOOKUP($A245,'Medical Examinations'!$A:$J,4,FALSE)</f>
        <v>5.05</v>
      </c>
      <c r="F245" t="str">
        <f>VLOOKUP($A245,'Medical Examinations'!$A:$J,6,FALSE)</f>
        <v>No</v>
      </c>
      <c r="G245" t="str">
        <f>VLOOKUP($A245,'Medical Examinations'!$A:$J,7,FALSE)</f>
        <v>No</v>
      </c>
      <c r="H245" t="str">
        <f>VLOOKUP($A245,'Medical Examinations'!$A:$J,8,FALSE)</f>
        <v>No</v>
      </c>
      <c r="I245">
        <f>VLOOKUP($A245,'Medical Examinations'!$A:$J,9,FALSE)</f>
        <v>1</v>
      </c>
      <c r="J245" t="str">
        <f>VLOOKUP($A245,'Medical Examinations'!$A:$J,10,FALSE)</f>
        <v>yes</v>
      </c>
      <c r="K245" t="str">
        <f>VLOOKUP($A245,'Medical Examinations'!$A:$J,5,FALSE)</f>
        <v>Normal</v>
      </c>
      <c r="L245">
        <f>VLOOKUP($A246,'Medical Examinations'!$A:$J,3,FALSE)</f>
        <v>23.55</v>
      </c>
      <c r="M245">
        <f>VLOOKUP($A245,'Hospitalisation Details'!$A:$K,6,FALSE)</f>
        <v>34254.050000000003</v>
      </c>
      <c r="N245" s="11">
        <f>VLOOKUP($B245,'Hospitalisation Details'!A244:J2588,10,0)</f>
        <v>36089</v>
      </c>
      <c r="O245" t="str">
        <f>VLOOKUP($B245,'Hospitalisation Details'!A244:J2588,8,0)</f>
        <v>tier - 3</v>
      </c>
      <c r="P245" t="str">
        <f>VLOOKUP($B245,'Hospitalisation Details'!A244:J2588,7,0)</f>
        <v>tier - 3</v>
      </c>
      <c r="Q245" t="str">
        <f>VLOOKUP($B245,'Hospitalisation Details'!A244:J2588,9,0)</f>
        <v>R1012</v>
      </c>
      <c r="R245">
        <f>VLOOKUP($B245,'Hospitalisation Details'!A244:K2588,11,0)</f>
        <v>24</v>
      </c>
    </row>
    <row r="246" spans="1:18" x14ac:dyDescent="0.35">
      <c r="A246" t="s">
        <v>2127</v>
      </c>
      <c r="B246" t="s">
        <v>273</v>
      </c>
      <c r="C246" t="str">
        <f>VLOOKUP($A246,'Customer Names'!$A:$E,4,FALSE)</f>
        <v>Eric L.</v>
      </c>
      <c r="D246" t="str">
        <f>VLOOKUP($A246,'Medical Examinations'!$A:$J,2,FALSE)</f>
        <v>Normal Weight</v>
      </c>
      <c r="E246">
        <f>VLOOKUP($A246,'Medical Examinations'!$A:$J,4,FALSE)</f>
        <v>10.38</v>
      </c>
      <c r="F246" t="str">
        <f>VLOOKUP($A246,'Medical Examinations'!$A:$J,6,FALSE)</f>
        <v>No</v>
      </c>
      <c r="G246" t="str">
        <f>VLOOKUP($A246,'Medical Examinations'!$A:$J,7,FALSE)</f>
        <v>No</v>
      </c>
      <c r="H246" t="str">
        <f>VLOOKUP($A246,'Medical Examinations'!$A:$J,8,FALSE)</f>
        <v>No</v>
      </c>
      <c r="I246">
        <f>VLOOKUP($A246,'Medical Examinations'!$A:$J,9,FALSE)</f>
        <v>0</v>
      </c>
      <c r="J246" t="str">
        <f>VLOOKUP($A246,'Medical Examinations'!$A:$J,10,FALSE)</f>
        <v>yes</v>
      </c>
      <c r="K246" t="str">
        <f>VLOOKUP($A246,'Medical Examinations'!$A:$J,5,FALSE)</f>
        <v>Diabetes</v>
      </c>
      <c r="L246">
        <f>VLOOKUP($A247,'Medical Examinations'!$A:$J,3,FALSE)</f>
        <v>30.18</v>
      </c>
      <c r="M246">
        <f>VLOOKUP($A246,'Hospitalisation Details'!$A:$K,6,FALSE)</f>
        <v>34218.019999999997</v>
      </c>
      <c r="N246" s="11">
        <f>VLOOKUP($B246,'Hospitalisation Details'!A245:J2589,10,0)</f>
        <v>37565</v>
      </c>
      <c r="O246" t="str">
        <f>VLOOKUP($B246,'Hospitalisation Details'!A245:J2589,8,0)</f>
        <v>tier - 1</v>
      </c>
      <c r="P246" t="str">
        <f>VLOOKUP($B246,'Hospitalisation Details'!A245:J2589,7,0)</f>
        <v>tier - 2</v>
      </c>
      <c r="Q246" t="str">
        <f>VLOOKUP($B246,'Hospitalisation Details'!A245:J2589,9,0)</f>
        <v>R1012</v>
      </c>
      <c r="R246">
        <f>VLOOKUP($B246,'Hospitalisation Details'!A245:K2589,11,0)</f>
        <v>20</v>
      </c>
    </row>
    <row r="247" spans="1:18" x14ac:dyDescent="0.35">
      <c r="A247" t="s">
        <v>2126</v>
      </c>
      <c r="B247" t="s">
        <v>274</v>
      </c>
      <c r="C247" t="str">
        <f>VLOOKUP($A247,'Customer Names'!$A:$E,4,FALSE)</f>
        <v>Les J</v>
      </c>
      <c r="D247" t="str">
        <f>VLOOKUP($A247,'Medical Examinations'!$A:$J,2,FALSE)</f>
        <v>Obesity</v>
      </c>
      <c r="E247">
        <f>VLOOKUP($A247,'Medical Examinations'!$A:$J,4,FALSE)</f>
        <v>8.31</v>
      </c>
      <c r="F247" t="str">
        <f>VLOOKUP($A247,'Medical Examinations'!$A:$J,6,FALSE)</f>
        <v>yes</v>
      </c>
      <c r="G247" t="str">
        <f>VLOOKUP($A247,'Medical Examinations'!$A:$J,7,FALSE)</f>
        <v>No</v>
      </c>
      <c r="H247" t="str">
        <f>VLOOKUP($A247,'Medical Examinations'!$A:$J,8,FALSE)</f>
        <v>No</v>
      </c>
      <c r="I247">
        <f>VLOOKUP($A247,'Medical Examinations'!$A:$J,9,FALSE)</f>
        <v>1</v>
      </c>
      <c r="J247" t="str">
        <f>VLOOKUP($A247,'Medical Examinations'!$A:$J,10,FALSE)</f>
        <v>yes</v>
      </c>
      <c r="K247" t="str">
        <f>VLOOKUP($A247,'Medical Examinations'!$A:$J,5,FALSE)</f>
        <v>Diabetes</v>
      </c>
      <c r="L247">
        <f>VLOOKUP($A248,'Medical Examinations'!$A:$J,3,FALSE)</f>
        <v>29.94</v>
      </c>
      <c r="M247">
        <f>VLOOKUP($A247,'Hospitalisation Details'!$A:$K,6,FALSE)</f>
        <v>34210.33</v>
      </c>
      <c r="N247" s="11">
        <f>VLOOKUP($B247,'Hospitalisation Details'!A246:J2590,10,0)</f>
        <v>32489</v>
      </c>
      <c r="O247" t="str">
        <f>VLOOKUP($B247,'Hospitalisation Details'!A246:J2590,8,0)</f>
        <v>tier - 2</v>
      </c>
      <c r="P247" t="str">
        <f>VLOOKUP($B247,'Hospitalisation Details'!A246:J2590,7,0)</f>
        <v>tier - 2</v>
      </c>
      <c r="Q247" t="str">
        <f>VLOOKUP($B247,'Hospitalisation Details'!A246:J2590,9,0)</f>
        <v>R1013</v>
      </c>
      <c r="R247">
        <f>VLOOKUP($B247,'Hospitalisation Details'!A246:K2590,11,0)</f>
        <v>34</v>
      </c>
    </row>
    <row r="248" spans="1:18" x14ac:dyDescent="0.35">
      <c r="A248" t="s">
        <v>2125</v>
      </c>
      <c r="B248" t="s">
        <v>275</v>
      </c>
      <c r="C248" t="str">
        <f>VLOOKUP($A248,'Customer Names'!$A:$E,4,FALSE)</f>
        <v>Stephanie</v>
      </c>
      <c r="D248" t="str">
        <f>VLOOKUP($A248,'Medical Examinations'!$A:$J,2,FALSE)</f>
        <v>Overweight</v>
      </c>
      <c r="E248">
        <f>VLOOKUP($A248,'Medical Examinations'!$A:$J,4,FALSE)</f>
        <v>7.59</v>
      </c>
      <c r="F248" t="str">
        <f>VLOOKUP($A248,'Medical Examinations'!$A:$J,6,FALSE)</f>
        <v>No</v>
      </c>
      <c r="G248" t="str">
        <f>VLOOKUP($A248,'Medical Examinations'!$A:$J,7,FALSE)</f>
        <v>No</v>
      </c>
      <c r="H248" t="str">
        <f>VLOOKUP($A248,'Medical Examinations'!$A:$J,8,FALSE)</f>
        <v>No</v>
      </c>
      <c r="I248">
        <f>VLOOKUP($A248,'Medical Examinations'!$A:$J,9,FALSE)</f>
        <v>0</v>
      </c>
      <c r="J248" t="str">
        <f>VLOOKUP($A248,'Medical Examinations'!$A:$J,10,FALSE)</f>
        <v>yes</v>
      </c>
      <c r="K248" t="str">
        <f>VLOOKUP($A248,'Medical Examinations'!$A:$J,5,FALSE)</f>
        <v>Diabetes</v>
      </c>
      <c r="L248">
        <f>VLOOKUP($A249,'Medical Examinations'!$A:$J,3,FALSE)</f>
        <v>31.4</v>
      </c>
      <c r="M248">
        <f>VLOOKUP($A248,'Hospitalisation Details'!$A:$K,6,FALSE)</f>
        <v>34205.07</v>
      </c>
      <c r="N248" s="11">
        <f>VLOOKUP($B248,'Hospitalisation Details'!A247:J2591,10,0)</f>
        <v>36511</v>
      </c>
      <c r="O248" t="str">
        <f>VLOOKUP($B248,'Hospitalisation Details'!A247:J2591,8,0)</f>
        <v>tier - 1</v>
      </c>
      <c r="P248" t="str">
        <f>VLOOKUP($B248,'Hospitalisation Details'!A247:J2591,7,0)</f>
        <v>tier - 2</v>
      </c>
      <c r="Q248" t="str">
        <f>VLOOKUP($B248,'Hospitalisation Details'!A247:J2591,9,0)</f>
        <v>R1014</v>
      </c>
      <c r="R248">
        <f>VLOOKUP($B248,'Hospitalisation Details'!A247:K2591,11,0)</f>
        <v>23</v>
      </c>
    </row>
    <row r="249" spans="1:18" x14ac:dyDescent="0.35">
      <c r="A249" t="s">
        <v>2124</v>
      </c>
      <c r="B249" t="s">
        <v>277</v>
      </c>
      <c r="C249" t="str">
        <f>VLOOKUP($A249,'Customer Names'!$A:$E,4,FALSE)</f>
        <v>Melissa Y</v>
      </c>
      <c r="D249" t="str">
        <f>VLOOKUP($A249,'Medical Examinations'!$A:$J,2,FALSE)</f>
        <v>Obesity</v>
      </c>
      <c r="E249">
        <f>VLOOKUP($A249,'Medical Examinations'!$A:$J,4,FALSE)</f>
        <v>5.49</v>
      </c>
      <c r="F249" t="str">
        <f>VLOOKUP($A249,'Medical Examinations'!$A:$J,6,FALSE)</f>
        <v>No</v>
      </c>
      <c r="G249" t="str">
        <f>VLOOKUP($A249,'Medical Examinations'!$A:$J,7,FALSE)</f>
        <v>No</v>
      </c>
      <c r="H249" t="str">
        <f>VLOOKUP($A249,'Medical Examinations'!$A:$J,8,FALSE)</f>
        <v>No</v>
      </c>
      <c r="I249">
        <f>VLOOKUP($A249,'Medical Examinations'!$A:$J,9,FALSE)</f>
        <v>0</v>
      </c>
      <c r="J249" t="str">
        <f>VLOOKUP($A249,'Medical Examinations'!$A:$J,10,FALSE)</f>
        <v>yes</v>
      </c>
      <c r="K249" t="str">
        <f>VLOOKUP($A249,'Medical Examinations'!$A:$J,5,FALSE)</f>
        <v>Normal</v>
      </c>
      <c r="L249">
        <f>VLOOKUP($A250,'Medical Examinations'!$A:$J,3,FALSE)</f>
        <v>53.06</v>
      </c>
      <c r="M249">
        <f>VLOOKUP($A249,'Hospitalisation Details'!$A:$K,6,FALSE)</f>
        <v>34166.269999999997</v>
      </c>
      <c r="N249" s="11">
        <f>VLOOKUP($B249,'Hospitalisation Details'!A248:J2592,10,0)</f>
        <v>36382</v>
      </c>
      <c r="O249" t="str">
        <f>VLOOKUP($B249,'Hospitalisation Details'!A248:J2592,8,0)</f>
        <v>tier - 1</v>
      </c>
      <c r="P249" t="str">
        <f>VLOOKUP($B249,'Hospitalisation Details'!A248:J2592,7,0)</f>
        <v>tier - 2</v>
      </c>
      <c r="Q249" t="str">
        <f>VLOOKUP($B249,'Hospitalisation Details'!A248:J2592,9,0)</f>
        <v>R1019</v>
      </c>
      <c r="R249">
        <f>VLOOKUP($B249,'Hospitalisation Details'!A248:K2592,11,0)</f>
        <v>23</v>
      </c>
    </row>
    <row r="250" spans="1:18" x14ac:dyDescent="0.35">
      <c r="A250" t="s">
        <v>2123</v>
      </c>
      <c r="B250" t="s">
        <v>278</v>
      </c>
      <c r="C250" t="str">
        <f>VLOOKUP($A250,'Customer Names'!$A:$E,4,FALSE)</f>
        <v>Ashley</v>
      </c>
      <c r="D250" t="str">
        <f>VLOOKUP($A250,'Medical Examinations'!$A:$J,2,FALSE)</f>
        <v>Obesity</v>
      </c>
      <c r="E250">
        <f>VLOOKUP($A250,'Medical Examinations'!$A:$J,4,FALSE)</f>
        <v>11.68</v>
      </c>
      <c r="F250" t="str">
        <f>VLOOKUP($A250,'Medical Examinations'!$A:$J,6,FALSE)</f>
        <v>No</v>
      </c>
      <c r="G250" t="str">
        <f>VLOOKUP($A250,'Medical Examinations'!$A:$J,7,FALSE)</f>
        <v>No</v>
      </c>
      <c r="H250" t="str">
        <f>VLOOKUP($A250,'Medical Examinations'!$A:$J,8,FALSE)</f>
        <v>No</v>
      </c>
      <c r="I250">
        <f>VLOOKUP($A250,'Medical Examinations'!$A:$J,9,FALSE)</f>
        <v>0</v>
      </c>
      <c r="J250" t="str">
        <f>VLOOKUP($A250,'Medical Examinations'!$A:$J,10,FALSE)</f>
        <v>yes</v>
      </c>
      <c r="K250" t="str">
        <f>VLOOKUP($A250,'Medical Examinations'!$A:$J,5,FALSE)</f>
        <v>Diabetes</v>
      </c>
      <c r="L250">
        <f>VLOOKUP($A251,'Medical Examinations'!$A:$J,3,FALSE)</f>
        <v>30.25</v>
      </c>
      <c r="M250">
        <f>VLOOKUP($A250,'Hospitalisation Details'!$A:$K,6,FALSE)</f>
        <v>34084.68</v>
      </c>
      <c r="N250" s="11">
        <f>VLOOKUP($B250,'Hospitalisation Details'!A249:J2593,10,0)</f>
        <v>37045</v>
      </c>
      <c r="O250" t="str">
        <f>VLOOKUP($B250,'Hospitalisation Details'!A249:J2593,8,0)</f>
        <v>tier - 3</v>
      </c>
      <c r="P250" t="str">
        <f>VLOOKUP($B250,'Hospitalisation Details'!A249:J2593,7,0)</f>
        <v>tier - 2</v>
      </c>
      <c r="Q250" t="str">
        <f>VLOOKUP($B250,'Hospitalisation Details'!A249:J2593,9,0)</f>
        <v>R1012</v>
      </c>
      <c r="R250">
        <f>VLOOKUP($B250,'Hospitalisation Details'!A249:K2593,11,0)</f>
        <v>22</v>
      </c>
    </row>
    <row r="251" spans="1:18" x14ac:dyDescent="0.35">
      <c r="A251" t="s">
        <v>2122</v>
      </c>
      <c r="B251" t="s">
        <v>279</v>
      </c>
      <c r="C251" t="str">
        <f>VLOOKUP($A251,'Customer Names'!$A:$E,4,FALSE)</f>
        <v>Stephanie M.</v>
      </c>
      <c r="D251" t="str">
        <f>VLOOKUP($A251,'Medical Examinations'!$A:$J,2,FALSE)</f>
        <v>Obesity</v>
      </c>
      <c r="E251">
        <f>VLOOKUP($A251,'Medical Examinations'!$A:$J,4,FALSE)</f>
        <v>4.1900000000000004</v>
      </c>
      <c r="F251" t="str">
        <f>VLOOKUP($A251,'Medical Examinations'!$A:$J,6,FALSE)</f>
        <v>No</v>
      </c>
      <c r="G251" t="str">
        <f>VLOOKUP($A251,'Medical Examinations'!$A:$J,7,FALSE)</f>
        <v>No</v>
      </c>
      <c r="H251" t="str">
        <f>VLOOKUP($A251,'Medical Examinations'!$A:$J,8,FALSE)</f>
        <v>No</v>
      </c>
      <c r="I251">
        <f>VLOOKUP($A251,'Medical Examinations'!$A:$J,9,FALSE)</f>
        <v>2</v>
      </c>
      <c r="J251" t="str">
        <f>VLOOKUP($A251,'Medical Examinations'!$A:$J,10,FALSE)</f>
        <v>yes</v>
      </c>
      <c r="K251" t="str">
        <f>VLOOKUP($A251,'Medical Examinations'!$A:$J,5,FALSE)</f>
        <v>Normal</v>
      </c>
      <c r="L251">
        <f>VLOOKUP($A252,'Medical Examinations'!$A:$J,3,FALSE)</f>
        <v>46.68</v>
      </c>
      <c r="M251">
        <f>VLOOKUP($A251,'Hospitalisation Details'!$A:$K,6,FALSE)</f>
        <v>34053.360000000001</v>
      </c>
      <c r="N251" s="11">
        <f>VLOOKUP($B251,'Hospitalisation Details'!A250:J2594,10,0)</f>
        <v>36476</v>
      </c>
      <c r="O251" t="str">
        <f>VLOOKUP($B251,'Hospitalisation Details'!A250:J2594,8,0)</f>
        <v>tier - 2</v>
      </c>
      <c r="P251" t="str">
        <f>VLOOKUP($B251,'Hospitalisation Details'!A250:J2594,7,0)</f>
        <v>tier - 2</v>
      </c>
      <c r="Q251" t="str">
        <f>VLOOKUP($B251,'Hospitalisation Details'!A250:J2594,9,0)</f>
        <v>R1011</v>
      </c>
      <c r="R251">
        <f>VLOOKUP($B251,'Hospitalisation Details'!A250:K2594,11,0)</f>
        <v>23</v>
      </c>
    </row>
    <row r="252" spans="1:18" x14ac:dyDescent="0.35">
      <c r="A252" t="s">
        <v>2121</v>
      </c>
      <c r="B252" t="s">
        <v>280</v>
      </c>
      <c r="C252" t="str">
        <f>VLOOKUP($A252,'Customer Names'!$A:$E,4,FALSE)</f>
        <v>Kylie</v>
      </c>
      <c r="D252" t="str">
        <f>VLOOKUP($A252,'Medical Examinations'!$A:$J,2,FALSE)</f>
        <v>Obesity</v>
      </c>
      <c r="E252">
        <f>VLOOKUP($A252,'Medical Examinations'!$A:$J,4,FALSE)</f>
        <v>4.01</v>
      </c>
      <c r="F252" t="str">
        <f>VLOOKUP($A252,'Medical Examinations'!$A:$J,6,FALSE)</f>
        <v>No</v>
      </c>
      <c r="G252" t="str">
        <f>VLOOKUP($A252,'Medical Examinations'!$A:$J,7,FALSE)</f>
        <v>No</v>
      </c>
      <c r="H252" t="str">
        <f>VLOOKUP($A252,'Medical Examinations'!$A:$J,8,FALSE)</f>
        <v>No</v>
      </c>
      <c r="I252">
        <f>VLOOKUP($A252,'Medical Examinations'!$A:$J,9,FALSE)</f>
        <v>0</v>
      </c>
      <c r="J252" t="str">
        <f>VLOOKUP($A252,'Medical Examinations'!$A:$J,10,FALSE)</f>
        <v>yes</v>
      </c>
      <c r="K252" t="str">
        <f>VLOOKUP($A252,'Medical Examinations'!$A:$J,5,FALSE)</f>
        <v>Normal</v>
      </c>
      <c r="L252">
        <f>VLOOKUP($A253,'Medical Examinations'!$A:$J,3,FALSE)</f>
        <v>30.4</v>
      </c>
      <c r="M252">
        <f>VLOOKUP($A252,'Hospitalisation Details'!$A:$K,6,FALSE)</f>
        <v>33975.47</v>
      </c>
      <c r="N252" s="11">
        <f>VLOOKUP($B252,'Hospitalisation Details'!A251:J2595,10,0)</f>
        <v>36485</v>
      </c>
      <c r="O252" t="str">
        <f>VLOOKUP($B252,'Hospitalisation Details'!A251:J2595,8,0)</f>
        <v>tier - 2</v>
      </c>
      <c r="P252" t="str">
        <f>VLOOKUP($B252,'Hospitalisation Details'!A251:J2595,7,0)</f>
        <v>tier - 2</v>
      </c>
      <c r="Q252" t="str">
        <f>VLOOKUP($B252,'Hospitalisation Details'!A251:J2595,9,0)</f>
        <v>R1013</v>
      </c>
      <c r="R252">
        <f>VLOOKUP($B252,'Hospitalisation Details'!A251:K2595,11,0)</f>
        <v>23</v>
      </c>
    </row>
    <row r="253" spans="1:18" x14ac:dyDescent="0.35">
      <c r="A253" t="s">
        <v>2120</v>
      </c>
      <c r="B253" t="s">
        <v>281</v>
      </c>
      <c r="C253" t="str">
        <f>VLOOKUP($A253,'Customer Names'!$A:$E,4,FALSE)</f>
        <v>Kelly</v>
      </c>
      <c r="D253" t="str">
        <f>VLOOKUP($A253,'Medical Examinations'!$A:$J,2,FALSE)</f>
        <v>Obesity</v>
      </c>
      <c r="E253">
        <f>VLOOKUP($A253,'Medical Examinations'!$A:$J,4,FALSE)</f>
        <v>5.91</v>
      </c>
      <c r="F253" t="str">
        <f>VLOOKUP($A253,'Medical Examinations'!$A:$J,6,FALSE)</f>
        <v>No</v>
      </c>
      <c r="G253" t="str">
        <f>VLOOKUP($A253,'Medical Examinations'!$A:$J,7,FALSE)</f>
        <v>yes</v>
      </c>
      <c r="H253" t="str">
        <f>VLOOKUP($A253,'Medical Examinations'!$A:$J,8,FALSE)</f>
        <v>No</v>
      </c>
      <c r="I253">
        <f>VLOOKUP($A253,'Medical Examinations'!$A:$J,9,FALSE)</f>
        <v>2</v>
      </c>
      <c r="J253" t="str">
        <f>VLOOKUP($A253,'Medical Examinations'!$A:$J,10,FALSE)</f>
        <v>yes</v>
      </c>
      <c r="K253" t="str">
        <f>VLOOKUP($A253,'Medical Examinations'!$A:$J,5,FALSE)</f>
        <v>Prediabetes</v>
      </c>
      <c r="L253">
        <f>VLOOKUP($A254,'Medical Examinations'!$A:$J,3,FALSE)</f>
        <v>30.2</v>
      </c>
      <c r="M253">
        <f>VLOOKUP($A253,'Hospitalisation Details'!$A:$K,6,FALSE)</f>
        <v>33907.550000000003</v>
      </c>
      <c r="N253" s="11">
        <f>VLOOKUP($B253,'Hospitalisation Details'!A252:J2596,10,0)</f>
        <v>37466</v>
      </c>
      <c r="O253" t="str">
        <f>VLOOKUP($B253,'Hospitalisation Details'!A252:J2596,8,0)</f>
        <v>tier - 1</v>
      </c>
      <c r="P253" t="str">
        <f>VLOOKUP($B253,'Hospitalisation Details'!A252:J2596,7,0)</f>
        <v>tier - 2</v>
      </c>
      <c r="Q253" t="str">
        <f>VLOOKUP($B253,'Hospitalisation Details'!A252:J2596,9,0)</f>
        <v>R1024</v>
      </c>
      <c r="R253">
        <f>VLOOKUP($B253,'Hospitalisation Details'!A252:K2596,11,0)</f>
        <v>20</v>
      </c>
    </row>
    <row r="254" spans="1:18" x14ac:dyDescent="0.35">
      <c r="A254" t="s">
        <v>2119</v>
      </c>
      <c r="B254" t="s">
        <v>282</v>
      </c>
      <c r="C254" t="str">
        <f>VLOOKUP($A254,'Customer Names'!$A:$E,4,FALSE)</f>
        <v>Carrie</v>
      </c>
      <c r="D254" t="str">
        <f>VLOOKUP($A254,'Medical Examinations'!$A:$J,2,FALSE)</f>
        <v>Obesity</v>
      </c>
      <c r="E254">
        <f>VLOOKUP($A254,'Medical Examinations'!$A:$J,4,FALSE)</f>
        <v>4.47</v>
      </c>
      <c r="F254" t="str">
        <f>VLOOKUP($A254,'Medical Examinations'!$A:$J,6,FALSE)</f>
        <v>yes</v>
      </c>
      <c r="G254" t="str">
        <f>VLOOKUP($A254,'Medical Examinations'!$A:$J,7,FALSE)</f>
        <v>No</v>
      </c>
      <c r="H254" t="str">
        <f>VLOOKUP($A254,'Medical Examinations'!$A:$J,8,FALSE)</f>
        <v>Yes</v>
      </c>
      <c r="I254">
        <f>VLOOKUP($A254,'Medical Examinations'!$A:$J,9,FALSE)</f>
        <v>1</v>
      </c>
      <c r="J254" t="str">
        <f>VLOOKUP($A254,'Medical Examinations'!$A:$J,10,FALSE)</f>
        <v>yes</v>
      </c>
      <c r="K254" t="str">
        <f>VLOOKUP($A254,'Medical Examinations'!$A:$J,5,FALSE)</f>
        <v>Normal</v>
      </c>
      <c r="L254">
        <f>VLOOKUP($A255,'Medical Examinations'!$A:$J,3,FALSE)</f>
        <v>51.18</v>
      </c>
      <c r="M254">
        <f>VLOOKUP($A254,'Hospitalisation Details'!$A:$K,6,FALSE)</f>
        <v>33900.65</v>
      </c>
      <c r="N254" s="11">
        <f>VLOOKUP($B254,'Hospitalisation Details'!A253:J2597,10,0)</f>
        <v>36118</v>
      </c>
      <c r="O254" t="str">
        <f>VLOOKUP($B254,'Hospitalisation Details'!A253:J2597,8,0)</f>
        <v>tier - 1</v>
      </c>
      <c r="P254" t="str">
        <f>VLOOKUP($B254,'Hospitalisation Details'!A253:J2597,7,0)</f>
        <v>tier - 2</v>
      </c>
      <c r="Q254" t="str">
        <f>VLOOKUP($B254,'Hospitalisation Details'!A253:J2597,9,0)</f>
        <v>R1011</v>
      </c>
      <c r="R254">
        <f>VLOOKUP($B254,'Hospitalisation Details'!A253:K2597,11,0)</f>
        <v>24</v>
      </c>
    </row>
    <row r="255" spans="1:18" x14ac:dyDescent="0.35">
      <c r="A255" t="s">
        <v>2118</v>
      </c>
      <c r="B255" t="s">
        <v>283</v>
      </c>
      <c r="C255" t="str">
        <f>VLOOKUP($A255,'Customer Names'!$A:$E,4,FALSE)</f>
        <v>Alex</v>
      </c>
      <c r="D255" t="str">
        <f>VLOOKUP($A255,'Medical Examinations'!$A:$J,2,FALSE)</f>
        <v>Obesity</v>
      </c>
      <c r="E255">
        <f>VLOOKUP($A255,'Medical Examinations'!$A:$J,4,FALSE)</f>
        <v>4.5599999999999996</v>
      </c>
      <c r="F255" t="str">
        <f>VLOOKUP($A255,'Medical Examinations'!$A:$J,6,FALSE)</f>
        <v>yes</v>
      </c>
      <c r="G255" t="str">
        <f>VLOOKUP($A255,'Medical Examinations'!$A:$J,7,FALSE)</f>
        <v>yes</v>
      </c>
      <c r="H255" t="str">
        <f>VLOOKUP($A255,'Medical Examinations'!$A:$J,8,FALSE)</f>
        <v>No</v>
      </c>
      <c r="I255">
        <f>VLOOKUP($A255,'Medical Examinations'!$A:$J,9,FALSE)</f>
        <v>2</v>
      </c>
      <c r="J255" t="str">
        <f>VLOOKUP($A255,'Medical Examinations'!$A:$J,10,FALSE)</f>
        <v>yes</v>
      </c>
      <c r="K255" t="str">
        <f>VLOOKUP($A255,'Medical Examinations'!$A:$J,5,FALSE)</f>
        <v>Normal</v>
      </c>
      <c r="L255">
        <f>VLOOKUP($A256,'Medical Examinations'!$A:$J,3,FALSE)</f>
        <v>22.18</v>
      </c>
      <c r="M255">
        <f>VLOOKUP($A255,'Hospitalisation Details'!$A:$K,6,FALSE)</f>
        <v>33829.39</v>
      </c>
      <c r="N255" s="11">
        <f>VLOOKUP($B255,'Hospitalisation Details'!A254:J2598,10,0)</f>
        <v>37448</v>
      </c>
      <c r="O255" t="str">
        <f>VLOOKUP($B255,'Hospitalisation Details'!A254:J2598,8,0)</f>
        <v>tier - 2</v>
      </c>
      <c r="P255" t="str">
        <f>VLOOKUP($B255,'Hospitalisation Details'!A254:J2598,7,0)</f>
        <v>tier - 2</v>
      </c>
      <c r="Q255" t="str">
        <f>VLOOKUP($B255,'Hospitalisation Details'!A254:J2598,9,0)</f>
        <v>R1024</v>
      </c>
      <c r="R255">
        <f>VLOOKUP($B255,'Hospitalisation Details'!A254:K2598,11,0)</f>
        <v>20</v>
      </c>
    </row>
    <row r="256" spans="1:18" x14ac:dyDescent="0.35">
      <c r="A256" t="s">
        <v>2117</v>
      </c>
      <c r="B256" t="s">
        <v>284</v>
      </c>
      <c r="C256" t="str">
        <f>VLOOKUP($A256,'Customer Names'!$A:$E,4,FALSE)</f>
        <v>Zach S</v>
      </c>
      <c r="D256" t="str">
        <f>VLOOKUP($A256,'Medical Examinations'!$A:$J,2,FALSE)</f>
        <v>Normal Weight</v>
      </c>
      <c r="E256">
        <f>VLOOKUP($A256,'Medical Examinations'!$A:$J,4,FALSE)</f>
        <v>9.9</v>
      </c>
      <c r="F256" t="str">
        <f>VLOOKUP($A256,'Medical Examinations'!$A:$J,6,FALSE)</f>
        <v>No</v>
      </c>
      <c r="G256" t="str">
        <f>VLOOKUP($A256,'Medical Examinations'!$A:$J,7,FALSE)</f>
        <v>No</v>
      </c>
      <c r="H256" t="str">
        <f>VLOOKUP($A256,'Medical Examinations'!$A:$J,8,FALSE)</f>
        <v>No</v>
      </c>
      <c r="I256">
        <f>VLOOKUP($A256,'Medical Examinations'!$A:$J,9,FALSE)</f>
        <v>0</v>
      </c>
      <c r="J256" t="str">
        <f>VLOOKUP($A256,'Medical Examinations'!$A:$J,10,FALSE)</f>
        <v>yes</v>
      </c>
      <c r="K256" t="str">
        <f>VLOOKUP($A256,'Medical Examinations'!$A:$J,5,FALSE)</f>
        <v>Diabetes</v>
      </c>
      <c r="L256">
        <f>VLOOKUP($A257,'Medical Examinations'!$A:$J,3,FALSE)</f>
        <v>31.92</v>
      </c>
      <c r="M256">
        <f>VLOOKUP($A256,'Hospitalisation Details'!$A:$K,6,FALSE)</f>
        <v>33753.32</v>
      </c>
      <c r="N256" s="11">
        <f>VLOOKUP($B256,'Hospitalisation Details'!A255:J2599,10,0)</f>
        <v>36024</v>
      </c>
      <c r="O256" t="str">
        <f>VLOOKUP($B256,'Hospitalisation Details'!A255:J2599,8,0)</f>
        <v>tier - 3</v>
      </c>
      <c r="P256" t="str">
        <f>VLOOKUP($B256,'Hospitalisation Details'!A255:J2599,7,0)</f>
        <v>tier - 2</v>
      </c>
      <c r="Q256" t="str">
        <f>VLOOKUP($B256,'Hospitalisation Details'!A255:J2599,9,0)</f>
        <v>R1013</v>
      </c>
      <c r="R256">
        <f>VLOOKUP($B256,'Hospitalisation Details'!A255:K2599,11,0)</f>
        <v>24</v>
      </c>
    </row>
    <row r="257" spans="1:18" x14ac:dyDescent="0.35">
      <c r="A257" t="s">
        <v>2116</v>
      </c>
      <c r="B257" t="s">
        <v>285</v>
      </c>
      <c r="C257" t="str">
        <f>VLOOKUP($A257,'Customer Names'!$A:$E,4,FALSE)</f>
        <v>Alan</v>
      </c>
      <c r="D257" t="str">
        <f>VLOOKUP($A257,'Medical Examinations'!$A:$J,2,FALSE)</f>
        <v>Obesity</v>
      </c>
      <c r="E257">
        <f>VLOOKUP($A257,'Medical Examinations'!$A:$J,4,FALSE)</f>
        <v>5.1100000000000003</v>
      </c>
      <c r="F257" t="str">
        <f>VLOOKUP($A257,'Medical Examinations'!$A:$J,6,FALSE)</f>
        <v>No</v>
      </c>
      <c r="G257" t="str">
        <f>VLOOKUP($A257,'Medical Examinations'!$A:$J,7,FALSE)</f>
        <v>No</v>
      </c>
      <c r="H257" t="str">
        <f>VLOOKUP($A257,'Medical Examinations'!$A:$J,8,FALSE)</f>
        <v>Yes</v>
      </c>
      <c r="I257">
        <f>VLOOKUP($A257,'Medical Examinations'!$A:$J,9,FALSE)</f>
        <v>1</v>
      </c>
      <c r="J257" t="str">
        <f>VLOOKUP($A257,'Medical Examinations'!$A:$J,10,FALSE)</f>
        <v>yes</v>
      </c>
      <c r="K257" t="str">
        <f>VLOOKUP($A257,'Medical Examinations'!$A:$J,5,FALSE)</f>
        <v>Normal</v>
      </c>
      <c r="L257">
        <f>VLOOKUP($A258,'Medical Examinations'!$A:$J,3,FALSE)</f>
        <v>31.73</v>
      </c>
      <c r="M257">
        <f>VLOOKUP($A257,'Hospitalisation Details'!$A:$K,6,FALSE)</f>
        <v>33750.29</v>
      </c>
      <c r="N257" s="11">
        <f>VLOOKUP($B257,'Hospitalisation Details'!A256:J2600,10,0)</f>
        <v>35978</v>
      </c>
      <c r="O257" t="str">
        <f>VLOOKUP($B257,'Hospitalisation Details'!A256:J2600,8,0)</f>
        <v>tier - 3</v>
      </c>
      <c r="P257" t="str">
        <f>VLOOKUP($B257,'Hospitalisation Details'!A256:J2600,7,0)</f>
        <v>tier - 2</v>
      </c>
      <c r="Q257" t="str">
        <f>VLOOKUP($B257,'Hospitalisation Details'!A256:J2600,9,0)</f>
        <v>R1013</v>
      </c>
      <c r="R257">
        <f>VLOOKUP($B257,'Hospitalisation Details'!A256:K2600,11,0)</f>
        <v>24</v>
      </c>
    </row>
    <row r="258" spans="1:18" x14ac:dyDescent="0.35">
      <c r="A258" t="s">
        <v>2115</v>
      </c>
      <c r="B258" t="s">
        <v>286</v>
      </c>
      <c r="C258" t="str">
        <f>VLOOKUP($A258,'Customer Names'!$A:$E,4,FALSE)</f>
        <v>Nate</v>
      </c>
      <c r="D258" t="str">
        <f>VLOOKUP($A258,'Medical Examinations'!$A:$J,2,FALSE)</f>
        <v>Obesity</v>
      </c>
      <c r="E258">
        <f>VLOOKUP($A258,'Medical Examinations'!$A:$J,4,FALSE)</f>
        <v>5.73</v>
      </c>
      <c r="F258" t="str">
        <f>VLOOKUP($A258,'Medical Examinations'!$A:$J,6,FALSE)</f>
        <v>No</v>
      </c>
      <c r="G258" t="str">
        <f>VLOOKUP($A258,'Medical Examinations'!$A:$J,7,FALSE)</f>
        <v>yes</v>
      </c>
      <c r="H258" t="str">
        <f>VLOOKUP($A258,'Medical Examinations'!$A:$J,8,FALSE)</f>
        <v>No</v>
      </c>
      <c r="I258">
        <f>VLOOKUP($A258,'Medical Examinations'!$A:$J,9,FALSE)</f>
        <v>1</v>
      </c>
      <c r="J258" t="str">
        <f>VLOOKUP($A258,'Medical Examinations'!$A:$J,10,FALSE)</f>
        <v>yes</v>
      </c>
      <c r="K258" t="str">
        <f>VLOOKUP($A258,'Medical Examinations'!$A:$J,5,FALSE)</f>
        <v>Prediabetes</v>
      </c>
      <c r="L258">
        <f>VLOOKUP($A259,'Medical Examinations'!$A:$J,3,FALSE)</f>
        <v>45.52</v>
      </c>
      <c r="M258">
        <f>VLOOKUP($A258,'Hospitalisation Details'!$A:$K,6,FALSE)</f>
        <v>33732.69</v>
      </c>
      <c r="N258" s="11">
        <f>VLOOKUP($B258,'Hospitalisation Details'!A257:J2601,10,0)</f>
        <v>35966</v>
      </c>
      <c r="O258" t="str">
        <f>VLOOKUP($B258,'Hospitalisation Details'!A257:J2601,8,0)</f>
        <v>tier - 2</v>
      </c>
      <c r="P258" t="str">
        <f>VLOOKUP($B258,'Hospitalisation Details'!A257:J2601,7,0)</f>
        <v>tier - 2</v>
      </c>
      <c r="Q258" t="str">
        <f>VLOOKUP($B258,'Hospitalisation Details'!A257:J2601,9,0)</f>
        <v>R1013</v>
      </c>
      <c r="R258">
        <f>VLOOKUP($B258,'Hospitalisation Details'!A257:K2601,11,0)</f>
        <v>24</v>
      </c>
    </row>
    <row r="259" spans="1:18" x14ac:dyDescent="0.35">
      <c r="A259" t="s">
        <v>2114</v>
      </c>
      <c r="B259" t="s">
        <v>287</v>
      </c>
      <c r="C259" t="str">
        <f>VLOOKUP($A259,'Customer Names'!$A:$E,4,FALSE)</f>
        <v>Jesse G.</v>
      </c>
      <c r="D259" t="str">
        <f>VLOOKUP($A259,'Medical Examinations'!$A:$J,2,FALSE)</f>
        <v>Obesity</v>
      </c>
      <c r="E259">
        <f>VLOOKUP($A259,'Medical Examinations'!$A:$J,4,FALSE)</f>
        <v>6.04</v>
      </c>
      <c r="F259" t="str">
        <f>VLOOKUP($A259,'Medical Examinations'!$A:$J,6,FALSE)</f>
        <v>No</v>
      </c>
      <c r="G259" t="str">
        <f>VLOOKUP($A259,'Medical Examinations'!$A:$J,7,FALSE)</f>
        <v>No</v>
      </c>
      <c r="H259" t="str">
        <f>VLOOKUP($A259,'Medical Examinations'!$A:$J,8,FALSE)</f>
        <v>Yes</v>
      </c>
      <c r="I259">
        <f>VLOOKUP($A259,'Medical Examinations'!$A:$J,9,FALSE)</f>
        <v>1</v>
      </c>
      <c r="J259" t="str">
        <f>VLOOKUP($A259,'Medical Examinations'!$A:$J,10,FALSE)</f>
        <v>yes</v>
      </c>
      <c r="K259" t="str">
        <f>VLOOKUP($A259,'Medical Examinations'!$A:$J,5,FALSE)</f>
        <v>Prediabetes</v>
      </c>
      <c r="L259">
        <f>VLOOKUP($A260,'Medical Examinations'!$A:$J,3,FALSE)</f>
        <v>52.81</v>
      </c>
      <c r="M259">
        <f>VLOOKUP($A259,'Hospitalisation Details'!$A:$K,6,FALSE)</f>
        <v>33707.550000000003</v>
      </c>
      <c r="N259" s="11">
        <f>VLOOKUP($B259,'Hospitalisation Details'!A258:J2602,10,0)</f>
        <v>35009</v>
      </c>
      <c r="O259" t="str">
        <f>VLOOKUP($B259,'Hospitalisation Details'!A258:J2602,8,0)</f>
        <v>tier - 2</v>
      </c>
      <c r="P259" t="str">
        <f>VLOOKUP($B259,'Hospitalisation Details'!A258:J2602,7,0)</f>
        <v>tier - 3</v>
      </c>
      <c r="Q259" t="str">
        <f>VLOOKUP($B259,'Hospitalisation Details'!A258:J2602,9,0)</f>
        <v>R1013</v>
      </c>
      <c r="R259">
        <f>VLOOKUP($B259,'Hospitalisation Details'!A258:K2602,11,0)</f>
        <v>27</v>
      </c>
    </row>
    <row r="260" spans="1:18" x14ac:dyDescent="0.35">
      <c r="A260" t="s">
        <v>2113</v>
      </c>
      <c r="B260" t="s">
        <v>288</v>
      </c>
      <c r="C260" t="str">
        <f>VLOOKUP($A260,'Customer Names'!$A:$E,4,FALSE)</f>
        <v>Jason</v>
      </c>
      <c r="D260" t="str">
        <f>VLOOKUP($A260,'Medical Examinations'!$A:$J,2,FALSE)</f>
        <v>Obesity</v>
      </c>
      <c r="E260">
        <f>VLOOKUP($A260,'Medical Examinations'!$A:$J,4,FALSE)</f>
        <v>5.19</v>
      </c>
      <c r="F260" t="str">
        <f>VLOOKUP($A260,'Medical Examinations'!$A:$J,6,FALSE)</f>
        <v>No</v>
      </c>
      <c r="G260" t="str">
        <f>VLOOKUP($A260,'Medical Examinations'!$A:$J,7,FALSE)</f>
        <v>No</v>
      </c>
      <c r="H260" t="str">
        <f>VLOOKUP($A260,'Medical Examinations'!$A:$J,8,FALSE)</f>
        <v>Yes</v>
      </c>
      <c r="I260">
        <f>VLOOKUP($A260,'Medical Examinations'!$A:$J,9,FALSE)</f>
        <v>1</v>
      </c>
      <c r="J260" t="str">
        <f>VLOOKUP($A260,'Medical Examinations'!$A:$J,10,FALSE)</f>
        <v>yes</v>
      </c>
      <c r="K260" t="str">
        <f>VLOOKUP($A260,'Medical Examinations'!$A:$J,5,FALSE)</f>
        <v>Normal</v>
      </c>
      <c r="L260">
        <f>VLOOKUP($A261,'Medical Examinations'!$A:$J,3,FALSE)</f>
        <v>33.58</v>
      </c>
      <c r="M260">
        <f>VLOOKUP($A260,'Hospitalisation Details'!$A:$K,6,FALSE)</f>
        <v>33611.71</v>
      </c>
      <c r="N260" s="11">
        <f>VLOOKUP($B260,'Hospitalisation Details'!A259:J2603,10,0)</f>
        <v>34986</v>
      </c>
      <c r="O260" t="str">
        <f>VLOOKUP($B260,'Hospitalisation Details'!A259:J2603,8,0)</f>
        <v>tier - 1</v>
      </c>
      <c r="P260" t="str">
        <f>VLOOKUP($B260,'Hospitalisation Details'!A259:J2603,7,0)</f>
        <v>tier - 3</v>
      </c>
      <c r="Q260" t="str">
        <f>VLOOKUP($B260,'Hospitalisation Details'!A259:J2603,9,0)</f>
        <v>R1011</v>
      </c>
      <c r="R260">
        <f>VLOOKUP($B260,'Hospitalisation Details'!A259:K2603,11,0)</f>
        <v>27</v>
      </c>
    </row>
    <row r="261" spans="1:18" x14ac:dyDescent="0.35">
      <c r="A261" t="s">
        <v>2112</v>
      </c>
      <c r="B261" t="s">
        <v>289</v>
      </c>
      <c r="C261" t="str">
        <f>VLOOKUP($A261,'Customer Names'!$A:$E,4,FALSE)</f>
        <v>Megan A.</v>
      </c>
      <c r="D261" t="str">
        <f>VLOOKUP($A261,'Medical Examinations'!$A:$J,2,FALSE)</f>
        <v>Obesity</v>
      </c>
      <c r="E261">
        <f>VLOOKUP($A261,'Medical Examinations'!$A:$J,4,FALSE)</f>
        <v>5.56</v>
      </c>
      <c r="F261" t="str">
        <f>VLOOKUP($A261,'Medical Examinations'!$A:$J,6,FALSE)</f>
        <v>No</v>
      </c>
      <c r="G261" t="str">
        <f>VLOOKUP($A261,'Medical Examinations'!$A:$J,7,FALSE)</f>
        <v>No</v>
      </c>
      <c r="H261" t="str">
        <f>VLOOKUP($A261,'Medical Examinations'!$A:$J,8,FALSE)</f>
        <v>No</v>
      </c>
      <c r="I261">
        <f>VLOOKUP($A261,'Medical Examinations'!$A:$J,9,FALSE)</f>
        <v>1</v>
      </c>
      <c r="J261" t="str">
        <f>VLOOKUP($A261,'Medical Examinations'!$A:$J,10,FALSE)</f>
        <v>yes</v>
      </c>
      <c r="K261" t="str">
        <f>VLOOKUP($A261,'Medical Examinations'!$A:$J,5,FALSE)</f>
        <v>Normal</v>
      </c>
      <c r="L261">
        <f>VLOOKUP($A262,'Medical Examinations'!$A:$J,3,FALSE)</f>
        <v>30.684999999999999</v>
      </c>
      <c r="M261">
        <f>VLOOKUP($A261,'Hospitalisation Details'!$A:$K,6,FALSE)</f>
        <v>33527.1</v>
      </c>
      <c r="N261" s="11">
        <f>VLOOKUP($B261,'Hospitalisation Details'!A260:J2604,10,0)</f>
        <v>34889</v>
      </c>
      <c r="O261" t="str">
        <f>VLOOKUP($B261,'Hospitalisation Details'!A260:J2604,8,0)</f>
        <v>tier - 3</v>
      </c>
      <c r="P261" t="str">
        <f>VLOOKUP($B261,'Hospitalisation Details'!A260:J2604,7,0)</f>
        <v>tier - 3</v>
      </c>
      <c r="Q261" t="str">
        <f>VLOOKUP($B261,'Hospitalisation Details'!A260:J2604,9,0)</f>
        <v>R1013</v>
      </c>
      <c r="R261">
        <f>VLOOKUP($B261,'Hospitalisation Details'!A260:K2604,11,0)</f>
        <v>27</v>
      </c>
    </row>
    <row r="262" spans="1:18" x14ac:dyDescent="0.35">
      <c r="A262" t="s">
        <v>2111</v>
      </c>
      <c r="B262" t="s">
        <v>290</v>
      </c>
      <c r="C262" t="str">
        <f>VLOOKUP($A262,'Customer Names'!$A:$E,4,FALSE)</f>
        <v>Luke M</v>
      </c>
      <c r="D262" t="str">
        <f>VLOOKUP($A262,'Medical Examinations'!$A:$J,2,FALSE)</f>
        <v>Obesity</v>
      </c>
      <c r="E262">
        <f>VLOOKUP($A262,'Medical Examinations'!$A:$J,4,FALSE)</f>
        <v>8.23</v>
      </c>
      <c r="F262" t="str">
        <f>VLOOKUP($A262,'Medical Examinations'!$A:$J,6,FALSE)</f>
        <v>No</v>
      </c>
      <c r="G262" t="str">
        <f>VLOOKUP($A262,'Medical Examinations'!$A:$J,7,FALSE)</f>
        <v>No</v>
      </c>
      <c r="H262" t="str">
        <f>VLOOKUP($A262,'Medical Examinations'!$A:$J,8,FALSE)</f>
        <v>No</v>
      </c>
      <c r="I262">
        <f>VLOOKUP($A262,'Medical Examinations'!$A:$J,9,FALSE)</f>
        <v>0</v>
      </c>
      <c r="J262" t="str">
        <f>VLOOKUP($A262,'Medical Examinations'!$A:$J,10,FALSE)</f>
        <v>yes</v>
      </c>
      <c r="K262" t="str">
        <f>VLOOKUP($A262,'Medical Examinations'!$A:$J,5,FALSE)</f>
        <v>Diabetes</v>
      </c>
      <c r="L262">
        <f>VLOOKUP($A263,'Medical Examinations'!$A:$J,3,FALSE)</f>
        <v>37.524999999999999</v>
      </c>
      <c r="M262">
        <f>VLOOKUP($A262,'Hospitalisation Details'!$A:$K,6,FALSE)</f>
        <v>33475.82</v>
      </c>
      <c r="N262" s="11">
        <f>VLOOKUP($B262,'Hospitalisation Details'!A261:J2605,10,0)</f>
        <v>34987</v>
      </c>
      <c r="O262" t="str">
        <f>VLOOKUP($B262,'Hospitalisation Details'!A261:J2605,8,0)</f>
        <v>tier - 3</v>
      </c>
      <c r="P262" t="str">
        <f>VLOOKUP($B262,'Hospitalisation Details'!A261:J2605,7,0)</f>
        <v>tier - 3</v>
      </c>
      <c r="Q262" t="str">
        <f>VLOOKUP($B262,'Hospitalisation Details'!A261:J2605,9,0)</f>
        <v>R1013</v>
      </c>
      <c r="R262">
        <f>VLOOKUP($B262,'Hospitalisation Details'!A261:K2605,11,0)</f>
        <v>27</v>
      </c>
    </row>
    <row r="263" spans="1:18" x14ac:dyDescent="0.35">
      <c r="A263" t="s">
        <v>2110</v>
      </c>
      <c r="B263" t="s">
        <v>291</v>
      </c>
      <c r="C263" t="str">
        <f>VLOOKUP($A263,'Customer Names'!$A:$E,4,FALSE)</f>
        <v>Jacy D</v>
      </c>
      <c r="D263" t="str">
        <f>VLOOKUP($A263,'Medical Examinations'!$A:$J,2,FALSE)</f>
        <v>Obesity</v>
      </c>
      <c r="E263">
        <f>VLOOKUP($A263,'Medical Examinations'!$A:$J,4,FALSE)</f>
        <v>9.0299999999999994</v>
      </c>
      <c r="F263" t="str">
        <f>VLOOKUP($A263,'Medical Examinations'!$A:$J,6,FALSE)</f>
        <v>yes</v>
      </c>
      <c r="G263" t="str">
        <f>VLOOKUP($A263,'Medical Examinations'!$A:$J,7,FALSE)</f>
        <v>No</v>
      </c>
      <c r="H263" t="str">
        <f>VLOOKUP($A263,'Medical Examinations'!$A:$J,8,FALSE)</f>
        <v>No</v>
      </c>
      <c r="I263">
        <f>VLOOKUP($A263,'Medical Examinations'!$A:$J,9,FALSE)</f>
        <v>2</v>
      </c>
      <c r="J263" t="str">
        <f>VLOOKUP($A263,'Medical Examinations'!$A:$J,10,FALSE)</f>
        <v>No</v>
      </c>
      <c r="K263" t="str">
        <f>VLOOKUP($A263,'Medical Examinations'!$A:$J,5,FALSE)</f>
        <v>Diabetes</v>
      </c>
      <c r="L263">
        <f>VLOOKUP($A264,'Medical Examinations'!$A:$J,3,FALSE)</f>
        <v>34.5</v>
      </c>
      <c r="M263">
        <f>VLOOKUP($A263,'Hospitalisation Details'!$A:$K,6,FALSE)</f>
        <v>33471.97</v>
      </c>
      <c r="N263" s="11">
        <f>VLOOKUP($B263,'Hospitalisation Details'!A262:J2606,10,0)</f>
        <v>38236</v>
      </c>
      <c r="O263" t="str">
        <f>VLOOKUP($B263,'Hospitalisation Details'!A262:J2606,8,0)</f>
        <v>tier - 2</v>
      </c>
      <c r="P263" t="str">
        <f>VLOOKUP($B263,'Hospitalisation Details'!A262:J2606,7,0)</f>
        <v>tier - 2</v>
      </c>
      <c r="Q263" t="str">
        <f>VLOOKUP($B263,'Hospitalisation Details'!A262:J2606,9,0)</f>
        <v>R1012</v>
      </c>
      <c r="R263">
        <f>VLOOKUP($B263,'Hospitalisation Details'!A262:K2606,11,0)</f>
        <v>18</v>
      </c>
    </row>
    <row r="264" spans="1:18" x14ac:dyDescent="0.35">
      <c r="A264" t="s">
        <v>2109</v>
      </c>
      <c r="B264" t="s">
        <v>292</v>
      </c>
      <c r="C264" t="str">
        <f>VLOOKUP($A264,'Customer Names'!$A:$E,4,FALSE)</f>
        <v>Simon G.</v>
      </c>
      <c r="D264" t="str">
        <f>VLOOKUP($A264,'Medical Examinations'!$A:$J,2,FALSE)</f>
        <v>Obesity</v>
      </c>
      <c r="E264">
        <f>VLOOKUP($A264,'Medical Examinations'!$A:$J,4,FALSE)</f>
        <v>4.07</v>
      </c>
      <c r="F264" t="str">
        <f>VLOOKUP($A264,'Medical Examinations'!$A:$J,6,FALSE)</f>
        <v>yes</v>
      </c>
      <c r="G264" t="str">
        <f>VLOOKUP($A264,'Medical Examinations'!$A:$J,7,FALSE)</f>
        <v>No</v>
      </c>
      <c r="H264" t="str">
        <f>VLOOKUP($A264,'Medical Examinations'!$A:$J,8,FALSE)</f>
        <v>No</v>
      </c>
      <c r="I264">
        <f>VLOOKUP($A264,'Medical Examinations'!$A:$J,9,FALSE)</f>
        <v>0</v>
      </c>
      <c r="J264" t="str">
        <f>VLOOKUP($A264,'Medical Examinations'!$A:$J,10,FALSE)</f>
        <v>yes</v>
      </c>
      <c r="K264" t="str">
        <f>VLOOKUP($A264,'Medical Examinations'!$A:$J,5,FALSE)</f>
        <v>Normal</v>
      </c>
      <c r="L264">
        <f>VLOOKUP($A265,'Medical Examinations'!$A:$J,3,FALSE)</f>
        <v>28.16</v>
      </c>
      <c r="M264">
        <f>VLOOKUP($A264,'Hospitalisation Details'!$A:$K,6,FALSE)</f>
        <v>33450.99</v>
      </c>
      <c r="N264" s="11">
        <f>VLOOKUP($B264,'Hospitalisation Details'!A263:J2607,10,0)</f>
        <v>33455</v>
      </c>
      <c r="O264" t="str">
        <f>VLOOKUP($B264,'Hospitalisation Details'!A263:J2607,8,0)</f>
        <v>tier - 1</v>
      </c>
      <c r="P264" t="str">
        <f>VLOOKUP($B264,'Hospitalisation Details'!A263:J2607,7,0)</f>
        <v>tier - 2</v>
      </c>
      <c r="Q264" t="str">
        <f>VLOOKUP($B264,'Hospitalisation Details'!A263:J2607,9,0)</f>
        <v>R1013</v>
      </c>
      <c r="R264">
        <f>VLOOKUP($B264,'Hospitalisation Details'!A263:K2607,11,0)</f>
        <v>31</v>
      </c>
    </row>
    <row r="265" spans="1:18" x14ac:dyDescent="0.35">
      <c r="A265" t="s">
        <v>2108</v>
      </c>
      <c r="B265" t="s">
        <v>293</v>
      </c>
      <c r="C265" t="str">
        <f>VLOOKUP($A265,'Customer Names'!$A:$E,4,FALSE)</f>
        <v>Ainsley E.</v>
      </c>
      <c r="D265" t="str">
        <f>VLOOKUP($A265,'Medical Examinations'!$A:$J,2,FALSE)</f>
        <v>Overweight</v>
      </c>
      <c r="E265">
        <f>VLOOKUP($A265,'Medical Examinations'!$A:$J,4,FALSE)</f>
        <v>5.77</v>
      </c>
      <c r="F265" t="str">
        <f>VLOOKUP($A265,'Medical Examinations'!$A:$J,6,FALSE)</f>
        <v>No</v>
      </c>
      <c r="G265" t="str">
        <f>VLOOKUP($A265,'Medical Examinations'!$A:$J,7,FALSE)</f>
        <v>No</v>
      </c>
      <c r="H265" t="str">
        <f>VLOOKUP($A265,'Medical Examinations'!$A:$J,8,FALSE)</f>
        <v>No</v>
      </c>
      <c r="I265">
        <f>VLOOKUP($A265,'Medical Examinations'!$A:$J,9,FALSE)</f>
        <v>2</v>
      </c>
      <c r="J265" t="str">
        <f>VLOOKUP($A265,'Medical Examinations'!$A:$J,10,FALSE)</f>
        <v>yes</v>
      </c>
      <c r="K265" t="str">
        <f>VLOOKUP($A265,'Medical Examinations'!$A:$J,5,FALSE)</f>
        <v>Prediabetes</v>
      </c>
      <c r="L265">
        <f>VLOOKUP($A266,'Medical Examinations'!$A:$J,3,FALSE)</f>
        <v>30.02</v>
      </c>
      <c r="M265">
        <f>VLOOKUP($A265,'Hospitalisation Details'!$A:$K,6,FALSE)</f>
        <v>33344.449999999997</v>
      </c>
      <c r="N265" s="11">
        <f>VLOOKUP($B265,'Hospitalisation Details'!A264:J2608,10,0)</f>
        <v>35736</v>
      </c>
      <c r="O265" t="str">
        <f>VLOOKUP($B265,'Hospitalisation Details'!A264:J2608,8,0)</f>
        <v>tier - 1</v>
      </c>
      <c r="P265" t="str">
        <f>VLOOKUP($B265,'Hospitalisation Details'!A264:J2608,7,0)</f>
        <v>tier - 3</v>
      </c>
      <c r="Q265" t="str">
        <f>VLOOKUP($B265,'Hospitalisation Details'!A264:J2608,9,0)</f>
        <v>R1012</v>
      </c>
      <c r="R265">
        <f>VLOOKUP($B265,'Hospitalisation Details'!A264:K2608,11,0)</f>
        <v>25</v>
      </c>
    </row>
    <row r="266" spans="1:18" x14ac:dyDescent="0.35">
      <c r="A266" t="s">
        <v>2107</v>
      </c>
      <c r="B266" t="s">
        <v>294</v>
      </c>
      <c r="C266" t="str">
        <f>VLOOKUP($A266,'Customer Names'!$A:$E,4,FALSE)</f>
        <v>Erica A.</v>
      </c>
      <c r="D266" t="str">
        <f>VLOOKUP($A266,'Medical Examinations'!$A:$J,2,FALSE)</f>
        <v>Obesity</v>
      </c>
      <c r="E266">
        <f>VLOOKUP($A266,'Medical Examinations'!$A:$J,4,FALSE)</f>
        <v>5.98</v>
      </c>
      <c r="F266" t="str">
        <f>VLOOKUP($A266,'Medical Examinations'!$A:$J,6,FALSE)</f>
        <v>No</v>
      </c>
      <c r="G266" t="str">
        <f>VLOOKUP($A266,'Medical Examinations'!$A:$J,7,FALSE)</f>
        <v>No</v>
      </c>
      <c r="H266" t="str">
        <f>VLOOKUP($A266,'Medical Examinations'!$A:$J,8,FALSE)</f>
        <v>Yes</v>
      </c>
      <c r="I266">
        <f>VLOOKUP($A266,'Medical Examinations'!$A:$J,9,FALSE)</f>
        <v>1</v>
      </c>
      <c r="J266" t="str">
        <f>VLOOKUP($A266,'Medical Examinations'!$A:$J,10,FALSE)</f>
        <v>yes</v>
      </c>
      <c r="K266" t="str">
        <f>VLOOKUP($A266,'Medical Examinations'!$A:$J,5,FALSE)</f>
        <v>Prediabetes</v>
      </c>
      <c r="L266">
        <f>VLOOKUP($A267,'Medical Examinations'!$A:$J,3,FALSE)</f>
        <v>37.82</v>
      </c>
      <c r="M266">
        <f>VLOOKUP($A266,'Hospitalisation Details'!$A:$K,6,FALSE)</f>
        <v>33307.550000000003</v>
      </c>
      <c r="N266" s="11">
        <f>VLOOKUP($B266,'Hospitalisation Details'!A265:J2609,10,0)</f>
        <v>36763</v>
      </c>
      <c r="O266" t="str">
        <f>VLOOKUP($B266,'Hospitalisation Details'!A265:J2609,8,0)</f>
        <v>tier - 3</v>
      </c>
      <c r="P266" t="str">
        <f>VLOOKUP($B266,'Hospitalisation Details'!A265:J2609,7,0)</f>
        <v>tier - 2</v>
      </c>
      <c r="Q266" t="str">
        <f>VLOOKUP($B266,'Hospitalisation Details'!A265:J2609,9,0)</f>
        <v>R1012</v>
      </c>
      <c r="R266">
        <f>VLOOKUP($B266,'Hospitalisation Details'!A265:K2609,11,0)</f>
        <v>22</v>
      </c>
    </row>
    <row r="267" spans="1:18" x14ac:dyDescent="0.35">
      <c r="A267" t="s">
        <v>2106</v>
      </c>
      <c r="B267" t="s">
        <v>295</v>
      </c>
      <c r="C267" t="str">
        <f>VLOOKUP($A267,'Customer Names'!$A:$E,4,FALSE)</f>
        <v>Erik</v>
      </c>
      <c r="D267" t="str">
        <f>VLOOKUP($A267,'Medical Examinations'!$A:$J,2,FALSE)</f>
        <v>Obesity</v>
      </c>
      <c r="E267">
        <f>VLOOKUP($A267,'Medical Examinations'!$A:$J,4,FALSE)</f>
        <v>6.01</v>
      </c>
      <c r="F267" t="str">
        <f>VLOOKUP($A267,'Medical Examinations'!$A:$J,6,FALSE)</f>
        <v>No</v>
      </c>
      <c r="G267" t="str">
        <f>VLOOKUP($A267,'Medical Examinations'!$A:$J,7,FALSE)</f>
        <v>No</v>
      </c>
      <c r="H267" t="str">
        <f>VLOOKUP($A267,'Medical Examinations'!$A:$J,8,FALSE)</f>
        <v>No</v>
      </c>
      <c r="I267">
        <f>VLOOKUP($A267,'Medical Examinations'!$A:$J,9,FALSE)</f>
        <v>0</v>
      </c>
      <c r="J267" t="str">
        <f>VLOOKUP($A267,'Medical Examinations'!$A:$J,10,FALSE)</f>
        <v>yes</v>
      </c>
      <c r="K267" t="str">
        <f>VLOOKUP($A267,'Medical Examinations'!$A:$J,5,FALSE)</f>
        <v>Prediabetes</v>
      </c>
      <c r="L267">
        <f>VLOOKUP($A268,'Medical Examinations'!$A:$J,3,FALSE)</f>
        <v>33.14</v>
      </c>
      <c r="M267">
        <f>VLOOKUP($A267,'Hospitalisation Details'!$A:$K,6,FALSE)</f>
        <v>33292.83</v>
      </c>
      <c r="N267" s="11">
        <f>VLOOKUP($B267,'Hospitalisation Details'!A266:J2610,10,0)</f>
        <v>35639</v>
      </c>
      <c r="O267" t="str">
        <f>VLOOKUP($B267,'Hospitalisation Details'!A266:J2610,8,0)</f>
        <v>tier - 3</v>
      </c>
      <c r="P267" t="str">
        <f>VLOOKUP($B267,'Hospitalisation Details'!A266:J2610,7,0)</f>
        <v>tier - 3</v>
      </c>
      <c r="Q267" t="str">
        <f>VLOOKUP($B267,'Hospitalisation Details'!A266:J2610,9,0)</f>
        <v>R1012</v>
      </c>
      <c r="R267">
        <f>VLOOKUP($B267,'Hospitalisation Details'!A266:K2610,11,0)</f>
        <v>25</v>
      </c>
    </row>
    <row r="268" spans="1:18" x14ac:dyDescent="0.35">
      <c r="A268" t="s">
        <v>2105</v>
      </c>
      <c r="B268" t="s">
        <v>296</v>
      </c>
      <c r="C268" t="str">
        <f>VLOOKUP($A268,'Customer Names'!$A:$E,4,FALSE)</f>
        <v>Erin C.</v>
      </c>
      <c r="D268" t="str">
        <f>VLOOKUP($A268,'Medical Examinations'!$A:$J,2,FALSE)</f>
        <v>Obesity</v>
      </c>
      <c r="E268">
        <f>VLOOKUP($A268,'Medical Examinations'!$A:$J,4,FALSE)</f>
        <v>5.67</v>
      </c>
      <c r="F268" t="str">
        <f>VLOOKUP($A268,'Medical Examinations'!$A:$J,6,FALSE)</f>
        <v>yes</v>
      </c>
      <c r="G268" t="str">
        <f>VLOOKUP($A268,'Medical Examinations'!$A:$J,7,FALSE)</f>
        <v>No</v>
      </c>
      <c r="H268" t="str">
        <f>VLOOKUP($A268,'Medical Examinations'!$A:$J,8,FALSE)</f>
        <v>No</v>
      </c>
      <c r="I268">
        <f>VLOOKUP($A268,'Medical Examinations'!$A:$J,9,FALSE)</f>
        <v>0</v>
      </c>
      <c r="J268" t="str">
        <f>VLOOKUP($A268,'Medical Examinations'!$A:$J,10,FALSE)</f>
        <v>yes</v>
      </c>
      <c r="K268" t="str">
        <f>VLOOKUP($A268,'Medical Examinations'!$A:$J,5,FALSE)</f>
        <v>Normal</v>
      </c>
      <c r="L268">
        <f>VLOOKUP($A269,'Medical Examinations'!$A:$J,3,FALSE)</f>
        <v>25.14</v>
      </c>
      <c r="M268">
        <f>VLOOKUP($A268,'Hospitalisation Details'!$A:$K,6,FALSE)</f>
        <v>33121</v>
      </c>
      <c r="N268" s="11">
        <f>VLOOKUP($B268,'Hospitalisation Details'!A267:J2611,10,0)</f>
        <v>33147</v>
      </c>
      <c r="O268" t="str">
        <f>VLOOKUP($B268,'Hospitalisation Details'!A267:J2611,8,0)</f>
        <v>tier - 2</v>
      </c>
      <c r="P268" t="str">
        <f>VLOOKUP($B268,'Hospitalisation Details'!A267:J2611,7,0)</f>
        <v>tier - 2</v>
      </c>
      <c r="Q268" t="str">
        <f>VLOOKUP($B268,'Hospitalisation Details'!A267:J2611,9,0)</f>
        <v>R1013</v>
      </c>
      <c r="R268">
        <f>VLOOKUP($B268,'Hospitalisation Details'!A267:K2611,11,0)</f>
        <v>32</v>
      </c>
    </row>
    <row r="269" spans="1:18" x14ac:dyDescent="0.35">
      <c r="A269" t="s">
        <v>2104</v>
      </c>
      <c r="B269" t="s">
        <v>297</v>
      </c>
      <c r="C269" t="str">
        <f>VLOOKUP($A269,'Customer Names'!$A:$E,4,FALSE)</f>
        <v>Adrienne</v>
      </c>
      <c r="D269" t="str">
        <f>VLOOKUP($A269,'Medical Examinations'!$A:$J,2,FALSE)</f>
        <v>Overweight</v>
      </c>
      <c r="E269">
        <f>VLOOKUP($A269,'Medical Examinations'!$A:$J,4,FALSE)</f>
        <v>6.02</v>
      </c>
      <c r="F269" t="str">
        <f>VLOOKUP($A269,'Medical Examinations'!$A:$J,6,FALSE)</f>
        <v>yes</v>
      </c>
      <c r="G269" t="str">
        <f>VLOOKUP($A269,'Medical Examinations'!$A:$J,7,FALSE)</f>
        <v>No</v>
      </c>
      <c r="H269" t="str">
        <f>VLOOKUP($A269,'Medical Examinations'!$A:$J,8,FALSE)</f>
        <v>Yes</v>
      </c>
      <c r="I269">
        <f>VLOOKUP($A269,'Medical Examinations'!$A:$J,9,FALSE)</f>
        <v>1</v>
      </c>
      <c r="J269" t="str">
        <f>VLOOKUP($A269,'Medical Examinations'!$A:$J,10,FALSE)</f>
        <v>yes</v>
      </c>
      <c r="K269" t="str">
        <f>VLOOKUP($A269,'Medical Examinations'!$A:$J,5,FALSE)</f>
        <v>Prediabetes</v>
      </c>
      <c r="L269">
        <f>VLOOKUP($A270,'Medical Examinations'!$A:$J,3,FALSE)</f>
        <v>20.18</v>
      </c>
      <c r="M269">
        <f>VLOOKUP($A269,'Hospitalisation Details'!$A:$K,6,FALSE)</f>
        <v>33090.660000000003</v>
      </c>
      <c r="N269" s="11">
        <f>VLOOKUP($B269,'Hospitalisation Details'!A268:J2612,10,0)</f>
        <v>33559</v>
      </c>
      <c r="O269" t="str">
        <f>VLOOKUP($B269,'Hospitalisation Details'!A268:J2612,8,0)</f>
        <v>tier - 1</v>
      </c>
      <c r="P269" t="str">
        <f>VLOOKUP($B269,'Hospitalisation Details'!A268:J2612,7,0)</f>
        <v>tier - 2</v>
      </c>
      <c r="Q269" t="str">
        <f>VLOOKUP($B269,'Hospitalisation Details'!A268:J2612,9,0)</f>
        <v>R1013</v>
      </c>
      <c r="R269">
        <f>VLOOKUP($B269,'Hospitalisation Details'!A268:K2612,11,0)</f>
        <v>31</v>
      </c>
    </row>
    <row r="270" spans="1:18" x14ac:dyDescent="0.35">
      <c r="A270" t="s">
        <v>2103</v>
      </c>
      <c r="B270" t="s">
        <v>298</v>
      </c>
      <c r="C270" t="str">
        <f>VLOOKUP($A270,'Customer Names'!$A:$E,4,FALSE)</f>
        <v>Adam</v>
      </c>
      <c r="D270" t="str">
        <f>VLOOKUP($A270,'Medical Examinations'!$A:$J,2,FALSE)</f>
        <v>Normal Weight</v>
      </c>
      <c r="E270">
        <f>VLOOKUP($A270,'Medical Examinations'!$A:$J,4,FALSE)</f>
        <v>11.19</v>
      </c>
      <c r="F270" t="str">
        <f>VLOOKUP($A270,'Medical Examinations'!$A:$J,6,FALSE)</f>
        <v>No</v>
      </c>
      <c r="G270" t="str">
        <f>VLOOKUP($A270,'Medical Examinations'!$A:$J,7,FALSE)</f>
        <v>No</v>
      </c>
      <c r="H270" t="str">
        <f>VLOOKUP($A270,'Medical Examinations'!$A:$J,8,FALSE)</f>
        <v>No</v>
      </c>
      <c r="I270">
        <f>VLOOKUP($A270,'Medical Examinations'!$A:$J,9,FALSE)</f>
        <v>0</v>
      </c>
      <c r="J270" t="str">
        <f>VLOOKUP($A270,'Medical Examinations'!$A:$J,10,FALSE)</f>
        <v>yes</v>
      </c>
      <c r="K270" t="str">
        <f>VLOOKUP($A270,'Medical Examinations'!$A:$J,5,FALSE)</f>
        <v>Diabetes</v>
      </c>
      <c r="L270">
        <f>VLOOKUP($A271,'Medical Examinations'!$A:$J,3,FALSE)</f>
        <v>44.36</v>
      </c>
      <c r="M270">
        <f>VLOOKUP($A270,'Hospitalisation Details'!$A:$K,6,FALSE)</f>
        <v>33074.94</v>
      </c>
      <c r="N270" s="11">
        <f>VLOOKUP($B270,'Hospitalisation Details'!A269:J2613,10,0)</f>
        <v>37540</v>
      </c>
      <c r="O270" t="str">
        <f>VLOOKUP($B270,'Hospitalisation Details'!A269:J2613,8,0)</f>
        <v>tier - 3</v>
      </c>
      <c r="P270" t="str">
        <f>VLOOKUP($B270,'Hospitalisation Details'!A269:J2613,7,0)</f>
        <v>tier - 2</v>
      </c>
      <c r="Q270" t="str">
        <f>VLOOKUP($B270,'Hospitalisation Details'!A269:J2613,9,0)</f>
        <v>R1013</v>
      </c>
      <c r="R270">
        <f>VLOOKUP($B270,'Hospitalisation Details'!A269:K2613,11,0)</f>
        <v>20</v>
      </c>
    </row>
    <row r="271" spans="1:18" x14ac:dyDescent="0.35">
      <c r="A271" t="s">
        <v>2102</v>
      </c>
      <c r="B271" t="s">
        <v>299</v>
      </c>
      <c r="C271" t="str">
        <f>VLOOKUP($A271,'Customer Names'!$A:$E,4,FALSE)</f>
        <v>Yutaka</v>
      </c>
      <c r="D271" t="str">
        <f>VLOOKUP($A271,'Medical Examinations'!$A:$J,2,FALSE)</f>
        <v>Obesity</v>
      </c>
      <c r="E271">
        <f>VLOOKUP($A271,'Medical Examinations'!$A:$J,4,FALSE)</f>
        <v>5.1100000000000003</v>
      </c>
      <c r="F271" t="str">
        <f>VLOOKUP($A271,'Medical Examinations'!$A:$J,6,FALSE)</f>
        <v>No</v>
      </c>
      <c r="G271" t="str">
        <f>VLOOKUP($A271,'Medical Examinations'!$A:$J,7,FALSE)</f>
        <v>No</v>
      </c>
      <c r="H271" t="str">
        <f>VLOOKUP($A271,'Medical Examinations'!$A:$J,8,FALSE)</f>
        <v>No</v>
      </c>
      <c r="I271">
        <f>VLOOKUP($A271,'Medical Examinations'!$A:$J,9,FALSE)</f>
        <v>0</v>
      </c>
      <c r="J271" t="str">
        <f>VLOOKUP($A271,'Medical Examinations'!$A:$J,10,FALSE)</f>
        <v>yes</v>
      </c>
      <c r="K271" t="str">
        <f>VLOOKUP($A271,'Medical Examinations'!$A:$J,5,FALSE)</f>
        <v>Normal</v>
      </c>
      <c r="L271">
        <f>VLOOKUP($A272,'Medical Examinations'!$A:$J,3,FALSE)</f>
        <v>23.82</v>
      </c>
      <c r="M271">
        <f>VLOOKUP($A271,'Hospitalisation Details'!$A:$K,6,FALSE)</f>
        <v>33057.230000000003</v>
      </c>
      <c r="N271" s="11">
        <f>VLOOKUP($B271,'Hospitalisation Details'!A270:J2614,10,0)</f>
        <v>37457</v>
      </c>
      <c r="O271" t="str">
        <f>VLOOKUP($B271,'Hospitalisation Details'!A270:J2614,8,0)</f>
        <v>tier - 2</v>
      </c>
      <c r="P271" t="str">
        <f>VLOOKUP($B271,'Hospitalisation Details'!A270:J2614,7,0)</f>
        <v>tier - 2</v>
      </c>
      <c r="Q271" t="str">
        <f>VLOOKUP($B271,'Hospitalisation Details'!A270:J2614,9,0)</f>
        <v>R1021</v>
      </c>
      <c r="R271">
        <f>VLOOKUP($B271,'Hospitalisation Details'!A270:K2614,11,0)</f>
        <v>20</v>
      </c>
    </row>
    <row r="272" spans="1:18" x14ac:dyDescent="0.35">
      <c r="A272" t="s">
        <v>2101</v>
      </c>
      <c r="B272" t="s">
        <v>301</v>
      </c>
      <c r="C272" t="str">
        <f>VLOOKUP($A272,'Customer Names'!$A:$E,4,FALSE)</f>
        <v>Tyler M</v>
      </c>
      <c r="D272" t="str">
        <f>VLOOKUP($A272,'Medical Examinations'!$A:$J,2,FALSE)</f>
        <v>Normal Weight</v>
      </c>
      <c r="E272">
        <f>VLOOKUP($A272,'Medical Examinations'!$A:$J,4,FALSE)</f>
        <v>10.85</v>
      </c>
      <c r="F272" t="str">
        <f>VLOOKUP($A272,'Medical Examinations'!$A:$J,6,FALSE)</f>
        <v>yes</v>
      </c>
      <c r="G272" t="str">
        <f>VLOOKUP($A272,'Medical Examinations'!$A:$J,7,FALSE)</f>
        <v>No</v>
      </c>
      <c r="H272" t="str">
        <f>VLOOKUP($A272,'Medical Examinations'!$A:$J,8,FALSE)</f>
        <v>No</v>
      </c>
      <c r="I272">
        <f>VLOOKUP($A272,'Medical Examinations'!$A:$J,9,FALSE)</f>
        <v>0</v>
      </c>
      <c r="J272" t="str">
        <f>VLOOKUP($A272,'Medical Examinations'!$A:$J,10,FALSE)</f>
        <v>yes</v>
      </c>
      <c r="K272" t="str">
        <f>VLOOKUP($A272,'Medical Examinations'!$A:$J,5,FALSE)</f>
        <v>Diabetes</v>
      </c>
      <c r="L272">
        <f>VLOOKUP($A273,'Medical Examinations'!$A:$J,3,FALSE)</f>
        <v>45</v>
      </c>
      <c r="M272">
        <f>VLOOKUP($A272,'Hospitalisation Details'!$A:$K,6,FALSE)</f>
        <v>33025.32</v>
      </c>
      <c r="N272" s="11">
        <f>VLOOKUP($B272,'Hospitalisation Details'!A271:J2615,10,0)</f>
        <v>37179</v>
      </c>
      <c r="O272" t="str">
        <f>VLOOKUP($B272,'Hospitalisation Details'!A271:J2615,8,0)</f>
        <v>tier - 3</v>
      </c>
      <c r="P272" t="str">
        <f>VLOOKUP($B272,'Hospitalisation Details'!A271:J2615,7,0)</f>
        <v>tier - 2</v>
      </c>
      <c r="Q272" t="str">
        <f>VLOOKUP($B272,'Hospitalisation Details'!A271:J2615,9,0)</f>
        <v>R1011</v>
      </c>
      <c r="R272">
        <f>VLOOKUP($B272,'Hospitalisation Details'!A271:K2615,11,0)</f>
        <v>21</v>
      </c>
    </row>
    <row r="273" spans="1:18" x14ac:dyDescent="0.35">
      <c r="A273" t="s">
        <v>2100</v>
      </c>
      <c r="B273" t="s">
        <v>302</v>
      </c>
      <c r="C273" t="str">
        <f>VLOOKUP($A273,'Customer Names'!$A:$E,4,FALSE)</f>
        <v>Stephen</v>
      </c>
      <c r="D273" t="str">
        <f>VLOOKUP($A273,'Medical Examinations'!$A:$J,2,FALSE)</f>
        <v>Obesity</v>
      </c>
      <c r="E273">
        <f>VLOOKUP($A273,'Medical Examinations'!$A:$J,4,FALSE)</f>
        <v>5.24</v>
      </c>
      <c r="F273" t="str">
        <f>VLOOKUP($A273,'Medical Examinations'!$A:$J,6,FALSE)</f>
        <v>yes</v>
      </c>
      <c r="G273" t="str">
        <f>VLOOKUP($A273,'Medical Examinations'!$A:$J,7,FALSE)</f>
        <v>No</v>
      </c>
      <c r="H273" t="str">
        <f>VLOOKUP($A273,'Medical Examinations'!$A:$J,8,FALSE)</f>
        <v>No</v>
      </c>
      <c r="I273">
        <f>VLOOKUP($A273,'Medical Examinations'!$A:$J,9,FALSE)</f>
        <v>1</v>
      </c>
      <c r="J273" t="str">
        <f>VLOOKUP($A273,'Medical Examinations'!$A:$J,10,FALSE)</f>
        <v>yes</v>
      </c>
      <c r="K273" t="str">
        <f>VLOOKUP($A273,'Medical Examinations'!$A:$J,5,FALSE)</f>
        <v>Normal</v>
      </c>
      <c r="L273">
        <f>VLOOKUP($A274,'Medical Examinations'!$A:$J,3,FALSE)</f>
        <v>26.62</v>
      </c>
      <c r="M273">
        <f>VLOOKUP($A273,'Hospitalisation Details'!$A:$K,6,FALSE)</f>
        <v>33017.46</v>
      </c>
      <c r="N273" s="11">
        <f>VLOOKUP($B273,'Hospitalisation Details'!A272:J2616,10,0)</f>
        <v>37100</v>
      </c>
      <c r="O273" t="str">
        <f>VLOOKUP($B273,'Hospitalisation Details'!A272:J2616,8,0)</f>
        <v>tier - 2</v>
      </c>
      <c r="P273" t="str">
        <f>VLOOKUP($B273,'Hospitalisation Details'!A272:J2616,7,0)</f>
        <v>tier - 2</v>
      </c>
      <c r="Q273" t="str">
        <f>VLOOKUP($B273,'Hospitalisation Details'!A272:J2616,9,0)</f>
        <v>R1024</v>
      </c>
      <c r="R273">
        <f>VLOOKUP($B273,'Hospitalisation Details'!A272:K2616,11,0)</f>
        <v>21</v>
      </c>
    </row>
    <row r="274" spans="1:18" x14ac:dyDescent="0.35">
      <c r="A274" t="s">
        <v>2099</v>
      </c>
      <c r="B274" t="s">
        <v>303</v>
      </c>
      <c r="C274" t="str">
        <f>VLOOKUP($A274,'Customer Names'!$A:$E,4,FALSE)</f>
        <v>Andrew B.</v>
      </c>
      <c r="D274" t="str">
        <f>VLOOKUP($A274,'Medical Examinations'!$A:$J,2,FALSE)</f>
        <v>Overweight</v>
      </c>
      <c r="E274">
        <f>VLOOKUP($A274,'Medical Examinations'!$A:$J,4,FALSE)</f>
        <v>10.08</v>
      </c>
      <c r="F274" t="str">
        <f>VLOOKUP($A274,'Medical Examinations'!$A:$J,6,FALSE)</f>
        <v>No</v>
      </c>
      <c r="G274" t="str">
        <f>VLOOKUP($A274,'Medical Examinations'!$A:$J,7,FALSE)</f>
        <v>No</v>
      </c>
      <c r="H274" t="str">
        <f>VLOOKUP($A274,'Medical Examinations'!$A:$J,8,FALSE)</f>
        <v>No</v>
      </c>
      <c r="I274">
        <f>VLOOKUP($A274,'Medical Examinations'!$A:$J,9,FALSE)</f>
        <v>0</v>
      </c>
      <c r="J274" t="str">
        <f>VLOOKUP($A274,'Medical Examinations'!$A:$J,10,FALSE)</f>
        <v>yes</v>
      </c>
      <c r="K274" t="str">
        <f>VLOOKUP($A274,'Medical Examinations'!$A:$J,5,FALSE)</f>
        <v>Diabetes</v>
      </c>
      <c r="L274">
        <f>VLOOKUP($A275,'Medical Examinations'!$A:$J,3,FALSE)</f>
        <v>32.67</v>
      </c>
      <c r="M274">
        <f>VLOOKUP($A274,'Hospitalisation Details'!$A:$K,6,FALSE)</f>
        <v>32947.629999999997</v>
      </c>
      <c r="N274" s="11">
        <f>VLOOKUP($B274,'Hospitalisation Details'!A273:J2617,10,0)</f>
        <v>37129</v>
      </c>
      <c r="O274" t="str">
        <f>VLOOKUP($B274,'Hospitalisation Details'!A273:J2617,8,0)</f>
        <v>tier - 1</v>
      </c>
      <c r="P274" t="str">
        <f>VLOOKUP($B274,'Hospitalisation Details'!A273:J2617,7,0)</f>
        <v>tier - 2</v>
      </c>
      <c r="Q274" t="str">
        <f>VLOOKUP($B274,'Hospitalisation Details'!A273:J2617,9,0)</f>
        <v>R1011</v>
      </c>
      <c r="R274">
        <f>VLOOKUP($B274,'Hospitalisation Details'!A273:K2617,11,0)</f>
        <v>21</v>
      </c>
    </row>
    <row r="275" spans="1:18" x14ac:dyDescent="0.35">
      <c r="A275" t="s">
        <v>2098</v>
      </c>
      <c r="B275" t="s">
        <v>304</v>
      </c>
      <c r="C275" t="str">
        <f>VLOOKUP($A275,'Customer Names'!$A:$E,4,FALSE)</f>
        <v>James</v>
      </c>
      <c r="D275" t="str">
        <f>VLOOKUP($A275,'Medical Examinations'!$A:$J,2,FALSE)</f>
        <v>Obesity</v>
      </c>
      <c r="E275">
        <f>VLOOKUP($A275,'Medical Examinations'!$A:$J,4,FALSE)</f>
        <v>10.97</v>
      </c>
      <c r="F275" t="str">
        <f>VLOOKUP($A275,'Medical Examinations'!$A:$J,6,FALSE)</f>
        <v>yes</v>
      </c>
      <c r="G275" t="str">
        <f>VLOOKUP($A275,'Medical Examinations'!$A:$J,7,FALSE)</f>
        <v>No</v>
      </c>
      <c r="H275" t="str">
        <f>VLOOKUP($A275,'Medical Examinations'!$A:$J,8,FALSE)</f>
        <v>No</v>
      </c>
      <c r="I275">
        <f>VLOOKUP($A275,'Medical Examinations'!$A:$J,9,FALSE)</f>
        <v>0</v>
      </c>
      <c r="J275" t="str">
        <f>VLOOKUP($A275,'Medical Examinations'!$A:$J,10,FALSE)</f>
        <v>yes</v>
      </c>
      <c r="K275" t="str">
        <f>VLOOKUP($A275,'Medical Examinations'!$A:$J,5,FALSE)</f>
        <v>Diabetes</v>
      </c>
      <c r="L275">
        <f>VLOOKUP($A276,'Medical Examinations'!$A:$J,3,FALSE)</f>
        <v>44.44</v>
      </c>
      <c r="M275">
        <f>VLOOKUP($A275,'Hospitalisation Details'!$A:$K,6,FALSE)</f>
        <v>32906.69</v>
      </c>
      <c r="N275" s="11">
        <f>VLOOKUP($B275,'Hospitalisation Details'!A274:J2618,10,0)</f>
        <v>35668</v>
      </c>
      <c r="O275" t="str">
        <f>VLOOKUP($B275,'Hospitalisation Details'!A274:J2618,8,0)</f>
        <v>tier - 1</v>
      </c>
      <c r="P275" t="str">
        <f>VLOOKUP($B275,'Hospitalisation Details'!A274:J2618,7,0)</f>
        <v>tier - 2</v>
      </c>
      <c r="Q275" t="str">
        <f>VLOOKUP($B275,'Hospitalisation Details'!A274:J2618,9,0)</f>
        <v>R1011</v>
      </c>
      <c r="R275">
        <f>VLOOKUP($B275,'Hospitalisation Details'!A274:K2618,11,0)</f>
        <v>25</v>
      </c>
    </row>
    <row r="276" spans="1:18" x14ac:dyDescent="0.35">
      <c r="A276" t="s">
        <v>2097</v>
      </c>
      <c r="B276" t="s">
        <v>305</v>
      </c>
      <c r="C276" t="str">
        <f>VLOOKUP($A276,'Customer Names'!$A:$E,4,FALSE)</f>
        <v>Shawn P.</v>
      </c>
      <c r="D276" t="str">
        <f>VLOOKUP($A276,'Medical Examinations'!$A:$J,2,FALSE)</f>
        <v>Obesity</v>
      </c>
      <c r="E276">
        <f>VLOOKUP($A276,'Medical Examinations'!$A:$J,4,FALSE)</f>
        <v>4.9000000000000004</v>
      </c>
      <c r="F276" t="str">
        <f>VLOOKUP($A276,'Medical Examinations'!$A:$J,6,FALSE)</f>
        <v>yes</v>
      </c>
      <c r="G276" t="str">
        <f>VLOOKUP($A276,'Medical Examinations'!$A:$J,7,FALSE)</f>
        <v>No</v>
      </c>
      <c r="H276" t="str">
        <f>VLOOKUP($A276,'Medical Examinations'!$A:$J,8,FALSE)</f>
        <v>No</v>
      </c>
      <c r="I276">
        <f>VLOOKUP($A276,'Medical Examinations'!$A:$J,9,FALSE)</f>
        <v>1</v>
      </c>
      <c r="J276" t="str">
        <f>VLOOKUP($A276,'Medical Examinations'!$A:$J,10,FALSE)</f>
        <v>yes</v>
      </c>
      <c r="K276" t="str">
        <f>VLOOKUP($A276,'Medical Examinations'!$A:$J,5,FALSE)</f>
        <v>Normal</v>
      </c>
      <c r="L276">
        <f>VLOOKUP($A277,'Medical Examinations'!$A:$J,3,FALSE)</f>
        <v>28.31</v>
      </c>
      <c r="M276">
        <f>VLOOKUP($A276,'Hospitalisation Details'!$A:$K,6,FALSE)</f>
        <v>32827.51</v>
      </c>
      <c r="N276" s="11">
        <f>VLOOKUP($B276,'Hospitalisation Details'!A275:J2619,10,0)</f>
        <v>36701</v>
      </c>
      <c r="O276" t="str">
        <f>VLOOKUP($B276,'Hospitalisation Details'!A275:J2619,8,0)</f>
        <v>tier - 2</v>
      </c>
      <c r="P276" t="str">
        <f>VLOOKUP($B276,'Hospitalisation Details'!A275:J2619,7,0)</f>
        <v>tier - 2</v>
      </c>
      <c r="Q276" t="str">
        <f>VLOOKUP($B276,'Hospitalisation Details'!A275:J2619,9,0)</f>
        <v>R1012</v>
      </c>
      <c r="R276">
        <f>VLOOKUP($B276,'Hospitalisation Details'!A275:K2619,11,0)</f>
        <v>22</v>
      </c>
    </row>
    <row r="277" spans="1:18" x14ac:dyDescent="0.35">
      <c r="A277" t="s">
        <v>2096</v>
      </c>
      <c r="B277" t="s">
        <v>306</v>
      </c>
      <c r="C277" t="str">
        <f>VLOOKUP($A277,'Customer Names'!$A:$E,4,FALSE)</f>
        <v>Matt</v>
      </c>
      <c r="D277" t="str">
        <f>VLOOKUP($A277,'Medical Examinations'!$A:$J,2,FALSE)</f>
        <v>Overweight</v>
      </c>
      <c r="E277">
        <f>VLOOKUP($A277,'Medical Examinations'!$A:$J,4,FALSE)</f>
        <v>5.33</v>
      </c>
      <c r="F277" t="str">
        <f>VLOOKUP($A277,'Medical Examinations'!$A:$J,6,FALSE)</f>
        <v>No</v>
      </c>
      <c r="G277" t="str">
        <f>VLOOKUP($A277,'Medical Examinations'!$A:$J,7,FALSE)</f>
        <v>No</v>
      </c>
      <c r="H277" t="str">
        <f>VLOOKUP($A277,'Medical Examinations'!$A:$J,8,FALSE)</f>
        <v>No</v>
      </c>
      <c r="I277">
        <f>VLOOKUP($A277,'Medical Examinations'!$A:$J,9,FALSE)</f>
        <v>0</v>
      </c>
      <c r="J277" t="str">
        <f>VLOOKUP($A277,'Medical Examinations'!$A:$J,10,FALSE)</f>
        <v>yes</v>
      </c>
      <c r="K277" t="str">
        <f>VLOOKUP($A277,'Medical Examinations'!$A:$J,5,FALSE)</f>
        <v>Normal</v>
      </c>
      <c r="L277">
        <f>VLOOKUP($A278,'Medical Examinations'!$A:$J,3,FALSE)</f>
        <v>25.05</v>
      </c>
      <c r="M277">
        <f>VLOOKUP($A277,'Hospitalisation Details'!$A:$K,6,FALSE)</f>
        <v>32787.46</v>
      </c>
      <c r="N277" s="11">
        <f>VLOOKUP($B277,'Hospitalisation Details'!A276:J2620,10,0)</f>
        <v>36869</v>
      </c>
      <c r="O277" t="str">
        <f>VLOOKUP($B277,'Hospitalisation Details'!A276:J2620,8,0)</f>
        <v>tier - 1</v>
      </c>
      <c r="P277" t="str">
        <f>VLOOKUP($B277,'Hospitalisation Details'!A276:J2620,7,0)</f>
        <v>tier - 2</v>
      </c>
      <c r="Q277" t="str">
        <f>VLOOKUP($B277,'Hospitalisation Details'!A276:J2620,9,0)</f>
        <v>R1012</v>
      </c>
      <c r="R277">
        <f>VLOOKUP($B277,'Hospitalisation Details'!A276:K2620,11,0)</f>
        <v>22</v>
      </c>
    </row>
    <row r="278" spans="1:18" x14ac:dyDescent="0.35">
      <c r="A278" t="s">
        <v>2095</v>
      </c>
      <c r="B278" t="s">
        <v>307</v>
      </c>
      <c r="C278" t="str">
        <f>VLOOKUP($A278,'Customer Names'!$A:$E,4,FALSE)</f>
        <v>Nathaniel</v>
      </c>
      <c r="D278" t="str">
        <f>VLOOKUP($A278,'Medical Examinations'!$A:$J,2,FALSE)</f>
        <v>Overweight</v>
      </c>
      <c r="E278">
        <f>VLOOKUP($A278,'Medical Examinations'!$A:$J,4,FALSE)</f>
        <v>4.6100000000000003</v>
      </c>
      <c r="F278" t="str">
        <f>VLOOKUP($A278,'Medical Examinations'!$A:$J,6,FALSE)</f>
        <v>No</v>
      </c>
      <c r="G278" t="str">
        <f>VLOOKUP($A278,'Medical Examinations'!$A:$J,7,FALSE)</f>
        <v>No</v>
      </c>
      <c r="H278" t="str">
        <f>VLOOKUP($A278,'Medical Examinations'!$A:$J,8,FALSE)</f>
        <v>No</v>
      </c>
      <c r="I278">
        <f>VLOOKUP($A278,'Medical Examinations'!$A:$J,9,FALSE)</f>
        <v>2</v>
      </c>
      <c r="J278" t="str">
        <f>VLOOKUP($A278,'Medical Examinations'!$A:$J,10,FALSE)</f>
        <v>yes</v>
      </c>
      <c r="K278" t="str">
        <f>VLOOKUP($A278,'Medical Examinations'!$A:$J,5,FALSE)</f>
        <v>Normal</v>
      </c>
      <c r="L278">
        <f>VLOOKUP($A279,'Medical Examinations'!$A:$J,3,FALSE)</f>
        <v>28.34</v>
      </c>
      <c r="M278">
        <f>VLOOKUP($A278,'Hospitalisation Details'!$A:$K,6,FALSE)</f>
        <v>32765.33</v>
      </c>
      <c r="N278" s="11">
        <f>VLOOKUP($B278,'Hospitalisation Details'!A277:J2621,10,0)</f>
        <v>35282</v>
      </c>
      <c r="O278" t="str">
        <f>VLOOKUP($B278,'Hospitalisation Details'!A277:J2621,8,0)</f>
        <v>tier - 2</v>
      </c>
      <c r="P278" t="str">
        <f>VLOOKUP($B278,'Hospitalisation Details'!A277:J2621,7,0)</f>
        <v>tier - 3</v>
      </c>
      <c r="Q278" t="str">
        <f>VLOOKUP($B278,'Hospitalisation Details'!A277:J2621,9,0)</f>
        <v>R1012</v>
      </c>
      <c r="R278">
        <f>VLOOKUP($B278,'Hospitalisation Details'!A277:K2621,11,0)</f>
        <v>26</v>
      </c>
    </row>
    <row r="279" spans="1:18" x14ac:dyDescent="0.35">
      <c r="A279" t="s">
        <v>2094</v>
      </c>
      <c r="B279" t="s">
        <v>308</v>
      </c>
      <c r="C279" t="str">
        <f>VLOOKUP($A279,'Customer Names'!$A:$E,4,FALSE)</f>
        <v>Kevin D.</v>
      </c>
      <c r="D279" t="str">
        <f>VLOOKUP($A279,'Medical Examinations'!$A:$J,2,FALSE)</f>
        <v>Overweight</v>
      </c>
      <c r="E279">
        <f>VLOOKUP($A279,'Medical Examinations'!$A:$J,4,FALSE)</f>
        <v>8.18</v>
      </c>
      <c r="F279" t="str">
        <f>VLOOKUP($A279,'Medical Examinations'!$A:$J,6,FALSE)</f>
        <v>No</v>
      </c>
      <c r="G279" t="str">
        <f>VLOOKUP($A279,'Medical Examinations'!$A:$J,7,FALSE)</f>
        <v>No</v>
      </c>
      <c r="H279" t="str">
        <f>VLOOKUP($A279,'Medical Examinations'!$A:$J,8,FALSE)</f>
        <v>No</v>
      </c>
      <c r="I279">
        <f>VLOOKUP($A279,'Medical Examinations'!$A:$J,9,FALSE)</f>
        <v>0</v>
      </c>
      <c r="J279" t="str">
        <f>VLOOKUP($A279,'Medical Examinations'!$A:$J,10,FALSE)</f>
        <v>yes</v>
      </c>
      <c r="K279" t="str">
        <f>VLOOKUP($A279,'Medical Examinations'!$A:$J,5,FALSE)</f>
        <v>Diabetes</v>
      </c>
      <c r="L279">
        <f>VLOOKUP($A280,'Medical Examinations'!$A:$J,3,FALSE)</f>
        <v>17.765000000000001</v>
      </c>
      <c r="M279">
        <f>VLOOKUP($A279,'Hospitalisation Details'!$A:$K,6,FALSE)</f>
        <v>32760.48</v>
      </c>
      <c r="N279" s="11">
        <f>VLOOKUP($B279,'Hospitalisation Details'!A278:J2622,10,0)</f>
        <v>34594</v>
      </c>
      <c r="O279" t="str">
        <f>VLOOKUP($B279,'Hospitalisation Details'!A278:J2622,8,0)</f>
        <v>tier - 2</v>
      </c>
      <c r="P279" t="str">
        <f>VLOOKUP($B279,'Hospitalisation Details'!A278:J2622,7,0)</f>
        <v>tier - 2</v>
      </c>
      <c r="Q279" t="str">
        <f>VLOOKUP($B279,'Hospitalisation Details'!A278:J2622,9,0)</f>
        <v>R1013</v>
      </c>
      <c r="R279">
        <f>VLOOKUP($B279,'Hospitalisation Details'!A278:K2622,11,0)</f>
        <v>28</v>
      </c>
    </row>
    <row r="280" spans="1:18" x14ac:dyDescent="0.35">
      <c r="A280" t="s">
        <v>2093</v>
      </c>
      <c r="B280" t="s">
        <v>309</v>
      </c>
      <c r="C280" t="str">
        <f>VLOOKUP($A280,'Customer Names'!$A:$E,4,FALSE)</f>
        <v>Joan</v>
      </c>
      <c r="D280" t="str">
        <f>VLOOKUP($A280,'Medical Examinations'!$A:$J,2,FALSE)</f>
        <v>Underweight</v>
      </c>
      <c r="E280">
        <f>VLOOKUP($A280,'Medical Examinations'!$A:$J,4,FALSE)</f>
        <v>5.62</v>
      </c>
      <c r="F280" t="str">
        <f>VLOOKUP($A280,'Medical Examinations'!$A:$J,6,FALSE)</f>
        <v>No</v>
      </c>
      <c r="G280" t="str">
        <f>VLOOKUP($A280,'Medical Examinations'!$A:$J,7,FALSE)</f>
        <v>No</v>
      </c>
      <c r="H280" t="str">
        <f>VLOOKUP($A280,'Medical Examinations'!$A:$J,8,FALSE)</f>
        <v>No</v>
      </c>
      <c r="I280">
        <f>VLOOKUP($A280,'Medical Examinations'!$A:$J,9,FALSE)</f>
        <v>0</v>
      </c>
      <c r="J280" t="str">
        <f>VLOOKUP($A280,'Medical Examinations'!$A:$J,10,FALSE)</f>
        <v>yes</v>
      </c>
      <c r="K280" t="str">
        <f>VLOOKUP($A280,'Medical Examinations'!$A:$J,5,FALSE)</f>
        <v>Normal</v>
      </c>
      <c r="L280">
        <f>VLOOKUP($A281,'Medical Examinations'!$A:$J,3,FALSE)</f>
        <v>36.119999999999997</v>
      </c>
      <c r="M280">
        <f>VLOOKUP($A280,'Hospitalisation Details'!$A:$K,6,FALSE)</f>
        <v>32734.19</v>
      </c>
      <c r="N280" s="11">
        <f>VLOOKUP($B280,'Hospitalisation Details'!A279:J2623,10,0)</f>
        <v>34609</v>
      </c>
      <c r="O280" t="str">
        <f>VLOOKUP($B280,'Hospitalisation Details'!A279:J2623,8,0)</f>
        <v>tier - 2</v>
      </c>
      <c r="P280" t="str">
        <f>VLOOKUP($B280,'Hospitalisation Details'!A279:J2623,7,0)</f>
        <v>tier - 3</v>
      </c>
      <c r="Q280" t="str">
        <f>VLOOKUP($B280,'Hospitalisation Details'!A279:J2623,9,0)</f>
        <v>R1013</v>
      </c>
      <c r="R280">
        <f>VLOOKUP($B280,'Hospitalisation Details'!A279:K2623,11,0)</f>
        <v>28</v>
      </c>
    </row>
    <row r="281" spans="1:18" x14ac:dyDescent="0.35">
      <c r="A281" t="s">
        <v>2092</v>
      </c>
      <c r="B281" t="s">
        <v>310</v>
      </c>
      <c r="C281" t="str">
        <f>VLOOKUP($A281,'Customer Names'!$A:$E,4,FALSE)</f>
        <v>Christopher A</v>
      </c>
      <c r="D281" t="str">
        <f>VLOOKUP($A281,'Medical Examinations'!$A:$J,2,FALSE)</f>
        <v>Obesity</v>
      </c>
      <c r="E281">
        <f>VLOOKUP($A281,'Medical Examinations'!$A:$J,4,FALSE)</f>
        <v>5.82</v>
      </c>
      <c r="F281" t="str">
        <f>VLOOKUP($A281,'Medical Examinations'!$A:$J,6,FALSE)</f>
        <v>No</v>
      </c>
      <c r="G281" t="str">
        <f>VLOOKUP($A281,'Medical Examinations'!$A:$J,7,FALSE)</f>
        <v>No</v>
      </c>
      <c r="H281" t="str">
        <f>VLOOKUP($A281,'Medical Examinations'!$A:$J,8,FALSE)</f>
        <v>No</v>
      </c>
      <c r="I281">
        <f>VLOOKUP($A281,'Medical Examinations'!$A:$J,9,FALSE)</f>
        <v>0</v>
      </c>
      <c r="J281" t="str">
        <f>VLOOKUP($A281,'Medical Examinations'!$A:$J,10,FALSE)</f>
        <v>yes</v>
      </c>
      <c r="K281" t="str">
        <f>VLOOKUP($A281,'Medical Examinations'!$A:$J,5,FALSE)</f>
        <v>Prediabetes</v>
      </c>
      <c r="L281">
        <f>VLOOKUP($A282,'Medical Examinations'!$A:$J,3,FALSE)</f>
        <v>23.19</v>
      </c>
      <c r="M281">
        <f>VLOOKUP($A281,'Hospitalisation Details'!$A:$K,6,FALSE)</f>
        <v>32716.2</v>
      </c>
      <c r="N281" s="11">
        <f>VLOOKUP($B281,'Hospitalisation Details'!A280:J2624,10,0)</f>
        <v>36322</v>
      </c>
      <c r="O281" t="str">
        <f>VLOOKUP($B281,'Hospitalisation Details'!A280:J2624,8,0)</f>
        <v>tier - 2</v>
      </c>
      <c r="P281" t="str">
        <f>VLOOKUP($B281,'Hospitalisation Details'!A280:J2624,7,0)</f>
        <v>tier - 2</v>
      </c>
      <c r="Q281" t="str">
        <f>VLOOKUP($B281,'Hospitalisation Details'!A280:J2624,9,0)</f>
        <v>R1012</v>
      </c>
      <c r="R281">
        <f>VLOOKUP($B281,'Hospitalisation Details'!A280:K2624,11,0)</f>
        <v>23</v>
      </c>
    </row>
    <row r="282" spans="1:18" x14ac:dyDescent="0.35">
      <c r="A282" t="s">
        <v>2091</v>
      </c>
      <c r="B282" t="s">
        <v>311</v>
      </c>
      <c r="C282" t="str">
        <f>VLOOKUP($A282,'Customer Names'!$A:$E,4,FALSE)</f>
        <v>Kacy L.</v>
      </c>
      <c r="D282" t="str">
        <f>VLOOKUP($A282,'Medical Examinations'!$A:$J,2,FALSE)</f>
        <v>Normal Weight</v>
      </c>
      <c r="E282">
        <f>VLOOKUP($A282,'Medical Examinations'!$A:$J,4,FALSE)</f>
        <v>7.66</v>
      </c>
      <c r="F282" t="str">
        <f>VLOOKUP($A282,'Medical Examinations'!$A:$J,6,FALSE)</f>
        <v>No</v>
      </c>
      <c r="G282" t="str">
        <f>VLOOKUP($A282,'Medical Examinations'!$A:$J,7,FALSE)</f>
        <v>No</v>
      </c>
      <c r="H282" t="str">
        <f>VLOOKUP($A282,'Medical Examinations'!$A:$J,8,FALSE)</f>
        <v>No</v>
      </c>
      <c r="I282">
        <f>VLOOKUP($A282,'Medical Examinations'!$A:$J,9,FALSE)</f>
        <v>0</v>
      </c>
      <c r="J282" t="str">
        <f>VLOOKUP($A282,'Medical Examinations'!$A:$J,10,FALSE)</f>
        <v>yes</v>
      </c>
      <c r="K282" t="str">
        <f>VLOOKUP($A282,'Medical Examinations'!$A:$J,5,FALSE)</f>
        <v>Diabetes</v>
      </c>
      <c r="L282">
        <f>VLOOKUP($A283,'Medical Examinations'!$A:$J,3,FALSE)</f>
        <v>35.99</v>
      </c>
      <c r="M282">
        <f>VLOOKUP($A282,'Hospitalisation Details'!$A:$K,6,FALSE)</f>
        <v>32686.080000000002</v>
      </c>
      <c r="N282" s="11">
        <f>VLOOKUP($B282,'Hospitalisation Details'!A281:J2625,10,0)</f>
        <v>35229</v>
      </c>
      <c r="O282" t="str">
        <f>VLOOKUP($B282,'Hospitalisation Details'!A281:J2625,8,0)</f>
        <v>tier - 1</v>
      </c>
      <c r="P282" t="str">
        <f>VLOOKUP($B282,'Hospitalisation Details'!A281:J2625,7,0)</f>
        <v>tier - 2</v>
      </c>
      <c r="Q282" t="str">
        <f>VLOOKUP($B282,'Hospitalisation Details'!A281:J2625,9,0)</f>
        <v>R1012</v>
      </c>
      <c r="R282">
        <f>VLOOKUP($B282,'Hospitalisation Details'!A281:K2625,11,0)</f>
        <v>26</v>
      </c>
    </row>
    <row r="283" spans="1:18" x14ac:dyDescent="0.35">
      <c r="A283" t="s">
        <v>2090</v>
      </c>
      <c r="B283" t="s">
        <v>312</v>
      </c>
      <c r="C283" t="str">
        <f>VLOOKUP($A283,'Customer Names'!$A:$E,4,FALSE)</f>
        <v>Benjamin H.</v>
      </c>
      <c r="D283" t="str">
        <f>VLOOKUP($A283,'Medical Examinations'!$A:$J,2,FALSE)</f>
        <v>Obesity</v>
      </c>
      <c r="E283">
        <f>VLOOKUP($A283,'Medical Examinations'!$A:$J,4,FALSE)</f>
        <v>4.2300000000000004</v>
      </c>
      <c r="F283" t="str">
        <f>VLOOKUP($A283,'Medical Examinations'!$A:$J,6,FALSE)</f>
        <v>No</v>
      </c>
      <c r="G283" t="str">
        <f>VLOOKUP($A283,'Medical Examinations'!$A:$J,7,FALSE)</f>
        <v>No</v>
      </c>
      <c r="H283" t="str">
        <f>VLOOKUP($A283,'Medical Examinations'!$A:$J,8,FALSE)</f>
        <v>No</v>
      </c>
      <c r="I283">
        <f>VLOOKUP($A283,'Medical Examinations'!$A:$J,9,FALSE)</f>
        <v>0</v>
      </c>
      <c r="J283" t="str">
        <f>VLOOKUP($A283,'Medical Examinations'!$A:$J,10,FALSE)</f>
        <v>yes</v>
      </c>
      <c r="K283" t="str">
        <f>VLOOKUP($A283,'Medical Examinations'!$A:$J,5,FALSE)</f>
        <v>Normal</v>
      </c>
      <c r="L283">
        <f>VLOOKUP($A284,'Medical Examinations'!$A:$J,3,FALSE)</f>
        <v>30.25</v>
      </c>
      <c r="M283">
        <f>VLOOKUP($A283,'Hospitalisation Details'!$A:$K,6,FALSE)</f>
        <v>32672.11</v>
      </c>
      <c r="N283" s="11">
        <f>VLOOKUP($B283,'Hospitalisation Details'!A282:J2626,10,0)</f>
        <v>37819</v>
      </c>
      <c r="O283" t="str">
        <f>VLOOKUP($B283,'Hospitalisation Details'!A282:J2626,8,0)</f>
        <v>tier - 2</v>
      </c>
      <c r="P283" t="str">
        <f>VLOOKUP($B283,'Hospitalisation Details'!A282:J2626,7,0)</f>
        <v>tier - 2</v>
      </c>
      <c r="Q283" t="str">
        <f>VLOOKUP($B283,'Hospitalisation Details'!A282:J2626,9,0)</f>
        <v>R1012</v>
      </c>
      <c r="R283">
        <f>VLOOKUP($B283,'Hospitalisation Details'!A282:K2626,11,0)</f>
        <v>19</v>
      </c>
    </row>
    <row r="284" spans="1:18" x14ac:dyDescent="0.35">
      <c r="A284" t="s">
        <v>2089</v>
      </c>
      <c r="B284" t="s">
        <v>313</v>
      </c>
      <c r="C284" t="str">
        <f>VLOOKUP($A284,'Customer Names'!$A:$E,4,FALSE)</f>
        <v>Xaviour J.</v>
      </c>
      <c r="D284" t="str">
        <f>VLOOKUP($A284,'Medical Examinations'!$A:$J,2,FALSE)</f>
        <v>Obesity</v>
      </c>
      <c r="E284">
        <f>VLOOKUP($A284,'Medical Examinations'!$A:$J,4,FALSE)</f>
        <v>5.58</v>
      </c>
      <c r="F284" t="str">
        <f>VLOOKUP($A284,'Medical Examinations'!$A:$J,6,FALSE)</f>
        <v>No</v>
      </c>
      <c r="G284" t="str">
        <f>VLOOKUP($A284,'Medical Examinations'!$A:$J,7,FALSE)</f>
        <v>No</v>
      </c>
      <c r="H284" t="str">
        <f>VLOOKUP($A284,'Medical Examinations'!$A:$J,8,FALSE)</f>
        <v>Yes</v>
      </c>
      <c r="I284">
        <f>VLOOKUP($A284,'Medical Examinations'!$A:$J,9,FALSE)</f>
        <v>1</v>
      </c>
      <c r="J284" t="str">
        <f>VLOOKUP($A284,'Medical Examinations'!$A:$J,10,FALSE)</f>
        <v>yes</v>
      </c>
      <c r="K284" t="str">
        <f>VLOOKUP($A284,'Medical Examinations'!$A:$J,5,FALSE)</f>
        <v>Normal</v>
      </c>
      <c r="L284">
        <f>VLOOKUP($A285,'Medical Examinations'!$A:$J,3,FALSE)</f>
        <v>26.24</v>
      </c>
      <c r="M284">
        <f>VLOOKUP($A284,'Hospitalisation Details'!$A:$K,6,FALSE)</f>
        <v>32548.34</v>
      </c>
      <c r="N284" s="11">
        <f>VLOOKUP($B284,'Hospitalisation Details'!A283:J2627,10,0)</f>
        <v>37946</v>
      </c>
      <c r="O284" t="str">
        <f>VLOOKUP($B284,'Hospitalisation Details'!A283:J2627,8,0)</f>
        <v>tier - 2</v>
      </c>
      <c r="P284" t="str">
        <f>VLOOKUP($B284,'Hospitalisation Details'!A283:J2627,7,0)</f>
        <v>tier - 2</v>
      </c>
      <c r="Q284" t="str">
        <f>VLOOKUP($B284,'Hospitalisation Details'!A283:J2627,9,0)</f>
        <v>R1012</v>
      </c>
      <c r="R284">
        <f>VLOOKUP($B284,'Hospitalisation Details'!A283:K2627,11,0)</f>
        <v>19</v>
      </c>
    </row>
    <row r="285" spans="1:18" x14ac:dyDescent="0.35">
      <c r="A285" t="s">
        <v>2088</v>
      </c>
      <c r="B285" t="s">
        <v>314</v>
      </c>
      <c r="C285" t="str">
        <f>VLOOKUP($A285,'Customer Names'!$A:$E,4,FALSE)</f>
        <v>Michael T.</v>
      </c>
      <c r="D285" t="str">
        <f>VLOOKUP($A285,'Medical Examinations'!$A:$J,2,FALSE)</f>
        <v>Overweight</v>
      </c>
      <c r="E285">
        <f>VLOOKUP($A285,'Medical Examinations'!$A:$J,4,FALSE)</f>
        <v>6.26</v>
      </c>
      <c r="F285" t="str">
        <f>VLOOKUP($A285,'Medical Examinations'!$A:$J,6,FALSE)</f>
        <v>yes</v>
      </c>
      <c r="G285" t="str">
        <f>VLOOKUP($A285,'Medical Examinations'!$A:$J,7,FALSE)</f>
        <v>No</v>
      </c>
      <c r="H285" t="str">
        <f>VLOOKUP($A285,'Medical Examinations'!$A:$J,8,FALSE)</f>
        <v>No</v>
      </c>
      <c r="I285">
        <f>VLOOKUP($A285,'Medical Examinations'!$A:$J,9,FALSE)</f>
        <v>0</v>
      </c>
      <c r="J285" t="str">
        <f>VLOOKUP($A285,'Medical Examinations'!$A:$J,10,FALSE)</f>
        <v>yes</v>
      </c>
      <c r="K285" t="str">
        <f>VLOOKUP($A285,'Medical Examinations'!$A:$J,5,FALSE)</f>
        <v>Prediabetes</v>
      </c>
      <c r="L285">
        <f>VLOOKUP($A286,'Medical Examinations'!$A:$J,3,FALSE)</f>
        <v>31.36</v>
      </c>
      <c r="M285">
        <f>VLOOKUP($A285,'Hospitalisation Details'!$A:$K,6,FALSE)</f>
        <v>32485.46</v>
      </c>
      <c r="N285" s="11">
        <f>VLOOKUP($B285,'Hospitalisation Details'!A284:J2628,10,0)</f>
        <v>37956</v>
      </c>
      <c r="O285" t="str">
        <f>VLOOKUP($B285,'Hospitalisation Details'!A284:J2628,8,0)</f>
        <v>tier - 3</v>
      </c>
      <c r="P285" t="str">
        <f>VLOOKUP($B285,'Hospitalisation Details'!A284:J2628,7,0)</f>
        <v>tier - 2</v>
      </c>
      <c r="Q285" t="str">
        <f>VLOOKUP($B285,'Hospitalisation Details'!A284:J2628,9,0)</f>
        <v>R1012</v>
      </c>
      <c r="R285">
        <f>VLOOKUP($B285,'Hospitalisation Details'!A284:K2628,11,0)</f>
        <v>19</v>
      </c>
    </row>
    <row r="286" spans="1:18" x14ac:dyDescent="0.35">
      <c r="A286" t="s">
        <v>2087</v>
      </c>
      <c r="B286" t="s">
        <v>315</v>
      </c>
      <c r="C286" t="str">
        <f>VLOOKUP($A286,'Customer Names'!$A:$E,4,FALSE)</f>
        <v>Bradley</v>
      </c>
      <c r="D286" t="str">
        <f>VLOOKUP($A286,'Medical Examinations'!$A:$J,2,FALSE)</f>
        <v>Obesity</v>
      </c>
      <c r="E286">
        <f>VLOOKUP($A286,'Medical Examinations'!$A:$J,4,FALSE)</f>
        <v>10.6</v>
      </c>
      <c r="F286" t="str">
        <f>VLOOKUP($A286,'Medical Examinations'!$A:$J,6,FALSE)</f>
        <v>yes</v>
      </c>
      <c r="G286" t="str">
        <f>VLOOKUP($A286,'Medical Examinations'!$A:$J,7,FALSE)</f>
        <v>No</v>
      </c>
      <c r="H286" t="str">
        <f>VLOOKUP($A286,'Medical Examinations'!$A:$J,8,FALSE)</f>
        <v>No</v>
      </c>
      <c r="I286">
        <f>VLOOKUP($A286,'Medical Examinations'!$A:$J,9,FALSE)</f>
        <v>0</v>
      </c>
      <c r="J286" t="str">
        <f>VLOOKUP($A286,'Medical Examinations'!$A:$J,10,FALSE)</f>
        <v>yes</v>
      </c>
      <c r="K286" t="str">
        <f>VLOOKUP($A286,'Medical Examinations'!$A:$J,5,FALSE)</f>
        <v>Diabetes</v>
      </c>
      <c r="L286">
        <f>VLOOKUP($A287,'Medical Examinations'!$A:$J,3,FALSE)</f>
        <v>25.69</v>
      </c>
      <c r="M286">
        <f>VLOOKUP($A286,'Hospitalisation Details'!$A:$K,6,FALSE)</f>
        <v>32462.35</v>
      </c>
      <c r="N286" s="11">
        <f>VLOOKUP($B286,'Hospitalisation Details'!A285:J2629,10,0)</f>
        <v>37839</v>
      </c>
      <c r="O286" t="str">
        <f>VLOOKUP($B286,'Hospitalisation Details'!A285:J2629,8,0)</f>
        <v>tier - 2</v>
      </c>
      <c r="P286" t="str">
        <f>VLOOKUP($B286,'Hospitalisation Details'!A285:J2629,7,0)</f>
        <v>tier - 2</v>
      </c>
      <c r="Q286" t="str">
        <f>VLOOKUP($B286,'Hospitalisation Details'!A285:J2629,9,0)</f>
        <v>R1012</v>
      </c>
      <c r="R286">
        <f>VLOOKUP($B286,'Hospitalisation Details'!A285:K2629,11,0)</f>
        <v>19</v>
      </c>
    </row>
    <row r="287" spans="1:18" x14ac:dyDescent="0.35">
      <c r="A287" t="s">
        <v>2086</v>
      </c>
      <c r="B287" t="s">
        <v>316</v>
      </c>
      <c r="C287" t="str">
        <f>VLOOKUP($A287,'Customer Names'!$A:$E,4,FALSE)</f>
        <v>Andrea</v>
      </c>
      <c r="D287" t="str">
        <f>VLOOKUP($A287,'Medical Examinations'!$A:$J,2,FALSE)</f>
        <v>Overweight</v>
      </c>
      <c r="E287">
        <f>VLOOKUP($A287,'Medical Examinations'!$A:$J,4,FALSE)</f>
        <v>4.78</v>
      </c>
      <c r="F287" t="str">
        <f>VLOOKUP($A287,'Medical Examinations'!$A:$J,6,FALSE)</f>
        <v>yes</v>
      </c>
      <c r="G287" t="str">
        <f>VLOOKUP($A287,'Medical Examinations'!$A:$J,7,FALSE)</f>
        <v>No</v>
      </c>
      <c r="H287" t="str">
        <f>VLOOKUP($A287,'Medical Examinations'!$A:$J,8,FALSE)</f>
        <v>No</v>
      </c>
      <c r="I287">
        <f>VLOOKUP($A287,'Medical Examinations'!$A:$J,9,FALSE)</f>
        <v>0</v>
      </c>
      <c r="J287" t="str">
        <f>VLOOKUP($A287,'Medical Examinations'!$A:$J,10,FALSE)</f>
        <v>yes</v>
      </c>
      <c r="K287" t="str">
        <f>VLOOKUP($A287,'Medical Examinations'!$A:$J,5,FALSE)</f>
        <v>Normal</v>
      </c>
      <c r="L287">
        <f>VLOOKUP($A288,'Medical Examinations'!$A:$J,3,FALSE)</f>
        <v>25.46</v>
      </c>
      <c r="M287">
        <f>VLOOKUP($A287,'Hospitalisation Details'!$A:$K,6,FALSE)</f>
        <v>32430.22</v>
      </c>
      <c r="N287" s="11">
        <f>VLOOKUP($B287,'Hospitalisation Details'!A286:J2630,10,0)</f>
        <v>35733</v>
      </c>
      <c r="O287" t="str">
        <f>VLOOKUP($B287,'Hospitalisation Details'!A286:J2630,8,0)</f>
        <v>tier - 3</v>
      </c>
      <c r="P287" t="str">
        <f>VLOOKUP($B287,'Hospitalisation Details'!A286:J2630,7,0)</f>
        <v>tier - 1</v>
      </c>
      <c r="Q287" t="str">
        <f>VLOOKUP($B287,'Hospitalisation Details'!A286:J2630,9,0)</f>
        <v>R1014</v>
      </c>
      <c r="R287">
        <f>VLOOKUP($B287,'Hospitalisation Details'!A286:K2630,11,0)</f>
        <v>25</v>
      </c>
    </row>
    <row r="288" spans="1:18" x14ac:dyDescent="0.35">
      <c r="A288" t="s">
        <v>2085</v>
      </c>
      <c r="B288" t="s">
        <v>317</v>
      </c>
      <c r="C288" t="str">
        <f>VLOOKUP($A288,'Customer Names'!$A:$E,4,FALSE)</f>
        <v>Nancy M</v>
      </c>
      <c r="D288" t="str">
        <f>VLOOKUP($A288,'Medical Examinations'!$A:$J,2,FALSE)</f>
        <v>Overweight</v>
      </c>
      <c r="E288">
        <f>VLOOKUP($A288,'Medical Examinations'!$A:$J,4,FALSE)</f>
        <v>6.03</v>
      </c>
      <c r="F288" t="str">
        <f>VLOOKUP($A288,'Medical Examinations'!$A:$J,6,FALSE)</f>
        <v>No</v>
      </c>
      <c r="G288" t="str">
        <f>VLOOKUP($A288,'Medical Examinations'!$A:$J,7,FALSE)</f>
        <v>No</v>
      </c>
      <c r="H288" t="str">
        <f>VLOOKUP($A288,'Medical Examinations'!$A:$J,8,FALSE)</f>
        <v>No</v>
      </c>
      <c r="I288">
        <f>VLOOKUP($A288,'Medical Examinations'!$A:$J,9,FALSE)</f>
        <v>2</v>
      </c>
      <c r="J288" t="str">
        <f>VLOOKUP($A288,'Medical Examinations'!$A:$J,10,FALSE)</f>
        <v>yes</v>
      </c>
      <c r="K288" t="str">
        <f>VLOOKUP($A288,'Medical Examinations'!$A:$J,5,FALSE)</f>
        <v>Prediabetes</v>
      </c>
      <c r="L288">
        <f>VLOOKUP($A289,'Medical Examinations'!$A:$J,3,FALSE)</f>
        <v>31.83</v>
      </c>
      <c r="M288">
        <f>VLOOKUP($A288,'Hospitalisation Details'!$A:$K,6,FALSE)</f>
        <v>32428.63</v>
      </c>
      <c r="N288" s="11">
        <f>VLOOKUP($B288,'Hospitalisation Details'!A287:J2631,10,0)</f>
        <v>32375</v>
      </c>
      <c r="O288" t="str">
        <f>VLOOKUP($B288,'Hospitalisation Details'!A287:J2631,8,0)</f>
        <v>tier - 2</v>
      </c>
      <c r="P288" t="str">
        <f>VLOOKUP($B288,'Hospitalisation Details'!A287:J2631,7,0)</f>
        <v>tier - 2</v>
      </c>
      <c r="Q288" t="str">
        <f>VLOOKUP($B288,'Hospitalisation Details'!A287:J2631,9,0)</f>
        <v>R1013</v>
      </c>
      <c r="R288">
        <f>VLOOKUP($B288,'Hospitalisation Details'!A287:K2631,11,0)</f>
        <v>34</v>
      </c>
    </row>
    <row r="289" spans="1:18" x14ac:dyDescent="0.35">
      <c r="A289" t="s">
        <v>2084</v>
      </c>
      <c r="B289" t="s">
        <v>318</v>
      </c>
      <c r="C289" t="str">
        <f>VLOOKUP($A289,'Customer Names'!$A:$E,4,FALSE)</f>
        <v>Matt</v>
      </c>
      <c r="D289" t="str">
        <f>VLOOKUP($A289,'Medical Examinations'!$A:$J,2,FALSE)</f>
        <v>Obesity</v>
      </c>
      <c r="E289">
        <f>VLOOKUP($A289,'Medical Examinations'!$A:$J,4,FALSE)</f>
        <v>11.55</v>
      </c>
      <c r="F289" t="str">
        <f>VLOOKUP($A289,'Medical Examinations'!$A:$J,6,FALSE)</f>
        <v>yes</v>
      </c>
      <c r="G289" t="str">
        <f>VLOOKUP($A289,'Medical Examinations'!$A:$J,7,FALSE)</f>
        <v>No</v>
      </c>
      <c r="H289" t="str">
        <f>VLOOKUP($A289,'Medical Examinations'!$A:$J,8,FALSE)</f>
        <v>No</v>
      </c>
      <c r="I289">
        <f>VLOOKUP($A289,'Medical Examinations'!$A:$J,9,FALSE)</f>
        <v>1</v>
      </c>
      <c r="J289" t="str">
        <f>VLOOKUP($A289,'Medical Examinations'!$A:$J,10,FALSE)</f>
        <v>yes</v>
      </c>
      <c r="K289" t="str">
        <f>VLOOKUP($A289,'Medical Examinations'!$A:$J,5,FALSE)</f>
        <v>Diabetes</v>
      </c>
      <c r="L289">
        <f>VLOOKUP($A290,'Medical Examinations'!$A:$J,3,FALSE)</f>
        <v>24.43</v>
      </c>
      <c r="M289">
        <f>VLOOKUP($A289,'Hospitalisation Details'!$A:$K,6,FALSE)</f>
        <v>32288.49</v>
      </c>
      <c r="N289" s="11">
        <f>VLOOKUP($B289,'Hospitalisation Details'!A288:J2632,10,0)</f>
        <v>35709</v>
      </c>
      <c r="O289" t="str">
        <f>VLOOKUP($B289,'Hospitalisation Details'!A288:J2632,8,0)</f>
        <v>tier - 3</v>
      </c>
      <c r="P289" t="str">
        <f>VLOOKUP($B289,'Hospitalisation Details'!A288:J2632,7,0)</f>
        <v>tier - 3</v>
      </c>
      <c r="Q289" t="str">
        <f>VLOOKUP($B289,'Hospitalisation Details'!A288:J2632,9,0)</f>
        <v>R1016</v>
      </c>
      <c r="R289">
        <f>VLOOKUP($B289,'Hospitalisation Details'!A288:K2632,11,0)</f>
        <v>25</v>
      </c>
    </row>
    <row r="290" spans="1:18" x14ac:dyDescent="0.35">
      <c r="A290" t="s">
        <v>2083</v>
      </c>
      <c r="B290" t="s">
        <v>319</v>
      </c>
      <c r="C290" t="str">
        <f>VLOOKUP($A290,'Customer Names'!$A:$E,4,FALSE)</f>
        <v>Lee</v>
      </c>
      <c r="D290" t="str">
        <f>VLOOKUP($A290,'Medical Examinations'!$A:$J,2,FALSE)</f>
        <v>Normal Weight</v>
      </c>
      <c r="E290">
        <f>VLOOKUP($A290,'Medical Examinations'!$A:$J,4,FALSE)</f>
        <v>7.59</v>
      </c>
      <c r="F290" t="str">
        <f>VLOOKUP($A290,'Medical Examinations'!$A:$J,6,FALSE)</f>
        <v>yes</v>
      </c>
      <c r="G290" t="str">
        <f>VLOOKUP($A290,'Medical Examinations'!$A:$J,7,FALSE)</f>
        <v>No</v>
      </c>
      <c r="H290" t="str">
        <f>VLOOKUP($A290,'Medical Examinations'!$A:$J,8,FALSE)</f>
        <v>No</v>
      </c>
      <c r="I290">
        <f>VLOOKUP($A290,'Medical Examinations'!$A:$J,9,FALSE)</f>
        <v>1</v>
      </c>
      <c r="J290" t="str">
        <f>VLOOKUP($A290,'Medical Examinations'!$A:$J,10,FALSE)</f>
        <v>yes</v>
      </c>
      <c r="K290" t="str">
        <f>VLOOKUP($A290,'Medical Examinations'!$A:$J,5,FALSE)</f>
        <v>Diabetes</v>
      </c>
      <c r="L290">
        <f>VLOOKUP($A291,'Medical Examinations'!$A:$J,3,FALSE)</f>
        <v>41.9</v>
      </c>
      <c r="M290">
        <f>VLOOKUP($A290,'Hospitalisation Details'!$A:$K,6,FALSE)</f>
        <v>32259.96</v>
      </c>
      <c r="N290" s="11">
        <f>VLOOKUP($B290,'Hospitalisation Details'!A289:J2633,10,0)</f>
        <v>37958</v>
      </c>
      <c r="O290" t="str">
        <f>VLOOKUP($B290,'Hospitalisation Details'!A289:J2633,8,0)</f>
        <v>tier - 3</v>
      </c>
      <c r="P290" t="str">
        <f>VLOOKUP($B290,'Hospitalisation Details'!A289:J2633,7,0)</f>
        <v>tier - 2</v>
      </c>
      <c r="Q290" t="str">
        <f>VLOOKUP($B290,'Hospitalisation Details'!A289:J2633,9,0)</f>
        <v>R1012</v>
      </c>
      <c r="R290">
        <f>VLOOKUP($B290,'Hospitalisation Details'!A289:K2633,11,0)</f>
        <v>19</v>
      </c>
    </row>
    <row r="291" spans="1:18" x14ac:dyDescent="0.35">
      <c r="A291" t="s">
        <v>2082</v>
      </c>
      <c r="B291" t="s">
        <v>320</v>
      </c>
      <c r="C291" t="str">
        <f>VLOOKUP($A291,'Customer Names'!$A:$E,4,FALSE)</f>
        <v>Chris</v>
      </c>
      <c r="D291" t="str">
        <f>VLOOKUP($A291,'Medical Examinations'!$A:$J,2,FALSE)</f>
        <v>Obesity</v>
      </c>
      <c r="E291">
        <f>VLOOKUP($A291,'Medical Examinations'!$A:$J,4,FALSE)</f>
        <v>4.26</v>
      </c>
      <c r="F291" t="str">
        <f>VLOOKUP($A291,'Medical Examinations'!$A:$J,6,FALSE)</f>
        <v>No</v>
      </c>
      <c r="G291" t="str">
        <f>VLOOKUP($A291,'Medical Examinations'!$A:$J,7,FALSE)</f>
        <v>No</v>
      </c>
      <c r="H291" t="str">
        <f>VLOOKUP($A291,'Medical Examinations'!$A:$J,8,FALSE)</f>
        <v>No</v>
      </c>
      <c r="I291">
        <f>VLOOKUP($A291,'Medical Examinations'!$A:$J,9,FALSE)</f>
        <v>0</v>
      </c>
      <c r="J291" t="str">
        <f>VLOOKUP($A291,'Medical Examinations'!$A:$J,10,FALSE)</f>
        <v>yes</v>
      </c>
      <c r="K291" t="str">
        <f>VLOOKUP($A291,'Medical Examinations'!$A:$J,5,FALSE)</f>
        <v>Normal</v>
      </c>
      <c r="L291">
        <f>VLOOKUP($A292,'Medical Examinations'!$A:$J,3,FALSE)</f>
        <v>22.88</v>
      </c>
      <c r="M291">
        <f>VLOOKUP($A291,'Hospitalisation Details'!$A:$K,6,FALSE)</f>
        <v>32222.81</v>
      </c>
      <c r="N291" s="11">
        <f>VLOOKUP($B291,'Hospitalisation Details'!A290:J2634,10,0)</f>
        <v>36877</v>
      </c>
      <c r="O291" t="str">
        <f>VLOOKUP($B291,'Hospitalisation Details'!A290:J2634,8,0)</f>
        <v>tier - 3</v>
      </c>
      <c r="P291" t="str">
        <f>VLOOKUP($B291,'Hospitalisation Details'!A290:J2634,7,0)</f>
        <v>tier - 2</v>
      </c>
      <c r="Q291" t="str">
        <f>VLOOKUP($B291,'Hospitalisation Details'!A290:J2634,9,0)</f>
        <v>R1024</v>
      </c>
      <c r="R291">
        <f>VLOOKUP($B291,'Hospitalisation Details'!A290:K2634,11,0)</f>
        <v>22</v>
      </c>
    </row>
    <row r="292" spans="1:18" x14ac:dyDescent="0.35">
      <c r="A292" t="s">
        <v>2081</v>
      </c>
      <c r="B292" t="s">
        <v>321</v>
      </c>
      <c r="C292" t="str">
        <f>VLOOKUP($A292,'Customer Names'!$A:$E,4,FALSE)</f>
        <v>Erik T.</v>
      </c>
      <c r="D292" t="str">
        <f>VLOOKUP($A292,'Medical Examinations'!$A:$J,2,FALSE)</f>
        <v>Normal Weight</v>
      </c>
      <c r="E292">
        <f>VLOOKUP($A292,'Medical Examinations'!$A:$J,4,FALSE)</f>
        <v>5.9</v>
      </c>
      <c r="F292" t="str">
        <f>VLOOKUP($A292,'Medical Examinations'!$A:$J,6,FALSE)</f>
        <v>yes</v>
      </c>
      <c r="G292" t="str">
        <f>VLOOKUP($A292,'Medical Examinations'!$A:$J,7,FALSE)</f>
        <v>No</v>
      </c>
      <c r="H292" t="str">
        <f>VLOOKUP($A292,'Medical Examinations'!$A:$J,8,FALSE)</f>
        <v>Yes</v>
      </c>
      <c r="I292">
        <f>VLOOKUP($A292,'Medical Examinations'!$A:$J,9,FALSE)</f>
        <v>1</v>
      </c>
      <c r="J292" t="str">
        <f>VLOOKUP($A292,'Medical Examinations'!$A:$J,10,FALSE)</f>
        <v>yes</v>
      </c>
      <c r="K292" t="str">
        <f>VLOOKUP($A292,'Medical Examinations'!$A:$J,5,FALSE)</f>
        <v>Prediabetes</v>
      </c>
      <c r="L292">
        <f>VLOOKUP($A293,'Medical Examinations'!$A:$J,3,FALSE)</f>
        <v>29.734999999999999</v>
      </c>
      <c r="M292">
        <f>VLOOKUP($A292,'Hospitalisation Details'!$A:$K,6,FALSE)</f>
        <v>32192.76</v>
      </c>
      <c r="N292" s="11">
        <f>VLOOKUP($B292,'Hospitalisation Details'!A291:J2635,10,0)</f>
        <v>36802</v>
      </c>
      <c r="O292" t="str">
        <f>VLOOKUP($B292,'Hospitalisation Details'!A291:J2635,8,0)</f>
        <v>tier - 3</v>
      </c>
      <c r="P292" t="str">
        <f>VLOOKUP($B292,'Hospitalisation Details'!A291:J2635,7,0)</f>
        <v>tier - 2</v>
      </c>
      <c r="Q292" t="str">
        <f>VLOOKUP($B292,'Hospitalisation Details'!A291:J2635,9,0)</f>
        <v>R1024</v>
      </c>
      <c r="R292">
        <f>VLOOKUP($B292,'Hospitalisation Details'!A291:K2635,11,0)</f>
        <v>22</v>
      </c>
    </row>
    <row r="293" spans="1:18" x14ac:dyDescent="0.35">
      <c r="A293" t="s">
        <v>2080</v>
      </c>
      <c r="B293" t="s">
        <v>322</v>
      </c>
      <c r="C293" t="str">
        <f>VLOOKUP($A293,'Customer Names'!$A:$E,4,FALSE)</f>
        <v>Rod W</v>
      </c>
      <c r="D293" t="str">
        <f>VLOOKUP($A293,'Medical Examinations'!$A:$J,2,FALSE)</f>
        <v>Overweight</v>
      </c>
      <c r="E293">
        <f>VLOOKUP($A293,'Medical Examinations'!$A:$J,4,FALSE)</f>
        <v>7.79</v>
      </c>
      <c r="F293" t="str">
        <f>VLOOKUP($A293,'Medical Examinations'!$A:$J,6,FALSE)</f>
        <v>No</v>
      </c>
      <c r="G293" t="str">
        <f>VLOOKUP($A293,'Medical Examinations'!$A:$J,7,FALSE)</f>
        <v>No</v>
      </c>
      <c r="H293" t="str">
        <f>VLOOKUP($A293,'Medical Examinations'!$A:$J,8,FALSE)</f>
        <v>No</v>
      </c>
      <c r="I293">
        <f>VLOOKUP($A293,'Medical Examinations'!$A:$J,9,FALSE)</f>
        <v>0</v>
      </c>
      <c r="J293" t="str">
        <f>VLOOKUP($A293,'Medical Examinations'!$A:$J,10,FALSE)</f>
        <v>No</v>
      </c>
      <c r="K293" t="str">
        <f>VLOOKUP($A293,'Medical Examinations'!$A:$J,5,FALSE)</f>
        <v>Diabetes</v>
      </c>
      <c r="L293">
        <f>VLOOKUP($A294,'Medical Examinations'!$A:$J,3,FALSE)</f>
        <v>40.74</v>
      </c>
      <c r="M293">
        <f>VLOOKUP($A293,'Hospitalisation Details'!$A:$K,6,FALSE)</f>
        <v>32108.66</v>
      </c>
      <c r="N293" s="11">
        <f>VLOOKUP($B293,'Hospitalisation Details'!A292:J2636,10,0)</f>
        <v>36810</v>
      </c>
      <c r="O293" t="str">
        <f>VLOOKUP($B293,'Hospitalisation Details'!A292:J2636,8,0)</f>
        <v>tier - 1</v>
      </c>
      <c r="P293" t="str">
        <f>VLOOKUP($B293,'Hospitalisation Details'!A292:J2636,7,0)</f>
        <v>tier - 2</v>
      </c>
      <c r="Q293" t="str">
        <f>VLOOKUP($B293,'Hospitalisation Details'!A292:J2636,9,0)</f>
        <v>R1024</v>
      </c>
      <c r="R293">
        <f>VLOOKUP($B293,'Hospitalisation Details'!A292:K2636,11,0)</f>
        <v>22</v>
      </c>
    </row>
    <row r="294" spans="1:18" x14ac:dyDescent="0.35">
      <c r="A294" t="s">
        <v>2079</v>
      </c>
      <c r="B294" t="s">
        <v>323</v>
      </c>
      <c r="C294" t="str">
        <f>VLOOKUP($A294,'Customer Names'!$A:$E,4,FALSE)</f>
        <v>Joey</v>
      </c>
      <c r="D294" t="str">
        <f>VLOOKUP($A294,'Medical Examinations'!$A:$J,2,FALSE)</f>
        <v>Obesity</v>
      </c>
      <c r="E294">
        <f>VLOOKUP($A294,'Medical Examinations'!$A:$J,4,FALSE)</f>
        <v>5.28</v>
      </c>
      <c r="F294" t="str">
        <f>VLOOKUP($A294,'Medical Examinations'!$A:$J,6,FALSE)</f>
        <v>No</v>
      </c>
      <c r="G294" t="str">
        <f>VLOOKUP($A294,'Medical Examinations'!$A:$J,7,FALSE)</f>
        <v>No</v>
      </c>
      <c r="H294" t="str">
        <f>VLOOKUP($A294,'Medical Examinations'!$A:$J,8,FALSE)</f>
        <v>Yes</v>
      </c>
      <c r="I294">
        <f>VLOOKUP($A294,'Medical Examinations'!$A:$J,9,FALSE)</f>
        <v>1</v>
      </c>
      <c r="J294" t="str">
        <f>VLOOKUP($A294,'Medical Examinations'!$A:$J,10,FALSE)</f>
        <v>yes</v>
      </c>
      <c r="K294" t="str">
        <f>VLOOKUP($A294,'Medical Examinations'!$A:$J,5,FALSE)</f>
        <v>Normal</v>
      </c>
      <c r="L294">
        <f>VLOOKUP($A295,'Medical Examinations'!$A:$J,3,FALSE)</f>
        <v>24.14</v>
      </c>
      <c r="M294">
        <f>VLOOKUP($A294,'Hospitalisation Details'!$A:$K,6,FALSE)</f>
        <v>32086.21</v>
      </c>
      <c r="N294" s="11">
        <f>VLOOKUP($B294,'Hospitalisation Details'!A293:J2637,10,0)</f>
        <v>35652</v>
      </c>
      <c r="O294" t="str">
        <f>VLOOKUP($B294,'Hospitalisation Details'!A293:J2637,8,0)</f>
        <v>tier - 1</v>
      </c>
      <c r="P294" t="str">
        <f>VLOOKUP($B294,'Hospitalisation Details'!A293:J2637,7,0)</f>
        <v>tier - 2</v>
      </c>
      <c r="Q294" t="str">
        <f>VLOOKUP($B294,'Hospitalisation Details'!A293:J2637,9,0)</f>
        <v>R1012</v>
      </c>
      <c r="R294">
        <f>VLOOKUP($B294,'Hospitalisation Details'!A293:K2637,11,0)</f>
        <v>25</v>
      </c>
    </row>
    <row r="295" spans="1:18" x14ac:dyDescent="0.35">
      <c r="A295" t="s">
        <v>2078</v>
      </c>
      <c r="B295" t="s">
        <v>324</v>
      </c>
      <c r="C295" t="str">
        <f>VLOOKUP($A295,'Customer Names'!$A:$E,4,FALSE)</f>
        <v>Hillary L.</v>
      </c>
      <c r="D295" t="str">
        <f>VLOOKUP($A295,'Medical Examinations'!$A:$J,2,FALSE)</f>
        <v>Normal Weight</v>
      </c>
      <c r="E295">
        <f>VLOOKUP($A295,'Medical Examinations'!$A:$J,4,FALSE)</f>
        <v>5.87</v>
      </c>
      <c r="F295" t="str">
        <f>VLOOKUP($A295,'Medical Examinations'!$A:$J,6,FALSE)</f>
        <v>No</v>
      </c>
      <c r="G295" t="str">
        <f>VLOOKUP($A295,'Medical Examinations'!$A:$J,7,FALSE)</f>
        <v>No</v>
      </c>
      <c r="H295" t="str">
        <f>VLOOKUP($A295,'Medical Examinations'!$A:$J,8,FALSE)</f>
        <v>No</v>
      </c>
      <c r="I295">
        <f>VLOOKUP($A295,'Medical Examinations'!$A:$J,9,FALSE)</f>
        <v>2</v>
      </c>
      <c r="J295" t="str">
        <f>VLOOKUP($A295,'Medical Examinations'!$A:$J,10,FALSE)</f>
        <v>yes</v>
      </c>
      <c r="K295" t="str">
        <f>VLOOKUP($A295,'Medical Examinations'!$A:$J,5,FALSE)</f>
        <v>Prediabetes</v>
      </c>
      <c r="L295">
        <f>VLOOKUP($A296,'Medical Examinations'!$A:$J,3,FALSE)</f>
        <v>25.15</v>
      </c>
      <c r="M295">
        <f>VLOOKUP($A295,'Hospitalisation Details'!$A:$K,6,FALSE)</f>
        <v>31980.89</v>
      </c>
      <c r="N295" s="11">
        <f>VLOOKUP($B295,'Hospitalisation Details'!A294:J2638,10,0)</f>
        <v>38305</v>
      </c>
      <c r="O295" t="str">
        <f>VLOOKUP($B295,'Hospitalisation Details'!A294:J2638,8,0)</f>
        <v>tier - 1</v>
      </c>
      <c r="P295" t="str">
        <f>VLOOKUP($B295,'Hospitalisation Details'!A294:J2638,7,0)</f>
        <v>tier - 2</v>
      </c>
      <c r="Q295" t="str">
        <f>VLOOKUP($B295,'Hospitalisation Details'!A294:J2638,9,0)</f>
        <v>R1021</v>
      </c>
      <c r="R295">
        <f>VLOOKUP($B295,'Hospitalisation Details'!A294:K2638,11,0)</f>
        <v>18</v>
      </c>
    </row>
    <row r="296" spans="1:18" x14ac:dyDescent="0.35">
      <c r="A296" t="s">
        <v>2077</v>
      </c>
      <c r="B296" t="s">
        <v>31</v>
      </c>
      <c r="C296" t="str">
        <f>VLOOKUP($A296,'Customer Names'!$A:$E,4,FALSE)</f>
        <v>Eric J</v>
      </c>
      <c r="D296" t="str">
        <f>VLOOKUP($A296,'Medical Examinations'!$A:$J,2,FALSE)</f>
        <v>Overweight</v>
      </c>
      <c r="E296">
        <f>VLOOKUP($A296,'Medical Examinations'!$A:$J,4,FALSE)</f>
        <v>9.08</v>
      </c>
      <c r="F296" t="str">
        <f>VLOOKUP($A296,'Medical Examinations'!$A:$J,6,FALSE)</f>
        <v>yes</v>
      </c>
      <c r="G296" t="str">
        <f>VLOOKUP($A296,'Medical Examinations'!$A:$J,7,FALSE)</f>
        <v>No</v>
      </c>
      <c r="H296" t="str">
        <f>VLOOKUP($A296,'Medical Examinations'!$A:$J,8,FALSE)</f>
        <v>No</v>
      </c>
      <c r="I296">
        <f>VLOOKUP($A296,'Medical Examinations'!$A:$J,9,FALSE)</f>
        <v>1</v>
      </c>
      <c r="J296" t="str">
        <f>VLOOKUP($A296,'Medical Examinations'!$A:$J,10,FALSE)</f>
        <v>yes</v>
      </c>
      <c r="K296" t="str">
        <f>VLOOKUP($A296,'Medical Examinations'!$A:$J,5,FALSE)</f>
        <v>Diabetes</v>
      </c>
      <c r="L296">
        <f>VLOOKUP($A297,'Medical Examinations'!$A:$J,3,FALSE)</f>
        <v>28.71</v>
      </c>
      <c r="M296">
        <f>VLOOKUP($A296,'Hospitalisation Details'!$A:$K,6,FALSE)</f>
        <v>31897.1</v>
      </c>
      <c r="N296" s="11">
        <f>VLOOKUP($B296,'Hospitalisation Details'!A295:J2639,10,0)</f>
        <v>36320</v>
      </c>
      <c r="O296" t="str">
        <f>VLOOKUP($B296,'Hospitalisation Details'!A295:J2639,8,0)</f>
        <v>tier - 1</v>
      </c>
      <c r="P296" t="str">
        <f>VLOOKUP($B296,'Hospitalisation Details'!A295:J2639,7,0)</f>
        <v>tier - 2</v>
      </c>
      <c r="Q296" t="str">
        <f>VLOOKUP($B296,'Hospitalisation Details'!A295:J2639,9,0)</f>
        <v>R1012</v>
      </c>
      <c r="R296">
        <f>VLOOKUP($B296,'Hospitalisation Details'!A295:K2639,11,0)</f>
        <v>23</v>
      </c>
    </row>
    <row r="297" spans="1:18" x14ac:dyDescent="0.35">
      <c r="A297" t="s">
        <v>2076</v>
      </c>
      <c r="B297" t="s">
        <v>325</v>
      </c>
      <c r="C297" t="str">
        <f>VLOOKUP($A297,'Customer Names'!$A:$E,4,FALSE)</f>
        <v>Nicolas</v>
      </c>
      <c r="D297" t="str">
        <f>VLOOKUP($A297,'Medical Examinations'!$A:$J,2,FALSE)</f>
        <v>Overweight</v>
      </c>
      <c r="E297">
        <f>VLOOKUP($A297,'Medical Examinations'!$A:$J,4,FALSE)</f>
        <v>5.2</v>
      </c>
      <c r="F297" t="str">
        <f>VLOOKUP($A297,'Medical Examinations'!$A:$J,6,FALSE)</f>
        <v>No</v>
      </c>
      <c r="G297" t="str">
        <f>VLOOKUP($A297,'Medical Examinations'!$A:$J,7,FALSE)</f>
        <v>No</v>
      </c>
      <c r="H297" t="str">
        <f>VLOOKUP($A297,'Medical Examinations'!$A:$J,8,FALSE)</f>
        <v>No</v>
      </c>
      <c r="I297">
        <f>VLOOKUP($A297,'Medical Examinations'!$A:$J,9,FALSE)</f>
        <v>1</v>
      </c>
      <c r="J297" t="str">
        <f>VLOOKUP($A297,'Medical Examinations'!$A:$J,10,FALSE)</f>
        <v>yes</v>
      </c>
      <c r="K297" t="str">
        <f>VLOOKUP($A297,'Medical Examinations'!$A:$J,5,FALSE)</f>
        <v>Normal</v>
      </c>
      <c r="L297">
        <f>VLOOKUP($A298,'Medical Examinations'!$A:$J,3,FALSE)</f>
        <v>23</v>
      </c>
      <c r="M297">
        <f>VLOOKUP($A297,'Hospitalisation Details'!$A:$K,6,FALSE)</f>
        <v>31743.919999999998</v>
      </c>
      <c r="N297" s="11">
        <f>VLOOKUP($B297,'Hospitalisation Details'!A296:J2640,10,0)</f>
        <v>36401</v>
      </c>
      <c r="O297" t="str">
        <f>VLOOKUP($B297,'Hospitalisation Details'!A296:J2640,8,0)</f>
        <v>tier - 1</v>
      </c>
      <c r="P297" t="str">
        <f>VLOOKUP($B297,'Hospitalisation Details'!A296:J2640,7,0)</f>
        <v>tier - 2</v>
      </c>
      <c r="Q297" t="str">
        <f>VLOOKUP($B297,'Hospitalisation Details'!A296:J2640,9,0)</f>
        <v>R1012</v>
      </c>
      <c r="R297">
        <f>VLOOKUP($B297,'Hospitalisation Details'!A296:K2640,11,0)</f>
        <v>23</v>
      </c>
    </row>
    <row r="298" spans="1:18" x14ac:dyDescent="0.35">
      <c r="A298" t="s">
        <v>2075</v>
      </c>
      <c r="B298" t="s">
        <v>326</v>
      </c>
      <c r="C298" t="str">
        <f>VLOOKUP($A298,'Customer Names'!$A:$E,4,FALSE)</f>
        <v>Marcel</v>
      </c>
      <c r="D298" t="str">
        <f>VLOOKUP($A298,'Medical Examinations'!$A:$J,2,FALSE)</f>
        <v>Normal Weight</v>
      </c>
      <c r="E298">
        <f>VLOOKUP($A298,'Medical Examinations'!$A:$J,4,FALSE)</f>
        <v>5.48</v>
      </c>
      <c r="F298" t="str">
        <f>VLOOKUP($A298,'Medical Examinations'!$A:$J,6,FALSE)</f>
        <v>No</v>
      </c>
      <c r="G298" t="str">
        <f>VLOOKUP($A298,'Medical Examinations'!$A:$J,7,FALSE)</f>
        <v>No</v>
      </c>
      <c r="H298" t="str">
        <f>VLOOKUP($A298,'Medical Examinations'!$A:$J,8,FALSE)</f>
        <v>No</v>
      </c>
      <c r="I298">
        <f>VLOOKUP($A298,'Medical Examinations'!$A:$J,9,FALSE)</f>
        <v>0</v>
      </c>
      <c r="J298" t="str">
        <f>VLOOKUP($A298,'Medical Examinations'!$A:$J,10,FALSE)</f>
        <v>yes</v>
      </c>
      <c r="K298" t="str">
        <f>VLOOKUP($A298,'Medical Examinations'!$A:$J,5,FALSE)</f>
        <v>Normal</v>
      </c>
      <c r="L298">
        <f>VLOOKUP($A299,'Medical Examinations'!$A:$J,3,FALSE)</f>
        <v>36.86</v>
      </c>
      <c r="M298">
        <f>VLOOKUP($A298,'Hospitalisation Details'!$A:$K,6,FALSE)</f>
        <v>31736.7</v>
      </c>
      <c r="N298" s="11">
        <f>VLOOKUP($B298,'Hospitalisation Details'!A297:J2641,10,0)</f>
        <v>36518</v>
      </c>
      <c r="O298" t="str">
        <f>VLOOKUP($B298,'Hospitalisation Details'!A297:J2641,8,0)</f>
        <v>tier - 3</v>
      </c>
      <c r="P298" t="str">
        <f>VLOOKUP($B298,'Hospitalisation Details'!A297:J2641,7,0)</f>
        <v>tier - 2</v>
      </c>
      <c r="Q298" t="str">
        <f>VLOOKUP($B298,'Hospitalisation Details'!A297:J2641,9,0)</f>
        <v>R1012</v>
      </c>
      <c r="R298">
        <f>VLOOKUP($B298,'Hospitalisation Details'!A297:K2641,11,0)</f>
        <v>23</v>
      </c>
    </row>
    <row r="299" spans="1:18" x14ac:dyDescent="0.35">
      <c r="A299" t="s">
        <v>2074</v>
      </c>
      <c r="B299" t="s">
        <v>327</v>
      </c>
      <c r="C299" t="str">
        <f>VLOOKUP($A299,'Customer Names'!$A:$E,4,FALSE)</f>
        <v>Ashley N</v>
      </c>
      <c r="D299" t="str">
        <f>VLOOKUP($A299,'Medical Examinations'!$A:$J,2,FALSE)</f>
        <v>Obesity</v>
      </c>
      <c r="E299">
        <f>VLOOKUP($A299,'Medical Examinations'!$A:$J,4,FALSE)</f>
        <v>11.95</v>
      </c>
      <c r="F299" t="str">
        <f>VLOOKUP($A299,'Medical Examinations'!$A:$J,6,FALSE)</f>
        <v>No</v>
      </c>
      <c r="G299" t="str">
        <f>VLOOKUP($A299,'Medical Examinations'!$A:$J,7,FALSE)</f>
        <v>No</v>
      </c>
      <c r="H299" t="str">
        <f>VLOOKUP($A299,'Medical Examinations'!$A:$J,8,FALSE)</f>
        <v>No</v>
      </c>
      <c r="I299">
        <f>VLOOKUP($A299,'Medical Examinations'!$A:$J,9,FALSE)</f>
        <v>0</v>
      </c>
      <c r="J299" t="str">
        <f>VLOOKUP($A299,'Medical Examinations'!$A:$J,10,FALSE)</f>
        <v>No</v>
      </c>
      <c r="K299" t="str">
        <f>VLOOKUP($A299,'Medical Examinations'!$A:$J,5,FALSE)</f>
        <v>Diabetes</v>
      </c>
      <c r="L299">
        <f>VLOOKUP($A300,'Medical Examinations'!$A:$J,3,FALSE)</f>
        <v>24.25</v>
      </c>
      <c r="M299">
        <f>VLOOKUP($A299,'Hospitalisation Details'!$A:$K,6,FALSE)</f>
        <v>31620</v>
      </c>
      <c r="N299" s="11">
        <f>VLOOKUP($B299,'Hospitalisation Details'!A298:J2642,10,0)</f>
        <v>38203</v>
      </c>
      <c r="O299" t="str">
        <f>VLOOKUP($B299,'Hospitalisation Details'!A298:J2642,8,0)</f>
        <v>tier - 3</v>
      </c>
      <c r="P299" t="str">
        <f>VLOOKUP($B299,'Hospitalisation Details'!A298:J2642,7,0)</f>
        <v>tier - 2</v>
      </c>
      <c r="Q299" t="str">
        <f>VLOOKUP($B299,'Hospitalisation Details'!A298:J2642,9,0)</f>
        <v>R1013</v>
      </c>
      <c r="R299">
        <f>VLOOKUP($B299,'Hospitalisation Details'!A298:K2642,11,0)</f>
        <v>18</v>
      </c>
    </row>
    <row r="300" spans="1:18" x14ac:dyDescent="0.35">
      <c r="A300" t="s">
        <v>2073</v>
      </c>
      <c r="B300" t="s">
        <v>328</v>
      </c>
      <c r="C300" t="str">
        <f>VLOOKUP($A300,'Customer Names'!$A:$E,4,FALSE)</f>
        <v>Evan D</v>
      </c>
      <c r="D300" t="str">
        <f>VLOOKUP($A300,'Medical Examinations'!$A:$J,2,FALSE)</f>
        <v>Normal Weight</v>
      </c>
      <c r="E300">
        <f>VLOOKUP($A300,'Medical Examinations'!$A:$J,4,FALSE)</f>
        <v>8.6999999999999993</v>
      </c>
      <c r="F300" t="str">
        <f>VLOOKUP($A300,'Medical Examinations'!$A:$J,6,FALSE)</f>
        <v>yes</v>
      </c>
      <c r="G300" t="str">
        <f>VLOOKUP($A300,'Medical Examinations'!$A:$J,7,FALSE)</f>
        <v>No</v>
      </c>
      <c r="H300" t="str">
        <f>VLOOKUP($A300,'Medical Examinations'!$A:$J,8,FALSE)</f>
        <v>No</v>
      </c>
      <c r="I300">
        <f>VLOOKUP($A300,'Medical Examinations'!$A:$J,9,FALSE)</f>
        <v>1</v>
      </c>
      <c r="J300" t="str">
        <f>VLOOKUP($A300,'Medical Examinations'!$A:$J,10,FALSE)</f>
        <v>yes</v>
      </c>
      <c r="K300" t="str">
        <f>VLOOKUP($A300,'Medical Examinations'!$A:$J,5,FALSE)</f>
        <v>Diabetes</v>
      </c>
      <c r="L300">
        <f>VLOOKUP($A301,'Medical Examinations'!$A:$J,3,FALSE)</f>
        <v>23.85</v>
      </c>
      <c r="M300">
        <f>VLOOKUP($A300,'Hospitalisation Details'!$A:$K,6,FALSE)</f>
        <v>31591.82</v>
      </c>
      <c r="N300" s="11">
        <f>VLOOKUP($B300,'Hospitalisation Details'!A299:J2643,10,0)</f>
        <v>37887</v>
      </c>
      <c r="O300" t="str">
        <f>VLOOKUP($B300,'Hospitalisation Details'!A299:J2643,8,0)</f>
        <v>tier - 1</v>
      </c>
      <c r="P300" t="str">
        <f>VLOOKUP($B300,'Hospitalisation Details'!A299:J2643,7,0)</f>
        <v>tier - 2</v>
      </c>
      <c r="Q300" t="str">
        <f>VLOOKUP($B300,'Hospitalisation Details'!A299:J2643,9,0)</f>
        <v>R1012</v>
      </c>
      <c r="R300">
        <f>VLOOKUP($B300,'Hospitalisation Details'!A299:K2643,11,0)</f>
        <v>19</v>
      </c>
    </row>
    <row r="301" spans="1:18" x14ac:dyDescent="0.35">
      <c r="A301" t="s">
        <v>2072</v>
      </c>
      <c r="B301" t="s">
        <v>329</v>
      </c>
      <c r="C301" t="str">
        <f>VLOOKUP($A301,'Customer Names'!$A:$E,4,FALSE)</f>
        <v>Krisana</v>
      </c>
      <c r="D301" t="str">
        <f>VLOOKUP($A301,'Medical Examinations'!$A:$J,2,FALSE)</f>
        <v>Normal Weight</v>
      </c>
      <c r="E301">
        <f>VLOOKUP($A301,'Medical Examinations'!$A:$J,4,FALSE)</f>
        <v>7.84</v>
      </c>
      <c r="F301" t="str">
        <f>VLOOKUP($A301,'Medical Examinations'!$A:$J,6,FALSE)</f>
        <v>No</v>
      </c>
      <c r="G301" t="str">
        <f>VLOOKUP($A301,'Medical Examinations'!$A:$J,7,FALSE)</f>
        <v>No</v>
      </c>
      <c r="H301" t="str">
        <f>VLOOKUP($A301,'Medical Examinations'!$A:$J,8,FALSE)</f>
        <v>No</v>
      </c>
      <c r="I301">
        <f>VLOOKUP($A301,'Medical Examinations'!$A:$J,9,FALSE)</f>
        <v>0</v>
      </c>
      <c r="J301" t="str">
        <f>VLOOKUP($A301,'Medical Examinations'!$A:$J,10,FALSE)</f>
        <v>yes</v>
      </c>
      <c r="K301" t="str">
        <f>VLOOKUP($A301,'Medical Examinations'!$A:$J,5,FALSE)</f>
        <v>Diabetes</v>
      </c>
      <c r="L301">
        <f>VLOOKUP($A302,'Medical Examinations'!$A:$J,3,FALSE)</f>
        <v>40.020000000000003</v>
      </c>
      <c r="M301">
        <f>VLOOKUP($A301,'Hospitalisation Details'!$A:$K,6,FALSE)</f>
        <v>31368.81</v>
      </c>
      <c r="N301" s="11">
        <f>VLOOKUP($B301,'Hospitalisation Details'!A300:J2644,10,0)</f>
        <v>36800</v>
      </c>
      <c r="O301" t="str">
        <f>VLOOKUP($B301,'Hospitalisation Details'!A300:J2644,8,0)</f>
        <v>tier - 3</v>
      </c>
      <c r="P301" t="str">
        <f>VLOOKUP($B301,'Hospitalisation Details'!A300:J2644,7,0)</f>
        <v>tier - 2</v>
      </c>
      <c r="Q301" t="str">
        <f>VLOOKUP($B301,'Hospitalisation Details'!A300:J2644,9,0)</f>
        <v>R1011</v>
      </c>
      <c r="R301">
        <f>VLOOKUP($B301,'Hospitalisation Details'!A300:K2644,11,0)</f>
        <v>22</v>
      </c>
    </row>
    <row r="302" spans="1:18" x14ac:dyDescent="0.35">
      <c r="A302" t="s">
        <v>2071</v>
      </c>
      <c r="B302" t="s">
        <v>330</v>
      </c>
      <c r="C302" t="str">
        <f>VLOOKUP($A302,'Customer Names'!$A:$E,4,FALSE)</f>
        <v>Kyle</v>
      </c>
      <c r="D302" t="str">
        <f>VLOOKUP($A302,'Medical Examinations'!$A:$J,2,FALSE)</f>
        <v>Obesity</v>
      </c>
      <c r="E302">
        <f>VLOOKUP($A302,'Medical Examinations'!$A:$J,4,FALSE)</f>
        <v>5.19</v>
      </c>
      <c r="F302" t="str">
        <f>VLOOKUP($A302,'Medical Examinations'!$A:$J,6,FALSE)</f>
        <v>yes</v>
      </c>
      <c r="G302" t="str">
        <f>VLOOKUP($A302,'Medical Examinations'!$A:$J,7,FALSE)</f>
        <v>No</v>
      </c>
      <c r="H302" t="str">
        <f>VLOOKUP($A302,'Medical Examinations'!$A:$J,8,FALSE)</f>
        <v>No</v>
      </c>
      <c r="I302">
        <f>VLOOKUP($A302,'Medical Examinations'!$A:$J,9,FALSE)</f>
        <v>1</v>
      </c>
      <c r="J302" t="str">
        <f>VLOOKUP($A302,'Medical Examinations'!$A:$J,10,FALSE)</f>
        <v>yes</v>
      </c>
      <c r="K302" t="str">
        <f>VLOOKUP($A302,'Medical Examinations'!$A:$J,5,FALSE)</f>
        <v>Normal</v>
      </c>
      <c r="L302">
        <f>VLOOKUP($A303,'Medical Examinations'!$A:$J,3,FALSE)</f>
        <v>19.170000000000002</v>
      </c>
      <c r="M302">
        <f>VLOOKUP($A302,'Hospitalisation Details'!$A:$K,6,FALSE)</f>
        <v>31328.27</v>
      </c>
      <c r="N302" s="11">
        <f>VLOOKUP($B302,'Hospitalisation Details'!A301:J2645,10,0)</f>
        <v>36114</v>
      </c>
      <c r="O302" t="str">
        <f>VLOOKUP($B302,'Hospitalisation Details'!A301:J2645,8,0)</f>
        <v>tier - 3</v>
      </c>
      <c r="P302" t="str">
        <f>VLOOKUP($B302,'Hospitalisation Details'!A301:J2645,7,0)</f>
        <v>tier - 2</v>
      </c>
      <c r="Q302" t="str">
        <f>VLOOKUP($B302,'Hospitalisation Details'!A301:J2645,9,0)</f>
        <v>R1012</v>
      </c>
      <c r="R302">
        <f>VLOOKUP($B302,'Hospitalisation Details'!A301:K2645,11,0)</f>
        <v>24</v>
      </c>
    </row>
    <row r="303" spans="1:18" x14ac:dyDescent="0.35">
      <c r="A303" t="s">
        <v>2070</v>
      </c>
      <c r="B303" t="s">
        <v>331</v>
      </c>
      <c r="C303" t="str">
        <f>VLOOKUP($A303,'Customer Names'!$A:$E,4,FALSE)</f>
        <v>Kate</v>
      </c>
      <c r="D303" t="str">
        <f>VLOOKUP($A303,'Medical Examinations'!$A:$J,2,FALSE)</f>
        <v>Normal Weight</v>
      </c>
      <c r="E303">
        <f>VLOOKUP($A303,'Medical Examinations'!$A:$J,4,FALSE)</f>
        <v>8.41</v>
      </c>
      <c r="F303" t="str">
        <f>VLOOKUP($A303,'Medical Examinations'!$A:$J,6,FALSE)</f>
        <v>No</v>
      </c>
      <c r="G303" t="str">
        <f>VLOOKUP($A303,'Medical Examinations'!$A:$J,7,FALSE)</f>
        <v>No</v>
      </c>
      <c r="H303" t="str">
        <f>VLOOKUP($A303,'Medical Examinations'!$A:$J,8,FALSE)</f>
        <v>No</v>
      </c>
      <c r="I303">
        <f>VLOOKUP($A303,'Medical Examinations'!$A:$J,9,FALSE)</f>
        <v>0</v>
      </c>
      <c r="J303" t="str">
        <f>VLOOKUP($A303,'Medical Examinations'!$A:$J,10,FALSE)</f>
        <v>yes</v>
      </c>
      <c r="K303" t="str">
        <f>VLOOKUP($A303,'Medical Examinations'!$A:$J,5,FALSE)</f>
        <v>Diabetes</v>
      </c>
      <c r="L303">
        <f>VLOOKUP($A304,'Medical Examinations'!$A:$J,3,FALSE)</f>
        <v>43.53</v>
      </c>
      <c r="M303">
        <f>VLOOKUP($A303,'Hospitalisation Details'!$A:$K,6,FALSE)</f>
        <v>31322.53</v>
      </c>
      <c r="N303" s="11">
        <f>VLOOKUP($B303,'Hospitalisation Details'!A302:J2646,10,0)</f>
        <v>35963</v>
      </c>
      <c r="O303" t="str">
        <f>VLOOKUP($B303,'Hospitalisation Details'!A302:J2646,8,0)</f>
        <v>tier - 3</v>
      </c>
      <c r="P303" t="str">
        <f>VLOOKUP($B303,'Hospitalisation Details'!A302:J2646,7,0)</f>
        <v>tier - 2</v>
      </c>
      <c r="Q303" t="str">
        <f>VLOOKUP($B303,'Hospitalisation Details'!A302:J2646,9,0)</f>
        <v>R1012</v>
      </c>
      <c r="R303">
        <f>VLOOKUP($B303,'Hospitalisation Details'!A302:K2646,11,0)</f>
        <v>24</v>
      </c>
    </row>
    <row r="304" spans="1:18" x14ac:dyDescent="0.35">
      <c r="A304" t="s">
        <v>2069</v>
      </c>
      <c r="B304" t="s">
        <v>332</v>
      </c>
      <c r="C304" t="str">
        <f>VLOOKUP($A304,'Customer Names'!$A:$E,4,FALSE)</f>
        <v>Martin A.</v>
      </c>
      <c r="D304" t="str">
        <f>VLOOKUP($A304,'Medical Examinations'!$A:$J,2,FALSE)</f>
        <v>Obesity</v>
      </c>
      <c r="E304">
        <f>VLOOKUP($A304,'Medical Examinations'!$A:$J,4,FALSE)</f>
        <v>5.86</v>
      </c>
      <c r="F304" t="str">
        <f>VLOOKUP($A304,'Medical Examinations'!$A:$J,6,FALSE)</f>
        <v>yes</v>
      </c>
      <c r="G304" t="str">
        <f>VLOOKUP($A304,'Medical Examinations'!$A:$J,7,FALSE)</f>
        <v>yes</v>
      </c>
      <c r="H304" t="str">
        <f>VLOOKUP($A304,'Medical Examinations'!$A:$J,8,FALSE)</f>
        <v>No</v>
      </c>
      <c r="I304">
        <f>VLOOKUP($A304,'Medical Examinations'!$A:$J,9,FALSE)</f>
        <v>2</v>
      </c>
      <c r="J304" t="str">
        <f>VLOOKUP($A304,'Medical Examinations'!$A:$J,10,FALSE)</f>
        <v>yes</v>
      </c>
      <c r="K304" t="str">
        <f>VLOOKUP($A304,'Medical Examinations'!$A:$J,5,FALSE)</f>
        <v>Prediabetes</v>
      </c>
      <c r="L304">
        <f>VLOOKUP($A305,'Medical Examinations'!$A:$J,3,FALSE)</f>
        <v>46.06</v>
      </c>
      <c r="M304">
        <f>VLOOKUP($A304,'Hospitalisation Details'!$A:$K,6,FALSE)</f>
        <v>31234.560000000001</v>
      </c>
      <c r="N304" s="11">
        <f>VLOOKUP($B304,'Hospitalisation Details'!A303:J2647,10,0)</f>
        <v>36042</v>
      </c>
      <c r="O304" t="str">
        <f>VLOOKUP($B304,'Hospitalisation Details'!A303:J2647,8,0)</f>
        <v>tier - 3</v>
      </c>
      <c r="P304" t="str">
        <f>VLOOKUP($B304,'Hospitalisation Details'!A303:J2647,7,0)</f>
        <v>tier - 2</v>
      </c>
      <c r="Q304" t="str">
        <f>VLOOKUP($B304,'Hospitalisation Details'!A303:J2647,9,0)</f>
        <v>R1012</v>
      </c>
      <c r="R304">
        <f>VLOOKUP($B304,'Hospitalisation Details'!A303:K2647,11,0)</f>
        <v>24</v>
      </c>
    </row>
    <row r="305" spans="1:18" x14ac:dyDescent="0.35">
      <c r="A305" t="s">
        <v>2068</v>
      </c>
      <c r="B305" t="s">
        <v>333</v>
      </c>
      <c r="C305" t="str">
        <f>VLOOKUP($A305,'Customer Names'!$A:$E,4,FALSE)</f>
        <v>Stacey</v>
      </c>
      <c r="D305" t="str">
        <f>VLOOKUP($A305,'Medical Examinations'!$A:$J,2,FALSE)</f>
        <v>Obesity</v>
      </c>
      <c r="E305">
        <f>VLOOKUP($A305,'Medical Examinations'!$A:$J,4,FALSE)</f>
        <v>4.18</v>
      </c>
      <c r="F305" t="str">
        <f>VLOOKUP($A305,'Medical Examinations'!$A:$J,6,FALSE)</f>
        <v>No</v>
      </c>
      <c r="G305" t="str">
        <f>VLOOKUP($A305,'Medical Examinations'!$A:$J,7,FALSE)</f>
        <v>yes</v>
      </c>
      <c r="H305" t="str">
        <f>VLOOKUP($A305,'Medical Examinations'!$A:$J,8,FALSE)</f>
        <v>No</v>
      </c>
      <c r="I305">
        <f>VLOOKUP($A305,'Medical Examinations'!$A:$J,9,FALSE)</f>
        <v>1</v>
      </c>
      <c r="J305" t="str">
        <f>VLOOKUP($A305,'Medical Examinations'!$A:$J,10,FALSE)</f>
        <v>yes</v>
      </c>
      <c r="K305" t="str">
        <f>VLOOKUP($A305,'Medical Examinations'!$A:$J,5,FALSE)</f>
        <v>Normal</v>
      </c>
      <c r="L305">
        <f>VLOOKUP($A306,'Medical Examinations'!$A:$J,3,FALSE)</f>
        <v>29.92</v>
      </c>
      <c r="M305">
        <f>VLOOKUP($A305,'Hospitalisation Details'!$A:$K,6,FALSE)</f>
        <v>31196.61</v>
      </c>
      <c r="N305" s="11">
        <f>VLOOKUP($B305,'Hospitalisation Details'!A304:J2648,10,0)</f>
        <v>34274</v>
      </c>
      <c r="O305" t="str">
        <f>VLOOKUP($B305,'Hospitalisation Details'!A304:J2648,8,0)</f>
        <v>tier - 3</v>
      </c>
      <c r="P305" t="str">
        <f>VLOOKUP($B305,'Hospitalisation Details'!A304:J2648,7,0)</f>
        <v>tier - 3</v>
      </c>
      <c r="Q305" t="str">
        <f>VLOOKUP($B305,'Hospitalisation Details'!A304:J2648,9,0)</f>
        <v>R1011</v>
      </c>
      <c r="R305">
        <f>VLOOKUP($B305,'Hospitalisation Details'!A304:K2648,11,0)</f>
        <v>29</v>
      </c>
    </row>
    <row r="306" spans="1:18" x14ac:dyDescent="0.35">
      <c r="A306" t="s">
        <v>2067</v>
      </c>
      <c r="B306" t="s">
        <v>334</v>
      </c>
      <c r="C306" t="str">
        <f>VLOOKUP($A306,'Customer Names'!$A:$E,4,FALSE)</f>
        <v>Christine</v>
      </c>
      <c r="D306" t="str">
        <f>VLOOKUP($A306,'Medical Examinations'!$A:$J,2,FALSE)</f>
        <v>Overweight</v>
      </c>
      <c r="E306">
        <f>VLOOKUP($A306,'Medical Examinations'!$A:$J,4,FALSE)</f>
        <v>11.99</v>
      </c>
      <c r="F306" t="str">
        <f>VLOOKUP($A306,'Medical Examinations'!$A:$J,6,FALSE)</f>
        <v>yes</v>
      </c>
      <c r="G306" t="str">
        <f>VLOOKUP($A306,'Medical Examinations'!$A:$J,7,FALSE)</f>
        <v>No</v>
      </c>
      <c r="H306" t="str">
        <f>VLOOKUP($A306,'Medical Examinations'!$A:$J,8,FALSE)</f>
        <v>No</v>
      </c>
      <c r="I306">
        <f>VLOOKUP($A306,'Medical Examinations'!$A:$J,9,FALSE)</f>
        <v>2</v>
      </c>
      <c r="J306" t="str">
        <f>VLOOKUP($A306,'Medical Examinations'!$A:$J,10,FALSE)</f>
        <v>yes</v>
      </c>
      <c r="K306" t="str">
        <f>VLOOKUP($A306,'Medical Examinations'!$A:$J,5,FALSE)</f>
        <v>Diabetes</v>
      </c>
      <c r="L306">
        <f>VLOOKUP($A307,'Medical Examinations'!$A:$J,3,FALSE)</f>
        <v>28.46</v>
      </c>
      <c r="M306">
        <f>VLOOKUP($A306,'Hospitalisation Details'!$A:$K,6,FALSE)</f>
        <v>30942.19</v>
      </c>
      <c r="N306" s="11">
        <f>VLOOKUP($B306,'Hospitalisation Details'!A305:J2649,10,0)</f>
        <v>34193</v>
      </c>
      <c r="O306" t="str">
        <f>VLOOKUP($B306,'Hospitalisation Details'!A305:J2649,8,0)</f>
        <v>tier - 3</v>
      </c>
      <c r="P306" t="str">
        <f>VLOOKUP($B306,'Hospitalisation Details'!A305:J2649,7,0)</f>
        <v>tier - 1</v>
      </c>
      <c r="Q306" t="str">
        <f>VLOOKUP($B306,'Hospitalisation Details'!A305:J2649,9,0)</f>
        <v>R1013</v>
      </c>
      <c r="R306">
        <f>VLOOKUP($B306,'Hospitalisation Details'!A305:K2649,11,0)</f>
        <v>29</v>
      </c>
    </row>
    <row r="307" spans="1:18" x14ac:dyDescent="0.35">
      <c r="A307" t="s">
        <v>2066</v>
      </c>
      <c r="B307" t="s">
        <v>335</v>
      </c>
      <c r="C307" t="str">
        <f>VLOOKUP($A307,'Customer Names'!$A:$E,4,FALSE)</f>
        <v>Sarah C.</v>
      </c>
      <c r="D307" t="str">
        <f>VLOOKUP($A307,'Medical Examinations'!$A:$J,2,FALSE)</f>
        <v>Overweight</v>
      </c>
      <c r="E307">
        <f>VLOOKUP($A307,'Medical Examinations'!$A:$J,4,FALSE)</f>
        <v>4.8499999999999996</v>
      </c>
      <c r="F307" t="str">
        <f>VLOOKUP($A307,'Medical Examinations'!$A:$J,6,FALSE)</f>
        <v>yes</v>
      </c>
      <c r="G307" t="str">
        <f>VLOOKUP($A307,'Medical Examinations'!$A:$J,7,FALSE)</f>
        <v>No</v>
      </c>
      <c r="H307" t="str">
        <f>VLOOKUP($A307,'Medical Examinations'!$A:$J,8,FALSE)</f>
        <v>No</v>
      </c>
      <c r="I307">
        <f>VLOOKUP($A307,'Medical Examinations'!$A:$J,9,FALSE)</f>
        <v>1</v>
      </c>
      <c r="J307" t="str">
        <f>VLOOKUP($A307,'Medical Examinations'!$A:$J,10,FALSE)</f>
        <v>yes</v>
      </c>
      <c r="K307" t="str">
        <f>VLOOKUP($A307,'Medical Examinations'!$A:$J,5,FALSE)</f>
        <v>Normal</v>
      </c>
      <c r="L307">
        <f>VLOOKUP($A308,'Medical Examinations'!$A:$J,3,FALSE)</f>
        <v>24.56</v>
      </c>
      <c r="M307">
        <f>VLOOKUP($A307,'Hospitalisation Details'!$A:$K,6,FALSE)</f>
        <v>30763.01</v>
      </c>
      <c r="N307" s="11">
        <f>VLOOKUP($B307,'Hospitalisation Details'!A306:J2650,10,0)</f>
        <v>35237</v>
      </c>
      <c r="O307" t="str">
        <f>VLOOKUP($B307,'Hospitalisation Details'!A306:J2650,8,0)</f>
        <v>tier - 3</v>
      </c>
      <c r="P307" t="str">
        <f>VLOOKUP($B307,'Hospitalisation Details'!A306:J2650,7,0)</f>
        <v>tier - 3</v>
      </c>
      <c r="Q307" t="str">
        <f>VLOOKUP($B307,'Hospitalisation Details'!A306:J2650,9,0)</f>
        <v>R1016</v>
      </c>
      <c r="R307">
        <f>VLOOKUP($B307,'Hospitalisation Details'!A306:K2650,11,0)</f>
        <v>26</v>
      </c>
    </row>
    <row r="308" spans="1:18" x14ac:dyDescent="0.35">
      <c r="A308" t="s">
        <v>2065</v>
      </c>
      <c r="B308" t="s">
        <v>336</v>
      </c>
      <c r="C308" t="str">
        <f>VLOOKUP($A308,'Customer Names'!$A:$E,4,FALSE)</f>
        <v>Megan</v>
      </c>
      <c r="D308" t="str">
        <f>VLOOKUP($A308,'Medical Examinations'!$A:$J,2,FALSE)</f>
        <v>Normal Weight</v>
      </c>
      <c r="E308">
        <f>VLOOKUP($A308,'Medical Examinations'!$A:$J,4,FALSE)</f>
        <v>6.18</v>
      </c>
      <c r="F308" t="str">
        <f>VLOOKUP($A308,'Medical Examinations'!$A:$J,6,FALSE)</f>
        <v>yes</v>
      </c>
      <c r="G308" t="str">
        <f>VLOOKUP($A308,'Medical Examinations'!$A:$J,7,FALSE)</f>
        <v>No</v>
      </c>
      <c r="H308" t="str">
        <f>VLOOKUP($A308,'Medical Examinations'!$A:$J,8,FALSE)</f>
        <v>Yes</v>
      </c>
      <c r="I308">
        <f>VLOOKUP($A308,'Medical Examinations'!$A:$J,9,FALSE)</f>
        <v>1</v>
      </c>
      <c r="J308" t="str">
        <f>VLOOKUP($A308,'Medical Examinations'!$A:$J,10,FALSE)</f>
        <v>yes</v>
      </c>
      <c r="K308" t="str">
        <f>VLOOKUP($A308,'Medical Examinations'!$A:$J,5,FALSE)</f>
        <v>Prediabetes</v>
      </c>
      <c r="L308">
        <f>VLOOKUP($A309,'Medical Examinations'!$A:$J,3,FALSE)</f>
        <v>41.19</v>
      </c>
      <c r="M308">
        <f>VLOOKUP($A308,'Hospitalisation Details'!$A:$K,6,FALSE)</f>
        <v>30724.44</v>
      </c>
      <c r="N308" s="11">
        <f>VLOOKUP($B308,'Hospitalisation Details'!A307:J2651,10,0)</f>
        <v>36721</v>
      </c>
      <c r="O308" t="str">
        <f>VLOOKUP($B308,'Hospitalisation Details'!A307:J2651,8,0)</f>
        <v>tier - 1</v>
      </c>
      <c r="P308" t="str">
        <f>VLOOKUP($B308,'Hospitalisation Details'!A307:J2651,7,0)</f>
        <v>tier - 2</v>
      </c>
      <c r="Q308" t="str">
        <f>VLOOKUP($B308,'Hospitalisation Details'!A307:J2651,9,0)</f>
        <v>R1012</v>
      </c>
      <c r="R308">
        <f>VLOOKUP($B308,'Hospitalisation Details'!A307:K2651,11,0)</f>
        <v>22</v>
      </c>
    </row>
    <row r="309" spans="1:18" x14ac:dyDescent="0.35">
      <c r="A309" t="s">
        <v>2064</v>
      </c>
      <c r="B309" t="s">
        <v>337</v>
      </c>
      <c r="C309" t="str">
        <f>VLOOKUP($A309,'Customer Names'!$A:$E,4,FALSE)</f>
        <v>Jason W</v>
      </c>
      <c r="D309" t="str">
        <f>VLOOKUP($A309,'Medical Examinations'!$A:$J,2,FALSE)</f>
        <v>Obesity</v>
      </c>
      <c r="E309">
        <f>VLOOKUP($A309,'Medical Examinations'!$A:$J,4,FALSE)</f>
        <v>6.37</v>
      </c>
      <c r="F309" t="str">
        <f>VLOOKUP($A309,'Medical Examinations'!$A:$J,6,FALSE)</f>
        <v>No</v>
      </c>
      <c r="G309" t="str">
        <f>VLOOKUP($A309,'Medical Examinations'!$A:$J,7,FALSE)</f>
        <v>No</v>
      </c>
      <c r="H309" t="str">
        <f>VLOOKUP($A309,'Medical Examinations'!$A:$J,8,FALSE)</f>
        <v>No</v>
      </c>
      <c r="I309">
        <f>VLOOKUP($A309,'Medical Examinations'!$A:$J,9,FALSE)</f>
        <v>0</v>
      </c>
      <c r="J309" t="str">
        <f>VLOOKUP($A309,'Medical Examinations'!$A:$J,10,FALSE)</f>
        <v>yes</v>
      </c>
      <c r="K309" t="str">
        <f>VLOOKUP($A309,'Medical Examinations'!$A:$J,5,FALSE)</f>
        <v>Prediabetes</v>
      </c>
      <c r="L309">
        <f>VLOOKUP($A310,'Medical Examinations'!$A:$J,3,FALSE)</f>
        <v>18.63</v>
      </c>
      <c r="M309">
        <f>VLOOKUP($A309,'Hospitalisation Details'!$A:$K,6,FALSE)</f>
        <v>30697.71</v>
      </c>
      <c r="N309" s="11">
        <f>VLOOKUP($B309,'Hospitalisation Details'!A308:J2652,10,0)</f>
        <v>36465</v>
      </c>
      <c r="O309" t="str">
        <f>VLOOKUP($B309,'Hospitalisation Details'!A308:J2652,8,0)</f>
        <v>tier - 2</v>
      </c>
      <c r="P309" t="str">
        <f>VLOOKUP($B309,'Hospitalisation Details'!A308:J2652,7,0)</f>
        <v>tier - 2</v>
      </c>
      <c r="Q309" t="str">
        <f>VLOOKUP($B309,'Hospitalisation Details'!A308:J2652,9,0)</f>
        <v>R1024</v>
      </c>
      <c r="R309">
        <f>VLOOKUP($B309,'Hospitalisation Details'!A308:K2652,11,0)</f>
        <v>23</v>
      </c>
    </row>
    <row r="310" spans="1:18" x14ac:dyDescent="0.35">
      <c r="A310" t="s">
        <v>2063</v>
      </c>
      <c r="B310" t="s">
        <v>338</v>
      </c>
      <c r="C310" t="str">
        <f>VLOOKUP($A310,'Customer Names'!$A:$E,4,FALSE)</f>
        <v>Michele</v>
      </c>
      <c r="D310" t="str">
        <f>VLOOKUP($A310,'Medical Examinations'!$A:$J,2,FALSE)</f>
        <v>Normal Weight</v>
      </c>
      <c r="E310">
        <f>VLOOKUP($A310,'Medical Examinations'!$A:$J,4,FALSE)</f>
        <v>9.81</v>
      </c>
      <c r="F310" t="str">
        <f>VLOOKUP($A310,'Medical Examinations'!$A:$J,6,FALSE)</f>
        <v>yes</v>
      </c>
      <c r="G310" t="str">
        <f>VLOOKUP($A310,'Medical Examinations'!$A:$J,7,FALSE)</f>
        <v>No</v>
      </c>
      <c r="H310" t="str">
        <f>VLOOKUP($A310,'Medical Examinations'!$A:$J,8,FALSE)</f>
        <v>No</v>
      </c>
      <c r="I310">
        <f>VLOOKUP($A310,'Medical Examinations'!$A:$J,9,FALSE)</f>
        <v>2</v>
      </c>
      <c r="J310" t="str">
        <f>VLOOKUP($A310,'Medical Examinations'!$A:$J,10,FALSE)</f>
        <v>yes</v>
      </c>
      <c r="K310" t="str">
        <f>VLOOKUP($A310,'Medical Examinations'!$A:$J,5,FALSE)</f>
        <v>Diabetes</v>
      </c>
      <c r="L310">
        <f>VLOOKUP($A311,'Medical Examinations'!$A:$J,3,FALSE)</f>
        <v>26.26</v>
      </c>
      <c r="M310">
        <f>VLOOKUP($A310,'Hospitalisation Details'!$A:$K,6,FALSE)</f>
        <v>30625.65</v>
      </c>
      <c r="N310" s="11">
        <f>VLOOKUP($B310,'Hospitalisation Details'!A309:J2653,10,0)</f>
        <v>35362</v>
      </c>
      <c r="O310" t="str">
        <f>VLOOKUP($B310,'Hospitalisation Details'!A309:J2653,8,0)</f>
        <v>tier - 2</v>
      </c>
      <c r="P310" t="str">
        <f>VLOOKUP($B310,'Hospitalisation Details'!A309:J2653,7,0)</f>
        <v>tier - 2</v>
      </c>
      <c r="Q310" t="str">
        <f>VLOOKUP($B310,'Hospitalisation Details'!A309:J2653,9,0)</f>
        <v>R1013</v>
      </c>
      <c r="R310">
        <f>VLOOKUP($B310,'Hospitalisation Details'!A309:K2653,11,0)</f>
        <v>26</v>
      </c>
    </row>
    <row r="311" spans="1:18" x14ac:dyDescent="0.35">
      <c r="A311" t="s">
        <v>2062</v>
      </c>
      <c r="B311" t="s">
        <v>339</v>
      </c>
      <c r="C311" t="str">
        <f>VLOOKUP($A311,'Customer Names'!$A:$E,4,FALSE)</f>
        <v>Nikki</v>
      </c>
      <c r="D311" t="str">
        <f>VLOOKUP($A311,'Medical Examinations'!$A:$J,2,FALSE)</f>
        <v>Overweight</v>
      </c>
      <c r="E311">
        <f>VLOOKUP($A311,'Medical Examinations'!$A:$J,4,FALSE)</f>
        <v>11.8</v>
      </c>
      <c r="F311" t="str">
        <f>VLOOKUP($A311,'Medical Examinations'!$A:$J,6,FALSE)</f>
        <v>yes</v>
      </c>
      <c r="G311" t="str">
        <f>VLOOKUP($A311,'Medical Examinations'!$A:$J,7,FALSE)</f>
        <v>No</v>
      </c>
      <c r="H311" t="str">
        <f>VLOOKUP($A311,'Medical Examinations'!$A:$J,8,FALSE)</f>
        <v>No</v>
      </c>
      <c r="I311">
        <f>VLOOKUP($A311,'Medical Examinations'!$A:$J,9,FALSE)</f>
        <v>1</v>
      </c>
      <c r="J311" t="str">
        <f>VLOOKUP($A311,'Medical Examinations'!$A:$J,10,FALSE)</f>
        <v>yes</v>
      </c>
      <c r="K311" t="str">
        <f>VLOOKUP($A311,'Medical Examinations'!$A:$J,5,FALSE)</f>
        <v>Diabetes</v>
      </c>
      <c r="L311">
        <f>VLOOKUP($A312,'Medical Examinations'!$A:$J,3,FALSE)</f>
        <v>22.37</v>
      </c>
      <c r="M311">
        <f>VLOOKUP($A311,'Hospitalisation Details'!$A:$K,6,FALSE)</f>
        <v>30530.5</v>
      </c>
      <c r="N311" s="11">
        <f>VLOOKUP($B311,'Hospitalisation Details'!A310:J2654,10,0)</f>
        <v>35229</v>
      </c>
      <c r="O311" t="str">
        <f>VLOOKUP($B311,'Hospitalisation Details'!A310:J2654,8,0)</f>
        <v>tier - 2</v>
      </c>
      <c r="P311" t="str">
        <f>VLOOKUP($B311,'Hospitalisation Details'!A310:J2654,7,0)</f>
        <v>tier - 2</v>
      </c>
      <c r="Q311" t="str">
        <f>VLOOKUP($B311,'Hospitalisation Details'!A310:J2654,9,0)</f>
        <v>R1011</v>
      </c>
      <c r="R311">
        <f>VLOOKUP($B311,'Hospitalisation Details'!A310:K2654,11,0)</f>
        <v>26</v>
      </c>
    </row>
    <row r="312" spans="1:18" x14ac:dyDescent="0.35">
      <c r="A312" t="s">
        <v>2061</v>
      </c>
      <c r="B312" t="s">
        <v>340</v>
      </c>
      <c r="C312" t="str">
        <f>VLOOKUP($A312,'Customer Names'!$A:$E,4,FALSE)</f>
        <v>Philip J.</v>
      </c>
      <c r="D312" t="str">
        <f>VLOOKUP($A312,'Medical Examinations'!$A:$J,2,FALSE)</f>
        <v>Normal Weight</v>
      </c>
      <c r="E312">
        <f>VLOOKUP($A312,'Medical Examinations'!$A:$J,4,FALSE)</f>
        <v>5.86</v>
      </c>
      <c r="F312" t="str">
        <f>VLOOKUP($A312,'Medical Examinations'!$A:$J,6,FALSE)</f>
        <v>yes</v>
      </c>
      <c r="G312" t="str">
        <f>VLOOKUP($A312,'Medical Examinations'!$A:$J,7,FALSE)</f>
        <v>No</v>
      </c>
      <c r="H312" t="str">
        <f>VLOOKUP($A312,'Medical Examinations'!$A:$J,8,FALSE)</f>
        <v>Yes</v>
      </c>
      <c r="I312">
        <f>VLOOKUP($A312,'Medical Examinations'!$A:$J,9,FALSE)</f>
        <v>1</v>
      </c>
      <c r="J312" t="str">
        <f>VLOOKUP($A312,'Medical Examinations'!$A:$J,10,FALSE)</f>
        <v>yes</v>
      </c>
      <c r="K312" t="str">
        <f>VLOOKUP($A312,'Medical Examinations'!$A:$J,5,FALSE)</f>
        <v>Prediabetes</v>
      </c>
      <c r="L312">
        <f>VLOOKUP($A313,'Medical Examinations'!$A:$J,3,FALSE)</f>
        <v>39.619999999999997</v>
      </c>
      <c r="M312">
        <f>VLOOKUP($A312,'Hospitalisation Details'!$A:$K,6,FALSE)</f>
        <v>30457.37</v>
      </c>
      <c r="N312" s="11">
        <f>VLOOKUP($B312,'Hospitalisation Details'!A311:J2655,10,0)</f>
        <v>37777</v>
      </c>
      <c r="O312" t="str">
        <f>VLOOKUP($B312,'Hospitalisation Details'!A311:J2655,8,0)</f>
        <v>tier - 2</v>
      </c>
      <c r="P312" t="str">
        <f>VLOOKUP($B312,'Hospitalisation Details'!A311:J2655,7,0)</f>
        <v>tier - 2</v>
      </c>
      <c r="Q312" t="str">
        <f>VLOOKUP($B312,'Hospitalisation Details'!A311:J2655,9,0)</f>
        <v>R1011</v>
      </c>
      <c r="R312">
        <f>VLOOKUP($B312,'Hospitalisation Details'!A311:K2655,11,0)</f>
        <v>20</v>
      </c>
    </row>
    <row r="313" spans="1:18" x14ac:dyDescent="0.35">
      <c r="A313" t="s">
        <v>2060</v>
      </c>
      <c r="B313" t="s">
        <v>341</v>
      </c>
      <c r="C313" t="str">
        <f>VLOOKUP($A313,'Customer Names'!$A:$E,4,FALSE)</f>
        <v>Bryan L</v>
      </c>
      <c r="D313" t="str">
        <f>VLOOKUP($A313,'Medical Examinations'!$A:$J,2,FALSE)</f>
        <v>Obesity</v>
      </c>
      <c r="E313">
        <f>VLOOKUP($A313,'Medical Examinations'!$A:$J,4,FALSE)</f>
        <v>4.28</v>
      </c>
      <c r="F313" t="str">
        <f>VLOOKUP($A313,'Medical Examinations'!$A:$J,6,FALSE)</f>
        <v>No</v>
      </c>
      <c r="G313" t="str">
        <f>VLOOKUP($A313,'Medical Examinations'!$A:$J,7,FALSE)</f>
        <v>No</v>
      </c>
      <c r="H313" t="str">
        <f>VLOOKUP($A313,'Medical Examinations'!$A:$J,8,FALSE)</f>
        <v>No</v>
      </c>
      <c r="I313">
        <f>VLOOKUP($A313,'Medical Examinations'!$A:$J,9,FALSE)</f>
        <v>1</v>
      </c>
      <c r="J313" t="str">
        <f>VLOOKUP($A313,'Medical Examinations'!$A:$J,10,FALSE)</f>
        <v>yes</v>
      </c>
      <c r="K313" t="str">
        <f>VLOOKUP($A313,'Medical Examinations'!$A:$J,5,FALSE)</f>
        <v>Normal</v>
      </c>
      <c r="L313">
        <f>VLOOKUP($A314,'Medical Examinations'!$A:$J,3,FALSE)</f>
        <v>18.329999999999998</v>
      </c>
      <c r="M313">
        <f>VLOOKUP($A313,'Hospitalisation Details'!$A:$K,6,FALSE)</f>
        <v>30422.03</v>
      </c>
      <c r="N313" s="11">
        <f>VLOOKUP($B313,'Hospitalisation Details'!A312:J2656,10,0)</f>
        <v>35246</v>
      </c>
      <c r="O313" t="str">
        <f>VLOOKUP($B313,'Hospitalisation Details'!A312:J2656,8,0)</f>
        <v>tier - 2</v>
      </c>
      <c r="P313" t="str">
        <f>VLOOKUP($B313,'Hospitalisation Details'!A312:J2656,7,0)</f>
        <v>tier - 2</v>
      </c>
      <c r="Q313" t="str">
        <f>VLOOKUP($B313,'Hospitalisation Details'!A312:J2656,9,0)</f>
        <v>R1013</v>
      </c>
      <c r="R313">
        <f>VLOOKUP($B313,'Hospitalisation Details'!A312:K2656,11,0)</f>
        <v>26</v>
      </c>
    </row>
    <row r="314" spans="1:18" x14ac:dyDescent="0.35">
      <c r="A314" t="s">
        <v>2059</v>
      </c>
      <c r="B314" t="s">
        <v>342</v>
      </c>
      <c r="C314" t="str">
        <f>VLOOKUP($A314,'Customer Names'!$A:$E,4,FALSE)</f>
        <v>Timothy F</v>
      </c>
      <c r="D314" t="str">
        <f>VLOOKUP($A314,'Medical Examinations'!$A:$J,2,FALSE)</f>
        <v>Underweight</v>
      </c>
      <c r="E314">
        <f>VLOOKUP($A314,'Medical Examinations'!$A:$J,4,FALSE)</f>
        <v>4.16</v>
      </c>
      <c r="F314" t="str">
        <f>VLOOKUP($A314,'Medical Examinations'!$A:$J,6,FALSE)</f>
        <v>yes</v>
      </c>
      <c r="G314" t="str">
        <f>VLOOKUP($A314,'Medical Examinations'!$A:$J,7,FALSE)</f>
        <v>No</v>
      </c>
      <c r="H314" t="str">
        <f>VLOOKUP($A314,'Medical Examinations'!$A:$J,8,FALSE)</f>
        <v>No</v>
      </c>
      <c r="I314">
        <f>VLOOKUP($A314,'Medical Examinations'!$A:$J,9,FALSE)</f>
        <v>0</v>
      </c>
      <c r="J314" t="str">
        <f>VLOOKUP($A314,'Medical Examinations'!$A:$J,10,FALSE)</f>
        <v>yes</v>
      </c>
      <c r="K314" t="str">
        <f>VLOOKUP($A314,'Medical Examinations'!$A:$J,5,FALSE)</f>
        <v>Normal</v>
      </c>
      <c r="L314">
        <f>VLOOKUP($A315,'Medical Examinations'!$A:$J,3,FALSE)</f>
        <v>17.11</v>
      </c>
      <c r="M314">
        <f>VLOOKUP($A314,'Hospitalisation Details'!$A:$K,6,FALSE)</f>
        <v>30409.53</v>
      </c>
      <c r="N314" s="11">
        <f>VLOOKUP($B314,'Hospitalisation Details'!A313:J2657,10,0)</f>
        <v>37529</v>
      </c>
      <c r="O314" t="str">
        <f>VLOOKUP($B314,'Hospitalisation Details'!A313:J2657,8,0)</f>
        <v>tier - 3</v>
      </c>
      <c r="P314" t="str">
        <f>VLOOKUP($B314,'Hospitalisation Details'!A313:J2657,7,0)</f>
        <v>tier - 2</v>
      </c>
      <c r="Q314" t="str">
        <f>VLOOKUP($B314,'Hospitalisation Details'!A313:J2657,9,0)</f>
        <v>R1012</v>
      </c>
      <c r="R314">
        <f>VLOOKUP($B314,'Hospitalisation Details'!A313:K2657,11,0)</f>
        <v>20</v>
      </c>
    </row>
    <row r="315" spans="1:18" x14ac:dyDescent="0.35">
      <c r="A315" t="s">
        <v>2058</v>
      </c>
      <c r="B315" t="s">
        <v>343</v>
      </c>
      <c r="C315" t="str">
        <f>VLOOKUP($A315,'Customer Names'!$A:$E,4,FALSE)</f>
        <v>Angielyn M</v>
      </c>
      <c r="D315" t="str">
        <f>VLOOKUP($A315,'Medical Examinations'!$A:$J,2,FALSE)</f>
        <v>Underweight</v>
      </c>
      <c r="E315">
        <f>VLOOKUP($A315,'Medical Examinations'!$A:$J,4,FALSE)</f>
        <v>4.9800000000000004</v>
      </c>
      <c r="F315" t="str">
        <f>VLOOKUP($A315,'Medical Examinations'!$A:$J,6,FALSE)</f>
        <v>yes</v>
      </c>
      <c r="G315" t="str">
        <f>VLOOKUP($A315,'Medical Examinations'!$A:$J,7,FALSE)</f>
        <v>No</v>
      </c>
      <c r="H315" t="str">
        <f>VLOOKUP($A315,'Medical Examinations'!$A:$J,8,FALSE)</f>
        <v>Yes</v>
      </c>
      <c r="I315">
        <f>VLOOKUP($A315,'Medical Examinations'!$A:$J,9,FALSE)</f>
        <v>1</v>
      </c>
      <c r="J315" t="str">
        <f>VLOOKUP($A315,'Medical Examinations'!$A:$J,10,FALSE)</f>
        <v>yes</v>
      </c>
      <c r="K315" t="str">
        <f>VLOOKUP($A315,'Medical Examinations'!$A:$J,5,FALSE)</f>
        <v>Normal</v>
      </c>
      <c r="L315">
        <f>VLOOKUP($A316,'Medical Examinations'!$A:$J,3,FALSE)</f>
        <v>43.5</v>
      </c>
      <c r="M315">
        <f>VLOOKUP($A315,'Hospitalisation Details'!$A:$K,6,FALSE)</f>
        <v>30366.93</v>
      </c>
      <c r="N315" s="11">
        <f>VLOOKUP($B315,'Hospitalisation Details'!A314:J2658,10,0)</f>
        <v>34966</v>
      </c>
      <c r="O315" t="str">
        <f>VLOOKUP($B315,'Hospitalisation Details'!A314:J2658,8,0)</f>
        <v>tier - 1</v>
      </c>
      <c r="P315" t="str">
        <f>VLOOKUP($B315,'Hospitalisation Details'!A314:J2658,7,0)</f>
        <v>tier - 2</v>
      </c>
      <c r="Q315" t="str">
        <f>VLOOKUP($B315,'Hospitalisation Details'!A314:J2658,9,0)</f>
        <v>R1011</v>
      </c>
      <c r="R315">
        <f>VLOOKUP($B315,'Hospitalisation Details'!A314:K2658,11,0)</f>
        <v>27</v>
      </c>
    </row>
    <row r="316" spans="1:18" x14ac:dyDescent="0.35">
      <c r="A316" t="s">
        <v>2057</v>
      </c>
      <c r="B316" t="s">
        <v>344</v>
      </c>
      <c r="C316" t="str">
        <f>VLOOKUP($A316,'Customer Names'!$A:$E,4,FALSE)</f>
        <v>Jeanie M.</v>
      </c>
      <c r="D316" t="str">
        <f>VLOOKUP($A316,'Medical Examinations'!$A:$J,2,FALSE)</f>
        <v>Obesity</v>
      </c>
      <c r="E316">
        <f>VLOOKUP($A316,'Medical Examinations'!$A:$J,4,FALSE)</f>
        <v>6.38</v>
      </c>
      <c r="F316" t="str">
        <f>VLOOKUP($A316,'Medical Examinations'!$A:$J,6,FALSE)</f>
        <v>No</v>
      </c>
      <c r="G316" t="str">
        <f>VLOOKUP($A316,'Medical Examinations'!$A:$J,7,FALSE)</f>
        <v>yes</v>
      </c>
      <c r="H316" t="str">
        <f>VLOOKUP($A316,'Medical Examinations'!$A:$J,8,FALSE)</f>
        <v>No</v>
      </c>
      <c r="I316">
        <f>VLOOKUP($A316,'Medical Examinations'!$A:$J,9,FALSE)</f>
        <v>1</v>
      </c>
      <c r="J316" t="str">
        <f>VLOOKUP($A316,'Medical Examinations'!$A:$J,10,FALSE)</f>
        <v>yes</v>
      </c>
      <c r="K316" t="str">
        <f>VLOOKUP($A316,'Medical Examinations'!$A:$J,5,FALSE)</f>
        <v>Prediabetes</v>
      </c>
      <c r="L316">
        <f>VLOOKUP($A317,'Medical Examinations'!$A:$J,3,FALSE)</f>
        <v>25.364999999999998</v>
      </c>
      <c r="M316">
        <f>VLOOKUP($A316,'Hospitalisation Details'!$A:$K,6,FALSE)</f>
        <v>30328.27</v>
      </c>
      <c r="N316" s="11">
        <f>VLOOKUP($B316,'Hospitalisation Details'!A315:J2659,10,0)</f>
        <v>31946</v>
      </c>
      <c r="O316" t="str">
        <f>VLOOKUP($B316,'Hospitalisation Details'!A315:J2659,8,0)</f>
        <v>tier - 3</v>
      </c>
      <c r="P316" t="str">
        <f>VLOOKUP($B316,'Hospitalisation Details'!A315:J2659,7,0)</f>
        <v>tier - 2</v>
      </c>
      <c r="Q316" t="str">
        <f>VLOOKUP($B316,'Hospitalisation Details'!A315:J2659,9,0)</f>
        <v>R1013</v>
      </c>
      <c r="R316">
        <f>VLOOKUP($B316,'Hospitalisation Details'!A315:K2659,11,0)</f>
        <v>35</v>
      </c>
    </row>
    <row r="317" spans="1:18" x14ac:dyDescent="0.35">
      <c r="A317" t="s">
        <v>2056</v>
      </c>
      <c r="B317" t="s">
        <v>345</v>
      </c>
      <c r="C317" t="str">
        <f>VLOOKUP($A317,'Customer Names'!$A:$E,4,FALSE)</f>
        <v>Greg</v>
      </c>
      <c r="D317" t="str">
        <f>VLOOKUP($A317,'Medical Examinations'!$A:$J,2,FALSE)</f>
        <v>Overweight</v>
      </c>
      <c r="E317">
        <f>VLOOKUP($A317,'Medical Examinations'!$A:$J,4,FALSE)</f>
        <v>5.19</v>
      </c>
      <c r="F317" t="str">
        <f>VLOOKUP($A317,'Medical Examinations'!$A:$J,6,FALSE)</f>
        <v>No</v>
      </c>
      <c r="G317" t="str">
        <f>VLOOKUP($A317,'Medical Examinations'!$A:$J,7,FALSE)</f>
        <v>No</v>
      </c>
      <c r="H317" t="str">
        <f>VLOOKUP($A317,'Medical Examinations'!$A:$J,8,FALSE)</f>
        <v>No</v>
      </c>
      <c r="I317">
        <f>VLOOKUP($A317,'Medical Examinations'!$A:$J,9,FALSE)</f>
        <v>2</v>
      </c>
      <c r="J317" t="str">
        <f>VLOOKUP($A317,'Medical Examinations'!$A:$J,10,FALSE)</f>
        <v>No</v>
      </c>
      <c r="K317" t="str">
        <f>VLOOKUP($A317,'Medical Examinations'!$A:$J,5,FALSE)</f>
        <v>Normal</v>
      </c>
      <c r="L317">
        <f>VLOOKUP($A318,'Medical Examinations'!$A:$J,3,FALSE)</f>
        <v>28.594999999999999</v>
      </c>
      <c r="M317">
        <f>VLOOKUP($A317,'Hospitalisation Details'!$A:$K,6,FALSE)</f>
        <v>30284.639999999999</v>
      </c>
      <c r="N317" s="11">
        <f>VLOOKUP($B317,'Hospitalisation Details'!A316:J2660,10,0)</f>
        <v>33562</v>
      </c>
      <c r="O317" t="str">
        <f>VLOOKUP($B317,'Hospitalisation Details'!A316:J2660,8,0)</f>
        <v>tier - 2</v>
      </c>
      <c r="P317" t="str">
        <f>VLOOKUP($B317,'Hospitalisation Details'!A316:J2660,7,0)</f>
        <v>tier - 2</v>
      </c>
      <c r="Q317" t="str">
        <f>VLOOKUP($B317,'Hospitalisation Details'!A316:J2660,9,0)</f>
        <v>R1013</v>
      </c>
      <c r="R317">
        <f>VLOOKUP($B317,'Hospitalisation Details'!A316:K2660,11,0)</f>
        <v>31</v>
      </c>
    </row>
    <row r="318" spans="1:18" x14ac:dyDescent="0.35">
      <c r="A318" t="s">
        <v>2055</v>
      </c>
      <c r="B318" t="s">
        <v>346</v>
      </c>
      <c r="C318" t="str">
        <f>VLOOKUP($A318,'Customer Names'!$A:$E,4,FALSE)</f>
        <v>John</v>
      </c>
      <c r="D318" t="str">
        <f>VLOOKUP($A318,'Medical Examinations'!$A:$J,2,FALSE)</f>
        <v>Overweight</v>
      </c>
      <c r="E318">
        <f>VLOOKUP($A318,'Medical Examinations'!$A:$J,4,FALSE)</f>
        <v>10.210000000000001</v>
      </c>
      <c r="F318" t="str">
        <f>VLOOKUP($A318,'Medical Examinations'!$A:$J,6,FALSE)</f>
        <v>No</v>
      </c>
      <c r="G318" t="str">
        <f>VLOOKUP($A318,'Medical Examinations'!$A:$J,7,FALSE)</f>
        <v>No</v>
      </c>
      <c r="H318" t="str">
        <f>VLOOKUP($A318,'Medical Examinations'!$A:$J,8,FALSE)</f>
        <v>No</v>
      </c>
      <c r="I318">
        <f>VLOOKUP($A318,'Medical Examinations'!$A:$J,9,FALSE)</f>
        <v>0</v>
      </c>
      <c r="J318" t="str">
        <f>VLOOKUP($A318,'Medical Examinations'!$A:$J,10,FALSE)</f>
        <v>No</v>
      </c>
      <c r="K318" t="str">
        <f>VLOOKUP($A318,'Medical Examinations'!$A:$J,5,FALSE)</f>
        <v>Diabetes</v>
      </c>
      <c r="L318">
        <f>VLOOKUP($A319,'Medical Examinations'!$A:$J,3,FALSE)</f>
        <v>29.83</v>
      </c>
      <c r="M318">
        <f>VLOOKUP($A318,'Hospitalisation Details'!$A:$K,6,FALSE)</f>
        <v>30260</v>
      </c>
      <c r="N318" s="11">
        <f>VLOOKUP($B318,'Hospitalisation Details'!A317:J2661,10,0)</f>
        <v>37605</v>
      </c>
      <c r="O318" t="str">
        <f>VLOOKUP($B318,'Hospitalisation Details'!A317:J2661,8,0)</f>
        <v>tier - 3</v>
      </c>
      <c r="P318" t="str">
        <f>VLOOKUP($B318,'Hospitalisation Details'!A317:J2661,7,0)</f>
        <v>tier - 2</v>
      </c>
      <c r="Q318" t="str">
        <f>VLOOKUP($B318,'Hospitalisation Details'!A317:J2661,9,0)</f>
        <v>R1012</v>
      </c>
      <c r="R318">
        <f>VLOOKUP($B318,'Hospitalisation Details'!A317:K2661,11,0)</f>
        <v>20</v>
      </c>
    </row>
    <row r="319" spans="1:18" x14ac:dyDescent="0.35">
      <c r="A319" t="s">
        <v>2054</v>
      </c>
      <c r="B319" t="s">
        <v>347</v>
      </c>
      <c r="C319" t="str">
        <f>VLOOKUP($A319,'Customer Names'!$A:$E,4,FALSE)</f>
        <v>Aliaksandr</v>
      </c>
      <c r="D319" t="str">
        <f>VLOOKUP($A319,'Medical Examinations'!$A:$J,2,FALSE)</f>
        <v>Overweight</v>
      </c>
      <c r="E319">
        <f>VLOOKUP($A319,'Medical Examinations'!$A:$J,4,FALSE)</f>
        <v>9.6999999999999993</v>
      </c>
      <c r="F319" t="str">
        <f>VLOOKUP($A319,'Medical Examinations'!$A:$J,6,FALSE)</f>
        <v>yes</v>
      </c>
      <c r="G319" t="str">
        <f>VLOOKUP($A319,'Medical Examinations'!$A:$J,7,FALSE)</f>
        <v>No</v>
      </c>
      <c r="H319" t="str">
        <f>VLOOKUP($A319,'Medical Examinations'!$A:$J,8,FALSE)</f>
        <v>Yes</v>
      </c>
      <c r="I319">
        <f>VLOOKUP($A319,'Medical Examinations'!$A:$J,9,FALSE)</f>
        <v>1</v>
      </c>
      <c r="J319" t="str">
        <f>VLOOKUP($A319,'Medical Examinations'!$A:$J,10,FALSE)</f>
        <v>yes</v>
      </c>
      <c r="K319" t="str">
        <f>VLOOKUP($A319,'Medical Examinations'!$A:$J,5,FALSE)</f>
        <v>Diabetes</v>
      </c>
      <c r="L319">
        <f>VLOOKUP($A320,'Medical Examinations'!$A:$J,3,FALSE)</f>
        <v>24.7</v>
      </c>
      <c r="M319">
        <f>VLOOKUP($A319,'Hospitalisation Details'!$A:$K,6,FALSE)</f>
        <v>30184.94</v>
      </c>
      <c r="N319" s="11">
        <f>VLOOKUP($B319,'Hospitalisation Details'!A318:J2662,10,0)</f>
        <v>32414</v>
      </c>
      <c r="O319" t="str">
        <f>VLOOKUP($B319,'Hospitalisation Details'!A318:J2662,8,0)</f>
        <v>tier - 2</v>
      </c>
      <c r="P319" t="str">
        <f>VLOOKUP($B319,'Hospitalisation Details'!A318:J2662,7,0)</f>
        <v>tier - 2</v>
      </c>
      <c r="Q319" t="str">
        <f>VLOOKUP($B319,'Hospitalisation Details'!A318:J2662,9,0)</f>
        <v>R1012</v>
      </c>
      <c r="R319">
        <f>VLOOKUP($B319,'Hospitalisation Details'!A318:K2662,11,0)</f>
        <v>34</v>
      </c>
    </row>
    <row r="320" spans="1:18" x14ac:dyDescent="0.35">
      <c r="A320" t="s">
        <v>2053</v>
      </c>
      <c r="B320" t="s">
        <v>348</v>
      </c>
      <c r="C320" t="str">
        <f>VLOOKUP($A320,'Customer Names'!$A:$E,4,FALSE)</f>
        <v>Jason M.</v>
      </c>
      <c r="D320" t="str">
        <f>VLOOKUP($A320,'Medical Examinations'!$A:$J,2,FALSE)</f>
        <v>Normal Weight</v>
      </c>
      <c r="E320">
        <f>VLOOKUP($A320,'Medical Examinations'!$A:$J,4,FALSE)</f>
        <v>10.25</v>
      </c>
      <c r="F320" t="str">
        <f>VLOOKUP($A320,'Medical Examinations'!$A:$J,6,FALSE)</f>
        <v>No</v>
      </c>
      <c r="G320" t="str">
        <f>VLOOKUP($A320,'Medical Examinations'!$A:$J,7,FALSE)</f>
        <v>No</v>
      </c>
      <c r="H320" t="str">
        <f>VLOOKUP($A320,'Medical Examinations'!$A:$J,8,FALSE)</f>
        <v>No</v>
      </c>
      <c r="I320">
        <f>VLOOKUP($A320,'Medical Examinations'!$A:$J,9,FALSE)</f>
        <v>3</v>
      </c>
      <c r="J320" t="str">
        <f>VLOOKUP($A320,'Medical Examinations'!$A:$J,10,FALSE)</f>
        <v>No</v>
      </c>
      <c r="K320" t="str">
        <f>VLOOKUP($A320,'Medical Examinations'!$A:$J,5,FALSE)</f>
        <v>Diabetes</v>
      </c>
      <c r="L320">
        <f>VLOOKUP($A321,'Medical Examinations'!$A:$J,3,FALSE)</f>
        <v>17.940000000000001</v>
      </c>
      <c r="M320">
        <f>VLOOKUP($A320,'Hospitalisation Details'!$A:$K,6,FALSE)</f>
        <v>30166.62</v>
      </c>
      <c r="N320" s="11">
        <f>VLOOKUP($B320,'Hospitalisation Details'!A319:J2663,10,0)</f>
        <v>35783</v>
      </c>
      <c r="O320" t="str">
        <f>VLOOKUP($B320,'Hospitalisation Details'!A319:J2663,8,0)</f>
        <v>tier - 3</v>
      </c>
      <c r="P320" t="str">
        <f>VLOOKUP($B320,'Hospitalisation Details'!A319:J2663,7,0)</f>
        <v>tier - 2</v>
      </c>
      <c r="Q320" t="str">
        <f>VLOOKUP($B320,'Hospitalisation Details'!A319:J2663,9,0)</f>
        <v>R1012</v>
      </c>
      <c r="R320">
        <f>VLOOKUP($B320,'Hospitalisation Details'!A319:K2663,11,0)</f>
        <v>25</v>
      </c>
    </row>
    <row r="321" spans="1:18" x14ac:dyDescent="0.35">
      <c r="A321" t="s">
        <v>2052</v>
      </c>
      <c r="B321" t="s">
        <v>349</v>
      </c>
      <c r="C321" t="str">
        <f>VLOOKUP($A321,'Customer Names'!$A:$E,4,FALSE)</f>
        <v>Sheera K</v>
      </c>
      <c r="D321" t="str">
        <f>VLOOKUP($A321,'Medical Examinations'!$A:$J,2,FALSE)</f>
        <v>Underweight</v>
      </c>
      <c r="E321">
        <f>VLOOKUP($A321,'Medical Examinations'!$A:$J,4,FALSE)</f>
        <v>9.77</v>
      </c>
      <c r="F321" t="str">
        <f>VLOOKUP($A321,'Medical Examinations'!$A:$J,6,FALSE)</f>
        <v>No</v>
      </c>
      <c r="G321" t="str">
        <f>VLOOKUP($A321,'Medical Examinations'!$A:$J,7,FALSE)</f>
        <v>No</v>
      </c>
      <c r="H321" t="str">
        <f>VLOOKUP($A321,'Medical Examinations'!$A:$J,8,FALSE)</f>
        <v>No</v>
      </c>
      <c r="I321">
        <f>VLOOKUP($A321,'Medical Examinations'!$A:$J,9,FALSE)</f>
        <v>0</v>
      </c>
      <c r="J321" t="str">
        <f>VLOOKUP($A321,'Medical Examinations'!$A:$J,10,FALSE)</f>
        <v>yes</v>
      </c>
      <c r="K321" t="str">
        <f>VLOOKUP($A321,'Medical Examinations'!$A:$J,5,FALSE)</f>
        <v>Diabetes</v>
      </c>
      <c r="L321">
        <f>VLOOKUP($A322,'Medical Examinations'!$A:$J,3,FALSE)</f>
        <v>21.08</v>
      </c>
      <c r="M321">
        <f>VLOOKUP($A321,'Hospitalisation Details'!$A:$K,6,FALSE)</f>
        <v>30134.75</v>
      </c>
      <c r="N321" s="11">
        <f>VLOOKUP($B321,'Hospitalisation Details'!A320:J2664,10,0)</f>
        <v>36053</v>
      </c>
      <c r="O321" t="str">
        <f>VLOOKUP($B321,'Hospitalisation Details'!A320:J2664,8,0)</f>
        <v>tier - 3</v>
      </c>
      <c r="P321" t="str">
        <f>VLOOKUP($B321,'Hospitalisation Details'!A320:J2664,7,0)</f>
        <v>tier - 2</v>
      </c>
      <c r="Q321" t="str">
        <f>VLOOKUP($B321,'Hospitalisation Details'!A320:J2664,9,0)</f>
        <v>R1024</v>
      </c>
      <c r="R321">
        <f>VLOOKUP($B321,'Hospitalisation Details'!A320:K2664,11,0)</f>
        <v>24</v>
      </c>
    </row>
    <row r="322" spans="1:18" x14ac:dyDescent="0.35">
      <c r="A322" t="s">
        <v>2051</v>
      </c>
      <c r="B322" t="s">
        <v>350</v>
      </c>
      <c r="C322" t="str">
        <f>VLOOKUP($A322,'Customer Names'!$A:$E,4,FALSE)</f>
        <v>Janice</v>
      </c>
      <c r="D322" t="str">
        <f>VLOOKUP($A322,'Medical Examinations'!$A:$J,2,FALSE)</f>
        <v>Normal Weight</v>
      </c>
      <c r="E322">
        <f>VLOOKUP($A322,'Medical Examinations'!$A:$J,4,FALSE)</f>
        <v>4.83</v>
      </c>
      <c r="F322" t="str">
        <f>VLOOKUP($A322,'Medical Examinations'!$A:$J,6,FALSE)</f>
        <v>No</v>
      </c>
      <c r="G322" t="str">
        <f>VLOOKUP($A322,'Medical Examinations'!$A:$J,7,FALSE)</f>
        <v>No</v>
      </c>
      <c r="H322" t="str">
        <f>VLOOKUP($A322,'Medical Examinations'!$A:$J,8,FALSE)</f>
        <v>Yes</v>
      </c>
      <c r="I322">
        <f>VLOOKUP($A322,'Medical Examinations'!$A:$J,9,FALSE)</f>
        <v>1</v>
      </c>
      <c r="J322" t="str">
        <f>VLOOKUP($A322,'Medical Examinations'!$A:$J,10,FALSE)</f>
        <v>yes</v>
      </c>
      <c r="K322" t="str">
        <f>VLOOKUP($A322,'Medical Examinations'!$A:$J,5,FALSE)</f>
        <v>Normal</v>
      </c>
      <c r="L322">
        <f>VLOOKUP($A323,'Medical Examinations'!$A:$J,3,FALSE)</f>
        <v>37.715000000000003</v>
      </c>
      <c r="M322">
        <f>VLOOKUP($A322,'Hospitalisation Details'!$A:$K,6,FALSE)</f>
        <v>30095.97</v>
      </c>
      <c r="N322" s="11">
        <f>VLOOKUP($B322,'Hospitalisation Details'!A321:J2665,10,0)</f>
        <v>36016</v>
      </c>
      <c r="O322" t="str">
        <f>VLOOKUP($B322,'Hospitalisation Details'!A321:J2665,8,0)</f>
        <v>tier - 1</v>
      </c>
      <c r="P322" t="str">
        <f>VLOOKUP($B322,'Hospitalisation Details'!A321:J2665,7,0)</f>
        <v>tier - 2</v>
      </c>
      <c r="Q322" t="str">
        <f>VLOOKUP($B322,'Hospitalisation Details'!A321:J2665,9,0)</f>
        <v>R1023</v>
      </c>
      <c r="R322">
        <f>VLOOKUP($B322,'Hospitalisation Details'!A321:K2665,11,0)</f>
        <v>24</v>
      </c>
    </row>
    <row r="323" spans="1:18" x14ac:dyDescent="0.35">
      <c r="A323" t="s">
        <v>2050</v>
      </c>
      <c r="B323" t="s">
        <v>351</v>
      </c>
      <c r="C323" t="str">
        <f>VLOOKUP($A323,'Customer Names'!$A:$E,4,FALSE)</f>
        <v>Timothy G.</v>
      </c>
      <c r="D323" t="str">
        <f>VLOOKUP($A323,'Medical Examinations'!$A:$J,2,FALSE)</f>
        <v>Obesity</v>
      </c>
      <c r="E323">
        <f>VLOOKUP($A323,'Medical Examinations'!$A:$J,4,FALSE)</f>
        <v>10.86</v>
      </c>
      <c r="F323" t="str">
        <f>VLOOKUP($A323,'Medical Examinations'!$A:$J,6,FALSE)</f>
        <v>yes</v>
      </c>
      <c r="G323" t="str">
        <f>VLOOKUP($A323,'Medical Examinations'!$A:$J,7,FALSE)</f>
        <v>No</v>
      </c>
      <c r="H323" t="str">
        <f>VLOOKUP($A323,'Medical Examinations'!$A:$J,8,FALSE)</f>
        <v>No</v>
      </c>
      <c r="I323">
        <f>VLOOKUP($A323,'Medical Examinations'!$A:$J,9,FALSE)</f>
        <v>0</v>
      </c>
      <c r="J323" t="str">
        <f>VLOOKUP($A323,'Medical Examinations'!$A:$J,10,FALSE)</f>
        <v>No</v>
      </c>
      <c r="K323" t="str">
        <f>VLOOKUP($A323,'Medical Examinations'!$A:$J,5,FALSE)</f>
        <v>Diabetes</v>
      </c>
      <c r="L323">
        <f>VLOOKUP($A324,'Medical Examinations'!$A:$J,3,FALSE)</f>
        <v>22.39</v>
      </c>
      <c r="M323">
        <f>VLOOKUP($A323,'Hospitalisation Details'!$A:$K,6,FALSE)</f>
        <v>30063.58</v>
      </c>
      <c r="N323" s="11">
        <f>VLOOKUP($B323,'Hospitalisation Details'!A322:J2666,10,0)</f>
        <v>35786</v>
      </c>
      <c r="O323" t="str">
        <f>VLOOKUP($B323,'Hospitalisation Details'!A322:J2666,8,0)</f>
        <v>tier - 2</v>
      </c>
      <c r="P323" t="str">
        <f>VLOOKUP($B323,'Hospitalisation Details'!A322:J2666,7,0)</f>
        <v>tier - 2</v>
      </c>
      <c r="Q323" t="str">
        <f>VLOOKUP($B323,'Hospitalisation Details'!A322:J2666,9,0)</f>
        <v>R1011</v>
      </c>
      <c r="R323">
        <f>VLOOKUP($B323,'Hospitalisation Details'!A322:K2666,11,0)</f>
        <v>25</v>
      </c>
    </row>
    <row r="324" spans="1:18" x14ac:dyDescent="0.35">
      <c r="A324" t="s">
        <v>2049</v>
      </c>
      <c r="B324" t="s">
        <v>352</v>
      </c>
      <c r="C324" t="str">
        <f>VLOOKUP($A324,'Customer Names'!$A:$E,4,FALSE)</f>
        <v>Alan R</v>
      </c>
      <c r="D324" t="str">
        <f>VLOOKUP($A324,'Medical Examinations'!$A:$J,2,FALSE)</f>
        <v>Normal Weight</v>
      </c>
      <c r="E324">
        <f>VLOOKUP($A324,'Medical Examinations'!$A:$J,4,FALSE)</f>
        <v>9.5299999999999994</v>
      </c>
      <c r="F324" t="str">
        <f>VLOOKUP($A324,'Medical Examinations'!$A:$J,6,FALSE)</f>
        <v>yes</v>
      </c>
      <c r="G324" t="str">
        <f>VLOOKUP($A324,'Medical Examinations'!$A:$J,7,FALSE)</f>
        <v>No</v>
      </c>
      <c r="H324" t="str">
        <f>VLOOKUP($A324,'Medical Examinations'!$A:$J,8,FALSE)</f>
        <v>No</v>
      </c>
      <c r="I324">
        <f>VLOOKUP($A324,'Medical Examinations'!$A:$J,9,FALSE)</f>
        <v>0</v>
      </c>
      <c r="J324" t="str">
        <f>VLOOKUP($A324,'Medical Examinations'!$A:$J,10,FALSE)</f>
        <v>yes</v>
      </c>
      <c r="K324" t="str">
        <f>VLOOKUP($A324,'Medical Examinations'!$A:$J,5,FALSE)</f>
        <v>Diabetes</v>
      </c>
      <c r="L324">
        <f>VLOOKUP($A325,'Medical Examinations'!$A:$J,3,FALSE)</f>
        <v>28.78</v>
      </c>
      <c r="M324">
        <f>VLOOKUP($A324,'Hospitalisation Details'!$A:$K,6,FALSE)</f>
        <v>30026.87</v>
      </c>
      <c r="N324" s="11">
        <f>VLOOKUP($B324,'Hospitalisation Details'!A323:J2667,10,0)</f>
        <v>37428</v>
      </c>
      <c r="O324" t="str">
        <f>VLOOKUP($B324,'Hospitalisation Details'!A323:J2667,8,0)</f>
        <v>tier - 3</v>
      </c>
      <c r="P324" t="str">
        <f>VLOOKUP($B324,'Hospitalisation Details'!A323:J2667,7,0)</f>
        <v>tier - 2</v>
      </c>
      <c r="Q324" t="str">
        <f>VLOOKUP($B324,'Hospitalisation Details'!A323:J2667,9,0)</f>
        <v>R1013</v>
      </c>
      <c r="R324">
        <f>VLOOKUP($B324,'Hospitalisation Details'!A323:K2667,11,0)</f>
        <v>20</v>
      </c>
    </row>
    <row r="325" spans="1:18" x14ac:dyDescent="0.35">
      <c r="A325" t="s">
        <v>2048</v>
      </c>
      <c r="B325" t="s">
        <v>353</v>
      </c>
      <c r="C325" t="str">
        <f>VLOOKUP($A325,'Customer Names'!$A:$E,4,FALSE)</f>
        <v>Michael</v>
      </c>
      <c r="D325" t="str">
        <f>VLOOKUP($A325,'Medical Examinations'!$A:$J,2,FALSE)</f>
        <v>Overweight</v>
      </c>
      <c r="E325">
        <f>VLOOKUP($A325,'Medical Examinations'!$A:$J,4,FALSE)</f>
        <v>5.68</v>
      </c>
      <c r="F325" t="str">
        <f>VLOOKUP($A325,'Medical Examinations'!$A:$J,6,FALSE)</f>
        <v>No</v>
      </c>
      <c r="G325" t="str">
        <f>VLOOKUP($A325,'Medical Examinations'!$A:$J,7,FALSE)</f>
        <v>No</v>
      </c>
      <c r="H325" t="str">
        <f>VLOOKUP($A325,'Medical Examinations'!$A:$J,8,FALSE)</f>
        <v>No</v>
      </c>
      <c r="I325">
        <f>VLOOKUP($A325,'Medical Examinations'!$A:$J,9,FALSE)</f>
        <v>0</v>
      </c>
      <c r="J325" t="str">
        <f>VLOOKUP($A325,'Medical Examinations'!$A:$J,10,FALSE)</f>
        <v>yes</v>
      </c>
      <c r="K325" t="str">
        <f>VLOOKUP($A325,'Medical Examinations'!$A:$J,5,FALSE)</f>
        <v>Normal</v>
      </c>
      <c r="L325">
        <f>VLOOKUP($A326,'Medical Examinations'!$A:$J,3,FALSE)</f>
        <v>18.329999999999998</v>
      </c>
      <c r="M325">
        <f>VLOOKUP($A325,'Hospitalisation Details'!$A:$K,6,FALSE)</f>
        <v>29969.67</v>
      </c>
      <c r="N325" s="11">
        <f>VLOOKUP($B325,'Hospitalisation Details'!A324:J2668,10,0)</f>
        <v>34603</v>
      </c>
      <c r="O325" t="str">
        <f>VLOOKUP($B325,'Hospitalisation Details'!A324:J2668,8,0)</f>
        <v>tier - 1</v>
      </c>
      <c r="P325" t="str">
        <f>VLOOKUP($B325,'Hospitalisation Details'!A324:J2668,7,0)</f>
        <v>tier - 3</v>
      </c>
      <c r="Q325" t="str">
        <f>VLOOKUP($B325,'Hospitalisation Details'!A324:J2668,9,0)</f>
        <v>R1012</v>
      </c>
      <c r="R325">
        <f>VLOOKUP($B325,'Hospitalisation Details'!A324:K2668,11,0)</f>
        <v>28</v>
      </c>
    </row>
    <row r="326" spans="1:18" x14ac:dyDescent="0.35">
      <c r="A326" t="s">
        <v>2047</v>
      </c>
      <c r="B326" t="s">
        <v>354</v>
      </c>
      <c r="C326" t="str">
        <f>VLOOKUP($A326,'Customer Names'!$A:$E,4,FALSE)</f>
        <v>Marie-France</v>
      </c>
      <c r="D326" t="str">
        <f>VLOOKUP($A326,'Medical Examinations'!$A:$J,2,FALSE)</f>
        <v>Underweight</v>
      </c>
      <c r="E326">
        <f>VLOOKUP($A326,'Medical Examinations'!$A:$J,4,FALSE)</f>
        <v>5.57</v>
      </c>
      <c r="F326" t="str">
        <f>VLOOKUP($A326,'Medical Examinations'!$A:$J,6,FALSE)</f>
        <v>yes</v>
      </c>
      <c r="G326" t="str">
        <f>VLOOKUP($A326,'Medical Examinations'!$A:$J,7,FALSE)</f>
        <v>No</v>
      </c>
      <c r="H326" t="str">
        <f>VLOOKUP($A326,'Medical Examinations'!$A:$J,8,FALSE)</f>
        <v>No</v>
      </c>
      <c r="I326">
        <f>VLOOKUP($A326,'Medical Examinations'!$A:$J,9,FALSE)</f>
        <v>0</v>
      </c>
      <c r="J326" t="str">
        <f>VLOOKUP($A326,'Medical Examinations'!$A:$J,10,FALSE)</f>
        <v>yes</v>
      </c>
      <c r="K326" t="str">
        <f>VLOOKUP($A326,'Medical Examinations'!$A:$J,5,FALSE)</f>
        <v>Normal</v>
      </c>
      <c r="L326">
        <f>VLOOKUP($A327,'Medical Examinations'!$A:$J,3,FALSE)</f>
        <v>26.39</v>
      </c>
      <c r="M326">
        <f>VLOOKUP($A326,'Hospitalisation Details'!$A:$K,6,FALSE)</f>
        <v>29933.75</v>
      </c>
      <c r="N326" s="11">
        <f>VLOOKUP($B326,'Hospitalisation Details'!A325:J2669,10,0)</f>
        <v>32782</v>
      </c>
      <c r="O326" t="str">
        <f>VLOOKUP($B326,'Hospitalisation Details'!A325:J2669,8,0)</f>
        <v>tier - 1</v>
      </c>
      <c r="P326" t="str">
        <f>VLOOKUP($B326,'Hospitalisation Details'!A325:J2669,7,0)</f>
        <v>tier - 2</v>
      </c>
      <c r="Q326" t="str">
        <f>VLOOKUP($B326,'Hospitalisation Details'!A325:J2669,9,0)</f>
        <v>R1012</v>
      </c>
      <c r="R326">
        <f>VLOOKUP($B326,'Hospitalisation Details'!A325:K2669,11,0)</f>
        <v>33</v>
      </c>
    </row>
    <row r="327" spans="1:18" x14ac:dyDescent="0.35">
      <c r="A327" t="s">
        <v>2046</v>
      </c>
      <c r="B327" t="s">
        <v>355</v>
      </c>
      <c r="C327" t="str">
        <f>VLOOKUP($A327,'Customer Names'!$A:$E,4,FALSE)</f>
        <v>Erik F.</v>
      </c>
      <c r="D327" t="str">
        <f>VLOOKUP($A327,'Medical Examinations'!$A:$J,2,FALSE)</f>
        <v>Overweight</v>
      </c>
      <c r="E327">
        <f>VLOOKUP($A327,'Medical Examinations'!$A:$J,4,FALSE)</f>
        <v>4.58</v>
      </c>
      <c r="F327" t="str">
        <f>VLOOKUP($A327,'Medical Examinations'!$A:$J,6,FALSE)</f>
        <v>yes</v>
      </c>
      <c r="G327" t="str">
        <f>VLOOKUP($A327,'Medical Examinations'!$A:$J,7,FALSE)</f>
        <v>No</v>
      </c>
      <c r="H327" t="str">
        <f>VLOOKUP($A327,'Medical Examinations'!$A:$J,8,FALSE)</f>
        <v>No</v>
      </c>
      <c r="I327">
        <f>VLOOKUP($A327,'Medical Examinations'!$A:$J,9,FALSE)</f>
        <v>1</v>
      </c>
      <c r="J327" t="str">
        <f>VLOOKUP($A327,'Medical Examinations'!$A:$J,10,FALSE)</f>
        <v>yes</v>
      </c>
      <c r="K327" t="str">
        <f>VLOOKUP($A327,'Medical Examinations'!$A:$J,5,FALSE)</f>
        <v>Normal</v>
      </c>
      <c r="L327">
        <f>VLOOKUP($A328,'Medical Examinations'!$A:$J,3,FALSE)</f>
        <v>19.260000000000002</v>
      </c>
      <c r="M327">
        <f>VLOOKUP($A327,'Hospitalisation Details'!$A:$K,6,FALSE)</f>
        <v>29929.56</v>
      </c>
      <c r="N327" s="11">
        <f>VLOOKUP($B327,'Hospitalisation Details'!A326:J2670,10,0)</f>
        <v>34952</v>
      </c>
      <c r="O327" t="str">
        <f>VLOOKUP($B327,'Hospitalisation Details'!A326:J2670,8,0)</f>
        <v>tier - 1</v>
      </c>
      <c r="P327" t="str">
        <f>VLOOKUP($B327,'Hospitalisation Details'!A326:J2670,7,0)</f>
        <v>tier - 3</v>
      </c>
      <c r="Q327" t="str">
        <f>VLOOKUP($B327,'Hospitalisation Details'!A326:J2670,9,0)</f>
        <v>R1017</v>
      </c>
      <c r="R327">
        <f>VLOOKUP($B327,'Hospitalisation Details'!A326:K2670,11,0)</f>
        <v>27</v>
      </c>
    </row>
    <row r="328" spans="1:18" x14ac:dyDescent="0.35">
      <c r="A328" t="s">
        <v>2045</v>
      </c>
      <c r="B328" t="s">
        <v>357</v>
      </c>
      <c r="C328" t="str">
        <f>VLOOKUP($A328,'Customer Names'!$A:$E,4,FALSE)</f>
        <v>Andrew</v>
      </c>
      <c r="D328" t="str">
        <f>VLOOKUP($A328,'Medical Examinations'!$A:$J,2,FALSE)</f>
        <v>Normal Weight</v>
      </c>
      <c r="E328">
        <f>VLOOKUP($A328,'Medical Examinations'!$A:$J,4,FALSE)</f>
        <v>8.9600000000000009</v>
      </c>
      <c r="F328" t="str">
        <f>VLOOKUP($A328,'Medical Examinations'!$A:$J,6,FALSE)</f>
        <v>yes</v>
      </c>
      <c r="G328" t="str">
        <f>VLOOKUP($A328,'Medical Examinations'!$A:$J,7,FALSE)</f>
        <v>No</v>
      </c>
      <c r="H328" t="str">
        <f>VLOOKUP($A328,'Medical Examinations'!$A:$J,8,FALSE)</f>
        <v>No</v>
      </c>
      <c r="I328">
        <f>VLOOKUP($A328,'Medical Examinations'!$A:$J,9,FALSE)</f>
        <v>1</v>
      </c>
      <c r="J328" t="str">
        <f>VLOOKUP($A328,'Medical Examinations'!$A:$J,10,FALSE)</f>
        <v>yes</v>
      </c>
      <c r="K328" t="str">
        <f>VLOOKUP($A328,'Medical Examinations'!$A:$J,5,FALSE)</f>
        <v>Diabetes</v>
      </c>
      <c r="L328">
        <f>VLOOKUP($A329,'Medical Examinations'!$A:$J,3,FALSE)</f>
        <v>26.92</v>
      </c>
      <c r="M328">
        <f>VLOOKUP($A328,'Hospitalisation Details'!$A:$K,6,FALSE)</f>
        <v>29899.25</v>
      </c>
      <c r="N328" s="11">
        <f>VLOOKUP($B328,'Hospitalisation Details'!A327:J2671,10,0)</f>
        <v>37177</v>
      </c>
      <c r="O328" t="str">
        <f>VLOOKUP($B328,'Hospitalisation Details'!A327:J2671,8,0)</f>
        <v>tier - 1</v>
      </c>
      <c r="P328" t="str">
        <f>VLOOKUP($B328,'Hospitalisation Details'!A327:J2671,7,0)</f>
        <v>tier - 2</v>
      </c>
      <c r="Q328" t="str">
        <f>VLOOKUP($B328,'Hospitalisation Details'!A327:J2671,9,0)</f>
        <v>R1012</v>
      </c>
      <c r="R328">
        <f>VLOOKUP($B328,'Hospitalisation Details'!A327:K2671,11,0)</f>
        <v>21</v>
      </c>
    </row>
    <row r="329" spans="1:18" x14ac:dyDescent="0.35">
      <c r="A329" t="s">
        <v>2044</v>
      </c>
      <c r="B329" t="s">
        <v>358</v>
      </c>
      <c r="C329" t="str">
        <f>VLOOKUP($A329,'Customer Names'!$A:$E,4,FALSE)</f>
        <v>Anthony</v>
      </c>
      <c r="D329" t="str">
        <f>VLOOKUP($A329,'Medical Examinations'!$A:$J,2,FALSE)</f>
        <v>Overweight</v>
      </c>
      <c r="E329">
        <f>VLOOKUP($A329,'Medical Examinations'!$A:$J,4,FALSE)</f>
        <v>6.09</v>
      </c>
      <c r="F329" t="str">
        <f>VLOOKUP($A329,'Medical Examinations'!$A:$J,6,FALSE)</f>
        <v>No</v>
      </c>
      <c r="G329" t="str">
        <f>VLOOKUP($A329,'Medical Examinations'!$A:$J,7,FALSE)</f>
        <v>No</v>
      </c>
      <c r="H329" t="str">
        <f>VLOOKUP($A329,'Medical Examinations'!$A:$J,8,FALSE)</f>
        <v>No</v>
      </c>
      <c r="I329">
        <f>VLOOKUP($A329,'Medical Examinations'!$A:$J,9,FALSE)</f>
        <v>0</v>
      </c>
      <c r="J329" t="str">
        <f>VLOOKUP($A329,'Medical Examinations'!$A:$J,10,FALSE)</f>
        <v>yes</v>
      </c>
      <c r="K329" t="str">
        <f>VLOOKUP($A329,'Medical Examinations'!$A:$J,5,FALSE)</f>
        <v>Prediabetes</v>
      </c>
      <c r="L329">
        <f>VLOOKUP($A330,'Medical Examinations'!$A:$J,3,FALSE)</f>
        <v>19.73</v>
      </c>
      <c r="M329">
        <f>VLOOKUP($A329,'Hospitalisation Details'!$A:$K,6,FALSE)</f>
        <v>29852.48</v>
      </c>
      <c r="N329" s="11">
        <f>VLOOKUP($B329,'Hospitalisation Details'!A328:J2672,10,0)</f>
        <v>31990</v>
      </c>
      <c r="O329" t="str">
        <f>VLOOKUP($B329,'Hospitalisation Details'!A328:J2672,8,0)</f>
        <v>tier - 2</v>
      </c>
      <c r="P329" t="str">
        <f>VLOOKUP($B329,'Hospitalisation Details'!A328:J2672,7,0)</f>
        <v>tier - 2</v>
      </c>
      <c r="Q329" t="str">
        <f>VLOOKUP($B329,'Hospitalisation Details'!A328:J2672,9,0)</f>
        <v>R1013</v>
      </c>
      <c r="R329">
        <f>VLOOKUP($B329,'Hospitalisation Details'!A328:K2672,11,0)</f>
        <v>35</v>
      </c>
    </row>
    <row r="330" spans="1:18" x14ac:dyDescent="0.35">
      <c r="A330" t="s">
        <v>2043</v>
      </c>
      <c r="B330" t="s">
        <v>359</v>
      </c>
      <c r="C330" t="str">
        <f>VLOOKUP($A330,'Customer Names'!$A:$E,4,FALSE)</f>
        <v>Chris</v>
      </c>
      <c r="D330" t="str">
        <f>VLOOKUP($A330,'Medical Examinations'!$A:$J,2,FALSE)</f>
        <v>Normal Weight</v>
      </c>
      <c r="E330">
        <f>VLOOKUP($A330,'Medical Examinations'!$A:$J,4,FALSE)</f>
        <v>4.3600000000000003</v>
      </c>
      <c r="F330" t="str">
        <f>VLOOKUP($A330,'Medical Examinations'!$A:$J,6,FALSE)</f>
        <v>No</v>
      </c>
      <c r="G330" t="str">
        <f>VLOOKUP($A330,'Medical Examinations'!$A:$J,7,FALSE)</f>
        <v>No</v>
      </c>
      <c r="H330" t="str">
        <f>VLOOKUP($A330,'Medical Examinations'!$A:$J,8,FALSE)</f>
        <v>No</v>
      </c>
      <c r="I330">
        <f>VLOOKUP($A330,'Medical Examinations'!$A:$J,9,FALSE)</f>
        <v>0</v>
      </c>
      <c r="J330" t="str">
        <f>VLOOKUP($A330,'Medical Examinations'!$A:$J,10,FALSE)</f>
        <v>yes</v>
      </c>
      <c r="K330" t="str">
        <f>VLOOKUP($A330,'Medical Examinations'!$A:$J,5,FALSE)</f>
        <v>Normal</v>
      </c>
      <c r="L330">
        <f>VLOOKUP($A331,'Medical Examinations'!$A:$J,3,FALSE)</f>
        <v>23.56</v>
      </c>
      <c r="M330">
        <f>VLOOKUP($A330,'Hospitalisation Details'!$A:$K,6,FALSE)</f>
        <v>29818.76</v>
      </c>
      <c r="N330" s="11">
        <f>VLOOKUP($B330,'Hospitalisation Details'!A329:J2673,10,0)</f>
        <v>36336</v>
      </c>
      <c r="O330" t="str">
        <f>VLOOKUP($B330,'Hospitalisation Details'!A329:J2673,8,0)</f>
        <v>tier - 3</v>
      </c>
      <c r="P330" t="str">
        <f>VLOOKUP($B330,'Hospitalisation Details'!A329:J2673,7,0)</f>
        <v>tier - 2</v>
      </c>
      <c r="Q330" t="str">
        <f>VLOOKUP($B330,'Hospitalisation Details'!A329:J2673,9,0)</f>
        <v>R1021</v>
      </c>
      <c r="R330">
        <f>VLOOKUP($B330,'Hospitalisation Details'!A329:K2673,11,0)</f>
        <v>23</v>
      </c>
    </row>
    <row r="331" spans="1:18" x14ac:dyDescent="0.35">
      <c r="A331" t="s">
        <v>2042</v>
      </c>
      <c r="B331" t="s">
        <v>360</v>
      </c>
      <c r="C331" t="str">
        <f>VLOOKUP($A331,'Customer Names'!$A:$E,4,FALSE)</f>
        <v>Yu</v>
      </c>
      <c r="D331" t="str">
        <f>VLOOKUP($A331,'Medical Examinations'!$A:$J,2,FALSE)</f>
        <v>Normal Weight</v>
      </c>
      <c r="E331">
        <f>VLOOKUP($A331,'Medical Examinations'!$A:$J,4,FALSE)</f>
        <v>11.74</v>
      </c>
      <c r="F331" t="str">
        <f>VLOOKUP($A331,'Medical Examinations'!$A:$J,6,FALSE)</f>
        <v>yes</v>
      </c>
      <c r="G331" t="str">
        <f>VLOOKUP($A331,'Medical Examinations'!$A:$J,7,FALSE)</f>
        <v>No</v>
      </c>
      <c r="H331" t="str">
        <f>VLOOKUP($A331,'Medical Examinations'!$A:$J,8,FALSE)</f>
        <v>No</v>
      </c>
      <c r="I331">
        <f>VLOOKUP($A331,'Medical Examinations'!$A:$J,9,FALSE)</f>
        <v>0</v>
      </c>
      <c r="J331" t="str">
        <f>VLOOKUP($A331,'Medical Examinations'!$A:$J,10,FALSE)</f>
        <v>yes</v>
      </c>
      <c r="K331" t="str">
        <f>VLOOKUP($A331,'Medical Examinations'!$A:$J,5,FALSE)</f>
        <v>Diabetes</v>
      </c>
      <c r="L331">
        <f>VLOOKUP($A332,'Medical Examinations'!$A:$J,3,FALSE)</f>
        <v>37.67</v>
      </c>
      <c r="M331">
        <f>VLOOKUP($A331,'Hospitalisation Details'!$A:$K,6,FALSE)</f>
        <v>29816.639999999999</v>
      </c>
      <c r="N331" s="11">
        <f>VLOOKUP($B331,'Hospitalisation Details'!A330:J2674,10,0)</f>
        <v>34525</v>
      </c>
      <c r="O331" t="str">
        <f>VLOOKUP($B331,'Hospitalisation Details'!A330:J2674,8,0)</f>
        <v>tier - 1</v>
      </c>
      <c r="P331" t="str">
        <f>VLOOKUP($B331,'Hospitalisation Details'!A330:J2674,7,0)</f>
        <v>tier - 2</v>
      </c>
      <c r="Q331" t="str">
        <f>VLOOKUP($B331,'Hospitalisation Details'!A330:J2674,9,0)</f>
        <v>R1011</v>
      </c>
      <c r="R331">
        <f>VLOOKUP($B331,'Hospitalisation Details'!A330:K2674,11,0)</f>
        <v>28</v>
      </c>
    </row>
    <row r="332" spans="1:18" x14ac:dyDescent="0.35">
      <c r="A332" t="s">
        <v>2041</v>
      </c>
      <c r="B332" t="s">
        <v>361</v>
      </c>
      <c r="C332" t="str">
        <f>VLOOKUP($A332,'Customer Names'!$A:$E,4,FALSE)</f>
        <v>Caleb N</v>
      </c>
      <c r="D332" t="str">
        <f>VLOOKUP($A332,'Medical Examinations'!$A:$J,2,FALSE)</f>
        <v>Obesity</v>
      </c>
      <c r="E332">
        <f>VLOOKUP($A332,'Medical Examinations'!$A:$J,4,FALSE)</f>
        <v>5.89</v>
      </c>
      <c r="F332" t="str">
        <f>VLOOKUP($A332,'Medical Examinations'!$A:$J,6,FALSE)</f>
        <v>No</v>
      </c>
      <c r="G332" t="str">
        <f>VLOOKUP($A332,'Medical Examinations'!$A:$J,7,FALSE)</f>
        <v>No</v>
      </c>
      <c r="H332" t="str">
        <f>VLOOKUP($A332,'Medical Examinations'!$A:$J,8,FALSE)</f>
        <v>No</v>
      </c>
      <c r="I332">
        <f>VLOOKUP($A332,'Medical Examinations'!$A:$J,9,FALSE)</f>
        <v>1</v>
      </c>
      <c r="J332" t="str">
        <f>VLOOKUP($A332,'Medical Examinations'!$A:$J,10,FALSE)</f>
        <v>yes</v>
      </c>
      <c r="K332" t="str">
        <f>VLOOKUP($A332,'Medical Examinations'!$A:$J,5,FALSE)</f>
        <v>Prediabetes</v>
      </c>
      <c r="L332">
        <f>VLOOKUP($A333,'Medical Examinations'!$A:$J,3,FALSE)</f>
        <v>18.73</v>
      </c>
      <c r="M332">
        <f>VLOOKUP($A332,'Hospitalisation Details'!$A:$K,6,FALSE)</f>
        <v>29760.6</v>
      </c>
      <c r="N332" s="11">
        <f>VLOOKUP($B332,'Hospitalisation Details'!A331:J2675,10,0)</f>
        <v>34237</v>
      </c>
      <c r="O332" t="str">
        <f>VLOOKUP($B332,'Hospitalisation Details'!A331:J2675,8,0)</f>
        <v>tier - 3</v>
      </c>
      <c r="P332" t="str">
        <f>VLOOKUP($B332,'Hospitalisation Details'!A331:J2675,7,0)</f>
        <v>tier - 2</v>
      </c>
      <c r="Q332" t="str">
        <f>VLOOKUP($B332,'Hospitalisation Details'!A331:J2675,9,0)</f>
        <v>R1013</v>
      </c>
      <c r="R332">
        <f>VLOOKUP($B332,'Hospitalisation Details'!A331:K2675,11,0)</f>
        <v>29</v>
      </c>
    </row>
    <row r="333" spans="1:18" x14ac:dyDescent="0.35">
      <c r="A333" t="s">
        <v>2040</v>
      </c>
      <c r="B333" t="s">
        <v>362</v>
      </c>
      <c r="C333" t="str">
        <f>VLOOKUP($A333,'Customer Names'!$A:$E,4,FALSE)</f>
        <v>Jason M.</v>
      </c>
      <c r="D333" t="str">
        <f>VLOOKUP($A333,'Medical Examinations'!$A:$J,2,FALSE)</f>
        <v>Normal Weight</v>
      </c>
      <c r="E333">
        <f>VLOOKUP($A333,'Medical Examinations'!$A:$J,4,FALSE)</f>
        <v>10.64</v>
      </c>
      <c r="F333" t="str">
        <f>VLOOKUP($A333,'Medical Examinations'!$A:$J,6,FALSE)</f>
        <v>No</v>
      </c>
      <c r="G333" t="str">
        <f>VLOOKUP($A333,'Medical Examinations'!$A:$J,7,FALSE)</f>
        <v>No</v>
      </c>
      <c r="H333" t="str">
        <f>VLOOKUP($A333,'Medical Examinations'!$A:$J,8,FALSE)</f>
        <v>No</v>
      </c>
      <c r="I333">
        <f>VLOOKUP($A333,'Medical Examinations'!$A:$J,9,FALSE)</f>
        <v>2</v>
      </c>
      <c r="J333" t="str">
        <f>VLOOKUP($A333,'Medical Examinations'!$A:$J,10,FALSE)</f>
        <v>yes</v>
      </c>
      <c r="K333" t="str">
        <f>VLOOKUP($A333,'Medical Examinations'!$A:$J,5,FALSE)</f>
        <v>Diabetes</v>
      </c>
      <c r="L333">
        <f>VLOOKUP($A334,'Medical Examinations'!$A:$J,3,FALSE)</f>
        <v>33.090000000000003</v>
      </c>
      <c r="M333">
        <f>VLOOKUP($A333,'Hospitalisation Details'!$A:$K,6,FALSE)</f>
        <v>29757.69</v>
      </c>
      <c r="N333" s="11">
        <f>VLOOKUP($B333,'Hospitalisation Details'!A332:J2676,10,0)</f>
        <v>37132</v>
      </c>
      <c r="O333" t="str">
        <f>VLOOKUP($B333,'Hospitalisation Details'!A332:J2676,8,0)</f>
        <v>tier - 3</v>
      </c>
      <c r="P333" t="str">
        <f>VLOOKUP($B333,'Hospitalisation Details'!A332:J2676,7,0)</f>
        <v>tier - 2</v>
      </c>
      <c r="Q333" t="str">
        <f>VLOOKUP($B333,'Hospitalisation Details'!A332:J2676,9,0)</f>
        <v>R1024</v>
      </c>
      <c r="R333">
        <f>VLOOKUP($B333,'Hospitalisation Details'!A332:K2676,11,0)</f>
        <v>21</v>
      </c>
    </row>
    <row r="334" spans="1:18" x14ac:dyDescent="0.35">
      <c r="A334" t="s">
        <v>2039</v>
      </c>
      <c r="B334" t="s">
        <v>363</v>
      </c>
      <c r="C334" t="str">
        <f>VLOOKUP($A334,'Customer Names'!$A:$E,4,FALSE)</f>
        <v>Angela R</v>
      </c>
      <c r="D334" t="str">
        <f>VLOOKUP($A334,'Medical Examinations'!$A:$J,2,FALSE)</f>
        <v>Obesity</v>
      </c>
      <c r="E334">
        <f>VLOOKUP($A334,'Medical Examinations'!$A:$J,4,FALSE)</f>
        <v>6.06</v>
      </c>
      <c r="F334" t="str">
        <f>VLOOKUP($A334,'Medical Examinations'!$A:$J,6,FALSE)</f>
        <v>No</v>
      </c>
      <c r="G334" t="str">
        <f>VLOOKUP($A334,'Medical Examinations'!$A:$J,7,FALSE)</f>
        <v>No</v>
      </c>
      <c r="H334" t="str">
        <f>VLOOKUP($A334,'Medical Examinations'!$A:$J,8,FALSE)</f>
        <v>Yes</v>
      </c>
      <c r="I334">
        <f>VLOOKUP($A334,'Medical Examinations'!$A:$J,9,FALSE)</f>
        <v>1</v>
      </c>
      <c r="J334" t="str">
        <f>VLOOKUP($A334,'Medical Examinations'!$A:$J,10,FALSE)</f>
        <v>yes</v>
      </c>
      <c r="K334" t="str">
        <f>VLOOKUP($A334,'Medical Examinations'!$A:$J,5,FALSE)</f>
        <v>Prediabetes</v>
      </c>
      <c r="L334">
        <f>VLOOKUP($A335,'Medical Examinations'!$A:$J,3,FALSE)</f>
        <v>18.329999999999998</v>
      </c>
      <c r="M334">
        <f>VLOOKUP($A334,'Hospitalisation Details'!$A:$K,6,FALSE)</f>
        <v>29622.69</v>
      </c>
      <c r="N334" s="11">
        <f>VLOOKUP($B334,'Hospitalisation Details'!A333:J2677,10,0)</f>
        <v>34632</v>
      </c>
      <c r="O334" t="str">
        <f>VLOOKUP($B334,'Hospitalisation Details'!A333:J2677,8,0)</f>
        <v>tier - 3</v>
      </c>
      <c r="P334" t="str">
        <f>VLOOKUP($B334,'Hospitalisation Details'!A333:J2677,7,0)</f>
        <v>tier - 2</v>
      </c>
      <c r="Q334" t="str">
        <f>VLOOKUP($B334,'Hospitalisation Details'!A333:J2677,9,0)</f>
        <v>R1013</v>
      </c>
      <c r="R334">
        <f>VLOOKUP($B334,'Hospitalisation Details'!A333:K2677,11,0)</f>
        <v>28</v>
      </c>
    </row>
    <row r="335" spans="1:18" x14ac:dyDescent="0.35">
      <c r="A335" t="s">
        <v>2038</v>
      </c>
      <c r="B335" t="s">
        <v>364</v>
      </c>
      <c r="C335" t="str">
        <f>VLOOKUP($A335,'Customer Names'!$A:$E,4,FALSE)</f>
        <v>Keith J</v>
      </c>
      <c r="D335" t="str">
        <f>VLOOKUP($A335,'Medical Examinations'!$A:$J,2,FALSE)</f>
        <v>Underweight</v>
      </c>
      <c r="E335">
        <f>VLOOKUP($A335,'Medical Examinations'!$A:$J,4,FALSE)</f>
        <v>7.46</v>
      </c>
      <c r="F335" t="str">
        <f>VLOOKUP($A335,'Medical Examinations'!$A:$J,6,FALSE)</f>
        <v>yes</v>
      </c>
      <c r="G335" t="str">
        <f>VLOOKUP($A335,'Medical Examinations'!$A:$J,7,FALSE)</f>
        <v>No</v>
      </c>
      <c r="H335" t="str">
        <f>VLOOKUP($A335,'Medical Examinations'!$A:$J,8,FALSE)</f>
        <v>No</v>
      </c>
      <c r="I335">
        <f>VLOOKUP($A335,'Medical Examinations'!$A:$J,9,FALSE)</f>
        <v>1</v>
      </c>
      <c r="J335" t="str">
        <f>VLOOKUP($A335,'Medical Examinations'!$A:$J,10,FALSE)</f>
        <v>yes</v>
      </c>
      <c r="K335" t="str">
        <f>VLOOKUP($A335,'Medical Examinations'!$A:$J,5,FALSE)</f>
        <v>Diabetes</v>
      </c>
      <c r="L335">
        <f>VLOOKUP($A336,'Medical Examinations'!$A:$J,3,FALSE)</f>
        <v>27.74</v>
      </c>
      <c r="M335">
        <f>VLOOKUP($A335,'Hospitalisation Details'!$A:$K,6,FALSE)</f>
        <v>29583.8</v>
      </c>
      <c r="N335" s="11">
        <f>VLOOKUP($B335,'Hospitalisation Details'!A334:J2678,10,0)</f>
        <v>34521</v>
      </c>
      <c r="O335" t="str">
        <f>VLOOKUP($B335,'Hospitalisation Details'!A334:J2678,8,0)</f>
        <v>tier - 1</v>
      </c>
      <c r="P335" t="str">
        <f>VLOOKUP($B335,'Hospitalisation Details'!A334:J2678,7,0)</f>
        <v>tier - 2</v>
      </c>
      <c r="Q335" t="str">
        <f>VLOOKUP($B335,'Hospitalisation Details'!A334:J2678,9,0)</f>
        <v>R1011</v>
      </c>
      <c r="R335">
        <f>VLOOKUP($B335,'Hospitalisation Details'!A334:K2678,11,0)</f>
        <v>28</v>
      </c>
    </row>
    <row r="336" spans="1:18" x14ac:dyDescent="0.35">
      <c r="A336" t="s">
        <v>2037</v>
      </c>
      <c r="B336" t="s">
        <v>365</v>
      </c>
      <c r="C336" t="str">
        <f>VLOOKUP($A336,'Customer Names'!$A:$E,4,FALSE)</f>
        <v>Emma</v>
      </c>
      <c r="D336" t="str">
        <f>VLOOKUP($A336,'Medical Examinations'!$A:$J,2,FALSE)</f>
        <v>Overweight</v>
      </c>
      <c r="E336">
        <f>VLOOKUP($A336,'Medical Examinations'!$A:$J,4,FALSE)</f>
        <v>4.68</v>
      </c>
      <c r="F336" t="str">
        <f>VLOOKUP($A336,'Medical Examinations'!$A:$J,6,FALSE)</f>
        <v>yes</v>
      </c>
      <c r="G336" t="str">
        <f>VLOOKUP($A336,'Medical Examinations'!$A:$J,7,FALSE)</f>
        <v>No</v>
      </c>
      <c r="H336" t="str">
        <f>VLOOKUP($A336,'Medical Examinations'!$A:$J,8,FALSE)</f>
        <v>No</v>
      </c>
      <c r="I336">
        <f>VLOOKUP($A336,'Medical Examinations'!$A:$J,9,FALSE)</f>
        <v>2</v>
      </c>
      <c r="J336" t="str">
        <f>VLOOKUP($A336,'Medical Examinations'!$A:$J,10,FALSE)</f>
        <v>yes</v>
      </c>
      <c r="K336" t="str">
        <f>VLOOKUP($A336,'Medical Examinations'!$A:$J,5,FALSE)</f>
        <v>Normal</v>
      </c>
      <c r="L336">
        <f>VLOOKUP($A337,'Medical Examinations'!$A:$J,3,FALSE)</f>
        <v>24.2</v>
      </c>
      <c r="M336">
        <f>VLOOKUP($A336,'Hospitalisation Details'!$A:$K,6,FALSE)</f>
        <v>29523.17</v>
      </c>
      <c r="N336" s="11">
        <f>VLOOKUP($B336,'Hospitalisation Details'!A335:J2679,10,0)</f>
        <v>35291</v>
      </c>
      <c r="O336" t="str">
        <f>VLOOKUP($B336,'Hospitalisation Details'!A335:J2679,8,0)</f>
        <v>tier - 2</v>
      </c>
      <c r="P336" t="str">
        <f>VLOOKUP($B336,'Hospitalisation Details'!A335:J2679,7,0)</f>
        <v>tier - 2</v>
      </c>
      <c r="Q336" t="str">
        <f>VLOOKUP($B336,'Hospitalisation Details'!A335:J2679,9,0)</f>
        <v>R1012</v>
      </c>
      <c r="R336">
        <f>VLOOKUP($B336,'Hospitalisation Details'!A335:K2679,11,0)</f>
        <v>26</v>
      </c>
    </row>
    <row r="337" spans="1:18" x14ac:dyDescent="0.35">
      <c r="A337" t="s">
        <v>2036</v>
      </c>
      <c r="B337" t="s">
        <v>366</v>
      </c>
      <c r="C337" t="str">
        <f>VLOOKUP($A337,'Customer Names'!$A:$E,4,FALSE)</f>
        <v>Nathan A</v>
      </c>
      <c r="D337" t="str">
        <f>VLOOKUP($A337,'Medical Examinations'!$A:$J,2,FALSE)</f>
        <v>Normal Weight</v>
      </c>
      <c r="E337">
        <f>VLOOKUP($A337,'Medical Examinations'!$A:$J,4,FALSE)</f>
        <v>6.15</v>
      </c>
      <c r="F337" t="str">
        <f>VLOOKUP($A337,'Medical Examinations'!$A:$J,6,FALSE)</f>
        <v>No</v>
      </c>
      <c r="G337" t="str">
        <f>VLOOKUP($A337,'Medical Examinations'!$A:$J,7,FALSE)</f>
        <v>No</v>
      </c>
      <c r="H337" t="str">
        <f>VLOOKUP($A337,'Medical Examinations'!$A:$J,8,FALSE)</f>
        <v>No</v>
      </c>
      <c r="I337">
        <f>VLOOKUP($A337,'Medical Examinations'!$A:$J,9,FALSE)</f>
        <v>1</v>
      </c>
      <c r="J337" t="str">
        <f>VLOOKUP($A337,'Medical Examinations'!$A:$J,10,FALSE)</f>
        <v>yes</v>
      </c>
      <c r="K337" t="str">
        <f>VLOOKUP($A337,'Medical Examinations'!$A:$J,5,FALSE)</f>
        <v>Prediabetes</v>
      </c>
      <c r="L337">
        <f>VLOOKUP($A338,'Medical Examinations'!$A:$J,3,FALSE)</f>
        <v>22.03</v>
      </c>
      <c r="M337">
        <f>VLOOKUP($A337,'Hospitalisation Details'!$A:$K,6,FALSE)</f>
        <v>29443.59</v>
      </c>
      <c r="N337" s="11">
        <f>VLOOKUP($B337,'Hospitalisation Details'!A336:J2680,10,0)</f>
        <v>35249</v>
      </c>
      <c r="O337" t="str">
        <f>VLOOKUP($B337,'Hospitalisation Details'!A336:J2680,8,0)</f>
        <v>tier - 1</v>
      </c>
      <c r="P337" t="str">
        <f>VLOOKUP($B337,'Hospitalisation Details'!A336:J2680,7,0)</f>
        <v>tier - 2</v>
      </c>
      <c r="Q337" t="str">
        <f>VLOOKUP($B337,'Hospitalisation Details'!A336:J2680,9,0)</f>
        <v>R1012</v>
      </c>
      <c r="R337">
        <f>VLOOKUP($B337,'Hospitalisation Details'!A336:K2680,11,0)</f>
        <v>26</v>
      </c>
    </row>
    <row r="338" spans="1:18" x14ac:dyDescent="0.35">
      <c r="A338" t="s">
        <v>2035</v>
      </c>
      <c r="B338" t="s">
        <v>367</v>
      </c>
      <c r="C338" t="str">
        <f>VLOOKUP($A338,'Customer Names'!$A:$E,4,FALSE)</f>
        <v>Kathryn</v>
      </c>
      <c r="D338" t="str">
        <f>VLOOKUP($A338,'Medical Examinations'!$A:$J,2,FALSE)</f>
        <v>Normal Weight</v>
      </c>
      <c r="E338">
        <f>VLOOKUP($A338,'Medical Examinations'!$A:$J,4,FALSE)</f>
        <v>4.28</v>
      </c>
      <c r="F338" t="str">
        <f>VLOOKUP($A338,'Medical Examinations'!$A:$J,6,FALSE)</f>
        <v>yes</v>
      </c>
      <c r="G338" t="str">
        <f>VLOOKUP($A338,'Medical Examinations'!$A:$J,7,FALSE)</f>
        <v>No</v>
      </c>
      <c r="H338" t="str">
        <f>VLOOKUP($A338,'Medical Examinations'!$A:$J,8,FALSE)</f>
        <v>No</v>
      </c>
      <c r="I338">
        <f>VLOOKUP($A338,'Medical Examinations'!$A:$J,9,FALSE)</f>
        <v>0</v>
      </c>
      <c r="J338" t="str">
        <f>VLOOKUP($A338,'Medical Examinations'!$A:$J,10,FALSE)</f>
        <v>yes</v>
      </c>
      <c r="K338" t="str">
        <f>VLOOKUP($A338,'Medical Examinations'!$A:$J,5,FALSE)</f>
        <v>Normal</v>
      </c>
      <c r="L338">
        <f>VLOOKUP($A339,'Medical Examinations'!$A:$J,3,FALSE)</f>
        <v>26.885000000000002</v>
      </c>
      <c r="M338">
        <f>VLOOKUP($A338,'Hospitalisation Details'!$A:$K,6,FALSE)</f>
        <v>29352.560000000001</v>
      </c>
      <c r="N338" s="11">
        <f>VLOOKUP($B338,'Hospitalisation Details'!A337:J2681,10,0)</f>
        <v>36792</v>
      </c>
      <c r="O338" t="str">
        <f>VLOOKUP($B338,'Hospitalisation Details'!A337:J2681,8,0)</f>
        <v>tier - 2</v>
      </c>
      <c r="P338" t="str">
        <f>VLOOKUP($B338,'Hospitalisation Details'!A337:J2681,7,0)</f>
        <v>tier - 2</v>
      </c>
      <c r="Q338" t="str">
        <f>VLOOKUP($B338,'Hospitalisation Details'!A337:J2681,9,0)</f>
        <v>R1012</v>
      </c>
      <c r="R338">
        <f>VLOOKUP($B338,'Hospitalisation Details'!A337:K2681,11,0)</f>
        <v>22</v>
      </c>
    </row>
    <row r="339" spans="1:18" x14ac:dyDescent="0.35">
      <c r="A339" t="s">
        <v>2034</v>
      </c>
      <c r="B339" t="s">
        <v>368</v>
      </c>
      <c r="C339" t="str">
        <f>VLOOKUP($A339,'Customer Names'!$A:$E,4,FALSE)</f>
        <v>Elizabeth H.</v>
      </c>
      <c r="D339" t="str">
        <f>VLOOKUP($A339,'Medical Examinations'!$A:$J,2,FALSE)</f>
        <v>Overweight</v>
      </c>
      <c r="E339">
        <f>VLOOKUP($A339,'Medical Examinations'!$A:$J,4,FALSE)</f>
        <v>9.86</v>
      </c>
      <c r="F339" t="str">
        <f>VLOOKUP($A339,'Medical Examinations'!$A:$J,6,FALSE)</f>
        <v>No</v>
      </c>
      <c r="G339" t="str">
        <f>VLOOKUP($A339,'Medical Examinations'!$A:$J,7,FALSE)</f>
        <v>No</v>
      </c>
      <c r="H339" t="str">
        <f>VLOOKUP($A339,'Medical Examinations'!$A:$J,8,FALSE)</f>
        <v>No</v>
      </c>
      <c r="I339">
        <f>VLOOKUP($A339,'Medical Examinations'!$A:$J,9,FALSE)</f>
        <v>3</v>
      </c>
      <c r="J339" t="str">
        <f>VLOOKUP($A339,'Medical Examinations'!$A:$J,10,FALSE)</f>
        <v>yes</v>
      </c>
      <c r="K339" t="str">
        <f>VLOOKUP($A339,'Medical Examinations'!$A:$J,5,FALSE)</f>
        <v>Diabetes</v>
      </c>
      <c r="L339">
        <f>VLOOKUP($A340,'Medical Examinations'!$A:$J,3,FALSE)</f>
        <v>16.36</v>
      </c>
      <c r="M339">
        <f>VLOOKUP($A339,'Hospitalisation Details'!$A:$K,6,FALSE)</f>
        <v>29330.98</v>
      </c>
      <c r="N339" s="11">
        <f>VLOOKUP($B339,'Hospitalisation Details'!A338:J2682,10,0)</f>
        <v>37136</v>
      </c>
      <c r="O339" t="str">
        <f>VLOOKUP($B339,'Hospitalisation Details'!A338:J2682,8,0)</f>
        <v>tier - 2</v>
      </c>
      <c r="P339" t="str">
        <f>VLOOKUP($B339,'Hospitalisation Details'!A338:J2682,7,0)</f>
        <v>tier - 2</v>
      </c>
      <c r="Q339" t="str">
        <f>VLOOKUP($B339,'Hospitalisation Details'!A338:J2682,9,0)</f>
        <v>R1013</v>
      </c>
      <c r="R339">
        <f>VLOOKUP($B339,'Hospitalisation Details'!A338:K2682,11,0)</f>
        <v>21</v>
      </c>
    </row>
    <row r="340" spans="1:18" x14ac:dyDescent="0.35">
      <c r="A340" t="s">
        <v>2033</v>
      </c>
      <c r="B340" t="s">
        <v>369</v>
      </c>
      <c r="C340" t="str">
        <f>VLOOKUP($A340,'Customer Names'!$A:$E,4,FALSE)</f>
        <v>Ben</v>
      </c>
      <c r="D340" t="str">
        <f>VLOOKUP($A340,'Medical Examinations'!$A:$J,2,FALSE)</f>
        <v>Underweight</v>
      </c>
      <c r="E340">
        <f>VLOOKUP($A340,'Medical Examinations'!$A:$J,4,FALSE)</f>
        <v>11.19</v>
      </c>
      <c r="F340" t="str">
        <f>VLOOKUP($A340,'Medical Examinations'!$A:$J,6,FALSE)</f>
        <v>No</v>
      </c>
      <c r="G340" t="str">
        <f>VLOOKUP($A340,'Medical Examinations'!$A:$J,7,FALSE)</f>
        <v>No</v>
      </c>
      <c r="H340" t="str">
        <f>VLOOKUP($A340,'Medical Examinations'!$A:$J,8,FALSE)</f>
        <v>No</v>
      </c>
      <c r="I340">
        <f>VLOOKUP($A340,'Medical Examinations'!$A:$J,9,FALSE)</f>
        <v>0</v>
      </c>
      <c r="J340" t="str">
        <f>VLOOKUP($A340,'Medical Examinations'!$A:$J,10,FALSE)</f>
        <v>yes</v>
      </c>
      <c r="K340" t="str">
        <f>VLOOKUP($A340,'Medical Examinations'!$A:$J,5,FALSE)</f>
        <v>Diabetes</v>
      </c>
      <c r="L340">
        <f>VLOOKUP($A341,'Medical Examinations'!$A:$J,3,FALSE)</f>
        <v>32.299999999999997</v>
      </c>
      <c r="M340">
        <f>VLOOKUP($A340,'Hospitalisation Details'!$A:$K,6,FALSE)</f>
        <v>29227.599999999999</v>
      </c>
      <c r="N340" s="11">
        <f>VLOOKUP($B340,'Hospitalisation Details'!A339:J2683,10,0)</f>
        <v>35349</v>
      </c>
      <c r="O340" t="str">
        <f>VLOOKUP($B340,'Hospitalisation Details'!A339:J2683,8,0)</f>
        <v>tier - 3</v>
      </c>
      <c r="P340" t="str">
        <f>VLOOKUP($B340,'Hospitalisation Details'!A339:J2683,7,0)</f>
        <v>tier - 2</v>
      </c>
      <c r="Q340" t="str">
        <f>VLOOKUP($B340,'Hospitalisation Details'!A339:J2683,9,0)</f>
        <v>R1012</v>
      </c>
      <c r="R340">
        <f>VLOOKUP($B340,'Hospitalisation Details'!A339:K2683,11,0)</f>
        <v>26</v>
      </c>
    </row>
    <row r="341" spans="1:18" x14ac:dyDescent="0.35">
      <c r="A341" t="s">
        <v>2032</v>
      </c>
      <c r="B341" t="s">
        <v>370</v>
      </c>
      <c r="C341" t="str">
        <f>VLOOKUP($A341,'Customer Names'!$A:$E,4,FALSE)</f>
        <v>Cheryl A</v>
      </c>
      <c r="D341" t="str">
        <f>VLOOKUP($A341,'Medical Examinations'!$A:$J,2,FALSE)</f>
        <v>Obesity</v>
      </c>
      <c r="E341">
        <f>VLOOKUP($A341,'Medical Examinations'!$A:$J,4,FALSE)</f>
        <v>4.8899999999999997</v>
      </c>
      <c r="F341" t="str">
        <f>VLOOKUP($A341,'Medical Examinations'!$A:$J,6,FALSE)</f>
        <v>yes</v>
      </c>
      <c r="G341" t="str">
        <f>VLOOKUP($A341,'Medical Examinations'!$A:$J,7,FALSE)</f>
        <v>No</v>
      </c>
      <c r="H341" t="str">
        <f>VLOOKUP($A341,'Medical Examinations'!$A:$J,8,FALSE)</f>
        <v>Yes</v>
      </c>
      <c r="I341">
        <f>VLOOKUP($A341,'Medical Examinations'!$A:$J,9,FALSE)</f>
        <v>1</v>
      </c>
      <c r="J341" t="str">
        <f>VLOOKUP($A341,'Medical Examinations'!$A:$J,10,FALSE)</f>
        <v>No</v>
      </c>
      <c r="K341" t="str">
        <f>VLOOKUP($A341,'Medical Examinations'!$A:$J,5,FALSE)</f>
        <v>Normal</v>
      </c>
      <c r="L341">
        <f>VLOOKUP($A342,'Medical Examinations'!$A:$J,3,FALSE)</f>
        <v>16.05</v>
      </c>
      <c r="M341">
        <f>VLOOKUP($A341,'Hospitalisation Details'!$A:$K,6,FALSE)</f>
        <v>29186.48</v>
      </c>
      <c r="N341" s="11">
        <f>VLOOKUP($B341,'Hospitalisation Details'!A340:J2684,10,0)</f>
        <v>35616</v>
      </c>
      <c r="O341" t="str">
        <f>VLOOKUP($B341,'Hospitalisation Details'!A340:J2684,8,0)</f>
        <v>tier - 3</v>
      </c>
      <c r="P341" t="str">
        <f>VLOOKUP($B341,'Hospitalisation Details'!A340:J2684,7,0)</f>
        <v>tier - 2</v>
      </c>
      <c r="Q341" t="str">
        <f>VLOOKUP($B341,'Hospitalisation Details'!A340:J2684,9,0)</f>
        <v>R1024</v>
      </c>
      <c r="R341">
        <f>VLOOKUP($B341,'Hospitalisation Details'!A340:K2684,11,0)</f>
        <v>25</v>
      </c>
    </row>
    <row r="342" spans="1:18" x14ac:dyDescent="0.35">
      <c r="A342" t="s">
        <v>2031</v>
      </c>
      <c r="B342" t="s">
        <v>371</v>
      </c>
      <c r="C342" t="str">
        <f>VLOOKUP($A342,'Customer Names'!$A:$E,4,FALSE)</f>
        <v>Kimberly A</v>
      </c>
      <c r="D342" t="str">
        <f>VLOOKUP($A342,'Medical Examinations'!$A:$J,2,FALSE)</f>
        <v>Underweight</v>
      </c>
      <c r="E342">
        <f>VLOOKUP($A342,'Medical Examinations'!$A:$J,4,FALSE)</f>
        <v>4.3499999999999996</v>
      </c>
      <c r="F342" t="str">
        <f>VLOOKUP($A342,'Medical Examinations'!$A:$J,6,FALSE)</f>
        <v>yes</v>
      </c>
      <c r="G342" t="str">
        <f>VLOOKUP($A342,'Medical Examinations'!$A:$J,7,FALSE)</f>
        <v>No</v>
      </c>
      <c r="H342" t="str">
        <f>VLOOKUP($A342,'Medical Examinations'!$A:$J,8,FALSE)</f>
        <v>No</v>
      </c>
      <c r="I342">
        <f>VLOOKUP($A342,'Medical Examinations'!$A:$J,9,FALSE)</f>
        <v>0</v>
      </c>
      <c r="J342" t="str">
        <f>VLOOKUP($A342,'Medical Examinations'!$A:$J,10,FALSE)</f>
        <v>yes</v>
      </c>
      <c r="K342" t="str">
        <f>VLOOKUP($A342,'Medical Examinations'!$A:$J,5,FALSE)</f>
        <v>Normal</v>
      </c>
      <c r="L342">
        <f>VLOOKUP($A343,'Medical Examinations'!$A:$J,3,FALSE)</f>
        <v>29.07</v>
      </c>
      <c r="M342">
        <f>VLOOKUP($A342,'Hospitalisation Details'!$A:$K,6,FALSE)</f>
        <v>29160.39</v>
      </c>
      <c r="N342" s="11">
        <f>VLOOKUP($B342,'Hospitalisation Details'!A341:J2685,10,0)</f>
        <v>35786</v>
      </c>
      <c r="O342" t="str">
        <f>VLOOKUP($B342,'Hospitalisation Details'!A341:J2685,8,0)</f>
        <v>tier - 3</v>
      </c>
      <c r="P342" t="str">
        <f>VLOOKUP($B342,'Hospitalisation Details'!A341:J2685,7,0)</f>
        <v>tier - 2</v>
      </c>
      <c r="Q342" t="str">
        <f>VLOOKUP($B342,'Hospitalisation Details'!A341:J2685,9,0)</f>
        <v>R1011</v>
      </c>
      <c r="R342">
        <f>VLOOKUP($B342,'Hospitalisation Details'!A341:K2685,11,0)</f>
        <v>25</v>
      </c>
    </row>
    <row r="343" spans="1:18" x14ac:dyDescent="0.35">
      <c r="A343" t="s">
        <v>2030</v>
      </c>
      <c r="B343" t="s">
        <v>372</v>
      </c>
      <c r="C343" t="str">
        <f>VLOOKUP($A343,'Customer Names'!$A:$E,4,FALSE)</f>
        <v>Cynthia</v>
      </c>
      <c r="D343" t="str">
        <f>VLOOKUP($A343,'Medical Examinations'!$A:$J,2,FALSE)</f>
        <v>Overweight</v>
      </c>
      <c r="E343">
        <f>VLOOKUP($A343,'Medical Examinations'!$A:$J,4,FALSE)</f>
        <v>8.66</v>
      </c>
      <c r="F343" t="str">
        <f>VLOOKUP($A343,'Medical Examinations'!$A:$J,6,FALSE)</f>
        <v>yes</v>
      </c>
      <c r="G343" t="str">
        <f>VLOOKUP($A343,'Medical Examinations'!$A:$J,7,FALSE)</f>
        <v>No</v>
      </c>
      <c r="H343" t="str">
        <f>VLOOKUP($A343,'Medical Examinations'!$A:$J,8,FALSE)</f>
        <v>No</v>
      </c>
      <c r="I343">
        <f>VLOOKUP($A343,'Medical Examinations'!$A:$J,9,FALSE)</f>
        <v>2</v>
      </c>
      <c r="J343" t="str">
        <f>VLOOKUP($A343,'Medical Examinations'!$A:$J,10,FALSE)</f>
        <v>yes</v>
      </c>
      <c r="K343" t="str">
        <f>VLOOKUP($A343,'Medical Examinations'!$A:$J,5,FALSE)</f>
        <v>Diabetes</v>
      </c>
      <c r="L343">
        <f>VLOOKUP($A344,'Medical Examinations'!$A:$J,3,FALSE)</f>
        <v>17.43</v>
      </c>
      <c r="M343">
        <f>VLOOKUP($A343,'Hospitalisation Details'!$A:$K,6,FALSE)</f>
        <v>29141.360000000001</v>
      </c>
      <c r="N343" s="11">
        <f>VLOOKUP($B343,'Hospitalisation Details'!A342:J2686,10,0)</f>
        <v>35617</v>
      </c>
      <c r="O343" t="str">
        <f>VLOOKUP($B343,'Hospitalisation Details'!A342:J2686,8,0)</f>
        <v>tier - 2</v>
      </c>
      <c r="P343" t="str">
        <f>VLOOKUP($B343,'Hospitalisation Details'!A342:J2686,7,0)</f>
        <v>tier - 2</v>
      </c>
      <c r="Q343" t="str">
        <f>VLOOKUP($B343,'Hospitalisation Details'!A342:J2686,9,0)</f>
        <v>R1024</v>
      </c>
      <c r="R343">
        <f>VLOOKUP($B343,'Hospitalisation Details'!A342:K2686,11,0)</f>
        <v>25</v>
      </c>
    </row>
    <row r="344" spans="1:18" x14ac:dyDescent="0.35">
      <c r="A344" t="s">
        <v>2029</v>
      </c>
      <c r="B344" t="s">
        <v>373</v>
      </c>
      <c r="C344" t="str">
        <f>VLOOKUP($A344,'Customer Names'!$A:$E,4,FALSE)</f>
        <v>Jessica</v>
      </c>
      <c r="D344" t="str">
        <f>VLOOKUP($A344,'Medical Examinations'!$A:$J,2,FALSE)</f>
        <v>Underweight</v>
      </c>
      <c r="E344">
        <f>VLOOKUP($A344,'Medical Examinations'!$A:$J,4,FALSE)</f>
        <v>8.64</v>
      </c>
      <c r="F344" t="str">
        <f>VLOOKUP($A344,'Medical Examinations'!$A:$J,6,FALSE)</f>
        <v>No</v>
      </c>
      <c r="G344" t="str">
        <f>VLOOKUP($A344,'Medical Examinations'!$A:$J,7,FALSE)</f>
        <v>No</v>
      </c>
      <c r="H344" t="str">
        <f>VLOOKUP($A344,'Medical Examinations'!$A:$J,8,FALSE)</f>
        <v>No</v>
      </c>
      <c r="I344">
        <f>VLOOKUP($A344,'Medical Examinations'!$A:$J,9,FALSE)</f>
        <v>0</v>
      </c>
      <c r="J344" t="str">
        <f>VLOOKUP($A344,'Medical Examinations'!$A:$J,10,FALSE)</f>
        <v>yes</v>
      </c>
      <c r="K344" t="str">
        <f>VLOOKUP($A344,'Medical Examinations'!$A:$J,5,FALSE)</f>
        <v>Diabetes</v>
      </c>
      <c r="L344">
        <f>VLOOKUP($A345,'Medical Examinations'!$A:$J,3,FALSE)</f>
        <v>19.329999999999998</v>
      </c>
      <c r="M344">
        <f>VLOOKUP($A344,'Hospitalisation Details'!$A:$K,6,FALSE)</f>
        <v>29114.77</v>
      </c>
      <c r="N344" s="11">
        <f>VLOOKUP($B344,'Hospitalisation Details'!A343:J2687,10,0)</f>
        <v>35644</v>
      </c>
      <c r="O344" t="str">
        <f>VLOOKUP($B344,'Hospitalisation Details'!A343:J2687,8,0)</f>
        <v>tier - 3</v>
      </c>
      <c r="P344" t="str">
        <f>VLOOKUP($B344,'Hospitalisation Details'!A343:J2687,7,0)</f>
        <v>tier - 2</v>
      </c>
      <c r="Q344" t="str">
        <f>VLOOKUP($B344,'Hospitalisation Details'!A343:J2687,9,0)</f>
        <v>R1013</v>
      </c>
      <c r="R344">
        <f>VLOOKUP($B344,'Hospitalisation Details'!A343:K2687,11,0)</f>
        <v>25</v>
      </c>
    </row>
    <row r="345" spans="1:18" x14ac:dyDescent="0.35">
      <c r="A345" t="s">
        <v>2028</v>
      </c>
      <c r="B345" t="s">
        <v>374</v>
      </c>
      <c r="C345" t="str">
        <f>VLOOKUP($A345,'Customer Names'!$A:$E,4,FALSE)</f>
        <v>Bruce</v>
      </c>
      <c r="D345" t="str">
        <f>VLOOKUP($A345,'Medical Examinations'!$A:$J,2,FALSE)</f>
        <v>Normal Weight</v>
      </c>
      <c r="E345">
        <f>VLOOKUP($A345,'Medical Examinations'!$A:$J,4,FALSE)</f>
        <v>4.2699999999999996</v>
      </c>
      <c r="F345" t="str">
        <f>VLOOKUP($A345,'Medical Examinations'!$A:$J,6,FALSE)</f>
        <v>No</v>
      </c>
      <c r="G345" t="str">
        <f>VLOOKUP($A345,'Medical Examinations'!$A:$J,7,FALSE)</f>
        <v>No</v>
      </c>
      <c r="H345" t="str">
        <f>VLOOKUP($A345,'Medical Examinations'!$A:$J,8,FALSE)</f>
        <v>No</v>
      </c>
      <c r="I345">
        <f>VLOOKUP($A345,'Medical Examinations'!$A:$J,9,FALSE)</f>
        <v>0</v>
      </c>
      <c r="J345" t="str">
        <f>VLOOKUP($A345,'Medical Examinations'!$A:$J,10,FALSE)</f>
        <v>yes</v>
      </c>
      <c r="K345" t="str">
        <f>VLOOKUP($A345,'Medical Examinations'!$A:$J,5,FALSE)</f>
        <v>Normal</v>
      </c>
      <c r="L345">
        <f>VLOOKUP($A346,'Medical Examinations'!$A:$J,3,FALSE)</f>
        <v>30.52</v>
      </c>
      <c r="M345">
        <f>VLOOKUP($A345,'Hospitalisation Details'!$A:$K,6,FALSE)</f>
        <v>29114.21</v>
      </c>
      <c r="N345" s="11">
        <f>VLOOKUP($B345,'Hospitalisation Details'!A344:J2688,10,0)</f>
        <v>35675</v>
      </c>
      <c r="O345" t="str">
        <f>VLOOKUP($B345,'Hospitalisation Details'!A344:J2688,8,0)</f>
        <v>tier - 3</v>
      </c>
      <c r="P345" t="str">
        <f>VLOOKUP($B345,'Hospitalisation Details'!A344:J2688,7,0)</f>
        <v>tier - 2</v>
      </c>
      <c r="Q345" t="str">
        <f>VLOOKUP($B345,'Hospitalisation Details'!A344:J2688,9,0)</f>
        <v>R1013</v>
      </c>
      <c r="R345">
        <f>VLOOKUP($B345,'Hospitalisation Details'!A344:K2688,11,0)</f>
        <v>25</v>
      </c>
    </row>
    <row r="346" spans="1:18" x14ac:dyDescent="0.35">
      <c r="A346" t="s">
        <v>2027</v>
      </c>
      <c r="B346" t="s">
        <v>375</v>
      </c>
      <c r="C346" t="str">
        <f>VLOOKUP($A346,'Customer Names'!$A:$E,4,FALSE)</f>
        <v>Allison</v>
      </c>
      <c r="D346" t="str">
        <f>VLOOKUP($A346,'Medical Examinations'!$A:$J,2,FALSE)</f>
        <v>Obesity</v>
      </c>
      <c r="E346">
        <f>VLOOKUP($A346,'Medical Examinations'!$A:$J,4,FALSE)</f>
        <v>4.21</v>
      </c>
      <c r="F346" t="str">
        <f>VLOOKUP($A346,'Medical Examinations'!$A:$J,6,FALSE)</f>
        <v>No</v>
      </c>
      <c r="G346" t="str">
        <f>VLOOKUP($A346,'Medical Examinations'!$A:$J,7,FALSE)</f>
        <v>No</v>
      </c>
      <c r="H346" t="str">
        <f>VLOOKUP($A346,'Medical Examinations'!$A:$J,8,FALSE)</f>
        <v>No</v>
      </c>
      <c r="I346">
        <f>VLOOKUP($A346,'Medical Examinations'!$A:$J,9,FALSE)</f>
        <v>1</v>
      </c>
      <c r="J346" t="str">
        <f>VLOOKUP($A346,'Medical Examinations'!$A:$J,10,FALSE)</f>
        <v>yes</v>
      </c>
      <c r="K346" t="str">
        <f>VLOOKUP($A346,'Medical Examinations'!$A:$J,5,FALSE)</f>
        <v>Normal</v>
      </c>
      <c r="L346">
        <f>VLOOKUP($A347,'Medical Examinations'!$A:$J,3,FALSE)</f>
        <v>39.21</v>
      </c>
      <c r="M346">
        <f>VLOOKUP($A346,'Hospitalisation Details'!$A:$K,6,FALSE)</f>
        <v>29007.82</v>
      </c>
      <c r="N346" s="11">
        <f>VLOOKUP($B346,'Hospitalisation Details'!A345:J2689,10,0)</f>
        <v>33555</v>
      </c>
      <c r="O346" t="str">
        <f>VLOOKUP($B346,'Hospitalisation Details'!A345:J2689,8,0)</f>
        <v>tier - 2</v>
      </c>
      <c r="P346" t="str">
        <f>VLOOKUP($B346,'Hospitalisation Details'!A345:J2689,7,0)</f>
        <v>tier - 3</v>
      </c>
      <c r="Q346" t="str">
        <f>VLOOKUP($B346,'Hospitalisation Details'!A345:J2689,9,0)</f>
        <v>R1011</v>
      </c>
      <c r="R346">
        <f>VLOOKUP($B346,'Hospitalisation Details'!A345:K2689,11,0)</f>
        <v>31</v>
      </c>
    </row>
    <row r="347" spans="1:18" x14ac:dyDescent="0.35">
      <c r="A347" t="s">
        <v>2026</v>
      </c>
      <c r="B347" t="s">
        <v>376</v>
      </c>
      <c r="C347" t="str">
        <f>VLOOKUP($A347,'Customer Names'!$A:$E,4,FALSE)</f>
        <v>Alex</v>
      </c>
      <c r="D347" t="str">
        <f>VLOOKUP($A347,'Medical Examinations'!$A:$J,2,FALSE)</f>
        <v>Obesity</v>
      </c>
      <c r="E347">
        <f>VLOOKUP($A347,'Medical Examinations'!$A:$J,4,FALSE)</f>
        <v>5.04</v>
      </c>
      <c r="F347" t="str">
        <f>VLOOKUP($A347,'Medical Examinations'!$A:$J,6,FALSE)</f>
        <v>No</v>
      </c>
      <c r="G347" t="str">
        <f>VLOOKUP($A347,'Medical Examinations'!$A:$J,7,FALSE)</f>
        <v>No</v>
      </c>
      <c r="H347" t="str">
        <f>VLOOKUP($A347,'Medical Examinations'!$A:$J,8,FALSE)</f>
        <v>Yes</v>
      </c>
      <c r="I347">
        <f>VLOOKUP($A347,'Medical Examinations'!$A:$J,9,FALSE)</f>
        <v>1</v>
      </c>
      <c r="J347" t="str">
        <f>VLOOKUP($A347,'Medical Examinations'!$A:$J,10,FALSE)</f>
        <v>yes</v>
      </c>
      <c r="K347" t="str">
        <f>VLOOKUP($A347,'Medical Examinations'!$A:$J,5,FALSE)</f>
        <v>Normal</v>
      </c>
      <c r="L347">
        <f>VLOOKUP($A348,'Medical Examinations'!$A:$J,3,FALSE)</f>
        <v>26.98</v>
      </c>
      <c r="M347">
        <f>VLOOKUP($A347,'Hospitalisation Details'!$A:$K,6,FALSE)</f>
        <v>28998.68</v>
      </c>
      <c r="N347" s="11">
        <f>VLOOKUP($B347,'Hospitalisation Details'!A346:J2690,10,0)</f>
        <v>34670</v>
      </c>
      <c r="O347" t="str">
        <f>VLOOKUP($B347,'Hospitalisation Details'!A346:J2690,8,0)</f>
        <v>tier - 1</v>
      </c>
      <c r="P347" t="str">
        <f>VLOOKUP($B347,'Hospitalisation Details'!A346:J2690,7,0)</f>
        <v>tier - 3</v>
      </c>
      <c r="Q347" t="str">
        <f>VLOOKUP($B347,'Hospitalisation Details'!A346:J2690,9,0)</f>
        <v>R1016</v>
      </c>
      <c r="R347">
        <f>VLOOKUP($B347,'Hospitalisation Details'!A346:K2690,11,0)</f>
        <v>28</v>
      </c>
    </row>
    <row r="348" spans="1:18" x14ac:dyDescent="0.35">
      <c r="A348" t="s">
        <v>2025</v>
      </c>
      <c r="B348" t="s">
        <v>377</v>
      </c>
      <c r="C348" t="str">
        <f>VLOOKUP($A348,'Customer Names'!$A:$E,4,FALSE)</f>
        <v>Gabriela</v>
      </c>
      <c r="D348" t="str">
        <f>VLOOKUP($A348,'Medical Examinations'!$A:$J,2,FALSE)</f>
        <v>Overweight</v>
      </c>
      <c r="E348">
        <f>VLOOKUP($A348,'Medical Examinations'!$A:$J,4,FALSE)</f>
        <v>5.21</v>
      </c>
      <c r="F348" t="str">
        <f>VLOOKUP($A348,'Medical Examinations'!$A:$J,6,FALSE)</f>
        <v>yes</v>
      </c>
      <c r="G348" t="str">
        <f>VLOOKUP($A348,'Medical Examinations'!$A:$J,7,FALSE)</f>
        <v>No</v>
      </c>
      <c r="H348" t="str">
        <f>VLOOKUP($A348,'Medical Examinations'!$A:$J,8,FALSE)</f>
        <v>No</v>
      </c>
      <c r="I348">
        <f>VLOOKUP($A348,'Medical Examinations'!$A:$J,9,FALSE)</f>
        <v>2</v>
      </c>
      <c r="J348" t="str">
        <f>VLOOKUP($A348,'Medical Examinations'!$A:$J,10,FALSE)</f>
        <v>yes</v>
      </c>
      <c r="K348" t="str">
        <f>VLOOKUP($A348,'Medical Examinations'!$A:$J,5,FALSE)</f>
        <v>Normal</v>
      </c>
      <c r="L348">
        <f>VLOOKUP($A349,'Medical Examinations'!$A:$J,3,FALSE)</f>
        <v>25.84</v>
      </c>
      <c r="M348">
        <f>VLOOKUP($A348,'Hospitalisation Details'!$A:$K,6,FALSE)</f>
        <v>28950.47</v>
      </c>
      <c r="N348" s="11">
        <f>VLOOKUP($B348,'Hospitalisation Details'!A347:J2691,10,0)</f>
        <v>34516</v>
      </c>
      <c r="O348" t="str">
        <f>VLOOKUP($B348,'Hospitalisation Details'!A347:J2691,8,0)</f>
        <v>tier - 3</v>
      </c>
      <c r="P348" t="str">
        <f>VLOOKUP($B348,'Hospitalisation Details'!A347:J2691,7,0)</f>
        <v>tier - 2</v>
      </c>
      <c r="Q348" t="str">
        <f>VLOOKUP($B348,'Hospitalisation Details'!A347:J2691,9,0)</f>
        <v>R1011</v>
      </c>
      <c r="R348">
        <f>VLOOKUP($B348,'Hospitalisation Details'!A347:K2691,11,0)</f>
        <v>28</v>
      </c>
    </row>
    <row r="349" spans="1:18" x14ac:dyDescent="0.35">
      <c r="A349" t="s">
        <v>2024</v>
      </c>
      <c r="B349" t="s">
        <v>378</v>
      </c>
      <c r="C349" t="str">
        <f>VLOOKUP($A349,'Customer Names'!$A:$E,4,FALSE)</f>
        <v>Sharon</v>
      </c>
      <c r="D349" t="str">
        <f>VLOOKUP($A349,'Medical Examinations'!$A:$J,2,FALSE)</f>
        <v>Overweight</v>
      </c>
      <c r="E349">
        <f>VLOOKUP($A349,'Medical Examinations'!$A:$J,4,FALSE)</f>
        <v>8.83</v>
      </c>
      <c r="F349" t="str">
        <f>VLOOKUP($A349,'Medical Examinations'!$A:$J,6,FALSE)</f>
        <v>No</v>
      </c>
      <c r="G349" t="str">
        <f>VLOOKUP($A349,'Medical Examinations'!$A:$J,7,FALSE)</f>
        <v>No</v>
      </c>
      <c r="H349" t="str">
        <f>VLOOKUP($A349,'Medical Examinations'!$A:$J,8,FALSE)</f>
        <v>No</v>
      </c>
      <c r="I349">
        <f>VLOOKUP($A349,'Medical Examinations'!$A:$J,9,FALSE)</f>
        <v>0</v>
      </c>
      <c r="J349" t="str">
        <f>VLOOKUP($A349,'Medical Examinations'!$A:$J,10,FALSE)</f>
        <v>No</v>
      </c>
      <c r="K349" t="str">
        <f>VLOOKUP($A349,'Medical Examinations'!$A:$J,5,FALSE)</f>
        <v>Diabetes</v>
      </c>
      <c r="L349">
        <f>VLOOKUP($A350,'Medical Examinations'!$A:$J,3,FALSE)</f>
        <v>28.31</v>
      </c>
      <c r="M349">
        <f>VLOOKUP($A349,'Hospitalisation Details'!$A:$K,6,FALSE)</f>
        <v>28923.14</v>
      </c>
      <c r="N349" s="11">
        <f>VLOOKUP($B349,'Hospitalisation Details'!A348:J2692,10,0)</f>
        <v>37170</v>
      </c>
      <c r="O349" t="str">
        <f>VLOOKUP($B349,'Hospitalisation Details'!A348:J2692,8,0)</f>
        <v>tier - 1</v>
      </c>
      <c r="P349" t="str">
        <f>VLOOKUP($B349,'Hospitalisation Details'!A348:J2692,7,0)</f>
        <v>tier - 2</v>
      </c>
      <c r="Q349" t="str">
        <f>VLOOKUP($B349,'Hospitalisation Details'!A348:J2692,9,0)</f>
        <v>R1017</v>
      </c>
      <c r="R349">
        <f>VLOOKUP($B349,'Hospitalisation Details'!A348:K2692,11,0)</f>
        <v>21</v>
      </c>
    </row>
    <row r="350" spans="1:18" x14ac:dyDescent="0.35">
      <c r="A350" t="s">
        <v>2023</v>
      </c>
      <c r="B350" t="s">
        <v>379</v>
      </c>
      <c r="C350" t="str">
        <f>VLOOKUP($A350,'Customer Names'!$A:$E,4,FALSE)</f>
        <v>Jason A</v>
      </c>
      <c r="D350" t="str">
        <f>VLOOKUP($A350,'Medical Examinations'!$A:$J,2,FALSE)</f>
        <v>Overweight</v>
      </c>
      <c r="E350">
        <f>VLOOKUP($A350,'Medical Examinations'!$A:$J,4,FALSE)</f>
        <v>8.4700000000000006</v>
      </c>
      <c r="F350" t="str">
        <f>VLOOKUP($A350,'Medical Examinations'!$A:$J,6,FALSE)</f>
        <v>yes</v>
      </c>
      <c r="G350" t="str">
        <f>VLOOKUP($A350,'Medical Examinations'!$A:$J,7,FALSE)</f>
        <v>No</v>
      </c>
      <c r="H350" t="str">
        <f>VLOOKUP($A350,'Medical Examinations'!$A:$J,8,FALSE)</f>
        <v>No</v>
      </c>
      <c r="I350">
        <f>VLOOKUP($A350,'Medical Examinations'!$A:$J,9,FALSE)</f>
        <v>2</v>
      </c>
      <c r="J350" t="str">
        <f>VLOOKUP($A350,'Medical Examinations'!$A:$J,10,FALSE)</f>
        <v>yes</v>
      </c>
      <c r="K350" t="str">
        <f>VLOOKUP($A350,'Medical Examinations'!$A:$J,5,FALSE)</f>
        <v>Diabetes</v>
      </c>
      <c r="L350">
        <f>VLOOKUP($A351,'Medical Examinations'!$A:$J,3,FALSE)</f>
        <v>23.94</v>
      </c>
      <c r="M350">
        <f>VLOOKUP($A350,'Hospitalisation Details'!$A:$K,6,FALSE)</f>
        <v>28868.66</v>
      </c>
      <c r="N350" s="11">
        <f>VLOOKUP($B350,'Hospitalisation Details'!A349:J2693,10,0)</f>
        <v>37805</v>
      </c>
      <c r="O350" t="str">
        <f>VLOOKUP($B350,'Hospitalisation Details'!A349:J2693,8,0)</f>
        <v>tier - 3</v>
      </c>
      <c r="P350" t="str">
        <f>VLOOKUP($B350,'Hospitalisation Details'!A349:J2693,7,0)</f>
        <v>tier - 2</v>
      </c>
      <c r="Q350" t="str">
        <f>VLOOKUP($B350,'Hospitalisation Details'!A349:J2693,9,0)</f>
        <v>R1011</v>
      </c>
      <c r="R350">
        <f>VLOOKUP($B350,'Hospitalisation Details'!A349:K2693,11,0)</f>
        <v>19</v>
      </c>
    </row>
    <row r="351" spans="1:18" x14ac:dyDescent="0.35">
      <c r="A351" t="s">
        <v>2022</v>
      </c>
      <c r="B351" t="s">
        <v>380</v>
      </c>
      <c r="C351" t="str">
        <f>VLOOKUP($A351,'Customer Names'!$A:$E,4,FALSE)</f>
        <v>Chelsey C.</v>
      </c>
      <c r="D351" t="str">
        <f>VLOOKUP($A351,'Medical Examinations'!$A:$J,2,FALSE)</f>
        <v>Normal Weight</v>
      </c>
      <c r="E351">
        <f>VLOOKUP($A351,'Medical Examinations'!$A:$J,4,FALSE)</f>
        <v>4.2</v>
      </c>
      <c r="F351" t="str">
        <f>VLOOKUP($A351,'Medical Examinations'!$A:$J,6,FALSE)</f>
        <v>No</v>
      </c>
      <c r="G351" t="str">
        <f>VLOOKUP($A351,'Medical Examinations'!$A:$J,7,FALSE)</f>
        <v>No</v>
      </c>
      <c r="H351" t="str">
        <f>VLOOKUP($A351,'Medical Examinations'!$A:$J,8,FALSE)</f>
        <v>No</v>
      </c>
      <c r="I351">
        <f>VLOOKUP($A351,'Medical Examinations'!$A:$J,9,FALSE)</f>
        <v>0</v>
      </c>
      <c r="J351" t="str">
        <f>VLOOKUP($A351,'Medical Examinations'!$A:$J,10,FALSE)</f>
        <v>yes</v>
      </c>
      <c r="K351" t="str">
        <f>VLOOKUP($A351,'Medical Examinations'!$A:$J,5,FALSE)</f>
        <v>Normal</v>
      </c>
      <c r="L351">
        <f>VLOOKUP($A352,'Medical Examinations'!$A:$J,3,FALSE)</f>
        <v>20.03</v>
      </c>
      <c r="M351">
        <f>VLOOKUP($A351,'Hospitalisation Details'!$A:$K,6,FALSE)</f>
        <v>28716.14</v>
      </c>
      <c r="N351" s="11">
        <f>VLOOKUP($B351,'Hospitalisation Details'!A350:J2694,10,0)</f>
        <v>35386</v>
      </c>
      <c r="O351" t="str">
        <f>VLOOKUP($B351,'Hospitalisation Details'!A350:J2694,8,0)</f>
        <v>tier - 2</v>
      </c>
      <c r="P351" t="str">
        <f>VLOOKUP($B351,'Hospitalisation Details'!A350:J2694,7,0)</f>
        <v>tier - 2</v>
      </c>
      <c r="Q351" t="str">
        <f>VLOOKUP($B351,'Hospitalisation Details'!A350:J2694,9,0)</f>
        <v>R1012</v>
      </c>
      <c r="R351">
        <f>VLOOKUP($B351,'Hospitalisation Details'!A350:K2694,11,0)</f>
        <v>26</v>
      </c>
    </row>
    <row r="352" spans="1:18" x14ac:dyDescent="0.35">
      <c r="A352" t="s">
        <v>2021</v>
      </c>
      <c r="B352" t="s">
        <v>381</v>
      </c>
      <c r="C352" t="str">
        <f>VLOOKUP($A352,'Customer Names'!$A:$E,4,FALSE)</f>
        <v>Devon A.</v>
      </c>
      <c r="D352" t="str">
        <f>VLOOKUP($A352,'Medical Examinations'!$A:$J,2,FALSE)</f>
        <v>Normal Weight</v>
      </c>
      <c r="E352">
        <f>VLOOKUP($A352,'Medical Examinations'!$A:$J,4,FALSE)</f>
        <v>6.14</v>
      </c>
      <c r="F352" t="str">
        <f>VLOOKUP($A352,'Medical Examinations'!$A:$J,6,FALSE)</f>
        <v>yes</v>
      </c>
      <c r="G352" t="str">
        <f>VLOOKUP($A352,'Medical Examinations'!$A:$J,7,FALSE)</f>
        <v>No</v>
      </c>
      <c r="H352" t="str">
        <f>VLOOKUP($A352,'Medical Examinations'!$A:$J,8,FALSE)</f>
        <v>No</v>
      </c>
      <c r="I352">
        <f>VLOOKUP($A352,'Medical Examinations'!$A:$J,9,FALSE)</f>
        <v>0</v>
      </c>
      <c r="J352" t="str">
        <f>VLOOKUP($A352,'Medical Examinations'!$A:$J,10,FALSE)</f>
        <v>yes</v>
      </c>
      <c r="K352" t="str">
        <f>VLOOKUP($A352,'Medical Examinations'!$A:$J,5,FALSE)</f>
        <v>Prediabetes</v>
      </c>
      <c r="L352">
        <f>VLOOKUP($A353,'Medical Examinations'!$A:$J,3,FALSE)</f>
        <v>41.42</v>
      </c>
      <c r="M352">
        <f>VLOOKUP($A352,'Hospitalisation Details'!$A:$K,6,FALSE)</f>
        <v>28542.86</v>
      </c>
      <c r="N352" s="11">
        <f>VLOOKUP($B352,'Hospitalisation Details'!A351:J2695,10,0)</f>
        <v>37960</v>
      </c>
      <c r="O352" t="str">
        <f>VLOOKUP($B352,'Hospitalisation Details'!A351:J2695,8,0)</f>
        <v>tier - 2</v>
      </c>
      <c r="P352" t="str">
        <f>VLOOKUP($B352,'Hospitalisation Details'!A351:J2695,7,0)</f>
        <v>tier - 2</v>
      </c>
      <c r="Q352" t="str">
        <f>VLOOKUP($B352,'Hospitalisation Details'!A351:J2695,9,0)</f>
        <v>R1025</v>
      </c>
      <c r="R352">
        <f>VLOOKUP($B352,'Hospitalisation Details'!A351:K2695,11,0)</f>
        <v>19</v>
      </c>
    </row>
    <row r="353" spans="1:18" x14ac:dyDescent="0.35">
      <c r="A353" t="s">
        <v>2020</v>
      </c>
      <c r="B353" t="s">
        <v>382</v>
      </c>
      <c r="C353" t="str">
        <f>VLOOKUP($A353,'Customer Names'!$A:$E,4,FALSE)</f>
        <v>Joni L</v>
      </c>
      <c r="D353" t="str">
        <f>VLOOKUP($A353,'Medical Examinations'!$A:$J,2,FALSE)</f>
        <v>Obesity</v>
      </c>
      <c r="E353">
        <f>VLOOKUP($A353,'Medical Examinations'!$A:$J,4,FALSE)</f>
        <v>6.07</v>
      </c>
      <c r="F353" t="str">
        <f>VLOOKUP($A353,'Medical Examinations'!$A:$J,6,FALSE)</f>
        <v>No</v>
      </c>
      <c r="G353" t="str">
        <f>VLOOKUP($A353,'Medical Examinations'!$A:$J,7,FALSE)</f>
        <v>No</v>
      </c>
      <c r="H353" t="str">
        <f>VLOOKUP($A353,'Medical Examinations'!$A:$J,8,FALSE)</f>
        <v>No</v>
      </c>
      <c r="I353">
        <f>VLOOKUP($A353,'Medical Examinations'!$A:$J,9,FALSE)</f>
        <v>0</v>
      </c>
      <c r="J353" t="str">
        <f>VLOOKUP($A353,'Medical Examinations'!$A:$J,10,FALSE)</f>
        <v>No</v>
      </c>
      <c r="K353" t="str">
        <f>VLOOKUP($A353,'Medical Examinations'!$A:$J,5,FALSE)</f>
        <v>Prediabetes</v>
      </c>
      <c r="L353">
        <f>VLOOKUP($A354,'Medical Examinations'!$A:$J,3,FALSE)</f>
        <v>36.67</v>
      </c>
      <c r="M353">
        <f>VLOOKUP($A353,'Hospitalisation Details'!$A:$K,6,FALSE)</f>
        <v>28476.73</v>
      </c>
      <c r="N353" s="11">
        <f>VLOOKUP($B353,'Hospitalisation Details'!A352:J2696,10,0)</f>
        <v>37943</v>
      </c>
      <c r="O353" t="str">
        <f>VLOOKUP($B353,'Hospitalisation Details'!A352:J2696,8,0)</f>
        <v>tier - 1</v>
      </c>
      <c r="P353" t="str">
        <f>VLOOKUP($B353,'Hospitalisation Details'!A352:J2696,7,0)</f>
        <v>tier - 2</v>
      </c>
      <c r="Q353" t="str">
        <f>VLOOKUP($B353,'Hospitalisation Details'!A352:J2696,9,0)</f>
        <v>R1021</v>
      </c>
      <c r="R353">
        <f>VLOOKUP($B353,'Hospitalisation Details'!A352:K2696,11,0)</f>
        <v>19</v>
      </c>
    </row>
    <row r="354" spans="1:18" x14ac:dyDescent="0.35">
      <c r="A354" t="s">
        <v>2019</v>
      </c>
      <c r="B354" t="s">
        <v>383</v>
      </c>
      <c r="C354" t="str">
        <f>VLOOKUP($A354,'Customer Names'!$A:$E,4,FALSE)</f>
        <v>Colin</v>
      </c>
      <c r="D354" t="str">
        <f>VLOOKUP($A354,'Medical Examinations'!$A:$J,2,FALSE)</f>
        <v>Obesity</v>
      </c>
      <c r="E354">
        <f>VLOOKUP($A354,'Medical Examinations'!$A:$J,4,FALSE)</f>
        <v>10.210000000000001</v>
      </c>
      <c r="F354" t="str">
        <f>VLOOKUP($A354,'Medical Examinations'!$A:$J,6,FALSE)</f>
        <v>No</v>
      </c>
      <c r="G354" t="str">
        <f>VLOOKUP($A354,'Medical Examinations'!$A:$J,7,FALSE)</f>
        <v>No</v>
      </c>
      <c r="H354" t="str">
        <f>VLOOKUP($A354,'Medical Examinations'!$A:$J,8,FALSE)</f>
        <v>No</v>
      </c>
      <c r="I354">
        <f>VLOOKUP($A354,'Medical Examinations'!$A:$J,9,FALSE)</f>
        <v>0</v>
      </c>
      <c r="J354" t="str">
        <f>VLOOKUP($A354,'Medical Examinations'!$A:$J,10,FALSE)</f>
        <v>No</v>
      </c>
      <c r="K354" t="str">
        <f>VLOOKUP($A354,'Medical Examinations'!$A:$J,5,FALSE)</f>
        <v>Diabetes</v>
      </c>
      <c r="L354">
        <f>VLOOKUP($A355,'Medical Examinations'!$A:$J,3,FALSE)</f>
        <v>27.645</v>
      </c>
      <c r="M354">
        <f>VLOOKUP($A354,'Hospitalisation Details'!$A:$K,6,FALSE)</f>
        <v>28468.92</v>
      </c>
      <c r="N354" s="11">
        <f>VLOOKUP($B354,'Hospitalisation Details'!A353:J2697,10,0)</f>
        <v>35601</v>
      </c>
      <c r="O354" t="str">
        <f>VLOOKUP($B354,'Hospitalisation Details'!A353:J2697,8,0)</f>
        <v>tier - 3</v>
      </c>
      <c r="P354" t="str">
        <f>VLOOKUP($B354,'Hospitalisation Details'!A353:J2697,7,0)</f>
        <v>tier - 3</v>
      </c>
      <c r="Q354" t="str">
        <f>VLOOKUP($B354,'Hospitalisation Details'!A353:J2697,9,0)</f>
        <v>R1017</v>
      </c>
      <c r="R354">
        <f>VLOOKUP($B354,'Hospitalisation Details'!A353:K2697,11,0)</f>
        <v>25</v>
      </c>
    </row>
    <row r="355" spans="1:18" x14ac:dyDescent="0.35">
      <c r="A355" t="s">
        <v>2018</v>
      </c>
      <c r="B355" t="s">
        <v>384</v>
      </c>
      <c r="C355" t="str">
        <f>VLOOKUP($A355,'Customer Names'!$A:$E,4,FALSE)</f>
        <v>Rachael</v>
      </c>
      <c r="D355" t="str">
        <f>VLOOKUP($A355,'Medical Examinations'!$A:$J,2,FALSE)</f>
        <v>Overweight</v>
      </c>
      <c r="E355">
        <f>VLOOKUP($A355,'Medical Examinations'!$A:$J,4,FALSE)</f>
        <v>4.6900000000000004</v>
      </c>
      <c r="F355" t="str">
        <f>VLOOKUP($A355,'Medical Examinations'!$A:$J,6,FALSE)</f>
        <v>No</v>
      </c>
      <c r="G355" t="str">
        <f>VLOOKUP($A355,'Medical Examinations'!$A:$J,7,FALSE)</f>
        <v>No</v>
      </c>
      <c r="H355" t="str">
        <f>VLOOKUP($A355,'Medical Examinations'!$A:$J,8,FALSE)</f>
        <v>No</v>
      </c>
      <c r="I355">
        <f>VLOOKUP($A355,'Medical Examinations'!$A:$J,9,FALSE)</f>
        <v>0</v>
      </c>
      <c r="J355" t="str">
        <f>VLOOKUP($A355,'Medical Examinations'!$A:$J,10,FALSE)</f>
        <v>No</v>
      </c>
      <c r="K355" t="str">
        <f>VLOOKUP($A355,'Medical Examinations'!$A:$J,5,FALSE)</f>
        <v>Normal</v>
      </c>
      <c r="L355">
        <f>VLOOKUP($A356,'Medical Examinations'!$A:$J,3,FALSE)</f>
        <v>22.72</v>
      </c>
      <c r="M355">
        <f>VLOOKUP($A355,'Hospitalisation Details'!$A:$K,6,FALSE)</f>
        <v>28340.19</v>
      </c>
      <c r="N355" s="11">
        <f>VLOOKUP($B355,'Hospitalisation Details'!A354:J2698,10,0)</f>
        <v>33482</v>
      </c>
      <c r="O355" t="str">
        <f>VLOOKUP($B355,'Hospitalisation Details'!A354:J2698,8,0)</f>
        <v>tier - 1</v>
      </c>
      <c r="P355" t="str">
        <f>VLOOKUP($B355,'Hospitalisation Details'!A354:J2698,7,0)</f>
        <v>tier - 2</v>
      </c>
      <c r="Q355" t="str">
        <f>VLOOKUP($B355,'Hospitalisation Details'!A354:J2698,9,0)</f>
        <v>R1013</v>
      </c>
      <c r="R355">
        <f>VLOOKUP($B355,'Hospitalisation Details'!A354:K2698,11,0)</f>
        <v>31</v>
      </c>
    </row>
    <row r="356" spans="1:18" x14ac:dyDescent="0.35">
      <c r="A356" t="s">
        <v>2017</v>
      </c>
      <c r="B356" t="s">
        <v>385</v>
      </c>
      <c r="C356" t="str">
        <f>VLOOKUP($A356,'Customer Names'!$A:$E,4,FALSE)</f>
        <v>Maricela</v>
      </c>
      <c r="D356" t="str">
        <f>VLOOKUP($A356,'Medical Examinations'!$A:$J,2,FALSE)</f>
        <v>Normal Weight</v>
      </c>
      <c r="E356">
        <f>VLOOKUP($A356,'Medical Examinations'!$A:$J,4,FALSE)</f>
        <v>5.71</v>
      </c>
      <c r="F356" t="str">
        <f>VLOOKUP($A356,'Medical Examinations'!$A:$J,6,FALSE)</f>
        <v>No</v>
      </c>
      <c r="G356" t="str">
        <f>VLOOKUP($A356,'Medical Examinations'!$A:$J,7,FALSE)</f>
        <v>No</v>
      </c>
      <c r="H356" t="str">
        <f>VLOOKUP($A356,'Medical Examinations'!$A:$J,8,FALSE)</f>
        <v>No</v>
      </c>
      <c r="I356">
        <f>VLOOKUP($A356,'Medical Examinations'!$A:$J,9,FALSE)</f>
        <v>0</v>
      </c>
      <c r="J356" t="str">
        <f>VLOOKUP($A356,'Medical Examinations'!$A:$J,10,FALSE)</f>
        <v>yes</v>
      </c>
      <c r="K356" t="str">
        <f>VLOOKUP($A356,'Medical Examinations'!$A:$J,5,FALSE)</f>
        <v>Prediabetes</v>
      </c>
      <c r="L356">
        <f>VLOOKUP($A357,'Medical Examinations'!$A:$J,3,FALSE)</f>
        <v>36.520000000000003</v>
      </c>
      <c r="M356">
        <f>VLOOKUP($A356,'Hospitalisation Details'!$A:$K,6,FALSE)</f>
        <v>28302.33</v>
      </c>
      <c r="N356" s="11">
        <f>VLOOKUP($B356,'Hospitalisation Details'!A355:J2699,10,0)</f>
        <v>34270</v>
      </c>
      <c r="O356" t="str">
        <f>VLOOKUP($B356,'Hospitalisation Details'!A355:J2699,8,0)</f>
        <v>tier - 1</v>
      </c>
      <c r="P356" t="str">
        <f>VLOOKUP($B356,'Hospitalisation Details'!A355:J2699,7,0)</f>
        <v>tier - 2</v>
      </c>
      <c r="Q356" t="str">
        <f>VLOOKUP($B356,'Hospitalisation Details'!A355:J2699,9,0)</f>
        <v>R1011</v>
      </c>
      <c r="R356">
        <f>VLOOKUP($B356,'Hospitalisation Details'!A355:K2699,11,0)</f>
        <v>29</v>
      </c>
    </row>
    <row r="357" spans="1:18" x14ac:dyDescent="0.35">
      <c r="A357" t="s">
        <v>2016</v>
      </c>
      <c r="B357" t="s">
        <v>386</v>
      </c>
      <c r="C357" t="str">
        <f>VLOOKUP($A357,'Customer Names'!$A:$E,4,FALSE)</f>
        <v>Marie</v>
      </c>
      <c r="D357" t="str">
        <f>VLOOKUP($A357,'Medical Examinations'!$A:$J,2,FALSE)</f>
        <v>Obesity</v>
      </c>
      <c r="E357">
        <f>VLOOKUP($A357,'Medical Examinations'!$A:$J,4,FALSE)</f>
        <v>9.07</v>
      </c>
      <c r="F357" t="str">
        <f>VLOOKUP($A357,'Medical Examinations'!$A:$J,6,FALSE)</f>
        <v>yes</v>
      </c>
      <c r="G357" t="str">
        <f>VLOOKUP($A357,'Medical Examinations'!$A:$J,7,FALSE)</f>
        <v>No</v>
      </c>
      <c r="H357" t="str">
        <f>VLOOKUP($A357,'Medical Examinations'!$A:$J,8,FALSE)</f>
        <v>Yes</v>
      </c>
      <c r="I357">
        <f>VLOOKUP($A357,'Medical Examinations'!$A:$J,9,FALSE)</f>
        <v>1</v>
      </c>
      <c r="J357" t="str">
        <f>VLOOKUP($A357,'Medical Examinations'!$A:$J,10,FALSE)</f>
        <v>No</v>
      </c>
      <c r="K357" t="str">
        <f>VLOOKUP($A357,'Medical Examinations'!$A:$J,5,FALSE)</f>
        <v>Diabetes</v>
      </c>
      <c r="L357">
        <f>VLOOKUP($A358,'Medical Examinations'!$A:$J,3,FALSE)</f>
        <v>33.96</v>
      </c>
      <c r="M357">
        <f>VLOOKUP($A357,'Hospitalisation Details'!$A:$K,6,FALSE)</f>
        <v>28287.9</v>
      </c>
      <c r="N357" s="11">
        <f>VLOOKUP($B357,'Hospitalisation Details'!A356:J2700,10,0)</f>
        <v>34873</v>
      </c>
      <c r="O357" t="str">
        <f>VLOOKUP($B357,'Hospitalisation Details'!A356:J2700,8,0)</f>
        <v>tier - 3</v>
      </c>
      <c r="P357" t="str">
        <f>VLOOKUP($B357,'Hospitalisation Details'!A356:J2700,7,0)</f>
        <v>tier - 2</v>
      </c>
      <c r="Q357" t="str">
        <f>VLOOKUP($B357,'Hospitalisation Details'!A356:J2700,9,0)</f>
        <v>R1012</v>
      </c>
      <c r="R357">
        <f>VLOOKUP($B357,'Hospitalisation Details'!A356:K2700,11,0)</f>
        <v>27</v>
      </c>
    </row>
    <row r="358" spans="1:18" x14ac:dyDescent="0.35">
      <c r="A358" t="s">
        <v>2015</v>
      </c>
      <c r="B358" t="s">
        <v>387</v>
      </c>
      <c r="C358" t="str">
        <f>VLOOKUP($A358,'Customer Names'!$A:$E,4,FALSE)</f>
        <v>Frank</v>
      </c>
      <c r="D358" t="str">
        <f>VLOOKUP($A358,'Medical Examinations'!$A:$J,2,FALSE)</f>
        <v>Obesity</v>
      </c>
      <c r="E358">
        <f>VLOOKUP($A358,'Medical Examinations'!$A:$J,4,FALSE)</f>
        <v>4.99</v>
      </c>
      <c r="F358" t="str">
        <f>VLOOKUP($A358,'Medical Examinations'!$A:$J,6,FALSE)</f>
        <v>No</v>
      </c>
      <c r="G358" t="str">
        <f>VLOOKUP($A358,'Medical Examinations'!$A:$J,7,FALSE)</f>
        <v>No</v>
      </c>
      <c r="H358" t="str">
        <f>VLOOKUP($A358,'Medical Examinations'!$A:$J,8,FALSE)</f>
        <v>No</v>
      </c>
      <c r="I358">
        <f>VLOOKUP($A358,'Medical Examinations'!$A:$J,9,FALSE)</f>
        <v>0</v>
      </c>
      <c r="J358" t="str">
        <f>VLOOKUP($A358,'Medical Examinations'!$A:$J,10,FALSE)</f>
        <v>yes</v>
      </c>
      <c r="K358" t="str">
        <f>VLOOKUP($A358,'Medical Examinations'!$A:$J,5,FALSE)</f>
        <v>Normal</v>
      </c>
      <c r="L358">
        <f>VLOOKUP($A359,'Medical Examinations'!$A:$J,3,FALSE)</f>
        <v>26.695</v>
      </c>
      <c r="M358">
        <f>VLOOKUP($A358,'Hospitalisation Details'!$A:$K,6,FALSE)</f>
        <v>28245.34</v>
      </c>
      <c r="N358" s="11">
        <f>VLOOKUP($B358,'Hospitalisation Details'!A357:J2701,10,0)</f>
        <v>34249</v>
      </c>
      <c r="O358" t="str">
        <f>VLOOKUP($B358,'Hospitalisation Details'!A357:J2701,8,0)</f>
        <v>tier - 2</v>
      </c>
      <c r="P358" t="str">
        <f>VLOOKUP($B358,'Hospitalisation Details'!A357:J2701,7,0)</f>
        <v>tier - 2</v>
      </c>
      <c r="Q358" t="str">
        <f>VLOOKUP($B358,'Hospitalisation Details'!A357:J2701,9,0)</f>
        <v>R1013</v>
      </c>
      <c r="R358">
        <f>VLOOKUP($B358,'Hospitalisation Details'!A357:K2701,11,0)</f>
        <v>29</v>
      </c>
    </row>
    <row r="359" spans="1:18" x14ac:dyDescent="0.35">
      <c r="A359" t="s">
        <v>2014</v>
      </c>
      <c r="B359" t="s">
        <v>388</v>
      </c>
      <c r="C359" t="str">
        <f>VLOOKUP($A359,'Customer Names'!$A:$E,4,FALSE)</f>
        <v>Jeffry</v>
      </c>
      <c r="D359" t="str">
        <f>VLOOKUP($A359,'Medical Examinations'!$A:$J,2,FALSE)</f>
        <v>Overweight</v>
      </c>
      <c r="E359">
        <f>VLOOKUP($A359,'Medical Examinations'!$A:$J,4,FALSE)</f>
        <v>8.31</v>
      </c>
      <c r="F359" t="str">
        <f>VLOOKUP($A359,'Medical Examinations'!$A:$J,6,FALSE)</f>
        <v>No</v>
      </c>
      <c r="G359" t="str">
        <f>VLOOKUP($A359,'Medical Examinations'!$A:$J,7,FALSE)</f>
        <v>No</v>
      </c>
      <c r="H359" t="str">
        <f>VLOOKUP($A359,'Medical Examinations'!$A:$J,8,FALSE)</f>
        <v>No</v>
      </c>
      <c r="I359">
        <f>VLOOKUP($A359,'Medical Examinations'!$A:$J,9,FALSE)</f>
        <v>0</v>
      </c>
      <c r="J359" t="str">
        <f>VLOOKUP($A359,'Medical Examinations'!$A:$J,10,FALSE)</f>
        <v>yes</v>
      </c>
      <c r="K359" t="str">
        <f>VLOOKUP($A359,'Medical Examinations'!$A:$J,5,FALSE)</f>
        <v>Diabetes</v>
      </c>
      <c r="L359">
        <f>VLOOKUP($A360,'Medical Examinations'!$A:$J,3,FALSE)</f>
        <v>18.45</v>
      </c>
      <c r="M359">
        <f>VLOOKUP($A359,'Hospitalisation Details'!$A:$K,6,FALSE)</f>
        <v>28101.33</v>
      </c>
      <c r="N359" s="11">
        <f>VLOOKUP($B359,'Hospitalisation Details'!A358:J2702,10,0)</f>
        <v>35413</v>
      </c>
      <c r="O359" t="str">
        <f>VLOOKUP($B359,'Hospitalisation Details'!A358:J2702,8,0)</f>
        <v>tier - 1</v>
      </c>
      <c r="P359" t="str">
        <f>VLOOKUP($B359,'Hospitalisation Details'!A358:J2702,7,0)</f>
        <v>tier - 2</v>
      </c>
      <c r="Q359" t="str">
        <f>VLOOKUP($B359,'Hospitalisation Details'!A358:J2702,9,0)</f>
        <v>R1011</v>
      </c>
      <c r="R359">
        <f>VLOOKUP($B359,'Hospitalisation Details'!A358:K2702,11,0)</f>
        <v>26</v>
      </c>
    </row>
    <row r="360" spans="1:18" x14ac:dyDescent="0.35">
      <c r="A360" t="s">
        <v>2013</v>
      </c>
      <c r="B360" t="s">
        <v>389</v>
      </c>
      <c r="C360" t="str">
        <f>VLOOKUP($A360,'Customer Names'!$A:$E,4,FALSE)</f>
        <v>Mike</v>
      </c>
      <c r="D360" t="str">
        <f>VLOOKUP($A360,'Medical Examinations'!$A:$J,2,FALSE)</f>
        <v>Underweight</v>
      </c>
      <c r="E360">
        <f>VLOOKUP($A360,'Medical Examinations'!$A:$J,4,FALSE)</f>
        <v>5.07</v>
      </c>
      <c r="F360" t="str">
        <f>VLOOKUP($A360,'Medical Examinations'!$A:$J,6,FALSE)</f>
        <v>yes</v>
      </c>
      <c r="G360" t="str">
        <f>VLOOKUP($A360,'Medical Examinations'!$A:$J,7,FALSE)</f>
        <v>No</v>
      </c>
      <c r="H360" t="str">
        <f>VLOOKUP($A360,'Medical Examinations'!$A:$J,8,FALSE)</f>
        <v>No</v>
      </c>
      <c r="I360">
        <f>VLOOKUP($A360,'Medical Examinations'!$A:$J,9,FALSE)</f>
        <v>0</v>
      </c>
      <c r="J360" t="str">
        <f>VLOOKUP($A360,'Medical Examinations'!$A:$J,10,FALSE)</f>
        <v>yes</v>
      </c>
      <c r="K360" t="str">
        <f>VLOOKUP($A360,'Medical Examinations'!$A:$J,5,FALSE)</f>
        <v>Normal</v>
      </c>
      <c r="L360">
        <f>VLOOKUP($A361,'Medical Examinations'!$A:$J,3,FALSE)</f>
        <v>33.18</v>
      </c>
      <c r="M360">
        <f>VLOOKUP($A360,'Hospitalisation Details'!$A:$K,6,FALSE)</f>
        <v>28006.94</v>
      </c>
      <c r="N360" s="11">
        <f>VLOOKUP($B360,'Hospitalisation Details'!A359:J2703,10,0)</f>
        <v>35382</v>
      </c>
      <c r="O360" t="str">
        <f>VLOOKUP($B360,'Hospitalisation Details'!A359:J2703,8,0)</f>
        <v>tier - 2</v>
      </c>
      <c r="P360" t="str">
        <f>VLOOKUP($B360,'Hospitalisation Details'!A359:J2703,7,0)</f>
        <v>tier - 2</v>
      </c>
      <c r="Q360" t="str">
        <f>VLOOKUP($B360,'Hospitalisation Details'!A359:J2703,9,0)</f>
        <v>R1024</v>
      </c>
      <c r="R360">
        <f>VLOOKUP($B360,'Hospitalisation Details'!A359:K2703,11,0)</f>
        <v>26</v>
      </c>
    </row>
    <row r="361" spans="1:18" x14ac:dyDescent="0.35">
      <c r="A361" t="s">
        <v>2012</v>
      </c>
      <c r="B361" t="s">
        <v>390</v>
      </c>
      <c r="C361" t="str">
        <f>VLOOKUP($A361,'Customer Names'!$A:$E,4,FALSE)</f>
        <v>Rick</v>
      </c>
      <c r="D361" t="str">
        <f>VLOOKUP($A361,'Medical Examinations'!$A:$J,2,FALSE)</f>
        <v>Obesity</v>
      </c>
      <c r="E361">
        <f>VLOOKUP($A361,'Medical Examinations'!$A:$J,4,FALSE)</f>
        <v>4.79</v>
      </c>
      <c r="F361" t="str">
        <f>VLOOKUP($A361,'Medical Examinations'!$A:$J,6,FALSE)</f>
        <v>No</v>
      </c>
      <c r="G361" t="str">
        <f>VLOOKUP($A361,'Medical Examinations'!$A:$J,7,FALSE)</f>
        <v>No</v>
      </c>
      <c r="H361" t="str">
        <f>VLOOKUP($A361,'Medical Examinations'!$A:$J,8,FALSE)</f>
        <v>No</v>
      </c>
      <c r="I361">
        <f>VLOOKUP($A361,'Medical Examinations'!$A:$J,9,FALSE)</f>
        <v>0</v>
      </c>
      <c r="J361" t="str">
        <f>VLOOKUP($A361,'Medical Examinations'!$A:$J,10,FALSE)</f>
        <v>yes</v>
      </c>
      <c r="K361" t="str">
        <f>VLOOKUP($A361,'Medical Examinations'!$A:$J,5,FALSE)</f>
        <v>Normal</v>
      </c>
      <c r="L361">
        <f>VLOOKUP($A362,'Medical Examinations'!$A:$J,3,FALSE)</f>
        <v>36.1</v>
      </c>
      <c r="M361">
        <f>VLOOKUP($A361,'Hospitalisation Details'!$A:$K,6,FALSE)</f>
        <v>27980.77</v>
      </c>
      <c r="N361" s="11">
        <f>VLOOKUP($B361,'Hospitalisation Details'!A360:J2704,10,0)</f>
        <v>35287</v>
      </c>
      <c r="O361" t="str">
        <f>VLOOKUP($B361,'Hospitalisation Details'!A360:J2704,8,0)</f>
        <v>tier - 3</v>
      </c>
      <c r="P361" t="str">
        <f>VLOOKUP($B361,'Hospitalisation Details'!A360:J2704,7,0)</f>
        <v>tier - 2</v>
      </c>
      <c r="Q361" t="str">
        <f>VLOOKUP($B361,'Hospitalisation Details'!A360:J2704,9,0)</f>
        <v>R1013</v>
      </c>
      <c r="R361">
        <f>VLOOKUP($B361,'Hospitalisation Details'!A360:K2704,11,0)</f>
        <v>26</v>
      </c>
    </row>
    <row r="362" spans="1:18" x14ac:dyDescent="0.35">
      <c r="A362" t="s">
        <v>2011</v>
      </c>
      <c r="B362" t="s">
        <v>391</v>
      </c>
      <c r="C362" t="str">
        <f>VLOOKUP($A362,'Customer Names'!$A:$E,4,FALSE)</f>
        <v>Pierre-Michel</v>
      </c>
      <c r="D362" t="str">
        <f>VLOOKUP($A362,'Medical Examinations'!$A:$J,2,FALSE)</f>
        <v>Obesity</v>
      </c>
      <c r="E362">
        <f>VLOOKUP($A362,'Medical Examinations'!$A:$J,4,FALSE)</f>
        <v>11.39</v>
      </c>
      <c r="F362" t="str">
        <f>VLOOKUP($A362,'Medical Examinations'!$A:$J,6,FALSE)</f>
        <v>yes</v>
      </c>
      <c r="G362" t="str">
        <f>VLOOKUP($A362,'Medical Examinations'!$A:$J,7,FALSE)</f>
        <v>No</v>
      </c>
      <c r="H362" t="str">
        <f>VLOOKUP($A362,'Medical Examinations'!$A:$J,8,FALSE)</f>
        <v>No</v>
      </c>
      <c r="I362">
        <f>VLOOKUP($A362,'Medical Examinations'!$A:$J,9,FALSE)</f>
        <v>2</v>
      </c>
      <c r="J362" t="str">
        <f>VLOOKUP($A362,'Medical Examinations'!$A:$J,10,FALSE)</f>
        <v>No</v>
      </c>
      <c r="K362" t="str">
        <f>VLOOKUP($A362,'Medical Examinations'!$A:$J,5,FALSE)</f>
        <v>Diabetes</v>
      </c>
      <c r="L362">
        <f>VLOOKUP($A363,'Medical Examinations'!$A:$J,3,FALSE)</f>
        <v>22.77</v>
      </c>
      <c r="M362">
        <f>VLOOKUP($A362,'Hospitalisation Details'!$A:$K,6,FALSE)</f>
        <v>27941.29</v>
      </c>
      <c r="N362" s="11">
        <f>VLOOKUP($B362,'Hospitalisation Details'!A361:J2705,10,0)</f>
        <v>35365</v>
      </c>
      <c r="O362" t="str">
        <f>VLOOKUP($B362,'Hospitalisation Details'!A361:J2705,8,0)</f>
        <v>tier - 3</v>
      </c>
      <c r="P362" t="str">
        <f>VLOOKUP($B362,'Hospitalisation Details'!A361:J2705,7,0)</f>
        <v>tier - 2</v>
      </c>
      <c r="Q362" t="str">
        <f>VLOOKUP($B362,'Hospitalisation Details'!A361:J2705,9,0)</f>
        <v>R1013</v>
      </c>
      <c r="R362">
        <f>VLOOKUP($B362,'Hospitalisation Details'!A361:K2705,11,0)</f>
        <v>26</v>
      </c>
    </row>
    <row r="363" spans="1:18" x14ac:dyDescent="0.35">
      <c r="A363" t="s">
        <v>2010</v>
      </c>
      <c r="B363" t="s">
        <v>392</v>
      </c>
      <c r="C363" t="str">
        <f>VLOOKUP($A363,'Customer Names'!$A:$E,4,FALSE)</f>
        <v>Daniel</v>
      </c>
      <c r="D363" t="str">
        <f>VLOOKUP($A363,'Medical Examinations'!$A:$J,2,FALSE)</f>
        <v>Normal Weight</v>
      </c>
      <c r="E363">
        <f>VLOOKUP($A363,'Medical Examinations'!$A:$J,4,FALSE)</f>
        <v>6</v>
      </c>
      <c r="F363" t="str">
        <f>VLOOKUP($A363,'Medical Examinations'!$A:$J,6,FALSE)</f>
        <v>No</v>
      </c>
      <c r="G363" t="str">
        <f>VLOOKUP($A363,'Medical Examinations'!$A:$J,7,FALSE)</f>
        <v>No</v>
      </c>
      <c r="H363" t="str">
        <f>VLOOKUP($A363,'Medical Examinations'!$A:$J,8,FALSE)</f>
        <v>No</v>
      </c>
      <c r="I363">
        <f>VLOOKUP($A363,'Medical Examinations'!$A:$J,9,FALSE)</f>
        <v>0</v>
      </c>
      <c r="J363" t="str">
        <f>VLOOKUP($A363,'Medical Examinations'!$A:$J,10,FALSE)</f>
        <v>yes</v>
      </c>
      <c r="K363" t="str">
        <f>VLOOKUP($A363,'Medical Examinations'!$A:$J,5,FALSE)</f>
        <v>Prediabetes</v>
      </c>
      <c r="L363">
        <f>VLOOKUP($A364,'Medical Examinations'!$A:$J,3,FALSE)</f>
        <v>21.24</v>
      </c>
      <c r="M363">
        <f>VLOOKUP($A363,'Hospitalisation Details'!$A:$K,6,FALSE)</f>
        <v>27931.11</v>
      </c>
      <c r="N363" s="11">
        <f>VLOOKUP($B363,'Hospitalisation Details'!A362:J2706,10,0)</f>
        <v>38184</v>
      </c>
      <c r="O363" t="str">
        <f>VLOOKUP($B363,'Hospitalisation Details'!A362:J2706,8,0)</f>
        <v>tier - 2</v>
      </c>
      <c r="P363" t="str">
        <f>VLOOKUP($B363,'Hospitalisation Details'!A362:J2706,7,0)</f>
        <v>tier - 2</v>
      </c>
      <c r="Q363" t="str">
        <f>VLOOKUP($B363,'Hospitalisation Details'!A362:J2706,9,0)</f>
        <v>R1023</v>
      </c>
      <c r="R363">
        <f>VLOOKUP($B363,'Hospitalisation Details'!A362:K2706,11,0)</f>
        <v>18</v>
      </c>
    </row>
    <row r="364" spans="1:18" x14ac:dyDescent="0.35">
      <c r="A364" t="s">
        <v>2009</v>
      </c>
      <c r="B364" t="s">
        <v>393</v>
      </c>
      <c r="C364" t="str">
        <f>VLOOKUP($A364,'Customer Names'!$A:$E,4,FALSE)</f>
        <v>Brian L.</v>
      </c>
      <c r="D364" t="str">
        <f>VLOOKUP($A364,'Medical Examinations'!$A:$J,2,FALSE)</f>
        <v>Normal Weight</v>
      </c>
      <c r="E364">
        <f>VLOOKUP($A364,'Medical Examinations'!$A:$J,4,FALSE)</f>
        <v>5.13</v>
      </c>
      <c r="F364" t="str">
        <f>VLOOKUP($A364,'Medical Examinations'!$A:$J,6,FALSE)</f>
        <v>No</v>
      </c>
      <c r="G364" t="str">
        <f>VLOOKUP($A364,'Medical Examinations'!$A:$J,7,FALSE)</f>
        <v>No</v>
      </c>
      <c r="H364" t="str">
        <f>VLOOKUP($A364,'Medical Examinations'!$A:$J,8,FALSE)</f>
        <v>No</v>
      </c>
      <c r="I364">
        <f>VLOOKUP($A364,'Medical Examinations'!$A:$J,9,FALSE)</f>
        <v>0</v>
      </c>
      <c r="J364" t="str">
        <f>VLOOKUP($A364,'Medical Examinations'!$A:$J,10,FALSE)</f>
        <v>yes</v>
      </c>
      <c r="K364" t="str">
        <f>VLOOKUP($A364,'Medical Examinations'!$A:$J,5,FALSE)</f>
        <v>Normal</v>
      </c>
      <c r="L364">
        <f>VLOOKUP($A365,'Medical Examinations'!$A:$J,3,FALSE)</f>
        <v>17.600000000000001</v>
      </c>
      <c r="M364">
        <f>VLOOKUP($A364,'Hospitalisation Details'!$A:$K,6,FALSE)</f>
        <v>27925.86</v>
      </c>
      <c r="N364" s="11">
        <f>VLOOKUP($B364,'Hospitalisation Details'!A363:J2707,10,0)</f>
        <v>35418</v>
      </c>
      <c r="O364" t="str">
        <f>VLOOKUP($B364,'Hospitalisation Details'!A363:J2707,8,0)</f>
        <v>tier - 2</v>
      </c>
      <c r="P364" t="str">
        <f>VLOOKUP($B364,'Hospitalisation Details'!A363:J2707,7,0)</f>
        <v>tier - 2</v>
      </c>
      <c r="Q364" t="str">
        <f>VLOOKUP($B364,'Hospitalisation Details'!A363:J2707,9,0)</f>
        <v>R1011</v>
      </c>
      <c r="R364">
        <f>VLOOKUP($B364,'Hospitalisation Details'!A363:K2707,11,0)</f>
        <v>26</v>
      </c>
    </row>
    <row r="365" spans="1:18" x14ac:dyDescent="0.35">
      <c r="A365" t="s">
        <v>2008</v>
      </c>
      <c r="B365" t="s">
        <v>394</v>
      </c>
      <c r="C365" t="str">
        <f>VLOOKUP($A365,'Customer Names'!$A:$E,4,FALSE)</f>
        <v>Morgan M.</v>
      </c>
      <c r="D365" t="str">
        <f>VLOOKUP($A365,'Medical Examinations'!$A:$J,2,FALSE)</f>
        <v>Underweight</v>
      </c>
      <c r="E365">
        <f>VLOOKUP($A365,'Medical Examinations'!$A:$J,4,FALSE)</f>
        <v>5.26</v>
      </c>
      <c r="F365" t="str">
        <f>VLOOKUP($A365,'Medical Examinations'!$A:$J,6,FALSE)</f>
        <v>yes</v>
      </c>
      <c r="G365" t="str">
        <f>VLOOKUP($A365,'Medical Examinations'!$A:$J,7,FALSE)</f>
        <v>No</v>
      </c>
      <c r="H365" t="str">
        <f>VLOOKUP($A365,'Medical Examinations'!$A:$J,8,FALSE)</f>
        <v>No</v>
      </c>
      <c r="I365">
        <f>VLOOKUP($A365,'Medical Examinations'!$A:$J,9,FALSE)</f>
        <v>0</v>
      </c>
      <c r="J365" t="str">
        <f>VLOOKUP($A365,'Medical Examinations'!$A:$J,10,FALSE)</f>
        <v>yes</v>
      </c>
      <c r="K365" t="str">
        <f>VLOOKUP($A365,'Medical Examinations'!$A:$J,5,FALSE)</f>
        <v>Normal</v>
      </c>
      <c r="L365">
        <f>VLOOKUP($A366,'Medical Examinations'!$A:$J,3,FALSE)</f>
        <v>26.29</v>
      </c>
      <c r="M365">
        <f>VLOOKUP($A365,'Hospitalisation Details'!$A:$K,6,FALSE)</f>
        <v>27849.94</v>
      </c>
      <c r="N365" s="11">
        <f>VLOOKUP($B365,'Hospitalisation Details'!A364:J2708,10,0)</f>
        <v>37251</v>
      </c>
      <c r="O365" t="str">
        <f>VLOOKUP($B365,'Hospitalisation Details'!A364:J2708,8,0)</f>
        <v>tier - 2</v>
      </c>
      <c r="P365" t="str">
        <f>VLOOKUP($B365,'Hospitalisation Details'!A364:J2708,7,0)</f>
        <v>tier - 2</v>
      </c>
      <c r="Q365" t="str">
        <f>VLOOKUP($B365,'Hospitalisation Details'!A364:J2708,9,0)</f>
        <v>R1011</v>
      </c>
      <c r="R365">
        <f>VLOOKUP($B365,'Hospitalisation Details'!A364:K2708,11,0)</f>
        <v>21</v>
      </c>
    </row>
    <row r="366" spans="1:18" x14ac:dyDescent="0.35">
      <c r="A366" t="s">
        <v>2007</v>
      </c>
      <c r="B366" t="s">
        <v>395</v>
      </c>
      <c r="C366" t="str">
        <f>VLOOKUP($A366,'Customer Names'!$A:$E,4,FALSE)</f>
        <v>Caroline</v>
      </c>
      <c r="D366" t="str">
        <f>VLOOKUP($A366,'Medical Examinations'!$A:$J,2,FALSE)</f>
        <v>Overweight</v>
      </c>
      <c r="E366">
        <f>VLOOKUP($A366,'Medical Examinations'!$A:$J,4,FALSE)</f>
        <v>6.84</v>
      </c>
      <c r="F366" t="str">
        <f>VLOOKUP($A366,'Medical Examinations'!$A:$J,6,FALSE)</f>
        <v>No</v>
      </c>
      <c r="G366" t="str">
        <f>VLOOKUP($A366,'Medical Examinations'!$A:$J,7,FALSE)</f>
        <v>No</v>
      </c>
      <c r="H366" t="str">
        <f>VLOOKUP($A366,'Medical Examinations'!$A:$J,8,FALSE)</f>
        <v>No</v>
      </c>
      <c r="I366">
        <f>VLOOKUP($A366,'Medical Examinations'!$A:$J,9,FALSE)</f>
        <v>0</v>
      </c>
      <c r="J366" t="str">
        <f>VLOOKUP($A366,'Medical Examinations'!$A:$J,10,FALSE)</f>
        <v>yes</v>
      </c>
      <c r="K366" t="str">
        <f>VLOOKUP($A366,'Medical Examinations'!$A:$J,5,FALSE)</f>
        <v>Diabetes</v>
      </c>
      <c r="L366">
        <f>VLOOKUP($A367,'Medical Examinations'!$A:$J,3,FALSE)</f>
        <v>35.31</v>
      </c>
      <c r="M366">
        <f>VLOOKUP($A366,'Hospitalisation Details'!$A:$K,6,FALSE)</f>
        <v>27808.73</v>
      </c>
      <c r="N366" s="11">
        <f>VLOOKUP($B366,'Hospitalisation Details'!A365:J2709,10,0)</f>
        <v>31651</v>
      </c>
      <c r="O366" t="str">
        <f>VLOOKUP($B366,'Hospitalisation Details'!A365:J2709,8,0)</f>
        <v>tier - 1</v>
      </c>
      <c r="P366" t="str">
        <f>VLOOKUP($B366,'Hospitalisation Details'!A365:J2709,7,0)</f>
        <v>tier - 2</v>
      </c>
      <c r="Q366" t="str">
        <f>VLOOKUP($B366,'Hospitalisation Details'!A365:J2709,9,0)</f>
        <v>R1013</v>
      </c>
      <c r="R366">
        <f>VLOOKUP($B366,'Hospitalisation Details'!A365:K2709,11,0)</f>
        <v>36</v>
      </c>
    </row>
    <row r="367" spans="1:18" x14ac:dyDescent="0.35">
      <c r="A367" t="s">
        <v>2006</v>
      </c>
      <c r="B367" t="s">
        <v>396</v>
      </c>
      <c r="C367" t="str">
        <f>VLOOKUP($A367,'Customer Names'!$A:$E,4,FALSE)</f>
        <v>Drew T.</v>
      </c>
      <c r="D367" t="str">
        <f>VLOOKUP($A367,'Medical Examinations'!$A:$J,2,FALSE)</f>
        <v>Obesity</v>
      </c>
      <c r="E367">
        <f>VLOOKUP($A367,'Medical Examinations'!$A:$J,4,FALSE)</f>
        <v>9.0399999999999991</v>
      </c>
      <c r="F367" t="str">
        <f>VLOOKUP($A367,'Medical Examinations'!$A:$J,6,FALSE)</f>
        <v>No</v>
      </c>
      <c r="G367" t="str">
        <f>VLOOKUP($A367,'Medical Examinations'!$A:$J,7,FALSE)</f>
        <v>No</v>
      </c>
      <c r="H367" t="str">
        <f>VLOOKUP($A367,'Medical Examinations'!$A:$J,8,FALSE)</f>
        <v>No</v>
      </c>
      <c r="I367">
        <f>VLOOKUP($A367,'Medical Examinations'!$A:$J,9,FALSE)</f>
        <v>0</v>
      </c>
      <c r="J367" t="str">
        <f>VLOOKUP($A367,'Medical Examinations'!$A:$J,10,FALSE)</f>
        <v>No</v>
      </c>
      <c r="K367" t="str">
        <f>VLOOKUP($A367,'Medical Examinations'!$A:$J,5,FALSE)</f>
        <v>Diabetes</v>
      </c>
      <c r="L367">
        <f>VLOOKUP($A368,'Medical Examinations'!$A:$J,3,FALSE)</f>
        <v>27.04</v>
      </c>
      <c r="M367">
        <f>VLOOKUP($A367,'Hospitalisation Details'!$A:$K,6,FALSE)</f>
        <v>27724.29</v>
      </c>
      <c r="N367" s="11">
        <f>VLOOKUP($B367,'Hospitalisation Details'!A366:J2710,10,0)</f>
        <v>36697</v>
      </c>
      <c r="O367" t="str">
        <f>VLOOKUP($B367,'Hospitalisation Details'!A366:J2710,8,0)</f>
        <v>tier - 1</v>
      </c>
      <c r="P367" t="str">
        <f>VLOOKUP($B367,'Hospitalisation Details'!A366:J2710,7,0)</f>
        <v>tier - 2</v>
      </c>
      <c r="Q367" t="str">
        <f>VLOOKUP($B367,'Hospitalisation Details'!A366:J2710,9,0)</f>
        <v>R1011</v>
      </c>
      <c r="R367">
        <f>VLOOKUP($B367,'Hospitalisation Details'!A366:K2710,11,0)</f>
        <v>22</v>
      </c>
    </row>
    <row r="368" spans="1:18" x14ac:dyDescent="0.35">
      <c r="A368" t="s">
        <v>2005</v>
      </c>
      <c r="B368" t="s">
        <v>397</v>
      </c>
      <c r="C368" t="str">
        <f>VLOOKUP($A368,'Customer Names'!$A:$E,4,FALSE)</f>
        <v>Austin W</v>
      </c>
      <c r="D368" t="str">
        <f>VLOOKUP($A368,'Medical Examinations'!$A:$J,2,FALSE)</f>
        <v>Overweight</v>
      </c>
      <c r="E368">
        <f>VLOOKUP($A368,'Medical Examinations'!$A:$J,4,FALSE)</f>
        <v>4.0999999999999996</v>
      </c>
      <c r="F368" t="str">
        <f>VLOOKUP($A368,'Medical Examinations'!$A:$J,6,FALSE)</f>
        <v>No</v>
      </c>
      <c r="G368" t="str">
        <f>VLOOKUP($A368,'Medical Examinations'!$A:$J,7,FALSE)</f>
        <v>No</v>
      </c>
      <c r="H368" t="str">
        <f>VLOOKUP($A368,'Medical Examinations'!$A:$J,8,FALSE)</f>
        <v>No</v>
      </c>
      <c r="I368">
        <f>VLOOKUP($A368,'Medical Examinations'!$A:$J,9,FALSE)</f>
        <v>1</v>
      </c>
      <c r="J368" t="str">
        <f>VLOOKUP($A368,'Medical Examinations'!$A:$J,10,FALSE)</f>
        <v>yes</v>
      </c>
      <c r="K368" t="str">
        <f>VLOOKUP($A368,'Medical Examinations'!$A:$J,5,FALSE)</f>
        <v>Normal</v>
      </c>
      <c r="L368">
        <f>VLOOKUP($A369,'Medical Examinations'!$A:$J,3,FALSE)</f>
        <v>30.23</v>
      </c>
      <c r="M368">
        <f>VLOOKUP($A368,'Hospitalisation Details'!$A:$K,6,FALSE)</f>
        <v>27696.11</v>
      </c>
      <c r="N368" s="11">
        <f>VLOOKUP($B368,'Hospitalisation Details'!A367:J2711,10,0)</f>
        <v>32034</v>
      </c>
      <c r="O368" t="str">
        <f>VLOOKUP($B368,'Hospitalisation Details'!A367:J2711,8,0)</f>
        <v>tier - 1</v>
      </c>
      <c r="P368" t="str">
        <f>VLOOKUP($B368,'Hospitalisation Details'!A367:J2711,7,0)</f>
        <v>tier - 2</v>
      </c>
      <c r="Q368" t="str">
        <f>VLOOKUP($B368,'Hospitalisation Details'!A367:J2711,9,0)</f>
        <v>R1011</v>
      </c>
      <c r="R368">
        <f>VLOOKUP($B368,'Hospitalisation Details'!A367:K2711,11,0)</f>
        <v>35</v>
      </c>
    </row>
    <row r="369" spans="1:18" x14ac:dyDescent="0.35">
      <c r="A369" t="s">
        <v>2004</v>
      </c>
      <c r="B369" t="s">
        <v>398</v>
      </c>
      <c r="C369" t="str">
        <f>VLOOKUP($A369,'Customer Names'!$A:$E,4,FALSE)</f>
        <v>Berenice</v>
      </c>
      <c r="D369" t="str">
        <f>VLOOKUP($A369,'Medical Examinations'!$A:$J,2,FALSE)</f>
        <v>Obesity</v>
      </c>
      <c r="E369">
        <f>VLOOKUP($A369,'Medical Examinations'!$A:$J,4,FALSE)</f>
        <v>4.2300000000000004</v>
      </c>
      <c r="F369" t="str">
        <f>VLOOKUP($A369,'Medical Examinations'!$A:$J,6,FALSE)</f>
        <v>yes</v>
      </c>
      <c r="G369" t="str">
        <f>VLOOKUP($A369,'Medical Examinations'!$A:$J,7,FALSE)</f>
        <v>No</v>
      </c>
      <c r="H369" t="str">
        <f>VLOOKUP($A369,'Medical Examinations'!$A:$J,8,FALSE)</f>
        <v>Yes</v>
      </c>
      <c r="I369">
        <f>VLOOKUP($A369,'Medical Examinations'!$A:$J,9,FALSE)</f>
        <v>1</v>
      </c>
      <c r="J369" t="str">
        <f>VLOOKUP($A369,'Medical Examinations'!$A:$J,10,FALSE)</f>
        <v>yes</v>
      </c>
      <c r="K369" t="str">
        <f>VLOOKUP($A369,'Medical Examinations'!$A:$J,5,FALSE)</f>
        <v>Normal</v>
      </c>
      <c r="L369">
        <f>VLOOKUP($A370,'Medical Examinations'!$A:$J,3,FALSE)</f>
        <v>30.6</v>
      </c>
      <c r="M369">
        <f>VLOOKUP($A369,'Hospitalisation Details'!$A:$K,6,FALSE)</f>
        <v>27625.17</v>
      </c>
      <c r="N369" s="11">
        <f>VLOOKUP($B369,'Hospitalisation Details'!A368:J2712,10,0)</f>
        <v>37831</v>
      </c>
      <c r="O369" t="str">
        <f>VLOOKUP($B369,'Hospitalisation Details'!A368:J2712,8,0)</f>
        <v>tier - 1</v>
      </c>
      <c r="P369" t="str">
        <f>VLOOKUP($B369,'Hospitalisation Details'!A368:J2712,7,0)</f>
        <v>tier - 2</v>
      </c>
      <c r="Q369" t="str">
        <f>VLOOKUP($B369,'Hospitalisation Details'!A368:J2712,9,0)</f>
        <v>R1025</v>
      </c>
      <c r="R369">
        <f>VLOOKUP($B369,'Hospitalisation Details'!A368:K2712,11,0)</f>
        <v>19</v>
      </c>
    </row>
    <row r="370" spans="1:18" x14ac:dyDescent="0.35">
      <c r="A370" t="s">
        <v>2003</v>
      </c>
      <c r="B370" t="s">
        <v>399</v>
      </c>
      <c r="C370" t="str">
        <f>VLOOKUP($A370,'Customer Names'!$A:$E,4,FALSE)</f>
        <v>Kenneth A</v>
      </c>
      <c r="D370" t="str">
        <f>VLOOKUP($A370,'Medical Examinations'!$A:$J,2,FALSE)</f>
        <v>Obesity</v>
      </c>
      <c r="E370">
        <f>VLOOKUP($A370,'Medical Examinations'!$A:$J,4,FALSE)</f>
        <v>6.48</v>
      </c>
      <c r="F370" t="str">
        <f>VLOOKUP($A370,'Medical Examinations'!$A:$J,6,FALSE)</f>
        <v>yes</v>
      </c>
      <c r="G370" t="str">
        <f>VLOOKUP($A370,'Medical Examinations'!$A:$J,7,FALSE)</f>
        <v>No</v>
      </c>
      <c r="H370" t="str">
        <f>VLOOKUP($A370,'Medical Examinations'!$A:$J,8,FALSE)</f>
        <v>Yes</v>
      </c>
      <c r="I370">
        <f>VLOOKUP($A370,'Medical Examinations'!$A:$J,9,FALSE)</f>
        <v>1</v>
      </c>
      <c r="J370" t="str">
        <f>VLOOKUP($A370,'Medical Examinations'!$A:$J,10,FALSE)</f>
        <v>yes</v>
      </c>
      <c r="K370" t="str">
        <f>VLOOKUP($A370,'Medical Examinations'!$A:$J,5,FALSE)</f>
        <v>Prediabetes</v>
      </c>
      <c r="L370">
        <f>VLOOKUP($A371,'Medical Examinations'!$A:$J,3,FALSE)</f>
        <v>26.8</v>
      </c>
      <c r="M370">
        <f>VLOOKUP($A370,'Hospitalisation Details'!$A:$K,6,FALSE)</f>
        <v>27619.360000000001</v>
      </c>
      <c r="N370" s="11">
        <f>VLOOKUP($B370,'Hospitalisation Details'!A369:J2713,10,0)</f>
        <v>34254</v>
      </c>
      <c r="O370" t="str">
        <f>VLOOKUP($B370,'Hospitalisation Details'!A369:J2713,8,0)</f>
        <v>tier - 2</v>
      </c>
      <c r="P370" t="str">
        <f>VLOOKUP($B370,'Hospitalisation Details'!A369:J2713,7,0)</f>
        <v>tier - 2</v>
      </c>
      <c r="Q370" t="str">
        <f>VLOOKUP($B370,'Hospitalisation Details'!A369:J2713,9,0)</f>
        <v>R1013</v>
      </c>
      <c r="R370">
        <f>VLOOKUP($B370,'Hospitalisation Details'!A369:K2713,11,0)</f>
        <v>29</v>
      </c>
    </row>
    <row r="371" spans="1:18" x14ac:dyDescent="0.35">
      <c r="A371" t="s">
        <v>2002</v>
      </c>
      <c r="B371" t="s">
        <v>400</v>
      </c>
      <c r="C371" t="str">
        <f>VLOOKUP($A371,'Customer Names'!$A:$E,4,FALSE)</f>
        <v>Miguel</v>
      </c>
      <c r="D371" t="str">
        <f>VLOOKUP($A371,'Medical Examinations'!$A:$J,2,FALSE)</f>
        <v>Overweight</v>
      </c>
      <c r="E371">
        <f>VLOOKUP($A371,'Medical Examinations'!$A:$J,4,FALSE)</f>
        <v>5.53</v>
      </c>
      <c r="F371" t="str">
        <f>VLOOKUP($A371,'Medical Examinations'!$A:$J,6,FALSE)</f>
        <v>No</v>
      </c>
      <c r="G371" t="str">
        <f>VLOOKUP($A371,'Medical Examinations'!$A:$J,7,FALSE)</f>
        <v>No</v>
      </c>
      <c r="H371" t="str">
        <f>VLOOKUP($A371,'Medical Examinations'!$A:$J,8,FALSE)</f>
        <v>No</v>
      </c>
      <c r="I371">
        <f>VLOOKUP($A371,'Medical Examinations'!$A:$J,9,FALSE)</f>
        <v>1</v>
      </c>
      <c r="J371" t="str">
        <f>VLOOKUP($A371,'Medical Examinations'!$A:$J,10,FALSE)</f>
        <v>yes</v>
      </c>
      <c r="K371" t="str">
        <f>VLOOKUP($A371,'Medical Examinations'!$A:$J,5,FALSE)</f>
        <v>Normal</v>
      </c>
      <c r="L371">
        <f>VLOOKUP($A372,'Medical Examinations'!$A:$J,3,FALSE)</f>
        <v>16.86</v>
      </c>
      <c r="M371">
        <f>VLOOKUP($A371,'Hospitalisation Details'!$A:$K,6,FALSE)</f>
        <v>27614.71</v>
      </c>
      <c r="N371" s="11">
        <f>VLOOKUP($B371,'Hospitalisation Details'!A370:J2714,10,0)</f>
        <v>38164</v>
      </c>
      <c r="O371" t="str">
        <f>VLOOKUP($B371,'Hospitalisation Details'!A370:J2714,8,0)</f>
        <v>tier - 3</v>
      </c>
      <c r="P371" t="str">
        <f>VLOOKUP($B371,'Hospitalisation Details'!A370:J2714,7,0)</f>
        <v>tier - 2</v>
      </c>
      <c r="Q371" t="str">
        <f>VLOOKUP($B371,'Hospitalisation Details'!A370:J2714,9,0)</f>
        <v>R1016</v>
      </c>
      <c r="R371">
        <f>VLOOKUP($B371,'Hospitalisation Details'!A370:K2714,11,0)</f>
        <v>18</v>
      </c>
    </row>
    <row r="372" spans="1:18" x14ac:dyDescent="0.35">
      <c r="A372" t="s">
        <v>2001</v>
      </c>
      <c r="B372" t="s">
        <v>401</v>
      </c>
      <c r="C372" t="str">
        <f>VLOOKUP($A372,'Customer Names'!$A:$E,4,FALSE)</f>
        <v>Hadley T.</v>
      </c>
      <c r="D372" t="str">
        <f>VLOOKUP($A372,'Medical Examinations'!$A:$J,2,FALSE)</f>
        <v>Underweight</v>
      </c>
      <c r="E372">
        <f>VLOOKUP($A372,'Medical Examinations'!$A:$J,4,FALSE)</f>
        <v>4.07</v>
      </c>
      <c r="F372" t="str">
        <f>VLOOKUP($A372,'Medical Examinations'!$A:$J,6,FALSE)</f>
        <v>yes</v>
      </c>
      <c r="G372" t="str">
        <f>VLOOKUP($A372,'Medical Examinations'!$A:$J,7,FALSE)</f>
        <v>No</v>
      </c>
      <c r="H372" t="str">
        <f>VLOOKUP($A372,'Medical Examinations'!$A:$J,8,FALSE)</f>
        <v>No</v>
      </c>
      <c r="I372">
        <f>VLOOKUP($A372,'Medical Examinations'!$A:$J,9,FALSE)</f>
        <v>0</v>
      </c>
      <c r="J372" t="str">
        <f>VLOOKUP($A372,'Medical Examinations'!$A:$J,10,FALSE)</f>
        <v>yes</v>
      </c>
      <c r="K372" t="str">
        <f>VLOOKUP($A372,'Medical Examinations'!$A:$J,5,FALSE)</f>
        <v>Normal</v>
      </c>
      <c r="L372">
        <f>VLOOKUP($A373,'Medical Examinations'!$A:$J,3,FALSE)</f>
        <v>16.3</v>
      </c>
      <c r="M372">
        <f>VLOOKUP($A372,'Hospitalisation Details'!$A:$K,6,FALSE)</f>
        <v>27598.93</v>
      </c>
      <c r="N372" s="11">
        <f>VLOOKUP($B372,'Hospitalisation Details'!A371:J2715,10,0)</f>
        <v>35327</v>
      </c>
      <c r="O372" t="str">
        <f>VLOOKUP($B372,'Hospitalisation Details'!A371:J2715,8,0)</f>
        <v>tier - 3</v>
      </c>
      <c r="P372" t="str">
        <f>VLOOKUP($B372,'Hospitalisation Details'!A371:J2715,7,0)</f>
        <v>tier - 3</v>
      </c>
      <c r="Q372" t="str">
        <f>VLOOKUP($B372,'Hospitalisation Details'!A371:J2715,9,0)</f>
        <v>R1011</v>
      </c>
      <c r="R372">
        <f>VLOOKUP($B372,'Hospitalisation Details'!A371:K2715,11,0)</f>
        <v>26</v>
      </c>
    </row>
    <row r="373" spans="1:18" x14ac:dyDescent="0.35">
      <c r="A373" t="s">
        <v>2000</v>
      </c>
      <c r="B373" t="s">
        <v>402</v>
      </c>
      <c r="C373" t="str">
        <f>VLOOKUP($A373,'Customer Names'!$A:$E,4,FALSE)</f>
        <v>Taylor</v>
      </c>
      <c r="D373" t="str">
        <f>VLOOKUP($A373,'Medical Examinations'!$A:$J,2,FALSE)</f>
        <v>Underweight</v>
      </c>
      <c r="E373">
        <f>VLOOKUP($A373,'Medical Examinations'!$A:$J,4,FALSE)</f>
        <v>5.51</v>
      </c>
      <c r="F373" t="str">
        <f>VLOOKUP($A373,'Medical Examinations'!$A:$J,6,FALSE)</f>
        <v>No</v>
      </c>
      <c r="G373" t="str">
        <f>VLOOKUP($A373,'Medical Examinations'!$A:$J,7,FALSE)</f>
        <v>No</v>
      </c>
      <c r="H373" t="str">
        <f>VLOOKUP($A373,'Medical Examinations'!$A:$J,8,FALSE)</f>
        <v>No</v>
      </c>
      <c r="I373">
        <f>VLOOKUP($A373,'Medical Examinations'!$A:$J,9,FALSE)</f>
        <v>1</v>
      </c>
      <c r="J373" t="str">
        <f>VLOOKUP($A373,'Medical Examinations'!$A:$J,10,FALSE)</f>
        <v>yes</v>
      </c>
      <c r="K373" t="str">
        <f>VLOOKUP($A373,'Medical Examinations'!$A:$J,5,FALSE)</f>
        <v>Normal</v>
      </c>
      <c r="L373">
        <f>VLOOKUP($A374,'Medical Examinations'!$A:$J,3,FALSE)</f>
        <v>29.81</v>
      </c>
      <c r="M373">
        <f>VLOOKUP($A373,'Hospitalisation Details'!$A:$K,6,FALSE)</f>
        <v>27534.53</v>
      </c>
      <c r="N373" s="11">
        <f>VLOOKUP($B373,'Hospitalisation Details'!A372:J2716,10,0)</f>
        <v>35326</v>
      </c>
      <c r="O373" t="str">
        <f>VLOOKUP($B373,'Hospitalisation Details'!A372:J2716,8,0)</f>
        <v>tier - 2</v>
      </c>
      <c r="P373" t="str">
        <f>VLOOKUP($B373,'Hospitalisation Details'!A372:J2716,7,0)</f>
        <v>tier - 1</v>
      </c>
      <c r="Q373" t="str">
        <f>VLOOKUP($B373,'Hospitalisation Details'!A372:J2716,9,0)</f>
        <v>R1015</v>
      </c>
      <c r="R373">
        <f>VLOOKUP($B373,'Hospitalisation Details'!A372:K2716,11,0)</f>
        <v>26</v>
      </c>
    </row>
    <row r="374" spans="1:18" x14ac:dyDescent="0.35">
      <c r="A374" t="s">
        <v>1999</v>
      </c>
      <c r="B374" t="s">
        <v>403</v>
      </c>
      <c r="C374" t="str">
        <f>VLOOKUP($A374,'Customer Names'!$A:$E,4,FALSE)</f>
        <v>Tenielle M</v>
      </c>
      <c r="D374" t="str">
        <f>VLOOKUP($A374,'Medical Examinations'!$A:$J,2,FALSE)</f>
        <v>Overweight</v>
      </c>
      <c r="E374">
        <f>VLOOKUP($A374,'Medical Examinations'!$A:$J,4,FALSE)</f>
        <v>11.66</v>
      </c>
      <c r="F374" t="str">
        <f>VLOOKUP($A374,'Medical Examinations'!$A:$J,6,FALSE)</f>
        <v>No</v>
      </c>
      <c r="G374" t="str">
        <f>VLOOKUP($A374,'Medical Examinations'!$A:$J,7,FALSE)</f>
        <v>No</v>
      </c>
      <c r="H374" t="str">
        <f>VLOOKUP($A374,'Medical Examinations'!$A:$J,8,FALSE)</f>
        <v>No</v>
      </c>
      <c r="I374">
        <f>VLOOKUP($A374,'Medical Examinations'!$A:$J,9,FALSE)</f>
        <v>0</v>
      </c>
      <c r="J374" t="str">
        <f>VLOOKUP($A374,'Medical Examinations'!$A:$J,10,FALSE)</f>
        <v>yes</v>
      </c>
      <c r="K374" t="str">
        <f>VLOOKUP($A374,'Medical Examinations'!$A:$J,5,FALSE)</f>
        <v>Diabetes</v>
      </c>
      <c r="L374">
        <f>VLOOKUP($A375,'Medical Examinations'!$A:$J,3,FALSE)</f>
        <v>16.329999999999998</v>
      </c>
      <c r="M374">
        <f>VLOOKUP($A374,'Hospitalisation Details'!$A:$K,6,FALSE)</f>
        <v>27533.91</v>
      </c>
      <c r="N374" s="11">
        <f>VLOOKUP($B374,'Hospitalisation Details'!A373:J2717,10,0)</f>
        <v>36425</v>
      </c>
      <c r="O374" t="str">
        <f>VLOOKUP($B374,'Hospitalisation Details'!A373:J2717,8,0)</f>
        <v>tier - 2</v>
      </c>
      <c r="P374" t="str">
        <f>VLOOKUP($B374,'Hospitalisation Details'!A373:J2717,7,0)</f>
        <v>tier - 2</v>
      </c>
      <c r="Q374" t="str">
        <f>VLOOKUP($B374,'Hospitalisation Details'!A373:J2717,9,0)</f>
        <v>R1013</v>
      </c>
      <c r="R374">
        <f>VLOOKUP($B374,'Hospitalisation Details'!A373:K2717,11,0)</f>
        <v>23</v>
      </c>
    </row>
    <row r="375" spans="1:18" x14ac:dyDescent="0.35">
      <c r="A375" t="s">
        <v>1998</v>
      </c>
      <c r="B375" t="s">
        <v>404</v>
      </c>
      <c r="C375" t="str">
        <f>VLOOKUP($A375,'Customer Names'!$A:$E,4,FALSE)</f>
        <v>Andrea</v>
      </c>
      <c r="D375" t="str">
        <f>VLOOKUP($A375,'Medical Examinations'!$A:$J,2,FALSE)</f>
        <v>Underweight</v>
      </c>
      <c r="E375">
        <f>VLOOKUP($A375,'Medical Examinations'!$A:$J,4,FALSE)</f>
        <v>7.26</v>
      </c>
      <c r="F375" t="str">
        <f>VLOOKUP($A375,'Medical Examinations'!$A:$J,6,FALSE)</f>
        <v>yes</v>
      </c>
      <c r="G375" t="str">
        <f>VLOOKUP($A375,'Medical Examinations'!$A:$J,7,FALSE)</f>
        <v>No</v>
      </c>
      <c r="H375" t="str">
        <f>VLOOKUP($A375,'Medical Examinations'!$A:$J,8,FALSE)</f>
        <v>No</v>
      </c>
      <c r="I375">
        <f>VLOOKUP($A375,'Medical Examinations'!$A:$J,9,FALSE)</f>
        <v>0</v>
      </c>
      <c r="J375" t="str">
        <f>VLOOKUP($A375,'Medical Examinations'!$A:$J,10,FALSE)</f>
        <v>yes</v>
      </c>
      <c r="K375" t="str">
        <f>VLOOKUP($A375,'Medical Examinations'!$A:$J,5,FALSE)</f>
        <v>Diabetes</v>
      </c>
      <c r="L375">
        <f>VLOOKUP($A376,'Medical Examinations'!$A:$J,3,FALSE)</f>
        <v>16.37</v>
      </c>
      <c r="M375">
        <f>VLOOKUP($A375,'Hospitalisation Details'!$A:$K,6,FALSE)</f>
        <v>27495.59</v>
      </c>
      <c r="N375" s="11">
        <f>VLOOKUP($B375,'Hospitalisation Details'!A374:J2718,10,0)</f>
        <v>36054</v>
      </c>
      <c r="O375" t="str">
        <f>VLOOKUP($B375,'Hospitalisation Details'!A374:J2718,8,0)</f>
        <v>tier - 3</v>
      </c>
      <c r="P375" t="str">
        <f>VLOOKUP($B375,'Hospitalisation Details'!A374:J2718,7,0)</f>
        <v>tier - 3</v>
      </c>
      <c r="Q375" t="str">
        <f>VLOOKUP($B375,'Hospitalisation Details'!A374:J2718,9,0)</f>
        <v>R1012</v>
      </c>
      <c r="R375">
        <f>VLOOKUP($B375,'Hospitalisation Details'!A374:K2718,11,0)</f>
        <v>24</v>
      </c>
    </row>
    <row r="376" spans="1:18" x14ac:dyDescent="0.35">
      <c r="A376" t="s">
        <v>1997</v>
      </c>
      <c r="B376" t="s">
        <v>405</v>
      </c>
      <c r="C376" t="str">
        <f>VLOOKUP($A376,'Customer Names'!$A:$E,4,FALSE)</f>
        <v>Nora P</v>
      </c>
      <c r="D376" t="str">
        <f>VLOOKUP($A376,'Medical Examinations'!$A:$J,2,FALSE)</f>
        <v>Underweight</v>
      </c>
      <c r="E376">
        <f>VLOOKUP($A376,'Medical Examinations'!$A:$J,4,FALSE)</f>
        <v>4.79</v>
      </c>
      <c r="F376" t="str">
        <f>VLOOKUP($A376,'Medical Examinations'!$A:$J,6,FALSE)</f>
        <v>yes</v>
      </c>
      <c r="G376" t="str">
        <f>VLOOKUP($A376,'Medical Examinations'!$A:$J,7,FALSE)</f>
        <v>No</v>
      </c>
      <c r="H376" t="str">
        <f>VLOOKUP($A376,'Medical Examinations'!$A:$J,8,FALSE)</f>
        <v>No</v>
      </c>
      <c r="I376">
        <f>VLOOKUP($A376,'Medical Examinations'!$A:$J,9,FALSE)</f>
        <v>0</v>
      </c>
      <c r="J376" t="str">
        <f>VLOOKUP($A376,'Medical Examinations'!$A:$J,10,FALSE)</f>
        <v>yes</v>
      </c>
      <c r="K376" t="str">
        <f>VLOOKUP($A376,'Medical Examinations'!$A:$J,5,FALSE)</f>
        <v>Normal</v>
      </c>
      <c r="L376">
        <f>VLOOKUP($A377,'Medical Examinations'!$A:$J,3,FALSE)</f>
        <v>22.42</v>
      </c>
      <c r="M376">
        <f>VLOOKUP($A376,'Hospitalisation Details'!$A:$K,6,FALSE)</f>
        <v>27432.73</v>
      </c>
      <c r="N376" s="11">
        <f>VLOOKUP($B376,'Hospitalisation Details'!A375:J2719,10,0)</f>
        <v>37857</v>
      </c>
      <c r="O376" t="str">
        <f>VLOOKUP($B376,'Hospitalisation Details'!A375:J2719,8,0)</f>
        <v>tier - 2</v>
      </c>
      <c r="P376" t="str">
        <f>VLOOKUP($B376,'Hospitalisation Details'!A375:J2719,7,0)</f>
        <v>tier - 2</v>
      </c>
      <c r="Q376" t="str">
        <f>VLOOKUP($B376,'Hospitalisation Details'!A375:J2719,9,0)</f>
        <v>R1012</v>
      </c>
      <c r="R376">
        <f>VLOOKUP($B376,'Hospitalisation Details'!A375:K2719,11,0)</f>
        <v>19</v>
      </c>
    </row>
    <row r="377" spans="1:18" x14ac:dyDescent="0.35">
      <c r="A377" t="s">
        <v>1996</v>
      </c>
      <c r="B377" t="s">
        <v>406</v>
      </c>
      <c r="C377" t="str">
        <f>VLOOKUP($A377,'Customer Names'!$A:$E,4,FALSE)</f>
        <v>Zachary</v>
      </c>
      <c r="D377" t="str">
        <f>VLOOKUP($A377,'Medical Examinations'!$A:$J,2,FALSE)</f>
        <v>Normal Weight</v>
      </c>
      <c r="E377">
        <f>VLOOKUP($A377,'Medical Examinations'!$A:$J,4,FALSE)</f>
        <v>4.68</v>
      </c>
      <c r="F377" t="str">
        <f>VLOOKUP($A377,'Medical Examinations'!$A:$J,6,FALSE)</f>
        <v>yes</v>
      </c>
      <c r="G377" t="str">
        <f>VLOOKUP($A377,'Medical Examinations'!$A:$J,7,FALSE)</f>
        <v>No</v>
      </c>
      <c r="H377" t="str">
        <f>VLOOKUP($A377,'Medical Examinations'!$A:$J,8,FALSE)</f>
        <v>No</v>
      </c>
      <c r="I377">
        <f>VLOOKUP($A377,'Medical Examinations'!$A:$J,9,FALSE)</f>
        <v>1</v>
      </c>
      <c r="J377" t="str">
        <f>VLOOKUP($A377,'Medical Examinations'!$A:$J,10,FALSE)</f>
        <v>No</v>
      </c>
      <c r="K377" t="str">
        <f>VLOOKUP($A377,'Medical Examinations'!$A:$J,5,FALSE)</f>
        <v>Normal</v>
      </c>
      <c r="L377">
        <f>VLOOKUP($A378,'Medical Examinations'!$A:$J,3,FALSE)</f>
        <v>31.35</v>
      </c>
      <c r="M377">
        <f>VLOOKUP($A377,'Hospitalisation Details'!$A:$K,6,FALSE)</f>
        <v>27375.9</v>
      </c>
      <c r="N377" s="11">
        <f>VLOOKUP($B377,'Hospitalisation Details'!A376:J2720,10,0)</f>
        <v>32431</v>
      </c>
      <c r="O377" t="str">
        <f>VLOOKUP($B377,'Hospitalisation Details'!A376:J2720,8,0)</f>
        <v>tier - 1</v>
      </c>
      <c r="P377" t="str">
        <f>VLOOKUP($B377,'Hospitalisation Details'!A376:J2720,7,0)</f>
        <v>tier - 2</v>
      </c>
      <c r="Q377" t="str">
        <f>VLOOKUP($B377,'Hospitalisation Details'!A376:J2720,9,0)</f>
        <v>R1013</v>
      </c>
      <c r="R377">
        <f>VLOOKUP($B377,'Hospitalisation Details'!A376:K2720,11,0)</f>
        <v>34</v>
      </c>
    </row>
    <row r="378" spans="1:18" x14ac:dyDescent="0.35">
      <c r="A378" t="s">
        <v>1995</v>
      </c>
      <c r="B378" t="s">
        <v>407</v>
      </c>
      <c r="C378" t="str">
        <f>VLOOKUP($A378,'Customer Names'!$A:$E,4,FALSE)</f>
        <v>Michael</v>
      </c>
      <c r="D378" t="str">
        <f>VLOOKUP($A378,'Medical Examinations'!$A:$J,2,FALSE)</f>
        <v>Obesity</v>
      </c>
      <c r="E378">
        <f>VLOOKUP($A378,'Medical Examinations'!$A:$J,4,FALSE)</f>
        <v>4.33</v>
      </c>
      <c r="F378" t="str">
        <f>VLOOKUP($A378,'Medical Examinations'!$A:$J,6,FALSE)</f>
        <v>yes</v>
      </c>
      <c r="G378" t="str">
        <f>VLOOKUP($A378,'Medical Examinations'!$A:$J,7,FALSE)</f>
        <v>No</v>
      </c>
      <c r="H378" t="str">
        <f>VLOOKUP($A378,'Medical Examinations'!$A:$J,8,FALSE)</f>
        <v>Yes</v>
      </c>
      <c r="I378">
        <f>VLOOKUP($A378,'Medical Examinations'!$A:$J,9,FALSE)</f>
        <v>1</v>
      </c>
      <c r="J378" t="str">
        <f>VLOOKUP($A378,'Medical Examinations'!$A:$J,10,FALSE)</f>
        <v>No</v>
      </c>
      <c r="K378" t="str">
        <f>VLOOKUP($A378,'Medical Examinations'!$A:$J,5,FALSE)</f>
        <v>Normal</v>
      </c>
      <c r="L378">
        <f>VLOOKUP($A379,'Medical Examinations'!$A:$J,3,FALSE)</f>
        <v>31.9</v>
      </c>
      <c r="M378">
        <f>VLOOKUP($A378,'Hospitalisation Details'!$A:$K,6,FALSE)</f>
        <v>27346.04</v>
      </c>
      <c r="N378" s="11">
        <f>VLOOKUP($B378,'Hospitalisation Details'!A377:J2721,10,0)</f>
        <v>33960</v>
      </c>
      <c r="O378" t="str">
        <f>VLOOKUP($B378,'Hospitalisation Details'!A377:J2721,8,0)</f>
        <v>tier - 3</v>
      </c>
      <c r="P378" t="str">
        <f>VLOOKUP($B378,'Hospitalisation Details'!A377:J2721,7,0)</f>
        <v>tier - 2</v>
      </c>
      <c r="Q378" t="str">
        <f>VLOOKUP($B378,'Hospitalisation Details'!A377:J2721,9,0)</f>
        <v>R1011</v>
      </c>
      <c r="R378">
        <f>VLOOKUP($B378,'Hospitalisation Details'!A377:K2721,11,0)</f>
        <v>30</v>
      </c>
    </row>
    <row r="379" spans="1:18" x14ac:dyDescent="0.35">
      <c r="A379" t="s">
        <v>1994</v>
      </c>
      <c r="B379" t="s">
        <v>408</v>
      </c>
      <c r="C379" t="str">
        <f>VLOOKUP($A379,'Customer Names'!$A:$E,4,FALSE)</f>
        <v>Alyssa K.</v>
      </c>
      <c r="D379" t="str">
        <f>VLOOKUP($A379,'Medical Examinations'!$A:$J,2,FALSE)</f>
        <v>Obesity</v>
      </c>
      <c r="E379">
        <f>VLOOKUP($A379,'Medical Examinations'!$A:$J,4,FALSE)</f>
        <v>11.89</v>
      </c>
      <c r="F379" t="str">
        <f>VLOOKUP($A379,'Medical Examinations'!$A:$J,6,FALSE)</f>
        <v>No</v>
      </c>
      <c r="G379" t="str">
        <f>VLOOKUP($A379,'Medical Examinations'!$A:$J,7,FALSE)</f>
        <v>No</v>
      </c>
      <c r="H379" t="str">
        <f>VLOOKUP($A379,'Medical Examinations'!$A:$J,8,FALSE)</f>
        <v>No</v>
      </c>
      <c r="I379">
        <f>VLOOKUP($A379,'Medical Examinations'!$A:$J,9,FALSE)</f>
        <v>0</v>
      </c>
      <c r="J379" t="str">
        <f>VLOOKUP($A379,'Medical Examinations'!$A:$J,10,FALSE)</f>
        <v>No</v>
      </c>
      <c r="K379" t="str">
        <f>VLOOKUP($A379,'Medical Examinations'!$A:$J,5,FALSE)</f>
        <v>Diabetes</v>
      </c>
      <c r="L379">
        <f>VLOOKUP($A380,'Medical Examinations'!$A:$J,3,FALSE)</f>
        <v>30.6</v>
      </c>
      <c r="M379">
        <f>VLOOKUP($A379,'Hospitalisation Details'!$A:$K,6,FALSE)</f>
        <v>27322.73</v>
      </c>
      <c r="N379" s="11">
        <f>VLOOKUP($B379,'Hospitalisation Details'!A378:J2722,10,0)</f>
        <v>34601</v>
      </c>
      <c r="O379" t="str">
        <f>VLOOKUP($B379,'Hospitalisation Details'!A378:J2722,8,0)</f>
        <v>tier - 3</v>
      </c>
      <c r="P379" t="str">
        <f>VLOOKUP($B379,'Hospitalisation Details'!A378:J2722,7,0)</f>
        <v>tier - 2</v>
      </c>
      <c r="Q379" t="str">
        <f>VLOOKUP($B379,'Hospitalisation Details'!A378:J2722,9,0)</f>
        <v>R1012</v>
      </c>
      <c r="R379">
        <f>VLOOKUP($B379,'Hospitalisation Details'!A378:K2722,11,0)</f>
        <v>28</v>
      </c>
    </row>
    <row r="380" spans="1:18" x14ac:dyDescent="0.35">
      <c r="A380" t="s">
        <v>1993</v>
      </c>
      <c r="B380" t="s">
        <v>409</v>
      </c>
      <c r="C380" t="str">
        <f>VLOOKUP($A380,'Customer Names'!$A:$E,4,FALSE)</f>
        <v>Heather</v>
      </c>
      <c r="D380" t="str">
        <f>VLOOKUP($A380,'Medical Examinations'!$A:$J,2,FALSE)</f>
        <v>Obesity</v>
      </c>
      <c r="E380">
        <f>VLOOKUP($A380,'Medical Examinations'!$A:$J,4,FALSE)</f>
        <v>5.24</v>
      </c>
      <c r="F380" t="str">
        <f>VLOOKUP($A380,'Medical Examinations'!$A:$J,6,FALSE)</f>
        <v>No</v>
      </c>
      <c r="G380" t="str">
        <f>VLOOKUP($A380,'Medical Examinations'!$A:$J,7,FALSE)</f>
        <v>No</v>
      </c>
      <c r="H380" t="str">
        <f>VLOOKUP($A380,'Medical Examinations'!$A:$J,8,FALSE)</f>
        <v>No</v>
      </c>
      <c r="I380">
        <f>VLOOKUP($A380,'Medical Examinations'!$A:$J,9,FALSE)</f>
        <v>0</v>
      </c>
      <c r="J380" t="str">
        <f>VLOOKUP($A380,'Medical Examinations'!$A:$J,10,FALSE)</f>
        <v>yes</v>
      </c>
      <c r="K380" t="str">
        <f>VLOOKUP($A380,'Medical Examinations'!$A:$J,5,FALSE)</f>
        <v>Normal</v>
      </c>
      <c r="L380">
        <f>VLOOKUP($A381,'Medical Examinations'!$A:$J,3,FALSE)</f>
        <v>28.975000000000001</v>
      </c>
      <c r="M380">
        <f>VLOOKUP($A380,'Hospitalisation Details'!$A:$K,6,FALSE)</f>
        <v>27236.959999999999</v>
      </c>
      <c r="N380" s="11">
        <f>VLOOKUP($B380,'Hospitalisation Details'!A379:J2723,10,0)</f>
        <v>34981</v>
      </c>
      <c r="O380" t="str">
        <f>VLOOKUP($B380,'Hospitalisation Details'!A379:J2723,8,0)</f>
        <v>tier - 3</v>
      </c>
      <c r="P380" t="str">
        <f>VLOOKUP($B380,'Hospitalisation Details'!A379:J2723,7,0)</f>
        <v>tier - 2</v>
      </c>
      <c r="Q380" t="str">
        <f>VLOOKUP($B380,'Hospitalisation Details'!A379:J2723,9,0)</f>
        <v>R1024</v>
      </c>
      <c r="R380">
        <f>VLOOKUP($B380,'Hospitalisation Details'!A379:K2723,11,0)</f>
        <v>27</v>
      </c>
    </row>
    <row r="381" spans="1:18" x14ac:dyDescent="0.35">
      <c r="A381" t="s">
        <v>1992</v>
      </c>
      <c r="B381" t="s">
        <v>410</v>
      </c>
      <c r="C381" t="str">
        <f>VLOOKUP($A381,'Customer Names'!$A:$E,4,FALSE)</f>
        <v>Dante</v>
      </c>
      <c r="D381" t="str">
        <f>VLOOKUP($A381,'Medical Examinations'!$A:$J,2,FALSE)</f>
        <v>Overweight</v>
      </c>
      <c r="E381">
        <f>VLOOKUP($A381,'Medical Examinations'!$A:$J,4,FALSE)</f>
        <v>7.63</v>
      </c>
      <c r="F381" t="str">
        <f>VLOOKUP($A381,'Medical Examinations'!$A:$J,6,FALSE)</f>
        <v>No</v>
      </c>
      <c r="G381" t="str">
        <f>VLOOKUP($A381,'Medical Examinations'!$A:$J,7,FALSE)</f>
        <v>No</v>
      </c>
      <c r="H381" t="str">
        <f>VLOOKUP($A381,'Medical Examinations'!$A:$J,8,FALSE)</f>
        <v>No</v>
      </c>
      <c r="I381">
        <f>VLOOKUP($A381,'Medical Examinations'!$A:$J,9,FALSE)</f>
        <v>0</v>
      </c>
      <c r="J381" t="str">
        <f>VLOOKUP($A381,'Medical Examinations'!$A:$J,10,FALSE)</f>
        <v>yes</v>
      </c>
      <c r="K381" t="str">
        <f>VLOOKUP($A381,'Medical Examinations'!$A:$J,5,FALSE)</f>
        <v>Diabetes</v>
      </c>
      <c r="L381">
        <f>VLOOKUP($A382,'Medical Examinations'!$A:$J,3,FALSE)</f>
        <v>24.86</v>
      </c>
      <c r="M381">
        <f>VLOOKUP($A381,'Hospitalisation Details'!$A:$K,6,FALSE)</f>
        <v>27218.44</v>
      </c>
      <c r="N381" s="11">
        <f>VLOOKUP($B381,'Hospitalisation Details'!A380:J2724,10,0)</f>
        <v>34866</v>
      </c>
      <c r="O381" t="str">
        <f>VLOOKUP($B381,'Hospitalisation Details'!A380:J2724,8,0)</f>
        <v>tier - 1</v>
      </c>
      <c r="P381" t="str">
        <f>VLOOKUP($B381,'Hospitalisation Details'!A380:J2724,7,0)</f>
        <v>tier - 2</v>
      </c>
      <c r="Q381" t="str">
        <f>VLOOKUP($B381,'Hospitalisation Details'!A380:J2724,9,0)</f>
        <v>R1013</v>
      </c>
      <c r="R381">
        <f>VLOOKUP($B381,'Hospitalisation Details'!A380:K2724,11,0)</f>
        <v>27</v>
      </c>
    </row>
    <row r="382" spans="1:18" x14ac:dyDescent="0.35">
      <c r="A382" t="s">
        <v>1991</v>
      </c>
      <c r="B382" t="s">
        <v>411</v>
      </c>
      <c r="C382" t="str">
        <f>VLOOKUP($A382,'Customer Names'!$A:$E,4,FALSE)</f>
        <v>Sara E.</v>
      </c>
      <c r="D382" t="str">
        <f>VLOOKUP($A382,'Medical Examinations'!$A:$J,2,FALSE)</f>
        <v>Normal Weight</v>
      </c>
      <c r="E382">
        <f>VLOOKUP($A382,'Medical Examinations'!$A:$J,4,FALSE)</f>
        <v>8.92</v>
      </c>
      <c r="F382" t="str">
        <f>VLOOKUP($A382,'Medical Examinations'!$A:$J,6,FALSE)</f>
        <v>yes</v>
      </c>
      <c r="G382" t="str">
        <f>VLOOKUP($A382,'Medical Examinations'!$A:$J,7,FALSE)</f>
        <v>No</v>
      </c>
      <c r="H382" t="str">
        <f>VLOOKUP($A382,'Medical Examinations'!$A:$J,8,FALSE)</f>
        <v>No</v>
      </c>
      <c r="I382">
        <f>VLOOKUP($A382,'Medical Examinations'!$A:$J,9,FALSE)</f>
        <v>2</v>
      </c>
      <c r="J382" t="str">
        <f>VLOOKUP($A382,'Medical Examinations'!$A:$J,10,FALSE)</f>
        <v>No</v>
      </c>
      <c r="K382" t="str">
        <f>VLOOKUP($A382,'Medical Examinations'!$A:$J,5,FALSE)</f>
        <v>Diabetes</v>
      </c>
      <c r="L382">
        <f>VLOOKUP($A383,'Medical Examinations'!$A:$J,3,FALSE)</f>
        <v>19.54</v>
      </c>
      <c r="M382">
        <f>VLOOKUP($A382,'Hospitalisation Details'!$A:$K,6,FALSE)</f>
        <v>27117.99</v>
      </c>
      <c r="N382" s="11">
        <f>VLOOKUP($B382,'Hospitalisation Details'!A381:J2725,10,0)</f>
        <v>29869</v>
      </c>
      <c r="O382" t="str">
        <f>VLOOKUP($B382,'Hospitalisation Details'!A381:J2725,8,0)</f>
        <v>tier - 1</v>
      </c>
      <c r="P382" t="str">
        <f>VLOOKUP($B382,'Hospitalisation Details'!A381:J2725,7,0)</f>
        <v>tier - 2</v>
      </c>
      <c r="Q382" t="str">
        <f>VLOOKUP($B382,'Hospitalisation Details'!A381:J2725,9,0)</f>
        <v>R1013</v>
      </c>
      <c r="R382">
        <f>VLOOKUP($B382,'Hospitalisation Details'!A381:K2725,11,0)</f>
        <v>41</v>
      </c>
    </row>
    <row r="383" spans="1:18" x14ac:dyDescent="0.35">
      <c r="A383" t="s">
        <v>1990</v>
      </c>
      <c r="B383" t="s">
        <v>412</v>
      </c>
      <c r="C383" t="str">
        <f>VLOOKUP($A383,'Customer Names'!$A:$E,4,FALSE)</f>
        <v>Scott</v>
      </c>
      <c r="D383" t="str">
        <f>VLOOKUP($A383,'Medical Examinations'!$A:$J,2,FALSE)</f>
        <v>Normal Weight</v>
      </c>
      <c r="E383">
        <f>VLOOKUP($A383,'Medical Examinations'!$A:$J,4,FALSE)</f>
        <v>5.37</v>
      </c>
      <c r="F383" t="str">
        <f>VLOOKUP($A383,'Medical Examinations'!$A:$J,6,FALSE)</f>
        <v>No</v>
      </c>
      <c r="G383" t="str">
        <f>VLOOKUP($A383,'Medical Examinations'!$A:$J,7,FALSE)</f>
        <v>No</v>
      </c>
      <c r="H383" t="str">
        <f>VLOOKUP($A383,'Medical Examinations'!$A:$J,8,FALSE)</f>
        <v>No</v>
      </c>
      <c r="I383">
        <f>VLOOKUP($A383,'Medical Examinations'!$A:$J,9,FALSE)</f>
        <v>0</v>
      </c>
      <c r="J383" t="str">
        <f>VLOOKUP($A383,'Medical Examinations'!$A:$J,10,FALSE)</f>
        <v>yes</v>
      </c>
      <c r="K383" t="str">
        <f>VLOOKUP($A383,'Medical Examinations'!$A:$J,5,FALSE)</f>
        <v>Normal</v>
      </c>
      <c r="L383">
        <f>VLOOKUP($A384,'Medical Examinations'!$A:$J,3,FALSE)</f>
        <v>26.74</v>
      </c>
      <c r="M383">
        <f>VLOOKUP($A383,'Hospitalisation Details'!$A:$K,6,FALSE)</f>
        <v>27092.38</v>
      </c>
      <c r="N383" s="11">
        <f>VLOOKUP($B383,'Hospitalisation Details'!A382:J2726,10,0)</f>
        <v>32373</v>
      </c>
      <c r="O383" t="str">
        <f>VLOOKUP($B383,'Hospitalisation Details'!A382:J2726,8,0)</f>
        <v>tier - 1</v>
      </c>
      <c r="P383" t="str">
        <f>VLOOKUP($B383,'Hospitalisation Details'!A382:J2726,7,0)</f>
        <v>tier - 2</v>
      </c>
      <c r="Q383" t="str">
        <f>VLOOKUP($B383,'Hospitalisation Details'!A382:J2726,9,0)</f>
        <v>R1012</v>
      </c>
      <c r="R383">
        <f>VLOOKUP($B383,'Hospitalisation Details'!A382:K2726,11,0)</f>
        <v>34</v>
      </c>
    </row>
    <row r="384" spans="1:18" x14ac:dyDescent="0.35">
      <c r="A384" t="s">
        <v>1989</v>
      </c>
      <c r="B384" t="s">
        <v>413</v>
      </c>
      <c r="C384" t="str">
        <f>VLOOKUP($A384,'Customer Names'!$A:$E,4,FALSE)</f>
        <v>Sean</v>
      </c>
      <c r="D384" t="str">
        <f>VLOOKUP($A384,'Medical Examinations'!$A:$J,2,FALSE)</f>
        <v>Overweight</v>
      </c>
      <c r="E384">
        <f>VLOOKUP($A384,'Medical Examinations'!$A:$J,4,FALSE)</f>
        <v>4.3099999999999996</v>
      </c>
      <c r="F384" t="str">
        <f>VLOOKUP($A384,'Medical Examinations'!$A:$J,6,FALSE)</f>
        <v>No</v>
      </c>
      <c r="G384" t="str">
        <f>VLOOKUP($A384,'Medical Examinations'!$A:$J,7,FALSE)</f>
        <v>No</v>
      </c>
      <c r="H384" t="str">
        <f>VLOOKUP($A384,'Medical Examinations'!$A:$J,8,FALSE)</f>
        <v>No</v>
      </c>
      <c r="I384">
        <f>VLOOKUP($A384,'Medical Examinations'!$A:$J,9,FALSE)</f>
        <v>0</v>
      </c>
      <c r="J384" t="str">
        <f>VLOOKUP($A384,'Medical Examinations'!$A:$J,10,FALSE)</f>
        <v>yes</v>
      </c>
      <c r="K384" t="str">
        <f>VLOOKUP($A384,'Medical Examinations'!$A:$J,5,FALSE)</f>
        <v>Normal</v>
      </c>
      <c r="L384">
        <f>VLOOKUP($A385,'Medical Examinations'!$A:$J,3,FALSE)</f>
        <v>22.99</v>
      </c>
      <c r="M384">
        <f>VLOOKUP($A384,'Hospitalisation Details'!$A:$K,6,FALSE)</f>
        <v>27080.639999999999</v>
      </c>
      <c r="N384" s="11">
        <f>VLOOKUP($B384,'Hospitalisation Details'!A383:J2727,10,0)</f>
        <v>34934</v>
      </c>
      <c r="O384" t="str">
        <f>VLOOKUP($B384,'Hospitalisation Details'!A383:J2727,8,0)</f>
        <v>tier - 3</v>
      </c>
      <c r="P384" t="str">
        <f>VLOOKUP($B384,'Hospitalisation Details'!A383:J2727,7,0)</f>
        <v>tier - 2</v>
      </c>
      <c r="Q384" t="str">
        <f>VLOOKUP($B384,'Hospitalisation Details'!A383:J2727,9,0)</f>
        <v>R1011</v>
      </c>
      <c r="R384">
        <f>VLOOKUP($B384,'Hospitalisation Details'!A383:K2727,11,0)</f>
        <v>27</v>
      </c>
    </row>
    <row r="385" spans="1:18" x14ac:dyDescent="0.35">
      <c r="A385" t="s">
        <v>1988</v>
      </c>
      <c r="B385" t="s">
        <v>414</v>
      </c>
      <c r="C385" t="str">
        <f>VLOOKUP($A385,'Customer Names'!$A:$E,4,FALSE)</f>
        <v>Danielle</v>
      </c>
      <c r="D385" t="str">
        <f>VLOOKUP($A385,'Medical Examinations'!$A:$J,2,FALSE)</f>
        <v>Normal Weight</v>
      </c>
      <c r="E385">
        <f>VLOOKUP($A385,'Medical Examinations'!$A:$J,4,FALSE)</f>
        <v>10.46</v>
      </c>
      <c r="F385" t="str">
        <f>VLOOKUP($A385,'Medical Examinations'!$A:$J,6,FALSE)</f>
        <v>No</v>
      </c>
      <c r="G385" t="str">
        <f>VLOOKUP($A385,'Medical Examinations'!$A:$J,7,FALSE)</f>
        <v>No</v>
      </c>
      <c r="H385" t="str">
        <f>VLOOKUP($A385,'Medical Examinations'!$A:$J,8,FALSE)</f>
        <v>No</v>
      </c>
      <c r="I385">
        <f>VLOOKUP($A385,'Medical Examinations'!$A:$J,9,FALSE)</f>
        <v>3</v>
      </c>
      <c r="J385" t="str">
        <f>VLOOKUP($A385,'Medical Examinations'!$A:$J,10,FALSE)</f>
        <v>yes</v>
      </c>
      <c r="K385" t="str">
        <f>VLOOKUP($A385,'Medical Examinations'!$A:$J,5,FALSE)</f>
        <v>Diabetes</v>
      </c>
      <c r="L385">
        <f>VLOOKUP($A386,'Medical Examinations'!$A:$J,3,FALSE)</f>
        <v>31.46</v>
      </c>
      <c r="M385">
        <f>VLOOKUP($A385,'Hospitalisation Details'!$A:$K,6,FALSE)</f>
        <v>27037.91</v>
      </c>
      <c r="N385" s="11">
        <f>VLOOKUP($B385,'Hospitalisation Details'!A384:J2728,10,0)</f>
        <v>37206</v>
      </c>
      <c r="O385" t="str">
        <f>VLOOKUP($B385,'Hospitalisation Details'!A384:J2728,8,0)</f>
        <v>tier - 2</v>
      </c>
      <c r="P385" t="str">
        <f>VLOOKUP($B385,'Hospitalisation Details'!A384:J2728,7,0)</f>
        <v>tier - 2</v>
      </c>
      <c r="Q385" t="str">
        <f>VLOOKUP($B385,'Hospitalisation Details'!A384:J2728,9,0)</f>
        <v>R1012</v>
      </c>
      <c r="R385">
        <f>VLOOKUP($B385,'Hospitalisation Details'!A384:K2728,11,0)</f>
        <v>21</v>
      </c>
    </row>
    <row r="386" spans="1:18" x14ac:dyDescent="0.35">
      <c r="A386" t="s">
        <v>1987</v>
      </c>
      <c r="B386" t="s">
        <v>415</v>
      </c>
      <c r="C386" t="str">
        <f>VLOOKUP($A386,'Customer Names'!$A:$E,4,FALSE)</f>
        <v>Andrew D.</v>
      </c>
      <c r="D386" t="str">
        <f>VLOOKUP($A386,'Medical Examinations'!$A:$J,2,FALSE)</f>
        <v>Obesity</v>
      </c>
      <c r="E386">
        <f>VLOOKUP($A386,'Medical Examinations'!$A:$J,4,FALSE)</f>
        <v>7.39</v>
      </c>
      <c r="F386" t="str">
        <f>VLOOKUP($A386,'Medical Examinations'!$A:$J,6,FALSE)</f>
        <v>No</v>
      </c>
      <c r="G386" t="str">
        <f>VLOOKUP($A386,'Medical Examinations'!$A:$J,7,FALSE)</f>
        <v>No</v>
      </c>
      <c r="H386" t="str">
        <f>VLOOKUP($A386,'Medical Examinations'!$A:$J,8,FALSE)</f>
        <v>No</v>
      </c>
      <c r="I386">
        <f>VLOOKUP($A386,'Medical Examinations'!$A:$J,9,FALSE)</f>
        <v>0</v>
      </c>
      <c r="J386" t="str">
        <f>VLOOKUP($A386,'Medical Examinations'!$A:$J,10,FALSE)</f>
        <v>No</v>
      </c>
      <c r="K386" t="str">
        <f>VLOOKUP($A386,'Medical Examinations'!$A:$J,5,FALSE)</f>
        <v>Diabetes</v>
      </c>
      <c r="L386">
        <f>VLOOKUP($A387,'Medical Examinations'!$A:$J,3,FALSE)</f>
        <v>30.86</v>
      </c>
      <c r="M386">
        <f>VLOOKUP($A386,'Hospitalisation Details'!$A:$K,6,FALSE)</f>
        <v>27000.98</v>
      </c>
      <c r="N386" s="11">
        <f>VLOOKUP($B386,'Hospitalisation Details'!A385:J2729,10,0)</f>
        <v>31773</v>
      </c>
      <c r="O386" t="str">
        <f>VLOOKUP($B386,'Hospitalisation Details'!A385:J2729,8,0)</f>
        <v>tier - 2</v>
      </c>
      <c r="P386" t="str">
        <f>VLOOKUP($B386,'Hospitalisation Details'!A385:J2729,7,0)</f>
        <v>tier - 2</v>
      </c>
      <c r="Q386" t="str">
        <f>VLOOKUP($B386,'Hospitalisation Details'!A385:J2729,9,0)</f>
        <v>R1013</v>
      </c>
      <c r="R386">
        <f>VLOOKUP($B386,'Hospitalisation Details'!A385:K2729,11,0)</f>
        <v>36</v>
      </c>
    </row>
    <row r="387" spans="1:18" x14ac:dyDescent="0.35">
      <c r="A387" t="s">
        <v>1986</v>
      </c>
      <c r="B387" t="s">
        <v>416</v>
      </c>
      <c r="C387" t="str">
        <f>VLOOKUP($A387,'Customer Names'!$A:$E,4,FALSE)</f>
        <v>Joel D</v>
      </c>
      <c r="D387" t="str">
        <f>VLOOKUP($A387,'Medical Examinations'!$A:$J,2,FALSE)</f>
        <v>Obesity</v>
      </c>
      <c r="E387">
        <f>VLOOKUP($A387,'Medical Examinations'!$A:$J,4,FALSE)</f>
        <v>6.18</v>
      </c>
      <c r="F387" t="str">
        <f>VLOOKUP($A387,'Medical Examinations'!$A:$J,6,FALSE)</f>
        <v>No</v>
      </c>
      <c r="G387" t="str">
        <f>VLOOKUP($A387,'Medical Examinations'!$A:$J,7,FALSE)</f>
        <v>yes</v>
      </c>
      <c r="H387" t="str">
        <f>VLOOKUP($A387,'Medical Examinations'!$A:$J,8,FALSE)</f>
        <v>No</v>
      </c>
      <c r="I387">
        <f>VLOOKUP($A387,'Medical Examinations'!$A:$J,9,FALSE)</f>
        <v>2</v>
      </c>
      <c r="J387" t="str">
        <f>VLOOKUP($A387,'Medical Examinations'!$A:$J,10,FALSE)</f>
        <v>yes</v>
      </c>
      <c r="K387" t="str">
        <f>VLOOKUP($A387,'Medical Examinations'!$A:$J,5,FALSE)</f>
        <v>Prediabetes</v>
      </c>
      <c r="L387">
        <f>VLOOKUP($A388,'Medical Examinations'!$A:$J,3,FALSE)</f>
        <v>31.96</v>
      </c>
      <c r="M387">
        <f>VLOOKUP($A387,'Hospitalisation Details'!$A:$K,6,FALSE)</f>
        <v>26936.98</v>
      </c>
      <c r="N387" s="11">
        <f>VLOOKUP($B387,'Hospitalisation Details'!A386:J2730,10,0)</f>
        <v>36317</v>
      </c>
      <c r="O387" t="str">
        <f>VLOOKUP($B387,'Hospitalisation Details'!A386:J2730,8,0)</f>
        <v>tier - 3</v>
      </c>
      <c r="P387" t="str">
        <f>VLOOKUP($B387,'Hospitalisation Details'!A386:J2730,7,0)</f>
        <v>tier - 2</v>
      </c>
      <c r="Q387" t="str">
        <f>VLOOKUP($B387,'Hospitalisation Details'!A386:J2730,9,0)</f>
        <v>R1011</v>
      </c>
      <c r="R387">
        <f>VLOOKUP($B387,'Hospitalisation Details'!A386:K2730,11,0)</f>
        <v>24</v>
      </c>
    </row>
    <row r="388" spans="1:18" x14ac:dyDescent="0.35">
      <c r="A388" t="s">
        <v>1985</v>
      </c>
      <c r="B388" t="s">
        <v>417</v>
      </c>
      <c r="C388" t="str">
        <f>VLOOKUP($A388,'Customer Names'!$A:$E,4,FALSE)</f>
        <v>Michelle</v>
      </c>
      <c r="D388" t="str">
        <f>VLOOKUP($A388,'Medical Examinations'!$A:$J,2,FALSE)</f>
        <v>Obesity</v>
      </c>
      <c r="E388">
        <f>VLOOKUP($A388,'Medical Examinations'!$A:$J,4,FALSE)</f>
        <v>8.86</v>
      </c>
      <c r="F388" t="str">
        <f>VLOOKUP($A388,'Medical Examinations'!$A:$J,6,FALSE)</f>
        <v>No</v>
      </c>
      <c r="G388" t="str">
        <f>VLOOKUP($A388,'Medical Examinations'!$A:$J,7,FALSE)</f>
        <v>No</v>
      </c>
      <c r="H388" t="str">
        <f>VLOOKUP($A388,'Medical Examinations'!$A:$J,8,FALSE)</f>
        <v>No</v>
      </c>
      <c r="I388">
        <f>VLOOKUP($A388,'Medical Examinations'!$A:$J,9,FALSE)</f>
        <v>0</v>
      </c>
      <c r="J388" t="str">
        <f>VLOOKUP($A388,'Medical Examinations'!$A:$J,10,FALSE)</f>
        <v>yes</v>
      </c>
      <c r="K388" t="str">
        <f>VLOOKUP($A388,'Medical Examinations'!$A:$J,5,FALSE)</f>
        <v>Diabetes</v>
      </c>
      <c r="L388">
        <f>VLOOKUP($A389,'Medical Examinations'!$A:$J,3,FALSE)</f>
        <v>23.76</v>
      </c>
      <c r="M388">
        <f>VLOOKUP($A388,'Hospitalisation Details'!$A:$K,6,FALSE)</f>
        <v>26927.69</v>
      </c>
      <c r="N388" s="11">
        <f>VLOOKUP($B388,'Hospitalisation Details'!A387:J2731,10,0)</f>
        <v>35738</v>
      </c>
      <c r="O388" t="str">
        <f>VLOOKUP($B388,'Hospitalisation Details'!A387:J2731,8,0)</f>
        <v>tier - 2</v>
      </c>
      <c r="P388" t="str">
        <f>VLOOKUP($B388,'Hospitalisation Details'!A387:J2731,7,0)</f>
        <v>tier - 2</v>
      </c>
      <c r="Q388" t="str">
        <f>VLOOKUP($B388,'Hospitalisation Details'!A387:J2731,9,0)</f>
        <v>R1012</v>
      </c>
      <c r="R388">
        <f>VLOOKUP($B388,'Hospitalisation Details'!A387:K2731,11,0)</f>
        <v>25</v>
      </c>
    </row>
    <row r="389" spans="1:18" x14ac:dyDescent="0.35">
      <c r="A389" t="s">
        <v>1984</v>
      </c>
      <c r="B389" t="s">
        <v>418</v>
      </c>
      <c r="C389" t="str">
        <f>VLOOKUP($A389,'Customer Names'!$A:$E,4,FALSE)</f>
        <v>Michael J.</v>
      </c>
      <c r="D389" t="str">
        <f>VLOOKUP($A389,'Medical Examinations'!$A:$J,2,FALSE)</f>
        <v>Normal Weight</v>
      </c>
      <c r="E389">
        <f>VLOOKUP($A389,'Medical Examinations'!$A:$J,4,FALSE)</f>
        <v>10.96</v>
      </c>
      <c r="F389" t="str">
        <f>VLOOKUP($A389,'Medical Examinations'!$A:$J,6,FALSE)</f>
        <v>No</v>
      </c>
      <c r="G389" t="str">
        <f>VLOOKUP($A389,'Medical Examinations'!$A:$J,7,FALSE)</f>
        <v>No</v>
      </c>
      <c r="H389" t="str">
        <f>VLOOKUP($A389,'Medical Examinations'!$A:$J,8,FALSE)</f>
        <v>No</v>
      </c>
      <c r="I389">
        <f>VLOOKUP($A389,'Medical Examinations'!$A:$J,9,FALSE)</f>
        <v>3</v>
      </c>
      <c r="J389" t="str">
        <f>VLOOKUP($A389,'Medical Examinations'!$A:$J,10,FALSE)</f>
        <v>yes</v>
      </c>
      <c r="K389" t="str">
        <f>VLOOKUP($A389,'Medical Examinations'!$A:$J,5,FALSE)</f>
        <v>Diabetes</v>
      </c>
      <c r="L389">
        <f>VLOOKUP($A390,'Medical Examinations'!$A:$J,3,FALSE)</f>
        <v>19.38</v>
      </c>
      <c r="M389">
        <f>VLOOKUP($A389,'Hospitalisation Details'!$A:$K,6,FALSE)</f>
        <v>26926.51</v>
      </c>
      <c r="N389" s="11">
        <f>VLOOKUP($B389,'Hospitalisation Details'!A388:J2732,10,0)</f>
        <v>36384</v>
      </c>
      <c r="O389" t="str">
        <f>VLOOKUP($B389,'Hospitalisation Details'!A388:J2732,8,0)</f>
        <v>tier - 2</v>
      </c>
      <c r="P389" t="str">
        <f>VLOOKUP($B389,'Hospitalisation Details'!A388:J2732,7,0)</f>
        <v>tier - 2</v>
      </c>
      <c r="Q389" t="str">
        <f>VLOOKUP($B389,'Hospitalisation Details'!A388:J2732,9,0)</f>
        <v>R1011</v>
      </c>
      <c r="R389">
        <f>VLOOKUP($B389,'Hospitalisation Details'!A388:K2732,11,0)</f>
        <v>23</v>
      </c>
    </row>
    <row r="390" spans="1:18" x14ac:dyDescent="0.35">
      <c r="A390" t="s">
        <v>1983</v>
      </c>
      <c r="B390" t="s">
        <v>419</v>
      </c>
      <c r="C390" t="str">
        <f>VLOOKUP($A390,'Customer Names'!$A:$E,4,FALSE)</f>
        <v>Nikki</v>
      </c>
      <c r="D390" t="str">
        <f>VLOOKUP($A390,'Medical Examinations'!$A:$J,2,FALSE)</f>
        <v>Normal Weight</v>
      </c>
      <c r="E390">
        <f>VLOOKUP($A390,'Medical Examinations'!$A:$J,4,FALSE)</f>
        <v>6.28</v>
      </c>
      <c r="F390" t="str">
        <f>VLOOKUP($A390,'Medical Examinations'!$A:$J,6,FALSE)</f>
        <v>No</v>
      </c>
      <c r="G390" t="str">
        <f>VLOOKUP($A390,'Medical Examinations'!$A:$J,7,FALSE)</f>
        <v>No</v>
      </c>
      <c r="H390" t="str">
        <f>VLOOKUP($A390,'Medical Examinations'!$A:$J,8,FALSE)</f>
        <v>No</v>
      </c>
      <c r="I390">
        <f>VLOOKUP($A390,'Medical Examinations'!$A:$J,9,FALSE)</f>
        <v>0</v>
      </c>
      <c r="J390" t="str">
        <f>VLOOKUP($A390,'Medical Examinations'!$A:$J,10,FALSE)</f>
        <v>yes</v>
      </c>
      <c r="K390" t="str">
        <f>VLOOKUP($A390,'Medical Examinations'!$A:$J,5,FALSE)</f>
        <v>Prediabetes</v>
      </c>
      <c r="L390">
        <f>VLOOKUP($A391,'Medical Examinations'!$A:$J,3,FALSE)</f>
        <v>16.21</v>
      </c>
      <c r="M390">
        <f>VLOOKUP($A390,'Hospitalisation Details'!$A:$K,6,FALSE)</f>
        <v>26912.560000000001</v>
      </c>
      <c r="N390" s="11">
        <f>VLOOKUP($B390,'Hospitalisation Details'!A389:J2733,10,0)</f>
        <v>32451</v>
      </c>
      <c r="O390" t="str">
        <f>VLOOKUP($B390,'Hospitalisation Details'!A389:J2733,8,0)</f>
        <v>tier - 1</v>
      </c>
      <c r="P390" t="str">
        <f>VLOOKUP($B390,'Hospitalisation Details'!A389:J2733,7,0)</f>
        <v>tier - 2</v>
      </c>
      <c r="Q390" t="str">
        <f>VLOOKUP($B390,'Hospitalisation Details'!A389:J2733,9,0)</f>
        <v>R1013</v>
      </c>
      <c r="R390">
        <f>VLOOKUP($B390,'Hospitalisation Details'!A389:K2733,11,0)</f>
        <v>34</v>
      </c>
    </row>
    <row r="391" spans="1:18" x14ac:dyDescent="0.35">
      <c r="A391" t="s">
        <v>1982</v>
      </c>
      <c r="B391" t="s">
        <v>420</v>
      </c>
      <c r="C391" t="str">
        <f>VLOOKUP($A391,'Customer Names'!$A:$E,4,FALSE)</f>
        <v>Summer B.</v>
      </c>
      <c r="D391" t="str">
        <f>VLOOKUP($A391,'Medical Examinations'!$A:$J,2,FALSE)</f>
        <v>Underweight</v>
      </c>
      <c r="E391">
        <f>VLOOKUP($A391,'Medical Examinations'!$A:$J,4,FALSE)</f>
        <v>6.29</v>
      </c>
      <c r="F391" t="str">
        <f>VLOOKUP($A391,'Medical Examinations'!$A:$J,6,FALSE)</f>
        <v>yes</v>
      </c>
      <c r="G391" t="str">
        <f>VLOOKUP($A391,'Medical Examinations'!$A:$J,7,FALSE)</f>
        <v>No</v>
      </c>
      <c r="H391" t="str">
        <f>VLOOKUP($A391,'Medical Examinations'!$A:$J,8,FALSE)</f>
        <v>No</v>
      </c>
      <c r="I391">
        <f>VLOOKUP($A391,'Medical Examinations'!$A:$J,9,FALSE)</f>
        <v>1</v>
      </c>
      <c r="J391" t="str">
        <f>VLOOKUP($A391,'Medical Examinations'!$A:$J,10,FALSE)</f>
        <v>yes</v>
      </c>
      <c r="K391" t="str">
        <f>VLOOKUP($A391,'Medical Examinations'!$A:$J,5,FALSE)</f>
        <v>Prediabetes</v>
      </c>
      <c r="L391">
        <f>VLOOKUP($A392,'Medical Examinations'!$A:$J,3,FALSE)</f>
        <v>32.54</v>
      </c>
      <c r="M391">
        <f>VLOOKUP($A391,'Hospitalisation Details'!$A:$K,6,FALSE)</f>
        <v>26607.89</v>
      </c>
      <c r="N391" s="11">
        <f>VLOOKUP($B391,'Hospitalisation Details'!A390:J2734,10,0)</f>
        <v>33157</v>
      </c>
      <c r="O391" t="str">
        <f>VLOOKUP($B391,'Hospitalisation Details'!A390:J2734,8,0)</f>
        <v>tier - 1</v>
      </c>
      <c r="P391" t="str">
        <f>VLOOKUP($B391,'Hospitalisation Details'!A390:J2734,7,0)</f>
        <v>tier - 2</v>
      </c>
      <c r="Q391" t="str">
        <f>VLOOKUP($B391,'Hospitalisation Details'!A390:J2734,9,0)</f>
        <v>R1013</v>
      </c>
      <c r="R391">
        <f>VLOOKUP($B391,'Hospitalisation Details'!A390:K2734,11,0)</f>
        <v>32</v>
      </c>
    </row>
    <row r="392" spans="1:18" x14ac:dyDescent="0.35">
      <c r="A392" t="s">
        <v>1981</v>
      </c>
      <c r="B392" t="s">
        <v>421</v>
      </c>
      <c r="C392" t="str">
        <f>VLOOKUP($A392,'Customer Names'!$A:$E,4,FALSE)</f>
        <v>Edward</v>
      </c>
      <c r="D392" t="str">
        <f>VLOOKUP($A392,'Medical Examinations'!$A:$J,2,FALSE)</f>
        <v>Obesity</v>
      </c>
      <c r="E392">
        <f>VLOOKUP($A392,'Medical Examinations'!$A:$J,4,FALSE)</f>
        <v>4.0199999999999996</v>
      </c>
      <c r="F392" t="str">
        <f>VLOOKUP($A392,'Medical Examinations'!$A:$J,6,FALSE)</f>
        <v>No</v>
      </c>
      <c r="G392" t="str">
        <f>VLOOKUP($A392,'Medical Examinations'!$A:$J,7,FALSE)</f>
        <v>yes</v>
      </c>
      <c r="H392" t="str">
        <f>VLOOKUP($A392,'Medical Examinations'!$A:$J,8,FALSE)</f>
        <v>No</v>
      </c>
      <c r="I392">
        <f>VLOOKUP($A392,'Medical Examinations'!$A:$J,9,FALSE)</f>
        <v>1</v>
      </c>
      <c r="J392" t="str">
        <f>VLOOKUP($A392,'Medical Examinations'!$A:$J,10,FALSE)</f>
        <v>yes</v>
      </c>
      <c r="K392" t="str">
        <f>VLOOKUP($A392,'Medical Examinations'!$A:$J,5,FALSE)</f>
        <v>Normal</v>
      </c>
      <c r="L392">
        <f>VLOOKUP($A393,'Medical Examinations'!$A:$J,3,FALSE)</f>
        <v>36.765000000000001</v>
      </c>
      <c r="M392">
        <f>VLOOKUP($A392,'Hospitalisation Details'!$A:$K,6,FALSE)</f>
        <v>26479.4</v>
      </c>
      <c r="N392" s="11">
        <f>VLOOKUP($B392,'Hospitalisation Details'!A391:J2735,10,0)</f>
        <v>31212</v>
      </c>
      <c r="O392" t="str">
        <f>VLOOKUP($B392,'Hospitalisation Details'!A391:J2735,8,0)</f>
        <v>tier - 1</v>
      </c>
      <c r="P392" t="str">
        <f>VLOOKUP($B392,'Hospitalisation Details'!A391:J2735,7,0)</f>
        <v>tier - 2</v>
      </c>
      <c r="Q392" t="str">
        <f>VLOOKUP($B392,'Hospitalisation Details'!A391:J2735,9,0)</f>
        <v>R1013</v>
      </c>
      <c r="R392">
        <f>VLOOKUP($B392,'Hospitalisation Details'!A391:K2735,11,0)</f>
        <v>37</v>
      </c>
    </row>
    <row r="393" spans="1:18" x14ac:dyDescent="0.35">
      <c r="A393" t="s">
        <v>1980</v>
      </c>
      <c r="B393" t="s">
        <v>422</v>
      </c>
      <c r="C393" t="str">
        <f>VLOOKUP($A393,'Customer Names'!$A:$E,4,FALSE)</f>
        <v>Ryan</v>
      </c>
      <c r="D393" t="str">
        <f>VLOOKUP($A393,'Medical Examinations'!$A:$J,2,FALSE)</f>
        <v>Obesity</v>
      </c>
      <c r="E393">
        <f>VLOOKUP($A393,'Medical Examinations'!$A:$J,4,FALSE)</f>
        <v>11.95</v>
      </c>
      <c r="F393" t="str">
        <f>VLOOKUP($A393,'Medical Examinations'!$A:$J,6,FALSE)</f>
        <v>yes</v>
      </c>
      <c r="G393" t="str">
        <f>VLOOKUP($A393,'Medical Examinations'!$A:$J,7,FALSE)</f>
        <v>No</v>
      </c>
      <c r="H393" t="str">
        <f>VLOOKUP($A393,'Medical Examinations'!$A:$J,8,FALSE)</f>
        <v>No</v>
      </c>
      <c r="I393">
        <f>VLOOKUP($A393,'Medical Examinations'!$A:$J,9,FALSE)</f>
        <v>2</v>
      </c>
      <c r="J393" t="str">
        <f>VLOOKUP($A393,'Medical Examinations'!$A:$J,10,FALSE)</f>
        <v>No</v>
      </c>
      <c r="K393" t="str">
        <f>VLOOKUP($A393,'Medical Examinations'!$A:$J,5,FALSE)</f>
        <v>Diabetes</v>
      </c>
      <c r="L393">
        <f>VLOOKUP($A394,'Medical Examinations'!$A:$J,3,FALSE)</f>
        <v>35.909999999999997</v>
      </c>
      <c r="M393">
        <f>VLOOKUP($A393,'Hospitalisation Details'!$A:$K,6,FALSE)</f>
        <v>26467.1</v>
      </c>
      <c r="N393" s="11">
        <f>VLOOKUP($B393,'Hospitalisation Details'!A392:J2736,10,0)</f>
        <v>33925</v>
      </c>
      <c r="O393" t="str">
        <f>VLOOKUP($B393,'Hospitalisation Details'!A392:J2736,8,0)</f>
        <v>tier - 2</v>
      </c>
      <c r="P393" t="str">
        <f>VLOOKUP($B393,'Hospitalisation Details'!A392:J2736,7,0)</f>
        <v>tier - 1</v>
      </c>
      <c r="Q393" t="str">
        <f>VLOOKUP($B393,'Hospitalisation Details'!A392:J2736,9,0)</f>
        <v>R1014</v>
      </c>
      <c r="R393">
        <f>VLOOKUP($B393,'Hospitalisation Details'!A392:K2736,11,0)</f>
        <v>30</v>
      </c>
    </row>
    <row r="394" spans="1:18" x14ac:dyDescent="0.35">
      <c r="A394" t="s">
        <v>1979</v>
      </c>
      <c r="B394" t="s">
        <v>423</v>
      </c>
      <c r="C394" t="str">
        <f>VLOOKUP($A394,'Customer Names'!$A:$E,4,FALSE)</f>
        <v>Kacee</v>
      </c>
      <c r="D394" t="str">
        <f>VLOOKUP($A394,'Medical Examinations'!$A:$J,2,FALSE)</f>
        <v>Obesity</v>
      </c>
      <c r="E394">
        <f>VLOOKUP($A394,'Medical Examinations'!$A:$J,4,FALSE)</f>
        <v>8.7100000000000009</v>
      </c>
      <c r="F394" t="str">
        <f>VLOOKUP($A394,'Medical Examinations'!$A:$J,6,FALSE)</f>
        <v>No</v>
      </c>
      <c r="G394" t="str">
        <f>VLOOKUP($A394,'Medical Examinations'!$A:$J,7,FALSE)</f>
        <v>No</v>
      </c>
      <c r="H394" t="str">
        <f>VLOOKUP($A394,'Medical Examinations'!$A:$J,8,FALSE)</f>
        <v>No</v>
      </c>
      <c r="I394">
        <f>VLOOKUP($A394,'Medical Examinations'!$A:$J,9,FALSE)</f>
        <v>0</v>
      </c>
      <c r="J394" t="str">
        <f>VLOOKUP($A394,'Medical Examinations'!$A:$J,10,FALSE)</f>
        <v>No</v>
      </c>
      <c r="K394" t="str">
        <f>VLOOKUP($A394,'Medical Examinations'!$A:$J,5,FALSE)</f>
        <v>Diabetes</v>
      </c>
      <c r="L394">
        <f>VLOOKUP($A395,'Medical Examinations'!$A:$J,3,FALSE)</f>
        <v>32.06</v>
      </c>
      <c r="M394">
        <f>VLOOKUP($A394,'Hospitalisation Details'!$A:$K,6,FALSE)</f>
        <v>26392.26</v>
      </c>
      <c r="N394" s="11">
        <f>VLOOKUP($B394,'Hospitalisation Details'!A393:J2737,10,0)</f>
        <v>33185</v>
      </c>
      <c r="O394" t="str">
        <f>VLOOKUP($B394,'Hospitalisation Details'!A393:J2737,8,0)</f>
        <v>tier - 3</v>
      </c>
      <c r="P394" t="str">
        <f>VLOOKUP($B394,'Hospitalisation Details'!A393:J2737,7,0)</f>
        <v>tier - 2</v>
      </c>
      <c r="Q394" t="str">
        <f>VLOOKUP($B394,'Hospitalisation Details'!A393:J2737,9,0)</f>
        <v>R1011</v>
      </c>
      <c r="R394">
        <f>VLOOKUP($B394,'Hospitalisation Details'!A393:K2737,11,0)</f>
        <v>32</v>
      </c>
    </row>
    <row r="395" spans="1:18" x14ac:dyDescent="0.35">
      <c r="A395" t="s">
        <v>1978</v>
      </c>
      <c r="B395" t="s">
        <v>424</v>
      </c>
      <c r="C395" t="str">
        <f>VLOOKUP($A395,'Customer Names'!$A:$E,4,FALSE)</f>
        <v>Dave</v>
      </c>
      <c r="D395" t="str">
        <f>VLOOKUP($A395,'Medical Examinations'!$A:$J,2,FALSE)</f>
        <v>Obesity</v>
      </c>
      <c r="E395">
        <f>VLOOKUP($A395,'Medical Examinations'!$A:$J,4,FALSE)</f>
        <v>4.67</v>
      </c>
      <c r="F395" t="str">
        <f>VLOOKUP($A395,'Medical Examinations'!$A:$J,6,FALSE)</f>
        <v>No</v>
      </c>
      <c r="G395" t="str">
        <f>VLOOKUP($A395,'Medical Examinations'!$A:$J,7,FALSE)</f>
        <v>yes</v>
      </c>
      <c r="H395" t="str">
        <f>VLOOKUP($A395,'Medical Examinations'!$A:$J,8,FALSE)</f>
        <v>No</v>
      </c>
      <c r="I395">
        <f>VLOOKUP($A395,'Medical Examinations'!$A:$J,9,FALSE)</f>
        <v>1</v>
      </c>
      <c r="J395" t="str">
        <f>VLOOKUP($A395,'Medical Examinations'!$A:$J,10,FALSE)</f>
        <v>yes</v>
      </c>
      <c r="K395" t="str">
        <f>VLOOKUP($A395,'Medical Examinations'!$A:$J,5,FALSE)</f>
        <v>Normal</v>
      </c>
      <c r="L395">
        <f>VLOOKUP($A396,'Medical Examinations'!$A:$J,3,FALSE)</f>
        <v>24.1</v>
      </c>
      <c r="M395">
        <f>VLOOKUP($A395,'Hospitalisation Details'!$A:$K,6,FALSE)</f>
        <v>26316.59</v>
      </c>
      <c r="N395" s="11">
        <f>VLOOKUP($B395,'Hospitalisation Details'!A394:J2738,10,0)</f>
        <v>33861</v>
      </c>
      <c r="O395" t="str">
        <f>VLOOKUP($B395,'Hospitalisation Details'!A394:J2738,8,0)</f>
        <v>tier - 1</v>
      </c>
      <c r="P395" t="str">
        <f>VLOOKUP($B395,'Hospitalisation Details'!A394:J2738,7,0)</f>
        <v>tier - 3</v>
      </c>
      <c r="Q395" t="str">
        <f>VLOOKUP($B395,'Hospitalisation Details'!A394:J2738,9,0)</f>
        <v>R1011</v>
      </c>
      <c r="R395">
        <f>VLOOKUP($B395,'Hospitalisation Details'!A394:K2738,11,0)</f>
        <v>30</v>
      </c>
    </row>
    <row r="396" spans="1:18" x14ac:dyDescent="0.35">
      <c r="A396" t="s">
        <v>1977</v>
      </c>
      <c r="B396" t="s">
        <v>425</v>
      </c>
      <c r="C396" t="str">
        <f>VLOOKUP($A396,'Customer Names'!$A:$E,4,FALSE)</f>
        <v>Maryanna</v>
      </c>
      <c r="D396" t="str">
        <f>VLOOKUP($A396,'Medical Examinations'!$A:$J,2,FALSE)</f>
        <v>Normal Weight</v>
      </c>
      <c r="E396">
        <f>VLOOKUP($A396,'Medical Examinations'!$A:$J,4,FALSE)</f>
        <v>11.14</v>
      </c>
      <c r="F396" t="str">
        <f>VLOOKUP($A396,'Medical Examinations'!$A:$J,6,FALSE)</f>
        <v>yes</v>
      </c>
      <c r="G396" t="str">
        <f>VLOOKUP($A396,'Medical Examinations'!$A:$J,7,FALSE)</f>
        <v>No</v>
      </c>
      <c r="H396" t="str">
        <f>VLOOKUP($A396,'Medical Examinations'!$A:$J,8,FALSE)</f>
        <v>No</v>
      </c>
      <c r="I396">
        <f>VLOOKUP($A396,'Medical Examinations'!$A:$J,9,FALSE)</f>
        <v>1</v>
      </c>
      <c r="J396" t="str">
        <f>VLOOKUP($A396,'Medical Examinations'!$A:$J,10,FALSE)</f>
        <v>No</v>
      </c>
      <c r="K396" t="str">
        <f>VLOOKUP($A396,'Medical Examinations'!$A:$J,5,FALSE)</f>
        <v>Diabetes</v>
      </c>
      <c r="L396">
        <f>VLOOKUP($A397,'Medical Examinations'!$A:$J,3,FALSE)</f>
        <v>27.1</v>
      </c>
      <c r="M396">
        <f>VLOOKUP($A396,'Hospitalisation Details'!$A:$K,6,FALSE)</f>
        <v>26236.58</v>
      </c>
      <c r="N396" s="11">
        <f>VLOOKUP($B396,'Hospitalisation Details'!A395:J2739,10,0)</f>
        <v>30869</v>
      </c>
      <c r="O396" t="str">
        <f>VLOOKUP($B396,'Hospitalisation Details'!A395:J2739,8,0)</f>
        <v>tier - 3</v>
      </c>
      <c r="P396" t="str">
        <f>VLOOKUP($B396,'Hospitalisation Details'!A395:J2739,7,0)</f>
        <v>tier - 2</v>
      </c>
      <c r="Q396" t="str">
        <f>VLOOKUP($B396,'Hospitalisation Details'!A395:J2739,9,0)</f>
        <v>R1013</v>
      </c>
      <c r="R396">
        <f>VLOOKUP($B396,'Hospitalisation Details'!A395:K2739,11,0)</f>
        <v>38</v>
      </c>
    </row>
    <row r="397" spans="1:18" x14ac:dyDescent="0.35">
      <c r="A397" t="s">
        <v>1976</v>
      </c>
      <c r="B397" t="s">
        <v>426</v>
      </c>
      <c r="C397" t="str">
        <f>VLOOKUP($A397,'Customer Names'!$A:$E,4,FALSE)</f>
        <v>Jessica H.</v>
      </c>
      <c r="D397" t="str">
        <f>VLOOKUP($A397,'Medical Examinations'!$A:$J,2,FALSE)</f>
        <v>Overweight</v>
      </c>
      <c r="E397">
        <f>VLOOKUP($A397,'Medical Examinations'!$A:$J,4,FALSE)</f>
        <v>9.0500000000000007</v>
      </c>
      <c r="F397" t="str">
        <f>VLOOKUP($A397,'Medical Examinations'!$A:$J,6,FALSE)</f>
        <v>No</v>
      </c>
      <c r="G397" t="str">
        <f>VLOOKUP($A397,'Medical Examinations'!$A:$J,7,FALSE)</f>
        <v>No</v>
      </c>
      <c r="H397" t="str">
        <f>VLOOKUP($A397,'Medical Examinations'!$A:$J,8,FALSE)</f>
        <v>No</v>
      </c>
      <c r="I397">
        <f>VLOOKUP($A397,'Medical Examinations'!$A:$J,9,FALSE)</f>
        <v>2</v>
      </c>
      <c r="J397" t="str">
        <f>VLOOKUP($A397,'Medical Examinations'!$A:$J,10,FALSE)</f>
        <v>No</v>
      </c>
      <c r="K397" t="str">
        <f>VLOOKUP($A397,'Medical Examinations'!$A:$J,5,FALSE)</f>
        <v>Diabetes</v>
      </c>
      <c r="L397">
        <f>VLOOKUP($A398,'Medical Examinations'!$A:$J,3,FALSE)</f>
        <v>24.42</v>
      </c>
      <c r="M397">
        <f>VLOOKUP($A397,'Hospitalisation Details'!$A:$K,6,FALSE)</f>
        <v>26140.36</v>
      </c>
      <c r="N397" s="11">
        <f>VLOOKUP($B397,'Hospitalisation Details'!A396:J2740,10,0)</f>
        <v>37812</v>
      </c>
      <c r="O397" t="str">
        <f>VLOOKUP($B397,'Hospitalisation Details'!A396:J2740,8,0)</f>
        <v>tier - 2</v>
      </c>
      <c r="P397" t="str">
        <f>VLOOKUP($B397,'Hospitalisation Details'!A396:J2740,7,0)</f>
        <v>tier - 2</v>
      </c>
      <c r="Q397" t="str">
        <f>VLOOKUP($B397,'Hospitalisation Details'!A396:J2740,9,0)</f>
        <v>R1021</v>
      </c>
      <c r="R397">
        <f>VLOOKUP($B397,'Hospitalisation Details'!A396:K2740,11,0)</f>
        <v>19</v>
      </c>
    </row>
    <row r="398" spans="1:18" x14ac:dyDescent="0.35">
      <c r="A398" t="s">
        <v>1975</v>
      </c>
      <c r="B398" t="s">
        <v>427</v>
      </c>
      <c r="C398" t="str">
        <f>VLOOKUP($A398,'Customer Names'!$A:$E,4,FALSE)</f>
        <v>Deanna</v>
      </c>
      <c r="D398" t="str">
        <f>VLOOKUP($A398,'Medical Examinations'!$A:$J,2,FALSE)</f>
        <v>Normal Weight</v>
      </c>
      <c r="E398">
        <f>VLOOKUP($A398,'Medical Examinations'!$A:$J,4,FALSE)</f>
        <v>11.31</v>
      </c>
      <c r="F398" t="str">
        <f>VLOOKUP($A398,'Medical Examinations'!$A:$J,6,FALSE)</f>
        <v>No</v>
      </c>
      <c r="G398" t="str">
        <f>VLOOKUP($A398,'Medical Examinations'!$A:$J,7,FALSE)</f>
        <v>No</v>
      </c>
      <c r="H398" t="str">
        <f>VLOOKUP($A398,'Medical Examinations'!$A:$J,8,FALSE)</f>
        <v>No</v>
      </c>
      <c r="I398">
        <f>VLOOKUP($A398,'Medical Examinations'!$A:$J,9,FALSE)</f>
        <v>0</v>
      </c>
      <c r="J398" t="str">
        <f>VLOOKUP($A398,'Medical Examinations'!$A:$J,10,FALSE)</f>
        <v>yes</v>
      </c>
      <c r="K398" t="str">
        <f>VLOOKUP($A398,'Medical Examinations'!$A:$J,5,FALSE)</f>
        <v>Diabetes</v>
      </c>
      <c r="L398">
        <f>VLOOKUP($A399,'Medical Examinations'!$A:$J,3,FALSE)</f>
        <v>26.695</v>
      </c>
      <c r="M398">
        <f>VLOOKUP($A398,'Hospitalisation Details'!$A:$K,6,FALSE)</f>
        <v>26125.67</v>
      </c>
      <c r="N398" s="11">
        <f>VLOOKUP($B398,'Hospitalisation Details'!A397:J2741,10,0)</f>
        <v>29934</v>
      </c>
      <c r="O398" t="str">
        <f>VLOOKUP($B398,'Hospitalisation Details'!A397:J2741,8,0)</f>
        <v>tier - 2</v>
      </c>
      <c r="P398" t="str">
        <f>VLOOKUP($B398,'Hospitalisation Details'!A397:J2741,7,0)</f>
        <v>tier - 2</v>
      </c>
      <c r="Q398" t="str">
        <f>VLOOKUP($B398,'Hospitalisation Details'!A397:J2741,9,0)</f>
        <v>R1013</v>
      </c>
      <c r="R398">
        <f>VLOOKUP($B398,'Hospitalisation Details'!A397:K2741,11,0)</f>
        <v>41</v>
      </c>
    </row>
    <row r="399" spans="1:18" x14ac:dyDescent="0.35">
      <c r="A399" t="s">
        <v>1974</v>
      </c>
      <c r="B399" t="s">
        <v>428</v>
      </c>
      <c r="C399" t="str">
        <f>VLOOKUP($A399,'Customer Names'!$A:$E,4,FALSE)</f>
        <v>Peter</v>
      </c>
      <c r="D399" t="str">
        <f>VLOOKUP($A399,'Medical Examinations'!$A:$J,2,FALSE)</f>
        <v>Overweight</v>
      </c>
      <c r="E399">
        <f>VLOOKUP($A399,'Medical Examinations'!$A:$J,4,FALSE)</f>
        <v>4.68</v>
      </c>
      <c r="F399" t="str">
        <f>VLOOKUP($A399,'Medical Examinations'!$A:$J,6,FALSE)</f>
        <v>yes</v>
      </c>
      <c r="G399" t="str">
        <f>VLOOKUP($A399,'Medical Examinations'!$A:$J,7,FALSE)</f>
        <v>No</v>
      </c>
      <c r="H399" t="str">
        <f>VLOOKUP($A399,'Medical Examinations'!$A:$J,8,FALSE)</f>
        <v>No</v>
      </c>
      <c r="I399">
        <f>VLOOKUP($A399,'Medical Examinations'!$A:$J,9,FALSE)</f>
        <v>2</v>
      </c>
      <c r="J399" t="str">
        <f>VLOOKUP($A399,'Medical Examinations'!$A:$J,10,FALSE)</f>
        <v>yes</v>
      </c>
      <c r="K399" t="str">
        <f>VLOOKUP($A399,'Medical Examinations'!$A:$J,5,FALSE)</f>
        <v>Normal</v>
      </c>
      <c r="L399">
        <f>VLOOKUP($A400,'Medical Examinations'!$A:$J,3,FALSE)</f>
        <v>27.79</v>
      </c>
      <c r="M399">
        <f>VLOOKUP($A399,'Hospitalisation Details'!$A:$K,6,FALSE)</f>
        <v>26109.33</v>
      </c>
      <c r="N399" s="11">
        <f>VLOOKUP($B399,'Hospitalisation Details'!A398:J2742,10,0)</f>
        <v>34993</v>
      </c>
      <c r="O399" t="str">
        <f>VLOOKUP($B399,'Hospitalisation Details'!A398:J2742,8,0)</f>
        <v>tier - 3</v>
      </c>
      <c r="P399" t="str">
        <f>VLOOKUP($B399,'Hospitalisation Details'!A398:J2742,7,0)</f>
        <v>tier - 2</v>
      </c>
      <c r="Q399" t="str">
        <f>VLOOKUP($B399,'Hospitalisation Details'!A398:J2742,9,0)</f>
        <v>R1011</v>
      </c>
      <c r="R399">
        <f>VLOOKUP($B399,'Hospitalisation Details'!A398:K2742,11,0)</f>
        <v>27</v>
      </c>
    </row>
    <row r="400" spans="1:18" x14ac:dyDescent="0.35">
      <c r="A400" t="s">
        <v>1973</v>
      </c>
      <c r="B400" t="s">
        <v>429</v>
      </c>
      <c r="C400" t="str">
        <f>VLOOKUP($A400,'Customer Names'!$A:$E,4,FALSE)</f>
        <v>Rebecca</v>
      </c>
      <c r="D400" t="str">
        <f>VLOOKUP($A400,'Medical Examinations'!$A:$J,2,FALSE)</f>
        <v>Overweight</v>
      </c>
      <c r="E400">
        <f>VLOOKUP($A400,'Medical Examinations'!$A:$J,4,FALSE)</f>
        <v>6.05</v>
      </c>
      <c r="F400" t="str">
        <f>VLOOKUP($A400,'Medical Examinations'!$A:$J,6,FALSE)</f>
        <v>yes</v>
      </c>
      <c r="G400" t="str">
        <f>VLOOKUP($A400,'Medical Examinations'!$A:$J,7,FALSE)</f>
        <v>yes</v>
      </c>
      <c r="H400" t="str">
        <f>VLOOKUP($A400,'Medical Examinations'!$A:$J,8,FALSE)</f>
        <v>No</v>
      </c>
      <c r="I400">
        <f>VLOOKUP($A400,'Medical Examinations'!$A:$J,9,FALSE)</f>
        <v>1</v>
      </c>
      <c r="J400" t="str">
        <f>VLOOKUP($A400,'Medical Examinations'!$A:$J,10,FALSE)</f>
        <v>yes</v>
      </c>
      <c r="K400" t="str">
        <f>VLOOKUP($A400,'Medical Examinations'!$A:$J,5,FALSE)</f>
        <v>Prediabetes</v>
      </c>
      <c r="L400">
        <f>VLOOKUP($A401,'Medical Examinations'!$A:$J,3,FALSE)</f>
        <v>32.68</v>
      </c>
      <c r="M400">
        <f>VLOOKUP($A400,'Hospitalisation Details'!$A:$K,6,FALSE)</f>
        <v>26026.97</v>
      </c>
      <c r="N400" s="11">
        <f>VLOOKUP($B400,'Hospitalisation Details'!A399:J2743,10,0)</f>
        <v>32373</v>
      </c>
      <c r="O400" t="str">
        <f>VLOOKUP($B400,'Hospitalisation Details'!A399:J2743,8,0)</f>
        <v>tier - 3</v>
      </c>
      <c r="P400" t="str">
        <f>VLOOKUP($B400,'Hospitalisation Details'!A399:J2743,7,0)</f>
        <v>tier - 2</v>
      </c>
      <c r="Q400" t="str">
        <f>VLOOKUP($B400,'Hospitalisation Details'!A399:J2743,9,0)</f>
        <v>R1013</v>
      </c>
      <c r="R400">
        <f>VLOOKUP($B400,'Hospitalisation Details'!A399:K2743,11,0)</f>
        <v>34</v>
      </c>
    </row>
    <row r="401" spans="1:18" x14ac:dyDescent="0.35">
      <c r="A401" t="s">
        <v>1972</v>
      </c>
      <c r="B401" t="s">
        <v>430</v>
      </c>
      <c r="C401" t="str">
        <f>VLOOKUP($A401,'Customer Names'!$A:$E,4,FALSE)</f>
        <v>Elizabeth M.</v>
      </c>
      <c r="D401" t="str">
        <f>VLOOKUP($A401,'Medical Examinations'!$A:$J,2,FALSE)</f>
        <v>Obesity</v>
      </c>
      <c r="E401">
        <f>VLOOKUP($A401,'Medical Examinations'!$A:$J,4,FALSE)</f>
        <v>4.68</v>
      </c>
      <c r="F401" t="str">
        <f>VLOOKUP($A401,'Medical Examinations'!$A:$J,6,FALSE)</f>
        <v>yes</v>
      </c>
      <c r="G401" t="str">
        <f>VLOOKUP($A401,'Medical Examinations'!$A:$J,7,FALSE)</f>
        <v>No</v>
      </c>
      <c r="H401" t="str">
        <f>VLOOKUP($A401,'Medical Examinations'!$A:$J,8,FALSE)</f>
        <v>No</v>
      </c>
      <c r="I401">
        <f>VLOOKUP($A401,'Medical Examinations'!$A:$J,9,FALSE)</f>
        <v>0</v>
      </c>
      <c r="J401" t="str">
        <f>VLOOKUP($A401,'Medical Examinations'!$A:$J,10,FALSE)</f>
        <v>No</v>
      </c>
      <c r="K401" t="str">
        <f>VLOOKUP($A401,'Medical Examinations'!$A:$J,5,FALSE)</f>
        <v>Normal</v>
      </c>
      <c r="L401">
        <f>VLOOKUP($A402,'Medical Examinations'!$A:$J,3,FALSE)</f>
        <v>26.4</v>
      </c>
      <c r="M401">
        <f>VLOOKUP($A401,'Hospitalisation Details'!$A:$K,6,FALSE)</f>
        <v>26018.95</v>
      </c>
      <c r="N401" s="11">
        <f>VLOOKUP($B401,'Hospitalisation Details'!A400:J2744,10,0)</f>
        <v>32844</v>
      </c>
      <c r="O401" t="str">
        <f>VLOOKUP($B401,'Hospitalisation Details'!A400:J2744,8,0)</f>
        <v>tier - 2</v>
      </c>
      <c r="P401" t="str">
        <f>VLOOKUP($B401,'Hospitalisation Details'!A400:J2744,7,0)</f>
        <v>tier - 2</v>
      </c>
      <c r="Q401" t="str">
        <f>VLOOKUP($B401,'Hospitalisation Details'!A400:J2744,9,0)</f>
        <v>R1013</v>
      </c>
      <c r="R401">
        <f>VLOOKUP($B401,'Hospitalisation Details'!A400:K2744,11,0)</f>
        <v>33</v>
      </c>
    </row>
    <row r="402" spans="1:18" x14ac:dyDescent="0.35">
      <c r="A402" t="s">
        <v>1971</v>
      </c>
      <c r="B402" t="s">
        <v>431</v>
      </c>
      <c r="C402" t="str">
        <f>VLOOKUP($A402,'Customer Names'!$A:$E,4,FALSE)</f>
        <v>Gregory</v>
      </c>
      <c r="D402" t="str">
        <f>VLOOKUP($A402,'Medical Examinations'!$A:$J,2,FALSE)</f>
        <v>Overweight</v>
      </c>
      <c r="E402">
        <f>VLOOKUP($A402,'Medical Examinations'!$A:$J,4,FALSE)</f>
        <v>9.5</v>
      </c>
      <c r="F402" t="str">
        <f>VLOOKUP($A402,'Medical Examinations'!$A:$J,6,FALSE)</f>
        <v>yes</v>
      </c>
      <c r="G402" t="str">
        <f>VLOOKUP($A402,'Medical Examinations'!$A:$J,7,FALSE)</f>
        <v>No</v>
      </c>
      <c r="H402" t="str">
        <f>VLOOKUP($A402,'Medical Examinations'!$A:$J,8,FALSE)</f>
        <v>No</v>
      </c>
      <c r="I402">
        <f>VLOOKUP($A402,'Medical Examinations'!$A:$J,9,FALSE)</f>
        <v>2</v>
      </c>
      <c r="J402" t="str">
        <f>VLOOKUP($A402,'Medical Examinations'!$A:$J,10,FALSE)</f>
        <v>No</v>
      </c>
      <c r="K402" t="str">
        <f>VLOOKUP($A402,'Medical Examinations'!$A:$J,5,FALSE)</f>
        <v>Diabetes</v>
      </c>
      <c r="L402">
        <f>VLOOKUP($A403,'Medical Examinations'!$A:$J,3,FALSE)</f>
        <v>23.655000000000001</v>
      </c>
      <c r="M402">
        <f>VLOOKUP($A402,'Hospitalisation Details'!$A:$K,6,FALSE)</f>
        <v>25992.82</v>
      </c>
      <c r="N402" s="11">
        <f>VLOOKUP($B402,'Hospitalisation Details'!A401:J2745,10,0)</f>
        <v>38296</v>
      </c>
      <c r="O402" t="str">
        <f>VLOOKUP($B402,'Hospitalisation Details'!A401:J2745,8,0)</f>
        <v>tier - 2</v>
      </c>
      <c r="P402" t="str">
        <f>VLOOKUP($B402,'Hospitalisation Details'!A401:J2745,7,0)</f>
        <v>tier - 2</v>
      </c>
      <c r="Q402" t="str">
        <f>VLOOKUP($B402,'Hospitalisation Details'!A401:J2745,9,0)</f>
        <v>R1025</v>
      </c>
      <c r="R402">
        <f>VLOOKUP($B402,'Hospitalisation Details'!A401:K2745,11,0)</f>
        <v>18</v>
      </c>
    </row>
    <row r="403" spans="1:18" x14ac:dyDescent="0.35">
      <c r="A403" t="s">
        <v>1970</v>
      </c>
      <c r="B403" t="s">
        <v>432</v>
      </c>
      <c r="C403" t="str">
        <f>VLOOKUP($A403,'Customer Names'!$A:$E,4,FALSE)</f>
        <v>Sarah E.</v>
      </c>
      <c r="D403" t="str">
        <f>VLOOKUP($A403,'Medical Examinations'!$A:$J,2,FALSE)</f>
        <v>Normal Weight</v>
      </c>
      <c r="E403">
        <f>VLOOKUP($A403,'Medical Examinations'!$A:$J,4,FALSE)</f>
        <v>10.84</v>
      </c>
      <c r="F403" t="str">
        <f>VLOOKUP($A403,'Medical Examinations'!$A:$J,6,FALSE)</f>
        <v>yes</v>
      </c>
      <c r="G403" t="str">
        <f>VLOOKUP($A403,'Medical Examinations'!$A:$J,7,FALSE)</f>
        <v>No</v>
      </c>
      <c r="H403" t="str">
        <f>VLOOKUP($A403,'Medical Examinations'!$A:$J,8,FALSE)</f>
        <v>Yes</v>
      </c>
      <c r="I403">
        <f>VLOOKUP($A403,'Medical Examinations'!$A:$J,9,FALSE)</f>
        <v>1</v>
      </c>
      <c r="J403" t="str">
        <f>VLOOKUP($A403,'Medical Examinations'!$A:$J,10,FALSE)</f>
        <v>yes</v>
      </c>
      <c r="K403" t="str">
        <f>VLOOKUP($A403,'Medical Examinations'!$A:$J,5,FALSE)</f>
        <v>Diabetes</v>
      </c>
      <c r="L403">
        <f>VLOOKUP($A404,'Medical Examinations'!$A:$J,3,FALSE)</f>
        <v>27.36</v>
      </c>
      <c r="M403">
        <f>VLOOKUP($A403,'Hospitalisation Details'!$A:$K,6,FALSE)</f>
        <v>25678.78</v>
      </c>
      <c r="N403" s="11">
        <f>VLOOKUP($B403,'Hospitalisation Details'!A402:J2746,10,0)</f>
        <v>31747</v>
      </c>
      <c r="O403" t="str">
        <f>VLOOKUP($B403,'Hospitalisation Details'!A402:J2746,8,0)</f>
        <v>tier - 2</v>
      </c>
      <c r="P403" t="str">
        <f>VLOOKUP($B403,'Hospitalisation Details'!A402:J2746,7,0)</f>
        <v>tier - 2</v>
      </c>
      <c r="Q403" t="str">
        <f>VLOOKUP($B403,'Hospitalisation Details'!A402:J2746,9,0)</f>
        <v>R1013</v>
      </c>
      <c r="R403">
        <f>VLOOKUP($B403,'Hospitalisation Details'!A402:K2746,11,0)</f>
        <v>36</v>
      </c>
    </row>
    <row r="404" spans="1:18" x14ac:dyDescent="0.35">
      <c r="A404" t="s">
        <v>1969</v>
      </c>
      <c r="B404" t="s">
        <v>433</v>
      </c>
      <c r="C404" t="str">
        <f>VLOOKUP($A404,'Customer Names'!$A:$E,4,FALSE)</f>
        <v>Anne Elise</v>
      </c>
      <c r="D404" t="str">
        <f>VLOOKUP($A404,'Medical Examinations'!$A:$J,2,FALSE)</f>
        <v>Overweight</v>
      </c>
      <c r="E404">
        <f>VLOOKUP($A404,'Medical Examinations'!$A:$J,4,FALSE)</f>
        <v>5.88</v>
      </c>
      <c r="F404" t="str">
        <f>VLOOKUP($A404,'Medical Examinations'!$A:$J,6,FALSE)</f>
        <v>No</v>
      </c>
      <c r="G404" t="str">
        <f>VLOOKUP($A404,'Medical Examinations'!$A:$J,7,FALSE)</f>
        <v>No</v>
      </c>
      <c r="H404" t="str">
        <f>VLOOKUP($A404,'Medical Examinations'!$A:$J,8,FALSE)</f>
        <v>No</v>
      </c>
      <c r="I404">
        <f>VLOOKUP($A404,'Medical Examinations'!$A:$J,9,FALSE)</f>
        <v>2</v>
      </c>
      <c r="J404" t="str">
        <f>VLOOKUP($A404,'Medical Examinations'!$A:$J,10,FALSE)</f>
        <v>No</v>
      </c>
      <c r="K404" t="str">
        <f>VLOOKUP($A404,'Medical Examinations'!$A:$J,5,FALSE)</f>
        <v>Prediabetes</v>
      </c>
      <c r="L404">
        <f>VLOOKUP($A405,'Medical Examinations'!$A:$J,3,FALSE)</f>
        <v>27.82</v>
      </c>
      <c r="M404">
        <f>VLOOKUP($A404,'Hospitalisation Details'!$A:$K,6,FALSE)</f>
        <v>25656.58</v>
      </c>
      <c r="N404" s="11">
        <f>VLOOKUP($B404,'Hospitalisation Details'!A403:J2747,10,0)</f>
        <v>34568</v>
      </c>
      <c r="O404" t="str">
        <f>VLOOKUP($B404,'Hospitalisation Details'!A403:J2747,8,0)</f>
        <v>tier - 3</v>
      </c>
      <c r="P404" t="str">
        <f>VLOOKUP($B404,'Hospitalisation Details'!A403:J2747,7,0)</f>
        <v>tier - 2</v>
      </c>
      <c r="Q404" t="str">
        <f>VLOOKUP($B404,'Hospitalisation Details'!A403:J2747,9,0)</f>
        <v>R1024</v>
      </c>
      <c r="R404">
        <f>VLOOKUP($B404,'Hospitalisation Details'!A403:K2747,11,0)</f>
        <v>28</v>
      </c>
    </row>
    <row r="405" spans="1:18" x14ac:dyDescent="0.35">
      <c r="A405" t="s">
        <v>1968</v>
      </c>
      <c r="B405" t="s">
        <v>434</v>
      </c>
      <c r="C405" t="str">
        <f>VLOOKUP($A405,'Customer Names'!$A:$E,4,FALSE)</f>
        <v>Christopher R</v>
      </c>
      <c r="D405" t="str">
        <f>VLOOKUP($A405,'Medical Examinations'!$A:$J,2,FALSE)</f>
        <v>Overweight</v>
      </c>
      <c r="E405">
        <f>VLOOKUP($A405,'Medical Examinations'!$A:$J,4,FALSE)</f>
        <v>5.24</v>
      </c>
      <c r="F405" t="str">
        <f>VLOOKUP($A405,'Medical Examinations'!$A:$J,6,FALSE)</f>
        <v>yes</v>
      </c>
      <c r="G405" t="str">
        <f>VLOOKUP($A405,'Medical Examinations'!$A:$J,7,FALSE)</f>
        <v>No</v>
      </c>
      <c r="H405" t="str">
        <f>VLOOKUP($A405,'Medical Examinations'!$A:$J,8,FALSE)</f>
        <v>No</v>
      </c>
      <c r="I405">
        <f>VLOOKUP($A405,'Medical Examinations'!$A:$J,9,FALSE)</f>
        <v>0</v>
      </c>
      <c r="J405" t="str">
        <f>VLOOKUP($A405,'Medical Examinations'!$A:$J,10,FALSE)</f>
        <v>yes</v>
      </c>
      <c r="K405" t="str">
        <f>VLOOKUP($A405,'Medical Examinations'!$A:$J,5,FALSE)</f>
        <v>Normal</v>
      </c>
      <c r="L405">
        <f>VLOOKUP($A406,'Medical Examinations'!$A:$J,3,FALSE)</f>
        <v>25.46</v>
      </c>
      <c r="M405">
        <f>VLOOKUP($A405,'Hospitalisation Details'!$A:$K,6,FALSE)</f>
        <v>25648.98</v>
      </c>
      <c r="N405" s="11">
        <f>VLOOKUP($B405,'Hospitalisation Details'!A404:J2748,10,0)</f>
        <v>34142</v>
      </c>
      <c r="O405" t="str">
        <f>VLOOKUP($B405,'Hospitalisation Details'!A404:J2748,8,0)</f>
        <v>tier - 2</v>
      </c>
      <c r="P405" t="str">
        <f>VLOOKUP($B405,'Hospitalisation Details'!A404:J2748,7,0)</f>
        <v>tier - 2</v>
      </c>
      <c r="Q405" t="str">
        <f>VLOOKUP($B405,'Hospitalisation Details'!A404:J2748,9,0)</f>
        <v>R1012</v>
      </c>
      <c r="R405">
        <f>VLOOKUP($B405,'Hospitalisation Details'!A404:K2748,11,0)</f>
        <v>29</v>
      </c>
    </row>
    <row r="406" spans="1:18" x14ac:dyDescent="0.35">
      <c r="A406" t="s">
        <v>1967</v>
      </c>
      <c r="B406" t="s">
        <v>435</v>
      </c>
      <c r="C406" t="str">
        <f>VLOOKUP($A406,'Customer Names'!$A:$E,4,FALSE)</f>
        <v>Elliot</v>
      </c>
      <c r="D406" t="str">
        <f>VLOOKUP($A406,'Medical Examinations'!$A:$J,2,FALSE)</f>
        <v>Overweight</v>
      </c>
      <c r="E406">
        <f>VLOOKUP($A406,'Medical Examinations'!$A:$J,4,FALSE)</f>
        <v>11.75</v>
      </c>
      <c r="F406" t="str">
        <f>VLOOKUP($A406,'Medical Examinations'!$A:$J,6,FALSE)</f>
        <v>No</v>
      </c>
      <c r="G406" t="str">
        <f>VLOOKUP($A406,'Medical Examinations'!$A:$J,7,FALSE)</f>
        <v>No</v>
      </c>
      <c r="H406" t="str">
        <f>VLOOKUP($A406,'Medical Examinations'!$A:$J,8,FALSE)</f>
        <v>No</v>
      </c>
      <c r="I406">
        <f>VLOOKUP($A406,'Medical Examinations'!$A:$J,9,FALSE)</f>
        <v>0</v>
      </c>
      <c r="J406" t="str">
        <f>VLOOKUP($A406,'Medical Examinations'!$A:$J,10,FALSE)</f>
        <v>No</v>
      </c>
      <c r="K406" t="str">
        <f>VLOOKUP($A406,'Medical Examinations'!$A:$J,5,FALSE)</f>
        <v>Diabetes</v>
      </c>
      <c r="L406">
        <f>VLOOKUP($A407,'Medical Examinations'!$A:$J,3,FALSE)</f>
        <v>25.1</v>
      </c>
      <c r="M406">
        <f>VLOOKUP($A406,'Hospitalisation Details'!$A:$K,6,FALSE)</f>
        <v>25517.11</v>
      </c>
      <c r="N406" s="11">
        <f>VLOOKUP($B406,'Hospitalisation Details'!A405:J2749,10,0)</f>
        <v>31664</v>
      </c>
      <c r="O406" t="str">
        <f>VLOOKUP($B406,'Hospitalisation Details'!A405:J2749,8,0)</f>
        <v>tier - 2</v>
      </c>
      <c r="P406" t="str">
        <f>VLOOKUP($B406,'Hospitalisation Details'!A405:J2749,7,0)</f>
        <v>tier - 2</v>
      </c>
      <c r="Q406" t="str">
        <f>VLOOKUP($B406,'Hospitalisation Details'!A405:J2749,9,0)</f>
        <v>R1013</v>
      </c>
      <c r="R406">
        <f>VLOOKUP($B406,'Hospitalisation Details'!A405:K2749,11,0)</f>
        <v>36</v>
      </c>
    </row>
    <row r="407" spans="1:18" x14ac:dyDescent="0.35">
      <c r="A407" t="s">
        <v>1966</v>
      </c>
      <c r="B407" t="s">
        <v>436</v>
      </c>
      <c r="C407" t="str">
        <f>VLOOKUP($A407,'Customer Names'!$A:$E,4,FALSE)</f>
        <v>Christopher D.</v>
      </c>
      <c r="D407" t="str">
        <f>VLOOKUP($A407,'Medical Examinations'!$A:$J,2,FALSE)</f>
        <v>Overweight</v>
      </c>
      <c r="E407">
        <f>VLOOKUP($A407,'Medical Examinations'!$A:$J,4,FALSE)</f>
        <v>6.97</v>
      </c>
      <c r="F407" t="str">
        <f>VLOOKUP($A407,'Medical Examinations'!$A:$J,6,FALSE)</f>
        <v>No</v>
      </c>
      <c r="G407" t="str">
        <f>VLOOKUP($A407,'Medical Examinations'!$A:$J,7,FALSE)</f>
        <v>No</v>
      </c>
      <c r="H407" t="str">
        <f>VLOOKUP($A407,'Medical Examinations'!$A:$J,8,FALSE)</f>
        <v>No</v>
      </c>
      <c r="I407">
        <f>VLOOKUP($A407,'Medical Examinations'!$A:$J,9,FALSE)</f>
        <v>0</v>
      </c>
      <c r="J407" t="str">
        <f>VLOOKUP($A407,'Medical Examinations'!$A:$J,10,FALSE)</f>
        <v>yes</v>
      </c>
      <c r="K407" t="str">
        <f>VLOOKUP($A407,'Medical Examinations'!$A:$J,5,FALSE)</f>
        <v>Diabetes</v>
      </c>
      <c r="L407">
        <f>VLOOKUP($A408,'Medical Examinations'!$A:$J,3,FALSE)</f>
        <v>32.11</v>
      </c>
      <c r="M407">
        <f>VLOOKUP($A407,'Hospitalisation Details'!$A:$K,6,FALSE)</f>
        <v>25382.3</v>
      </c>
      <c r="N407" s="11">
        <f>VLOOKUP($B407,'Hospitalisation Details'!A406:J2750,10,0)</f>
        <v>33539</v>
      </c>
      <c r="O407" t="str">
        <f>VLOOKUP($B407,'Hospitalisation Details'!A406:J2750,8,0)</f>
        <v>tier - 2</v>
      </c>
      <c r="P407" t="str">
        <f>VLOOKUP($B407,'Hospitalisation Details'!A406:J2750,7,0)</f>
        <v>tier - 2</v>
      </c>
      <c r="Q407" t="str">
        <f>VLOOKUP($B407,'Hospitalisation Details'!A406:J2750,9,0)</f>
        <v>R1013</v>
      </c>
      <c r="R407">
        <f>VLOOKUP($B407,'Hospitalisation Details'!A406:K2750,11,0)</f>
        <v>31</v>
      </c>
    </row>
    <row r="408" spans="1:18" x14ac:dyDescent="0.35">
      <c r="A408" t="s">
        <v>1965</v>
      </c>
      <c r="B408" t="s">
        <v>437</v>
      </c>
      <c r="C408" t="str">
        <f>VLOOKUP($A408,'Customer Names'!$A:$E,4,FALSE)</f>
        <v>Corey</v>
      </c>
      <c r="D408" t="str">
        <f>VLOOKUP($A408,'Medical Examinations'!$A:$J,2,FALSE)</f>
        <v>Obesity</v>
      </c>
      <c r="E408">
        <f>VLOOKUP($A408,'Medical Examinations'!$A:$J,4,FALSE)</f>
        <v>4.76</v>
      </c>
      <c r="F408" t="str">
        <f>VLOOKUP($A408,'Medical Examinations'!$A:$J,6,FALSE)</f>
        <v>No</v>
      </c>
      <c r="G408" t="str">
        <f>VLOOKUP($A408,'Medical Examinations'!$A:$J,7,FALSE)</f>
        <v>No</v>
      </c>
      <c r="H408" t="str">
        <f>VLOOKUP($A408,'Medical Examinations'!$A:$J,8,FALSE)</f>
        <v>No</v>
      </c>
      <c r="I408">
        <f>VLOOKUP($A408,'Medical Examinations'!$A:$J,9,FALSE)</f>
        <v>2</v>
      </c>
      <c r="J408" t="str">
        <f>VLOOKUP($A408,'Medical Examinations'!$A:$J,10,FALSE)</f>
        <v>No</v>
      </c>
      <c r="K408" t="str">
        <f>VLOOKUP($A408,'Medical Examinations'!$A:$J,5,FALSE)</f>
        <v>Normal</v>
      </c>
      <c r="L408">
        <f>VLOOKUP($A409,'Medical Examinations'!$A:$J,3,FALSE)</f>
        <v>29.8</v>
      </c>
      <c r="M408">
        <f>VLOOKUP($A408,'Hospitalisation Details'!$A:$K,6,FALSE)</f>
        <v>25333.33</v>
      </c>
      <c r="N408" s="11">
        <f>VLOOKUP($B408,'Hospitalisation Details'!A407:J2751,10,0)</f>
        <v>33475</v>
      </c>
      <c r="O408" t="str">
        <f>VLOOKUP($B408,'Hospitalisation Details'!A407:J2751,8,0)</f>
        <v>tier - 1</v>
      </c>
      <c r="P408" t="str">
        <f>VLOOKUP($B408,'Hospitalisation Details'!A407:J2751,7,0)</f>
        <v>tier - 2</v>
      </c>
      <c r="Q408" t="str">
        <f>VLOOKUP($B408,'Hospitalisation Details'!A407:J2751,9,0)</f>
        <v>R1013</v>
      </c>
      <c r="R408">
        <f>VLOOKUP($B408,'Hospitalisation Details'!A407:K2751,11,0)</f>
        <v>31</v>
      </c>
    </row>
    <row r="409" spans="1:18" x14ac:dyDescent="0.35">
      <c r="A409" t="s">
        <v>1964</v>
      </c>
      <c r="B409" t="s">
        <v>438</v>
      </c>
      <c r="C409" t="str">
        <f>VLOOKUP($A409,'Customer Names'!$A:$E,4,FALSE)</f>
        <v>Patrick D.</v>
      </c>
      <c r="D409" t="str">
        <f>VLOOKUP($A409,'Medical Examinations'!$A:$J,2,FALSE)</f>
        <v>Overweight</v>
      </c>
      <c r="E409">
        <f>VLOOKUP($A409,'Medical Examinations'!$A:$J,4,FALSE)</f>
        <v>8.24</v>
      </c>
      <c r="F409" t="str">
        <f>VLOOKUP($A409,'Medical Examinations'!$A:$J,6,FALSE)</f>
        <v>yes</v>
      </c>
      <c r="G409" t="str">
        <f>VLOOKUP($A409,'Medical Examinations'!$A:$J,7,FALSE)</f>
        <v>No</v>
      </c>
      <c r="H409" t="str">
        <f>VLOOKUP($A409,'Medical Examinations'!$A:$J,8,FALSE)</f>
        <v>No</v>
      </c>
      <c r="I409">
        <f>VLOOKUP($A409,'Medical Examinations'!$A:$J,9,FALSE)</f>
        <v>1</v>
      </c>
      <c r="J409" t="str">
        <f>VLOOKUP($A409,'Medical Examinations'!$A:$J,10,FALSE)</f>
        <v>yes</v>
      </c>
      <c r="K409" t="str">
        <f>VLOOKUP($A409,'Medical Examinations'!$A:$J,5,FALSE)</f>
        <v>Diabetes</v>
      </c>
      <c r="L409">
        <f>VLOOKUP($A410,'Medical Examinations'!$A:$J,3,FALSE)</f>
        <v>24.01</v>
      </c>
      <c r="M409">
        <f>VLOOKUP($A409,'Hospitalisation Details'!$A:$K,6,FALSE)</f>
        <v>25309.49</v>
      </c>
      <c r="N409" s="11">
        <f>VLOOKUP($B409,'Hospitalisation Details'!A408:J2752,10,0)</f>
        <v>33535</v>
      </c>
      <c r="O409" t="str">
        <f>VLOOKUP($B409,'Hospitalisation Details'!A408:J2752,8,0)</f>
        <v>tier - 3</v>
      </c>
      <c r="P409" t="str">
        <f>VLOOKUP($B409,'Hospitalisation Details'!A408:J2752,7,0)</f>
        <v>tier - 2</v>
      </c>
      <c r="Q409" t="str">
        <f>VLOOKUP($B409,'Hospitalisation Details'!A408:J2752,9,0)</f>
        <v>R1011</v>
      </c>
      <c r="R409">
        <f>VLOOKUP($B409,'Hospitalisation Details'!A408:K2752,11,0)</f>
        <v>31</v>
      </c>
    </row>
    <row r="410" spans="1:18" x14ac:dyDescent="0.35">
      <c r="A410" t="s">
        <v>1963</v>
      </c>
      <c r="B410" t="s">
        <v>439</v>
      </c>
      <c r="C410" t="str">
        <f>VLOOKUP($A410,'Customer Names'!$A:$E,4,FALSE)</f>
        <v>Anthony D.</v>
      </c>
      <c r="D410" t="str">
        <f>VLOOKUP($A410,'Medical Examinations'!$A:$J,2,FALSE)</f>
        <v>Normal Weight</v>
      </c>
      <c r="E410">
        <f>VLOOKUP($A410,'Medical Examinations'!$A:$J,4,FALSE)</f>
        <v>4.76</v>
      </c>
      <c r="F410" t="str">
        <f>VLOOKUP($A410,'Medical Examinations'!$A:$J,6,FALSE)</f>
        <v>No</v>
      </c>
      <c r="G410" t="str">
        <f>VLOOKUP($A410,'Medical Examinations'!$A:$J,7,FALSE)</f>
        <v>No</v>
      </c>
      <c r="H410" t="str">
        <f>VLOOKUP($A410,'Medical Examinations'!$A:$J,8,FALSE)</f>
        <v>No</v>
      </c>
      <c r="I410">
        <f>VLOOKUP($A410,'Medical Examinations'!$A:$J,9,FALSE)</f>
        <v>1</v>
      </c>
      <c r="J410" t="str">
        <f>VLOOKUP($A410,'Medical Examinations'!$A:$J,10,FALSE)</f>
        <v>yes</v>
      </c>
      <c r="K410" t="str">
        <f>VLOOKUP($A410,'Medical Examinations'!$A:$J,5,FALSE)</f>
        <v>Normal</v>
      </c>
      <c r="L410">
        <f>VLOOKUP($A411,'Medical Examinations'!$A:$J,3,FALSE)</f>
        <v>23.21</v>
      </c>
      <c r="M410">
        <f>VLOOKUP($A410,'Hospitalisation Details'!$A:$K,6,FALSE)</f>
        <v>25127.22</v>
      </c>
      <c r="N410" s="11">
        <f>VLOOKUP($B410,'Hospitalisation Details'!A409:J2753,10,0)</f>
        <v>34659</v>
      </c>
      <c r="O410" t="str">
        <f>VLOOKUP($B410,'Hospitalisation Details'!A409:J2753,8,0)</f>
        <v>tier - 1</v>
      </c>
      <c r="P410" t="str">
        <f>VLOOKUP($B410,'Hospitalisation Details'!A409:J2753,7,0)</f>
        <v>tier - 2</v>
      </c>
      <c r="Q410" t="str">
        <f>VLOOKUP($B410,'Hospitalisation Details'!A409:J2753,9,0)</f>
        <v>R1013</v>
      </c>
      <c r="R410">
        <f>VLOOKUP($B410,'Hospitalisation Details'!A409:K2753,11,0)</f>
        <v>28</v>
      </c>
    </row>
    <row r="411" spans="1:18" x14ac:dyDescent="0.35">
      <c r="A411" t="s">
        <v>1962</v>
      </c>
      <c r="B411" t="s">
        <v>440</v>
      </c>
      <c r="C411" t="str">
        <f>VLOOKUP($A411,'Customer Names'!$A:$E,4,FALSE)</f>
        <v>Melissa</v>
      </c>
      <c r="D411" t="str">
        <f>VLOOKUP($A411,'Medical Examinations'!$A:$J,2,FALSE)</f>
        <v>Normal Weight</v>
      </c>
      <c r="E411">
        <f>VLOOKUP($A411,'Medical Examinations'!$A:$J,4,FALSE)</f>
        <v>6.03</v>
      </c>
      <c r="F411" t="str">
        <f>VLOOKUP($A411,'Medical Examinations'!$A:$J,6,FALSE)</f>
        <v>No</v>
      </c>
      <c r="G411" t="str">
        <f>VLOOKUP($A411,'Medical Examinations'!$A:$J,7,FALSE)</f>
        <v>No</v>
      </c>
      <c r="H411" t="str">
        <f>VLOOKUP($A411,'Medical Examinations'!$A:$J,8,FALSE)</f>
        <v>No</v>
      </c>
      <c r="I411">
        <f>VLOOKUP($A411,'Medical Examinations'!$A:$J,9,FALSE)</f>
        <v>1</v>
      </c>
      <c r="J411" t="str">
        <f>VLOOKUP($A411,'Medical Examinations'!$A:$J,10,FALSE)</f>
        <v>No</v>
      </c>
      <c r="K411" t="str">
        <f>VLOOKUP($A411,'Medical Examinations'!$A:$J,5,FALSE)</f>
        <v>Prediabetes</v>
      </c>
      <c r="L411">
        <f>VLOOKUP($A412,'Medical Examinations'!$A:$J,3,FALSE)</f>
        <v>21.2</v>
      </c>
      <c r="M411">
        <f>VLOOKUP($A411,'Hospitalisation Details'!$A:$K,6,FALSE)</f>
        <v>25081.77</v>
      </c>
      <c r="N411" s="11">
        <f>VLOOKUP($B411,'Hospitalisation Details'!A410:J2754,10,0)</f>
        <v>32074</v>
      </c>
      <c r="O411" t="str">
        <f>VLOOKUP($B411,'Hospitalisation Details'!A410:J2754,8,0)</f>
        <v>tier - 3</v>
      </c>
      <c r="P411" t="str">
        <f>VLOOKUP($B411,'Hospitalisation Details'!A410:J2754,7,0)</f>
        <v>tier - 2</v>
      </c>
      <c r="Q411" t="str">
        <f>VLOOKUP($B411,'Hospitalisation Details'!A410:J2754,9,0)</f>
        <v>R1013</v>
      </c>
      <c r="R411">
        <f>VLOOKUP($B411,'Hospitalisation Details'!A410:K2754,11,0)</f>
        <v>35</v>
      </c>
    </row>
    <row r="412" spans="1:18" x14ac:dyDescent="0.35">
      <c r="A412" t="s">
        <v>1961</v>
      </c>
      <c r="B412" t="s">
        <v>441</v>
      </c>
      <c r="C412" t="str">
        <f>VLOOKUP($A412,'Customer Names'!$A:$E,4,FALSE)</f>
        <v>Raven</v>
      </c>
      <c r="D412" t="str">
        <f>VLOOKUP($A412,'Medical Examinations'!$A:$J,2,FALSE)</f>
        <v>Normal Weight</v>
      </c>
      <c r="E412">
        <f>VLOOKUP($A412,'Medical Examinations'!$A:$J,4,FALSE)</f>
        <v>4.07</v>
      </c>
      <c r="F412" t="str">
        <f>VLOOKUP($A412,'Medical Examinations'!$A:$J,6,FALSE)</f>
        <v>yes</v>
      </c>
      <c r="G412" t="str">
        <f>VLOOKUP($A412,'Medical Examinations'!$A:$J,7,FALSE)</f>
        <v>No</v>
      </c>
      <c r="H412" t="str">
        <f>VLOOKUP($A412,'Medical Examinations'!$A:$J,8,FALSE)</f>
        <v>No</v>
      </c>
      <c r="I412">
        <f>VLOOKUP($A412,'Medical Examinations'!$A:$J,9,FALSE)</f>
        <v>1</v>
      </c>
      <c r="J412" t="str">
        <f>VLOOKUP($A412,'Medical Examinations'!$A:$J,10,FALSE)</f>
        <v>yes</v>
      </c>
      <c r="K412" t="str">
        <f>VLOOKUP($A412,'Medical Examinations'!$A:$J,5,FALSE)</f>
        <v>Normal</v>
      </c>
      <c r="L412">
        <f>VLOOKUP($A413,'Medical Examinations'!$A:$J,3,FALSE)</f>
        <v>28.215</v>
      </c>
      <c r="M412">
        <f>VLOOKUP($A412,'Hospitalisation Details'!$A:$K,6,FALSE)</f>
        <v>25075.97</v>
      </c>
      <c r="N412" s="11">
        <f>VLOOKUP($B412,'Hospitalisation Details'!A411:J2755,10,0)</f>
        <v>29933</v>
      </c>
      <c r="O412" t="str">
        <f>VLOOKUP($B412,'Hospitalisation Details'!A411:J2755,8,0)</f>
        <v>tier - 1</v>
      </c>
      <c r="P412" t="str">
        <f>VLOOKUP($B412,'Hospitalisation Details'!A411:J2755,7,0)</f>
        <v>tier - 2</v>
      </c>
      <c r="Q412" t="str">
        <f>VLOOKUP($B412,'Hospitalisation Details'!A411:J2755,9,0)</f>
        <v>R1013</v>
      </c>
      <c r="R412">
        <f>VLOOKUP($B412,'Hospitalisation Details'!A411:K2755,11,0)</f>
        <v>41</v>
      </c>
    </row>
    <row r="413" spans="1:18" x14ac:dyDescent="0.35">
      <c r="A413" t="s">
        <v>1960</v>
      </c>
      <c r="B413" t="s">
        <v>442</v>
      </c>
      <c r="C413" t="str">
        <f>VLOOKUP($A413,'Customer Names'!$A:$E,4,FALSE)</f>
        <v>Christopher</v>
      </c>
      <c r="D413" t="str">
        <f>VLOOKUP($A413,'Medical Examinations'!$A:$J,2,FALSE)</f>
        <v>Overweight</v>
      </c>
      <c r="E413">
        <f>VLOOKUP($A413,'Medical Examinations'!$A:$J,4,FALSE)</f>
        <v>8.26</v>
      </c>
      <c r="F413" t="str">
        <f>VLOOKUP($A413,'Medical Examinations'!$A:$J,6,FALSE)</f>
        <v>yes</v>
      </c>
      <c r="G413" t="str">
        <f>VLOOKUP($A413,'Medical Examinations'!$A:$J,7,FALSE)</f>
        <v>No</v>
      </c>
      <c r="H413" t="str">
        <f>VLOOKUP($A413,'Medical Examinations'!$A:$J,8,FALSE)</f>
        <v>No</v>
      </c>
      <c r="I413">
        <f>VLOOKUP($A413,'Medical Examinations'!$A:$J,9,FALSE)</f>
        <v>1</v>
      </c>
      <c r="J413" t="str">
        <f>VLOOKUP($A413,'Medical Examinations'!$A:$J,10,FALSE)</f>
        <v>yes</v>
      </c>
      <c r="K413" t="str">
        <f>VLOOKUP($A413,'Medical Examinations'!$A:$J,5,FALSE)</f>
        <v>Diabetes</v>
      </c>
      <c r="L413">
        <f>VLOOKUP($A414,'Medical Examinations'!$A:$J,3,FALSE)</f>
        <v>38.094999999999999</v>
      </c>
      <c r="M413">
        <f>VLOOKUP($A413,'Hospitalisation Details'!$A:$K,6,FALSE)</f>
        <v>24915.22</v>
      </c>
      <c r="N413" s="11">
        <f>VLOOKUP($B413,'Hospitalisation Details'!A412:J2756,10,0)</f>
        <v>32383</v>
      </c>
      <c r="O413" t="str">
        <f>VLOOKUP($B413,'Hospitalisation Details'!A412:J2756,8,0)</f>
        <v>tier - 3</v>
      </c>
      <c r="P413" t="str">
        <f>VLOOKUP($B413,'Hospitalisation Details'!A412:J2756,7,0)</f>
        <v>tier - 2</v>
      </c>
      <c r="Q413" t="str">
        <f>VLOOKUP($B413,'Hospitalisation Details'!A412:J2756,9,0)</f>
        <v>R1013</v>
      </c>
      <c r="R413">
        <f>VLOOKUP($B413,'Hospitalisation Details'!A412:K2756,11,0)</f>
        <v>34</v>
      </c>
    </row>
    <row r="414" spans="1:18" x14ac:dyDescent="0.35">
      <c r="A414" t="s">
        <v>1959</v>
      </c>
      <c r="B414" t="s">
        <v>443</v>
      </c>
      <c r="C414" t="str">
        <f>VLOOKUP($A414,'Customer Names'!$A:$E,4,FALSE)</f>
        <v>Kendra A</v>
      </c>
      <c r="D414" t="str">
        <f>VLOOKUP($A414,'Medical Examinations'!$A:$J,2,FALSE)</f>
        <v>Obesity</v>
      </c>
      <c r="E414">
        <f>VLOOKUP($A414,'Medical Examinations'!$A:$J,4,FALSE)</f>
        <v>4.76</v>
      </c>
      <c r="F414" t="str">
        <f>VLOOKUP($A414,'Medical Examinations'!$A:$J,6,FALSE)</f>
        <v>No</v>
      </c>
      <c r="G414" t="str">
        <f>VLOOKUP($A414,'Medical Examinations'!$A:$J,7,FALSE)</f>
        <v>No</v>
      </c>
      <c r="H414" t="str">
        <f>VLOOKUP($A414,'Medical Examinations'!$A:$J,8,FALSE)</f>
        <v>No</v>
      </c>
      <c r="I414">
        <f>VLOOKUP($A414,'Medical Examinations'!$A:$J,9,FALSE)</f>
        <v>1</v>
      </c>
      <c r="J414" t="str">
        <f>VLOOKUP($A414,'Medical Examinations'!$A:$J,10,FALSE)</f>
        <v>No</v>
      </c>
      <c r="K414" t="str">
        <f>VLOOKUP($A414,'Medical Examinations'!$A:$J,5,FALSE)</f>
        <v>Normal</v>
      </c>
      <c r="L414">
        <f>VLOOKUP($A415,'Medical Examinations'!$A:$J,3,FALSE)</f>
        <v>22.61</v>
      </c>
      <c r="M414">
        <f>VLOOKUP($A414,'Hospitalisation Details'!$A:$K,6,FALSE)</f>
        <v>24915.05</v>
      </c>
      <c r="N414" s="11">
        <f>VLOOKUP($B414,'Hospitalisation Details'!A413:J2757,10,0)</f>
        <v>36335</v>
      </c>
      <c r="O414" t="str">
        <f>VLOOKUP($B414,'Hospitalisation Details'!A413:J2757,8,0)</f>
        <v>tier - 3</v>
      </c>
      <c r="P414" t="str">
        <f>VLOOKUP($B414,'Hospitalisation Details'!A413:J2757,7,0)</f>
        <v>tier - 2</v>
      </c>
      <c r="Q414" t="str">
        <f>VLOOKUP($B414,'Hospitalisation Details'!A413:J2757,9,0)</f>
        <v>R1012</v>
      </c>
      <c r="R414">
        <f>VLOOKUP($B414,'Hospitalisation Details'!A413:K2757,11,0)</f>
        <v>23</v>
      </c>
    </row>
    <row r="415" spans="1:18" x14ac:dyDescent="0.35">
      <c r="A415" t="s">
        <v>1958</v>
      </c>
      <c r="B415" t="s">
        <v>444</v>
      </c>
      <c r="C415" t="str">
        <f>VLOOKUP($A415,'Customer Names'!$A:$E,4,FALSE)</f>
        <v>Jordan</v>
      </c>
      <c r="D415" t="str">
        <f>VLOOKUP($A415,'Medical Examinations'!$A:$J,2,FALSE)</f>
        <v>Normal Weight</v>
      </c>
      <c r="E415">
        <f>VLOOKUP($A415,'Medical Examinations'!$A:$J,4,FALSE)</f>
        <v>6.13</v>
      </c>
      <c r="F415" t="str">
        <f>VLOOKUP($A415,'Medical Examinations'!$A:$J,6,FALSE)</f>
        <v>yes</v>
      </c>
      <c r="G415" t="str">
        <f>VLOOKUP($A415,'Medical Examinations'!$A:$J,7,FALSE)</f>
        <v>No</v>
      </c>
      <c r="H415" t="str">
        <f>VLOOKUP($A415,'Medical Examinations'!$A:$J,8,FALSE)</f>
        <v>Yes</v>
      </c>
      <c r="I415">
        <f>VLOOKUP($A415,'Medical Examinations'!$A:$J,9,FALSE)</f>
        <v>1</v>
      </c>
      <c r="J415" t="str">
        <f>VLOOKUP($A415,'Medical Examinations'!$A:$J,10,FALSE)</f>
        <v>yes</v>
      </c>
      <c r="K415" t="str">
        <f>VLOOKUP($A415,'Medical Examinations'!$A:$J,5,FALSE)</f>
        <v>Prediabetes</v>
      </c>
      <c r="L415">
        <f>VLOOKUP($A416,'Medical Examinations'!$A:$J,3,FALSE)</f>
        <v>24.32</v>
      </c>
      <c r="M415">
        <f>VLOOKUP($A415,'Hospitalisation Details'!$A:$K,6,FALSE)</f>
        <v>24873.38</v>
      </c>
      <c r="N415" s="11">
        <f>VLOOKUP($B415,'Hospitalisation Details'!A414:J2758,10,0)</f>
        <v>29858</v>
      </c>
      <c r="O415" t="str">
        <f>VLOOKUP($B415,'Hospitalisation Details'!A414:J2758,8,0)</f>
        <v>tier - 3</v>
      </c>
      <c r="P415" t="str">
        <f>VLOOKUP($B415,'Hospitalisation Details'!A414:J2758,7,0)</f>
        <v>tier - 2</v>
      </c>
      <c r="Q415" t="str">
        <f>VLOOKUP($B415,'Hospitalisation Details'!A414:J2758,9,0)</f>
        <v>R1012</v>
      </c>
      <c r="R415">
        <f>VLOOKUP($B415,'Hospitalisation Details'!A414:K2758,11,0)</f>
        <v>41</v>
      </c>
    </row>
    <row r="416" spans="1:18" x14ac:dyDescent="0.35">
      <c r="A416" t="s">
        <v>1957</v>
      </c>
      <c r="B416" t="s">
        <v>445</v>
      </c>
      <c r="C416" t="str">
        <f>VLOOKUP($A416,'Customer Names'!$A:$E,4,FALSE)</f>
        <v>Nils</v>
      </c>
      <c r="D416" t="str">
        <f>VLOOKUP($A416,'Medical Examinations'!$A:$J,2,FALSE)</f>
        <v>Normal Weight</v>
      </c>
      <c r="E416">
        <f>VLOOKUP($A416,'Medical Examinations'!$A:$J,4,FALSE)</f>
        <v>10.47</v>
      </c>
      <c r="F416" t="str">
        <f>VLOOKUP($A416,'Medical Examinations'!$A:$J,6,FALSE)</f>
        <v>yes</v>
      </c>
      <c r="G416" t="str">
        <f>VLOOKUP($A416,'Medical Examinations'!$A:$J,7,FALSE)</f>
        <v>No</v>
      </c>
      <c r="H416" t="str">
        <f>VLOOKUP($A416,'Medical Examinations'!$A:$J,8,FALSE)</f>
        <v>No</v>
      </c>
      <c r="I416">
        <f>VLOOKUP($A416,'Medical Examinations'!$A:$J,9,FALSE)</f>
        <v>2</v>
      </c>
      <c r="J416" t="str">
        <f>VLOOKUP($A416,'Medical Examinations'!$A:$J,10,FALSE)</f>
        <v>yes</v>
      </c>
      <c r="K416" t="str">
        <f>VLOOKUP($A416,'Medical Examinations'!$A:$J,5,FALSE)</f>
        <v>Diabetes</v>
      </c>
      <c r="L416">
        <f>VLOOKUP($A417,'Medical Examinations'!$A:$J,3,FALSE)</f>
        <v>20.96</v>
      </c>
      <c r="M416">
        <f>VLOOKUP($A416,'Hospitalisation Details'!$A:$K,6,FALSE)</f>
        <v>24869.84</v>
      </c>
      <c r="N416" s="11">
        <f>VLOOKUP($B416,'Hospitalisation Details'!A415:J2759,10,0)</f>
        <v>34558</v>
      </c>
      <c r="O416" t="str">
        <f>VLOOKUP($B416,'Hospitalisation Details'!A415:J2759,8,0)</f>
        <v>tier - 2</v>
      </c>
      <c r="P416" t="str">
        <f>VLOOKUP($B416,'Hospitalisation Details'!A415:J2759,7,0)</f>
        <v>tier - 3</v>
      </c>
      <c r="Q416" t="str">
        <f>VLOOKUP($B416,'Hospitalisation Details'!A415:J2759,9,0)</f>
        <v>R1011</v>
      </c>
      <c r="R416">
        <f>VLOOKUP($B416,'Hospitalisation Details'!A415:K2759,11,0)</f>
        <v>28</v>
      </c>
    </row>
    <row r="417" spans="1:18" x14ac:dyDescent="0.35">
      <c r="A417" t="s">
        <v>1956</v>
      </c>
      <c r="B417" t="s">
        <v>446</v>
      </c>
      <c r="C417" t="str">
        <f>VLOOKUP($A417,'Customer Names'!$A:$E,4,FALSE)</f>
        <v>Scott</v>
      </c>
      <c r="D417" t="str">
        <f>VLOOKUP($A417,'Medical Examinations'!$A:$J,2,FALSE)</f>
        <v>Normal Weight</v>
      </c>
      <c r="E417">
        <f>VLOOKUP($A417,'Medical Examinations'!$A:$J,4,FALSE)</f>
        <v>4.04</v>
      </c>
      <c r="F417" t="str">
        <f>VLOOKUP($A417,'Medical Examinations'!$A:$J,6,FALSE)</f>
        <v>yes</v>
      </c>
      <c r="G417" t="str">
        <f>VLOOKUP($A417,'Medical Examinations'!$A:$J,7,FALSE)</f>
        <v>No</v>
      </c>
      <c r="H417" t="str">
        <f>VLOOKUP($A417,'Medical Examinations'!$A:$J,8,FALSE)</f>
        <v>No</v>
      </c>
      <c r="I417">
        <f>VLOOKUP($A417,'Medical Examinations'!$A:$J,9,FALSE)</f>
        <v>1</v>
      </c>
      <c r="J417" t="str">
        <f>VLOOKUP($A417,'Medical Examinations'!$A:$J,10,FALSE)</f>
        <v>yes</v>
      </c>
      <c r="K417" t="str">
        <f>VLOOKUP($A417,'Medical Examinations'!$A:$J,5,FALSE)</f>
        <v>Normal</v>
      </c>
      <c r="L417">
        <f>VLOOKUP($A418,'Medical Examinations'!$A:$J,3,FALSE)</f>
        <v>19.68</v>
      </c>
      <c r="M417">
        <f>VLOOKUP($A417,'Hospitalisation Details'!$A:$K,6,FALSE)</f>
        <v>24863.25</v>
      </c>
      <c r="N417" s="11">
        <f>VLOOKUP($B417,'Hospitalisation Details'!A416:J2760,10,0)</f>
        <v>33469</v>
      </c>
      <c r="O417" t="str">
        <f>VLOOKUP($B417,'Hospitalisation Details'!A416:J2760,8,0)</f>
        <v>tier - 1</v>
      </c>
      <c r="P417" t="str">
        <f>VLOOKUP($B417,'Hospitalisation Details'!A416:J2760,7,0)</f>
        <v>tier - 3</v>
      </c>
      <c r="Q417" t="str">
        <f>VLOOKUP($B417,'Hospitalisation Details'!A416:J2760,9,0)</f>
        <v>R1016</v>
      </c>
      <c r="R417">
        <f>VLOOKUP($B417,'Hospitalisation Details'!A416:K2760,11,0)</f>
        <v>31</v>
      </c>
    </row>
    <row r="418" spans="1:18" x14ac:dyDescent="0.35">
      <c r="A418" t="s">
        <v>1955</v>
      </c>
      <c r="B418" t="s">
        <v>447</v>
      </c>
      <c r="C418" t="str">
        <f>VLOOKUP($A418,'Customer Names'!$A:$E,4,FALSE)</f>
        <v>Angela</v>
      </c>
      <c r="D418" t="str">
        <f>VLOOKUP($A418,'Medical Examinations'!$A:$J,2,FALSE)</f>
        <v>Normal Weight</v>
      </c>
      <c r="E418">
        <f>VLOOKUP($A418,'Medical Examinations'!$A:$J,4,FALSE)</f>
        <v>5.74</v>
      </c>
      <c r="F418" t="str">
        <f>VLOOKUP($A418,'Medical Examinations'!$A:$J,6,FALSE)</f>
        <v>No</v>
      </c>
      <c r="G418" t="str">
        <f>VLOOKUP($A418,'Medical Examinations'!$A:$J,7,FALSE)</f>
        <v>No</v>
      </c>
      <c r="H418" t="str">
        <f>VLOOKUP($A418,'Medical Examinations'!$A:$J,8,FALSE)</f>
        <v>No</v>
      </c>
      <c r="I418">
        <f>VLOOKUP($A418,'Medical Examinations'!$A:$J,9,FALSE)</f>
        <v>0</v>
      </c>
      <c r="J418" t="str">
        <f>VLOOKUP($A418,'Medical Examinations'!$A:$J,10,FALSE)</f>
        <v>yes</v>
      </c>
      <c r="K418" t="str">
        <f>VLOOKUP($A418,'Medical Examinations'!$A:$J,5,FALSE)</f>
        <v>Prediabetes</v>
      </c>
      <c r="L418">
        <f>VLOOKUP($A419,'Medical Examinations'!$A:$J,3,FALSE)</f>
        <v>18.100000000000001</v>
      </c>
      <c r="M418">
        <f>VLOOKUP($A418,'Hospitalisation Details'!$A:$K,6,FALSE)</f>
        <v>24817.25</v>
      </c>
      <c r="N418" s="11">
        <f>VLOOKUP($B418,'Hospitalisation Details'!A417:J2761,10,0)</f>
        <v>37048</v>
      </c>
      <c r="O418" t="str">
        <f>VLOOKUP($B418,'Hospitalisation Details'!A417:J2761,8,0)</f>
        <v>tier - 3</v>
      </c>
      <c r="P418" t="str">
        <f>VLOOKUP($B418,'Hospitalisation Details'!A417:J2761,7,0)</f>
        <v>tier - 2</v>
      </c>
      <c r="Q418" t="str">
        <f>VLOOKUP($B418,'Hospitalisation Details'!A417:J2761,9,0)</f>
        <v>R1025</v>
      </c>
      <c r="R418">
        <f>VLOOKUP($B418,'Hospitalisation Details'!A417:K2761,11,0)</f>
        <v>22</v>
      </c>
    </row>
    <row r="419" spans="1:18" x14ac:dyDescent="0.35">
      <c r="A419" t="s">
        <v>1954</v>
      </c>
      <c r="B419" t="s">
        <v>448</v>
      </c>
      <c r="C419" t="str">
        <f>VLOOKUP($A419,'Customer Names'!$A:$E,4,FALSE)</f>
        <v>Allison</v>
      </c>
      <c r="D419" t="str">
        <f>VLOOKUP($A419,'Medical Examinations'!$A:$J,2,FALSE)</f>
        <v>Underweight</v>
      </c>
      <c r="E419">
        <f>VLOOKUP($A419,'Medical Examinations'!$A:$J,4,FALSE)</f>
        <v>6.33</v>
      </c>
      <c r="F419" t="str">
        <f>VLOOKUP($A419,'Medical Examinations'!$A:$J,6,FALSE)</f>
        <v>No</v>
      </c>
      <c r="G419" t="str">
        <f>VLOOKUP($A419,'Medical Examinations'!$A:$J,7,FALSE)</f>
        <v>No</v>
      </c>
      <c r="H419" t="str">
        <f>VLOOKUP($A419,'Medical Examinations'!$A:$J,8,FALSE)</f>
        <v>No</v>
      </c>
      <c r="I419">
        <f>VLOOKUP($A419,'Medical Examinations'!$A:$J,9,FALSE)</f>
        <v>1</v>
      </c>
      <c r="J419" t="str">
        <f>VLOOKUP($A419,'Medical Examinations'!$A:$J,10,FALSE)</f>
        <v>yes</v>
      </c>
      <c r="K419" t="str">
        <f>VLOOKUP($A419,'Medical Examinations'!$A:$J,5,FALSE)</f>
        <v>Prediabetes</v>
      </c>
      <c r="L419">
        <f>VLOOKUP($A420,'Medical Examinations'!$A:$J,3,FALSE)</f>
        <v>29.64</v>
      </c>
      <c r="M419">
        <f>VLOOKUP($A419,'Hospitalisation Details'!$A:$K,6,FALSE)</f>
        <v>24795.040000000001</v>
      </c>
      <c r="N419" s="11">
        <f>VLOOKUP($B419,'Hospitalisation Details'!A418:J2762,10,0)</f>
        <v>37182</v>
      </c>
      <c r="O419" t="str">
        <f>VLOOKUP($B419,'Hospitalisation Details'!A418:J2762,8,0)</f>
        <v>tier - 2</v>
      </c>
      <c r="P419" t="str">
        <f>VLOOKUP($B419,'Hospitalisation Details'!A418:J2762,7,0)</f>
        <v>tier - 2</v>
      </c>
      <c r="Q419" t="str">
        <f>VLOOKUP($B419,'Hospitalisation Details'!A418:J2762,9,0)</f>
        <v>R1016</v>
      </c>
      <c r="R419">
        <f>VLOOKUP($B419,'Hospitalisation Details'!A418:K2762,11,0)</f>
        <v>21</v>
      </c>
    </row>
    <row r="420" spans="1:18" x14ac:dyDescent="0.35">
      <c r="A420" t="s">
        <v>1953</v>
      </c>
      <c r="B420" t="s">
        <v>449</v>
      </c>
      <c r="C420" t="str">
        <f>VLOOKUP($A420,'Customer Names'!$A:$E,4,FALSE)</f>
        <v>Caitlin O.</v>
      </c>
      <c r="D420" t="str">
        <f>VLOOKUP($A420,'Medical Examinations'!$A:$J,2,FALSE)</f>
        <v>Overweight</v>
      </c>
      <c r="E420">
        <f>VLOOKUP($A420,'Medical Examinations'!$A:$J,4,FALSE)</f>
        <v>4.28</v>
      </c>
      <c r="F420" t="str">
        <f>VLOOKUP($A420,'Medical Examinations'!$A:$J,6,FALSE)</f>
        <v>yes</v>
      </c>
      <c r="G420" t="str">
        <f>VLOOKUP($A420,'Medical Examinations'!$A:$J,7,FALSE)</f>
        <v>No</v>
      </c>
      <c r="H420" t="str">
        <f>VLOOKUP($A420,'Medical Examinations'!$A:$J,8,FALSE)</f>
        <v>No</v>
      </c>
      <c r="I420">
        <f>VLOOKUP($A420,'Medical Examinations'!$A:$J,9,FALSE)</f>
        <v>0</v>
      </c>
      <c r="J420" t="str">
        <f>VLOOKUP($A420,'Medical Examinations'!$A:$J,10,FALSE)</f>
        <v>No</v>
      </c>
      <c r="K420" t="str">
        <f>VLOOKUP($A420,'Medical Examinations'!$A:$J,5,FALSE)</f>
        <v>Normal</v>
      </c>
      <c r="L420">
        <f>VLOOKUP($A421,'Medical Examinations'!$A:$J,3,FALSE)</f>
        <v>25.3</v>
      </c>
      <c r="M420">
        <f>VLOOKUP($A420,'Hospitalisation Details'!$A:$K,6,FALSE)</f>
        <v>24671.66</v>
      </c>
      <c r="N420" s="11">
        <f>VLOOKUP($B420,'Hospitalisation Details'!A419:J2763,10,0)</f>
        <v>33048</v>
      </c>
      <c r="O420" t="str">
        <f>VLOOKUP($B420,'Hospitalisation Details'!A419:J2763,8,0)</f>
        <v>tier - 1</v>
      </c>
      <c r="P420" t="str">
        <f>VLOOKUP($B420,'Hospitalisation Details'!A419:J2763,7,0)</f>
        <v>tier - 1</v>
      </c>
      <c r="Q420" t="str">
        <f>VLOOKUP($B420,'Hospitalisation Details'!A419:J2763,9,0)</f>
        <v>R1012</v>
      </c>
      <c r="R420">
        <f>VLOOKUP($B420,'Hospitalisation Details'!A419:K2763,11,0)</f>
        <v>32</v>
      </c>
    </row>
    <row r="421" spans="1:18" x14ac:dyDescent="0.35">
      <c r="A421" t="s">
        <v>1952</v>
      </c>
      <c r="B421" t="s">
        <v>450</v>
      </c>
      <c r="C421" t="str">
        <f>VLOOKUP($A421,'Customer Names'!$A:$E,4,FALSE)</f>
        <v>Tracy M</v>
      </c>
      <c r="D421" t="str">
        <f>VLOOKUP($A421,'Medical Examinations'!$A:$J,2,FALSE)</f>
        <v>Overweight</v>
      </c>
      <c r="E421">
        <f>VLOOKUP($A421,'Medical Examinations'!$A:$J,4,FALSE)</f>
        <v>9.4700000000000006</v>
      </c>
      <c r="F421" t="str">
        <f>VLOOKUP($A421,'Medical Examinations'!$A:$J,6,FALSE)</f>
        <v>yes</v>
      </c>
      <c r="G421" t="str">
        <f>VLOOKUP($A421,'Medical Examinations'!$A:$J,7,FALSE)</f>
        <v>No</v>
      </c>
      <c r="H421" t="str">
        <f>VLOOKUP($A421,'Medical Examinations'!$A:$J,8,FALSE)</f>
        <v>No</v>
      </c>
      <c r="I421">
        <f>VLOOKUP($A421,'Medical Examinations'!$A:$J,9,FALSE)</f>
        <v>2</v>
      </c>
      <c r="J421" t="str">
        <f>VLOOKUP($A421,'Medical Examinations'!$A:$J,10,FALSE)</f>
        <v>yes</v>
      </c>
      <c r="K421" t="str">
        <f>VLOOKUP($A421,'Medical Examinations'!$A:$J,5,FALSE)</f>
        <v>Diabetes</v>
      </c>
      <c r="L421">
        <f>VLOOKUP($A422,'Medical Examinations'!$A:$J,3,FALSE)</f>
        <v>27.6</v>
      </c>
      <c r="M421">
        <f>VLOOKUP($A421,'Hospitalisation Details'!$A:$K,6,FALSE)</f>
        <v>24667.42</v>
      </c>
      <c r="N421" s="11">
        <f>VLOOKUP($B421,'Hospitalisation Details'!A420:J2764,10,0)</f>
        <v>33444</v>
      </c>
      <c r="O421" t="str">
        <f>VLOOKUP($B421,'Hospitalisation Details'!A420:J2764,8,0)</f>
        <v>tier - 3</v>
      </c>
      <c r="P421" t="str">
        <f>VLOOKUP($B421,'Hospitalisation Details'!A420:J2764,7,0)</f>
        <v>tier - 2</v>
      </c>
      <c r="Q421" t="str">
        <f>VLOOKUP($B421,'Hospitalisation Details'!A420:J2764,9,0)</f>
        <v>R1013</v>
      </c>
      <c r="R421">
        <f>VLOOKUP($B421,'Hospitalisation Details'!A420:K2764,11,0)</f>
        <v>31</v>
      </c>
    </row>
    <row r="422" spans="1:18" x14ac:dyDescent="0.35">
      <c r="A422" t="s">
        <v>1951</v>
      </c>
      <c r="B422" t="s">
        <v>451</v>
      </c>
      <c r="C422" t="str">
        <f>VLOOKUP($A422,'Customer Names'!$A:$E,4,FALSE)</f>
        <v>Dustin M.</v>
      </c>
      <c r="D422" t="str">
        <f>VLOOKUP($A422,'Medical Examinations'!$A:$J,2,FALSE)</f>
        <v>Overweight</v>
      </c>
      <c r="E422">
        <f>VLOOKUP($A422,'Medical Examinations'!$A:$J,4,FALSE)</f>
        <v>4.8499999999999996</v>
      </c>
      <c r="F422" t="str">
        <f>VLOOKUP($A422,'Medical Examinations'!$A:$J,6,FALSE)</f>
        <v>yes</v>
      </c>
      <c r="G422" t="str">
        <f>VLOOKUP($A422,'Medical Examinations'!$A:$J,7,FALSE)</f>
        <v>No</v>
      </c>
      <c r="H422" t="str">
        <f>VLOOKUP($A422,'Medical Examinations'!$A:$J,8,FALSE)</f>
        <v>No</v>
      </c>
      <c r="I422">
        <f>VLOOKUP($A422,'Medical Examinations'!$A:$J,9,FALSE)</f>
        <v>0</v>
      </c>
      <c r="J422" t="str">
        <f>VLOOKUP($A422,'Medical Examinations'!$A:$J,10,FALSE)</f>
        <v>No</v>
      </c>
      <c r="K422" t="str">
        <f>VLOOKUP($A422,'Medical Examinations'!$A:$J,5,FALSE)</f>
        <v>Normal</v>
      </c>
      <c r="L422">
        <f>VLOOKUP($A423,'Medical Examinations'!$A:$J,3,FALSE)</f>
        <v>27.645</v>
      </c>
      <c r="M422">
        <f>VLOOKUP($A422,'Hospitalisation Details'!$A:$K,6,FALSE)</f>
        <v>24603.05</v>
      </c>
      <c r="N422" s="11">
        <f>VLOOKUP($B422,'Hospitalisation Details'!A421:J2765,10,0)</f>
        <v>35361</v>
      </c>
      <c r="O422" t="str">
        <f>VLOOKUP($B422,'Hospitalisation Details'!A421:J2765,8,0)</f>
        <v>tier - 3</v>
      </c>
      <c r="P422" t="str">
        <f>VLOOKUP($B422,'Hospitalisation Details'!A421:J2765,7,0)</f>
        <v>tier - 1</v>
      </c>
      <c r="Q422" t="str">
        <f>VLOOKUP($B422,'Hospitalisation Details'!A421:J2765,9,0)</f>
        <v>R1012</v>
      </c>
      <c r="R422">
        <f>VLOOKUP($B422,'Hospitalisation Details'!A421:K2765,11,0)</f>
        <v>26</v>
      </c>
    </row>
    <row r="423" spans="1:18" x14ac:dyDescent="0.35">
      <c r="A423" t="s">
        <v>1950</v>
      </c>
      <c r="B423" t="s">
        <v>452</v>
      </c>
      <c r="C423" t="str">
        <f>VLOOKUP($A423,'Customer Names'!$A:$E,4,FALSE)</f>
        <v>Jenny</v>
      </c>
      <c r="D423" t="str">
        <f>VLOOKUP($A423,'Medical Examinations'!$A:$J,2,FALSE)</f>
        <v>Overweight</v>
      </c>
      <c r="E423">
        <f>VLOOKUP($A423,'Medical Examinations'!$A:$J,4,FALSE)</f>
        <v>11.03</v>
      </c>
      <c r="F423" t="str">
        <f>VLOOKUP($A423,'Medical Examinations'!$A:$J,6,FALSE)</f>
        <v>yes</v>
      </c>
      <c r="G423" t="str">
        <f>VLOOKUP($A423,'Medical Examinations'!$A:$J,7,FALSE)</f>
        <v>No</v>
      </c>
      <c r="H423" t="str">
        <f>VLOOKUP($A423,'Medical Examinations'!$A:$J,8,FALSE)</f>
        <v>No</v>
      </c>
      <c r="I423">
        <f>VLOOKUP($A423,'Medical Examinations'!$A:$J,9,FALSE)</f>
        <v>1</v>
      </c>
      <c r="J423" t="str">
        <f>VLOOKUP($A423,'Medical Examinations'!$A:$J,10,FALSE)</f>
        <v>yes</v>
      </c>
      <c r="K423" t="str">
        <f>VLOOKUP($A423,'Medical Examinations'!$A:$J,5,FALSE)</f>
        <v>Diabetes</v>
      </c>
      <c r="L423">
        <f>VLOOKUP($A424,'Medical Examinations'!$A:$J,3,FALSE)</f>
        <v>27.6</v>
      </c>
      <c r="M423">
        <f>VLOOKUP($A423,'Hospitalisation Details'!$A:$K,6,FALSE)</f>
        <v>24535.7</v>
      </c>
      <c r="N423" s="11">
        <f>VLOOKUP($B423,'Hospitalisation Details'!A422:J2766,10,0)</f>
        <v>38181</v>
      </c>
      <c r="O423" t="str">
        <f>VLOOKUP($B423,'Hospitalisation Details'!A422:J2766,8,0)</f>
        <v>tier - 2</v>
      </c>
      <c r="P423" t="str">
        <f>VLOOKUP($B423,'Hospitalisation Details'!A422:J2766,7,0)</f>
        <v>tier - 2</v>
      </c>
      <c r="Q423" t="str">
        <f>VLOOKUP($B423,'Hospitalisation Details'!A422:J2766,9,0)</f>
        <v>R1012</v>
      </c>
      <c r="R423">
        <f>VLOOKUP($B423,'Hospitalisation Details'!A422:K2766,11,0)</f>
        <v>18</v>
      </c>
    </row>
    <row r="424" spans="1:18" x14ac:dyDescent="0.35">
      <c r="A424" t="s">
        <v>1949</v>
      </c>
      <c r="B424" t="s">
        <v>453</v>
      </c>
      <c r="C424" t="str">
        <f>VLOOKUP($A424,'Customer Names'!$A:$E,4,FALSE)</f>
        <v>Emily</v>
      </c>
      <c r="D424" t="str">
        <f>VLOOKUP($A424,'Medical Examinations'!$A:$J,2,FALSE)</f>
        <v>Overweight</v>
      </c>
      <c r="E424">
        <f>VLOOKUP($A424,'Medical Examinations'!$A:$J,4,FALSE)</f>
        <v>5.22</v>
      </c>
      <c r="F424" t="str">
        <f>VLOOKUP($A424,'Medical Examinations'!$A:$J,6,FALSE)</f>
        <v>No</v>
      </c>
      <c r="G424" t="str">
        <f>VLOOKUP($A424,'Medical Examinations'!$A:$J,7,FALSE)</f>
        <v>No</v>
      </c>
      <c r="H424" t="str">
        <f>VLOOKUP($A424,'Medical Examinations'!$A:$J,8,FALSE)</f>
        <v>No</v>
      </c>
      <c r="I424">
        <f>VLOOKUP($A424,'Medical Examinations'!$A:$J,9,FALSE)</f>
        <v>2</v>
      </c>
      <c r="J424" t="str">
        <f>VLOOKUP($A424,'Medical Examinations'!$A:$J,10,FALSE)</f>
        <v>yes</v>
      </c>
      <c r="K424" t="str">
        <f>VLOOKUP($A424,'Medical Examinations'!$A:$J,5,FALSE)</f>
        <v>Normal</v>
      </c>
      <c r="L424">
        <f>VLOOKUP($A425,'Medical Examinations'!$A:$J,3,FALSE)</f>
        <v>25.08</v>
      </c>
      <c r="M424">
        <f>VLOOKUP($A424,'Hospitalisation Details'!$A:$K,6,FALSE)</f>
        <v>24520.26</v>
      </c>
      <c r="N424" s="11">
        <f>VLOOKUP($B424,'Hospitalisation Details'!A423:J2767,10,0)</f>
        <v>34226</v>
      </c>
      <c r="O424" t="str">
        <f>VLOOKUP($B424,'Hospitalisation Details'!A423:J2767,8,0)</f>
        <v>tier - 2</v>
      </c>
      <c r="P424" t="str">
        <f>VLOOKUP($B424,'Hospitalisation Details'!A423:J2767,7,0)</f>
        <v>tier - 2</v>
      </c>
      <c r="Q424" t="str">
        <f>VLOOKUP($B424,'Hospitalisation Details'!A423:J2767,9,0)</f>
        <v>R1012</v>
      </c>
      <c r="R424">
        <f>VLOOKUP($B424,'Hospitalisation Details'!A423:K2767,11,0)</f>
        <v>29</v>
      </c>
    </row>
    <row r="425" spans="1:18" x14ac:dyDescent="0.35">
      <c r="A425" t="s">
        <v>1948</v>
      </c>
      <c r="B425" t="s">
        <v>454</v>
      </c>
      <c r="C425" t="str">
        <f>VLOOKUP($A425,'Customer Names'!$A:$E,4,FALSE)</f>
        <v>Fabienne</v>
      </c>
      <c r="D425" t="str">
        <f>VLOOKUP($A425,'Medical Examinations'!$A:$J,2,FALSE)</f>
        <v>Overweight</v>
      </c>
      <c r="E425">
        <f>VLOOKUP($A425,'Medical Examinations'!$A:$J,4,FALSE)</f>
        <v>9.52</v>
      </c>
      <c r="F425" t="str">
        <f>VLOOKUP($A425,'Medical Examinations'!$A:$J,6,FALSE)</f>
        <v>yes</v>
      </c>
      <c r="G425" t="str">
        <f>VLOOKUP($A425,'Medical Examinations'!$A:$J,7,FALSE)</f>
        <v>No</v>
      </c>
      <c r="H425" t="str">
        <f>VLOOKUP($A425,'Medical Examinations'!$A:$J,8,FALSE)</f>
        <v>No</v>
      </c>
      <c r="I425">
        <f>VLOOKUP($A425,'Medical Examinations'!$A:$J,9,FALSE)</f>
        <v>2</v>
      </c>
      <c r="J425" t="str">
        <f>VLOOKUP($A425,'Medical Examinations'!$A:$J,10,FALSE)</f>
        <v>No</v>
      </c>
      <c r="K425" t="str">
        <f>VLOOKUP($A425,'Medical Examinations'!$A:$J,5,FALSE)</f>
        <v>Diabetes</v>
      </c>
      <c r="L425">
        <f>VLOOKUP($A426,'Medical Examinations'!$A:$J,3,FALSE)</f>
        <v>30.02</v>
      </c>
      <c r="M425">
        <f>VLOOKUP($A425,'Hospitalisation Details'!$A:$K,6,FALSE)</f>
        <v>24513.09</v>
      </c>
      <c r="N425" s="11">
        <f>VLOOKUP($B425,'Hospitalisation Details'!A424:J2768,10,0)</f>
        <v>29825</v>
      </c>
      <c r="O425" t="str">
        <f>VLOOKUP($B425,'Hospitalisation Details'!A424:J2768,8,0)</f>
        <v>tier - 2</v>
      </c>
      <c r="P425" t="str">
        <f>VLOOKUP($B425,'Hospitalisation Details'!A424:J2768,7,0)</f>
        <v>tier - 2</v>
      </c>
      <c r="Q425" t="str">
        <f>VLOOKUP($B425,'Hospitalisation Details'!A424:J2768,9,0)</f>
        <v>R1013</v>
      </c>
      <c r="R425">
        <f>VLOOKUP($B425,'Hospitalisation Details'!A424:K2768,11,0)</f>
        <v>41</v>
      </c>
    </row>
    <row r="426" spans="1:18" x14ac:dyDescent="0.35">
      <c r="A426" t="s">
        <v>1947</v>
      </c>
      <c r="B426" t="s">
        <v>455</v>
      </c>
      <c r="C426" t="str">
        <f>VLOOKUP($A426,'Customer Names'!$A:$E,4,FALSE)</f>
        <v>Jordan</v>
      </c>
      <c r="D426" t="str">
        <f>VLOOKUP($A426,'Medical Examinations'!$A:$J,2,FALSE)</f>
        <v>Obesity</v>
      </c>
      <c r="E426">
        <f>VLOOKUP($A426,'Medical Examinations'!$A:$J,4,FALSE)</f>
        <v>11.09</v>
      </c>
      <c r="F426" t="str">
        <f>VLOOKUP($A426,'Medical Examinations'!$A:$J,6,FALSE)</f>
        <v>No</v>
      </c>
      <c r="G426" t="str">
        <f>VLOOKUP($A426,'Medical Examinations'!$A:$J,7,FALSE)</f>
        <v>No</v>
      </c>
      <c r="H426" t="str">
        <f>VLOOKUP($A426,'Medical Examinations'!$A:$J,8,FALSE)</f>
        <v>No</v>
      </c>
      <c r="I426">
        <f>VLOOKUP($A426,'Medical Examinations'!$A:$J,9,FALSE)</f>
        <v>0</v>
      </c>
      <c r="J426" t="str">
        <f>VLOOKUP($A426,'Medical Examinations'!$A:$J,10,FALSE)</f>
        <v>No</v>
      </c>
      <c r="K426" t="str">
        <f>VLOOKUP($A426,'Medical Examinations'!$A:$J,5,FALSE)</f>
        <v>Diabetes</v>
      </c>
      <c r="L426">
        <f>VLOOKUP($A427,'Medical Examinations'!$A:$J,3,FALSE)</f>
        <v>27.36</v>
      </c>
      <c r="M426">
        <f>VLOOKUP($A426,'Hospitalisation Details'!$A:$K,6,FALSE)</f>
        <v>24476.48</v>
      </c>
      <c r="N426" s="11">
        <f>VLOOKUP($B426,'Hospitalisation Details'!A425:J2769,10,0)</f>
        <v>35758</v>
      </c>
      <c r="O426" t="str">
        <f>VLOOKUP($B426,'Hospitalisation Details'!A425:J2769,8,0)</f>
        <v>tier - 3</v>
      </c>
      <c r="P426" t="str">
        <f>VLOOKUP($B426,'Hospitalisation Details'!A425:J2769,7,0)</f>
        <v>tier - 3</v>
      </c>
      <c r="Q426" t="str">
        <f>VLOOKUP($B426,'Hospitalisation Details'!A425:J2769,9,0)</f>
        <v>R1011</v>
      </c>
      <c r="R426">
        <f>VLOOKUP($B426,'Hospitalisation Details'!A425:K2769,11,0)</f>
        <v>25</v>
      </c>
    </row>
    <row r="427" spans="1:18" x14ac:dyDescent="0.35">
      <c r="A427" t="s">
        <v>1946</v>
      </c>
      <c r="B427" t="s">
        <v>456</v>
      </c>
      <c r="C427" t="str">
        <f>VLOOKUP($A427,'Customer Names'!$A:$E,4,FALSE)</f>
        <v>Matt</v>
      </c>
      <c r="D427" t="str">
        <f>VLOOKUP($A427,'Medical Examinations'!$A:$J,2,FALSE)</f>
        <v>Overweight</v>
      </c>
      <c r="E427">
        <f>VLOOKUP($A427,'Medical Examinations'!$A:$J,4,FALSE)</f>
        <v>9.4499999999999993</v>
      </c>
      <c r="F427" t="str">
        <f>VLOOKUP($A427,'Medical Examinations'!$A:$J,6,FALSE)</f>
        <v>yes</v>
      </c>
      <c r="G427" t="str">
        <f>VLOOKUP($A427,'Medical Examinations'!$A:$J,7,FALSE)</f>
        <v>No</v>
      </c>
      <c r="H427" t="str">
        <f>VLOOKUP($A427,'Medical Examinations'!$A:$J,8,FALSE)</f>
        <v>No</v>
      </c>
      <c r="I427">
        <f>VLOOKUP($A427,'Medical Examinations'!$A:$J,9,FALSE)</f>
        <v>2</v>
      </c>
      <c r="J427" t="str">
        <f>VLOOKUP($A427,'Medical Examinations'!$A:$J,10,FALSE)</f>
        <v>yes</v>
      </c>
      <c r="K427" t="str">
        <f>VLOOKUP($A427,'Medical Examinations'!$A:$J,5,FALSE)</f>
        <v>Diabetes</v>
      </c>
      <c r="L427">
        <f>VLOOKUP($A428,'Medical Examinations'!$A:$J,3,FALSE)</f>
        <v>22.2</v>
      </c>
      <c r="M427">
        <f>VLOOKUP($A427,'Hospitalisation Details'!$A:$K,6,FALSE)</f>
        <v>24393.62</v>
      </c>
      <c r="N427" s="11">
        <f>VLOOKUP($B427,'Hospitalisation Details'!A426:J2770,10,0)</f>
        <v>31233</v>
      </c>
      <c r="O427" t="str">
        <f>VLOOKUP($B427,'Hospitalisation Details'!A426:J2770,8,0)</f>
        <v>tier - 2</v>
      </c>
      <c r="P427" t="str">
        <f>VLOOKUP($B427,'Hospitalisation Details'!A426:J2770,7,0)</f>
        <v>tier - 2</v>
      </c>
      <c r="Q427" t="str">
        <f>VLOOKUP($B427,'Hospitalisation Details'!A426:J2770,9,0)</f>
        <v>R1013</v>
      </c>
      <c r="R427">
        <f>VLOOKUP($B427,'Hospitalisation Details'!A426:K2770,11,0)</f>
        <v>37</v>
      </c>
    </row>
    <row r="428" spans="1:18" x14ac:dyDescent="0.35">
      <c r="A428" t="s">
        <v>1945</v>
      </c>
      <c r="B428" t="s">
        <v>457</v>
      </c>
      <c r="C428" t="str">
        <f>VLOOKUP($A428,'Customer Names'!$A:$E,4,FALSE)</f>
        <v>Taryn L</v>
      </c>
      <c r="D428" t="str">
        <f>VLOOKUP($A428,'Medical Examinations'!$A:$J,2,FALSE)</f>
        <v>Normal Weight</v>
      </c>
      <c r="E428">
        <f>VLOOKUP($A428,'Medical Examinations'!$A:$J,4,FALSE)</f>
        <v>5.51</v>
      </c>
      <c r="F428" t="str">
        <f>VLOOKUP($A428,'Medical Examinations'!$A:$J,6,FALSE)</f>
        <v>No</v>
      </c>
      <c r="G428" t="str">
        <f>VLOOKUP($A428,'Medical Examinations'!$A:$J,7,FALSE)</f>
        <v>No</v>
      </c>
      <c r="H428" t="str">
        <f>VLOOKUP($A428,'Medical Examinations'!$A:$J,8,FALSE)</f>
        <v>No</v>
      </c>
      <c r="I428">
        <f>VLOOKUP($A428,'Medical Examinations'!$A:$J,9,FALSE)</f>
        <v>0</v>
      </c>
      <c r="J428" t="str">
        <f>VLOOKUP($A428,'Medical Examinations'!$A:$J,10,FALSE)</f>
        <v>yes</v>
      </c>
      <c r="K428" t="str">
        <f>VLOOKUP($A428,'Medical Examinations'!$A:$J,5,FALSE)</f>
        <v>Normal</v>
      </c>
      <c r="L428">
        <f>VLOOKUP($A429,'Medical Examinations'!$A:$J,3,FALSE)</f>
        <v>25.71</v>
      </c>
      <c r="M428">
        <f>VLOOKUP($A428,'Hospitalisation Details'!$A:$K,6,FALSE)</f>
        <v>24387.74</v>
      </c>
      <c r="N428" s="11">
        <f>VLOOKUP($B428,'Hospitalisation Details'!A427:J2771,10,0)</f>
        <v>36717</v>
      </c>
      <c r="O428" t="str">
        <f>VLOOKUP($B428,'Hospitalisation Details'!A427:J2771,8,0)</f>
        <v>tier - 2</v>
      </c>
      <c r="P428" t="str">
        <f>VLOOKUP($B428,'Hospitalisation Details'!A427:J2771,7,0)</f>
        <v>tier - 2</v>
      </c>
      <c r="Q428" t="str">
        <f>VLOOKUP($B428,'Hospitalisation Details'!A427:J2771,9,0)</f>
        <v>R1024</v>
      </c>
      <c r="R428">
        <f>VLOOKUP($B428,'Hospitalisation Details'!A427:K2771,11,0)</f>
        <v>22</v>
      </c>
    </row>
    <row r="429" spans="1:18" x14ac:dyDescent="0.35">
      <c r="A429" t="s">
        <v>1944</v>
      </c>
      <c r="B429" t="s">
        <v>458</v>
      </c>
      <c r="C429" t="str">
        <f>VLOOKUP($A429,'Customer Names'!$A:$E,4,FALSE)</f>
        <v>Temima</v>
      </c>
      <c r="D429" t="str">
        <f>VLOOKUP($A429,'Medical Examinations'!$A:$J,2,FALSE)</f>
        <v>Overweight</v>
      </c>
      <c r="E429">
        <f>VLOOKUP($A429,'Medical Examinations'!$A:$J,4,FALSE)</f>
        <v>4.18</v>
      </c>
      <c r="F429" t="str">
        <f>VLOOKUP($A429,'Medical Examinations'!$A:$J,6,FALSE)</f>
        <v>No</v>
      </c>
      <c r="G429" t="str">
        <f>VLOOKUP($A429,'Medical Examinations'!$A:$J,7,FALSE)</f>
        <v>yes</v>
      </c>
      <c r="H429" t="str">
        <f>VLOOKUP($A429,'Medical Examinations'!$A:$J,8,FALSE)</f>
        <v>No</v>
      </c>
      <c r="I429">
        <f>VLOOKUP($A429,'Medical Examinations'!$A:$J,9,FALSE)</f>
        <v>1</v>
      </c>
      <c r="J429" t="str">
        <f>VLOOKUP($A429,'Medical Examinations'!$A:$J,10,FALSE)</f>
        <v>yes</v>
      </c>
      <c r="K429" t="str">
        <f>VLOOKUP($A429,'Medical Examinations'!$A:$J,5,FALSE)</f>
        <v>Normal</v>
      </c>
      <c r="L429">
        <f>VLOOKUP($A430,'Medical Examinations'!$A:$J,3,FALSE)</f>
        <v>41.91</v>
      </c>
      <c r="M429">
        <f>VLOOKUP($A429,'Hospitalisation Details'!$A:$K,6,FALSE)</f>
        <v>24294.02</v>
      </c>
      <c r="N429" s="11">
        <f>VLOOKUP($B429,'Hospitalisation Details'!A428:J2772,10,0)</f>
        <v>37422</v>
      </c>
      <c r="O429" t="str">
        <f>VLOOKUP($B429,'Hospitalisation Details'!A428:J2772,8,0)</f>
        <v>tier - 3</v>
      </c>
      <c r="P429" t="str">
        <f>VLOOKUP($B429,'Hospitalisation Details'!A428:J2772,7,0)</f>
        <v>tier - 2</v>
      </c>
      <c r="Q429" t="str">
        <f>VLOOKUP($B429,'Hospitalisation Details'!A428:J2772,9,0)</f>
        <v>R1011</v>
      </c>
      <c r="R429">
        <f>VLOOKUP($B429,'Hospitalisation Details'!A428:K2772,11,0)</f>
        <v>20</v>
      </c>
    </row>
    <row r="430" spans="1:18" x14ac:dyDescent="0.35">
      <c r="A430" t="s">
        <v>1943</v>
      </c>
      <c r="B430" t="s">
        <v>459</v>
      </c>
      <c r="C430" t="str">
        <f>VLOOKUP($A430,'Customer Names'!$A:$E,4,FALSE)</f>
        <v>Jennifer</v>
      </c>
      <c r="D430" t="str">
        <f>VLOOKUP($A430,'Medical Examinations'!$A:$J,2,FALSE)</f>
        <v>Obesity</v>
      </c>
      <c r="E430">
        <f>VLOOKUP($A430,'Medical Examinations'!$A:$J,4,FALSE)</f>
        <v>5.98</v>
      </c>
      <c r="F430" t="str">
        <f>VLOOKUP($A430,'Medical Examinations'!$A:$J,6,FALSE)</f>
        <v>yes</v>
      </c>
      <c r="G430" t="str">
        <f>VLOOKUP($A430,'Medical Examinations'!$A:$J,7,FALSE)</f>
        <v>No</v>
      </c>
      <c r="H430" t="str">
        <f>VLOOKUP($A430,'Medical Examinations'!$A:$J,8,FALSE)</f>
        <v>No</v>
      </c>
      <c r="I430">
        <f>VLOOKUP($A430,'Medical Examinations'!$A:$J,9,FALSE)</f>
        <v>1</v>
      </c>
      <c r="J430" t="str">
        <f>VLOOKUP($A430,'Medical Examinations'!$A:$J,10,FALSE)</f>
        <v>No</v>
      </c>
      <c r="K430" t="str">
        <f>VLOOKUP($A430,'Medical Examinations'!$A:$J,5,FALSE)</f>
        <v>Prediabetes</v>
      </c>
      <c r="L430">
        <f>VLOOKUP($A431,'Medical Examinations'!$A:$J,3,FALSE)</f>
        <v>25.85</v>
      </c>
      <c r="M430">
        <f>VLOOKUP($A430,'Hospitalisation Details'!$A:$K,6,FALSE)</f>
        <v>24227.34</v>
      </c>
      <c r="N430" s="11">
        <f>VLOOKUP($B430,'Hospitalisation Details'!A429:J2773,10,0)</f>
        <v>32440</v>
      </c>
      <c r="O430" t="str">
        <f>VLOOKUP($B430,'Hospitalisation Details'!A429:J2773,8,0)</f>
        <v>tier - 1</v>
      </c>
      <c r="P430" t="str">
        <f>VLOOKUP($B430,'Hospitalisation Details'!A429:J2773,7,0)</f>
        <v>tier - 3</v>
      </c>
      <c r="Q430" t="str">
        <f>VLOOKUP($B430,'Hospitalisation Details'!A429:J2773,9,0)</f>
        <v>R1013</v>
      </c>
      <c r="R430">
        <f>VLOOKUP($B430,'Hospitalisation Details'!A429:K2773,11,0)</f>
        <v>34</v>
      </c>
    </row>
    <row r="431" spans="1:18" x14ac:dyDescent="0.35">
      <c r="A431" t="s">
        <v>1942</v>
      </c>
      <c r="B431" t="s">
        <v>460</v>
      </c>
      <c r="C431" t="str">
        <f>VLOOKUP($A431,'Customer Names'!$A:$E,4,FALSE)</f>
        <v>Serena M.</v>
      </c>
      <c r="D431" t="str">
        <f>VLOOKUP($A431,'Medical Examinations'!$A:$J,2,FALSE)</f>
        <v>Overweight</v>
      </c>
      <c r="E431">
        <f>VLOOKUP($A431,'Medical Examinations'!$A:$J,4,FALSE)</f>
        <v>10.16</v>
      </c>
      <c r="F431" t="str">
        <f>VLOOKUP($A431,'Medical Examinations'!$A:$J,6,FALSE)</f>
        <v>No</v>
      </c>
      <c r="G431" t="str">
        <f>VLOOKUP($A431,'Medical Examinations'!$A:$J,7,FALSE)</f>
        <v>No</v>
      </c>
      <c r="H431" t="str">
        <f>VLOOKUP($A431,'Medical Examinations'!$A:$J,8,FALSE)</f>
        <v>No</v>
      </c>
      <c r="I431">
        <f>VLOOKUP($A431,'Medical Examinations'!$A:$J,9,FALSE)</f>
        <v>0</v>
      </c>
      <c r="J431" t="str">
        <f>VLOOKUP($A431,'Medical Examinations'!$A:$J,10,FALSE)</f>
        <v>yes</v>
      </c>
      <c r="K431" t="str">
        <f>VLOOKUP($A431,'Medical Examinations'!$A:$J,5,FALSE)</f>
        <v>Diabetes</v>
      </c>
      <c r="L431">
        <f>VLOOKUP($A432,'Medical Examinations'!$A:$J,3,FALSE)</f>
        <v>23.844999999999999</v>
      </c>
      <c r="M431">
        <f>VLOOKUP($A431,'Hospitalisation Details'!$A:$K,6,FALSE)</f>
        <v>24180.93</v>
      </c>
      <c r="N431" s="11">
        <f>VLOOKUP($B431,'Hospitalisation Details'!A430:J2774,10,0)</f>
        <v>34241</v>
      </c>
      <c r="O431" t="str">
        <f>VLOOKUP($B431,'Hospitalisation Details'!A430:J2774,8,0)</f>
        <v>tier - 3</v>
      </c>
      <c r="P431" t="str">
        <f>VLOOKUP($B431,'Hospitalisation Details'!A430:J2774,7,0)</f>
        <v>tier - 2</v>
      </c>
      <c r="Q431" t="str">
        <f>VLOOKUP($B431,'Hospitalisation Details'!A430:J2774,9,0)</f>
        <v>R1024</v>
      </c>
      <c r="R431">
        <f>VLOOKUP($B431,'Hospitalisation Details'!A430:K2774,11,0)</f>
        <v>29</v>
      </c>
    </row>
    <row r="432" spans="1:18" x14ac:dyDescent="0.35">
      <c r="A432" t="s">
        <v>1941</v>
      </c>
      <c r="B432" t="s">
        <v>461</v>
      </c>
      <c r="C432" t="str">
        <f>VLOOKUP($A432,'Customer Names'!$A:$E,4,FALSE)</f>
        <v>Victoria M.</v>
      </c>
      <c r="D432" t="str">
        <f>VLOOKUP($A432,'Medical Examinations'!$A:$J,2,FALSE)</f>
        <v>Normal Weight</v>
      </c>
      <c r="E432">
        <f>VLOOKUP($A432,'Medical Examinations'!$A:$J,4,FALSE)</f>
        <v>11.71</v>
      </c>
      <c r="F432" t="str">
        <f>VLOOKUP($A432,'Medical Examinations'!$A:$J,6,FALSE)</f>
        <v>No</v>
      </c>
      <c r="G432" t="str">
        <f>VLOOKUP($A432,'Medical Examinations'!$A:$J,7,FALSE)</f>
        <v>No</v>
      </c>
      <c r="H432" t="str">
        <f>VLOOKUP($A432,'Medical Examinations'!$A:$J,8,FALSE)</f>
        <v>No</v>
      </c>
      <c r="I432">
        <f>VLOOKUP($A432,'Medical Examinations'!$A:$J,9,FALSE)</f>
        <v>2</v>
      </c>
      <c r="J432" t="str">
        <f>VLOOKUP($A432,'Medical Examinations'!$A:$J,10,FALSE)</f>
        <v>yes</v>
      </c>
      <c r="K432" t="str">
        <f>VLOOKUP($A432,'Medical Examinations'!$A:$J,5,FALSE)</f>
        <v>Diabetes</v>
      </c>
      <c r="L432">
        <f>VLOOKUP($A433,'Medical Examinations'!$A:$J,3,FALSE)</f>
        <v>30.59</v>
      </c>
      <c r="M432">
        <f>VLOOKUP($A432,'Hospitalisation Details'!$A:$K,6,FALSE)</f>
        <v>24106.91</v>
      </c>
      <c r="N432" s="11">
        <f>VLOOKUP($B432,'Hospitalisation Details'!A431:J2775,10,0)</f>
        <v>34284</v>
      </c>
      <c r="O432" t="str">
        <f>VLOOKUP($B432,'Hospitalisation Details'!A431:J2775,8,0)</f>
        <v>tier - 2</v>
      </c>
      <c r="P432" t="str">
        <f>VLOOKUP($B432,'Hospitalisation Details'!A431:J2775,7,0)</f>
        <v>tier - 2</v>
      </c>
      <c r="Q432" t="str">
        <f>VLOOKUP($B432,'Hospitalisation Details'!A431:J2775,9,0)</f>
        <v>R1013</v>
      </c>
      <c r="R432">
        <f>VLOOKUP($B432,'Hospitalisation Details'!A431:K2775,11,0)</f>
        <v>29</v>
      </c>
    </row>
    <row r="433" spans="1:18" x14ac:dyDescent="0.35">
      <c r="A433" t="s">
        <v>1940</v>
      </c>
      <c r="B433" t="s">
        <v>462</v>
      </c>
      <c r="C433" t="str">
        <f>VLOOKUP($A433,'Customer Names'!$A:$E,4,FALSE)</f>
        <v>Phoebe</v>
      </c>
      <c r="D433" t="str">
        <f>VLOOKUP($A433,'Medical Examinations'!$A:$J,2,FALSE)</f>
        <v>Obesity</v>
      </c>
      <c r="E433">
        <f>VLOOKUP($A433,'Medical Examinations'!$A:$J,4,FALSE)</f>
        <v>5.23</v>
      </c>
      <c r="F433" t="str">
        <f>VLOOKUP($A433,'Medical Examinations'!$A:$J,6,FALSE)</f>
        <v>No</v>
      </c>
      <c r="G433" t="str">
        <f>VLOOKUP($A433,'Medical Examinations'!$A:$J,7,FALSE)</f>
        <v>No</v>
      </c>
      <c r="H433" t="str">
        <f>VLOOKUP($A433,'Medical Examinations'!$A:$J,8,FALSE)</f>
        <v>Yes</v>
      </c>
      <c r="I433">
        <f>VLOOKUP($A433,'Medical Examinations'!$A:$J,9,FALSE)</f>
        <v>1</v>
      </c>
      <c r="J433" t="str">
        <f>VLOOKUP($A433,'Medical Examinations'!$A:$J,10,FALSE)</f>
        <v>No</v>
      </c>
      <c r="K433" t="str">
        <f>VLOOKUP($A433,'Medical Examinations'!$A:$J,5,FALSE)</f>
        <v>Normal</v>
      </c>
      <c r="L433">
        <f>VLOOKUP($A434,'Medical Examinations'!$A:$J,3,FALSE)</f>
        <v>24.795000000000002</v>
      </c>
      <c r="M433">
        <f>VLOOKUP($A433,'Hospitalisation Details'!$A:$K,6,FALSE)</f>
        <v>24059.68</v>
      </c>
      <c r="N433" s="11">
        <f>VLOOKUP($B433,'Hospitalisation Details'!A432:J2776,10,0)</f>
        <v>36351</v>
      </c>
      <c r="O433" t="str">
        <f>VLOOKUP($B433,'Hospitalisation Details'!A432:J2776,8,0)</f>
        <v>tier - 3</v>
      </c>
      <c r="P433" t="str">
        <f>VLOOKUP($B433,'Hospitalisation Details'!A432:J2776,7,0)</f>
        <v>tier - 2</v>
      </c>
      <c r="Q433" t="str">
        <f>VLOOKUP($B433,'Hospitalisation Details'!A432:J2776,9,0)</f>
        <v>R1021</v>
      </c>
      <c r="R433">
        <f>VLOOKUP($B433,'Hospitalisation Details'!A432:K2776,11,0)</f>
        <v>23</v>
      </c>
    </row>
    <row r="434" spans="1:18" x14ac:dyDescent="0.35">
      <c r="A434" t="s">
        <v>1939</v>
      </c>
      <c r="B434" t="s">
        <v>463</v>
      </c>
      <c r="C434" t="str">
        <f>VLOOKUP($A434,'Customer Names'!$A:$E,4,FALSE)</f>
        <v>Corey</v>
      </c>
      <c r="D434" t="str">
        <f>VLOOKUP($A434,'Medical Examinations'!$A:$J,2,FALSE)</f>
        <v>Normal Weight</v>
      </c>
      <c r="E434">
        <f>VLOOKUP($A434,'Medical Examinations'!$A:$J,4,FALSE)</f>
        <v>6.85</v>
      </c>
      <c r="F434" t="str">
        <f>VLOOKUP($A434,'Medical Examinations'!$A:$J,6,FALSE)</f>
        <v>No</v>
      </c>
      <c r="G434" t="str">
        <f>VLOOKUP($A434,'Medical Examinations'!$A:$J,7,FALSE)</f>
        <v>No</v>
      </c>
      <c r="H434" t="str">
        <f>VLOOKUP($A434,'Medical Examinations'!$A:$J,8,FALSE)</f>
        <v>No</v>
      </c>
      <c r="I434">
        <f>VLOOKUP($A434,'Medical Examinations'!$A:$J,9,FALSE)</f>
        <v>0</v>
      </c>
      <c r="J434" t="str">
        <f>VLOOKUP($A434,'Medical Examinations'!$A:$J,10,FALSE)</f>
        <v>yes</v>
      </c>
      <c r="K434" t="str">
        <f>VLOOKUP($A434,'Medical Examinations'!$A:$J,5,FALSE)</f>
        <v>Diabetes</v>
      </c>
      <c r="L434">
        <f>VLOOKUP($A435,'Medical Examinations'!$A:$J,3,FALSE)</f>
        <v>24.13</v>
      </c>
      <c r="M434">
        <f>VLOOKUP($A434,'Hospitalisation Details'!$A:$K,6,FALSE)</f>
        <v>23967.38</v>
      </c>
      <c r="N434" s="11">
        <f>VLOOKUP($B434,'Hospitalisation Details'!A433:J2777,10,0)</f>
        <v>34891</v>
      </c>
      <c r="O434" t="str">
        <f>VLOOKUP($B434,'Hospitalisation Details'!A433:J2777,8,0)</f>
        <v>tier - 2</v>
      </c>
      <c r="P434" t="str">
        <f>VLOOKUP($B434,'Hospitalisation Details'!A433:J2777,7,0)</f>
        <v>tier - 2</v>
      </c>
      <c r="Q434" t="str">
        <f>VLOOKUP($B434,'Hospitalisation Details'!A433:J2777,9,0)</f>
        <v>R1012</v>
      </c>
      <c r="R434">
        <f>VLOOKUP($B434,'Hospitalisation Details'!A433:K2777,11,0)</f>
        <v>27</v>
      </c>
    </row>
    <row r="435" spans="1:18" x14ac:dyDescent="0.35">
      <c r="A435" t="s">
        <v>1938</v>
      </c>
      <c r="B435" t="s">
        <v>464</v>
      </c>
      <c r="C435" t="str">
        <f>VLOOKUP($A435,'Customer Names'!$A:$E,4,FALSE)</f>
        <v>Rebecca</v>
      </c>
      <c r="D435" t="str">
        <f>VLOOKUP($A435,'Medical Examinations'!$A:$J,2,FALSE)</f>
        <v>Normal Weight</v>
      </c>
      <c r="E435">
        <f>VLOOKUP($A435,'Medical Examinations'!$A:$J,4,FALSE)</f>
        <v>7.05</v>
      </c>
      <c r="F435" t="str">
        <f>VLOOKUP($A435,'Medical Examinations'!$A:$J,6,FALSE)</f>
        <v>yes</v>
      </c>
      <c r="G435" t="str">
        <f>VLOOKUP($A435,'Medical Examinations'!$A:$J,7,FALSE)</f>
        <v>No</v>
      </c>
      <c r="H435" t="str">
        <f>VLOOKUP($A435,'Medical Examinations'!$A:$J,8,FALSE)</f>
        <v>No</v>
      </c>
      <c r="I435">
        <f>VLOOKUP($A435,'Medical Examinations'!$A:$J,9,FALSE)</f>
        <v>2</v>
      </c>
      <c r="J435" t="str">
        <f>VLOOKUP($A435,'Medical Examinations'!$A:$J,10,FALSE)</f>
        <v>yes</v>
      </c>
      <c r="K435" t="str">
        <f>VLOOKUP($A435,'Medical Examinations'!$A:$J,5,FALSE)</f>
        <v>Diabetes</v>
      </c>
      <c r="L435">
        <f>VLOOKUP($A436,'Medical Examinations'!$A:$J,3,FALSE)</f>
        <v>25.84</v>
      </c>
      <c r="M435">
        <f>VLOOKUP($A435,'Hospitalisation Details'!$A:$K,6,FALSE)</f>
        <v>23887.66</v>
      </c>
      <c r="N435" s="11">
        <f>VLOOKUP($B435,'Hospitalisation Details'!A434:J2778,10,0)</f>
        <v>33083</v>
      </c>
      <c r="O435" t="str">
        <f>VLOOKUP($B435,'Hospitalisation Details'!A434:J2778,8,0)</f>
        <v>tier - 3</v>
      </c>
      <c r="P435" t="str">
        <f>VLOOKUP($B435,'Hospitalisation Details'!A434:J2778,7,0)</f>
        <v>tier - 2</v>
      </c>
      <c r="Q435" t="str">
        <f>VLOOKUP($B435,'Hospitalisation Details'!A434:J2778,9,0)</f>
        <v>R1013</v>
      </c>
      <c r="R435">
        <f>VLOOKUP($B435,'Hospitalisation Details'!A434:K2778,11,0)</f>
        <v>32</v>
      </c>
    </row>
    <row r="436" spans="1:18" x14ac:dyDescent="0.35">
      <c r="A436" t="s">
        <v>1937</v>
      </c>
      <c r="B436" t="s">
        <v>465</v>
      </c>
      <c r="C436" t="str">
        <f>VLOOKUP($A436,'Customer Names'!$A:$E,4,FALSE)</f>
        <v>Nicholas D</v>
      </c>
      <c r="D436" t="str">
        <f>VLOOKUP($A436,'Medical Examinations'!$A:$J,2,FALSE)</f>
        <v>Overweight</v>
      </c>
      <c r="E436">
        <f>VLOOKUP($A436,'Medical Examinations'!$A:$J,4,FALSE)</f>
        <v>11.64</v>
      </c>
      <c r="F436" t="str">
        <f>VLOOKUP($A436,'Medical Examinations'!$A:$J,6,FALSE)</f>
        <v>No</v>
      </c>
      <c r="G436" t="str">
        <f>VLOOKUP($A436,'Medical Examinations'!$A:$J,7,FALSE)</f>
        <v>No</v>
      </c>
      <c r="H436" t="str">
        <f>VLOOKUP($A436,'Medical Examinations'!$A:$J,8,FALSE)</f>
        <v>No</v>
      </c>
      <c r="I436">
        <f>VLOOKUP($A436,'Medical Examinations'!$A:$J,9,FALSE)</f>
        <v>2</v>
      </c>
      <c r="J436" t="str">
        <f>VLOOKUP($A436,'Medical Examinations'!$A:$J,10,FALSE)</f>
        <v>yes</v>
      </c>
      <c r="K436" t="str">
        <f>VLOOKUP($A436,'Medical Examinations'!$A:$J,5,FALSE)</f>
        <v>Diabetes</v>
      </c>
      <c r="L436">
        <f>VLOOKUP($A437,'Medical Examinations'!$A:$J,3,FALSE)</f>
        <v>28</v>
      </c>
      <c r="M436">
        <f>VLOOKUP($A436,'Hospitalisation Details'!$A:$K,6,FALSE)</f>
        <v>23807.24</v>
      </c>
      <c r="N436" s="11">
        <f>VLOOKUP($B436,'Hospitalisation Details'!A435:J2779,10,0)</f>
        <v>35294</v>
      </c>
      <c r="O436" t="str">
        <f>VLOOKUP($B436,'Hospitalisation Details'!A435:J2779,8,0)</f>
        <v>tier - 2</v>
      </c>
      <c r="P436" t="str">
        <f>VLOOKUP($B436,'Hospitalisation Details'!A435:J2779,7,0)</f>
        <v>tier - 2</v>
      </c>
      <c r="Q436" t="str">
        <f>VLOOKUP($B436,'Hospitalisation Details'!A435:J2779,9,0)</f>
        <v>R1013</v>
      </c>
      <c r="R436">
        <f>VLOOKUP($B436,'Hospitalisation Details'!A435:K2779,11,0)</f>
        <v>26</v>
      </c>
    </row>
    <row r="437" spans="1:18" x14ac:dyDescent="0.35">
      <c r="A437" t="s">
        <v>1936</v>
      </c>
      <c r="B437" t="s">
        <v>466</v>
      </c>
      <c r="C437" t="str">
        <f>VLOOKUP($A437,'Customer Names'!$A:$E,4,FALSE)</f>
        <v>Christian</v>
      </c>
      <c r="D437" t="str">
        <f>VLOOKUP($A437,'Medical Examinations'!$A:$J,2,FALSE)</f>
        <v>Overweight</v>
      </c>
      <c r="E437">
        <f>VLOOKUP($A437,'Medical Examinations'!$A:$J,4,FALSE)</f>
        <v>10.52</v>
      </c>
      <c r="F437" t="str">
        <f>VLOOKUP($A437,'Medical Examinations'!$A:$J,6,FALSE)</f>
        <v>No</v>
      </c>
      <c r="G437" t="str">
        <f>VLOOKUP($A437,'Medical Examinations'!$A:$J,7,FALSE)</f>
        <v>No</v>
      </c>
      <c r="H437" t="str">
        <f>VLOOKUP($A437,'Medical Examinations'!$A:$J,8,FALSE)</f>
        <v>No</v>
      </c>
      <c r="I437">
        <f>VLOOKUP($A437,'Medical Examinations'!$A:$J,9,FALSE)</f>
        <v>0</v>
      </c>
      <c r="J437" t="str">
        <f>VLOOKUP($A437,'Medical Examinations'!$A:$J,10,FALSE)</f>
        <v>yes</v>
      </c>
      <c r="K437" t="str">
        <f>VLOOKUP($A437,'Medical Examinations'!$A:$J,5,FALSE)</f>
        <v>Diabetes</v>
      </c>
      <c r="L437">
        <f>VLOOKUP($A438,'Medical Examinations'!$A:$J,3,FALSE)</f>
        <v>34.1</v>
      </c>
      <c r="M437">
        <f>VLOOKUP($A437,'Hospitalisation Details'!$A:$K,6,FALSE)</f>
        <v>23568.27</v>
      </c>
      <c r="N437" s="11">
        <f>VLOOKUP($B437,'Hospitalisation Details'!A436:J2780,10,0)</f>
        <v>35316</v>
      </c>
      <c r="O437" t="str">
        <f>VLOOKUP($B437,'Hospitalisation Details'!A436:J2780,8,0)</f>
        <v>tier - 2</v>
      </c>
      <c r="P437" t="str">
        <f>VLOOKUP($B437,'Hospitalisation Details'!A436:J2780,7,0)</f>
        <v>tier - 2</v>
      </c>
      <c r="Q437" t="str">
        <f>VLOOKUP($B437,'Hospitalisation Details'!A436:J2780,9,0)</f>
        <v>R1011</v>
      </c>
      <c r="R437">
        <f>VLOOKUP($B437,'Hospitalisation Details'!A436:K2780,11,0)</f>
        <v>26</v>
      </c>
    </row>
    <row r="438" spans="1:18" x14ac:dyDescent="0.35">
      <c r="A438" t="s">
        <v>1935</v>
      </c>
      <c r="B438" t="s">
        <v>467</v>
      </c>
      <c r="C438" t="str">
        <f>VLOOKUP($A438,'Customer Names'!$A:$E,4,FALSE)</f>
        <v>Jonathon S.</v>
      </c>
      <c r="D438" t="str">
        <f>VLOOKUP($A438,'Medical Examinations'!$A:$J,2,FALSE)</f>
        <v>Obesity</v>
      </c>
      <c r="E438">
        <f>VLOOKUP($A438,'Medical Examinations'!$A:$J,4,FALSE)</f>
        <v>4.01</v>
      </c>
      <c r="F438" t="str">
        <f>VLOOKUP($A438,'Medical Examinations'!$A:$J,6,FALSE)</f>
        <v>yes</v>
      </c>
      <c r="G438" t="str">
        <f>VLOOKUP($A438,'Medical Examinations'!$A:$J,7,FALSE)</f>
        <v>No</v>
      </c>
      <c r="H438" t="str">
        <f>VLOOKUP($A438,'Medical Examinations'!$A:$J,8,FALSE)</f>
        <v>Yes</v>
      </c>
      <c r="I438">
        <f>VLOOKUP($A438,'Medical Examinations'!$A:$J,9,FALSE)</f>
        <v>1</v>
      </c>
      <c r="J438" t="str">
        <f>VLOOKUP($A438,'Medical Examinations'!$A:$J,10,FALSE)</f>
        <v>No</v>
      </c>
      <c r="K438" t="str">
        <f>VLOOKUP($A438,'Medical Examinations'!$A:$J,5,FALSE)</f>
        <v>Normal</v>
      </c>
      <c r="L438">
        <f>VLOOKUP($A439,'Medical Examinations'!$A:$J,3,FALSE)</f>
        <v>26.125</v>
      </c>
      <c r="M438">
        <f>VLOOKUP($A438,'Hospitalisation Details'!$A:$K,6,FALSE)</f>
        <v>23563.02</v>
      </c>
      <c r="N438" s="11">
        <f>VLOOKUP($B438,'Hospitalisation Details'!A437:J2781,10,0)</f>
        <v>33199</v>
      </c>
      <c r="O438" t="str">
        <f>VLOOKUP($B438,'Hospitalisation Details'!A437:J2781,8,0)</f>
        <v>tier - 2</v>
      </c>
      <c r="P438" t="str">
        <f>VLOOKUP($B438,'Hospitalisation Details'!A437:J2781,7,0)</f>
        <v>tier - 2</v>
      </c>
      <c r="Q438" t="str">
        <f>VLOOKUP($B438,'Hospitalisation Details'!A437:J2781,9,0)</f>
        <v>R1011</v>
      </c>
      <c r="R438">
        <f>VLOOKUP($B438,'Hospitalisation Details'!A437:K2781,11,0)</f>
        <v>32</v>
      </c>
    </row>
    <row r="439" spans="1:18" x14ac:dyDescent="0.35">
      <c r="A439" t="s">
        <v>1934</v>
      </c>
      <c r="B439" t="s">
        <v>468</v>
      </c>
      <c r="C439" t="str">
        <f>VLOOKUP($A439,'Customer Names'!$A:$E,4,FALSE)</f>
        <v>Caroline</v>
      </c>
      <c r="D439" t="str">
        <f>VLOOKUP($A439,'Medical Examinations'!$A:$J,2,FALSE)</f>
        <v>Overweight</v>
      </c>
      <c r="E439">
        <f>VLOOKUP($A439,'Medical Examinations'!$A:$J,4,FALSE)</f>
        <v>8.56</v>
      </c>
      <c r="F439" t="str">
        <f>VLOOKUP($A439,'Medical Examinations'!$A:$J,6,FALSE)</f>
        <v>yes</v>
      </c>
      <c r="G439" t="str">
        <f>VLOOKUP($A439,'Medical Examinations'!$A:$J,7,FALSE)</f>
        <v>No</v>
      </c>
      <c r="H439" t="str">
        <f>VLOOKUP($A439,'Medical Examinations'!$A:$J,8,FALSE)</f>
        <v>No</v>
      </c>
      <c r="I439">
        <f>VLOOKUP($A439,'Medical Examinations'!$A:$J,9,FALSE)</f>
        <v>1</v>
      </c>
      <c r="J439" t="str">
        <f>VLOOKUP($A439,'Medical Examinations'!$A:$J,10,FALSE)</f>
        <v>yes</v>
      </c>
      <c r="K439" t="str">
        <f>VLOOKUP($A439,'Medical Examinations'!$A:$J,5,FALSE)</f>
        <v>Diabetes</v>
      </c>
      <c r="L439">
        <f>VLOOKUP($A440,'Medical Examinations'!$A:$J,3,FALSE)</f>
        <v>25.6</v>
      </c>
      <c r="M439">
        <f>VLOOKUP($A439,'Hospitalisation Details'!$A:$K,6,FALSE)</f>
        <v>23401.31</v>
      </c>
      <c r="N439" s="11">
        <f>VLOOKUP($B439,'Hospitalisation Details'!A438:J2782,10,0)</f>
        <v>33178</v>
      </c>
      <c r="O439" t="str">
        <f>VLOOKUP($B439,'Hospitalisation Details'!A438:J2782,8,0)</f>
        <v>tier - 2</v>
      </c>
      <c r="P439" t="str">
        <f>VLOOKUP($B439,'Hospitalisation Details'!A438:J2782,7,0)</f>
        <v>tier - 2</v>
      </c>
      <c r="Q439" t="str">
        <f>VLOOKUP($B439,'Hospitalisation Details'!A438:J2782,9,0)</f>
        <v>R1013</v>
      </c>
      <c r="R439">
        <f>VLOOKUP($B439,'Hospitalisation Details'!A438:K2782,11,0)</f>
        <v>32</v>
      </c>
    </row>
    <row r="440" spans="1:18" x14ac:dyDescent="0.35">
      <c r="A440" t="s">
        <v>1933</v>
      </c>
      <c r="B440" t="s">
        <v>469</v>
      </c>
      <c r="C440" t="str">
        <f>VLOOKUP($A440,'Customer Names'!$A:$E,4,FALSE)</f>
        <v>Joshua D.</v>
      </c>
      <c r="D440" t="str">
        <f>VLOOKUP($A440,'Medical Examinations'!$A:$J,2,FALSE)</f>
        <v>Overweight</v>
      </c>
      <c r="E440">
        <f>VLOOKUP($A440,'Medical Examinations'!$A:$J,4,FALSE)</f>
        <v>10.5</v>
      </c>
      <c r="F440" t="str">
        <f>VLOOKUP($A440,'Medical Examinations'!$A:$J,6,FALSE)</f>
        <v>No</v>
      </c>
      <c r="G440" t="str">
        <f>VLOOKUP($A440,'Medical Examinations'!$A:$J,7,FALSE)</f>
        <v>No</v>
      </c>
      <c r="H440" t="str">
        <f>VLOOKUP($A440,'Medical Examinations'!$A:$J,8,FALSE)</f>
        <v>No</v>
      </c>
      <c r="I440">
        <f>VLOOKUP($A440,'Medical Examinations'!$A:$J,9,FALSE)</f>
        <v>2</v>
      </c>
      <c r="J440" t="str">
        <f>VLOOKUP($A440,'Medical Examinations'!$A:$J,10,FALSE)</f>
        <v>yes</v>
      </c>
      <c r="K440" t="str">
        <f>VLOOKUP($A440,'Medical Examinations'!$A:$J,5,FALSE)</f>
        <v>Diabetes</v>
      </c>
      <c r="L440">
        <f>VLOOKUP($A441,'Medical Examinations'!$A:$J,3,FALSE)</f>
        <v>24.32</v>
      </c>
      <c r="M440">
        <f>VLOOKUP($A440,'Hospitalisation Details'!$A:$K,6,FALSE)</f>
        <v>23306.55</v>
      </c>
      <c r="N440" s="11">
        <f>VLOOKUP($B440,'Hospitalisation Details'!A439:J2783,10,0)</f>
        <v>32699</v>
      </c>
      <c r="O440" t="str">
        <f>VLOOKUP($B440,'Hospitalisation Details'!A439:J2783,8,0)</f>
        <v>tier - 1</v>
      </c>
      <c r="P440" t="str">
        <f>VLOOKUP($B440,'Hospitalisation Details'!A439:J2783,7,0)</f>
        <v>tier - 2</v>
      </c>
      <c r="Q440" t="str">
        <f>VLOOKUP($B440,'Hospitalisation Details'!A439:J2783,9,0)</f>
        <v>R1013</v>
      </c>
      <c r="R440">
        <f>VLOOKUP($B440,'Hospitalisation Details'!A439:K2783,11,0)</f>
        <v>33</v>
      </c>
    </row>
    <row r="441" spans="1:18" x14ac:dyDescent="0.35">
      <c r="A441" t="s">
        <v>1932</v>
      </c>
      <c r="B441" t="s">
        <v>470</v>
      </c>
      <c r="C441" t="str">
        <f>VLOOKUP($A441,'Customer Names'!$A:$E,4,FALSE)</f>
        <v>Nichole</v>
      </c>
      <c r="D441" t="str">
        <f>VLOOKUP($A441,'Medical Examinations'!$A:$J,2,FALSE)</f>
        <v>Normal Weight</v>
      </c>
      <c r="E441">
        <f>VLOOKUP($A441,'Medical Examinations'!$A:$J,4,FALSE)</f>
        <v>6.39</v>
      </c>
      <c r="F441" t="str">
        <f>VLOOKUP($A441,'Medical Examinations'!$A:$J,6,FALSE)</f>
        <v>No</v>
      </c>
      <c r="G441" t="str">
        <f>VLOOKUP($A441,'Medical Examinations'!$A:$J,7,FALSE)</f>
        <v>No</v>
      </c>
      <c r="H441" t="str">
        <f>VLOOKUP($A441,'Medical Examinations'!$A:$J,8,FALSE)</f>
        <v>No</v>
      </c>
      <c r="I441">
        <f>VLOOKUP($A441,'Medical Examinations'!$A:$J,9,FALSE)</f>
        <v>0</v>
      </c>
      <c r="J441" t="str">
        <f>VLOOKUP($A441,'Medical Examinations'!$A:$J,10,FALSE)</f>
        <v>No</v>
      </c>
      <c r="K441" t="str">
        <f>VLOOKUP($A441,'Medical Examinations'!$A:$J,5,FALSE)</f>
        <v>Prediabetes</v>
      </c>
      <c r="L441">
        <f>VLOOKUP($A442,'Medical Examinations'!$A:$J,3,FALSE)</f>
        <v>22.88</v>
      </c>
      <c r="M441">
        <f>VLOOKUP($A441,'Hospitalisation Details'!$A:$K,6,FALSE)</f>
        <v>23288.93</v>
      </c>
      <c r="N441" s="11">
        <f>VLOOKUP($B441,'Hospitalisation Details'!A440:J2784,10,0)</f>
        <v>36782</v>
      </c>
      <c r="O441" t="str">
        <f>VLOOKUP($B441,'Hospitalisation Details'!A440:J2784,8,0)</f>
        <v>tier - 1</v>
      </c>
      <c r="P441" t="str">
        <f>VLOOKUP($B441,'Hospitalisation Details'!A440:J2784,7,0)</f>
        <v>tier - 2</v>
      </c>
      <c r="Q441" t="str">
        <f>VLOOKUP($B441,'Hospitalisation Details'!A440:J2784,9,0)</f>
        <v>R1015</v>
      </c>
      <c r="R441">
        <f>VLOOKUP($B441,'Hospitalisation Details'!A440:K2784,11,0)</f>
        <v>22</v>
      </c>
    </row>
    <row r="442" spans="1:18" x14ac:dyDescent="0.35">
      <c r="A442" t="s">
        <v>1931</v>
      </c>
      <c r="B442" t="s">
        <v>471</v>
      </c>
      <c r="C442" t="str">
        <f>VLOOKUP($A442,'Customer Names'!$A:$E,4,FALSE)</f>
        <v>Denise M</v>
      </c>
      <c r="D442" t="str">
        <f>VLOOKUP($A442,'Medical Examinations'!$A:$J,2,FALSE)</f>
        <v>Normal Weight</v>
      </c>
      <c r="E442">
        <f>VLOOKUP($A442,'Medical Examinations'!$A:$J,4,FALSE)</f>
        <v>5.71</v>
      </c>
      <c r="F442" t="str">
        <f>VLOOKUP($A442,'Medical Examinations'!$A:$J,6,FALSE)</f>
        <v>yes</v>
      </c>
      <c r="G442" t="str">
        <f>VLOOKUP($A442,'Medical Examinations'!$A:$J,7,FALSE)</f>
        <v>No</v>
      </c>
      <c r="H442" t="str">
        <f>VLOOKUP($A442,'Medical Examinations'!$A:$J,8,FALSE)</f>
        <v>Yes</v>
      </c>
      <c r="I442">
        <f>VLOOKUP($A442,'Medical Examinations'!$A:$J,9,FALSE)</f>
        <v>1</v>
      </c>
      <c r="J442" t="str">
        <f>VLOOKUP($A442,'Medical Examinations'!$A:$J,10,FALSE)</f>
        <v>yes</v>
      </c>
      <c r="K442" t="str">
        <f>VLOOKUP($A442,'Medical Examinations'!$A:$J,5,FALSE)</f>
        <v>Prediabetes</v>
      </c>
      <c r="L442">
        <f>VLOOKUP($A443,'Medical Examinations'!$A:$J,3,FALSE)</f>
        <v>24.984999999999999</v>
      </c>
      <c r="M442">
        <f>VLOOKUP($A442,'Hospitalisation Details'!$A:$K,6,FALSE)</f>
        <v>23244.79</v>
      </c>
      <c r="N442" s="11">
        <f>VLOOKUP($B442,'Hospitalisation Details'!A441:J2785,10,0)</f>
        <v>33888</v>
      </c>
      <c r="O442" t="str">
        <f>VLOOKUP($B442,'Hospitalisation Details'!A441:J2785,8,0)</f>
        <v>tier - 3</v>
      </c>
      <c r="P442" t="str">
        <f>VLOOKUP($B442,'Hospitalisation Details'!A441:J2785,7,0)</f>
        <v>tier - 3</v>
      </c>
      <c r="Q442" t="str">
        <f>VLOOKUP($B442,'Hospitalisation Details'!A441:J2785,9,0)</f>
        <v>R1012</v>
      </c>
      <c r="R442">
        <f>VLOOKUP($B442,'Hospitalisation Details'!A441:K2785,11,0)</f>
        <v>30</v>
      </c>
    </row>
    <row r="443" spans="1:18" x14ac:dyDescent="0.35">
      <c r="A443" t="s">
        <v>1930</v>
      </c>
      <c r="B443" t="s">
        <v>472</v>
      </c>
      <c r="C443" t="str">
        <f>VLOOKUP($A443,'Customer Names'!$A:$E,4,FALSE)</f>
        <v>Peter R.</v>
      </c>
      <c r="D443" t="str">
        <f>VLOOKUP($A443,'Medical Examinations'!$A:$J,2,FALSE)</f>
        <v>Normal Weight</v>
      </c>
      <c r="E443">
        <f>VLOOKUP($A443,'Medical Examinations'!$A:$J,4,FALSE)</f>
        <v>4.43</v>
      </c>
      <c r="F443" t="str">
        <f>VLOOKUP($A443,'Medical Examinations'!$A:$J,6,FALSE)</f>
        <v>yes</v>
      </c>
      <c r="G443" t="str">
        <f>VLOOKUP($A443,'Medical Examinations'!$A:$J,7,FALSE)</f>
        <v>No</v>
      </c>
      <c r="H443" t="str">
        <f>VLOOKUP($A443,'Medical Examinations'!$A:$J,8,FALSE)</f>
        <v>Yes</v>
      </c>
      <c r="I443">
        <f>VLOOKUP($A443,'Medical Examinations'!$A:$J,9,FALSE)</f>
        <v>1</v>
      </c>
      <c r="J443" t="str">
        <f>VLOOKUP($A443,'Medical Examinations'!$A:$J,10,FALSE)</f>
        <v>No</v>
      </c>
      <c r="K443" t="str">
        <f>VLOOKUP($A443,'Medical Examinations'!$A:$J,5,FALSE)</f>
        <v>Normal</v>
      </c>
      <c r="L443">
        <f>VLOOKUP($A444,'Medical Examinations'!$A:$J,3,FALSE)</f>
        <v>33.1</v>
      </c>
      <c r="M443">
        <f>VLOOKUP($A443,'Hospitalisation Details'!$A:$K,6,FALSE)</f>
        <v>23241.47</v>
      </c>
      <c r="N443" s="11">
        <f>VLOOKUP($B443,'Hospitalisation Details'!A442:J2786,10,0)</f>
        <v>30870</v>
      </c>
      <c r="O443" t="str">
        <f>VLOOKUP($B443,'Hospitalisation Details'!A442:J2786,8,0)</f>
        <v>tier - 1</v>
      </c>
      <c r="P443" t="str">
        <f>VLOOKUP($B443,'Hospitalisation Details'!A442:J2786,7,0)</f>
        <v>tier - 2</v>
      </c>
      <c r="Q443" t="str">
        <f>VLOOKUP($B443,'Hospitalisation Details'!A442:J2786,9,0)</f>
        <v>R1013</v>
      </c>
      <c r="R443">
        <f>VLOOKUP($B443,'Hospitalisation Details'!A442:K2786,11,0)</f>
        <v>38</v>
      </c>
    </row>
    <row r="444" spans="1:18" x14ac:dyDescent="0.35">
      <c r="A444" t="s">
        <v>1929</v>
      </c>
      <c r="B444" t="s">
        <v>473</v>
      </c>
      <c r="C444" t="str">
        <f>VLOOKUP($A444,'Customer Names'!$A:$E,4,FALSE)</f>
        <v>Johnson K</v>
      </c>
      <c r="D444" t="str">
        <f>VLOOKUP($A444,'Medical Examinations'!$A:$J,2,FALSE)</f>
        <v>Obesity</v>
      </c>
      <c r="E444">
        <f>VLOOKUP($A444,'Medical Examinations'!$A:$J,4,FALSE)</f>
        <v>5.52</v>
      </c>
      <c r="F444" t="str">
        <f>VLOOKUP($A444,'Medical Examinations'!$A:$J,6,FALSE)</f>
        <v>No</v>
      </c>
      <c r="G444" t="str">
        <f>VLOOKUP($A444,'Medical Examinations'!$A:$J,7,FALSE)</f>
        <v>No</v>
      </c>
      <c r="H444" t="str">
        <f>VLOOKUP($A444,'Medical Examinations'!$A:$J,8,FALSE)</f>
        <v>Yes</v>
      </c>
      <c r="I444">
        <f>VLOOKUP($A444,'Medical Examinations'!$A:$J,9,FALSE)</f>
        <v>1</v>
      </c>
      <c r="J444" t="str">
        <f>VLOOKUP($A444,'Medical Examinations'!$A:$J,10,FALSE)</f>
        <v>No</v>
      </c>
      <c r="K444" t="str">
        <f>VLOOKUP($A444,'Medical Examinations'!$A:$J,5,FALSE)</f>
        <v>Normal</v>
      </c>
      <c r="L444">
        <f>VLOOKUP($A445,'Medical Examinations'!$A:$J,3,FALSE)</f>
        <v>27.83</v>
      </c>
      <c r="M444">
        <f>VLOOKUP($A444,'Hospitalisation Details'!$A:$K,6,FALSE)</f>
        <v>23082.959999999999</v>
      </c>
      <c r="N444" s="11">
        <f>VLOOKUP($B444,'Hospitalisation Details'!A443:J2787,10,0)</f>
        <v>30630</v>
      </c>
      <c r="O444" t="str">
        <f>VLOOKUP($B444,'Hospitalisation Details'!A443:J2787,8,0)</f>
        <v>tier - 1</v>
      </c>
      <c r="P444" t="str">
        <f>VLOOKUP($B444,'Hospitalisation Details'!A443:J2787,7,0)</f>
        <v>tier - 2</v>
      </c>
      <c r="Q444" t="str">
        <f>VLOOKUP($B444,'Hospitalisation Details'!A443:J2787,9,0)</f>
        <v>R1013</v>
      </c>
      <c r="R444">
        <f>VLOOKUP($B444,'Hospitalisation Details'!A443:K2787,11,0)</f>
        <v>39</v>
      </c>
    </row>
    <row r="445" spans="1:18" x14ac:dyDescent="0.35">
      <c r="A445" t="s">
        <v>1928</v>
      </c>
      <c r="B445" t="s">
        <v>474</v>
      </c>
      <c r="C445" t="str">
        <f>VLOOKUP($A445,'Customer Names'!$A:$E,4,FALSE)</f>
        <v>Katherine</v>
      </c>
      <c r="D445" t="str">
        <f>VLOOKUP($A445,'Medical Examinations'!$A:$J,2,FALSE)</f>
        <v>Overweight</v>
      </c>
      <c r="E445">
        <f>VLOOKUP($A445,'Medical Examinations'!$A:$J,4,FALSE)</f>
        <v>9.1999999999999993</v>
      </c>
      <c r="F445" t="str">
        <f>VLOOKUP($A445,'Medical Examinations'!$A:$J,6,FALSE)</f>
        <v>yes</v>
      </c>
      <c r="G445" t="str">
        <f>VLOOKUP($A445,'Medical Examinations'!$A:$J,7,FALSE)</f>
        <v>No</v>
      </c>
      <c r="H445" t="str">
        <f>VLOOKUP($A445,'Medical Examinations'!$A:$J,8,FALSE)</f>
        <v>No</v>
      </c>
      <c r="I445">
        <f>VLOOKUP($A445,'Medical Examinations'!$A:$J,9,FALSE)</f>
        <v>1</v>
      </c>
      <c r="J445" t="str">
        <f>VLOOKUP($A445,'Medical Examinations'!$A:$J,10,FALSE)</f>
        <v>yes</v>
      </c>
      <c r="K445" t="str">
        <f>VLOOKUP($A445,'Medical Examinations'!$A:$J,5,FALSE)</f>
        <v>Diabetes</v>
      </c>
      <c r="L445">
        <f>VLOOKUP($A446,'Medical Examinations'!$A:$J,3,FALSE)</f>
        <v>30.875</v>
      </c>
      <c r="M445">
        <f>VLOOKUP($A445,'Hospitalisation Details'!$A:$K,6,FALSE)</f>
        <v>23065.42</v>
      </c>
      <c r="N445" s="11">
        <f>VLOOKUP($B445,'Hospitalisation Details'!A444:J2788,10,0)</f>
        <v>34329</v>
      </c>
      <c r="O445" t="str">
        <f>VLOOKUP($B445,'Hospitalisation Details'!A444:J2788,8,0)</f>
        <v>tier - 3</v>
      </c>
      <c r="P445" t="str">
        <f>VLOOKUP($B445,'Hospitalisation Details'!A444:J2788,7,0)</f>
        <v>tier - 3</v>
      </c>
      <c r="Q445" t="str">
        <f>VLOOKUP($B445,'Hospitalisation Details'!A444:J2788,9,0)</f>
        <v>R1015</v>
      </c>
      <c r="R445">
        <f>VLOOKUP($B445,'Hospitalisation Details'!A444:K2788,11,0)</f>
        <v>29</v>
      </c>
    </row>
    <row r="446" spans="1:18" x14ac:dyDescent="0.35">
      <c r="A446" t="s">
        <v>1927</v>
      </c>
      <c r="B446" t="s">
        <v>475</v>
      </c>
      <c r="C446" t="str">
        <f>VLOOKUP($A446,'Customer Names'!$A:$E,4,FALSE)</f>
        <v>Lynda</v>
      </c>
      <c r="D446" t="str">
        <f>VLOOKUP($A446,'Medical Examinations'!$A:$J,2,FALSE)</f>
        <v>Obesity</v>
      </c>
      <c r="E446">
        <f>VLOOKUP($A446,'Medical Examinations'!$A:$J,4,FALSE)</f>
        <v>10.97</v>
      </c>
      <c r="F446" t="str">
        <f>VLOOKUP($A446,'Medical Examinations'!$A:$J,6,FALSE)</f>
        <v>yes</v>
      </c>
      <c r="G446" t="str">
        <f>VLOOKUP($A446,'Medical Examinations'!$A:$J,7,FALSE)</f>
        <v>No</v>
      </c>
      <c r="H446" t="str">
        <f>VLOOKUP($A446,'Medical Examinations'!$A:$J,8,FALSE)</f>
        <v>No</v>
      </c>
      <c r="I446">
        <f>VLOOKUP($A446,'Medical Examinations'!$A:$J,9,FALSE)</f>
        <v>2</v>
      </c>
      <c r="J446" t="str">
        <f>VLOOKUP($A446,'Medical Examinations'!$A:$J,10,FALSE)</f>
        <v>No</v>
      </c>
      <c r="K446" t="str">
        <f>VLOOKUP($A446,'Medical Examinations'!$A:$J,5,FALSE)</f>
        <v>Diabetes</v>
      </c>
      <c r="L446">
        <f>VLOOKUP($A447,'Medical Examinations'!$A:$J,3,FALSE)</f>
        <v>27.265000000000001</v>
      </c>
      <c r="M446">
        <f>VLOOKUP($A446,'Hospitalisation Details'!$A:$K,6,FALSE)</f>
        <v>23045.57</v>
      </c>
      <c r="N446" s="11">
        <f>VLOOKUP($B446,'Hospitalisation Details'!A445:J2789,10,0)</f>
        <v>32477</v>
      </c>
      <c r="O446" t="str">
        <f>VLOOKUP($B446,'Hospitalisation Details'!A445:J2789,8,0)</f>
        <v>tier - 1</v>
      </c>
      <c r="P446" t="str">
        <f>VLOOKUP($B446,'Hospitalisation Details'!A445:J2789,7,0)</f>
        <v>tier - 2</v>
      </c>
      <c r="Q446" t="str">
        <f>VLOOKUP($B446,'Hospitalisation Details'!A445:J2789,9,0)</f>
        <v>R1013</v>
      </c>
      <c r="R446">
        <f>VLOOKUP($B446,'Hospitalisation Details'!A445:K2789,11,0)</f>
        <v>34</v>
      </c>
    </row>
    <row r="447" spans="1:18" x14ac:dyDescent="0.35">
      <c r="A447" t="s">
        <v>1926</v>
      </c>
      <c r="B447" t="s">
        <v>476</v>
      </c>
      <c r="C447" t="str">
        <f>VLOOKUP($A447,'Customer Names'!$A:$E,4,FALSE)</f>
        <v>Anthony</v>
      </c>
      <c r="D447" t="str">
        <f>VLOOKUP($A447,'Medical Examinations'!$A:$J,2,FALSE)</f>
        <v>Overweight</v>
      </c>
      <c r="E447">
        <f>VLOOKUP($A447,'Medical Examinations'!$A:$J,4,FALSE)</f>
        <v>4.25</v>
      </c>
      <c r="F447" t="str">
        <f>VLOOKUP($A447,'Medical Examinations'!$A:$J,6,FALSE)</f>
        <v>No</v>
      </c>
      <c r="G447" t="str">
        <f>VLOOKUP($A447,'Medical Examinations'!$A:$J,7,FALSE)</f>
        <v>No</v>
      </c>
      <c r="H447" t="str">
        <f>VLOOKUP($A447,'Medical Examinations'!$A:$J,8,FALSE)</f>
        <v>Yes</v>
      </c>
      <c r="I447">
        <f>VLOOKUP($A447,'Medical Examinations'!$A:$J,9,FALSE)</f>
        <v>1</v>
      </c>
      <c r="J447" t="str">
        <f>VLOOKUP($A447,'Medical Examinations'!$A:$J,10,FALSE)</f>
        <v>No</v>
      </c>
      <c r="K447" t="str">
        <f>VLOOKUP($A447,'Medical Examinations'!$A:$J,5,FALSE)</f>
        <v>Normal</v>
      </c>
      <c r="L447">
        <f>VLOOKUP($A448,'Medical Examinations'!$A:$J,3,FALSE)</f>
        <v>26.7</v>
      </c>
      <c r="M447">
        <f>VLOOKUP($A447,'Hospitalisation Details'!$A:$K,6,FALSE)</f>
        <v>22493.66</v>
      </c>
      <c r="N447" s="11">
        <f>VLOOKUP($B447,'Hospitalisation Details'!A446:J2790,10,0)</f>
        <v>34194</v>
      </c>
      <c r="O447" t="str">
        <f>VLOOKUP($B447,'Hospitalisation Details'!A446:J2790,8,0)</f>
        <v>tier - 1</v>
      </c>
      <c r="P447" t="str">
        <f>VLOOKUP($B447,'Hospitalisation Details'!A446:J2790,7,0)</f>
        <v>tier - 2</v>
      </c>
      <c r="Q447" t="str">
        <f>VLOOKUP($B447,'Hospitalisation Details'!A446:J2790,9,0)</f>
        <v>R1013</v>
      </c>
      <c r="R447">
        <f>VLOOKUP($B447,'Hospitalisation Details'!A446:K2790,11,0)</f>
        <v>29</v>
      </c>
    </row>
    <row r="448" spans="1:18" x14ac:dyDescent="0.35">
      <c r="A448" t="s">
        <v>1925</v>
      </c>
      <c r="B448" t="s">
        <v>477</v>
      </c>
      <c r="C448" t="str">
        <f>VLOOKUP($A448,'Customer Names'!$A:$E,4,FALSE)</f>
        <v>Linnea C.</v>
      </c>
      <c r="D448" t="str">
        <f>VLOOKUP($A448,'Medical Examinations'!$A:$J,2,FALSE)</f>
        <v>Overweight</v>
      </c>
      <c r="E448">
        <f>VLOOKUP($A448,'Medical Examinations'!$A:$J,4,FALSE)</f>
        <v>5.23</v>
      </c>
      <c r="F448" t="str">
        <f>VLOOKUP($A448,'Medical Examinations'!$A:$J,6,FALSE)</f>
        <v>No</v>
      </c>
      <c r="G448" t="str">
        <f>VLOOKUP($A448,'Medical Examinations'!$A:$J,7,FALSE)</f>
        <v>No</v>
      </c>
      <c r="H448" t="str">
        <f>VLOOKUP($A448,'Medical Examinations'!$A:$J,8,FALSE)</f>
        <v>Yes</v>
      </c>
      <c r="I448">
        <f>VLOOKUP($A448,'Medical Examinations'!$A:$J,9,FALSE)</f>
        <v>1</v>
      </c>
      <c r="J448" t="str">
        <f>VLOOKUP($A448,'Medical Examinations'!$A:$J,10,FALSE)</f>
        <v>yes</v>
      </c>
      <c r="K448" t="str">
        <f>VLOOKUP($A448,'Medical Examinations'!$A:$J,5,FALSE)</f>
        <v>Normal</v>
      </c>
      <c r="L448">
        <f>VLOOKUP($A449,'Medical Examinations'!$A:$J,3,FALSE)</f>
        <v>29.925000000000001</v>
      </c>
      <c r="M448">
        <f>VLOOKUP($A448,'Hospitalisation Details'!$A:$K,6,FALSE)</f>
        <v>22478.6</v>
      </c>
      <c r="N448" s="11">
        <f>VLOOKUP($B448,'Hospitalisation Details'!A447:J2791,10,0)</f>
        <v>34956</v>
      </c>
      <c r="O448" t="str">
        <f>VLOOKUP($B448,'Hospitalisation Details'!A447:J2791,8,0)</f>
        <v>tier - 3</v>
      </c>
      <c r="P448" t="str">
        <f>VLOOKUP($B448,'Hospitalisation Details'!A447:J2791,7,0)</f>
        <v>tier - 3</v>
      </c>
      <c r="Q448" t="str">
        <f>VLOOKUP($B448,'Hospitalisation Details'!A447:J2791,9,0)</f>
        <v>R1012</v>
      </c>
      <c r="R448">
        <f>VLOOKUP($B448,'Hospitalisation Details'!A447:K2791,11,0)</f>
        <v>27</v>
      </c>
    </row>
    <row r="449" spans="1:18" x14ac:dyDescent="0.35">
      <c r="A449" t="s">
        <v>1924</v>
      </c>
      <c r="B449" t="s">
        <v>478</v>
      </c>
      <c r="C449" t="str">
        <f>VLOOKUP($A449,'Customer Names'!$A:$E,4,FALSE)</f>
        <v>Massimiliano A.</v>
      </c>
      <c r="D449" t="str">
        <f>VLOOKUP($A449,'Medical Examinations'!$A:$J,2,FALSE)</f>
        <v>Overweight</v>
      </c>
      <c r="E449">
        <f>VLOOKUP($A449,'Medical Examinations'!$A:$J,4,FALSE)</f>
        <v>5.96</v>
      </c>
      <c r="F449" t="str">
        <f>VLOOKUP($A449,'Medical Examinations'!$A:$J,6,FALSE)</f>
        <v>yes</v>
      </c>
      <c r="G449" t="str">
        <f>VLOOKUP($A449,'Medical Examinations'!$A:$J,7,FALSE)</f>
        <v>No</v>
      </c>
      <c r="H449" t="str">
        <f>VLOOKUP($A449,'Medical Examinations'!$A:$J,8,FALSE)</f>
        <v>Yes</v>
      </c>
      <c r="I449">
        <f>VLOOKUP($A449,'Medical Examinations'!$A:$J,9,FALSE)</f>
        <v>1</v>
      </c>
      <c r="J449" t="str">
        <f>VLOOKUP($A449,'Medical Examinations'!$A:$J,10,FALSE)</f>
        <v>yes</v>
      </c>
      <c r="K449" t="str">
        <f>VLOOKUP($A449,'Medical Examinations'!$A:$J,5,FALSE)</f>
        <v>Prediabetes</v>
      </c>
      <c r="L449">
        <f>VLOOKUP($A450,'Medical Examinations'!$A:$J,3,FALSE)</f>
        <v>19.95</v>
      </c>
      <c r="M449">
        <f>VLOOKUP($A449,'Hospitalisation Details'!$A:$K,6,FALSE)</f>
        <v>22462.04</v>
      </c>
      <c r="N449" s="11">
        <f>VLOOKUP($B449,'Hospitalisation Details'!A448:J2792,10,0)</f>
        <v>30575</v>
      </c>
      <c r="O449" t="str">
        <f>VLOOKUP($B449,'Hospitalisation Details'!A448:J2792,8,0)</f>
        <v>tier - 1</v>
      </c>
      <c r="P449" t="str">
        <f>VLOOKUP($B449,'Hospitalisation Details'!A448:J2792,7,0)</f>
        <v>tier - 2</v>
      </c>
      <c r="Q449" t="str">
        <f>VLOOKUP($B449,'Hospitalisation Details'!A448:J2792,9,0)</f>
        <v>R1013</v>
      </c>
      <c r="R449">
        <f>VLOOKUP($B449,'Hospitalisation Details'!A448:K2792,11,0)</f>
        <v>39</v>
      </c>
    </row>
    <row r="450" spans="1:18" x14ac:dyDescent="0.35">
      <c r="A450" t="s">
        <v>1923</v>
      </c>
      <c r="B450" t="s">
        <v>479</v>
      </c>
      <c r="C450" t="str">
        <f>VLOOKUP($A450,'Customer Names'!$A:$E,4,FALSE)</f>
        <v>James M.</v>
      </c>
      <c r="D450" t="str">
        <f>VLOOKUP($A450,'Medical Examinations'!$A:$J,2,FALSE)</f>
        <v>Normal Weight</v>
      </c>
      <c r="E450">
        <f>VLOOKUP($A450,'Medical Examinations'!$A:$J,4,FALSE)</f>
        <v>4.29</v>
      </c>
      <c r="F450" t="str">
        <f>VLOOKUP($A450,'Medical Examinations'!$A:$J,6,FALSE)</f>
        <v>yes</v>
      </c>
      <c r="G450" t="str">
        <f>VLOOKUP($A450,'Medical Examinations'!$A:$J,7,FALSE)</f>
        <v>No</v>
      </c>
      <c r="H450" t="str">
        <f>VLOOKUP($A450,'Medical Examinations'!$A:$J,8,FALSE)</f>
        <v>No</v>
      </c>
      <c r="I450">
        <f>VLOOKUP($A450,'Medical Examinations'!$A:$J,9,FALSE)</f>
        <v>2</v>
      </c>
      <c r="J450" t="str">
        <f>VLOOKUP($A450,'Medical Examinations'!$A:$J,10,FALSE)</f>
        <v>yes</v>
      </c>
      <c r="K450" t="str">
        <f>VLOOKUP($A450,'Medical Examinations'!$A:$J,5,FALSE)</f>
        <v>Normal</v>
      </c>
      <c r="L450">
        <f>VLOOKUP($A451,'Medical Examinations'!$A:$J,3,FALSE)</f>
        <v>24.225000000000001</v>
      </c>
      <c r="M450">
        <f>VLOOKUP($A450,'Hospitalisation Details'!$A:$K,6,FALSE)</f>
        <v>22412.65</v>
      </c>
      <c r="N450" s="11">
        <f>VLOOKUP($B450,'Hospitalisation Details'!A449:J2793,10,0)</f>
        <v>37547</v>
      </c>
      <c r="O450" t="str">
        <f>VLOOKUP($B450,'Hospitalisation Details'!A449:J2793,8,0)</f>
        <v>tier - 1</v>
      </c>
      <c r="P450" t="str">
        <f>VLOOKUP($B450,'Hospitalisation Details'!A449:J2793,7,0)</f>
        <v>tier - 2</v>
      </c>
      <c r="Q450" t="str">
        <f>VLOOKUP($B450,'Hospitalisation Details'!A449:J2793,9,0)</f>
        <v>R1012</v>
      </c>
      <c r="R450">
        <f>VLOOKUP($B450,'Hospitalisation Details'!A449:K2793,11,0)</f>
        <v>20</v>
      </c>
    </row>
    <row r="451" spans="1:18" x14ac:dyDescent="0.35">
      <c r="A451" t="s">
        <v>1922</v>
      </c>
      <c r="B451" t="s">
        <v>480</v>
      </c>
      <c r="C451" t="str">
        <f>VLOOKUP($A451,'Customer Names'!$A:$E,4,FALSE)</f>
        <v>Lauren</v>
      </c>
      <c r="D451" t="str">
        <f>VLOOKUP($A451,'Medical Examinations'!$A:$J,2,FALSE)</f>
        <v>Normal Weight</v>
      </c>
      <c r="E451">
        <f>VLOOKUP($A451,'Medical Examinations'!$A:$J,4,FALSE)</f>
        <v>4.09</v>
      </c>
      <c r="F451" t="str">
        <f>VLOOKUP($A451,'Medical Examinations'!$A:$J,6,FALSE)</f>
        <v>No</v>
      </c>
      <c r="G451" t="str">
        <f>VLOOKUP($A451,'Medical Examinations'!$A:$J,7,FALSE)</f>
        <v>No</v>
      </c>
      <c r="H451" t="str">
        <f>VLOOKUP($A451,'Medical Examinations'!$A:$J,8,FALSE)</f>
        <v>No</v>
      </c>
      <c r="I451">
        <f>VLOOKUP($A451,'Medical Examinations'!$A:$J,9,FALSE)</f>
        <v>0</v>
      </c>
      <c r="J451" t="str">
        <f>VLOOKUP($A451,'Medical Examinations'!$A:$J,10,FALSE)</f>
        <v>No</v>
      </c>
      <c r="K451" t="str">
        <f>VLOOKUP($A451,'Medical Examinations'!$A:$J,5,FALSE)</f>
        <v>Normal</v>
      </c>
      <c r="L451">
        <f>VLOOKUP($A452,'Medical Examinations'!$A:$J,3,FALSE)</f>
        <v>28.12</v>
      </c>
      <c r="M451">
        <f>VLOOKUP($A451,'Hospitalisation Details'!$A:$K,6,FALSE)</f>
        <v>22395.74</v>
      </c>
      <c r="N451" s="11">
        <f>VLOOKUP($B451,'Hospitalisation Details'!A450:J2794,10,0)</f>
        <v>33208</v>
      </c>
      <c r="O451" t="str">
        <f>VLOOKUP($B451,'Hospitalisation Details'!A450:J2794,8,0)</f>
        <v>tier - 2</v>
      </c>
      <c r="P451" t="str">
        <f>VLOOKUP($B451,'Hospitalisation Details'!A450:J2794,7,0)</f>
        <v>tier - 3</v>
      </c>
      <c r="Q451" t="str">
        <f>VLOOKUP($B451,'Hospitalisation Details'!A450:J2794,9,0)</f>
        <v>R1013</v>
      </c>
      <c r="R451">
        <f>VLOOKUP($B451,'Hospitalisation Details'!A450:K2794,11,0)</f>
        <v>32</v>
      </c>
    </row>
    <row r="452" spans="1:18" x14ac:dyDescent="0.35">
      <c r="A452" t="s">
        <v>1921</v>
      </c>
      <c r="B452" t="s">
        <v>481</v>
      </c>
      <c r="C452" t="str">
        <f>VLOOKUP($A452,'Customer Names'!$A:$E,4,FALSE)</f>
        <v>Michele V.</v>
      </c>
      <c r="D452" t="str">
        <f>VLOOKUP($A452,'Medical Examinations'!$A:$J,2,FALSE)</f>
        <v>Overweight</v>
      </c>
      <c r="E452">
        <f>VLOOKUP($A452,'Medical Examinations'!$A:$J,4,FALSE)</f>
        <v>4.88</v>
      </c>
      <c r="F452" t="str">
        <f>VLOOKUP($A452,'Medical Examinations'!$A:$J,6,FALSE)</f>
        <v>No</v>
      </c>
      <c r="G452" t="str">
        <f>VLOOKUP($A452,'Medical Examinations'!$A:$J,7,FALSE)</f>
        <v>No</v>
      </c>
      <c r="H452" t="str">
        <f>VLOOKUP($A452,'Medical Examinations'!$A:$J,8,FALSE)</f>
        <v>No</v>
      </c>
      <c r="I452">
        <f>VLOOKUP($A452,'Medical Examinations'!$A:$J,9,FALSE)</f>
        <v>0</v>
      </c>
      <c r="J452" t="str">
        <f>VLOOKUP($A452,'Medical Examinations'!$A:$J,10,FALSE)</f>
        <v>yes</v>
      </c>
      <c r="K452" t="str">
        <f>VLOOKUP($A452,'Medical Examinations'!$A:$J,5,FALSE)</f>
        <v>Normal</v>
      </c>
      <c r="L452">
        <f>VLOOKUP($A453,'Medical Examinations'!$A:$J,3,FALSE)</f>
        <v>23.21</v>
      </c>
      <c r="M452">
        <f>VLOOKUP($A452,'Hospitalisation Details'!$A:$K,6,FALSE)</f>
        <v>22331.57</v>
      </c>
      <c r="N452" s="11">
        <f>VLOOKUP($B452,'Hospitalisation Details'!A451:J2795,10,0)</f>
        <v>33221</v>
      </c>
      <c r="O452" t="str">
        <f>VLOOKUP($B452,'Hospitalisation Details'!A451:J2795,8,0)</f>
        <v>tier - 3</v>
      </c>
      <c r="P452" t="str">
        <f>VLOOKUP($B452,'Hospitalisation Details'!A451:J2795,7,0)</f>
        <v>tier - 2</v>
      </c>
      <c r="Q452" t="str">
        <f>VLOOKUP($B452,'Hospitalisation Details'!A451:J2795,9,0)</f>
        <v>R1011</v>
      </c>
      <c r="R452">
        <f>VLOOKUP($B452,'Hospitalisation Details'!A451:K2795,11,0)</f>
        <v>32</v>
      </c>
    </row>
    <row r="453" spans="1:18" x14ac:dyDescent="0.35">
      <c r="A453" t="s">
        <v>1920</v>
      </c>
      <c r="B453" t="s">
        <v>482</v>
      </c>
      <c r="C453" t="str">
        <f>VLOOKUP($A453,'Customer Names'!$A:$E,4,FALSE)</f>
        <v>Xiao</v>
      </c>
      <c r="D453" t="str">
        <f>VLOOKUP($A453,'Medical Examinations'!$A:$J,2,FALSE)</f>
        <v>Normal Weight</v>
      </c>
      <c r="E453">
        <f>VLOOKUP($A453,'Medical Examinations'!$A:$J,4,FALSE)</f>
        <v>6.76</v>
      </c>
      <c r="F453" t="str">
        <f>VLOOKUP($A453,'Medical Examinations'!$A:$J,6,FALSE)</f>
        <v>No</v>
      </c>
      <c r="G453" t="str">
        <f>VLOOKUP($A453,'Medical Examinations'!$A:$J,7,FALSE)</f>
        <v>No</v>
      </c>
      <c r="H453" t="str">
        <f>VLOOKUP($A453,'Medical Examinations'!$A:$J,8,FALSE)</f>
        <v>No</v>
      </c>
      <c r="I453">
        <f>VLOOKUP($A453,'Medical Examinations'!$A:$J,9,FALSE)</f>
        <v>0</v>
      </c>
      <c r="J453" t="str">
        <f>VLOOKUP($A453,'Medical Examinations'!$A:$J,10,FALSE)</f>
        <v>yes</v>
      </c>
      <c r="K453" t="str">
        <f>VLOOKUP($A453,'Medical Examinations'!$A:$J,5,FALSE)</f>
        <v>Diabetes</v>
      </c>
      <c r="L453">
        <f>VLOOKUP($A454,'Medical Examinations'!$A:$J,3,FALSE)</f>
        <v>23.98</v>
      </c>
      <c r="M453">
        <f>VLOOKUP($A453,'Hospitalisation Details'!$A:$K,6,FALSE)</f>
        <v>22218.11</v>
      </c>
      <c r="N453" s="11">
        <f>VLOOKUP($B453,'Hospitalisation Details'!A452:J2796,10,0)</f>
        <v>34567</v>
      </c>
      <c r="O453" t="str">
        <f>VLOOKUP($B453,'Hospitalisation Details'!A452:J2796,8,0)</f>
        <v>tier - 3</v>
      </c>
      <c r="P453" t="str">
        <f>VLOOKUP($B453,'Hospitalisation Details'!A452:J2796,7,0)</f>
        <v>tier - 2</v>
      </c>
      <c r="Q453" t="str">
        <f>VLOOKUP($B453,'Hospitalisation Details'!A452:J2796,9,0)</f>
        <v>R1012</v>
      </c>
      <c r="R453">
        <f>VLOOKUP($B453,'Hospitalisation Details'!A452:K2796,11,0)</f>
        <v>28</v>
      </c>
    </row>
    <row r="454" spans="1:18" x14ac:dyDescent="0.35">
      <c r="A454" t="s">
        <v>1919</v>
      </c>
      <c r="B454" t="s">
        <v>483</v>
      </c>
      <c r="C454" t="str">
        <f>VLOOKUP($A454,'Customer Names'!$A:$E,4,FALSE)</f>
        <v>Harper L</v>
      </c>
      <c r="D454" t="str">
        <f>VLOOKUP($A454,'Medical Examinations'!$A:$J,2,FALSE)</f>
        <v>Normal Weight</v>
      </c>
      <c r="E454">
        <f>VLOOKUP($A454,'Medical Examinations'!$A:$J,4,FALSE)</f>
        <v>10.67</v>
      </c>
      <c r="F454" t="str">
        <f>VLOOKUP($A454,'Medical Examinations'!$A:$J,6,FALSE)</f>
        <v>No</v>
      </c>
      <c r="G454" t="str">
        <f>VLOOKUP($A454,'Medical Examinations'!$A:$J,7,FALSE)</f>
        <v>No</v>
      </c>
      <c r="H454" t="str">
        <f>VLOOKUP($A454,'Medical Examinations'!$A:$J,8,FALSE)</f>
        <v>No</v>
      </c>
      <c r="I454">
        <f>VLOOKUP($A454,'Medical Examinations'!$A:$J,9,FALSE)</f>
        <v>0</v>
      </c>
      <c r="J454" t="str">
        <f>VLOOKUP($A454,'Medical Examinations'!$A:$J,10,FALSE)</f>
        <v>No</v>
      </c>
      <c r="K454" t="str">
        <f>VLOOKUP($A454,'Medical Examinations'!$A:$J,5,FALSE)</f>
        <v>Diabetes</v>
      </c>
      <c r="L454">
        <f>VLOOKUP($A455,'Medical Examinations'!$A:$J,3,FALSE)</f>
        <v>30</v>
      </c>
      <c r="M454">
        <f>VLOOKUP($A454,'Hospitalisation Details'!$A:$K,6,FALSE)</f>
        <v>22192.44</v>
      </c>
      <c r="N454" s="11">
        <f>VLOOKUP($B454,'Hospitalisation Details'!A453:J2797,10,0)</f>
        <v>33456</v>
      </c>
      <c r="O454" t="str">
        <f>VLOOKUP($B454,'Hospitalisation Details'!A453:J2797,8,0)</f>
        <v>tier - 1</v>
      </c>
      <c r="P454" t="str">
        <f>VLOOKUP($B454,'Hospitalisation Details'!A453:J2797,7,0)</f>
        <v>tier - 2</v>
      </c>
      <c r="Q454" t="str">
        <f>VLOOKUP($B454,'Hospitalisation Details'!A453:J2797,9,0)</f>
        <v>R1012</v>
      </c>
      <c r="R454">
        <f>VLOOKUP($B454,'Hospitalisation Details'!A453:K2797,11,0)</f>
        <v>31</v>
      </c>
    </row>
    <row r="455" spans="1:18" x14ac:dyDescent="0.35">
      <c r="A455" t="s">
        <v>1918</v>
      </c>
      <c r="B455" t="s">
        <v>484</v>
      </c>
      <c r="C455" t="str">
        <f>VLOOKUP($A455,'Customer Names'!$A:$E,4,FALSE)</f>
        <v>Nick</v>
      </c>
      <c r="D455" t="str">
        <f>VLOOKUP($A455,'Medical Examinations'!$A:$J,2,FALSE)</f>
        <v>Obesity</v>
      </c>
      <c r="E455">
        <f>VLOOKUP($A455,'Medical Examinations'!$A:$J,4,FALSE)</f>
        <v>6.21</v>
      </c>
      <c r="F455" t="str">
        <f>VLOOKUP($A455,'Medical Examinations'!$A:$J,6,FALSE)</f>
        <v>No</v>
      </c>
      <c r="G455" t="str">
        <f>VLOOKUP($A455,'Medical Examinations'!$A:$J,7,FALSE)</f>
        <v>No</v>
      </c>
      <c r="H455" t="str">
        <f>VLOOKUP($A455,'Medical Examinations'!$A:$J,8,FALSE)</f>
        <v>No</v>
      </c>
      <c r="I455">
        <f>VLOOKUP($A455,'Medical Examinations'!$A:$J,9,FALSE)</f>
        <v>0</v>
      </c>
      <c r="J455" t="str">
        <f>VLOOKUP($A455,'Medical Examinations'!$A:$J,10,FALSE)</f>
        <v>yes</v>
      </c>
      <c r="K455" t="str">
        <f>VLOOKUP($A455,'Medical Examinations'!$A:$J,5,FALSE)</f>
        <v>Prediabetes</v>
      </c>
      <c r="L455">
        <f>VLOOKUP($A456,'Medical Examinations'!$A:$J,3,FALSE)</f>
        <v>17.350000000000001</v>
      </c>
      <c r="M455">
        <f>VLOOKUP($A455,'Hospitalisation Details'!$A:$K,6,FALSE)</f>
        <v>22144.03</v>
      </c>
      <c r="N455" s="11">
        <f>VLOOKUP($B455,'Hospitalisation Details'!A454:J2798,10,0)</f>
        <v>33773</v>
      </c>
      <c r="O455" t="str">
        <f>VLOOKUP($B455,'Hospitalisation Details'!A454:J2798,8,0)</f>
        <v>tier - 3</v>
      </c>
      <c r="P455" t="str">
        <f>VLOOKUP($B455,'Hospitalisation Details'!A454:J2798,7,0)</f>
        <v>tier - 2</v>
      </c>
      <c r="Q455" t="str">
        <f>VLOOKUP($B455,'Hospitalisation Details'!A454:J2798,9,0)</f>
        <v>R1024</v>
      </c>
      <c r="R455">
        <f>VLOOKUP($B455,'Hospitalisation Details'!A454:K2798,11,0)</f>
        <v>30</v>
      </c>
    </row>
    <row r="456" spans="1:18" x14ac:dyDescent="0.35">
      <c r="A456" t="s">
        <v>1917</v>
      </c>
      <c r="B456" t="s">
        <v>485</v>
      </c>
      <c r="C456" t="str">
        <f>VLOOKUP($A456,'Customer Names'!$A:$E,4,FALSE)</f>
        <v>Scott</v>
      </c>
      <c r="D456" t="str">
        <f>VLOOKUP($A456,'Medical Examinations'!$A:$J,2,FALSE)</f>
        <v>Underweight</v>
      </c>
      <c r="E456">
        <f>VLOOKUP($A456,'Medical Examinations'!$A:$J,4,FALSE)</f>
        <v>5.03</v>
      </c>
      <c r="F456" t="str">
        <f>VLOOKUP($A456,'Medical Examinations'!$A:$J,6,FALSE)</f>
        <v>yes</v>
      </c>
      <c r="G456" t="str">
        <f>VLOOKUP($A456,'Medical Examinations'!$A:$J,7,FALSE)</f>
        <v>No</v>
      </c>
      <c r="H456" t="str">
        <f>VLOOKUP($A456,'Medical Examinations'!$A:$J,8,FALSE)</f>
        <v>No</v>
      </c>
      <c r="I456">
        <f>VLOOKUP($A456,'Medical Examinations'!$A:$J,9,FALSE)</f>
        <v>0</v>
      </c>
      <c r="J456" t="str">
        <f>VLOOKUP($A456,'Medical Examinations'!$A:$J,10,FALSE)</f>
        <v>yes</v>
      </c>
      <c r="K456" t="str">
        <f>VLOOKUP($A456,'Medical Examinations'!$A:$J,5,FALSE)</f>
        <v>Normal</v>
      </c>
      <c r="L456">
        <f>VLOOKUP($A457,'Medical Examinations'!$A:$J,3,FALSE)</f>
        <v>22.704999999999998</v>
      </c>
      <c r="M456">
        <f>VLOOKUP($A456,'Hospitalisation Details'!$A:$K,6,FALSE)</f>
        <v>22097.62</v>
      </c>
      <c r="N456" s="11">
        <f>VLOOKUP($B456,'Hospitalisation Details'!A455:J2799,10,0)</f>
        <v>33783</v>
      </c>
      <c r="O456" t="str">
        <f>VLOOKUP($B456,'Hospitalisation Details'!A455:J2799,8,0)</f>
        <v>tier - 1</v>
      </c>
      <c r="P456" t="str">
        <f>VLOOKUP($B456,'Hospitalisation Details'!A455:J2799,7,0)</f>
        <v>tier - 2</v>
      </c>
      <c r="Q456" t="str">
        <f>VLOOKUP($B456,'Hospitalisation Details'!A455:J2799,9,0)</f>
        <v>R1011</v>
      </c>
      <c r="R456">
        <f>VLOOKUP($B456,'Hospitalisation Details'!A455:K2799,11,0)</f>
        <v>30</v>
      </c>
    </row>
    <row r="457" spans="1:18" x14ac:dyDescent="0.35">
      <c r="A457" t="s">
        <v>1916</v>
      </c>
      <c r="B457" t="s">
        <v>486</v>
      </c>
      <c r="C457" t="str">
        <f>VLOOKUP($A457,'Customer Names'!$A:$E,4,FALSE)</f>
        <v>Wilson</v>
      </c>
      <c r="D457" t="str">
        <f>VLOOKUP($A457,'Medical Examinations'!$A:$J,2,FALSE)</f>
        <v>Normal Weight</v>
      </c>
      <c r="E457">
        <f>VLOOKUP($A457,'Medical Examinations'!$A:$J,4,FALSE)</f>
        <v>5.27</v>
      </c>
      <c r="F457" t="str">
        <f>VLOOKUP($A457,'Medical Examinations'!$A:$J,6,FALSE)</f>
        <v>No</v>
      </c>
      <c r="G457" t="str">
        <f>VLOOKUP($A457,'Medical Examinations'!$A:$J,7,FALSE)</f>
        <v>No</v>
      </c>
      <c r="H457" t="str">
        <f>VLOOKUP($A457,'Medical Examinations'!$A:$J,8,FALSE)</f>
        <v>No</v>
      </c>
      <c r="I457">
        <f>VLOOKUP($A457,'Medical Examinations'!$A:$J,9,FALSE)</f>
        <v>0</v>
      </c>
      <c r="J457" t="str">
        <f>VLOOKUP($A457,'Medical Examinations'!$A:$J,10,FALSE)</f>
        <v>No</v>
      </c>
      <c r="K457" t="str">
        <f>VLOOKUP($A457,'Medical Examinations'!$A:$J,5,FALSE)</f>
        <v>Normal</v>
      </c>
      <c r="L457">
        <f>VLOOKUP($A458,'Medical Examinations'!$A:$J,3,FALSE)</f>
        <v>25.41</v>
      </c>
      <c r="M457">
        <f>VLOOKUP($A457,'Hospitalisation Details'!$A:$K,6,FALSE)</f>
        <v>21984.47</v>
      </c>
      <c r="N457" s="11">
        <f>VLOOKUP($B457,'Hospitalisation Details'!A456:J2800,10,0)</f>
        <v>33820</v>
      </c>
      <c r="O457" t="str">
        <f>VLOOKUP($B457,'Hospitalisation Details'!A456:J2800,8,0)</f>
        <v>tier - 2</v>
      </c>
      <c r="P457" t="str">
        <f>VLOOKUP($B457,'Hospitalisation Details'!A456:J2800,7,0)</f>
        <v>tier - 2</v>
      </c>
      <c r="Q457" t="str">
        <f>VLOOKUP($B457,'Hospitalisation Details'!A456:J2800,9,0)</f>
        <v>R1013</v>
      </c>
      <c r="R457">
        <f>VLOOKUP($B457,'Hospitalisation Details'!A456:K2800,11,0)</f>
        <v>30</v>
      </c>
    </row>
    <row r="458" spans="1:18" x14ac:dyDescent="0.35">
      <c r="A458" t="s">
        <v>1915</v>
      </c>
      <c r="B458" t="s">
        <v>487</v>
      </c>
      <c r="C458" t="str">
        <f>VLOOKUP($A458,'Customer Names'!$A:$E,4,FALSE)</f>
        <v>Lee</v>
      </c>
      <c r="D458" t="str">
        <f>VLOOKUP($A458,'Medical Examinations'!$A:$J,2,FALSE)</f>
        <v>Overweight</v>
      </c>
      <c r="E458">
        <f>VLOOKUP($A458,'Medical Examinations'!$A:$J,4,FALSE)</f>
        <v>10.53</v>
      </c>
      <c r="F458" t="str">
        <f>VLOOKUP($A458,'Medical Examinations'!$A:$J,6,FALSE)</f>
        <v>yes</v>
      </c>
      <c r="G458" t="str">
        <f>VLOOKUP($A458,'Medical Examinations'!$A:$J,7,FALSE)</f>
        <v>No</v>
      </c>
      <c r="H458" t="str">
        <f>VLOOKUP($A458,'Medical Examinations'!$A:$J,8,FALSE)</f>
        <v>No</v>
      </c>
      <c r="I458">
        <f>VLOOKUP($A458,'Medical Examinations'!$A:$J,9,FALSE)</f>
        <v>1</v>
      </c>
      <c r="J458" t="str">
        <f>VLOOKUP($A458,'Medical Examinations'!$A:$J,10,FALSE)</f>
        <v>yes</v>
      </c>
      <c r="K458" t="str">
        <f>VLOOKUP($A458,'Medical Examinations'!$A:$J,5,FALSE)</f>
        <v>Diabetes</v>
      </c>
      <c r="L458">
        <f>VLOOKUP($A459,'Medical Examinations'!$A:$J,3,FALSE)</f>
        <v>18.23</v>
      </c>
      <c r="M458">
        <f>VLOOKUP($A458,'Hospitalisation Details'!$A:$K,6,FALSE)</f>
        <v>21978.68</v>
      </c>
      <c r="N458" s="11">
        <f>VLOOKUP($B458,'Hospitalisation Details'!A457:J2801,10,0)</f>
        <v>36125</v>
      </c>
      <c r="O458" t="str">
        <f>VLOOKUP($B458,'Hospitalisation Details'!A457:J2801,8,0)</f>
        <v>tier - 1</v>
      </c>
      <c r="P458" t="str">
        <f>VLOOKUP($B458,'Hospitalisation Details'!A457:J2801,7,0)</f>
        <v>tier - 2</v>
      </c>
      <c r="Q458" t="str">
        <f>VLOOKUP($B458,'Hospitalisation Details'!A457:J2801,9,0)</f>
        <v>R1012</v>
      </c>
      <c r="R458">
        <f>VLOOKUP($B458,'Hospitalisation Details'!A457:K2801,11,0)</f>
        <v>24</v>
      </c>
    </row>
    <row r="459" spans="1:18" x14ac:dyDescent="0.35">
      <c r="A459" t="s">
        <v>1914</v>
      </c>
      <c r="B459" t="s">
        <v>488</v>
      </c>
      <c r="C459" t="str">
        <f>VLOOKUP($A459,'Customer Names'!$A:$E,4,FALSE)</f>
        <v>Shizhong</v>
      </c>
      <c r="D459" t="str">
        <f>VLOOKUP($A459,'Medical Examinations'!$A:$J,2,FALSE)</f>
        <v>Underweight</v>
      </c>
      <c r="E459">
        <f>VLOOKUP($A459,'Medical Examinations'!$A:$J,4,FALSE)</f>
        <v>5.78</v>
      </c>
      <c r="F459" t="str">
        <f>VLOOKUP($A459,'Medical Examinations'!$A:$J,6,FALSE)</f>
        <v>No</v>
      </c>
      <c r="G459" t="str">
        <f>VLOOKUP($A459,'Medical Examinations'!$A:$J,7,FALSE)</f>
        <v>No</v>
      </c>
      <c r="H459" t="str">
        <f>VLOOKUP($A459,'Medical Examinations'!$A:$J,8,FALSE)</f>
        <v>Yes</v>
      </c>
      <c r="I459">
        <f>VLOOKUP($A459,'Medical Examinations'!$A:$J,9,FALSE)</f>
        <v>1</v>
      </c>
      <c r="J459" t="str">
        <f>VLOOKUP($A459,'Medical Examinations'!$A:$J,10,FALSE)</f>
        <v>yes</v>
      </c>
      <c r="K459" t="str">
        <f>VLOOKUP($A459,'Medical Examinations'!$A:$J,5,FALSE)</f>
        <v>Prediabetes</v>
      </c>
      <c r="L459">
        <f>VLOOKUP($A460,'Medical Examinations'!$A:$J,3,FALSE)</f>
        <v>24.7</v>
      </c>
      <c r="M459">
        <f>VLOOKUP($A459,'Hospitalisation Details'!$A:$K,6,FALSE)</f>
        <v>21882.400000000001</v>
      </c>
      <c r="N459" s="11">
        <f>VLOOKUP($B459,'Hospitalisation Details'!A458:J2802,10,0)</f>
        <v>30941</v>
      </c>
      <c r="O459" t="str">
        <f>VLOOKUP($B459,'Hospitalisation Details'!A458:J2802,8,0)</f>
        <v>tier - 2</v>
      </c>
      <c r="P459" t="str">
        <f>VLOOKUP($B459,'Hospitalisation Details'!A458:J2802,7,0)</f>
        <v>tier - 2</v>
      </c>
      <c r="Q459" t="str">
        <f>VLOOKUP($B459,'Hospitalisation Details'!A458:J2802,9,0)</f>
        <v>R1012</v>
      </c>
      <c r="R459">
        <f>VLOOKUP($B459,'Hospitalisation Details'!A458:K2802,11,0)</f>
        <v>38</v>
      </c>
    </row>
    <row r="460" spans="1:18" x14ac:dyDescent="0.35">
      <c r="A460" t="s">
        <v>1913</v>
      </c>
      <c r="B460" t="s">
        <v>489</v>
      </c>
      <c r="C460" t="str">
        <f>VLOOKUP($A460,'Customer Names'!$A:$E,4,FALSE)</f>
        <v>Marie-Claire</v>
      </c>
      <c r="D460" t="str">
        <f>VLOOKUP($A460,'Medical Examinations'!$A:$J,2,FALSE)</f>
        <v>Normal Weight</v>
      </c>
      <c r="E460">
        <f>VLOOKUP($A460,'Medical Examinations'!$A:$J,4,FALSE)</f>
        <v>4.3600000000000003</v>
      </c>
      <c r="F460" t="str">
        <f>VLOOKUP($A460,'Medical Examinations'!$A:$J,6,FALSE)</f>
        <v>No</v>
      </c>
      <c r="G460" t="str">
        <f>VLOOKUP($A460,'Medical Examinations'!$A:$J,7,FALSE)</f>
        <v>No</v>
      </c>
      <c r="H460" t="str">
        <f>VLOOKUP($A460,'Medical Examinations'!$A:$J,8,FALSE)</f>
        <v>Yes</v>
      </c>
      <c r="I460">
        <f>VLOOKUP($A460,'Medical Examinations'!$A:$J,9,FALSE)</f>
        <v>1</v>
      </c>
      <c r="J460" t="str">
        <f>VLOOKUP($A460,'Medical Examinations'!$A:$J,10,FALSE)</f>
        <v>yes</v>
      </c>
      <c r="K460" t="str">
        <f>VLOOKUP($A460,'Medical Examinations'!$A:$J,5,FALSE)</f>
        <v>Normal</v>
      </c>
      <c r="L460">
        <f>VLOOKUP($A461,'Medical Examinations'!$A:$J,3,FALSE)</f>
        <v>37.4</v>
      </c>
      <c r="M460">
        <f>VLOOKUP($A460,'Hospitalisation Details'!$A:$K,6,FALSE)</f>
        <v>21880.82</v>
      </c>
      <c r="N460" s="11">
        <f>VLOOKUP($B460,'Hospitalisation Details'!A459:J2803,10,0)</f>
        <v>32684</v>
      </c>
      <c r="O460" t="str">
        <f>VLOOKUP($B460,'Hospitalisation Details'!A459:J2803,8,0)</f>
        <v>tier - 3</v>
      </c>
      <c r="P460" t="str">
        <f>VLOOKUP($B460,'Hospitalisation Details'!A459:J2803,7,0)</f>
        <v>tier - 2</v>
      </c>
      <c r="Q460" t="str">
        <f>VLOOKUP($B460,'Hospitalisation Details'!A459:J2803,9,0)</f>
        <v>R1013</v>
      </c>
      <c r="R460">
        <f>VLOOKUP($B460,'Hospitalisation Details'!A459:K2803,11,0)</f>
        <v>33</v>
      </c>
    </row>
    <row r="461" spans="1:18" x14ac:dyDescent="0.35">
      <c r="A461" t="s">
        <v>1912</v>
      </c>
      <c r="B461" t="s">
        <v>490</v>
      </c>
      <c r="C461" t="str">
        <f>VLOOKUP($A461,'Customer Names'!$A:$E,4,FALSE)</f>
        <v>Todd J.</v>
      </c>
      <c r="D461" t="str">
        <f>VLOOKUP($A461,'Medical Examinations'!$A:$J,2,FALSE)</f>
        <v>Obesity</v>
      </c>
      <c r="E461">
        <f>VLOOKUP($A461,'Medical Examinations'!$A:$J,4,FALSE)</f>
        <v>9.7200000000000006</v>
      </c>
      <c r="F461" t="str">
        <f>VLOOKUP($A461,'Medical Examinations'!$A:$J,6,FALSE)</f>
        <v>yes</v>
      </c>
      <c r="G461" t="str">
        <f>VLOOKUP($A461,'Medical Examinations'!$A:$J,7,FALSE)</f>
        <v>No</v>
      </c>
      <c r="H461" t="str">
        <f>VLOOKUP($A461,'Medical Examinations'!$A:$J,8,FALSE)</f>
        <v>Yes</v>
      </c>
      <c r="I461">
        <f>VLOOKUP($A461,'Medical Examinations'!$A:$J,9,FALSE)</f>
        <v>1</v>
      </c>
      <c r="J461" t="str">
        <f>VLOOKUP($A461,'Medical Examinations'!$A:$J,10,FALSE)</f>
        <v>No</v>
      </c>
      <c r="K461" t="str">
        <f>VLOOKUP($A461,'Medical Examinations'!$A:$J,5,FALSE)</f>
        <v>Diabetes</v>
      </c>
      <c r="L461">
        <f>VLOOKUP($A462,'Medical Examinations'!$A:$J,3,FALSE)</f>
        <v>26.885000000000002</v>
      </c>
      <c r="M461">
        <f>VLOOKUP($A461,'Hospitalisation Details'!$A:$K,6,FALSE)</f>
        <v>21797</v>
      </c>
      <c r="N461" s="11">
        <f>VLOOKUP($B461,'Hospitalisation Details'!A460:J2804,10,0)</f>
        <v>34975</v>
      </c>
      <c r="O461" t="str">
        <f>VLOOKUP($B461,'Hospitalisation Details'!A460:J2804,8,0)</f>
        <v>tier - 2</v>
      </c>
      <c r="P461" t="str">
        <f>VLOOKUP($B461,'Hospitalisation Details'!A460:J2804,7,0)</f>
        <v>tier - 2</v>
      </c>
      <c r="Q461" t="str">
        <f>VLOOKUP($B461,'Hospitalisation Details'!A460:J2804,9,0)</f>
        <v>R1025</v>
      </c>
      <c r="R461">
        <f>VLOOKUP($B461,'Hospitalisation Details'!A460:K2804,11,0)</f>
        <v>27</v>
      </c>
    </row>
    <row r="462" spans="1:18" x14ac:dyDescent="0.35">
      <c r="A462" t="s">
        <v>1911</v>
      </c>
      <c r="B462" t="s">
        <v>491</v>
      </c>
      <c r="C462" t="str">
        <f>VLOOKUP($A462,'Customer Names'!$A:$E,4,FALSE)</f>
        <v>Carolyn</v>
      </c>
      <c r="D462" t="str">
        <f>VLOOKUP($A462,'Medical Examinations'!$A:$J,2,FALSE)</f>
        <v>Overweight</v>
      </c>
      <c r="E462">
        <f>VLOOKUP($A462,'Medical Examinations'!$A:$J,4,FALSE)</f>
        <v>5.18</v>
      </c>
      <c r="F462" t="str">
        <f>VLOOKUP($A462,'Medical Examinations'!$A:$J,6,FALSE)</f>
        <v>No</v>
      </c>
      <c r="G462" t="str">
        <f>VLOOKUP($A462,'Medical Examinations'!$A:$J,7,FALSE)</f>
        <v>No</v>
      </c>
      <c r="H462" t="str">
        <f>VLOOKUP($A462,'Medical Examinations'!$A:$J,8,FALSE)</f>
        <v>Yes</v>
      </c>
      <c r="I462">
        <f>VLOOKUP($A462,'Medical Examinations'!$A:$J,9,FALSE)</f>
        <v>1</v>
      </c>
      <c r="J462" t="str">
        <f>VLOOKUP($A462,'Medical Examinations'!$A:$J,10,FALSE)</f>
        <v>yes</v>
      </c>
      <c r="K462" t="str">
        <f>VLOOKUP($A462,'Medical Examinations'!$A:$J,5,FALSE)</f>
        <v>Normal</v>
      </c>
      <c r="L462">
        <f>VLOOKUP($A463,'Medical Examinations'!$A:$J,3,FALSE)</f>
        <v>25.27</v>
      </c>
      <c r="M462">
        <f>VLOOKUP($A462,'Hospitalisation Details'!$A:$K,6,FALSE)</f>
        <v>21774.32</v>
      </c>
      <c r="N462" s="11">
        <f>VLOOKUP($B462,'Hospitalisation Details'!A461:J2805,10,0)</f>
        <v>35679</v>
      </c>
      <c r="O462" t="str">
        <f>VLOOKUP($B462,'Hospitalisation Details'!A461:J2805,8,0)</f>
        <v>tier - 2</v>
      </c>
      <c r="P462" t="str">
        <f>VLOOKUP($B462,'Hospitalisation Details'!A461:J2805,7,0)</f>
        <v>tier - 2</v>
      </c>
      <c r="Q462" t="str">
        <f>VLOOKUP($B462,'Hospitalisation Details'!A461:J2805,9,0)</f>
        <v>R1012</v>
      </c>
      <c r="R462">
        <f>VLOOKUP($B462,'Hospitalisation Details'!A461:K2805,11,0)</f>
        <v>25</v>
      </c>
    </row>
    <row r="463" spans="1:18" x14ac:dyDescent="0.35">
      <c r="A463" t="s">
        <v>1910</v>
      </c>
      <c r="B463" t="s">
        <v>492</v>
      </c>
      <c r="C463" t="str">
        <f>VLOOKUP($A463,'Customer Names'!$A:$E,4,FALSE)</f>
        <v>Lindsey</v>
      </c>
      <c r="D463" t="str">
        <f>VLOOKUP($A463,'Medical Examinations'!$A:$J,2,FALSE)</f>
        <v>Overweight</v>
      </c>
      <c r="E463">
        <f>VLOOKUP($A463,'Medical Examinations'!$A:$J,4,FALSE)</f>
        <v>5.29</v>
      </c>
      <c r="F463" t="str">
        <f>VLOOKUP($A463,'Medical Examinations'!$A:$J,6,FALSE)</f>
        <v>No</v>
      </c>
      <c r="G463" t="str">
        <f>VLOOKUP($A463,'Medical Examinations'!$A:$J,7,FALSE)</f>
        <v>No</v>
      </c>
      <c r="H463" t="str">
        <f>VLOOKUP($A463,'Medical Examinations'!$A:$J,8,FALSE)</f>
        <v>Yes</v>
      </c>
      <c r="I463">
        <f>VLOOKUP($A463,'Medical Examinations'!$A:$J,9,FALSE)</f>
        <v>1</v>
      </c>
      <c r="J463" t="str">
        <f>VLOOKUP($A463,'Medical Examinations'!$A:$J,10,FALSE)</f>
        <v>yes</v>
      </c>
      <c r="K463" t="str">
        <f>VLOOKUP($A463,'Medical Examinations'!$A:$J,5,FALSE)</f>
        <v>Normal</v>
      </c>
      <c r="L463">
        <f>VLOOKUP($A464,'Medical Examinations'!$A:$J,3,FALSE)</f>
        <v>23.655000000000001</v>
      </c>
      <c r="M463">
        <f>VLOOKUP($A463,'Hospitalisation Details'!$A:$K,6,FALSE)</f>
        <v>21771.34</v>
      </c>
      <c r="N463" s="11">
        <f>VLOOKUP($B463,'Hospitalisation Details'!A462:J2806,10,0)</f>
        <v>36143</v>
      </c>
      <c r="O463" t="str">
        <f>VLOOKUP($B463,'Hospitalisation Details'!A462:J2806,8,0)</f>
        <v>tier - 1</v>
      </c>
      <c r="P463" t="str">
        <f>VLOOKUP($B463,'Hospitalisation Details'!A462:J2806,7,0)</f>
        <v>tier - 2</v>
      </c>
      <c r="Q463" t="str">
        <f>VLOOKUP($B463,'Hospitalisation Details'!A462:J2806,9,0)</f>
        <v>R1011</v>
      </c>
      <c r="R463">
        <f>VLOOKUP($B463,'Hospitalisation Details'!A462:K2806,11,0)</f>
        <v>24</v>
      </c>
    </row>
    <row r="464" spans="1:18" x14ac:dyDescent="0.35">
      <c r="A464" t="s">
        <v>1909</v>
      </c>
      <c r="B464" t="s">
        <v>493</v>
      </c>
      <c r="C464" t="str">
        <f>VLOOKUP($A464,'Customer Names'!$A:$E,4,FALSE)</f>
        <v>Marissa D</v>
      </c>
      <c r="D464" t="str">
        <f>VLOOKUP($A464,'Medical Examinations'!$A:$J,2,FALSE)</f>
        <v>Normal Weight</v>
      </c>
      <c r="E464">
        <f>VLOOKUP($A464,'Medical Examinations'!$A:$J,4,FALSE)</f>
        <v>4.8600000000000003</v>
      </c>
      <c r="F464" t="str">
        <f>VLOOKUP($A464,'Medical Examinations'!$A:$J,6,FALSE)</f>
        <v>yes</v>
      </c>
      <c r="G464" t="str">
        <f>VLOOKUP($A464,'Medical Examinations'!$A:$J,7,FALSE)</f>
        <v>No</v>
      </c>
      <c r="H464" t="str">
        <f>VLOOKUP($A464,'Medical Examinations'!$A:$J,8,FALSE)</f>
        <v>No</v>
      </c>
      <c r="I464">
        <f>VLOOKUP($A464,'Medical Examinations'!$A:$J,9,FALSE)</f>
        <v>0</v>
      </c>
      <c r="J464" t="str">
        <f>VLOOKUP($A464,'Medical Examinations'!$A:$J,10,FALSE)</f>
        <v>yes</v>
      </c>
      <c r="K464" t="str">
        <f>VLOOKUP($A464,'Medical Examinations'!$A:$J,5,FALSE)</f>
        <v>Normal</v>
      </c>
      <c r="L464">
        <f>VLOOKUP($A465,'Medical Examinations'!$A:$J,3,FALSE)</f>
        <v>55.05</v>
      </c>
      <c r="M464">
        <f>VLOOKUP($A464,'Hospitalisation Details'!$A:$K,6,FALSE)</f>
        <v>21677.279999999999</v>
      </c>
      <c r="N464" s="11">
        <f>VLOOKUP($B464,'Hospitalisation Details'!A463:J2807,10,0)</f>
        <v>33782</v>
      </c>
      <c r="O464" t="str">
        <f>VLOOKUP($B464,'Hospitalisation Details'!A463:J2807,8,0)</f>
        <v>tier - 1</v>
      </c>
      <c r="P464" t="str">
        <f>VLOOKUP($B464,'Hospitalisation Details'!A463:J2807,7,0)</f>
        <v>tier - 3</v>
      </c>
      <c r="Q464" t="str">
        <f>VLOOKUP($B464,'Hospitalisation Details'!A463:J2807,9,0)</f>
        <v>R1016</v>
      </c>
      <c r="R464">
        <f>VLOOKUP($B464,'Hospitalisation Details'!A463:K2807,11,0)</f>
        <v>30</v>
      </c>
    </row>
    <row r="465" spans="1:18" x14ac:dyDescent="0.35">
      <c r="A465" t="s">
        <v>1908</v>
      </c>
      <c r="B465" t="s">
        <v>494</v>
      </c>
      <c r="C465" t="str">
        <f>VLOOKUP($A465,'Customer Names'!$A:$E,4,FALSE)</f>
        <v>Jean Luc</v>
      </c>
      <c r="D465" t="str">
        <f>VLOOKUP($A465,'Medical Examinations'!$A:$J,2,FALSE)</f>
        <v>Obesity</v>
      </c>
      <c r="E465">
        <f>VLOOKUP($A465,'Medical Examinations'!$A:$J,4,FALSE)</f>
        <v>7.66</v>
      </c>
      <c r="F465" t="str">
        <f>VLOOKUP($A465,'Medical Examinations'!$A:$J,6,FALSE)</f>
        <v>No</v>
      </c>
      <c r="G465" t="str">
        <f>VLOOKUP($A465,'Medical Examinations'!$A:$J,7,FALSE)</f>
        <v>No</v>
      </c>
      <c r="H465" t="str">
        <f>VLOOKUP($A465,'Medical Examinations'!$A:$J,8,FALSE)</f>
        <v>No</v>
      </c>
      <c r="I465">
        <f>VLOOKUP($A465,'Medical Examinations'!$A:$J,9,FALSE)</f>
        <v>0</v>
      </c>
      <c r="J465" t="str">
        <f>VLOOKUP($A465,'Medical Examinations'!$A:$J,10,FALSE)</f>
        <v>No</v>
      </c>
      <c r="K465" t="str">
        <f>VLOOKUP($A465,'Medical Examinations'!$A:$J,5,FALSE)</f>
        <v>Diabetes</v>
      </c>
      <c r="L465">
        <f>VLOOKUP($A466,'Medical Examinations'!$A:$J,3,FALSE)</f>
        <v>24.89</v>
      </c>
      <c r="M465">
        <f>VLOOKUP($A465,'Hospitalisation Details'!$A:$K,6,FALSE)</f>
        <v>21661.16</v>
      </c>
      <c r="N465" s="11">
        <f>VLOOKUP($B465,'Hospitalisation Details'!A464:J2808,10,0)</f>
        <v>33545</v>
      </c>
      <c r="O465" t="str">
        <f>VLOOKUP($B465,'Hospitalisation Details'!A464:J2808,8,0)</f>
        <v>tier - 2</v>
      </c>
      <c r="P465" t="str">
        <f>VLOOKUP($B465,'Hospitalisation Details'!A464:J2808,7,0)</f>
        <v>tier - 2</v>
      </c>
      <c r="Q465" t="str">
        <f>VLOOKUP($B465,'Hospitalisation Details'!A464:J2808,9,0)</f>
        <v>R1012</v>
      </c>
      <c r="R465">
        <f>VLOOKUP($B465,'Hospitalisation Details'!A464:K2808,11,0)</f>
        <v>31</v>
      </c>
    </row>
    <row r="466" spans="1:18" x14ac:dyDescent="0.35">
      <c r="A466" t="s">
        <v>1907</v>
      </c>
      <c r="B466" t="s">
        <v>495</v>
      </c>
      <c r="C466" t="str">
        <f>VLOOKUP($A466,'Customer Names'!$A:$E,4,FALSE)</f>
        <v>Danielle</v>
      </c>
      <c r="D466" t="str">
        <f>VLOOKUP($A466,'Medical Examinations'!$A:$J,2,FALSE)</f>
        <v>Normal Weight</v>
      </c>
      <c r="E466">
        <f>VLOOKUP($A466,'Medical Examinations'!$A:$J,4,FALSE)</f>
        <v>6.1</v>
      </c>
      <c r="F466" t="str">
        <f>VLOOKUP($A466,'Medical Examinations'!$A:$J,6,FALSE)</f>
        <v>yes</v>
      </c>
      <c r="G466" t="str">
        <f>VLOOKUP($A466,'Medical Examinations'!$A:$J,7,FALSE)</f>
        <v>No</v>
      </c>
      <c r="H466" t="str">
        <f>VLOOKUP($A466,'Medical Examinations'!$A:$J,8,FALSE)</f>
        <v>Yes</v>
      </c>
      <c r="I466">
        <f>VLOOKUP($A466,'Medical Examinations'!$A:$J,9,FALSE)</f>
        <v>1</v>
      </c>
      <c r="J466" t="str">
        <f>VLOOKUP($A466,'Medical Examinations'!$A:$J,10,FALSE)</f>
        <v>yes</v>
      </c>
      <c r="K466" t="str">
        <f>VLOOKUP($A466,'Medical Examinations'!$A:$J,5,FALSE)</f>
        <v>Prediabetes</v>
      </c>
      <c r="L466">
        <f>VLOOKUP($A467,'Medical Examinations'!$A:$J,3,FALSE)</f>
        <v>18.715</v>
      </c>
      <c r="M466">
        <f>VLOOKUP($A466,'Hospitalisation Details'!$A:$K,6,FALSE)</f>
        <v>21659.93</v>
      </c>
      <c r="N466" s="11">
        <f>VLOOKUP($B466,'Hospitalisation Details'!A465:J2809,10,0)</f>
        <v>33573</v>
      </c>
      <c r="O466" t="str">
        <f>VLOOKUP($B466,'Hospitalisation Details'!A465:J2809,8,0)</f>
        <v>tier - 1</v>
      </c>
      <c r="P466" t="str">
        <f>VLOOKUP($B466,'Hospitalisation Details'!A465:J2809,7,0)</f>
        <v>tier - 3</v>
      </c>
      <c r="Q466" t="str">
        <f>VLOOKUP($B466,'Hospitalisation Details'!A465:J2809,9,0)</f>
        <v>R1012</v>
      </c>
      <c r="R466">
        <f>VLOOKUP($B466,'Hospitalisation Details'!A465:K2809,11,0)</f>
        <v>31</v>
      </c>
    </row>
    <row r="467" spans="1:18" x14ac:dyDescent="0.35">
      <c r="A467" t="s">
        <v>1906</v>
      </c>
      <c r="B467" t="s">
        <v>496</v>
      </c>
      <c r="C467" t="str">
        <f>VLOOKUP($A467,'Customer Names'!$A:$E,4,FALSE)</f>
        <v>Jim</v>
      </c>
      <c r="D467" t="str">
        <f>VLOOKUP($A467,'Medical Examinations'!$A:$J,2,FALSE)</f>
        <v>Normal Weight</v>
      </c>
      <c r="E467">
        <f>VLOOKUP($A467,'Medical Examinations'!$A:$J,4,FALSE)</f>
        <v>4.4400000000000004</v>
      </c>
      <c r="F467" t="str">
        <f>VLOOKUP($A467,'Medical Examinations'!$A:$J,6,FALSE)</f>
        <v>No</v>
      </c>
      <c r="G467" t="str">
        <f>VLOOKUP($A467,'Medical Examinations'!$A:$J,7,FALSE)</f>
        <v>No</v>
      </c>
      <c r="H467" t="str">
        <f>VLOOKUP($A467,'Medical Examinations'!$A:$J,8,FALSE)</f>
        <v>No</v>
      </c>
      <c r="I467">
        <f>VLOOKUP($A467,'Medical Examinations'!$A:$J,9,FALSE)</f>
        <v>0</v>
      </c>
      <c r="J467" t="str">
        <f>VLOOKUP($A467,'Medical Examinations'!$A:$J,10,FALSE)</f>
        <v>No</v>
      </c>
      <c r="K467" t="str">
        <f>VLOOKUP($A467,'Medical Examinations'!$A:$J,5,FALSE)</f>
        <v>Normal</v>
      </c>
      <c r="L467">
        <f>VLOOKUP($A468,'Medical Examinations'!$A:$J,3,FALSE)</f>
        <v>28.12</v>
      </c>
      <c r="M467">
        <f>VLOOKUP($A467,'Hospitalisation Details'!$A:$K,6,FALSE)</f>
        <v>21595.38</v>
      </c>
      <c r="N467" s="11">
        <f>VLOOKUP($B467,'Hospitalisation Details'!A466:J2810,10,0)</f>
        <v>30118</v>
      </c>
      <c r="O467" t="str">
        <f>VLOOKUP($B467,'Hospitalisation Details'!A466:J2810,8,0)</f>
        <v>tier - 3</v>
      </c>
      <c r="P467" t="str">
        <f>VLOOKUP($B467,'Hospitalisation Details'!A466:J2810,7,0)</f>
        <v>tier - 2</v>
      </c>
      <c r="Q467" t="str">
        <f>VLOOKUP($B467,'Hospitalisation Details'!A466:J2810,9,0)</f>
        <v>R1013</v>
      </c>
      <c r="R467">
        <f>VLOOKUP($B467,'Hospitalisation Details'!A466:K2810,11,0)</f>
        <v>40</v>
      </c>
    </row>
    <row r="468" spans="1:18" x14ac:dyDescent="0.35">
      <c r="A468" t="s">
        <v>1905</v>
      </c>
      <c r="B468" t="s">
        <v>497</v>
      </c>
      <c r="C468" t="str">
        <f>VLOOKUP($A468,'Customer Names'!$A:$E,4,FALSE)</f>
        <v>Matthew T</v>
      </c>
      <c r="D468" t="str">
        <f>VLOOKUP($A468,'Medical Examinations'!$A:$J,2,FALSE)</f>
        <v>Overweight</v>
      </c>
      <c r="E468">
        <f>VLOOKUP($A468,'Medical Examinations'!$A:$J,4,FALSE)</f>
        <v>6.15</v>
      </c>
      <c r="F468" t="str">
        <f>VLOOKUP($A468,'Medical Examinations'!$A:$J,6,FALSE)</f>
        <v>No</v>
      </c>
      <c r="G468" t="str">
        <f>VLOOKUP($A468,'Medical Examinations'!$A:$J,7,FALSE)</f>
        <v>No</v>
      </c>
      <c r="H468" t="str">
        <f>VLOOKUP($A468,'Medical Examinations'!$A:$J,8,FALSE)</f>
        <v>No</v>
      </c>
      <c r="I468">
        <f>VLOOKUP($A468,'Medical Examinations'!$A:$J,9,FALSE)</f>
        <v>0</v>
      </c>
      <c r="J468" t="str">
        <f>VLOOKUP($A468,'Medical Examinations'!$A:$J,10,FALSE)</f>
        <v>yes</v>
      </c>
      <c r="K468" t="str">
        <f>VLOOKUP($A468,'Medical Examinations'!$A:$J,5,FALSE)</f>
        <v>Prediabetes</v>
      </c>
      <c r="L468">
        <f>VLOOKUP($A469,'Medical Examinations'!$A:$J,3,FALSE)</f>
        <v>26.6</v>
      </c>
      <c r="M468">
        <f>VLOOKUP($A468,'Hospitalisation Details'!$A:$K,6,FALSE)</f>
        <v>21472.48</v>
      </c>
      <c r="N468" s="11">
        <f>VLOOKUP($B468,'Hospitalisation Details'!A467:J2811,10,0)</f>
        <v>34986</v>
      </c>
      <c r="O468" t="str">
        <f>VLOOKUP($B468,'Hospitalisation Details'!A467:J2811,8,0)</f>
        <v>tier - 2</v>
      </c>
      <c r="P468" t="str">
        <f>VLOOKUP($B468,'Hospitalisation Details'!A467:J2811,7,0)</f>
        <v>tier - 3</v>
      </c>
      <c r="Q468" t="str">
        <f>VLOOKUP($B468,'Hospitalisation Details'!A467:J2811,9,0)</f>
        <v>R1011</v>
      </c>
      <c r="R468">
        <f>VLOOKUP($B468,'Hospitalisation Details'!A467:K2811,11,0)</f>
        <v>27</v>
      </c>
    </row>
    <row r="469" spans="1:18" x14ac:dyDescent="0.35">
      <c r="A469" t="s">
        <v>1904</v>
      </c>
      <c r="B469" t="s">
        <v>498</v>
      </c>
      <c r="C469" t="str">
        <f>VLOOKUP($A469,'Customer Names'!$A:$E,4,FALSE)</f>
        <v>Rachel L.</v>
      </c>
      <c r="D469" t="str">
        <f>VLOOKUP($A469,'Medical Examinations'!$A:$J,2,FALSE)</f>
        <v>Overweight</v>
      </c>
      <c r="E469">
        <f>VLOOKUP($A469,'Medical Examinations'!$A:$J,4,FALSE)</f>
        <v>4.53</v>
      </c>
      <c r="F469" t="str">
        <f>VLOOKUP($A469,'Medical Examinations'!$A:$J,6,FALSE)</f>
        <v>No</v>
      </c>
      <c r="G469" t="str">
        <f>VLOOKUP($A469,'Medical Examinations'!$A:$J,7,FALSE)</f>
        <v>No</v>
      </c>
      <c r="H469" t="str">
        <f>VLOOKUP($A469,'Medical Examinations'!$A:$J,8,FALSE)</f>
        <v>No</v>
      </c>
      <c r="I469">
        <f>VLOOKUP($A469,'Medical Examinations'!$A:$J,9,FALSE)</f>
        <v>0</v>
      </c>
      <c r="J469" t="str">
        <f>VLOOKUP($A469,'Medical Examinations'!$A:$J,10,FALSE)</f>
        <v>yes</v>
      </c>
      <c r="K469" t="str">
        <f>VLOOKUP($A469,'Medical Examinations'!$A:$J,5,FALSE)</f>
        <v>Normal</v>
      </c>
      <c r="L469">
        <f>VLOOKUP($A470,'Medical Examinations'!$A:$J,3,FALSE)</f>
        <v>30.114999999999998</v>
      </c>
      <c r="M469">
        <f>VLOOKUP($A469,'Hospitalisation Details'!$A:$K,6,FALSE)</f>
        <v>21348.71</v>
      </c>
      <c r="N469" s="11">
        <f>VLOOKUP($B469,'Hospitalisation Details'!A468:J2812,10,0)</f>
        <v>30640</v>
      </c>
      <c r="O469" t="str">
        <f>VLOOKUP($B469,'Hospitalisation Details'!A468:J2812,8,0)</f>
        <v>tier - 1</v>
      </c>
      <c r="P469" t="str">
        <f>VLOOKUP($B469,'Hospitalisation Details'!A468:J2812,7,0)</f>
        <v>tier - 2</v>
      </c>
      <c r="Q469" t="str">
        <f>VLOOKUP($B469,'Hospitalisation Details'!A468:J2812,9,0)</f>
        <v>R1012</v>
      </c>
      <c r="R469">
        <f>VLOOKUP($B469,'Hospitalisation Details'!A468:K2812,11,0)</f>
        <v>39</v>
      </c>
    </row>
    <row r="470" spans="1:18" x14ac:dyDescent="0.35">
      <c r="A470" t="s">
        <v>1903</v>
      </c>
      <c r="B470" t="s">
        <v>499</v>
      </c>
      <c r="C470" t="str">
        <f>VLOOKUP($A470,'Customer Names'!$A:$E,4,FALSE)</f>
        <v>Corina</v>
      </c>
      <c r="D470" t="str">
        <f>VLOOKUP($A470,'Medical Examinations'!$A:$J,2,FALSE)</f>
        <v>Obesity</v>
      </c>
      <c r="E470">
        <f>VLOOKUP($A470,'Medical Examinations'!$A:$J,4,FALSE)</f>
        <v>5.48</v>
      </c>
      <c r="F470" t="str">
        <f>VLOOKUP($A470,'Medical Examinations'!$A:$J,6,FALSE)</f>
        <v>No</v>
      </c>
      <c r="G470" t="str">
        <f>VLOOKUP($A470,'Medical Examinations'!$A:$J,7,FALSE)</f>
        <v>yes</v>
      </c>
      <c r="H470" t="str">
        <f>VLOOKUP($A470,'Medical Examinations'!$A:$J,8,FALSE)</f>
        <v>No</v>
      </c>
      <c r="I470">
        <f>VLOOKUP($A470,'Medical Examinations'!$A:$J,9,FALSE)</f>
        <v>1</v>
      </c>
      <c r="J470" t="str">
        <f>VLOOKUP($A470,'Medical Examinations'!$A:$J,10,FALSE)</f>
        <v>No</v>
      </c>
      <c r="K470" t="str">
        <f>VLOOKUP($A470,'Medical Examinations'!$A:$J,5,FALSE)</f>
        <v>Normal</v>
      </c>
      <c r="L470">
        <f>VLOOKUP($A471,'Medical Examinations'!$A:$J,3,FALSE)</f>
        <v>24.605</v>
      </c>
      <c r="M470">
        <f>VLOOKUP($A470,'Hospitalisation Details'!$A:$K,6,FALSE)</f>
        <v>21344.85</v>
      </c>
      <c r="N470" s="11">
        <f>VLOOKUP($B470,'Hospitalisation Details'!A469:J2813,10,0)</f>
        <v>33773</v>
      </c>
      <c r="O470" t="str">
        <f>VLOOKUP($B470,'Hospitalisation Details'!A469:J2813,8,0)</f>
        <v>tier - 2</v>
      </c>
      <c r="P470" t="str">
        <f>VLOOKUP($B470,'Hospitalisation Details'!A469:J2813,7,0)</f>
        <v>tier - 3</v>
      </c>
      <c r="Q470" t="str">
        <f>VLOOKUP($B470,'Hospitalisation Details'!A469:J2813,9,0)</f>
        <v>R1013</v>
      </c>
      <c r="R470">
        <f>VLOOKUP($B470,'Hospitalisation Details'!A469:K2813,11,0)</f>
        <v>30</v>
      </c>
    </row>
    <row r="471" spans="1:18" x14ac:dyDescent="0.35">
      <c r="A471" t="s">
        <v>1902</v>
      </c>
      <c r="B471" t="s">
        <v>500</v>
      </c>
      <c r="C471" t="str">
        <f>VLOOKUP($A471,'Customer Names'!$A:$E,4,FALSE)</f>
        <v>Guannan</v>
      </c>
      <c r="D471" t="str">
        <f>VLOOKUP($A471,'Medical Examinations'!$A:$J,2,FALSE)</f>
        <v>Normal Weight</v>
      </c>
      <c r="E471">
        <f>VLOOKUP($A471,'Medical Examinations'!$A:$J,4,FALSE)</f>
        <v>5.48</v>
      </c>
      <c r="F471" t="str">
        <f>VLOOKUP($A471,'Medical Examinations'!$A:$J,6,FALSE)</f>
        <v>No</v>
      </c>
      <c r="G471" t="str">
        <f>VLOOKUP($A471,'Medical Examinations'!$A:$J,7,FALSE)</f>
        <v>No</v>
      </c>
      <c r="H471" t="str">
        <f>VLOOKUP($A471,'Medical Examinations'!$A:$J,8,FALSE)</f>
        <v>No</v>
      </c>
      <c r="I471">
        <f>VLOOKUP($A471,'Medical Examinations'!$A:$J,9,FALSE)</f>
        <v>0</v>
      </c>
      <c r="J471" t="str">
        <f>VLOOKUP($A471,'Medical Examinations'!$A:$J,10,FALSE)</f>
        <v>yes</v>
      </c>
      <c r="K471" t="str">
        <f>VLOOKUP($A471,'Medical Examinations'!$A:$J,5,FALSE)</f>
        <v>Normal</v>
      </c>
      <c r="L471">
        <f>VLOOKUP($A472,'Medical Examinations'!$A:$J,3,FALSE)</f>
        <v>29.6</v>
      </c>
      <c r="M471">
        <f>VLOOKUP($A471,'Hospitalisation Details'!$A:$K,6,FALSE)</f>
        <v>21259.38</v>
      </c>
      <c r="N471" s="11">
        <f>VLOOKUP($B471,'Hospitalisation Details'!A470:J2814,10,0)</f>
        <v>37780</v>
      </c>
      <c r="O471" t="str">
        <f>VLOOKUP($B471,'Hospitalisation Details'!A470:J2814,8,0)</f>
        <v>tier - 1</v>
      </c>
      <c r="P471" t="str">
        <f>VLOOKUP($B471,'Hospitalisation Details'!A470:J2814,7,0)</f>
        <v>tier - 2</v>
      </c>
      <c r="Q471" t="str">
        <f>VLOOKUP($B471,'Hospitalisation Details'!A470:J2814,9,0)</f>
        <v>R1021</v>
      </c>
      <c r="R471">
        <f>VLOOKUP($B471,'Hospitalisation Details'!A470:K2814,11,0)</f>
        <v>20</v>
      </c>
    </row>
    <row r="472" spans="1:18" x14ac:dyDescent="0.35">
      <c r="A472" t="s">
        <v>1901</v>
      </c>
      <c r="B472" t="s">
        <v>501</v>
      </c>
      <c r="C472" t="str">
        <f>VLOOKUP($A472,'Customer Names'!$A:$E,4,FALSE)</f>
        <v>Don</v>
      </c>
      <c r="D472" t="str">
        <f>VLOOKUP($A472,'Medical Examinations'!$A:$J,2,FALSE)</f>
        <v>Overweight</v>
      </c>
      <c r="E472">
        <f>VLOOKUP($A472,'Medical Examinations'!$A:$J,4,FALSE)</f>
        <v>8.1</v>
      </c>
      <c r="F472" t="str">
        <f>VLOOKUP($A472,'Medical Examinations'!$A:$J,6,FALSE)</f>
        <v>No</v>
      </c>
      <c r="G472" t="str">
        <f>VLOOKUP($A472,'Medical Examinations'!$A:$J,7,FALSE)</f>
        <v>No</v>
      </c>
      <c r="H472" t="str">
        <f>VLOOKUP($A472,'Medical Examinations'!$A:$J,8,FALSE)</f>
        <v>No</v>
      </c>
      <c r="I472">
        <f>VLOOKUP($A472,'Medical Examinations'!$A:$J,9,FALSE)</f>
        <v>0</v>
      </c>
      <c r="J472" t="str">
        <f>VLOOKUP($A472,'Medical Examinations'!$A:$J,10,FALSE)</f>
        <v>No</v>
      </c>
      <c r="K472" t="str">
        <f>VLOOKUP($A472,'Medical Examinations'!$A:$J,5,FALSE)</f>
        <v>Diabetes</v>
      </c>
      <c r="L472">
        <f>VLOOKUP($A473,'Medical Examinations'!$A:$J,3,FALSE)</f>
        <v>24.42</v>
      </c>
      <c r="M472">
        <f>VLOOKUP($A472,'Hospitalisation Details'!$A:$K,6,FALSE)</f>
        <v>21232.18</v>
      </c>
      <c r="N472" s="11">
        <f>VLOOKUP($B472,'Hospitalisation Details'!A471:J2815,10,0)</f>
        <v>36855</v>
      </c>
      <c r="O472" t="str">
        <f>VLOOKUP($B472,'Hospitalisation Details'!A471:J2815,8,0)</f>
        <v>tier - 3</v>
      </c>
      <c r="P472" t="str">
        <f>VLOOKUP($B472,'Hospitalisation Details'!A471:J2815,7,0)</f>
        <v>tier - 2</v>
      </c>
      <c r="Q472" t="str">
        <f>VLOOKUP($B472,'Hospitalisation Details'!A471:J2815,9,0)</f>
        <v>R1012</v>
      </c>
      <c r="R472">
        <f>VLOOKUP($B472,'Hospitalisation Details'!A471:K2815,11,0)</f>
        <v>22</v>
      </c>
    </row>
    <row r="473" spans="1:18" x14ac:dyDescent="0.35">
      <c r="A473" t="s">
        <v>1900</v>
      </c>
      <c r="B473" t="s">
        <v>502</v>
      </c>
      <c r="C473" t="str">
        <f>VLOOKUP($A473,'Customer Names'!$A:$E,4,FALSE)</f>
        <v>Chris</v>
      </c>
      <c r="D473" t="str">
        <f>VLOOKUP($A473,'Medical Examinations'!$A:$J,2,FALSE)</f>
        <v>Normal Weight</v>
      </c>
      <c r="E473">
        <f>VLOOKUP($A473,'Medical Examinations'!$A:$J,4,FALSE)</f>
        <v>7.16</v>
      </c>
      <c r="F473" t="str">
        <f>VLOOKUP($A473,'Medical Examinations'!$A:$J,6,FALSE)</f>
        <v>No</v>
      </c>
      <c r="G473" t="str">
        <f>VLOOKUP($A473,'Medical Examinations'!$A:$J,7,FALSE)</f>
        <v>No</v>
      </c>
      <c r="H473" t="str">
        <f>VLOOKUP($A473,'Medical Examinations'!$A:$J,8,FALSE)</f>
        <v>No</v>
      </c>
      <c r="I473">
        <f>VLOOKUP($A473,'Medical Examinations'!$A:$J,9,FALSE)</f>
        <v>0</v>
      </c>
      <c r="J473" t="str">
        <f>VLOOKUP($A473,'Medical Examinations'!$A:$J,10,FALSE)</f>
        <v>yes</v>
      </c>
      <c r="K473" t="str">
        <f>VLOOKUP($A473,'Medical Examinations'!$A:$J,5,FALSE)</f>
        <v>Diabetes</v>
      </c>
      <c r="L473">
        <f>VLOOKUP($A474,'Medical Examinations'!$A:$J,3,FALSE)</f>
        <v>20.9</v>
      </c>
      <c r="M473">
        <f>VLOOKUP($A473,'Hospitalisation Details'!$A:$K,6,FALSE)</f>
        <v>21223.68</v>
      </c>
      <c r="N473" s="11">
        <f>VLOOKUP($B473,'Hospitalisation Details'!A472:J2816,10,0)</f>
        <v>32496</v>
      </c>
      <c r="O473" t="str">
        <f>VLOOKUP($B473,'Hospitalisation Details'!A472:J2816,8,0)</f>
        <v>tier - 1</v>
      </c>
      <c r="P473" t="str">
        <f>VLOOKUP($B473,'Hospitalisation Details'!A472:J2816,7,0)</f>
        <v>tier - 2</v>
      </c>
      <c r="Q473" t="str">
        <f>VLOOKUP($B473,'Hospitalisation Details'!A472:J2816,9,0)</f>
        <v>R1012</v>
      </c>
      <c r="R473">
        <f>VLOOKUP($B473,'Hospitalisation Details'!A472:K2816,11,0)</f>
        <v>34</v>
      </c>
    </row>
    <row r="474" spans="1:18" x14ac:dyDescent="0.35">
      <c r="A474" t="s">
        <v>1899</v>
      </c>
      <c r="B474" t="s">
        <v>503</v>
      </c>
      <c r="C474" t="str">
        <f>VLOOKUP($A474,'Customer Names'!$A:$E,4,FALSE)</f>
        <v>Gavin V.</v>
      </c>
      <c r="D474" t="str">
        <f>VLOOKUP($A474,'Medical Examinations'!$A:$J,2,FALSE)</f>
        <v>Normal Weight</v>
      </c>
      <c r="E474">
        <f>VLOOKUP($A474,'Medical Examinations'!$A:$J,4,FALSE)</f>
        <v>4.55</v>
      </c>
      <c r="F474" t="str">
        <f>VLOOKUP($A474,'Medical Examinations'!$A:$J,6,FALSE)</f>
        <v>yes</v>
      </c>
      <c r="G474" t="str">
        <f>VLOOKUP($A474,'Medical Examinations'!$A:$J,7,FALSE)</f>
        <v>No</v>
      </c>
      <c r="H474" t="str">
        <f>VLOOKUP($A474,'Medical Examinations'!$A:$J,8,FALSE)</f>
        <v>Yes</v>
      </c>
      <c r="I474">
        <f>VLOOKUP($A474,'Medical Examinations'!$A:$J,9,FALSE)</f>
        <v>1</v>
      </c>
      <c r="J474" t="str">
        <f>VLOOKUP($A474,'Medical Examinations'!$A:$J,10,FALSE)</f>
        <v>yes</v>
      </c>
      <c r="K474" t="str">
        <f>VLOOKUP($A474,'Medical Examinations'!$A:$J,5,FALSE)</f>
        <v>Normal</v>
      </c>
      <c r="L474">
        <f>VLOOKUP($A475,'Medical Examinations'!$A:$J,3,FALSE)</f>
        <v>22.895</v>
      </c>
      <c r="M474">
        <f>VLOOKUP($A474,'Hospitalisation Details'!$A:$K,6,FALSE)</f>
        <v>21195.82</v>
      </c>
      <c r="N474" s="11">
        <f>VLOOKUP($B474,'Hospitalisation Details'!A473:J2817,10,0)</f>
        <v>34640</v>
      </c>
      <c r="O474" t="str">
        <f>VLOOKUP($B474,'Hospitalisation Details'!A473:J2817,8,0)</f>
        <v>tier - 1</v>
      </c>
      <c r="P474" t="str">
        <f>VLOOKUP($B474,'Hospitalisation Details'!A473:J2817,7,0)</f>
        <v>tier - 2</v>
      </c>
      <c r="Q474" t="str">
        <f>VLOOKUP($B474,'Hospitalisation Details'!A473:J2817,9,0)</f>
        <v>R1024</v>
      </c>
      <c r="R474">
        <f>VLOOKUP($B474,'Hospitalisation Details'!A473:K2817,11,0)</f>
        <v>28</v>
      </c>
    </row>
    <row r="475" spans="1:18" x14ac:dyDescent="0.35">
      <c r="A475" t="s">
        <v>1898</v>
      </c>
      <c r="B475" t="s">
        <v>504</v>
      </c>
      <c r="C475" t="str">
        <f>VLOOKUP($A475,'Customer Names'!$A:$E,4,FALSE)</f>
        <v>David</v>
      </c>
      <c r="D475" t="str">
        <f>VLOOKUP($A475,'Medical Examinations'!$A:$J,2,FALSE)</f>
        <v>Normal Weight</v>
      </c>
      <c r="E475">
        <f>VLOOKUP($A475,'Medical Examinations'!$A:$J,4,FALSE)</f>
        <v>6.03</v>
      </c>
      <c r="F475" t="str">
        <f>VLOOKUP($A475,'Medical Examinations'!$A:$J,6,FALSE)</f>
        <v>No</v>
      </c>
      <c r="G475" t="str">
        <f>VLOOKUP($A475,'Medical Examinations'!$A:$J,7,FALSE)</f>
        <v>No</v>
      </c>
      <c r="H475" t="str">
        <f>VLOOKUP($A475,'Medical Examinations'!$A:$J,8,FALSE)</f>
        <v>No</v>
      </c>
      <c r="I475">
        <f>VLOOKUP($A475,'Medical Examinations'!$A:$J,9,FALSE)</f>
        <v>0</v>
      </c>
      <c r="J475" t="str">
        <f>VLOOKUP($A475,'Medical Examinations'!$A:$J,10,FALSE)</f>
        <v>yes</v>
      </c>
      <c r="K475" t="str">
        <f>VLOOKUP($A475,'Medical Examinations'!$A:$J,5,FALSE)</f>
        <v>Prediabetes</v>
      </c>
      <c r="L475">
        <f>VLOOKUP($A476,'Medical Examinations'!$A:$J,3,FALSE)</f>
        <v>28.3</v>
      </c>
      <c r="M475">
        <f>VLOOKUP($A475,'Hospitalisation Details'!$A:$K,6,FALSE)</f>
        <v>21098.55</v>
      </c>
      <c r="N475" s="11">
        <f>VLOOKUP($B475,'Hospitalisation Details'!A474:J2818,10,0)</f>
        <v>34633</v>
      </c>
      <c r="O475" t="str">
        <f>VLOOKUP($B475,'Hospitalisation Details'!A474:J2818,8,0)</f>
        <v>tier - 1</v>
      </c>
      <c r="P475" t="str">
        <f>VLOOKUP($B475,'Hospitalisation Details'!A474:J2818,7,0)</f>
        <v>tier - 2</v>
      </c>
      <c r="Q475" t="str">
        <f>VLOOKUP($B475,'Hospitalisation Details'!A474:J2818,9,0)</f>
        <v>R1013</v>
      </c>
      <c r="R475">
        <f>VLOOKUP($B475,'Hospitalisation Details'!A474:K2818,11,0)</f>
        <v>28</v>
      </c>
    </row>
    <row r="476" spans="1:18" x14ac:dyDescent="0.35">
      <c r="A476" t="s">
        <v>1897</v>
      </c>
      <c r="B476" t="s">
        <v>505</v>
      </c>
      <c r="C476" t="str">
        <f>VLOOKUP($A476,'Customer Names'!$A:$E,4,FALSE)</f>
        <v>Jatin</v>
      </c>
      <c r="D476" t="str">
        <f>VLOOKUP($A476,'Medical Examinations'!$A:$J,2,FALSE)</f>
        <v>Overweight</v>
      </c>
      <c r="E476">
        <f>VLOOKUP($A476,'Medical Examinations'!$A:$J,4,FALSE)</f>
        <v>5.47</v>
      </c>
      <c r="F476" t="str">
        <f>VLOOKUP($A476,'Medical Examinations'!$A:$J,6,FALSE)</f>
        <v>yes</v>
      </c>
      <c r="G476" t="str">
        <f>VLOOKUP($A476,'Medical Examinations'!$A:$J,7,FALSE)</f>
        <v>No</v>
      </c>
      <c r="H476" t="str">
        <f>VLOOKUP($A476,'Medical Examinations'!$A:$J,8,FALSE)</f>
        <v>Yes</v>
      </c>
      <c r="I476">
        <f>VLOOKUP($A476,'Medical Examinations'!$A:$J,9,FALSE)</f>
        <v>1</v>
      </c>
      <c r="J476" t="str">
        <f>VLOOKUP($A476,'Medical Examinations'!$A:$J,10,FALSE)</f>
        <v>yes</v>
      </c>
      <c r="K476" t="str">
        <f>VLOOKUP($A476,'Medical Examinations'!$A:$J,5,FALSE)</f>
        <v>Normal</v>
      </c>
      <c r="L476">
        <f>VLOOKUP($A477,'Medical Examinations'!$A:$J,3,FALSE)</f>
        <v>54.3</v>
      </c>
      <c r="M476">
        <f>VLOOKUP($A476,'Hospitalisation Details'!$A:$K,6,FALSE)</f>
        <v>21082.16</v>
      </c>
      <c r="N476" s="11">
        <f>VLOOKUP($B476,'Hospitalisation Details'!A475:J2819,10,0)</f>
        <v>33390</v>
      </c>
      <c r="O476" t="str">
        <f>VLOOKUP($B476,'Hospitalisation Details'!A475:J2819,8,0)</f>
        <v>tier - 1</v>
      </c>
      <c r="P476" t="str">
        <f>VLOOKUP($B476,'Hospitalisation Details'!A475:J2819,7,0)</f>
        <v>tier - 2</v>
      </c>
      <c r="Q476" t="str">
        <f>VLOOKUP($B476,'Hospitalisation Details'!A475:J2819,9,0)</f>
        <v>R1024</v>
      </c>
      <c r="R476">
        <f>VLOOKUP($B476,'Hospitalisation Details'!A475:K2819,11,0)</f>
        <v>32</v>
      </c>
    </row>
    <row r="477" spans="1:18" x14ac:dyDescent="0.35">
      <c r="A477" t="s">
        <v>1895</v>
      </c>
      <c r="B477" t="s">
        <v>506</v>
      </c>
      <c r="C477" t="str">
        <f>VLOOKUP($A477,'Customer Names'!$A:$E,4,FALSE)</f>
        <v>J P. II</v>
      </c>
      <c r="D477" t="str">
        <f>VLOOKUP($A477,'Medical Examinations'!$A:$J,2,FALSE)</f>
        <v>Obesity</v>
      </c>
      <c r="E477">
        <f>VLOOKUP($A477,'Medical Examinations'!$A:$J,4,FALSE)</f>
        <v>4.1500000000000004</v>
      </c>
      <c r="F477" t="str">
        <f>VLOOKUP($A477,'Medical Examinations'!$A:$J,6,FALSE)</f>
        <v>yes</v>
      </c>
      <c r="G477" t="str">
        <f>VLOOKUP($A477,'Medical Examinations'!$A:$J,7,FALSE)</f>
        <v>No</v>
      </c>
      <c r="H477" t="str">
        <f>VLOOKUP($A477,'Medical Examinations'!$A:$J,8,FALSE)</f>
        <v>No</v>
      </c>
      <c r="I477">
        <f>VLOOKUP($A477,'Medical Examinations'!$A:$J,9,FALSE)</f>
        <v>1</v>
      </c>
      <c r="J477" t="str">
        <f>VLOOKUP($A477,'Medical Examinations'!$A:$J,10,FALSE)</f>
        <v>No</v>
      </c>
      <c r="K477" t="str">
        <f>VLOOKUP($A477,'Medical Examinations'!$A:$J,5,FALSE)</f>
        <v>Normal</v>
      </c>
      <c r="L477">
        <f>VLOOKUP($A478,'Medical Examinations'!$A:$J,3,FALSE)</f>
        <v>33.344999999999999</v>
      </c>
      <c r="M477">
        <f>VLOOKUP($A477,'Hospitalisation Details'!$A:$K,6,FALSE)</f>
        <v>20893.060000000001</v>
      </c>
      <c r="N477" s="11">
        <f>VLOOKUP($B477,'Hospitalisation Details'!A476:J2820,10,0)</f>
        <v>34639</v>
      </c>
      <c r="O477" t="str">
        <f>VLOOKUP($B477,'Hospitalisation Details'!A476:J2820,8,0)</f>
        <v>tier - 2</v>
      </c>
      <c r="P477" t="str">
        <f>VLOOKUP($B477,'Hospitalisation Details'!A476:J2820,7,0)</f>
        <v>tier - 2</v>
      </c>
      <c r="Q477" t="str">
        <f>VLOOKUP($B477,'Hospitalisation Details'!A476:J2820,9,0)</f>
        <v>R1013</v>
      </c>
      <c r="R477">
        <f>VLOOKUP($B477,'Hospitalisation Details'!A476:K2820,11,0)</f>
        <v>28</v>
      </c>
    </row>
    <row r="478" spans="1:18" x14ac:dyDescent="0.35">
      <c r="A478" t="s">
        <v>1894</v>
      </c>
      <c r="B478" t="s">
        <v>507</v>
      </c>
      <c r="C478" t="str">
        <f>VLOOKUP($A478,'Customer Names'!$A:$E,4,FALSE)</f>
        <v>Angela M.</v>
      </c>
      <c r="D478" t="str">
        <f>VLOOKUP($A478,'Medical Examinations'!$A:$J,2,FALSE)</f>
        <v>Obesity</v>
      </c>
      <c r="E478">
        <f>VLOOKUP($A478,'Medical Examinations'!$A:$J,4,FALSE)</f>
        <v>11.32</v>
      </c>
      <c r="F478" t="str">
        <f>VLOOKUP($A478,'Medical Examinations'!$A:$J,6,FALSE)</f>
        <v>yes</v>
      </c>
      <c r="G478" t="str">
        <f>VLOOKUP($A478,'Medical Examinations'!$A:$J,7,FALSE)</f>
        <v>No</v>
      </c>
      <c r="H478" t="str">
        <f>VLOOKUP($A478,'Medical Examinations'!$A:$J,8,FALSE)</f>
        <v>No</v>
      </c>
      <c r="I478">
        <f>VLOOKUP($A478,'Medical Examinations'!$A:$J,9,FALSE)</f>
        <v>1</v>
      </c>
      <c r="J478" t="str">
        <f>VLOOKUP($A478,'Medical Examinations'!$A:$J,10,FALSE)</f>
        <v>No</v>
      </c>
      <c r="K478" t="str">
        <f>VLOOKUP($A478,'Medical Examinations'!$A:$J,5,FALSE)</f>
        <v>Diabetes</v>
      </c>
      <c r="L478">
        <f>VLOOKUP($A479,'Medical Examinations'!$A:$J,3,FALSE)</f>
        <v>33</v>
      </c>
      <c r="M478">
        <f>VLOOKUP($A478,'Hospitalisation Details'!$A:$K,6,FALSE)</f>
        <v>20878.78</v>
      </c>
      <c r="N478" s="11">
        <f>VLOOKUP($B478,'Hospitalisation Details'!A477:J2821,10,0)</f>
        <v>33494</v>
      </c>
      <c r="O478" t="str">
        <f>VLOOKUP($B478,'Hospitalisation Details'!A477:J2821,8,0)</f>
        <v>tier - 2</v>
      </c>
      <c r="P478" t="str">
        <f>VLOOKUP($B478,'Hospitalisation Details'!A477:J2821,7,0)</f>
        <v>tier - 2</v>
      </c>
      <c r="Q478" t="str">
        <f>VLOOKUP($B478,'Hospitalisation Details'!A477:J2821,9,0)</f>
        <v>R1013</v>
      </c>
      <c r="R478">
        <f>VLOOKUP($B478,'Hospitalisation Details'!A477:K2821,11,0)</f>
        <v>31</v>
      </c>
    </row>
    <row r="479" spans="1:18" x14ac:dyDescent="0.35">
      <c r="A479" t="s">
        <v>1893</v>
      </c>
      <c r="B479" t="s">
        <v>508</v>
      </c>
      <c r="C479" t="str">
        <f>VLOOKUP($A479,'Customer Names'!$A:$E,4,FALSE)</f>
        <v>Blake K.</v>
      </c>
      <c r="D479" t="str">
        <f>VLOOKUP($A479,'Medical Examinations'!$A:$J,2,FALSE)</f>
        <v>Obesity</v>
      </c>
      <c r="E479">
        <f>VLOOKUP($A479,'Medical Examinations'!$A:$J,4,FALSE)</f>
        <v>9.51</v>
      </c>
      <c r="F479" t="str">
        <f>VLOOKUP($A479,'Medical Examinations'!$A:$J,6,FALSE)</f>
        <v>yes</v>
      </c>
      <c r="G479" t="str">
        <f>VLOOKUP($A479,'Medical Examinations'!$A:$J,7,FALSE)</f>
        <v>No</v>
      </c>
      <c r="H479" t="str">
        <f>VLOOKUP($A479,'Medical Examinations'!$A:$J,8,FALSE)</f>
        <v>No</v>
      </c>
      <c r="I479">
        <f>VLOOKUP($A479,'Medical Examinations'!$A:$J,9,FALSE)</f>
        <v>0</v>
      </c>
      <c r="J479" t="str">
        <f>VLOOKUP($A479,'Medical Examinations'!$A:$J,10,FALSE)</f>
        <v>No</v>
      </c>
      <c r="K479" t="str">
        <f>VLOOKUP($A479,'Medical Examinations'!$A:$J,5,FALSE)</f>
        <v>Diabetes</v>
      </c>
      <c r="L479">
        <f>VLOOKUP($A480,'Medical Examinations'!$A:$J,3,FALSE)</f>
        <v>28.024999999999999</v>
      </c>
      <c r="M479">
        <f>VLOOKUP($A479,'Hospitalisation Details'!$A:$K,6,FALSE)</f>
        <v>20781.490000000002</v>
      </c>
      <c r="N479" s="11">
        <f>VLOOKUP($B479,'Hospitalisation Details'!A478:J2822,10,0)</f>
        <v>33113</v>
      </c>
      <c r="O479" t="str">
        <f>VLOOKUP($B479,'Hospitalisation Details'!A478:J2822,8,0)</f>
        <v>tier - 3</v>
      </c>
      <c r="P479" t="str">
        <f>VLOOKUP($B479,'Hospitalisation Details'!A478:J2822,7,0)</f>
        <v>tier - 2</v>
      </c>
      <c r="Q479" t="str">
        <f>VLOOKUP($B479,'Hospitalisation Details'!A478:J2822,9,0)</f>
        <v>R1012</v>
      </c>
      <c r="R479">
        <f>VLOOKUP($B479,'Hospitalisation Details'!A478:K2822,11,0)</f>
        <v>32</v>
      </c>
    </row>
    <row r="480" spans="1:18" x14ac:dyDescent="0.35">
      <c r="A480" t="s">
        <v>1892</v>
      </c>
      <c r="B480" t="s">
        <v>509</v>
      </c>
      <c r="C480" t="str">
        <f>VLOOKUP($A480,'Customer Names'!$A:$E,4,FALSE)</f>
        <v>Brian T.</v>
      </c>
      <c r="D480" t="str">
        <f>VLOOKUP($A480,'Medical Examinations'!$A:$J,2,FALSE)</f>
        <v>Overweight</v>
      </c>
      <c r="E480">
        <f>VLOOKUP($A480,'Medical Examinations'!$A:$J,4,FALSE)</f>
        <v>7.67</v>
      </c>
      <c r="F480" t="str">
        <f>VLOOKUP($A480,'Medical Examinations'!$A:$J,6,FALSE)</f>
        <v>yes</v>
      </c>
      <c r="G480" t="str">
        <f>VLOOKUP($A480,'Medical Examinations'!$A:$J,7,FALSE)</f>
        <v>No</v>
      </c>
      <c r="H480" t="str">
        <f>VLOOKUP($A480,'Medical Examinations'!$A:$J,8,FALSE)</f>
        <v>No</v>
      </c>
      <c r="I480">
        <f>VLOOKUP($A480,'Medical Examinations'!$A:$J,9,FALSE)</f>
        <v>1</v>
      </c>
      <c r="J480" t="str">
        <f>VLOOKUP($A480,'Medical Examinations'!$A:$J,10,FALSE)</f>
        <v>yes</v>
      </c>
      <c r="K480" t="str">
        <f>VLOOKUP($A480,'Medical Examinations'!$A:$J,5,FALSE)</f>
        <v>Diabetes</v>
      </c>
      <c r="L480">
        <f>VLOOKUP($A481,'Medical Examinations'!$A:$J,3,FALSE)</f>
        <v>28.69</v>
      </c>
      <c r="M480">
        <f>VLOOKUP($A480,'Hospitalisation Details'!$A:$K,6,FALSE)</f>
        <v>20773.63</v>
      </c>
      <c r="N480" s="11">
        <f>VLOOKUP($B480,'Hospitalisation Details'!A479:J2823,10,0)</f>
        <v>35763</v>
      </c>
      <c r="O480" t="str">
        <f>VLOOKUP($B480,'Hospitalisation Details'!A479:J2823,8,0)</f>
        <v>tier - 2</v>
      </c>
      <c r="P480" t="str">
        <f>VLOOKUP($B480,'Hospitalisation Details'!A479:J2823,7,0)</f>
        <v>tier - 2</v>
      </c>
      <c r="Q480" t="str">
        <f>VLOOKUP($B480,'Hospitalisation Details'!A479:J2823,9,0)</f>
        <v>R1011</v>
      </c>
      <c r="R480">
        <f>VLOOKUP($B480,'Hospitalisation Details'!A479:K2823,11,0)</f>
        <v>25</v>
      </c>
    </row>
    <row r="481" spans="1:18" x14ac:dyDescent="0.35">
      <c r="A481" t="s">
        <v>1891</v>
      </c>
      <c r="B481" t="s">
        <v>510</v>
      </c>
      <c r="C481" t="str">
        <f>VLOOKUP($A481,'Customer Names'!$A:$E,4,FALSE)</f>
        <v>Damon</v>
      </c>
      <c r="D481" t="str">
        <f>VLOOKUP($A481,'Medical Examinations'!$A:$J,2,FALSE)</f>
        <v>Overweight</v>
      </c>
      <c r="E481">
        <f>VLOOKUP($A481,'Medical Examinations'!$A:$J,4,FALSE)</f>
        <v>6.23</v>
      </c>
      <c r="F481" t="str">
        <f>VLOOKUP($A481,'Medical Examinations'!$A:$J,6,FALSE)</f>
        <v>No</v>
      </c>
      <c r="G481" t="str">
        <f>VLOOKUP($A481,'Medical Examinations'!$A:$J,7,FALSE)</f>
        <v>No</v>
      </c>
      <c r="H481" t="str">
        <f>VLOOKUP($A481,'Medical Examinations'!$A:$J,8,FALSE)</f>
        <v>No</v>
      </c>
      <c r="I481">
        <f>VLOOKUP($A481,'Medical Examinations'!$A:$J,9,FALSE)</f>
        <v>1</v>
      </c>
      <c r="J481" t="str">
        <f>VLOOKUP($A481,'Medical Examinations'!$A:$J,10,FALSE)</f>
        <v>yes</v>
      </c>
      <c r="K481" t="str">
        <f>VLOOKUP($A481,'Medical Examinations'!$A:$J,5,FALSE)</f>
        <v>Prediabetes</v>
      </c>
      <c r="L481">
        <f>VLOOKUP($A482,'Medical Examinations'!$A:$J,3,FALSE)</f>
        <v>40.28</v>
      </c>
      <c r="M481">
        <f>VLOOKUP($A481,'Hospitalisation Details'!$A:$K,6,FALSE)</f>
        <v>20745.990000000002</v>
      </c>
      <c r="N481" s="11">
        <f>VLOOKUP($B481,'Hospitalisation Details'!A480:J2824,10,0)</f>
        <v>30131</v>
      </c>
      <c r="O481" t="str">
        <f>VLOOKUP($B481,'Hospitalisation Details'!A480:J2824,8,0)</f>
        <v>tier - 2</v>
      </c>
      <c r="P481" t="str">
        <f>VLOOKUP($B481,'Hospitalisation Details'!A480:J2824,7,0)</f>
        <v>tier - 2</v>
      </c>
      <c r="Q481" t="str">
        <f>VLOOKUP($B481,'Hospitalisation Details'!A480:J2824,9,0)</f>
        <v>R1013</v>
      </c>
      <c r="R481">
        <f>VLOOKUP($B481,'Hospitalisation Details'!A480:K2824,11,0)</f>
        <v>40</v>
      </c>
    </row>
    <row r="482" spans="1:18" x14ac:dyDescent="0.35">
      <c r="A482" t="s">
        <v>1890</v>
      </c>
      <c r="B482" t="s">
        <v>511</v>
      </c>
      <c r="C482" t="str">
        <f>VLOOKUP($A482,'Customer Names'!$A:$E,4,FALSE)</f>
        <v>Jeffrey</v>
      </c>
      <c r="D482" t="str">
        <f>VLOOKUP($A482,'Medical Examinations'!$A:$J,2,FALSE)</f>
        <v>Obesity</v>
      </c>
      <c r="E482">
        <f>VLOOKUP($A482,'Medical Examinations'!$A:$J,4,FALSE)</f>
        <v>8.9</v>
      </c>
      <c r="F482" t="str">
        <f>VLOOKUP($A482,'Medical Examinations'!$A:$J,6,FALSE)</f>
        <v>No</v>
      </c>
      <c r="G482" t="str">
        <f>VLOOKUP($A482,'Medical Examinations'!$A:$J,7,FALSE)</f>
        <v>No</v>
      </c>
      <c r="H482" t="str">
        <f>VLOOKUP($A482,'Medical Examinations'!$A:$J,8,FALSE)</f>
        <v>No</v>
      </c>
      <c r="I482">
        <f>VLOOKUP($A482,'Medical Examinations'!$A:$J,9,FALSE)</f>
        <v>0</v>
      </c>
      <c r="J482" t="str">
        <f>VLOOKUP($A482,'Medical Examinations'!$A:$J,10,FALSE)</f>
        <v>No</v>
      </c>
      <c r="K482" t="str">
        <f>VLOOKUP($A482,'Medical Examinations'!$A:$J,5,FALSE)</f>
        <v>Diabetes</v>
      </c>
      <c r="L482">
        <f>VLOOKUP($A483,'Medical Examinations'!$A:$J,3,FALSE)</f>
        <v>37.299999999999997</v>
      </c>
      <c r="M482">
        <f>VLOOKUP($A482,'Hospitalisation Details'!$A:$K,6,FALSE)</f>
        <v>20709.02</v>
      </c>
      <c r="N482" s="11">
        <f>VLOOKUP($B482,'Hospitalisation Details'!A481:J2825,10,0)</f>
        <v>32342</v>
      </c>
      <c r="O482" t="str">
        <f>VLOOKUP($B482,'Hospitalisation Details'!A481:J2825,8,0)</f>
        <v>tier - 2</v>
      </c>
      <c r="P482" t="str">
        <f>VLOOKUP($B482,'Hospitalisation Details'!A481:J2825,7,0)</f>
        <v>tier - 2</v>
      </c>
      <c r="Q482" t="str">
        <f>VLOOKUP($B482,'Hospitalisation Details'!A481:J2825,9,0)</f>
        <v>R1013</v>
      </c>
      <c r="R482">
        <f>VLOOKUP($B482,'Hospitalisation Details'!A481:K2825,11,0)</f>
        <v>34</v>
      </c>
    </row>
    <row r="483" spans="1:18" x14ac:dyDescent="0.35">
      <c r="A483" t="s">
        <v>1889</v>
      </c>
      <c r="B483" t="s">
        <v>512</v>
      </c>
      <c r="C483" t="str">
        <f>VLOOKUP($A483,'Customer Names'!$A:$E,4,FALSE)</f>
        <v>Malcolm J.</v>
      </c>
      <c r="D483" t="str">
        <f>VLOOKUP($A483,'Medical Examinations'!$A:$J,2,FALSE)</f>
        <v>Obesity</v>
      </c>
      <c r="E483">
        <f>VLOOKUP($A483,'Medical Examinations'!$A:$J,4,FALSE)</f>
        <v>7.79</v>
      </c>
      <c r="F483" t="str">
        <f>VLOOKUP($A483,'Medical Examinations'!$A:$J,6,FALSE)</f>
        <v>yes</v>
      </c>
      <c r="G483" t="str">
        <f>VLOOKUP($A483,'Medical Examinations'!$A:$J,7,FALSE)</f>
        <v>No</v>
      </c>
      <c r="H483" t="str">
        <f>VLOOKUP($A483,'Medical Examinations'!$A:$J,8,FALSE)</f>
        <v>No</v>
      </c>
      <c r="I483">
        <f>VLOOKUP($A483,'Medical Examinations'!$A:$J,9,FALSE)</f>
        <v>0</v>
      </c>
      <c r="J483" t="str">
        <f>VLOOKUP($A483,'Medical Examinations'!$A:$J,10,FALSE)</f>
        <v>No</v>
      </c>
      <c r="K483" t="str">
        <f>VLOOKUP($A483,'Medical Examinations'!$A:$J,5,FALSE)</f>
        <v>Diabetes</v>
      </c>
      <c r="L483">
        <f>VLOOKUP($A484,'Medical Examinations'!$A:$J,3,FALSE)</f>
        <v>54.47</v>
      </c>
      <c r="M483">
        <f>VLOOKUP($A483,'Hospitalisation Details'!$A:$K,6,FALSE)</f>
        <v>20630.28</v>
      </c>
      <c r="N483" s="11">
        <f>VLOOKUP($B483,'Hospitalisation Details'!A482:J2826,10,0)</f>
        <v>31635</v>
      </c>
      <c r="O483" t="str">
        <f>VLOOKUP($B483,'Hospitalisation Details'!A482:J2826,8,0)</f>
        <v>tier - 2</v>
      </c>
      <c r="P483" t="str">
        <f>VLOOKUP($B483,'Hospitalisation Details'!A482:J2826,7,0)</f>
        <v>tier - 3</v>
      </c>
      <c r="Q483" t="str">
        <f>VLOOKUP($B483,'Hospitalisation Details'!A482:J2826,9,0)</f>
        <v>R1013</v>
      </c>
      <c r="R483">
        <f>VLOOKUP($B483,'Hospitalisation Details'!A482:K2826,11,0)</f>
        <v>36</v>
      </c>
    </row>
    <row r="484" spans="1:18" x14ac:dyDescent="0.35">
      <c r="A484" t="s">
        <v>1888</v>
      </c>
      <c r="B484" t="s">
        <v>513</v>
      </c>
      <c r="C484" t="str">
        <f>VLOOKUP($A484,'Customer Names'!$A:$E,4,FALSE)</f>
        <v>Margaret B.</v>
      </c>
      <c r="D484" t="str">
        <f>VLOOKUP($A484,'Medical Examinations'!$A:$J,2,FALSE)</f>
        <v>Obesity</v>
      </c>
      <c r="E484">
        <f>VLOOKUP($A484,'Medical Examinations'!$A:$J,4,FALSE)</f>
        <v>4.49</v>
      </c>
      <c r="F484" t="str">
        <f>VLOOKUP($A484,'Medical Examinations'!$A:$J,6,FALSE)</f>
        <v>yes</v>
      </c>
      <c r="G484" t="str">
        <f>VLOOKUP($A484,'Medical Examinations'!$A:$J,7,FALSE)</f>
        <v>No</v>
      </c>
      <c r="H484" t="str">
        <f>VLOOKUP($A484,'Medical Examinations'!$A:$J,8,FALSE)</f>
        <v>No</v>
      </c>
      <c r="I484">
        <f>VLOOKUP($A484,'Medical Examinations'!$A:$J,9,FALSE)</f>
        <v>2</v>
      </c>
      <c r="J484" t="str">
        <f>VLOOKUP($A484,'Medical Examinations'!$A:$J,10,FALSE)</f>
        <v>No</v>
      </c>
      <c r="K484" t="str">
        <f>VLOOKUP($A484,'Medical Examinations'!$A:$J,5,FALSE)</f>
        <v>Normal</v>
      </c>
      <c r="L484">
        <f>VLOOKUP($A485,'Medical Examinations'!$A:$J,3,FALSE)</f>
        <v>38.06</v>
      </c>
      <c r="M484">
        <f>VLOOKUP($A484,'Hospitalisation Details'!$A:$K,6,FALSE)</f>
        <v>20568.32</v>
      </c>
      <c r="N484" s="11">
        <f>VLOOKUP($B484,'Hospitalisation Details'!A483:J2827,10,0)</f>
        <v>31606</v>
      </c>
      <c r="O484" t="str">
        <f>VLOOKUP($B484,'Hospitalisation Details'!A483:J2827,8,0)</f>
        <v>tier - 2</v>
      </c>
      <c r="P484" t="str">
        <f>VLOOKUP($B484,'Hospitalisation Details'!A483:J2827,7,0)</f>
        <v>tier - 2</v>
      </c>
      <c r="Q484" t="str">
        <f>VLOOKUP($B484,'Hospitalisation Details'!A483:J2827,9,0)</f>
        <v>R1011</v>
      </c>
      <c r="R484">
        <f>VLOOKUP($B484,'Hospitalisation Details'!A483:K2827,11,0)</f>
        <v>36</v>
      </c>
    </row>
    <row r="485" spans="1:18" x14ac:dyDescent="0.35">
      <c r="A485" t="s">
        <v>1887</v>
      </c>
      <c r="B485" t="s">
        <v>514</v>
      </c>
      <c r="C485" t="str">
        <f>VLOOKUP($A485,'Customer Names'!$A:$E,4,FALSE)</f>
        <v>Helen</v>
      </c>
      <c r="D485" t="str">
        <f>VLOOKUP($A485,'Medical Examinations'!$A:$J,2,FALSE)</f>
        <v>Obesity</v>
      </c>
      <c r="E485">
        <f>VLOOKUP($A485,'Medical Examinations'!$A:$J,4,FALSE)</f>
        <v>5.24</v>
      </c>
      <c r="F485" t="str">
        <f>VLOOKUP($A485,'Medical Examinations'!$A:$J,6,FALSE)</f>
        <v>yes</v>
      </c>
      <c r="G485" t="str">
        <f>VLOOKUP($A485,'Medical Examinations'!$A:$J,7,FALSE)</f>
        <v>No</v>
      </c>
      <c r="H485" t="str">
        <f>VLOOKUP($A485,'Medical Examinations'!$A:$J,8,FALSE)</f>
        <v>Yes</v>
      </c>
      <c r="I485">
        <f>VLOOKUP($A485,'Medical Examinations'!$A:$J,9,FALSE)</f>
        <v>1</v>
      </c>
      <c r="J485" t="str">
        <f>VLOOKUP($A485,'Medical Examinations'!$A:$J,10,FALSE)</f>
        <v>No</v>
      </c>
      <c r="K485" t="str">
        <f>VLOOKUP($A485,'Medical Examinations'!$A:$J,5,FALSE)</f>
        <v>Normal</v>
      </c>
      <c r="L485">
        <f>VLOOKUP($A486,'Medical Examinations'!$A:$J,3,FALSE)</f>
        <v>51.47</v>
      </c>
      <c r="M485">
        <f>VLOOKUP($A485,'Hospitalisation Details'!$A:$K,6,FALSE)</f>
        <v>20463</v>
      </c>
      <c r="N485" s="11">
        <f>VLOOKUP($B485,'Hospitalisation Details'!A484:J2828,10,0)</f>
        <v>32402</v>
      </c>
      <c r="O485" t="str">
        <f>VLOOKUP($B485,'Hospitalisation Details'!A484:J2828,8,0)</f>
        <v>tier - 1</v>
      </c>
      <c r="P485" t="str">
        <f>VLOOKUP($B485,'Hospitalisation Details'!A484:J2828,7,0)</f>
        <v>tier - 2</v>
      </c>
      <c r="Q485" t="str">
        <f>VLOOKUP($B485,'Hospitalisation Details'!A484:J2828,9,0)</f>
        <v>R1013</v>
      </c>
      <c r="R485">
        <f>VLOOKUP($B485,'Hospitalisation Details'!A484:K2828,11,0)</f>
        <v>34</v>
      </c>
    </row>
    <row r="486" spans="1:18" x14ac:dyDescent="0.35">
      <c r="A486" t="s">
        <v>1886</v>
      </c>
      <c r="B486" t="s">
        <v>515</v>
      </c>
      <c r="C486" t="str">
        <f>VLOOKUP($A486,'Customer Names'!$A:$E,4,FALSE)</f>
        <v>Matthew</v>
      </c>
      <c r="D486" t="str">
        <f>VLOOKUP($A486,'Medical Examinations'!$A:$J,2,FALSE)</f>
        <v>Obesity</v>
      </c>
      <c r="E486">
        <f>VLOOKUP($A486,'Medical Examinations'!$A:$J,4,FALSE)</f>
        <v>9.6</v>
      </c>
      <c r="F486" t="str">
        <f>VLOOKUP($A486,'Medical Examinations'!$A:$J,6,FALSE)</f>
        <v>No</v>
      </c>
      <c r="G486" t="str">
        <f>VLOOKUP($A486,'Medical Examinations'!$A:$J,7,FALSE)</f>
        <v>No</v>
      </c>
      <c r="H486" t="str">
        <f>VLOOKUP($A486,'Medical Examinations'!$A:$J,8,FALSE)</f>
        <v>No</v>
      </c>
      <c r="I486">
        <f>VLOOKUP($A486,'Medical Examinations'!$A:$J,9,FALSE)</f>
        <v>0</v>
      </c>
      <c r="J486" t="str">
        <f>VLOOKUP($A486,'Medical Examinations'!$A:$J,10,FALSE)</f>
        <v>No</v>
      </c>
      <c r="K486" t="str">
        <f>VLOOKUP($A486,'Medical Examinations'!$A:$J,5,FALSE)</f>
        <v>Diabetes</v>
      </c>
      <c r="L486">
        <f>VLOOKUP($A487,'Medical Examinations'!$A:$J,3,FALSE)</f>
        <v>29.8</v>
      </c>
      <c r="M486">
        <f>VLOOKUP($A486,'Hospitalisation Details'!$A:$K,6,FALSE)</f>
        <v>20446.849999999999</v>
      </c>
      <c r="N486" s="11">
        <f>VLOOKUP($B486,'Hospitalisation Details'!A485:J2829,10,0)</f>
        <v>33831</v>
      </c>
      <c r="O486" t="str">
        <f>VLOOKUP($B486,'Hospitalisation Details'!A485:J2829,8,0)</f>
        <v>tier - 3</v>
      </c>
      <c r="P486" t="str">
        <f>VLOOKUP($B486,'Hospitalisation Details'!A485:J2829,7,0)</f>
        <v>tier - 2</v>
      </c>
      <c r="Q486" t="str">
        <f>VLOOKUP($B486,'Hospitalisation Details'!A485:J2829,9,0)</f>
        <v>R1020</v>
      </c>
      <c r="R486">
        <f>VLOOKUP($B486,'Hospitalisation Details'!A485:K2829,11,0)</f>
        <v>30</v>
      </c>
    </row>
    <row r="487" spans="1:18" x14ac:dyDescent="0.35">
      <c r="A487" t="s">
        <v>1885</v>
      </c>
      <c r="B487" t="s">
        <v>517</v>
      </c>
      <c r="C487" t="str">
        <f>VLOOKUP($A487,'Customer Names'!$A:$E,4,FALSE)</f>
        <v>Jeff</v>
      </c>
      <c r="D487" t="str">
        <f>VLOOKUP($A487,'Medical Examinations'!$A:$J,2,FALSE)</f>
        <v>Overweight</v>
      </c>
      <c r="E487">
        <f>VLOOKUP($A487,'Medical Examinations'!$A:$J,4,FALSE)</f>
        <v>5.78</v>
      </c>
      <c r="F487" t="str">
        <f>VLOOKUP($A487,'Medical Examinations'!$A:$J,6,FALSE)</f>
        <v>yes</v>
      </c>
      <c r="G487" t="str">
        <f>VLOOKUP($A487,'Medical Examinations'!$A:$J,7,FALSE)</f>
        <v>No</v>
      </c>
      <c r="H487" t="str">
        <f>VLOOKUP($A487,'Medical Examinations'!$A:$J,8,FALSE)</f>
        <v>No</v>
      </c>
      <c r="I487">
        <f>VLOOKUP($A487,'Medical Examinations'!$A:$J,9,FALSE)</f>
        <v>0</v>
      </c>
      <c r="J487" t="str">
        <f>VLOOKUP($A487,'Medical Examinations'!$A:$J,10,FALSE)</f>
        <v>No</v>
      </c>
      <c r="K487" t="str">
        <f>VLOOKUP($A487,'Medical Examinations'!$A:$J,5,FALSE)</f>
        <v>Prediabetes</v>
      </c>
      <c r="L487">
        <f>VLOOKUP($A488,'Medical Examinations'!$A:$J,3,FALSE)</f>
        <v>49.77</v>
      </c>
      <c r="M487">
        <f>VLOOKUP($A487,'Hospitalisation Details'!$A:$K,6,FALSE)</f>
        <v>20420.599999999999</v>
      </c>
      <c r="N487" s="11">
        <f>VLOOKUP($B487,'Hospitalisation Details'!A486:J2830,10,0)</f>
        <v>34697</v>
      </c>
      <c r="O487" t="str">
        <f>VLOOKUP($B487,'Hospitalisation Details'!A486:J2830,8,0)</f>
        <v>tier - 1</v>
      </c>
      <c r="P487" t="str">
        <f>VLOOKUP($B487,'Hospitalisation Details'!A486:J2830,7,0)</f>
        <v>tier - 3</v>
      </c>
      <c r="Q487" t="str">
        <f>VLOOKUP($B487,'Hospitalisation Details'!A486:J2830,9,0)</f>
        <v>R1017</v>
      </c>
      <c r="R487">
        <f>VLOOKUP($B487,'Hospitalisation Details'!A486:K2830,11,0)</f>
        <v>28</v>
      </c>
    </row>
    <row r="488" spans="1:18" x14ac:dyDescent="0.35">
      <c r="A488" t="s">
        <v>1884</v>
      </c>
      <c r="B488" t="s">
        <v>518</v>
      </c>
      <c r="C488" t="str">
        <f>VLOOKUP($A488,'Customer Names'!$A:$E,4,FALSE)</f>
        <v>Tara R</v>
      </c>
      <c r="D488" t="str">
        <f>VLOOKUP($A488,'Medical Examinations'!$A:$J,2,FALSE)</f>
        <v>Obesity</v>
      </c>
      <c r="E488">
        <f>VLOOKUP($A488,'Medical Examinations'!$A:$J,4,FALSE)</f>
        <v>7.02</v>
      </c>
      <c r="F488" t="str">
        <f>VLOOKUP($A488,'Medical Examinations'!$A:$J,6,FALSE)</f>
        <v>No</v>
      </c>
      <c r="G488" t="str">
        <f>VLOOKUP($A488,'Medical Examinations'!$A:$J,7,FALSE)</f>
        <v>No</v>
      </c>
      <c r="H488" t="str">
        <f>VLOOKUP($A488,'Medical Examinations'!$A:$J,8,FALSE)</f>
        <v>No</v>
      </c>
      <c r="I488">
        <f>VLOOKUP($A488,'Medical Examinations'!$A:$J,9,FALSE)</f>
        <v>0</v>
      </c>
      <c r="J488" t="str">
        <f>VLOOKUP($A488,'Medical Examinations'!$A:$J,10,FALSE)</f>
        <v>No</v>
      </c>
      <c r="K488" t="str">
        <f>VLOOKUP($A488,'Medical Examinations'!$A:$J,5,FALSE)</f>
        <v>Diabetes</v>
      </c>
      <c r="L488">
        <f>VLOOKUP($A489,'Medical Examinations'!$A:$J,3,FALSE)</f>
        <v>25.555</v>
      </c>
      <c r="M488">
        <f>VLOOKUP($A488,'Hospitalisation Details'!$A:$K,6,FALSE)</f>
        <v>20354.5</v>
      </c>
      <c r="N488" s="11">
        <f>VLOOKUP($B488,'Hospitalisation Details'!A487:J2831,10,0)</f>
        <v>34216</v>
      </c>
      <c r="O488" t="str">
        <f>VLOOKUP($B488,'Hospitalisation Details'!A487:J2831,8,0)</f>
        <v>tier - 3</v>
      </c>
      <c r="P488" t="str">
        <f>VLOOKUP($B488,'Hospitalisation Details'!A487:J2831,7,0)</f>
        <v>tier - 2</v>
      </c>
      <c r="Q488" t="str">
        <f>VLOOKUP($B488,'Hospitalisation Details'!A487:J2831,9,0)</f>
        <v>R1012</v>
      </c>
      <c r="R488">
        <f>VLOOKUP($B488,'Hospitalisation Details'!A487:K2831,11,0)</f>
        <v>29</v>
      </c>
    </row>
    <row r="489" spans="1:18" x14ac:dyDescent="0.35">
      <c r="A489" t="s">
        <v>1883</v>
      </c>
      <c r="B489" t="s">
        <v>519</v>
      </c>
      <c r="C489" t="str">
        <f>VLOOKUP($A489,'Customer Names'!$A:$E,4,FALSE)</f>
        <v>Kristin</v>
      </c>
      <c r="D489" t="str">
        <f>VLOOKUP($A489,'Medical Examinations'!$A:$J,2,FALSE)</f>
        <v>Overweight</v>
      </c>
      <c r="E489">
        <f>VLOOKUP($A489,'Medical Examinations'!$A:$J,4,FALSE)</f>
        <v>4.09</v>
      </c>
      <c r="F489" t="str">
        <f>VLOOKUP($A489,'Medical Examinations'!$A:$J,6,FALSE)</f>
        <v>yes</v>
      </c>
      <c r="G489" t="str">
        <f>VLOOKUP($A489,'Medical Examinations'!$A:$J,7,FALSE)</f>
        <v>No</v>
      </c>
      <c r="H489" t="str">
        <f>VLOOKUP($A489,'Medical Examinations'!$A:$J,8,FALSE)</f>
        <v>No</v>
      </c>
      <c r="I489">
        <f>VLOOKUP($A489,'Medical Examinations'!$A:$J,9,FALSE)</f>
        <v>0</v>
      </c>
      <c r="J489" t="str">
        <f>VLOOKUP($A489,'Medical Examinations'!$A:$J,10,FALSE)</f>
        <v>yes</v>
      </c>
      <c r="K489" t="str">
        <f>VLOOKUP($A489,'Medical Examinations'!$A:$J,5,FALSE)</f>
        <v>Normal</v>
      </c>
      <c r="L489">
        <f>VLOOKUP($A490,'Medical Examinations'!$A:$J,3,FALSE)</f>
        <v>29.64</v>
      </c>
      <c r="M489">
        <f>VLOOKUP($A489,'Hospitalisation Details'!$A:$K,6,FALSE)</f>
        <v>20296.86</v>
      </c>
      <c r="N489" s="11">
        <f>VLOOKUP($B489,'Hospitalisation Details'!A488:J2832,10,0)</f>
        <v>34326</v>
      </c>
      <c r="O489" t="str">
        <f>VLOOKUP($B489,'Hospitalisation Details'!A488:J2832,8,0)</f>
        <v>tier - 2</v>
      </c>
      <c r="P489" t="str">
        <f>VLOOKUP($B489,'Hospitalisation Details'!A488:J2832,7,0)</f>
        <v>tier - 2</v>
      </c>
      <c r="Q489" t="str">
        <f>VLOOKUP($B489,'Hospitalisation Details'!A488:J2832,9,0)</f>
        <v>R1012</v>
      </c>
      <c r="R489">
        <f>VLOOKUP($B489,'Hospitalisation Details'!A488:K2832,11,0)</f>
        <v>29</v>
      </c>
    </row>
    <row r="490" spans="1:18" x14ac:dyDescent="0.35">
      <c r="A490" t="s">
        <v>1882</v>
      </c>
      <c r="B490" t="s">
        <v>520</v>
      </c>
      <c r="C490" t="str">
        <f>VLOOKUP($A490,'Customer Names'!$A:$E,4,FALSE)</f>
        <v>Timothy</v>
      </c>
      <c r="D490" t="str">
        <f>VLOOKUP($A490,'Medical Examinations'!$A:$J,2,FALSE)</f>
        <v>Overweight</v>
      </c>
      <c r="E490">
        <f>VLOOKUP($A490,'Medical Examinations'!$A:$J,4,FALSE)</f>
        <v>4.93</v>
      </c>
      <c r="F490" t="str">
        <f>VLOOKUP($A490,'Medical Examinations'!$A:$J,6,FALSE)</f>
        <v>No</v>
      </c>
      <c r="G490" t="str">
        <f>VLOOKUP($A490,'Medical Examinations'!$A:$J,7,FALSE)</f>
        <v>No</v>
      </c>
      <c r="H490" t="str">
        <f>VLOOKUP($A490,'Medical Examinations'!$A:$J,8,FALSE)</f>
        <v>Yes</v>
      </c>
      <c r="I490">
        <f>VLOOKUP($A490,'Medical Examinations'!$A:$J,9,FALSE)</f>
        <v>1</v>
      </c>
      <c r="J490" t="str">
        <f>VLOOKUP($A490,'Medical Examinations'!$A:$J,10,FALSE)</f>
        <v>No</v>
      </c>
      <c r="K490" t="str">
        <f>VLOOKUP($A490,'Medical Examinations'!$A:$J,5,FALSE)</f>
        <v>Normal</v>
      </c>
      <c r="L490">
        <f>VLOOKUP($A491,'Medical Examinations'!$A:$J,3,FALSE)</f>
        <v>53.93</v>
      </c>
      <c r="M490">
        <f>VLOOKUP($A490,'Hospitalisation Details'!$A:$K,6,FALSE)</f>
        <v>20277.810000000001</v>
      </c>
      <c r="N490" s="11">
        <f>VLOOKUP($B490,'Hospitalisation Details'!A489:J2833,10,0)</f>
        <v>34615</v>
      </c>
      <c r="O490" t="str">
        <f>VLOOKUP($B490,'Hospitalisation Details'!A489:J2833,8,0)</f>
        <v>tier - 2</v>
      </c>
      <c r="P490" t="str">
        <f>VLOOKUP($B490,'Hospitalisation Details'!A489:J2833,7,0)</f>
        <v>tier - 3</v>
      </c>
      <c r="Q490" t="str">
        <f>VLOOKUP($B490,'Hospitalisation Details'!A489:J2833,9,0)</f>
        <v>R1016</v>
      </c>
      <c r="R490">
        <f>VLOOKUP($B490,'Hospitalisation Details'!A489:K2833,11,0)</f>
        <v>28</v>
      </c>
    </row>
    <row r="491" spans="1:18" x14ac:dyDescent="0.35">
      <c r="A491" t="s">
        <v>1881</v>
      </c>
      <c r="B491" t="s">
        <v>521</v>
      </c>
      <c r="C491" t="str">
        <f>VLOOKUP($A491,'Customer Names'!$A:$E,4,FALSE)</f>
        <v>Scott</v>
      </c>
      <c r="D491" t="str">
        <f>VLOOKUP($A491,'Medical Examinations'!$A:$J,2,FALSE)</f>
        <v>Obesity</v>
      </c>
      <c r="E491">
        <f>VLOOKUP($A491,'Medical Examinations'!$A:$J,4,FALSE)</f>
        <v>5.34</v>
      </c>
      <c r="F491" t="str">
        <f>VLOOKUP($A491,'Medical Examinations'!$A:$J,6,FALSE)</f>
        <v>yes</v>
      </c>
      <c r="G491" t="str">
        <f>VLOOKUP($A491,'Medical Examinations'!$A:$J,7,FALSE)</f>
        <v>No</v>
      </c>
      <c r="H491" t="str">
        <f>VLOOKUP($A491,'Medical Examinations'!$A:$J,8,FALSE)</f>
        <v>No</v>
      </c>
      <c r="I491">
        <f>VLOOKUP($A491,'Medical Examinations'!$A:$J,9,FALSE)</f>
        <v>2</v>
      </c>
      <c r="J491" t="str">
        <f>VLOOKUP($A491,'Medical Examinations'!$A:$J,10,FALSE)</f>
        <v>No</v>
      </c>
      <c r="K491" t="str">
        <f>VLOOKUP($A491,'Medical Examinations'!$A:$J,5,FALSE)</f>
        <v>Normal</v>
      </c>
      <c r="L491">
        <f>VLOOKUP($A492,'Medical Examinations'!$A:$J,3,FALSE)</f>
        <v>28.024999999999999</v>
      </c>
      <c r="M491">
        <f>VLOOKUP($A491,'Hospitalisation Details'!$A:$K,6,FALSE)</f>
        <v>20253.84</v>
      </c>
      <c r="N491" s="11">
        <f>VLOOKUP($B491,'Hospitalisation Details'!A490:J2834,10,0)</f>
        <v>34631</v>
      </c>
      <c r="O491" t="str">
        <f>VLOOKUP($B491,'Hospitalisation Details'!A490:J2834,8,0)</f>
        <v>tier - 3</v>
      </c>
      <c r="P491" t="str">
        <f>VLOOKUP($B491,'Hospitalisation Details'!A490:J2834,7,0)</f>
        <v>tier - 2</v>
      </c>
      <c r="Q491" t="str">
        <f>VLOOKUP($B491,'Hospitalisation Details'!A490:J2834,9,0)</f>
        <v>R1017</v>
      </c>
      <c r="R491">
        <f>VLOOKUP($B491,'Hospitalisation Details'!A490:K2834,11,0)</f>
        <v>28</v>
      </c>
    </row>
    <row r="492" spans="1:18" x14ac:dyDescent="0.35">
      <c r="A492" t="s">
        <v>1880</v>
      </c>
      <c r="B492" t="s">
        <v>522</v>
      </c>
      <c r="C492" t="str">
        <f>VLOOKUP($A492,'Customer Names'!$A:$E,4,FALSE)</f>
        <v>Carly E</v>
      </c>
      <c r="D492" t="str">
        <f>VLOOKUP($A492,'Medical Examinations'!$A:$J,2,FALSE)</f>
        <v>Overweight</v>
      </c>
      <c r="E492">
        <f>VLOOKUP($A492,'Medical Examinations'!$A:$J,4,FALSE)</f>
        <v>5.65</v>
      </c>
      <c r="F492" t="str">
        <f>VLOOKUP($A492,'Medical Examinations'!$A:$J,6,FALSE)</f>
        <v>No</v>
      </c>
      <c r="G492" t="str">
        <f>VLOOKUP($A492,'Medical Examinations'!$A:$J,7,FALSE)</f>
        <v>No</v>
      </c>
      <c r="H492" t="str">
        <f>VLOOKUP($A492,'Medical Examinations'!$A:$J,8,FALSE)</f>
        <v>No</v>
      </c>
      <c r="I492">
        <f>VLOOKUP($A492,'Medical Examinations'!$A:$J,9,FALSE)</f>
        <v>1</v>
      </c>
      <c r="J492" t="str">
        <f>VLOOKUP($A492,'Medical Examinations'!$A:$J,10,FALSE)</f>
        <v>yes</v>
      </c>
      <c r="K492" t="str">
        <f>VLOOKUP($A492,'Medical Examinations'!$A:$J,5,FALSE)</f>
        <v>Normal</v>
      </c>
      <c r="L492">
        <f>VLOOKUP($A493,'Medical Examinations'!$A:$J,3,FALSE)</f>
        <v>27.5</v>
      </c>
      <c r="M492">
        <f>VLOOKUP($A492,'Hospitalisation Details'!$A:$K,6,FALSE)</f>
        <v>20234.849999999999</v>
      </c>
      <c r="N492" s="11">
        <f>VLOOKUP($B492,'Hospitalisation Details'!A491:J2835,10,0)</f>
        <v>33484</v>
      </c>
      <c r="O492" t="str">
        <f>VLOOKUP($B492,'Hospitalisation Details'!A491:J2835,8,0)</f>
        <v>tier - 2</v>
      </c>
      <c r="P492" t="str">
        <f>VLOOKUP($B492,'Hospitalisation Details'!A491:J2835,7,0)</f>
        <v>tier - 1</v>
      </c>
      <c r="Q492" t="str">
        <f>VLOOKUP($B492,'Hospitalisation Details'!A491:J2835,9,0)</f>
        <v>R1014</v>
      </c>
      <c r="R492">
        <f>VLOOKUP($B492,'Hospitalisation Details'!A491:K2835,11,0)</f>
        <v>31</v>
      </c>
    </row>
    <row r="493" spans="1:18" x14ac:dyDescent="0.35">
      <c r="A493" t="s">
        <v>1879</v>
      </c>
      <c r="B493" t="s">
        <v>523</v>
      </c>
      <c r="C493" t="str">
        <f>VLOOKUP($A493,'Customer Names'!$A:$E,4,FALSE)</f>
        <v>Lisa</v>
      </c>
      <c r="D493" t="str">
        <f>VLOOKUP($A493,'Medical Examinations'!$A:$J,2,FALSE)</f>
        <v>Overweight</v>
      </c>
      <c r="E493">
        <f>VLOOKUP($A493,'Medical Examinations'!$A:$J,4,FALSE)</f>
        <v>4.49</v>
      </c>
      <c r="F493" t="str">
        <f>VLOOKUP($A493,'Medical Examinations'!$A:$J,6,FALSE)</f>
        <v>No</v>
      </c>
      <c r="G493" t="str">
        <f>VLOOKUP($A493,'Medical Examinations'!$A:$J,7,FALSE)</f>
        <v>No</v>
      </c>
      <c r="H493" t="str">
        <f>VLOOKUP($A493,'Medical Examinations'!$A:$J,8,FALSE)</f>
        <v>No</v>
      </c>
      <c r="I493">
        <f>VLOOKUP($A493,'Medical Examinations'!$A:$J,9,FALSE)</f>
        <v>0</v>
      </c>
      <c r="J493" t="str">
        <f>VLOOKUP($A493,'Medical Examinations'!$A:$J,10,FALSE)</f>
        <v>No</v>
      </c>
      <c r="K493" t="str">
        <f>VLOOKUP($A493,'Medical Examinations'!$A:$J,5,FALSE)</f>
        <v>Normal</v>
      </c>
      <c r="L493">
        <f>VLOOKUP($A494,'Medical Examinations'!$A:$J,3,FALSE)</f>
        <v>21.8</v>
      </c>
      <c r="M493">
        <f>VLOOKUP($A493,'Hospitalisation Details'!$A:$K,6,FALSE)</f>
        <v>20177.669999999998</v>
      </c>
      <c r="N493" s="11">
        <f>VLOOKUP($B493,'Hospitalisation Details'!A492:J2836,10,0)</f>
        <v>34513</v>
      </c>
      <c r="O493" t="str">
        <f>VLOOKUP($B493,'Hospitalisation Details'!A492:J2836,8,0)</f>
        <v>tier - 2</v>
      </c>
      <c r="P493" t="str">
        <f>VLOOKUP($B493,'Hospitalisation Details'!A492:J2836,7,0)</f>
        <v>tier - 1</v>
      </c>
      <c r="Q493" t="str">
        <f>VLOOKUP($B493,'Hospitalisation Details'!A492:J2836,9,0)</f>
        <v>R1013</v>
      </c>
      <c r="R493">
        <f>VLOOKUP($B493,'Hospitalisation Details'!A492:K2836,11,0)</f>
        <v>28</v>
      </c>
    </row>
    <row r="494" spans="1:18" x14ac:dyDescent="0.35">
      <c r="A494" t="s">
        <v>1878</v>
      </c>
      <c r="B494" t="s">
        <v>524</v>
      </c>
      <c r="C494" t="str">
        <f>VLOOKUP($A494,'Customer Names'!$A:$E,4,FALSE)</f>
        <v>Stacey</v>
      </c>
      <c r="D494" t="str">
        <f>VLOOKUP($A494,'Medical Examinations'!$A:$J,2,FALSE)</f>
        <v>Normal Weight</v>
      </c>
      <c r="E494">
        <f>VLOOKUP($A494,'Medical Examinations'!$A:$J,4,FALSE)</f>
        <v>10.55</v>
      </c>
      <c r="F494" t="str">
        <f>VLOOKUP($A494,'Medical Examinations'!$A:$J,6,FALSE)</f>
        <v>No</v>
      </c>
      <c r="G494" t="str">
        <f>VLOOKUP($A494,'Medical Examinations'!$A:$J,7,FALSE)</f>
        <v>No</v>
      </c>
      <c r="H494" t="str">
        <f>VLOOKUP($A494,'Medical Examinations'!$A:$J,8,FALSE)</f>
        <v>No</v>
      </c>
      <c r="I494">
        <f>VLOOKUP($A494,'Medical Examinations'!$A:$J,9,FALSE)</f>
        <v>0</v>
      </c>
      <c r="J494" t="str">
        <f>VLOOKUP($A494,'Medical Examinations'!$A:$J,10,FALSE)</f>
        <v>yes</v>
      </c>
      <c r="K494" t="str">
        <f>VLOOKUP($A494,'Medical Examinations'!$A:$J,5,FALSE)</f>
        <v>Diabetes</v>
      </c>
      <c r="L494">
        <f>VLOOKUP($A495,'Medical Examinations'!$A:$J,3,FALSE)</f>
        <v>26.41</v>
      </c>
      <c r="M494">
        <f>VLOOKUP($A494,'Hospitalisation Details'!$A:$K,6,FALSE)</f>
        <v>20167.34</v>
      </c>
      <c r="N494" s="11">
        <f>VLOOKUP($B494,'Hospitalisation Details'!A493:J2837,10,0)</f>
        <v>33093</v>
      </c>
      <c r="O494" t="str">
        <f>VLOOKUP($B494,'Hospitalisation Details'!A493:J2837,8,0)</f>
        <v>tier - 3</v>
      </c>
      <c r="P494" t="str">
        <f>VLOOKUP($B494,'Hospitalisation Details'!A493:J2837,7,0)</f>
        <v>tier - 2</v>
      </c>
      <c r="Q494" t="str">
        <f>VLOOKUP($B494,'Hospitalisation Details'!A493:J2837,9,0)</f>
        <v>R1012</v>
      </c>
      <c r="R494">
        <f>VLOOKUP($B494,'Hospitalisation Details'!A493:K2837,11,0)</f>
        <v>32</v>
      </c>
    </row>
    <row r="495" spans="1:18" x14ac:dyDescent="0.35">
      <c r="A495" t="s">
        <v>1877</v>
      </c>
      <c r="B495" t="s">
        <v>525</v>
      </c>
      <c r="C495" t="str">
        <f>VLOOKUP($A495,'Customer Names'!$A:$E,4,FALSE)</f>
        <v>Louis</v>
      </c>
      <c r="D495" t="str">
        <f>VLOOKUP($A495,'Medical Examinations'!$A:$J,2,FALSE)</f>
        <v>Overweight</v>
      </c>
      <c r="E495">
        <f>VLOOKUP($A495,'Medical Examinations'!$A:$J,4,FALSE)</f>
        <v>4.92</v>
      </c>
      <c r="F495" t="str">
        <f>VLOOKUP($A495,'Medical Examinations'!$A:$J,6,FALSE)</f>
        <v>yes</v>
      </c>
      <c r="G495" t="str">
        <f>VLOOKUP($A495,'Medical Examinations'!$A:$J,7,FALSE)</f>
        <v>No</v>
      </c>
      <c r="H495" t="str">
        <f>VLOOKUP($A495,'Medical Examinations'!$A:$J,8,FALSE)</f>
        <v>Yes</v>
      </c>
      <c r="I495">
        <f>VLOOKUP($A495,'Medical Examinations'!$A:$J,9,FALSE)</f>
        <v>1</v>
      </c>
      <c r="J495" t="str">
        <f>VLOOKUP($A495,'Medical Examinations'!$A:$J,10,FALSE)</f>
        <v>yes</v>
      </c>
      <c r="K495" t="str">
        <f>VLOOKUP($A495,'Medical Examinations'!$A:$J,5,FALSE)</f>
        <v>Normal</v>
      </c>
      <c r="L495">
        <f>VLOOKUP($A496,'Medical Examinations'!$A:$J,3,FALSE)</f>
        <v>27.835000000000001</v>
      </c>
      <c r="M495">
        <f>VLOOKUP($A495,'Hospitalisation Details'!$A:$K,6,FALSE)</f>
        <v>20149.32</v>
      </c>
      <c r="N495" s="11">
        <f>VLOOKUP($B495,'Hospitalisation Details'!A494:J2838,10,0)</f>
        <v>33069</v>
      </c>
      <c r="O495" t="str">
        <f>VLOOKUP($B495,'Hospitalisation Details'!A494:J2838,8,0)</f>
        <v>tier - 3</v>
      </c>
      <c r="P495" t="str">
        <f>VLOOKUP($B495,'Hospitalisation Details'!A494:J2838,7,0)</f>
        <v>tier - 2</v>
      </c>
      <c r="Q495" t="str">
        <f>VLOOKUP($B495,'Hospitalisation Details'!A494:J2838,9,0)</f>
        <v>R1012</v>
      </c>
      <c r="R495">
        <f>VLOOKUP($B495,'Hospitalisation Details'!A494:K2838,11,0)</f>
        <v>32</v>
      </c>
    </row>
    <row r="496" spans="1:18" x14ac:dyDescent="0.35">
      <c r="A496" t="s">
        <v>1876</v>
      </c>
      <c r="B496" t="s">
        <v>526</v>
      </c>
      <c r="C496" t="str">
        <f>VLOOKUP($A496,'Customer Names'!$A:$E,4,FALSE)</f>
        <v>Brian R.</v>
      </c>
      <c r="D496" t="str">
        <f>VLOOKUP($A496,'Medical Examinations'!$A:$J,2,FALSE)</f>
        <v>Overweight</v>
      </c>
      <c r="E496">
        <f>VLOOKUP($A496,'Medical Examinations'!$A:$J,4,FALSE)</f>
        <v>5.9</v>
      </c>
      <c r="F496" t="str">
        <f>VLOOKUP($A496,'Medical Examinations'!$A:$J,6,FALSE)</f>
        <v>yes</v>
      </c>
      <c r="G496" t="str">
        <f>VLOOKUP($A496,'Medical Examinations'!$A:$J,7,FALSE)</f>
        <v>No</v>
      </c>
      <c r="H496" t="str">
        <f>VLOOKUP($A496,'Medical Examinations'!$A:$J,8,FALSE)</f>
        <v>No</v>
      </c>
      <c r="I496">
        <f>VLOOKUP($A496,'Medical Examinations'!$A:$J,9,FALSE)</f>
        <v>1</v>
      </c>
      <c r="J496" t="str">
        <f>VLOOKUP($A496,'Medical Examinations'!$A:$J,10,FALSE)</f>
        <v>yes</v>
      </c>
      <c r="K496" t="str">
        <f>VLOOKUP($A496,'Medical Examinations'!$A:$J,5,FALSE)</f>
        <v>Prediabetes</v>
      </c>
      <c r="L496">
        <f>VLOOKUP($A497,'Medical Examinations'!$A:$J,3,FALSE)</f>
        <v>51.74</v>
      </c>
      <c r="M496">
        <f>VLOOKUP($A496,'Hospitalisation Details'!$A:$K,6,FALSE)</f>
        <v>20009.63</v>
      </c>
      <c r="N496" s="11">
        <f>VLOOKUP($B496,'Hospitalisation Details'!A495:J2839,10,0)</f>
        <v>33423</v>
      </c>
      <c r="O496" t="str">
        <f>VLOOKUP($B496,'Hospitalisation Details'!A495:J2839,8,0)</f>
        <v>tier - 3</v>
      </c>
      <c r="P496" t="str">
        <f>VLOOKUP($B496,'Hospitalisation Details'!A495:J2839,7,0)</f>
        <v>tier - 3</v>
      </c>
      <c r="Q496" t="str">
        <f>VLOOKUP($B496,'Hospitalisation Details'!A495:J2839,9,0)</f>
        <v>R1013</v>
      </c>
      <c r="R496">
        <f>VLOOKUP($B496,'Hospitalisation Details'!A495:K2839,11,0)</f>
        <v>31</v>
      </c>
    </row>
    <row r="497" spans="1:18" x14ac:dyDescent="0.35">
      <c r="A497" t="s">
        <v>1875</v>
      </c>
      <c r="B497" t="s">
        <v>527</v>
      </c>
      <c r="C497" t="str">
        <f>VLOOKUP($A497,'Customer Names'!$A:$E,4,FALSE)</f>
        <v>Jessica</v>
      </c>
      <c r="D497" t="str">
        <f>VLOOKUP($A497,'Medical Examinations'!$A:$J,2,FALSE)</f>
        <v>Obesity</v>
      </c>
      <c r="E497">
        <f>VLOOKUP($A497,'Medical Examinations'!$A:$J,4,FALSE)</f>
        <v>4.9800000000000004</v>
      </c>
      <c r="F497" t="str">
        <f>VLOOKUP($A497,'Medical Examinations'!$A:$J,6,FALSE)</f>
        <v>yes</v>
      </c>
      <c r="G497" t="str">
        <f>VLOOKUP($A497,'Medical Examinations'!$A:$J,7,FALSE)</f>
        <v>No</v>
      </c>
      <c r="H497" t="str">
        <f>VLOOKUP($A497,'Medical Examinations'!$A:$J,8,FALSE)</f>
        <v>No</v>
      </c>
      <c r="I497">
        <f>VLOOKUP($A497,'Medical Examinations'!$A:$J,9,FALSE)</f>
        <v>2</v>
      </c>
      <c r="J497" t="str">
        <f>VLOOKUP($A497,'Medical Examinations'!$A:$J,10,FALSE)</f>
        <v>No</v>
      </c>
      <c r="K497" t="str">
        <f>VLOOKUP($A497,'Medical Examinations'!$A:$J,5,FALSE)</f>
        <v>Normal</v>
      </c>
      <c r="L497">
        <f>VLOOKUP($A498,'Medical Examinations'!$A:$J,3,FALSE)</f>
        <v>23.37</v>
      </c>
      <c r="M497">
        <f>VLOOKUP($A497,'Hospitalisation Details'!$A:$K,6,FALSE)</f>
        <v>19995.29</v>
      </c>
      <c r="N497" s="11">
        <f>VLOOKUP($B497,'Hospitalisation Details'!A496:J2840,10,0)</f>
        <v>36484</v>
      </c>
      <c r="O497" t="str">
        <f>VLOOKUP($B497,'Hospitalisation Details'!A496:J2840,8,0)</f>
        <v>tier - 2</v>
      </c>
      <c r="P497" t="str">
        <f>VLOOKUP($B497,'Hospitalisation Details'!A496:J2840,7,0)</f>
        <v>tier - 2</v>
      </c>
      <c r="Q497" t="str">
        <f>VLOOKUP($B497,'Hospitalisation Details'!A496:J2840,9,0)</f>
        <v>R1012</v>
      </c>
      <c r="R497">
        <f>VLOOKUP($B497,'Hospitalisation Details'!A496:K2840,11,0)</f>
        <v>23</v>
      </c>
    </row>
    <row r="498" spans="1:18" x14ac:dyDescent="0.35">
      <c r="A498" t="s">
        <v>1874</v>
      </c>
      <c r="B498" t="s">
        <v>528</v>
      </c>
      <c r="C498" t="str">
        <f>VLOOKUP($A498,'Customer Names'!$A:$E,4,FALSE)</f>
        <v>Dawn M.</v>
      </c>
      <c r="D498" t="str">
        <f>VLOOKUP($A498,'Medical Examinations'!$A:$J,2,FALSE)</f>
        <v>Normal Weight</v>
      </c>
      <c r="E498">
        <f>VLOOKUP($A498,'Medical Examinations'!$A:$J,4,FALSE)</f>
        <v>5.8</v>
      </c>
      <c r="F498" t="str">
        <f>VLOOKUP($A498,'Medical Examinations'!$A:$J,6,FALSE)</f>
        <v>No</v>
      </c>
      <c r="G498" t="str">
        <f>VLOOKUP($A498,'Medical Examinations'!$A:$J,7,FALSE)</f>
        <v>No</v>
      </c>
      <c r="H498" t="str">
        <f>VLOOKUP($A498,'Medical Examinations'!$A:$J,8,FALSE)</f>
        <v>No</v>
      </c>
      <c r="I498">
        <f>VLOOKUP($A498,'Medical Examinations'!$A:$J,9,FALSE)</f>
        <v>0</v>
      </c>
      <c r="J498" t="str">
        <f>VLOOKUP($A498,'Medical Examinations'!$A:$J,10,FALSE)</f>
        <v>yes</v>
      </c>
      <c r="K498" t="str">
        <f>VLOOKUP($A498,'Medical Examinations'!$A:$J,5,FALSE)</f>
        <v>Prediabetes</v>
      </c>
      <c r="L498">
        <f>VLOOKUP($A499,'Medical Examinations'!$A:$J,3,FALSE)</f>
        <v>29.7</v>
      </c>
      <c r="M498">
        <f>VLOOKUP($A498,'Hospitalisation Details'!$A:$K,6,FALSE)</f>
        <v>19964.75</v>
      </c>
      <c r="N498" s="11">
        <f>VLOOKUP($B498,'Hospitalisation Details'!A497:J2841,10,0)</f>
        <v>38186</v>
      </c>
      <c r="O498" t="str">
        <f>VLOOKUP($B498,'Hospitalisation Details'!A497:J2841,8,0)</f>
        <v>tier - 2</v>
      </c>
      <c r="P498" t="str">
        <f>VLOOKUP($B498,'Hospitalisation Details'!A497:J2841,7,0)</f>
        <v>tier - 2</v>
      </c>
      <c r="Q498" t="str">
        <f>VLOOKUP($B498,'Hospitalisation Details'!A497:J2841,9,0)</f>
        <v>R1012</v>
      </c>
      <c r="R498">
        <f>VLOOKUP($B498,'Hospitalisation Details'!A497:K2841,11,0)</f>
        <v>18</v>
      </c>
    </row>
    <row r="499" spans="1:18" x14ac:dyDescent="0.35">
      <c r="A499" t="s">
        <v>1873</v>
      </c>
      <c r="B499" t="s">
        <v>529</v>
      </c>
      <c r="C499" t="str">
        <f>VLOOKUP($A499,'Customer Names'!$A:$E,4,FALSE)</f>
        <v>Chris</v>
      </c>
      <c r="D499" t="str">
        <f>VLOOKUP($A499,'Medical Examinations'!$A:$J,2,FALSE)</f>
        <v>Overweight</v>
      </c>
      <c r="E499">
        <f>VLOOKUP($A499,'Medical Examinations'!$A:$J,4,FALSE)</f>
        <v>6.21</v>
      </c>
      <c r="F499" t="str">
        <f>VLOOKUP($A499,'Medical Examinations'!$A:$J,6,FALSE)</f>
        <v>yes</v>
      </c>
      <c r="G499" t="str">
        <f>VLOOKUP($A499,'Medical Examinations'!$A:$J,7,FALSE)</f>
        <v>No</v>
      </c>
      <c r="H499" t="str">
        <f>VLOOKUP($A499,'Medical Examinations'!$A:$J,8,FALSE)</f>
        <v>Yes</v>
      </c>
      <c r="I499">
        <f>VLOOKUP($A499,'Medical Examinations'!$A:$J,9,FALSE)</f>
        <v>1</v>
      </c>
      <c r="J499" t="str">
        <f>VLOOKUP($A499,'Medical Examinations'!$A:$J,10,FALSE)</f>
        <v>yes</v>
      </c>
      <c r="K499" t="str">
        <f>VLOOKUP($A499,'Medical Examinations'!$A:$J,5,FALSE)</f>
        <v>Prediabetes</v>
      </c>
      <c r="L499">
        <f>VLOOKUP($A500,'Medical Examinations'!$A:$J,3,FALSE)</f>
        <v>20.045000000000002</v>
      </c>
      <c r="M499">
        <f>VLOOKUP($A499,'Hospitalisation Details'!$A:$K,6,FALSE)</f>
        <v>19933.46</v>
      </c>
      <c r="N499" s="11">
        <f>VLOOKUP($B499,'Hospitalisation Details'!A498:J2842,10,0)</f>
        <v>33797</v>
      </c>
      <c r="O499" t="str">
        <f>VLOOKUP($B499,'Hospitalisation Details'!A498:J2842,8,0)</f>
        <v>tier - 3</v>
      </c>
      <c r="P499" t="str">
        <f>VLOOKUP($B499,'Hospitalisation Details'!A498:J2842,7,0)</f>
        <v>tier - 2</v>
      </c>
      <c r="Q499" t="str">
        <f>VLOOKUP($B499,'Hospitalisation Details'!A498:J2842,9,0)</f>
        <v>R1012</v>
      </c>
      <c r="R499">
        <f>VLOOKUP($B499,'Hospitalisation Details'!A498:K2842,11,0)</f>
        <v>30</v>
      </c>
    </row>
    <row r="500" spans="1:18" x14ac:dyDescent="0.35">
      <c r="A500" t="s">
        <v>1872</v>
      </c>
      <c r="B500" t="s">
        <v>530</v>
      </c>
      <c r="C500" t="str">
        <f>VLOOKUP($A500,'Customer Names'!$A:$E,4,FALSE)</f>
        <v>Karen</v>
      </c>
      <c r="D500" t="str">
        <f>VLOOKUP($A500,'Medical Examinations'!$A:$J,2,FALSE)</f>
        <v>Normal Weight</v>
      </c>
      <c r="E500">
        <f>VLOOKUP($A500,'Medical Examinations'!$A:$J,4,FALSE)</f>
        <v>6.17</v>
      </c>
      <c r="F500" t="str">
        <f>VLOOKUP($A500,'Medical Examinations'!$A:$J,6,FALSE)</f>
        <v>No</v>
      </c>
      <c r="G500" t="str">
        <f>VLOOKUP($A500,'Medical Examinations'!$A:$J,7,FALSE)</f>
        <v>No</v>
      </c>
      <c r="H500" t="str">
        <f>VLOOKUP($A500,'Medical Examinations'!$A:$J,8,FALSE)</f>
        <v>Yes</v>
      </c>
      <c r="I500">
        <f>VLOOKUP($A500,'Medical Examinations'!$A:$J,9,FALSE)</f>
        <v>1</v>
      </c>
      <c r="J500" t="str">
        <f>VLOOKUP($A500,'Medical Examinations'!$A:$J,10,FALSE)</f>
        <v>yes</v>
      </c>
      <c r="K500" t="str">
        <f>VLOOKUP($A500,'Medical Examinations'!$A:$J,5,FALSE)</f>
        <v>Prediabetes</v>
      </c>
      <c r="L500">
        <f>VLOOKUP($A501,'Medical Examinations'!$A:$J,3,FALSE)</f>
        <v>27.83</v>
      </c>
      <c r="M500">
        <f>VLOOKUP($A500,'Hospitalisation Details'!$A:$K,6,FALSE)</f>
        <v>19798.05</v>
      </c>
      <c r="N500" s="11">
        <f>VLOOKUP($B500,'Hospitalisation Details'!A499:J2843,10,0)</f>
        <v>32320</v>
      </c>
      <c r="O500" t="str">
        <f>VLOOKUP($B500,'Hospitalisation Details'!A499:J2843,8,0)</f>
        <v>tier - 1</v>
      </c>
      <c r="P500" t="str">
        <f>VLOOKUP($B500,'Hospitalisation Details'!A499:J2843,7,0)</f>
        <v>tier - 2</v>
      </c>
      <c r="Q500" t="str">
        <f>VLOOKUP($B500,'Hospitalisation Details'!A499:J2843,9,0)</f>
        <v>R1017</v>
      </c>
      <c r="R500">
        <f>VLOOKUP($B500,'Hospitalisation Details'!A499:K2843,11,0)</f>
        <v>34</v>
      </c>
    </row>
    <row r="501" spans="1:18" x14ac:dyDescent="0.35">
      <c r="A501" t="s">
        <v>1871</v>
      </c>
      <c r="B501" t="s">
        <v>531</v>
      </c>
      <c r="C501" t="str">
        <f>VLOOKUP($A501,'Customer Names'!$A:$E,4,FALSE)</f>
        <v>Jessica</v>
      </c>
      <c r="D501" t="str">
        <f>VLOOKUP($A501,'Medical Examinations'!$A:$J,2,FALSE)</f>
        <v>Overweight</v>
      </c>
      <c r="E501">
        <f>VLOOKUP($A501,'Medical Examinations'!$A:$J,4,FALSE)</f>
        <v>5.36</v>
      </c>
      <c r="F501" t="str">
        <f>VLOOKUP($A501,'Medical Examinations'!$A:$J,6,FALSE)</f>
        <v>No</v>
      </c>
      <c r="G501" t="str">
        <f>VLOOKUP($A501,'Medical Examinations'!$A:$J,7,FALSE)</f>
        <v>No</v>
      </c>
      <c r="H501" t="str">
        <f>VLOOKUP($A501,'Medical Examinations'!$A:$J,8,FALSE)</f>
        <v>No</v>
      </c>
      <c r="I501">
        <f>VLOOKUP($A501,'Medical Examinations'!$A:$J,9,FALSE)</f>
        <v>2</v>
      </c>
      <c r="J501" t="str">
        <f>VLOOKUP($A501,'Medical Examinations'!$A:$J,10,FALSE)</f>
        <v>No</v>
      </c>
      <c r="K501" t="str">
        <f>VLOOKUP($A501,'Medical Examinations'!$A:$J,5,FALSE)</f>
        <v>Normal</v>
      </c>
      <c r="L501">
        <f>VLOOKUP($A502,'Medical Examinations'!$A:$J,3,FALSE)</f>
        <v>28.93</v>
      </c>
      <c r="M501">
        <f>VLOOKUP($A501,'Hospitalisation Details'!$A:$K,6,FALSE)</f>
        <v>19749.38</v>
      </c>
      <c r="N501" s="11">
        <f>VLOOKUP($B501,'Hospitalisation Details'!A500:J2844,10,0)</f>
        <v>35716</v>
      </c>
      <c r="O501" t="str">
        <f>VLOOKUP($B501,'Hospitalisation Details'!A500:J2844,8,0)</f>
        <v>tier - 2</v>
      </c>
      <c r="P501" t="str">
        <f>VLOOKUP($B501,'Hospitalisation Details'!A500:J2844,7,0)</f>
        <v>tier - 1</v>
      </c>
      <c r="Q501" t="str">
        <f>VLOOKUP($B501,'Hospitalisation Details'!A500:J2844,9,0)</f>
        <v>R1013</v>
      </c>
      <c r="R501">
        <f>VLOOKUP($B501,'Hospitalisation Details'!A500:K2844,11,0)</f>
        <v>25</v>
      </c>
    </row>
    <row r="502" spans="1:18" x14ac:dyDescent="0.35">
      <c r="A502" t="s">
        <v>1870</v>
      </c>
      <c r="B502" t="s">
        <v>532</v>
      </c>
      <c r="C502" t="str">
        <f>VLOOKUP($A502,'Customer Names'!$A:$E,4,FALSE)</f>
        <v>Mathieu</v>
      </c>
      <c r="D502" t="str">
        <f>VLOOKUP($A502,'Medical Examinations'!$A:$J,2,FALSE)</f>
        <v>Overweight</v>
      </c>
      <c r="E502">
        <f>VLOOKUP($A502,'Medical Examinations'!$A:$J,4,FALSE)</f>
        <v>5.2</v>
      </c>
      <c r="F502" t="str">
        <f>VLOOKUP($A502,'Medical Examinations'!$A:$J,6,FALSE)</f>
        <v>No</v>
      </c>
      <c r="G502" t="str">
        <f>VLOOKUP($A502,'Medical Examinations'!$A:$J,7,FALSE)</f>
        <v>No</v>
      </c>
      <c r="H502" t="str">
        <f>VLOOKUP($A502,'Medical Examinations'!$A:$J,8,FALSE)</f>
        <v>No</v>
      </c>
      <c r="I502">
        <f>VLOOKUP($A502,'Medical Examinations'!$A:$J,9,FALSE)</f>
        <v>0</v>
      </c>
      <c r="J502" t="str">
        <f>VLOOKUP($A502,'Medical Examinations'!$A:$J,10,FALSE)</f>
        <v>yes</v>
      </c>
      <c r="K502" t="str">
        <f>VLOOKUP($A502,'Medical Examinations'!$A:$J,5,FALSE)</f>
        <v>Normal</v>
      </c>
      <c r="L502">
        <f>VLOOKUP($A503,'Medical Examinations'!$A:$J,3,FALSE)</f>
        <v>33.82</v>
      </c>
      <c r="M502">
        <f>VLOOKUP($A502,'Hospitalisation Details'!$A:$K,6,FALSE)</f>
        <v>19719.689999999999</v>
      </c>
      <c r="N502" s="11">
        <f>VLOOKUP($B502,'Hospitalisation Details'!A501:J2845,10,0)</f>
        <v>30221</v>
      </c>
      <c r="O502" t="str">
        <f>VLOOKUP($B502,'Hospitalisation Details'!A501:J2845,8,0)</f>
        <v>tier - 3</v>
      </c>
      <c r="P502" t="str">
        <f>VLOOKUP($B502,'Hospitalisation Details'!A501:J2845,7,0)</f>
        <v>tier - 2</v>
      </c>
      <c r="Q502" t="str">
        <f>VLOOKUP($B502,'Hospitalisation Details'!A501:J2845,9,0)</f>
        <v>R1013</v>
      </c>
      <c r="R502">
        <f>VLOOKUP($B502,'Hospitalisation Details'!A501:K2845,11,0)</f>
        <v>40</v>
      </c>
    </row>
    <row r="503" spans="1:18" x14ac:dyDescent="0.35">
      <c r="A503" t="s">
        <v>1869</v>
      </c>
      <c r="B503" t="s">
        <v>533</v>
      </c>
      <c r="C503" t="str">
        <f>VLOOKUP($A503,'Customer Names'!$A:$E,4,FALSE)</f>
        <v>Kam S.</v>
      </c>
      <c r="D503" t="str">
        <f>VLOOKUP($A503,'Medical Examinations'!$A:$J,2,FALSE)</f>
        <v>Obesity</v>
      </c>
      <c r="E503">
        <f>VLOOKUP($A503,'Medical Examinations'!$A:$J,4,FALSE)</f>
        <v>5.42</v>
      </c>
      <c r="F503" t="str">
        <f>VLOOKUP($A503,'Medical Examinations'!$A:$J,6,FALSE)</f>
        <v>No</v>
      </c>
      <c r="G503" t="str">
        <f>VLOOKUP($A503,'Medical Examinations'!$A:$J,7,FALSE)</f>
        <v>No</v>
      </c>
      <c r="H503" t="str">
        <f>VLOOKUP($A503,'Medical Examinations'!$A:$J,8,FALSE)</f>
        <v>No</v>
      </c>
      <c r="I503">
        <f>VLOOKUP($A503,'Medical Examinations'!$A:$J,9,FALSE)</f>
        <v>0</v>
      </c>
      <c r="J503" t="str">
        <f>VLOOKUP($A503,'Medical Examinations'!$A:$J,10,FALSE)</f>
        <v>No</v>
      </c>
      <c r="K503" t="str">
        <f>VLOOKUP($A503,'Medical Examinations'!$A:$J,5,FALSE)</f>
        <v>Normal</v>
      </c>
      <c r="L503">
        <f>VLOOKUP($A504,'Medical Examinations'!$A:$J,3,FALSE)</f>
        <v>20.234999999999999</v>
      </c>
      <c r="M503">
        <f>VLOOKUP($A503,'Hospitalisation Details'!$A:$K,6,FALSE)</f>
        <v>19673.34</v>
      </c>
      <c r="N503" s="11">
        <f>VLOOKUP($B503,'Hospitalisation Details'!A502:J2846,10,0)</f>
        <v>29388</v>
      </c>
      <c r="O503" t="str">
        <f>VLOOKUP($B503,'Hospitalisation Details'!A502:J2846,8,0)</f>
        <v>tier - 3</v>
      </c>
      <c r="P503" t="str">
        <f>VLOOKUP($B503,'Hospitalisation Details'!A502:J2846,7,0)</f>
        <v>tier - 2</v>
      </c>
      <c r="Q503" t="str">
        <f>VLOOKUP($B503,'Hospitalisation Details'!A502:J2846,9,0)</f>
        <v>R1013</v>
      </c>
      <c r="R503">
        <f>VLOOKUP($B503,'Hospitalisation Details'!A502:K2846,11,0)</f>
        <v>42</v>
      </c>
    </row>
    <row r="504" spans="1:18" x14ac:dyDescent="0.35">
      <c r="A504" t="s">
        <v>1868</v>
      </c>
      <c r="B504" t="s">
        <v>534</v>
      </c>
      <c r="C504" t="str">
        <f>VLOOKUP($A504,'Customer Names'!$A:$E,4,FALSE)</f>
        <v>Valerie A</v>
      </c>
      <c r="D504" t="str">
        <f>VLOOKUP($A504,'Medical Examinations'!$A:$J,2,FALSE)</f>
        <v>Normal Weight</v>
      </c>
      <c r="E504">
        <f>VLOOKUP($A504,'Medical Examinations'!$A:$J,4,FALSE)</f>
        <v>6.84</v>
      </c>
      <c r="F504" t="str">
        <f>VLOOKUP($A504,'Medical Examinations'!$A:$J,6,FALSE)</f>
        <v>No</v>
      </c>
      <c r="G504" t="str">
        <f>VLOOKUP($A504,'Medical Examinations'!$A:$J,7,FALSE)</f>
        <v>No</v>
      </c>
      <c r="H504" t="str">
        <f>VLOOKUP($A504,'Medical Examinations'!$A:$J,8,FALSE)</f>
        <v>No</v>
      </c>
      <c r="I504">
        <f>VLOOKUP($A504,'Medical Examinations'!$A:$J,9,FALSE)</f>
        <v>0</v>
      </c>
      <c r="J504" t="str">
        <f>VLOOKUP($A504,'Medical Examinations'!$A:$J,10,FALSE)</f>
        <v>yes</v>
      </c>
      <c r="K504" t="str">
        <f>VLOOKUP($A504,'Medical Examinations'!$A:$J,5,FALSE)</f>
        <v>Diabetes</v>
      </c>
      <c r="L504">
        <f>VLOOKUP($A505,'Medical Examinations'!$A:$J,3,FALSE)</f>
        <v>49.2</v>
      </c>
      <c r="M504">
        <f>VLOOKUP($A504,'Hospitalisation Details'!$A:$K,6,FALSE)</f>
        <v>19594.810000000001</v>
      </c>
      <c r="N504" s="11">
        <f>VLOOKUP($B504,'Hospitalisation Details'!A503:J2847,10,0)</f>
        <v>37896</v>
      </c>
      <c r="O504" t="str">
        <f>VLOOKUP($B504,'Hospitalisation Details'!A503:J2847,8,0)</f>
        <v>tier - 3</v>
      </c>
      <c r="P504" t="str">
        <f>VLOOKUP($B504,'Hospitalisation Details'!A503:J2847,7,0)</f>
        <v>tier - 2</v>
      </c>
      <c r="Q504" t="str">
        <f>VLOOKUP($B504,'Hospitalisation Details'!A503:J2847,9,0)</f>
        <v>R1026</v>
      </c>
      <c r="R504">
        <f>VLOOKUP($B504,'Hospitalisation Details'!A503:K2847,11,0)</f>
        <v>19</v>
      </c>
    </row>
    <row r="505" spans="1:18" x14ac:dyDescent="0.35">
      <c r="A505" t="s">
        <v>1867</v>
      </c>
      <c r="B505" t="s">
        <v>536</v>
      </c>
      <c r="C505" t="str">
        <f>VLOOKUP($A505,'Customer Names'!$A:$E,4,FALSE)</f>
        <v>Freya R</v>
      </c>
      <c r="D505" t="str">
        <f>VLOOKUP($A505,'Medical Examinations'!$A:$J,2,FALSE)</f>
        <v>Obesity</v>
      </c>
      <c r="E505">
        <f>VLOOKUP($A505,'Medical Examinations'!$A:$J,4,FALSE)</f>
        <v>10.9</v>
      </c>
      <c r="F505" t="str">
        <f>VLOOKUP($A505,'Medical Examinations'!$A:$J,6,FALSE)</f>
        <v>yes</v>
      </c>
      <c r="G505" t="str">
        <f>VLOOKUP($A505,'Medical Examinations'!$A:$J,7,FALSE)</f>
        <v>No</v>
      </c>
      <c r="H505" t="str">
        <f>VLOOKUP($A505,'Medical Examinations'!$A:$J,8,FALSE)</f>
        <v>Yes</v>
      </c>
      <c r="I505">
        <f>VLOOKUP($A505,'Medical Examinations'!$A:$J,9,FALSE)</f>
        <v>1</v>
      </c>
      <c r="J505" t="str">
        <f>VLOOKUP($A505,'Medical Examinations'!$A:$J,10,FALSE)</f>
        <v>No</v>
      </c>
      <c r="K505" t="str">
        <f>VLOOKUP($A505,'Medical Examinations'!$A:$J,5,FALSE)</f>
        <v>Diabetes</v>
      </c>
      <c r="L505">
        <f>VLOOKUP($A506,'Medical Examinations'!$A:$J,3,FALSE)</f>
        <v>26.4</v>
      </c>
      <c r="M505">
        <f>VLOOKUP($A505,'Hospitalisation Details'!$A:$K,6,FALSE)</f>
        <v>19551.34</v>
      </c>
      <c r="N505" s="11">
        <f>VLOOKUP($B505,'Hospitalisation Details'!A504:J2848,10,0)</f>
        <v>32116</v>
      </c>
      <c r="O505" t="str">
        <f>VLOOKUP($B505,'Hospitalisation Details'!A504:J2848,8,0)</f>
        <v>tier - 3</v>
      </c>
      <c r="P505" t="str">
        <f>VLOOKUP($B505,'Hospitalisation Details'!A504:J2848,7,0)</f>
        <v>tier - 2</v>
      </c>
      <c r="Q505" t="str">
        <f>VLOOKUP($B505,'Hospitalisation Details'!A504:J2848,9,0)</f>
        <v>R1012</v>
      </c>
      <c r="R505">
        <f>VLOOKUP($B505,'Hospitalisation Details'!A504:K2848,11,0)</f>
        <v>35</v>
      </c>
    </row>
    <row r="506" spans="1:18" x14ac:dyDescent="0.35">
      <c r="A506" t="s">
        <v>1866</v>
      </c>
      <c r="B506" t="s">
        <v>537</v>
      </c>
      <c r="C506" t="str">
        <f>VLOOKUP($A506,'Customer Names'!$A:$E,4,FALSE)</f>
        <v>Jennifer</v>
      </c>
      <c r="D506" t="str">
        <f>VLOOKUP($A506,'Medical Examinations'!$A:$J,2,FALSE)</f>
        <v>Overweight</v>
      </c>
      <c r="E506">
        <f>VLOOKUP($A506,'Medical Examinations'!$A:$J,4,FALSE)</f>
        <v>4.87</v>
      </c>
      <c r="F506" t="str">
        <f>VLOOKUP($A506,'Medical Examinations'!$A:$J,6,FALSE)</f>
        <v>yes</v>
      </c>
      <c r="G506" t="str">
        <f>VLOOKUP($A506,'Medical Examinations'!$A:$J,7,FALSE)</f>
        <v>No</v>
      </c>
      <c r="H506" t="str">
        <f>VLOOKUP($A506,'Medical Examinations'!$A:$J,8,FALSE)</f>
        <v>No</v>
      </c>
      <c r="I506">
        <f>VLOOKUP($A506,'Medical Examinations'!$A:$J,9,FALSE)</f>
        <v>0</v>
      </c>
      <c r="J506" t="str">
        <f>VLOOKUP($A506,'Medical Examinations'!$A:$J,10,FALSE)</f>
        <v>yes</v>
      </c>
      <c r="K506" t="str">
        <f>VLOOKUP($A506,'Medical Examinations'!$A:$J,5,FALSE)</f>
        <v>Normal</v>
      </c>
      <c r="L506">
        <f>VLOOKUP($A507,'Medical Examinations'!$A:$J,3,FALSE)</f>
        <v>28.38</v>
      </c>
      <c r="M506">
        <f>VLOOKUP($A506,'Hospitalisation Details'!$A:$K,6,FALSE)</f>
        <v>19539.240000000002</v>
      </c>
      <c r="N506" s="11">
        <f>VLOOKUP($B506,'Hospitalisation Details'!A505:J2849,10,0)</f>
        <v>32498</v>
      </c>
      <c r="O506" t="str">
        <f>VLOOKUP($B506,'Hospitalisation Details'!A505:J2849,8,0)</f>
        <v>tier - 2</v>
      </c>
      <c r="P506" t="str">
        <f>VLOOKUP($B506,'Hospitalisation Details'!A505:J2849,7,0)</f>
        <v>tier - 2</v>
      </c>
      <c r="Q506" t="str">
        <f>VLOOKUP($B506,'Hospitalisation Details'!A505:J2849,9,0)</f>
        <v>R1017</v>
      </c>
      <c r="R506">
        <f>VLOOKUP($B506,'Hospitalisation Details'!A505:K2849,11,0)</f>
        <v>34</v>
      </c>
    </row>
    <row r="507" spans="1:18" x14ac:dyDescent="0.35">
      <c r="A507" t="s">
        <v>1865</v>
      </c>
      <c r="B507" t="s">
        <v>538</v>
      </c>
      <c r="C507" t="str">
        <f>VLOOKUP($A507,'Customer Names'!$A:$E,4,FALSE)</f>
        <v>Kara</v>
      </c>
      <c r="D507" t="str">
        <f>VLOOKUP($A507,'Medical Examinations'!$A:$J,2,FALSE)</f>
        <v>Overweight</v>
      </c>
      <c r="E507">
        <f>VLOOKUP($A507,'Medical Examinations'!$A:$J,4,FALSE)</f>
        <v>6.07</v>
      </c>
      <c r="F507" t="str">
        <f>VLOOKUP($A507,'Medical Examinations'!$A:$J,6,FALSE)</f>
        <v>No</v>
      </c>
      <c r="G507" t="str">
        <f>VLOOKUP($A507,'Medical Examinations'!$A:$J,7,FALSE)</f>
        <v>No</v>
      </c>
      <c r="H507" t="str">
        <f>VLOOKUP($A507,'Medical Examinations'!$A:$J,8,FALSE)</f>
        <v>No</v>
      </c>
      <c r="I507">
        <f>VLOOKUP($A507,'Medical Examinations'!$A:$J,9,FALSE)</f>
        <v>1</v>
      </c>
      <c r="J507" t="str">
        <f>VLOOKUP($A507,'Medical Examinations'!$A:$J,10,FALSE)</f>
        <v>yes</v>
      </c>
      <c r="K507" t="str">
        <f>VLOOKUP($A507,'Medical Examinations'!$A:$J,5,FALSE)</f>
        <v>Prediabetes</v>
      </c>
      <c r="L507">
        <f>VLOOKUP($A508,'Medical Examinations'!$A:$J,3,FALSE)</f>
        <v>24.64</v>
      </c>
      <c r="M507">
        <f>VLOOKUP($A507,'Hospitalisation Details'!$A:$K,6,FALSE)</f>
        <v>19521.97</v>
      </c>
      <c r="N507" s="11">
        <f>VLOOKUP($B507,'Hospitalisation Details'!A506:J2850,10,0)</f>
        <v>33829</v>
      </c>
      <c r="O507" t="str">
        <f>VLOOKUP($B507,'Hospitalisation Details'!A506:J2850,8,0)</f>
        <v>tier - 2</v>
      </c>
      <c r="P507" t="str">
        <f>VLOOKUP($B507,'Hospitalisation Details'!A506:J2850,7,0)</f>
        <v>tier - 2</v>
      </c>
      <c r="Q507" t="str">
        <f>VLOOKUP($B507,'Hospitalisation Details'!A506:J2850,9,0)</f>
        <v>R1012</v>
      </c>
      <c r="R507">
        <f>VLOOKUP($B507,'Hospitalisation Details'!A506:K2850,11,0)</f>
        <v>30</v>
      </c>
    </row>
    <row r="508" spans="1:18" x14ac:dyDescent="0.35">
      <c r="A508" t="s">
        <v>1864</v>
      </c>
      <c r="B508" t="s">
        <v>539</v>
      </c>
      <c r="C508" t="str">
        <f>VLOOKUP($A508,'Customer Names'!$A:$E,4,FALSE)</f>
        <v>Bradley A.</v>
      </c>
      <c r="D508" t="str">
        <f>VLOOKUP($A508,'Medical Examinations'!$A:$J,2,FALSE)</f>
        <v>Normal Weight</v>
      </c>
      <c r="E508">
        <f>VLOOKUP($A508,'Medical Examinations'!$A:$J,4,FALSE)</f>
        <v>4.33</v>
      </c>
      <c r="F508" t="str">
        <f>VLOOKUP($A508,'Medical Examinations'!$A:$J,6,FALSE)</f>
        <v>No</v>
      </c>
      <c r="G508" t="str">
        <f>VLOOKUP($A508,'Medical Examinations'!$A:$J,7,FALSE)</f>
        <v>No</v>
      </c>
      <c r="H508" t="str">
        <f>VLOOKUP($A508,'Medical Examinations'!$A:$J,8,FALSE)</f>
        <v>No</v>
      </c>
      <c r="I508">
        <f>VLOOKUP($A508,'Medical Examinations'!$A:$J,9,FALSE)</f>
        <v>0</v>
      </c>
      <c r="J508" t="str">
        <f>VLOOKUP($A508,'Medical Examinations'!$A:$J,10,FALSE)</f>
        <v>yes</v>
      </c>
      <c r="K508" t="str">
        <f>VLOOKUP($A508,'Medical Examinations'!$A:$J,5,FALSE)</f>
        <v>Normal</v>
      </c>
      <c r="L508">
        <f>VLOOKUP($A509,'Medical Examinations'!$A:$J,3,FALSE)</f>
        <v>39.71</v>
      </c>
      <c r="M508">
        <f>VLOOKUP($A508,'Hospitalisation Details'!$A:$K,6,FALSE)</f>
        <v>19515.54</v>
      </c>
      <c r="N508" s="11">
        <f>VLOOKUP($B508,'Hospitalisation Details'!A507:J2851,10,0)</f>
        <v>34149</v>
      </c>
      <c r="O508" t="str">
        <f>VLOOKUP($B508,'Hospitalisation Details'!A507:J2851,8,0)</f>
        <v>tier - 1</v>
      </c>
      <c r="P508" t="str">
        <f>VLOOKUP($B508,'Hospitalisation Details'!A507:J2851,7,0)</f>
        <v>tier - 2</v>
      </c>
      <c r="Q508" t="str">
        <f>VLOOKUP($B508,'Hospitalisation Details'!A507:J2851,9,0)</f>
        <v>R1011</v>
      </c>
      <c r="R508">
        <f>VLOOKUP($B508,'Hospitalisation Details'!A507:K2851,11,0)</f>
        <v>29</v>
      </c>
    </row>
    <row r="509" spans="1:18" x14ac:dyDescent="0.35">
      <c r="A509" t="s">
        <v>1863</v>
      </c>
      <c r="B509" t="s">
        <v>540</v>
      </c>
      <c r="C509" t="str">
        <f>VLOOKUP($A509,'Customer Names'!$A:$E,4,FALSE)</f>
        <v>Brendan</v>
      </c>
      <c r="D509" t="str">
        <f>VLOOKUP($A509,'Medical Examinations'!$A:$J,2,FALSE)</f>
        <v>Obesity</v>
      </c>
      <c r="E509">
        <f>VLOOKUP($A509,'Medical Examinations'!$A:$J,4,FALSE)</f>
        <v>5.83</v>
      </c>
      <c r="F509" t="str">
        <f>VLOOKUP($A509,'Medical Examinations'!$A:$J,6,FALSE)</f>
        <v>No</v>
      </c>
      <c r="G509" t="str">
        <f>VLOOKUP($A509,'Medical Examinations'!$A:$J,7,FALSE)</f>
        <v>No</v>
      </c>
      <c r="H509" t="str">
        <f>VLOOKUP($A509,'Medical Examinations'!$A:$J,8,FALSE)</f>
        <v>No</v>
      </c>
      <c r="I509">
        <f>VLOOKUP($A509,'Medical Examinations'!$A:$J,9,FALSE)</f>
        <v>1</v>
      </c>
      <c r="J509" t="str">
        <f>VLOOKUP($A509,'Medical Examinations'!$A:$J,10,FALSE)</f>
        <v>No</v>
      </c>
      <c r="K509" t="str">
        <f>VLOOKUP($A509,'Medical Examinations'!$A:$J,5,FALSE)</f>
        <v>Prediabetes</v>
      </c>
      <c r="L509">
        <f>VLOOKUP($A510,'Medical Examinations'!$A:$J,3,FALSE)</f>
        <v>22.22</v>
      </c>
      <c r="M509">
        <f>VLOOKUP($A509,'Hospitalisation Details'!$A:$K,6,FALSE)</f>
        <v>19496.72</v>
      </c>
      <c r="N509" s="11">
        <f>VLOOKUP($B509,'Hospitalisation Details'!A508:J2852,10,0)</f>
        <v>32307</v>
      </c>
      <c r="O509" t="str">
        <f>VLOOKUP($B509,'Hospitalisation Details'!A508:J2852,8,0)</f>
        <v>tier - 2</v>
      </c>
      <c r="P509" t="str">
        <f>VLOOKUP($B509,'Hospitalisation Details'!A508:J2852,7,0)</f>
        <v>tier - 2</v>
      </c>
      <c r="Q509" t="str">
        <f>VLOOKUP($B509,'Hospitalisation Details'!A508:J2852,9,0)</f>
        <v>R1011</v>
      </c>
      <c r="R509">
        <f>VLOOKUP($B509,'Hospitalisation Details'!A508:K2852,11,0)</f>
        <v>34</v>
      </c>
    </row>
    <row r="510" spans="1:18" x14ac:dyDescent="0.35">
      <c r="A510" t="s">
        <v>1862</v>
      </c>
      <c r="B510" t="s">
        <v>541</v>
      </c>
      <c r="C510" t="str">
        <f>VLOOKUP($A510,'Customer Names'!$A:$E,4,FALSE)</f>
        <v>Amber R</v>
      </c>
      <c r="D510" t="str">
        <f>VLOOKUP($A510,'Medical Examinations'!$A:$J,2,FALSE)</f>
        <v>Normal Weight</v>
      </c>
      <c r="E510">
        <f>VLOOKUP($A510,'Medical Examinations'!$A:$J,4,FALSE)</f>
        <v>5.5</v>
      </c>
      <c r="F510" t="str">
        <f>VLOOKUP($A510,'Medical Examinations'!$A:$J,6,FALSE)</f>
        <v>No</v>
      </c>
      <c r="G510" t="str">
        <f>VLOOKUP($A510,'Medical Examinations'!$A:$J,7,FALSE)</f>
        <v>No</v>
      </c>
      <c r="H510" t="str">
        <f>VLOOKUP($A510,'Medical Examinations'!$A:$J,8,FALSE)</f>
        <v>No</v>
      </c>
      <c r="I510">
        <f>VLOOKUP($A510,'Medical Examinations'!$A:$J,9,FALSE)</f>
        <v>0</v>
      </c>
      <c r="J510" t="str">
        <f>VLOOKUP($A510,'Medical Examinations'!$A:$J,10,FALSE)</f>
        <v>yes</v>
      </c>
      <c r="K510" t="str">
        <f>VLOOKUP($A510,'Medical Examinations'!$A:$J,5,FALSE)</f>
        <v>Normal</v>
      </c>
      <c r="L510">
        <f>VLOOKUP($A511,'Medical Examinations'!$A:$J,3,FALSE)</f>
        <v>33.344999999999999</v>
      </c>
      <c r="M510">
        <f>VLOOKUP($A510,'Hospitalisation Details'!$A:$K,6,FALSE)</f>
        <v>19444.27</v>
      </c>
      <c r="N510" s="11">
        <f>VLOOKUP($B510,'Hospitalisation Details'!A509:J2853,10,0)</f>
        <v>33194</v>
      </c>
      <c r="O510" t="str">
        <f>VLOOKUP($B510,'Hospitalisation Details'!A509:J2853,8,0)</f>
        <v>tier - 1</v>
      </c>
      <c r="P510" t="str">
        <f>VLOOKUP($B510,'Hospitalisation Details'!A509:J2853,7,0)</f>
        <v>tier - 2</v>
      </c>
      <c r="Q510" t="str">
        <f>VLOOKUP($B510,'Hospitalisation Details'!A509:J2853,9,0)</f>
        <v>R1024</v>
      </c>
      <c r="R510">
        <f>VLOOKUP($B510,'Hospitalisation Details'!A509:K2853,11,0)</f>
        <v>32</v>
      </c>
    </row>
    <row r="511" spans="1:18" x14ac:dyDescent="0.35">
      <c r="A511" t="s">
        <v>1861</v>
      </c>
      <c r="B511" t="s">
        <v>542</v>
      </c>
      <c r="C511" t="str">
        <f>VLOOKUP($A511,'Customer Names'!$A:$E,4,FALSE)</f>
        <v>Sean K</v>
      </c>
      <c r="D511" t="str">
        <f>VLOOKUP($A511,'Medical Examinations'!$A:$J,2,FALSE)</f>
        <v>Obesity</v>
      </c>
      <c r="E511">
        <f>VLOOKUP($A511,'Medical Examinations'!$A:$J,4,FALSE)</f>
        <v>4.79</v>
      </c>
      <c r="F511" t="str">
        <f>VLOOKUP($A511,'Medical Examinations'!$A:$J,6,FALSE)</f>
        <v>No</v>
      </c>
      <c r="G511" t="str">
        <f>VLOOKUP($A511,'Medical Examinations'!$A:$J,7,FALSE)</f>
        <v>No</v>
      </c>
      <c r="H511" t="str">
        <f>VLOOKUP($A511,'Medical Examinations'!$A:$J,8,FALSE)</f>
        <v>Yes</v>
      </c>
      <c r="I511">
        <f>VLOOKUP($A511,'Medical Examinations'!$A:$J,9,FALSE)</f>
        <v>1</v>
      </c>
      <c r="J511" t="str">
        <f>VLOOKUP($A511,'Medical Examinations'!$A:$J,10,FALSE)</f>
        <v>No</v>
      </c>
      <c r="K511" t="str">
        <f>VLOOKUP($A511,'Medical Examinations'!$A:$J,5,FALSE)</f>
        <v>Normal</v>
      </c>
      <c r="L511">
        <f>VLOOKUP($A512,'Medical Examinations'!$A:$J,3,FALSE)</f>
        <v>24.42</v>
      </c>
      <c r="M511">
        <f>VLOOKUP($A511,'Hospitalisation Details'!$A:$K,6,FALSE)</f>
        <v>19442.349999999999</v>
      </c>
      <c r="N511" s="11">
        <f>VLOOKUP($B511,'Hospitalisation Details'!A510:J2854,10,0)</f>
        <v>38343</v>
      </c>
      <c r="O511" t="str">
        <f>VLOOKUP($B511,'Hospitalisation Details'!A510:J2854,8,0)</f>
        <v>tier - 2</v>
      </c>
      <c r="P511" t="str">
        <f>VLOOKUP($B511,'Hospitalisation Details'!A510:J2854,7,0)</f>
        <v>tier - 2</v>
      </c>
      <c r="Q511" t="str">
        <f>VLOOKUP($B511,'Hospitalisation Details'!A510:J2854,9,0)</f>
        <v>R1024</v>
      </c>
      <c r="R511">
        <f>VLOOKUP($B511,'Hospitalisation Details'!A510:K2854,11,0)</f>
        <v>18</v>
      </c>
    </row>
    <row r="512" spans="1:18" x14ac:dyDescent="0.35">
      <c r="A512" t="s">
        <v>1860</v>
      </c>
      <c r="B512" t="s">
        <v>543</v>
      </c>
      <c r="C512" t="str">
        <f>VLOOKUP($A512,'Customer Names'!$A:$E,4,FALSE)</f>
        <v>Rick</v>
      </c>
      <c r="D512" t="str">
        <f>VLOOKUP($A512,'Medical Examinations'!$A:$J,2,FALSE)</f>
        <v>Normal Weight</v>
      </c>
      <c r="E512">
        <f>VLOOKUP($A512,'Medical Examinations'!$A:$J,4,FALSE)</f>
        <v>5.81</v>
      </c>
      <c r="F512" t="str">
        <f>VLOOKUP($A512,'Medical Examinations'!$A:$J,6,FALSE)</f>
        <v>No</v>
      </c>
      <c r="G512" t="str">
        <f>VLOOKUP($A512,'Medical Examinations'!$A:$J,7,FALSE)</f>
        <v>No</v>
      </c>
      <c r="H512" t="str">
        <f>VLOOKUP($A512,'Medical Examinations'!$A:$J,8,FALSE)</f>
        <v>No</v>
      </c>
      <c r="I512">
        <f>VLOOKUP($A512,'Medical Examinations'!$A:$J,9,FALSE)</f>
        <v>1</v>
      </c>
      <c r="J512" t="str">
        <f>VLOOKUP($A512,'Medical Examinations'!$A:$J,10,FALSE)</f>
        <v>yes</v>
      </c>
      <c r="K512" t="str">
        <f>VLOOKUP($A512,'Medical Examinations'!$A:$J,5,FALSE)</f>
        <v>Prediabetes</v>
      </c>
      <c r="L512">
        <f>VLOOKUP($A513,'Medical Examinations'!$A:$J,3,FALSE)</f>
        <v>29.81</v>
      </c>
      <c r="M512">
        <f>VLOOKUP($A512,'Hospitalisation Details'!$A:$K,6,FALSE)</f>
        <v>19362</v>
      </c>
      <c r="N512" s="11">
        <f>VLOOKUP($B512,'Hospitalisation Details'!A511:J2855,10,0)</f>
        <v>33136</v>
      </c>
      <c r="O512" t="str">
        <f>VLOOKUP($B512,'Hospitalisation Details'!A511:J2855,8,0)</f>
        <v>tier - 2</v>
      </c>
      <c r="P512" t="str">
        <f>VLOOKUP($B512,'Hospitalisation Details'!A511:J2855,7,0)</f>
        <v>tier - 2</v>
      </c>
      <c r="Q512" t="str">
        <f>VLOOKUP($B512,'Hospitalisation Details'!A511:J2855,9,0)</f>
        <v>R1013</v>
      </c>
      <c r="R512">
        <f>VLOOKUP($B512,'Hospitalisation Details'!A511:K2855,11,0)</f>
        <v>32</v>
      </c>
    </row>
    <row r="513" spans="1:18" x14ac:dyDescent="0.35">
      <c r="A513" t="s">
        <v>1859</v>
      </c>
      <c r="B513" t="s">
        <v>544</v>
      </c>
      <c r="C513" t="str">
        <f>VLOOKUP($A513,'Customer Names'!$A:$E,4,FALSE)</f>
        <v>Matthew</v>
      </c>
      <c r="D513" t="str">
        <f>VLOOKUP($A513,'Medical Examinations'!$A:$J,2,FALSE)</f>
        <v>Overweight</v>
      </c>
      <c r="E513">
        <f>VLOOKUP($A513,'Medical Examinations'!$A:$J,4,FALSE)</f>
        <v>5.58</v>
      </c>
      <c r="F513" t="str">
        <f>VLOOKUP($A513,'Medical Examinations'!$A:$J,6,FALSE)</f>
        <v>No</v>
      </c>
      <c r="G513" t="str">
        <f>VLOOKUP($A513,'Medical Examinations'!$A:$J,7,FALSE)</f>
        <v>No</v>
      </c>
      <c r="H513" t="str">
        <f>VLOOKUP($A513,'Medical Examinations'!$A:$J,8,FALSE)</f>
        <v>No</v>
      </c>
      <c r="I513">
        <f>VLOOKUP($A513,'Medical Examinations'!$A:$J,9,FALSE)</f>
        <v>0</v>
      </c>
      <c r="J513" t="str">
        <f>VLOOKUP($A513,'Medical Examinations'!$A:$J,10,FALSE)</f>
        <v>yes</v>
      </c>
      <c r="K513" t="str">
        <f>VLOOKUP($A513,'Medical Examinations'!$A:$J,5,FALSE)</f>
        <v>Normal</v>
      </c>
      <c r="L513">
        <f>VLOOKUP($A514,'Medical Examinations'!$A:$J,3,FALSE)</f>
        <v>51.18</v>
      </c>
      <c r="M513">
        <f>VLOOKUP($A513,'Hospitalisation Details'!$A:$K,6,FALSE)</f>
        <v>19350.37</v>
      </c>
      <c r="N513" s="11">
        <f>VLOOKUP($B513,'Hospitalisation Details'!A512:J2856,10,0)</f>
        <v>35424</v>
      </c>
      <c r="O513" t="str">
        <f>VLOOKUP($B513,'Hospitalisation Details'!A512:J2856,8,0)</f>
        <v>tier - 2</v>
      </c>
      <c r="P513" t="str">
        <f>VLOOKUP($B513,'Hospitalisation Details'!A512:J2856,7,0)</f>
        <v>tier - 2</v>
      </c>
      <c r="Q513" t="str">
        <f>VLOOKUP($B513,'Hospitalisation Details'!A512:J2856,9,0)</f>
        <v>R1024</v>
      </c>
      <c r="R513">
        <f>VLOOKUP($B513,'Hospitalisation Details'!A512:K2856,11,0)</f>
        <v>26</v>
      </c>
    </row>
    <row r="514" spans="1:18" x14ac:dyDescent="0.35">
      <c r="A514" t="s">
        <v>1858</v>
      </c>
      <c r="B514" t="s">
        <v>545</v>
      </c>
      <c r="C514" t="str">
        <f>VLOOKUP($A514,'Customer Names'!$A:$E,4,FALSE)</f>
        <v>Brady</v>
      </c>
      <c r="D514" t="str">
        <f>VLOOKUP($A514,'Medical Examinations'!$A:$J,2,FALSE)</f>
        <v>Obesity</v>
      </c>
      <c r="E514">
        <f>VLOOKUP($A514,'Medical Examinations'!$A:$J,4,FALSE)</f>
        <v>4.4000000000000004</v>
      </c>
      <c r="F514" t="str">
        <f>VLOOKUP($A514,'Medical Examinations'!$A:$J,6,FALSE)</f>
        <v>yes</v>
      </c>
      <c r="G514" t="str">
        <f>VLOOKUP($A514,'Medical Examinations'!$A:$J,7,FALSE)</f>
        <v>No</v>
      </c>
      <c r="H514" t="str">
        <f>VLOOKUP($A514,'Medical Examinations'!$A:$J,8,FALSE)</f>
        <v>No</v>
      </c>
      <c r="I514">
        <f>VLOOKUP($A514,'Medical Examinations'!$A:$J,9,FALSE)</f>
        <v>2</v>
      </c>
      <c r="J514" t="str">
        <f>VLOOKUP($A514,'Medical Examinations'!$A:$J,10,FALSE)</f>
        <v>No</v>
      </c>
      <c r="K514" t="str">
        <f>VLOOKUP($A514,'Medical Examinations'!$A:$J,5,FALSE)</f>
        <v>Normal</v>
      </c>
      <c r="L514">
        <f>VLOOKUP($A515,'Medical Examinations'!$A:$J,3,FALSE)</f>
        <v>51.37</v>
      </c>
      <c r="M514">
        <f>VLOOKUP($A514,'Hospitalisation Details'!$A:$K,6,FALSE)</f>
        <v>19321.060000000001</v>
      </c>
      <c r="N514" s="11">
        <f>VLOOKUP($B514,'Hospitalisation Details'!A513:J2857,10,0)</f>
        <v>32769</v>
      </c>
      <c r="O514" t="str">
        <f>VLOOKUP($B514,'Hospitalisation Details'!A513:J2857,8,0)</f>
        <v>tier - 2</v>
      </c>
      <c r="P514" t="str">
        <f>VLOOKUP($B514,'Hospitalisation Details'!A513:J2857,7,0)</f>
        <v>tier - 2</v>
      </c>
      <c r="Q514" t="str">
        <f>VLOOKUP($B514,'Hospitalisation Details'!A513:J2857,9,0)</f>
        <v>R1012</v>
      </c>
      <c r="R514">
        <f>VLOOKUP($B514,'Hospitalisation Details'!A513:K2857,11,0)</f>
        <v>33</v>
      </c>
    </row>
    <row r="515" spans="1:18" x14ac:dyDescent="0.35">
      <c r="A515" t="s">
        <v>1857</v>
      </c>
      <c r="B515" t="s">
        <v>546</v>
      </c>
      <c r="C515" t="str">
        <f>VLOOKUP($A515,'Customer Names'!$A:$E,4,FALSE)</f>
        <v>Kameko</v>
      </c>
      <c r="D515" t="str">
        <f>VLOOKUP($A515,'Medical Examinations'!$A:$J,2,FALSE)</f>
        <v>Obesity</v>
      </c>
      <c r="E515">
        <f>VLOOKUP($A515,'Medical Examinations'!$A:$J,4,FALSE)</f>
        <v>8.18</v>
      </c>
      <c r="F515" t="str">
        <f>VLOOKUP($A515,'Medical Examinations'!$A:$J,6,FALSE)</f>
        <v>yes</v>
      </c>
      <c r="G515" t="str">
        <f>VLOOKUP($A515,'Medical Examinations'!$A:$J,7,FALSE)</f>
        <v>No</v>
      </c>
      <c r="H515" t="str">
        <f>VLOOKUP($A515,'Medical Examinations'!$A:$J,8,FALSE)</f>
        <v>No</v>
      </c>
      <c r="I515">
        <f>VLOOKUP($A515,'Medical Examinations'!$A:$J,9,FALSE)</f>
        <v>0</v>
      </c>
      <c r="J515" t="str">
        <f>VLOOKUP($A515,'Medical Examinations'!$A:$J,10,FALSE)</f>
        <v>No</v>
      </c>
      <c r="K515" t="str">
        <f>VLOOKUP($A515,'Medical Examinations'!$A:$J,5,FALSE)</f>
        <v>Diabetes</v>
      </c>
      <c r="L515">
        <f>VLOOKUP($A516,'Medical Examinations'!$A:$J,3,FALSE)</f>
        <v>36.19</v>
      </c>
      <c r="M515">
        <f>VLOOKUP($A515,'Hospitalisation Details'!$A:$K,6,FALSE)</f>
        <v>19259.96</v>
      </c>
      <c r="N515" s="11">
        <f>VLOOKUP($B515,'Hospitalisation Details'!A514:J2858,10,0)</f>
        <v>36709</v>
      </c>
      <c r="O515" t="str">
        <f>VLOOKUP($B515,'Hospitalisation Details'!A514:J2858,8,0)</f>
        <v>tier - 3</v>
      </c>
      <c r="P515" t="str">
        <f>VLOOKUP($B515,'Hospitalisation Details'!A514:J2858,7,0)</f>
        <v>tier - 2</v>
      </c>
      <c r="Q515" t="str">
        <f>VLOOKUP($B515,'Hospitalisation Details'!A514:J2858,9,0)</f>
        <v>R1011</v>
      </c>
      <c r="R515">
        <f>VLOOKUP($B515,'Hospitalisation Details'!A514:K2858,11,0)</f>
        <v>22</v>
      </c>
    </row>
    <row r="516" spans="1:18" x14ac:dyDescent="0.35">
      <c r="A516" t="s">
        <v>1856</v>
      </c>
      <c r="B516" t="s">
        <v>547</v>
      </c>
      <c r="C516" t="str">
        <f>VLOOKUP($A516,'Customer Names'!$A:$E,4,FALSE)</f>
        <v>Jeremy A</v>
      </c>
      <c r="D516" t="str">
        <f>VLOOKUP($A516,'Medical Examinations'!$A:$J,2,FALSE)</f>
        <v>Obesity</v>
      </c>
      <c r="E516">
        <f>VLOOKUP($A516,'Medical Examinations'!$A:$J,4,FALSE)</f>
        <v>5.52</v>
      </c>
      <c r="F516" t="str">
        <f>VLOOKUP($A516,'Medical Examinations'!$A:$J,6,FALSE)</f>
        <v>yes</v>
      </c>
      <c r="G516" t="str">
        <f>VLOOKUP($A516,'Medical Examinations'!$A:$J,7,FALSE)</f>
        <v>No</v>
      </c>
      <c r="H516" t="str">
        <f>VLOOKUP($A516,'Medical Examinations'!$A:$J,8,FALSE)</f>
        <v>No</v>
      </c>
      <c r="I516">
        <f>VLOOKUP($A516,'Medical Examinations'!$A:$J,9,FALSE)</f>
        <v>0</v>
      </c>
      <c r="J516" t="str">
        <f>VLOOKUP($A516,'Medical Examinations'!$A:$J,10,FALSE)</f>
        <v>No</v>
      </c>
      <c r="K516" t="str">
        <f>VLOOKUP($A516,'Medical Examinations'!$A:$J,5,FALSE)</f>
        <v>Normal</v>
      </c>
      <c r="L516">
        <f>VLOOKUP($A517,'Medical Examinations'!$A:$J,3,FALSE)</f>
        <v>25.9</v>
      </c>
      <c r="M516">
        <f>VLOOKUP($A516,'Hospitalisation Details'!$A:$K,6,FALSE)</f>
        <v>19214.71</v>
      </c>
      <c r="N516" s="11">
        <f>VLOOKUP($B516,'Hospitalisation Details'!A515:J2859,10,0)</f>
        <v>35975</v>
      </c>
      <c r="O516" t="str">
        <f>VLOOKUP($B516,'Hospitalisation Details'!A515:J2859,8,0)</f>
        <v>tier - 1</v>
      </c>
      <c r="P516" t="str">
        <f>VLOOKUP($B516,'Hospitalisation Details'!A515:J2859,7,0)</f>
        <v>tier - 2</v>
      </c>
      <c r="Q516" t="str">
        <f>VLOOKUP($B516,'Hospitalisation Details'!A515:J2859,9,0)</f>
        <v>R1012</v>
      </c>
      <c r="R516">
        <f>VLOOKUP($B516,'Hospitalisation Details'!A515:K2859,11,0)</f>
        <v>24</v>
      </c>
    </row>
    <row r="517" spans="1:18" x14ac:dyDescent="0.35">
      <c r="A517" t="s">
        <v>1855</v>
      </c>
      <c r="B517" t="s">
        <v>548</v>
      </c>
      <c r="C517" t="str">
        <f>VLOOKUP($A517,'Customer Names'!$A:$E,4,FALSE)</f>
        <v>Daniel</v>
      </c>
      <c r="D517" t="str">
        <f>VLOOKUP($A517,'Medical Examinations'!$A:$J,2,FALSE)</f>
        <v>Overweight</v>
      </c>
      <c r="E517">
        <f>VLOOKUP($A517,'Medical Examinations'!$A:$J,4,FALSE)</f>
        <v>4.84</v>
      </c>
      <c r="F517" t="str">
        <f>VLOOKUP($A517,'Medical Examinations'!$A:$J,6,FALSE)</f>
        <v>No</v>
      </c>
      <c r="G517" t="str">
        <f>VLOOKUP($A517,'Medical Examinations'!$A:$J,7,FALSE)</f>
        <v>No</v>
      </c>
      <c r="H517" t="str">
        <f>VLOOKUP($A517,'Medical Examinations'!$A:$J,8,FALSE)</f>
        <v>No</v>
      </c>
      <c r="I517">
        <f>VLOOKUP($A517,'Medical Examinations'!$A:$J,9,FALSE)</f>
        <v>0</v>
      </c>
      <c r="J517" t="str">
        <f>VLOOKUP($A517,'Medical Examinations'!$A:$J,10,FALSE)</f>
        <v>yes</v>
      </c>
      <c r="K517" t="str">
        <f>VLOOKUP($A517,'Medical Examinations'!$A:$J,5,FALSE)</f>
        <v>Normal</v>
      </c>
      <c r="L517">
        <f>VLOOKUP($A518,'Medical Examinations'!$A:$J,3,FALSE)</f>
        <v>35.72</v>
      </c>
      <c r="M517">
        <f>VLOOKUP($A517,'Hospitalisation Details'!$A:$K,6,FALSE)</f>
        <v>19199.939999999999</v>
      </c>
      <c r="N517" s="11">
        <f>VLOOKUP($B517,'Hospitalisation Details'!A516:J2860,10,0)</f>
        <v>31220</v>
      </c>
      <c r="O517" t="str">
        <f>VLOOKUP($B517,'Hospitalisation Details'!A516:J2860,8,0)</f>
        <v>tier - 1</v>
      </c>
      <c r="P517" t="str">
        <f>VLOOKUP($B517,'Hospitalisation Details'!A516:J2860,7,0)</f>
        <v>tier - 1</v>
      </c>
      <c r="Q517" t="str">
        <f>VLOOKUP($B517,'Hospitalisation Details'!A516:J2860,9,0)</f>
        <v>R1011</v>
      </c>
      <c r="R517">
        <f>VLOOKUP($B517,'Hospitalisation Details'!A516:K2860,11,0)</f>
        <v>37</v>
      </c>
    </row>
    <row r="518" spans="1:18" x14ac:dyDescent="0.35">
      <c r="A518" t="s">
        <v>1854</v>
      </c>
      <c r="B518" t="s">
        <v>549</v>
      </c>
      <c r="C518" t="str">
        <f>VLOOKUP($A518,'Customer Names'!$A:$E,4,FALSE)</f>
        <v>Amanda</v>
      </c>
      <c r="D518" t="str">
        <f>VLOOKUP($A518,'Medical Examinations'!$A:$J,2,FALSE)</f>
        <v>Obesity</v>
      </c>
      <c r="E518">
        <f>VLOOKUP($A518,'Medical Examinations'!$A:$J,4,FALSE)</f>
        <v>4.08</v>
      </c>
      <c r="F518" t="str">
        <f>VLOOKUP($A518,'Medical Examinations'!$A:$J,6,FALSE)</f>
        <v>No</v>
      </c>
      <c r="G518" t="str">
        <f>VLOOKUP($A518,'Medical Examinations'!$A:$J,7,FALSE)</f>
        <v>No</v>
      </c>
      <c r="H518" t="str">
        <f>VLOOKUP($A518,'Medical Examinations'!$A:$J,8,FALSE)</f>
        <v>Yes</v>
      </c>
      <c r="I518">
        <f>VLOOKUP($A518,'Medical Examinations'!$A:$J,9,FALSE)</f>
        <v>1</v>
      </c>
      <c r="J518" t="str">
        <f>VLOOKUP($A518,'Medical Examinations'!$A:$J,10,FALSE)</f>
        <v>No</v>
      </c>
      <c r="K518" t="str">
        <f>VLOOKUP($A518,'Medical Examinations'!$A:$J,5,FALSE)</f>
        <v>Normal</v>
      </c>
      <c r="L518">
        <f>VLOOKUP($A519,'Medical Examinations'!$A:$J,3,FALSE)</f>
        <v>27.94</v>
      </c>
      <c r="M518">
        <f>VLOOKUP($A518,'Hospitalisation Details'!$A:$K,6,FALSE)</f>
        <v>19144.580000000002</v>
      </c>
      <c r="N518" s="11">
        <f>VLOOKUP($B518,'Hospitalisation Details'!A517:J2861,10,0)</f>
        <v>35363</v>
      </c>
      <c r="O518" t="str">
        <f>VLOOKUP($B518,'Hospitalisation Details'!A517:J2861,8,0)</f>
        <v>tier - 1</v>
      </c>
      <c r="P518" t="str">
        <f>VLOOKUP($B518,'Hospitalisation Details'!A517:J2861,7,0)</f>
        <v>tier - 2</v>
      </c>
      <c r="Q518" t="str">
        <f>VLOOKUP($B518,'Hospitalisation Details'!A517:J2861,9,0)</f>
        <v>R1017</v>
      </c>
      <c r="R518">
        <f>VLOOKUP($B518,'Hospitalisation Details'!A517:K2861,11,0)</f>
        <v>26</v>
      </c>
    </row>
    <row r="519" spans="1:18" x14ac:dyDescent="0.35">
      <c r="A519" t="s">
        <v>1853</v>
      </c>
      <c r="B519" t="s">
        <v>550</v>
      </c>
      <c r="C519" t="str">
        <f>VLOOKUP($A519,'Customer Names'!$A:$E,4,FALSE)</f>
        <v>Karen</v>
      </c>
      <c r="D519" t="str">
        <f>VLOOKUP($A519,'Medical Examinations'!$A:$J,2,FALSE)</f>
        <v>Overweight</v>
      </c>
      <c r="E519">
        <f>VLOOKUP($A519,'Medical Examinations'!$A:$J,4,FALSE)</f>
        <v>4.4800000000000004</v>
      </c>
      <c r="F519" t="str">
        <f>VLOOKUP($A519,'Medical Examinations'!$A:$J,6,FALSE)</f>
        <v>No</v>
      </c>
      <c r="G519" t="str">
        <f>VLOOKUP($A519,'Medical Examinations'!$A:$J,7,FALSE)</f>
        <v>No</v>
      </c>
      <c r="H519" t="str">
        <f>VLOOKUP($A519,'Medical Examinations'!$A:$J,8,FALSE)</f>
        <v>Yes</v>
      </c>
      <c r="I519">
        <f>VLOOKUP($A519,'Medical Examinations'!$A:$J,9,FALSE)</f>
        <v>1</v>
      </c>
      <c r="J519" t="str">
        <f>VLOOKUP($A519,'Medical Examinations'!$A:$J,10,FALSE)</f>
        <v>yes</v>
      </c>
      <c r="K519" t="str">
        <f>VLOOKUP($A519,'Medical Examinations'!$A:$J,5,FALSE)</f>
        <v>Normal</v>
      </c>
      <c r="L519">
        <f>VLOOKUP($A520,'Medical Examinations'!$A:$J,3,FALSE)</f>
        <v>27.1</v>
      </c>
      <c r="M519">
        <f>VLOOKUP($A519,'Hospitalisation Details'!$A:$K,6,FALSE)</f>
        <v>19107.78</v>
      </c>
      <c r="N519" s="11">
        <f>VLOOKUP($B519,'Hospitalisation Details'!A518:J2862,10,0)</f>
        <v>33090</v>
      </c>
      <c r="O519" t="str">
        <f>VLOOKUP($B519,'Hospitalisation Details'!A518:J2862,8,0)</f>
        <v>tier - 3</v>
      </c>
      <c r="P519" t="str">
        <f>VLOOKUP($B519,'Hospitalisation Details'!A518:J2862,7,0)</f>
        <v>tier - 3</v>
      </c>
      <c r="Q519" t="str">
        <f>VLOOKUP($B519,'Hospitalisation Details'!A518:J2862,9,0)</f>
        <v>R1016</v>
      </c>
      <c r="R519">
        <f>VLOOKUP($B519,'Hospitalisation Details'!A518:K2862,11,0)</f>
        <v>32</v>
      </c>
    </row>
    <row r="520" spans="1:18" x14ac:dyDescent="0.35">
      <c r="A520" t="s">
        <v>1852</v>
      </c>
      <c r="B520" t="s">
        <v>551</v>
      </c>
      <c r="C520" t="str">
        <f>VLOOKUP($A520,'Customer Names'!$A:$E,4,FALSE)</f>
        <v>Gregory</v>
      </c>
      <c r="D520" t="str">
        <f>VLOOKUP($A520,'Medical Examinations'!$A:$J,2,FALSE)</f>
        <v>Overweight</v>
      </c>
      <c r="E520">
        <f>VLOOKUP($A520,'Medical Examinations'!$A:$J,4,FALSE)</f>
        <v>5.73</v>
      </c>
      <c r="F520" t="str">
        <f>VLOOKUP($A520,'Medical Examinations'!$A:$J,6,FALSE)</f>
        <v>No</v>
      </c>
      <c r="G520" t="str">
        <f>VLOOKUP($A520,'Medical Examinations'!$A:$J,7,FALSE)</f>
        <v>No</v>
      </c>
      <c r="H520" t="str">
        <f>VLOOKUP($A520,'Medical Examinations'!$A:$J,8,FALSE)</f>
        <v>No</v>
      </c>
      <c r="I520">
        <f>VLOOKUP($A520,'Medical Examinations'!$A:$J,9,FALSE)</f>
        <v>0</v>
      </c>
      <c r="J520" t="str">
        <f>VLOOKUP($A520,'Medical Examinations'!$A:$J,10,FALSE)</f>
        <v>yes</v>
      </c>
      <c r="K520" t="str">
        <f>VLOOKUP($A520,'Medical Examinations'!$A:$J,5,FALSE)</f>
        <v>Prediabetes</v>
      </c>
      <c r="L520">
        <f>VLOOKUP($A521,'Medical Examinations'!$A:$J,3,FALSE)</f>
        <v>18.3</v>
      </c>
      <c r="M520">
        <f>VLOOKUP($A520,'Hospitalisation Details'!$A:$K,6,FALSE)</f>
        <v>19040.88</v>
      </c>
      <c r="N520" s="11">
        <f>VLOOKUP($B520,'Hospitalisation Details'!A519:J2863,10,0)</f>
        <v>33142</v>
      </c>
      <c r="O520" t="str">
        <f>VLOOKUP($B520,'Hospitalisation Details'!A519:J2863,8,0)</f>
        <v>tier - 2</v>
      </c>
      <c r="P520" t="str">
        <f>VLOOKUP($B520,'Hospitalisation Details'!A519:J2863,7,0)</f>
        <v>tier - 2</v>
      </c>
      <c r="Q520" t="str">
        <f>VLOOKUP($B520,'Hospitalisation Details'!A519:J2863,9,0)</f>
        <v>R1011</v>
      </c>
      <c r="R520">
        <f>VLOOKUP($B520,'Hospitalisation Details'!A519:K2863,11,0)</f>
        <v>32</v>
      </c>
    </row>
    <row r="521" spans="1:18" x14ac:dyDescent="0.35">
      <c r="A521" t="s">
        <v>1851</v>
      </c>
      <c r="B521" t="s">
        <v>552</v>
      </c>
      <c r="C521" t="str">
        <f>VLOOKUP($A521,'Customer Names'!$A:$E,4,FALSE)</f>
        <v>Sabine</v>
      </c>
      <c r="D521" t="str">
        <f>VLOOKUP($A521,'Medical Examinations'!$A:$J,2,FALSE)</f>
        <v>Underweight</v>
      </c>
      <c r="E521">
        <f>VLOOKUP($A521,'Medical Examinations'!$A:$J,4,FALSE)</f>
        <v>5.46</v>
      </c>
      <c r="F521" t="str">
        <f>VLOOKUP($A521,'Medical Examinations'!$A:$J,6,FALSE)</f>
        <v>yes</v>
      </c>
      <c r="G521" t="str">
        <f>VLOOKUP($A521,'Medical Examinations'!$A:$J,7,FALSE)</f>
        <v>No</v>
      </c>
      <c r="H521" t="str">
        <f>VLOOKUP($A521,'Medical Examinations'!$A:$J,8,FALSE)</f>
        <v>Yes</v>
      </c>
      <c r="I521">
        <f>VLOOKUP($A521,'Medical Examinations'!$A:$J,9,FALSE)</f>
        <v>1</v>
      </c>
      <c r="J521" t="str">
        <f>VLOOKUP($A521,'Medical Examinations'!$A:$J,10,FALSE)</f>
        <v>yes</v>
      </c>
      <c r="K521" t="str">
        <f>VLOOKUP($A521,'Medical Examinations'!$A:$J,5,FALSE)</f>
        <v>Normal</v>
      </c>
      <c r="L521">
        <f>VLOOKUP($A522,'Medical Examinations'!$A:$J,3,FALSE)</f>
        <v>25.3</v>
      </c>
      <c r="M521">
        <f>VLOOKUP($A521,'Hospitalisation Details'!$A:$K,6,FALSE)</f>
        <v>19023.259999999998</v>
      </c>
      <c r="N521" s="11">
        <f>VLOOKUP($B521,'Hospitalisation Details'!A520:J2864,10,0)</f>
        <v>33067</v>
      </c>
      <c r="O521" t="str">
        <f>VLOOKUP($B521,'Hospitalisation Details'!A520:J2864,8,0)</f>
        <v>tier - 1</v>
      </c>
      <c r="P521" t="str">
        <f>VLOOKUP($B521,'Hospitalisation Details'!A520:J2864,7,0)</f>
        <v>tier - 2</v>
      </c>
      <c r="Q521" t="str">
        <f>VLOOKUP($B521,'Hospitalisation Details'!A520:J2864,9,0)</f>
        <v>R1013</v>
      </c>
      <c r="R521">
        <f>VLOOKUP($B521,'Hospitalisation Details'!A520:K2864,11,0)</f>
        <v>32</v>
      </c>
    </row>
    <row r="522" spans="1:18" x14ac:dyDescent="0.35">
      <c r="A522" t="s">
        <v>1850</v>
      </c>
      <c r="B522" t="s">
        <v>553</v>
      </c>
      <c r="C522" t="str">
        <f>VLOOKUP($A522,'Customer Names'!$A:$E,4,FALSE)</f>
        <v>Joseph</v>
      </c>
      <c r="D522" t="str">
        <f>VLOOKUP($A522,'Medical Examinations'!$A:$J,2,FALSE)</f>
        <v>Overweight</v>
      </c>
      <c r="E522">
        <f>VLOOKUP($A522,'Medical Examinations'!$A:$J,4,FALSE)</f>
        <v>5.0199999999999996</v>
      </c>
      <c r="F522" t="str">
        <f>VLOOKUP($A522,'Medical Examinations'!$A:$J,6,FALSE)</f>
        <v>yes</v>
      </c>
      <c r="G522" t="str">
        <f>VLOOKUP($A522,'Medical Examinations'!$A:$J,7,FALSE)</f>
        <v>No</v>
      </c>
      <c r="H522" t="str">
        <f>VLOOKUP($A522,'Medical Examinations'!$A:$J,8,FALSE)</f>
        <v>No</v>
      </c>
      <c r="I522">
        <f>VLOOKUP($A522,'Medical Examinations'!$A:$J,9,FALSE)</f>
        <v>1</v>
      </c>
      <c r="J522" t="str">
        <f>VLOOKUP($A522,'Medical Examinations'!$A:$J,10,FALSE)</f>
        <v>yes</v>
      </c>
      <c r="K522" t="str">
        <f>VLOOKUP($A522,'Medical Examinations'!$A:$J,5,FALSE)</f>
        <v>Normal</v>
      </c>
      <c r="L522">
        <f>VLOOKUP($A523,'Medical Examinations'!$A:$J,3,FALSE)</f>
        <v>38.83</v>
      </c>
      <c r="M522">
        <f>VLOOKUP($A522,'Hospitalisation Details'!$A:$K,6,FALSE)</f>
        <v>18972.5</v>
      </c>
      <c r="N522" s="11">
        <f>VLOOKUP($B522,'Hospitalisation Details'!A521:J2865,10,0)</f>
        <v>29146</v>
      </c>
      <c r="O522" t="str">
        <f>VLOOKUP($B522,'Hospitalisation Details'!A521:J2865,8,0)</f>
        <v>tier - 1</v>
      </c>
      <c r="P522" t="str">
        <f>VLOOKUP($B522,'Hospitalisation Details'!A521:J2865,7,0)</f>
        <v>tier - 2</v>
      </c>
      <c r="Q522" t="str">
        <f>VLOOKUP($B522,'Hospitalisation Details'!A521:J2865,9,0)</f>
        <v>R1013</v>
      </c>
      <c r="R522">
        <f>VLOOKUP($B522,'Hospitalisation Details'!A521:K2865,11,0)</f>
        <v>43</v>
      </c>
    </row>
    <row r="523" spans="1:18" x14ac:dyDescent="0.35">
      <c r="A523" t="s">
        <v>1849</v>
      </c>
      <c r="B523" t="s">
        <v>554</v>
      </c>
      <c r="C523" t="str">
        <f>VLOOKUP($A523,'Customer Names'!$A:$E,4,FALSE)</f>
        <v>Adam</v>
      </c>
      <c r="D523" t="str">
        <f>VLOOKUP($A523,'Medical Examinations'!$A:$J,2,FALSE)</f>
        <v>Obesity</v>
      </c>
      <c r="E523">
        <f>VLOOKUP($A523,'Medical Examinations'!$A:$J,4,FALSE)</f>
        <v>6.36</v>
      </c>
      <c r="F523" t="str">
        <f>VLOOKUP($A523,'Medical Examinations'!$A:$J,6,FALSE)</f>
        <v>No</v>
      </c>
      <c r="G523" t="str">
        <f>VLOOKUP($A523,'Medical Examinations'!$A:$J,7,FALSE)</f>
        <v>No</v>
      </c>
      <c r="H523" t="str">
        <f>VLOOKUP($A523,'Medical Examinations'!$A:$J,8,FALSE)</f>
        <v>No</v>
      </c>
      <c r="I523">
        <f>VLOOKUP($A523,'Medical Examinations'!$A:$J,9,FALSE)</f>
        <v>1</v>
      </c>
      <c r="J523" t="str">
        <f>VLOOKUP($A523,'Medical Examinations'!$A:$J,10,FALSE)</f>
        <v>No</v>
      </c>
      <c r="K523" t="str">
        <f>VLOOKUP($A523,'Medical Examinations'!$A:$J,5,FALSE)</f>
        <v>Prediabetes</v>
      </c>
      <c r="L523">
        <f>VLOOKUP($A524,'Medical Examinations'!$A:$J,3,FALSE)</f>
        <v>27.6</v>
      </c>
      <c r="M523">
        <f>VLOOKUP($A523,'Hospitalisation Details'!$A:$K,6,FALSE)</f>
        <v>18963.169999999998</v>
      </c>
      <c r="N523" s="11">
        <f>VLOOKUP($B523,'Hospitalisation Details'!A522:J2866,10,0)</f>
        <v>37898</v>
      </c>
      <c r="O523" t="str">
        <f>VLOOKUP($B523,'Hospitalisation Details'!A522:J2866,8,0)</f>
        <v>tier - 1</v>
      </c>
      <c r="P523" t="str">
        <f>VLOOKUP($B523,'Hospitalisation Details'!A522:J2866,7,0)</f>
        <v>tier - 2</v>
      </c>
      <c r="Q523" t="str">
        <f>VLOOKUP($B523,'Hospitalisation Details'!A522:J2866,9,0)</f>
        <v>R1021</v>
      </c>
      <c r="R523">
        <f>VLOOKUP($B523,'Hospitalisation Details'!A522:K2866,11,0)</f>
        <v>19</v>
      </c>
    </row>
    <row r="524" spans="1:18" x14ac:dyDescent="0.35">
      <c r="A524" t="s">
        <v>1848</v>
      </c>
      <c r="B524" t="s">
        <v>555</v>
      </c>
      <c r="C524" t="str">
        <f>VLOOKUP($A524,'Customer Names'!$A:$E,4,FALSE)</f>
        <v>Karolyn A</v>
      </c>
      <c r="D524" t="str">
        <f>VLOOKUP($A524,'Medical Examinations'!$A:$J,2,FALSE)</f>
        <v>Overweight</v>
      </c>
      <c r="E524">
        <f>VLOOKUP($A524,'Medical Examinations'!$A:$J,4,FALSE)</f>
        <v>5.36</v>
      </c>
      <c r="F524" t="str">
        <f>VLOOKUP($A524,'Medical Examinations'!$A:$J,6,FALSE)</f>
        <v>No</v>
      </c>
      <c r="G524" t="str">
        <f>VLOOKUP($A524,'Medical Examinations'!$A:$J,7,FALSE)</f>
        <v>No</v>
      </c>
      <c r="H524" t="str">
        <f>VLOOKUP($A524,'Medical Examinations'!$A:$J,8,FALSE)</f>
        <v>No</v>
      </c>
      <c r="I524">
        <f>VLOOKUP($A524,'Medical Examinations'!$A:$J,9,FALSE)</f>
        <v>1</v>
      </c>
      <c r="J524" t="str">
        <f>VLOOKUP($A524,'Medical Examinations'!$A:$J,10,FALSE)</f>
        <v>No</v>
      </c>
      <c r="K524" t="str">
        <f>VLOOKUP($A524,'Medical Examinations'!$A:$J,5,FALSE)</f>
        <v>Normal</v>
      </c>
      <c r="L524">
        <f>VLOOKUP($A525,'Medical Examinations'!$A:$J,3,FALSE)</f>
        <v>46.4</v>
      </c>
      <c r="M524">
        <f>VLOOKUP($A524,'Hospitalisation Details'!$A:$K,6,FALSE)</f>
        <v>18955.22</v>
      </c>
      <c r="N524" s="11">
        <f>VLOOKUP($B524,'Hospitalisation Details'!A523:J2867,10,0)</f>
        <v>33120</v>
      </c>
      <c r="O524" t="str">
        <f>VLOOKUP($B524,'Hospitalisation Details'!A523:J2867,8,0)</f>
        <v>tier - 3</v>
      </c>
      <c r="P524" t="str">
        <f>VLOOKUP($B524,'Hospitalisation Details'!A523:J2867,7,0)</f>
        <v>tier - 3</v>
      </c>
      <c r="Q524" t="str">
        <f>VLOOKUP($B524,'Hospitalisation Details'!A523:J2867,9,0)</f>
        <v>R1013</v>
      </c>
      <c r="R524">
        <f>VLOOKUP($B524,'Hospitalisation Details'!A523:K2867,11,0)</f>
        <v>32</v>
      </c>
    </row>
    <row r="525" spans="1:18" x14ac:dyDescent="0.35">
      <c r="A525" t="s">
        <v>1847</v>
      </c>
      <c r="B525" t="s">
        <v>556</v>
      </c>
      <c r="C525" t="str">
        <f>VLOOKUP($A525,'Customer Names'!$A:$E,4,FALSE)</f>
        <v>Anita L.</v>
      </c>
      <c r="D525" t="str">
        <f>VLOOKUP($A525,'Medical Examinations'!$A:$J,2,FALSE)</f>
        <v>Obesity</v>
      </c>
      <c r="E525">
        <f>VLOOKUP($A525,'Medical Examinations'!$A:$J,4,FALSE)</f>
        <v>8.3699999999999992</v>
      </c>
      <c r="F525" t="str">
        <f>VLOOKUP($A525,'Medical Examinations'!$A:$J,6,FALSE)</f>
        <v>yes</v>
      </c>
      <c r="G525" t="str">
        <f>VLOOKUP($A525,'Medical Examinations'!$A:$J,7,FALSE)</f>
        <v>No</v>
      </c>
      <c r="H525" t="str">
        <f>VLOOKUP($A525,'Medical Examinations'!$A:$J,8,FALSE)</f>
        <v>Yes</v>
      </c>
      <c r="I525">
        <f>VLOOKUP($A525,'Medical Examinations'!$A:$J,9,FALSE)</f>
        <v>1</v>
      </c>
      <c r="J525" t="str">
        <f>VLOOKUP($A525,'Medical Examinations'!$A:$J,10,FALSE)</f>
        <v>No</v>
      </c>
      <c r="K525" t="str">
        <f>VLOOKUP($A525,'Medical Examinations'!$A:$J,5,FALSE)</f>
        <v>Diabetes</v>
      </c>
      <c r="L525">
        <f>VLOOKUP($A526,'Medical Examinations'!$A:$J,3,FALSE)</f>
        <v>51.92</v>
      </c>
      <c r="M525">
        <f>VLOOKUP($A525,'Hospitalisation Details'!$A:$K,6,FALSE)</f>
        <v>18954.560000000001</v>
      </c>
      <c r="N525" s="11">
        <f>VLOOKUP($B525,'Hospitalisation Details'!A524:J2868,10,0)</f>
        <v>37794</v>
      </c>
      <c r="O525" t="str">
        <f>VLOOKUP($B525,'Hospitalisation Details'!A524:J2868,8,0)</f>
        <v>tier - 3</v>
      </c>
      <c r="P525" t="str">
        <f>VLOOKUP($B525,'Hospitalisation Details'!A524:J2868,7,0)</f>
        <v>tier - 2</v>
      </c>
      <c r="Q525" t="str">
        <f>VLOOKUP($B525,'Hospitalisation Details'!A524:J2868,9,0)</f>
        <v>R1011</v>
      </c>
      <c r="R525">
        <f>VLOOKUP($B525,'Hospitalisation Details'!A524:K2868,11,0)</f>
        <v>19</v>
      </c>
    </row>
    <row r="526" spans="1:18" x14ac:dyDescent="0.35">
      <c r="A526" t="s">
        <v>1846</v>
      </c>
      <c r="B526" t="s">
        <v>557</v>
      </c>
      <c r="C526" t="str">
        <f>VLOOKUP($A526,'Customer Names'!$A:$E,4,FALSE)</f>
        <v>Laura E.</v>
      </c>
      <c r="D526" t="str">
        <f>VLOOKUP($A526,'Medical Examinations'!$A:$J,2,FALSE)</f>
        <v>Obesity</v>
      </c>
      <c r="E526">
        <f>VLOOKUP($A526,'Medical Examinations'!$A:$J,4,FALSE)</f>
        <v>5.18</v>
      </c>
      <c r="F526" t="str">
        <f>VLOOKUP($A526,'Medical Examinations'!$A:$J,6,FALSE)</f>
        <v>yes</v>
      </c>
      <c r="G526" t="str">
        <f>VLOOKUP($A526,'Medical Examinations'!$A:$J,7,FALSE)</f>
        <v>No</v>
      </c>
      <c r="H526" t="str">
        <f>VLOOKUP($A526,'Medical Examinations'!$A:$J,8,FALSE)</f>
        <v>Yes</v>
      </c>
      <c r="I526">
        <f>VLOOKUP($A526,'Medical Examinations'!$A:$J,9,FALSE)</f>
        <v>1</v>
      </c>
      <c r="J526" t="str">
        <f>VLOOKUP($A526,'Medical Examinations'!$A:$J,10,FALSE)</f>
        <v>No</v>
      </c>
      <c r="K526" t="str">
        <f>VLOOKUP($A526,'Medical Examinations'!$A:$J,5,FALSE)</f>
        <v>Normal</v>
      </c>
      <c r="L526">
        <f>VLOOKUP($A527,'Medical Examinations'!$A:$J,3,FALSE)</f>
        <v>32.395000000000003</v>
      </c>
      <c r="M526">
        <f>VLOOKUP($A526,'Hospitalisation Details'!$A:$K,6,FALSE)</f>
        <v>18932.810000000001</v>
      </c>
      <c r="N526" s="11">
        <f>VLOOKUP($B526,'Hospitalisation Details'!A525:J2869,10,0)</f>
        <v>28463</v>
      </c>
      <c r="O526" t="str">
        <f>VLOOKUP($B526,'Hospitalisation Details'!A525:J2869,8,0)</f>
        <v>tier - 3</v>
      </c>
      <c r="P526" t="str">
        <f>VLOOKUP($B526,'Hospitalisation Details'!A525:J2869,7,0)</f>
        <v>tier - 2</v>
      </c>
      <c r="Q526" t="str">
        <f>VLOOKUP($B526,'Hospitalisation Details'!A525:J2869,9,0)</f>
        <v>R1013</v>
      </c>
      <c r="R526">
        <f>VLOOKUP($B526,'Hospitalisation Details'!A525:K2869,11,0)</f>
        <v>45</v>
      </c>
    </row>
    <row r="527" spans="1:18" x14ac:dyDescent="0.35">
      <c r="A527" t="s">
        <v>1845</v>
      </c>
      <c r="B527" t="s">
        <v>558</v>
      </c>
      <c r="C527" t="str">
        <f>VLOOKUP($A527,'Customer Names'!$A:$E,4,FALSE)</f>
        <v>Sarah</v>
      </c>
      <c r="D527" t="str">
        <f>VLOOKUP($A527,'Medical Examinations'!$A:$J,2,FALSE)</f>
        <v>Obesity</v>
      </c>
      <c r="E527">
        <f>VLOOKUP($A527,'Medical Examinations'!$A:$J,4,FALSE)</f>
        <v>5.68</v>
      </c>
      <c r="F527" t="str">
        <f>VLOOKUP($A527,'Medical Examinations'!$A:$J,6,FALSE)</f>
        <v>yes</v>
      </c>
      <c r="G527" t="str">
        <f>VLOOKUP($A527,'Medical Examinations'!$A:$J,7,FALSE)</f>
        <v>No</v>
      </c>
      <c r="H527" t="str">
        <f>VLOOKUP($A527,'Medical Examinations'!$A:$J,8,FALSE)</f>
        <v>No</v>
      </c>
      <c r="I527">
        <f>VLOOKUP($A527,'Medical Examinations'!$A:$J,9,FALSE)</f>
        <v>1</v>
      </c>
      <c r="J527" t="str">
        <f>VLOOKUP($A527,'Medical Examinations'!$A:$J,10,FALSE)</f>
        <v>No</v>
      </c>
      <c r="K527" t="str">
        <f>VLOOKUP($A527,'Medical Examinations'!$A:$J,5,FALSE)</f>
        <v>Normal</v>
      </c>
      <c r="L527">
        <f>VLOOKUP($A528,'Medical Examinations'!$A:$J,3,FALSE)</f>
        <v>46.19</v>
      </c>
      <c r="M527">
        <f>VLOOKUP($A527,'Hospitalisation Details'!$A:$K,6,FALSE)</f>
        <v>18903.490000000002</v>
      </c>
      <c r="N527" s="11">
        <f>VLOOKUP($B527,'Hospitalisation Details'!A526:J2870,10,0)</f>
        <v>29810</v>
      </c>
      <c r="O527" t="str">
        <f>VLOOKUP($B527,'Hospitalisation Details'!A526:J2870,8,0)</f>
        <v>tier - 3</v>
      </c>
      <c r="P527" t="str">
        <f>VLOOKUP($B527,'Hospitalisation Details'!A526:J2870,7,0)</f>
        <v>tier - 2</v>
      </c>
      <c r="Q527" t="str">
        <f>VLOOKUP($B527,'Hospitalisation Details'!A526:J2870,9,0)</f>
        <v>R1011</v>
      </c>
      <c r="R527">
        <f>VLOOKUP($B527,'Hospitalisation Details'!A526:K2870,11,0)</f>
        <v>41</v>
      </c>
    </row>
    <row r="528" spans="1:18" x14ac:dyDescent="0.35">
      <c r="A528" t="s">
        <v>1844</v>
      </c>
      <c r="B528" t="s">
        <v>559</v>
      </c>
      <c r="C528" t="str">
        <f>VLOOKUP($A528,'Customer Names'!$A:$E,4,FALSE)</f>
        <v>Ashley E</v>
      </c>
      <c r="D528" t="str">
        <f>VLOOKUP($A528,'Medical Examinations'!$A:$J,2,FALSE)</f>
        <v>Obesity</v>
      </c>
      <c r="E528">
        <f>VLOOKUP($A528,'Medical Examinations'!$A:$J,4,FALSE)</f>
        <v>7.31</v>
      </c>
      <c r="F528" t="str">
        <f>VLOOKUP($A528,'Medical Examinations'!$A:$J,6,FALSE)</f>
        <v>yes</v>
      </c>
      <c r="G528" t="str">
        <f>VLOOKUP($A528,'Medical Examinations'!$A:$J,7,FALSE)</f>
        <v>No</v>
      </c>
      <c r="H528" t="str">
        <f>VLOOKUP($A528,'Medical Examinations'!$A:$J,8,FALSE)</f>
        <v>Yes</v>
      </c>
      <c r="I528">
        <f>VLOOKUP($A528,'Medical Examinations'!$A:$J,9,FALSE)</f>
        <v>1</v>
      </c>
      <c r="J528" t="str">
        <f>VLOOKUP($A528,'Medical Examinations'!$A:$J,10,FALSE)</f>
        <v>No</v>
      </c>
      <c r="K528" t="str">
        <f>VLOOKUP($A528,'Medical Examinations'!$A:$J,5,FALSE)</f>
        <v>Diabetes</v>
      </c>
      <c r="L528">
        <f>VLOOKUP($A529,'Medical Examinations'!$A:$J,3,FALSE)</f>
        <v>27.93</v>
      </c>
      <c r="M528">
        <f>VLOOKUP($A528,'Hospitalisation Details'!$A:$K,6,FALSE)</f>
        <v>18883.330000000002</v>
      </c>
      <c r="N528" s="11">
        <f>VLOOKUP($B528,'Hospitalisation Details'!A527:J2871,10,0)</f>
        <v>33886</v>
      </c>
      <c r="O528" t="str">
        <f>VLOOKUP($B528,'Hospitalisation Details'!A527:J2871,8,0)</f>
        <v>tier - 3</v>
      </c>
      <c r="P528" t="str">
        <f>VLOOKUP($B528,'Hospitalisation Details'!A527:J2871,7,0)</f>
        <v>tier - 2</v>
      </c>
      <c r="Q528" t="str">
        <f>VLOOKUP($B528,'Hospitalisation Details'!A527:J2871,9,0)</f>
        <v>R1024</v>
      </c>
      <c r="R528">
        <f>VLOOKUP($B528,'Hospitalisation Details'!A527:K2871,11,0)</f>
        <v>30</v>
      </c>
    </row>
    <row r="529" spans="1:18" x14ac:dyDescent="0.35">
      <c r="A529" t="s">
        <v>1843</v>
      </c>
      <c r="B529" t="s">
        <v>560</v>
      </c>
      <c r="C529" t="str">
        <f>VLOOKUP($A529,'Customer Names'!$A:$E,4,FALSE)</f>
        <v>Lindsey</v>
      </c>
      <c r="D529" t="str">
        <f>VLOOKUP($A529,'Medical Examinations'!$A:$J,2,FALSE)</f>
        <v>Overweight</v>
      </c>
      <c r="E529">
        <f>VLOOKUP($A529,'Medical Examinations'!$A:$J,4,FALSE)</f>
        <v>4.67</v>
      </c>
      <c r="F529" t="str">
        <f>VLOOKUP($A529,'Medical Examinations'!$A:$J,6,FALSE)</f>
        <v>No</v>
      </c>
      <c r="G529" t="str">
        <f>VLOOKUP($A529,'Medical Examinations'!$A:$J,7,FALSE)</f>
        <v>No</v>
      </c>
      <c r="H529" t="str">
        <f>VLOOKUP($A529,'Medical Examinations'!$A:$J,8,FALSE)</f>
        <v>Yes</v>
      </c>
      <c r="I529">
        <f>VLOOKUP($A529,'Medical Examinations'!$A:$J,9,FALSE)</f>
        <v>1</v>
      </c>
      <c r="J529" t="str">
        <f>VLOOKUP($A529,'Medical Examinations'!$A:$J,10,FALSE)</f>
        <v>No</v>
      </c>
      <c r="K529" t="str">
        <f>VLOOKUP($A529,'Medical Examinations'!$A:$J,5,FALSE)</f>
        <v>Normal</v>
      </c>
      <c r="L529">
        <f>VLOOKUP($A530,'Medical Examinations'!$A:$J,3,FALSE)</f>
        <v>45.62</v>
      </c>
      <c r="M529">
        <f>VLOOKUP($A529,'Hospitalisation Details'!$A:$K,6,FALSE)</f>
        <v>18838.7</v>
      </c>
      <c r="N529" s="11">
        <f>VLOOKUP($B529,'Hospitalisation Details'!A528:J2872,10,0)</f>
        <v>33875</v>
      </c>
      <c r="O529" t="str">
        <f>VLOOKUP($B529,'Hospitalisation Details'!A528:J2872,8,0)</f>
        <v>tier - 2</v>
      </c>
      <c r="P529" t="str">
        <f>VLOOKUP($B529,'Hospitalisation Details'!A528:J2872,7,0)</f>
        <v>tier - 2</v>
      </c>
      <c r="Q529" t="str">
        <f>VLOOKUP($B529,'Hospitalisation Details'!A528:J2872,9,0)</f>
        <v>R1024</v>
      </c>
      <c r="R529">
        <f>VLOOKUP($B529,'Hospitalisation Details'!A528:K2872,11,0)</f>
        <v>30</v>
      </c>
    </row>
    <row r="530" spans="1:18" x14ac:dyDescent="0.35">
      <c r="A530" t="s">
        <v>1842</v>
      </c>
      <c r="B530" t="s">
        <v>561</v>
      </c>
      <c r="C530" t="str">
        <f>VLOOKUP($A530,'Customer Names'!$A:$E,4,FALSE)</f>
        <v>Alan</v>
      </c>
      <c r="D530" t="str">
        <f>VLOOKUP($A530,'Medical Examinations'!$A:$J,2,FALSE)</f>
        <v>Obesity</v>
      </c>
      <c r="E530">
        <f>VLOOKUP($A530,'Medical Examinations'!$A:$J,4,FALSE)</f>
        <v>6.87</v>
      </c>
      <c r="F530" t="str">
        <f>VLOOKUP($A530,'Medical Examinations'!$A:$J,6,FALSE)</f>
        <v>No</v>
      </c>
      <c r="G530" t="str">
        <f>VLOOKUP($A530,'Medical Examinations'!$A:$J,7,FALSE)</f>
        <v>No</v>
      </c>
      <c r="H530" t="str">
        <f>VLOOKUP($A530,'Medical Examinations'!$A:$J,8,FALSE)</f>
        <v>No</v>
      </c>
      <c r="I530">
        <f>VLOOKUP($A530,'Medical Examinations'!$A:$J,9,FALSE)</f>
        <v>0</v>
      </c>
      <c r="J530" t="str">
        <f>VLOOKUP($A530,'Medical Examinations'!$A:$J,10,FALSE)</f>
        <v>No</v>
      </c>
      <c r="K530" t="str">
        <f>VLOOKUP($A530,'Medical Examinations'!$A:$J,5,FALSE)</f>
        <v>Diabetes</v>
      </c>
      <c r="L530">
        <f>VLOOKUP($A531,'Medical Examinations'!$A:$J,3,FALSE)</f>
        <v>35.31</v>
      </c>
      <c r="M530">
        <f>VLOOKUP($A530,'Hospitalisation Details'!$A:$K,6,FALSE)</f>
        <v>18815.53</v>
      </c>
      <c r="N530" s="11">
        <f>VLOOKUP($B530,'Hospitalisation Details'!A529:J2873,10,0)</f>
        <v>34558</v>
      </c>
      <c r="O530" t="str">
        <f>VLOOKUP($B530,'Hospitalisation Details'!A529:J2873,8,0)</f>
        <v>tier - 1</v>
      </c>
      <c r="P530" t="str">
        <f>VLOOKUP($B530,'Hospitalisation Details'!A529:J2873,7,0)</f>
        <v>tier - 2</v>
      </c>
      <c r="Q530" t="str">
        <f>VLOOKUP($B530,'Hospitalisation Details'!A529:J2873,9,0)</f>
        <v>R1012</v>
      </c>
      <c r="R530">
        <f>VLOOKUP($B530,'Hospitalisation Details'!A529:K2873,11,0)</f>
        <v>28</v>
      </c>
    </row>
    <row r="531" spans="1:18" x14ac:dyDescent="0.35">
      <c r="A531" t="s">
        <v>1841</v>
      </c>
      <c r="B531" t="s">
        <v>562</v>
      </c>
      <c r="C531" t="str">
        <f>VLOOKUP($A531,'Customer Names'!$A:$E,4,FALSE)</f>
        <v>Dan R.</v>
      </c>
      <c r="D531" t="str">
        <f>VLOOKUP($A531,'Medical Examinations'!$A:$J,2,FALSE)</f>
        <v>Obesity</v>
      </c>
      <c r="E531">
        <f>VLOOKUP($A531,'Medical Examinations'!$A:$J,4,FALSE)</f>
        <v>5.87</v>
      </c>
      <c r="F531" t="str">
        <f>VLOOKUP($A531,'Medical Examinations'!$A:$J,6,FALSE)</f>
        <v>No</v>
      </c>
      <c r="G531" t="str">
        <f>VLOOKUP($A531,'Medical Examinations'!$A:$J,7,FALSE)</f>
        <v>No</v>
      </c>
      <c r="H531" t="str">
        <f>VLOOKUP($A531,'Medical Examinations'!$A:$J,8,FALSE)</f>
        <v>Yes</v>
      </c>
      <c r="I531">
        <f>VLOOKUP($A531,'Medical Examinations'!$A:$J,9,FALSE)</f>
        <v>1</v>
      </c>
      <c r="J531" t="str">
        <f>VLOOKUP($A531,'Medical Examinations'!$A:$J,10,FALSE)</f>
        <v>No</v>
      </c>
      <c r="K531" t="str">
        <f>VLOOKUP($A531,'Medical Examinations'!$A:$J,5,FALSE)</f>
        <v>Prediabetes</v>
      </c>
      <c r="L531">
        <f>VLOOKUP($A532,'Medical Examinations'!$A:$J,3,FALSE)</f>
        <v>30.4</v>
      </c>
      <c r="M531">
        <f>VLOOKUP($A531,'Hospitalisation Details'!$A:$K,6,FALSE)</f>
        <v>18806.150000000001</v>
      </c>
      <c r="N531" s="11">
        <f>VLOOKUP($B531,'Hospitalisation Details'!A530:J2874,10,0)</f>
        <v>29404</v>
      </c>
      <c r="O531" t="str">
        <f>VLOOKUP($B531,'Hospitalisation Details'!A530:J2874,8,0)</f>
        <v>tier - 3</v>
      </c>
      <c r="P531" t="str">
        <f>VLOOKUP($B531,'Hospitalisation Details'!A530:J2874,7,0)</f>
        <v>tier - 2</v>
      </c>
      <c r="Q531" t="str">
        <f>VLOOKUP($B531,'Hospitalisation Details'!A530:J2874,9,0)</f>
        <v>R1012</v>
      </c>
      <c r="R531">
        <f>VLOOKUP($B531,'Hospitalisation Details'!A530:K2874,11,0)</f>
        <v>42</v>
      </c>
    </row>
    <row r="532" spans="1:18" x14ac:dyDescent="0.35">
      <c r="A532" t="s">
        <v>1840</v>
      </c>
      <c r="B532" t="s">
        <v>563</v>
      </c>
      <c r="C532" t="str">
        <f>VLOOKUP($A532,'Customer Names'!$A:$E,4,FALSE)</f>
        <v>Katie</v>
      </c>
      <c r="D532" t="str">
        <f>VLOOKUP($A532,'Medical Examinations'!$A:$J,2,FALSE)</f>
        <v>Obesity</v>
      </c>
      <c r="E532">
        <f>VLOOKUP($A532,'Medical Examinations'!$A:$J,4,FALSE)</f>
        <v>4.07</v>
      </c>
      <c r="F532" t="str">
        <f>VLOOKUP($A532,'Medical Examinations'!$A:$J,6,FALSE)</f>
        <v>yes</v>
      </c>
      <c r="G532" t="str">
        <f>VLOOKUP($A532,'Medical Examinations'!$A:$J,7,FALSE)</f>
        <v>No</v>
      </c>
      <c r="H532" t="str">
        <f>VLOOKUP($A532,'Medical Examinations'!$A:$J,8,FALSE)</f>
        <v>No</v>
      </c>
      <c r="I532">
        <f>VLOOKUP($A532,'Medical Examinations'!$A:$J,9,FALSE)</f>
        <v>1</v>
      </c>
      <c r="J532" t="str">
        <f>VLOOKUP($A532,'Medical Examinations'!$A:$J,10,FALSE)</f>
        <v>No</v>
      </c>
      <c r="K532" t="str">
        <f>VLOOKUP($A532,'Medical Examinations'!$A:$J,5,FALSE)</f>
        <v>Normal</v>
      </c>
      <c r="L532">
        <f>VLOOKUP($A533,'Medical Examinations'!$A:$J,3,FALSE)</f>
        <v>20.13</v>
      </c>
      <c r="M532">
        <f>VLOOKUP($A532,'Hospitalisation Details'!$A:$K,6,FALSE)</f>
        <v>18804.75</v>
      </c>
      <c r="N532" s="11">
        <f>VLOOKUP($B532,'Hospitalisation Details'!A531:J2875,10,0)</f>
        <v>31660</v>
      </c>
      <c r="O532" t="str">
        <f>VLOOKUP($B532,'Hospitalisation Details'!A531:J2875,8,0)</f>
        <v>tier - 1</v>
      </c>
      <c r="P532" t="str">
        <f>VLOOKUP($B532,'Hospitalisation Details'!A531:J2875,7,0)</f>
        <v>tier - 2</v>
      </c>
      <c r="Q532" t="str">
        <f>VLOOKUP($B532,'Hospitalisation Details'!A531:J2875,9,0)</f>
        <v>R1013</v>
      </c>
      <c r="R532">
        <f>VLOOKUP($B532,'Hospitalisation Details'!A531:K2875,11,0)</f>
        <v>36</v>
      </c>
    </row>
    <row r="533" spans="1:18" x14ac:dyDescent="0.35">
      <c r="A533" t="s">
        <v>1839</v>
      </c>
      <c r="B533" t="s">
        <v>564</v>
      </c>
      <c r="C533" t="str">
        <f>VLOOKUP($A533,'Customer Names'!$A:$E,4,FALSE)</f>
        <v>Eric</v>
      </c>
      <c r="D533" t="str">
        <f>VLOOKUP($A533,'Medical Examinations'!$A:$J,2,FALSE)</f>
        <v>Normal Weight</v>
      </c>
      <c r="E533">
        <f>VLOOKUP($A533,'Medical Examinations'!$A:$J,4,FALSE)</f>
        <v>6.47</v>
      </c>
      <c r="F533" t="str">
        <f>VLOOKUP($A533,'Medical Examinations'!$A:$J,6,FALSE)</f>
        <v>No</v>
      </c>
      <c r="G533" t="str">
        <f>VLOOKUP($A533,'Medical Examinations'!$A:$J,7,FALSE)</f>
        <v>No</v>
      </c>
      <c r="H533" t="str">
        <f>VLOOKUP($A533,'Medical Examinations'!$A:$J,8,FALSE)</f>
        <v>Yes</v>
      </c>
      <c r="I533">
        <f>VLOOKUP($A533,'Medical Examinations'!$A:$J,9,FALSE)</f>
        <v>1</v>
      </c>
      <c r="J533" t="str">
        <f>VLOOKUP($A533,'Medical Examinations'!$A:$J,10,FALSE)</f>
        <v>yes</v>
      </c>
      <c r="K533" t="str">
        <f>VLOOKUP($A533,'Medical Examinations'!$A:$J,5,FALSE)</f>
        <v>Prediabetes</v>
      </c>
      <c r="L533">
        <f>VLOOKUP($A534,'Medical Examinations'!$A:$J,3,FALSE)</f>
        <v>23.655000000000001</v>
      </c>
      <c r="M533">
        <f>VLOOKUP($A533,'Hospitalisation Details'!$A:$K,6,FALSE)</f>
        <v>18767.740000000002</v>
      </c>
      <c r="N533" s="11">
        <f>VLOOKUP($B533,'Hospitalisation Details'!A532:J2876,10,0)</f>
        <v>33523</v>
      </c>
      <c r="O533" t="str">
        <f>VLOOKUP($B533,'Hospitalisation Details'!A532:J2876,8,0)</f>
        <v>tier - 3</v>
      </c>
      <c r="P533" t="str">
        <f>VLOOKUP($B533,'Hospitalisation Details'!A532:J2876,7,0)</f>
        <v>tier - 2</v>
      </c>
      <c r="Q533" t="str">
        <f>VLOOKUP($B533,'Hospitalisation Details'!A532:J2876,9,0)</f>
        <v>R1012</v>
      </c>
      <c r="R533">
        <f>VLOOKUP($B533,'Hospitalisation Details'!A532:K2876,11,0)</f>
        <v>31</v>
      </c>
    </row>
    <row r="534" spans="1:18" x14ac:dyDescent="0.35">
      <c r="A534" t="s">
        <v>1838</v>
      </c>
      <c r="B534" t="s">
        <v>565</v>
      </c>
      <c r="C534" t="str">
        <f>VLOOKUP($A534,'Customer Names'!$A:$E,4,FALSE)</f>
        <v>Cathryn</v>
      </c>
      <c r="D534" t="str">
        <f>VLOOKUP($A534,'Medical Examinations'!$A:$J,2,FALSE)</f>
        <v>Normal Weight</v>
      </c>
      <c r="E534">
        <f>VLOOKUP($A534,'Medical Examinations'!$A:$J,4,FALSE)</f>
        <v>5.14</v>
      </c>
      <c r="F534" t="str">
        <f>VLOOKUP($A534,'Medical Examinations'!$A:$J,6,FALSE)</f>
        <v>No</v>
      </c>
      <c r="G534" t="str">
        <f>VLOOKUP($A534,'Medical Examinations'!$A:$J,7,FALSE)</f>
        <v>No</v>
      </c>
      <c r="H534" t="str">
        <f>VLOOKUP($A534,'Medical Examinations'!$A:$J,8,FALSE)</f>
        <v>No</v>
      </c>
      <c r="I534">
        <f>VLOOKUP($A534,'Medical Examinations'!$A:$J,9,FALSE)</f>
        <v>1</v>
      </c>
      <c r="J534" t="str">
        <f>VLOOKUP($A534,'Medical Examinations'!$A:$J,10,FALSE)</f>
        <v>yes</v>
      </c>
      <c r="K534" t="str">
        <f>VLOOKUP($A534,'Medical Examinations'!$A:$J,5,FALSE)</f>
        <v>Normal</v>
      </c>
      <c r="L534">
        <f>VLOOKUP($A535,'Medical Examinations'!$A:$J,3,FALSE)</f>
        <v>49.05</v>
      </c>
      <c r="M534">
        <f>VLOOKUP($A534,'Hospitalisation Details'!$A:$K,6,FALSE)</f>
        <v>18765.88</v>
      </c>
      <c r="N534" s="11">
        <f>VLOOKUP($B534,'Hospitalisation Details'!A533:J2877,10,0)</f>
        <v>38315</v>
      </c>
      <c r="O534" t="str">
        <f>VLOOKUP($B534,'Hospitalisation Details'!A533:J2877,8,0)</f>
        <v>tier - 3</v>
      </c>
      <c r="P534" t="str">
        <f>VLOOKUP($B534,'Hospitalisation Details'!A533:J2877,7,0)</f>
        <v>tier - 2</v>
      </c>
      <c r="Q534" t="str">
        <f>VLOOKUP($B534,'Hospitalisation Details'!A533:J2877,9,0)</f>
        <v>R1021</v>
      </c>
      <c r="R534">
        <f>VLOOKUP($B534,'Hospitalisation Details'!A533:K2877,11,0)</f>
        <v>18</v>
      </c>
    </row>
    <row r="535" spans="1:18" x14ac:dyDescent="0.35">
      <c r="A535" t="s">
        <v>1837</v>
      </c>
      <c r="B535" t="s">
        <v>566</v>
      </c>
      <c r="C535" t="str">
        <f>VLOOKUP($A535,'Customer Names'!$A:$E,4,FALSE)</f>
        <v>Brendan</v>
      </c>
      <c r="D535" t="str">
        <f>VLOOKUP($A535,'Medical Examinations'!$A:$J,2,FALSE)</f>
        <v>Obesity</v>
      </c>
      <c r="E535">
        <f>VLOOKUP($A535,'Medical Examinations'!$A:$J,4,FALSE)</f>
        <v>9.77</v>
      </c>
      <c r="F535" t="str">
        <f>VLOOKUP($A535,'Medical Examinations'!$A:$J,6,FALSE)</f>
        <v>yes</v>
      </c>
      <c r="G535" t="str">
        <f>VLOOKUP($A535,'Medical Examinations'!$A:$J,7,FALSE)</f>
        <v>No</v>
      </c>
      <c r="H535" t="str">
        <f>VLOOKUP($A535,'Medical Examinations'!$A:$J,8,FALSE)</f>
        <v>No</v>
      </c>
      <c r="I535">
        <f>VLOOKUP($A535,'Medical Examinations'!$A:$J,9,FALSE)</f>
        <v>0</v>
      </c>
      <c r="J535" t="str">
        <f>VLOOKUP($A535,'Medical Examinations'!$A:$J,10,FALSE)</f>
        <v>No</v>
      </c>
      <c r="K535" t="str">
        <f>VLOOKUP($A535,'Medical Examinations'!$A:$J,5,FALSE)</f>
        <v>Diabetes</v>
      </c>
      <c r="L535">
        <f>VLOOKUP($A536,'Medical Examinations'!$A:$J,3,FALSE)</f>
        <v>51.94</v>
      </c>
      <c r="M535">
        <f>VLOOKUP($A535,'Hospitalisation Details'!$A:$K,6,FALSE)</f>
        <v>18694.689999999999</v>
      </c>
      <c r="N535" s="11">
        <f>VLOOKUP($B535,'Hospitalisation Details'!A534:J2878,10,0)</f>
        <v>31933</v>
      </c>
      <c r="O535" t="str">
        <f>VLOOKUP($B535,'Hospitalisation Details'!A534:J2878,8,0)</f>
        <v>tier - 2</v>
      </c>
      <c r="P535" t="str">
        <f>VLOOKUP($B535,'Hospitalisation Details'!A534:J2878,7,0)</f>
        <v>tier - 2</v>
      </c>
      <c r="Q535" t="str">
        <f>VLOOKUP($B535,'Hospitalisation Details'!A534:J2878,9,0)</f>
        <v>R1011</v>
      </c>
      <c r="R535">
        <f>VLOOKUP($B535,'Hospitalisation Details'!A534:K2878,11,0)</f>
        <v>36</v>
      </c>
    </row>
    <row r="536" spans="1:18" x14ac:dyDescent="0.35">
      <c r="A536" t="s">
        <v>1836</v>
      </c>
      <c r="B536" t="s">
        <v>567</v>
      </c>
      <c r="C536" t="str">
        <f>VLOOKUP($A536,'Customer Names'!$A:$E,4,FALSE)</f>
        <v>Shauna</v>
      </c>
      <c r="D536" t="str">
        <f>VLOOKUP($A536,'Medical Examinations'!$A:$J,2,FALSE)</f>
        <v>Obesity</v>
      </c>
      <c r="E536">
        <f>VLOOKUP($A536,'Medical Examinations'!$A:$J,4,FALSE)</f>
        <v>8.8000000000000007</v>
      </c>
      <c r="F536" t="str">
        <f>VLOOKUP($A536,'Medical Examinations'!$A:$J,6,FALSE)</f>
        <v>yes</v>
      </c>
      <c r="G536" t="str">
        <f>VLOOKUP($A536,'Medical Examinations'!$A:$J,7,FALSE)</f>
        <v>No</v>
      </c>
      <c r="H536" t="str">
        <f>VLOOKUP($A536,'Medical Examinations'!$A:$J,8,FALSE)</f>
        <v>No</v>
      </c>
      <c r="I536">
        <f>VLOOKUP($A536,'Medical Examinations'!$A:$J,9,FALSE)</f>
        <v>2</v>
      </c>
      <c r="J536" t="str">
        <f>VLOOKUP($A536,'Medical Examinations'!$A:$J,10,FALSE)</f>
        <v>No</v>
      </c>
      <c r="K536" t="str">
        <f>VLOOKUP($A536,'Medical Examinations'!$A:$J,5,FALSE)</f>
        <v>Diabetes</v>
      </c>
      <c r="L536">
        <f>VLOOKUP($A537,'Medical Examinations'!$A:$J,3,FALSE)</f>
        <v>29.83</v>
      </c>
      <c r="M536">
        <f>VLOOKUP($A536,'Hospitalisation Details'!$A:$K,6,FALSE)</f>
        <v>18682.740000000002</v>
      </c>
      <c r="N536" s="11">
        <f>VLOOKUP($B536,'Hospitalisation Details'!A535:J2879,10,0)</f>
        <v>32022</v>
      </c>
      <c r="O536" t="str">
        <f>VLOOKUP($B536,'Hospitalisation Details'!A535:J2879,8,0)</f>
        <v>tier - 2</v>
      </c>
      <c r="P536" t="str">
        <f>VLOOKUP($B536,'Hospitalisation Details'!A535:J2879,7,0)</f>
        <v>tier - 2</v>
      </c>
      <c r="Q536" t="str">
        <f>VLOOKUP($B536,'Hospitalisation Details'!A535:J2879,9,0)</f>
        <v>R1013</v>
      </c>
      <c r="R536">
        <f>VLOOKUP($B536,'Hospitalisation Details'!A535:K2879,11,0)</f>
        <v>35</v>
      </c>
    </row>
    <row r="537" spans="1:18" x14ac:dyDescent="0.35">
      <c r="A537" t="s">
        <v>1835</v>
      </c>
      <c r="B537" t="s">
        <v>568</v>
      </c>
      <c r="C537" t="str">
        <f>VLOOKUP($A537,'Customer Names'!$A:$E,4,FALSE)</f>
        <v>Terence</v>
      </c>
      <c r="D537" t="str">
        <f>VLOOKUP($A537,'Medical Examinations'!$A:$J,2,FALSE)</f>
        <v>Overweight</v>
      </c>
      <c r="E537">
        <f>VLOOKUP($A537,'Medical Examinations'!$A:$J,4,FALSE)</f>
        <v>5.84</v>
      </c>
      <c r="F537" t="str">
        <f>VLOOKUP($A537,'Medical Examinations'!$A:$J,6,FALSE)</f>
        <v>No</v>
      </c>
      <c r="G537" t="str">
        <f>VLOOKUP($A537,'Medical Examinations'!$A:$J,7,FALSE)</f>
        <v>No</v>
      </c>
      <c r="H537" t="str">
        <f>VLOOKUP($A537,'Medical Examinations'!$A:$J,8,FALSE)</f>
        <v>No</v>
      </c>
      <c r="I537">
        <f>VLOOKUP($A537,'Medical Examinations'!$A:$J,9,FALSE)</f>
        <v>1</v>
      </c>
      <c r="J537" t="str">
        <f>VLOOKUP($A537,'Medical Examinations'!$A:$J,10,FALSE)</f>
        <v>yes</v>
      </c>
      <c r="K537" t="str">
        <f>VLOOKUP($A537,'Medical Examinations'!$A:$J,5,FALSE)</f>
        <v>Prediabetes</v>
      </c>
      <c r="L537">
        <f>VLOOKUP($A538,'Medical Examinations'!$A:$J,3,FALSE)</f>
        <v>22.6</v>
      </c>
      <c r="M537">
        <f>VLOOKUP($A537,'Hospitalisation Details'!$A:$K,6,FALSE)</f>
        <v>18648.419999999998</v>
      </c>
      <c r="N537" s="11">
        <f>VLOOKUP($B537,'Hospitalisation Details'!A536:J2880,10,0)</f>
        <v>32103</v>
      </c>
      <c r="O537" t="str">
        <f>VLOOKUP($B537,'Hospitalisation Details'!A536:J2880,8,0)</f>
        <v>tier - 1</v>
      </c>
      <c r="P537" t="str">
        <f>VLOOKUP($B537,'Hospitalisation Details'!A536:J2880,7,0)</f>
        <v>tier - 3</v>
      </c>
      <c r="Q537" t="str">
        <f>VLOOKUP($B537,'Hospitalisation Details'!A536:J2880,9,0)</f>
        <v>R1011</v>
      </c>
      <c r="R537">
        <f>VLOOKUP($B537,'Hospitalisation Details'!A536:K2880,11,0)</f>
        <v>35</v>
      </c>
    </row>
    <row r="538" spans="1:18" x14ac:dyDescent="0.35">
      <c r="A538" t="s">
        <v>1834</v>
      </c>
      <c r="B538" t="s">
        <v>569</v>
      </c>
      <c r="C538" t="str">
        <f>VLOOKUP($A538,'Customer Names'!$A:$E,4,FALSE)</f>
        <v>Marisol</v>
      </c>
      <c r="D538" t="str">
        <f>VLOOKUP($A538,'Medical Examinations'!$A:$J,2,FALSE)</f>
        <v>Normal Weight</v>
      </c>
      <c r="E538">
        <f>VLOOKUP($A538,'Medical Examinations'!$A:$J,4,FALSE)</f>
        <v>10.43</v>
      </c>
      <c r="F538" t="str">
        <f>VLOOKUP($A538,'Medical Examinations'!$A:$J,6,FALSE)</f>
        <v>yes</v>
      </c>
      <c r="G538" t="str">
        <f>VLOOKUP($A538,'Medical Examinations'!$A:$J,7,FALSE)</f>
        <v>No</v>
      </c>
      <c r="H538" t="str">
        <f>VLOOKUP($A538,'Medical Examinations'!$A:$J,8,FALSE)</f>
        <v>No</v>
      </c>
      <c r="I538">
        <f>VLOOKUP($A538,'Medical Examinations'!$A:$J,9,FALSE)</f>
        <v>1</v>
      </c>
      <c r="J538" t="str">
        <f>VLOOKUP($A538,'Medical Examinations'!$A:$J,10,FALSE)</f>
        <v>yes</v>
      </c>
      <c r="K538" t="str">
        <f>VLOOKUP($A538,'Medical Examinations'!$A:$J,5,FALSE)</f>
        <v>Diabetes</v>
      </c>
      <c r="L538">
        <f>VLOOKUP($A539,'Medical Examinations'!$A:$J,3,FALSE)</f>
        <v>46.69</v>
      </c>
      <c r="M538">
        <f>VLOOKUP($A538,'Hospitalisation Details'!$A:$K,6,FALSE)</f>
        <v>18608.259999999998</v>
      </c>
      <c r="N538" s="11">
        <f>VLOOKUP($B538,'Hospitalisation Details'!A537:J2881,10,0)</f>
        <v>33832</v>
      </c>
      <c r="O538" t="str">
        <f>VLOOKUP($B538,'Hospitalisation Details'!A537:J2881,8,0)</f>
        <v>tier - 3</v>
      </c>
      <c r="P538" t="str">
        <f>VLOOKUP($B538,'Hospitalisation Details'!A537:J2881,7,0)</f>
        <v>tier - 2</v>
      </c>
      <c r="Q538" t="str">
        <f>VLOOKUP($B538,'Hospitalisation Details'!A537:J2881,9,0)</f>
        <v>R1013</v>
      </c>
      <c r="R538">
        <f>VLOOKUP($B538,'Hospitalisation Details'!A537:K2881,11,0)</f>
        <v>30</v>
      </c>
    </row>
    <row r="539" spans="1:18" x14ac:dyDescent="0.35">
      <c r="A539" t="s">
        <v>1833</v>
      </c>
      <c r="B539" t="s">
        <v>570</v>
      </c>
      <c r="C539" t="str">
        <f>VLOOKUP($A539,'Customer Names'!$A:$E,4,FALSE)</f>
        <v>Lindsay</v>
      </c>
      <c r="D539" t="str">
        <f>VLOOKUP($A539,'Medical Examinations'!$A:$J,2,FALSE)</f>
        <v>Obesity</v>
      </c>
      <c r="E539">
        <f>VLOOKUP($A539,'Medical Examinations'!$A:$J,4,FALSE)</f>
        <v>4.25</v>
      </c>
      <c r="F539" t="str">
        <f>VLOOKUP($A539,'Medical Examinations'!$A:$J,6,FALSE)</f>
        <v>yes</v>
      </c>
      <c r="G539" t="str">
        <f>VLOOKUP($A539,'Medical Examinations'!$A:$J,7,FALSE)</f>
        <v>No</v>
      </c>
      <c r="H539" t="str">
        <f>VLOOKUP($A539,'Medical Examinations'!$A:$J,8,FALSE)</f>
        <v>No</v>
      </c>
      <c r="I539">
        <f>VLOOKUP($A539,'Medical Examinations'!$A:$J,9,FALSE)</f>
        <v>1</v>
      </c>
      <c r="J539" t="str">
        <f>VLOOKUP($A539,'Medical Examinations'!$A:$J,10,FALSE)</f>
        <v>No</v>
      </c>
      <c r="K539" t="str">
        <f>VLOOKUP($A539,'Medical Examinations'!$A:$J,5,FALSE)</f>
        <v>Normal</v>
      </c>
      <c r="L539">
        <f>VLOOKUP($A540,'Medical Examinations'!$A:$J,3,FALSE)</f>
        <v>28.49</v>
      </c>
      <c r="M539">
        <f>VLOOKUP($A539,'Hospitalisation Details'!$A:$K,6,FALSE)</f>
        <v>18443.11</v>
      </c>
      <c r="N539" s="11">
        <f>VLOOKUP($B539,'Hospitalisation Details'!A538:J2882,10,0)</f>
        <v>32047</v>
      </c>
      <c r="O539" t="str">
        <f>VLOOKUP($B539,'Hospitalisation Details'!A538:J2882,8,0)</f>
        <v>tier - 3</v>
      </c>
      <c r="P539" t="str">
        <f>VLOOKUP($B539,'Hospitalisation Details'!A538:J2882,7,0)</f>
        <v>tier - 3</v>
      </c>
      <c r="Q539" t="str">
        <f>VLOOKUP($B539,'Hospitalisation Details'!A538:J2882,9,0)</f>
        <v>R1011</v>
      </c>
      <c r="R539">
        <f>VLOOKUP($B539,'Hospitalisation Details'!A538:K2882,11,0)</f>
        <v>35</v>
      </c>
    </row>
    <row r="540" spans="1:18" x14ac:dyDescent="0.35">
      <c r="A540" t="s">
        <v>1832</v>
      </c>
      <c r="B540" t="s">
        <v>571</v>
      </c>
      <c r="C540" t="str">
        <f>VLOOKUP($A540,'Customer Names'!$A:$E,4,FALSE)</f>
        <v>Katie</v>
      </c>
      <c r="D540" t="str">
        <f>VLOOKUP($A540,'Medical Examinations'!$A:$J,2,FALSE)</f>
        <v>Overweight</v>
      </c>
      <c r="E540">
        <f>VLOOKUP($A540,'Medical Examinations'!$A:$J,4,FALSE)</f>
        <v>4.8899999999999997</v>
      </c>
      <c r="F540" t="str">
        <f>VLOOKUP($A540,'Medical Examinations'!$A:$J,6,FALSE)</f>
        <v>No</v>
      </c>
      <c r="G540" t="str">
        <f>VLOOKUP($A540,'Medical Examinations'!$A:$J,7,FALSE)</f>
        <v>No</v>
      </c>
      <c r="H540" t="str">
        <f>VLOOKUP($A540,'Medical Examinations'!$A:$J,8,FALSE)</f>
        <v>No</v>
      </c>
      <c r="I540">
        <f>VLOOKUP($A540,'Medical Examinations'!$A:$J,9,FALSE)</f>
        <v>0</v>
      </c>
      <c r="J540" t="str">
        <f>VLOOKUP($A540,'Medical Examinations'!$A:$J,10,FALSE)</f>
        <v>yes</v>
      </c>
      <c r="K540" t="str">
        <f>VLOOKUP($A540,'Medical Examinations'!$A:$J,5,FALSE)</f>
        <v>Normal</v>
      </c>
      <c r="L540">
        <f>VLOOKUP($A541,'Medical Examinations'!$A:$J,3,FALSE)</f>
        <v>28.5</v>
      </c>
      <c r="M540">
        <f>VLOOKUP($A540,'Hospitalisation Details'!$A:$K,6,FALSE)</f>
        <v>18328.240000000002</v>
      </c>
      <c r="N540" s="11">
        <f>VLOOKUP($B540,'Hospitalisation Details'!A539:J2883,10,0)</f>
        <v>32721</v>
      </c>
      <c r="O540" t="str">
        <f>VLOOKUP($B540,'Hospitalisation Details'!A539:J2883,8,0)</f>
        <v>tier - 3</v>
      </c>
      <c r="P540" t="str">
        <f>VLOOKUP($B540,'Hospitalisation Details'!A539:J2883,7,0)</f>
        <v>tier - 2</v>
      </c>
      <c r="Q540" t="str">
        <f>VLOOKUP($B540,'Hospitalisation Details'!A539:J2883,9,0)</f>
        <v>R1011</v>
      </c>
      <c r="R540">
        <f>VLOOKUP($B540,'Hospitalisation Details'!A539:K2883,11,0)</f>
        <v>33</v>
      </c>
    </row>
    <row r="541" spans="1:18" x14ac:dyDescent="0.35">
      <c r="A541" t="s">
        <v>1831</v>
      </c>
      <c r="B541" t="s">
        <v>572</v>
      </c>
      <c r="C541" t="str">
        <f>VLOOKUP($A541,'Customer Names'!$A:$E,4,FALSE)</f>
        <v>Daniel</v>
      </c>
      <c r="D541" t="str">
        <f>VLOOKUP($A541,'Medical Examinations'!$A:$J,2,FALSE)</f>
        <v>Overweight</v>
      </c>
      <c r="E541">
        <f>VLOOKUP($A541,'Medical Examinations'!$A:$J,4,FALSE)</f>
        <v>5.55</v>
      </c>
      <c r="F541" t="str">
        <f>VLOOKUP($A541,'Medical Examinations'!$A:$J,6,FALSE)</f>
        <v>yes</v>
      </c>
      <c r="G541" t="str">
        <f>VLOOKUP($A541,'Medical Examinations'!$A:$J,7,FALSE)</f>
        <v>No</v>
      </c>
      <c r="H541" t="str">
        <f>VLOOKUP($A541,'Medical Examinations'!$A:$J,8,FALSE)</f>
        <v>No</v>
      </c>
      <c r="I541">
        <f>VLOOKUP($A541,'Medical Examinations'!$A:$J,9,FALSE)</f>
        <v>1</v>
      </c>
      <c r="J541" t="str">
        <f>VLOOKUP($A541,'Medical Examinations'!$A:$J,10,FALSE)</f>
        <v>yes</v>
      </c>
      <c r="K541" t="str">
        <f>VLOOKUP($A541,'Medical Examinations'!$A:$J,5,FALSE)</f>
        <v>Normal</v>
      </c>
      <c r="L541">
        <f>VLOOKUP($A542,'Medical Examinations'!$A:$J,3,FALSE)</f>
        <v>24.4</v>
      </c>
      <c r="M541">
        <f>VLOOKUP($A541,'Hospitalisation Details'!$A:$K,6,FALSE)</f>
        <v>18310.740000000002</v>
      </c>
      <c r="N541" s="11">
        <f>VLOOKUP($B541,'Hospitalisation Details'!A540:J2884,10,0)</f>
        <v>32851</v>
      </c>
      <c r="O541" t="str">
        <f>VLOOKUP($B541,'Hospitalisation Details'!A540:J2884,8,0)</f>
        <v>tier - 3</v>
      </c>
      <c r="P541" t="str">
        <f>VLOOKUP($B541,'Hospitalisation Details'!A540:J2884,7,0)</f>
        <v>tier - 2</v>
      </c>
      <c r="Q541" t="str">
        <f>VLOOKUP($B541,'Hospitalisation Details'!A540:J2884,9,0)</f>
        <v>R1013</v>
      </c>
      <c r="R541">
        <f>VLOOKUP($B541,'Hospitalisation Details'!A540:K2884,11,0)</f>
        <v>33</v>
      </c>
    </row>
    <row r="542" spans="1:18" x14ac:dyDescent="0.35">
      <c r="A542" t="s">
        <v>1830</v>
      </c>
      <c r="B542" t="s">
        <v>573</v>
      </c>
      <c r="C542" t="str">
        <f>VLOOKUP($A542,'Customer Names'!$A:$E,4,FALSE)</f>
        <v>Brett W</v>
      </c>
      <c r="D542" t="str">
        <f>VLOOKUP($A542,'Medical Examinations'!$A:$J,2,FALSE)</f>
        <v>Normal Weight</v>
      </c>
      <c r="E542">
        <f>VLOOKUP($A542,'Medical Examinations'!$A:$J,4,FALSE)</f>
        <v>4.5199999999999996</v>
      </c>
      <c r="F542" t="str">
        <f>VLOOKUP($A542,'Medical Examinations'!$A:$J,6,FALSE)</f>
        <v>No</v>
      </c>
      <c r="G542" t="str">
        <f>VLOOKUP($A542,'Medical Examinations'!$A:$J,7,FALSE)</f>
        <v>No</v>
      </c>
      <c r="H542" t="str">
        <f>VLOOKUP($A542,'Medical Examinations'!$A:$J,8,FALSE)</f>
        <v>No</v>
      </c>
      <c r="I542">
        <f>VLOOKUP($A542,'Medical Examinations'!$A:$J,9,FALSE)</f>
        <v>1</v>
      </c>
      <c r="J542" t="str">
        <f>VLOOKUP($A542,'Medical Examinations'!$A:$J,10,FALSE)</f>
        <v>yes</v>
      </c>
      <c r="K542" t="str">
        <f>VLOOKUP($A542,'Medical Examinations'!$A:$J,5,FALSE)</f>
        <v>Normal</v>
      </c>
      <c r="L542">
        <f>VLOOKUP($A543,'Medical Examinations'!$A:$J,3,FALSE)</f>
        <v>29.15</v>
      </c>
      <c r="M542">
        <f>VLOOKUP($A542,'Hospitalisation Details'!$A:$K,6,FALSE)</f>
        <v>18259.22</v>
      </c>
      <c r="N542" s="11">
        <f>VLOOKUP($B542,'Hospitalisation Details'!A541:J2885,10,0)</f>
        <v>31950</v>
      </c>
      <c r="O542" t="str">
        <f>VLOOKUP($B542,'Hospitalisation Details'!A541:J2885,8,0)</f>
        <v>tier - 3</v>
      </c>
      <c r="P542" t="str">
        <f>VLOOKUP($B542,'Hospitalisation Details'!A541:J2885,7,0)</f>
        <v>tier - 2</v>
      </c>
      <c r="Q542" t="str">
        <f>VLOOKUP($B542,'Hospitalisation Details'!A541:J2885,9,0)</f>
        <v>R1013</v>
      </c>
      <c r="R542">
        <f>VLOOKUP($B542,'Hospitalisation Details'!A541:K2885,11,0)</f>
        <v>35</v>
      </c>
    </row>
    <row r="543" spans="1:18" x14ac:dyDescent="0.35">
      <c r="A543" t="s">
        <v>1829</v>
      </c>
      <c r="B543" t="s">
        <v>574</v>
      </c>
      <c r="C543" t="str">
        <f>VLOOKUP($A543,'Customer Names'!$A:$E,4,FALSE)</f>
        <v>Dylan J</v>
      </c>
      <c r="D543" t="str">
        <f>VLOOKUP($A543,'Medical Examinations'!$A:$J,2,FALSE)</f>
        <v>Overweight</v>
      </c>
      <c r="E543">
        <f>VLOOKUP($A543,'Medical Examinations'!$A:$J,4,FALSE)</f>
        <v>4.45</v>
      </c>
      <c r="F543" t="str">
        <f>VLOOKUP($A543,'Medical Examinations'!$A:$J,6,FALSE)</f>
        <v>yes</v>
      </c>
      <c r="G543" t="str">
        <f>VLOOKUP($A543,'Medical Examinations'!$A:$J,7,FALSE)</f>
        <v>No</v>
      </c>
      <c r="H543" t="str">
        <f>VLOOKUP($A543,'Medical Examinations'!$A:$J,8,FALSE)</f>
        <v>No</v>
      </c>
      <c r="I543">
        <f>VLOOKUP($A543,'Medical Examinations'!$A:$J,9,FALSE)</f>
        <v>1</v>
      </c>
      <c r="J543" t="str">
        <f>VLOOKUP($A543,'Medical Examinations'!$A:$J,10,FALSE)</f>
        <v>yes</v>
      </c>
      <c r="K543" t="str">
        <f>VLOOKUP($A543,'Medical Examinations'!$A:$J,5,FALSE)</f>
        <v>Normal</v>
      </c>
      <c r="L543">
        <f>VLOOKUP($A544,'Medical Examinations'!$A:$J,3,FALSE)</f>
        <v>27.28</v>
      </c>
      <c r="M543">
        <f>VLOOKUP($A543,'Hospitalisation Details'!$A:$K,6,FALSE)</f>
        <v>18246.5</v>
      </c>
      <c r="N543" s="11">
        <f>VLOOKUP($B543,'Hospitalisation Details'!A542:J2886,10,0)</f>
        <v>32858</v>
      </c>
      <c r="O543" t="str">
        <f>VLOOKUP($B543,'Hospitalisation Details'!A542:J2886,8,0)</f>
        <v>tier - 1</v>
      </c>
      <c r="P543" t="str">
        <f>VLOOKUP($B543,'Hospitalisation Details'!A542:J2886,7,0)</f>
        <v>tier - 2</v>
      </c>
      <c r="Q543" t="str">
        <f>VLOOKUP($B543,'Hospitalisation Details'!A542:J2886,9,0)</f>
        <v>R1013</v>
      </c>
      <c r="R543">
        <f>VLOOKUP($B543,'Hospitalisation Details'!A542:K2886,11,0)</f>
        <v>33</v>
      </c>
    </row>
    <row r="544" spans="1:18" x14ac:dyDescent="0.35">
      <c r="A544" t="s">
        <v>1828</v>
      </c>
      <c r="B544" t="s">
        <v>575</v>
      </c>
      <c r="C544" t="str">
        <f>VLOOKUP($A544,'Customer Names'!$A:$E,4,FALSE)</f>
        <v>Elizabeth</v>
      </c>
      <c r="D544" t="str">
        <f>VLOOKUP($A544,'Medical Examinations'!$A:$J,2,FALSE)</f>
        <v>Overweight</v>
      </c>
      <c r="E544">
        <f>VLOOKUP($A544,'Medical Examinations'!$A:$J,4,FALSE)</f>
        <v>4.72</v>
      </c>
      <c r="F544" t="str">
        <f>VLOOKUP($A544,'Medical Examinations'!$A:$J,6,FALSE)</f>
        <v>No</v>
      </c>
      <c r="G544" t="str">
        <f>VLOOKUP($A544,'Medical Examinations'!$A:$J,7,FALSE)</f>
        <v>yes</v>
      </c>
      <c r="H544" t="str">
        <f>VLOOKUP($A544,'Medical Examinations'!$A:$J,8,FALSE)</f>
        <v>No</v>
      </c>
      <c r="I544">
        <f>VLOOKUP($A544,'Medical Examinations'!$A:$J,9,FALSE)</f>
        <v>1</v>
      </c>
      <c r="J544" t="str">
        <f>VLOOKUP($A544,'Medical Examinations'!$A:$J,10,FALSE)</f>
        <v>yes</v>
      </c>
      <c r="K544" t="str">
        <f>VLOOKUP($A544,'Medical Examinations'!$A:$J,5,FALSE)</f>
        <v>Normal</v>
      </c>
      <c r="L544">
        <f>VLOOKUP($A545,'Medical Examinations'!$A:$J,3,FALSE)</f>
        <v>32.229999999999997</v>
      </c>
      <c r="M544">
        <f>VLOOKUP($A544,'Hospitalisation Details'!$A:$K,6,FALSE)</f>
        <v>18223.45</v>
      </c>
      <c r="N544" s="11">
        <f>VLOOKUP($B544,'Hospitalisation Details'!A543:J2887,10,0)</f>
        <v>28766</v>
      </c>
      <c r="O544" t="str">
        <f>VLOOKUP($B544,'Hospitalisation Details'!A543:J2887,8,0)</f>
        <v>tier - 3</v>
      </c>
      <c r="P544" t="str">
        <f>VLOOKUP($B544,'Hospitalisation Details'!A543:J2887,7,0)</f>
        <v>tier - 2</v>
      </c>
      <c r="Q544" t="str">
        <f>VLOOKUP($B544,'Hospitalisation Details'!A543:J2887,9,0)</f>
        <v>R1013</v>
      </c>
      <c r="R544">
        <f>VLOOKUP($B544,'Hospitalisation Details'!A543:K2887,11,0)</f>
        <v>44</v>
      </c>
    </row>
    <row r="545" spans="1:18" x14ac:dyDescent="0.35">
      <c r="A545" t="s">
        <v>1827</v>
      </c>
      <c r="B545" t="s">
        <v>576</v>
      </c>
      <c r="C545" t="str">
        <f>VLOOKUP($A545,'Customer Names'!$A:$E,4,FALSE)</f>
        <v>Brooke M.</v>
      </c>
      <c r="D545" t="str">
        <f>VLOOKUP($A545,'Medical Examinations'!$A:$J,2,FALSE)</f>
        <v>Obesity</v>
      </c>
      <c r="E545">
        <f>VLOOKUP($A545,'Medical Examinations'!$A:$J,4,FALSE)</f>
        <v>4.6500000000000004</v>
      </c>
      <c r="F545" t="str">
        <f>VLOOKUP($A545,'Medical Examinations'!$A:$J,6,FALSE)</f>
        <v>yes</v>
      </c>
      <c r="G545" t="str">
        <f>VLOOKUP($A545,'Medical Examinations'!$A:$J,7,FALSE)</f>
        <v>No</v>
      </c>
      <c r="H545" t="str">
        <f>VLOOKUP($A545,'Medical Examinations'!$A:$J,8,FALSE)</f>
        <v>Yes</v>
      </c>
      <c r="I545">
        <f>VLOOKUP($A545,'Medical Examinations'!$A:$J,9,FALSE)</f>
        <v>1</v>
      </c>
      <c r="J545" t="str">
        <f>VLOOKUP($A545,'Medical Examinations'!$A:$J,10,FALSE)</f>
        <v>No</v>
      </c>
      <c r="K545" t="str">
        <f>VLOOKUP($A545,'Medical Examinations'!$A:$J,5,FALSE)</f>
        <v>Normal</v>
      </c>
      <c r="L545">
        <f>VLOOKUP($A546,'Medical Examinations'!$A:$J,3,FALSE)</f>
        <v>44.2</v>
      </c>
      <c r="M545">
        <f>VLOOKUP($A545,'Hospitalisation Details'!$A:$K,6,FALSE)</f>
        <v>18218.16</v>
      </c>
      <c r="N545" s="11">
        <f>VLOOKUP($B545,'Hospitalisation Details'!A544:J2888,10,0)</f>
        <v>29770</v>
      </c>
      <c r="O545" t="str">
        <f>VLOOKUP($B545,'Hospitalisation Details'!A544:J2888,8,0)</f>
        <v>tier - 1</v>
      </c>
      <c r="P545" t="str">
        <f>VLOOKUP($B545,'Hospitalisation Details'!A544:J2888,7,0)</f>
        <v>tier - 2</v>
      </c>
      <c r="Q545" t="str">
        <f>VLOOKUP($B545,'Hospitalisation Details'!A544:J2888,9,0)</f>
        <v>R1013</v>
      </c>
      <c r="R545">
        <f>VLOOKUP($B545,'Hospitalisation Details'!A544:K2888,11,0)</f>
        <v>41</v>
      </c>
    </row>
    <row r="546" spans="1:18" x14ac:dyDescent="0.35">
      <c r="A546" t="s">
        <v>1826</v>
      </c>
      <c r="B546" t="s">
        <v>577</v>
      </c>
      <c r="C546" t="str">
        <f>VLOOKUP($A546,'Customer Names'!$A:$E,4,FALSE)</f>
        <v>Teiko</v>
      </c>
      <c r="D546" t="str">
        <f>VLOOKUP($A546,'Medical Examinations'!$A:$J,2,FALSE)</f>
        <v>Obesity</v>
      </c>
      <c r="E546">
        <f>VLOOKUP($A546,'Medical Examinations'!$A:$J,4,FALSE)</f>
        <v>11.34</v>
      </c>
      <c r="F546" t="str">
        <f>VLOOKUP($A546,'Medical Examinations'!$A:$J,6,FALSE)</f>
        <v>yes</v>
      </c>
      <c r="G546" t="str">
        <f>VLOOKUP($A546,'Medical Examinations'!$A:$J,7,FALSE)</f>
        <v>No</v>
      </c>
      <c r="H546" t="str">
        <f>VLOOKUP($A546,'Medical Examinations'!$A:$J,8,FALSE)</f>
        <v>Yes</v>
      </c>
      <c r="I546">
        <f>VLOOKUP($A546,'Medical Examinations'!$A:$J,9,FALSE)</f>
        <v>1</v>
      </c>
      <c r="J546" t="str">
        <f>VLOOKUP($A546,'Medical Examinations'!$A:$J,10,FALSE)</f>
        <v>No</v>
      </c>
      <c r="K546" t="str">
        <f>VLOOKUP($A546,'Medical Examinations'!$A:$J,5,FALSE)</f>
        <v>Diabetes</v>
      </c>
      <c r="L546">
        <f>VLOOKUP($A547,'Medical Examinations'!$A:$J,3,FALSE)</f>
        <v>29.734999999999999</v>
      </c>
      <c r="M546">
        <f>VLOOKUP($A546,'Hospitalisation Details'!$A:$K,6,FALSE)</f>
        <v>18208.34</v>
      </c>
      <c r="N546" s="11">
        <f>VLOOKUP($B546,'Hospitalisation Details'!A545:J2889,10,0)</f>
        <v>35034</v>
      </c>
      <c r="O546" t="str">
        <f>VLOOKUP($B546,'Hospitalisation Details'!A545:J2889,8,0)</f>
        <v>tier - 2</v>
      </c>
      <c r="P546" t="str">
        <f>VLOOKUP($B546,'Hospitalisation Details'!A545:J2889,7,0)</f>
        <v>tier - 1</v>
      </c>
      <c r="Q546" t="str">
        <f>VLOOKUP($B546,'Hospitalisation Details'!A545:J2889,9,0)</f>
        <v>unknown</v>
      </c>
      <c r="R546">
        <f>VLOOKUP($B546,'Hospitalisation Details'!A545:K2889,11,0)</f>
        <v>27</v>
      </c>
    </row>
    <row r="547" spans="1:18" x14ac:dyDescent="0.35">
      <c r="A547" t="s">
        <v>1825</v>
      </c>
      <c r="B547" t="s">
        <v>578</v>
      </c>
      <c r="C547" t="str">
        <f>VLOOKUP($A547,'Customer Names'!$A:$E,4,FALSE)</f>
        <v>Zachary</v>
      </c>
      <c r="D547" t="str">
        <f>VLOOKUP($A547,'Medical Examinations'!$A:$J,2,FALSE)</f>
        <v>Overweight</v>
      </c>
      <c r="E547">
        <f>VLOOKUP($A547,'Medical Examinations'!$A:$J,4,FALSE)</f>
        <v>4.53</v>
      </c>
      <c r="F547" t="str">
        <f>VLOOKUP($A547,'Medical Examinations'!$A:$J,6,FALSE)</f>
        <v>No</v>
      </c>
      <c r="G547" t="str">
        <f>VLOOKUP($A547,'Medical Examinations'!$A:$J,7,FALSE)</f>
        <v>No</v>
      </c>
      <c r="H547" t="str">
        <f>VLOOKUP($A547,'Medical Examinations'!$A:$J,8,FALSE)</f>
        <v>Yes</v>
      </c>
      <c r="I547">
        <f>VLOOKUP($A547,'Medical Examinations'!$A:$J,9,FALSE)</f>
        <v>1</v>
      </c>
      <c r="J547" t="str">
        <f>VLOOKUP($A547,'Medical Examinations'!$A:$J,10,FALSE)</f>
        <v>No</v>
      </c>
      <c r="K547" t="str">
        <f>VLOOKUP($A547,'Medical Examinations'!$A:$J,5,FALSE)</f>
        <v>Normal</v>
      </c>
      <c r="L547">
        <f>VLOOKUP($A548,'Medical Examinations'!$A:$J,3,FALSE)</f>
        <v>28.31</v>
      </c>
      <c r="M547">
        <f>VLOOKUP($A547,'Hospitalisation Details'!$A:$K,6,FALSE)</f>
        <v>18157.88</v>
      </c>
      <c r="N547" s="11">
        <f>VLOOKUP($B547,'Hospitalisation Details'!A546:J2890,10,0)</f>
        <v>37434</v>
      </c>
      <c r="O547" t="str">
        <f>VLOOKUP($B547,'Hospitalisation Details'!A546:J2890,8,0)</f>
        <v>tier - 1</v>
      </c>
      <c r="P547" t="str">
        <f>VLOOKUP($B547,'Hospitalisation Details'!A546:J2890,7,0)</f>
        <v>tier - 2</v>
      </c>
      <c r="Q547" t="str">
        <f>VLOOKUP($B547,'Hospitalisation Details'!A546:J2890,9,0)</f>
        <v>R1011</v>
      </c>
      <c r="R547">
        <f>VLOOKUP($B547,'Hospitalisation Details'!A546:K2890,11,0)</f>
        <v>20</v>
      </c>
    </row>
    <row r="548" spans="1:18" x14ac:dyDescent="0.35">
      <c r="A548" t="s">
        <v>1824</v>
      </c>
      <c r="B548" t="s">
        <v>579</v>
      </c>
      <c r="C548" t="str">
        <f>VLOOKUP($A548,'Customer Names'!$A:$E,4,FALSE)</f>
        <v>Johannah</v>
      </c>
      <c r="D548" t="str">
        <f>VLOOKUP($A548,'Medical Examinations'!$A:$J,2,FALSE)</f>
        <v>Overweight</v>
      </c>
      <c r="E548">
        <f>VLOOKUP($A548,'Medical Examinations'!$A:$J,4,FALSE)</f>
        <v>6.35</v>
      </c>
      <c r="F548" t="str">
        <f>VLOOKUP($A548,'Medical Examinations'!$A:$J,6,FALSE)</f>
        <v>No</v>
      </c>
      <c r="G548" t="str">
        <f>VLOOKUP($A548,'Medical Examinations'!$A:$J,7,FALSE)</f>
        <v>No</v>
      </c>
      <c r="H548" t="str">
        <f>VLOOKUP($A548,'Medical Examinations'!$A:$J,8,FALSE)</f>
        <v>No</v>
      </c>
      <c r="I548">
        <f>VLOOKUP($A548,'Medical Examinations'!$A:$J,9,FALSE)</f>
        <v>0</v>
      </c>
      <c r="J548" t="str">
        <f>VLOOKUP($A548,'Medical Examinations'!$A:$J,10,FALSE)</f>
        <v>yes</v>
      </c>
      <c r="K548" t="str">
        <f>VLOOKUP($A548,'Medical Examinations'!$A:$J,5,FALSE)</f>
        <v>Prediabetes</v>
      </c>
      <c r="L548">
        <f>VLOOKUP($A549,'Medical Examinations'!$A:$J,3,FALSE)</f>
        <v>46.62</v>
      </c>
      <c r="M548">
        <f>VLOOKUP($A548,'Hospitalisation Details'!$A:$K,6,FALSE)</f>
        <v>18033.97</v>
      </c>
      <c r="N548" s="11">
        <f>VLOOKUP($B548,'Hospitalisation Details'!A547:J2891,10,0)</f>
        <v>36871</v>
      </c>
      <c r="O548" t="str">
        <f>VLOOKUP($B548,'Hospitalisation Details'!A547:J2891,8,0)</f>
        <v>tier - 2</v>
      </c>
      <c r="P548" t="str">
        <f>VLOOKUP($B548,'Hospitalisation Details'!A547:J2891,7,0)</f>
        <v>tier - 2</v>
      </c>
      <c r="Q548" t="str">
        <f>VLOOKUP($B548,'Hospitalisation Details'!A547:J2891,9,0)</f>
        <v>R1021</v>
      </c>
      <c r="R548">
        <f>VLOOKUP($B548,'Hospitalisation Details'!A547:K2891,11,0)</f>
        <v>22</v>
      </c>
    </row>
    <row r="549" spans="1:18" x14ac:dyDescent="0.35">
      <c r="A549" t="s">
        <v>1823</v>
      </c>
      <c r="B549" t="s">
        <v>580</v>
      </c>
      <c r="C549" t="str">
        <f>VLOOKUP($A549,'Customer Names'!$A:$E,4,FALSE)</f>
        <v>Ryan A</v>
      </c>
      <c r="D549" t="str">
        <f>VLOOKUP($A549,'Medical Examinations'!$A:$J,2,FALSE)</f>
        <v>Obesity</v>
      </c>
      <c r="E549">
        <f>VLOOKUP($A549,'Medical Examinations'!$A:$J,4,FALSE)</f>
        <v>8.51</v>
      </c>
      <c r="F549" t="str">
        <f>VLOOKUP($A549,'Medical Examinations'!$A:$J,6,FALSE)</f>
        <v>No</v>
      </c>
      <c r="G549" t="str">
        <f>VLOOKUP($A549,'Medical Examinations'!$A:$J,7,FALSE)</f>
        <v>No</v>
      </c>
      <c r="H549" t="str">
        <f>VLOOKUP($A549,'Medical Examinations'!$A:$J,8,FALSE)</f>
        <v>No</v>
      </c>
      <c r="I549">
        <f>VLOOKUP($A549,'Medical Examinations'!$A:$J,9,FALSE)</f>
        <v>0</v>
      </c>
      <c r="J549" t="str">
        <f>VLOOKUP($A549,'Medical Examinations'!$A:$J,10,FALSE)</f>
        <v>No</v>
      </c>
      <c r="K549" t="str">
        <f>VLOOKUP($A549,'Medical Examinations'!$A:$J,5,FALSE)</f>
        <v>Diabetes</v>
      </c>
      <c r="L549">
        <f>VLOOKUP($A550,'Medical Examinations'!$A:$J,3,FALSE)</f>
        <v>51.75</v>
      </c>
      <c r="M549">
        <f>VLOOKUP($A549,'Hospitalisation Details'!$A:$K,6,FALSE)</f>
        <v>18031.189999999999</v>
      </c>
      <c r="N549" s="11">
        <f>VLOOKUP($B549,'Hospitalisation Details'!A548:J2892,10,0)</f>
        <v>33857</v>
      </c>
      <c r="O549" t="str">
        <f>VLOOKUP($B549,'Hospitalisation Details'!A548:J2892,8,0)</f>
        <v>tier - 2</v>
      </c>
      <c r="P549" t="str">
        <f>VLOOKUP($B549,'Hospitalisation Details'!A548:J2892,7,0)</f>
        <v>tier - 3</v>
      </c>
      <c r="Q549" t="str">
        <f>VLOOKUP($B549,'Hospitalisation Details'!A548:J2892,9,0)</f>
        <v>R1013</v>
      </c>
      <c r="R549">
        <f>VLOOKUP($B549,'Hospitalisation Details'!A548:K2892,11,0)</f>
        <v>30</v>
      </c>
    </row>
    <row r="550" spans="1:18" x14ac:dyDescent="0.35">
      <c r="A550" t="s">
        <v>1822</v>
      </c>
      <c r="B550" t="s">
        <v>581</v>
      </c>
      <c r="C550" t="str">
        <f>VLOOKUP($A550,'Customer Names'!$A:$E,4,FALSE)</f>
        <v>Andres Sr.</v>
      </c>
      <c r="D550" t="str">
        <f>VLOOKUP($A550,'Medical Examinations'!$A:$J,2,FALSE)</f>
        <v>Obesity</v>
      </c>
      <c r="E550">
        <f>VLOOKUP($A550,'Medical Examinations'!$A:$J,4,FALSE)</f>
        <v>8.59</v>
      </c>
      <c r="F550" t="str">
        <f>VLOOKUP($A550,'Medical Examinations'!$A:$J,6,FALSE)</f>
        <v>yes</v>
      </c>
      <c r="G550" t="str">
        <f>VLOOKUP($A550,'Medical Examinations'!$A:$J,7,FALSE)</f>
        <v>No</v>
      </c>
      <c r="H550" t="str">
        <f>VLOOKUP($A550,'Medical Examinations'!$A:$J,8,FALSE)</f>
        <v>No</v>
      </c>
      <c r="I550">
        <f>VLOOKUP($A550,'Medical Examinations'!$A:$J,9,FALSE)</f>
        <v>1</v>
      </c>
      <c r="J550" t="str">
        <f>VLOOKUP($A550,'Medical Examinations'!$A:$J,10,FALSE)</f>
        <v>No</v>
      </c>
      <c r="K550" t="str">
        <f>VLOOKUP($A550,'Medical Examinations'!$A:$J,5,FALSE)</f>
        <v>Diabetes</v>
      </c>
      <c r="L550">
        <f>VLOOKUP($A551,'Medical Examinations'!$A:$J,3,FALSE)</f>
        <v>25.7</v>
      </c>
      <c r="M550">
        <f>VLOOKUP($A550,'Hospitalisation Details'!$A:$K,6,FALSE)</f>
        <v>18031.16</v>
      </c>
      <c r="N550" s="11">
        <f>VLOOKUP($B550,'Hospitalisation Details'!A549:J2893,10,0)</f>
        <v>30970</v>
      </c>
      <c r="O550" t="str">
        <f>VLOOKUP($B550,'Hospitalisation Details'!A549:J2893,8,0)</f>
        <v>tier - 1</v>
      </c>
      <c r="P550" t="str">
        <f>VLOOKUP($B550,'Hospitalisation Details'!A549:J2893,7,0)</f>
        <v>tier - 2</v>
      </c>
      <c r="Q550" t="str">
        <f>VLOOKUP($B550,'Hospitalisation Details'!A549:J2893,9,0)</f>
        <v>R1012</v>
      </c>
      <c r="R550">
        <f>VLOOKUP($B550,'Hospitalisation Details'!A549:K2893,11,0)</f>
        <v>38</v>
      </c>
    </row>
    <row r="551" spans="1:18" x14ac:dyDescent="0.35">
      <c r="A551" t="s">
        <v>1821</v>
      </c>
      <c r="B551" t="s">
        <v>582</v>
      </c>
      <c r="C551" t="str">
        <f>VLOOKUP($A551,'Customer Names'!$A:$E,4,FALSE)</f>
        <v>Bryan</v>
      </c>
      <c r="D551" t="str">
        <f>VLOOKUP($A551,'Medical Examinations'!$A:$J,2,FALSE)</f>
        <v>Overweight</v>
      </c>
      <c r="E551">
        <f>VLOOKUP($A551,'Medical Examinations'!$A:$J,4,FALSE)</f>
        <v>4.13</v>
      </c>
      <c r="F551" t="str">
        <f>VLOOKUP($A551,'Medical Examinations'!$A:$J,6,FALSE)</f>
        <v>yes</v>
      </c>
      <c r="G551" t="str">
        <f>VLOOKUP($A551,'Medical Examinations'!$A:$J,7,FALSE)</f>
        <v>No</v>
      </c>
      <c r="H551" t="str">
        <f>VLOOKUP($A551,'Medical Examinations'!$A:$J,8,FALSE)</f>
        <v>No</v>
      </c>
      <c r="I551">
        <f>VLOOKUP($A551,'Medical Examinations'!$A:$J,9,FALSE)</f>
        <v>0</v>
      </c>
      <c r="J551" t="str">
        <f>VLOOKUP($A551,'Medical Examinations'!$A:$J,10,FALSE)</f>
        <v>yes</v>
      </c>
      <c r="K551" t="str">
        <f>VLOOKUP($A551,'Medical Examinations'!$A:$J,5,FALSE)</f>
        <v>Normal</v>
      </c>
      <c r="L551">
        <f>VLOOKUP($A552,'Medical Examinations'!$A:$J,3,FALSE)</f>
        <v>31.79</v>
      </c>
      <c r="M551">
        <f>VLOOKUP($A551,'Hospitalisation Details'!$A:$K,6,FALSE)</f>
        <v>17942.11</v>
      </c>
      <c r="N551" s="11">
        <f>VLOOKUP($B551,'Hospitalisation Details'!A550:J2894,10,0)</f>
        <v>34971</v>
      </c>
      <c r="O551" t="str">
        <f>VLOOKUP($B551,'Hospitalisation Details'!A550:J2894,8,0)</f>
        <v>tier - 1</v>
      </c>
      <c r="P551" t="str">
        <f>VLOOKUP($B551,'Hospitalisation Details'!A550:J2894,7,0)</f>
        <v>tier - 2</v>
      </c>
      <c r="Q551" t="str">
        <f>VLOOKUP($B551,'Hospitalisation Details'!A550:J2894,9,0)</f>
        <v>R1021</v>
      </c>
      <c r="R551">
        <f>VLOOKUP($B551,'Hospitalisation Details'!A550:K2894,11,0)</f>
        <v>27</v>
      </c>
    </row>
    <row r="552" spans="1:18" x14ac:dyDescent="0.35">
      <c r="A552" t="s">
        <v>1820</v>
      </c>
      <c r="B552" t="s">
        <v>583</v>
      </c>
      <c r="C552" t="str">
        <f>VLOOKUP($A552,'Customer Names'!$A:$E,4,FALSE)</f>
        <v>Lizette</v>
      </c>
      <c r="D552" t="str">
        <f>VLOOKUP($A552,'Medical Examinations'!$A:$J,2,FALSE)</f>
        <v>Obesity</v>
      </c>
      <c r="E552">
        <f>VLOOKUP($A552,'Medical Examinations'!$A:$J,4,FALSE)</f>
        <v>4.55</v>
      </c>
      <c r="F552" t="str">
        <f>VLOOKUP($A552,'Medical Examinations'!$A:$J,6,FALSE)</f>
        <v>No</v>
      </c>
      <c r="G552" t="str">
        <f>VLOOKUP($A552,'Medical Examinations'!$A:$J,7,FALSE)</f>
        <v>No</v>
      </c>
      <c r="H552" t="str">
        <f>VLOOKUP($A552,'Medical Examinations'!$A:$J,8,FALSE)</f>
        <v>No</v>
      </c>
      <c r="I552">
        <f>VLOOKUP($A552,'Medical Examinations'!$A:$J,9,FALSE)</f>
        <v>0</v>
      </c>
      <c r="J552" t="str">
        <f>VLOOKUP($A552,'Medical Examinations'!$A:$J,10,FALSE)</f>
        <v>No</v>
      </c>
      <c r="K552" t="str">
        <f>VLOOKUP($A552,'Medical Examinations'!$A:$J,5,FALSE)</f>
        <v>Normal</v>
      </c>
      <c r="L552">
        <f>VLOOKUP($A553,'Medical Examinations'!$A:$J,3,FALSE)</f>
        <v>24.795000000000002</v>
      </c>
      <c r="M552">
        <f>VLOOKUP($A552,'Hospitalisation Details'!$A:$K,6,FALSE)</f>
        <v>17929.3</v>
      </c>
      <c r="N552" s="11">
        <f>VLOOKUP($B552,'Hospitalisation Details'!A551:J2895,10,0)</f>
        <v>29202</v>
      </c>
      <c r="O552" t="str">
        <f>VLOOKUP($B552,'Hospitalisation Details'!A551:J2895,8,0)</f>
        <v>tier - 3</v>
      </c>
      <c r="P552" t="str">
        <f>VLOOKUP($B552,'Hospitalisation Details'!A551:J2895,7,0)</f>
        <v>tier - 2</v>
      </c>
      <c r="Q552" t="str">
        <f>VLOOKUP($B552,'Hospitalisation Details'!A551:J2895,9,0)</f>
        <v>R1013</v>
      </c>
      <c r="R552">
        <f>VLOOKUP($B552,'Hospitalisation Details'!A551:K2895,11,0)</f>
        <v>43</v>
      </c>
    </row>
    <row r="553" spans="1:18" x14ac:dyDescent="0.35">
      <c r="A553" t="s">
        <v>1819</v>
      </c>
      <c r="B553" t="s">
        <v>584</v>
      </c>
      <c r="C553" t="str">
        <f>VLOOKUP($A553,'Customer Names'!$A:$E,4,FALSE)</f>
        <v>Don</v>
      </c>
      <c r="D553" t="str">
        <f>VLOOKUP($A553,'Medical Examinations'!$A:$J,2,FALSE)</f>
        <v>Normal Weight</v>
      </c>
      <c r="E553">
        <f>VLOOKUP($A553,'Medical Examinations'!$A:$J,4,FALSE)</f>
        <v>4.5199999999999996</v>
      </c>
      <c r="F553" t="str">
        <f>VLOOKUP($A553,'Medical Examinations'!$A:$J,6,FALSE)</f>
        <v>No</v>
      </c>
      <c r="G553" t="str">
        <f>VLOOKUP($A553,'Medical Examinations'!$A:$J,7,FALSE)</f>
        <v>No</v>
      </c>
      <c r="H553" t="str">
        <f>VLOOKUP($A553,'Medical Examinations'!$A:$J,8,FALSE)</f>
        <v>No</v>
      </c>
      <c r="I553">
        <f>VLOOKUP($A553,'Medical Examinations'!$A:$J,9,FALSE)</f>
        <v>0</v>
      </c>
      <c r="J553" t="str">
        <f>VLOOKUP($A553,'Medical Examinations'!$A:$J,10,FALSE)</f>
        <v>yes</v>
      </c>
      <c r="K553" t="str">
        <f>VLOOKUP($A553,'Medical Examinations'!$A:$J,5,FALSE)</f>
        <v>Normal</v>
      </c>
      <c r="L553">
        <f>VLOOKUP($A554,'Medical Examinations'!$A:$J,3,FALSE)</f>
        <v>53.98</v>
      </c>
      <c r="M553">
        <f>VLOOKUP($A553,'Hospitalisation Details'!$A:$K,6,FALSE)</f>
        <v>17904.53</v>
      </c>
      <c r="N553" s="11">
        <f>VLOOKUP($B553,'Hospitalisation Details'!A552:J2896,10,0)</f>
        <v>27283</v>
      </c>
      <c r="O553" t="str">
        <f>VLOOKUP($B553,'Hospitalisation Details'!A552:J2896,8,0)</f>
        <v>tier - 2</v>
      </c>
      <c r="P553" t="str">
        <f>VLOOKUP($B553,'Hospitalisation Details'!A552:J2896,7,0)</f>
        <v>tier - 2</v>
      </c>
      <c r="Q553" t="str">
        <f>VLOOKUP($B553,'Hospitalisation Details'!A552:J2896,9,0)</f>
        <v>R1013</v>
      </c>
      <c r="R553">
        <f>VLOOKUP($B553,'Hospitalisation Details'!A552:K2896,11,0)</f>
        <v>48</v>
      </c>
    </row>
    <row r="554" spans="1:18" x14ac:dyDescent="0.35">
      <c r="A554" t="s">
        <v>1818</v>
      </c>
      <c r="B554" t="s">
        <v>585</v>
      </c>
      <c r="C554" t="str">
        <f>VLOOKUP($A554,'Customer Names'!$A:$E,4,FALSE)</f>
        <v>Jeb</v>
      </c>
      <c r="D554" t="str">
        <f>VLOOKUP($A554,'Medical Examinations'!$A:$J,2,FALSE)</f>
        <v>Obesity</v>
      </c>
      <c r="E554">
        <f>VLOOKUP($A554,'Medical Examinations'!$A:$J,4,FALSE)</f>
        <v>5.07</v>
      </c>
      <c r="F554" t="str">
        <f>VLOOKUP($A554,'Medical Examinations'!$A:$J,6,FALSE)</f>
        <v>No</v>
      </c>
      <c r="G554" t="str">
        <f>VLOOKUP($A554,'Medical Examinations'!$A:$J,7,FALSE)</f>
        <v>No</v>
      </c>
      <c r="H554" t="str">
        <f>VLOOKUP($A554,'Medical Examinations'!$A:$J,8,FALSE)</f>
        <v>Yes</v>
      </c>
      <c r="I554">
        <f>VLOOKUP($A554,'Medical Examinations'!$A:$J,9,FALSE)</f>
        <v>1</v>
      </c>
      <c r="J554" t="str">
        <f>VLOOKUP($A554,'Medical Examinations'!$A:$J,10,FALSE)</f>
        <v>No</v>
      </c>
      <c r="K554" t="str">
        <f>VLOOKUP($A554,'Medical Examinations'!$A:$J,5,FALSE)</f>
        <v>Normal</v>
      </c>
      <c r="L554">
        <f>VLOOKUP($A555,'Medical Examinations'!$A:$J,3,FALSE)</f>
        <v>41.325000000000003</v>
      </c>
      <c r="M554">
        <f>VLOOKUP($A554,'Hospitalisation Details'!$A:$K,6,FALSE)</f>
        <v>17882.669999999998</v>
      </c>
      <c r="N554" s="11">
        <f>VLOOKUP($B554,'Hospitalisation Details'!A553:J2897,10,0)</f>
        <v>37049</v>
      </c>
      <c r="O554" t="str">
        <f>VLOOKUP($B554,'Hospitalisation Details'!A553:J2897,8,0)</f>
        <v>tier - 3</v>
      </c>
      <c r="P554" t="str">
        <f>VLOOKUP($B554,'Hospitalisation Details'!A553:J2897,7,0)</f>
        <v>tier - 2</v>
      </c>
      <c r="Q554" t="str">
        <f>VLOOKUP($B554,'Hospitalisation Details'!A553:J2897,9,0)</f>
        <v>R1021</v>
      </c>
      <c r="R554">
        <f>VLOOKUP($B554,'Hospitalisation Details'!A553:K2897,11,0)</f>
        <v>22</v>
      </c>
    </row>
    <row r="555" spans="1:18" x14ac:dyDescent="0.35">
      <c r="A555" t="s">
        <v>1817</v>
      </c>
      <c r="B555" t="s">
        <v>586</v>
      </c>
      <c r="C555" t="str">
        <f>VLOOKUP($A555,'Customer Names'!$A:$E,4,FALSE)</f>
        <v>Amy R.</v>
      </c>
      <c r="D555" t="str">
        <f>VLOOKUP($A555,'Medical Examinations'!$A:$J,2,FALSE)</f>
        <v>Obesity</v>
      </c>
      <c r="E555">
        <f>VLOOKUP($A555,'Medical Examinations'!$A:$J,4,FALSE)</f>
        <v>4.04</v>
      </c>
      <c r="F555" t="str">
        <f>VLOOKUP($A555,'Medical Examinations'!$A:$J,6,FALSE)</f>
        <v>yes</v>
      </c>
      <c r="G555" t="str">
        <f>VLOOKUP($A555,'Medical Examinations'!$A:$J,7,FALSE)</f>
        <v>No</v>
      </c>
      <c r="H555" t="str">
        <f>VLOOKUP($A555,'Medical Examinations'!$A:$J,8,FALSE)</f>
        <v>Yes</v>
      </c>
      <c r="I555">
        <f>VLOOKUP($A555,'Medical Examinations'!$A:$J,9,FALSE)</f>
        <v>1</v>
      </c>
      <c r="J555" t="str">
        <f>VLOOKUP($A555,'Medical Examinations'!$A:$J,10,FALSE)</f>
        <v>No</v>
      </c>
      <c r="K555" t="str">
        <f>VLOOKUP($A555,'Medical Examinations'!$A:$J,5,FALSE)</f>
        <v>Normal</v>
      </c>
      <c r="L555">
        <f>VLOOKUP($A556,'Medical Examinations'!$A:$J,3,FALSE)</f>
        <v>51.65</v>
      </c>
      <c r="M555">
        <f>VLOOKUP($A555,'Hospitalisation Details'!$A:$K,6,FALSE)</f>
        <v>17878.900000000001</v>
      </c>
      <c r="N555" s="11">
        <f>VLOOKUP($B555,'Hospitalisation Details'!A554:J2898,10,0)</f>
        <v>35060</v>
      </c>
      <c r="O555" t="str">
        <f>VLOOKUP($B555,'Hospitalisation Details'!A554:J2898,8,0)</f>
        <v>tier - 3</v>
      </c>
      <c r="P555" t="str">
        <f>VLOOKUP($B555,'Hospitalisation Details'!A554:J2898,7,0)</f>
        <v>tier - 2</v>
      </c>
      <c r="Q555" t="str">
        <f>VLOOKUP($B555,'Hospitalisation Details'!A554:J2898,9,0)</f>
        <v>R1017</v>
      </c>
      <c r="R555">
        <f>VLOOKUP($B555,'Hospitalisation Details'!A554:K2898,11,0)</f>
        <v>27</v>
      </c>
    </row>
    <row r="556" spans="1:18" x14ac:dyDescent="0.35">
      <c r="A556" t="s">
        <v>1816</v>
      </c>
      <c r="B556" t="s">
        <v>587</v>
      </c>
      <c r="C556" t="str">
        <f>VLOOKUP($A556,'Customer Names'!$A:$E,4,FALSE)</f>
        <v>Brian</v>
      </c>
      <c r="D556" t="str">
        <f>VLOOKUP($A556,'Medical Examinations'!$A:$J,2,FALSE)</f>
        <v>Obesity</v>
      </c>
      <c r="E556">
        <f>VLOOKUP($A556,'Medical Examinations'!$A:$J,4,FALSE)</f>
        <v>5.3</v>
      </c>
      <c r="F556" t="str">
        <f>VLOOKUP($A556,'Medical Examinations'!$A:$J,6,FALSE)</f>
        <v>yes</v>
      </c>
      <c r="G556" t="str">
        <f>VLOOKUP($A556,'Medical Examinations'!$A:$J,7,FALSE)</f>
        <v>No</v>
      </c>
      <c r="H556" t="str">
        <f>VLOOKUP($A556,'Medical Examinations'!$A:$J,8,FALSE)</f>
        <v>No</v>
      </c>
      <c r="I556">
        <f>VLOOKUP($A556,'Medical Examinations'!$A:$J,9,FALSE)</f>
        <v>0</v>
      </c>
      <c r="J556" t="str">
        <f>VLOOKUP($A556,'Medical Examinations'!$A:$J,10,FALSE)</f>
        <v>No</v>
      </c>
      <c r="K556" t="str">
        <f>VLOOKUP($A556,'Medical Examinations'!$A:$J,5,FALSE)</f>
        <v>Normal</v>
      </c>
      <c r="L556">
        <f>VLOOKUP($A557,'Medical Examinations'!$A:$J,3,FALSE)</f>
        <v>44.52</v>
      </c>
      <c r="M556">
        <f>VLOOKUP($A556,'Hospitalisation Details'!$A:$K,6,FALSE)</f>
        <v>17862.919999999998</v>
      </c>
      <c r="N556" s="11">
        <f>VLOOKUP($B556,'Hospitalisation Details'!A555:J2899,10,0)</f>
        <v>32752</v>
      </c>
      <c r="O556" t="str">
        <f>VLOOKUP($B556,'Hospitalisation Details'!A555:J2899,8,0)</f>
        <v>tier - 3</v>
      </c>
      <c r="P556" t="str">
        <f>VLOOKUP($B556,'Hospitalisation Details'!A555:J2899,7,0)</f>
        <v>tier - 2</v>
      </c>
      <c r="Q556" t="str">
        <f>VLOOKUP($B556,'Hospitalisation Details'!A555:J2899,9,0)</f>
        <v>R1011</v>
      </c>
      <c r="R556">
        <f>VLOOKUP($B556,'Hospitalisation Details'!A555:K2899,11,0)</f>
        <v>33</v>
      </c>
    </row>
    <row r="557" spans="1:18" x14ac:dyDescent="0.35">
      <c r="A557" t="s">
        <v>1815</v>
      </c>
      <c r="B557" t="s">
        <v>588</v>
      </c>
      <c r="C557" t="str">
        <f>VLOOKUP($A557,'Customer Names'!$A:$E,4,FALSE)</f>
        <v>Mike G</v>
      </c>
      <c r="D557" t="str">
        <f>VLOOKUP($A557,'Medical Examinations'!$A:$J,2,FALSE)</f>
        <v>Obesity</v>
      </c>
      <c r="E557">
        <f>VLOOKUP($A557,'Medical Examinations'!$A:$J,4,FALSE)</f>
        <v>8.64</v>
      </c>
      <c r="F557" t="str">
        <f>VLOOKUP($A557,'Medical Examinations'!$A:$J,6,FALSE)</f>
        <v>yes</v>
      </c>
      <c r="G557" t="str">
        <f>VLOOKUP($A557,'Medical Examinations'!$A:$J,7,FALSE)</f>
        <v>No</v>
      </c>
      <c r="H557" t="str">
        <f>VLOOKUP($A557,'Medical Examinations'!$A:$J,8,FALSE)</f>
        <v>Yes</v>
      </c>
      <c r="I557">
        <f>VLOOKUP($A557,'Medical Examinations'!$A:$J,9,FALSE)</f>
        <v>1</v>
      </c>
      <c r="J557" t="str">
        <f>VLOOKUP($A557,'Medical Examinations'!$A:$J,10,FALSE)</f>
        <v>No</v>
      </c>
      <c r="K557" t="str">
        <f>VLOOKUP($A557,'Medical Examinations'!$A:$J,5,FALSE)</f>
        <v>Diabetes</v>
      </c>
      <c r="L557">
        <f>VLOOKUP($A558,'Medical Examinations'!$A:$J,3,FALSE)</f>
        <v>53.29</v>
      </c>
      <c r="M557">
        <f>VLOOKUP($A557,'Hospitalisation Details'!$A:$K,6,FALSE)</f>
        <v>17832.599999999999</v>
      </c>
      <c r="N557" s="11">
        <f>VLOOKUP($B557,'Hospitalisation Details'!A556:J2900,10,0)</f>
        <v>35702</v>
      </c>
      <c r="O557" t="str">
        <f>VLOOKUP($B557,'Hospitalisation Details'!A556:J2900,8,0)</f>
        <v>tier - 3</v>
      </c>
      <c r="P557" t="str">
        <f>VLOOKUP($B557,'Hospitalisation Details'!A556:J2900,7,0)</f>
        <v>tier - 2</v>
      </c>
      <c r="Q557" t="str">
        <f>VLOOKUP($B557,'Hospitalisation Details'!A556:J2900,9,0)</f>
        <v>R1012</v>
      </c>
      <c r="R557">
        <f>VLOOKUP($B557,'Hospitalisation Details'!A556:K2900,11,0)</f>
        <v>25</v>
      </c>
    </row>
    <row r="558" spans="1:18" x14ac:dyDescent="0.35">
      <c r="A558" t="s">
        <v>1814</v>
      </c>
      <c r="B558" t="s">
        <v>589</v>
      </c>
      <c r="C558" t="str">
        <f>VLOOKUP($A558,'Customer Names'!$A:$E,4,FALSE)</f>
        <v>Simonezitrone Sr.</v>
      </c>
      <c r="D558" t="str">
        <f>VLOOKUP($A558,'Medical Examinations'!$A:$J,2,FALSE)</f>
        <v>Obesity</v>
      </c>
      <c r="E558">
        <f>VLOOKUP($A558,'Medical Examinations'!$A:$J,4,FALSE)</f>
        <v>4.03</v>
      </c>
      <c r="F558" t="str">
        <f>VLOOKUP($A558,'Medical Examinations'!$A:$J,6,FALSE)</f>
        <v>No</v>
      </c>
      <c r="G558" t="str">
        <f>VLOOKUP($A558,'Medical Examinations'!$A:$J,7,FALSE)</f>
        <v>No</v>
      </c>
      <c r="H558" t="str">
        <f>VLOOKUP($A558,'Medical Examinations'!$A:$J,8,FALSE)</f>
        <v>Yes</v>
      </c>
      <c r="I558">
        <f>VLOOKUP($A558,'Medical Examinations'!$A:$J,9,FALSE)</f>
        <v>1</v>
      </c>
      <c r="J558" t="str">
        <f>VLOOKUP($A558,'Medical Examinations'!$A:$J,10,FALSE)</f>
        <v>No</v>
      </c>
      <c r="K558" t="str">
        <f>VLOOKUP($A558,'Medical Examinations'!$A:$J,5,FALSE)</f>
        <v>Normal</v>
      </c>
      <c r="L558">
        <f>VLOOKUP($A559,'Medical Examinations'!$A:$J,3,FALSE)</f>
        <v>46.63</v>
      </c>
      <c r="M558">
        <f>VLOOKUP($A558,'Hospitalisation Details'!$A:$K,6,FALSE)</f>
        <v>17779.939999999999</v>
      </c>
      <c r="N558" s="11">
        <f>VLOOKUP($B558,'Hospitalisation Details'!A557:J2901,10,0)</f>
        <v>31769</v>
      </c>
      <c r="O558" t="str">
        <f>VLOOKUP($B558,'Hospitalisation Details'!A557:J2901,8,0)</f>
        <v>tier - 1</v>
      </c>
      <c r="P558" t="str">
        <f>VLOOKUP($B558,'Hospitalisation Details'!A557:J2901,7,0)</f>
        <v>tier - 2</v>
      </c>
      <c r="Q558" t="str">
        <f>VLOOKUP($B558,'Hospitalisation Details'!A557:J2901,9,0)</f>
        <v>R1011</v>
      </c>
      <c r="R558">
        <f>VLOOKUP($B558,'Hospitalisation Details'!A557:K2901,11,0)</f>
        <v>36</v>
      </c>
    </row>
    <row r="559" spans="1:18" x14ac:dyDescent="0.35">
      <c r="A559" t="s">
        <v>1813</v>
      </c>
      <c r="B559" t="s">
        <v>590</v>
      </c>
      <c r="C559" t="str">
        <f>VLOOKUP($A559,'Customer Names'!$A:$E,4,FALSE)</f>
        <v>Nicholas</v>
      </c>
      <c r="D559" t="str">
        <f>VLOOKUP($A559,'Medical Examinations'!$A:$J,2,FALSE)</f>
        <v>Obesity</v>
      </c>
      <c r="E559">
        <f>VLOOKUP($A559,'Medical Examinations'!$A:$J,4,FALSE)</f>
        <v>4.26</v>
      </c>
      <c r="F559" t="str">
        <f>VLOOKUP($A559,'Medical Examinations'!$A:$J,6,FALSE)</f>
        <v>yes</v>
      </c>
      <c r="G559" t="str">
        <f>VLOOKUP($A559,'Medical Examinations'!$A:$J,7,FALSE)</f>
        <v>No</v>
      </c>
      <c r="H559" t="str">
        <f>VLOOKUP($A559,'Medical Examinations'!$A:$J,8,FALSE)</f>
        <v>No</v>
      </c>
      <c r="I559">
        <f>VLOOKUP($A559,'Medical Examinations'!$A:$J,9,FALSE)</f>
        <v>2</v>
      </c>
      <c r="J559" t="str">
        <f>VLOOKUP($A559,'Medical Examinations'!$A:$J,10,FALSE)</f>
        <v>No</v>
      </c>
      <c r="K559" t="str">
        <f>VLOOKUP($A559,'Medical Examinations'!$A:$J,5,FALSE)</f>
        <v>Normal</v>
      </c>
      <c r="L559">
        <f>VLOOKUP($A560,'Medical Examinations'!$A:$J,3,FALSE)</f>
        <v>28.88</v>
      </c>
      <c r="M559">
        <f>VLOOKUP($A559,'Hospitalisation Details'!$A:$K,6,FALSE)</f>
        <v>17777.73</v>
      </c>
      <c r="N559" s="11">
        <f>VLOOKUP($B559,'Hospitalisation Details'!A558:J2902,10,0)</f>
        <v>31712</v>
      </c>
      <c r="O559" t="str">
        <f>VLOOKUP($B559,'Hospitalisation Details'!A558:J2902,8,0)</f>
        <v>tier - 1</v>
      </c>
      <c r="P559" t="str">
        <f>VLOOKUP($B559,'Hospitalisation Details'!A558:J2902,7,0)</f>
        <v>tier - 2</v>
      </c>
      <c r="Q559" t="str">
        <f>VLOOKUP($B559,'Hospitalisation Details'!A558:J2902,9,0)</f>
        <v>R1013</v>
      </c>
      <c r="R559">
        <f>VLOOKUP($B559,'Hospitalisation Details'!A558:K2902,11,0)</f>
        <v>36</v>
      </c>
    </row>
    <row r="560" spans="1:18" x14ac:dyDescent="0.35">
      <c r="A560" t="s">
        <v>1812</v>
      </c>
      <c r="B560" t="s">
        <v>591</v>
      </c>
      <c r="C560" t="str">
        <f>VLOOKUP($A560,'Customer Names'!$A:$E,4,FALSE)</f>
        <v>Angela M</v>
      </c>
      <c r="D560" t="str">
        <f>VLOOKUP($A560,'Medical Examinations'!$A:$J,2,FALSE)</f>
        <v>Overweight</v>
      </c>
      <c r="E560">
        <f>VLOOKUP($A560,'Medical Examinations'!$A:$J,4,FALSE)</f>
        <v>5.35</v>
      </c>
      <c r="F560" t="str">
        <f>VLOOKUP($A560,'Medical Examinations'!$A:$J,6,FALSE)</f>
        <v>No</v>
      </c>
      <c r="G560" t="str">
        <f>VLOOKUP($A560,'Medical Examinations'!$A:$J,7,FALSE)</f>
        <v>No</v>
      </c>
      <c r="H560" t="str">
        <f>VLOOKUP($A560,'Medical Examinations'!$A:$J,8,FALSE)</f>
        <v>Yes</v>
      </c>
      <c r="I560">
        <f>VLOOKUP($A560,'Medical Examinations'!$A:$J,9,FALSE)</f>
        <v>1</v>
      </c>
      <c r="J560" t="str">
        <f>VLOOKUP($A560,'Medical Examinations'!$A:$J,10,FALSE)</f>
        <v>yes</v>
      </c>
      <c r="K560" t="str">
        <f>VLOOKUP($A560,'Medical Examinations'!$A:$J,5,FALSE)</f>
        <v>Normal</v>
      </c>
      <c r="L560">
        <f>VLOOKUP($A561,'Medical Examinations'!$A:$J,3,FALSE)</f>
        <v>23.98</v>
      </c>
      <c r="M560">
        <f>VLOOKUP($A560,'Hospitalisation Details'!$A:$K,6,FALSE)</f>
        <v>17748.509999999998</v>
      </c>
      <c r="N560" s="11">
        <f>VLOOKUP($B560,'Hospitalisation Details'!A559:J2903,10,0)</f>
        <v>32699</v>
      </c>
      <c r="O560" t="str">
        <f>VLOOKUP($B560,'Hospitalisation Details'!A559:J2903,8,0)</f>
        <v>tier - 2</v>
      </c>
      <c r="P560" t="str">
        <f>VLOOKUP($B560,'Hospitalisation Details'!A559:J2903,7,0)</f>
        <v>tier - 3</v>
      </c>
      <c r="Q560" t="str">
        <f>VLOOKUP($B560,'Hospitalisation Details'!A559:J2903,9,0)</f>
        <v>R1013</v>
      </c>
      <c r="R560">
        <f>VLOOKUP($B560,'Hospitalisation Details'!A559:K2903,11,0)</f>
        <v>33</v>
      </c>
    </row>
    <row r="561" spans="1:18" x14ac:dyDescent="0.35">
      <c r="A561" t="s">
        <v>1811</v>
      </c>
      <c r="B561" t="s">
        <v>592</v>
      </c>
      <c r="C561" t="str">
        <f>VLOOKUP($A561,'Customer Names'!$A:$E,4,FALSE)</f>
        <v>Oz</v>
      </c>
      <c r="D561" t="str">
        <f>VLOOKUP($A561,'Medical Examinations'!$A:$J,2,FALSE)</f>
        <v>Normal Weight</v>
      </c>
      <c r="E561">
        <f>VLOOKUP($A561,'Medical Examinations'!$A:$J,4,FALSE)</f>
        <v>4.9000000000000004</v>
      </c>
      <c r="F561" t="str">
        <f>VLOOKUP($A561,'Medical Examinations'!$A:$J,6,FALSE)</f>
        <v>No</v>
      </c>
      <c r="G561" t="str">
        <f>VLOOKUP($A561,'Medical Examinations'!$A:$J,7,FALSE)</f>
        <v>No</v>
      </c>
      <c r="H561" t="str">
        <f>VLOOKUP($A561,'Medical Examinations'!$A:$J,8,FALSE)</f>
        <v>No</v>
      </c>
      <c r="I561">
        <f>VLOOKUP($A561,'Medical Examinations'!$A:$J,9,FALSE)</f>
        <v>0</v>
      </c>
      <c r="J561" t="str">
        <f>VLOOKUP($A561,'Medical Examinations'!$A:$J,10,FALSE)</f>
        <v>No</v>
      </c>
      <c r="K561" t="str">
        <f>VLOOKUP($A561,'Medical Examinations'!$A:$J,5,FALSE)</f>
        <v>Normal</v>
      </c>
      <c r="L561">
        <f>VLOOKUP($A562,'Medical Examinations'!$A:$J,3,FALSE)</f>
        <v>23.65</v>
      </c>
      <c r="M561">
        <f>VLOOKUP($A561,'Hospitalisation Details'!$A:$K,6,FALSE)</f>
        <v>17663.14</v>
      </c>
      <c r="N561" s="11">
        <f>VLOOKUP($B561,'Hospitalisation Details'!A560:J2904,10,0)</f>
        <v>33205</v>
      </c>
      <c r="O561" t="str">
        <f>VLOOKUP($B561,'Hospitalisation Details'!A560:J2904,8,0)</f>
        <v>tier - 3</v>
      </c>
      <c r="P561" t="str">
        <f>VLOOKUP($B561,'Hospitalisation Details'!A560:J2904,7,0)</f>
        <v>tier - 2</v>
      </c>
      <c r="Q561" t="str">
        <f>VLOOKUP($B561,'Hospitalisation Details'!A560:J2904,9,0)</f>
        <v>R1013</v>
      </c>
      <c r="R561">
        <f>VLOOKUP($B561,'Hospitalisation Details'!A560:K2904,11,0)</f>
        <v>32</v>
      </c>
    </row>
    <row r="562" spans="1:18" x14ac:dyDescent="0.35">
      <c r="A562" t="s">
        <v>1810</v>
      </c>
      <c r="B562" t="s">
        <v>593</v>
      </c>
      <c r="C562" t="str">
        <f>VLOOKUP($A562,'Customer Names'!$A:$E,4,FALSE)</f>
        <v>Erin M.</v>
      </c>
      <c r="D562" t="str">
        <f>VLOOKUP($A562,'Medical Examinations'!$A:$J,2,FALSE)</f>
        <v>Normal Weight</v>
      </c>
      <c r="E562">
        <f>VLOOKUP($A562,'Medical Examinations'!$A:$J,4,FALSE)</f>
        <v>4.5</v>
      </c>
      <c r="F562" t="str">
        <f>VLOOKUP($A562,'Medical Examinations'!$A:$J,6,FALSE)</f>
        <v>No</v>
      </c>
      <c r="G562" t="str">
        <f>VLOOKUP($A562,'Medical Examinations'!$A:$J,7,FALSE)</f>
        <v>No</v>
      </c>
      <c r="H562" t="str">
        <f>VLOOKUP($A562,'Medical Examinations'!$A:$J,8,FALSE)</f>
        <v>No</v>
      </c>
      <c r="I562">
        <f>VLOOKUP($A562,'Medical Examinations'!$A:$J,9,FALSE)</f>
        <v>0</v>
      </c>
      <c r="J562" t="str">
        <f>VLOOKUP($A562,'Medical Examinations'!$A:$J,10,FALSE)</f>
        <v>No</v>
      </c>
      <c r="K562" t="str">
        <f>VLOOKUP($A562,'Medical Examinations'!$A:$J,5,FALSE)</f>
        <v>Normal</v>
      </c>
      <c r="L562">
        <f>VLOOKUP($A563,'Medical Examinations'!$A:$J,3,FALSE)</f>
        <v>49.09</v>
      </c>
      <c r="M562">
        <f>VLOOKUP($A562,'Hospitalisation Details'!$A:$K,6,FALSE)</f>
        <v>17626.240000000002</v>
      </c>
      <c r="N562" s="11">
        <f>VLOOKUP($B562,'Hospitalisation Details'!A561:J2905,10,0)</f>
        <v>32409</v>
      </c>
      <c r="O562" t="str">
        <f>VLOOKUP($B562,'Hospitalisation Details'!A561:J2905,8,0)</f>
        <v>tier - 3</v>
      </c>
      <c r="P562" t="str">
        <f>VLOOKUP($B562,'Hospitalisation Details'!A561:J2905,7,0)</f>
        <v>tier - 3</v>
      </c>
      <c r="Q562" t="str">
        <f>VLOOKUP($B562,'Hospitalisation Details'!A561:J2905,9,0)</f>
        <v>R1012</v>
      </c>
      <c r="R562">
        <f>VLOOKUP($B562,'Hospitalisation Details'!A561:K2905,11,0)</f>
        <v>34</v>
      </c>
    </row>
    <row r="563" spans="1:18" x14ac:dyDescent="0.35">
      <c r="A563" t="s">
        <v>1809</v>
      </c>
      <c r="B563" t="s">
        <v>594</v>
      </c>
      <c r="C563" t="str">
        <f>VLOOKUP($A563,'Customer Names'!$A:$E,4,FALSE)</f>
        <v>Bobby E.</v>
      </c>
      <c r="D563" t="str">
        <f>VLOOKUP($A563,'Medical Examinations'!$A:$J,2,FALSE)</f>
        <v>Obesity</v>
      </c>
      <c r="E563">
        <f>VLOOKUP($A563,'Medical Examinations'!$A:$J,4,FALSE)</f>
        <v>8.3800000000000008</v>
      </c>
      <c r="F563" t="str">
        <f>VLOOKUP($A563,'Medical Examinations'!$A:$J,6,FALSE)</f>
        <v>yes</v>
      </c>
      <c r="G563" t="str">
        <f>VLOOKUP($A563,'Medical Examinations'!$A:$J,7,FALSE)</f>
        <v>No</v>
      </c>
      <c r="H563" t="str">
        <f>VLOOKUP($A563,'Medical Examinations'!$A:$J,8,FALSE)</f>
        <v>No</v>
      </c>
      <c r="I563">
        <f>VLOOKUP($A563,'Medical Examinations'!$A:$J,9,FALSE)</f>
        <v>2</v>
      </c>
      <c r="J563" t="str">
        <f>VLOOKUP($A563,'Medical Examinations'!$A:$J,10,FALSE)</f>
        <v>No</v>
      </c>
      <c r="K563" t="str">
        <f>VLOOKUP($A563,'Medical Examinations'!$A:$J,5,FALSE)</f>
        <v>Diabetes</v>
      </c>
      <c r="L563">
        <f>VLOOKUP($A564,'Medical Examinations'!$A:$J,3,FALSE)</f>
        <v>28.024999999999999</v>
      </c>
      <c r="M563">
        <f>VLOOKUP($A563,'Hospitalisation Details'!$A:$K,6,FALSE)</f>
        <v>17584.72</v>
      </c>
      <c r="N563" s="11">
        <f>VLOOKUP($B563,'Hospitalisation Details'!A562:J2906,10,0)</f>
        <v>34160</v>
      </c>
      <c r="O563" t="str">
        <f>VLOOKUP($B563,'Hospitalisation Details'!A562:J2906,8,0)</f>
        <v>tier - 1</v>
      </c>
      <c r="P563" t="str">
        <f>VLOOKUP($B563,'Hospitalisation Details'!A562:J2906,7,0)</f>
        <v>tier - 2</v>
      </c>
      <c r="Q563" t="str">
        <f>VLOOKUP($B563,'Hospitalisation Details'!A562:J2906,9,0)</f>
        <v>R1012</v>
      </c>
      <c r="R563">
        <f>VLOOKUP($B563,'Hospitalisation Details'!A562:K2906,11,0)</f>
        <v>29</v>
      </c>
    </row>
    <row r="564" spans="1:18" x14ac:dyDescent="0.35">
      <c r="A564" t="s">
        <v>1808</v>
      </c>
      <c r="B564" t="s">
        <v>595</v>
      </c>
      <c r="C564" t="str">
        <f>VLOOKUP($A564,'Customer Names'!$A:$E,4,FALSE)</f>
        <v>Daniel P.</v>
      </c>
      <c r="D564" t="str">
        <f>VLOOKUP($A564,'Medical Examinations'!$A:$J,2,FALSE)</f>
        <v>Overweight</v>
      </c>
      <c r="E564">
        <f>VLOOKUP($A564,'Medical Examinations'!$A:$J,4,FALSE)</f>
        <v>7.03</v>
      </c>
      <c r="F564" t="str">
        <f>VLOOKUP($A564,'Medical Examinations'!$A:$J,6,FALSE)</f>
        <v>No</v>
      </c>
      <c r="G564" t="str">
        <f>VLOOKUP($A564,'Medical Examinations'!$A:$J,7,FALSE)</f>
        <v>No</v>
      </c>
      <c r="H564" t="str">
        <f>VLOOKUP($A564,'Medical Examinations'!$A:$J,8,FALSE)</f>
        <v>No</v>
      </c>
      <c r="I564">
        <f>VLOOKUP($A564,'Medical Examinations'!$A:$J,9,FALSE)</f>
        <v>0</v>
      </c>
      <c r="J564" t="str">
        <f>VLOOKUP($A564,'Medical Examinations'!$A:$J,10,FALSE)</f>
        <v>yes</v>
      </c>
      <c r="K564" t="str">
        <f>VLOOKUP($A564,'Medical Examinations'!$A:$J,5,FALSE)</f>
        <v>Diabetes</v>
      </c>
      <c r="L564">
        <f>VLOOKUP($A565,'Medical Examinations'!$A:$J,3,FALSE)</f>
        <v>43.32</v>
      </c>
      <c r="M564">
        <f>VLOOKUP($A564,'Hospitalisation Details'!$A:$K,6,FALSE)</f>
        <v>17560.38</v>
      </c>
      <c r="N564" s="11">
        <f>VLOOKUP($B564,'Hospitalisation Details'!A563:J2907,10,0)</f>
        <v>29877</v>
      </c>
      <c r="O564" t="str">
        <f>VLOOKUP($B564,'Hospitalisation Details'!A563:J2907,8,0)</f>
        <v>tier - 3</v>
      </c>
      <c r="P564" t="str">
        <f>VLOOKUP($B564,'Hospitalisation Details'!A563:J2907,7,0)</f>
        <v>tier - 2</v>
      </c>
      <c r="Q564" t="str">
        <f>VLOOKUP($B564,'Hospitalisation Details'!A563:J2907,9,0)</f>
        <v>R1013</v>
      </c>
      <c r="R564">
        <f>VLOOKUP($B564,'Hospitalisation Details'!A563:K2907,11,0)</f>
        <v>41</v>
      </c>
    </row>
    <row r="565" spans="1:18" x14ac:dyDescent="0.35">
      <c r="A565" t="s">
        <v>1807</v>
      </c>
      <c r="B565" t="s">
        <v>596</v>
      </c>
      <c r="C565" t="str">
        <f>VLOOKUP($A565,'Customer Names'!$A:$E,4,FALSE)</f>
        <v>Marie E.</v>
      </c>
      <c r="D565" t="str">
        <f>VLOOKUP($A565,'Medical Examinations'!$A:$J,2,FALSE)</f>
        <v>Obesity</v>
      </c>
      <c r="E565">
        <f>VLOOKUP($A565,'Medical Examinations'!$A:$J,4,FALSE)</f>
        <v>8.75</v>
      </c>
      <c r="F565" t="str">
        <f>VLOOKUP($A565,'Medical Examinations'!$A:$J,6,FALSE)</f>
        <v>yes</v>
      </c>
      <c r="G565" t="str">
        <f>VLOOKUP($A565,'Medical Examinations'!$A:$J,7,FALSE)</f>
        <v>No</v>
      </c>
      <c r="H565" t="str">
        <f>VLOOKUP($A565,'Medical Examinations'!$A:$J,8,FALSE)</f>
        <v>Yes</v>
      </c>
      <c r="I565">
        <f>VLOOKUP($A565,'Medical Examinations'!$A:$J,9,FALSE)</f>
        <v>1</v>
      </c>
      <c r="J565" t="str">
        <f>VLOOKUP($A565,'Medical Examinations'!$A:$J,10,FALSE)</f>
        <v>No</v>
      </c>
      <c r="K565" t="str">
        <f>VLOOKUP($A565,'Medical Examinations'!$A:$J,5,FALSE)</f>
        <v>Diabetes</v>
      </c>
      <c r="L565">
        <f>VLOOKUP($A566,'Medical Examinations'!$A:$J,3,FALSE)</f>
        <v>45.92</v>
      </c>
      <c r="M565">
        <f>VLOOKUP($A565,'Hospitalisation Details'!$A:$K,6,FALSE)</f>
        <v>17556.88</v>
      </c>
      <c r="N565" s="11">
        <f>VLOOKUP($B565,'Hospitalisation Details'!A564:J2908,10,0)</f>
        <v>37489</v>
      </c>
      <c r="O565" t="str">
        <f>VLOOKUP($B565,'Hospitalisation Details'!A564:J2908,8,0)</f>
        <v>tier - 1</v>
      </c>
      <c r="P565" t="str">
        <f>VLOOKUP($B565,'Hospitalisation Details'!A564:J2908,7,0)</f>
        <v>tier - 2</v>
      </c>
      <c r="Q565" t="str">
        <f>VLOOKUP($B565,'Hospitalisation Details'!A564:J2908,9,0)</f>
        <v>R1017</v>
      </c>
      <c r="R565">
        <f>VLOOKUP($B565,'Hospitalisation Details'!A564:K2908,11,0)</f>
        <v>20</v>
      </c>
    </row>
    <row r="566" spans="1:18" x14ac:dyDescent="0.35">
      <c r="A566" t="s">
        <v>1806</v>
      </c>
      <c r="B566" t="s">
        <v>597</v>
      </c>
      <c r="C566" t="str">
        <f>VLOOKUP($A566,'Customer Names'!$A:$E,4,FALSE)</f>
        <v>Katie</v>
      </c>
      <c r="D566" t="str">
        <f>VLOOKUP($A566,'Medical Examinations'!$A:$J,2,FALSE)</f>
        <v>Obesity</v>
      </c>
      <c r="E566">
        <f>VLOOKUP($A566,'Medical Examinations'!$A:$J,4,FALSE)</f>
        <v>9.51</v>
      </c>
      <c r="F566" t="str">
        <f>VLOOKUP($A566,'Medical Examinations'!$A:$J,6,FALSE)</f>
        <v>No</v>
      </c>
      <c r="G566" t="str">
        <f>VLOOKUP($A566,'Medical Examinations'!$A:$J,7,FALSE)</f>
        <v>No</v>
      </c>
      <c r="H566" t="str">
        <f>VLOOKUP($A566,'Medical Examinations'!$A:$J,8,FALSE)</f>
        <v>No</v>
      </c>
      <c r="I566">
        <f>VLOOKUP($A566,'Medical Examinations'!$A:$J,9,FALSE)</f>
        <v>0</v>
      </c>
      <c r="J566" t="str">
        <f>VLOOKUP($A566,'Medical Examinations'!$A:$J,10,FALSE)</f>
        <v>No</v>
      </c>
      <c r="K566" t="str">
        <f>VLOOKUP($A566,'Medical Examinations'!$A:$J,5,FALSE)</f>
        <v>Diabetes</v>
      </c>
      <c r="L566">
        <f>VLOOKUP($A567,'Medical Examinations'!$A:$J,3,FALSE)</f>
        <v>44.03</v>
      </c>
      <c r="M566">
        <f>VLOOKUP($A566,'Hospitalisation Details'!$A:$K,6,FALSE)</f>
        <v>17507.47</v>
      </c>
      <c r="N566" s="11">
        <f>VLOOKUP($B566,'Hospitalisation Details'!A565:J2909,10,0)</f>
        <v>34191</v>
      </c>
      <c r="O566" t="str">
        <f>VLOOKUP($B566,'Hospitalisation Details'!A565:J2909,8,0)</f>
        <v>tier - 2</v>
      </c>
      <c r="P566" t="str">
        <f>VLOOKUP($B566,'Hospitalisation Details'!A565:J2909,7,0)</f>
        <v>tier - 2</v>
      </c>
      <c r="Q566" t="str">
        <f>VLOOKUP($B566,'Hospitalisation Details'!A565:J2909,9,0)</f>
        <v>R1012</v>
      </c>
      <c r="R566">
        <f>VLOOKUP($B566,'Hospitalisation Details'!A565:K2909,11,0)</f>
        <v>29</v>
      </c>
    </row>
    <row r="567" spans="1:18" x14ac:dyDescent="0.35">
      <c r="A567" t="s">
        <v>1805</v>
      </c>
      <c r="B567" t="s">
        <v>598</v>
      </c>
      <c r="C567" t="str">
        <f>VLOOKUP($A567,'Customer Names'!$A:$E,4,FALSE)</f>
        <v>Eric D</v>
      </c>
      <c r="D567" t="str">
        <f>VLOOKUP($A567,'Medical Examinations'!$A:$J,2,FALSE)</f>
        <v>Obesity</v>
      </c>
      <c r="E567">
        <f>VLOOKUP($A567,'Medical Examinations'!$A:$J,4,FALSE)</f>
        <v>9.36</v>
      </c>
      <c r="F567" t="str">
        <f>VLOOKUP($A567,'Medical Examinations'!$A:$J,6,FALSE)</f>
        <v>No</v>
      </c>
      <c r="G567" t="str">
        <f>VLOOKUP($A567,'Medical Examinations'!$A:$J,7,FALSE)</f>
        <v>No</v>
      </c>
      <c r="H567" t="str">
        <f>VLOOKUP($A567,'Medical Examinations'!$A:$J,8,FALSE)</f>
        <v>No</v>
      </c>
      <c r="I567">
        <f>VLOOKUP($A567,'Medical Examinations'!$A:$J,9,FALSE)</f>
        <v>0</v>
      </c>
      <c r="J567" t="str">
        <f>VLOOKUP($A567,'Medical Examinations'!$A:$J,10,FALSE)</f>
        <v>No</v>
      </c>
      <c r="K567" t="str">
        <f>VLOOKUP($A567,'Medical Examinations'!$A:$J,5,FALSE)</f>
        <v>Diabetes</v>
      </c>
      <c r="L567">
        <f>VLOOKUP($A568,'Medical Examinations'!$A:$J,3,FALSE)</f>
        <v>24.6</v>
      </c>
      <c r="M567">
        <f>VLOOKUP($A567,'Hospitalisation Details'!$A:$K,6,FALSE)</f>
        <v>17505.650000000001</v>
      </c>
      <c r="N567" s="11">
        <f>VLOOKUP($B567,'Hospitalisation Details'!A566:J2910,10,0)</f>
        <v>33473</v>
      </c>
      <c r="O567" t="str">
        <f>VLOOKUP($B567,'Hospitalisation Details'!A566:J2910,8,0)</f>
        <v>tier - 3</v>
      </c>
      <c r="P567" t="str">
        <f>VLOOKUP($B567,'Hospitalisation Details'!A566:J2910,7,0)</f>
        <v>tier - 2</v>
      </c>
      <c r="Q567" t="str">
        <f>VLOOKUP($B567,'Hospitalisation Details'!A566:J2910,9,0)</f>
        <v>R1011</v>
      </c>
      <c r="R567">
        <f>VLOOKUP($B567,'Hospitalisation Details'!A566:K2910,11,0)</f>
        <v>31</v>
      </c>
    </row>
    <row r="568" spans="1:18" x14ac:dyDescent="0.35">
      <c r="A568" t="s">
        <v>1804</v>
      </c>
      <c r="B568" t="s">
        <v>599</v>
      </c>
      <c r="C568" t="str">
        <f>VLOOKUP($A568,'Customer Names'!$A:$E,4,FALSE)</f>
        <v>Tara</v>
      </c>
      <c r="D568" t="str">
        <f>VLOOKUP($A568,'Medical Examinations'!$A:$J,2,FALSE)</f>
        <v>Normal Weight</v>
      </c>
      <c r="E568">
        <f>VLOOKUP($A568,'Medical Examinations'!$A:$J,4,FALSE)</f>
        <v>4.8099999999999996</v>
      </c>
      <c r="F568" t="str">
        <f>VLOOKUP($A568,'Medical Examinations'!$A:$J,6,FALSE)</f>
        <v>No</v>
      </c>
      <c r="G568" t="str">
        <f>VLOOKUP($A568,'Medical Examinations'!$A:$J,7,FALSE)</f>
        <v>No</v>
      </c>
      <c r="H568" t="str">
        <f>VLOOKUP($A568,'Medical Examinations'!$A:$J,8,FALSE)</f>
        <v>No</v>
      </c>
      <c r="I568">
        <f>VLOOKUP($A568,'Medical Examinations'!$A:$J,9,FALSE)</f>
        <v>0</v>
      </c>
      <c r="J568" t="str">
        <f>VLOOKUP($A568,'Medical Examinations'!$A:$J,10,FALSE)</f>
        <v>yes</v>
      </c>
      <c r="K568" t="str">
        <f>VLOOKUP($A568,'Medical Examinations'!$A:$J,5,FALSE)</f>
        <v>Normal</v>
      </c>
      <c r="L568">
        <f>VLOOKUP($A569,'Medical Examinations'!$A:$J,3,FALSE)</f>
        <v>49.15</v>
      </c>
      <c r="M568">
        <f>VLOOKUP($A568,'Hospitalisation Details'!$A:$K,6,FALSE)</f>
        <v>17496.310000000001</v>
      </c>
      <c r="N568" s="11">
        <f>VLOOKUP($B568,'Hospitalisation Details'!A567:J2911,10,0)</f>
        <v>33569</v>
      </c>
      <c r="O568" t="str">
        <f>VLOOKUP($B568,'Hospitalisation Details'!A567:J2911,8,0)</f>
        <v>tier - 3</v>
      </c>
      <c r="P568" t="str">
        <f>VLOOKUP($B568,'Hospitalisation Details'!A567:J2911,7,0)</f>
        <v>tier - 2</v>
      </c>
      <c r="Q568" t="str">
        <f>VLOOKUP($B568,'Hospitalisation Details'!A567:J2911,9,0)</f>
        <v>R1011</v>
      </c>
      <c r="R568">
        <f>VLOOKUP($B568,'Hospitalisation Details'!A567:K2911,11,0)</f>
        <v>31</v>
      </c>
    </row>
    <row r="569" spans="1:18" x14ac:dyDescent="0.35">
      <c r="A569" t="s">
        <v>1803</v>
      </c>
      <c r="B569" t="s">
        <v>600</v>
      </c>
      <c r="C569" t="str">
        <f>VLOOKUP($A569,'Customer Names'!$A:$E,4,FALSE)</f>
        <v>Haley L</v>
      </c>
      <c r="D569" t="str">
        <f>VLOOKUP($A569,'Medical Examinations'!$A:$J,2,FALSE)</f>
        <v>Obesity</v>
      </c>
      <c r="E569">
        <f>VLOOKUP($A569,'Medical Examinations'!$A:$J,4,FALSE)</f>
        <v>8.08</v>
      </c>
      <c r="F569" t="str">
        <f>VLOOKUP($A569,'Medical Examinations'!$A:$J,6,FALSE)</f>
        <v>No</v>
      </c>
      <c r="G569" t="str">
        <f>VLOOKUP($A569,'Medical Examinations'!$A:$J,7,FALSE)</f>
        <v>No</v>
      </c>
      <c r="H569" t="str">
        <f>VLOOKUP($A569,'Medical Examinations'!$A:$J,8,FALSE)</f>
        <v>No</v>
      </c>
      <c r="I569">
        <f>VLOOKUP($A569,'Medical Examinations'!$A:$J,9,FALSE)</f>
        <v>0</v>
      </c>
      <c r="J569" t="str">
        <f>VLOOKUP($A569,'Medical Examinations'!$A:$J,10,FALSE)</f>
        <v>No</v>
      </c>
      <c r="K569" t="str">
        <f>VLOOKUP($A569,'Medical Examinations'!$A:$J,5,FALSE)</f>
        <v>Diabetes</v>
      </c>
      <c r="L569">
        <f>VLOOKUP($A570,'Medical Examinations'!$A:$J,3,FALSE)</f>
        <v>28.31</v>
      </c>
      <c r="M569">
        <f>VLOOKUP($A569,'Hospitalisation Details'!$A:$K,6,FALSE)</f>
        <v>17479.53</v>
      </c>
      <c r="N569" s="11">
        <f>VLOOKUP($B569,'Hospitalisation Details'!A568:J2912,10,0)</f>
        <v>27206</v>
      </c>
      <c r="O569" t="str">
        <f>VLOOKUP($B569,'Hospitalisation Details'!A568:J2912,8,0)</f>
        <v>tier - 2</v>
      </c>
      <c r="P569" t="str">
        <f>VLOOKUP($B569,'Hospitalisation Details'!A568:J2912,7,0)</f>
        <v>tier - 2</v>
      </c>
      <c r="Q569" t="str">
        <f>VLOOKUP($B569,'Hospitalisation Details'!A568:J2912,9,0)</f>
        <v>R1013</v>
      </c>
      <c r="R569">
        <f>VLOOKUP($B569,'Hospitalisation Details'!A568:K2912,11,0)</f>
        <v>48</v>
      </c>
    </row>
    <row r="570" spans="1:18" x14ac:dyDescent="0.35">
      <c r="A570" t="s">
        <v>1802</v>
      </c>
      <c r="B570" t="s">
        <v>601</v>
      </c>
      <c r="C570" t="str">
        <f>VLOOKUP($A570,'Customer Names'!$A:$E,4,FALSE)</f>
        <v>Kayla B.</v>
      </c>
      <c r="D570" t="str">
        <f>VLOOKUP($A570,'Medical Examinations'!$A:$J,2,FALSE)</f>
        <v>Overweight</v>
      </c>
      <c r="E570">
        <f>VLOOKUP($A570,'Medical Examinations'!$A:$J,4,FALSE)</f>
        <v>6.29</v>
      </c>
      <c r="F570" t="str">
        <f>VLOOKUP($A570,'Medical Examinations'!$A:$J,6,FALSE)</f>
        <v>No</v>
      </c>
      <c r="G570" t="str">
        <f>VLOOKUP($A570,'Medical Examinations'!$A:$J,7,FALSE)</f>
        <v>No</v>
      </c>
      <c r="H570" t="str">
        <f>VLOOKUP($A570,'Medical Examinations'!$A:$J,8,FALSE)</f>
        <v>Yes</v>
      </c>
      <c r="I570">
        <f>VLOOKUP($A570,'Medical Examinations'!$A:$J,9,FALSE)</f>
        <v>1</v>
      </c>
      <c r="J570" t="str">
        <f>VLOOKUP($A570,'Medical Examinations'!$A:$J,10,FALSE)</f>
        <v>yes</v>
      </c>
      <c r="K570" t="str">
        <f>VLOOKUP($A570,'Medical Examinations'!$A:$J,5,FALSE)</f>
        <v>Prediabetes</v>
      </c>
      <c r="L570">
        <f>VLOOKUP($A571,'Medical Examinations'!$A:$J,3,FALSE)</f>
        <v>22.99</v>
      </c>
      <c r="M570">
        <f>VLOOKUP($A570,'Hospitalisation Details'!$A:$K,6,FALSE)</f>
        <v>17468.98</v>
      </c>
      <c r="N570" s="11">
        <f>VLOOKUP($B570,'Hospitalisation Details'!A569:J2913,10,0)</f>
        <v>33480</v>
      </c>
      <c r="O570" t="str">
        <f>VLOOKUP($B570,'Hospitalisation Details'!A569:J2913,8,0)</f>
        <v>tier - 1</v>
      </c>
      <c r="P570" t="str">
        <f>VLOOKUP($B570,'Hospitalisation Details'!A569:J2913,7,0)</f>
        <v>tier - 2</v>
      </c>
      <c r="Q570" t="str">
        <f>VLOOKUP($B570,'Hospitalisation Details'!A569:J2913,9,0)</f>
        <v>R1013</v>
      </c>
      <c r="R570">
        <f>VLOOKUP($B570,'Hospitalisation Details'!A569:K2913,11,0)</f>
        <v>31</v>
      </c>
    </row>
    <row r="571" spans="1:18" x14ac:dyDescent="0.35">
      <c r="A571" t="s">
        <v>1801</v>
      </c>
      <c r="B571" t="s">
        <v>602</v>
      </c>
      <c r="C571" t="str">
        <f>VLOOKUP($A571,'Customer Names'!$A:$E,4,FALSE)</f>
        <v>Mark D.</v>
      </c>
      <c r="D571" t="str">
        <f>VLOOKUP($A571,'Medical Examinations'!$A:$J,2,FALSE)</f>
        <v>Normal Weight</v>
      </c>
      <c r="E571">
        <f>VLOOKUP($A571,'Medical Examinations'!$A:$J,4,FALSE)</f>
        <v>6.29</v>
      </c>
      <c r="F571" t="str">
        <f>VLOOKUP($A571,'Medical Examinations'!$A:$J,6,FALSE)</f>
        <v>No</v>
      </c>
      <c r="G571" t="str">
        <f>VLOOKUP($A571,'Medical Examinations'!$A:$J,7,FALSE)</f>
        <v>No</v>
      </c>
      <c r="H571" t="str">
        <f>VLOOKUP($A571,'Medical Examinations'!$A:$J,8,FALSE)</f>
        <v>No</v>
      </c>
      <c r="I571">
        <f>VLOOKUP($A571,'Medical Examinations'!$A:$J,9,FALSE)</f>
        <v>1</v>
      </c>
      <c r="J571" t="str">
        <f>VLOOKUP($A571,'Medical Examinations'!$A:$J,10,FALSE)</f>
        <v>yes</v>
      </c>
      <c r="K571" t="str">
        <f>VLOOKUP($A571,'Medical Examinations'!$A:$J,5,FALSE)</f>
        <v>Prediabetes</v>
      </c>
      <c r="L571">
        <f>VLOOKUP($A572,'Medical Examinations'!$A:$J,3,FALSE)</f>
        <v>29.07</v>
      </c>
      <c r="M571">
        <f>VLOOKUP($A571,'Hospitalisation Details'!$A:$K,6,FALSE)</f>
        <v>17361.77</v>
      </c>
      <c r="N571" s="11">
        <f>VLOOKUP($B571,'Hospitalisation Details'!A570:J2914,10,0)</f>
        <v>26975</v>
      </c>
      <c r="O571" t="str">
        <f>VLOOKUP($B571,'Hospitalisation Details'!A570:J2914,8,0)</f>
        <v>tier - 3</v>
      </c>
      <c r="P571" t="str">
        <f>VLOOKUP($B571,'Hospitalisation Details'!A570:J2914,7,0)</f>
        <v>tier - 2</v>
      </c>
      <c r="Q571" t="str">
        <f>VLOOKUP($B571,'Hospitalisation Details'!A570:J2914,9,0)</f>
        <v>R1013</v>
      </c>
      <c r="R571">
        <f>VLOOKUP($B571,'Hospitalisation Details'!A570:K2914,11,0)</f>
        <v>49</v>
      </c>
    </row>
    <row r="572" spans="1:18" x14ac:dyDescent="0.35">
      <c r="A572" t="s">
        <v>1800</v>
      </c>
      <c r="B572" t="s">
        <v>603</v>
      </c>
      <c r="C572" t="str">
        <f>VLOOKUP($A572,'Customer Names'!$A:$E,4,FALSE)</f>
        <v>Patrick J.</v>
      </c>
      <c r="D572" t="str">
        <f>VLOOKUP($A572,'Medical Examinations'!$A:$J,2,FALSE)</f>
        <v>Overweight</v>
      </c>
      <c r="E572">
        <f>VLOOKUP($A572,'Medical Examinations'!$A:$J,4,FALSE)</f>
        <v>5.12</v>
      </c>
      <c r="F572" t="str">
        <f>VLOOKUP($A572,'Medical Examinations'!$A:$J,6,FALSE)</f>
        <v>No</v>
      </c>
      <c r="G572" t="str">
        <f>VLOOKUP($A572,'Medical Examinations'!$A:$J,7,FALSE)</f>
        <v>No</v>
      </c>
      <c r="H572" t="str">
        <f>VLOOKUP($A572,'Medical Examinations'!$A:$J,8,FALSE)</f>
        <v>Yes</v>
      </c>
      <c r="I572">
        <f>VLOOKUP($A572,'Medical Examinations'!$A:$J,9,FALSE)</f>
        <v>1</v>
      </c>
      <c r="J572" t="str">
        <f>VLOOKUP($A572,'Medical Examinations'!$A:$J,10,FALSE)</f>
        <v>yes</v>
      </c>
      <c r="K572" t="str">
        <f>VLOOKUP($A572,'Medical Examinations'!$A:$J,5,FALSE)</f>
        <v>Normal</v>
      </c>
      <c r="L572">
        <f>VLOOKUP($A573,'Medical Examinations'!$A:$J,3,FALSE)</f>
        <v>42.02</v>
      </c>
      <c r="M572">
        <f>VLOOKUP($A572,'Hospitalisation Details'!$A:$K,6,FALSE)</f>
        <v>17352.68</v>
      </c>
      <c r="N572" s="11">
        <f>VLOOKUP($B572,'Hospitalisation Details'!A571:J2915,10,0)</f>
        <v>32318</v>
      </c>
      <c r="O572" t="str">
        <f>VLOOKUP($B572,'Hospitalisation Details'!A571:J2915,8,0)</f>
        <v>tier - 3</v>
      </c>
      <c r="P572" t="str">
        <f>VLOOKUP($B572,'Hospitalisation Details'!A571:J2915,7,0)</f>
        <v>tier - 2</v>
      </c>
      <c r="Q572" t="str">
        <f>VLOOKUP($B572,'Hospitalisation Details'!A571:J2915,9,0)</f>
        <v>R1024</v>
      </c>
      <c r="R572">
        <f>VLOOKUP($B572,'Hospitalisation Details'!A571:K2915,11,0)</f>
        <v>34</v>
      </c>
    </row>
    <row r="573" spans="1:18" x14ac:dyDescent="0.35">
      <c r="A573" t="s">
        <v>1799</v>
      </c>
      <c r="B573" t="s">
        <v>604</v>
      </c>
      <c r="C573" t="str">
        <f>VLOOKUP($A573,'Customer Names'!$A:$E,4,FALSE)</f>
        <v>Alejandro</v>
      </c>
      <c r="D573" t="str">
        <f>VLOOKUP($A573,'Medical Examinations'!$A:$J,2,FALSE)</f>
        <v>Obesity</v>
      </c>
      <c r="E573">
        <f>VLOOKUP($A573,'Medical Examinations'!$A:$J,4,FALSE)</f>
        <v>9.9499999999999993</v>
      </c>
      <c r="F573" t="str">
        <f>VLOOKUP($A573,'Medical Examinations'!$A:$J,6,FALSE)</f>
        <v>yes</v>
      </c>
      <c r="G573" t="str">
        <f>VLOOKUP($A573,'Medical Examinations'!$A:$J,7,FALSE)</f>
        <v>No</v>
      </c>
      <c r="H573" t="str">
        <f>VLOOKUP($A573,'Medical Examinations'!$A:$J,8,FALSE)</f>
        <v>Yes</v>
      </c>
      <c r="I573">
        <f>VLOOKUP($A573,'Medical Examinations'!$A:$J,9,FALSE)</f>
        <v>1</v>
      </c>
      <c r="J573" t="str">
        <f>VLOOKUP($A573,'Medical Examinations'!$A:$J,10,FALSE)</f>
        <v>No</v>
      </c>
      <c r="K573" t="str">
        <f>VLOOKUP($A573,'Medical Examinations'!$A:$J,5,FALSE)</f>
        <v>Diabetes</v>
      </c>
      <c r="L573">
        <f>VLOOKUP($A574,'Medical Examinations'!$A:$J,3,FALSE)</f>
        <v>49.07</v>
      </c>
      <c r="M573">
        <f>VLOOKUP($A573,'Hospitalisation Details'!$A:$K,6,FALSE)</f>
        <v>17337.580000000002</v>
      </c>
      <c r="N573" s="11">
        <f>VLOOKUP($B573,'Hospitalisation Details'!A572:J2916,10,0)</f>
        <v>37169</v>
      </c>
      <c r="O573" t="str">
        <f>VLOOKUP($B573,'Hospitalisation Details'!A572:J2916,8,0)</f>
        <v>tier - 2</v>
      </c>
      <c r="P573" t="str">
        <f>VLOOKUP($B573,'Hospitalisation Details'!A572:J2916,7,0)</f>
        <v>tier - 2</v>
      </c>
      <c r="Q573" t="str">
        <f>VLOOKUP($B573,'Hospitalisation Details'!A572:J2916,9,0)</f>
        <v>R1011</v>
      </c>
      <c r="R573">
        <f>VLOOKUP($B573,'Hospitalisation Details'!A572:K2916,11,0)</f>
        <v>21</v>
      </c>
    </row>
    <row r="574" spans="1:18" x14ac:dyDescent="0.35">
      <c r="A574" t="s">
        <v>1798</v>
      </c>
      <c r="B574" t="s">
        <v>605</v>
      </c>
      <c r="C574" t="str">
        <f>VLOOKUP($A574,'Customer Names'!$A:$E,4,FALSE)</f>
        <v>Beth A</v>
      </c>
      <c r="D574" t="str">
        <f>VLOOKUP($A574,'Medical Examinations'!$A:$J,2,FALSE)</f>
        <v>Obesity</v>
      </c>
      <c r="E574">
        <f>VLOOKUP($A574,'Medical Examinations'!$A:$J,4,FALSE)</f>
        <v>9.08</v>
      </c>
      <c r="F574" t="str">
        <f>VLOOKUP($A574,'Medical Examinations'!$A:$J,6,FALSE)</f>
        <v>yes</v>
      </c>
      <c r="G574" t="str">
        <f>VLOOKUP($A574,'Medical Examinations'!$A:$J,7,FALSE)</f>
        <v>No</v>
      </c>
      <c r="H574" t="str">
        <f>VLOOKUP($A574,'Medical Examinations'!$A:$J,8,FALSE)</f>
        <v>No</v>
      </c>
      <c r="I574">
        <f>VLOOKUP($A574,'Medical Examinations'!$A:$J,9,FALSE)</f>
        <v>1</v>
      </c>
      <c r="J574" t="str">
        <f>VLOOKUP($A574,'Medical Examinations'!$A:$J,10,FALSE)</f>
        <v>No</v>
      </c>
      <c r="K574" t="str">
        <f>VLOOKUP($A574,'Medical Examinations'!$A:$J,5,FALSE)</f>
        <v>Diabetes</v>
      </c>
      <c r="L574">
        <f>VLOOKUP($A575,'Medical Examinations'!$A:$J,3,FALSE)</f>
        <v>19.8</v>
      </c>
      <c r="M574">
        <f>VLOOKUP($A574,'Hospitalisation Details'!$A:$K,6,FALSE)</f>
        <v>17253.43</v>
      </c>
      <c r="N574" s="11">
        <f>VLOOKUP($B574,'Hospitalisation Details'!A573:J2917,10,0)</f>
        <v>32390</v>
      </c>
      <c r="O574" t="str">
        <f>VLOOKUP($B574,'Hospitalisation Details'!A573:J2917,8,0)</f>
        <v>tier - 2</v>
      </c>
      <c r="P574" t="str">
        <f>VLOOKUP($B574,'Hospitalisation Details'!A573:J2917,7,0)</f>
        <v>tier - 2</v>
      </c>
      <c r="Q574" t="str">
        <f>VLOOKUP($B574,'Hospitalisation Details'!A573:J2917,9,0)</f>
        <v>R1013</v>
      </c>
      <c r="R574">
        <f>VLOOKUP($B574,'Hospitalisation Details'!A573:K2917,11,0)</f>
        <v>34</v>
      </c>
    </row>
    <row r="575" spans="1:18" x14ac:dyDescent="0.35">
      <c r="A575" t="s">
        <v>1797</v>
      </c>
      <c r="B575" t="s">
        <v>606</v>
      </c>
      <c r="C575" t="str">
        <f>VLOOKUP($A575,'Customer Names'!$A:$E,4,FALSE)</f>
        <v>Jason R</v>
      </c>
      <c r="D575" t="str">
        <f>VLOOKUP($A575,'Medical Examinations'!$A:$J,2,FALSE)</f>
        <v>Normal Weight</v>
      </c>
      <c r="E575">
        <f>VLOOKUP($A575,'Medical Examinations'!$A:$J,4,FALSE)</f>
        <v>4.82</v>
      </c>
      <c r="F575" t="str">
        <f>VLOOKUP($A575,'Medical Examinations'!$A:$J,6,FALSE)</f>
        <v>No</v>
      </c>
      <c r="G575" t="str">
        <f>VLOOKUP($A575,'Medical Examinations'!$A:$J,7,FALSE)</f>
        <v>No</v>
      </c>
      <c r="H575" t="str">
        <f>VLOOKUP($A575,'Medical Examinations'!$A:$J,8,FALSE)</f>
        <v>No</v>
      </c>
      <c r="I575">
        <f>VLOOKUP($A575,'Medical Examinations'!$A:$J,9,FALSE)</f>
        <v>0</v>
      </c>
      <c r="J575" t="str">
        <f>VLOOKUP($A575,'Medical Examinations'!$A:$J,10,FALSE)</f>
        <v>yes</v>
      </c>
      <c r="K575" t="str">
        <f>VLOOKUP($A575,'Medical Examinations'!$A:$J,5,FALSE)</f>
        <v>Normal</v>
      </c>
      <c r="L575">
        <f>VLOOKUP($A576,'Medical Examinations'!$A:$J,3,FALSE)</f>
        <v>27.36</v>
      </c>
      <c r="M575">
        <f>VLOOKUP($A575,'Hospitalisation Details'!$A:$K,6,FALSE)</f>
        <v>17179.52</v>
      </c>
      <c r="N575" s="11">
        <f>VLOOKUP($B575,'Hospitalisation Details'!A574:J2918,10,0)</f>
        <v>28285</v>
      </c>
      <c r="O575" t="str">
        <f>VLOOKUP($B575,'Hospitalisation Details'!A574:J2918,8,0)</f>
        <v>tier - 3</v>
      </c>
      <c r="P575" t="str">
        <f>VLOOKUP($B575,'Hospitalisation Details'!A574:J2918,7,0)</f>
        <v>tier - 2</v>
      </c>
      <c r="Q575" t="str">
        <f>VLOOKUP($B575,'Hospitalisation Details'!A574:J2918,9,0)</f>
        <v>R1013</v>
      </c>
      <c r="R575">
        <f>VLOOKUP($B575,'Hospitalisation Details'!A574:K2918,11,0)</f>
        <v>45</v>
      </c>
    </row>
    <row r="576" spans="1:18" x14ac:dyDescent="0.35">
      <c r="A576" t="s">
        <v>1796</v>
      </c>
      <c r="B576" t="s">
        <v>607</v>
      </c>
      <c r="C576" t="str">
        <f>VLOOKUP($A576,'Customer Names'!$A:$E,4,FALSE)</f>
        <v>Yoshinori</v>
      </c>
      <c r="D576" t="str">
        <f>VLOOKUP($A576,'Medical Examinations'!$A:$J,2,FALSE)</f>
        <v>Overweight</v>
      </c>
      <c r="E576">
        <f>VLOOKUP($A576,'Medical Examinations'!$A:$J,4,FALSE)</f>
        <v>4.6500000000000004</v>
      </c>
      <c r="F576" t="str">
        <f>VLOOKUP($A576,'Medical Examinations'!$A:$J,6,FALSE)</f>
        <v>No</v>
      </c>
      <c r="G576" t="str">
        <f>VLOOKUP($A576,'Medical Examinations'!$A:$J,7,FALSE)</f>
        <v>yes</v>
      </c>
      <c r="H576" t="str">
        <f>VLOOKUP($A576,'Medical Examinations'!$A:$J,8,FALSE)</f>
        <v>No</v>
      </c>
      <c r="I576">
        <f>VLOOKUP($A576,'Medical Examinations'!$A:$J,9,FALSE)</f>
        <v>1</v>
      </c>
      <c r="J576" t="str">
        <f>VLOOKUP($A576,'Medical Examinations'!$A:$J,10,FALSE)</f>
        <v>yes</v>
      </c>
      <c r="K576" t="str">
        <f>VLOOKUP($A576,'Medical Examinations'!$A:$J,5,FALSE)</f>
        <v>Normal</v>
      </c>
      <c r="L576">
        <f>VLOOKUP($A577,'Medical Examinations'!$A:$J,3,FALSE)</f>
        <v>42.95</v>
      </c>
      <c r="M576">
        <f>VLOOKUP($A576,'Hospitalisation Details'!$A:$K,6,FALSE)</f>
        <v>17178.68</v>
      </c>
      <c r="N576" s="11">
        <f>VLOOKUP($B576,'Hospitalisation Details'!A575:J2919,10,0)</f>
        <v>32332</v>
      </c>
      <c r="O576" t="str">
        <f>VLOOKUP($B576,'Hospitalisation Details'!A575:J2919,8,0)</f>
        <v>tier - 3</v>
      </c>
      <c r="P576" t="str">
        <f>VLOOKUP($B576,'Hospitalisation Details'!A575:J2919,7,0)</f>
        <v>tier - 2</v>
      </c>
      <c r="Q576" t="str">
        <f>VLOOKUP($B576,'Hospitalisation Details'!A575:J2919,9,0)</f>
        <v>R1011</v>
      </c>
      <c r="R576">
        <f>VLOOKUP($B576,'Hospitalisation Details'!A575:K2919,11,0)</f>
        <v>34</v>
      </c>
    </row>
    <row r="577" spans="1:18" x14ac:dyDescent="0.35">
      <c r="A577" t="s">
        <v>1795</v>
      </c>
      <c r="B577" t="s">
        <v>608</v>
      </c>
      <c r="C577" t="str">
        <f>VLOOKUP($A577,'Customer Names'!$A:$E,4,FALSE)</f>
        <v>Adrienne G.</v>
      </c>
      <c r="D577" t="str">
        <f>VLOOKUP($A577,'Medical Examinations'!$A:$J,2,FALSE)</f>
        <v>Obesity</v>
      </c>
      <c r="E577">
        <f>VLOOKUP($A577,'Medical Examinations'!$A:$J,4,FALSE)</f>
        <v>5.16</v>
      </c>
      <c r="F577" t="str">
        <f>VLOOKUP($A577,'Medical Examinations'!$A:$J,6,FALSE)</f>
        <v>yes</v>
      </c>
      <c r="G577" t="str">
        <f>VLOOKUP($A577,'Medical Examinations'!$A:$J,7,FALSE)</f>
        <v>No</v>
      </c>
      <c r="H577" t="str">
        <f>VLOOKUP($A577,'Medical Examinations'!$A:$J,8,FALSE)</f>
        <v>No</v>
      </c>
      <c r="I577">
        <f>VLOOKUP($A577,'Medical Examinations'!$A:$J,9,FALSE)</f>
        <v>1</v>
      </c>
      <c r="J577" t="str">
        <f>VLOOKUP($A577,'Medical Examinations'!$A:$J,10,FALSE)</f>
        <v>No</v>
      </c>
      <c r="K577" t="str">
        <f>VLOOKUP($A577,'Medical Examinations'!$A:$J,5,FALSE)</f>
        <v>Normal</v>
      </c>
      <c r="L577">
        <f>VLOOKUP($A578,'Medical Examinations'!$A:$J,3,FALSE)</f>
        <v>42.66</v>
      </c>
      <c r="M577">
        <f>VLOOKUP($A577,'Hospitalisation Details'!$A:$K,6,FALSE)</f>
        <v>17174.52</v>
      </c>
      <c r="N577" s="11">
        <f>VLOOKUP($B577,'Hospitalisation Details'!A576:J2920,10,0)</f>
        <v>32456</v>
      </c>
      <c r="O577" t="str">
        <f>VLOOKUP($B577,'Hospitalisation Details'!A576:J2920,8,0)</f>
        <v>tier - 3</v>
      </c>
      <c r="P577" t="str">
        <f>VLOOKUP($B577,'Hospitalisation Details'!A576:J2920,7,0)</f>
        <v>tier - 2</v>
      </c>
      <c r="Q577" t="str">
        <f>VLOOKUP($B577,'Hospitalisation Details'!A576:J2920,9,0)</f>
        <v>R1011</v>
      </c>
      <c r="R577">
        <f>VLOOKUP($B577,'Hospitalisation Details'!A576:K2920,11,0)</f>
        <v>34</v>
      </c>
    </row>
    <row r="578" spans="1:18" x14ac:dyDescent="0.35">
      <c r="A578" t="s">
        <v>1794</v>
      </c>
      <c r="B578" t="s">
        <v>609</v>
      </c>
      <c r="C578" t="str">
        <f>VLOOKUP($A578,'Customer Names'!$A:$E,4,FALSE)</f>
        <v>Meredith</v>
      </c>
      <c r="D578" t="str">
        <f>VLOOKUP($A578,'Medical Examinations'!$A:$J,2,FALSE)</f>
        <v>Obesity</v>
      </c>
      <c r="E578">
        <f>VLOOKUP($A578,'Medical Examinations'!$A:$J,4,FALSE)</f>
        <v>10.44</v>
      </c>
      <c r="F578" t="str">
        <f>VLOOKUP($A578,'Medical Examinations'!$A:$J,6,FALSE)</f>
        <v>No</v>
      </c>
      <c r="G578" t="str">
        <f>VLOOKUP($A578,'Medical Examinations'!$A:$J,7,FALSE)</f>
        <v>No</v>
      </c>
      <c r="H578" t="str">
        <f>VLOOKUP($A578,'Medical Examinations'!$A:$J,8,FALSE)</f>
        <v>No</v>
      </c>
      <c r="I578">
        <f>VLOOKUP($A578,'Medical Examinations'!$A:$J,9,FALSE)</f>
        <v>0</v>
      </c>
      <c r="J578" t="str">
        <f>VLOOKUP($A578,'Medical Examinations'!$A:$J,10,FALSE)</f>
        <v>No</v>
      </c>
      <c r="K578" t="str">
        <f>VLOOKUP($A578,'Medical Examinations'!$A:$J,5,FALSE)</f>
        <v>Diabetes</v>
      </c>
      <c r="L578">
        <f>VLOOKUP($A579,'Medical Examinations'!$A:$J,3,FALSE)</f>
        <v>33.630000000000003</v>
      </c>
      <c r="M578">
        <f>VLOOKUP($A578,'Hospitalisation Details'!$A:$K,6,FALSE)</f>
        <v>17172.27</v>
      </c>
      <c r="N578" s="11">
        <f>VLOOKUP($B578,'Hospitalisation Details'!A577:J2921,10,0)</f>
        <v>31409</v>
      </c>
      <c r="O578" t="str">
        <f>VLOOKUP($B578,'Hospitalisation Details'!A577:J2921,8,0)</f>
        <v>tier - 2</v>
      </c>
      <c r="P578" t="str">
        <f>VLOOKUP($B578,'Hospitalisation Details'!A577:J2921,7,0)</f>
        <v>tier - 1</v>
      </c>
      <c r="Q578" t="str">
        <f>VLOOKUP($B578,'Hospitalisation Details'!A577:J2921,9,0)</f>
        <v>R1012</v>
      </c>
      <c r="R578">
        <f>VLOOKUP($B578,'Hospitalisation Details'!A577:K2921,11,0)</f>
        <v>37</v>
      </c>
    </row>
    <row r="579" spans="1:18" x14ac:dyDescent="0.35">
      <c r="A579" t="s">
        <v>1793</v>
      </c>
      <c r="B579" t="s">
        <v>610</v>
      </c>
      <c r="C579" t="str">
        <f>VLOOKUP($A579,'Customer Names'!$A:$E,4,FALSE)</f>
        <v>Junyong</v>
      </c>
      <c r="D579" t="str">
        <f>VLOOKUP($A579,'Medical Examinations'!$A:$J,2,FALSE)</f>
        <v>Obesity</v>
      </c>
      <c r="E579">
        <f>VLOOKUP($A579,'Medical Examinations'!$A:$J,4,FALSE)</f>
        <v>5.69</v>
      </c>
      <c r="F579" t="str">
        <f>VLOOKUP($A579,'Medical Examinations'!$A:$J,6,FALSE)</f>
        <v>No</v>
      </c>
      <c r="G579" t="str">
        <f>VLOOKUP($A579,'Medical Examinations'!$A:$J,7,FALSE)</f>
        <v>No</v>
      </c>
      <c r="H579" t="str">
        <f>VLOOKUP($A579,'Medical Examinations'!$A:$J,8,FALSE)</f>
        <v>No</v>
      </c>
      <c r="I579">
        <f>VLOOKUP($A579,'Medical Examinations'!$A:$J,9,FALSE)</f>
        <v>1</v>
      </c>
      <c r="J579" t="str">
        <f>VLOOKUP($A579,'Medical Examinations'!$A:$J,10,FALSE)</f>
        <v>No</v>
      </c>
      <c r="K579" t="str">
        <f>VLOOKUP($A579,'Medical Examinations'!$A:$J,5,FALSE)</f>
        <v>Normal</v>
      </c>
      <c r="L579">
        <f>VLOOKUP($A580,'Medical Examinations'!$A:$J,3,FALSE)</f>
        <v>26.84</v>
      </c>
      <c r="M579">
        <f>VLOOKUP($A579,'Hospitalisation Details'!$A:$K,6,FALSE)</f>
        <v>17128.43</v>
      </c>
      <c r="N579" s="11">
        <f>VLOOKUP($B579,'Hospitalisation Details'!A578:J2922,10,0)</f>
        <v>33491</v>
      </c>
      <c r="O579" t="str">
        <f>VLOOKUP($B579,'Hospitalisation Details'!A578:J2922,8,0)</f>
        <v>tier - 1</v>
      </c>
      <c r="P579" t="str">
        <f>VLOOKUP($B579,'Hospitalisation Details'!A578:J2922,7,0)</f>
        <v>tier - 3</v>
      </c>
      <c r="Q579" t="str">
        <f>VLOOKUP($B579,'Hospitalisation Details'!A578:J2922,9,0)</f>
        <v>R1016</v>
      </c>
      <c r="R579">
        <f>VLOOKUP($B579,'Hospitalisation Details'!A578:K2922,11,0)</f>
        <v>31</v>
      </c>
    </row>
    <row r="580" spans="1:18" x14ac:dyDescent="0.35">
      <c r="A580" t="s">
        <v>1792</v>
      </c>
      <c r="B580" t="s">
        <v>611</v>
      </c>
      <c r="C580" t="str">
        <f>VLOOKUP($A580,'Customer Names'!$A:$E,4,FALSE)</f>
        <v>Kristen A.</v>
      </c>
      <c r="D580" t="str">
        <f>VLOOKUP($A580,'Medical Examinations'!$A:$J,2,FALSE)</f>
        <v>Overweight</v>
      </c>
      <c r="E580">
        <f>VLOOKUP($A580,'Medical Examinations'!$A:$J,4,FALSE)</f>
        <v>6.5</v>
      </c>
      <c r="F580" t="str">
        <f>VLOOKUP($A580,'Medical Examinations'!$A:$J,6,FALSE)</f>
        <v>No</v>
      </c>
      <c r="G580" t="str">
        <f>VLOOKUP($A580,'Medical Examinations'!$A:$J,7,FALSE)</f>
        <v>No</v>
      </c>
      <c r="H580" t="str">
        <f>VLOOKUP($A580,'Medical Examinations'!$A:$J,8,FALSE)</f>
        <v>No</v>
      </c>
      <c r="I580">
        <f>VLOOKUP($A580,'Medical Examinations'!$A:$J,9,FALSE)</f>
        <v>0</v>
      </c>
      <c r="J580" t="str">
        <f>VLOOKUP($A580,'Medical Examinations'!$A:$J,10,FALSE)</f>
        <v>yes</v>
      </c>
      <c r="K580" t="str">
        <f>VLOOKUP($A580,'Medical Examinations'!$A:$J,5,FALSE)</f>
        <v>Diabetes</v>
      </c>
      <c r="L580">
        <f>VLOOKUP($A581,'Medical Examinations'!$A:$J,3,FALSE)</f>
        <v>28.3</v>
      </c>
      <c r="M580">
        <f>VLOOKUP($A580,'Hospitalisation Details'!$A:$K,6,FALSE)</f>
        <v>17085.27</v>
      </c>
      <c r="N580" s="11">
        <f>VLOOKUP($B580,'Hospitalisation Details'!A579:J2923,10,0)</f>
        <v>31592</v>
      </c>
      <c r="O580" t="str">
        <f>VLOOKUP($B580,'Hospitalisation Details'!A579:J2923,8,0)</f>
        <v>tier - 2</v>
      </c>
      <c r="P580" t="str">
        <f>VLOOKUP($B580,'Hospitalisation Details'!A579:J2923,7,0)</f>
        <v>tier - 2</v>
      </c>
      <c r="Q580" t="str">
        <f>VLOOKUP($B580,'Hospitalisation Details'!A579:J2923,9,0)</f>
        <v>R1013</v>
      </c>
      <c r="R580">
        <f>VLOOKUP($B580,'Hospitalisation Details'!A579:K2923,11,0)</f>
        <v>36</v>
      </c>
    </row>
    <row r="581" spans="1:18" x14ac:dyDescent="0.35">
      <c r="A581" t="s">
        <v>1791</v>
      </c>
      <c r="B581" t="s">
        <v>612</v>
      </c>
      <c r="C581" t="str">
        <f>VLOOKUP($A581,'Customer Names'!$A:$E,4,FALSE)</f>
        <v>Maria I.</v>
      </c>
      <c r="D581" t="str">
        <f>VLOOKUP($A581,'Medical Examinations'!$A:$J,2,FALSE)</f>
        <v>Overweight</v>
      </c>
      <c r="E581">
        <f>VLOOKUP($A581,'Medical Examinations'!$A:$J,4,FALSE)</f>
        <v>5.73</v>
      </c>
      <c r="F581" t="str">
        <f>VLOOKUP($A581,'Medical Examinations'!$A:$J,6,FALSE)</f>
        <v>No</v>
      </c>
      <c r="G581" t="str">
        <f>VLOOKUP($A581,'Medical Examinations'!$A:$J,7,FALSE)</f>
        <v>No</v>
      </c>
      <c r="H581" t="str">
        <f>VLOOKUP($A581,'Medical Examinations'!$A:$J,8,FALSE)</f>
        <v>Yes</v>
      </c>
      <c r="I581">
        <f>VLOOKUP($A581,'Medical Examinations'!$A:$J,9,FALSE)</f>
        <v>1</v>
      </c>
      <c r="J581" t="str">
        <f>VLOOKUP($A581,'Medical Examinations'!$A:$J,10,FALSE)</f>
        <v>yes</v>
      </c>
      <c r="K581" t="str">
        <f>VLOOKUP($A581,'Medical Examinations'!$A:$J,5,FALSE)</f>
        <v>Prediabetes</v>
      </c>
      <c r="L581">
        <f>VLOOKUP($A582,'Medical Examinations'!$A:$J,3,FALSE)</f>
        <v>27.06</v>
      </c>
      <c r="M581">
        <f>VLOOKUP($A581,'Hospitalisation Details'!$A:$K,6,FALSE)</f>
        <v>17081.080000000002</v>
      </c>
      <c r="N581" s="11">
        <f>VLOOKUP($B581,'Hospitalisation Details'!A580:J2924,10,0)</f>
        <v>35768</v>
      </c>
      <c r="O581" t="str">
        <f>VLOOKUP($B581,'Hospitalisation Details'!A580:J2924,8,0)</f>
        <v>tier - 2</v>
      </c>
      <c r="P581" t="str">
        <f>VLOOKUP($B581,'Hospitalisation Details'!A580:J2924,7,0)</f>
        <v>tier - 2</v>
      </c>
      <c r="Q581" t="str">
        <f>VLOOKUP($B581,'Hospitalisation Details'!A580:J2924,9,0)</f>
        <v>R1025</v>
      </c>
      <c r="R581">
        <f>VLOOKUP($B581,'Hospitalisation Details'!A580:K2924,11,0)</f>
        <v>25</v>
      </c>
    </row>
    <row r="582" spans="1:18" x14ac:dyDescent="0.35">
      <c r="A582" t="s">
        <v>1790</v>
      </c>
      <c r="B582" t="s">
        <v>613</v>
      </c>
      <c r="C582" t="str">
        <f>VLOOKUP($A582,'Customer Names'!$A:$E,4,FALSE)</f>
        <v>Jonathan</v>
      </c>
      <c r="D582" t="str">
        <f>VLOOKUP($A582,'Medical Examinations'!$A:$J,2,FALSE)</f>
        <v>Overweight</v>
      </c>
      <c r="E582">
        <f>VLOOKUP($A582,'Medical Examinations'!$A:$J,4,FALSE)</f>
        <v>5.74</v>
      </c>
      <c r="F582" t="str">
        <f>VLOOKUP($A582,'Medical Examinations'!$A:$J,6,FALSE)</f>
        <v>yes</v>
      </c>
      <c r="G582" t="str">
        <f>VLOOKUP($A582,'Medical Examinations'!$A:$J,7,FALSE)</f>
        <v>No</v>
      </c>
      <c r="H582" t="str">
        <f>VLOOKUP($A582,'Medical Examinations'!$A:$J,8,FALSE)</f>
        <v>No</v>
      </c>
      <c r="I582">
        <f>VLOOKUP($A582,'Medical Examinations'!$A:$J,9,FALSE)</f>
        <v>0</v>
      </c>
      <c r="J582" t="str">
        <f>VLOOKUP($A582,'Medical Examinations'!$A:$J,10,FALSE)</f>
        <v>yes</v>
      </c>
      <c r="K582" t="str">
        <f>VLOOKUP($A582,'Medical Examinations'!$A:$J,5,FALSE)</f>
        <v>Prediabetes</v>
      </c>
      <c r="L582">
        <f>VLOOKUP($A583,'Medical Examinations'!$A:$J,3,FALSE)</f>
        <v>47.13</v>
      </c>
      <c r="M582">
        <f>VLOOKUP($A582,'Hospitalisation Details'!$A:$K,6,FALSE)</f>
        <v>17043.34</v>
      </c>
      <c r="N582" s="11">
        <f>VLOOKUP($B582,'Hospitalisation Details'!A581:J2925,10,0)</f>
        <v>37180</v>
      </c>
      <c r="O582" t="str">
        <f>VLOOKUP($B582,'Hospitalisation Details'!A581:J2925,8,0)</f>
        <v>tier - 3</v>
      </c>
      <c r="P582" t="str">
        <f>VLOOKUP($B582,'Hospitalisation Details'!A581:J2925,7,0)</f>
        <v>tier - 2</v>
      </c>
      <c r="Q582" t="str">
        <f>VLOOKUP($B582,'Hospitalisation Details'!A581:J2925,9,0)</f>
        <v>R1011</v>
      </c>
      <c r="R582">
        <f>VLOOKUP($B582,'Hospitalisation Details'!A581:K2925,11,0)</f>
        <v>21</v>
      </c>
    </row>
    <row r="583" spans="1:18" x14ac:dyDescent="0.35">
      <c r="A583" t="s">
        <v>1789</v>
      </c>
      <c r="B583" t="s">
        <v>614</v>
      </c>
      <c r="C583" t="str">
        <f>VLOOKUP($A583,'Customer Names'!$A:$E,4,FALSE)</f>
        <v>Phil</v>
      </c>
      <c r="D583" t="str">
        <f>VLOOKUP($A583,'Medical Examinations'!$A:$J,2,FALSE)</f>
        <v>Obesity</v>
      </c>
      <c r="E583">
        <f>VLOOKUP($A583,'Medical Examinations'!$A:$J,4,FALSE)</f>
        <v>8.6999999999999993</v>
      </c>
      <c r="F583" t="str">
        <f>VLOOKUP($A583,'Medical Examinations'!$A:$J,6,FALSE)</f>
        <v>No</v>
      </c>
      <c r="G583" t="str">
        <f>VLOOKUP($A583,'Medical Examinations'!$A:$J,7,FALSE)</f>
        <v>No</v>
      </c>
      <c r="H583" t="str">
        <f>VLOOKUP($A583,'Medical Examinations'!$A:$J,8,FALSE)</f>
        <v>No</v>
      </c>
      <c r="I583">
        <f>VLOOKUP($A583,'Medical Examinations'!$A:$J,9,FALSE)</f>
        <v>0</v>
      </c>
      <c r="J583" t="str">
        <f>VLOOKUP($A583,'Medical Examinations'!$A:$J,10,FALSE)</f>
        <v>No</v>
      </c>
      <c r="K583" t="str">
        <f>VLOOKUP($A583,'Medical Examinations'!$A:$J,5,FALSE)</f>
        <v>Diabetes</v>
      </c>
      <c r="L583">
        <f>VLOOKUP($A584,'Medical Examinations'!$A:$J,3,FALSE)</f>
        <v>51.72</v>
      </c>
      <c r="M583">
        <f>VLOOKUP($A583,'Hospitalisation Details'!$A:$K,6,FALSE)</f>
        <v>17016.009999999998</v>
      </c>
      <c r="N583" s="11">
        <f>VLOOKUP($B583,'Hospitalisation Details'!A582:J2926,10,0)</f>
        <v>35640</v>
      </c>
      <c r="O583" t="str">
        <f>VLOOKUP($B583,'Hospitalisation Details'!A582:J2926,8,0)</f>
        <v>tier - 2</v>
      </c>
      <c r="P583" t="str">
        <f>VLOOKUP($B583,'Hospitalisation Details'!A582:J2926,7,0)</f>
        <v>tier - 2</v>
      </c>
      <c r="Q583" t="str">
        <f>VLOOKUP($B583,'Hospitalisation Details'!A582:J2926,9,0)</f>
        <v>R1012</v>
      </c>
      <c r="R583">
        <f>VLOOKUP($B583,'Hospitalisation Details'!A582:K2926,11,0)</f>
        <v>25</v>
      </c>
    </row>
    <row r="584" spans="1:18" x14ac:dyDescent="0.35">
      <c r="A584" t="s">
        <v>1788</v>
      </c>
      <c r="B584" t="s">
        <v>615</v>
      </c>
      <c r="C584" t="str">
        <f>VLOOKUP($A584,'Customer Names'!$A:$E,4,FALSE)</f>
        <v>Benjamina C</v>
      </c>
      <c r="D584" t="str">
        <f>VLOOKUP($A584,'Medical Examinations'!$A:$J,2,FALSE)</f>
        <v>Obesity</v>
      </c>
      <c r="E584">
        <f>VLOOKUP($A584,'Medical Examinations'!$A:$J,4,FALSE)</f>
        <v>5.09</v>
      </c>
      <c r="F584" t="str">
        <f>VLOOKUP($A584,'Medical Examinations'!$A:$J,6,FALSE)</f>
        <v>No</v>
      </c>
      <c r="G584" t="str">
        <f>VLOOKUP($A584,'Medical Examinations'!$A:$J,7,FALSE)</f>
        <v>No</v>
      </c>
      <c r="H584" t="str">
        <f>VLOOKUP($A584,'Medical Examinations'!$A:$J,8,FALSE)</f>
        <v>No</v>
      </c>
      <c r="I584">
        <f>VLOOKUP($A584,'Medical Examinations'!$A:$J,9,FALSE)</f>
        <v>0</v>
      </c>
      <c r="J584" t="str">
        <f>VLOOKUP($A584,'Medical Examinations'!$A:$J,10,FALSE)</f>
        <v>No</v>
      </c>
      <c r="K584" t="str">
        <f>VLOOKUP($A584,'Medical Examinations'!$A:$J,5,FALSE)</f>
        <v>Normal</v>
      </c>
      <c r="L584">
        <f>VLOOKUP($A585,'Medical Examinations'!$A:$J,3,FALSE)</f>
        <v>48.59</v>
      </c>
      <c r="M584">
        <f>VLOOKUP($A584,'Hospitalisation Details'!$A:$K,6,FALSE)</f>
        <v>16990.55</v>
      </c>
      <c r="N584" s="11">
        <f>VLOOKUP($B584,'Hospitalisation Details'!A583:J2927,10,0)</f>
        <v>29471</v>
      </c>
      <c r="O584" t="str">
        <f>VLOOKUP($B584,'Hospitalisation Details'!A583:J2927,8,0)</f>
        <v>tier - 2</v>
      </c>
      <c r="P584" t="str">
        <f>VLOOKUP($B584,'Hospitalisation Details'!A583:J2927,7,0)</f>
        <v>tier - 2</v>
      </c>
      <c r="Q584" t="str">
        <f>VLOOKUP($B584,'Hospitalisation Details'!A583:J2927,9,0)</f>
        <v>R1013</v>
      </c>
      <c r="R584">
        <f>VLOOKUP($B584,'Hospitalisation Details'!A583:K2927,11,0)</f>
        <v>42</v>
      </c>
    </row>
    <row r="585" spans="1:18" x14ac:dyDescent="0.35">
      <c r="A585" t="s">
        <v>1787</v>
      </c>
      <c r="B585" t="s">
        <v>616</v>
      </c>
      <c r="C585" t="str">
        <f>VLOOKUP($A585,'Customer Names'!$A:$E,4,FALSE)</f>
        <v>Christopher</v>
      </c>
      <c r="D585" t="str">
        <f>VLOOKUP($A585,'Medical Examinations'!$A:$J,2,FALSE)</f>
        <v>Obesity</v>
      </c>
      <c r="E585">
        <f>VLOOKUP($A585,'Medical Examinations'!$A:$J,4,FALSE)</f>
        <v>5.57</v>
      </c>
      <c r="F585" t="str">
        <f>VLOOKUP($A585,'Medical Examinations'!$A:$J,6,FALSE)</f>
        <v>No</v>
      </c>
      <c r="G585" t="str">
        <f>VLOOKUP($A585,'Medical Examinations'!$A:$J,7,FALSE)</f>
        <v>No</v>
      </c>
      <c r="H585" t="str">
        <f>VLOOKUP($A585,'Medical Examinations'!$A:$J,8,FALSE)</f>
        <v>No</v>
      </c>
      <c r="I585">
        <f>VLOOKUP($A585,'Medical Examinations'!$A:$J,9,FALSE)</f>
        <v>0</v>
      </c>
      <c r="J585" t="str">
        <f>VLOOKUP($A585,'Medical Examinations'!$A:$J,10,FALSE)</f>
        <v>No</v>
      </c>
      <c r="K585" t="str">
        <f>VLOOKUP($A585,'Medical Examinations'!$A:$J,5,FALSE)</f>
        <v>Normal</v>
      </c>
      <c r="L585">
        <f>VLOOKUP($A586,'Medical Examinations'!$A:$J,3,FALSE)</f>
        <v>45.18</v>
      </c>
      <c r="M585">
        <f>VLOOKUP($A585,'Hospitalisation Details'!$A:$K,6,FALSE)</f>
        <v>16921.09</v>
      </c>
      <c r="N585" s="11">
        <f>VLOOKUP($B585,'Hospitalisation Details'!A584:J2928,10,0)</f>
        <v>34131</v>
      </c>
      <c r="O585" t="str">
        <f>VLOOKUP($B585,'Hospitalisation Details'!A584:J2928,8,0)</f>
        <v>tier - 1</v>
      </c>
      <c r="P585" t="str">
        <f>VLOOKUP($B585,'Hospitalisation Details'!A584:J2928,7,0)</f>
        <v>tier - 2</v>
      </c>
      <c r="Q585" t="str">
        <f>VLOOKUP($B585,'Hospitalisation Details'!A584:J2928,9,0)</f>
        <v>R1021</v>
      </c>
      <c r="R585">
        <f>VLOOKUP($B585,'Hospitalisation Details'!A584:K2928,11,0)</f>
        <v>29</v>
      </c>
    </row>
    <row r="586" spans="1:18" x14ac:dyDescent="0.35">
      <c r="A586" t="s">
        <v>1786</v>
      </c>
      <c r="B586" t="s">
        <v>617</v>
      </c>
      <c r="C586" t="str">
        <f>VLOOKUP($A586,'Customer Names'!$A:$E,4,FALSE)</f>
        <v>Alison B</v>
      </c>
      <c r="D586" t="str">
        <f>VLOOKUP($A586,'Medical Examinations'!$A:$J,2,FALSE)</f>
        <v>Obesity</v>
      </c>
      <c r="E586">
        <f>VLOOKUP($A586,'Medical Examinations'!$A:$J,4,FALSE)</f>
        <v>10.87</v>
      </c>
      <c r="F586" t="str">
        <f>VLOOKUP($A586,'Medical Examinations'!$A:$J,6,FALSE)</f>
        <v>No</v>
      </c>
      <c r="G586" t="str">
        <f>VLOOKUP($A586,'Medical Examinations'!$A:$J,7,FALSE)</f>
        <v>No</v>
      </c>
      <c r="H586" t="str">
        <f>VLOOKUP($A586,'Medical Examinations'!$A:$J,8,FALSE)</f>
        <v>No</v>
      </c>
      <c r="I586">
        <f>VLOOKUP($A586,'Medical Examinations'!$A:$J,9,FALSE)</f>
        <v>0</v>
      </c>
      <c r="J586" t="str">
        <f>VLOOKUP($A586,'Medical Examinations'!$A:$J,10,FALSE)</f>
        <v>No</v>
      </c>
      <c r="K586" t="str">
        <f>VLOOKUP($A586,'Medical Examinations'!$A:$J,5,FALSE)</f>
        <v>Diabetes</v>
      </c>
      <c r="L586">
        <f>VLOOKUP($A587,'Medical Examinations'!$A:$J,3,FALSE)</f>
        <v>27.9</v>
      </c>
      <c r="M586">
        <f>VLOOKUP($A586,'Hospitalisation Details'!$A:$K,6,FALSE)</f>
        <v>16903.5</v>
      </c>
      <c r="N586" s="11">
        <f>VLOOKUP($B586,'Hospitalisation Details'!A585:J2929,10,0)</f>
        <v>28816</v>
      </c>
      <c r="O586" t="str">
        <f>VLOOKUP($B586,'Hospitalisation Details'!A585:J2929,8,0)</f>
        <v>tier - 3</v>
      </c>
      <c r="P586" t="str">
        <f>VLOOKUP($B586,'Hospitalisation Details'!A585:J2929,7,0)</f>
        <v>tier - 2</v>
      </c>
      <c r="Q586" t="str">
        <f>VLOOKUP($B586,'Hospitalisation Details'!A585:J2929,9,0)</f>
        <v>R1012</v>
      </c>
      <c r="R586">
        <f>VLOOKUP($B586,'Hospitalisation Details'!A585:K2929,11,0)</f>
        <v>44</v>
      </c>
    </row>
    <row r="587" spans="1:18" x14ac:dyDescent="0.35">
      <c r="A587" t="s">
        <v>1785</v>
      </c>
      <c r="B587" t="s">
        <v>618</v>
      </c>
      <c r="C587" t="str">
        <f>VLOOKUP($A587,'Customer Names'!$A:$E,4,FALSE)</f>
        <v>Caroline</v>
      </c>
      <c r="D587" t="str">
        <f>VLOOKUP($A587,'Medical Examinations'!$A:$J,2,FALSE)</f>
        <v>Overweight</v>
      </c>
      <c r="E587">
        <f>VLOOKUP($A587,'Medical Examinations'!$A:$J,4,FALSE)</f>
        <v>6.02</v>
      </c>
      <c r="F587" t="str">
        <f>VLOOKUP($A587,'Medical Examinations'!$A:$J,6,FALSE)</f>
        <v>No</v>
      </c>
      <c r="G587" t="str">
        <f>VLOOKUP($A587,'Medical Examinations'!$A:$J,7,FALSE)</f>
        <v>No</v>
      </c>
      <c r="H587" t="str">
        <f>VLOOKUP($A587,'Medical Examinations'!$A:$J,8,FALSE)</f>
        <v>Yes</v>
      </c>
      <c r="I587">
        <f>VLOOKUP($A587,'Medical Examinations'!$A:$J,9,FALSE)</f>
        <v>1</v>
      </c>
      <c r="J587" t="str">
        <f>VLOOKUP($A587,'Medical Examinations'!$A:$J,10,FALSE)</f>
        <v>yes</v>
      </c>
      <c r="K587" t="str">
        <f>VLOOKUP($A587,'Medical Examinations'!$A:$J,5,FALSE)</f>
        <v>Prediabetes</v>
      </c>
      <c r="L587">
        <f>VLOOKUP($A588,'Medical Examinations'!$A:$J,3,FALSE)</f>
        <v>51.33</v>
      </c>
      <c r="M587">
        <f>VLOOKUP($A587,'Hospitalisation Details'!$A:$K,6,FALSE)</f>
        <v>16884.919999999998</v>
      </c>
      <c r="N587" s="11">
        <f>VLOOKUP($B587,'Hospitalisation Details'!A586:J2930,10,0)</f>
        <v>35625</v>
      </c>
      <c r="O587" t="str">
        <f>VLOOKUP($B587,'Hospitalisation Details'!A586:J2930,8,0)</f>
        <v>tier - 2</v>
      </c>
      <c r="P587" t="str">
        <f>VLOOKUP($B587,'Hospitalisation Details'!A586:J2930,7,0)</f>
        <v>tier - 3</v>
      </c>
      <c r="Q587" t="str">
        <f>VLOOKUP($B587,'Hospitalisation Details'!A586:J2930,9,0)</f>
        <v>R1011</v>
      </c>
      <c r="R587">
        <f>VLOOKUP($B587,'Hospitalisation Details'!A586:K2930,11,0)</f>
        <v>25</v>
      </c>
    </row>
    <row r="588" spans="1:18" x14ac:dyDescent="0.35">
      <c r="A588" t="s">
        <v>1784</v>
      </c>
      <c r="B588" t="s">
        <v>619</v>
      </c>
      <c r="C588" t="str">
        <f>VLOOKUP($A588,'Customer Names'!$A:$E,4,FALSE)</f>
        <v>Alexis N</v>
      </c>
      <c r="D588" t="str">
        <f>VLOOKUP($A588,'Medical Examinations'!$A:$J,2,FALSE)</f>
        <v>Obesity</v>
      </c>
      <c r="E588">
        <f>VLOOKUP($A588,'Medical Examinations'!$A:$J,4,FALSE)</f>
        <v>7</v>
      </c>
      <c r="F588" t="str">
        <f>VLOOKUP($A588,'Medical Examinations'!$A:$J,6,FALSE)</f>
        <v>No</v>
      </c>
      <c r="G588" t="str">
        <f>VLOOKUP($A588,'Medical Examinations'!$A:$J,7,FALSE)</f>
        <v>No</v>
      </c>
      <c r="H588" t="str">
        <f>VLOOKUP($A588,'Medical Examinations'!$A:$J,8,FALSE)</f>
        <v>No</v>
      </c>
      <c r="I588">
        <f>VLOOKUP($A588,'Medical Examinations'!$A:$J,9,FALSE)</f>
        <v>0</v>
      </c>
      <c r="J588" t="str">
        <f>VLOOKUP($A588,'Medical Examinations'!$A:$J,10,FALSE)</f>
        <v>No</v>
      </c>
      <c r="K588" t="str">
        <f>VLOOKUP($A588,'Medical Examinations'!$A:$J,5,FALSE)</f>
        <v>Diabetes</v>
      </c>
      <c r="L588">
        <f>VLOOKUP($A589,'Medical Examinations'!$A:$J,3,FALSE)</f>
        <v>30.59</v>
      </c>
      <c r="M588">
        <f>VLOOKUP($A588,'Hospitalisation Details'!$A:$K,6,FALSE)</f>
        <v>16841.32</v>
      </c>
      <c r="N588" s="11">
        <f>VLOOKUP($B588,'Hospitalisation Details'!A587:J2931,10,0)</f>
        <v>36330</v>
      </c>
      <c r="O588" t="str">
        <f>VLOOKUP($B588,'Hospitalisation Details'!A587:J2931,8,0)</f>
        <v>tier - 2</v>
      </c>
      <c r="P588" t="str">
        <f>VLOOKUP($B588,'Hospitalisation Details'!A587:J2931,7,0)</f>
        <v>tier - 2</v>
      </c>
      <c r="Q588" t="str">
        <f>VLOOKUP($B588,'Hospitalisation Details'!A587:J2931,9,0)</f>
        <v>R1026</v>
      </c>
      <c r="R588">
        <f>VLOOKUP($B588,'Hospitalisation Details'!A587:K2931,11,0)</f>
        <v>23</v>
      </c>
    </row>
    <row r="589" spans="1:18" x14ac:dyDescent="0.35">
      <c r="A589" t="s">
        <v>1783</v>
      </c>
      <c r="B589" t="s">
        <v>620</v>
      </c>
      <c r="C589" t="str">
        <f>VLOOKUP($A589,'Customer Names'!$A:$E,4,FALSE)</f>
        <v>Shanda L</v>
      </c>
      <c r="D589" t="str">
        <f>VLOOKUP($A589,'Medical Examinations'!$A:$J,2,FALSE)</f>
        <v>Obesity</v>
      </c>
      <c r="E589">
        <f>VLOOKUP($A589,'Medical Examinations'!$A:$J,4,FALSE)</f>
        <v>5.56</v>
      </c>
      <c r="F589" t="str">
        <f>VLOOKUP($A589,'Medical Examinations'!$A:$J,6,FALSE)</f>
        <v>yes</v>
      </c>
      <c r="G589" t="str">
        <f>VLOOKUP($A589,'Medical Examinations'!$A:$J,7,FALSE)</f>
        <v>No</v>
      </c>
      <c r="H589" t="str">
        <f>VLOOKUP($A589,'Medical Examinations'!$A:$J,8,FALSE)</f>
        <v>No</v>
      </c>
      <c r="I589">
        <f>VLOOKUP($A589,'Medical Examinations'!$A:$J,9,FALSE)</f>
        <v>1</v>
      </c>
      <c r="J589" t="str">
        <f>VLOOKUP($A589,'Medical Examinations'!$A:$J,10,FALSE)</f>
        <v>No</v>
      </c>
      <c r="K589" t="str">
        <f>VLOOKUP($A589,'Medical Examinations'!$A:$J,5,FALSE)</f>
        <v>Normal</v>
      </c>
      <c r="L589">
        <f>VLOOKUP($A590,'Medical Examinations'!$A:$J,3,FALSE)</f>
        <v>39.229999999999997</v>
      </c>
      <c r="M589">
        <f>VLOOKUP($A589,'Hospitalisation Details'!$A:$K,6,FALSE)</f>
        <v>16796.41</v>
      </c>
      <c r="N589" s="11">
        <f>VLOOKUP($B589,'Hospitalisation Details'!A588:J2932,10,0)</f>
        <v>32099</v>
      </c>
      <c r="O589" t="str">
        <f>VLOOKUP($B589,'Hospitalisation Details'!A588:J2932,8,0)</f>
        <v>tier - 2</v>
      </c>
      <c r="P589" t="str">
        <f>VLOOKUP($B589,'Hospitalisation Details'!A588:J2932,7,0)</f>
        <v>tier - 2</v>
      </c>
      <c r="Q589" t="str">
        <f>VLOOKUP($B589,'Hospitalisation Details'!A588:J2932,9,0)</f>
        <v>R1012</v>
      </c>
      <c r="R589">
        <f>VLOOKUP($B589,'Hospitalisation Details'!A588:K2932,11,0)</f>
        <v>35</v>
      </c>
    </row>
    <row r="590" spans="1:18" x14ac:dyDescent="0.35">
      <c r="A590" t="s">
        <v>1782</v>
      </c>
      <c r="B590" t="s">
        <v>621</v>
      </c>
      <c r="C590" t="str">
        <f>VLOOKUP($A590,'Customer Names'!$A:$E,4,FALSE)</f>
        <v>Lacey</v>
      </c>
      <c r="D590" t="str">
        <f>VLOOKUP($A590,'Medical Examinations'!$A:$J,2,FALSE)</f>
        <v>Obesity</v>
      </c>
      <c r="E590">
        <f>VLOOKUP($A590,'Medical Examinations'!$A:$J,4,FALSE)</f>
        <v>8.4499999999999993</v>
      </c>
      <c r="F590" t="str">
        <f>VLOOKUP($A590,'Medical Examinations'!$A:$J,6,FALSE)</f>
        <v>No</v>
      </c>
      <c r="G590" t="str">
        <f>VLOOKUP($A590,'Medical Examinations'!$A:$J,7,FALSE)</f>
        <v>No</v>
      </c>
      <c r="H590" t="str">
        <f>VLOOKUP($A590,'Medical Examinations'!$A:$J,8,FALSE)</f>
        <v>No</v>
      </c>
      <c r="I590">
        <f>VLOOKUP($A590,'Medical Examinations'!$A:$J,9,FALSE)</f>
        <v>0</v>
      </c>
      <c r="J590" t="str">
        <f>VLOOKUP($A590,'Medical Examinations'!$A:$J,10,FALSE)</f>
        <v>No</v>
      </c>
      <c r="K590" t="str">
        <f>VLOOKUP($A590,'Medical Examinations'!$A:$J,5,FALSE)</f>
        <v>Diabetes</v>
      </c>
      <c r="L590">
        <f>VLOOKUP($A591,'Medical Examinations'!$A:$J,3,FALSE)</f>
        <v>19.094999999999999</v>
      </c>
      <c r="M590">
        <f>VLOOKUP($A590,'Hospitalisation Details'!$A:$K,6,FALSE)</f>
        <v>16779.400000000001</v>
      </c>
      <c r="N590" s="11">
        <f>VLOOKUP($B590,'Hospitalisation Details'!A589:J2933,10,0)</f>
        <v>32448</v>
      </c>
      <c r="O590" t="str">
        <f>VLOOKUP($B590,'Hospitalisation Details'!A589:J2933,8,0)</f>
        <v>tier - 3</v>
      </c>
      <c r="P590" t="str">
        <f>VLOOKUP($B590,'Hospitalisation Details'!A589:J2933,7,0)</f>
        <v>tier - 2</v>
      </c>
      <c r="Q590" t="str">
        <f>VLOOKUP($B590,'Hospitalisation Details'!A589:J2933,9,0)</f>
        <v>R1013</v>
      </c>
      <c r="R590">
        <f>VLOOKUP($B590,'Hospitalisation Details'!A589:K2933,11,0)</f>
        <v>34</v>
      </c>
    </row>
    <row r="591" spans="1:18" x14ac:dyDescent="0.35">
      <c r="A591" t="s">
        <v>1781</v>
      </c>
      <c r="B591" t="s">
        <v>622</v>
      </c>
      <c r="C591" t="str">
        <f>VLOOKUP($A591,'Customer Names'!$A:$E,4,FALSE)</f>
        <v>Laurette</v>
      </c>
      <c r="D591" t="str">
        <f>VLOOKUP($A591,'Medical Examinations'!$A:$J,2,FALSE)</f>
        <v>Normal Weight</v>
      </c>
      <c r="E591">
        <f>VLOOKUP($A591,'Medical Examinations'!$A:$J,4,FALSE)</f>
        <v>6.19</v>
      </c>
      <c r="F591" t="str">
        <f>VLOOKUP($A591,'Medical Examinations'!$A:$J,6,FALSE)</f>
        <v>No</v>
      </c>
      <c r="G591" t="str">
        <f>VLOOKUP($A591,'Medical Examinations'!$A:$J,7,FALSE)</f>
        <v>No</v>
      </c>
      <c r="H591" t="str">
        <f>VLOOKUP($A591,'Medical Examinations'!$A:$J,8,FALSE)</f>
        <v>No</v>
      </c>
      <c r="I591">
        <f>VLOOKUP($A591,'Medical Examinations'!$A:$J,9,FALSE)</f>
        <v>0</v>
      </c>
      <c r="J591" t="str">
        <f>VLOOKUP($A591,'Medical Examinations'!$A:$J,10,FALSE)</f>
        <v>yes</v>
      </c>
      <c r="K591" t="str">
        <f>VLOOKUP($A591,'Medical Examinations'!$A:$J,5,FALSE)</f>
        <v>Prediabetes</v>
      </c>
      <c r="L591">
        <f>VLOOKUP($A592,'Medical Examinations'!$A:$J,3,FALSE)</f>
        <v>49.72</v>
      </c>
      <c r="M591">
        <f>VLOOKUP($A591,'Hospitalisation Details'!$A:$K,6,FALSE)</f>
        <v>16776.3</v>
      </c>
      <c r="N591" s="11">
        <f>VLOOKUP($B591,'Hospitalisation Details'!A590:J2934,10,0)</f>
        <v>32033</v>
      </c>
      <c r="O591" t="str">
        <f>VLOOKUP($B591,'Hospitalisation Details'!A590:J2934,8,0)</f>
        <v>tier - 2</v>
      </c>
      <c r="P591" t="str">
        <f>VLOOKUP($B591,'Hospitalisation Details'!A590:J2934,7,0)</f>
        <v>tier - 1</v>
      </c>
      <c r="Q591" t="str">
        <f>VLOOKUP($B591,'Hospitalisation Details'!A590:J2934,9,0)</f>
        <v>R1012</v>
      </c>
      <c r="R591">
        <f>VLOOKUP($B591,'Hospitalisation Details'!A590:K2934,11,0)</f>
        <v>35</v>
      </c>
    </row>
    <row r="592" spans="1:18" x14ac:dyDescent="0.35">
      <c r="A592" t="s">
        <v>1780</v>
      </c>
      <c r="B592" t="s">
        <v>623</v>
      </c>
      <c r="C592" t="str">
        <f>VLOOKUP($A592,'Customer Names'!$A:$E,4,FALSE)</f>
        <v>Jason</v>
      </c>
      <c r="D592" t="str">
        <f>VLOOKUP($A592,'Medical Examinations'!$A:$J,2,FALSE)</f>
        <v>Obesity</v>
      </c>
      <c r="E592">
        <f>VLOOKUP($A592,'Medical Examinations'!$A:$J,4,FALSE)</f>
        <v>7.71</v>
      </c>
      <c r="F592" t="str">
        <f>VLOOKUP($A592,'Medical Examinations'!$A:$J,6,FALSE)</f>
        <v>No</v>
      </c>
      <c r="G592" t="str">
        <f>VLOOKUP($A592,'Medical Examinations'!$A:$J,7,FALSE)</f>
        <v>No</v>
      </c>
      <c r="H592" t="str">
        <f>VLOOKUP($A592,'Medical Examinations'!$A:$J,8,FALSE)</f>
        <v>No</v>
      </c>
      <c r="I592">
        <f>VLOOKUP($A592,'Medical Examinations'!$A:$J,9,FALSE)</f>
        <v>0</v>
      </c>
      <c r="J592" t="str">
        <f>VLOOKUP($A592,'Medical Examinations'!$A:$J,10,FALSE)</f>
        <v>No</v>
      </c>
      <c r="K592" t="str">
        <f>VLOOKUP($A592,'Medical Examinations'!$A:$J,5,FALSE)</f>
        <v>Diabetes</v>
      </c>
      <c r="L592">
        <f>VLOOKUP($A593,'Medical Examinations'!$A:$J,3,FALSE)</f>
        <v>21.754999999999999</v>
      </c>
      <c r="M592">
        <f>VLOOKUP($A592,'Hospitalisation Details'!$A:$K,6,FALSE)</f>
        <v>16770.990000000002</v>
      </c>
      <c r="N592" s="11">
        <f>VLOOKUP($B592,'Hospitalisation Details'!A591:J2935,10,0)</f>
        <v>32401</v>
      </c>
      <c r="O592" t="str">
        <f>VLOOKUP($B592,'Hospitalisation Details'!A591:J2935,8,0)</f>
        <v>tier - 1</v>
      </c>
      <c r="P592" t="str">
        <f>VLOOKUP($B592,'Hospitalisation Details'!A591:J2935,7,0)</f>
        <v>tier - 2</v>
      </c>
      <c r="Q592" t="str">
        <f>VLOOKUP($B592,'Hospitalisation Details'!A591:J2935,9,0)</f>
        <v>R1013</v>
      </c>
      <c r="R592">
        <f>VLOOKUP($B592,'Hospitalisation Details'!A591:K2935,11,0)</f>
        <v>34</v>
      </c>
    </row>
    <row r="593" spans="1:18" x14ac:dyDescent="0.35">
      <c r="A593" t="s">
        <v>1779</v>
      </c>
      <c r="B593" t="s">
        <v>624</v>
      </c>
      <c r="C593" t="str">
        <f>VLOOKUP($A593,'Customer Names'!$A:$E,4,FALSE)</f>
        <v>Mary</v>
      </c>
      <c r="D593" t="str">
        <f>VLOOKUP($A593,'Medical Examinations'!$A:$J,2,FALSE)</f>
        <v>Normal Weight</v>
      </c>
      <c r="E593">
        <f>VLOOKUP($A593,'Medical Examinations'!$A:$J,4,FALSE)</f>
        <v>4.63</v>
      </c>
      <c r="F593" t="str">
        <f>VLOOKUP($A593,'Medical Examinations'!$A:$J,6,FALSE)</f>
        <v>No</v>
      </c>
      <c r="G593" t="str">
        <f>VLOOKUP($A593,'Medical Examinations'!$A:$J,7,FALSE)</f>
        <v>No</v>
      </c>
      <c r="H593" t="str">
        <f>VLOOKUP($A593,'Medical Examinations'!$A:$J,8,FALSE)</f>
        <v>Yes</v>
      </c>
      <c r="I593">
        <f>VLOOKUP($A593,'Medical Examinations'!$A:$J,9,FALSE)</f>
        <v>1</v>
      </c>
      <c r="J593" t="str">
        <f>VLOOKUP($A593,'Medical Examinations'!$A:$J,10,FALSE)</f>
        <v>yes</v>
      </c>
      <c r="K593" t="str">
        <f>VLOOKUP($A593,'Medical Examinations'!$A:$J,5,FALSE)</f>
        <v>Normal</v>
      </c>
      <c r="L593">
        <f>VLOOKUP($A594,'Medical Examinations'!$A:$J,3,FALSE)</f>
        <v>48.39</v>
      </c>
      <c r="M593">
        <f>VLOOKUP($A593,'Hospitalisation Details'!$A:$K,6,FALSE)</f>
        <v>16657.72</v>
      </c>
      <c r="N593" s="11">
        <f>VLOOKUP($B593,'Hospitalisation Details'!A592:J2936,10,0)</f>
        <v>34313</v>
      </c>
      <c r="O593" t="str">
        <f>VLOOKUP($B593,'Hospitalisation Details'!A592:J2936,8,0)</f>
        <v>tier - 2</v>
      </c>
      <c r="P593" t="str">
        <f>VLOOKUP($B593,'Hospitalisation Details'!A592:J2936,7,0)</f>
        <v>tier - 2</v>
      </c>
      <c r="Q593" t="str">
        <f>VLOOKUP($B593,'Hospitalisation Details'!A592:J2936,9,0)</f>
        <v>R1013</v>
      </c>
      <c r="R593">
        <f>VLOOKUP($B593,'Hospitalisation Details'!A592:K2936,11,0)</f>
        <v>29</v>
      </c>
    </row>
    <row r="594" spans="1:18" x14ac:dyDescent="0.35">
      <c r="A594" t="s">
        <v>1778</v>
      </c>
      <c r="B594" t="s">
        <v>625</v>
      </c>
      <c r="C594" t="str">
        <f>VLOOKUP($A594,'Customer Names'!$A:$E,4,FALSE)</f>
        <v>Kati A</v>
      </c>
      <c r="D594" t="str">
        <f>VLOOKUP($A594,'Medical Examinations'!$A:$J,2,FALSE)</f>
        <v>Obesity</v>
      </c>
      <c r="E594">
        <f>VLOOKUP($A594,'Medical Examinations'!$A:$J,4,FALSE)</f>
        <v>4.6100000000000003</v>
      </c>
      <c r="F594" t="str">
        <f>VLOOKUP($A594,'Medical Examinations'!$A:$J,6,FALSE)</f>
        <v>No</v>
      </c>
      <c r="G594" t="str">
        <f>VLOOKUP($A594,'Medical Examinations'!$A:$J,7,FALSE)</f>
        <v>No</v>
      </c>
      <c r="H594" t="str">
        <f>VLOOKUP($A594,'Medical Examinations'!$A:$J,8,FALSE)</f>
        <v>No</v>
      </c>
      <c r="I594">
        <f>VLOOKUP($A594,'Medical Examinations'!$A:$J,9,FALSE)</f>
        <v>0</v>
      </c>
      <c r="J594" t="str">
        <f>VLOOKUP($A594,'Medical Examinations'!$A:$J,10,FALSE)</f>
        <v>No</v>
      </c>
      <c r="K594" t="str">
        <f>VLOOKUP($A594,'Medical Examinations'!$A:$J,5,FALSE)</f>
        <v>Normal</v>
      </c>
      <c r="L594">
        <f>VLOOKUP($A595,'Medical Examinations'!$A:$J,3,FALSE)</f>
        <v>47.15</v>
      </c>
      <c r="M594">
        <f>VLOOKUP($A594,'Hospitalisation Details'!$A:$K,6,FALSE)</f>
        <v>16631.61</v>
      </c>
      <c r="N594" s="11">
        <f>VLOOKUP($B594,'Hospitalisation Details'!A593:J2937,10,0)</f>
        <v>30916</v>
      </c>
      <c r="O594" t="str">
        <f>VLOOKUP($B594,'Hospitalisation Details'!A593:J2937,8,0)</f>
        <v>tier - 1</v>
      </c>
      <c r="P594" t="str">
        <f>VLOOKUP($B594,'Hospitalisation Details'!A593:J2937,7,0)</f>
        <v>tier - 2</v>
      </c>
      <c r="Q594" t="str">
        <f>VLOOKUP($B594,'Hospitalisation Details'!A593:J2937,9,0)</f>
        <v>R1013</v>
      </c>
      <c r="R594">
        <f>VLOOKUP($B594,'Hospitalisation Details'!A593:K2937,11,0)</f>
        <v>38</v>
      </c>
    </row>
    <row r="595" spans="1:18" x14ac:dyDescent="0.35">
      <c r="A595" t="s">
        <v>1777</v>
      </c>
      <c r="B595" t="s">
        <v>626</v>
      </c>
      <c r="C595" t="str">
        <f>VLOOKUP($A595,'Customer Names'!$A:$E,4,FALSE)</f>
        <v>Kelly J</v>
      </c>
      <c r="D595" t="str">
        <f>VLOOKUP($A595,'Medical Examinations'!$A:$J,2,FALSE)</f>
        <v>Obesity</v>
      </c>
      <c r="E595">
        <f>VLOOKUP($A595,'Medical Examinations'!$A:$J,4,FALSE)</f>
        <v>9.5299999999999994</v>
      </c>
      <c r="F595" t="str">
        <f>VLOOKUP($A595,'Medical Examinations'!$A:$J,6,FALSE)</f>
        <v>yes</v>
      </c>
      <c r="G595" t="str">
        <f>VLOOKUP($A595,'Medical Examinations'!$A:$J,7,FALSE)</f>
        <v>No</v>
      </c>
      <c r="H595" t="str">
        <f>VLOOKUP($A595,'Medical Examinations'!$A:$J,8,FALSE)</f>
        <v>No</v>
      </c>
      <c r="I595">
        <f>VLOOKUP($A595,'Medical Examinations'!$A:$J,9,FALSE)</f>
        <v>1</v>
      </c>
      <c r="J595" t="str">
        <f>VLOOKUP($A595,'Medical Examinations'!$A:$J,10,FALSE)</f>
        <v>No</v>
      </c>
      <c r="K595" t="str">
        <f>VLOOKUP($A595,'Medical Examinations'!$A:$J,5,FALSE)</f>
        <v>Diabetes</v>
      </c>
      <c r="L595">
        <f>VLOOKUP($A596,'Medical Examinations'!$A:$J,3,FALSE)</f>
        <v>47.59</v>
      </c>
      <c r="M595">
        <f>VLOOKUP($A595,'Hospitalisation Details'!$A:$K,6,FALSE)</f>
        <v>16602.18</v>
      </c>
      <c r="N595" s="11">
        <f>VLOOKUP($B595,'Hospitalisation Details'!A594:J2938,10,0)</f>
        <v>33107</v>
      </c>
      <c r="O595" t="str">
        <f>VLOOKUP($B595,'Hospitalisation Details'!A594:J2938,8,0)</f>
        <v>tier - 2</v>
      </c>
      <c r="P595" t="str">
        <f>VLOOKUP($B595,'Hospitalisation Details'!A594:J2938,7,0)</f>
        <v>tier - 2</v>
      </c>
      <c r="Q595" t="str">
        <f>VLOOKUP($B595,'Hospitalisation Details'!A594:J2938,9,0)</f>
        <v>R1024</v>
      </c>
      <c r="R595">
        <f>VLOOKUP($B595,'Hospitalisation Details'!A594:K2938,11,0)</f>
        <v>32</v>
      </c>
    </row>
    <row r="596" spans="1:18" x14ac:dyDescent="0.35">
      <c r="A596" t="s">
        <v>1776</v>
      </c>
      <c r="B596" t="s">
        <v>627</v>
      </c>
      <c r="C596" t="str">
        <f>VLOOKUP($A596,'Customer Names'!$A:$E,4,FALSE)</f>
        <v>Greer D</v>
      </c>
      <c r="D596" t="str">
        <f>VLOOKUP($A596,'Medical Examinations'!$A:$J,2,FALSE)</f>
        <v>Obesity</v>
      </c>
      <c r="E596">
        <f>VLOOKUP($A596,'Medical Examinations'!$A:$J,4,FALSE)</f>
        <v>11.43</v>
      </c>
      <c r="F596" t="str">
        <f>VLOOKUP($A596,'Medical Examinations'!$A:$J,6,FALSE)</f>
        <v>yes</v>
      </c>
      <c r="G596" t="str">
        <f>VLOOKUP($A596,'Medical Examinations'!$A:$J,7,FALSE)</f>
        <v>No</v>
      </c>
      <c r="H596" t="str">
        <f>VLOOKUP($A596,'Medical Examinations'!$A:$J,8,FALSE)</f>
        <v>No</v>
      </c>
      <c r="I596">
        <f>VLOOKUP($A596,'Medical Examinations'!$A:$J,9,FALSE)</f>
        <v>2</v>
      </c>
      <c r="J596" t="str">
        <f>VLOOKUP($A596,'Medical Examinations'!$A:$J,10,FALSE)</f>
        <v>No</v>
      </c>
      <c r="K596" t="str">
        <f>VLOOKUP($A596,'Medical Examinations'!$A:$J,5,FALSE)</f>
        <v>Diabetes</v>
      </c>
      <c r="L596">
        <f>VLOOKUP($A597,'Medical Examinations'!$A:$J,3,FALSE)</f>
        <v>39.81</v>
      </c>
      <c r="M596">
        <f>VLOOKUP($A596,'Hospitalisation Details'!$A:$K,6,FALSE)</f>
        <v>16600.16</v>
      </c>
      <c r="N596" s="11">
        <f>VLOOKUP($B596,'Hospitalisation Details'!A595:J2939,10,0)</f>
        <v>33155</v>
      </c>
      <c r="O596" t="str">
        <f>VLOOKUP($B596,'Hospitalisation Details'!A595:J2939,8,0)</f>
        <v>tier - 2</v>
      </c>
      <c r="P596" t="str">
        <f>VLOOKUP($B596,'Hospitalisation Details'!A595:J2939,7,0)</f>
        <v>tier - 2</v>
      </c>
      <c r="Q596" t="str">
        <f>VLOOKUP($B596,'Hospitalisation Details'!A595:J2939,9,0)</f>
        <v>R1011</v>
      </c>
      <c r="R596">
        <f>VLOOKUP($B596,'Hospitalisation Details'!A595:K2939,11,0)</f>
        <v>32</v>
      </c>
    </row>
    <row r="597" spans="1:18" x14ac:dyDescent="0.35">
      <c r="A597" t="s">
        <v>1775</v>
      </c>
      <c r="B597" t="s">
        <v>628</v>
      </c>
      <c r="C597" t="str">
        <f>VLOOKUP($A597,'Customer Names'!$A:$E,4,FALSE)</f>
        <v>Brent</v>
      </c>
      <c r="D597" t="str">
        <f>VLOOKUP($A597,'Medical Examinations'!$A:$J,2,FALSE)</f>
        <v>Obesity</v>
      </c>
      <c r="E597">
        <f>VLOOKUP($A597,'Medical Examinations'!$A:$J,4,FALSE)</f>
        <v>7.65</v>
      </c>
      <c r="F597" t="str">
        <f>VLOOKUP($A597,'Medical Examinations'!$A:$J,6,FALSE)</f>
        <v>yes</v>
      </c>
      <c r="G597" t="str">
        <f>VLOOKUP($A597,'Medical Examinations'!$A:$J,7,FALSE)</f>
        <v>No</v>
      </c>
      <c r="H597" t="str">
        <f>VLOOKUP($A597,'Medical Examinations'!$A:$J,8,FALSE)</f>
        <v>Yes</v>
      </c>
      <c r="I597">
        <f>VLOOKUP($A597,'Medical Examinations'!$A:$J,9,FALSE)</f>
        <v>1</v>
      </c>
      <c r="J597" t="str">
        <f>VLOOKUP($A597,'Medical Examinations'!$A:$J,10,FALSE)</f>
        <v>No</v>
      </c>
      <c r="K597" t="str">
        <f>VLOOKUP($A597,'Medical Examinations'!$A:$J,5,FALSE)</f>
        <v>Diabetes</v>
      </c>
      <c r="L597">
        <f>VLOOKUP($A598,'Medical Examinations'!$A:$J,3,FALSE)</f>
        <v>31.02</v>
      </c>
      <c r="M597">
        <f>VLOOKUP($A597,'Hospitalisation Details'!$A:$K,6,FALSE)</f>
        <v>16587.96</v>
      </c>
      <c r="N597" s="11">
        <f>VLOOKUP($B597,'Hospitalisation Details'!A596:J2940,10,0)</f>
        <v>33479</v>
      </c>
      <c r="O597" t="str">
        <f>VLOOKUP($B597,'Hospitalisation Details'!A596:J2940,8,0)</f>
        <v>tier - 2</v>
      </c>
      <c r="P597" t="str">
        <f>VLOOKUP($B597,'Hospitalisation Details'!A596:J2940,7,0)</f>
        <v>tier - 2</v>
      </c>
      <c r="Q597" t="str">
        <f>VLOOKUP($B597,'Hospitalisation Details'!A596:J2940,9,0)</f>
        <v>R1012</v>
      </c>
      <c r="R597">
        <f>VLOOKUP($B597,'Hospitalisation Details'!A596:K2940,11,0)</f>
        <v>31</v>
      </c>
    </row>
    <row r="598" spans="1:18" x14ac:dyDescent="0.35">
      <c r="A598" t="s">
        <v>1774</v>
      </c>
      <c r="B598" t="s">
        <v>629</v>
      </c>
      <c r="C598" t="str">
        <f>VLOOKUP($A598,'Customer Names'!$A:$E,4,FALSE)</f>
        <v>Eugene M</v>
      </c>
      <c r="D598" t="str">
        <f>VLOOKUP($A598,'Medical Examinations'!$A:$J,2,FALSE)</f>
        <v>Obesity</v>
      </c>
      <c r="E598">
        <f>VLOOKUP($A598,'Medical Examinations'!$A:$J,4,FALSE)</f>
        <v>5.87</v>
      </c>
      <c r="F598" t="str">
        <f>VLOOKUP($A598,'Medical Examinations'!$A:$J,6,FALSE)</f>
        <v>yes</v>
      </c>
      <c r="G598" t="str">
        <f>VLOOKUP($A598,'Medical Examinations'!$A:$J,7,FALSE)</f>
        <v>No</v>
      </c>
      <c r="H598" t="str">
        <f>VLOOKUP($A598,'Medical Examinations'!$A:$J,8,FALSE)</f>
        <v>No</v>
      </c>
      <c r="I598">
        <f>VLOOKUP($A598,'Medical Examinations'!$A:$J,9,FALSE)</f>
        <v>0</v>
      </c>
      <c r="J598" t="str">
        <f>VLOOKUP($A598,'Medical Examinations'!$A:$J,10,FALSE)</f>
        <v>No</v>
      </c>
      <c r="K598" t="str">
        <f>VLOOKUP($A598,'Medical Examinations'!$A:$J,5,FALSE)</f>
        <v>Prediabetes</v>
      </c>
      <c r="L598">
        <f>VLOOKUP($A599,'Medical Examinations'!$A:$J,3,FALSE)</f>
        <v>24.75</v>
      </c>
      <c r="M598">
        <f>VLOOKUP($A598,'Hospitalisation Details'!$A:$K,6,FALSE)</f>
        <v>16586.5</v>
      </c>
      <c r="N598" s="11">
        <f>VLOOKUP($B598,'Hospitalisation Details'!A597:J2941,10,0)</f>
        <v>30971</v>
      </c>
      <c r="O598" t="str">
        <f>VLOOKUP($B598,'Hospitalisation Details'!A597:J2941,8,0)</f>
        <v>tier - 1</v>
      </c>
      <c r="P598" t="str">
        <f>VLOOKUP($B598,'Hospitalisation Details'!A597:J2941,7,0)</f>
        <v>tier - 2</v>
      </c>
      <c r="Q598" t="str">
        <f>VLOOKUP($B598,'Hospitalisation Details'!A597:J2941,9,0)</f>
        <v>R1013</v>
      </c>
      <c r="R598">
        <f>VLOOKUP($B598,'Hospitalisation Details'!A597:K2941,11,0)</f>
        <v>38</v>
      </c>
    </row>
    <row r="599" spans="1:18" x14ac:dyDescent="0.35">
      <c r="A599" t="s">
        <v>1773</v>
      </c>
      <c r="B599" t="s">
        <v>630</v>
      </c>
      <c r="C599" t="str">
        <f>VLOOKUP($A599,'Customer Names'!$A:$E,4,FALSE)</f>
        <v>Erin D</v>
      </c>
      <c r="D599" t="str">
        <f>VLOOKUP($A599,'Medical Examinations'!$A:$J,2,FALSE)</f>
        <v>Normal Weight</v>
      </c>
      <c r="E599">
        <f>VLOOKUP($A599,'Medical Examinations'!$A:$J,4,FALSE)</f>
        <v>4.3600000000000003</v>
      </c>
      <c r="F599" t="str">
        <f>VLOOKUP($A599,'Medical Examinations'!$A:$J,6,FALSE)</f>
        <v>yes</v>
      </c>
      <c r="G599" t="str">
        <f>VLOOKUP($A599,'Medical Examinations'!$A:$J,7,FALSE)</f>
        <v>No</v>
      </c>
      <c r="H599" t="str">
        <f>VLOOKUP($A599,'Medical Examinations'!$A:$J,8,FALSE)</f>
        <v>No</v>
      </c>
      <c r="I599">
        <f>VLOOKUP($A599,'Medical Examinations'!$A:$J,9,FALSE)</f>
        <v>1</v>
      </c>
      <c r="J599" t="str">
        <f>VLOOKUP($A599,'Medical Examinations'!$A:$J,10,FALSE)</f>
        <v>yes</v>
      </c>
      <c r="K599" t="str">
        <f>VLOOKUP($A599,'Medical Examinations'!$A:$J,5,FALSE)</f>
        <v>Normal</v>
      </c>
      <c r="L599">
        <f>VLOOKUP($A600,'Medical Examinations'!$A:$J,3,FALSE)</f>
        <v>30.114999999999998</v>
      </c>
      <c r="M599">
        <f>VLOOKUP($A599,'Hospitalisation Details'!$A:$K,6,FALSE)</f>
        <v>16577.78</v>
      </c>
      <c r="N599" s="11">
        <f>VLOOKUP($B599,'Hospitalisation Details'!A598:J2942,10,0)</f>
        <v>29110</v>
      </c>
      <c r="O599" t="str">
        <f>VLOOKUP($B599,'Hospitalisation Details'!A598:J2942,8,0)</f>
        <v>tier - 2</v>
      </c>
      <c r="P599" t="str">
        <f>VLOOKUP($B599,'Hospitalisation Details'!A598:J2942,7,0)</f>
        <v>tier - 2</v>
      </c>
      <c r="Q599" t="str">
        <f>VLOOKUP($B599,'Hospitalisation Details'!A598:J2942,9,0)</f>
        <v>R1013</v>
      </c>
      <c r="R599">
        <f>VLOOKUP($B599,'Hospitalisation Details'!A598:K2942,11,0)</f>
        <v>43</v>
      </c>
    </row>
    <row r="600" spans="1:18" x14ac:dyDescent="0.35">
      <c r="A600" t="s">
        <v>1772</v>
      </c>
      <c r="B600" t="s">
        <v>631</v>
      </c>
      <c r="C600" t="str">
        <f>VLOOKUP($A600,'Customer Names'!$A:$E,4,FALSE)</f>
        <v>Kamilla</v>
      </c>
      <c r="D600" t="str">
        <f>VLOOKUP($A600,'Medical Examinations'!$A:$J,2,FALSE)</f>
        <v>Obesity</v>
      </c>
      <c r="E600">
        <f>VLOOKUP($A600,'Medical Examinations'!$A:$J,4,FALSE)</f>
        <v>10.119999999999999</v>
      </c>
      <c r="F600" t="str">
        <f>VLOOKUP($A600,'Medical Examinations'!$A:$J,6,FALSE)</f>
        <v>No</v>
      </c>
      <c r="G600" t="str">
        <f>VLOOKUP($A600,'Medical Examinations'!$A:$J,7,FALSE)</f>
        <v>No</v>
      </c>
      <c r="H600" t="str">
        <f>VLOOKUP($A600,'Medical Examinations'!$A:$J,8,FALSE)</f>
        <v>No</v>
      </c>
      <c r="I600">
        <f>VLOOKUP($A600,'Medical Examinations'!$A:$J,9,FALSE)</f>
        <v>3</v>
      </c>
      <c r="J600" t="str">
        <f>VLOOKUP($A600,'Medical Examinations'!$A:$J,10,FALSE)</f>
        <v>No</v>
      </c>
      <c r="K600" t="str">
        <f>VLOOKUP($A600,'Medical Examinations'!$A:$J,5,FALSE)</f>
        <v>Diabetes</v>
      </c>
      <c r="L600">
        <f>VLOOKUP($A601,'Medical Examinations'!$A:$J,3,FALSE)</f>
        <v>26.03</v>
      </c>
      <c r="M600">
        <f>VLOOKUP($A600,'Hospitalisation Details'!$A:$K,6,FALSE)</f>
        <v>16455.71</v>
      </c>
      <c r="N600" s="11">
        <f>VLOOKUP($B600,'Hospitalisation Details'!A599:J2943,10,0)</f>
        <v>38144</v>
      </c>
      <c r="O600" t="str">
        <f>VLOOKUP($B600,'Hospitalisation Details'!A599:J2943,8,0)</f>
        <v>tier - 2</v>
      </c>
      <c r="P600" t="str">
        <f>VLOOKUP($B600,'Hospitalisation Details'!A599:J2943,7,0)</f>
        <v>tier - 2</v>
      </c>
      <c r="Q600" t="str">
        <f>VLOOKUP($B600,'Hospitalisation Details'!A599:J2943,9,0)</f>
        <v>R1022</v>
      </c>
      <c r="R600">
        <f>VLOOKUP($B600,'Hospitalisation Details'!A599:K2943,11,0)</f>
        <v>19</v>
      </c>
    </row>
    <row r="601" spans="1:18" x14ac:dyDescent="0.35">
      <c r="A601" t="s">
        <v>1771</v>
      </c>
      <c r="B601" t="s">
        <v>633</v>
      </c>
      <c r="C601" t="str">
        <f>VLOOKUP($A601,'Customer Names'!$A:$E,4,FALSE)</f>
        <v>Wayne I.</v>
      </c>
      <c r="D601" t="str">
        <f>VLOOKUP($A601,'Medical Examinations'!$A:$J,2,FALSE)</f>
        <v>Overweight</v>
      </c>
      <c r="E601">
        <f>VLOOKUP($A601,'Medical Examinations'!$A:$J,4,FALSE)</f>
        <v>4.01</v>
      </c>
      <c r="F601" t="str">
        <f>VLOOKUP($A601,'Medical Examinations'!$A:$J,6,FALSE)</f>
        <v>No</v>
      </c>
      <c r="G601" t="str">
        <f>VLOOKUP($A601,'Medical Examinations'!$A:$J,7,FALSE)</f>
        <v>No</v>
      </c>
      <c r="H601" t="str">
        <f>VLOOKUP($A601,'Medical Examinations'!$A:$J,8,FALSE)</f>
        <v>Yes</v>
      </c>
      <c r="I601">
        <f>VLOOKUP($A601,'Medical Examinations'!$A:$J,9,FALSE)</f>
        <v>1</v>
      </c>
      <c r="J601" t="str">
        <f>VLOOKUP($A601,'Medical Examinations'!$A:$J,10,FALSE)</f>
        <v>yes</v>
      </c>
      <c r="K601" t="str">
        <f>VLOOKUP($A601,'Medical Examinations'!$A:$J,5,FALSE)</f>
        <v>Normal</v>
      </c>
      <c r="L601">
        <f>VLOOKUP($A602,'Medical Examinations'!$A:$J,3,FALSE)</f>
        <v>20.045000000000002</v>
      </c>
      <c r="M601">
        <f>VLOOKUP($A601,'Hospitalisation Details'!$A:$K,6,FALSE)</f>
        <v>16450.89</v>
      </c>
      <c r="N601" s="11">
        <f>VLOOKUP($B601,'Hospitalisation Details'!A600:J2944,10,0)</f>
        <v>30613</v>
      </c>
      <c r="O601" t="str">
        <f>VLOOKUP($B601,'Hospitalisation Details'!A600:J2944,8,0)</f>
        <v>tier - 2</v>
      </c>
      <c r="P601" t="str">
        <f>VLOOKUP($B601,'Hospitalisation Details'!A600:J2944,7,0)</f>
        <v>tier - 2</v>
      </c>
      <c r="Q601" t="str">
        <f>VLOOKUP($B601,'Hospitalisation Details'!A600:J2944,9,0)</f>
        <v>R1012</v>
      </c>
      <c r="R601">
        <f>VLOOKUP($B601,'Hospitalisation Details'!A600:K2944,11,0)</f>
        <v>39</v>
      </c>
    </row>
    <row r="602" spans="1:18" x14ac:dyDescent="0.35">
      <c r="A602" t="s">
        <v>1770</v>
      </c>
      <c r="B602" t="s">
        <v>634</v>
      </c>
      <c r="C602" t="str">
        <f>VLOOKUP($A602,'Customer Names'!$A:$E,4,FALSE)</f>
        <v>Tracy L</v>
      </c>
      <c r="D602" t="str">
        <f>VLOOKUP($A602,'Medical Examinations'!$A:$J,2,FALSE)</f>
        <v>Normal Weight</v>
      </c>
      <c r="E602">
        <f>VLOOKUP($A602,'Medical Examinations'!$A:$J,4,FALSE)</f>
        <v>4.7699999999999996</v>
      </c>
      <c r="F602" t="str">
        <f>VLOOKUP($A602,'Medical Examinations'!$A:$J,6,FALSE)</f>
        <v>yes</v>
      </c>
      <c r="G602" t="str">
        <f>VLOOKUP($A602,'Medical Examinations'!$A:$J,7,FALSE)</f>
        <v>No</v>
      </c>
      <c r="H602" t="str">
        <f>VLOOKUP($A602,'Medical Examinations'!$A:$J,8,FALSE)</f>
        <v>No</v>
      </c>
      <c r="I602">
        <f>VLOOKUP($A602,'Medical Examinations'!$A:$J,9,FALSE)</f>
        <v>1</v>
      </c>
      <c r="J602" t="str">
        <f>VLOOKUP($A602,'Medical Examinations'!$A:$J,10,FALSE)</f>
        <v>yes</v>
      </c>
      <c r="K602" t="str">
        <f>VLOOKUP($A602,'Medical Examinations'!$A:$J,5,FALSE)</f>
        <v>Normal</v>
      </c>
      <c r="L602">
        <f>VLOOKUP($A603,'Medical Examinations'!$A:$J,3,FALSE)</f>
        <v>40.24</v>
      </c>
      <c r="M602">
        <f>VLOOKUP($A602,'Hospitalisation Details'!$A:$K,6,FALSE)</f>
        <v>16420.490000000002</v>
      </c>
      <c r="N602" s="11">
        <f>VLOOKUP($B602,'Hospitalisation Details'!A601:J2945,10,0)</f>
        <v>34137</v>
      </c>
      <c r="O602" t="str">
        <f>VLOOKUP($B602,'Hospitalisation Details'!A601:J2945,8,0)</f>
        <v>tier - 3</v>
      </c>
      <c r="P602" t="str">
        <f>VLOOKUP($B602,'Hospitalisation Details'!A601:J2945,7,0)</f>
        <v>tier - 3</v>
      </c>
      <c r="Q602" t="str">
        <f>VLOOKUP($B602,'Hospitalisation Details'!A601:J2945,9,0)</f>
        <v>R1017</v>
      </c>
      <c r="R602">
        <f>VLOOKUP($B602,'Hospitalisation Details'!A601:K2945,11,0)</f>
        <v>29</v>
      </c>
    </row>
    <row r="603" spans="1:18" x14ac:dyDescent="0.35">
      <c r="A603" t="s">
        <v>1769</v>
      </c>
      <c r="B603" t="s">
        <v>635</v>
      </c>
      <c r="C603" t="str">
        <f>VLOOKUP($A603,'Customer Names'!$A:$E,4,FALSE)</f>
        <v>Heather</v>
      </c>
      <c r="D603" t="str">
        <f>VLOOKUP($A603,'Medical Examinations'!$A:$J,2,FALSE)</f>
        <v>Obesity</v>
      </c>
      <c r="E603">
        <f>VLOOKUP($A603,'Medical Examinations'!$A:$J,4,FALSE)</f>
        <v>6.83</v>
      </c>
      <c r="F603" t="str">
        <f>VLOOKUP($A603,'Medical Examinations'!$A:$J,6,FALSE)</f>
        <v>No</v>
      </c>
      <c r="G603" t="str">
        <f>VLOOKUP($A603,'Medical Examinations'!$A:$J,7,FALSE)</f>
        <v>No</v>
      </c>
      <c r="H603" t="str">
        <f>VLOOKUP($A603,'Medical Examinations'!$A:$J,8,FALSE)</f>
        <v>No</v>
      </c>
      <c r="I603">
        <f>VLOOKUP($A603,'Medical Examinations'!$A:$J,9,FALSE)</f>
        <v>0</v>
      </c>
      <c r="J603" t="str">
        <f>VLOOKUP($A603,'Medical Examinations'!$A:$J,10,FALSE)</f>
        <v>No</v>
      </c>
      <c r="K603" t="str">
        <f>VLOOKUP($A603,'Medical Examinations'!$A:$J,5,FALSE)</f>
        <v>Diabetes</v>
      </c>
      <c r="L603">
        <f>VLOOKUP($A604,'Medical Examinations'!$A:$J,3,FALSE)</f>
        <v>43.15</v>
      </c>
      <c r="M603">
        <f>VLOOKUP($A603,'Hospitalisation Details'!$A:$K,6,FALSE)</f>
        <v>16351.42</v>
      </c>
      <c r="N603" s="11">
        <f>VLOOKUP($B603,'Hospitalisation Details'!A602:J2946,10,0)</f>
        <v>36495</v>
      </c>
      <c r="O603" t="str">
        <f>VLOOKUP($B603,'Hospitalisation Details'!A602:J2946,8,0)</f>
        <v>tier - 1</v>
      </c>
      <c r="P603" t="str">
        <f>VLOOKUP($B603,'Hospitalisation Details'!A602:J2946,7,0)</f>
        <v>tier - 2</v>
      </c>
      <c r="Q603" t="str">
        <f>VLOOKUP($B603,'Hospitalisation Details'!A602:J2946,9,0)</f>
        <v>R1012</v>
      </c>
      <c r="R603">
        <f>VLOOKUP($B603,'Hospitalisation Details'!A602:K2946,11,0)</f>
        <v>23</v>
      </c>
    </row>
    <row r="604" spans="1:18" x14ac:dyDescent="0.35">
      <c r="A604" t="s">
        <v>1768</v>
      </c>
      <c r="B604" t="s">
        <v>636</v>
      </c>
      <c r="C604" t="str">
        <f>VLOOKUP($A604,'Customer Names'!$A:$E,4,FALSE)</f>
        <v>Megan C</v>
      </c>
      <c r="D604" t="str">
        <f>VLOOKUP($A604,'Medical Examinations'!$A:$J,2,FALSE)</f>
        <v>Obesity</v>
      </c>
      <c r="E604">
        <f>VLOOKUP($A604,'Medical Examinations'!$A:$J,4,FALSE)</f>
        <v>6.14</v>
      </c>
      <c r="F604" t="str">
        <f>VLOOKUP($A604,'Medical Examinations'!$A:$J,6,FALSE)</f>
        <v>yes</v>
      </c>
      <c r="G604" t="str">
        <f>VLOOKUP($A604,'Medical Examinations'!$A:$J,7,FALSE)</f>
        <v>No</v>
      </c>
      <c r="H604" t="str">
        <f>VLOOKUP($A604,'Medical Examinations'!$A:$J,8,FALSE)</f>
        <v>Yes</v>
      </c>
      <c r="I604">
        <f>VLOOKUP($A604,'Medical Examinations'!$A:$J,9,FALSE)</f>
        <v>1</v>
      </c>
      <c r="J604" t="str">
        <f>VLOOKUP($A604,'Medical Examinations'!$A:$J,10,FALSE)</f>
        <v>No</v>
      </c>
      <c r="K604" t="str">
        <f>VLOOKUP($A604,'Medical Examinations'!$A:$J,5,FALSE)</f>
        <v>Prediabetes</v>
      </c>
      <c r="L604">
        <f>VLOOKUP($A605,'Medical Examinations'!$A:$J,3,FALSE)</f>
        <v>27.7</v>
      </c>
      <c r="M604">
        <f>VLOOKUP($A604,'Hospitalisation Details'!$A:$K,6,FALSE)</f>
        <v>16311.05</v>
      </c>
      <c r="N604" s="11">
        <f>VLOOKUP($B604,'Hospitalisation Details'!A603:J2947,10,0)</f>
        <v>34856</v>
      </c>
      <c r="O604" t="str">
        <f>VLOOKUP($B604,'Hospitalisation Details'!A603:J2947,8,0)</f>
        <v>tier - 2</v>
      </c>
      <c r="P604" t="str">
        <f>VLOOKUP($B604,'Hospitalisation Details'!A603:J2947,7,0)</f>
        <v>tier - 2</v>
      </c>
      <c r="Q604" t="str">
        <f>VLOOKUP($B604,'Hospitalisation Details'!A603:J2947,9,0)</f>
        <v>R1025</v>
      </c>
      <c r="R604">
        <f>VLOOKUP($B604,'Hospitalisation Details'!A603:K2947,11,0)</f>
        <v>28</v>
      </c>
    </row>
    <row r="605" spans="1:18" x14ac:dyDescent="0.35">
      <c r="A605" t="s">
        <v>1767</v>
      </c>
      <c r="B605" t="s">
        <v>637</v>
      </c>
      <c r="C605" t="str">
        <f>VLOOKUP($A605,'Customer Names'!$A:$E,4,FALSE)</f>
        <v>Jonathan</v>
      </c>
      <c r="D605" t="str">
        <f>VLOOKUP($A605,'Medical Examinations'!$A:$J,2,FALSE)</f>
        <v>Overweight</v>
      </c>
      <c r="E605">
        <f>VLOOKUP($A605,'Medical Examinations'!$A:$J,4,FALSE)</f>
        <v>5.6</v>
      </c>
      <c r="F605" t="str">
        <f>VLOOKUP($A605,'Medical Examinations'!$A:$J,6,FALSE)</f>
        <v>No</v>
      </c>
      <c r="G605" t="str">
        <f>VLOOKUP($A605,'Medical Examinations'!$A:$J,7,FALSE)</f>
        <v>No</v>
      </c>
      <c r="H605" t="str">
        <f>VLOOKUP($A605,'Medical Examinations'!$A:$J,8,FALSE)</f>
        <v>Yes</v>
      </c>
      <c r="I605">
        <f>VLOOKUP($A605,'Medical Examinations'!$A:$J,9,FALSE)</f>
        <v>1</v>
      </c>
      <c r="J605" t="str">
        <f>VLOOKUP($A605,'Medical Examinations'!$A:$J,10,FALSE)</f>
        <v>yes</v>
      </c>
      <c r="K605" t="str">
        <f>VLOOKUP($A605,'Medical Examinations'!$A:$J,5,FALSE)</f>
        <v>Normal</v>
      </c>
      <c r="L605">
        <f>VLOOKUP($A606,'Medical Examinations'!$A:$J,3,FALSE)</f>
        <v>45.68</v>
      </c>
      <c r="M605">
        <f>VLOOKUP($A605,'Hospitalisation Details'!$A:$K,6,FALSE)</f>
        <v>16297.85</v>
      </c>
      <c r="N605" s="11">
        <f>VLOOKUP($B605,'Hospitalisation Details'!A604:J2948,10,0)</f>
        <v>31957</v>
      </c>
      <c r="O605" t="str">
        <f>VLOOKUP($B605,'Hospitalisation Details'!A604:J2948,8,0)</f>
        <v>tier - 1</v>
      </c>
      <c r="P605" t="str">
        <f>VLOOKUP($B605,'Hospitalisation Details'!A604:J2948,7,0)</f>
        <v>tier - 2</v>
      </c>
      <c r="Q605" t="str">
        <f>VLOOKUP($B605,'Hospitalisation Details'!A604:J2948,9,0)</f>
        <v>R1024</v>
      </c>
      <c r="R605">
        <f>VLOOKUP($B605,'Hospitalisation Details'!A604:K2948,11,0)</f>
        <v>35</v>
      </c>
    </row>
    <row r="606" spans="1:18" x14ac:dyDescent="0.35">
      <c r="A606" t="s">
        <v>1766</v>
      </c>
      <c r="B606" t="s">
        <v>638</v>
      </c>
      <c r="C606" t="str">
        <f>VLOOKUP($A606,'Customer Names'!$A:$E,4,FALSE)</f>
        <v>Greg D.</v>
      </c>
      <c r="D606" t="str">
        <f>VLOOKUP($A606,'Medical Examinations'!$A:$J,2,FALSE)</f>
        <v>Obesity</v>
      </c>
      <c r="E606">
        <f>VLOOKUP($A606,'Medical Examinations'!$A:$J,4,FALSE)</f>
        <v>4.8</v>
      </c>
      <c r="F606" t="str">
        <f>VLOOKUP($A606,'Medical Examinations'!$A:$J,6,FALSE)</f>
        <v>No</v>
      </c>
      <c r="G606" t="str">
        <f>VLOOKUP($A606,'Medical Examinations'!$A:$J,7,FALSE)</f>
        <v>No</v>
      </c>
      <c r="H606" t="str">
        <f>VLOOKUP($A606,'Medical Examinations'!$A:$J,8,FALSE)</f>
        <v>No</v>
      </c>
      <c r="I606">
        <f>VLOOKUP($A606,'Medical Examinations'!$A:$J,9,FALSE)</f>
        <v>2</v>
      </c>
      <c r="J606" t="str">
        <f>VLOOKUP($A606,'Medical Examinations'!$A:$J,10,FALSE)</f>
        <v>No</v>
      </c>
      <c r="K606" t="str">
        <f>VLOOKUP($A606,'Medical Examinations'!$A:$J,5,FALSE)</f>
        <v>Normal</v>
      </c>
      <c r="L606">
        <f>VLOOKUP($A607,'Medical Examinations'!$A:$J,3,FALSE)</f>
        <v>27.3</v>
      </c>
      <c r="M606">
        <f>VLOOKUP($A606,'Hospitalisation Details'!$A:$K,6,FALSE)</f>
        <v>16267.32</v>
      </c>
      <c r="N606" s="11">
        <f>VLOOKUP($B606,'Hospitalisation Details'!A605:J2949,10,0)</f>
        <v>32137</v>
      </c>
      <c r="O606" t="str">
        <f>VLOOKUP($B606,'Hospitalisation Details'!A605:J2949,8,0)</f>
        <v>tier - 2</v>
      </c>
      <c r="P606" t="str">
        <f>VLOOKUP($B606,'Hospitalisation Details'!A605:J2949,7,0)</f>
        <v>tier - 2</v>
      </c>
      <c r="Q606" t="str">
        <f>VLOOKUP($B606,'Hospitalisation Details'!A605:J2949,9,0)</f>
        <v>R1011</v>
      </c>
      <c r="R606">
        <f>VLOOKUP($B606,'Hospitalisation Details'!A605:K2949,11,0)</f>
        <v>35</v>
      </c>
    </row>
    <row r="607" spans="1:18" x14ac:dyDescent="0.35">
      <c r="A607" t="s">
        <v>1765</v>
      </c>
      <c r="B607" t="s">
        <v>639</v>
      </c>
      <c r="C607" t="str">
        <f>VLOOKUP($A607,'Customer Names'!$A:$E,4,FALSE)</f>
        <v>Steven L.</v>
      </c>
      <c r="D607" t="str">
        <f>VLOOKUP($A607,'Medical Examinations'!$A:$J,2,FALSE)</f>
        <v>Overweight</v>
      </c>
      <c r="E607">
        <f>VLOOKUP($A607,'Medical Examinations'!$A:$J,4,FALSE)</f>
        <v>11.89</v>
      </c>
      <c r="F607" t="str">
        <f>VLOOKUP($A607,'Medical Examinations'!$A:$J,6,FALSE)</f>
        <v>No</v>
      </c>
      <c r="G607" t="str">
        <f>VLOOKUP($A607,'Medical Examinations'!$A:$J,7,FALSE)</f>
        <v>No</v>
      </c>
      <c r="H607" t="str">
        <f>VLOOKUP($A607,'Medical Examinations'!$A:$J,8,FALSE)</f>
        <v>No</v>
      </c>
      <c r="I607">
        <f>VLOOKUP($A607,'Medical Examinations'!$A:$J,9,FALSE)</f>
        <v>0</v>
      </c>
      <c r="J607" t="str">
        <f>VLOOKUP($A607,'Medical Examinations'!$A:$J,10,FALSE)</f>
        <v>yes</v>
      </c>
      <c r="K607" t="str">
        <f>VLOOKUP($A607,'Medical Examinations'!$A:$J,5,FALSE)</f>
        <v>Diabetes</v>
      </c>
      <c r="L607">
        <f>VLOOKUP($A608,'Medical Examinations'!$A:$J,3,FALSE)</f>
        <v>54.45</v>
      </c>
      <c r="M607">
        <f>VLOOKUP($A607,'Hospitalisation Details'!$A:$K,6,FALSE)</f>
        <v>16232.85</v>
      </c>
      <c r="N607" s="11">
        <f>VLOOKUP($B607,'Hospitalisation Details'!A606:J2950,10,0)</f>
        <v>31963</v>
      </c>
      <c r="O607" t="str">
        <f>VLOOKUP($B607,'Hospitalisation Details'!A606:J2950,8,0)</f>
        <v>tier - 2</v>
      </c>
      <c r="P607" t="str">
        <f>VLOOKUP($B607,'Hospitalisation Details'!A606:J2950,7,0)</f>
        <v>tier - 2</v>
      </c>
      <c r="Q607" t="str">
        <f>VLOOKUP($B607,'Hospitalisation Details'!A606:J2950,9,0)</f>
        <v>R1013</v>
      </c>
      <c r="R607">
        <f>VLOOKUP($B607,'Hospitalisation Details'!A606:K2950,11,0)</f>
        <v>35</v>
      </c>
    </row>
    <row r="608" spans="1:18" x14ac:dyDescent="0.35">
      <c r="A608" t="s">
        <v>1764</v>
      </c>
      <c r="B608" t="s">
        <v>640</v>
      </c>
      <c r="C608" t="str">
        <f>VLOOKUP($A608,'Customer Names'!$A:$E,4,FALSE)</f>
        <v>Gianfilippo</v>
      </c>
      <c r="D608" t="str">
        <f>VLOOKUP($A608,'Medical Examinations'!$A:$J,2,FALSE)</f>
        <v>Obesity</v>
      </c>
      <c r="E608">
        <f>VLOOKUP($A608,'Medical Examinations'!$A:$J,4,FALSE)</f>
        <v>4.7300000000000004</v>
      </c>
      <c r="F608" t="str">
        <f>VLOOKUP($A608,'Medical Examinations'!$A:$J,6,FALSE)</f>
        <v>yes</v>
      </c>
      <c r="G608" t="str">
        <f>VLOOKUP($A608,'Medical Examinations'!$A:$J,7,FALSE)</f>
        <v>No</v>
      </c>
      <c r="H608" t="str">
        <f>VLOOKUP($A608,'Medical Examinations'!$A:$J,8,FALSE)</f>
        <v>No</v>
      </c>
      <c r="I608">
        <f>VLOOKUP($A608,'Medical Examinations'!$A:$J,9,FALSE)</f>
        <v>1</v>
      </c>
      <c r="J608" t="str">
        <f>VLOOKUP($A608,'Medical Examinations'!$A:$J,10,FALSE)</f>
        <v>No</v>
      </c>
      <c r="K608" t="str">
        <f>VLOOKUP($A608,'Medical Examinations'!$A:$J,5,FALSE)</f>
        <v>Normal</v>
      </c>
      <c r="L608">
        <f>VLOOKUP($A609,'Medical Examinations'!$A:$J,3,FALSE)</f>
        <v>54.43</v>
      </c>
      <c r="M608">
        <f>VLOOKUP($A608,'Hospitalisation Details'!$A:$K,6,FALSE)</f>
        <v>16205.88</v>
      </c>
      <c r="N608" s="11">
        <f>VLOOKUP($B608,'Hospitalisation Details'!A607:J2951,10,0)</f>
        <v>32029</v>
      </c>
      <c r="O608" t="str">
        <f>VLOOKUP($B608,'Hospitalisation Details'!A607:J2951,8,0)</f>
        <v>tier - 3</v>
      </c>
      <c r="P608" t="str">
        <f>VLOOKUP($B608,'Hospitalisation Details'!A607:J2951,7,0)</f>
        <v>tier - 2</v>
      </c>
      <c r="Q608" t="str">
        <f>VLOOKUP($B608,'Hospitalisation Details'!A607:J2951,9,0)</f>
        <v>R1011</v>
      </c>
      <c r="R608">
        <f>VLOOKUP($B608,'Hospitalisation Details'!A607:K2951,11,0)</f>
        <v>35</v>
      </c>
    </row>
    <row r="609" spans="1:18" x14ac:dyDescent="0.35">
      <c r="A609" t="s">
        <v>1763</v>
      </c>
      <c r="B609" t="s">
        <v>641</v>
      </c>
      <c r="C609" t="str">
        <f>VLOOKUP($A609,'Customer Names'!$A:$E,4,FALSE)</f>
        <v>Hector</v>
      </c>
      <c r="D609" t="str">
        <f>VLOOKUP($A609,'Medical Examinations'!$A:$J,2,FALSE)</f>
        <v>Obesity</v>
      </c>
      <c r="E609">
        <f>VLOOKUP($A609,'Medical Examinations'!$A:$J,4,FALSE)</f>
        <v>4.6100000000000003</v>
      </c>
      <c r="F609" t="str">
        <f>VLOOKUP($A609,'Medical Examinations'!$A:$J,6,FALSE)</f>
        <v>yes</v>
      </c>
      <c r="G609" t="str">
        <f>VLOOKUP($A609,'Medical Examinations'!$A:$J,7,FALSE)</f>
        <v>No</v>
      </c>
      <c r="H609" t="str">
        <f>VLOOKUP($A609,'Medical Examinations'!$A:$J,8,FALSE)</f>
        <v>No</v>
      </c>
      <c r="I609">
        <f>VLOOKUP($A609,'Medical Examinations'!$A:$J,9,FALSE)</f>
        <v>1</v>
      </c>
      <c r="J609" t="str">
        <f>VLOOKUP($A609,'Medical Examinations'!$A:$J,10,FALSE)</f>
        <v>No</v>
      </c>
      <c r="K609" t="str">
        <f>VLOOKUP($A609,'Medical Examinations'!$A:$J,5,FALSE)</f>
        <v>Normal</v>
      </c>
      <c r="L609">
        <f>VLOOKUP($A610,'Medical Examinations'!$A:$J,3,FALSE)</f>
        <v>48.01</v>
      </c>
      <c r="M609">
        <f>VLOOKUP($A609,'Hospitalisation Details'!$A:$K,6,FALSE)</f>
        <v>16199.1</v>
      </c>
      <c r="N609" s="11">
        <f>VLOOKUP($B609,'Hospitalisation Details'!A608:J2952,10,0)</f>
        <v>33060</v>
      </c>
      <c r="O609" t="str">
        <f>VLOOKUP($B609,'Hospitalisation Details'!A608:J2952,8,0)</f>
        <v>tier - 3</v>
      </c>
      <c r="P609" t="str">
        <f>VLOOKUP($B609,'Hospitalisation Details'!A608:J2952,7,0)</f>
        <v>tier - 3</v>
      </c>
      <c r="Q609" t="str">
        <f>VLOOKUP($B609,'Hospitalisation Details'!A608:J2952,9,0)</f>
        <v>R1011</v>
      </c>
      <c r="R609">
        <f>VLOOKUP($B609,'Hospitalisation Details'!A608:K2952,11,0)</f>
        <v>32</v>
      </c>
    </row>
    <row r="610" spans="1:18" x14ac:dyDescent="0.35">
      <c r="A610" t="s">
        <v>1762</v>
      </c>
      <c r="B610" t="s">
        <v>642</v>
      </c>
      <c r="C610" t="str">
        <f>VLOOKUP($A610,'Customer Names'!$A:$E,4,FALSE)</f>
        <v>Mark W.</v>
      </c>
      <c r="D610" t="str">
        <f>VLOOKUP($A610,'Medical Examinations'!$A:$J,2,FALSE)</f>
        <v>Obesity</v>
      </c>
      <c r="E610">
        <f>VLOOKUP($A610,'Medical Examinations'!$A:$J,4,FALSE)</f>
        <v>7.3</v>
      </c>
      <c r="F610" t="str">
        <f>VLOOKUP($A610,'Medical Examinations'!$A:$J,6,FALSE)</f>
        <v>No</v>
      </c>
      <c r="G610" t="str">
        <f>VLOOKUP($A610,'Medical Examinations'!$A:$J,7,FALSE)</f>
        <v>No</v>
      </c>
      <c r="H610" t="str">
        <f>VLOOKUP($A610,'Medical Examinations'!$A:$J,8,FALSE)</f>
        <v>No</v>
      </c>
      <c r="I610">
        <f>VLOOKUP($A610,'Medical Examinations'!$A:$J,9,FALSE)</f>
        <v>0</v>
      </c>
      <c r="J610" t="str">
        <f>VLOOKUP($A610,'Medical Examinations'!$A:$J,10,FALSE)</f>
        <v>No</v>
      </c>
      <c r="K610" t="str">
        <f>VLOOKUP($A610,'Medical Examinations'!$A:$J,5,FALSE)</f>
        <v>Diabetes</v>
      </c>
      <c r="L610">
        <f>VLOOKUP($A611,'Medical Examinations'!$A:$J,3,FALSE)</f>
        <v>48.32</v>
      </c>
      <c r="M610">
        <f>VLOOKUP($A610,'Hospitalisation Details'!$A:$K,6,FALSE)</f>
        <v>16190.97</v>
      </c>
      <c r="N610" s="11">
        <f>VLOOKUP($B610,'Hospitalisation Details'!A609:J2953,10,0)</f>
        <v>32837</v>
      </c>
      <c r="O610" t="str">
        <f>VLOOKUP($B610,'Hospitalisation Details'!A609:J2953,8,0)</f>
        <v>tier - 2</v>
      </c>
      <c r="P610" t="str">
        <f>VLOOKUP($B610,'Hospitalisation Details'!A609:J2953,7,0)</f>
        <v>tier - 2</v>
      </c>
      <c r="Q610" t="str">
        <f>VLOOKUP($B610,'Hospitalisation Details'!A609:J2953,9,0)</f>
        <v>R1012</v>
      </c>
      <c r="R610">
        <f>VLOOKUP($B610,'Hospitalisation Details'!A609:K2953,11,0)</f>
        <v>33</v>
      </c>
    </row>
    <row r="611" spans="1:18" x14ac:dyDescent="0.35">
      <c r="A611" t="s">
        <v>1761</v>
      </c>
      <c r="B611" t="s">
        <v>643</v>
      </c>
      <c r="C611" t="str">
        <f>VLOOKUP($A611,'Customer Names'!$A:$E,4,FALSE)</f>
        <v>Aubri</v>
      </c>
      <c r="D611" t="str">
        <f>VLOOKUP($A611,'Medical Examinations'!$A:$J,2,FALSE)</f>
        <v>Obesity</v>
      </c>
      <c r="E611">
        <f>VLOOKUP($A611,'Medical Examinations'!$A:$J,4,FALSE)</f>
        <v>5.88</v>
      </c>
      <c r="F611" t="str">
        <f>VLOOKUP($A611,'Medical Examinations'!$A:$J,6,FALSE)</f>
        <v>No</v>
      </c>
      <c r="G611" t="str">
        <f>VLOOKUP($A611,'Medical Examinations'!$A:$J,7,FALSE)</f>
        <v>No</v>
      </c>
      <c r="H611" t="str">
        <f>VLOOKUP($A611,'Medical Examinations'!$A:$J,8,FALSE)</f>
        <v>No</v>
      </c>
      <c r="I611">
        <f>VLOOKUP($A611,'Medical Examinations'!$A:$J,9,FALSE)</f>
        <v>0</v>
      </c>
      <c r="J611" t="str">
        <f>VLOOKUP($A611,'Medical Examinations'!$A:$J,10,FALSE)</f>
        <v>No</v>
      </c>
      <c r="K611" t="str">
        <f>VLOOKUP($A611,'Medical Examinations'!$A:$J,5,FALSE)</f>
        <v>Prediabetes</v>
      </c>
      <c r="L611">
        <f>VLOOKUP($A612,'Medical Examinations'!$A:$J,3,FALSE)</f>
        <v>22.895</v>
      </c>
      <c r="M611">
        <f>VLOOKUP($A611,'Hospitalisation Details'!$A:$K,6,FALSE)</f>
        <v>16152.04</v>
      </c>
      <c r="N611" s="11">
        <f>VLOOKUP($B611,'Hospitalisation Details'!A610:J2954,10,0)</f>
        <v>32708</v>
      </c>
      <c r="O611" t="str">
        <f>VLOOKUP($B611,'Hospitalisation Details'!A610:J2954,8,0)</f>
        <v>tier - 2</v>
      </c>
      <c r="P611" t="str">
        <f>VLOOKUP($B611,'Hospitalisation Details'!A610:J2954,7,0)</f>
        <v>tier - 2</v>
      </c>
      <c r="Q611" t="str">
        <f>VLOOKUP($B611,'Hospitalisation Details'!A610:J2954,9,0)</f>
        <v>R1012</v>
      </c>
      <c r="R611">
        <f>VLOOKUP($B611,'Hospitalisation Details'!A610:K2954,11,0)</f>
        <v>33</v>
      </c>
    </row>
    <row r="612" spans="1:18" x14ac:dyDescent="0.35">
      <c r="A612" t="s">
        <v>1760</v>
      </c>
      <c r="B612" t="s">
        <v>644</v>
      </c>
      <c r="C612" t="str">
        <f>VLOOKUP($A612,'Customer Names'!$A:$E,4,FALSE)</f>
        <v>Justin</v>
      </c>
      <c r="D612" t="str">
        <f>VLOOKUP($A612,'Medical Examinations'!$A:$J,2,FALSE)</f>
        <v>Normal Weight</v>
      </c>
      <c r="E612">
        <f>VLOOKUP($A612,'Medical Examinations'!$A:$J,4,FALSE)</f>
        <v>4.0599999999999996</v>
      </c>
      <c r="F612" t="str">
        <f>VLOOKUP($A612,'Medical Examinations'!$A:$J,6,FALSE)</f>
        <v>No</v>
      </c>
      <c r="G612" t="str">
        <f>VLOOKUP($A612,'Medical Examinations'!$A:$J,7,FALSE)</f>
        <v>No</v>
      </c>
      <c r="H612" t="str">
        <f>VLOOKUP($A612,'Medical Examinations'!$A:$J,8,FALSE)</f>
        <v>Yes</v>
      </c>
      <c r="I612">
        <f>VLOOKUP($A612,'Medical Examinations'!$A:$J,9,FALSE)</f>
        <v>1</v>
      </c>
      <c r="J612" t="str">
        <f>VLOOKUP($A612,'Medical Examinations'!$A:$J,10,FALSE)</f>
        <v>yes</v>
      </c>
      <c r="K612" t="str">
        <f>VLOOKUP($A612,'Medical Examinations'!$A:$J,5,FALSE)</f>
        <v>Normal</v>
      </c>
      <c r="L612">
        <f>VLOOKUP($A613,'Medical Examinations'!$A:$J,3,FALSE)</f>
        <v>54.85</v>
      </c>
      <c r="M612">
        <f>VLOOKUP($A612,'Hospitalisation Details'!$A:$K,6,FALSE)</f>
        <v>16138.76</v>
      </c>
      <c r="N612" s="11">
        <f>VLOOKUP($B612,'Hospitalisation Details'!A611:J2955,10,0)</f>
        <v>31710</v>
      </c>
      <c r="O612" t="str">
        <f>VLOOKUP($B612,'Hospitalisation Details'!A611:J2955,8,0)</f>
        <v>tier - 2</v>
      </c>
      <c r="P612" t="str">
        <f>VLOOKUP($B612,'Hospitalisation Details'!A611:J2955,7,0)</f>
        <v>tier - 2</v>
      </c>
      <c r="Q612" t="str">
        <f>VLOOKUP($B612,'Hospitalisation Details'!A611:J2955,9,0)</f>
        <v>R1012</v>
      </c>
      <c r="R612">
        <f>VLOOKUP($B612,'Hospitalisation Details'!A611:K2955,11,0)</f>
        <v>36</v>
      </c>
    </row>
    <row r="613" spans="1:18" x14ac:dyDescent="0.35">
      <c r="A613" t="s">
        <v>1759</v>
      </c>
      <c r="B613" t="s">
        <v>645</v>
      </c>
      <c r="C613" t="str">
        <f>VLOOKUP($A613,'Customer Names'!$A:$E,4,FALSE)</f>
        <v>Megan A.</v>
      </c>
      <c r="D613" t="str">
        <f>VLOOKUP($A613,'Medical Examinations'!$A:$J,2,FALSE)</f>
        <v>Obesity</v>
      </c>
      <c r="E613">
        <f>VLOOKUP($A613,'Medical Examinations'!$A:$J,4,FALSE)</f>
        <v>4.9000000000000004</v>
      </c>
      <c r="F613" t="str">
        <f>VLOOKUP($A613,'Medical Examinations'!$A:$J,6,FALSE)</f>
        <v>No</v>
      </c>
      <c r="G613" t="str">
        <f>VLOOKUP($A613,'Medical Examinations'!$A:$J,7,FALSE)</f>
        <v>No</v>
      </c>
      <c r="H613" t="str">
        <f>VLOOKUP($A613,'Medical Examinations'!$A:$J,8,FALSE)</f>
        <v>No</v>
      </c>
      <c r="I613">
        <f>VLOOKUP($A613,'Medical Examinations'!$A:$J,9,FALSE)</f>
        <v>1</v>
      </c>
      <c r="J613" t="str">
        <f>VLOOKUP($A613,'Medical Examinations'!$A:$J,10,FALSE)</f>
        <v>No</v>
      </c>
      <c r="K613" t="str">
        <f>VLOOKUP($A613,'Medical Examinations'!$A:$J,5,FALSE)</f>
        <v>Normal</v>
      </c>
      <c r="L613">
        <f>VLOOKUP($A614,'Medical Examinations'!$A:$J,3,FALSE)</f>
        <v>21.85</v>
      </c>
      <c r="M613">
        <f>VLOOKUP($A613,'Hospitalisation Details'!$A:$K,6,FALSE)</f>
        <v>16122.65</v>
      </c>
      <c r="N613" s="11">
        <f>VLOOKUP($B613,'Hospitalisation Details'!A612:J2956,10,0)</f>
        <v>31675</v>
      </c>
      <c r="O613" t="str">
        <f>VLOOKUP($B613,'Hospitalisation Details'!A612:J2956,8,0)</f>
        <v>tier - 2</v>
      </c>
      <c r="P613" t="str">
        <f>VLOOKUP($B613,'Hospitalisation Details'!A612:J2956,7,0)</f>
        <v>tier - 2</v>
      </c>
      <c r="Q613" t="str">
        <f>VLOOKUP($B613,'Hospitalisation Details'!A612:J2956,9,0)</f>
        <v>R1012</v>
      </c>
      <c r="R613">
        <f>VLOOKUP($B613,'Hospitalisation Details'!A612:K2956,11,0)</f>
        <v>36</v>
      </c>
    </row>
    <row r="614" spans="1:18" x14ac:dyDescent="0.35">
      <c r="A614" t="s">
        <v>1758</v>
      </c>
      <c r="B614" t="s">
        <v>646</v>
      </c>
      <c r="C614" t="str">
        <f>VLOOKUP($A614,'Customer Names'!$A:$E,4,FALSE)</f>
        <v>Erika M.</v>
      </c>
      <c r="D614" t="str">
        <f>VLOOKUP($A614,'Medical Examinations'!$A:$J,2,FALSE)</f>
        <v>Normal Weight</v>
      </c>
      <c r="E614">
        <f>VLOOKUP($A614,'Medical Examinations'!$A:$J,4,FALSE)</f>
        <v>5.52</v>
      </c>
      <c r="F614" t="str">
        <f>VLOOKUP($A614,'Medical Examinations'!$A:$J,6,FALSE)</f>
        <v>No</v>
      </c>
      <c r="G614" t="str">
        <f>VLOOKUP($A614,'Medical Examinations'!$A:$J,7,FALSE)</f>
        <v>No</v>
      </c>
      <c r="H614" t="str">
        <f>VLOOKUP($A614,'Medical Examinations'!$A:$J,8,FALSE)</f>
        <v>Yes</v>
      </c>
      <c r="I614">
        <f>VLOOKUP($A614,'Medical Examinations'!$A:$J,9,FALSE)</f>
        <v>1</v>
      </c>
      <c r="J614" t="str">
        <f>VLOOKUP($A614,'Medical Examinations'!$A:$J,10,FALSE)</f>
        <v>yes</v>
      </c>
      <c r="K614" t="str">
        <f>VLOOKUP($A614,'Medical Examinations'!$A:$J,5,FALSE)</f>
        <v>Normal</v>
      </c>
      <c r="L614">
        <f>VLOOKUP($A615,'Medical Examinations'!$A:$J,3,FALSE)</f>
        <v>51.86</v>
      </c>
      <c r="M614">
        <f>VLOOKUP($A614,'Hospitalisation Details'!$A:$K,6,FALSE)</f>
        <v>16115.3</v>
      </c>
      <c r="N614" s="11">
        <f>VLOOKUP($B614,'Hospitalisation Details'!A613:J2957,10,0)</f>
        <v>31705</v>
      </c>
      <c r="O614" t="str">
        <f>VLOOKUP($B614,'Hospitalisation Details'!A613:J2957,8,0)</f>
        <v>tier - 3</v>
      </c>
      <c r="P614" t="str">
        <f>VLOOKUP($B614,'Hospitalisation Details'!A613:J2957,7,0)</f>
        <v>tier - 2</v>
      </c>
      <c r="Q614" t="str">
        <f>VLOOKUP($B614,'Hospitalisation Details'!A613:J2957,9,0)</f>
        <v>R1012</v>
      </c>
      <c r="R614">
        <f>VLOOKUP($B614,'Hospitalisation Details'!A613:K2957,11,0)</f>
        <v>36</v>
      </c>
    </row>
    <row r="615" spans="1:18" x14ac:dyDescent="0.35">
      <c r="A615" t="s">
        <v>1757</v>
      </c>
      <c r="B615" t="s">
        <v>647</v>
      </c>
      <c r="C615" t="str">
        <f>VLOOKUP($A615,'Customer Names'!$A:$E,4,FALSE)</f>
        <v>Daniel G.</v>
      </c>
      <c r="D615" t="str">
        <f>VLOOKUP($A615,'Medical Examinations'!$A:$J,2,FALSE)</f>
        <v>Obesity</v>
      </c>
      <c r="E615">
        <f>VLOOKUP($A615,'Medical Examinations'!$A:$J,4,FALSE)</f>
        <v>5.2</v>
      </c>
      <c r="F615" t="str">
        <f>VLOOKUP($A615,'Medical Examinations'!$A:$J,6,FALSE)</f>
        <v>yes</v>
      </c>
      <c r="G615" t="str">
        <f>VLOOKUP($A615,'Medical Examinations'!$A:$J,7,FALSE)</f>
        <v>No</v>
      </c>
      <c r="H615" t="str">
        <f>VLOOKUP($A615,'Medical Examinations'!$A:$J,8,FALSE)</f>
        <v>No</v>
      </c>
      <c r="I615">
        <f>VLOOKUP($A615,'Medical Examinations'!$A:$J,9,FALSE)</f>
        <v>0</v>
      </c>
      <c r="J615" t="str">
        <f>VLOOKUP($A615,'Medical Examinations'!$A:$J,10,FALSE)</f>
        <v>No</v>
      </c>
      <c r="K615" t="str">
        <f>VLOOKUP($A615,'Medical Examinations'!$A:$J,5,FALSE)</f>
        <v>Normal</v>
      </c>
      <c r="L615">
        <f>VLOOKUP($A616,'Medical Examinations'!$A:$J,3,FALSE)</f>
        <v>39.049999999999997</v>
      </c>
      <c r="M615">
        <f>VLOOKUP($A615,'Hospitalisation Details'!$A:$K,6,FALSE)</f>
        <v>16097.94</v>
      </c>
      <c r="N615" s="11">
        <f>VLOOKUP($B615,'Hospitalisation Details'!A614:J2958,10,0)</f>
        <v>32021</v>
      </c>
      <c r="O615" t="str">
        <f>VLOOKUP($B615,'Hospitalisation Details'!A614:J2958,8,0)</f>
        <v>tier - 2</v>
      </c>
      <c r="P615" t="str">
        <f>VLOOKUP($B615,'Hospitalisation Details'!A614:J2958,7,0)</f>
        <v>tier - 2</v>
      </c>
      <c r="Q615" t="str">
        <f>VLOOKUP($B615,'Hospitalisation Details'!A614:J2958,9,0)</f>
        <v>R1013</v>
      </c>
      <c r="R615">
        <f>VLOOKUP($B615,'Hospitalisation Details'!A614:K2958,11,0)</f>
        <v>35</v>
      </c>
    </row>
    <row r="616" spans="1:18" x14ac:dyDescent="0.35">
      <c r="A616" t="s">
        <v>1756</v>
      </c>
      <c r="B616" t="s">
        <v>648</v>
      </c>
      <c r="C616" t="str">
        <f>VLOOKUP($A616,'Customer Names'!$A:$E,4,FALSE)</f>
        <v>Devin C.</v>
      </c>
      <c r="D616" t="str">
        <f>VLOOKUP($A616,'Medical Examinations'!$A:$J,2,FALSE)</f>
        <v>Obesity</v>
      </c>
      <c r="E616">
        <f>VLOOKUP($A616,'Medical Examinations'!$A:$J,4,FALSE)</f>
        <v>7.59</v>
      </c>
      <c r="F616" t="str">
        <f>VLOOKUP($A616,'Medical Examinations'!$A:$J,6,FALSE)</f>
        <v>No</v>
      </c>
      <c r="G616" t="str">
        <f>VLOOKUP($A616,'Medical Examinations'!$A:$J,7,FALSE)</f>
        <v>No</v>
      </c>
      <c r="H616" t="str">
        <f>VLOOKUP($A616,'Medical Examinations'!$A:$J,8,FALSE)</f>
        <v>No</v>
      </c>
      <c r="I616">
        <f>VLOOKUP($A616,'Medical Examinations'!$A:$J,9,FALSE)</f>
        <v>3</v>
      </c>
      <c r="J616" t="str">
        <f>VLOOKUP($A616,'Medical Examinations'!$A:$J,10,FALSE)</f>
        <v>No</v>
      </c>
      <c r="K616" t="str">
        <f>VLOOKUP($A616,'Medical Examinations'!$A:$J,5,FALSE)</f>
        <v>Diabetes</v>
      </c>
      <c r="L616">
        <f>VLOOKUP($A617,'Medical Examinations'!$A:$J,3,FALSE)</f>
        <v>31.824999999999999</v>
      </c>
      <c r="M616">
        <f>VLOOKUP($A616,'Hospitalisation Details'!$A:$K,6,FALSE)</f>
        <v>16085.13</v>
      </c>
      <c r="N616" s="11">
        <f>VLOOKUP($B616,'Hospitalisation Details'!A615:J2959,10,0)</f>
        <v>27345</v>
      </c>
      <c r="O616" t="str">
        <f>VLOOKUP($B616,'Hospitalisation Details'!A615:J2959,8,0)</f>
        <v>tier - 2</v>
      </c>
      <c r="P616" t="str">
        <f>VLOOKUP($B616,'Hospitalisation Details'!A615:J2959,7,0)</f>
        <v>tier - 2</v>
      </c>
      <c r="Q616" t="str">
        <f>VLOOKUP($B616,'Hospitalisation Details'!A615:J2959,9,0)</f>
        <v>R1012</v>
      </c>
      <c r="R616">
        <f>VLOOKUP($B616,'Hospitalisation Details'!A615:K2959,11,0)</f>
        <v>48</v>
      </c>
    </row>
    <row r="617" spans="1:18" x14ac:dyDescent="0.35">
      <c r="A617" t="s">
        <v>1755</v>
      </c>
      <c r="B617" t="s">
        <v>649</v>
      </c>
      <c r="C617" t="str">
        <f>VLOOKUP($A617,'Customer Names'!$A:$E,4,FALSE)</f>
        <v>Louise A</v>
      </c>
      <c r="D617" t="str">
        <f>VLOOKUP($A617,'Medical Examinations'!$A:$J,2,FALSE)</f>
        <v>Obesity</v>
      </c>
      <c r="E617">
        <f>VLOOKUP($A617,'Medical Examinations'!$A:$J,4,FALSE)</f>
        <v>8.2799999999999994</v>
      </c>
      <c r="F617" t="str">
        <f>VLOOKUP($A617,'Medical Examinations'!$A:$J,6,FALSE)</f>
        <v>No</v>
      </c>
      <c r="G617" t="str">
        <f>VLOOKUP($A617,'Medical Examinations'!$A:$J,7,FALSE)</f>
        <v>No</v>
      </c>
      <c r="H617" t="str">
        <f>VLOOKUP($A617,'Medical Examinations'!$A:$J,8,FALSE)</f>
        <v>No</v>
      </c>
      <c r="I617">
        <f>VLOOKUP($A617,'Medical Examinations'!$A:$J,9,FALSE)</f>
        <v>3</v>
      </c>
      <c r="J617" t="str">
        <f>VLOOKUP($A617,'Medical Examinations'!$A:$J,10,FALSE)</f>
        <v>No</v>
      </c>
      <c r="K617" t="str">
        <f>VLOOKUP($A617,'Medical Examinations'!$A:$J,5,FALSE)</f>
        <v>Diabetes</v>
      </c>
      <c r="L617">
        <f>VLOOKUP($A618,'Medical Examinations'!$A:$J,3,FALSE)</f>
        <v>46.43</v>
      </c>
      <c r="M617">
        <f>VLOOKUP($A617,'Hospitalisation Details'!$A:$K,6,FALSE)</f>
        <v>16069.08</v>
      </c>
      <c r="N617" s="11">
        <f>VLOOKUP($B617,'Hospitalisation Details'!A616:J2960,10,0)</f>
        <v>38221</v>
      </c>
      <c r="O617" t="str">
        <f>VLOOKUP($B617,'Hospitalisation Details'!A616:J2960,8,0)</f>
        <v>tier - 2</v>
      </c>
      <c r="P617" t="str">
        <f>VLOOKUP($B617,'Hospitalisation Details'!A616:J2960,7,0)</f>
        <v>tier - 2</v>
      </c>
      <c r="Q617" t="str">
        <f>VLOOKUP($B617,'Hospitalisation Details'!A616:J2960,9,0)</f>
        <v>R1022</v>
      </c>
      <c r="R617">
        <f>VLOOKUP($B617,'Hospitalisation Details'!A616:K2960,11,0)</f>
        <v>18</v>
      </c>
    </row>
    <row r="618" spans="1:18" x14ac:dyDescent="0.35">
      <c r="A618" t="s">
        <v>1754</v>
      </c>
      <c r="B618" t="s">
        <v>650</v>
      </c>
      <c r="C618" t="str">
        <f>VLOOKUP($A618,'Customer Names'!$A:$E,4,FALSE)</f>
        <v>Sarah</v>
      </c>
      <c r="D618" t="str">
        <f>VLOOKUP($A618,'Medical Examinations'!$A:$J,2,FALSE)</f>
        <v>Obesity</v>
      </c>
      <c r="E618">
        <f>VLOOKUP($A618,'Medical Examinations'!$A:$J,4,FALSE)</f>
        <v>6.72</v>
      </c>
      <c r="F618" t="str">
        <f>VLOOKUP($A618,'Medical Examinations'!$A:$J,6,FALSE)</f>
        <v>No</v>
      </c>
      <c r="G618" t="str">
        <f>VLOOKUP($A618,'Medical Examinations'!$A:$J,7,FALSE)</f>
        <v>No</v>
      </c>
      <c r="H618" t="str">
        <f>VLOOKUP($A618,'Medical Examinations'!$A:$J,8,FALSE)</f>
        <v>No</v>
      </c>
      <c r="I618">
        <f>VLOOKUP($A618,'Medical Examinations'!$A:$J,9,FALSE)</f>
        <v>0</v>
      </c>
      <c r="J618" t="str">
        <f>VLOOKUP($A618,'Medical Examinations'!$A:$J,10,FALSE)</f>
        <v>No</v>
      </c>
      <c r="K618" t="str">
        <f>VLOOKUP($A618,'Medical Examinations'!$A:$J,5,FALSE)</f>
        <v>Diabetes</v>
      </c>
      <c r="L618">
        <f>VLOOKUP($A619,'Medical Examinations'!$A:$J,3,FALSE)</f>
        <v>53.63</v>
      </c>
      <c r="M618">
        <f>VLOOKUP($A618,'Hospitalisation Details'!$A:$K,6,FALSE)</f>
        <v>16062.89</v>
      </c>
      <c r="N618" s="11">
        <f>VLOOKUP($B618,'Hospitalisation Details'!A617:J2961,10,0)</f>
        <v>36778</v>
      </c>
      <c r="O618" t="str">
        <f>VLOOKUP($B618,'Hospitalisation Details'!A617:J2961,8,0)</f>
        <v>tier - 3</v>
      </c>
      <c r="P618" t="str">
        <f>VLOOKUP($B618,'Hospitalisation Details'!A617:J2961,7,0)</f>
        <v>tier - 2</v>
      </c>
      <c r="Q618" t="str">
        <f>VLOOKUP($B618,'Hospitalisation Details'!A617:J2961,9,0)</f>
        <v>R1012</v>
      </c>
      <c r="R618">
        <f>VLOOKUP($B618,'Hospitalisation Details'!A617:K2961,11,0)</f>
        <v>22</v>
      </c>
    </row>
    <row r="619" spans="1:18" x14ac:dyDescent="0.35">
      <c r="A619" t="s">
        <v>1753</v>
      </c>
      <c r="B619" t="s">
        <v>651</v>
      </c>
      <c r="C619" t="str">
        <f>VLOOKUP($A619,'Customer Names'!$A:$E,4,FALSE)</f>
        <v>Amy</v>
      </c>
      <c r="D619" t="str">
        <f>VLOOKUP($A619,'Medical Examinations'!$A:$J,2,FALSE)</f>
        <v>Obesity</v>
      </c>
      <c r="E619">
        <f>VLOOKUP($A619,'Medical Examinations'!$A:$J,4,FALSE)</f>
        <v>5.47</v>
      </c>
      <c r="F619" t="str">
        <f>VLOOKUP($A619,'Medical Examinations'!$A:$J,6,FALSE)</f>
        <v>yes</v>
      </c>
      <c r="G619" t="str">
        <f>VLOOKUP($A619,'Medical Examinations'!$A:$J,7,FALSE)</f>
        <v>No</v>
      </c>
      <c r="H619" t="str">
        <f>VLOOKUP($A619,'Medical Examinations'!$A:$J,8,FALSE)</f>
        <v>No</v>
      </c>
      <c r="I619">
        <f>VLOOKUP($A619,'Medical Examinations'!$A:$J,9,FALSE)</f>
        <v>1</v>
      </c>
      <c r="J619" t="str">
        <f>VLOOKUP($A619,'Medical Examinations'!$A:$J,10,FALSE)</f>
        <v>No</v>
      </c>
      <c r="K619" t="str">
        <f>VLOOKUP($A619,'Medical Examinations'!$A:$J,5,FALSE)</f>
        <v>Normal</v>
      </c>
      <c r="L619">
        <f>VLOOKUP($A620,'Medical Examinations'!$A:$J,3,FALSE)</f>
        <v>48.7</v>
      </c>
      <c r="M619">
        <f>VLOOKUP($A619,'Hospitalisation Details'!$A:$K,6,FALSE)</f>
        <v>16059.06</v>
      </c>
      <c r="N619" s="11">
        <f>VLOOKUP($B619,'Hospitalisation Details'!A618:J2962,10,0)</f>
        <v>34651</v>
      </c>
      <c r="O619" t="str">
        <f>VLOOKUP($B619,'Hospitalisation Details'!A618:J2962,8,0)</f>
        <v>tier - 2</v>
      </c>
      <c r="P619" t="str">
        <f>VLOOKUP($B619,'Hospitalisation Details'!A618:J2962,7,0)</f>
        <v>tier - 2</v>
      </c>
      <c r="Q619" t="str">
        <f>VLOOKUP($B619,'Hospitalisation Details'!A618:J2962,9,0)</f>
        <v>R1012</v>
      </c>
      <c r="R619">
        <f>VLOOKUP($B619,'Hospitalisation Details'!A618:K2962,11,0)</f>
        <v>28</v>
      </c>
    </row>
    <row r="620" spans="1:18" x14ac:dyDescent="0.35">
      <c r="A620" t="s">
        <v>1752</v>
      </c>
      <c r="B620" t="s">
        <v>652</v>
      </c>
      <c r="C620" t="str">
        <f>VLOOKUP($A620,'Customer Names'!$A:$E,4,FALSE)</f>
        <v>Brittany L.</v>
      </c>
      <c r="D620" t="str">
        <f>VLOOKUP($A620,'Medical Examinations'!$A:$J,2,FALSE)</f>
        <v>Obesity</v>
      </c>
      <c r="E620">
        <f>VLOOKUP($A620,'Medical Examinations'!$A:$J,4,FALSE)</f>
        <v>4.71</v>
      </c>
      <c r="F620" t="str">
        <f>VLOOKUP($A620,'Medical Examinations'!$A:$J,6,FALSE)</f>
        <v>No</v>
      </c>
      <c r="G620" t="str">
        <f>VLOOKUP($A620,'Medical Examinations'!$A:$J,7,FALSE)</f>
        <v>No</v>
      </c>
      <c r="H620" t="str">
        <f>VLOOKUP($A620,'Medical Examinations'!$A:$J,8,FALSE)</f>
        <v>No</v>
      </c>
      <c r="I620">
        <f>VLOOKUP($A620,'Medical Examinations'!$A:$J,9,FALSE)</f>
        <v>0</v>
      </c>
      <c r="J620" t="str">
        <f>VLOOKUP($A620,'Medical Examinations'!$A:$J,10,FALSE)</f>
        <v>No</v>
      </c>
      <c r="K620" t="str">
        <f>VLOOKUP($A620,'Medical Examinations'!$A:$J,5,FALSE)</f>
        <v>Normal</v>
      </c>
      <c r="L620">
        <f>VLOOKUP($A621,'Medical Examinations'!$A:$J,3,FALSE)</f>
        <v>48.81</v>
      </c>
      <c r="M620">
        <f>VLOOKUP($A620,'Hospitalisation Details'!$A:$K,6,FALSE)</f>
        <v>15966.19</v>
      </c>
      <c r="N620" s="11">
        <f>VLOOKUP($B620,'Hospitalisation Details'!A619:J2963,10,0)</f>
        <v>27274</v>
      </c>
      <c r="O620" t="str">
        <f>VLOOKUP($B620,'Hospitalisation Details'!A619:J2963,8,0)</f>
        <v>tier - 1</v>
      </c>
      <c r="P620" t="str">
        <f>VLOOKUP($B620,'Hospitalisation Details'!A619:J2963,7,0)</f>
        <v>tier - 2</v>
      </c>
      <c r="Q620" t="str">
        <f>VLOOKUP($B620,'Hospitalisation Details'!A619:J2963,9,0)</f>
        <v>R1012</v>
      </c>
      <c r="R620">
        <f>VLOOKUP($B620,'Hospitalisation Details'!A619:K2963,11,0)</f>
        <v>48</v>
      </c>
    </row>
    <row r="621" spans="1:18" x14ac:dyDescent="0.35">
      <c r="A621" t="s">
        <v>1751</v>
      </c>
      <c r="B621" t="s">
        <v>653</v>
      </c>
      <c r="C621" t="str">
        <f>VLOOKUP($A621,'Customer Names'!$A:$E,4,FALSE)</f>
        <v>Jessica L</v>
      </c>
      <c r="D621" t="str">
        <f>VLOOKUP($A621,'Medical Examinations'!$A:$J,2,FALSE)</f>
        <v>Obesity</v>
      </c>
      <c r="E621">
        <f>VLOOKUP($A621,'Medical Examinations'!$A:$J,4,FALSE)</f>
        <v>5.49</v>
      </c>
      <c r="F621" t="str">
        <f>VLOOKUP($A621,'Medical Examinations'!$A:$J,6,FALSE)</f>
        <v>No</v>
      </c>
      <c r="G621" t="str">
        <f>VLOOKUP($A621,'Medical Examinations'!$A:$J,7,FALSE)</f>
        <v>No</v>
      </c>
      <c r="H621" t="str">
        <f>VLOOKUP($A621,'Medical Examinations'!$A:$J,8,FALSE)</f>
        <v>No</v>
      </c>
      <c r="I621">
        <f>VLOOKUP($A621,'Medical Examinations'!$A:$J,9,FALSE)</f>
        <v>0</v>
      </c>
      <c r="J621" t="str">
        <f>VLOOKUP($A621,'Medical Examinations'!$A:$J,10,FALSE)</f>
        <v>No</v>
      </c>
      <c r="K621" t="str">
        <f>VLOOKUP($A621,'Medical Examinations'!$A:$J,5,FALSE)</f>
        <v>Normal</v>
      </c>
      <c r="L621">
        <f>VLOOKUP($A622,'Medical Examinations'!$A:$J,3,FALSE)</f>
        <v>47.53</v>
      </c>
      <c r="M621">
        <f>VLOOKUP($A621,'Hospitalisation Details'!$A:$K,6,FALSE)</f>
        <v>15965.29</v>
      </c>
      <c r="N621" s="11">
        <f>VLOOKUP($B621,'Hospitalisation Details'!A620:J2964,10,0)</f>
        <v>33773</v>
      </c>
      <c r="O621" t="str">
        <f>VLOOKUP($B621,'Hospitalisation Details'!A620:J2964,8,0)</f>
        <v>tier - 1</v>
      </c>
      <c r="P621" t="str">
        <f>VLOOKUP($B621,'Hospitalisation Details'!A620:J2964,7,0)</f>
        <v>tier - 2</v>
      </c>
      <c r="Q621" t="str">
        <f>VLOOKUP($B621,'Hospitalisation Details'!A620:J2964,9,0)</f>
        <v>R1011</v>
      </c>
      <c r="R621">
        <f>VLOOKUP($B621,'Hospitalisation Details'!A620:K2964,11,0)</f>
        <v>30</v>
      </c>
    </row>
    <row r="622" spans="1:18" x14ac:dyDescent="0.35">
      <c r="A622" t="s">
        <v>1750</v>
      </c>
      <c r="B622" t="s">
        <v>654</v>
      </c>
      <c r="C622" t="str">
        <f>VLOOKUP($A622,'Customer Names'!$A:$E,4,FALSE)</f>
        <v>Kristina K</v>
      </c>
      <c r="D622" t="str">
        <f>VLOOKUP($A622,'Medical Examinations'!$A:$J,2,FALSE)</f>
        <v>Obesity</v>
      </c>
      <c r="E622">
        <f>VLOOKUP($A622,'Medical Examinations'!$A:$J,4,FALSE)</f>
        <v>4.72</v>
      </c>
      <c r="F622" t="str">
        <f>VLOOKUP($A622,'Medical Examinations'!$A:$J,6,FALSE)</f>
        <v>No</v>
      </c>
      <c r="G622" t="str">
        <f>VLOOKUP($A622,'Medical Examinations'!$A:$J,7,FALSE)</f>
        <v>No</v>
      </c>
      <c r="H622" t="str">
        <f>VLOOKUP($A622,'Medical Examinations'!$A:$J,8,FALSE)</f>
        <v>No</v>
      </c>
      <c r="I622">
        <f>VLOOKUP($A622,'Medical Examinations'!$A:$J,9,FALSE)</f>
        <v>0</v>
      </c>
      <c r="J622" t="str">
        <f>VLOOKUP($A622,'Medical Examinations'!$A:$J,10,FALSE)</f>
        <v>No</v>
      </c>
      <c r="K622" t="str">
        <f>VLOOKUP($A622,'Medical Examinations'!$A:$J,5,FALSE)</f>
        <v>Normal</v>
      </c>
      <c r="L622">
        <f>VLOOKUP($A623,'Medical Examinations'!$A:$J,3,FALSE)</f>
        <v>36.85</v>
      </c>
      <c r="M622">
        <f>VLOOKUP($A622,'Hospitalisation Details'!$A:$K,6,FALSE)</f>
        <v>15922.29</v>
      </c>
      <c r="N622" s="11">
        <f>VLOOKUP($B622,'Hospitalisation Details'!A621:J2965,10,0)</f>
        <v>33478</v>
      </c>
      <c r="O622" t="str">
        <f>VLOOKUP($B622,'Hospitalisation Details'!A621:J2965,8,0)</f>
        <v>tier - 1</v>
      </c>
      <c r="P622" t="str">
        <f>VLOOKUP($B622,'Hospitalisation Details'!A621:J2965,7,0)</f>
        <v>tier - 2</v>
      </c>
      <c r="Q622" t="str">
        <f>VLOOKUP($B622,'Hospitalisation Details'!A621:J2965,9,0)</f>
        <v>R1012</v>
      </c>
      <c r="R622">
        <f>VLOOKUP($B622,'Hospitalisation Details'!A621:K2965,11,0)</f>
        <v>31</v>
      </c>
    </row>
    <row r="623" spans="1:18" x14ac:dyDescent="0.35">
      <c r="A623" t="s">
        <v>1749</v>
      </c>
      <c r="B623" t="s">
        <v>655</v>
      </c>
      <c r="C623" t="str">
        <f>VLOOKUP($A623,'Customer Names'!$A:$E,4,FALSE)</f>
        <v>Brad</v>
      </c>
      <c r="D623" t="str">
        <f>VLOOKUP($A623,'Medical Examinations'!$A:$J,2,FALSE)</f>
        <v>Obesity</v>
      </c>
      <c r="E623">
        <f>VLOOKUP($A623,'Medical Examinations'!$A:$J,4,FALSE)</f>
        <v>6.7</v>
      </c>
      <c r="F623" t="str">
        <f>VLOOKUP($A623,'Medical Examinations'!$A:$J,6,FALSE)</f>
        <v>No</v>
      </c>
      <c r="G623" t="str">
        <f>VLOOKUP($A623,'Medical Examinations'!$A:$J,7,FALSE)</f>
        <v>No</v>
      </c>
      <c r="H623" t="str">
        <f>VLOOKUP($A623,'Medical Examinations'!$A:$J,8,FALSE)</f>
        <v>No</v>
      </c>
      <c r="I623">
        <f>VLOOKUP($A623,'Medical Examinations'!$A:$J,9,FALSE)</f>
        <v>0</v>
      </c>
      <c r="J623" t="str">
        <f>VLOOKUP($A623,'Medical Examinations'!$A:$J,10,FALSE)</f>
        <v>No</v>
      </c>
      <c r="K623" t="str">
        <f>VLOOKUP($A623,'Medical Examinations'!$A:$J,5,FALSE)</f>
        <v>Diabetes</v>
      </c>
      <c r="L623">
        <f>VLOOKUP($A624,'Medical Examinations'!$A:$J,3,FALSE)</f>
        <v>29.3</v>
      </c>
      <c r="M623">
        <f>VLOOKUP($A623,'Hospitalisation Details'!$A:$K,6,FALSE)</f>
        <v>15840.81</v>
      </c>
      <c r="N623" s="11">
        <f>VLOOKUP($B623,'Hospitalisation Details'!A622:J2966,10,0)</f>
        <v>26648</v>
      </c>
      <c r="O623" t="str">
        <f>VLOOKUP($B623,'Hospitalisation Details'!A622:J2966,8,0)</f>
        <v>tier - 3</v>
      </c>
      <c r="P623" t="str">
        <f>VLOOKUP($B623,'Hospitalisation Details'!A622:J2966,7,0)</f>
        <v>tier - 2</v>
      </c>
      <c r="Q623" t="str">
        <f>VLOOKUP($B623,'Hospitalisation Details'!A622:J2966,9,0)</f>
        <v>R1013</v>
      </c>
      <c r="R623">
        <f>VLOOKUP($B623,'Hospitalisation Details'!A622:K2966,11,0)</f>
        <v>50</v>
      </c>
    </row>
    <row r="624" spans="1:18" x14ac:dyDescent="0.35">
      <c r="A624" t="s">
        <v>1748</v>
      </c>
      <c r="B624" t="s">
        <v>656</v>
      </c>
      <c r="C624" t="str">
        <f>VLOOKUP($A624,'Customer Names'!$A:$E,4,FALSE)</f>
        <v>Margaret O</v>
      </c>
      <c r="D624" t="str">
        <f>VLOOKUP($A624,'Medical Examinations'!$A:$J,2,FALSE)</f>
        <v>Overweight</v>
      </c>
      <c r="E624">
        <f>VLOOKUP($A624,'Medical Examinations'!$A:$J,4,FALSE)</f>
        <v>5.5</v>
      </c>
      <c r="F624" t="str">
        <f>VLOOKUP($A624,'Medical Examinations'!$A:$J,6,FALSE)</f>
        <v>No</v>
      </c>
      <c r="G624" t="str">
        <f>VLOOKUP($A624,'Medical Examinations'!$A:$J,7,FALSE)</f>
        <v>No</v>
      </c>
      <c r="H624" t="str">
        <f>VLOOKUP($A624,'Medical Examinations'!$A:$J,8,FALSE)</f>
        <v>No</v>
      </c>
      <c r="I624">
        <f>VLOOKUP($A624,'Medical Examinations'!$A:$J,9,FALSE)</f>
        <v>0</v>
      </c>
      <c r="J624" t="str">
        <f>VLOOKUP($A624,'Medical Examinations'!$A:$J,10,FALSE)</f>
        <v>No</v>
      </c>
      <c r="K624" t="str">
        <f>VLOOKUP($A624,'Medical Examinations'!$A:$J,5,FALSE)</f>
        <v>Normal</v>
      </c>
      <c r="L624">
        <f>VLOOKUP($A625,'Medical Examinations'!$A:$J,3,FALSE)</f>
        <v>19.3</v>
      </c>
      <c r="M624">
        <f>VLOOKUP($A624,'Hospitalisation Details'!$A:$K,6,FALSE)</f>
        <v>15828.82</v>
      </c>
      <c r="N624" s="11">
        <f>VLOOKUP($B624,'Hospitalisation Details'!A623:J2967,10,0)</f>
        <v>32819</v>
      </c>
      <c r="O624" t="str">
        <f>VLOOKUP($B624,'Hospitalisation Details'!A623:J2967,8,0)</f>
        <v>tier - 3</v>
      </c>
      <c r="P624" t="str">
        <f>VLOOKUP($B624,'Hospitalisation Details'!A623:J2967,7,0)</f>
        <v>tier - 2</v>
      </c>
      <c r="Q624" t="str">
        <f>VLOOKUP($B624,'Hospitalisation Details'!A623:J2967,9,0)</f>
        <v>R1024</v>
      </c>
      <c r="R624">
        <f>VLOOKUP($B624,'Hospitalisation Details'!A623:K2967,11,0)</f>
        <v>33</v>
      </c>
    </row>
    <row r="625" spans="1:18" x14ac:dyDescent="0.35">
      <c r="A625" t="s">
        <v>1747</v>
      </c>
      <c r="B625" t="s">
        <v>657</v>
      </c>
      <c r="C625" t="str">
        <f>VLOOKUP($A625,'Customer Names'!$A:$E,4,FALSE)</f>
        <v>Craig R.</v>
      </c>
      <c r="D625" t="str">
        <f>VLOOKUP($A625,'Medical Examinations'!$A:$J,2,FALSE)</f>
        <v>Normal Weight</v>
      </c>
      <c r="E625">
        <f>VLOOKUP($A625,'Medical Examinations'!$A:$J,4,FALSE)</f>
        <v>4.46</v>
      </c>
      <c r="F625" t="str">
        <f>VLOOKUP($A625,'Medical Examinations'!$A:$J,6,FALSE)</f>
        <v>No</v>
      </c>
      <c r="G625" t="str">
        <f>VLOOKUP($A625,'Medical Examinations'!$A:$J,7,FALSE)</f>
        <v>No</v>
      </c>
      <c r="H625" t="str">
        <f>VLOOKUP($A625,'Medical Examinations'!$A:$J,8,FALSE)</f>
        <v>No</v>
      </c>
      <c r="I625">
        <f>VLOOKUP($A625,'Medical Examinations'!$A:$J,9,FALSE)</f>
        <v>1</v>
      </c>
      <c r="J625" t="str">
        <f>VLOOKUP($A625,'Medical Examinations'!$A:$J,10,FALSE)</f>
        <v>yes</v>
      </c>
      <c r="K625" t="str">
        <f>VLOOKUP($A625,'Medical Examinations'!$A:$J,5,FALSE)</f>
        <v>Normal</v>
      </c>
      <c r="L625">
        <f>VLOOKUP($A626,'Medical Examinations'!$A:$J,3,FALSE)</f>
        <v>24.13</v>
      </c>
      <c r="M625">
        <f>VLOOKUP($A625,'Hospitalisation Details'!$A:$K,6,FALSE)</f>
        <v>15820.7</v>
      </c>
      <c r="N625" s="11">
        <f>VLOOKUP($B625,'Hospitalisation Details'!A624:J2968,10,0)</f>
        <v>34675</v>
      </c>
      <c r="O625" t="str">
        <f>VLOOKUP($B625,'Hospitalisation Details'!A624:J2968,8,0)</f>
        <v>tier - 1</v>
      </c>
      <c r="P625" t="str">
        <f>VLOOKUP($B625,'Hospitalisation Details'!A624:J2968,7,0)</f>
        <v>tier - 2</v>
      </c>
      <c r="Q625" t="str">
        <f>VLOOKUP($B625,'Hospitalisation Details'!A624:J2968,9,0)</f>
        <v>R1011</v>
      </c>
      <c r="R625">
        <f>VLOOKUP($B625,'Hospitalisation Details'!A624:K2968,11,0)</f>
        <v>28</v>
      </c>
    </row>
    <row r="626" spans="1:18" x14ac:dyDescent="0.35">
      <c r="A626" t="s">
        <v>1746</v>
      </c>
      <c r="B626" t="s">
        <v>658</v>
      </c>
      <c r="C626" t="str">
        <f>VLOOKUP($A626,'Customer Names'!$A:$E,4,FALSE)</f>
        <v>Simo</v>
      </c>
      <c r="D626" t="str">
        <f>VLOOKUP($A626,'Medical Examinations'!$A:$J,2,FALSE)</f>
        <v>Normal Weight</v>
      </c>
      <c r="E626">
        <f>VLOOKUP($A626,'Medical Examinations'!$A:$J,4,FALSE)</f>
        <v>5.29</v>
      </c>
      <c r="F626" t="str">
        <f>VLOOKUP($A626,'Medical Examinations'!$A:$J,6,FALSE)</f>
        <v>yes</v>
      </c>
      <c r="G626" t="str">
        <f>VLOOKUP($A626,'Medical Examinations'!$A:$J,7,FALSE)</f>
        <v>No</v>
      </c>
      <c r="H626" t="str">
        <f>VLOOKUP($A626,'Medical Examinations'!$A:$J,8,FALSE)</f>
        <v>Yes</v>
      </c>
      <c r="I626">
        <f>VLOOKUP($A626,'Medical Examinations'!$A:$J,9,FALSE)</f>
        <v>1</v>
      </c>
      <c r="J626" t="str">
        <f>VLOOKUP($A626,'Medical Examinations'!$A:$J,10,FALSE)</f>
        <v>yes</v>
      </c>
      <c r="K626" t="str">
        <f>VLOOKUP($A626,'Medical Examinations'!$A:$J,5,FALSE)</f>
        <v>Normal</v>
      </c>
      <c r="L626">
        <f>VLOOKUP($A627,'Medical Examinations'!$A:$J,3,FALSE)</f>
        <v>46.7</v>
      </c>
      <c r="M626">
        <f>VLOOKUP($A626,'Hospitalisation Details'!$A:$K,6,FALSE)</f>
        <v>15817.99</v>
      </c>
      <c r="N626" s="11">
        <f>VLOOKUP($B626,'Hospitalisation Details'!A625:J2969,10,0)</f>
        <v>31564</v>
      </c>
      <c r="O626" t="str">
        <f>VLOOKUP($B626,'Hospitalisation Details'!A625:J2969,8,0)</f>
        <v>tier - 2</v>
      </c>
      <c r="P626" t="str">
        <f>VLOOKUP($B626,'Hospitalisation Details'!A625:J2969,7,0)</f>
        <v>tier - 2</v>
      </c>
      <c r="Q626" t="str">
        <f>VLOOKUP($B626,'Hospitalisation Details'!A625:J2969,9,0)</f>
        <v>R1012</v>
      </c>
      <c r="R626">
        <f>VLOOKUP($B626,'Hospitalisation Details'!A625:K2969,11,0)</f>
        <v>37</v>
      </c>
    </row>
    <row r="627" spans="1:18" x14ac:dyDescent="0.35">
      <c r="A627" t="s">
        <v>1745</v>
      </c>
      <c r="B627" t="s">
        <v>659</v>
      </c>
      <c r="C627" t="str">
        <f>VLOOKUP($A627,'Customer Names'!$A:$E,4,FALSE)</f>
        <v>Christopher J</v>
      </c>
      <c r="D627" t="str">
        <f>VLOOKUP($A627,'Medical Examinations'!$A:$J,2,FALSE)</f>
        <v>Obesity</v>
      </c>
      <c r="E627">
        <f>VLOOKUP($A627,'Medical Examinations'!$A:$J,4,FALSE)</f>
        <v>10.99</v>
      </c>
      <c r="F627" t="str">
        <f>VLOOKUP($A627,'Medical Examinations'!$A:$J,6,FALSE)</f>
        <v>No</v>
      </c>
      <c r="G627" t="str">
        <f>VLOOKUP($A627,'Medical Examinations'!$A:$J,7,FALSE)</f>
        <v>No</v>
      </c>
      <c r="H627" t="str">
        <f>VLOOKUP($A627,'Medical Examinations'!$A:$J,8,FALSE)</f>
        <v>No</v>
      </c>
      <c r="I627">
        <f>VLOOKUP($A627,'Medical Examinations'!$A:$J,9,FALSE)</f>
        <v>0</v>
      </c>
      <c r="J627" t="str">
        <f>VLOOKUP($A627,'Medical Examinations'!$A:$J,10,FALSE)</f>
        <v>No</v>
      </c>
      <c r="K627" t="str">
        <f>VLOOKUP($A627,'Medical Examinations'!$A:$J,5,FALSE)</f>
        <v>Diabetes</v>
      </c>
      <c r="L627">
        <f>VLOOKUP($A628,'Medical Examinations'!$A:$J,3,FALSE)</f>
        <v>45.27</v>
      </c>
      <c r="M627">
        <f>VLOOKUP($A627,'Hospitalisation Details'!$A:$K,6,FALSE)</f>
        <v>15746.62</v>
      </c>
      <c r="N627" s="11">
        <f>VLOOKUP($B627,'Hospitalisation Details'!A626:J2970,10,0)</f>
        <v>32830</v>
      </c>
      <c r="O627" t="str">
        <f>VLOOKUP($B627,'Hospitalisation Details'!A626:J2970,8,0)</f>
        <v>tier - 1</v>
      </c>
      <c r="P627" t="str">
        <f>VLOOKUP($B627,'Hospitalisation Details'!A626:J2970,7,0)</f>
        <v>tier - 2</v>
      </c>
      <c r="Q627" t="str">
        <f>VLOOKUP($B627,'Hospitalisation Details'!A626:J2970,9,0)</f>
        <v>R1011</v>
      </c>
      <c r="R627">
        <f>VLOOKUP($B627,'Hospitalisation Details'!A626:K2970,11,0)</f>
        <v>33</v>
      </c>
    </row>
    <row r="628" spans="1:18" x14ac:dyDescent="0.35">
      <c r="A628" t="s">
        <v>1744</v>
      </c>
      <c r="B628" t="s">
        <v>660</v>
      </c>
      <c r="C628" t="str">
        <f>VLOOKUP($A628,'Customer Names'!$A:$E,4,FALSE)</f>
        <v>Mario Sr.</v>
      </c>
      <c r="D628" t="str">
        <f>VLOOKUP($A628,'Medical Examinations'!$A:$J,2,FALSE)</f>
        <v>Obesity</v>
      </c>
      <c r="E628">
        <f>VLOOKUP($A628,'Medical Examinations'!$A:$J,4,FALSE)</f>
        <v>5.2</v>
      </c>
      <c r="F628" t="str">
        <f>VLOOKUP($A628,'Medical Examinations'!$A:$J,6,FALSE)</f>
        <v>yes</v>
      </c>
      <c r="G628" t="str">
        <f>VLOOKUP($A628,'Medical Examinations'!$A:$J,7,FALSE)</f>
        <v>No</v>
      </c>
      <c r="H628" t="str">
        <f>VLOOKUP($A628,'Medical Examinations'!$A:$J,8,FALSE)</f>
        <v>No</v>
      </c>
      <c r="I628">
        <f>VLOOKUP($A628,'Medical Examinations'!$A:$J,9,FALSE)</f>
        <v>0</v>
      </c>
      <c r="J628" t="str">
        <f>VLOOKUP($A628,'Medical Examinations'!$A:$J,10,FALSE)</f>
        <v>No</v>
      </c>
      <c r="K628" t="str">
        <f>VLOOKUP($A628,'Medical Examinations'!$A:$J,5,FALSE)</f>
        <v>Normal</v>
      </c>
      <c r="L628">
        <f>VLOOKUP($A629,'Medical Examinations'!$A:$J,3,FALSE)</f>
        <v>44.29</v>
      </c>
      <c r="M628">
        <f>VLOOKUP($A628,'Hospitalisation Details'!$A:$K,6,FALSE)</f>
        <v>15698.86</v>
      </c>
      <c r="N628" s="11">
        <f>VLOOKUP($B628,'Hospitalisation Details'!A627:J2971,10,0)</f>
        <v>31615</v>
      </c>
      <c r="O628" t="str">
        <f>VLOOKUP($B628,'Hospitalisation Details'!A627:J2971,8,0)</f>
        <v>tier - 3</v>
      </c>
      <c r="P628" t="str">
        <f>VLOOKUP($B628,'Hospitalisation Details'!A627:J2971,7,0)</f>
        <v>tier - 2</v>
      </c>
      <c r="Q628" t="str">
        <f>VLOOKUP($B628,'Hospitalisation Details'!A627:J2971,9,0)</f>
        <v>R1012</v>
      </c>
      <c r="R628">
        <f>VLOOKUP($B628,'Hospitalisation Details'!A627:K2971,11,0)</f>
        <v>36</v>
      </c>
    </row>
    <row r="629" spans="1:18" x14ac:dyDescent="0.35">
      <c r="A629" t="s">
        <v>1743</v>
      </c>
      <c r="B629" t="s">
        <v>661</v>
      </c>
      <c r="C629" t="str">
        <f>VLOOKUP($A629,'Customer Names'!$A:$E,4,FALSE)</f>
        <v>Meghann R.</v>
      </c>
      <c r="D629" t="str">
        <f>VLOOKUP($A629,'Medical Examinations'!$A:$J,2,FALSE)</f>
        <v>Obesity</v>
      </c>
      <c r="E629">
        <f>VLOOKUP($A629,'Medical Examinations'!$A:$J,4,FALSE)</f>
        <v>9.66</v>
      </c>
      <c r="F629" t="str">
        <f>VLOOKUP($A629,'Medical Examinations'!$A:$J,6,FALSE)</f>
        <v>No</v>
      </c>
      <c r="G629" t="str">
        <f>VLOOKUP($A629,'Medical Examinations'!$A:$J,7,FALSE)</f>
        <v>No</v>
      </c>
      <c r="H629" t="str">
        <f>VLOOKUP($A629,'Medical Examinations'!$A:$J,8,FALSE)</f>
        <v>No</v>
      </c>
      <c r="I629">
        <f>VLOOKUP($A629,'Medical Examinations'!$A:$J,9,FALSE)</f>
        <v>2</v>
      </c>
      <c r="J629" t="str">
        <f>VLOOKUP($A629,'Medical Examinations'!$A:$J,10,FALSE)</f>
        <v>No</v>
      </c>
      <c r="K629" t="str">
        <f>VLOOKUP($A629,'Medical Examinations'!$A:$J,5,FALSE)</f>
        <v>Diabetes</v>
      </c>
      <c r="L629">
        <f>VLOOKUP($A630,'Medical Examinations'!$A:$J,3,FALSE)</f>
        <v>54.59</v>
      </c>
      <c r="M629">
        <f>VLOOKUP($A629,'Hospitalisation Details'!$A:$K,6,FALSE)</f>
        <v>15670.3</v>
      </c>
      <c r="N629" s="11">
        <f>VLOOKUP($B629,'Hospitalisation Details'!A628:J2972,10,0)</f>
        <v>30834</v>
      </c>
      <c r="O629" t="str">
        <f>VLOOKUP($B629,'Hospitalisation Details'!A628:J2972,8,0)</f>
        <v>tier - 3</v>
      </c>
      <c r="P629" t="str">
        <f>VLOOKUP($B629,'Hospitalisation Details'!A628:J2972,7,0)</f>
        <v>tier - 2</v>
      </c>
      <c r="Q629" t="str">
        <f>VLOOKUP($B629,'Hospitalisation Details'!A628:J2972,9,0)</f>
        <v>R1011</v>
      </c>
      <c r="R629">
        <f>VLOOKUP($B629,'Hospitalisation Details'!A628:K2972,11,0)</f>
        <v>39</v>
      </c>
    </row>
    <row r="630" spans="1:18" x14ac:dyDescent="0.35">
      <c r="A630" t="s">
        <v>1742</v>
      </c>
      <c r="B630" t="s">
        <v>662</v>
      </c>
      <c r="C630" t="str">
        <f>VLOOKUP($A630,'Customer Names'!$A:$E,4,FALSE)</f>
        <v>Scott M</v>
      </c>
      <c r="D630" t="str">
        <f>VLOOKUP($A630,'Medical Examinations'!$A:$J,2,FALSE)</f>
        <v>Obesity</v>
      </c>
      <c r="E630">
        <f>VLOOKUP($A630,'Medical Examinations'!$A:$J,4,FALSE)</f>
        <v>4.22</v>
      </c>
      <c r="F630" t="str">
        <f>VLOOKUP($A630,'Medical Examinations'!$A:$J,6,FALSE)</f>
        <v>yes</v>
      </c>
      <c r="G630" t="str">
        <f>VLOOKUP($A630,'Medical Examinations'!$A:$J,7,FALSE)</f>
        <v>No</v>
      </c>
      <c r="H630" t="str">
        <f>VLOOKUP($A630,'Medical Examinations'!$A:$J,8,FALSE)</f>
        <v>No</v>
      </c>
      <c r="I630">
        <f>VLOOKUP($A630,'Medical Examinations'!$A:$J,9,FALSE)</f>
        <v>1</v>
      </c>
      <c r="J630" t="str">
        <f>VLOOKUP($A630,'Medical Examinations'!$A:$J,10,FALSE)</f>
        <v>No</v>
      </c>
      <c r="K630" t="str">
        <f>VLOOKUP($A630,'Medical Examinations'!$A:$J,5,FALSE)</f>
        <v>Normal</v>
      </c>
      <c r="L630">
        <f>VLOOKUP($A631,'Medical Examinations'!$A:$J,3,FALSE)</f>
        <v>32.965000000000003</v>
      </c>
      <c r="M630">
        <f>VLOOKUP($A630,'Hospitalisation Details'!$A:$K,6,FALSE)</f>
        <v>15646.28</v>
      </c>
      <c r="N630" s="11">
        <f>VLOOKUP($B630,'Hospitalisation Details'!A629:J2973,10,0)</f>
        <v>32363</v>
      </c>
      <c r="O630" t="str">
        <f>VLOOKUP($B630,'Hospitalisation Details'!A629:J2973,8,0)</f>
        <v>tier - 3</v>
      </c>
      <c r="P630" t="str">
        <f>VLOOKUP($B630,'Hospitalisation Details'!A629:J2973,7,0)</f>
        <v>tier - 2</v>
      </c>
      <c r="Q630" t="str">
        <f>VLOOKUP($B630,'Hospitalisation Details'!A629:J2973,9,0)</f>
        <v>R1012</v>
      </c>
      <c r="R630">
        <f>VLOOKUP($B630,'Hospitalisation Details'!A629:K2973,11,0)</f>
        <v>34</v>
      </c>
    </row>
    <row r="631" spans="1:18" x14ac:dyDescent="0.35">
      <c r="A631" t="s">
        <v>1741</v>
      </c>
      <c r="B631" t="s">
        <v>663</v>
      </c>
      <c r="C631" t="str">
        <f>VLOOKUP($A631,'Customer Names'!$A:$E,4,FALSE)</f>
        <v>Caitlin E.</v>
      </c>
      <c r="D631" t="str">
        <f>VLOOKUP($A631,'Medical Examinations'!$A:$J,2,FALSE)</f>
        <v>Obesity</v>
      </c>
      <c r="E631">
        <f>VLOOKUP($A631,'Medical Examinations'!$A:$J,4,FALSE)</f>
        <v>11.78</v>
      </c>
      <c r="F631" t="str">
        <f>VLOOKUP($A631,'Medical Examinations'!$A:$J,6,FALSE)</f>
        <v>No</v>
      </c>
      <c r="G631" t="str">
        <f>VLOOKUP($A631,'Medical Examinations'!$A:$J,7,FALSE)</f>
        <v>No</v>
      </c>
      <c r="H631" t="str">
        <f>VLOOKUP($A631,'Medical Examinations'!$A:$J,8,FALSE)</f>
        <v>No</v>
      </c>
      <c r="I631">
        <f>VLOOKUP($A631,'Medical Examinations'!$A:$J,9,FALSE)</f>
        <v>0</v>
      </c>
      <c r="J631" t="str">
        <f>VLOOKUP($A631,'Medical Examinations'!$A:$J,10,FALSE)</f>
        <v>No</v>
      </c>
      <c r="K631" t="str">
        <f>VLOOKUP($A631,'Medical Examinations'!$A:$J,5,FALSE)</f>
        <v>Diabetes</v>
      </c>
      <c r="L631">
        <f>VLOOKUP($A632,'Medical Examinations'!$A:$J,3,FALSE)</f>
        <v>38.049999999999997</v>
      </c>
      <c r="M631">
        <f>VLOOKUP($A631,'Hospitalisation Details'!$A:$K,6,FALSE)</f>
        <v>15612.19</v>
      </c>
      <c r="N631" s="11">
        <f>VLOOKUP($B631,'Hospitalisation Details'!A630:J2974,10,0)</f>
        <v>32818</v>
      </c>
      <c r="O631" t="str">
        <f>VLOOKUP($B631,'Hospitalisation Details'!A630:J2974,8,0)</f>
        <v>tier - 3</v>
      </c>
      <c r="P631" t="str">
        <f>VLOOKUP($B631,'Hospitalisation Details'!A630:J2974,7,0)</f>
        <v>tier - 2</v>
      </c>
      <c r="Q631" t="str">
        <f>VLOOKUP($B631,'Hospitalisation Details'!A630:J2974,9,0)</f>
        <v>R1013</v>
      </c>
      <c r="R631">
        <f>VLOOKUP($B631,'Hospitalisation Details'!A630:K2974,11,0)</f>
        <v>33</v>
      </c>
    </row>
    <row r="632" spans="1:18" x14ac:dyDescent="0.35">
      <c r="A632" t="s">
        <v>1740</v>
      </c>
      <c r="B632" t="s">
        <v>664</v>
      </c>
      <c r="C632" t="str">
        <f>VLOOKUP($A632,'Customer Names'!$A:$E,4,FALSE)</f>
        <v>Samantha A.</v>
      </c>
      <c r="D632" t="str">
        <f>VLOOKUP($A632,'Medical Examinations'!$A:$J,2,FALSE)</f>
        <v>Obesity</v>
      </c>
      <c r="E632">
        <f>VLOOKUP($A632,'Medical Examinations'!$A:$J,4,FALSE)</f>
        <v>9.6199999999999992</v>
      </c>
      <c r="F632" t="str">
        <f>VLOOKUP($A632,'Medical Examinations'!$A:$J,6,FALSE)</f>
        <v>No</v>
      </c>
      <c r="G632" t="str">
        <f>VLOOKUP($A632,'Medical Examinations'!$A:$J,7,FALSE)</f>
        <v>No</v>
      </c>
      <c r="H632" t="str">
        <f>VLOOKUP($A632,'Medical Examinations'!$A:$J,8,FALSE)</f>
        <v>No</v>
      </c>
      <c r="I632">
        <f>VLOOKUP($A632,'Medical Examinations'!$A:$J,9,FALSE)</f>
        <v>0</v>
      </c>
      <c r="J632" t="str">
        <f>VLOOKUP($A632,'Medical Examinations'!$A:$J,10,FALSE)</f>
        <v>No</v>
      </c>
      <c r="K632" t="str">
        <f>VLOOKUP($A632,'Medical Examinations'!$A:$J,5,FALSE)</f>
        <v>Diabetes</v>
      </c>
      <c r="L632">
        <f>VLOOKUP($A633,'Medical Examinations'!$A:$J,3,FALSE)</f>
        <v>46.14</v>
      </c>
      <c r="M632">
        <f>VLOOKUP($A632,'Hospitalisation Details'!$A:$K,6,FALSE)</f>
        <v>15608.58</v>
      </c>
      <c r="N632" s="11">
        <f>VLOOKUP($B632,'Hospitalisation Details'!A631:J2975,10,0)</f>
        <v>30928</v>
      </c>
      <c r="O632" t="str">
        <f>VLOOKUP($B632,'Hospitalisation Details'!A631:J2975,8,0)</f>
        <v>tier - 2</v>
      </c>
      <c r="P632" t="str">
        <f>VLOOKUP($B632,'Hospitalisation Details'!A631:J2975,7,0)</f>
        <v>tier - 2</v>
      </c>
      <c r="Q632" t="str">
        <f>VLOOKUP($B632,'Hospitalisation Details'!A631:J2975,9,0)</f>
        <v>R1013</v>
      </c>
      <c r="R632">
        <f>VLOOKUP($B632,'Hospitalisation Details'!A631:K2975,11,0)</f>
        <v>38</v>
      </c>
    </row>
    <row r="633" spans="1:18" x14ac:dyDescent="0.35">
      <c r="A633" t="s">
        <v>1739</v>
      </c>
      <c r="B633" t="s">
        <v>665</v>
      </c>
      <c r="C633" t="str">
        <f>VLOOKUP($A633,'Customer Names'!$A:$E,4,FALSE)</f>
        <v>Erik</v>
      </c>
      <c r="D633" t="str">
        <f>VLOOKUP($A633,'Medical Examinations'!$A:$J,2,FALSE)</f>
        <v>Obesity</v>
      </c>
      <c r="E633">
        <f>VLOOKUP($A633,'Medical Examinations'!$A:$J,4,FALSE)</f>
        <v>10.78</v>
      </c>
      <c r="F633" t="str">
        <f>VLOOKUP($A633,'Medical Examinations'!$A:$J,6,FALSE)</f>
        <v>No</v>
      </c>
      <c r="G633" t="str">
        <f>VLOOKUP($A633,'Medical Examinations'!$A:$J,7,FALSE)</f>
        <v>No</v>
      </c>
      <c r="H633" t="str">
        <f>VLOOKUP($A633,'Medical Examinations'!$A:$J,8,FALSE)</f>
        <v>No</v>
      </c>
      <c r="I633">
        <f>VLOOKUP($A633,'Medical Examinations'!$A:$J,9,FALSE)</f>
        <v>0</v>
      </c>
      <c r="J633" t="str">
        <f>VLOOKUP($A633,'Medical Examinations'!$A:$J,10,FALSE)</f>
        <v>No</v>
      </c>
      <c r="K633" t="str">
        <f>VLOOKUP($A633,'Medical Examinations'!$A:$J,5,FALSE)</f>
        <v>Diabetes</v>
      </c>
      <c r="L633">
        <f>VLOOKUP($A634,'Medical Examinations'!$A:$J,3,FALSE)</f>
        <v>41.325000000000003</v>
      </c>
      <c r="M633">
        <f>VLOOKUP($A633,'Hospitalisation Details'!$A:$K,6,FALSE)</f>
        <v>15556.67</v>
      </c>
      <c r="N633" s="11">
        <f>VLOOKUP($B633,'Hospitalisation Details'!A632:J2976,10,0)</f>
        <v>30895</v>
      </c>
      <c r="O633" t="str">
        <f>VLOOKUP($B633,'Hospitalisation Details'!A632:J2976,8,0)</f>
        <v>tier - 2</v>
      </c>
      <c r="P633" t="str">
        <f>VLOOKUP($B633,'Hospitalisation Details'!A632:J2976,7,0)</f>
        <v>tier - 2</v>
      </c>
      <c r="Q633" t="str">
        <f>VLOOKUP($B633,'Hospitalisation Details'!A632:J2976,9,0)</f>
        <v>R1013</v>
      </c>
      <c r="R633">
        <f>VLOOKUP($B633,'Hospitalisation Details'!A632:K2976,11,0)</f>
        <v>38</v>
      </c>
    </row>
    <row r="634" spans="1:18" x14ac:dyDescent="0.35">
      <c r="A634" t="s">
        <v>1738</v>
      </c>
      <c r="B634" t="s">
        <v>666</v>
      </c>
      <c r="C634" t="str">
        <f>VLOOKUP($A634,'Customer Names'!$A:$E,4,FALSE)</f>
        <v>Christopher</v>
      </c>
      <c r="D634" t="str">
        <f>VLOOKUP($A634,'Medical Examinations'!$A:$J,2,FALSE)</f>
        <v>Obesity</v>
      </c>
      <c r="E634">
        <f>VLOOKUP($A634,'Medical Examinations'!$A:$J,4,FALSE)</f>
        <v>5.1100000000000003</v>
      </c>
      <c r="F634" t="str">
        <f>VLOOKUP($A634,'Medical Examinations'!$A:$J,6,FALSE)</f>
        <v>yes</v>
      </c>
      <c r="G634" t="str">
        <f>VLOOKUP($A634,'Medical Examinations'!$A:$J,7,FALSE)</f>
        <v>No</v>
      </c>
      <c r="H634" t="str">
        <f>VLOOKUP($A634,'Medical Examinations'!$A:$J,8,FALSE)</f>
        <v>No</v>
      </c>
      <c r="I634">
        <f>VLOOKUP($A634,'Medical Examinations'!$A:$J,9,FALSE)</f>
        <v>2</v>
      </c>
      <c r="J634" t="str">
        <f>VLOOKUP($A634,'Medical Examinations'!$A:$J,10,FALSE)</f>
        <v>No</v>
      </c>
      <c r="K634" t="str">
        <f>VLOOKUP($A634,'Medical Examinations'!$A:$J,5,FALSE)</f>
        <v>Normal</v>
      </c>
      <c r="L634">
        <f>VLOOKUP($A635,'Medical Examinations'!$A:$J,3,FALSE)</f>
        <v>44.64</v>
      </c>
      <c r="M634">
        <f>VLOOKUP($A634,'Hospitalisation Details'!$A:$K,6,FALSE)</f>
        <v>15555.19</v>
      </c>
      <c r="N634" s="11">
        <f>VLOOKUP($B634,'Hospitalisation Details'!A633:J2977,10,0)</f>
        <v>31404</v>
      </c>
      <c r="O634" t="str">
        <f>VLOOKUP($B634,'Hospitalisation Details'!A633:J2977,8,0)</f>
        <v>tier - 1</v>
      </c>
      <c r="P634" t="str">
        <f>VLOOKUP($B634,'Hospitalisation Details'!A633:J2977,7,0)</f>
        <v>tier - 2</v>
      </c>
      <c r="Q634" t="str">
        <f>VLOOKUP($B634,'Hospitalisation Details'!A633:J2977,9,0)</f>
        <v>R1013</v>
      </c>
      <c r="R634">
        <f>VLOOKUP($B634,'Hospitalisation Details'!A633:K2977,11,0)</f>
        <v>37</v>
      </c>
    </row>
    <row r="635" spans="1:18" x14ac:dyDescent="0.35">
      <c r="A635" t="s">
        <v>1737</v>
      </c>
      <c r="B635" t="s">
        <v>667</v>
      </c>
      <c r="C635" t="str">
        <f>VLOOKUP($A635,'Customer Names'!$A:$E,4,FALSE)</f>
        <v>Maya</v>
      </c>
      <c r="D635" t="str">
        <f>VLOOKUP($A635,'Medical Examinations'!$A:$J,2,FALSE)</f>
        <v>Obesity</v>
      </c>
      <c r="E635">
        <f>VLOOKUP($A635,'Medical Examinations'!$A:$J,4,FALSE)</f>
        <v>7.18</v>
      </c>
      <c r="F635" t="str">
        <f>VLOOKUP($A635,'Medical Examinations'!$A:$J,6,FALSE)</f>
        <v>No</v>
      </c>
      <c r="G635" t="str">
        <f>VLOOKUP($A635,'Medical Examinations'!$A:$J,7,FALSE)</f>
        <v>No</v>
      </c>
      <c r="H635" t="str">
        <f>VLOOKUP($A635,'Medical Examinations'!$A:$J,8,FALSE)</f>
        <v>No</v>
      </c>
      <c r="I635">
        <f>VLOOKUP($A635,'Medical Examinations'!$A:$J,9,FALSE)</f>
        <v>0</v>
      </c>
      <c r="J635" t="str">
        <f>VLOOKUP($A635,'Medical Examinations'!$A:$J,10,FALSE)</f>
        <v>No</v>
      </c>
      <c r="K635" t="str">
        <f>VLOOKUP($A635,'Medical Examinations'!$A:$J,5,FALSE)</f>
        <v>Diabetes</v>
      </c>
      <c r="L635">
        <f>VLOOKUP($A636,'Medical Examinations'!$A:$J,3,FALSE)</f>
        <v>25.175000000000001</v>
      </c>
      <c r="M635">
        <f>VLOOKUP($A635,'Hospitalisation Details'!$A:$K,6,FALSE)</f>
        <v>15532.16</v>
      </c>
      <c r="N635" s="11">
        <f>VLOOKUP($B635,'Hospitalisation Details'!A634:J2978,10,0)</f>
        <v>27664</v>
      </c>
      <c r="O635" t="str">
        <f>VLOOKUP($B635,'Hospitalisation Details'!A634:J2978,8,0)</f>
        <v>tier - 3</v>
      </c>
      <c r="P635" t="str">
        <f>VLOOKUP($B635,'Hospitalisation Details'!A634:J2978,7,0)</f>
        <v>tier - 2</v>
      </c>
      <c r="Q635" t="str">
        <f>VLOOKUP($B635,'Hospitalisation Details'!A634:J2978,9,0)</f>
        <v>R1012</v>
      </c>
      <c r="R635">
        <f>VLOOKUP($B635,'Hospitalisation Details'!A634:K2978,11,0)</f>
        <v>47</v>
      </c>
    </row>
    <row r="636" spans="1:18" x14ac:dyDescent="0.35">
      <c r="A636" t="s">
        <v>1736</v>
      </c>
      <c r="B636" t="s">
        <v>668</v>
      </c>
      <c r="C636" t="str">
        <f>VLOOKUP($A636,'Customer Names'!$A:$E,4,FALSE)</f>
        <v>Zachary T</v>
      </c>
      <c r="D636" t="str">
        <f>VLOOKUP($A636,'Medical Examinations'!$A:$J,2,FALSE)</f>
        <v>Overweight</v>
      </c>
      <c r="E636">
        <f>VLOOKUP($A636,'Medical Examinations'!$A:$J,4,FALSE)</f>
        <v>4.96</v>
      </c>
      <c r="F636" t="str">
        <f>VLOOKUP($A636,'Medical Examinations'!$A:$J,6,FALSE)</f>
        <v>No</v>
      </c>
      <c r="G636" t="str">
        <f>VLOOKUP($A636,'Medical Examinations'!$A:$J,7,FALSE)</f>
        <v>yes</v>
      </c>
      <c r="H636" t="str">
        <f>VLOOKUP($A636,'Medical Examinations'!$A:$J,8,FALSE)</f>
        <v>No</v>
      </c>
      <c r="I636">
        <f>VLOOKUP($A636,'Medical Examinations'!$A:$J,9,FALSE)</f>
        <v>1</v>
      </c>
      <c r="J636" t="str">
        <f>VLOOKUP($A636,'Medical Examinations'!$A:$J,10,FALSE)</f>
        <v>No</v>
      </c>
      <c r="K636" t="str">
        <f>VLOOKUP($A636,'Medical Examinations'!$A:$J,5,FALSE)</f>
        <v>Normal</v>
      </c>
      <c r="L636">
        <f>VLOOKUP($A637,'Medical Examinations'!$A:$J,3,FALSE)</f>
        <v>43.11</v>
      </c>
      <c r="M636">
        <f>VLOOKUP($A636,'Hospitalisation Details'!$A:$K,6,FALSE)</f>
        <v>15518.18</v>
      </c>
      <c r="N636" s="11">
        <f>VLOOKUP($B636,'Hospitalisation Details'!A635:J2979,10,0)</f>
        <v>30221</v>
      </c>
      <c r="O636" t="str">
        <f>VLOOKUP($B636,'Hospitalisation Details'!A635:J2979,8,0)</f>
        <v>tier - 3</v>
      </c>
      <c r="P636" t="str">
        <f>VLOOKUP($B636,'Hospitalisation Details'!A635:J2979,7,0)</f>
        <v>tier - 2</v>
      </c>
      <c r="Q636" t="str">
        <f>VLOOKUP($B636,'Hospitalisation Details'!A635:J2979,9,0)</f>
        <v>R1013</v>
      </c>
      <c r="R636">
        <f>VLOOKUP($B636,'Hospitalisation Details'!A635:K2979,11,0)</f>
        <v>40</v>
      </c>
    </row>
    <row r="637" spans="1:18" x14ac:dyDescent="0.35">
      <c r="A637" t="s">
        <v>1735</v>
      </c>
      <c r="B637" t="s">
        <v>669</v>
      </c>
      <c r="C637" t="str">
        <f>VLOOKUP($A637,'Customer Names'!$A:$E,4,FALSE)</f>
        <v>Hilda</v>
      </c>
      <c r="D637" t="str">
        <f>VLOOKUP($A637,'Medical Examinations'!$A:$J,2,FALSE)</f>
        <v>Obesity</v>
      </c>
      <c r="E637">
        <f>VLOOKUP($A637,'Medical Examinations'!$A:$J,4,FALSE)</f>
        <v>4.67</v>
      </c>
      <c r="F637" t="str">
        <f>VLOOKUP($A637,'Medical Examinations'!$A:$J,6,FALSE)</f>
        <v>yes</v>
      </c>
      <c r="G637" t="str">
        <f>VLOOKUP($A637,'Medical Examinations'!$A:$J,7,FALSE)</f>
        <v>No</v>
      </c>
      <c r="H637" t="str">
        <f>VLOOKUP($A637,'Medical Examinations'!$A:$J,8,FALSE)</f>
        <v>No</v>
      </c>
      <c r="I637">
        <f>VLOOKUP($A637,'Medical Examinations'!$A:$J,9,FALSE)</f>
        <v>0</v>
      </c>
      <c r="J637" t="str">
        <f>VLOOKUP($A637,'Medical Examinations'!$A:$J,10,FALSE)</f>
        <v>No</v>
      </c>
      <c r="K637" t="str">
        <f>VLOOKUP($A637,'Medical Examinations'!$A:$J,5,FALSE)</f>
        <v>Normal</v>
      </c>
      <c r="L637">
        <f>VLOOKUP($A638,'Medical Examinations'!$A:$J,3,FALSE)</f>
        <v>53.32</v>
      </c>
      <c r="M637">
        <f>VLOOKUP($A637,'Hospitalisation Details'!$A:$K,6,FALSE)</f>
        <v>15450.48</v>
      </c>
      <c r="N637" s="11">
        <f>VLOOKUP($B637,'Hospitalisation Details'!A636:J2980,10,0)</f>
        <v>33425</v>
      </c>
      <c r="O637" t="str">
        <f>VLOOKUP($B637,'Hospitalisation Details'!A636:J2980,8,0)</f>
        <v>tier - 1</v>
      </c>
      <c r="P637" t="str">
        <f>VLOOKUP($B637,'Hospitalisation Details'!A636:J2980,7,0)</f>
        <v>tier - 2</v>
      </c>
      <c r="Q637" t="str">
        <f>VLOOKUP($B637,'Hospitalisation Details'!A636:J2980,9,0)</f>
        <v>R1012</v>
      </c>
      <c r="R637">
        <f>VLOOKUP($B637,'Hospitalisation Details'!A636:K2980,11,0)</f>
        <v>31</v>
      </c>
    </row>
    <row r="638" spans="1:18" x14ac:dyDescent="0.35">
      <c r="A638" t="s">
        <v>1734</v>
      </c>
      <c r="B638" t="s">
        <v>670</v>
      </c>
      <c r="C638" t="str">
        <f>VLOOKUP($A638,'Customer Names'!$A:$E,4,FALSE)</f>
        <v>Stephanie</v>
      </c>
      <c r="D638" t="str">
        <f>VLOOKUP($A638,'Medical Examinations'!$A:$J,2,FALSE)</f>
        <v>Obesity</v>
      </c>
      <c r="E638">
        <f>VLOOKUP($A638,'Medical Examinations'!$A:$J,4,FALSE)</f>
        <v>5.0599999999999996</v>
      </c>
      <c r="F638" t="str">
        <f>VLOOKUP($A638,'Medical Examinations'!$A:$J,6,FALSE)</f>
        <v>No</v>
      </c>
      <c r="G638" t="str">
        <f>VLOOKUP($A638,'Medical Examinations'!$A:$J,7,FALSE)</f>
        <v>No</v>
      </c>
      <c r="H638" t="str">
        <f>VLOOKUP($A638,'Medical Examinations'!$A:$J,8,FALSE)</f>
        <v>No</v>
      </c>
      <c r="I638">
        <f>VLOOKUP($A638,'Medical Examinations'!$A:$J,9,FALSE)</f>
        <v>0</v>
      </c>
      <c r="J638" t="str">
        <f>VLOOKUP($A638,'Medical Examinations'!$A:$J,10,FALSE)</f>
        <v>No</v>
      </c>
      <c r="K638" t="str">
        <f>VLOOKUP($A638,'Medical Examinations'!$A:$J,5,FALSE)</f>
        <v>Normal</v>
      </c>
      <c r="L638">
        <f>VLOOKUP($A639,'Medical Examinations'!$A:$J,3,FALSE)</f>
        <v>38.04</v>
      </c>
      <c r="M638">
        <f>VLOOKUP($A638,'Hospitalisation Details'!$A:$K,6,FALSE)</f>
        <v>15440.2</v>
      </c>
      <c r="N638" s="11">
        <f>VLOOKUP($B638,'Hospitalisation Details'!A637:J2981,10,0)</f>
        <v>33864</v>
      </c>
      <c r="O638" t="str">
        <f>VLOOKUP($B638,'Hospitalisation Details'!A637:J2981,8,0)</f>
        <v>tier - 1</v>
      </c>
      <c r="P638" t="str">
        <f>VLOOKUP($B638,'Hospitalisation Details'!A637:J2981,7,0)</f>
        <v>tier - 3</v>
      </c>
      <c r="Q638" t="str">
        <f>VLOOKUP($B638,'Hospitalisation Details'!A637:J2981,9,0)</f>
        <v>R1017</v>
      </c>
      <c r="R638">
        <f>VLOOKUP($B638,'Hospitalisation Details'!A637:K2981,11,0)</f>
        <v>30</v>
      </c>
    </row>
    <row r="639" spans="1:18" x14ac:dyDescent="0.35">
      <c r="A639" t="s">
        <v>1733</v>
      </c>
      <c r="B639" t="s">
        <v>671</v>
      </c>
      <c r="C639" t="str">
        <f>VLOOKUP($A639,'Customer Names'!$A:$E,4,FALSE)</f>
        <v>Doug</v>
      </c>
      <c r="D639" t="str">
        <f>VLOOKUP($A639,'Medical Examinations'!$A:$J,2,FALSE)</f>
        <v>Obesity</v>
      </c>
      <c r="E639">
        <f>VLOOKUP($A639,'Medical Examinations'!$A:$J,4,FALSE)</f>
        <v>5.0199999999999996</v>
      </c>
      <c r="F639" t="str">
        <f>VLOOKUP($A639,'Medical Examinations'!$A:$J,6,FALSE)</f>
        <v>yes</v>
      </c>
      <c r="G639" t="str">
        <f>VLOOKUP($A639,'Medical Examinations'!$A:$J,7,FALSE)</f>
        <v>No</v>
      </c>
      <c r="H639" t="str">
        <f>VLOOKUP($A639,'Medical Examinations'!$A:$J,8,FALSE)</f>
        <v>No</v>
      </c>
      <c r="I639">
        <f>VLOOKUP($A639,'Medical Examinations'!$A:$J,9,FALSE)</f>
        <v>1</v>
      </c>
      <c r="J639" t="str">
        <f>VLOOKUP($A639,'Medical Examinations'!$A:$J,10,FALSE)</f>
        <v>No</v>
      </c>
      <c r="K639" t="str">
        <f>VLOOKUP($A639,'Medical Examinations'!$A:$J,5,FALSE)</f>
        <v>Normal</v>
      </c>
      <c r="L639">
        <f>VLOOKUP($A640,'Medical Examinations'!$A:$J,3,FALSE)</f>
        <v>37.9</v>
      </c>
      <c r="M639">
        <f>VLOOKUP($A639,'Hospitalisation Details'!$A:$K,6,FALSE)</f>
        <v>15377.77</v>
      </c>
      <c r="N639" s="11">
        <f>VLOOKUP($B639,'Hospitalisation Details'!A638:J2982,10,0)</f>
        <v>28649</v>
      </c>
      <c r="O639" t="str">
        <f>VLOOKUP($B639,'Hospitalisation Details'!A638:J2982,8,0)</f>
        <v>tier - 2</v>
      </c>
      <c r="P639" t="str">
        <f>VLOOKUP($B639,'Hospitalisation Details'!A638:J2982,7,0)</f>
        <v>tier - 2</v>
      </c>
      <c r="Q639" t="str">
        <f>VLOOKUP($B639,'Hospitalisation Details'!A638:J2982,9,0)</f>
        <v>R1012</v>
      </c>
      <c r="R639">
        <f>VLOOKUP($B639,'Hospitalisation Details'!A638:K2982,11,0)</f>
        <v>45</v>
      </c>
    </row>
    <row r="640" spans="1:18" x14ac:dyDescent="0.35">
      <c r="A640" t="s">
        <v>1732</v>
      </c>
      <c r="B640" t="s">
        <v>672</v>
      </c>
      <c r="C640" t="str">
        <f>VLOOKUP($A640,'Customer Names'!$A:$E,4,FALSE)</f>
        <v>Bethany N.</v>
      </c>
      <c r="D640" t="str">
        <f>VLOOKUP($A640,'Medical Examinations'!$A:$J,2,FALSE)</f>
        <v>Obesity</v>
      </c>
      <c r="E640">
        <f>VLOOKUP($A640,'Medical Examinations'!$A:$J,4,FALSE)</f>
        <v>7.76</v>
      </c>
      <c r="F640" t="str">
        <f>VLOOKUP($A640,'Medical Examinations'!$A:$J,6,FALSE)</f>
        <v>No</v>
      </c>
      <c r="G640" t="str">
        <f>VLOOKUP($A640,'Medical Examinations'!$A:$J,7,FALSE)</f>
        <v>No</v>
      </c>
      <c r="H640" t="str">
        <f>VLOOKUP($A640,'Medical Examinations'!$A:$J,8,FALSE)</f>
        <v>No</v>
      </c>
      <c r="I640">
        <f>VLOOKUP($A640,'Medical Examinations'!$A:$J,9,FALSE)</f>
        <v>0</v>
      </c>
      <c r="J640" t="str">
        <f>VLOOKUP($A640,'Medical Examinations'!$A:$J,10,FALSE)</f>
        <v>No</v>
      </c>
      <c r="K640" t="str">
        <f>VLOOKUP($A640,'Medical Examinations'!$A:$J,5,FALSE)</f>
        <v>Diabetes</v>
      </c>
      <c r="L640">
        <f>VLOOKUP($A641,'Medical Examinations'!$A:$J,3,FALSE)</f>
        <v>39.6</v>
      </c>
      <c r="M640">
        <f>VLOOKUP($A640,'Hospitalisation Details'!$A:$K,6,FALSE)</f>
        <v>15368.22</v>
      </c>
      <c r="N640" s="11">
        <f>VLOOKUP($B640,'Hospitalisation Details'!A639:J2983,10,0)</f>
        <v>30188</v>
      </c>
      <c r="O640" t="str">
        <f>VLOOKUP($B640,'Hospitalisation Details'!A639:J2983,8,0)</f>
        <v>tier - 2</v>
      </c>
      <c r="P640" t="str">
        <f>VLOOKUP($B640,'Hospitalisation Details'!A639:J2983,7,0)</f>
        <v>tier - 3</v>
      </c>
      <c r="Q640" t="str">
        <f>VLOOKUP($B640,'Hospitalisation Details'!A639:J2983,9,0)</f>
        <v>R1013</v>
      </c>
      <c r="R640">
        <f>VLOOKUP($B640,'Hospitalisation Details'!A639:K2983,11,0)</f>
        <v>40</v>
      </c>
    </row>
    <row r="641" spans="1:18" x14ac:dyDescent="0.35">
      <c r="A641" t="s">
        <v>1731</v>
      </c>
      <c r="B641" t="s">
        <v>673</v>
      </c>
      <c r="C641" t="str">
        <f>VLOOKUP($A641,'Customer Names'!$A:$E,4,FALSE)</f>
        <v>Sandra H</v>
      </c>
      <c r="D641" t="str">
        <f>VLOOKUP($A641,'Medical Examinations'!$A:$J,2,FALSE)</f>
        <v>Obesity</v>
      </c>
      <c r="E641">
        <f>VLOOKUP($A641,'Medical Examinations'!$A:$J,4,FALSE)</f>
        <v>9.32</v>
      </c>
      <c r="F641" t="str">
        <f>VLOOKUP($A641,'Medical Examinations'!$A:$J,6,FALSE)</f>
        <v>No</v>
      </c>
      <c r="G641" t="str">
        <f>VLOOKUP($A641,'Medical Examinations'!$A:$J,7,FALSE)</f>
        <v>No</v>
      </c>
      <c r="H641" t="str">
        <f>VLOOKUP($A641,'Medical Examinations'!$A:$J,8,FALSE)</f>
        <v>No</v>
      </c>
      <c r="I641">
        <f>VLOOKUP($A641,'Medical Examinations'!$A:$J,9,FALSE)</f>
        <v>0</v>
      </c>
      <c r="J641" t="str">
        <f>VLOOKUP($A641,'Medical Examinations'!$A:$J,10,FALSE)</f>
        <v>No</v>
      </c>
      <c r="K641" t="str">
        <f>VLOOKUP($A641,'Medical Examinations'!$A:$J,5,FALSE)</f>
        <v>Diabetes</v>
      </c>
      <c r="L641">
        <f>VLOOKUP($A642,'Medical Examinations'!$A:$J,3,FALSE)</f>
        <v>50.92</v>
      </c>
      <c r="M641">
        <f>VLOOKUP($A641,'Hospitalisation Details'!$A:$K,6,FALSE)</f>
        <v>15363.77</v>
      </c>
      <c r="N641" s="11">
        <f>VLOOKUP($B641,'Hospitalisation Details'!A640:J2984,10,0)</f>
        <v>31771</v>
      </c>
      <c r="O641" t="str">
        <f>VLOOKUP($B641,'Hospitalisation Details'!A640:J2984,8,0)</f>
        <v>tier - 2</v>
      </c>
      <c r="P641" t="str">
        <f>VLOOKUP($B641,'Hospitalisation Details'!A640:J2984,7,0)</f>
        <v>tier - 2</v>
      </c>
      <c r="Q641" t="str">
        <f>VLOOKUP($B641,'Hospitalisation Details'!A640:J2984,9,0)</f>
        <v>R1024</v>
      </c>
      <c r="R641">
        <f>VLOOKUP($B641,'Hospitalisation Details'!A640:K2984,11,0)</f>
        <v>36</v>
      </c>
    </row>
    <row r="642" spans="1:18" x14ac:dyDescent="0.35">
      <c r="A642" t="s">
        <v>1730</v>
      </c>
      <c r="B642" t="s">
        <v>674</v>
      </c>
      <c r="C642" t="str">
        <f>VLOOKUP($A642,'Customer Names'!$A:$E,4,FALSE)</f>
        <v>Takuo</v>
      </c>
      <c r="D642" t="str">
        <f>VLOOKUP($A642,'Medical Examinations'!$A:$J,2,FALSE)</f>
        <v>Obesity</v>
      </c>
      <c r="E642">
        <f>VLOOKUP($A642,'Medical Examinations'!$A:$J,4,FALSE)</f>
        <v>5.31</v>
      </c>
      <c r="F642" t="str">
        <f>VLOOKUP($A642,'Medical Examinations'!$A:$J,6,FALSE)</f>
        <v>yes</v>
      </c>
      <c r="G642" t="str">
        <f>VLOOKUP($A642,'Medical Examinations'!$A:$J,7,FALSE)</f>
        <v>No</v>
      </c>
      <c r="H642" t="str">
        <f>VLOOKUP($A642,'Medical Examinations'!$A:$J,8,FALSE)</f>
        <v>No</v>
      </c>
      <c r="I642">
        <f>VLOOKUP($A642,'Medical Examinations'!$A:$J,9,FALSE)</f>
        <v>1</v>
      </c>
      <c r="J642" t="str">
        <f>VLOOKUP($A642,'Medical Examinations'!$A:$J,10,FALSE)</f>
        <v>No</v>
      </c>
      <c r="K642" t="str">
        <f>VLOOKUP($A642,'Medical Examinations'!$A:$J,5,FALSE)</f>
        <v>Normal</v>
      </c>
      <c r="L642">
        <f>VLOOKUP($A643,'Medical Examinations'!$A:$J,3,FALSE)</f>
        <v>21.85</v>
      </c>
      <c r="M642">
        <f>VLOOKUP($A642,'Hospitalisation Details'!$A:$K,6,FALSE)</f>
        <v>15361.5</v>
      </c>
      <c r="N642" s="11">
        <f>VLOOKUP($B642,'Hospitalisation Details'!A641:J2985,10,0)</f>
        <v>26961</v>
      </c>
      <c r="O642" t="str">
        <f>VLOOKUP($B642,'Hospitalisation Details'!A641:J2985,8,0)</f>
        <v>tier - 2</v>
      </c>
      <c r="P642" t="str">
        <f>VLOOKUP($B642,'Hospitalisation Details'!A641:J2985,7,0)</f>
        <v>tier - 2</v>
      </c>
      <c r="Q642" t="str">
        <f>VLOOKUP($B642,'Hospitalisation Details'!A641:J2985,9,0)</f>
        <v>R1013</v>
      </c>
      <c r="R642">
        <f>VLOOKUP($B642,'Hospitalisation Details'!A641:K2985,11,0)</f>
        <v>49</v>
      </c>
    </row>
    <row r="643" spans="1:18" x14ac:dyDescent="0.35">
      <c r="A643" t="s">
        <v>1729</v>
      </c>
      <c r="B643" t="s">
        <v>675</v>
      </c>
      <c r="C643" t="str">
        <f>VLOOKUP($A643,'Customer Names'!$A:$E,4,FALSE)</f>
        <v>Kelly A.</v>
      </c>
      <c r="D643" t="str">
        <f>VLOOKUP($A643,'Medical Examinations'!$A:$J,2,FALSE)</f>
        <v>Normal Weight</v>
      </c>
      <c r="E643">
        <f>VLOOKUP($A643,'Medical Examinations'!$A:$J,4,FALSE)</f>
        <v>5.56</v>
      </c>
      <c r="F643" t="str">
        <f>VLOOKUP($A643,'Medical Examinations'!$A:$J,6,FALSE)</f>
        <v>yes</v>
      </c>
      <c r="G643" t="str">
        <f>VLOOKUP($A643,'Medical Examinations'!$A:$J,7,FALSE)</f>
        <v>No</v>
      </c>
      <c r="H643" t="str">
        <f>VLOOKUP($A643,'Medical Examinations'!$A:$J,8,FALSE)</f>
        <v>No</v>
      </c>
      <c r="I643">
        <f>VLOOKUP($A643,'Medical Examinations'!$A:$J,9,FALSE)</f>
        <v>0</v>
      </c>
      <c r="J643" t="str">
        <f>VLOOKUP($A643,'Medical Examinations'!$A:$J,10,FALSE)</f>
        <v>yes</v>
      </c>
      <c r="K643" t="str">
        <f>VLOOKUP($A643,'Medical Examinations'!$A:$J,5,FALSE)</f>
        <v>Normal</v>
      </c>
      <c r="L643">
        <f>VLOOKUP($A644,'Medical Examinations'!$A:$J,3,FALSE)</f>
        <v>36.08</v>
      </c>
      <c r="M643">
        <f>VLOOKUP($A643,'Hospitalisation Details'!$A:$K,6,FALSE)</f>
        <v>15359.1</v>
      </c>
      <c r="N643" s="11">
        <f>VLOOKUP($B643,'Hospitalisation Details'!A642:J2986,10,0)</f>
        <v>31748</v>
      </c>
      <c r="O643" t="str">
        <f>VLOOKUP($B643,'Hospitalisation Details'!A642:J2986,8,0)</f>
        <v>tier - 2</v>
      </c>
      <c r="P643" t="str">
        <f>VLOOKUP($B643,'Hospitalisation Details'!A642:J2986,7,0)</f>
        <v>tier - 2</v>
      </c>
      <c r="Q643" t="str">
        <f>VLOOKUP($B643,'Hospitalisation Details'!A642:J2986,9,0)</f>
        <v>R1024</v>
      </c>
      <c r="R643">
        <f>VLOOKUP($B643,'Hospitalisation Details'!A642:K2986,11,0)</f>
        <v>36</v>
      </c>
    </row>
    <row r="644" spans="1:18" x14ac:dyDescent="0.35">
      <c r="A644" t="s">
        <v>1728</v>
      </c>
      <c r="B644" t="s">
        <v>676</v>
      </c>
      <c r="C644" t="str">
        <f>VLOOKUP($A644,'Customer Names'!$A:$E,4,FALSE)</f>
        <v>Scott</v>
      </c>
      <c r="D644" t="str">
        <f>VLOOKUP($A644,'Medical Examinations'!$A:$J,2,FALSE)</f>
        <v>Obesity</v>
      </c>
      <c r="E644">
        <f>VLOOKUP($A644,'Medical Examinations'!$A:$J,4,FALSE)</f>
        <v>7.11</v>
      </c>
      <c r="F644" t="str">
        <f>VLOOKUP($A644,'Medical Examinations'!$A:$J,6,FALSE)</f>
        <v>yes</v>
      </c>
      <c r="G644" t="str">
        <f>VLOOKUP($A644,'Medical Examinations'!$A:$J,7,FALSE)</f>
        <v>No</v>
      </c>
      <c r="H644" t="str">
        <f>VLOOKUP($A644,'Medical Examinations'!$A:$J,8,FALSE)</f>
        <v>Yes</v>
      </c>
      <c r="I644">
        <f>VLOOKUP($A644,'Medical Examinations'!$A:$J,9,FALSE)</f>
        <v>1</v>
      </c>
      <c r="J644" t="str">
        <f>VLOOKUP($A644,'Medical Examinations'!$A:$J,10,FALSE)</f>
        <v>No</v>
      </c>
      <c r="K644" t="str">
        <f>VLOOKUP($A644,'Medical Examinations'!$A:$J,5,FALSE)</f>
        <v>Diabetes</v>
      </c>
      <c r="L644">
        <f>VLOOKUP($A645,'Medical Examinations'!$A:$J,3,FALSE)</f>
        <v>40.44</v>
      </c>
      <c r="M644">
        <f>VLOOKUP($A644,'Hospitalisation Details'!$A:$K,6,FALSE)</f>
        <v>15322.77</v>
      </c>
      <c r="N644" s="11">
        <f>VLOOKUP($B644,'Hospitalisation Details'!A643:J2987,10,0)</f>
        <v>31605</v>
      </c>
      <c r="O644" t="str">
        <f>VLOOKUP($B644,'Hospitalisation Details'!A643:J2987,8,0)</f>
        <v>tier - 3</v>
      </c>
      <c r="P644" t="str">
        <f>VLOOKUP($B644,'Hospitalisation Details'!A643:J2987,7,0)</f>
        <v>tier - 2</v>
      </c>
      <c r="Q644" t="str">
        <f>VLOOKUP($B644,'Hospitalisation Details'!A643:J2987,9,0)</f>
        <v>R1011</v>
      </c>
      <c r="R644">
        <f>VLOOKUP($B644,'Hospitalisation Details'!A643:K2987,11,0)</f>
        <v>36</v>
      </c>
    </row>
    <row r="645" spans="1:18" x14ac:dyDescent="0.35">
      <c r="A645" t="s">
        <v>1727</v>
      </c>
      <c r="B645" t="s">
        <v>677</v>
      </c>
      <c r="C645" t="str">
        <f>VLOOKUP($A645,'Customer Names'!$A:$E,4,FALSE)</f>
        <v>Benoit</v>
      </c>
      <c r="D645" t="str">
        <f>VLOOKUP($A645,'Medical Examinations'!$A:$J,2,FALSE)</f>
        <v>Obesity</v>
      </c>
      <c r="E645">
        <f>VLOOKUP($A645,'Medical Examinations'!$A:$J,4,FALSE)</f>
        <v>5.13</v>
      </c>
      <c r="F645" t="str">
        <f>VLOOKUP($A645,'Medical Examinations'!$A:$J,6,FALSE)</f>
        <v>yes</v>
      </c>
      <c r="G645" t="str">
        <f>VLOOKUP($A645,'Medical Examinations'!$A:$J,7,FALSE)</f>
        <v>No</v>
      </c>
      <c r="H645" t="str">
        <f>VLOOKUP($A645,'Medical Examinations'!$A:$J,8,FALSE)</f>
        <v>Yes</v>
      </c>
      <c r="I645">
        <f>VLOOKUP($A645,'Medical Examinations'!$A:$J,9,FALSE)</f>
        <v>1</v>
      </c>
      <c r="J645" t="str">
        <f>VLOOKUP($A645,'Medical Examinations'!$A:$J,10,FALSE)</f>
        <v>No</v>
      </c>
      <c r="K645" t="str">
        <f>VLOOKUP($A645,'Medical Examinations'!$A:$J,5,FALSE)</f>
        <v>Normal</v>
      </c>
      <c r="L645">
        <f>VLOOKUP($A646,'Medical Examinations'!$A:$J,3,FALSE)</f>
        <v>38.094999999999999</v>
      </c>
      <c r="M645">
        <f>VLOOKUP($A645,'Hospitalisation Details'!$A:$K,6,FALSE)</f>
        <v>15260.52</v>
      </c>
      <c r="N645" s="11">
        <f>VLOOKUP($B645,'Hospitalisation Details'!A644:J2988,10,0)</f>
        <v>31685</v>
      </c>
      <c r="O645" t="str">
        <f>VLOOKUP($B645,'Hospitalisation Details'!A644:J2988,8,0)</f>
        <v>tier - 3</v>
      </c>
      <c r="P645" t="str">
        <f>VLOOKUP($B645,'Hospitalisation Details'!A644:J2988,7,0)</f>
        <v>tier - 2</v>
      </c>
      <c r="Q645" t="str">
        <f>VLOOKUP($B645,'Hospitalisation Details'!A644:J2988,9,0)</f>
        <v>R1013</v>
      </c>
      <c r="R645">
        <f>VLOOKUP($B645,'Hospitalisation Details'!A644:K2988,11,0)</f>
        <v>36</v>
      </c>
    </row>
    <row r="646" spans="1:18" x14ac:dyDescent="0.35">
      <c r="A646" t="s">
        <v>1726</v>
      </c>
      <c r="B646" t="s">
        <v>678</v>
      </c>
      <c r="C646" t="str">
        <f>VLOOKUP($A646,'Customer Names'!$A:$E,4,FALSE)</f>
        <v>Elizabeth M.</v>
      </c>
      <c r="D646" t="str">
        <f>VLOOKUP($A646,'Medical Examinations'!$A:$J,2,FALSE)</f>
        <v>Obesity</v>
      </c>
      <c r="E646">
        <f>VLOOKUP($A646,'Medical Examinations'!$A:$J,4,FALSE)</f>
        <v>10.199999999999999</v>
      </c>
      <c r="F646" t="str">
        <f>VLOOKUP($A646,'Medical Examinations'!$A:$J,6,FALSE)</f>
        <v>No</v>
      </c>
      <c r="G646" t="str">
        <f>VLOOKUP($A646,'Medical Examinations'!$A:$J,7,FALSE)</f>
        <v>No</v>
      </c>
      <c r="H646" t="str">
        <f>VLOOKUP($A646,'Medical Examinations'!$A:$J,8,FALSE)</f>
        <v>No</v>
      </c>
      <c r="I646">
        <f>VLOOKUP($A646,'Medical Examinations'!$A:$J,9,FALSE)</f>
        <v>0</v>
      </c>
      <c r="J646" t="str">
        <f>VLOOKUP($A646,'Medical Examinations'!$A:$J,10,FALSE)</f>
        <v>No</v>
      </c>
      <c r="K646" t="str">
        <f>VLOOKUP($A646,'Medical Examinations'!$A:$J,5,FALSE)</f>
        <v>Diabetes</v>
      </c>
      <c r="L646">
        <f>VLOOKUP($A647,'Medical Examinations'!$A:$J,3,FALSE)</f>
        <v>44.95</v>
      </c>
      <c r="M646">
        <f>VLOOKUP($A646,'Hospitalisation Details'!$A:$K,6,FALSE)</f>
        <v>15230.32</v>
      </c>
      <c r="N646" s="11">
        <f>VLOOKUP($B646,'Hospitalisation Details'!A645:J2989,10,0)</f>
        <v>30920</v>
      </c>
      <c r="O646" t="str">
        <f>VLOOKUP($B646,'Hospitalisation Details'!A645:J2989,8,0)</f>
        <v>tier - 2</v>
      </c>
      <c r="P646" t="str">
        <f>VLOOKUP($B646,'Hospitalisation Details'!A645:J2989,7,0)</f>
        <v>tier - 2</v>
      </c>
      <c r="Q646" t="str">
        <f>VLOOKUP($B646,'Hospitalisation Details'!A645:J2989,9,0)</f>
        <v>R1013</v>
      </c>
      <c r="R646">
        <f>VLOOKUP($B646,'Hospitalisation Details'!A645:K2989,11,0)</f>
        <v>38</v>
      </c>
    </row>
    <row r="647" spans="1:18" x14ac:dyDescent="0.35">
      <c r="A647" t="s">
        <v>1725</v>
      </c>
      <c r="B647" t="s">
        <v>679</v>
      </c>
      <c r="C647" t="str">
        <f>VLOOKUP($A647,'Customer Names'!$A:$E,4,FALSE)</f>
        <v>Jessica A.</v>
      </c>
      <c r="D647" t="str">
        <f>VLOOKUP($A647,'Medical Examinations'!$A:$J,2,FALSE)</f>
        <v>Obesity</v>
      </c>
      <c r="E647">
        <f>VLOOKUP($A647,'Medical Examinations'!$A:$J,4,FALSE)</f>
        <v>10.4</v>
      </c>
      <c r="F647" t="str">
        <f>VLOOKUP($A647,'Medical Examinations'!$A:$J,6,FALSE)</f>
        <v>No</v>
      </c>
      <c r="G647" t="str">
        <f>VLOOKUP($A647,'Medical Examinations'!$A:$J,7,FALSE)</f>
        <v>No</v>
      </c>
      <c r="H647" t="str">
        <f>VLOOKUP($A647,'Medical Examinations'!$A:$J,8,FALSE)</f>
        <v>No</v>
      </c>
      <c r="I647">
        <f>VLOOKUP($A647,'Medical Examinations'!$A:$J,9,FALSE)</f>
        <v>0</v>
      </c>
      <c r="J647" t="str">
        <f>VLOOKUP($A647,'Medical Examinations'!$A:$J,10,FALSE)</f>
        <v>No</v>
      </c>
      <c r="K647" t="str">
        <f>VLOOKUP($A647,'Medical Examinations'!$A:$J,5,FALSE)</f>
        <v>Diabetes</v>
      </c>
      <c r="L647">
        <f>VLOOKUP($A648,'Medical Examinations'!$A:$J,3,FALSE)</f>
        <v>35.54</v>
      </c>
      <c r="M647">
        <f>VLOOKUP($A647,'Hospitalisation Details'!$A:$K,6,FALSE)</f>
        <v>15207.92</v>
      </c>
      <c r="N647" s="11">
        <f>VLOOKUP($B647,'Hospitalisation Details'!A646:J2990,10,0)</f>
        <v>30911</v>
      </c>
      <c r="O647" t="str">
        <f>VLOOKUP($B647,'Hospitalisation Details'!A646:J2990,8,0)</f>
        <v>tier - 3</v>
      </c>
      <c r="P647" t="str">
        <f>VLOOKUP($B647,'Hospitalisation Details'!A646:J2990,7,0)</f>
        <v>tier - 2</v>
      </c>
      <c r="Q647" t="str">
        <f>VLOOKUP($B647,'Hospitalisation Details'!A646:J2990,9,0)</f>
        <v>R1011</v>
      </c>
      <c r="R647">
        <f>VLOOKUP($B647,'Hospitalisation Details'!A646:K2990,11,0)</f>
        <v>38</v>
      </c>
    </row>
    <row r="648" spans="1:18" x14ac:dyDescent="0.35">
      <c r="A648" t="s">
        <v>1724</v>
      </c>
      <c r="B648" t="s">
        <v>680</v>
      </c>
      <c r="C648" t="str">
        <f>VLOOKUP($A648,'Customer Names'!$A:$E,4,FALSE)</f>
        <v>Monica K</v>
      </c>
      <c r="D648" t="str">
        <f>VLOOKUP($A648,'Medical Examinations'!$A:$J,2,FALSE)</f>
        <v>Obesity</v>
      </c>
      <c r="E648">
        <f>VLOOKUP($A648,'Medical Examinations'!$A:$J,4,FALSE)</f>
        <v>10.67</v>
      </c>
      <c r="F648" t="str">
        <f>VLOOKUP($A648,'Medical Examinations'!$A:$J,6,FALSE)</f>
        <v>No</v>
      </c>
      <c r="G648" t="str">
        <f>VLOOKUP($A648,'Medical Examinations'!$A:$J,7,FALSE)</f>
        <v>No</v>
      </c>
      <c r="H648" t="str">
        <f>VLOOKUP($A648,'Medical Examinations'!$A:$J,8,FALSE)</f>
        <v>No</v>
      </c>
      <c r="I648">
        <f>VLOOKUP($A648,'Medical Examinations'!$A:$J,9,FALSE)</f>
        <v>0</v>
      </c>
      <c r="J648" t="str">
        <f>VLOOKUP($A648,'Medical Examinations'!$A:$J,10,FALSE)</f>
        <v>No</v>
      </c>
      <c r="K648" t="str">
        <f>VLOOKUP($A648,'Medical Examinations'!$A:$J,5,FALSE)</f>
        <v>Diabetes</v>
      </c>
      <c r="L648">
        <f>VLOOKUP($A649,'Medical Examinations'!$A:$J,3,FALSE)</f>
        <v>39.799999999999997</v>
      </c>
      <c r="M648">
        <f>VLOOKUP($A648,'Hospitalisation Details'!$A:$K,6,FALSE)</f>
        <v>15174.81</v>
      </c>
      <c r="N648" s="11">
        <f>VLOOKUP($B648,'Hospitalisation Details'!A647:J2991,10,0)</f>
        <v>32353</v>
      </c>
      <c r="O648" t="str">
        <f>VLOOKUP($B648,'Hospitalisation Details'!A647:J2991,8,0)</f>
        <v>tier - 2</v>
      </c>
      <c r="P648" t="str">
        <f>VLOOKUP($B648,'Hospitalisation Details'!A647:J2991,7,0)</f>
        <v>tier - 2</v>
      </c>
      <c r="Q648" t="str">
        <f>VLOOKUP($B648,'Hospitalisation Details'!A647:J2991,9,0)</f>
        <v>R1012</v>
      </c>
      <c r="R648">
        <f>VLOOKUP($B648,'Hospitalisation Details'!A647:K2991,11,0)</f>
        <v>34</v>
      </c>
    </row>
    <row r="649" spans="1:18" x14ac:dyDescent="0.35">
      <c r="A649" t="s">
        <v>1723</v>
      </c>
      <c r="B649" t="s">
        <v>681</v>
      </c>
      <c r="C649" t="str">
        <f>VLOOKUP($A649,'Customer Names'!$A:$E,4,FALSE)</f>
        <v>Kevin L</v>
      </c>
      <c r="D649" t="str">
        <f>VLOOKUP($A649,'Medical Examinations'!$A:$J,2,FALSE)</f>
        <v>Obesity</v>
      </c>
      <c r="E649">
        <f>VLOOKUP($A649,'Medical Examinations'!$A:$J,4,FALSE)</f>
        <v>4.6500000000000004</v>
      </c>
      <c r="F649" t="str">
        <f>VLOOKUP($A649,'Medical Examinations'!$A:$J,6,FALSE)</f>
        <v>yes</v>
      </c>
      <c r="G649" t="str">
        <f>VLOOKUP($A649,'Medical Examinations'!$A:$J,7,FALSE)</f>
        <v>No</v>
      </c>
      <c r="H649" t="str">
        <f>VLOOKUP($A649,'Medical Examinations'!$A:$J,8,FALSE)</f>
        <v>No</v>
      </c>
      <c r="I649">
        <f>VLOOKUP($A649,'Medical Examinations'!$A:$J,9,FALSE)</f>
        <v>2</v>
      </c>
      <c r="J649" t="str">
        <f>VLOOKUP($A649,'Medical Examinations'!$A:$J,10,FALSE)</f>
        <v>No</v>
      </c>
      <c r="K649" t="str">
        <f>VLOOKUP($A649,'Medical Examinations'!$A:$J,5,FALSE)</f>
        <v>Normal</v>
      </c>
      <c r="L649">
        <f>VLOOKUP($A650,'Medical Examinations'!$A:$J,3,FALSE)</f>
        <v>33.659999999999997</v>
      </c>
      <c r="M649">
        <f>VLOOKUP($A649,'Hospitalisation Details'!$A:$K,6,FALSE)</f>
        <v>15170.07</v>
      </c>
      <c r="N649" s="11">
        <f>VLOOKUP($B649,'Hospitalisation Details'!A648:J2992,10,0)</f>
        <v>29897</v>
      </c>
      <c r="O649" t="str">
        <f>VLOOKUP($B649,'Hospitalisation Details'!A648:J2992,8,0)</f>
        <v>tier - 2</v>
      </c>
      <c r="P649" t="str">
        <f>VLOOKUP($B649,'Hospitalisation Details'!A648:J2992,7,0)</f>
        <v>tier - 2</v>
      </c>
      <c r="Q649" t="str">
        <f>VLOOKUP($B649,'Hospitalisation Details'!A648:J2992,9,0)</f>
        <v>R1013</v>
      </c>
      <c r="R649">
        <f>VLOOKUP($B649,'Hospitalisation Details'!A648:K2992,11,0)</f>
        <v>41</v>
      </c>
    </row>
    <row r="650" spans="1:18" x14ac:dyDescent="0.35">
      <c r="A650" t="s">
        <v>1722</v>
      </c>
      <c r="B650" t="s">
        <v>682</v>
      </c>
      <c r="C650" t="str">
        <f>VLOOKUP($A650,'Customer Names'!$A:$E,4,FALSE)</f>
        <v>Gregory</v>
      </c>
      <c r="D650" t="str">
        <f>VLOOKUP($A650,'Medical Examinations'!$A:$J,2,FALSE)</f>
        <v>Obesity</v>
      </c>
      <c r="E650">
        <f>VLOOKUP($A650,'Medical Examinations'!$A:$J,4,FALSE)</f>
        <v>5.65</v>
      </c>
      <c r="F650" t="str">
        <f>VLOOKUP($A650,'Medical Examinations'!$A:$J,6,FALSE)</f>
        <v>yes</v>
      </c>
      <c r="G650" t="str">
        <f>VLOOKUP($A650,'Medical Examinations'!$A:$J,7,FALSE)</f>
        <v>No</v>
      </c>
      <c r="H650" t="str">
        <f>VLOOKUP($A650,'Medical Examinations'!$A:$J,8,FALSE)</f>
        <v>No</v>
      </c>
      <c r="I650">
        <f>VLOOKUP($A650,'Medical Examinations'!$A:$J,9,FALSE)</f>
        <v>2</v>
      </c>
      <c r="J650" t="str">
        <f>VLOOKUP($A650,'Medical Examinations'!$A:$J,10,FALSE)</f>
        <v>No</v>
      </c>
      <c r="K650" t="str">
        <f>VLOOKUP($A650,'Medical Examinations'!$A:$J,5,FALSE)</f>
        <v>Normal</v>
      </c>
      <c r="L650">
        <f>VLOOKUP($A651,'Medical Examinations'!$A:$J,3,FALSE)</f>
        <v>35.5</v>
      </c>
      <c r="M650">
        <f>VLOOKUP($A650,'Hospitalisation Details'!$A:$K,6,FALSE)</f>
        <v>15161.53</v>
      </c>
      <c r="N650" s="11">
        <f>VLOOKUP($B650,'Hospitalisation Details'!A649:J2993,10,0)</f>
        <v>29562</v>
      </c>
      <c r="O650" t="str">
        <f>VLOOKUP($B650,'Hospitalisation Details'!A649:J2993,8,0)</f>
        <v>tier - 2</v>
      </c>
      <c r="P650" t="str">
        <f>VLOOKUP($B650,'Hospitalisation Details'!A649:J2993,7,0)</f>
        <v>tier - 2</v>
      </c>
      <c r="Q650" t="str">
        <f>VLOOKUP($B650,'Hospitalisation Details'!A649:J2993,9,0)</f>
        <v>R1012</v>
      </c>
      <c r="R650">
        <f>VLOOKUP($B650,'Hospitalisation Details'!A649:K2993,11,0)</f>
        <v>42</v>
      </c>
    </row>
    <row r="651" spans="1:18" x14ac:dyDescent="0.35">
      <c r="A651" t="s">
        <v>1721</v>
      </c>
      <c r="B651" t="s">
        <v>683</v>
      </c>
      <c r="C651" t="str">
        <f>VLOOKUP($A651,'Customer Names'!$A:$E,4,FALSE)</f>
        <v>Della</v>
      </c>
      <c r="D651" t="str">
        <f>VLOOKUP($A651,'Medical Examinations'!$A:$J,2,FALSE)</f>
        <v>Obesity</v>
      </c>
      <c r="E651">
        <f>VLOOKUP($A651,'Medical Examinations'!$A:$J,4,FALSE)</f>
        <v>11.97</v>
      </c>
      <c r="F651" t="str">
        <f>VLOOKUP($A651,'Medical Examinations'!$A:$J,6,FALSE)</f>
        <v>No</v>
      </c>
      <c r="G651" t="str">
        <f>VLOOKUP($A651,'Medical Examinations'!$A:$J,7,FALSE)</f>
        <v>No</v>
      </c>
      <c r="H651" t="str">
        <f>VLOOKUP($A651,'Medical Examinations'!$A:$J,8,FALSE)</f>
        <v>No</v>
      </c>
      <c r="I651">
        <f>VLOOKUP($A651,'Medical Examinations'!$A:$J,9,FALSE)</f>
        <v>0</v>
      </c>
      <c r="J651" t="str">
        <f>VLOOKUP($A651,'Medical Examinations'!$A:$J,10,FALSE)</f>
        <v>No</v>
      </c>
      <c r="K651" t="str">
        <f>VLOOKUP($A651,'Medical Examinations'!$A:$J,5,FALSE)</f>
        <v>Diabetes</v>
      </c>
      <c r="L651">
        <f>VLOOKUP($A652,'Medical Examinations'!$A:$J,3,FALSE)</f>
        <v>41.63</v>
      </c>
      <c r="M651">
        <f>VLOOKUP($A651,'Hospitalisation Details'!$A:$K,6,FALSE)</f>
        <v>15161.25</v>
      </c>
      <c r="N651" s="11">
        <f>VLOOKUP($B651,'Hospitalisation Details'!A650:J2994,10,0)</f>
        <v>36425</v>
      </c>
      <c r="O651" t="str">
        <f>VLOOKUP($B651,'Hospitalisation Details'!A650:J2994,8,0)</f>
        <v>tier - 3</v>
      </c>
      <c r="P651" t="str">
        <f>VLOOKUP($B651,'Hospitalisation Details'!A650:J2994,7,0)</f>
        <v>tier - 2</v>
      </c>
      <c r="Q651" t="str">
        <f>VLOOKUP($B651,'Hospitalisation Details'!A650:J2994,9,0)</f>
        <v>R1026</v>
      </c>
      <c r="R651">
        <f>VLOOKUP($B651,'Hospitalisation Details'!A650:K2994,11,0)</f>
        <v>23</v>
      </c>
    </row>
    <row r="652" spans="1:18" x14ac:dyDescent="0.35">
      <c r="A652" t="s">
        <v>1720</v>
      </c>
      <c r="B652" t="s">
        <v>684</v>
      </c>
      <c r="C652" t="str">
        <f>VLOOKUP($A652,'Customer Names'!$A:$E,4,FALSE)</f>
        <v>David</v>
      </c>
      <c r="D652" t="str">
        <f>VLOOKUP($A652,'Medical Examinations'!$A:$J,2,FALSE)</f>
        <v>Obesity</v>
      </c>
      <c r="E652">
        <f>VLOOKUP($A652,'Medical Examinations'!$A:$J,4,FALSE)</f>
        <v>6.71</v>
      </c>
      <c r="F652" t="str">
        <f>VLOOKUP($A652,'Medical Examinations'!$A:$J,6,FALSE)</f>
        <v>No</v>
      </c>
      <c r="G652" t="str">
        <f>VLOOKUP($A652,'Medical Examinations'!$A:$J,7,FALSE)</f>
        <v>No</v>
      </c>
      <c r="H652" t="str">
        <f>VLOOKUP($A652,'Medical Examinations'!$A:$J,8,FALSE)</f>
        <v>No</v>
      </c>
      <c r="I652">
        <f>VLOOKUP($A652,'Medical Examinations'!$A:$J,9,FALSE)</f>
        <v>0</v>
      </c>
      <c r="J652" t="str">
        <f>VLOOKUP($A652,'Medical Examinations'!$A:$J,10,FALSE)</f>
        <v>No</v>
      </c>
      <c r="K652" t="str">
        <f>VLOOKUP($A652,'Medical Examinations'!$A:$J,5,FALSE)</f>
        <v>Diabetes</v>
      </c>
      <c r="L652">
        <f>VLOOKUP($A653,'Medical Examinations'!$A:$J,3,FALSE)</f>
        <v>46.49</v>
      </c>
      <c r="M652">
        <f>VLOOKUP($A652,'Hospitalisation Details'!$A:$K,6,FALSE)</f>
        <v>15150.44</v>
      </c>
      <c r="N652" s="11">
        <f>VLOOKUP($B652,'Hospitalisation Details'!A651:J2995,10,0)</f>
        <v>27290</v>
      </c>
      <c r="O652" t="str">
        <f>VLOOKUP($B652,'Hospitalisation Details'!A651:J2995,8,0)</f>
        <v>tier - 3</v>
      </c>
      <c r="P652" t="str">
        <f>VLOOKUP($B652,'Hospitalisation Details'!A651:J2995,7,0)</f>
        <v>tier - 2</v>
      </c>
      <c r="Q652" t="str">
        <f>VLOOKUP($B652,'Hospitalisation Details'!A651:J2995,9,0)</f>
        <v>R1013</v>
      </c>
      <c r="R652">
        <f>VLOOKUP($B652,'Hospitalisation Details'!A651:K2995,11,0)</f>
        <v>48</v>
      </c>
    </row>
    <row r="653" spans="1:18" x14ac:dyDescent="0.35">
      <c r="A653" t="s">
        <v>1719</v>
      </c>
      <c r="B653" t="s">
        <v>685</v>
      </c>
      <c r="C653" t="str">
        <f>VLOOKUP($A653,'Customer Names'!$A:$E,4,FALSE)</f>
        <v>Victoria</v>
      </c>
      <c r="D653" t="str">
        <f>VLOOKUP($A653,'Medical Examinations'!$A:$J,2,FALSE)</f>
        <v>Obesity</v>
      </c>
      <c r="E653">
        <f>VLOOKUP($A653,'Medical Examinations'!$A:$J,4,FALSE)</f>
        <v>11.92</v>
      </c>
      <c r="F653" t="str">
        <f>VLOOKUP($A653,'Medical Examinations'!$A:$J,6,FALSE)</f>
        <v>No</v>
      </c>
      <c r="G653" t="str">
        <f>VLOOKUP($A653,'Medical Examinations'!$A:$J,7,FALSE)</f>
        <v>No</v>
      </c>
      <c r="H653" t="str">
        <f>VLOOKUP($A653,'Medical Examinations'!$A:$J,8,FALSE)</f>
        <v>No</v>
      </c>
      <c r="I653">
        <f>VLOOKUP($A653,'Medical Examinations'!$A:$J,9,FALSE)</f>
        <v>0</v>
      </c>
      <c r="J653" t="str">
        <f>VLOOKUP($A653,'Medical Examinations'!$A:$J,10,FALSE)</f>
        <v>No</v>
      </c>
      <c r="K653" t="str">
        <f>VLOOKUP($A653,'Medical Examinations'!$A:$J,5,FALSE)</f>
        <v>Diabetes</v>
      </c>
      <c r="L653">
        <f>VLOOKUP($A654,'Medical Examinations'!$A:$J,3,FALSE)</f>
        <v>43.29</v>
      </c>
      <c r="M653">
        <f>VLOOKUP($A653,'Hospitalisation Details'!$A:$K,6,FALSE)</f>
        <v>15123.19</v>
      </c>
      <c r="N653" s="11">
        <f>VLOOKUP($B653,'Hospitalisation Details'!A652:J2996,10,0)</f>
        <v>31295</v>
      </c>
      <c r="O653" t="str">
        <f>VLOOKUP($B653,'Hospitalisation Details'!A652:J2996,8,0)</f>
        <v>tier - 1</v>
      </c>
      <c r="P653" t="str">
        <f>VLOOKUP($B653,'Hospitalisation Details'!A652:J2996,7,0)</f>
        <v>tier - 2</v>
      </c>
      <c r="Q653" t="str">
        <f>VLOOKUP($B653,'Hospitalisation Details'!A652:J2996,9,0)</f>
        <v>R1012</v>
      </c>
      <c r="R653">
        <f>VLOOKUP($B653,'Hospitalisation Details'!A652:K2996,11,0)</f>
        <v>37</v>
      </c>
    </row>
    <row r="654" spans="1:18" x14ac:dyDescent="0.35">
      <c r="A654" t="s">
        <v>1718</v>
      </c>
      <c r="B654" t="s">
        <v>686</v>
      </c>
      <c r="C654" t="str">
        <f>VLOOKUP($A654,'Customer Names'!$A:$E,4,FALSE)</f>
        <v>Tasos</v>
      </c>
      <c r="D654" t="str">
        <f>VLOOKUP($A654,'Medical Examinations'!$A:$J,2,FALSE)</f>
        <v>Obesity</v>
      </c>
      <c r="E654">
        <f>VLOOKUP($A654,'Medical Examinations'!$A:$J,4,FALSE)</f>
        <v>5.35</v>
      </c>
      <c r="F654" t="str">
        <f>VLOOKUP($A654,'Medical Examinations'!$A:$J,6,FALSE)</f>
        <v>No</v>
      </c>
      <c r="G654" t="str">
        <f>VLOOKUP($A654,'Medical Examinations'!$A:$J,7,FALSE)</f>
        <v>No</v>
      </c>
      <c r="H654" t="str">
        <f>VLOOKUP($A654,'Medical Examinations'!$A:$J,8,FALSE)</f>
        <v>No</v>
      </c>
      <c r="I654">
        <f>VLOOKUP($A654,'Medical Examinations'!$A:$J,9,FALSE)</f>
        <v>2</v>
      </c>
      <c r="J654" t="str">
        <f>VLOOKUP($A654,'Medical Examinations'!$A:$J,10,FALSE)</f>
        <v>No</v>
      </c>
      <c r="K654" t="str">
        <f>VLOOKUP($A654,'Medical Examinations'!$A:$J,5,FALSE)</f>
        <v>Normal</v>
      </c>
      <c r="L654">
        <f>VLOOKUP($A655,'Medical Examinations'!$A:$J,3,FALSE)</f>
        <v>43.08</v>
      </c>
      <c r="M654">
        <f>VLOOKUP($A654,'Hospitalisation Details'!$A:$K,6,FALSE)</f>
        <v>15103.69</v>
      </c>
      <c r="N654" s="11">
        <f>VLOOKUP($B654,'Hospitalisation Details'!A653:J2997,10,0)</f>
        <v>31737</v>
      </c>
      <c r="O654" t="str">
        <f>VLOOKUP($B654,'Hospitalisation Details'!A653:J2997,8,0)</f>
        <v>tier - 1</v>
      </c>
      <c r="P654" t="str">
        <f>VLOOKUP($B654,'Hospitalisation Details'!A653:J2997,7,0)</f>
        <v>tier - 3</v>
      </c>
      <c r="Q654" t="str">
        <f>VLOOKUP($B654,'Hospitalisation Details'!A653:J2997,9,0)</f>
        <v>R1013</v>
      </c>
      <c r="R654">
        <f>VLOOKUP($B654,'Hospitalisation Details'!A653:K2997,11,0)</f>
        <v>36</v>
      </c>
    </row>
    <row r="655" spans="1:18" x14ac:dyDescent="0.35">
      <c r="A655" t="s">
        <v>1717</v>
      </c>
      <c r="B655" t="s">
        <v>687</v>
      </c>
      <c r="C655" t="str">
        <f>VLOOKUP($A655,'Customer Names'!$A:$E,4,FALSE)</f>
        <v>Thomas</v>
      </c>
      <c r="D655" t="str">
        <f>VLOOKUP($A655,'Medical Examinations'!$A:$J,2,FALSE)</f>
        <v>Obesity</v>
      </c>
      <c r="E655">
        <f>VLOOKUP($A655,'Medical Examinations'!$A:$J,4,FALSE)</f>
        <v>8.9600000000000009</v>
      </c>
      <c r="F655" t="str">
        <f>VLOOKUP($A655,'Medical Examinations'!$A:$J,6,FALSE)</f>
        <v>yes</v>
      </c>
      <c r="G655" t="str">
        <f>VLOOKUP($A655,'Medical Examinations'!$A:$J,7,FALSE)</f>
        <v>No</v>
      </c>
      <c r="H655" t="str">
        <f>VLOOKUP($A655,'Medical Examinations'!$A:$J,8,FALSE)</f>
        <v>No</v>
      </c>
      <c r="I655">
        <f>VLOOKUP($A655,'Medical Examinations'!$A:$J,9,FALSE)</f>
        <v>1</v>
      </c>
      <c r="J655" t="str">
        <f>VLOOKUP($A655,'Medical Examinations'!$A:$J,10,FALSE)</f>
        <v>No</v>
      </c>
      <c r="K655" t="str">
        <f>VLOOKUP($A655,'Medical Examinations'!$A:$J,5,FALSE)</f>
        <v>Diabetes</v>
      </c>
      <c r="L655">
        <f>VLOOKUP($A656,'Medical Examinations'!$A:$J,3,FALSE)</f>
        <v>39.07</v>
      </c>
      <c r="M655">
        <f>VLOOKUP($A655,'Hospitalisation Details'!$A:$K,6,FALSE)</f>
        <v>15090.35</v>
      </c>
      <c r="N655" s="11">
        <f>VLOOKUP($B655,'Hospitalisation Details'!A654:J2998,10,0)</f>
        <v>30592</v>
      </c>
      <c r="O655" t="str">
        <f>VLOOKUP($B655,'Hospitalisation Details'!A654:J2998,8,0)</f>
        <v>tier - 1</v>
      </c>
      <c r="P655" t="str">
        <f>VLOOKUP($B655,'Hospitalisation Details'!A654:J2998,7,0)</f>
        <v>tier - 2</v>
      </c>
      <c r="Q655" t="str">
        <f>VLOOKUP($B655,'Hospitalisation Details'!A654:J2998,9,0)</f>
        <v>R1013</v>
      </c>
      <c r="R655">
        <f>VLOOKUP($B655,'Hospitalisation Details'!A654:K2998,11,0)</f>
        <v>39</v>
      </c>
    </row>
    <row r="656" spans="1:18" x14ac:dyDescent="0.35">
      <c r="A656" t="s">
        <v>1716</v>
      </c>
      <c r="B656" t="s">
        <v>688</v>
      </c>
      <c r="C656" t="str">
        <f>VLOOKUP($A656,'Customer Names'!$A:$E,4,FALSE)</f>
        <v>Lukasz</v>
      </c>
      <c r="D656" t="str">
        <f>VLOOKUP($A656,'Medical Examinations'!$A:$J,2,FALSE)</f>
        <v>Obesity</v>
      </c>
      <c r="E656">
        <f>VLOOKUP($A656,'Medical Examinations'!$A:$J,4,FALSE)</f>
        <v>11.93</v>
      </c>
      <c r="F656" t="str">
        <f>VLOOKUP($A656,'Medical Examinations'!$A:$J,6,FALSE)</f>
        <v>No</v>
      </c>
      <c r="G656" t="str">
        <f>VLOOKUP($A656,'Medical Examinations'!$A:$J,7,FALSE)</f>
        <v>No</v>
      </c>
      <c r="H656" t="str">
        <f>VLOOKUP($A656,'Medical Examinations'!$A:$J,8,FALSE)</f>
        <v>No</v>
      </c>
      <c r="I656">
        <f>VLOOKUP($A656,'Medical Examinations'!$A:$J,9,FALSE)</f>
        <v>0</v>
      </c>
      <c r="J656" t="str">
        <f>VLOOKUP($A656,'Medical Examinations'!$A:$J,10,FALSE)</f>
        <v>No</v>
      </c>
      <c r="K656" t="str">
        <f>VLOOKUP($A656,'Medical Examinations'!$A:$J,5,FALSE)</f>
        <v>Diabetes</v>
      </c>
      <c r="L656">
        <f>VLOOKUP($A657,'Medical Examinations'!$A:$J,3,FALSE)</f>
        <v>41.3</v>
      </c>
      <c r="M656">
        <f>VLOOKUP($A656,'Hospitalisation Details'!$A:$K,6,FALSE)</f>
        <v>15052.68</v>
      </c>
      <c r="N656" s="11">
        <f>VLOOKUP($B656,'Hospitalisation Details'!A655:J2999,10,0)</f>
        <v>32465</v>
      </c>
      <c r="O656" t="str">
        <f>VLOOKUP($B656,'Hospitalisation Details'!A655:J2999,8,0)</f>
        <v>tier - 3</v>
      </c>
      <c r="P656" t="str">
        <f>VLOOKUP($B656,'Hospitalisation Details'!A655:J2999,7,0)</f>
        <v>tier - 2</v>
      </c>
      <c r="Q656" t="str">
        <f>VLOOKUP($B656,'Hospitalisation Details'!A655:J2999,9,0)</f>
        <v>R1024</v>
      </c>
      <c r="R656">
        <f>VLOOKUP($B656,'Hospitalisation Details'!A655:K2999,11,0)</f>
        <v>34</v>
      </c>
    </row>
    <row r="657" spans="1:18" x14ac:dyDescent="0.35">
      <c r="A657" t="s">
        <v>1715</v>
      </c>
      <c r="B657" t="s">
        <v>689</v>
      </c>
      <c r="C657" t="str">
        <f>VLOOKUP($A657,'Customer Names'!$A:$E,4,FALSE)</f>
        <v>Matthew A.</v>
      </c>
      <c r="D657" t="str">
        <f>VLOOKUP($A657,'Medical Examinations'!$A:$J,2,FALSE)</f>
        <v>Obesity</v>
      </c>
      <c r="E657">
        <f>VLOOKUP($A657,'Medical Examinations'!$A:$J,4,FALSE)</f>
        <v>9.59</v>
      </c>
      <c r="F657" t="str">
        <f>VLOOKUP($A657,'Medical Examinations'!$A:$J,6,FALSE)</f>
        <v>No</v>
      </c>
      <c r="G657" t="str">
        <f>VLOOKUP($A657,'Medical Examinations'!$A:$J,7,FALSE)</f>
        <v>No</v>
      </c>
      <c r="H657" t="str">
        <f>VLOOKUP($A657,'Medical Examinations'!$A:$J,8,FALSE)</f>
        <v>No</v>
      </c>
      <c r="I657">
        <f>VLOOKUP($A657,'Medical Examinations'!$A:$J,9,FALSE)</f>
        <v>0</v>
      </c>
      <c r="J657" t="str">
        <f>VLOOKUP($A657,'Medical Examinations'!$A:$J,10,FALSE)</f>
        <v>No</v>
      </c>
      <c r="K657" t="str">
        <f>VLOOKUP($A657,'Medical Examinations'!$A:$J,5,FALSE)</f>
        <v>Diabetes</v>
      </c>
      <c r="L657">
        <f>VLOOKUP($A658,'Medical Examinations'!$A:$J,3,FALSE)</f>
        <v>42.95</v>
      </c>
      <c r="M657">
        <f>VLOOKUP($A657,'Hospitalisation Details'!$A:$K,6,FALSE)</f>
        <v>15038.51</v>
      </c>
      <c r="N657" s="11">
        <f>VLOOKUP($B657,'Hospitalisation Details'!A656:J3000,10,0)</f>
        <v>28744</v>
      </c>
      <c r="O657" t="str">
        <f>VLOOKUP($B657,'Hospitalisation Details'!A656:J3000,8,0)</f>
        <v>tier - 3</v>
      </c>
      <c r="P657" t="str">
        <f>VLOOKUP($B657,'Hospitalisation Details'!A656:J3000,7,0)</f>
        <v>tier - 2</v>
      </c>
      <c r="Q657" t="str">
        <f>VLOOKUP($B657,'Hospitalisation Details'!A656:J3000,9,0)</f>
        <v>R1013</v>
      </c>
      <c r="R657">
        <f>VLOOKUP($B657,'Hospitalisation Details'!A656:K3000,11,0)</f>
        <v>44</v>
      </c>
    </row>
    <row r="658" spans="1:18" x14ac:dyDescent="0.35">
      <c r="A658" t="s">
        <v>1714</v>
      </c>
      <c r="B658" t="s">
        <v>690</v>
      </c>
      <c r="C658" t="str">
        <f>VLOOKUP($A658,'Customer Names'!$A:$E,4,FALSE)</f>
        <v>Meta</v>
      </c>
      <c r="D658" t="str">
        <f>VLOOKUP($A658,'Medical Examinations'!$A:$J,2,FALSE)</f>
        <v>Obesity</v>
      </c>
      <c r="E658">
        <f>VLOOKUP($A658,'Medical Examinations'!$A:$J,4,FALSE)</f>
        <v>11.88</v>
      </c>
      <c r="F658" t="str">
        <f>VLOOKUP($A658,'Medical Examinations'!$A:$J,6,FALSE)</f>
        <v>yes</v>
      </c>
      <c r="G658" t="str">
        <f>VLOOKUP($A658,'Medical Examinations'!$A:$J,7,FALSE)</f>
        <v>No</v>
      </c>
      <c r="H658" t="str">
        <f>VLOOKUP($A658,'Medical Examinations'!$A:$J,8,FALSE)</f>
        <v>No</v>
      </c>
      <c r="I658">
        <f>VLOOKUP($A658,'Medical Examinations'!$A:$J,9,FALSE)</f>
        <v>2</v>
      </c>
      <c r="J658" t="str">
        <f>VLOOKUP($A658,'Medical Examinations'!$A:$J,10,FALSE)</f>
        <v>No</v>
      </c>
      <c r="K658" t="str">
        <f>VLOOKUP($A658,'Medical Examinations'!$A:$J,5,FALSE)</f>
        <v>Diabetes</v>
      </c>
      <c r="L658">
        <f>VLOOKUP($A659,'Medical Examinations'!$A:$J,3,FALSE)</f>
        <v>46.96</v>
      </c>
      <c r="M658">
        <f>VLOOKUP($A658,'Hospitalisation Details'!$A:$K,6,FALSE)</f>
        <v>15026.3</v>
      </c>
      <c r="N658" s="11">
        <f>VLOOKUP($B658,'Hospitalisation Details'!A657:J3001,10,0)</f>
        <v>34653</v>
      </c>
      <c r="O658" t="str">
        <f>VLOOKUP($B658,'Hospitalisation Details'!A657:J3001,8,0)</f>
        <v>tier - 3</v>
      </c>
      <c r="P658" t="str">
        <f>VLOOKUP($B658,'Hospitalisation Details'!A657:J3001,7,0)</f>
        <v>tier - 2</v>
      </c>
      <c r="Q658" t="str">
        <f>VLOOKUP($B658,'Hospitalisation Details'!A657:J3001,9,0)</f>
        <v>R1011</v>
      </c>
      <c r="R658">
        <f>VLOOKUP($B658,'Hospitalisation Details'!A657:K3001,11,0)</f>
        <v>28</v>
      </c>
    </row>
    <row r="659" spans="1:18" x14ac:dyDescent="0.35">
      <c r="A659" t="s">
        <v>1713</v>
      </c>
      <c r="B659" t="s">
        <v>691</v>
      </c>
      <c r="C659" t="str">
        <f>VLOOKUP($A659,'Customer Names'!$A:$E,4,FALSE)</f>
        <v>Rachel E</v>
      </c>
      <c r="D659" t="str">
        <f>VLOOKUP($A659,'Medical Examinations'!$A:$J,2,FALSE)</f>
        <v>Obesity</v>
      </c>
      <c r="E659">
        <f>VLOOKUP($A659,'Medical Examinations'!$A:$J,4,FALSE)</f>
        <v>4.6399999999999997</v>
      </c>
      <c r="F659" t="str">
        <f>VLOOKUP($A659,'Medical Examinations'!$A:$J,6,FALSE)</f>
        <v>No</v>
      </c>
      <c r="G659" t="str">
        <f>VLOOKUP($A659,'Medical Examinations'!$A:$J,7,FALSE)</f>
        <v>No</v>
      </c>
      <c r="H659" t="str">
        <f>VLOOKUP($A659,'Medical Examinations'!$A:$J,8,FALSE)</f>
        <v>Yes</v>
      </c>
      <c r="I659">
        <f>VLOOKUP($A659,'Medical Examinations'!$A:$J,9,FALSE)</f>
        <v>1</v>
      </c>
      <c r="J659" t="str">
        <f>VLOOKUP($A659,'Medical Examinations'!$A:$J,10,FALSE)</f>
        <v>No</v>
      </c>
      <c r="K659" t="str">
        <f>VLOOKUP($A659,'Medical Examinations'!$A:$J,5,FALSE)</f>
        <v>Normal</v>
      </c>
      <c r="L659">
        <f>VLOOKUP($A660,'Medical Examinations'!$A:$J,3,FALSE)</f>
        <v>30.495000000000001</v>
      </c>
      <c r="M659">
        <f>VLOOKUP($A659,'Hospitalisation Details'!$A:$K,6,FALSE)</f>
        <v>15025.76</v>
      </c>
      <c r="N659" s="11">
        <f>VLOOKUP($B659,'Hospitalisation Details'!A658:J3002,10,0)</f>
        <v>32120</v>
      </c>
      <c r="O659" t="str">
        <f>VLOOKUP($B659,'Hospitalisation Details'!A658:J3002,8,0)</f>
        <v>tier - 3</v>
      </c>
      <c r="P659" t="str">
        <f>VLOOKUP($B659,'Hospitalisation Details'!A658:J3002,7,0)</f>
        <v>tier - 2</v>
      </c>
      <c r="Q659" t="str">
        <f>VLOOKUP($B659,'Hospitalisation Details'!A658:J3002,9,0)</f>
        <v>R1012</v>
      </c>
      <c r="R659">
        <f>VLOOKUP($B659,'Hospitalisation Details'!A658:K3002,11,0)</f>
        <v>35</v>
      </c>
    </row>
    <row r="660" spans="1:18" x14ac:dyDescent="0.35">
      <c r="A660" t="s">
        <v>1712</v>
      </c>
      <c r="B660" t="s">
        <v>692</v>
      </c>
      <c r="C660" t="str">
        <f>VLOOKUP($A660,'Customer Names'!$A:$E,4,FALSE)</f>
        <v>Angelica</v>
      </c>
      <c r="D660" t="str">
        <f>VLOOKUP($A660,'Medical Examinations'!$A:$J,2,FALSE)</f>
        <v>Obesity</v>
      </c>
      <c r="E660">
        <f>VLOOKUP($A660,'Medical Examinations'!$A:$J,4,FALSE)</f>
        <v>9.5299999999999994</v>
      </c>
      <c r="F660" t="str">
        <f>VLOOKUP($A660,'Medical Examinations'!$A:$J,6,FALSE)</f>
        <v>No</v>
      </c>
      <c r="G660" t="str">
        <f>VLOOKUP($A660,'Medical Examinations'!$A:$J,7,FALSE)</f>
        <v>No</v>
      </c>
      <c r="H660" t="str">
        <f>VLOOKUP($A660,'Medical Examinations'!$A:$J,8,FALSE)</f>
        <v>No</v>
      </c>
      <c r="I660">
        <f>VLOOKUP($A660,'Medical Examinations'!$A:$J,9,FALSE)</f>
        <v>0</v>
      </c>
      <c r="J660" t="str">
        <f>VLOOKUP($A660,'Medical Examinations'!$A:$J,10,FALSE)</f>
        <v>No</v>
      </c>
      <c r="K660" t="str">
        <f>VLOOKUP($A660,'Medical Examinations'!$A:$J,5,FALSE)</f>
        <v>Diabetes</v>
      </c>
      <c r="L660">
        <f>VLOOKUP($A661,'Medical Examinations'!$A:$J,3,FALSE)</f>
        <v>17.954999999999998</v>
      </c>
      <c r="M660">
        <f>VLOOKUP($A660,'Hospitalisation Details'!$A:$K,6,FALSE)</f>
        <v>15019.76</v>
      </c>
      <c r="N660" s="11">
        <f>VLOOKUP($B660,'Hospitalisation Details'!A659:J3003,10,0)</f>
        <v>30475</v>
      </c>
      <c r="O660" t="str">
        <f>VLOOKUP($B660,'Hospitalisation Details'!A659:J3003,8,0)</f>
        <v>tier - 3</v>
      </c>
      <c r="P660" t="str">
        <f>VLOOKUP($B660,'Hospitalisation Details'!A659:J3003,7,0)</f>
        <v>tier - 2</v>
      </c>
      <c r="Q660" t="str">
        <f>VLOOKUP($B660,'Hospitalisation Details'!A659:J3003,9,0)</f>
        <v>R1011</v>
      </c>
      <c r="R660">
        <f>VLOOKUP($B660,'Hospitalisation Details'!A659:K3003,11,0)</f>
        <v>40</v>
      </c>
    </row>
    <row r="661" spans="1:18" x14ac:dyDescent="0.35">
      <c r="A661" t="s">
        <v>1711</v>
      </c>
      <c r="B661" t="s">
        <v>693</v>
      </c>
      <c r="C661" t="str">
        <f>VLOOKUP($A661,'Customer Names'!$A:$E,4,FALSE)</f>
        <v>Kathleen</v>
      </c>
      <c r="D661" t="str">
        <f>VLOOKUP($A661,'Medical Examinations'!$A:$J,2,FALSE)</f>
        <v>Underweight</v>
      </c>
      <c r="E661">
        <f>VLOOKUP($A661,'Medical Examinations'!$A:$J,4,FALSE)</f>
        <v>5.29</v>
      </c>
      <c r="F661" t="str">
        <f>VLOOKUP($A661,'Medical Examinations'!$A:$J,6,FALSE)</f>
        <v>yes</v>
      </c>
      <c r="G661" t="str">
        <f>VLOOKUP($A661,'Medical Examinations'!$A:$J,7,FALSE)</f>
        <v>No</v>
      </c>
      <c r="H661" t="str">
        <f>VLOOKUP($A661,'Medical Examinations'!$A:$J,8,FALSE)</f>
        <v>No</v>
      </c>
      <c r="I661">
        <f>VLOOKUP($A661,'Medical Examinations'!$A:$J,9,FALSE)</f>
        <v>1</v>
      </c>
      <c r="J661" t="str">
        <f>VLOOKUP($A661,'Medical Examinations'!$A:$J,10,FALSE)</f>
        <v>yes</v>
      </c>
      <c r="K661" t="str">
        <f>VLOOKUP($A661,'Medical Examinations'!$A:$J,5,FALSE)</f>
        <v>Normal</v>
      </c>
      <c r="L661">
        <f>VLOOKUP($A662,'Medical Examinations'!$A:$J,3,FALSE)</f>
        <v>25.6</v>
      </c>
      <c r="M661">
        <f>VLOOKUP($A661,'Hospitalisation Details'!$A:$K,6,FALSE)</f>
        <v>15006.58</v>
      </c>
      <c r="N661" s="11">
        <f>VLOOKUP($B661,'Hospitalisation Details'!A660:J3004,10,0)</f>
        <v>28760</v>
      </c>
      <c r="O661" t="str">
        <f>VLOOKUP($B661,'Hospitalisation Details'!A660:J3004,8,0)</f>
        <v>tier - 1</v>
      </c>
      <c r="P661" t="str">
        <f>VLOOKUP($B661,'Hospitalisation Details'!A660:J3004,7,0)</f>
        <v>tier - 2</v>
      </c>
      <c r="Q661" t="str">
        <f>VLOOKUP($B661,'Hospitalisation Details'!A660:J3004,9,0)</f>
        <v>R1013</v>
      </c>
      <c r="R661">
        <f>VLOOKUP($B661,'Hospitalisation Details'!A660:K3004,11,0)</f>
        <v>44</v>
      </c>
    </row>
    <row r="662" spans="1:18" x14ac:dyDescent="0.35">
      <c r="A662" t="s">
        <v>1710</v>
      </c>
      <c r="B662" t="s">
        <v>694</v>
      </c>
      <c r="C662" t="str">
        <f>VLOOKUP($A662,'Customer Names'!$A:$E,4,FALSE)</f>
        <v>Gabriel D.</v>
      </c>
      <c r="D662" t="str">
        <f>VLOOKUP($A662,'Medical Examinations'!$A:$J,2,FALSE)</f>
        <v>Overweight</v>
      </c>
      <c r="E662">
        <f>VLOOKUP($A662,'Medical Examinations'!$A:$J,4,FALSE)</f>
        <v>10.95</v>
      </c>
      <c r="F662" t="str">
        <f>VLOOKUP($A662,'Medical Examinations'!$A:$J,6,FALSE)</f>
        <v>No</v>
      </c>
      <c r="G662" t="str">
        <f>VLOOKUP($A662,'Medical Examinations'!$A:$J,7,FALSE)</f>
        <v>No</v>
      </c>
      <c r="H662" t="str">
        <f>VLOOKUP($A662,'Medical Examinations'!$A:$J,8,FALSE)</f>
        <v>No</v>
      </c>
      <c r="I662">
        <f>VLOOKUP($A662,'Medical Examinations'!$A:$J,9,FALSE)</f>
        <v>3</v>
      </c>
      <c r="J662" t="str">
        <f>VLOOKUP($A662,'Medical Examinations'!$A:$J,10,FALSE)</f>
        <v>No</v>
      </c>
      <c r="K662" t="str">
        <f>VLOOKUP($A662,'Medical Examinations'!$A:$J,5,FALSE)</f>
        <v>Diabetes</v>
      </c>
      <c r="L662">
        <f>VLOOKUP($A663,'Medical Examinations'!$A:$J,3,FALSE)</f>
        <v>34.21</v>
      </c>
      <c r="M662">
        <f>VLOOKUP($A662,'Hospitalisation Details'!$A:$K,6,FALSE)</f>
        <v>14988.43</v>
      </c>
      <c r="N662" s="11">
        <f>VLOOKUP($B662,'Hospitalisation Details'!A661:J3005,10,0)</f>
        <v>30562</v>
      </c>
      <c r="O662" t="str">
        <f>VLOOKUP($B662,'Hospitalisation Details'!A661:J3005,8,0)</f>
        <v>tier - 1</v>
      </c>
      <c r="P662" t="str">
        <f>VLOOKUP($B662,'Hospitalisation Details'!A661:J3005,7,0)</f>
        <v>tier - 2</v>
      </c>
      <c r="Q662" t="str">
        <f>VLOOKUP($B662,'Hospitalisation Details'!A661:J3005,9,0)</f>
        <v>R1013</v>
      </c>
      <c r="R662">
        <f>VLOOKUP($B662,'Hospitalisation Details'!A661:K3005,11,0)</f>
        <v>39</v>
      </c>
    </row>
    <row r="663" spans="1:18" x14ac:dyDescent="0.35">
      <c r="A663" t="s">
        <v>1709</v>
      </c>
      <c r="B663" t="s">
        <v>695</v>
      </c>
      <c r="C663" t="str">
        <f>VLOOKUP($A663,'Customer Names'!$A:$E,4,FALSE)</f>
        <v>Jeff T</v>
      </c>
      <c r="D663" t="str">
        <f>VLOOKUP($A663,'Medical Examinations'!$A:$J,2,FALSE)</f>
        <v>Obesity</v>
      </c>
      <c r="E663">
        <f>VLOOKUP($A663,'Medical Examinations'!$A:$J,4,FALSE)</f>
        <v>9.17</v>
      </c>
      <c r="F663" t="str">
        <f>VLOOKUP($A663,'Medical Examinations'!$A:$J,6,FALSE)</f>
        <v>No</v>
      </c>
      <c r="G663" t="str">
        <f>VLOOKUP($A663,'Medical Examinations'!$A:$J,7,FALSE)</f>
        <v>No</v>
      </c>
      <c r="H663" t="str">
        <f>VLOOKUP($A663,'Medical Examinations'!$A:$J,8,FALSE)</f>
        <v>No</v>
      </c>
      <c r="I663">
        <f>VLOOKUP($A663,'Medical Examinations'!$A:$J,9,FALSE)</f>
        <v>0</v>
      </c>
      <c r="J663" t="str">
        <f>VLOOKUP($A663,'Medical Examinations'!$A:$J,10,FALSE)</f>
        <v>No</v>
      </c>
      <c r="K663" t="str">
        <f>VLOOKUP($A663,'Medical Examinations'!$A:$J,5,FALSE)</f>
        <v>Diabetes</v>
      </c>
      <c r="L663">
        <f>VLOOKUP($A664,'Medical Examinations'!$A:$J,3,FALSE)</f>
        <v>39.74</v>
      </c>
      <c r="M663">
        <f>VLOOKUP($A663,'Hospitalisation Details'!$A:$K,6,FALSE)</f>
        <v>14945.34</v>
      </c>
      <c r="N663" s="11">
        <f>VLOOKUP($B663,'Hospitalisation Details'!A662:J3006,10,0)</f>
        <v>30906</v>
      </c>
      <c r="O663" t="str">
        <f>VLOOKUP($B663,'Hospitalisation Details'!A662:J3006,8,0)</f>
        <v>tier - 2</v>
      </c>
      <c r="P663" t="str">
        <f>VLOOKUP($B663,'Hospitalisation Details'!A662:J3006,7,0)</f>
        <v>tier - 2</v>
      </c>
      <c r="Q663" t="str">
        <f>VLOOKUP($B663,'Hospitalisation Details'!A662:J3006,9,0)</f>
        <v>R1013</v>
      </c>
      <c r="R663">
        <f>VLOOKUP($B663,'Hospitalisation Details'!A662:K3006,11,0)</f>
        <v>38</v>
      </c>
    </row>
    <row r="664" spans="1:18" x14ac:dyDescent="0.35">
      <c r="A664" t="s">
        <v>1708</v>
      </c>
      <c r="B664" t="s">
        <v>696</v>
      </c>
      <c r="C664" t="str">
        <f>VLOOKUP($A664,'Customer Names'!$A:$E,4,FALSE)</f>
        <v>Neil D</v>
      </c>
      <c r="D664" t="str">
        <f>VLOOKUP($A664,'Medical Examinations'!$A:$J,2,FALSE)</f>
        <v>Obesity</v>
      </c>
      <c r="E664">
        <f>VLOOKUP($A664,'Medical Examinations'!$A:$J,4,FALSE)</f>
        <v>7.39</v>
      </c>
      <c r="F664" t="str">
        <f>VLOOKUP($A664,'Medical Examinations'!$A:$J,6,FALSE)</f>
        <v>No</v>
      </c>
      <c r="G664" t="str">
        <f>VLOOKUP($A664,'Medical Examinations'!$A:$J,7,FALSE)</f>
        <v>No</v>
      </c>
      <c r="H664" t="str">
        <f>VLOOKUP($A664,'Medical Examinations'!$A:$J,8,FALSE)</f>
        <v>No</v>
      </c>
      <c r="I664">
        <f>VLOOKUP($A664,'Medical Examinations'!$A:$J,9,FALSE)</f>
        <v>0</v>
      </c>
      <c r="J664" t="str">
        <f>VLOOKUP($A664,'Medical Examinations'!$A:$J,10,FALSE)</f>
        <v>No</v>
      </c>
      <c r="K664" t="str">
        <f>VLOOKUP($A664,'Medical Examinations'!$A:$J,5,FALSE)</f>
        <v>Diabetes</v>
      </c>
      <c r="L664">
        <f>VLOOKUP($A665,'Medical Examinations'!$A:$J,3,FALSE)</f>
        <v>49.53</v>
      </c>
      <c r="M664">
        <f>VLOOKUP($A664,'Hospitalisation Details'!$A:$K,6,FALSE)</f>
        <v>14926.97</v>
      </c>
      <c r="N664" s="11">
        <f>VLOOKUP($B664,'Hospitalisation Details'!A663:J3007,10,0)</f>
        <v>26600</v>
      </c>
      <c r="O664" t="str">
        <f>VLOOKUP($B664,'Hospitalisation Details'!A663:J3007,8,0)</f>
        <v>tier - 1</v>
      </c>
      <c r="P664" t="str">
        <f>VLOOKUP($B664,'Hospitalisation Details'!A663:J3007,7,0)</f>
        <v>tier - 2</v>
      </c>
      <c r="Q664" t="str">
        <f>VLOOKUP($B664,'Hospitalisation Details'!A663:J3007,9,0)</f>
        <v>R1013</v>
      </c>
      <c r="R664">
        <f>VLOOKUP($B664,'Hospitalisation Details'!A663:K3007,11,0)</f>
        <v>50</v>
      </c>
    </row>
    <row r="665" spans="1:18" x14ac:dyDescent="0.35">
      <c r="A665" t="s">
        <v>1707</v>
      </c>
      <c r="B665" t="s">
        <v>697</v>
      </c>
      <c r="C665" t="str">
        <f>VLOOKUP($A665,'Customer Names'!$A:$E,4,FALSE)</f>
        <v>Katherine L.</v>
      </c>
      <c r="D665" t="str">
        <f>VLOOKUP($A665,'Medical Examinations'!$A:$J,2,FALSE)</f>
        <v>Obesity</v>
      </c>
      <c r="E665">
        <f>VLOOKUP($A665,'Medical Examinations'!$A:$J,4,FALSE)</f>
        <v>9.1300000000000008</v>
      </c>
      <c r="F665" t="str">
        <f>VLOOKUP($A665,'Medical Examinations'!$A:$J,6,FALSE)</f>
        <v>yes</v>
      </c>
      <c r="G665" t="str">
        <f>VLOOKUP($A665,'Medical Examinations'!$A:$J,7,FALSE)</f>
        <v>No</v>
      </c>
      <c r="H665" t="str">
        <f>VLOOKUP($A665,'Medical Examinations'!$A:$J,8,FALSE)</f>
        <v>No</v>
      </c>
      <c r="I665">
        <f>VLOOKUP($A665,'Medical Examinations'!$A:$J,9,FALSE)</f>
        <v>0</v>
      </c>
      <c r="J665" t="str">
        <f>VLOOKUP($A665,'Medical Examinations'!$A:$J,10,FALSE)</f>
        <v>No</v>
      </c>
      <c r="K665" t="str">
        <f>VLOOKUP($A665,'Medical Examinations'!$A:$J,5,FALSE)</f>
        <v>Diabetes</v>
      </c>
      <c r="L665">
        <f>VLOOKUP($A666,'Medical Examinations'!$A:$J,3,FALSE)</f>
        <v>39.33</v>
      </c>
      <c r="M665">
        <f>VLOOKUP($A665,'Hospitalisation Details'!$A:$K,6,FALSE)</f>
        <v>14908.27</v>
      </c>
      <c r="N665" s="11">
        <f>VLOOKUP($B665,'Hospitalisation Details'!A664:J3008,10,0)</f>
        <v>33911</v>
      </c>
      <c r="O665" t="str">
        <f>VLOOKUP($B665,'Hospitalisation Details'!A664:J3008,8,0)</f>
        <v>tier - 3</v>
      </c>
      <c r="P665" t="str">
        <f>VLOOKUP($B665,'Hospitalisation Details'!A664:J3008,7,0)</f>
        <v>tier - 2</v>
      </c>
      <c r="Q665" t="str">
        <f>VLOOKUP($B665,'Hospitalisation Details'!A664:J3008,9,0)</f>
        <v>R1012</v>
      </c>
      <c r="R665">
        <f>VLOOKUP($B665,'Hospitalisation Details'!A664:K3008,11,0)</f>
        <v>30</v>
      </c>
    </row>
    <row r="666" spans="1:18" x14ac:dyDescent="0.35">
      <c r="A666" t="s">
        <v>1706</v>
      </c>
      <c r="B666" t="s">
        <v>698</v>
      </c>
      <c r="C666" t="str">
        <f>VLOOKUP($A666,'Customer Names'!$A:$E,4,FALSE)</f>
        <v>Ariel E</v>
      </c>
      <c r="D666" t="str">
        <f>VLOOKUP($A666,'Medical Examinations'!$A:$J,2,FALSE)</f>
        <v>Obesity</v>
      </c>
      <c r="E666">
        <f>VLOOKUP($A666,'Medical Examinations'!$A:$J,4,FALSE)</f>
        <v>10.4</v>
      </c>
      <c r="F666" t="str">
        <f>VLOOKUP($A666,'Medical Examinations'!$A:$J,6,FALSE)</f>
        <v>No</v>
      </c>
      <c r="G666" t="str">
        <f>VLOOKUP($A666,'Medical Examinations'!$A:$J,7,FALSE)</f>
        <v>No</v>
      </c>
      <c r="H666" t="str">
        <f>VLOOKUP($A666,'Medical Examinations'!$A:$J,8,FALSE)</f>
        <v>No</v>
      </c>
      <c r="I666">
        <f>VLOOKUP($A666,'Medical Examinations'!$A:$J,9,FALSE)</f>
        <v>3</v>
      </c>
      <c r="J666" t="str">
        <f>VLOOKUP($A666,'Medical Examinations'!$A:$J,10,FALSE)</f>
        <v>No</v>
      </c>
      <c r="K666" t="str">
        <f>VLOOKUP($A666,'Medical Examinations'!$A:$J,5,FALSE)</f>
        <v>Diabetes</v>
      </c>
      <c r="L666">
        <f>VLOOKUP($A667,'Medical Examinations'!$A:$J,3,FALSE)</f>
        <v>39.979999999999997</v>
      </c>
      <c r="M666">
        <f>VLOOKUP($A666,'Hospitalisation Details'!$A:$K,6,FALSE)</f>
        <v>14901.52</v>
      </c>
      <c r="N666" s="11">
        <f>VLOOKUP($B666,'Hospitalisation Details'!A665:J3009,10,0)</f>
        <v>27216</v>
      </c>
      <c r="O666" t="str">
        <f>VLOOKUP($B666,'Hospitalisation Details'!A665:J3009,8,0)</f>
        <v>tier - 2</v>
      </c>
      <c r="P666" t="str">
        <f>VLOOKUP($B666,'Hospitalisation Details'!A665:J3009,7,0)</f>
        <v>tier - 2</v>
      </c>
      <c r="Q666" t="str">
        <f>VLOOKUP($B666,'Hospitalisation Details'!A665:J3009,9,0)</f>
        <v>R1012</v>
      </c>
      <c r="R666">
        <f>VLOOKUP($B666,'Hospitalisation Details'!A665:K3009,11,0)</f>
        <v>48</v>
      </c>
    </row>
    <row r="667" spans="1:18" x14ac:dyDescent="0.35">
      <c r="A667" t="s">
        <v>1705</v>
      </c>
      <c r="B667" t="s">
        <v>699</v>
      </c>
      <c r="C667" t="str">
        <f>VLOOKUP($A667,'Customer Names'!$A:$E,4,FALSE)</f>
        <v>Christopher P</v>
      </c>
      <c r="D667" t="str">
        <f>VLOOKUP($A667,'Medical Examinations'!$A:$J,2,FALSE)</f>
        <v>Obesity</v>
      </c>
      <c r="E667">
        <f>VLOOKUP($A667,'Medical Examinations'!$A:$J,4,FALSE)</f>
        <v>9.4600000000000009</v>
      </c>
      <c r="F667" t="str">
        <f>VLOOKUP($A667,'Medical Examinations'!$A:$J,6,FALSE)</f>
        <v>yes</v>
      </c>
      <c r="G667" t="str">
        <f>VLOOKUP($A667,'Medical Examinations'!$A:$J,7,FALSE)</f>
        <v>No</v>
      </c>
      <c r="H667" t="str">
        <f>VLOOKUP($A667,'Medical Examinations'!$A:$J,8,FALSE)</f>
        <v>No</v>
      </c>
      <c r="I667">
        <f>VLOOKUP($A667,'Medical Examinations'!$A:$J,9,FALSE)</f>
        <v>2</v>
      </c>
      <c r="J667" t="str">
        <f>VLOOKUP($A667,'Medical Examinations'!$A:$J,10,FALSE)</f>
        <v>No</v>
      </c>
      <c r="K667" t="str">
        <f>VLOOKUP($A667,'Medical Examinations'!$A:$J,5,FALSE)</f>
        <v>Diabetes</v>
      </c>
      <c r="L667">
        <f>VLOOKUP($A668,'Medical Examinations'!$A:$J,3,FALSE)</f>
        <v>46.51</v>
      </c>
      <c r="M667">
        <f>VLOOKUP($A667,'Hospitalisation Details'!$A:$K,6,FALSE)</f>
        <v>14847.63</v>
      </c>
      <c r="N667" s="11">
        <f>VLOOKUP($B667,'Hospitalisation Details'!A666:J3010,10,0)</f>
        <v>29752</v>
      </c>
      <c r="O667" t="str">
        <f>VLOOKUP($B667,'Hospitalisation Details'!A666:J3010,8,0)</f>
        <v>tier - 3</v>
      </c>
      <c r="P667" t="str">
        <f>VLOOKUP($B667,'Hospitalisation Details'!A666:J3010,7,0)</f>
        <v>tier - 2</v>
      </c>
      <c r="Q667" t="str">
        <f>VLOOKUP($B667,'Hospitalisation Details'!A666:J3010,9,0)</f>
        <v>R1013</v>
      </c>
      <c r="R667">
        <f>VLOOKUP($B667,'Hospitalisation Details'!A666:K3010,11,0)</f>
        <v>41</v>
      </c>
    </row>
    <row r="668" spans="1:18" x14ac:dyDescent="0.35">
      <c r="A668" t="s">
        <v>1704</v>
      </c>
      <c r="B668" t="s">
        <v>700</v>
      </c>
      <c r="C668" t="str">
        <f>VLOOKUP($A668,'Customer Names'!$A:$E,4,FALSE)</f>
        <v>Erin M.</v>
      </c>
      <c r="D668" t="str">
        <f>VLOOKUP($A668,'Medical Examinations'!$A:$J,2,FALSE)</f>
        <v>Obesity</v>
      </c>
      <c r="E668">
        <f>VLOOKUP($A668,'Medical Examinations'!$A:$J,4,FALSE)</f>
        <v>8.69</v>
      </c>
      <c r="F668" t="str">
        <f>VLOOKUP($A668,'Medical Examinations'!$A:$J,6,FALSE)</f>
        <v>yes</v>
      </c>
      <c r="G668" t="str">
        <f>VLOOKUP($A668,'Medical Examinations'!$A:$J,7,FALSE)</f>
        <v>No</v>
      </c>
      <c r="H668" t="str">
        <f>VLOOKUP($A668,'Medical Examinations'!$A:$J,8,FALSE)</f>
        <v>No</v>
      </c>
      <c r="I668">
        <f>VLOOKUP($A668,'Medical Examinations'!$A:$J,9,FALSE)</f>
        <v>0</v>
      </c>
      <c r="J668" t="str">
        <f>VLOOKUP($A668,'Medical Examinations'!$A:$J,10,FALSE)</f>
        <v>No</v>
      </c>
      <c r="K668" t="str">
        <f>VLOOKUP($A668,'Medical Examinations'!$A:$J,5,FALSE)</f>
        <v>Diabetes</v>
      </c>
      <c r="L668">
        <f>VLOOKUP($A669,'Medical Examinations'!$A:$J,3,FALSE)</f>
        <v>43.58</v>
      </c>
      <c r="M668">
        <f>VLOOKUP($A668,'Hospitalisation Details'!$A:$K,6,FALSE)</f>
        <v>14843.96</v>
      </c>
      <c r="N668" s="11">
        <f>VLOOKUP($B668,'Hospitalisation Details'!A667:J3011,10,0)</f>
        <v>34276</v>
      </c>
      <c r="O668" t="str">
        <f>VLOOKUP($B668,'Hospitalisation Details'!A667:J3011,8,0)</f>
        <v>tier - 1</v>
      </c>
      <c r="P668" t="str">
        <f>VLOOKUP($B668,'Hospitalisation Details'!A667:J3011,7,0)</f>
        <v>tier - 2</v>
      </c>
      <c r="Q668" t="str">
        <f>VLOOKUP($B668,'Hospitalisation Details'!A667:J3011,9,0)</f>
        <v>R1011</v>
      </c>
      <c r="R668">
        <f>VLOOKUP($B668,'Hospitalisation Details'!A667:K3011,11,0)</f>
        <v>29</v>
      </c>
    </row>
    <row r="669" spans="1:18" x14ac:dyDescent="0.35">
      <c r="A669" t="s">
        <v>1703</v>
      </c>
      <c r="B669" t="s">
        <v>701</v>
      </c>
      <c r="C669" t="str">
        <f>VLOOKUP($A669,'Customer Names'!$A:$E,4,FALSE)</f>
        <v>Molly K.</v>
      </c>
      <c r="D669" t="str">
        <f>VLOOKUP($A669,'Medical Examinations'!$A:$J,2,FALSE)</f>
        <v>Obesity</v>
      </c>
      <c r="E669">
        <f>VLOOKUP($A669,'Medical Examinations'!$A:$J,4,FALSE)</f>
        <v>4.2300000000000004</v>
      </c>
      <c r="F669" t="str">
        <f>VLOOKUP($A669,'Medical Examinations'!$A:$J,6,FALSE)</f>
        <v>No</v>
      </c>
      <c r="G669" t="str">
        <f>VLOOKUP($A669,'Medical Examinations'!$A:$J,7,FALSE)</f>
        <v>No</v>
      </c>
      <c r="H669" t="str">
        <f>VLOOKUP($A669,'Medical Examinations'!$A:$J,8,FALSE)</f>
        <v>Yes</v>
      </c>
      <c r="I669">
        <f>VLOOKUP($A669,'Medical Examinations'!$A:$J,9,FALSE)</f>
        <v>1</v>
      </c>
      <c r="J669" t="str">
        <f>VLOOKUP($A669,'Medical Examinations'!$A:$J,10,FALSE)</f>
        <v>No</v>
      </c>
      <c r="K669" t="str">
        <f>VLOOKUP($A669,'Medical Examinations'!$A:$J,5,FALSE)</f>
        <v>Normal</v>
      </c>
      <c r="L669">
        <f>VLOOKUP($A670,'Medical Examinations'!$A:$J,3,FALSE)</f>
        <v>42.28</v>
      </c>
      <c r="M669">
        <f>VLOOKUP($A669,'Hospitalisation Details'!$A:$K,6,FALSE)</f>
        <v>14839.34</v>
      </c>
      <c r="N669" s="11">
        <f>VLOOKUP($B669,'Hospitalisation Details'!A668:J3012,10,0)</f>
        <v>29828</v>
      </c>
      <c r="O669" t="str">
        <f>VLOOKUP($B669,'Hospitalisation Details'!A668:J3012,8,0)</f>
        <v>tier - 3</v>
      </c>
      <c r="P669" t="str">
        <f>VLOOKUP($B669,'Hospitalisation Details'!A668:J3012,7,0)</f>
        <v>tier - 3</v>
      </c>
      <c r="Q669" t="str">
        <f>VLOOKUP($B669,'Hospitalisation Details'!A668:J3012,9,0)</f>
        <v>R1013</v>
      </c>
      <c r="R669">
        <f>VLOOKUP($B669,'Hospitalisation Details'!A668:K3012,11,0)</f>
        <v>41</v>
      </c>
    </row>
    <row r="670" spans="1:18" x14ac:dyDescent="0.35">
      <c r="A670" t="s">
        <v>1702</v>
      </c>
      <c r="B670" t="s">
        <v>702</v>
      </c>
      <c r="C670" t="str">
        <f>VLOOKUP($A670,'Customer Names'!$A:$E,4,FALSE)</f>
        <v>Ryan J.</v>
      </c>
      <c r="D670" t="str">
        <f>VLOOKUP($A670,'Medical Examinations'!$A:$J,2,FALSE)</f>
        <v>Obesity</v>
      </c>
      <c r="E670">
        <f>VLOOKUP($A670,'Medical Examinations'!$A:$J,4,FALSE)</f>
        <v>9.16</v>
      </c>
      <c r="F670" t="str">
        <f>VLOOKUP($A670,'Medical Examinations'!$A:$J,6,FALSE)</f>
        <v>yes</v>
      </c>
      <c r="G670" t="str">
        <f>VLOOKUP($A670,'Medical Examinations'!$A:$J,7,FALSE)</f>
        <v>No</v>
      </c>
      <c r="H670" t="str">
        <f>VLOOKUP($A670,'Medical Examinations'!$A:$J,8,FALSE)</f>
        <v>No</v>
      </c>
      <c r="I670">
        <f>VLOOKUP($A670,'Medical Examinations'!$A:$J,9,FALSE)</f>
        <v>1</v>
      </c>
      <c r="J670" t="str">
        <f>VLOOKUP($A670,'Medical Examinations'!$A:$J,10,FALSE)</f>
        <v>No</v>
      </c>
      <c r="K670" t="str">
        <f>VLOOKUP($A670,'Medical Examinations'!$A:$J,5,FALSE)</f>
        <v>Diabetes</v>
      </c>
      <c r="L670">
        <f>VLOOKUP($A671,'Medical Examinations'!$A:$J,3,FALSE)</f>
        <v>35.520000000000003</v>
      </c>
      <c r="M670">
        <f>VLOOKUP($A670,'Hospitalisation Details'!$A:$K,6,FALSE)</f>
        <v>14819</v>
      </c>
      <c r="N670" s="11">
        <f>VLOOKUP($B670,'Hospitalisation Details'!A669:J3013,10,0)</f>
        <v>26285</v>
      </c>
      <c r="O670" t="str">
        <f>VLOOKUP($B670,'Hospitalisation Details'!A669:J3013,8,0)</f>
        <v>tier - 1</v>
      </c>
      <c r="P670" t="str">
        <f>VLOOKUP($B670,'Hospitalisation Details'!A669:J3013,7,0)</f>
        <v>tier - 2</v>
      </c>
      <c r="Q670" t="str">
        <f>VLOOKUP($B670,'Hospitalisation Details'!A669:J3013,9,0)</f>
        <v>R1013</v>
      </c>
      <c r="R670">
        <f>VLOOKUP($B670,'Hospitalisation Details'!A669:K3013,11,0)</f>
        <v>51</v>
      </c>
    </row>
    <row r="671" spans="1:18" x14ac:dyDescent="0.35">
      <c r="A671" t="s">
        <v>1701</v>
      </c>
      <c r="B671" t="s">
        <v>703</v>
      </c>
      <c r="C671" t="str">
        <f>VLOOKUP($A671,'Customer Names'!$A:$E,4,FALSE)</f>
        <v>Jennifer</v>
      </c>
      <c r="D671" t="str">
        <f>VLOOKUP($A671,'Medical Examinations'!$A:$J,2,FALSE)</f>
        <v>Obesity</v>
      </c>
      <c r="E671">
        <f>VLOOKUP($A671,'Medical Examinations'!$A:$J,4,FALSE)</f>
        <v>8.26</v>
      </c>
      <c r="F671" t="str">
        <f>VLOOKUP($A671,'Medical Examinations'!$A:$J,6,FALSE)</f>
        <v>No</v>
      </c>
      <c r="G671" t="str">
        <f>VLOOKUP($A671,'Medical Examinations'!$A:$J,7,FALSE)</f>
        <v>No</v>
      </c>
      <c r="H671" t="str">
        <f>VLOOKUP($A671,'Medical Examinations'!$A:$J,8,FALSE)</f>
        <v>No</v>
      </c>
      <c r="I671">
        <f>VLOOKUP($A671,'Medical Examinations'!$A:$J,9,FALSE)</f>
        <v>0</v>
      </c>
      <c r="J671" t="str">
        <f>VLOOKUP($A671,'Medical Examinations'!$A:$J,10,FALSE)</f>
        <v>No</v>
      </c>
      <c r="K671" t="str">
        <f>VLOOKUP($A671,'Medical Examinations'!$A:$J,5,FALSE)</f>
        <v>Diabetes</v>
      </c>
      <c r="L671">
        <f>VLOOKUP($A672,'Medical Examinations'!$A:$J,3,FALSE)</f>
        <v>33.6</v>
      </c>
      <c r="M671">
        <f>VLOOKUP($A671,'Hospitalisation Details'!$A:$K,6,FALSE)</f>
        <v>14750.42</v>
      </c>
      <c r="N671" s="11">
        <f>VLOOKUP($B671,'Hospitalisation Details'!A670:J3014,10,0)</f>
        <v>32069</v>
      </c>
      <c r="O671" t="str">
        <f>VLOOKUP($B671,'Hospitalisation Details'!A670:J3014,8,0)</f>
        <v>tier - 2</v>
      </c>
      <c r="P671" t="str">
        <f>VLOOKUP($B671,'Hospitalisation Details'!A670:J3014,7,0)</f>
        <v>tier - 1</v>
      </c>
      <c r="Q671" t="str">
        <f>VLOOKUP($B671,'Hospitalisation Details'!A670:J3014,9,0)</f>
        <v>R1012</v>
      </c>
      <c r="R671">
        <f>VLOOKUP($B671,'Hospitalisation Details'!A670:K3014,11,0)</f>
        <v>35</v>
      </c>
    </row>
    <row r="672" spans="1:18" x14ac:dyDescent="0.35">
      <c r="A672" t="s">
        <v>1700</v>
      </c>
      <c r="B672" t="s">
        <v>704</v>
      </c>
      <c r="C672" t="str">
        <f>VLOOKUP($A672,'Customer Names'!$A:$E,4,FALSE)</f>
        <v>Daniel M</v>
      </c>
      <c r="D672" t="str">
        <f>VLOOKUP($A672,'Medical Examinations'!$A:$J,2,FALSE)</f>
        <v>Obesity</v>
      </c>
      <c r="E672">
        <f>VLOOKUP($A672,'Medical Examinations'!$A:$J,4,FALSE)</f>
        <v>11.25</v>
      </c>
      <c r="F672" t="str">
        <f>VLOOKUP($A672,'Medical Examinations'!$A:$J,6,FALSE)</f>
        <v>No</v>
      </c>
      <c r="G672" t="str">
        <f>VLOOKUP($A672,'Medical Examinations'!$A:$J,7,FALSE)</f>
        <v>No</v>
      </c>
      <c r="H672" t="str">
        <f>VLOOKUP($A672,'Medical Examinations'!$A:$J,8,FALSE)</f>
        <v>No</v>
      </c>
      <c r="I672">
        <f>VLOOKUP($A672,'Medical Examinations'!$A:$J,9,FALSE)</f>
        <v>0</v>
      </c>
      <c r="J672" t="str">
        <f>VLOOKUP($A672,'Medical Examinations'!$A:$J,10,FALSE)</f>
        <v>No</v>
      </c>
      <c r="K672" t="str">
        <f>VLOOKUP($A672,'Medical Examinations'!$A:$J,5,FALSE)</f>
        <v>Diabetes</v>
      </c>
      <c r="L672">
        <f>VLOOKUP($A673,'Medical Examinations'!$A:$J,3,FALSE)</f>
        <v>22.42</v>
      </c>
      <c r="M672">
        <f>VLOOKUP($A672,'Hospitalisation Details'!$A:$K,6,FALSE)</f>
        <v>14738.43</v>
      </c>
      <c r="N672" s="11">
        <f>VLOOKUP($B672,'Hospitalisation Details'!A671:J3015,10,0)</f>
        <v>26532</v>
      </c>
      <c r="O672" t="str">
        <f>VLOOKUP($B672,'Hospitalisation Details'!A671:J3015,8,0)</f>
        <v>tier - 3</v>
      </c>
      <c r="P672" t="str">
        <f>VLOOKUP($B672,'Hospitalisation Details'!A671:J3015,7,0)</f>
        <v>tier - 2</v>
      </c>
      <c r="Q672" t="str">
        <f>VLOOKUP($B672,'Hospitalisation Details'!A671:J3015,9,0)</f>
        <v>R1013</v>
      </c>
      <c r="R672">
        <f>VLOOKUP($B672,'Hospitalisation Details'!A671:K3015,11,0)</f>
        <v>50</v>
      </c>
    </row>
    <row r="673" spans="1:18" x14ac:dyDescent="0.35">
      <c r="A673" t="s">
        <v>1699</v>
      </c>
      <c r="B673" t="s">
        <v>705</v>
      </c>
      <c r="C673" t="str">
        <f>VLOOKUP($A673,'Customer Names'!$A:$E,4,FALSE)</f>
        <v>Hiruni</v>
      </c>
      <c r="D673" t="str">
        <f>VLOOKUP($A673,'Medical Examinations'!$A:$J,2,FALSE)</f>
        <v>Normal Weight</v>
      </c>
      <c r="E673">
        <f>VLOOKUP($A673,'Medical Examinations'!$A:$J,4,FALSE)</f>
        <v>6.74</v>
      </c>
      <c r="F673" t="str">
        <f>VLOOKUP($A673,'Medical Examinations'!$A:$J,6,FALSE)</f>
        <v>No</v>
      </c>
      <c r="G673" t="str">
        <f>VLOOKUP($A673,'Medical Examinations'!$A:$J,7,FALSE)</f>
        <v>No</v>
      </c>
      <c r="H673" t="str">
        <f>VLOOKUP($A673,'Medical Examinations'!$A:$J,8,FALSE)</f>
        <v>No</v>
      </c>
      <c r="I673">
        <f>VLOOKUP($A673,'Medical Examinations'!$A:$J,9,FALSE)</f>
        <v>0</v>
      </c>
      <c r="J673" t="str">
        <f>VLOOKUP($A673,'Medical Examinations'!$A:$J,10,FALSE)</f>
        <v>yes</v>
      </c>
      <c r="K673" t="str">
        <f>VLOOKUP($A673,'Medical Examinations'!$A:$J,5,FALSE)</f>
        <v>Diabetes</v>
      </c>
      <c r="L673">
        <f>VLOOKUP($A674,'Medical Examinations'!$A:$J,3,FALSE)</f>
        <v>46.86</v>
      </c>
      <c r="M673">
        <f>VLOOKUP($A673,'Hospitalisation Details'!$A:$K,6,FALSE)</f>
        <v>14711.74</v>
      </c>
      <c r="N673" s="11">
        <f>VLOOKUP($B673,'Hospitalisation Details'!A672:J3016,10,0)</f>
        <v>34130</v>
      </c>
      <c r="O673" t="str">
        <f>VLOOKUP($B673,'Hospitalisation Details'!A672:J3016,8,0)</f>
        <v>tier - 1</v>
      </c>
      <c r="P673" t="str">
        <f>VLOOKUP($B673,'Hospitalisation Details'!A672:J3016,7,0)</f>
        <v>tier - 2</v>
      </c>
      <c r="Q673" t="str">
        <f>VLOOKUP($B673,'Hospitalisation Details'!A672:J3016,9,0)</f>
        <v>R1021</v>
      </c>
      <c r="R673">
        <f>VLOOKUP($B673,'Hospitalisation Details'!A672:K3016,11,0)</f>
        <v>29</v>
      </c>
    </row>
    <row r="674" spans="1:18" x14ac:dyDescent="0.35">
      <c r="A674" t="s">
        <v>1698</v>
      </c>
      <c r="B674" t="s">
        <v>706</v>
      </c>
      <c r="C674" t="str">
        <f>VLOOKUP($A674,'Customer Names'!$A:$E,4,FALSE)</f>
        <v>Reina H.</v>
      </c>
      <c r="D674" t="str">
        <f>VLOOKUP($A674,'Medical Examinations'!$A:$J,2,FALSE)</f>
        <v>Obesity</v>
      </c>
      <c r="E674">
        <f>VLOOKUP($A674,'Medical Examinations'!$A:$J,4,FALSE)</f>
        <v>4.87</v>
      </c>
      <c r="F674" t="str">
        <f>VLOOKUP($A674,'Medical Examinations'!$A:$J,6,FALSE)</f>
        <v>No</v>
      </c>
      <c r="G674" t="str">
        <f>VLOOKUP($A674,'Medical Examinations'!$A:$J,7,FALSE)</f>
        <v>No</v>
      </c>
      <c r="H674" t="str">
        <f>VLOOKUP($A674,'Medical Examinations'!$A:$J,8,FALSE)</f>
        <v>No</v>
      </c>
      <c r="I674">
        <f>VLOOKUP($A674,'Medical Examinations'!$A:$J,9,FALSE)</f>
        <v>0</v>
      </c>
      <c r="J674" t="str">
        <f>VLOOKUP($A674,'Medical Examinations'!$A:$J,10,FALSE)</f>
        <v>No</v>
      </c>
      <c r="K674" t="str">
        <f>VLOOKUP($A674,'Medical Examinations'!$A:$J,5,FALSE)</f>
        <v>Normal</v>
      </c>
      <c r="L674">
        <f>VLOOKUP($A675,'Medical Examinations'!$A:$J,3,FALSE)</f>
        <v>32.965000000000003</v>
      </c>
      <c r="M674">
        <f>VLOOKUP($A674,'Hospitalisation Details'!$A:$K,6,FALSE)</f>
        <v>14696.77</v>
      </c>
      <c r="N674" s="11">
        <f>VLOOKUP($B674,'Hospitalisation Details'!A673:J3017,10,0)</f>
        <v>30558</v>
      </c>
      <c r="O674" t="str">
        <f>VLOOKUP($B674,'Hospitalisation Details'!A673:J3017,8,0)</f>
        <v>tier - 3</v>
      </c>
      <c r="P674" t="str">
        <f>VLOOKUP($B674,'Hospitalisation Details'!A673:J3017,7,0)</f>
        <v>tier - 2</v>
      </c>
      <c r="Q674" t="str">
        <f>VLOOKUP($B674,'Hospitalisation Details'!A673:J3017,9,0)</f>
        <v>R1019</v>
      </c>
      <c r="R674">
        <f>VLOOKUP($B674,'Hospitalisation Details'!A673:K3017,11,0)</f>
        <v>39</v>
      </c>
    </row>
    <row r="675" spans="1:18" x14ac:dyDescent="0.35">
      <c r="A675" t="s">
        <v>1697</v>
      </c>
      <c r="B675" t="s">
        <v>707</v>
      </c>
      <c r="C675" t="str">
        <f>VLOOKUP($A675,'Customer Names'!$A:$E,4,FALSE)</f>
        <v>Kristi</v>
      </c>
      <c r="D675" t="str">
        <f>VLOOKUP($A675,'Medical Examinations'!$A:$J,2,FALSE)</f>
        <v>Obesity</v>
      </c>
      <c r="E675">
        <f>VLOOKUP($A675,'Medical Examinations'!$A:$J,4,FALSE)</f>
        <v>6.68</v>
      </c>
      <c r="F675" t="str">
        <f>VLOOKUP($A675,'Medical Examinations'!$A:$J,6,FALSE)</f>
        <v>No</v>
      </c>
      <c r="G675" t="str">
        <f>VLOOKUP($A675,'Medical Examinations'!$A:$J,7,FALSE)</f>
        <v>No</v>
      </c>
      <c r="H675" t="str">
        <f>VLOOKUP($A675,'Medical Examinations'!$A:$J,8,FALSE)</f>
        <v>No</v>
      </c>
      <c r="I675">
        <f>VLOOKUP($A675,'Medical Examinations'!$A:$J,9,FALSE)</f>
        <v>3</v>
      </c>
      <c r="J675" t="str">
        <f>VLOOKUP($A675,'Medical Examinations'!$A:$J,10,FALSE)</f>
        <v>No</v>
      </c>
      <c r="K675" t="str">
        <f>VLOOKUP($A675,'Medical Examinations'!$A:$J,5,FALSE)</f>
        <v>Diabetes</v>
      </c>
      <c r="L675">
        <f>VLOOKUP($A676,'Medical Examinations'!$A:$J,3,FALSE)</f>
        <v>39.340000000000003</v>
      </c>
      <c r="M675">
        <f>VLOOKUP($A675,'Hospitalisation Details'!$A:$K,6,FALSE)</f>
        <v>14692.67</v>
      </c>
      <c r="N675" s="11">
        <f>VLOOKUP($B675,'Hospitalisation Details'!A674:J3018,10,0)</f>
        <v>38292</v>
      </c>
      <c r="O675" t="str">
        <f>VLOOKUP($B675,'Hospitalisation Details'!A674:J3018,8,0)</f>
        <v>tier - 3</v>
      </c>
      <c r="P675" t="str">
        <f>VLOOKUP($B675,'Hospitalisation Details'!A674:J3018,7,0)</f>
        <v>tier - 2</v>
      </c>
      <c r="Q675" t="str">
        <f>VLOOKUP($B675,'Hospitalisation Details'!A674:J3018,9,0)</f>
        <v>R1022</v>
      </c>
      <c r="R675">
        <f>VLOOKUP($B675,'Hospitalisation Details'!A674:K3018,11,0)</f>
        <v>18</v>
      </c>
    </row>
    <row r="676" spans="1:18" x14ac:dyDescent="0.35">
      <c r="A676" t="s">
        <v>1696</v>
      </c>
      <c r="B676" t="s">
        <v>708</v>
      </c>
      <c r="C676" t="str">
        <f>VLOOKUP($A676,'Customer Names'!$A:$E,4,FALSE)</f>
        <v>Meredith L.</v>
      </c>
      <c r="D676" t="str">
        <f>VLOOKUP($A676,'Medical Examinations'!$A:$J,2,FALSE)</f>
        <v>Obesity</v>
      </c>
      <c r="E676">
        <f>VLOOKUP($A676,'Medical Examinations'!$A:$J,4,FALSE)</f>
        <v>5.0199999999999996</v>
      </c>
      <c r="F676" t="str">
        <f>VLOOKUP($A676,'Medical Examinations'!$A:$J,6,FALSE)</f>
        <v>yes</v>
      </c>
      <c r="G676" t="str">
        <f>VLOOKUP($A676,'Medical Examinations'!$A:$J,7,FALSE)</f>
        <v>No</v>
      </c>
      <c r="H676" t="str">
        <f>VLOOKUP($A676,'Medical Examinations'!$A:$J,8,FALSE)</f>
        <v>Yes</v>
      </c>
      <c r="I676">
        <f>VLOOKUP($A676,'Medical Examinations'!$A:$J,9,FALSE)</f>
        <v>1</v>
      </c>
      <c r="J676" t="str">
        <f>VLOOKUP($A676,'Medical Examinations'!$A:$J,10,FALSE)</f>
        <v>No</v>
      </c>
      <c r="K676" t="str">
        <f>VLOOKUP($A676,'Medical Examinations'!$A:$J,5,FALSE)</f>
        <v>Normal</v>
      </c>
      <c r="L676">
        <f>VLOOKUP($A677,'Medical Examinations'!$A:$J,3,FALSE)</f>
        <v>47</v>
      </c>
      <c r="M676">
        <f>VLOOKUP($A676,'Hospitalisation Details'!$A:$K,6,FALSE)</f>
        <v>14665.75</v>
      </c>
      <c r="N676" s="11">
        <f>VLOOKUP($B676,'Hospitalisation Details'!A675:J3019,10,0)</f>
        <v>29482</v>
      </c>
      <c r="O676" t="str">
        <f>VLOOKUP($B676,'Hospitalisation Details'!A675:J3019,8,0)</f>
        <v>tier - 3</v>
      </c>
      <c r="P676" t="str">
        <f>VLOOKUP($B676,'Hospitalisation Details'!A675:J3019,7,0)</f>
        <v>tier - 2</v>
      </c>
      <c r="Q676" t="str">
        <f>VLOOKUP($B676,'Hospitalisation Details'!A675:J3019,9,0)</f>
        <v>R1013</v>
      </c>
      <c r="R676">
        <f>VLOOKUP($B676,'Hospitalisation Details'!A675:K3019,11,0)</f>
        <v>42</v>
      </c>
    </row>
    <row r="677" spans="1:18" x14ac:dyDescent="0.35">
      <c r="A677" t="s">
        <v>1695</v>
      </c>
      <c r="B677" t="s">
        <v>709</v>
      </c>
      <c r="C677" t="str">
        <f>VLOOKUP($A677,'Customer Names'!$A:$E,4,FALSE)</f>
        <v>Jocelyn</v>
      </c>
      <c r="D677" t="str">
        <f>VLOOKUP($A677,'Medical Examinations'!$A:$J,2,FALSE)</f>
        <v>Obesity</v>
      </c>
      <c r="E677">
        <f>VLOOKUP($A677,'Medical Examinations'!$A:$J,4,FALSE)</f>
        <v>10.64</v>
      </c>
      <c r="F677" t="str">
        <f>VLOOKUP($A677,'Medical Examinations'!$A:$J,6,FALSE)</f>
        <v>yes</v>
      </c>
      <c r="G677" t="str">
        <f>VLOOKUP($A677,'Medical Examinations'!$A:$J,7,FALSE)</f>
        <v>No</v>
      </c>
      <c r="H677" t="str">
        <f>VLOOKUP($A677,'Medical Examinations'!$A:$J,8,FALSE)</f>
        <v>No</v>
      </c>
      <c r="I677">
        <f>VLOOKUP($A677,'Medical Examinations'!$A:$J,9,FALSE)</f>
        <v>0</v>
      </c>
      <c r="J677" t="str">
        <f>VLOOKUP($A677,'Medical Examinations'!$A:$J,10,FALSE)</f>
        <v>No</v>
      </c>
      <c r="K677" t="str">
        <f>VLOOKUP($A677,'Medical Examinations'!$A:$J,5,FALSE)</f>
        <v>Diabetes</v>
      </c>
      <c r="L677">
        <f>VLOOKUP($A678,'Medical Examinations'!$A:$J,3,FALSE)</f>
        <v>36.71</v>
      </c>
      <c r="M677">
        <f>VLOOKUP($A677,'Hospitalisation Details'!$A:$K,6,FALSE)</f>
        <v>14657.2</v>
      </c>
      <c r="N677" s="11">
        <f>VLOOKUP($B677,'Hospitalisation Details'!A676:J3020,10,0)</f>
        <v>26605</v>
      </c>
      <c r="O677" t="str">
        <f>VLOOKUP($B677,'Hospitalisation Details'!A676:J3020,8,0)</f>
        <v>tier - 2</v>
      </c>
      <c r="P677" t="str">
        <f>VLOOKUP($B677,'Hospitalisation Details'!A676:J3020,7,0)</f>
        <v>tier - 2</v>
      </c>
      <c r="Q677" t="str">
        <f>VLOOKUP($B677,'Hospitalisation Details'!A676:J3020,9,0)</f>
        <v>R1013</v>
      </c>
      <c r="R677">
        <f>VLOOKUP($B677,'Hospitalisation Details'!A676:K3020,11,0)</f>
        <v>50</v>
      </c>
    </row>
    <row r="678" spans="1:18" x14ac:dyDescent="0.35">
      <c r="A678" t="s">
        <v>1694</v>
      </c>
      <c r="B678" t="s">
        <v>710</v>
      </c>
      <c r="C678" t="str">
        <f>VLOOKUP($A678,'Customer Names'!$A:$E,4,FALSE)</f>
        <v>Daphne</v>
      </c>
      <c r="D678" t="str">
        <f>VLOOKUP($A678,'Medical Examinations'!$A:$J,2,FALSE)</f>
        <v>Obesity</v>
      </c>
      <c r="E678">
        <f>VLOOKUP($A678,'Medical Examinations'!$A:$J,4,FALSE)</f>
        <v>8.74</v>
      </c>
      <c r="F678" t="str">
        <f>VLOOKUP($A678,'Medical Examinations'!$A:$J,6,FALSE)</f>
        <v>yes</v>
      </c>
      <c r="G678" t="str">
        <f>VLOOKUP($A678,'Medical Examinations'!$A:$J,7,FALSE)</f>
        <v>No</v>
      </c>
      <c r="H678" t="str">
        <f>VLOOKUP($A678,'Medical Examinations'!$A:$J,8,FALSE)</f>
        <v>No</v>
      </c>
      <c r="I678">
        <f>VLOOKUP($A678,'Medical Examinations'!$A:$J,9,FALSE)</f>
        <v>0</v>
      </c>
      <c r="J678" t="str">
        <f>VLOOKUP($A678,'Medical Examinations'!$A:$J,10,FALSE)</f>
        <v>No</v>
      </c>
      <c r="K678" t="str">
        <f>VLOOKUP($A678,'Medical Examinations'!$A:$J,5,FALSE)</f>
        <v>Diabetes</v>
      </c>
      <c r="L678">
        <f>VLOOKUP($A679,'Medical Examinations'!$A:$J,3,FALSE)</f>
        <v>53.48</v>
      </c>
      <c r="M678">
        <f>VLOOKUP($A678,'Hospitalisation Details'!$A:$K,6,FALSE)</f>
        <v>14640.35</v>
      </c>
      <c r="N678" s="11">
        <f>VLOOKUP($B678,'Hospitalisation Details'!A677:J3021,10,0)</f>
        <v>37459</v>
      </c>
      <c r="O678" t="str">
        <f>VLOOKUP($B678,'Hospitalisation Details'!A677:J3021,8,0)</f>
        <v>tier - 2</v>
      </c>
      <c r="P678" t="str">
        <f>VLOOKUP($B678,'Hospitalisation Details'!A677:J3021,7,0)</f>
        <v>tier - 2</v>
      </c>
      <c r="Q678" t="str">
        <f>VLOOKUP($B678,'Hospitalisation Details'!A677:J3021,9,0)</f>
        <v>R1026</v>
      </c>
      <c r="R678">
        <f>VLOOKUP($B678,'Hospitalisation Details'!A677:K3021,11,0)</f>
        <v>20</v>
      </c>
    </row>
    <row r="679" spans="1:18" x14ac:dyDescent="0.35">
      <c r="A679" t="s">
        <v>1693</v>
      </c>
      <c r="B679" t="s">
        <v>711</v>
      </c>
      <c r="C679" t="str">
        <f>VLOOKUP($A679,'Customer Names'!$A:$E,4,FALSE)</f>
        <v>Margaret E</v>
      </c>
      <c r="D679" t="str">
        <f>VLOOKUP($A679,'Medical Examinations'!$A:$J,2,FALSE)</f>
        <v>Obesity</v>
      </c>
      <c r="E679">
        <f>VLOOKUP($A679,'Medical Examinations'!$A:$J,4,FALSE)</f>
        <v>5.64</v>
      </c>
      <c r="F679" t="str">
        <f>VLOOKUP($A679,'Medical Examinations'!$A:$J,6,FALSE)</f>
        <v>No</v>
      </c>
      <c r="G679" t="str">
        <f>VLOOKUP($A679,'Medical Examinations'!$A:$J,7,FALSE)</f>
        <v>No</v>
      </c>
      <c r="H679" t="str">
        <f>VLOOKUP($A679,'Medical Examinations'!$A:$J,8,FALSE)</f>
        <v>No</v>
      </c>
      <c r="I679">
        <f>VLOOKUP($A679,'Medical Examinations'!$A:$J,9,FALSE)</f>
        <v>0</v>
      </c>
      <c r="J679" t="str">
        <f>VLOOKUP($A679,'Medical Examinations'!$A:$J,10,FALSE)</f>
        <v>No</v>
      </c>
      <c r="K679" t="str">
        <f>VLOOKUP($A679,'Medical Examinations'!$A:$J,5,FALSE)</f>
        <v>Normal</v>
      </c>
      <c r="L679">
        <f>VLOOKUP($A680,'Medical Examinations'!$A:$J,3,FALSE)</f>
        <v>35.5</v>
      </c>
      <c r="M679">
        <f>VLOOKUP($A679,'Hospitalisation Details'!$A:$K,6,FALSE)</f>
        <v>14630.52</v>
      </c>
      <c r="N679" s="11">
        <f>VLOOKUP($B679,'Hospitalisation Details'!A678:J3022,10,0)</f>
        <v>26203</v>
      </c>
      <c r="O679" t="str">
        <f>VLOOKUP($B679,'Hospitalisation Details'!A678:J3022,8,0)</f>
        <v>tier - 3</v>
      </c>
      <c r="P679" t="str">
        <f>VLOOKUP($B679,'Hospitalisation Details'!A678:J3022,7,0)</f>
        <v>tier - 2</v>
      </c>
      <c r="Q679" t="str">
        <f>VLOOKUP($B679,'Hospitalisation Details'!A678:J3022,9,0)</f>
        <v>R1012</v>
      </c>
      <c r="R679">
        <f>VLOOKUP($B679,'Hospitalisation Details'!A678:K3022,11,0)</f>
        <v>51</v>
      </c>
    </row>
    <row r="680" spans="1:18" x14ac:dyDescent="0.35">
      <c r="A680" t="s">
        <v>1692</v>
      </c>
      <c r="B680" t="s">
        <v>712</v>
      </c>
      <c r="C680" t="str">
        <f>VLOOKUP($A680,'Customer Names'!$A:$E,4,FALSE)</f>
        <v>Mario J.</v>
      </c>
      <c r="D680" t="str">
        <f>VLOOKUP($A680,'Medical Examinations'!$A:$J,2,FALSE)</f>
        <v>Obesity</v>
      </c>
      <c r="E680">
        <f>VLOOKUP($A680,'Medical Examinations'!$A:$J,4,FALSE)</f>
        <v>10.37</v>
      </c>
      <c r="F680" t="str">
        <f>VLOOKUP($A680,'Medical Examinations'!$A:$J,6,FALSE)</f>
        <v>No</v>
      </c>
      <c r="G680" t="str">
        <f>VLOOKUP($A680,'Medical Examinations'!$A:$J,7,FALSE)</f>
        <v>No</v>
      </c>
      <c r="H680" t="str">
        <f>VLOOKUP($A680,'Medical Examinations'!$A:$J,8,FALSE)</f>
        <v>No</v>
      </c>
      <c r="I680">
        <f>VLOOKUP($A680,'Medical Examinations'!$A:$J,9,FALSE)</f>
        <v>0</v>
      </c>
      <c r="J680" t="str">
        <f>VLOOKUP($A680,'Medical Examinations'!$A:$J,10,FALSE)</f>
        <v>No</v>
      </c>
      <c r="K680" t="str">
        <f>VLOOKUP($A680,'Medical Examinations'!$A:$J,5,FALSE)</f>
        <v>Diabetes</v>
      </c>
      <c r="L680">
        <f>VLOOKUP($A681,'Medical Examinations'!$A:$J,3,FALSE)</f>
        <v>36.979999999999997</v>
      </c>
      <c r="M680">
        <f>VLOOKUP($A680,'Hospitalisation Details'!$A:$K,6,FALSE)</f>
        <v>14612.33</v>
      </c>
      <c r="N680" s="11">
        <f>VLOOKUP($B680,'Hospitalisation Details'!A679:J3023,10,0)</f>
        <v>31985</v>
      </c>
      <c r="O680" t="str">
        <f>VLOOKUP($B680,'Hospitalisation Details'!A679:J3023,8,0)</f>
        <v>tier - 3</v>
      </c>
      <c r="P680" t="str">
        <f>VLOOKUP($B680,'Hospitalisation Details'!A679:J3023,7,0)</f>
        <v>tier - 2</v>
      </c>
      <c r="Q680" t="str">
        <f>VLOOKUP($B680,'Hospitalisation Details'!A679:J3023,9,0)</f>
        <v>R1013</v>
      </c>
      <c r="R680">
        <f>VLOOKUP($B680,'Hospitalisation Details'!A679:K3023,11,0)</f>
        <v>35</v>
      </c>
    </row>
    <row r="681" spans="1:18" x14ac:dyDescent="0.35">
      <c r="A681" t="s">
        <v>1691</v>
      </c>
      <c r="B681" t="s">
        <v>713</v>
      </c>
      <c r="C681" t="str">
        <f>VLOOKUP($A681,'Customer Names'!$A:$E,4,FALSE)</f>
        <v>Peter</v>
      </c>
      <c r="D681" t="str">
        <f>VLOOKUP($A681,'Medical Examinations'!$A:$J,2,FALSE)</f>
        <v>Obesity</v>
      </c>
      <c r="E681">
        <f>VLOOKUP($A681,'Medical Examinations'!$A:$J,4,FALSE)</f>
        <v>9.56</v>
      </c>
      <c r="F681" t="str">
        <f>VLOOKUP($A681,'Medical Examinations'!$A:$J,6,FALSE)</f>
        <v>yes</v>
      </c>
      <c r="G681" t="str">
        <f>VLOOKUP($A681,'Medical Examinations'!$A:$J,7,FALSE)</f>
        <v>No</v>
      </c>
      <c r="H681" t="str">
        <f>VLOOKUP($A681,'Medical Examinations'!$A:$J,8,FALSE)</f>
        <v>No</v>
      </c>
      <c r="I681">
        <f>VLOOKUP($A681,'Medical Examinations'!$A:$J,9,FALSE)</f>
        <v>0</v>
      </c>
      <c r="J681" t="str">
        <f>VLOOKUP($A681,'Medical Examinations'!$A:$J,10,FALSE)</f>
        <v>No</v>
      </c>
      <c r="K681" t="str">
        <f>VLOOKUP($A681,'Medical Examinations'!$A:$J,5,FALSE)</f>
        <v>Diabetes</v>
      </c>
      <c r="L681">
        <f>VLOOKUP($A682,'Medical Examinations'!$A:$J,3,FALSE)</f>
        <v>32.395000000000003</v>
      </c>
      <c r="M681">
        <f>VLOOKUP($A681,'Hospitalisation Details'!$A:$K,6,FALSE)</f>
        <v>14600.62</v>
      </c>
      <c r="N681" s="11">
        <f>VLOOKUP($B681,'Hospitalisation Details'!A680:J3024,10,0)</f>
        <v>34931</v>
      </c>
      <c r="O681" t="str">
        <f>VLOOKUP($B681,'Hospitalisation Details'!A680:J3024,8,0)</f>
        <v>tier - 2</v>
      </c>
      <c r="P681" t="str">
        <f>VLOOKUP($B681,'Hospitalisation Details'!A680:J3024,7,0)</f>
        <v>tier - 2</v>
      </c>
      <c r="Q681" t="str">
        <f>VLOOKUP($B681,'Hospitalisation Details'!A680:J3024,9,0)</f>
        <v>R1025</v>
      </c>
      <c r="R681">
        <f>VLOOKUP($B681,'Hospitalisation Details'!A680:K3024,11,0)</f>
        <v>27</v>
      </c>
    </row>
    <row r="682" spans="1:18" x14ac:dyDescent="0.35">
      <c r="A682" t="s">
        <v>1690</v>
      </c>
      <c r="B682" t="s">
        <v>714</v>
      </c>
      <c r="C682" t="str">
        <f>VLOOKUP($A682,'Customer Names'!$A:$E,4,FALSE)</f>
        <v>Carolina</v>
      </c>
      <c r="D682" t="str">
        <f>VLOOKUP($A682,'Medical Examinations'!$A:$J,2,FALSE)</f>
        <v>Obesity</v>
      </c>
      <c r="E682">
        <f>VLOOKUP($A682,'Medical Examinations'!$A:$J,4,FALSE)</f>
        <v>8.23</v>
      </c>
      <c r="F682" t="str">
        <f>VLOOKUP($A682,'Medical Examinations'!$A:$J,6,FALSE)</f>
        <v>yes</v>
      </c>
      <c r="G682" t="str">
        <f>VLOOKUP($A682,'Medical Examinations'!$A:$J,7,FALSE)</f>
        <v>No</v>
      </c>
      <c r="H682" t="str">
        <f>VLOOKUP($A682,'Medical Examinations'!$A:$J,8,FALSE)</f>
        <v>Yes</v>
      </c>
      <c r="I682">
        <f>VLOOKUP($A682,'Medical Examinations'!$A:$J,9,FALSE)</f>
        <v>1</v>
      </c>
      <c r="J682" t="str">
        <f>VLOOKUP($A682,'Medical Examinations'!$A:$J,10,FALSE)</f>
        <v>No</v>
      </c>
      <c r="K682" t="str">
        <f>VLOOKUP($A682,'Medical Examinations'!$A:$J,5,FALSE)</f>
        <v>Diabetes</v>
      </c>
      <c r="L682">
        <f>VLOOKUP($A683,'Medical Examinations'!$A:$J,3,FALSE)</f>
        <v>32.729999999999997</v>
      </c>
      <c r="M682">
        <f>VLOOKUP($A682,'Hospitalisation Details'!$A:$K,6,FALSE)</f>
        <v>14590.63</v>
      </c>
      <c r="N682" s="11">
        <f>VLOOKUP($B682,'Hospitalisation Details'!A681:J3025,10,0)</f>
        <v>32050</v>
      </c>
      <c r="O682" t="str">
        <f>VLOOKUP($B682,'Hospitalisation Details'!A681:J3025,8,0)</f>
        <v>tier - 2</v>
      </c>
      <c r="P682" t="str">
        <f>VLOOKUP($B682,'Hospitalisation Details'!A681:J3025,7,0)</f>
        <v>tier - 2</v>
      </c>
      <c r="Q682" t="str">
        <f>VLOOKUP($B682,'Hospitalisation Details'!A681:J3025,9,0)</f>
        <v>R1013</v>
      </c>
      <c r="R682">
        <f>VLOOKUP($B682,'Hospitalisation Details'!A681:K3025,11,0)</f>
        <v>35</v>
      </c>
    </row>
    <row r="683" spans="1:18" x14ac:dyDescent="0.35">
      <c r="A683" t="s">
        <v>1689</v>
      </c>
      <c r="B683" t="s">
        <v>715</v>
      </c>
      <c r="C683" t="str">
        <f>VLOOKUP($A683,'Customer Names'!$A:$E,4,FALSE)</f>
        <v>Jenny K.</v>
      </c>
      <c r="D683" t="str">
        <f>VLOOKUP($A683,'Medical Examinations'!$A:$J,2,FALSE)</f>
        <v>Obesity</v>
      </c>
      <c r="E683">
        <f>VLOOKUP($A683,'Medical Examinations'!$A:$J,4,FALSE)</f>
        <v>7.03</v>
      </c>
      <c r="F683" t="str">
        <f>VLOOKUP($A683,'Medical Examinations'!$A:$J,6,FALSE)</f>
        <v>No</v>
      </c>
      <c r="G683" t="str">
        <f>VLOOKUP($A683,'Medical Examinations'!$A:$J,7,FALSE)</f>
        <v>No</v>
      </c>
      <c r="H683" t="str">
        <f>VLOOKUP($A683,'Medical Examinations'!$A:$J,8,FALSE)</f>
        <v>No</v>
      </c>
      <c r="I683">
        <f>VLOOKUP($A683,'Medical Examinations'!$A:$J,9,FALSE)</f>
        <v>0</v>
      </c>
      <c r="J683" t="str">
        <f>VLOOKUP($A683,'Medical Examinations'!$A:$J,10,FALSE)</f>
        <v>No</v>
      </c>
      <c r="K683" t="str">
        <f>VLOOKUP($A683,'Medical Examinations'!$A:$J,5,FALSE)</f>
        <v>Diabetes</v>
      </c>
      <c r="L683">
        <f>VLOOKUP($A684,'Medical Examinations'!$A:$J,3,FALSE)</f>
        <v>20.52</v>
      </c>
      <c r="M683">
        <f>VLOOKUP($A683,'Hospitalisation Details'!$A:$K,6,FALSE)</f>
        <v>14574.64</v>
      </c>
      <c r="N683" s="11">
        <f>VLOOKUP($B683,'Hospitalisation Details'!A682:J3026,10,0)</f>
        <v>31216</v>
      </c>
      <c r="O683" t="str">
        <f>VLOOKUP($B683,'Hospitalisation Details'!A682:J3026,8,0)</f>
        <v>tier - 1</v>
      </c>
      <c r="P683" t="str">
        <f>VLOOKUP($B683,'Hospitalisation Details'!A682:J3026,7,0)</f>
        <v>tier - 2</v>
      </c>
      <c r="Q683" t="str">
        <f>VLOOKUP($B683,'Hospitalisation Details'!A682:J3026,9,0)</f>
        <v>R1013</v>
      </c>
      <c r="R683">
        <f>VLOOKUP($B683,'Hospitalisation Details'!A682:K3026,11,0)</f>
        <v>37</v>
      </c>
    </row>
    <row r="684" spans="1:18" x14ac:dyDescent="0.35">
      <c r="A684" t="s">
        <v>1688</v>
      </c>
      <c r="B684" t="s">
        <v>716</v>
      </c>
      <c r="C684" t="str">
        <f>VLOOKUP($A684,'Customer Names'!$A:$E,4,FALSE)</f>
        <v>Jessica</v>
      </c>
      <c r="D684" t="str">
        <f>VLOOKUP($A684,'Medical Examinations'!$A:$J,2,FALSE)</f>
        <v>Normal Weight</v>
      </c>
      <c r="E684">
        <f>VLOOKUP($A684,'Medical Examinations'!$A:$J,4,FALSE)</f>
        <v>5.45</v>
      </c>
      <c r="F684" t="str">
        <f>VLOOKUP($A684,'Medical Examinations'!$A:$J,6,FALSE)</f>
        <v>No</v>
      </c>
      <c r="G684" t="str">
        <f>VLOOKUP($A684,'Medical Examinations'!$A:$J,7,FALSE)</f>
        <v>No</v>
      </c>
      <c r="H684" t="str">
        <f>VLOOKUP($A684,'Medical Examinations'!$A:$J,8,FALSE)</f>
        <v>No</v>
      </c>
      <c r="I684">
        <f>VLOOKUP($A684,'Medical Examinations'!$A:$J,9,FALSE)</f>
        <v>1</v>
      </c>
      <c r="J684" t="str">
        <f>VLOOKUP($A684,'Medical Examinations'!$A:$J,10,FALSE)</f>
        <v>yes</v>
      </c>
      <c r="K684" t="str">
        <f>VLOOKUP($A684,'Medical Examinations'!$A:$J,5,FALSE)</f>
        <v>Normal</v>
      </c>
      <c r="L684">
        <f>VLOOKUP($A685,'Medical Examinations'!$A:$J,3,FALSE)</f>
        <v>51.72</v>
      </c>
      <c r="M684">
        <f>VLOOKUP($A684,'Hospitalisation Details'!$A:$K,6,FALSE)</f>
        <v>14571.89</v>
      </c>
      <c r="N684" s="11">
        <f>VLOOKUP($B684,'Hospitalisation Details'!A683:J3027,10,0)</f>
        <v>31008</v>
      </c>
      <c r="O684" t="str">
        <f>VLOOKUP($B684,'Hospitalisation Details'!A683:J3027,8,0)</f>
        <v>tier - 3</v>
      </c>
      <c r="P684" t="str">
        <f>VLOOKUP($B684,'Hospitalisation Details'!A683:J3027,7,0)</f>
        <v>tier - 2</v>
      </c>
      <c r="Q684" t="str">
        <f>VLOOKUP($B684,'Hospitalisation Details'!A683:J3027,9,0)</f>
        <v>R1012</v>
      </c>
      <c r="R684">
        <f>VLOOKUP($B684,'Hospitalisation Details'!A683:K3027,11,0)</f>
        <v>38</v>
      </c>
    </row>
    <row r="685" spans="1:18" x14ac:dyDescent="0.35">
      <c r="A685" t="s">
        <v>1687</v>
      </c>
      <c r="B685" t="s">
        <v>717</v>
      </c>
      <c r="C685" t="str">
        <f>VLOOKUP($A685,'Customer Names'!$A:$E,4,FALSE)</f>
        <v>Kimberly D</v>
      </c>
      <c r="D685" t="str">
        <f>VLOOKUP($A685,'Medical Examinations'!$A:$J,2,FALSE)</f>
        <v>Obesity</v>
      </c>
      <c r="E685">
        <f>VLOOKUP($A685,'Medical Examinations'!$A:$J,4,FALSE)</f>
        <v>5.76</v>
      </c>
      <c r="F685" t="str">
        <f>VLOOKUP($A685,'Medical Examinations'!$A:$J,6,FALSE)</f>
        <v>No</v>
      </c>
      <c r="G685" t="str">
        <f>VLOOKUP($A685,'Medical Examinations'!$A:$J,7,FALSE)</f>
        <v>No</v>
      </c>
      <c r="H685" t="str">
        <f>VLOOKUP($A685,'Medical Examinations'!$A:$J,8,FALSE)</f>
        <v>No</v>
      </c>
      <c r="I685">
        <f>VLOOKUP($A685,'Medical Examinations'!$A:$J,9,FALSE)</f>
        <v>0</v>
      </c>
      <c r="J685" t="str">
        <f>VLOOKUP($A685,'Medical Examinations'!$A:$J,10,FALSE)</f>
        <v>No</v>
      </c>
      <c r="K685" t="str">
        <f>VLOOKUP($A685,'Medical Examinations'!$A:$J,5,FALSE)</f>
        <v>Prediabetes</v>
      </c>
      <c r="L685">
        <f>VLOOKUP($A686,'Medical Examinations'!$A:$J,3,FALSE)</f>
        <v>50.2</v>
      </c>
      <c r="M685">
        <f>VLOOKUP($A685,'Hospitalisation Details'!$A:$K,6,FALSE)</f>
        <v>14547.26</v>
      </c>
      <c r="N685" s="11">
        <f>VLOOKUP($B685,'Hospitalisation Details'!A684:J3028,10,0)</f>
        <v>34261</v>
      </c>
      <c r="O685" t="str">
        <f>VLOOKUP($B685,'Hospitalisation Details'!A684:J3028,8,0)</f>
        <v>tier - 2</v>
      </c>
      <c r="P685" t="str">
        <f>VLOOKUP($B685,'Hospitalisation Details'!A684:J3028,7,0)</f>
        <v>tier - 2</v>
      </c>
      <c r="Q685" t="str">
        <f>VLOOKUP($B685,'Hospitalisation Details'!A684:J3028,9,0)</f>
        <v>R1021</v>
      </c>
      <c r="R685">
        <f>VLOOKUP($B685,'Hospitalisation Details'!A684:K3028,11,0)</f>
        <v>29</v>
      </c>
    </row>
    <row r="686" spans="1:18" x14ac:dyDescent="0.35">
      <c r="A686" t="s">
        <v>1686</v>
      </c>
      <c r="B686" t="s">
        <v>718</v>
      </c>
      <c r="C686" t="str">
        <f>VLOOKUP($A686,'Customer Names'!$A:$E,4,FALSE)</f>
        <v>Marc-Olivier</v>
      </c>
      <c r="D686" t="str">
        <f>VLOOKUP($A686,'Medical Examinations'!$A:$J,2,FALSE)</f>
        <v>Obesity</v>
      </c>
      <c r="E686">
        <f>VLOOKUP($A686,'Medical Examinations'!$A:$J,4,FALSE)</f>
        <v>5.4</v>
      </c>
      <c r="F686" t="str">
        <f>VLOOKUP($A686,'Medical Examinations'!$A:$J,6,FALSE)</f>
        <v>No</v>
      </c>
      <c r="G686" t="str">
        <f>VLOOKUP($A686,'Medical Examinations'!$A:$J,7,FALSE)</f>
        <v>No</v>
      </c>
      <c r="H686" t="str">
        <f>VLOOKUP($A686,'Medical Examinations'!$A:$J,8,FALSE)</f>
        <v>No</v>
      </c>
      <c r="I686">
        <f>VLOOKUP($A686,'Medical Examinations'!$A:$J,9,FALSE)</f>
        <v>0</v>
      </c>
      <c r="J686" t="str">
        <f>VLOOKUP($A686,'Medical Examinations'!$A:$J,10,FALSE)</f>
        <v>No</v>
      </c>
      <c r="K686" t="str">
        <f>VLOOKUP($A686,'Medical Examinations'!$A:$J,5,FALSE)</f>
        <v>Normal</v>
      </c>
      <c r="L686">
        <f>VLOOKUP($A687,'Medical Examinations'!$A:$J,3,FALSE)</f>
        <v>25.52</v>
      </c>
      <c r="M686">
        <f>VLOOKUP($A686,'Hospitalisation Details'!$A:$K,6,FALSE)</f>
        <v>14507.46</v>
      </c>
      <c r="N686" s="11">
        <f>VLOOKUP($B686,'Hospitalisation Details'!A685:J3029,10,0)</f>
        <v>30140</v>
      </c>
      <c r="O686" t="str">
        <f>VLOOKUP($B686,'Hospitalisation Details'!A685:J3029,8,0)</f>
        <v>tier - 1</v>
      </c>
      <c r="P686" t="str">
        <f>VLOOKUP($B686,'Hospitalisation Details'!A685:J3029,7,0)</f>
        <v>tier - 2</v>
      </c>
      <c r="Q686" t="str">
        <f>VLOOKUP($B686,'Hospitalisation Details'!A685:J3029,9,0)</f>
        <v>R1011</v>
      </c>
      <c r="R686">
        <f>VLOOKUP($B686,'Hospitalisation Details'!A685:K3029,11,0)</f>
        <v>40</v>
      </c>
    </row>
    <row r="687" spans="1:18" x14ac:dyDescent="0.35">
      <c r="A687" t="s">
        <v>1685</v>
      </c>
      <c r="B687" t="s">
        <v>719</v>
      </c>
      <c r="C687" t="str">
        <f>VLOOKUP($A687,'Customer Names'!$A:$E,4,FALSE)</f>
        <v>Russell J</v>
      </c>
      <c r="D687" t="str">
        <f>VLOOKUP($A687,'Medical Examinations'!$A:$J,2,FALSE)</f>
        <v>Overweight</v>
      </c>
      <c r="E687">
        <f>VLOOKUP($A687,'Medical Examinations'!$A:$J,4,FALSE)</f>
        <v>6.35</v>
      </c>
      <c r="F687" t="str">
        <f>VLOOKUP($A687,'Medical Examinations'!$A:$J,6,FALSE)</f>
        <v>No</v>
      </c>
      <c r="G687" t="str">
        <f>VLOOKUP($A687,'Medical Examinations'!$A:$J,7,FALSE)</f>
        <v>No</v>
      </c>
      <c r="H687" t="str">
        <f>VLOOKUP($A687,'Medical Examinations'!$A:$J,8,FALSE)</f>
        <v>Yes</v>
      </c>
      <c r="I687">
        <f>VLOOKUP($A687,'Medical Examinations'!$A:$J,9,FALSE)</f>
        <v>1</v>
      </c>
      <c r="J687" t="str">
        <f>VLOOKUP($A687,'Medical Examinations'!$A:$J,10,FALSE)</f>
        <v>No</v>
      </c>
      <c r="K687" t="str">
        <f>VLOOKUP($A687,'Medical Examinations'!$A:$J,5,FALSE)</f>
        <v>Prediabetes</v>
      </c>
      <c r="L687">
        <f>VLOOKUP($A688,'Medical Examinations'!$A:$J,3,FALSE)</f>
        <v>35.200000000000003</v>
      </c>
      <c r="M687">
        <f>VLOOKUP($A687,'Hospitalisation Details'!$A:$K,6,FALSE)</f>
        <v>14478.33</v>
      </c>
      <c r="N687" s="11">
        <f>VLOOKUP($B687,'Hospitalisation Details'!A686:J3030,10,0)</f>
        <v>30306</v>
      </c>
      <c r="O687" t="str">
        <f>VLOOKUP($B687,'Hospitalisation Details'!A686:J3030,8,0)</f>
        <v>tier - 1</v>
      </c>
      <c r="P687" t="str">
        <f>VLOOKUP($B687,'Hospitalisation Details'!A686:J3030,7,0)</f>
        <v>tier - 2</v>
      </c>
      <c r="Q687" t="str">
        <f>VLOOKUP($B687,'Hospitalisation Details'!A686:J3030,9,0)</f>
        <v>R1013</v>
      </c>
      <c r="R687">
        <f>VLOOKUP($B687,'Hospitalisation Details'!A686:K3030,11,0)</f>
        <v>40</v>
      </c>
    </row>
    <row r="688" spans="1:18" x14ac:dyDescent="0.35">
      <c r="A688" t="s">
        <v>1684</v>
      </c>
      <c r="B688" t="s">
        <v>720</v>
      </c>
      <c r="C688" t="str">
        <f>VLOOKUP($A688,'Customer Names'!$A:$E,4,FALSE)</f>
        <v>Karine</v>
      </c>
      <c r="D688" t="str">
        <f>VLOOKUP($A688,'Medical Examinations'!$A:$J,2,FALSE)</f>
        <v>Obesity</v>
      </c>
      <c r="E688">
        <f>VLOOKUP($A688,'Medical Examinations'!$A:$J,4,FALSE)</f>
        <v>6.26</v>
      </c>
      <c r="F688" t="str">
        <f>VLOOKUP($A688,'Medical Examinations'!$A:$J,6,FALSE)</f>
        <v>yes</v>
      </c>
      <c r="G688" t="str">
        <f>VLOOKUP($A688,'Medical Examinations'!$A:$J,7,FALSE)</f>
        <v>No</v>
      </c>
      <c r="H688" t="str">
        <f>VLOOKUP($A688,'Medical Examinations'!$A:$J,8,FALSE)</f>
        <v>No</v>
      </c>
      <c r="I688">
        <f>VLOOKUP($A688,'Medical Examinations'!$A:$J,9,FALSE)</f>
        <v>2</v>
      </c>
      <c r="J688" t="str">
        <f>VLOOKUP($A688,'Medical Examinations'!$A:$J,10,FALSE)</f>
        <v>No</v>
      </c>
      <c r="K688" t="str">
        <f>VLOOKUP($A688,'Medical Examinations'!$A:$J,5,FALSE)</f>
        <v>Prediabetes</v>
      </c>
      <c r="L688">
        <f>VLOOKUP($A689,'Medical Examinations'!$A:$J,3,FALSE)</f>
        <v>41.26</v>
      </c>
      <c r="M688">
        <f>VLOOKUP($A688,'Hospitalisation Details'!$A:$K,6,FALSE)</f>
        <v>14474.68</v>
      </c>
      <c r="N688" s="11">
        <f>VLOOKUP($B688,'Hospitalisation Details'!A687:J3031,10,0)</f>
        <v>31987</v>
      </c>
      <c r="O688" t="str">
        <f>VLOOKUP($B688,'Hospitalisation Details'!A687:J3031,8,0)</f>
        <v>tier - 3</v>
      </c>
      <c r="P688" t="str">
        <f>VLOOKUP($B688,'Hospitalisation Details'!A687:J3031,7,0)</f>
        <v>tier - 3</v>
      </c>
      <c r="Q688" t="str">
        <f>VLOOKUP($B688,'Hospitalisation Details'!A687:J3031,9,0)</f>
        <v>R1011</v>
      </c>
      <c r="R688">
        <f>VLOOKUP($B688,'Hospitalisation Details'!A687:K3031,11,0)</f>
        <v>35</v>
      </c>
    </row>
    <row r="689" spans="1:18" x14ac:dyDescent="0.35">
      <c r="A689" t="s">
        <v>1683</v>
      </c>
      <c r="B689" t="s">
        <v>721</v>
      </c>
      <c r="C689" t="str">
        <f>VLOOKUP($A689,'Customer Names'!$A:$E,4,FALSE)</f>
        <v>Cheryl</v>
      </c>
      <c r="D689" t="str">
        <f>VLOOKUP($A689,'Medical Examinations'!$A:$J,2,FALSE)</f>
        <v>Obesity</v>
      </c>
      <c r="E689">
        <f>VLOOKUP($A689,'Medical Examinations'!$A:$J,4,FALSE)</f>
        <v>5.97</v>
      </c>
      <c r="F689" t="str">
        <f>VLOOKUP($A689,'Medical Examinations'!$A:$J,6,FALSE)</f>
        <v>yes</v>
      </c>
      <c r="G689" t="str">
        <f>VLOOKUP($A689,'Medical Examinations'!$A:$J,7,FALSE)</f>
        <v>No</v>
      </c>
      <c r="H689" t="str">
        <f>VLOOKUP($A689,'Medical Examinations'!$A:$J,8,FALSE)</f>
        <v>No</v>
      </c>
      <c r="I689">
        <f>VLOOKUP($A689,'Medical Examinations'!$A:$J,9,FALSE)</f>
        <v>0</v>
      </c>
      <c r="J689" t="str">
        <f>VLOOKUP($A689,'Medical Examinations'!$A:$J,10,FALSE)</f>
        <v>No</v>
      </c>
      <c r="K689" t="str">
        <f>VLOOKUP($A689,'Medical Examinations'!$A:$J,5,FALSE)</f>
        <v>Prediabetes</v>
      </c>
      <c r="L689">
        <f>VLOOKUP($A690,'Medical Examinations'!$A:$J,3,FALSE)</f>
        <v>17.195</v>
      </c>
      <c r="M689">
        <f>VLOOKUP($A689,'Hospitalisation Details'!$A:$K,6,FALSE)</f>
        <v>14470.01</v>
      </c>
      <c r="N689" s="11">
        <f>VLOOKUP($B689,'Hospitalisation Details'!A688:J3032,10,0)</f>
        <v>34194</v>
      </c>
      <c r="O689" t="str">
        <f>VLOOKUP($B689,'Hospitalisation Details'!A688:J3032,8,0)</f>
        <v>tier - 2</v>
      </c>
      <c r="P689" t="str">
        <f>VLOOKUP($B689,'Hospitalisation Details'!A688:J3032,7,0)</f>
        <v>tier - 2</v>
      </c>
      <c r="Q689" t="str">
        <f>VLOOKUP($B689,'Hospitalisation Details'!A688:J3032,9,0)</f>
        <v>R1025</v>
      </c>
      <c r="R689">
        <f>VLOOKUP($B689,'Hospitalisation Details'!A688:K3032,11,0)</f>
        <v>29</v>
      </c>
    </row>
    <row r="690" spans="1:18" x14ac:dyDescent="0.35">
      <c r="A690" t="s">
        <v>1682</v>
      </c>
      <c r="B690" t="s">
        <v>722</v>
      </c>
      <c r="C690" t="str">
        <f>VLOOKUP($A690,'Customer Names'!$A:$E,4,FALSE)</f>
        <v>Allison M.</v>
      </c>
      <c r="D690" t="str">
        <f>VLOOKUP($A690,'Medical Examinations'!$A:$J,2,FALSE)</f>
        <v>Underweight</v>
      </c>
      <c r="E690">
        <f>VLOOKUP($A690,'Medical Examinations'!$A:$J,4,FALSE)</f>
        <v>5.29</v>
      </c>
      <c r="F690" t="str">
        <f>VLOOKUP($A690,'Medical Examinations'!$A:$J,6,FALSE)</f>
        <v>yes</v>
      </c>
      <c r="G690" t="str">
        <f>VLOOKUP($A690,'Medical Examinations'!$A:$J,7,FALSE)</f>
        <v>No</v>
      </c>
      <c r="H690" t="str">
        <f>VLOOKUP($A690,'Medical Examinations'!$A:$J,8,FALSE)</f>
        <v>No</v>
      </c>
      <c r="I690">
        <f>VLOOKUP($A690,'Medical Examinations'!$A:$J,9,FALSE)</f>
        <v>0</v>
      </c>
      <c r="J690" t="str">
        <f>VLOOKUP($A690,'Medical Examinations'!$A:$J,10,FALSE)</f>
        <v>yes</v>
      </c>
      <c r="K690" t="str">
        <f>VLOOKUP($A690,'Medical Examinations'!$A:$J,5,FALSE)</f>
        <v>Normal</v>
      </c>
      <c r="L690">
        <f>VLOOKUP($A691,'Medical Examinations'!$A:$J,3,FALSE)</f>
        <v>23.085000000000001</v>
      </c>
      <c r="M690">
        <f>VLOOKUP($A690,'Hospitalisation Details'!$A:$K,6,FALSE)</f>
        <v>14455.64</v>
      </c>
      <c r="N690" s="11">
        <f>VLOOKUP($B690,'Hospitalisation Details'!A689:J3033,10,0)</f>
        <v>34545</v>
      </c>
      <c r="O690" t="str">
        <f>VLOOKUP($B690,'Hospitalisation Details'!A689:J3033,8,0)</f>
        <v>tier - 1</v>
      </c>
      <c r="P690" t="str">
        <f>VLOOKUP($B690,'Hospitalisation Details'!A689:J3033,7,0)</f>
        <v>tier - 2</v>
      </c>
      <c r="Q690" t="str">
        <f>VLOOKUP($B690,'Hospitalisation Details'!A689:J3033,9,0)</f>
        <v>R1012</v>
      </c>
      <c r="R690">
        <f>VLOOKUP($B690,'Hospitalisation Details'!A689:K3033,11,0)</f>
        <v>28</v>
      </c>
    </row>
    <row r="691" spans="1:18" x14ac:dyDescent="0.35">
      <c r="A691" t="s">
        <v>1681</v>
      </c>
      <c r="B691" t="s">
        <v>723</v>
      </c>
      <c r="C691" t="str">
        <f>VLOOKUP($A691,'Customer Names'!$A:$E,4,FALSE)</f>
        <v>Adriana</v>
      </c>
      <c r="D691" t="str">
        <f>VLOOKUP($A691,'Medical Examinations'!$A:$J,2,FALSE)</f>
        <v>Normal Weight</v>
      </c>
      <c r="E691">
        <f>VLOOKUP($A691,'Medical Examinations'!$A:$J,4,FALSE)</f>
        <v>4.2699999999999996</v>
      </c>
      <c r="F691" t="str">
        <f>VLOOKUP($A691,'Medical Examinations'!$A:$J,6,FALSE)</f>
        <v>yes</v>
      </c>
      <c r="G691" t="str">
        <f>VLOOKUP($A691,'Medical Examinations'!$A:$J,7,FALSE)</f>
        <v>No</v>
      </c>
      <c r="H691" t="str">
        <f>VLOOKUP($A691,'Medical Examinations'!$A:$J,8,FALSE)</f>
        <v>No</v>
      </c>
      <c r="I691">
        <f>VLOOKUP($A691,'Medical Examinations'!$A:$J,9,FALSE)</f>
        <v>2</v>
      </c>
      <c r="J691" t="str">
        <f>VLOOKUP($A691,'Medical Examinations'!$A:$J,10,FALSE)</f>
        <v>No</v>
      </c>
      <c r="K691" t="str">
        <f>VLOOKUP($A691,'Medical Examinations'!$A:$J,5,FALSE)</f>
        <v>Normal</v>
      </c>
      <c r="L691">
        <f>VLOOKUP($A692,'Medical Examinations'!$A:$J,3,FALSE)</f>
        <v>21.66</v>
      </c>
      <c r="M691">
        <f>VLOOKUP($A691,'Hospitalisation Details'!$A:$K,6,FALSE)</f>
        <v>14451.84</v>
      </c>
      <c r="N691" s="11">
        <f>VLOOKUP($B691,'Hospitalisation Details'!A690:J3034,10,0)</f>
        <v>31972</v>
      </c>
      <c r="O691" t="str">
        <f>VLOOKUP($B691,'Hospitalisation Details'!A690:J3034,8,0)</f>
        <v>tier - 2</v>
      </c>
      <c r="P691" t="str">
        <f>VLOOKUP($B691,'Hospitalisation Details'!A690:J3034,7,0)</f>
        <v>tier - 3</v>
      </c>
      <c r="Q691" t="str">
        <f>VLOOKUP($B691,'Hospitalisation Details'!A690:J3034,9,0)</f>
        <v>R1013</v>
      </c>
      <c r="R691">
        <f>VLOOKUP($B691,'Hospitalisation Details'!A690:K3034,11,0)</f>
        <v>35</v>
      </c>
    </row>
    <row r="692" spans="1:18" x14ac:dyDescent="0.35">
      <c r="A692" t="s">
        <v>1680</v>
      </c>
      <c r="B692" t="s">
        <v>724</v>
      </c>
      <c r="C692" t="str">
        <f>VLOOKUP($A692,'Customer Names'!$A:$E,4,FALSE)</f>
        <v>Miranda J</v>
      </c>
      <c r="D692" t="str">
        <f>VLOOKUP($A692,'Medical Examinations'!$A:$J,2,FALSE)</f>
        <v>Normal Weight</v>
      </c>
      <c r="E692">
        <f>VLOOKUP($A692,'Medical Examinations'!$A:$J,4,FALSE)</f>
        <v>5.2</v>
      </c>
      <c r="F692" t="str">
        <f>VLOOKUP($A692,'Medical Examinations'!$A:$J,6,FALSE)</f>
        <v>yes</v>
      </c>
      <c r="G692" t="str">
        <f>VLOOKUP($A692,'Medical Examinations'!$A:$J,7,FALSE)</f>
        <v>No</v>
      </c>
      <c r="H692" t="str">
        <f>VLOOKUP($A692,'Medical Examinations'!$A:$J,8,FALSE)</f>
        <v>No</v>
      </c>
      <c r="I692">
        <f>VLOOKUP($A692,'Medical Examinations'!$A:$J,9,FALSE)</f>
        <v>2</v>
      </c>
      <c r="J692" t="str">
        <f>VLOOKUP($A692,'Medical Examinations'!$A:$J,10,FALSE)</f>
        <v>No</v>
      </c>
      <c r="K692" t="str">
        <f>VLOOKUP($A692,'Medical Examinations'!$A:$J,5,FALSE)</f>
        <v>Normal</v>
      </c>
      <c r="L692">
        <f>VLOOKUP($A693,'Medical Examinations'!$A:$J,3,FALSE)</f>
        <v>36.47</v>
      </c>
      <c r="M692">
        <f>VLOOKUP($A692,'Hospitalisation Details'!$A:$K,6,FALSE)</f>
        <v>14449.85</v>
      </c>
      <c r="N692" s="11">
        <f>VLOOKUP($B692,'Hospitalisation Details'!A691:J3035,10,0)</f>
        <v>37846</v>
      </c>
      <c r="O692" t="str">
        <f>VLOOKUP($B692,'Hospitalisation Details'!A691:J3035,8,0)</f>
        <v>tier - 2</v>
      </c>
      <c r="P692" t="str">
        <f>VLOOKUP($B692,'Hospitalisation Details'!A691:J3035,7,0)</f>
        <v>tier - 2</v>
      </c>
      <c r="Q692" t="str">
        <f>VLOOKUP($B692,'Hospitalisation Details'!A691:J3035,9,0)</f>
        <v>R1012</v>
      </c>
      <c r="R692">
        <f>VLOOKUP($B692,'Hospitalisation Details'!A691:K3035,11,0)</f>
        <v>19</v>
      </c>
    </row>
    <row r="693" spans="1:18" x14ac:dyDescent="0.35">
      <c r="A693" t="s">
        <v>1679</v>
      </c>
      <c r="B693" t="s">
        <v>725</v>
      </c>
      <c r="C693" t="str">
        <f>VLOOKUP($A693,'Customer Names'!$A:$E,4,FALSE)</f>
        <v>Roberto</v>
      </c>
      <c r="D693" t="str">
        <f>VLOOKUP($A693,'Medical Examinations'!$A:$J,2,FALSE)</f>
        <v>Obesity</v>
      </c>
      <c r="E693">
        <f>VLOOKUP($A693,'Medical Examinations'!$A:$J,4,FALSE)</f>
        <v>8.23</v>
      </c>
      <c r="F693" t="str">
        <f>VLOOKUP($A693,'Medical Examinations'!$A:$J,6,FALSE)</f>
        <v>yes</v>
      </c>
      <c r="G693" t="str">
        <f>VLOOKUP($A693,'Medical Examinations'!$A:$J,7,FALSE)</f>
        <v>No</v>
      </c>
      <c r="H693" t="str">
        <f>VLOOKUP($A693,'Medical Examinations'!$A:$J,8,FALSE)</f>
        <v>No</v>
      </c>
      <c r="I693">
        <f>VLOOKUP($A693,'Medical Examinations'!$A:$J,9,FALSE)</f>
        <v>0</v>
      </c>
      <c r="J693" t="str">
        <f>VLOOKUP($A693,'Medical Examinations'!$A:$J,10,FALSE)</f>
        <v>No</v>
      </c>
      <c r="K693" t="str">
        <f>VLOOKUP($A693,'Medical Examinations'!$A:$J,5,FALSE)</f>
        <v>Diabetes</v>
      </c>
      <c r="L693">
        <f>VLOOKUP($A694,'Medical Examinations'!$A:$J,3,FALSE)</f>
        <v>36.08</v>
      </c>
      <c r="M693">
        <f>VLOOKUP($A693,'Hospitalisation Details'!$A:$K,6,FALSE)</f>
        <v>14427.63</v>
      </c>
      <c r="N693" s="11">
        <f>VLOOKUP($B693,'Hospitalisation Details'!A692:J3036,10,0)</f>
        <v>38183</v>
      </c>
      <c r="O693" t="str">
        <f>VLOOKUP($B693,'Hospitalisation Details'!A692:J3036,8,0)</f>
        <v>tier - 1</v>
      </c>
      <c r="P693" t="str">
        <f>VLOOKUP($B693,'Hospitalisation Details'!A692:J3036,7,0)</f>
        <v>tier - 2</v>
      </c>
      <c r="Q693" t="str">
        <f>VLOOKUP($B693,'Hospitalisation Details'!A692:J3036,9,0)</f>
        <v>R1026</v>
      </c>
      <c r="R693">
        <f>VLOOKUP($B693,'Hospitalisation Details'!A692:K3036,11,0)</f>
        <v>18</v>
      </c>
    </row>
    <row r="694" spans="1:18" x14ac:dyDescent="0.35">
      <c r="A694" t="s">
        <v>1678</v>
      </c>
      <c r="B694" t="s">
        <v>726</v>
      </c>
      <c r="C694" t="str">
        <f>VLOOKUP($A694,'Customer Names'!$A:$E,4,FALSE)</f>
        <v>Rebecca B.</v>
      </c>
      <c r="D694" t="str">
        <f>VLOOKUP($A694,'Medical Examinations'!$A:$J,2,FALSE)</f>
        <v>Obesity</v>
      </c>
      <c r="E694">
        <f>VLOOKUP($A694,'Medical Examinations'!$A:$J,4,FALSE)</f>
        <v>10.33</v>
      </c>
      <c r="F694" t="str">
        <f>VLOOKUP($A694,'Medical Examinations'!$A:$J,6,FALSE)</f>
        <v>yes</v>
      </c>
      <c r="G694" t="str">
        <f>VLOOKUP($A694,'Medical Examinations'!$A:$J,7,FALSE)</f>
        <v>No</v>
      </c>
      <c r="H694" t="str">
        <f>VLOOKUP($A694,'Medical Examinations'!$A:$J,8,FALSE)</f>
        <v>No</v>
      </c>
      <c r="I694">
        <f>VLOOKUP($A694,'Medical Examinations'!$A:$J,9,FALSE)</f>
        <v>0</v>
      </c>
      <c r="J694" t="str">
        <f>VLOOKUP($A694,'Medical Examinations'!$A:$J,10,FALSE)</f>
        <v>No</v>
      </c>
      <c r="K694" t="str">
        <f>VLOOKUP($A694,'Medical Examinations'!$A:$J,5,FALSE)</f>
        <v>Diabetes</v>
      </c>
      <c r="L694">
        <f>VLOOKUP($A695,'Medical Examinations'!$A:$J,3,FALSE)</f>
        <v>23.18</v>
      </c>
      <c r="M694">
        <f>VLOOKUP($A694,'Hospitalisation Details'!$A:$K,6,FALSE)</f>
        <v>14426.66</v>
      </c>
      <c r="N694" s="11">
        <f>VLOOKUP($B694,'Hospitalisation Details'!A693:J3037,10,0)</f>
        <v>29438</v>
      </c>
      <c r="O694" t="str">
        <f>VLOOKUP($B694,'Hospitalisation Details'!A693:J3037,8,0)</f>
        <v>tier - 3</v>
      </c>
      <c r="P694" t="str">
        <f>VLOOKUP($B694,'Hospitalisation Details'!A693:J3037,7,0)</f>
        <v>tier - 2</v>
      </c>
      <c r="Q694" t="str">
        <f>VLOOKUP($B694,'Hospitalisation Details'!A693:J3037,9,0)</f>
        <v>R1013</v>
      </c>
      <c r="R694">
        <f>VLOOKUP($B694,'Hospitalisation Details'!A693:K3037,11,0)</f>
        <v>42</v>
      </c>
    </row>
    <row r="695" spans="1:18" x14ac:dyDescent="0.35">
      <c r="A695" t="s">
        <v>1677</v>
      </c>
      <c r="B695" t="s">
        <v>727</v>
      </c>
      <c r="C695" t="str">
        <f>VLOOKUP($A695,'Customer Names'!$A:$E,4,FALSE)</f>
        <v>Tiffany</v>
      </c>
      <c r="D695" t="str">
        <f>VLOOKUP($A695,'Medical Examinations'!$A:$J,2,FALSE)</f>
        <v>Normal Weight</v>
      </c>
      <c r="E695">
        <f>VLOOKUP($A695,'Medical Examinations'!$A:$J,4,FALSE)</f>
        <v>6.13</v>
      </c>
      <c r="F695" t="str">
        <f>VLOOKUP($A695,'Medical Examinations'!$A:$J,6,FALSE)</f>
        <v>No</v>
      </c>
      <c r="G695" t="str">
        <f>VLOOKUP($A695,'Medical Examinations'!$A:$J,7,FALSE)</f>
        <v>No</v>
      </c>
      <c r="H695" t="str">
        <f>VLOOKUP($A695,'Medical Examinations'!$A:$J,8,FALSE)</f>
        <v>No</v>
      </c>
      <c r="I695">
        <f>VLOOKUP($A695,'Medical Examinations'!$A:$J,9,FALSE)</f>
        <v>0</v>
      </c>
      <c r="J695" t="str">
        <f>VLOOKUP($A695,'Medical Examinations'!$A:$J,10,FALSE)</f>
        <v>No</v>
      </c>
      <c r="K695" t="str">
        <f>VLOOKUP($A695,'Medical Examinations'!$A:$J,5,FALSE)</f>
        <v>Prediabetes</v>
      </c>
      <c r="L695">
        <f>VLOOKUP($A696,'Medical Examinations'!$A:$J,3,FALSE)</f>
        <v>39.159999999999997</v>
      </c>
      <c r="M695">
        <f>VLOOKUP($A695,'Hospitalisation Details'!$A:$K,6,FALSE)</f>
        <v>14426.07</v>
      </c>
      <c r="N695" s="11">
        <f>VLOOKUP($B695,'Hospitalisation Details'!A694:J3038,10,0)</f>
        <v>29423</v>
      </c>
      <c r="O695" t="str">
        <f>VLOOKUP($B695,'Hospitalisation Details'!A694:J3038,8,0)</f>
        <v>tier - 3</v>
      </c>
      <c r="P695" t="str">
        <f>VLOOKUP($B695,'Hospitalisation Details'!A694:J3038,7,0)</f>
        <v>tier - 3</v>
      </c>
      <c r="Q695" t="str">
        <f>VLOOKUP($B695,'Hospitalisation Details'!A694:J3038,9,0)</f>
        <v>R1011</v>
      </c>
      <c r="R695">
        <f>VLOOKUP($B695,'Hospitalisation Details'!A694:K3038,11,0)</f>
        <v>42</v>
      </c>
    </row>
    <row r="696" spans="1:18" x14ac:dyDescent="0.35">
      <c r="A696" t="s">
        <v>1676</v>
      </c>
      <c r="B696" t="s">
        <v>728</v>
      </c>
      <c r="C696" t="str">
        <f>VLOOKUP($A696,'Customer Names'!$A:$E,4,FALSE)</f>
        <v>Alexander</v>
      </c>
      <c r="D696" t="str">
        <f>VLOOKUP($A696,'Medical Examinations'!$A:$J,2,FALSE)</f>
        <v>Obesity</v>
      </c>
      <c r="E696">
        <f>VLOOKUP($A696,'Medical Examinations'!$A:$J,4,FALSE)</f>
        <v>8.08</v>
      </c>
      <c r="F696" t="str">
        <f>VLOOKUP($A696,'Medical Examinations'!$A:$J,6,FALSE)</f>
        <v>No</v>
      </c>
      <c r="G696" t="str">
        <f>VLOOKUP($A696,'Medical Examinations'!$A:$J,7,FALSE)</f>
        <v>No</v>
      </c>
      <c r="H696" t="str">
        <f>VLOOKUP($A696,'Medical Examinations'!$A:$J,8,FALSE)</f>
        <v>No</v>
      </c>
      <c r="I696">
        <f>VLOOKUP($A696,'Medical Examinations'!$A:$J,9,FALSE)</f>
        <v>3</v>
      </c>
      <c r="J696" t="str">
        <f>VLOOKUP($A696,'Medical Examinations'!$A:$J,10,FALSE)</f>
        <v>No</v>
      </c>
      <c r="K696" t="str">
        <f>VLOOKUP($A696,'Medical Examinations'!$A:$J,5,FALSE)</f>
        <v>Diabetes</v>
      </c>
      <c r="L696">
        <f>VLOOKUP($A697,'Medical Examinations'!$A:$J,3,FALSE)</f>
        <v>38.19</v>
      </c>
      <c r="M696">
        <f>VLOOKUP($A696,'Hospitalisation Details'!$A:$K,6,FALSE)</f>
        <v>14418.28</v>
      </c>
      <c r="N696" s="11">
        <f>VLOOKUP($B696,'Hospitalisation Details'!A695:J3039,10,0)</f>
        <v>32711</v>
      </c>
      <c r="O696" t="str">
        <f>VLOOKUP($B696,'Hospitalisation Details'!A695:J3039,8,0)</f>
        <v>tier - 2</v>
      </c>
      <c r="P696" t="str">
        <f>VLOOKUP($B696,'Hospitalisation Details'!A695:J3039,7,0)</f>
        <v>tier - 2</v>
      </c>
      <c r="Q696" t="str">
        <f>VLOOKUP($B696,'Hospitalisation Details'!A695:J3039,9,0)</f>
        <v>R1011</v>
      </c>
      <c r="R696">
        <f>VLOOKUP($B696,'Hospitalisation Details'!A695:K3039,11,0)</f>
        <v>33</v>
      </c>
    </row>
    <row r="697" spans="1:18" x14ac:dyDescent="0.35">
      <c r="A697" t="s">
        <v>1675</v>
      </c>
      <c r="B697" t="s">
        <v>729</v>
      </c>
      <c r="C697" t="str">
        <f>VLOOKUP($A697,'Customer Names'!$A:$E,4,FALSE)</f>
        <v>Rich M</v>
      </c>
      <c r="D697" t="str">
        <f>VLOOKUP($A697,'Medical Examinations'!$A:$J,2,FALSE)</f>
        <v>Obesity</v>
      </c>
      <c r="E697">
        <f>VLOOKUP($A697,'Medical Examinations'!$A:$J,4,FALSE)</f>
        <v>10.49</v>
      </c>
      <c r="F697" t="str">
        <f>VLOOKUP($A697,'Medical Examinations'!$A:$J,6,FALSE)</f>
        <v>No</v>
      </c>
      <c r="G697" t="str">
        <f>VLOOKUP($A697,'Medical Examinations'!$A:$J,7,FALSE)</f>
        <v>No</v>
      </c>
      <c r="H697" t="str">
        <f>VLOOKUP($A697,'Medical Examinations'!$A:$J,8,FALSE)</f>
        <v>No</v>
      </c>
      <c r="I697">
        <f>VLOOKUP($A697,'Medical Examinations'!$A:$J,9,FALSE)</f>
        <v>3</v>
      </c>
      <c r="J697" t="str">
        <f>VLOOKUP($A697,'Medical Examinations'!$A:$J,10,FALSE)</f>
        <v>No</v>
      </c>
      <c r="K697" t="str">
        <f>VLOOKUP($A697,'Medical Examinations'!$A:$J,5,FALSE)</f>
        <v>Diabetes</v>
      </c>
      <c r="L697">
        <f>VLOOKUP($A698,'Medical Examinations'!$A:$J,3,FALSE)</f>
        <v>26.41</v>
      </c>
      <c r="M697">
        <f>VLOOKUP($A697,'Hospitalisation Details'!$A:$K,6,FALSE)</f>
        <v>14410.93</v>
      </c>
      <c r="N697" s="11">
        <f>VLOOKUP($B697,'Hospitalisation Details'!A696:J3040,10,0)</f>
        <v>30944</v>
      </c>
      <c r="O697" t="str">
        <f>VLOOKUP($B697,'Hospitalisation Details'!A696:J3040,8,0)</f>
        <v>tier - 3</v>
      </c>
      <c r="P697" t="str">
        <f>VLOOKUP($B697,'Hospitalisation Details'!A696:J3040,7,0)</f>
        <v>tier - 2</v>
      </c>
      <c r="Q697" t="str">
        <f>VLOOKUP($B697,'Hospitalisation Details'!A696:J3040,9,0)</f>
        <v>R1013</v>
      </c>
      <c r="R697">
        <f>VLOOKUP($B697,'Hospitalisation Details'!A696:K3040,11,0)</f>
        <v>38</v>
      </c>
    </row>
    <row r="698" spans="1:18" x14ac:dyDescent="0.35">
      <c r="A698" t="s">
        <v>1674</v>
      </c>
      <c r="B698" t="s">
        <v>730</v>
      </c>
      <c r="C698" t="str">
        <f>VLOOKUP($A698,'Customer Names'!$A:$E,4,FALSE)</f>
        <v>Aaron C</v>
      </c>
      <c r="D698" t="str">
        <f>VLOOKUP($A698,'Medical Examinations'!$A:$J,2,FALSE)</f>
        <v>Overweight</v>
      </c>
      <c r="E698">
        <f>VLOOKUP($A698,'Medical Examinations'!$A:$J,4,FALSE)</f>
        <v>8.11</v>
      </c>
      <c r="F698" t="str">
        <f>VLOOKUP($A698,'Medical Examinations'!$A:$J,6,FALSE)</f>
        <v>No</v>
      </c>
      <c r="G698" t="str">
        <f>VLOOKUP($A698,'Medical Examinations'!$A:$J,7,FALSE)</f>
        <v>No</v>
      </c>
      <c r="H698" t="str">
        <f>VLOOKUP($A698,'Medical Examinations'!$A:$J,8,FALSE)</f>
        <v>No</v>
      </c>
      <c r="I698">
        <f>VLOOKUP($A698,'Medical Examinations'!$A:$J,9,FALSE)</f>
        <v>3</v>
      </c>
      <c r="J698" t="str">
        <f>VLOOKUP($A698,'Medical Examinations'!$A:$J,10,FALSE)</f>
        <v>No</v>
      </c>
      <c r="K698" t="str">
        <f>VLOOKUP($A698,'Medical Examinations'!$A:$J,5,FALSE)</f>
        <v>Diabetes</v>
      </c>
      <c r="L698">
        <f>VLOOKUP($A699,'Medical Examinations'!$A:$J,3,FALSE)</f>
        <v>28.785</v>
      </c>
      <c r="M698">
        <f>VLOOKUP($A698,'Hospitalisation Details'!$A:$K,6,FALSE)</f>
        <v>14394.56</v>
      </c>
      <c r="N698" s="11">
        <f>VLOOKUP($B698,'Hospitalisation Details'!A697:J3041,10,0)</f>
        <v>30997</v>
      </c>
      <c r="O698" t="str">
        <f>VLOOKUP($B698,'Hospitalisation Details'!A697:J3041,8,0)</f>
        <v>tier - 2</v>
      </c>
      <c r="P698" t="str">
        <f>VLOOKUP($B698,'Hospitalisation Details'!A697:J3041,7,0)</f>
        <v>tier - 2</v>
      </c>
      <c r="Q698" t="str">
        <f>VLOOKUP($B698,'Hospitalisation Details'!A697:J3041,9,0)</f>
        <v>R1013</v>
      </c>
      <c r="R698">
        <f>VLOOKUP($B698,'Hospitalisation Details'!A697:K3041,11,0)</f>
        <v>38</v>
      </c>
    </row>
    <row r="699" spans="1:18" x14ac:dyDescent="0.35">
      <c r="A699" t="s">
        <v>1673</v>
      </c>
      <c r="B699" t="s">
        <v>731</v>
      </c>
      <c r="C699" t="str">
        <f>VLOOKUP($A699,'Customer Names'!$A:$E,4,FALSE)</f>
        <v>Kate</v>
      </c>
      <c r="D699" t="str">
        <f>VLOOKUP($A699,'Medical Examinations'!$A:$J,2,FALSE)</f>
        <v>Overweight</v>
      </c>
      <c r="E699">
        <f>VLOOKUP($A699,'Medical Examinations'!$A:$J,4,FALSE)</f>
        <v>6.6</v>
      </c>
      <c r="F699" t="str">
        <f>VLOOKUP($A699,'Medical Examinations'!$A:$J,6,FALSE)</f>
        <v>No</v>
      </c>
      <c r="G699" t="str">
        <f>VLOOKUP($A699,'Medical Examinations'!$A:$J,7,FALSE)</f>
        <v>No</v>
      </c>
      <c r="H699" t="str">
        <f>VLOOKUP($A699,'Medical Examinations'!$A:$J,8,FALSE)</f>
        <v>No</v>
      </c>
      <c r="I699">
        <f>VLOOKUP($A699,'Medical Examinations'!$A:$J,9,FALSE)</f>
        <v>0</v>
      </c>
      <c r="J699" t="str">
        <f>VLOOKUP($A699,'Medical Examinations'!$A:$J,10,FALSE)</f>
        <v>No</v>
      </c>
      <c r="K699" t="str">
        <f>VLOOKUP($A699,'Medical Examinations'!$A:$J,5,FALSE)</f>
        <v>Diabetes</v>
      </c>
      <c r="L699">
        <f>VLOOKUP($A700,'Medical Examinations'!$A:$J,3,FALSE)</f>
        <v>26.695</v>
      </c>
      <c r="M699">
        <f>VLOOKUP($A699,'Hospitalisation Details'!$A:$K,6,FALSE)</f>
        <v>14394.4</v>
      </c>
      <c r="N699" s="11">
        <f>VLOOKUP($B699,'Hospitalisation Details'!A698:J3042,10,0)</f>
        <v>25744</v>
      </c>
      <c r="O699" t="str">
        <f>VLOOKUP($B699,'Hospitalisation Details'!A698:J3042,8,0)</f>
        <v>tier - 3</v>
      </c>
      <c r="P699" t="str">
        <f>VLOOKUP($B699,'Hospitalisation Details'!A698:J3042,7,0)</f>
        <v>tier - 2</v>
      </c>
      <c r="Q699" t="str">
        <f>VLOOKUP($B699,'Hospitalisation Details'!A698:J3042,9,0)</f>
        <v>R1013</v>
      </c>
      <c r="R699">
        <f>VLOOKUP($B699,'Hospitalisation Details'!A698:K3042,11,0)</f>
        <v>52</v>
      </c>
    </row>
    <row r="700" spans="1:18" x14ac:dyDescent="0.35">
      <c r="A700" t="s">
        <v>1672</v>
      </c>
      <c r="B700" t="s">
        <v>732</v>
      </c>
      <c r="C700" t="str">
        <f>VLOOKUP($A700,'Customer Names'!$A:$E,4,FALSE)</f>
        <v>Maria M</v>
      </c>
      <c r="D700" t="str">
        <f>VLOOKUP($A700,'Medical Examinations'!$A:$J,2,FALSE)</f>
        <v>Overweight</v>
      </c>
      <c r="E700">
        <f>VLOOKUP($A700,'Medical Examinations'!$A:$J,4,FALSE)</f>
        <v>10.14</v>
      </c>
      <c r="F700" t="str">
        <f>VLOOKUP($A700,'Medical Examinations'!$A:$J,6,FALSE)</f>
        <v>yes</v>
      </c>
      <c r="G700" t="str">
        <f>VLOOKUP($A700,'Medical Examinations'!$A:$J,7,FALSE)</f>
        <v>No</v>
      </c>
      <c r="H700" t="str">
        <f>VLOOKUP($A700,'Medical Examinations'!$A:$J,8,FALSE)</f>
        <v>Yes</v>
      </c>
      <c r="I700">
        <f>VLOOKUP($A700,'Medical Examinations'!$A:$J,9,FALSE)</f>
        <v>1</v>
      </c>
      <c r="J700" t="str">
        <f>VLOOKUP($A700,'Medical Examinations'!$A:$J,10,FALSE)</f>
        <v>No</v>
      </c>
      <c r="K700" t="str">
        <f>VLOOKUP($A700,'Medical Examinations'!$A:$J,5,FALSE)</f>
        <v>Diabetes</v>
      </c>
      <c r="L700">
        <f>VLOOKUP($A701,'Medical Examinations'!$A:$J,3,FALSE)</f>
        <v>32.799999999999997</v>
      </c>
      <c r="M700">
        <f>VLOOKUP($A700,'Hospitalisation Details'!$A:$K,6,FALSE)</f>
        <v>14382.71</v>
      </c>
      <c r="N700" s="11">
        <f>VLOOKUP($B700,'Hospitalisation Details'!A699:J3043,10,0)</f>
        <v>29504</v>
      </c>
      <c r="O700" t="str">
        <f>VLOOKUP($B700,'Hospitalisation Details'!A699:J3043,8,0)</f>
        <v>tier - 2</v>
      </c>
      <c r="P700" t="str">
        <f>VLOOKUP($B700,'Hospitalisation Details'!A699:J3043,7,0)</f>
        <v>tier - 2</v>
      </c>
      <c r="Q700" t="str">
        <f>VLOOKUP($B700,'Hospitalisation Details'!A699:J3043,9,0)</f>
        <v>R1011</v>
      </c>
      <c r="R700">
        <f>VLOOKUP($B700,'Hospitalisation Details'!A699:K3043,11,0)</f>
        <v>42</v>
      </c>
    </row>
    <row r="701" spans="1:18" x14ac:dyDescent="0.35">
      <c r="A701" t="s">
        <v>1671</v>
      </c>
      <c r="B701" t="s">
        <v>733</v>
      </c>
      <c r="C701" t="str">
        <f>VLOOKUP($A701,'Customer Names'!$A:$E,4,FALSE)</f>
        <v>Daven W</v>
      </c>
      <c r="D701" t="str">
        <f>VLOOKUP($A701,'Medical Examinations'!$A:$J,2,FALSE)</f>
        <v>Obesity</v>
      </c>
      <c r="E701">
        <f>VLOOKUP($A701,'Medical Examinations'!$A:$J,4,FALSE)</f>
        <v>6.06</v>
      </c>
      <c r="F701" t="str">
        <f>VLOOKUP($A701,'Medical Examinations'!$A:$J,6,FALSE)</f>
        <v>yes</v>
      </c>
      <c r="G701" t="str">
        <f>VLOOKUP($A701,'Medical Examinations'!$A:$J,7,FALSE)</f>
        <v>No</v>
      </c>
      <c r="H701" t="str">
        <f>VLOOKUP($A701,'Medical Examinations'!$A:$J,8,FALSE)</f>
        <v>No</v>
      </c>
      <c r="I701">
        <f>VLOOKUP($A701,'Medical Examinations'!$A:$J,9,FALSE)</f>
        <v>1</v>
      </c>
      <c r="J701" t="str">
        <f>VLOOKUP($A701,'Medical Examinations'!$A:$J,10,FALSE)</f>
        <v>No</v>
      </c>
      <c r="K701" t="str">
        <f>VLOOKUP($A701,'Medical Examinations'!$A:$J,5,FALSE)</f>
        <v>Prediabetes</v>
      </c>
      <c r="L701">
        <f>VLOOKUP($A702,'Medical Examinations'!$A:$J,3,FALSE)</f>
        <v>35.869999999999997</v>
      </c>
      <c r="M701">
        <f>VLOOKUP($A701,'Hospitalisation Details'!$A:$K,6,FALSE)</f>
        <v>14358.36</v>
      </c>
      <c r="N701" s="11">
        <f>VLOOKUP($B701,'Hospitalisation Details'!A700:J3044,10,0)</f>
        <v>27313</v>
      </c>
      <c r="O701" t="str">
        <f>VLOOKUP($B701,'Hospitalisation Details'!A700:J3044,8,0)</f>
        <v>tier - 3</v>
      </c>
      <c r="P701" t="str">
        <f>VLOOKUP($B701,'Hospitalisation Details'!A700:J3044,7,0)</f>
        <v>tier - 2</v>
      </c>
      <c r="Q701" t="str">
        <f>VLOOKUP($B701,'Hospitalisation Details'!A700:J3044,9,0)</f>
        <v>R1013</v>
      </c>
      <c r="R701">
        <f>VLOOKUP($B701,'Hospitalisation Details'!A700:K3044,11,0)</f>
        <v>48</v>
      </c>
    </row>
    <row r="702" spans="1:18" x14ac:dyDescent="0.35">
      <c r="A702" t="s">
        <v>1670</v>
      </c>
      <c r="B702" t="s">
        <v>734</v>
      </c>
      <c r="C702" t="str">
        <f>VLOOKUP($A702,'Customer Names'!$A:$E,4,FALSE)</f>
        <v>Brianne</v>
      </c>
      <c r="D702" t="str">
        <f>VLOOKUP($A702,'Medical Examinations'!$A:$J,2,FALSE)</f>
        <v>Obesity</v>
      </c>
      <c r="E702">
        <f>VLOOKUP($A702,'Medical Examinations'!$A:$J,4,FALSE)</f>
        <v>9.91</v>
      </c>
      <c r="F702" t="str">
        <f>VLOOKUP($A702,'Medical Examinations'!$A:$J,6,FALSE)</f>
        <v>yes</v>
      </c>
      <c r="G702" t="str">
        <f>VLOOKUP($A702,'Medical Examinations'!$A:$J,7,FALSE)</f>
        <v>No</v>
      </c>
      <c r="H702" t="str">
        <f>VLOOKUP($A702,'Medical Examinations'!$A:$J,8,FALSE)</f>
        <v>No</v>
      </c>
      <c r="I702">
        <f>VLOOKUP($A702,'Medical Examinations'!$A:$J,9,FALSE)</f>
        <v>0</v>
      </c>
      <c r="J702" t="str">
        <f>VLOOKUP($A702,'Medical Examinations'!$A:$J,10,FALSE)</f>
        <v>No</v>
      </c>
      <c r="K702" t="str">
        <f>VLOOKUP($A702,'Medical Examinations'!$A:$J,5,FALSE)</f>
        <v>Diabetes</v>
      </c>
      <c r="L702">
        <f>VLOOKUP($A703,'Medical Examinations'!$A:$J,3,FALSE)</f>
        <v>21.66</v>
      </c>
      <c r="M702">
        <f>VLOOKUP($A702,'Hospitalisation Details'!$A:$K,6,FALSE)</f>
        <v>14355.43</v>
      </c>
      <c r="N702" s="11">
        <f>VLOOKUP($B702,'Hospitalisation Details'!A701:J3045,10,0)</f>
        <v>32304</v>
      </c>
      <c r="O702" t="str">
        <f>VLOOKUP($B702,'Hospitalisation Details'!A701:J3045,8,0)</f>
        <v>tier - 1</v>
      </c>
      <c r="P702" t="str">
        <f>VLOOKUP($B702,'Hospitalisation Details'!A701:J3045,7,0)</f>
        <v>tier - 2</v>
      </c>
      <c r="Q702" t="str">
        <f>VLOOKUP($B702,'Hospitalisation Details'!A701:J3045,9,0)</f>
        <v>R1012</v>
      </c>
      <c r="R702">
        <f>VLOOKUP($B702,'Hospitalisation Details'!A701:K3045,11,0)</f>
        <v>34</v>
      </c>
    </row>
    <row r="703" spans="1:18" x14ac:dyDescent="0.35">
      <c r="A703" t="s">
        <v>1669</v>
      </c>
      <c r="B703" t="s">
        <v>735</v>
      </c>
      <c r="C703" t="str">
        <f>VLOOKUP($A703,'Customer Names'!$A:$E,4,FALSE)</f>
        <v>Hiroki</v>
      </c>
      <c r="D703" t="str">
        <f>VLOOKUP($A703,'Medical Examinations'!$A:$J,2,FALSE)</f>
        <v>Normal Weight</v>
      </c>
      <c r="E703">
        <f>VLOOKUP($A703,'Medical Examinations'!$A:$J,4,FALSE)</f>
        <v>4.1399999999999997</v>
      </c>
      <c r="F703" t="str">
        <f>VLOOKUP($A703,'Medical Examinations'!$A:$J,6,FALSE)</f>
        <v>yes</v>
      </c>
      <c r="G703" t="str">
        <f>VLOOKUP($A703,'Medical Examinations'!$A:$J,7,FALSE)</f>
        <v>No</v>
      </c>
      <c r="H703" t="str">
        <f>VLOOKUP($A703,'Medical Examinations'!$A:$J,8,FALSE)</f>
        <v>No</v>
      </c>
      <c r="I703">
        <f>VLOOKUP($A703,'Medical Examinations'!$A:$J,9,FALSE)</f>
        <v>2</v>
      </c>
      <c r="J703" t="str">
        <f>VLOOKUP($A703,'Medical Examinations'!$A:$J,10,FALSE)</f>
        <v>No</v>
      </c>
      <c r="K703" t="str">
        <f>VLOOKUP($A703,'Medical Examinations'!$A:$J,5,FALSE)</f>
        <v>Normal</v>
      </c>
      <c r="L703">
        <f>VLOOKUP($A704,'Medical Examinations'!$A:$J,3,FALSE)</f>
        <v>37.72</v>
      </c>
      <c r="M703">
        <f>VLOOKUP($A703,'Hospitalisation Details'!$A:$K,6,FALSE)</f>
        <v>14349.85</v>
      </c>
      <c r="N703" s="11">
        <f>VLOOKUP($B703,'Hospitalisation Details'!A702:J3046,10,0)</f>
        <v>27258</v>
      </c>
      <c r="O703" t="str">
        <f>VLOOKUP($B703,'Hospitalisation Details'!A702:J3046,8,0)</f>
        <v>tier - 2</v>
      </c>
      <c r="P703" t="str">
        <f>VLOOKUP($B703,'Hospitalisation Details'!A702:J3046,7,0)</f>
        <v>tier - 2</v>
      </c>
      <c r="Q703" t="str">
        <f>VLOOKUP($B703,'Hospitalisation Details'!A702:J3046,9,0)</f>
        <v>R1013</v>
      </c>
      <c r="R703">
        <f>VLOOKUP($B703,'Hospitalisation Details'!A702:K3046,11,0)</f>
        <v>48</v>
      </c>
    </row>
    <row r="704" spans="1:18" x14ac:dyDescent="0.35">
      <c r="A704" t="s">
        <v>1668</v>
      </c>
      <c r="B704" t="s">
        <v>736</v>
      </c>
      <c r="C704" t="str">
        <f>VLOOKUP($A704,'Customer Names'!$A:$E,4,FALSE)</f>
        <v>Anders</v>
      </c>
      <c r="D704" t="str">
        <f>VLOOKUP($A704,'Medical Examinations'!$A:$J,2,FALSE)</f>
        <v>Obesity</v>
      </c>
      <c r="E704">
        <f>VLOOKUP($A704,'Medical Examinations'!$A:$J,4,FALSE)</f>
        <v>4.38</v>
      </c>
      <c r="F704" t="str">
        <f>VLOOKUP($A704,'Medical Examinations'!$A:$J,6,FALSE)</f>
        <v>yes</v>
      </c>
      <c r="G704" t="str">
        <f>VLOOKUP($A704,'Medical Examinations'!$A:$J,7,FALSE)</f>
        <v>No</v>
      </c>
      <c r="H704" t="str">
        <f>VLOOKUP($A704,'Medical Examinations'!$A:$J,8,FALSE)</f>
        <v>Yes</v>
      </c>
      <c r="I704">
        <f>VLOOKUP($A704,'Medical Examinations'!$A:$J,9,FALSE)</f>
        <v>1</v>
      </c>
      <c r="J704" t="str">
        <f>VLOOKUP($A704,'Medical Examinations'!$A:$J,10,FALSE)</f>
        <v>No</v>
      </c>
      <c r="K704" t="str">
        <f>VLOOKUP($A704,'Medical Examinations'!$A:$J,5,FALSE)</f>
        <v>Normal</v>
      </c>
      <c r="L704">
        <f>VLOOKUP($A705,'Medical Examinations'!$A:$J,3,FALSE)</f>
        <v>39.700000000000003</v>
      </c>
      <c r="M704">
        <f>VLOOKUP($A704,'Hospitalisation Details'!$A:$K,6,FALSE)</f>
        <v>14337.91</v>
      </c>
      <c r="N704" s="11">
        <f>VLOOKUP($B704,'Hospitalisation Details'!A703:J3047,10,0)</f>
        <v>29441</v>
      </c>
      <c r="O704" t="str">
        <f>VLOOKUP($B704,'Hospitalisation Details'!A703:J3047,8,0)</f>
        <v>tier - 3</v>
      </c>
      <c r="P704" t="str">
        <f>VLOOKUP($B704,'Hospitalisation Details'!A703:J3047,7,0)</f>
        <v>tier - 2</v>
      </c>
      <c r="Q704" t="str">
        <f>VLOOKUP($B704,'Hospitalisation Details'!A703:J3047,9,0)</f>
        <v>R1013</v>
      </c>
      <c r="R704">
        <f>VLOOKUP($B704,'Hospitalisation Details'!A703:K3047,11,0)</f>
        <v>42</v>
      </c>
    </row>
    <row r="705" spans="1:18" x14ac:dyDescent="0.35">
      <c r="A705" t="s">
        <v>1667</v>
      </c>
      <c r="B705" t="s">
        <v>737</v>
      </c>
      <c r="C705" t="str">
        <f>VLOOKUP($A705,'Customer Names'!$A:$E,4,FALSE)</f>
        <v>Danielle</v>
      </c>
      <c r="D705" t="str">
        <f>VLOOKUP($A705,'Medical Examinations'!$A:$J,2,FALSE)</f>
        <v>Obesity</v>
      </c>
      <c r="E705">
        <f>VLOOKUP($A705,'Medical Examinations'!$A:$J,4,FALSE)</f>
        <v>9.83</v>
      </c>
      <c r="F705" t="str">
        <f>VLOOKUP($A705,'Medical Examinations'!$A:$J,6,FALSE)</f>
        <v>No</v>
      </c>
      <c r="G705" t="str">
        <f>VLOOKUP($A705,'Medical Examinations'!$A:$J,7,FALSE)</f>
        <v>No</v>
      </c>
      <c r="H705" t="str">
        <f>VLOOKUP($A705,'Medical Examinations'!$A:$J,8,FALSE)</f>
        <v>No</v>
      </c>
      <c r="I705">
        <f>VLOOKUP($A705,'Medical Examinations'!$A:$J,9,FALSE)</f>
        <v>3</v>
      </c>
      <c r="J705" t="str">
        <f>VLOOKUP($A705,'Medical Examinations'!$A:$J,10,FALSE)</f>
        <v>No</v>
      </c>
      <c r="K705" t="str">
        <f>VLOOKUP($A705,'Medical Examinations'!$A:$J,5,FALSE)</f>
        <v>Diabetes</v>
      </c>
      <c r="L705">
        <f>VLOOKUP($A706,'Medical Examinations'!$A:$J,3,FALSE)</f>
        <v>35.97</v>
      </c>
      <c r="M705">
        <f>VLOOKUP($A705,'Hospitalisation Details'!$A:$K,6,FALSE)</f>
        <v>14319.03</v>
      </c>
      <c r="N705" s="11">
        <f>VLOOKUP($B705,'Hospitalisation Details'!A704:J3048,10,0)</f>
        <v>32736</v>
      </c>
      <c r="O705" t="str">
        <f>VLOOKUP($B705,'Hospitalisation Details'!A704:J3048,8,0)</f>
        <v>tier - 1</v>
      </c>
      <c r="P705" t="str">
        <f>VLOOKUP($B705,'Hospitalisation Details'!A704:J3048,7,0)</f>
        <v>tier - 2</v>
      </c>
      <c r="Q705" t="str">
        <f>VLOOKUP($B705,'Hospitalisation Details'!A704:J3048,9,0)</f>
        <v>R1011</v>
      </c>
      <c r="R705">
        <f>VLOOKUP($B705,'Hospitalisation Details'!A704:K3048,11,0)</f>
        <v>33</v>
      </c>
    </row>
    <row r="706" spans="1:18" x14ac:dyDescent="0.35">
      <c r="A706" t="s">
        <v>1666</v>
      </c>
      <c r="B706" t="s">
        <v>738</v>
      </c>
      <c r="C706" t="str">
        <f>VLOOKUP($A706,'Customer Names'!$A:$E,4,FALSE)</f>
        <v>Candace N</v>
      </c>
      <c r="D706" t="str">
        <f>VLOOKUP($A706,'Medical Examinations'!$A:$J,2,FALSE)</f>
        <v>Obesity</v>
      </c>
      <c r="E706">
        <f>VLOOKUP($A706,'Medical Examinations'!$A:$J,4,FALSE)</f>
        <v>11.08</v>
      </c>
      <c r="F706" t="str">
        <f>VLOOKUP($A706,'Medical Examinations'!$A:$J,6,FALSE)</f>
        <v>No</v>
      </c>
      <c r="G706" t="str">
        <f>VLOOKUP($A706,'Medical Examinations'!$A:$J,7,FALSE)</f>
        <v>No</v>
      </c>
      <c r="H706" t="str">
        <f>VLOOKUP($A706,'Medical Examinations'!$A:$J,8,FALSE)</f>
        <v>No</v>
      </c>
      <c r="I706">
        <f>VLOOKUP($A706,'Medical Examinations'!$A:$J,9,FALSE)</f>
        <v>3</v>
      </c>
      <c r="J706" t="str">
        <f>VLOOKUP($A706,'Medical Examinations'!$A:$J,10,FALSE)</f>
        <v>No</v>
      </c>
      <c r="K706" t="str">
        <f>VLOOKUP($A706,'Medical Examinations'!$A:$J,5,FALSE)</f>
        <v>Diabetes</v>
      </c>
      <c r="L706">
        <f>VLOOKUP($A707,'Medical Examinations'!$A:$J,3,FALSE)</f>
        <v>37.85</v>
      </c>
      <c r="M706">
        <f>VLOOKUP($A706,'Hospitalisation Details'!$A:$K,6,FALSE)</f>
        <v>14313.85</v>
      </c>
      <c r="N706" s="11">
        <f>VLOOKUP($B706,'Hospitalisation Details'!A705:J3049,10,0)</f>
        <v>35274</v>
      </c>
      <c r="O706" t="str">
        <f>VLOOKUP($B706,'Hospitalisation Details'!A705:J3049,8,0)</f>
        <v>tier - 3</v>
      </c>
      <c r="P706" t="str">
        <f>VLOOKUP($B706,'Hospitalisation Details'!A705:J3049,7,0)</f>
        <v>tier - 2</v>
      </c>
      <c r="Q706" t="str">
        <f>VLOOKUP($B706,'Hospitalisation Details'!A705:J3049,9,0)</f>
        <v>R1012</v>
      </c>
      <c r="R706">
        <f>VLOOKUP($B706,'Hospitalisation Details'!A705:K3049,11,0)</f>
        <v>26</v>
      </c>
    </row>
    <row r="707" spans="1:18" x14ac:dyDescent="0.35">
      <c r="A707" t="s">
        <v>1665</v>
      </c>
      <c r="B707" t="s">
        <v>739</v>
      </c>
      <c r="C707" t="str">
        <f>VLOOKUP($A707,'Customer Names'!$A:$E,4,FALSE)</f>
        <v>Bruno F.</v>
      </c>
      <c r="D707" t="str">
        <f>VLOOKUP($A707,'Medical Examinations'!$A:$J,2,FALSE)</f>
        <v>Obesity</v>
      </c>
      <c r="E707">
        <f>VLOOKUP($A707,'Medical Examinations'!$A:$J,4,FALSE)</f>
        <v>11.01</v>
      </c>
      <c r="F707" t="str">
        <f>VLOOKUP($A707,'Medical Examinations'!$A:$J,6,FALSE)</f>
        <v>No</v>
      </c>
      <c r="G707" t="str">
        <f>VLOOKUP($A707,'Medical Examinations'!$A:$J,7,FALSE)</f>
        <v>No</v>
      </c>
      <c r="H707" t="str">
        <f>VLOOKUP($A707,'Medical Examinations'!$A:$J,8,FALSE)</f>
        <v>No</v>
      </c>
      <c r="I707">
        <f>VLOOKUP($A707,'Medical Examinations'!$A:$J,9,FALSE)</f>
        <v>0</v>
      </c>
      <c r="J707" t="str">
        <f>VLOOKUP($A707,'Medical Examinations'!$A:$J,10,FALSE)</f>
        <v>No</v>
      </c>
      <c r="K707" t="str">
        <f>VLOOKUP($A707,'Medical Examinations'!$A:$J,5,FALSE)</f>
        <v>Diabetes</v>
      </c>
      <c r="L707">
        <f>VLOOKUP($A708,'Medical Examinations'!$A:$J,3,FALSE)</f>
        <v>21.66</v>
      </c>
      <c r="M707">
        <f>VLOOKUP($A707,'Hospitalisation Details'!$A:$K,6,FALSE)</f>
        <v>14285.9</v>
      </c>
      <c r="N707" s="11">
        <f>VLOOKUP($B707,'Hospitalisation Details'!A706:J3050,10,0)</f>
        <v>34646</v>
      </c>
      <c r="O707" t="str">
        <f>VLOOKUP($B707,'Hospitalisation Details'!A706:J3050,8,0)</f>
        <v>tier - 2</v>
      </c>
      <c r="P707" t="str">
        <f>VLOOKUP($B707,'Hospitalisation Details'!A706:J3050,7,0)</f>
        <v>tier - 2</v>
      </c>
      <c r="Q707" t="str">
        <f>VLOOKUP($B707,'Hospitalisation Details'!A706:J3050,9,0)</f>
        <v>R1011</v>
      </c>
      <c r="R707">
        <f>VLOOKUP($B707,'Hospitalisation Details'!A706:K3050,11,0)</f>
        <v>28</v>
      </c>
    </row>
    <row r="708" spans="1:18" x14ac:dyDescent="0.35">
      <c r="A708" t="s">
        <v>1664</v>
      </c>
      <c r="B708" t="s">
        <v>740</v>
      </c>
      <c r="C708" t="str">
        <f>VLOOKUP($A708,'Customer Names'!$A:$E,4,FALSE)</f>
        <v>Emily</v>
      </c>
      <c r="D708" t="str">
        <f>VLOOKUP($A708,'Medical Examinations'!$A:$J,2,FALSE)</f>
        <v>Normal Weight</v>
      </c>
      <c r="E708">
        <f>VLOOKUP($A708,'Medical Examinations'!$A:$J,4,FALSE)</f>
        <v>4.37</v>
      </c>
      <c r="F708" t="str">
        <f>VLOOKUP($A708,'Medical Examinations'!$A:$J,6,FALSE)</f>
        <v>No</v>
      </c>
      <c r="G708" t="str">
        <f>VLOOKUP($A708,'Medical Examinations'!$A:$J,7,FALSE)</f>
        <v>yes</v>
      </c>
      <c r="H708" t="str">
        <f>VLOOKUP($A708,'Medical Examinations'!$A:$J,8,FALSE)</f>
        <v>No</v>
      </c>
      <c r="I708">
        <f>VLOOKUP($A708,'Medical Examinations'!$A:$J,9,FALSE)</f>
        <v>1</v>
      </c>
      <c r="J708" t="str">
        <f>VLOOKUP($A708,'Medical Examinations'!$A:$J,10,FALSE)</f>
        <v>yes</v>
      </c>
      <c r="K708" t="str">
        <f>VLOOKUP($A708,'Medical Examinations'!$A:$J,5,FALSE)</f>
        <v>Normal</v>
      </c>
      <c r="L708">
        <f>VLOOKUP($A709,'Medical Examinations'!$A:$J,3,FALSE)</f>
        <v>39.369999999999997</v>
      </c>
      <c r="M708">
        <f>VLOOKUP($A708,'Hospitalisation Details'!$A:$K,6,FALSE)</f>
        <v>14283.46</v>
      </c>
      <c r="N708" s="11">
        <f>VLOOKUP($B708,'Hospitalisation Details'!A707:J3051,10,0)</f>
        <v>30946</v>
      </c>
      <c r="O708" t="str">
        <f>VLOOKUP($B708,'Hospitalisation Details'!A707:J3051,8,0)</f>
        <v>tier - 1</v>
      </c>
      <c r="P708" t="str">
        <f>VLOOKUP($B708,'Hospitalisation Details'!A707:J3051,7,0)</f>
        <v>tier - 3</v>
      </c>
      <c r="Q708" t="str">
        <f>VLOOKUP($B708,'Hospitalisation Details'!A707:J3051,9,0)</f>
        <v>R1016</v>
      </c>
      <c r="R708">
        <f>VLOOKUP($B708,'Hospitalisation Details'!A707:K3051,11,0)</f>
        <v>38</v>
      </c>
    </row>
    <row r="709" spans="1:18" x14ac:dyDescent="0.35">
      <c r="A709" t="s">
        <v>1663</v>
      </c>
      <c r="B709" t="s">
        <v>741</v>
      </c>
      <c r="C709" t="str">
        <f>VLOOKUP($A709,'Customer Names'!$A:$E,4,FALSE)</f>
        <v>Katie</v>
      </c>
      <c r="D709" t="str">
        <f>VLOOKUP($A709,'Medical Examinations'!$A:$J,2,FALSE)</f>
        <v>Obesity</v>
      </c>
      <c r="E709">
        <f>VLOOKUP($A709,'Medical Examinations'!$A:$J,4,FALSE)</f>
        <v>5.91</v>
      </c>
      <c r="F709" t="str">
        <f>VLOOKUP($A709,'Medical Examinations'!$A:$J,6,FALSE)</f>
        <v>No</v>
      </c>
      <c r="G709" t="str">
        <f>VLOOKUP($A709,'Medical Examinations'!$A:$J,7,FALSE)</f>
        <v>No</v>
      </c>
      <c r="H709" t="str">
        <f>VLOOKUP($A709,'Medical Examinations'!$A:$J,8,FALSE)</f>
        <v>No</v>
      </c>
      <c r="I709">
        <f>VLOOKUP($A709,'Medical Examinations'!$A:$J,9,FALSE)</f>
        <v>2</v>
      </c>
      <c r="J709" t="str">
        <f>VLOOKUP($A709,'Medical Examinations'!$A:$J,10,FALSE)</f>
        <v>No</v>
      </c>
      <c r="K709" t="str">
        <f>VLOOKUP($A709,'Medical Examinations'!$A:$J,5,FALSE)</f>
        <v>Prediabetes</v>
      </c>
      <c r="L709">
        <f>VLOOKUP($A710,'Medical Examinations'!$A:$J,3,FALSE)</f>
        <v>40.880000000000003</v>
      </c>
      <c r="M709">
        <f>VLOOKUP($A709,'Hospitalisation Details'!$A:$K,6,FALSE)</f>
        <v>14258.33</v>
      </c>
      <c r="N709" s="11">
        <f>VLOOKUP($B709,'Hospitalisation Details'!A708:J3052,10,0)</f>
        <v>29075</v>
      </c>
      <c r="O709" t="str">
        <f>VLOOKUP($B709,'Hospitalisation Details'!A708:J3052,8,0)</f>
        <v>tier - 2</v>
      </c>
      <c r="P709" t="str">
        <f>VLOOKUP($B709,'Hospitalisation Details'!A708:J3052,7,0)</f>
        <v>tier - 2</v>
      </c>
      <c r="Q709" t="str">
        <f>VLOOKUP($B709,'Hospitalisation Details'!A708:J3052,9,0)</f>
        <v>R1012</v>
      </c>
      <c r="R709">
        <f>VLOOKUP($B709,'Hospitalisation Details'!A708:K3052,11,0)</f>
        <v>43</v>
      </c>
    </row>
    <row r="710" spans="1:18" x14ac:dyDescent="0.35">
      <c r="A710" t="s">
        <v>1662</v>
      </c>
      <c r="B710" t="s">
        <v>742</v>
      </c>
      <c r="C710" t="str">
        <f>VLOOKUP($A710,'Customer Names'!$A:$E,4,FALSE)</f>
        <v>Sally</v>
      </c>
      <c r="D710" t="str">
        <f>VLOOKUP($A710,'Medical Examinations'!$A:$J,2,FALSE)</f>
        <v>Obesity</v>
      </c>
      <c r="E710">
        <f>VLOOKUP($A710,'Medical Examinations'!$A:$J,4,FALSE)</f>
        <v>7.65</v>
      </c>
      <c r="F710" t="str">
        <f>VLOOKUP($A710,'Medical Examinations'!$A:$J,6,FALSE)</f>
        <v>No</v>
      </c>
      <c r="G710" t="str">
        <f>VLOOKUP($A710,'Medical Examinations'!$A:$J,7,FALSE)</f>
        <v>No</v>
      </c>
      <c r="H710" t="str">
        <f>VLOOKUP($A710,'Medical Examinations'!$A:$J,8,FALSE)</f>
        <v>No</v>
      </c>
      <c r="I710">
        <f>VLOOKUP($A710,'Medical Examinations'!$A:$J,9,FALSE)</f>
        <v>0</v>
      </c>
      <c r="J710" t="str">
        <f>VLOOKUP($A710,'Medical Examinations'!$A:$J,10,FALSE)</f>
        <v>No</v>
      </c>
      <c r="K710" t="str">
        <f>VLOOKUP($A710,'Medical Examinations'!$A:$J,5,FALSE)</f>
        <v>Diabetes</v>
      </c>
      <c r="L710">
        <f>VLOOKUP($A711,'Medical Examinations'!$A:$J,3,FALSE)</f>
        <v>26.22</v>
      </c>
      <c r="M710">
        <f>VLOOKUP($A710,'Hospitalisation Details'!$A:$K,6,FALSE)</f>
        <v>14256.79</v>
      </c>
      <c r="N710" s="11">
        <f>VLOOKUP($B710,'Hospitalisation Details'!A709:J3053,10,0)</f>
        <v>30969</v>
      </c>
      <c r="O710" t="str">
        <f>VLOOKUP($B710,'Hospitalisation Details'!A709:J3053,8,0)</f>
        <v>tier - 1</v>
      </c>
      <c r="P710" t="str">
        <f>VLOOKUP($B710,'Hospitalisation Details'!A709:J3053,7,0)</f>
        <v>tier - 1</v>
      </c>
      <c r="Q710" t="str">
        <f>VLOOKUP($B710,'Hospitalisation Details'!A709:J3053,9,0)</f>
        <v>R1014</v>
      </c>
      <c r="R710">
        <f>VLOOKUP($B710,'Hospitalisation Details'!A709:K3053,11,0)</f>
        <v>38</v>
      </c>
    </row>
    <row r="711" spans="1:18" x14ac:dyDescent="0.35">
      <c r="A711" t="s">
        <v>1661</v>
      </c>
      <c r="B711" t="s">
        <v>743</v>
      </c>
      <c r="C711" t="str">
        <f>VLOOKUP($A711,'Customer Names'!$A:$E,4,FALSE)</f>
        <v>Meaghan J</v>
      </c>
      <c r="D711" t="str">
        <f>VLOOKUP($A711,'Medical Examinations'!$A:$J,2,FALSE)</f>
        <v>Overweight</v>
      </c>
      <c r="E711">
        <f>VLOOKUP($A711,'Medical Examinations'!$A:$J,4,FALSE)</f>
        <v>5.37</v>
      </c>
      <c r="F711" t="str">
        <f>VLOOKUP($A711,'Medical Examinations'!$A:$J,6,FALSE)</f>
        <v>yes</v>
      </c>
      <c r="G711" t="str">
        <f>VLOOKUP($A711,'Medical Examinations'!$A:$J,7,FALSE)</f>
        <v>No</v>
      </c>
      <c r="H711" t="str">
        <f>VLOOKUP($A711,'Medical Examinations'!$A:$J,8,FALSE)</f>
        <v>No</v>
      </c>
      <c r="I711">
        <f>VLOOKUP($A711,'Medical Examinations'!$A:$J,9,FALSE)</f>
        <v>2</v>
      </c>
      <c r="J711" t="str">
        <f>VLOOKUP($A711,'Medical Examinations'!$A:$J,10,FALSE)</f>
        <v>No</v>
      </c>
      <c r="K711" t="str">
        <f>VLOOKUP($A711,'Medical Examinations'!$A:$J,5,FALSE)</f>
        <v>Normal</v>
      </c>
      <c r="L711">
        <f>VLOOKUP($A712,'Medical Examinations'!$A:$J,3,FALSE)</f>
        <v>25.08</v>
      </c>
      <c r="M711">
        <f>VLOOKUP($A711,'Hospitalisation Details'!$A:$K,6,FALSE)</f>
        <v>14256.19</v>
      </c>
      <c r="N711" s="11">
        <f>VLOOKUP($B711,'Hospitalisation Details'!A710:J3054,10,0)</f>
        <v>30888</v>
      </c>
      <c r="O711" t="str">
        <f>VLOOKUP($B711,'Hospitalisation Details'!A710:J3054,8,0)</f>
        <v>tier - 2</v>
      </c>
      <c r="P711" t="str">
        <f>VLOOKUP($B711,'Hospitalisation Details'!A710:J3054,7,0)</f>
        <v>tier - 1</v>
      </c>
      <c r="Q711" t="str">
        <f>VLOOKUP($B711,'Hospitalisation Details'!A710:J3054,9,0)</f>
        <v>R1011</v>
      </c>
      <c r="R711">
        <f>VLOOKUP($B711,'Hospitalisation Details'!A710:K3054,11,0)</f>
        <v>38</v>
      </c>
    </row>
    <row r="712" spans="1:18" x14ac:dyDescent="0.35">
      <c r="A712" t="s">
        <v>1660</v>
      </c>
      <c r="B712" t="s">
        <v>744</v>
      </c>
      <c r="C712" t="str">
        <f>VLOOKUP($A712,'Customer Names'!$A:$E,4,FALSE)</f>
        <v>Rina</v>
      </c>
      <c r="D712" t="str">
        <f>VLOOKUP($A712,'Medical Examinations'!$A:$J,2,FALSE)</f>
        <v>Overweight</v>
      </c>
      <c r="E712">
        <f>VLOOKUP($A712,'Medical Examinations'!$A:$J,4,FALSE)</f>
        <v>5.75</v>
      </c>
      <c r="F712" t="str">
        <f>VLOOKUP($A712,'Medical Examinations'!$A:$J,6,FALSE)</f>
        <v>yes</v>
      </c>
      <c r="G712" t="str">
        <f>VLOOKUP($A712,'Medical Examinations'!$A:$J,7,FALSE)</f>
        <v>No</v>
      </c>
      <c r="H712" t="str">
        <f>VLOOKUP($A712,'Medical Examinations'!$A:$J,8,FALSE)</f>
        <v>No</v>
      </c>
      <c r="I712">
        <f>VLOOKUP($A712,'Medical Examinations'!$A:$J,9,FALSE)</f>
        <v>2</v>
      </c>
      <c r="J712" t="str">
        <f>VLOOKUP($A712,'Medical Examinations'!$A:$J,10,FALSE)</f>
        <v>No</v>
      </c>
      <c r="K712" t="str">
        <f>VLOOKUP($A712,'Medical Examinations'!$A:$J,5,FALSE)</f>
        <v>Prediabetes</v>
      </c>
      <c r="L712">
        <f>VLOOKUP($A713,'Medical Examinations'!$A:$J,3,FALSE)</f>
        <v>39.1</v>
      </c>
      <c r="M712">
        <f>VLOOKUP($A712,'Hospitalisation Details'!$A:$K,6,FALSE)</f>
        <v>14254.61</v>
      </c>
      <c r="N712" s="11">
        <f>VLOOKUP($B712,'Hospitalisation Details'!A711:J3055,10,0)</f>
        <v>25728</v>
      </c>
      <c r="O712" t="str">
        <f>VLOOKUP($B712,'Hospitalisation Details'!A711:J3055,8,0)</f>
        <v>tier - 2</v>
      </c>
      <c r="P712" t="str">
        <f>VLOOKUP($B712,'Hospitalisation Details'!A711:J3055,7,0)</f>
        <v>tier - 2</v>
      </c>
      <c r="Q712" t="str">
        <f>VLOOKUP($B712,'Hospitalisation Details'!A711:J3055,9,0)</f>
        <v>R1013</v>
      </c>
      <c r="R712">
        <f>VLOOKUP($B712,'Hospitalisation Details'!A711:K3055,11,0)</f>
        <v>52</v>
      </c>
    </row>
    <row r="713" spans="1:18" x14ac:dyDescent="0.35">
      <c r="A713" t="s">
        <v>1659</v>
      </c>
      <c r="B713" t="s">
        <v>745</v>
      </c>
      <c r="C713" t="str">
        <f>VLOOKUP($A713,'Customer Names'!$A:$E,4,FALSE)</f>
        <v>Kristin P.</v>
      </c>
      <c r="D713" t="str">
        <f>VLOOKUP($A713,'Medical Examinations'!$A:$J,2,FALSE)</f>
        <v>Obesity</v>
      </c>
      <c r="E713">
        <f>VLOOKUP($A713,'Medical Examinations'!$A:$J,4,FALSE)</f>
        <v>6.79</v>
      </c>
      <c r="F713" t="str">
        <f>VLOOKUP($A713,'Medical Examinations'!$A:$J,6,FALSE)</f>
        <v>yes</v>
      </c>
      <c r="G713" t="str">
        <f>VLOOKUP($A713,'Medical Examinations'!$A:$J,7,FALSE)</f>
        <v>No</v>
      </c>
      <c r="H713" t="str">
        <f>VLOOKUP($A713,'Medical Examinations'!$A:$J,8,FALSE)</f>
        <v>No</v>
      </c>
      <c r="I713">
        <f>VLOOKUP($A713,'Medical Examinations'!$A:$J,9,FALSE)</f>
        <v>2</v>
      </c>
      <c r="J713" t="str">
        <f>VLOOKUP($A713,'Medical Examinations'!$A:$J,10,FALSE)</f>
        <v>No</v>
      </c>
      <c r="K713" t="str">
        <f>VLOOKUP($A713,'Medical Examinations'!$A:$J,5,FALSE)</f>
        <v>Diabetes</v>
      </c>
      <c r="L713">
        <f>VLOOKUP($A714,'Medical Examinations'!$A:$J,3,FALSE)</f>
        <v>37.905000000000001</v>
      </c>
      <c r="M713">
        <f>VLOOKUP($A713,'Hospitalisation Details'!$A:$K,6,FALSE)</f>
        <v>14235.07</v>
      </c>
      <c r="N713" s="11">
        <f>VLOOKUP($B713,'Hospitalisation Details'!A712:J3056,10,0)</f>
        <v>34951</v>
      </c>
      <c r="O713" t="str">
        <f>VLOOKUP($B713,'Hospitalisation Details'!A712:J3056,8,0)</f>
        <v>tier - 3</v>
      </c>
      <c r="P713" t="str">
        <f>VLOOKUP($B713,'Hospitalisation Details'!A712:J3056,7,0)</f>
        <v>tier - 2</v>
      </c>
      <c r="Q713" t="str">
        <f>VLOOKUP($B713,'Hospitalisation Details'!A712:J3056,9,0)</f>
        <v>R1026</v>
      </c>
      <c r="R713">
        <f>VLOOKUP($B713,'Hospitalisation Details'!A712:K3056,11,0)</f>
        <v>27</v>
      </c>
    </row>
    <row r="714" spans="1:18" x14ac:dyDescent="0.35">
      <c r="A714" t="s">
        <v>1658</v>
      </c>
      <c r="B714" t="s">
        <v>746</v>
      </c>
      <c r="C714" t="str">
        <f>VLOOKUP($A714,'Customer Names'!$A:$E,4,FALSE)</f>
        <v>Albert</v>
      </c>
      <c r="D714" t="str">
        <f>VLOOKUP($A714,'Medical Examinations'!$A:$J,2,FALSE)</f>
        <v>Obesity</v>
      </c>
      <c r="E714">
        <f>VLOOKUP($A714,'Medical Examinations'!$A:$J,4,FALSE)</f>
        <v>7.03</v>
      </c>
      <c r="F714" t="str">
        <f>VLOOKUP($A714,'Medical Examinations'!$A:$J,6,FALSE)</f>
        <v>No</v>
      </c>
      <c r="G714" t="str">
        <f>VLOOKUP($A714,'Medical Examinations'!$A:$J,7,FALSE)</f>
        <v>No</v>
      </c>
      <c r="H714" t="str">
        <f>VLOOKUP($A714,'Medical Examinations'!$A:$J,8,FALSE)</f>
        <v>No</v>
      </c>
      <c r="I714">
        <f>VLOOKUP($A714,'Medical Examinations'!$A:$J,9,FALSE)</f>
        <v>3</v>
      </c>
      <c r="J714" t="str">
        <f>VLOOKUP($A714,'Medical Examinations'!$A:$J,10,FALSE)</f>
        <v>No</v>
      </c>
      <c r="K714" t="str">
        <f>VLOOKUP($A714,'Medical Examinations'!$A:$J,5,FALSE)</f>
        <v>Diabetes</v>
      </c>
      <c r="L714">
        <f>VLOOKUP($A715,'Medical Examinations'!$A:$J,3,FALSE)</f>
        <v>43.35</v>
      </c>
      <c r="M714">
        <f>VLOOKUP($A714,'Hospitalisation Details'!$A:$K,6,FALSE)</f>
        <v>14210.54</v>
      </c>
      <c r="N714" s="11">
        <f>VLOOKUP($B714,'Hospitalisation Details'!A713:J3057,10,0)</f>
        <v>31249</v>
      </c>
      <c r="O714" t="str">
        <f>VLOOKUP($B714,'Hospitalisation Details'!A713:J3057,8,0)</f>
        <v>tier - 1</v>
      </c>
      <c r="P714" t="str">
        <f>VLOOKUP($B714,'Hospitalisation Details'!A713:J3057,7,0)</f>
        <v>tier - 2</v>
      </c>
      <c r="Q714" t="str">
        <f>VLOOKUP($B714,'Hospitalisation Details'!A713:J3057,9,0)</f>
        <v>R1012</v>
      </c>
      <c r="R714">
        <f>VLOOKUP($B714,'Hospitalisation Details'!A713:K3057,11,0)</f>
        <v>37</v>
      </c>
    </row>
    <row r="715" spans="1:18" x14ac:dyDescent="0.35">
      <c r="A715" t="s">
        <v>1657</v>
      </c>
      <c r="B715" t="s">
        <v>747</v>
      </c>
      <c r="C715" t="str">
        <f>VLOOKUP($A715,'Customer Names'!$A:$E,4,FALSE)</f>
        <v>Ashley</v>
      </c>
      <c r="D715" t="str">
        <f>VLOOKUP($A715,'Medical Examinations'!$A:$J,2,FALSE)</f>
        <v>Obesity</v>
      </c>
      <c r="E715">
        <f>VLOOKUP($A715,'Medical Examinations'!$A:$J,4,FALSE)</f>
        <v>5.41</v>
      </c>
      <c r="F715" t="str">
        <f>VLOOKUP($A715,'Medical Examinations'!$A:$J,6,FALSE)</f>
        <v>yes</v>
      </c>
      <c r="G715" t="str">
        <f>VLOOKUP($A715,'Medical Examinations'!$A:$J,7,FALSE)</f>
        <v>No</v>
      </c>
      <c r="H715" t="str">
        <f>VLOOKUP($A715,'Medical Examinations'!$A:$J,8,FALSE)</f>
        <v>Yes</v>
      </c>
      <c r="I715">
        <f>VLOOKUP($A715,'Medical Examinations'!$A:$J,9,FALSE)</f>
        <v>1</v>
      </c>
      <c r="J715" t="str">
        <f>VLOOKUP($A715,'Medical Examinations'!$A:$J,10,FALSE)</f>
        <v>No</v>
      </c>
      <c r="K715" t="str">
        <f>VLOOKUP($A715,'Medical Examinations'!$A:$J,5,FALSE)</f>
        <v>Normal</v>
      </c>
      <c r="L715">
        <f>VLOOKUP($A716,'Medical Examinations'!$A:$J,3,FALSE)</f>
        <v>36.15</v>
      </c>
      <c r="M715">
        <f>VLOOKUP($A715,'Hospitalisation Details'!$A:$K,6,FALSE)</f>
        <v>14209.4</v>
      </c>
      <c r="N715" s="11">
        <f>VLOOKUP($B715,'Hospitalisation Details'!A714:J3058,10,0)</f>
        <v>33444</v>
      </c>
      <c r="O715" t="str">
        <f>VLOOKUP($B715,'Hospitalisation Details'!A714:J3058,8,0)</f>
        <v>tier - 2</v>
      </c>
      <c r="P715" t="str">
        <f>VLOOKUP($B715,'Hospitalisation Details'!A714:J3058,7,0)</f>
        <v>tier - 2</v>
      </c>
      <c r="Q715" t="str">
        <f>VLOOKUP($B715,'Hospitalisation Details'!A714:J3058,9,0)</f>
        <v>R1024</v>
      </c>
      <c r="R715">
        <f>VLOOKUP($B715,'Hospitalisation Details'!A714:K3058,11,0)</f>
        <v>31</v>
      </c>
    </row>
    <row r="716" spans="1:18" x14ac:dyDescent="0.35">
      <c r="A716" t="s">
        <v>1656</v>
      </c>
      <c r="B716" t="s">
        <v>748</v>
      </c>
      <c r="C716" t="str">
        <f>VLOOKUP($A716,'Customer Names'!$A:$E,4,FALSE)</f>
        <v>Shannon L</v>
      </c>
      <c r="D716" t="str">
        <f>VLOOKUP($A716,'Medical Examinations'!$A:$J,2,FALSE)</f>
        <v>Obesity</v>
      </c>
      <c r="E716">
        <f>VLOOKUP($A716,'Medical Examinations'!$A:$J,4,FALSE)</f>
        <v>8.0500000000000007</v>
      </c>
      <c r="F716" t="str">
        <f>VLOOKUP($A716,'Medical Examinations'!$A:$J,6,FALSE)</f>
        <v>No</v>
      </c>
      <c r="G716" t="str">
        <f>VLOOKUP($A716,'Medical Examinations'!$A:$J,7,FALSE)</f>
        <v>No</v>
      </c>
      <c r="H716" t="str">
        <f>VLOOKUP($A716,'Medical Examinations'!$A:$J,8,FALSE)</f>
        <v>No</v>
      </c>
      <c r="I716">
        <f>VLOOKUP($A716,'Medical Examinations'!$A:$J,9,FALSE)</f>
        <v>0</v>
      </c>
      <c r="J716" t="str">
        <f>VLOOKUP($A716,'Medical Examinations'!$A:$J,10,FALSE)</f>
        <v>No</v>
      </c>
      <c r="K716" t="str">
        <f>VLOOKUP($A716,'Medical Examinations'!$A:$J,5,FALSE)</f>
        <v>Diabetes</v>
      </c>
      <c r="L716">
        <f>VLOOKUP($A717,'Medical Examinations'!$A:$J,3,FALSE)</f>
        <v>44.98</v>
      </c>
      <c r="M716">
        <f>VLOOKUP($A716,'Hospitalisation Details'!$A:$K,6,FALSE)</f>
        <v>14193.55</v>
      </c>
      <c r="N716" s="11">
        <f>VLOOKUP($B716,'Hospitalisation Details'!A715:J3059,10,0)</f>
        <v>30539</v>
      </c>
      <c r="O716" t="str">
        <f>VLOOKUP($B716,'Hospitalisation Details'!A715:J3059,8,0)</f>
        <v>tier - 3</v>
      </c>
      <c r="P716" t="str">
        <f>VLOOKUP($B716,'Hospitalisation Details'!A715:J3059,7,0)</f>
        <v>tier - 2</v>
      </c>
      <c r="Q716" t="str">
        <f>VLOOKUP($B716,'Hospitalisation Details'!A715:J3059,9,0)</f>
        <v>R1012</v>
      </c>
      <c r="R716">
        <f>VLOOKUP($B716,'Hospitalisation Details'!A715:K3059,11,0)</f>
        <v>39</v>
      </c>
    </row>
    <row r="717" spans="1:18" x14ac:dyDescent="0.35">
      <c r="A717" t="s">
        <v>1655</v>
      </c>
      <c r="B717" t="s">
        <v>749</v>
      </c>
      <c r="C717" t="str">
        <f>VLOOKUP($A717,'Customer Names'!$A:$E,4,FALSE)</f>
        <v>Amy B</v>
      </c>
      <c r="D717" t="str">
        <f>VLOOKUP($A717,'Medical Examinations'!$A:$J,2,FALSE)</f>
        <v>Obesity</v>
      </c>
      <c r="E717">
        <f>VLOOKUP($A717,'Medical Examinations'!$A:$J,4,FALSE)</f>
        <v>5.94</v>
      </c>
      <c r="F717" t="str">
        <f>VLOOKUP($A717,'Medical Examinations'!$A:$J,6,FALSE)</f>
        <v>No</v>
      </c>
      <c r="G717" t="str">
        <f>VLOOKUP($A717,'Medical Examinations'!$A:$J,7,FALSE)</f>
        <v>No</v>
      </c>
      <c r="H717" t="str">
        <f>VLOOKUP($A717,'Medical Examinations'!$A:$J,8,FALSE)</f>
        <v>No</v>
      </c>
      <c r="I717">
        <f>VLOOKUP($A717,'Medical Examinations'!$A:$J,9,FALSE)</f>
        <v>1</v>
      </c>
      <c r="J717" t="str">
        <f>VLOOKUP($A717,'Medical Examinations'!$A:$J,10,FALSE)</f>
        <v>No</v>
      </c>
      <c r="K717" t="str">
        <f>VLOOKUP($A717,'Medical Examinations'!$A:$J,5,FALSE)</f>
        <v>Prediabetes</v>
      </c>
      <c r="L717">
        <f>VLOOKUP($A718,'Medical Examinations'!$A:$J,3,FALSE)</f>
        <v>38.28</v>
      </c>
      <c r="M717">
        <f>VLOOKUP($A717,'Hospitalisation Details'!$A:$K,6,FALSE)</f>
        <v>14152.46</v>
      </c>
      <c r="N717" s="11">
        <f>VLOOKUP($B717,'Hospitalisation Details'!A716:J3060,10,0)</f>
        <v>30636</v>
      </c>
      <c r="O717" t="str">
        <f>VLOOKUP($B717,'Hospitalisation Details'!A716:J3060,8,0)</f>
        <v>tier - 2</v>
      </c>
      <c r="P717" t="str">
        <f>VLOOKUP($B717,'Hospitalisation Details'!A716:J3060,7,0)</f>
        <v>tier - 3</v>
      </c>
      <c r="Q717" t="str">
        <f>VLOOKUP($B717,'Hospitalisation Details'!A716:J3060,9,0)</f>
        <v>R1012</v>
      </c>
      <c r="R717">
        <f>VLOOKUP($B717,'Hospitalisation Details'!A716:K3060,11,0)</f>
        <v>39</v>
      </c>
    </row>
    <row r="718" spans="1:18" x14ac:dyDescent="0.35">
      <c r="A718" t="s">
        <v>1654</v>
      </c>
      <c r="B718" t="s">
        <v>750</v>
      </c>
      <c r="C718" t="str">
        <f>VLOOKUP($A718,'Customer Names'!$A:$E,4,FALSE)</f>
        <v>A Danielle</v>
      </c>
      <c r="D718" t="str">
        <f>VLOOKUP($A718,'Medical Examinations'!$A:$J,2,FALSE)</f>
        <v>Obesity</v>
      </c>
      <c r="E718">
        <f>VLOOKUP($A718,'Medical Examinations'!$A:$J,4,FALSE)</f>
        <v>5.51</v>
      </c>
      <c r="F718" t="str">
        <f>VLOOKUP($A718,'Medical Examinations'!$A:$J,6,FALSE)</f>
        <v>No</v>
      </c>
      <c r="G718" t="str">
        <f>VLOOKUP($A718,'Medical Examinations'!$A:$J,7,FALSE)</f>
        <v>yes</v>
      </c>
      <c r="H718" t="str">
        <f>VLOOKUP($A718,'Medical Examinations'!$A:$J,8,FALSE)</f>
        <v>No</v>
      </c>
      <c r="I718">
        <f>VLOOKUP($A718,'Medical Examinations'!$A:$J,9,FALSE)</f>
        <v>1</v>
      </c>
      <c r="J718" t="str">
        <f>VLOOKUP($A718,'Medical Examinations'!$A:$J,10,FALSE)</f>
        <v>No</v>
      </c>
      <c r="K718" t="str">
        <f>VLOOKUP($A718,'Medical Examinations'!$A:$J,5,FALSE)</f>
        <v>Normal</v>
      </c>
      <c r="L718">
        <f>VLOOKUP($A719,'Medical Examinations'!$A:$J,3,FALSE)</f>
        <v>32.299999999999997</v>
      </c>
      <c r="M718">
        <f>VLOOKUP($A718,'Hospitalisation Details'!$A:$K,6,FALSE)</f>
        <v>14133.04</v>
      </c>
      <c r="N718" s="11">
        <f>VLOOKUP($B718,'Hospitalisation Details'!A717:J3061,10,0)</f>
        <v>33103</v>
      </c>
      <c r="O718" t="str">
        <f>VLOOKUP($B718,'Hospitalisation Details'!A717:J3061,8,0)</f>
        <v>tier - 3</v>
      </c>
      <c r="P718" t="str">
        <f>VLOOKUP($B718,'Hospitalisation Details'!A717:J3061,7,0)</f>
        <v>tier - 2</v>
      </c>
      <c r="Q718" t="str">
        <f>VLOOKUP($B718,'Hospitalisation Details'!A717:J3061,9,0)</f>
        <v>R1012</v>
      </c>
      <c r="R718">
        <f>VLOOKUP($B718,'Hospitalisation Details'!A717:K3061,11,0)</f>
        <v>32</v>
      </c>
    </row>
    <row r="719" spans="1:18" x14ac:dyDescent="0.35">
      <c r="A719" t="s">
        <v>1653</v>
      </c>
      <c r="B719" t="s">
        <v>751</v>
      </c>
      <c r="C719" t="str">
        <f>VLOOKUP($A719,'Customer Names'!$A:$E,4,FALSE)</f>
        <v>Conrad F</v>
      </c>
      <c r="D719" t="str">
        <f>VLOOKUP($A719,'Medical Examinations'!$A:$J,2,FALSE)</f>
        <v>Obesity</v>
      </c>
      <c r="E719">
        <f>VLOOKUP($A719,'Medical Examinations'!$A:$J,4,FALSE)</f>
        <v>6.55</v>
      </c>
      <c r="F719" t="str">
        <f>VLOOKUP($A719,'Medical Examinations'!$A:$J,6,FALSE)</f>
        <v>yes</v>
      </c>
      <c r="G719" t="str">
        <f>VLOOKUP($A719,'Medical Examinations'!$A:$J,7,FALSE)</f>
        <v>No</v>
      </c>
      <c r="H719" t="str">
        <f>VLOOKUP($A719,'Medical Examinations'!$A:$J,8,FALSE)</f>
        <v>No</v>
      </c>
      <c r="I719">
        <f>VLOOKUP($A719,'Medical Examinations'!$A:$J,9,FALSE)</f>
        <v>2</v>
      </c>
      <c r="J719" t="str">
        <f>VLOOKUP($A719,'Medical Examinations'!$A:$J,10,FALSE)</f>
        <v>No</v>
      </c>
      <c r="K719" t="str">
        <f>VLOOKUP($A719,'Medical Examinations'!$A:$J,5,FALSE)</f>
        <v>Diabetes</v>
      </c>
      <c r="L719">
        <f>VLOOKUP($A720,'Medical Examinations'!$A:$J,3,FALSE)</f>
        <v>39.51</v>
      </c>
      <c r="M719">
        <f>VLOOKUP($A719,'Hospitalisation Details'!$A:$K,6,FALSE)</f>
        <v>14119.62</v>
      </c>
      <c r="N719" s="11">
        <f>VLOOKUP($B719,'Hospitalisation Details'!A718:J3062,10,0)</f>
        <v>25516</v>
      </c>
      <c r="O719" t="str">
        <f>VLOOKUP($B719,'Hospitalisation Details'!A718:J3062,8,0)</f>
        <v>tier - 2</v>
      </c>
      <c r="P719" t="str">
        <f>VLOOKUP($B719,'Hospitalisation Details'!A718:J3062,7,0)</f>
        <v>tier - 2</v>
      </c>
      <c r="Q719" t="str">
        <f>VLOOKUP($B719,'Hospitalisation Details'!A718:J3062,9,0)</f>
        <v>R1011</v>
      </c>
      <c r="R719">
        <f>VLOOKUP($B719,'Hospitalisation Details'!A718:K3062,11,0)</f>
        <v>53</v>
      </c>
    </row>
    <row r="720" spans="1:18" x14ac:dyDescent="0.35">
      <c r="A720" t="s">
        <v>1652</v>
      </c>
      <c r="B720" t="s">
        <v>752</v>
      </c>
      <c r="C720" t="str">
        <f>VLOOKUP($A720,'Customer Names'!$A:$E,4,FALSE)</f>
        <v>Josh</v>
      </c>
      <c r="D720" t="str">
        <f>VLOOKUP($A720,'Medical Examinations'!$A:$J,2,FALSE)</f>
        <v>Obesity</v>
      </c>
      <c r="E720">
        <f>VLOOKUP($A720,'Medical Examinations'!$A:$J,4,FALSE)</f>
        <v>5.79</v>
      </c>
      <c r="F720" t="str">
        <f>VLOOKUP($A720,'Medical Examinations'!$A:$J,6,FALSE)</f>
        <v>yes</v>
      </c>
      <c r="G720" t="str">
        <f>VLOOKUP($A720,'Medical Examinations'!$A:$J,7,FALSE)</f>
        <v>No</v>
      </c>
      <c r="H720" t="str">
        <f>VLOOKUP($A720,'Medical Examinations'!$A:$J,8,FALSE)</f>
        <v>No</v>
      </c>
      <c r="I720">
        <f>VLOOKUP($A720,'Medical Examinations'!$A:$J,9,FALSE)</f>
        <v>0</v>
      </c>
      <c r="J720" t="str">
        <f>VLOOKUP($A720,'Medical Examinations'!$A:$J,10,FALSE)</f>
        <v>No</v>
      </c>
      <c r="K720" t="str">
        <f>VLOOKUP($A720,'Medical Examinations'!$A:$J,5,FALSE)</f>
        <v>Prediabetes</v>
      </c>
      <c r="L720">
        <f>VLOOKUP($A721,'Medical Examinations'!$A:$J,3,FALSE)</f>
        <v>50.46</v>
      </c>
      <c r="M720">
        <f>VLOOKUP($A720,'Hospitalisation Details'!$A:$K,6,FALSE)</f>
        <v>14098.07</v>
      </c>
      <c r="N720" s="11">
        <f>VLOOKUP($B720,'Hospitalisation Details'!A719:J3063,10,0)</f>
        <v>28738</v>
      </c>
      <c r="O720" t="str">
        <f>VLOOKUP($B720,'Hospitalisation Details'!A719:J3063,8,0)</f>
        <v>tier - 1</v>
      </c>
      <c r="P720" t="str">
        <f>VLOOKUP($B720,'Hospitalisation Details'!A719:J3063,7,0)</f>
        <v>tier - 2</v>
      </c>
      <c r="Q720" t="str">
        <f>VLOOKUP($B720,'Hospitalisation Details'!A719:J3063,9,0)</f>
        <v>R1013</v>
      </c>
      <c r="R720">
        <f>VLOOKUP($B720,'Hospitalisation Details'!A719:K3063,11,0)</f>
        <v>44</v>
      </c>
    </row>
    <row r="721" spans="1:18" x14ac:dyDescent="0.35">
      <c r="A721" t="s">
        <v>1651</v>
      </c>
      <c r="B721" t="s">
        <v>753</v>
      </c>
      <c r="C721" t="str">
        <f>VLOOKUP($A721,'Customer Names'!$A:$E,4,FALSE)</f>
        <v>Maxime</v>
      </c>
      <c r="D721" t="str">
        <f>VLOOKUP($A721,'Medical Examinations'!$A:$J,2,FALSE)</f>
        <v>Obesity</v>
      </c>
      <c r="E721">
        <f>VLOOKUP($A721,'Medical Examinations'!$A:$J,4,FALSE)</f>
        <v>4.5599999999999996</v>
      </c>
      <c r="F721" t="str">
        <f>VLOOKUP($A721,'Medical Examinations'!$A:$J,6,FALSE)</f>
        <v>No</v>
      </c>
      <c r="G721" t="str">
        <f>VLOOKUP($A721,'Medical Examinations'!$A:$J,7,FALSE)</f>
        <v>No</v>
      </c>
      <c r="H721" t="str">
        <f>VLOOKUP($A721,'Medical Examinations'!$A:$J,8,FALSE)</f>
        <v>No</v>
      </c>
      <c r="I721">
        <f>VLOOKUP($A721,'Medical Examinations'!$A:$J,9,FALSE)</f>
        <v>0</v>
      </c>
      <c r="J721" t="str">
        <f>VLOOKUP($A721,'Medical Examinations'!$A:$J,10,FALSE)</f>
        <v>No</v>
      </c>
      <c r="K721" t="str">
        <f>VLOOKUP($A721,'Medical Examinations'!$A:$J,5,FALSE)</f>
        <v>Normal</v>
      </c>
      <c r="L721">
        <f>VLOOKUP($A722,'Medical Examinations'!$A:$J,3,FALSE)</f>
        <v>31.73</v>
      </c>
      <c r="M721">
        <f>VLOOKUP($A721,'Hospitalisation Details'!$A:$K,6,FALSE)</f>
        <v>14081.93</v>
      </c>
      <c r="N721" s="11">
        <f>VLOOKUP($B721,'Hospitalisation Details'!A720:J3064,10,0)</f>
        <v>28106</v>
      </c>
      <c r="O721" t="str">
        <f>VLOOKUP($B721,'Hospitalisation Details'!A720:J3064,8,0)</f>
        <v>tier - 3</v>
      </c>
      <c r="P721" t="str">
        <f>VLOOKUP($B721,'Hospitalisation Details'!A720:J3064,7,0)</f>
        <v>tier - 2</v>
      </c>
      <c r="Q721" t="str">
        <f>VLOOKUP($B721,'Hospitalisation Details'!A720:J3064,9,0)</f>
        <v>R1013</v>
      </c>
      <c r="R721">
        <f>VLOOKUP($B721,'Hospitalisation Details'!A720:K3064,11,0)</f>
        <v>46</v>
      </c>
    </row>
    <row r="722" spans="1:18" x14ac:dyDescent="0.35">
      <c r="A722" t="s">
        <v>1650</v>
      </c>
      <c r="B722" t="s">
        <v>754</v>
      </c>
      <c r="C722" t="str">
        <f>VLOOKUP($A722,'Customer Names'!$A:$E,4,FALSE)</f>
        <v>Natalie</v>
      </c>
      <c r="D722" t="str">
        <f>VLOOKUP($A722,'Medical Examinations'!$A:$J,2,FALSE)</f>
        <v>Obesity</v>
      </c>
      <c r="E722">
        <f>VLOOKUP($A722,'Medical Examinations'!$A:$J,4,FALSE)</f>
        <v>7</v>
      </c>
      <c r="F722" t="str">
        <f>VLOOKUP($A722,'Medical Examinations'!$A:$J,6,FALSE)</f>
        <v>No</v>
      </c>
      <c r="G722" t="str">
        <f>VLOOKUP($A722,'Medical Examinations'!$A:$J,7,FALSE)</f>
        <v>No</v>
      </c>
      <c r="H722" t="str">
        <f>VLOOKUP($A722,'Medical Examinations'!$A:$J,8,FALSE)</f>
        <v>No</v>
      </c>
      <c r="I722">
        <f>VLOOKUP($A722,'Medical Examinations'!$A:$J,9,FALSE)</f>
        <v>0</v>
      </c>
      <c r="J722" t="str">
        <f>VLOOKUP($A722,'Medical Examinations'!$A:$J,10,FALSE)</f>
        <v>No</v>
      </c>
      <c r="K722" t="str">
        <f>VLOOKUP($A722,'Medical Examinations'!$A:$J,5,FALSE)</f>
        <v>Diabetes</v>
      </c>
      <c r="L722">
        <f>VLOOKUP($A723,'Medical Examinations'!$A:$J,3,FALSE)</f>
        <v>32.1</v>
      </c>
      <c r="M722">
        <f>VLOOKUP($A722,'Hospitalisation Details'!$A:$K,6,FALSE)</f>
        <v>14043.48</v>
      </c>
      <c r="N722" s="11">
        <f>VLOOKUP($B722,'Hospitalisation Details'!A721:J3065,10,0)</f>
        <v>25855</v>
      </c>
      <c r="O722" t="str">
        <f>VLOOKUP($B722,'Hospitalisation Details'!A721:J3065,8,0)</f>
        <v>tier - 3</v>
      </c>
      <c r="P722" t="str">
        <f>VLOOKUP($B722,'Hospitalisation Details'!A721:J3065,7,0)</f>
        <v>tier - 2</v>
      </c>
      <c r="Q722" t="str">
        <f>VLOOKUP($B722,'Hospitalisation Details'!A721:J3065,9,0)</f>
        <v>R1012</v>
      </c>
      <c r="R722">
        <f>VLOOKUP($B722,'Hospitalisation Details'!A721:K3065,11,0)</f>
        <v>52</v>
      </c>
    </row>
    <row r="723" spans="1:18" x14ac:dyDescent="0.35">
      <c r="A723" t="s">
        <v>1649</v>
      </c>
      <c r="B723" t="s">
        <v>755</v>
      </c>
      <c r="C723" t="str">
        <f>VLOOKUP($A723,'Customer Names'!$A:$E,4,FALSE)</f>
        <v>Melissa</v>
      </c>
      <c r="D723" t="str">
        <f>VLOOKUP($A723,'Medical Examinations'!$A:$J,2,FALSE)</f>
        <v>Obesity</v>
      </c>
      <c r="E723">
        <f>VLOOKUP($A723,'Medical Examinations'!$A:$J,4,FALSE)</f>
        <v>6.57</v>
      </c>
      <c r="F723" t="str">
        <f>VLOOKUP($A723,'Medical Examinations'!$A:$J,6,FALSE)</f>
        <v>yes</v>
      </c>
      <c r="G723" t="str">
        <f>VLOOKUP($A723,'Medical Examinations'!$A:$J,7,FALSE)</f>
        <v>No</v>
      </c>
      <c r="H723" t="str">
        <f>VLOOKUP($A723,'Medical Examinations'!$A:$J,8,FALSE)</f>
        <v>Yes</v>
      </c>
      <c r="I723">
        <f>VLOOKUP($A723,'Medical Examinations'!$A:$J,9,FALSE)</f>
        <v>1</v>
      </c>
      <c r="J723" t="str">
        <f>VLOOKUP($A723,'Medical Examinations'!$A:$J,10,FALSE)</f>
        <v>No</v>
      </c>
      <c r="K723" t="str">
        <f>VLOOKUP($A723,'Medical Examinations'!$A:$J,5,FALSE)</f>
        <v>Diabetes</v>
      </c>
      <c r="L723">
        <f>VLOOKUP($A724,'Medical Examinations'!$A:$J,3,FALSE)</f>
        <v>27.83</v>
      </c>
      <c r="M723">
        <f>VLOOKUP($A723,'Hospitalisation Details'!$A:$K,6,FALSE)</f>
        <v>14007.22</v>
      </c>
      <c r="N723" s="11">
        <f>VLOOKUP($B723,'Hospitalisation Details'!A722:J3066,10,0)</f>
        <v>26974</v>
      </c>
      <c r="O723" t="str">
        <f>VLOOKUP($B723,'Hospitalisation Details'!A722:J3066,8,0)</f>
        <v>tier - 3</v>
      </c>
      <c r="P723" t="str">
        <f>VLOOKUP($B723,'Hospitalisation Details'!A722:J3066,7,0)</f>
        <v>tier - 2</v>
      </c>
      <c r="Q723" t="str">
        <f>VLOOKUP($B723,'Hospitalisation Details'!A722:J3066,9,0)</f>
        <v>R1013</v>
      </c>
      <c r="R723">
        <f>VLOOKUP($B723,'Hospitalisation Details'!A722:K3066,11,0)</f>
        <v>49</v>
      </c>
    </row>
    <row r="724" spans="1:18" x14ac:dyDescent="0.35">
      <c r="A724" t="s">
        <v>1648</v>
      </c>
      <c r="B724" t="s">
        <v>756</v>
      </c>
      <c r="C724" t="str">
        <f>VLOOKUP($A724,'Customer Names'!$A:$E,4,FALSE)</f>
        <v>Laura P.</v>
      </c>
      <c r="D724" t="str">
        <f>VLOOKUP($A724,'Medical Examinations'!$A:$J,2,FALSE)</f>
        <v>Overweight</v>
      </c>
      <c r="E724">
        <f>VLOOKUP($A724,'Medical Examinations'!$A:$J,4,FALSE)</f>
        <v>11.61</v>
      </c>
      <c r="F724" t="str">
        <f>VLOOKUP($A724,'Medical Examinations'!$A:$J,6,FALSE)</f>
        <v>yes</v>
      </c>
      <c r="G724" t="str">
        <f>VLOOKUP($A724,'Medical Examinations'!$A:$J,7,FALSE)</f>
        <v>No</v>
      </c>
      <c r="H724" t="str">
        <f>VLOOKUP($A724,'Medical Examinations'!$A:$J,8,FALSE)</f>
        <v>Yes</v>
      </c>
      <c r="I724">
        <f>VLOOKUP($A724,'Medical Examinations'!$A:$J,9,FALSE)</f>
        <v>1</v>
      </c>
      <c r="J724" t="str">
        <f>VLOOKUP($A724,'Medical Examinations'!$A:$J,10,FALSE)</f>
        <v>No</v>
      </c>
      <c r="K724" t="str">
        <f>VLOOKUP($A724,'Medical Examinations'!$A:$J,5,FALSE)</f>
        <v>Diabetes</v>
      </c>
      <c r="L724">
        <f>VLOOKUP($A725,'Medical Examinations'!$A:$J,3,FALSE)</f>
        <v>27.72</v>
      </c>
      <c r="M724">
        <f>VLOOKUP($A724,'Hospitalisation Details'!$A:$K,6,FALSE)</f>
        <v>14001.29</v>
      </c>
      <c r="N724" s="11">
        <f>VLOOKUP($B724,'Hospitalisation Details'!A723:J3067,10,0)</f>
        <v>31335</v>
      </c>
      <c r="O724" t="str">
        <f>VLOOKUP($B724,'Hospitalisation Details'!A723:J3067,8,0)</f>
        <v>tier - 1</v>
      </c>
      <c r="P724" t="str">
        <f>VLOOKUP($B724,'Hospitalisation Details'!A723:J3067,7,0)</f>
        <v>tier - 2</v>
      </c>
      <c r="Q724" t="str">
        <f>VLOOKUP($B724,'Hospitalisation Details'!A723:J3067,9,0)</f>
        <v>R1012</v>
      </c>
      <c r="R724">
        <f>VLOOKUP($B724,'Hospitalisation Details'!A723:K3067,11,0)</f>
        <v>37</v>
      </c>
    </row>
    <row r="725" spans="1:18" x14ac:dyDescent="0.35">
      <c r="A725" t="s">
        <v>1647</v>
      </c>
      <c r="B725" t="s">
        <v>757</v>
      </c>
      <c r="C725" t="str">
        <f>VLOOKUP($A725,'Customer Names'!$A:$E,4,FALSE)</f>
        <v>Lisa</v>
      </c>
      <c r="D725" t="str">
        <f>VLOOKUP($A725,'Medical Examinations'!$A:$J,2,FALSE)</f>
        <v>Overweight</v>
      </c>
      <c r="E725">
        <f>VLOOKUP($A725,'Medical Examinations'!$A:$J,4,FALSE)</f>
        <v>8.16</v>
      </c>
      <c r="F725" t="str">
        <f>VLOOKUP($A725,'Medical Examinations'!$A:$J,6,FALSE)</f>
        <v>yes</v>
      </c>
      <c r="G725" t="str">
        <f>VLOOKUP($A725,'Medical Examinations'!$A:$J,7,FALSE)</f>
        <v>No</v>
      </c>
      <c r="H725" t="str">
        <f>VLOOKUP($A725,'Medical Examinations'!$A:$J,8,FALSE)</f>
        <v>Yes</v>
      </c>
      <c r="I725">
        <f>VLOOKUP($A725,'Medical Examinations'!$A:$J,9,FALSE)</f>
        <v>1</v>
      </c>
      <c r="J725" t="str">
        <f>VLOOKUP($A725,'Medical Examinations'!$A:$J,10,FALSE)</f>
        <v>No</v>
      </c>
      <c r="K725" t="str">
        <f>VLOOKUP($A725,'Medical Examinations'!$A:$J,5,FALSE)</f>
        <v>Diabetes</v>
      </c>
      <c r="L725">
        <f>VLOOKUP($A726,'Medical Examinations'!$A:$J,3,FALSE)</f>
        <v>36.765000000000001</v>
      </c>
      <c r="M725">
        <f>VLOOKUP($A725,'Hospitalisation Details'!$A:$K,6,FALSE)</f>
        <v>14001.13</v>
      </c>
      <c r="N725" s="11">
        <f>VLOOKUP($B725,'Hospitalisation Details'!A724:J3068,10,0)</f>
        <v>30961</v>
      </c>
      <c r="O725" t="str">
        <f>VLOOKUP($B725,'Hospitalisation Details'!A724:J3068,8,0)</f>
        <v>tier - 1</v>
      </c>
      <c r="P725" t="str">
        <f>VLOOKUP($B725,'Hospitalisation Details'!A724:J3068,7,0)</f>
        <v>tier - 2</v>
      </c>
      <c r="Q725" t="str">
        <f>VLOOKUP($B725,'Hospitalisation Details'!A724:J3068,9,0)</f>
        <v>R1013</v>
      </c>
      <c r="R725">
        <f>VLOOKUP($B725,'Hospitalisation Details'!A724:K3068,11,0)</f>
        <v>38</v>
      </c>
    </row>
    <row r="726" spans="1:18" x14ac:dyDescent="0.35">
      <c r="A726" t="s">
        <v>1646</v>
      </c>
      <c r="B726" t="s">
        <v>758</v>
      </c>
      <c r="C726" t="str">
        <f>VLOOKUP($A726,'Customer Names'!$A:$E,4,FALSE)</f>
        <v>William D. Jr.</v>
      </c>
      <c r="D726" t="str">
        <f>VLOOKUP($A726,'Medical Examinations'!$A:$J,2,FALSE)</f>
        <v>Obesity</v>
      </c>
      <c r="E726">
        <f>VLOOKUP($A726,'Medical Examinations'!$A:$J,4,FALSE)</f>
        <v>4.4800000000000004</v>
      </c>
      <c r="F726" t="str">
        <f>VLOOKUP($A726,'Medical Examinations'!$A:$J,6,FALSE)</f>
        <v>yes</v>
      </c>
      <c r="G726" t="str">
        <f>VLOOKUP($A726,'Medical Examinations'!$A:$J,7,FALSE)</f>
        <v>No</v>
      </c>
      <c r="H726" t="str">
        <f>VLOOKUP($A726,'Medical Examinations'!$A:$J,8,FALSE)</f>
        <v>No</v>
      </c>
      <c r="I726">
        <f>VLOOKUP($A726,'Medical Examinations'!$A:$J,9,FALSE)</f>
        <v>2</v>
      </c>
      <c r="J726" t="str">
        <f>VLOOKUP($A726,'Medical Examinations'!$A:$J,10,FALSE)</f>
        <v>No</v>
      </c>
      <c r="K726" t="str">
        <f>VLOOKUP($A726,'Medical Examinations'!$A:$J,5,FALSE)</f>
        <v>Normal</v>
      </c>
      <c r="L726">
        <f>VLOOKUP($A727,'Medical Examinations'!$A:$J,3,FALSE)</f>
        <v>48.36</v>
      </c>
      <c r="M726">
        <f>VLOOKUP($A726,'Hospitalisation Details'!$A:$K,6,FALSE)</f>
        <v>13981.85</v>
      </c>
      <c r="N726" s="11">
        <f>VLOOKUP($B726,'Hospitalisation Details'!A725:J3069,10,0)</f>
        <v>31268</v>
      </c>
      <c r="O726" t="str">
        <f>VLOOKUP($B726,'Hospitalisation Details'!A725:J3069,8,0)</f>
        <v>tier - 2</v>
      </c>
      <c r="P726" t="str">
        <f>VLOOKUP($B726,'Hospitalisation Details'!A725:J3069,7,0)</f>
        <v>tier - 2</v>
      </c>
      <c r="Q726" t="str">
        <f>VLOOKUP($B726,'Hospitalisation Details'!A725:J3069,9,0)</f>
        <v>R1012</v>
      </c>
      <c r="R726">
        <f>VLOOKUP($B726,'Hospitalisation Details'!A725:K3069,11,0)</f>
        <v>37</v>
      </c>
    </row>
    <row r="727" spans="1:18" x14ac:dyDescent="0.35">
      <c r="A727" t="s">
        <v>1645</v>
      </c>
      <c r="B727" t="s">
        <v>759</v>
      </c>
      <c r="C727" t="str">
        <f>VLOOKUP($A727,'Customer Names'!$A:$E,4,FALSE)</f>
        <v>James</v>
      </c>
      <c r="D727" t="str">
        <f>VLOOKUP($A727,'Medical Examinations'!$A:$J,2,FALSE)</f>
        <v>Obesity</v>
      </c>
      <c r="E727">
        <f>VLOOKUP($A727,'Medical Examinations'!$A:$J,4,FALSE)</f>
        <v>4.08</v>
      </c>
      <c r="F727" t="str">
        <f>VLOOKUP($A727,'Medical Examinations'!$A:$J,6,FALSE)</f>
        <v>No</v>
      </c>
      <c r="G727" t="str">
        <f>VLOOKUP($A727,'Medical Examinations'!$A:$J,7,FALSE)</f>
        <v>No</v>
      </c>
      <c r="H727" t="str">
        <f>VLOOKUP($A727,'Medical Examinations'!$A:$J,8,FALSE)</f>
        <v>No</v>
      </c>
      <c r="I727">
        <f>VLOOKUP($A727,'Medical Examinations'!$A:$J,9,FALSE)</f>
        <v>0</v>
      </c>
      <c r="J727" t="str">
        <f>VLOOKUP($A727,'Medical Examinations'!$A:$J,10,FALSE)</f>
        <v>No</v>
      </c>
      <c r="K727" t="str">
        <f>VLOOKUP($A727,'Medical Examinations'!$A:$J,5,FALSE)</f>
        <v>Normal</v>
      </c>
      <c r="L727">
        <f>VLOOKUP($A728,'Medical Examinations'!$A:$J,3,FALSE)</f>
        <v>31.445</v>
      </c>
      <c r="M727">
        <f>VLOOKUP($A727,'Hospitalisation Details'!$A:$K,6,FALSE)</f>
        <v>13979.45</v>
      </c>
      <c r="N727" s="11">
        <f>VLOOKUP($B727,'Hospitalisation Details'!A726:J3070,10,0)</f>
        <v>25846</v>
      </c>
      <c r="O727" t="str">
        <f>VLOOKUP($B727,'Hospitalisation Details'!A726:J3070,8,0)</f>
        <v>tier - 2</v>
      </c>
      <c r="P727" t="str">
        <f>VLOOKUP($B727,'Hospitalisation Details'!A726:J3070,7,0)</f>
        <v>tier - 2</v>
      </c>
      <c r="Q727" t="str">
        <f>VLOOKUP($B727,'Hospitalisation Details'!A726:J3070,9,0)</f>
        <v>R1012</v>
      </c>
      <c r="R727">
        <f>VLOOKUP($B727,'Hospitalisation Details'!A726:K3070,11,0)</f>
        <v>52</v>
      </c>
    </row>
    <row r="728" spans="1:18" x14ac:dyDescent="0.35">
      <c r="A728" t="s">
        <v>1644</v>
      </c>
      <c r="B728" t="s">
        <v>760</v>
      </c>
      <c r="C728" t="str">
        <f>VLOOKUP($A728,'Customer Names'!$A:$E,4,FALSE)</f>
        <v>John</v>
      </c>
      <c r="D728" t="str">
        <f>VLOOKUP($A728,'Medical Examinations'!$A:$J,2,FALSE)</f>
        <v>Obesity</v>
      </c>
      <c r="E728">
        <f>VLOOKUP($A728,'Medical Examinations'!$A:$J,4,FALSE)</f>
        <v>4.4000000000000004</v>
      </c>
      <c r="F728" t="str">
        <f>VLOOKUP($A728,'Medical Examinations'!$A:$J,6,FALSE)</f>
        <v>yes</v>
      </c>
      <c r="G728" t="str">
        <f>VLOOKUP($A728,'Medical Examinations'!$A:$J,7,FALSE)</f>
        <v>No</v>
      </c>
      <c r="H728" t="str">
        <f>VLOOKUP($A728,'Medical Examinations'!$A:$J,8,FALSE)</f>
        <v>No</v>
      </c>
      <c r="I728">
        <f>VLOOKUP($A728,'Medical Examinations'!$A:$J,9,FALSE)</f>
        <v>2</v>
      </c>
      <c r="J728" t="str">
        <f>VLOOKUP($A728,'Medical Examinations'!$A:$J,10,FALSE)</f>
        <v>No</v>
      </c>
      <c r="K728" t="str">
        <f>VLOOKUP($A728,'Medical Examinations'!$A:$J,5,FALSE)</f>
        <v>Normal</v>
      </c>
      <c r="L728">
        <f>VLOOKUP($A729,'Medical Examinations'!$A:$J,3,FALSE)</f>
        <v>27.55</v>
      </c>
      <c r="M728">
        <f>VLOOKUP($A728,'Hospitalisation Details'!$A:$K,6,FALSE)</f>
        <v>13974.46</v>
      </c>
      <c r="N728" s="11">
        <f>VLOOKUP($B728,'Hospitalisation Details'!A727:J3071,10,0)</f>
        <v>32448</v>
      </c>
      <c r="O728" t="str">
        <f>VLOOKUP($B728,'Hospitalisation Details'!A727:J3071,8,0)</f>
        <v>tier - 3</v>
      </c>
      <c r="P728" t="str">
        <f>VLOOKUP($B728,'Hospitalisation Details'!A727:J3071,7,0)</f>
        <v>tier - 2</v>
      </c>
      <c r="Q728" t="str">
        <f>VLOOKUP($B728,'Hospitalisation Details'!A727:J3071,9,0)</f>
        <v>R1013</v>
      </c>
      <c r="R728">
        <f>VLOOKUP($B728,'Hospitalisation Details'!A727:K3071,11,0)</f>
        <v>34</v>
      </c>
    </row>
    <row r="729" spans="1:18" x14ac:dyDescent="0.35">
      <c r="A729" t="s">
        <v>1643</v>
      </c>
      <c r="B729" t="s">
        <v>761</v>
      </c>
      <c r="C729" t="str">
        <f>VLOOKUP($A729,'Customer Names'!$A:$E,4,FALSE)</f>
        <v>Adam S</v>
      </c>
      <c r="D729" t="str">
        <f>VLOOKUP($A729,'Medical Examinations'!$A:$J,2,FALSE)</f>
        <v>Overweight</v>
      </c>
      <c r="E729">
        <f>VLOOKUP($A729,'Medical Examinations'!$A:$J,4,FALSE)</f>
        <v>9.02</v>
      </c>
      <c r="F729" t="str">
        <f>VLOOKUP($A729,'Medical Examinations'!$A:$J,6,FALSE)</f>
        <v>No</v>
      </c>
      <c r="G729" t="str">
        <f>VLOOKUP($A729,'Medical Examinations'!$A:$J,7,FALSE)</f>
        <v>No</v>
      </c>
      <c r="H729" t="str">
        <f>VLOOKUP($A729,'Medical Examinations'!$A:$J,8,FALSE)</f>
        <v>No</v>
      </c>
      <c r="I729">
        <f>VLOOKUP($A729,'Medical Examinations'!$A:$J,9,FALSE)</f>
        <v>0</v>
      </c>
      <c r="J729" t="str">
        <f>VLOOKUP($A729,'Medical Examinations'!$A:$J,10,FALSE)</f>
        <v>No</v>
      </c>
      <c r="K729" t="str">
        <f>VLOOKUP($A729,'Medical Examinations'!$A:$J,5,FALSE)</f>
        <v>Diabetes</v>
      </c>
      <c r="L729">
        <f>VLOOKUP($A730,'Medical Examinations'!$A:$J,3,FALSE)</f>
        <v>33.11</v>
      </c>
      <c r="M729">
        <f>VLOOKUP($A729,'Hospitalisation Details'!$A:$K,6,FALSE)</f>
        <v>13937.67</v>
      </c>
      <c r="N729" s="11">
        <f>VLOOKUP($B729,'Hospitalisation Details'!A728:J3072,10,0)</f>
        <v>29912</v>
      </c>
      <c r="O729" t="str">
        <f>VLOOKUP($B729,'Hospitalisation Details'!A728:J3072,8,0)</f>
        <v>tier - 1</v>
      </c>
      <c r="P729" t="str">
        <f>VLOOKUP($B729,'Hospitalisation Details'!A728:J3072,7,0)</f>
        <v>tier - 2</v>
      </c>
      <c r="Q729" t="str">
        <f>VLOOKUP($B729,'Hospitalisation Details'!A728:J3072,9,0)</f>
        <v>R1013</v>
      </c>
      <c r="R729">
        <f>VLOOKUP($B729,'Hospitalisation Details'!A728:K3072,11,0)</f>
        <v>41</v>
      </c>
    </row>
    <row r="730" spans="1:18" x14ac:dyDescent="0.35">
      <c r="A730" t="s">
        <v>1642</v>
      </c>
      <c r="B730" t="s">
        <v>762</v>
      </c>
      <c r="C730" t="str">
        <f>VLOOKUP($A730,'Customer Names'!$A:$E,4,FALSE)</f>
        <v>Armando</v>
      </c>
      <c r="D730" t="str">
        <f>VLOOKUP($A730,'Medical Examinations'!$A:$J,2,FALSE)</f>
        <v>Obesity</v>
      </c>
      <c r="E730">
        <f>VLOOKUP($A730,'Medical Examinations'!$A:$J,4,FALSE)</f>
        <v>8.06</v>
      </c>
      <c r="F730" t="str">
        <f>VLOOKUP($A730,'Medical Examinations'!$A:$J,6,FALSE)</f>
        <v>No</v>
      </c>
      <c r="G730" t="str">
        <f>VLOOKUP($A730,'Medical Examinations'!$A:$J,7,FALSE)</f>
        <v>No</v>
      </c>
      <c r="H730" t="str">
        <f>VLOOKUP($A730,'Medical Examinations'!$A:$J,8,FALSE)</f>
        <v>No</v>
      </c>
      <c r="I730">
        <f>VLOOKUP($A730,'Medical Examinations'!$A:$J,9,FALSE)</f>
        <v>0</v>
      </c>
      <c r="J730" t="str">
        <f>VLOOKUP($A730,'Medical Examinations'!$A:$J,10,FALSE)</f>
        <v>No</v>
      </c>
      <c r="K730" t="str">
        <f>VLOOKUP($A730,'Medical Examinations'!$A:$J,5,FALSE)</f>
        <v>Diabetes</v>
      </c>
      <c r="L730">
        <f>VLOOKUP($A731,'Medical Examinations'!$A:$J,3,FALSE)</f>
        <v>36.85</v>
      </c>
      <c r="M730">
        <f>VLOOKUP($A730,'Hospitalisation Details'!$A:$K,6,FALSE)</f>
        <v>13919.82</v>
      </c>
      <c r="N730" s="11">
        <f>VLOOKUP($B730,'Hospitalisation Details'!A729:J3073,10,0)</f>
        <v>29860</v>
      </c>
      <c r="O730" t="str">
        <f>VLOOKUP($B730,'Hospitalisation Details'!A729:J3073,8,0)</f>
        <v>tier - 3</v>
      </c>
      <c r="P730" t="str">
        <f>VLOOKUP($B730,'Hospitalisation Details'!A729:J3073,7,0)</f>
        <v>tier - 2</v>
      </c>
      <c r="Q730" t="str">
        <f>VLOOKUP($B730,'Hospitalisation Details'!A729:J3073,9,0)</f>
        <v>R1011</v>
      </c>
      <c r="R730">
        <f>VLOOKUP($B730,'Hospitalisation Details'!A729:K3073,11,0)</f>
        <v>41</v>
      </c>
    </row>
    <row r="731" spans="1:18" x14ac:dyDescent="0.35">
      <c r="A731" t="s">
        <v>1641</v>
      </c>
      <c r="B731" t="s">
        <v>763</v>
      </c>
      <c r="C731" t="str">
        <f>VLOOKUP($A731,'Customer Names'!$A:$E,4,FALSE)</f>
        <v>Dana</v>
      </c>
      <c r="D731" t="str">
        <f>VLOOKUP($A731,'Medical Examinations'!$A:$J,2,FALSE)</f>
        <v>Obesity</v>
      </c>
      <c r="E731">
        <f>VLOOKUP($A731,'Medical Examinations'!$A:$J,4,FALSE)</f>
        <v>6.21</v>
      </c>
      <c r="F731" t="str">
        <f>VLOOKUP($A731,'Medical Examinations'!$A:$J,6,FALSE)</f>
        <v>yes</v>
      </c>
      <c r="G731" t="str">
        <f>VLOOKUP($A731,'Medical Examinations'!$A:$J,7,FALSE)</f>
        <v>No</v>
      </c>
      <c r="H731" t="str">
        <f>VLOOKUP($A731,'Medical Examinations'!$A:$J,8,FALSE)</f>
        <v>No</v>
      </c>
      <c r="I731">
        <f>VLOOKUP($A731,'Medical Examinations'!$A:$J,9,FALSE)</f>
        <v>2</v>
      </c>
      <c r="J731" t="str">
        <f>VLOOKUP($A731,'Medical Examinations'!$A:$J,10,FALSE)</f>
        <v>No</v>
      </c>
      <c r="K731" t="str">
        <f>VLOOKUP($A731,'Medical Examinations'!$A:$J,5,FALSE)</f>
        <v>Prediabetes</v>
      </c>
      <c r="L731">
        <f>VLOOKUP($A732,'Medical Examinations'!$A:$J,3,FALSE)</f>
        <v>36.299999999999997</v>
      </c>
      <c r="M731">
        <f>VLOOKUP($A731,'Hospitalisation Details'!$A:$K,6,FALSE)</f>
        <v>13887.97</v>
      </c>
      <c r="N731" s="11">
        <f>VLOOKUP($B731,'Hospitalisation Details'!A730:J3074,10,0)</f>
        <v>32439</v>
      </c>
      <c r="O731" t="str">
        <f>VLOOKUP($B731,'Hospitalisation Details'!A730:J3074,8,0)</f>
        <v>tier - 1</v>
      </c>
      <c r="P731" t="str">
        <f>VLOOKUP($B731,'Hospitalisation Details'!A730:J3074,7,0)</f>
        <v>tier - 2</v>
      </c>
      <c r="Q731" t="str">
        <f>VLOOKUP($B731,'Hospitalisation Details'!A730:J3074,9,0)</f>
        <v>R1011</v>
      </c>
      <c r="R731">
        <f>VLOOKUP($B731,'Hospitalisation Details'!A730:K3074,11,0)</f>
        <v>34</v>
      </c>
    </row>
    <row r="732" spans="1:18" x14ac:dyDescent="0.35">
      <c r="A732" t="s">
        <v>1640</v>
      </c>
      <c r="B732" t="s">
        <v>764</v>
      </c>
      <c r="C732" t="str">
        <f>VLOOKUP($A732,'Customer Names'!$A:$E,4,FALSE)</f>
        <v>Jennifer L</v>
      </c>
      <c r="D732" t="str">
        <f>VLOOKUP($A732,'Medical Examinations'!$A:$J,2,FALSE)</f>
        <v>Obesity</v>
      </c>
      <c r="E732">
        <f>VLOOKUP($A732,'Medical Examinations'!$A:$J,4,FALSE)</f>
        <v>5.79</v>
      </c>
      <c r="F732" t="str">
        <f>VLOOKUP($A732,'Medical Examinations'!$A:$J,6,FALSE)</f>
        <v>yes</v>
      </c>
      <c r="G732" t="str">
        <f>VLOOKUP($A732,'Medical Examinations'!$A:$J,7,FALSE)</f>
        <v>No</v>
      </c>
      <c r="H732" t="str">
        <f>VLOOKUP($A732,'Medical Examinations'!$A:$J,8,FALSE)</f>
        <v>No</v>
      </c>
      <c r="I732">
        <f>VLOOKUP($A732,'Medical Examinations'!$A:$J,9,FALSE)</f>
        <v>2</v>
      </c>
      <c r="J732" t="str">
        <f>VLOOKUP($A732,'Medical Examinations'!$A:$J,10,FALSE)</f>
        <v>No</v>
      </c>
      <c r="K732" t="str">
        <f>VLOOKUP($A732,'Medical Examinations'!$A:$J,5,FALSE)</f>
        <v>Prediabetes</v>
      </c>
      <c r="L732">
        <f>VLOOKUP($A733,'Medical Examinations'!$A:$J,3,FALSE)</f>
        <v>45.34</v>
      </c>
      <c r="M732">
        <f>VLOOKUP($A732,'Hospitalisation Details'!$A:$K,6,FALSE)</f>
        <v>13887.2</v>
      </c>
      <c r="N732" s="11">
        <f>VLOOKUP($B732,'Hospitalisation Details'!A731:J3075,10,0)</f>
        <v>31250</v>
      </c>
      <c r="O732" t="str">
        <f>VLOOKUP($B732,'Hospitalisation Details'!A731:J3075,8,0)</f>
        <v>tier - 1</v>
      </c>
      <c r="P732" t="str">
        <f>VLOOKUP($B732,'Hospitalisation Details'!A731:J3075,7,0)</f>
        <v>tier - 2</v>
      </c>
      <c r="Q732" t="str">
        <f>VLOOKUP($B732,'Hospitalisation Details'!A731:J3075,9,0)</f>
        <v>R1012</v>
      </c>
      <c r="R732">
        <f>VLOOKUP($B732,'Hospitalisation Details'!A731:K3075,11,0)</f>
        <v>37</v>
      </c>
    </row>
    <row r="733" spans="1:18" x14ac:dyDescent="0.35">
      <c r="A733" t="s">
        <v>1639</v>
      </c>
      <c r="B733" t="s">
        <v>31</v>
      </c>
      <c r="C733" t="str">
        <f>VLOOKUP($A733,'Customer Names'!$A:$E,4,FALSE)</f>
        <v>Benjamin</v>
      </c>
      <c r="D733" t="str">
        <f>VLOOKUP($A733,'Medical Examinations'!$A:$J,2,FALSE)</f>
        <v>Obesity</v>
      </c>
      <c r="E733">
        <f>VLOOKUP($A733,'Medical Examinations'!$A:$J,4,FALSE)</f>
        <v>5.69</v>
      </c>
      <c r="F733" t="str">
        <f>VLOOKUP($A733,'Medical Examinations'!$A:$J,6,FALSE)</f>
        <v>yes</v>
      </c>
      <c r="G733" t="str">
        <f>VLOOKUP($A733,'Medical Examinations'!$A:$J,7,FALSE)</f>
        <v>No</v>
      </c>
      <c r="H733" t="str">
        <f>VLOOKUP($A733,'Medical Examinations'!$A:$J,8,FALSE)</f>
        <v>No</v>
      </c>
      <c r="I733">
        <f>VLOOKUP($A733,'Medical Examinations'!$A:$J,9,FALSE)</f>
        <v>0</v>
      </c>
      <c r="J733" t="str">
        <f>VLOOKUP($A733,'Medical Examinations'!$A:$J,10,FALSE)</f>
        <v>No</v>
      </c>
      <c r="K733" t="str">
        <f>VLOOKUP($A733,'Medical Examinations'!$A:$J,5,FALSE)</f>
        <v>Normal</v>
      </c>
      <c r="L733">
        <f>VLOOKUP($A734,'Medical Examinations'!$A:$J,3,FALSE)</f>
        <v>31.8</v>
      </c>
      <c r="M733">
        <f>VLOOKUP($A733,'Hospitalisation Details'!$A:$K,6,FALSE)</f>
        <v>13886.4</v>
      </c>
      <c r="N733" s="11">
        <f>VLOOKUP($B733,'Hospitalisation Details'!A732:J3076,10,0)</f>
        <v>31401</v>
      </c>
      <c r="O733" t="str">
        <f>VLOOKUP($B733,'Hospitalisation Details'!A732:J3076,8,0)</f>
        <v>tier - 2</v>
      </c>
      <c r="P733" t="str">
        <f>VLOOKUP($B733,'Hospitalisation Details'!A732:J3076,7,0)</f>
        <v>tier - 1</v>
      </c>
      <c r="Q733" t="str">
        <f>VLOOKUP($B733,'Hospitalisation Details'!A732:J3076,9,0)</f>
        <v>R1012</v>
      </c>
      <c r="R733">
        <f>VLOOKUP($B733,'Hospitalisation Details'!A732:K3076,11,0)</f>
        <v>37</v>
      </c>
    </row>
    <row r="734" spans="1:18" x14ac:dyDescent="0.35">
      <c r="A734" t="s">
        <v>1638</v>
      </c>
      <c r="B734" t="s">
        <v>765</v>
      </c>
      <c r="C734" t="str">
        <f>VLOOKUP($A734,'Customer Names'!$A:$E,4,FALSE)</f>
        <v>Tanya</v>
      </c>
      <c r="D734" t="str">
        <f>VLOOKUP($A734,'Medical Examinations'!$A:$J,2,FALSE)</f>
        <v>Obesity</v>
      </c>
      <c r="E734">
        <f>VLOOKUP($A734,'Medical Examinations'!$A:$J,4,FALSE)</f>
        <v>5.36</v>
      </c>
      <c r="F734" t="str">
        <f>VLOOKUP($A734,'Medical Examinations'!$A:$J,6,FALSE)</f>
        <v>yes</v>
      </c>
      <c r="G734" t="str">
        <f>VLOOKUP($A734,'Medical Examinations'!$A:$J,7,FALSE)</f>
        <v>No</v>
      </c>
      <c r="H734" t="str">
        <f>VLOOKUP($A734,'Medical Examinations'!$A:$J,8,FALSE)</f>
        <v>No</v>
      </c>
      <c r="I734">
        <f>VLOOKUP($A734,'Medical Examinations'!$A:$J,9,FALSE)</f>
        <v>2</v>
      </c>
      <c r="J734" t="str">
        <f>VLOOKUP($A734,'Medical Examinations'!$A:$J,10,FALSE)</f>
        <v>No</v>
      </c>
      <c r="K734" t="str">
        <f>VLOOKUP($A734,'Medical Examinations'!$A:$J,5,FALSE)</f>
        <v>Normal</v>
      </c>
      <c r="L734">
        <f>VLOOKUP($A735,'Medical Examinations'!$A:$J,3,FALSE)</f>
        <v>41.02</v>
      </c>
      <c r="M734">
        <f>VLOOKUP($A734,'Hospitalisation Details'!$A:$K,6,FALSE)</f>
        <v>13880.95</v>
      </c>
      <c r="N734" s="11">
        <f>VLOOKUP($B734,'Hospitalisation Details'!A733:J3077,10,0)</f>
        <v>31312</v>
      </c>
      <c r="O734" t="str">
        <f>VLOOKUP($B734,'Hospitalisation Details'!A733:J3077,8,0)</f>
        <v>tier - 2</v>
      </c>
      <c r="P734" t="str">
        <f>VLOOKUP($B734,'Hospitalisation Details'!A733:J3077,7,0)</f>
        <v>tier - 2</v>
      </c>
      <c r="Q734" t="str">
        <f>VLOOKUP($B734,'Hospitalisation Details'!A733:J3077,9,0)</f>
        <v>R1012</v>
      </c>
      <c r="R734">
        <f>VLOOKUP($B734,'Hospitalisation Details'!A733:K3077,11,0)</f>
        <v>37</v>
      </c>
    </row>
    <row r="735" spans="1:18" x14ac:dyDescent="0.35">
      <c r="A735" t="s">
        <v>1637</v>
      </c>
      <c r="B735" t="s">
        <v>766</v>
      </c>
      <c r="C735" t="str">
        <f>VLOOKUP($A735,'Customer Names'!$A:$E,4,FALSE)</f>
        <v>Tracy</v>
      </c>
      <c r="D735" t="str">
        <f>VLOOKUP($A735,'Medical Examinations'!$A:$J,2,FALSE)</f>
        <v>Obesity</v>
      </c>
      <c r="E735">
        <f>VLOOKUP($A735,'Medical Examinations'!$A:$J,4,FALSE)</f>
        <v>11.37</v>
      </c>
      <c r="F735" t="str">
        <f>VLOOKUP($A735,'Medical Examinations'!$A:$J,6,FALSE)</f>
        <v>No</v>
      </c>
      <c r="G735" t="str">
        <f>VLOOKUP($A735,'Medical Examinations'!$A:$J,7,FALSE)</f>
        <v>No</v>
      </c>
      <c r="H735" t="str">
        <f>VLOOKUP($A735,'Medical Examinations'!$A:$J,8,FALSE)</f>
        <v>No</v>
      </c>
      <c r="I735">
        <f>VLOOKUP($A735,'Medical Examinations'!$A:$J,9,FALSE)</f>
        <v>0</v>
      </c>
      <c r="J735" t="str">
        <f>VLOOKUP($A735,'Medical Examinations'!$A:$J,10,FALSE)</f>
        <v>No</v>
      </c>
      <c r="K735" t="str">
        <f>VLOOKUP($A735,'Medical Examinations'!$A:$J,5,FALSE)</f>
        <v>Diabetes</v>
      </c>
      <c r="L735">
        <f>VLOOKUP($A736,'Medical Examinations'!$A:$J,3,FALSE)</f>
        <v>32.68</v>
      </c>
      <c r="M735">
        <f>VLOOKUP($A735,'Hospitalisation Details'!$A:$K,6,FALSE)</f>
        <v>13874.89</v>
      </c>
      <c r="N735" s="11">
        <f>VLOOKUP($B735,'Hospitalisation Details'!A734:J3078,10,0)</f>
        <v>36413</v>
      </c>
      <c r="O735" t="str">
        <f>VLOOKUP($B735,'Hospitalisation Details'!A734:J3078,8,0)</f>
        <v>tier - 2</v>
      </c>
      <c r="P735" t="str">
        <f>VLOOKUP($B735,'Hospitalisation Details'!A734:J3078,7,0)</f>
        <v>tier - 2</v>
      </c>
      <c r="Q735" t="str">
        <f>VLOOKUP($B735,'Hospitalisation Details'!A734:J3078,9,0)</f>
        <v>R1026</v>
      </c>
      <c r="R735">
        <f>VLOOKUP($B735,'Hospitalisation Details'!A734:K3078,11,0)</f>
        <v>23</v>
      </c>
    </row>
    <row r="736" spans="1:18" x14ac:dyDescent="0.35">
      <c r="A736" t="s">
        <v>1636</v>
      </c>
      <c r="B736" t="s">
        <v>767</v>
      </c>
      <c r="C736" t="str">
        <f>VLOOKUP($A736,'Customer Names'!$A:$E,4,FALSE)</f>
        <v>Emily S</v>
      </c>
      <c r="D736" t="str">
        <f>VLOOKUP($A736,'Medical Examinations'!$A:$J,2,FALSE)</f>
        <v>Obesity</v>
      </c>
      <c r="E736">
        <f>VLOOKUP($A736,'Medical Examinations'!$A:$J,4,FALSE)</f>
        <v>11.87</v>
      </c>
      <c r="F736" t="str">
        <f>VLOOKUP($A736,'Medical Examinations'!$A:$J,6,FALSE)</f>
        <v>No</v>
      </c>
      <c r="G736" t="str">
        <f>VLOOKUP($A736,'Medical Examinations'!$A:$J,7,FALSE)</f>
        <v>No</v>
      </c>
      <c r="H736" t="str">
        <f>VLOOKUP($A736,'Medical Examinations'!$A:$J,8,FALSE)</f>
        <v>No</v>
      </c>
      <c r="I736">
        <f>VLOOKUP($A736,'Medical Examinations'!$A:$J,9,FALSE)</f>
        <v>0</v>
      </c>
      <c r="J736" t="str">
        <f>VLOOKUP($A736,'Medical Examinations'!$A:$J,10,FALSE)</f>
        <v>No</v>
      </c>
      <c r="K736" t="str">
        <f>VLOOKUP($A736,'Medical Examinations'!$A:$J,5,FALSE)</f>
        <v>Diabetes</v>
      </c>
      <c r="L736">
        <f>VLOOKUP($A737,'Medical Examinations'!$A:$J,3,FALSE)</f>
        <v>21.7</v>
      </c>
      <c r="M736">
        <f>VLOOKUP($A736,'Hospitalisation Details'!$A:$K,6,FALSE)</f>
        <v>13844.8</v>
      </c>
      <c r="N736" s="11">
        <f>VLOOKUP($B736,'Hospitalisation Details'!A735:J3079,10,0)</f>
        <v>33828</v>
      </c>
      <c r="O736" t="str">
        <f>VLOOKUP($B736,'Hospitalisation Details'!A735:J3079,8,0)</f>
        <v>tier - 1</v>
      </c>
      <c r="P736" t="str">
        <f>VLOOKUP($B736,'Hospitalisation Details'!A735:J3079,7,0)</f>
        <v>tier - 2</v>
      </c>
      <c r="Q736" t="str">
        <f>VLOOKUP($B736,'Hospitalisation Details'!A735:J3079,9,0)</f>
        <v>R1021</v>
      </c>
      <c r="R736">
        <f>VLOOKUP($B736,'Hospitalisation Details'!A735:K3079,11,0)</f>
        <v>30</v>
      </c>
    </row>
    <row r="737" spans="1:18" x14ac:dyDescent="0.35">
      <c r="A737" t="s">
        <v>1635</v>
      </c>
      <c r="B737" t="s">
        <v>768</v>
      </c>
      <c r="C737" t="str">
        <f>VLOOKUP($A737,'Customer Names'!$A:$E,4,FALSE)</f>
        <v>Kelly R</v>
      </c>
      <c r="D737" t="str">
        <f>VLOOKUP($A737,'Medical Examinations'!$A:$J,2,FALSE)</f>
        <v>Normal Weight</v>
      </c>
      <c r="E737">
        <f>VLOOKUP($A737,'Medical Examinations'!$A:$J,4,FALSE)</f>
        <v>4.9000000000000004</v>
      </c>
      <c r="F737" t="str">
        <f>VLOOKUP($A737,'Medical Examinations'!$A:$J,6,FALSE)</f>
        <v>No</v>
      </c>
      <c r="G737" t="str">
        <f>VLOOKUP($A737,'Medical Examinations'!$A:$J,7,FALSE)</f>
        <v>No</v>
      </c>
      <c r="H737" t="str">
        <f>VLOOKUP($A737,'Medical Examinations'!$A:$J,8,FALSE)</f>
        <v>Yes</v>
      </c>
      <c r="I737">
        <f>VLOOKUP($A737,'Medical Examinations'!$A:$J,9,FALSE)</f>
        <v>1</v>
      </c>
      <c r="J737" t="str">
        <f>VLOOKUP($A737,'Medical Examinations'!$A:$J,10,FALSE)</f>
        <v>yes</v>
      </c>
      <c r="K737" t="str">
        <f>VLOOKUP($A737,'Medical Examinations'!$A:$J,5,FALSE)</f>
        <v>Normal</v>
      </c>
      <c r="L737">
        <f>VLOOKUP($A738,'Medical Examinations'!$A:$J,3,FALSE)</f>
        <v>40.479999999999997</v>
      </c>
      <c r="M737">
        <f>VLOOKUP($A737,'Hospitalisation Details'!$A:$K,6,FALSE)</f>
        <v>13844.51</v>
      </c>
      <c r="N737" s="11">
        <f>VLOOKUP($B737,'Hospitalisation Details'!A736:J3080,10,0)</f>
        <v>26479</v>
      </c>
      <c r="O737" t="str">
        <f>VLOOKUP($B737,'Hospitalisation Details'!A736:J3080,8,0)</f>
        <v>tier - 2</v>
      </c>
      <c r="P737" t="str">
        <f>VLOOKUP($B737,'Hospitalisation Details'!A736:J3080,7,0)</f>
        <v>tier - 2</v>
      </c>
      <c r="Q737" t="str">
        <f>VLOOKUP($B737,'Hospitalisation Details'!A736:J3080,9,0)</f>
        <v>R1013</v>
      </c>
      <c r="R737">
        <f>VLOOKUP($B737,'Hospitalisation Details'!A736:K3080,11,0)</f>
        <v>50</v>
      </c>
    </row>
    <row r="738" spans="1:18" x14ac:dyDescent="0.35">
      <c r="A738" t="s">
        <v>1634</v>
      </c>
      <c r="B738" t="s">
        <v>769</v>
      </c>
      <c r="C738" t="str">
        <f>VLOOKUP($A738,'Customer Names'!$A:$E,4,FALSE)</f>
        <v>Kyle</v>
      </c>
      <c r="D738" t="str">
        <f>VLOOKUP($A738,'Medical Examinations'!$A:$J,2,FALSE)</f>
        <v>Obesity</v>
      </c>
      <c r="E738">
        <f>VLOOKUP($A738,'Medical Examinations'!$A:$J,4,FALSE)</f>
        <v>6.7</v>
      </c>
      <c r="F738" t="str">
        <f>VLOOKUP($A738,'Medical Examinations'!$A:$J,6,FALSE)</f>
        <v>No</v>
      </c>
      <c r="G738" t="str">
        <f>VLOOKUP($A738,'Medical Examinations'!$A:$J,7,FALSE)</f>
        <v>No</v>
      </c>
      <c r="H738" t="str">
        <f>VLOOKUP($A738,'Medical Examinations'!$A:$J,8,FALSE)</f>
        <v>No</v>
      </c>
      <c r="I738">
        <f>VLOOKUP($A738,'Medical Examinations'!$A:$J,9,FALSE)</f>
        <v>3</v>
      </c>
      <c r="J738" t="str">
        <f>VLOOKUP($A738,'Medical Examinations'!$A:$J,10,FALSE)</f>
        <v>No</v>
      </c>
      <c r="K738" t="str">
        <f>VLOOKUP($A738,'Medical Examinations'!$A:$J,5,FALSE)</f>
        <v>Diabetes</v>
      </c>
      <c r="L738">
        <f>VLOOKUP($A739,'Medical Examinations'!$A:$J,3,FALSE)</f>
        <v>34.5</v>
      </c>
      <c r="M738">
        <f>VLOOKUP($A738,'Hospitalisation Details'!$A:$K,6,FALSE)</f>
        <v>13831.12</v>
      </c>
      <c r="N738" s="11">
        <f>VLOOKUP($B738,'Hospitalisation Details'!A737:J3081,10,0)</f>
        <v>28752</v>
      </c>
      <c r="O738" t="str">
        <f>VLOOKUP($B738,'Hospitalisation Details'!A737:J3081,8,0)</f>
        <v>tier - 2</v>
      </c>
      <c r="P738" t="str">
        <f>VLOOKUP($B738,'Hospitalisation Details'!A737:J3081,7,0)</f>
        <v>tier - 2</v>
      </c>
      <c r="Q738" t="str">
        <f>VLOOKUP($B738,'Hospitalisation Details'!A737:J3081,9,0)</f>
        <v>R1013</v>
      </c>
      <c r="R738">
        <f>VLOOKUP($B738,'Hospitalisation Details'!A737:K3081,11,0)</f>
        <v>44</v>
      </c>
    </row>
    <row r="739" spans="1:18" x14ac:dyDescent="0.35">
      <c r="A739" t="s">
        <v>1633</v>
      </c>
      <c r="B739" t="s">
        <v>770</v>
      </c>
      <c r="C739" t="str">
        <f>VLOOKUP($A739,'Customer Names'!$A:$E,4,FALSE)</f>
        <v>Bruce A Jr.</v>
      </c>
      <c r="D739" t="str">
        <f>VLOOKUP($A739,'Medical Examinations'!$A:$J,2,FALSE)</f>
        <v>Obesity</v>
      </c>
      <c r="E739">
        <f>VLOOKUP($A739,'Medical Examinations'!$A:$J,4,FALSE)</f>
        <v>10.3</v>
      </c>
      <c r="F739" t="str">
        <f>VLOOKUP($A739,'Medical Examinations'!$A:$J,6,FALSE)</f>
        <v>No</v>
      </c>
      <c r="G739" t="str">
        <f>VLOOKUP($A739,'Medical Examinations'!$A:$J,7,FALSE)</f>
        <v>No</v>
      </c>
      <c r="H739" t="str">
        <f>VLOOKUP($A739,'Medical Examinations'!$A:$J,8,FALSE)</f>
        <v>No</v>
      </c>
      <c r="I739">
        <f>VLOOKUP($A739,'Medical Examinations'!$A:$J,9,FALSE)</f>
        <v>3</v>
      </c>
      <c r="J739" t="str">
        <f>VLOOKUP($A739,'Medical Examinations'!$A:$J,10,FALSE)</f>
        <v>No</v>
      </c>
      <c r="K739" t="str">
        <f>VLOOKUP($A739,'Medical Examinations'!$A:$J,5,FALSE)</f>
        <v>Diabetes</v>
      </c>
      <c r="L739">
        <f>VLOOKUP($A740,'Medical Examinations'!$A:$J,3,FALSE)</f>
        <v>45.9</v>
      </c>
      <c r="M739">
        <f>VLOOKUP($A739,'Hospitalisation Details'!$A:$K,6,FALSE)</f>
        <v>13822.8</v>
      </c>
      <c r="N739" s="11">
        <f>VLOOKUP($B739,'Hospitalisation Details'!A738:J3082,10,0)</f>
        <v>30539</v>
      </c>
      <c r="O739" t="str">
        <f>VLOOKUP($B739,'Hospitalisation Details'!A738:J3082,8,0)</f>
        <v>tier - 1</v>
      </c>
      <c r="P739" t="str">
        <f>VLOOKUP($B739,'Hospitalisation Details'!A738:J3082,7,0)</f>
        <v>tier - 2</v>
      </c>
      <c r="Q739" t="str">
        <f>VLOOKUP($B739,'Hospitalisation Details'!A738:J3082,9,0)</f>
        <v>R1011</v>
      </c>
      <c r="R739">
        <f>VLOOKUP($B739,'Hospitalisation Details'!A738:K3082,11,0)</f>
        <v>39</v>
      </c>
    </row>
    <row r="740" spans="1:18" x14ac:dyDescent="0.35">
      <c r="A740" t="s">
        <v>1632</v>
      </c>
      <c r="B740" t="s">
        <v>771</v>
      </c>
      <c r="C740" t="str">
        <f>VLOOKUP($A740,'Customer Names'!$A:$E,4,FALSE)</f>
        <v>Cary J</v>
      </c>
      <c r="D740" t="str">
        <f>VLOOKUP($A740,'Medical Examinations'!$A:$J,2,FALSE)</f>
        <v>Obesity</v>
      </c>
      <c r="E740">
        <f>VLOOKUP($A740,'Medical Examinations'!$A:$J,4,FALSE)</f>
        <v>11.14</v>
      </c>
      <c r="F740" t="str">
        <f>VLOOKUP($A740,'Medical Examinations'!$A:$J,6,FALSE)</f>
        <v>yes</v>
      </c>
      <c r="G740" t="str">
        <f>VLOOKUP($A740,'Medical Examinations'!$A:$J,7,FALSE)</f>
        <v>No</v>
      </c>
      <c r="H740" t="str">
        <f>VLOOKUP($A740,'Medical Examinations'!$A:$J,8,FALSE)</f>
        <v>No</v>
      </c>
      <c r="I740">
        <f>VLOOKUP($A740,'Medical Examinations'!$A:$J,9,FALSE)</f>
        <v>1</v>
      </c>
      <c r="J740" t="str">
        <f>VLOOKUP($A740,'Medical Examinations'!$A:$J,10,FALSE)</f>
        <v>No</v>
      </c>
      <c r="K740" t="str">
        <f>VLOOKUP($A740,'Medical Examinations'!$A:$J,5,FALSE)</f>
        <v>Diabetes</v>
      </c>
      <c r="L740">
        <f>VLOOKUP($A741,'Medical Examinations'!$A:$J,3,FALSE)</f>
        <v>33.479999999999997</v>
      </c>
      <c r="M740">
        <f>VLOOKUP($A740,'Hospitalisation Details'!$A:$K,6,FALSE)</f>
        <v>13819.49</v>
      </c>
      <c r="N740" s="11">
        <f>VLOOKUP($B740,'Hospitalisation Details'!A739:J3083,10,0)</f>
        <v>29138</v>
      </c>
      <c r="O740" t="str">
        <f>VLOOKUP($B740,'Hospitalisation Details'!A739:J3083,8,0)</f>
        <v>tier - 1</v>
      </c>
      <c r="P740" t="str">
        <f>VLOOKUP($B740,'Hospitalisation Details'!A739:J3083,7,0)</f>
        <v>tier - 2</v>
      </c>
      <c r="Q740" t="str">
        <f>VLOOKUP($B740,'Hospitalisation Details'!A739:J3083,9,0)</f>
        <v>R1011</v>
      </c>
      <c r="R740">
        <f>VLOOKUP($B740,'Hospitalisation Details'!A739:K3083,11,0)</f>
        <v>43</v>
      </c>
    </row>
    <row r="741" spans="1:18" x14ac:dyDescent="0.35">
      <c r="A741" t="s">
        <v>1631</v>
      </c>
      <c r="B741" t="s">
        <v>772</v>
      </c>
      <c r="C741" t="str">
        <f>VLOOKUP($A741,'Customer Names'!$A:$E,4,FALSE)</f>
        <v>Jill M</v>
      </c>
      <c r="D741" t="str">
        <f>VLOOKUP($A741,'Medical Examinations'!$A:$J,2,FALSE)</f>
        <v>Obesity</v>
      </c>
      <c r="E741">
        <f>VLOOKUP($A741,'Medical Examinations'!$A:$J,4,FALSE)</f>
        <v>4.74</v>
      </c>
      <c r="F741" t="str">
        <f>VLOOKUP($A741,'Medical Examinations'!$A:$J,6,FALSE)</f>
        <v>yes</v>
      </c>
      <c r="G741" t="str">
        <f>VLOOKUP($A741,'Medical Examinations'!$A:$J,7,FALSE)</f>
        <v>No</v>
      </c>
      <c r="H741" t="str">
        <f>VLOOKUP($A741,'Medical Examinations'!$A:$J,8,FALSE)</f>
        <v>No</v>
      </c>
      <c r="I741">
        <f>VLOOKUP($A741,'Medical Examinations'!$A:$J,9,FALSE)</f>
        <v>2</v>
      </c>
      <c r="J741" t="str">
        <f>VLOOKUP($A741,'Medical Examinations'!$A:$J,10,FALSE)</f>
        <v>No</v>
      </c>
      <c r="K741" t="str">
        <f>VLOOKUP($A741,'Medical Examinations'!$A:$J,5,FALSE)</f>
        <v>Normal</v>
      </c>
      <c r="L741">
        <f>VLOOKUP($A742,'Medical Examinations'!$A:$J,3,FALSE)</f>
        <v>28.31</v>
      </c>
      <c r="M741">
        <f>VLOOKUP($A741,'Hospitalisation Details'!$A:$K,6,FALSE)</f>
        <v>13801.61</v>
      </c>
      <c r="N741" s="11">
        <f>VLOOKUP($B741,'Hospitalisation Details'!A740:J3084,10,0)</f>
        <v>26614</v>
      </c>
      <c r="O741" t="str">
        <f>VLOOKUP($B741,'Hospitalisation Details'!A740:J3084,8,0)</f>
        <v>tier - 2</v>
      </c>
      <c r="P741" t="str">
        <f>VLOOKUP($B741,'Hospitalisation Details'!A740:J3084,7,0)</f>
        <v>tier - 2</v>
      </c>
      <c r="Q741" t="str">
        <f>VLOOKUP($B741,'Hospitalisation Details'!A740:J3084,9,0)</f>
        <v>R1013</v>
      </c>
      <c r="R741">
        <f>VLOOKUP($B741,'Hospitalisation Details'!A740:K3084,11,0)</f>
        <v>50</v>
      </c>
    </row>
    <row r="742" spans="1:18" x14ac:dyDescent="0.35">
      <c r="A742" t="s">
        <v>1630</v>
      </c>
      <c r="B742" t="s">
        <v>773</v>
      </c>
      <c r="C742" t="str">
        <f>VLOOKUP($A742,'Customer Names'!$A:$E,4,FALSE)</f>
        <v>Chris</v>
      </c>
      <c r="D742" t="str">
        <f>VLOOKUP($A742,'Medical Examinations'!$A:$J,2,FALSE)</f>
        <v>Overweight</v>
      </c>
      <c r="E742">
        <f>VLOOKUP($A742,'Medical Examinations'!$A:$J,4,FALSE)</f>
        <v>5.96</v>
      </c>
      <c r="F742" t="str">
        <f>VLOOKUP($A742,'Medical Examinations'!$A:$J,6,FALSE)</f>
        <v>yes</v>
      </c>
      <c r="G742" t="str">
        <f>VLOOKUP($A742,'Medical Examinations'!$A:$J,7,FALSE)</f>
        <v>No</v>
      </c>
      <c r="H742" t="str">
        <f>VLOOKUP($A742,'Medical Examinations'!$A:$J,8,FALSE)</f>
        <v>No</v>
      </c>
      <c r="I742">
        <f>VLOOKUP($A742,'Medical Examinations'!$A:$J,9,FALSE)</f>
        <v>2</v>
      </c>
      <c r="J742" t="str">
        <f>VLOOKUP($A742,'Medical Examinations'!$A:$J,10,FALSE)</f>
        <v>No</v>
      </c>
      <c r="K742" t="str">
        <f>VLOOKUP($A742,'Medical Examinations'!$A:$J,5,FALSE)</f>
        <v>Prediabetes</v>
      </c>
      <c r="L742">
        <f>VLOOKUP($A743,'Medical Examinations'!$A:$J,3,FALSE)</f>
        <v>21.565000000000001</v>
      </c>
      <c r="M742">
        <f>VLOOKUP($A742,'Hospitalisation Details'!$A:$K,6,FALSE)</f>
        <v>13770.1</v>
      </c>
      <c r="N742" s="11">
        <f>VLOOKUP($B742,'Hospitalisation Details'!A741:J3085,10,0)</f>
        <v>26550</v>
      </c>
      <c r="O742" t="str">
        <f>VLOOKUP($B742,'Hospitalisation Details'!A741:J3085,8,0)</f>
        <v>tier - 2</v>
      </c>
      <c r="P742" t="str">
        <f>VLOOKUP($B742,'Hospitalisation Details'!A741:J3085,7,0)</f>
        <v>tier - 2</v>
      </c>
      <c r="Q742" t="str">
        <f>VLOOKUP($B742,'Hospitalisation Details'!A741:J3085,9,0)</f>
        <v>R1012</v>
      </c>
      <c r="R742">
        <f>VLOOKUP($B742,'Hospitalisation Details'!A741:K3085,11,0)</f>
        <v>50</v>
      </c>
    </row>
    <row r="743" spans="1:18" x14ac:dyDescent="0.35">
      <c r="A743" t="s">
        <v>1629</v>
      </c>
      <c r="B743" t="s">
        <v>774</v>
      </c>
      <c r="C743" t="str">
        <f>VLOOKUP($A743,'Customer Names'!$A:$E,4,FALSE)</f>
        <v>Michael E.</v>
      </c>
      <c r="D743" t="str">
        <f>VLOOKUP($A743,'Medical Examinations'!$A:$J,2,FALSE)</f>
        <v>Normal Weight</v>
      </c>
      <c r="E743">
        <f>VLOOKUP($A743,'Medical Examinations'!$A:$J,4,FALSE)</f>
        <v>4.95</v>
      </c>
      <c r="F743" t="str">
        <f>VLOOKUP($A743,'Medical Examinations'!$A:$J,6,FALSE)</f>
        <v>No</v>
      </c>
      <c r="G743" t="str">
        <f>VLOOKUP($A743,'Medical Examinations'!$A:$J,7,FALSE)</f>
        <v>yes</v>
      </c>
      <c r="H743" t="str">
        <f>VLOOKUP($A743,'Medical Examinations'!$A:$J,8,FALSE)</f>
        <v>No</v>
      </c>
      <c r="I743">
        <f>VLOOKUP($A743,'Medical Examinations'!$A:$J,9,FALSE)</f>
        <v>1</v>
      </c>
      <c r="J743" t="str">
        <f>VLOOKUP($A743,'Medical Examinations'!$A:$J,10,FALSE)</f>
        <v>yes</v>
      </c>
      <c r="K743" t="str">
        <f>VLOOKUP($A743,'Medical Examinations'!$A:$J,5,FALSE)</f>
        <v>Normal</v>
      </c>
      <c r="L743">
        <f>VLOOKUP($A744,'Medical Examinations'!$A:$J,3,FALSE)</f>
        <v>35.590000000000003</v>
      </c>
      <c r="M743">
        <f>VLOOKUP($A743,'Hospitalisation Details'!$A:$K,6,FALSE)</f>
        <v>13747.87</v>
      </c>
      <c r="N743" s="11">
        <f>VLOOKUP($B743,'Hospitalisation Details'!A742:J3086,10,0)</f>
        <v>25852</v>
      </c>
      <c r="O743" t="str">
        <f>VLOOKUP($B743,'Hospitalisation Details'!A742:J3086,8,0)</f>
        <v>tier - 2</v>
      </c>
      <c r="P743" t="str">
        <f>VLOOKUP($B743,'Hospitalisation Details'!A742:J3086,7,0)</f>
        <v>tier - 2</v>
      </c>
      <c r="Q743" t="str">
        <f>VLOOKUP($B743,'Hospitalisation Details'!A742:J3086,9,0)</f>
        <v>R1013</v>
      </c>
      <c r="R743">
        <f>VLOOKUP($B743,'Hospitalisation Details'!A742:K3086,11,0)</f>
        <v>52</v>
      </c>
    </row>
    <row r="744" spans="1:18" x14ac:dyDescent="0.35">
      <c r="A744" t="s">
        <v>1628</v>
      </c>
      <c r="B744" t="s">
        <v>775</v>
      </c>
      <c r="C744" t="str">
        <f>VLOOKUP($A744,'Customer Names'!$A:$E,4,FALSE)</f>
        <v>Lauren</v>
      </c>
      <c r="D744" t="str">
        <f>VLOOKUP($A744,'Medical Examinations'!$A:$J,2,FALSE)</f>
        <v>Obesity</v>
      </c>
      <c r="E744">
        <f>VLOOKUP($A744,'Medical Examinations'!$A:$J,4,FALSE)</f>
        <v>5.21</v>
      </c>
      <c r="F744" t="str">
        <f>VLOOKUP($A744,'Medical Examinations'!$A:$J,6,FALSE)</f>
        <v>yes</v>
      </c>
      <c r="G744" t="str">
        <f>VLOOKUP($A744,'Medical Examinations'!$A:$J,7,FALSE)</f>
        <v>No</v>
      </c>
      <c r="H744" t="str">
        <f>VLOOKUP($A744,'Medical Examinations'!$A:$J,8,FALSE)</f>
        <v>Yes</v>
      </c>
      <c r="I744">
        <f>VLOOKUP($A744,'Medical Examinations'!$A:$J,9,FALSE)</f>
        <v>1</v>
      </c>
      <c r="J744" t="str">
        <f>VLOOKUP($A744,'Medical Examinations'!$A:$J,10,FALSE)</f>
        <v>No</v>
      </c>
      <c r="K744" t="str">
        <f>VLOOKUP($A744,'Medical Examinations'!$A:$J,5,FALSE)</f>
        <v>Normal</v>
      </c>
      <c r="L744">
        <f>VLOOKUP($A745,'Medical Examinations'!$A:$J,3,FALSE)</f>
        <v>43.44</v>
      </c>
      <c r="M744">
        <f>VLOOKUP($A744,'Hospitalisation Details'!$A:$K,6,FALSE)</f>
        <v>13746.74</v>
      </c>
      <c r="N744" s="11">
        <f>VLOOKUP($B744,'Hospitalisation Details'!A743:J3087,10,0)</f>
        <v>34989</v>
      </c>
      <c r="O744" t="str">
        <f>VLOOKUP($B744,'Hospitalisation Details'!A743:J3087,8,0)</f>
        <v>tier - 1</v>
      </c>
      <c r="P744" t="str">
        <f>VLOOKUP($B744,'Hospitalisation Details'!A743:J3087,7,0)</f>
        <v>tier - 2</v>
      </c>
      <c r="Q744" t="str">
        <f>VLOOKUP($B744,'Hospitalisation Details'!A743:J3087,9,0)</f>
        <v>R1026</v>
      </c>
      <c r="R744">
        <f>VLOOKUP($B744,'Hospitalisation Details'!A743:K3087,11,0)</f>
        <v>27</v>
      </c>
    </row>
    <row r="745" spans="1:18" x14ac:dyDescent="0.35">
      <c r="A745" t="s">
        <v>1627</v>
      </c>
      <c r="B745" t="s">
        <v>776</v>
      </c>
      <c r="C745" t="str">
        <f>VLOOKUP($A745,'Customer Names'!$A:$E,4,FALSE)</f>
        <v>Kathryn E</v>
      </c>
      <c r="D745" t="str">
        <f>VLOOKUP($A745,'Medical Examinations'!$A:$J,2,FALSE)</f>
        <v>Obesity</v>
      </c>
      <c r="E745">
        <f>VLOOKUP($A745,'Medical Examinations'!$A:$J,4,FALSE)</f>
        <v>4.8600000000000003</v>
      </c>
      <c r="F745" t="str">
        <f>VLOOKUP($A745,'Medical Examinations'!$A:$J,6,FALSE)</f>
        <v>yes</v>
      </c>
      <c r="G745" t="str">
        <f>VLOOKUP($A745,'Medical Examinations'!$A:$J,7,FALSE)</f>
        <v>No</v>
      </c>
      <c r="H745" t="str">
        <f>VLOOKUP($A745,'Medical Examinations'!$A:$J,8,FALSE)</f>
        <v>No</v>
      </c>
      <c r="I745">
        <f>VLOOKUP($A745,'Medical Examinations'!$A:$J,9,FALSE)</f>
        <v>0</v>
      </c>
      <c r="J745" t="str">
        <f>VLOOKUP($A745,'Medical Examinations'!$A:$J,10,FALSE)</f>
        <v>No</v>
      </c>
      <c r="K745" t="str">
        <f>VLOOKUP($A745,'Medical Examinations'!$A:$J,5,FALSE)</f>
        <v>Normal</v>
      </c>
      <c r="L745">
        <f>VLOOKUP($A746,'Medical Examinations'!$A:$J,3,FALSE)</f>
        <v>21.754999999999999</v>
      </c>
      <c r="M745">
        <f>VLOOKUP($A745,'Hospitalisation Details'!$A:$K,6,FALSE)</f>
        <v>13726.21</v>
      </c>
      <c r="N745" s="11">
        <f>VLOOKUP($B745,'Hospitalisation Details'!A744:J3088,10,0)</f>
        <v>30950</v>
      </c>
      <c r="O745" t="str">
        <f>VLOOKUP($B745,'Hospitalisation Details'!A744:J3088,8,0)</f>
        <v>tier - 1</v>
      </c>
      <c r="P745" t="str">
        <f>VLOOKUP($B745,'Hospitalisation Details'!A744:J3088,7,0)</f>
        <v>tier - 2</v>
      </c>
      <c r="Q745" t="str">
        <f>VLOOKUP($B745,'Hospitalisation Details'!A744:J3088,9,0)</f>
        <v>R1013</v>
      </c>
      <c r="R745">
        <f>VLOOKUP($B745,'Hospitalisation Details'!A744:K3088,11,0)</f>
        <v>38</v>
      </c>
    </row>
    <row r="746" spans="1:18" x14ac:dyDescent="0.35">
      <c r="A746" t="s">
        <v>1626</v>
      </c>
      <c r="B746" t="s">
        <v>777</v>
      </c>
      <c r="C746" t="str">
        <f>VLOOKUP($A746,'Customer Names'!$A:$E,4,FALSE)</f>
        <v>Polly</v>
      </c>
      <c r="D746" t="str">
        <f>VLOOKUP($A746,'Medical Examinations'!$A:$J,2,FALSE)</f>
        <v>Normal Weight</v>
      </c>
      <c r="E746">
        <f>VLOOKUP($A746,'Medical Examinations'!$A:$J,4,FALSE)</f>
        <v>7.79</v>
      </c>
      <c r="F746" t="str">
        <f>VLOOKUP($A746,'Medical Examinations'!$A:$J,6,FALSE)</f>
        <v>yes</v>
      </c>
      <c r="G746" t="str">
        <f>VLOOKUP($A746,'Medical Examinations'!$A:$J,7,FALSE)</f>
        <v>No</v>
      </c>
      <c r="H746" t="str">
        <f>VLOOKUP($A746,'Medical Examinations'!$A:$J,8,FALSE)</f>
        <v>No</v>
      </c>
      <c r="I746">
        <f>VLOOKUP($A746,'Medical Examinations'!$A:$J,9,FALSE)</f>
        <v>0</v>
      </c>
      <c r="J746" t="str">
        <f>VLOOKUP($A746,'Medical Examinations'!$A:$J,10,FALSE)</f>
        <v>No</v>
      </c>
      <c r="K746" t="str">
        <f>VLOOKUP($A746,'Medical Examinations'!$A:$J,5,FALSE)</f>
        <v>Diabetes</v>
      </c>
      <c r="L746">
        <f>VLOOKUP($A747,'Medical Examinations'!$A:$J,3,FALSE)</f>
        <v>44.55</v>
      </c>
      <c r="M746">
        <f>VLOOKUP($A746,'Hospitalisation Details'!$A:$K,6,FALSE)</f>
        <v>13725.47</v>
      </c>
      <c r="N746" s="11">
        <f>VLOOKUP($B746,'Hospitalisation Details'!A745:J3089,10,0)</f>
        <v>29767</v>
      </c>
      <c r="O746" t="str">
        <f>VLOOKUP($B746,'Hospitalisation Details'!A745:J3089,8,0)</f>
        <v>tier - 3</v>
      </c>
      <c r="P746" t="str">
        <f>VLOOKUP($B746,'Hospitalisation Details'!A745:J3089,7,0)</f>
        <v>tier - 1</v>
      </c>
      <c r="Q746" t="str">
        <f>VLOOKUP($B746,'Hospitalisation Details'!A745:J3089,9,0)</f>
        <v>R1013</v>
      </c>
      <c r="R746">
        <f>VLOOKUP($B746,'Hospitalisation Details'!A745:K3089,11,0)</f>
        <v>41</v>
      </c>
    </row>
    <row r="747" spans="1:18" x14ac:dyDescent="0.35">
      <c r="A747" t="s">
        <v>1625</v>
      </c>
      <c r="B747" t="s">
        <v>778</v>
      </c>
      <c r="C747" t="str">
        <f>VLOOKUP($A747,'Customer Names'!$A:$E,4,FALSE)</f>
        <v>Mark H.</v>
      </c>
      <c r="D747" t="str">
        <f>VLOOKUP($A747,'Medical Examinations'!$A:$J,2,FALSE)</f>
        <v>Obesity</v>
      </c>
      <c r="E747">
        <f>VLOOKUP($A747,'Medical Examinations'!$A:$J,4,FALSE)</f>
        <v>7.12</v>
      </c>
      <c r="F747" t="str">
        <f>VLOOKUP($A747,'Medical Examinations'!$A:$J,6,FALSE)</f>
        <v>yes</v>
      </c>
      <c r="G747" t="str">
        <f>VLOOKUP($A747,'Medical Examinations'!$A:$J,7,FALSE)</f>
        <v>No</v>
      </c>
      <c r="H747" t="str">
        <f>VLOOKUP($A747,'Medical Examinations'!$A:$J,8,FALSE)</f>
        <v>No</v>
      </c>
      <c r="I747">
        <f>VLOOKUP($A747,'Medical Examinations'!$A:$J,9,FALSE)</f>
        <v>1</v>
      </c>
      <c r="J747" t="str">
        <f>VLOOKUP($A747,'Medical Examinations'!$A:$J,10,FALSE)</f>
        <v>No</v>
      </c>
      <c r="K747" t="str">
        <f>VLOOKUP($A747,'Medical Examinations'!$A:$J,5,FALSE)</f>
        <v>Diabetes</v>
      </c>
      <c r="L747">
        <f>VLOOKUP($A748,'Medical Examinations'!$A:$J,3,FALSE)</f>
        <v>43.32</v>
      </c>
      <c r="M747">
        <f>VLOOKUP($A747,'Hospitalisation Details'!$A:$K,6,FALSE)</f>
        <v>13714.55</v>
      </c>
      <c r="N747" s="11">
        <f>VLOOKUP($B747,'Hospitalisation Details'!A746:J3090,10,0)</f>
        <v>34258</v>
      </c>
      <c r="O747" t="str">
        <f>VLOOKUP($B747,'Hospitalisation Details'!A746:J3090,8,0)</f>
        <v>tier - 1</v>
      </c>
      <c r="P747" t="str">
        <f>VLOOKUP($B747,'Hospitalisation Details'!A746:J3090,7,0)</f>
        <v>tier - 2</v>
      </c>
      <c r="Q747" t="str">
        <f>VLOOKUP($B747,'Hospitalisation Details'!A746:J3090,9,0)</f>
        <v>R1025</v>
      </c>
      <c r="R747">
        <f>VLOOKUP($B747,'Hospitalisation Details'!A746:K3090,11,0)</f>
        <v>29</v>
      </c>
    </row>
    <row r="748" spans="1:18" x14ac:dyDescent="0.35">
      <c r="A748" t="s">
        <v>1624</v>
      </c>
      <c r="B748" t="s">
        <v>779</v>
      </c>
      <c r="C748" t="str">
        <f>VLOOKUP($A748,'Customer Names'!$A:$E,4,FALSE)</f>
        <v>Jessie M.</v>
      </c>
      <c r="D748" t="str">
        <f>VLOOKUP($A748,'Medical Examinations'!$A:$J,2,FALSE)</f>
        <v>Obesity</v>
      </c>
      <c r="E748">
        <f>VLOOKUP($A748,'Medical Examinations'!$A:$J,4,FALSE)</f>
        <v>4.67</v>
      </c>
      <c r="F748" t="str">
        <f>VLOOKUP($A748,'Medical Examinations'!$A:$J,6,FALSE)</f>
        <v>yes</v>
      </c>
      <c r="G748" t="str">
        <f>VLOOKUP($A748,'Medical Examinations'!$A:$J,7,FALSE)</f>
        <v>No</v>
      </c>
      <c r="H748" t="str">
        <f>VLOOKUP($A748,'Medical Examinations'!$A:$J,8,FALSE)</f>
        <v>No</v>
      </c>
      <c r="I748">
        <f>VLOOKUP($A748,'Medical Examinations'!$A:$J,9,FALSE)</f>
        <v>0</v>
      </c>
      <c r="J748" t="str">
        <f>VLOOKUP($A748,'Medical Examinations'!$A:$J,10,FALSE)</f>
        <v>No</v>
      </c>
      <c r="K748" t="str">
        <f>VLOOKUP($A748,'Medical Examinations'!$A:$J,5,FALSE)</f>
        <v>Normal</v>
      </c>
      <c r="L748">
        <f>VLOOKUP($A749,'Medical Examinations'!$A:$J,3,FALSE)</f>
        <v>31.23</v>
      </c>
      <c r="M748">
        <f>VLOOKUP($A748,'Hospitalisation Details'!$A:$K,6,FALSE)</f>
        <v>13685.51</v>
      </c>
      <c r="N748" s="11">
        <f>VLOOKUP($B748,'Hospitalisation Details'!A747:J3091,10,0)</f>
        <v>29914</v>
      </c>
      <c r="O748" t="str">
        <f>VLOOKUP($B748,'Hospitalisation Details'!A747:J3091,8,0)</f>
        <v>tier - 1</v>
      </c>
      <c r="P748" t="str">
        <f>VLOOKUP($B748,'Hospitalisation Details'!A747:J3091,7,0)</f>
        <v>tier - 2</v>
      </c>
      <c r="Q748" t="str">
        <f>VLOOKUP($B748,'Hospitalisation Details'!A747:J3091,9,0)</f>
        <v>R1011</v>
      </c>
      <c r="R748">
        <f>VLOOKUP($B748,'Hospitalisation Details'!A747:K3091,11,0)</f>
        <v>41</v>
      </c>
    </row>
    <row r="749" spans="1:18" x14ac:dyDescent="0.35">
      <c r="A749" t="s">
        <v>1623</v>
      </c>
      <c r="B749" t="s">
        <v>780</v>
      </c>
      <c r="C749" t="str">
        <f>VLOOKUP($A749,'Customer Names'!$A:$E,4,FALSE)</f>
        <v>Chris</v>
      </c>
      <c r="D749" t="str">
        <f>VLOOKUP($A749,'Medical Examinations'!$A:$J,2,FALSE)</f>
        <v>Obesity</v>
      </c>
      <c r="E749">
        <f>VLOOKUP($A749,'Medical Examinations'!$A:$J,4,FALSE)</f>
        <v>9.1199999999999992</v>
      </c>
      <c r="F749" t="str">
        <f>VLOOKUP($A749,'Medical Examinations'!$A:$J,6,FALSE)</f>
        <v>yes</v>
      </c>
      <c r="G749" t="str">
        <f>VLOOKUP($A749,'Medical Examinations'!$A:$J,7,FALSE)</f>
        <v>No</v>
      </c>
      <c r="H749" t="str">
        <f>VLOOKUP($A749,'Medical Examinations'!$A:$J,8,FALSE)</f>
        <v>Yes</v>
      </c>
      <c r="I749">
        <f>VLOOKUP($A749,'Medical Examinations'!$A:$J,9,FALSE)</f>
        <v>1</v>
      </c>
      <c r="J749" t="str">
        <f>VLOOKUP($A749,'Medical Examinations'!$A:$J,10,FALSE)</f>
        <v>No</v>
      </c>
      <c r="K749" t="str">
        <f>VLOOKUP($A749,'Medical Examinations'!$A:$J,5,FALSE)</f>
        <v>Diabetes</v>
      </c>
      <c r="L749">
        <f>VLOOKUP($A750,'Medical Examinations'!$A:$J,3,FALSE)</f>
        <v>42.81</v>
      </c>
      <c r="M749">
        <f>VLOOKUP($A749,'Hospitalisation Details'!$A:$K,6,FALSE)</f>
        <v>13677.68</v>
      </c>
      <c r="N749" s="11">
        <f>VLOOKUP($B749,'Hospitalisation Details'!A748:J3092,10,0)</f>
        <v>29824</v>
      </c>
      <c r="O749" t="str">
        <f>VLOOKUP($B749,'Hospitalisation Details'!A748:J3092,8,0)</f>
        <v>tier - 3</v>
      </c>
      <c r="P749" t="str">
        <f>VLOOKUP($B749,'Hospitalisation Details'!A748:J3092,7,0)</f>
        <v>tier - 2</v>
      </c>
      <c r="Q749" t="str">
        <f>VLOOKUP($B749,'Hospitalisation Details'!A748:J3092,9,0)</f>
        <v>R1013</v>
      </c>
      <c r="R749">
        <f>VLOOKUP($B749,'Hospitalisation Details'!A748:K3092,11,0)</f>
        <v>41</v>
      </c>
    </row>
    <row r="750" spans="1:18" x14ac:dyDescent="0.35">
      <c r="A750" t="s">
        <v>1622</v>
      </c>
      <c r="B750" t="s">
        <v>781</v>
      </c>
      <c r="C750" t="str">
        <f>VLOOKUP($A750,'Customer Names'!$A:$E,4,FALSE)</f>
        <v>Daniel</v>
      </c>
      <c r="D750" t="str">
        <f>VLOOKUP($A750,'Medical Examinations'!$A:$J,2,FALSE)</f>
        <v>Obesity</v>
      </c>
      <c r="E750">
        <f>VLOOKUP($A750,'Medical Examinations'!$A:$J,4,FALSE)</f>
        <v>4.1500000000000004</v>
      </c>
      <c r="F750" t="str">
        <f>VLOOKUP($A750,'Medical Examinations'!$A:$J,6,FALSE)</f>
        <v>No</v>
      </c>
      <c r="G750" t="str">
        <f>VLOOKUP($A750,'Medical Examinations'!$A:$J,7,FALSE)</f>
        <v>No</v>
      </c>
      <c r="H750" t="str">
        <f>VLOOKUP($A750,'Medical Examinations'!$A:$J,8,FALSE)</f>
        <v>No</v>
      </c>
      <c r="I750">
        <f>VLOOKUP($A750,'Medical Examinations'!$A:$J,9,FALSE)</f>
        <v>1</v>
      </c>
      <c r="J750" t="str">
        <f>VLOOKUP($A750,'Medical Examinations'!$A:$J,10,FALSE)</f>
        <v>No</v>
      </c>
      <c r="K750" t="str">
        <f>VLOOKUP($A750,'Medical Examinations'!$A:$J,5,FALSE)</f>
        <v>Normal</v>
      </c>
      <c r="L750">
        <f>VLOOKUP($A751,'Medical Examinations'!$A:$J,3,FALSE)</f>
        <v>35.909999999999997</v>
      </c>
      <c r="M750">
        <f>VLOOKUP($A750,'Hospitalisation Details'!$A:$K,6,FALSE)</f>
        <v>13638.06</v>
      </c>
      <c r="N750" s="11">
        <f>VLOOKUP($B750,'Hospitalisation Details'!A749:J3093,10,0)</f>
        <v>35250</v>
      </c>
      <c r="O750" t="str">
        <f>VLOOKUP($B750,'Hospitalisation Details'!A749:J3093,8,0)</f>
        <v>tier - 3</v>
      </c>
      <c r="P750" t="str">
        <f>VLOOKUP($B750,'Hospitalisation Details'!A749:J3093,7,0)</f>
        <v>tier - 2</v>
      </c>
      <c r="Q750" t="str">
        <f>VLOOKUP($B750,'Hospitalisation Details'!A749:J3093,9,0)</f>
        <v>R1021</v>
      </c>
      <c r="R750">
        <f>VLOOKUP($B750,'Hospitalisation Details'!A749:K3093,11,0)</f>
        <v>26</v>
      </c>
    </row>
    <row r="751" spans="1:18" x14ac:dyDescent="0.35">
      <c r="A751" t="s">
        <v>1621</v>
      </c>
      <c r="B751" t="s">
        <v>782</v>
      </c>
      <c r="C751" t="str">
        <f>VLOOKUP($A751,'Customer Names'!$A:$E,4,FALSE)</f>
        <v>Megan</v>
      </c>
      <c r="D751" t="str">
        <f>VLOOKUP($A751,'Medical Examinations'!$A:$J,2,FALSE)</f>
        <v>Obesity</v>
      </c>
      <c r="E751">
        <f>VLOOKUP($A751,'Medical Examinations'!$A:$J,4,FALSE)</f>
        <v>6.72</v>
      </c>
      <c r="F751" t="str">
        <f>VLOOKUP($A751,'Medical Examinations'!$A:$J,6,FALSE)</f>
        <v>yes</v>
      </c>
      <c r="G751" t="str">
        <f>VLOOKUP($A751,'Medical Examinations'!$A:$J,7,FALSE)</f>
        <v>No</v>
      </c>
      <c r="H751" t="str">
        <f>VLOOKUP($A751,'Medical Examinations'!$A:$J,8,FALSE)</f>
        <v>No</v>
      </c>
      <c r="I751">
        <f>VLOOKUP($A751,'Medical Examinations'!$A:$J,9,FALSE)</f>
        <v>2</v>
      </c>
      <c r="J751" t="str">
        <f>VLOOKUP($A751,'Medical Examinations'!$A:$J,10,FALSE)</f>
        <v>No</v>
      </c>
      <c r="K751" t="str">
        <f>VLOOKUP($A751,'Medical Examinations'!$A:$J,5,FALSE)</f>
        <v>Diabetes</v>
      </c>
      <c r="L751">
        <f>VLOOKUP($A752,'Medical Examinations'!$A:$J,3,FALSE)</f>
        <v>36.65</v>
      </c>
      <c r="M751">
        <f>VLOOKUP($A751,'Hospitalisation Details'!$A:$K,6,FALSE)</f>
        <v>13635.64</v>
      </c>
      <c r="N751" s="11">
        <f>VLOOKUP($B751,'Hospitalisation Details'!A750:J3094,10,0)</f>
        <v>27289</v>
      </c>
      <c r="O751" t="str">
        <f>VLOOKUP($B751,'Hospitalisation Details'!A750:J3094,8,0)</f>
        <v>tier - 1</v>
      </c>
      <c r="P751" t="str">
        <f>VLOOKUP($B751,'Hospitalisation Details'!A750:J3094,7,0)</f>
        <v>tier - 2</v>
      </c>
      <c r="Q751" t="str">
        <f>VLOOKUP($B751,'Hospitalisation Details'!A750:J3094,9,0)</f>
        <v>R1013</v>
      </c>
      <c r="R751">
        <f>VLOOKUP($B751,'Hospitalisation Details'!A750:K3094,11,0)</f>
        <v>48</v>
      </c>
    </row>
    <row r="752" spans="1:18" x14ac:dyDescent="0.35">
      <c r="A752" t="s">
        <v>1620</v>
      </c>
      <c r="B752" t="s">
        <v>783</v>
      </c>
      <c r="C752" t="str">
        <f>VLOOKUP($A752,'Customer Names'!$A:$E,4,FALSE)</f>
        <v>Kevin</v>
      </c>
      <c r="D752" t="str">
        <f>VLOOKUP($A752,'Medical Examinations'!$A:$J,2,FALSE)</f>
        <v>Obesity</v>
      </c>
      <c r="E752">
        <f>VLOOKUP($A752,'Medical Examinations'!$A:$J,4,FALSE)</f>
        <v>5.01</v>
      </c>
      <c r="F752" t="str">
        <f>VLOOKUP($A752,'Medical Examinations'!$A:$J,6,FALSE)</f>
        <v>yes</v>
      </c>
      <c r="G752" t="str">
        <f>VLOOKUP($A752,'Medical Examinations'!$A:$J,7,FALSE)</f>
        <v>No</v>
      </c>
      <c r="H752" t="str">
        <f>VLOOKUP($A752,'Medical Examinations'!$A:$J,8,FALSE)</f>
        <v>Yes</v>
      </c>
      <c r="I752">
        <f>VLOOKUP($A752,'Medical Examinations'!$A:$J,9,FALSE)</f>
        <v>1</v>
      </c>
      <c r="J752" t="str">
        <f>VLOOKUP($A752,'Medical Examinations'!$A:$J,10,FALSE)</f>
        <v>No</v>
      </c>
      <c r="K752" t="str">
        <f>VLOOKUP($A752,'Medical Examinations'!$A:$J,5,FALSE)</f>
        <v>Normal</v>
      </c>
      <c r="L752">
        <f>VLOOKUP($A753,'Medical Examinations'!$A:$J,3,FALSE)</f>
        <v>22.04</v>
      </c>
      <c r="M752">
        <f>VLOOKUP($A752,'Hospitalisation Details'!$A:$K,6,FALSE)</f>
        <v>13622.01</v>
      </c>
      <c r="N752" s="11">
        <f>VLOOKUP($B752,'Hospitalisation Details'!A751:J3095,10,0)</f>
        <v>25450</v>
      </c>
      <c r="O752" t="str">
        <f>VLOOKUP($B752,'Hospitalisation Details'!A751:J3095,8,0)</f>
        <v>tier - 2</v>
      </c>
      <c r="P752" t="str">
        <f>VLOOKUP($B752,'Hospitalisation Details'!A751:J3095,7,0)</f>
        <v>tier - 2</v>
      </c>
      <c r="Q752" t="str">
        <f>VLOOKUP($B752,'Hospitalisation Details'!A751:J3095,9,0)</f>
        <v>R1012</v>
      </c>
      <c r="R752">
        <f>VLOOKUP($B752,'Hospitalisation Details'!A751:K3095,11,0)</f>
        <v>53</v>
      </c>
    </row>
    <row r="753" spans="1:18" x14ac:dyDescent="0.35">
      <c r="A753" t="s">
        <v>1619</v>
      </c>
      <c r="B753" t="s">
        <v>784</v>
      </c>
      <c r="C753" t="str">
        <f>VLOOKUP($A753,'Customer Names'!$A:$E,4,FALSE)</f>
        <v>Caroline S.</v>
      </c>
      <c r="D753" t="str">
        <f>VLOOKUP($A753,'Medical Examinations'!$A:$J,2,FALSE)</f>
        <v>Normal Weight</v>
      </c>
      <c r="E753">
        <f>VLOOKUP($A753,'Medical Examinations'!$A:$J,4,FALSE)</f>
        <v>10.9</v>
      </c>
      <c r="F753" t="str">
        <f>VLOOKUP($A753,'Medical Examinations'!$A:$J,6,FALSE)</f>
        <v>yes</v>
      </c>
      <c r="G753" t="str">
        <f>VLOOKUP($A753,'Medical Examinations'!$A:$J,7,FALSE)</f>
        <v>No</v>
      </c>
      <c r="H753" t="str">
        <f>VLOOKUP($A753,'Medical Examinations'!$A:$J,8,FALSE)</f>
        <v>No</v>
      </c>
      <c r="I753">
        <f>VLOOKUP($A753,'Medical Examinations'!$A:$J,9,FALSE)</f>
        <v>2</v>
      </c>
      <c r="J753" t="str">
        <f>VLOOKUP($A753,'Medical Examinations'!$A:$J,10,FALSE)</f>
        <v>No</v>
      </c>
      <c r="K753" t="str">
        <f>VLOOKUP($A753,'Medical Examinations'!$A:$J,5,FALSE)</f>
        <v>Diabetes</v>
      </c>
      <c r="L753">
        <f>VLOOKUP($A754,'Medical Examinations'!$A:$J,3,FALSE)</f>
        <v>31.824999999999999</v>
      </c>
      <c r="M753">
        <f>VLOOKUP($A753,'Hospitalisation Details'!$A:$K,6,FALSE)</f>
        <v>13616.36</v>
      </c>
      <c r="N753" s="11">
        <f>VLOOKUP($B753,'Hospitalisation Details'!A752:J3096,10,0)</f>
        <v>38195</v>
      </c>
      <c r="O753" t="str">
        <f>VLOOKUP($B753,'Hospitalisation Details'!A752:J3096,8,0)</f>
        <v>tier - 2</v>
      </c>
      <c r="P753" t="str">
        <f>VLOOKUP($B753,'Hospitalisation Details'!A752:J3096,7,0)</f>
        <v>tier - 2</v>
      </c>
      <c r="Q753" t="str">
        <f>VLOOKUP($B753,'Hospitalisation Details'!A752:J3096,9,0)</f>
        <v>R1011</v>
      </c>
      <c r="R753">
        <f>VLOOKUP($B753,'Hospitalisation Details'!A752:K3096,11,0)</f>
        <v>18</v>
      </c>
    </row>
    <row r="754" spans="1:18" x14ac:dyDescent="0.35">
      <c r="A754" t="s">
        <v>1618</v>
      </c>
      <c r="B754" t="s">
        <v>785</v>
      </c>
      <c r="C754" t="str">
        <f>VLOOKUP($A754,'Customer Names'!$A:$E,4,FALSE)</f>
        <v>Nuta</v>
      </c>
      <c r="D754" t="str">
        <f>VLOOKUP($A754,'Medical Examinations'!$A:$J,2,FALSE)</f>
        <v>Obesity</v>
      </c>
      <c r="E754">
        <f>VLOOKUP($A754,'Medical Examinations'!$A:$J,4,FALSE)</f>
        <v>5.52</v>
      </c>
      <c r="F754" t="str">
        <f>VLOOKUP($A754,'Medical Examinations'!$A:$J,6,FALSE)</f>
        <v>yes</v>
      </c>
      <c r="G754" t="str">
        <f>VLOOKUP($A754,'Medical Examinations'!$A:$J,7,FALSE)</f>
        <v>No</v>
      </c>
      <c r="H754" t="str">
        <f>VLOOKUP($A754,'Medical Examinations'!$A:$J,8,FALSE)</f>
        <v>No</v>
      </c>
      <c r="I754">
        <f>VLOOKUP($A754,'Medical Examinations'!$A:$J,9,FALSE)</f>
        <v>1</v>
      </c>
      <c r="J754" t="str">
        <f>VLOOKUP($A754,'Medical Examinations'!$A:$J,10,FALSE)</f>
        <v>No</v>
      </c>
      <c r="K754" t="str">
        <f>VLOOKUP($A754,'Medical Examinations'!$A:$J,5,FALSE)</f>
        <v>Normal</v>
      </c>
      <c r="L754">
        <f>VLOOKUP($A755,'Medical Examinations'!$A:$J,3,FALSE)</f>
        <v>53.58</v>
      </c>
      <c r="M754">
        <f>VLOOKUP($A754,'Hospitalisation Details'!$A:$K,6,FALSE)</f>
        <v>13607.37</v>
      </c>
      <c r="N754" s="11">
        <f>VLOOKUP($B754,'Hospitalisation Details'!A753:J3097,10,0)</f>
        <v>31370</v>
      </c>
      <c r="O754" t="str">
        <f>VLOOKUP($B754,'Hospitalisation Details'!A753:J3097,8,0)</f>
        <v>tier - 1</v>
      </c>
      <c r="P754" t="str">
        <f>VLOOKUP($B754,'Hospitalisation Details'!A753:J3097,7,0)</f>
        <v>tier - 2</v>
      </c>
      <c r="Q754" t="str">
        <f>VLOOKUP($B754,'Hospitalisation Details'!A753:J3097,9,0)</f>
        <v>R1011</v>
      </c>
      <c r="R754">
        <f>VLOOKUP($B754,'Hospitalisation Details'!A753:K3097,11,0)</f>
        <v>37</v>
      </c>
    </row>
    <row r="755" spans="1:18" x14ac:dyDescent="0.35">
      <c r="A755" t="s">
        <v>1617</v>
      </c>
      <c r="B755" t="s">
        <v>786</v>
      </c>
      <c r="C755" t="str">
        <f>VLOOKUP($A755,'Customer Names'!$A:$E,4,FALSE)</f>
        <v>Margie</v>
      </c>
      <c r="D755" t="str">
        <f>VLOOKUP($A755,'Medical Examinations'!$A:$J,2,FALSE)</f>
        <v>Obesity</v>
      </c>
      <c r="E755">
        <f>VLOOKUP($A755,'Medical Examinations'!$A:$J,4,FALSE)</f>
        <v>4.55</v>
      </c>
      <c r="F755" t="str">
        <f>VLOOKUP($A755,'Medical Examinations'!$A:$J,6,FALSE)</f>
        <v>No</v>
      </c>
      <c r="G755" t="str">
        <f>VLOOKUP($A755,'Medical Examinations'!$A:$J,7,FALSE)</f>
        <v>No</v>
      </c>
      <c r="H755" t="str">
        <f>VLOOKUP($A755,'Medical Examinations'!$A:$J,8,FALSE)</f>
        <v>No</v>
      </c>
      <c r="I755">
        <f>VLOOKUP($A755,'Medical Examinations'!$A:$J,9,FALSE)</f>
        <v>1</v>
      </c>
      <c r="J755" t="str">
        <f>VLOOKUP($A755,'Medical Examinations'!$A:$J,10,FALSE)</f>
        <v>No</v>
      </c>
      <c r="K755" t="str">
        <f>VLOOKUP($A755,'Medical Examinations'!$A:$J,5,FALSE)</f>
        <v>Normal</v>
      </c>
      <c r="L755">
        <f>VLOOKUP($A756,'Medical Examinations'!$A:$J,3,FALSE)</f>
        <v>34.299999999999997</v>
      </c>
      <c r="M755">
        <f>VLOOKUP($A755,'Hospitalisation Details'!$A:$K,6,FALSE)</f>
        <v>13588.17</v>
      </c>
      <c r="N755" s="11">
        <f>VLOOKUP($B755,'Hospitalisation Details'!A754:J3098,10,0)</f>
        <v>31396</v>
      </c>
      <c r="O755" t="str">
        <f>VLOOKUP($B755,'Hospitalisation Details'!A754:J3098,8,0)</f>
        <v>tier - 1</v>
      </c>
      <c r="P755" t="str">
        <f>VLOOKUP($B755,'Hospitalisation Details'!A754:J3098,7,0)</f>
        <v>tier - 2</v>
      </c>
      <c r="Q755" t="str">
        <f>VLOOKUP($B755,'Hospitalisation Details'!A754:J3098,9,0)</f>
        <v>R1013</v>
      </c>
      <c r="R755">
        <f>VLOOKUP($B755,'Hospitalisation Details'!A754:K3098,11,0)</f>
        <v>37</v>
      </c>
    </row>
    <row r="756" spans="1:18" x14ac:dyDescent="0.35">
      <c r="A756" t="s">
        <v>1616</v>
      </c>
      <c r="B756" t="s">
        <v>787</v>
      </c>
      <c r="C756" t="str">
        <f>VLOOKUP($A756,'Customer Names'!$A:$E,4,FALSE)</f>
        <v>Heidi</v>
      </c>
      <c r="D756" t="str">
        <f>VLOOKUP($A756,'Medical Examinations'!$A:$J,2,FALSE)</f>
        <v>Obesity</v>
      </c>
      <c r="E756">
        <f>VLOOKUP($A756,'Medical Examinations'!$A:$J,4,FALSE)</f>
        <v>11.76</v>
      </c>
      <c r="F756" t="str">
        <f>VLOOKUP($A756,'Medical Examinations'!$A:$J,6,FALSE)</f>
        <v>No</v>
      </c>
      <c r="G756" t="str">
        <f>VLOOKUP($A756,'Medical Examinations'!$A:$J,7,FALSE)</f>
        <v>No</v>
      </c>
      <c r="H756" t="str">
        <f>VLOOKUP($A756,'Medical Examinations'!$A:$J,8,FALSE)</f>
        <v>No</v>
      </c>
      <c r="I756">
        <f>VLOOKUP($A756,'Medical Examinations'!$A:$J,9,FALSE)</f>
        <v>0</v>
      </c>
      <c r="J756" t="str">
        <f>VLOOKUP($A756,'Medical Examinations'!$A:$J,10,FALSE)</f>
        <v>No</v>
      </c>
      <c r="K756" t="str">
        <f>VLOOKUP($A756,'Medical Examinations'!$A:$J,5,FALSE)</f>
        <v>Diabetes</v>
      </c>
      <c r="L756">
        <f>VLOOKUP($A757,'Medical Examinations'!$A:$J,3,FALSE)</f>
        <v>32.11</v>
      </c>
      <c r="M756">
        <f>VLOOKUP($A756,'Hospitalisation Details'!$A:$K,6,FALSE)</f>
        <v>13566.04</v>
      </c>
      <c r="N756" s="11">
        <f>VLOOKUP($B756,'Hospitalisation Details'!A755:J3099,10,0)</f>
        <v>33098</v>
      </c>
      <c r="O756" t="str">
        <f>VLOOKUP($B756,'Hospitalisation Details'!A755:J3099,8,0)</f>
        <v>tier - 2</v>
      </c>
      <c r="P756" t="str">
        <f>VLOOKUP($B756,'Hospitalisation Details'!A755:J3099,7,0)</f>
        <v>tier - 2</v>
      </c>
      <c r="Q756" t="str">
        <f>VLOOKUP($B756,'Hospitalisation Details'!A755:J3099,9,0)</f>
        <v>R1024</v>
      </c>
      <c r="R756">
        <f>VLOOKUP($B756,'Hospitalisation Details'!A755:K3099,11,0)</f>
        <v>32</v>
      </c>
    </row>
    <row r="757" spans="1:18" x14ac:dyDescent="0.35">
      <c r="A757" t="s">
        <v>1615</v>
      </c>
      <c r="B757" t="s">
        <v>788</v>
      </c>
      <c r="C757" t="str">
        <f>VLOOKUP($A757,'Customer Names'!$A:$E,4,FALSE)</f>
        <v>Diego J</v>
      </c>
      <c r="D757" t="str">
        <f>VLOOKUP($A757,'Medical Examinations'!$A:$J,2,FALSE)</f>
        <v>Obesity</v>
      </c>
      <c r="E757">
        <f>VLOOKUP($A757,'Medical Examinations'!$A:$J,4,FALSE)</f>
        <v>7.06</v>
      </c>
      <c r="F757" t="str">
        <f>VLOOKUP($A757,'Medical Examinations'!$A:$J,6,FALSE)</f>
        <v>No</v>
      </c>
      <c r="G757" t="str">
        <f>VLOOKUP($A757,'Medical Examinations'!$A:$J,7,FALSE)</f>
        <v>No</v>
      </c>
      <c r="H757" t="str">
        <f>VLOOKUP($A757,'Medical Examinations'!$A:$J,8,FALSE)</f>
        <v>No</v>
      </c>
      <c r="I757">
        <f>VLOOKUP($A757,'Medical Examinations'!$A:$J,9,FALSE)</f>
        <v>0</v>
      </c>
      <c r="J757" t="str">
        <f>VLOOKUP($A757,'Medical Examinations'!$A:$J,10,FALSE)</f>
        <v>No</v>
      </c>
      <c r="K757" t="str">
        <f>VLOOKUP($A757,'Medical Examinations'!$A:$J,5,FALSE)</f>
        <v>Diabetes</v>
      </c>
      <c r="L757">
        <f>VLOOKUP($A758,'Medical Examinations'!$A:$J,3,FALSE)</f>
        <v>31.78</v>
      </c>
      <c r="M757">
        <f>VLOOKUP($A757,'Hospitalisation Details'!$A:$K,6,FALSE)</f>
        <v>13555</v>
      </c>
      <c r="N757" s="11">
        <f>VLOOKUP($B757,'Hospitalisation Details'!A756:J3100,10,0)</f>
        <v>31680</v>
      </c>
      <c r="O757" t="str">
        <f>VLOOKUP($B757,'Hospitalisation Details'!A756:J3100,8,0)</f>
        <v>tier - 2</v>
      </c>
      <c r="P757" t="str">
        <f>VLOOKUP($B757,'Hospitalisation Details'!A756:J3100,7,0)</f>
        <v>tier - 2</v>
      </c>
      <c r="Q757" t="str">
        <f>VLOOKUP($B757,'Hospitalisation Details'!A756:J3100,9,0)</f>
        <v>R1013</v>
      </c>
      <c r="R757">
        <f>VLOOKUP($B757,'Hospitalisation Details'!A756:K3100,11,0)</f>
        <v>36</v>
      </c>
    </row>
    <row r="758" spans="1:18" x14ac:dyDescent="0.35">
      <c r="A758" t="s">
        <v>1614</v>
      </c>
      <c r="B758" t="s">
        <v>789</v>
      </c>
      <c r="C758" t="str">
        <f>VLOOKUP($A758,'Customer Names'!$A:$E,4,FALSE)</f>
        <v>Enrique M Sr.</v>
      </c>
      <c r="D758" t="str">
        <f>VLOOKUP($A758,'Medical Examinations'!$A:$J,2,FALSE)</f>
        <v>Obesity</v>
      </c>
      <c r="E758">
        <f>VLOOKUP($A758,'Medical Examinations'!$A:$J,4,FALSE)</f>
        <v>11.35</v>
      </c>
      <c r="F758" t="str">
        <f>VLOOKUP($A758,'Medical Examinations'!$A:$J,6,FALSE)</f>
        <v>yes</v>
      </c>
      <c r="G758" t="str">
        <f>VLOOKUP($A758,'Medical Examinations'!$A:$J,7,FALSE)</f>
        <v>No</v>
      </c>
      <c r="H758" t="str">
        <f>VLOOKUP($A758,'Medical Examinations'!$A:$J,8,FALSE)</f>
        <v>Yes</v>
      </c>
      <c r="I758">
        <f>VLOOKUP($A758,'Medical Examinations'!$A:$J,9,FALSE)</f>
        <v>1</v>
      </c>
      <c r="J758" t="str">
        <f>VLOOKUP($A758,'Medical Examinations'!$A:$J,10,FALSE)</f>
        <v>No</v>
      </c>
      <c r="K758" t="str">
        <f>VLOOKUP($A758,'Medical Examinations'!$A:$J,5,FALSE)</f>
        <v>Diabetes</v>
      </c>
      <c r="L758">
        <f>VLOOKUP($A759,'Medical Examinations'!$A:$J,3,FALSE)</f>
        <v>46.89</v>
      </c>
      <c r="M758">
        <f>VLOOKUP($A758,'Hospitalisation Details'!$A:$K,6,FALSE)</f>
        <v>13511.28</v>
      </c>
      <c r="N758" s="11">
        <f>VLOOKUP($B758,'Hospitalisation Details'!A757:J3101,10,0)</f>
        <v>30610</v>
      </c>
      <c r="O758" t="str">
        <f>VLOOKUP($B758,'Hospitalisation Details'!A757:J3101,8,0)</f>
        <v>tier - 1</v>
      </c>
      <c r="P758" t="str">
        <f>VLOOKUP($B758,'Hospitalisation Details'!A757:J3101,7,0)</f>
        <v>tier - 2</v>
      </c>
      <c r="Q758" t="str">
        <f>VLOOKUP($B758,'Hospitalisation Details'!A757:J3101,9,0)</f>
        <v>R1013</v>
      </c>
      <c r="R758">
        <f>VLOOKUP($B758,'Hospitalisation Details'!A757:K3101,11,0)</f>
        <v>39</v>
      </c>
    </row>
    <row r="759" spans="1:18" x14ac:dyDescent="0.35">
      <c r="A759" t="s">
        <v>1613</v>
      </c>
      <c r="B759" t="s">
        <v>790</v>
      </c>
      <c r="C759" t="str">
        <f>VLOOKUP($A759,'Customer Names'!$A:$E,4,FALSE)</f>
        <v>Greg</v>
      </c>
      <c r="D759" t="str">
        <f>VLOOKUP($A759,'Medical Examinations'!$A:$J,2,FALSE)</f>
        <v>Obesity</v>
      </c>
      <c r="E759">
        <f>VLOOKUP($A759,'Medical Examinations'!$A:$J,4,FALSE)</f>
        <v>5.52</v>
      </c>
      <c r="F759" t="str">
        <f>VLOOKUP($A759,'Medical Examinations'!$A:$J,6,FALSE)</f>
        <v>No</v>
      </c>
      <c r="G759" t="str">
        <f>VLOOKUP($A759,'Medical Examinations'!$A:$J,7,FALSE)</f>
        <v>No</v>
      </c>
      <c r="H759" t="str">
        <f>VLOOKUP($A759,'Medical Examinations'!$A:$J,8,FALSE)</f>
        <v>No</v>
      </c>
      <c r="I759">
        <f>VLOOKUP($A759,'Medical Examinations'!$A:$J,9,FALSE)</f>
        <v>0</v>
      </c>
      <c r="J759" t="str">
        <f>VLOOKUP($A759,'Medical Examinations'!$A:$J,10,FALSE)</f>
        <v>No</v>
      </c>
      <c r="K759" t="str">
        <f>VLOOKUP($A759,'Medical Examinations'!$A:$J,5,FALSE)</f>
        <v>Normal</v>
      </c>
      <c r="L759">
        <f>VLOOKUP($A760,'Medical Examinations'!$A:$J,3,FALSE)</f>
        <v>39.35</v>
      </c>
      <c r="M759">
        <f>VLOOKUP($A759,'Hospitalisation Details'!$A:$K,6,FALSE)</f>
        <v>13480.83</v>
      </c>
      <c r="N759" s="11">
        <f>VLOOKUP($B759,'Hospitalisation Details'!A758:J3102,10,0)</f>
        <v>30547</v>
      </c>
      <c r="O759" t="str">
        <f>VLOOKUP($B759,'Hospitalisation Details'!A758:J3102,8,0)</f>
        <v>tier - 2</v>
      </c>
      <c r="P759" t="str">
        <f>VLOOKUP($B759,'Hospitalisation Details'!A758:J3102,7,0)</f>
        <v>tier - 3</v>
      </c>
      <c r="Q759" t="str">
        <f>VLOOKUP($B759,'Hospitalisation Details'!A758:J3102,9,0)</f>
        <v>R1013</v>
      </c>
      <c r="R759">
        <f>VLOOKUP($B759,'Hospitalisation Details'!A758:K3102,11,0)</f>
        <v>39</v>
      </c>
    </row>
    <row r="760" spans="1:18" x14ac:dyDescent="0.35">
      <c r="A760" t="s">
        <v>1612</v>
      </c>
      <c r="B760" t="s">
        <v>791</v>
      </c>
      <c r="C760" t="str">
        <f>VLOOKUP($A760,'Customer Names'!$A:$E,4,FALSE)</f>
        <v>Filip</v>
      </c>
      <c r="D760" t="str">
        <f>VLOOKUP($A760,'Medical Examinations'!$A:$J,2,FALSE)</f>
        <v>Obesity</v>
      </c>
      <c r="E760">
        <f>VLOOKUP($A760,'Medical Examinations'!$A:$J,4,FALSE)</f>
        <v>7.86</v>
      </c>
      <c r="F760" t="str">
        <f>VLOOKUP($A760,'Medical Examinations'!$A:$J,6,FALSE)</f>
        <v>yes</v>
      </c>
      <c r="G760" t="str">
        <f>VLOOKUP($A760,'Medical Examinations'!$A:$J,7,FALSE)</f>
        <v>No</v>
      </c>
      <c r="H760" t="str">
        <f>VLOOKUP($A760,'Medical Examinations'!$A:$J,8,FALSE)</f>
        <v>No</v>
      </c>
      <c r="I760">
        <f>VLOOKUP($A760,'Medical Examinations'!$A:$J,9,FALSE)</f>
        <v>1</v>
      </c>
      <c r="J760" t="str">
        <f>VLOOKUP($A760,'Medical Examinations'!$A:$J,10,FALSE)</f>
        <v>No</v>
      </c>
      <c r="K760" t="str">
        <f>VLOOKUP($A760,'Medical Examinations'!$A:$J,5,FALSE)</f>
        <v>Diabetes</v>
      </c>
      <c r="L760">
        <f>VLOOKUP($A761,'Medical Examinations'!$A:$J,3,FALSE)</f>
        <v>39.200000000000003</v>
      </c>
      <c r="M760">
        <f>VLOOKUP($A760,'Hospitalisation Details'!$A:$K,6,FALSE)</f>
        <v>13472.19</v>
      </c>
      <c r="N760" s="11">
        <f>VLOOKUP($B760,'Hospitalisation Details'!A759:J3103,10,0)</f>
        <v>29524</v>
      </c>
      <c r="O760" t="str">
        <f>VLOOKUP($B760,'Hospitalisation Details'!A759:J3103,8,0)</f>
        <v>tier - 1</v>
      </c>
      <c r="P760" t="str">
        <f>VLOOKUP($B760,'Hospitalisation Details'!A759:J3103,7,0)</f>
        <v>tier - 2</v>
      </c>
      <c r="Q760" t="str">
        <f>VLOOKUP($B760,'Hospitalisation Details'!A759:J3103,9,0)</f>
        <v>R1012</v>
      </c>
      <c r="R760">
        <f>VLOOKUP($B760,'Hospitalisation Details'!A759:K3103,11,0)</f>
        <v>42</v>
      </c>
    </row>
    <row r="761" spans="1:18" x14ac:dyDescent="0.35">
      <c r="A761" t="s">
        <v>1611</v>
      </c>
      <c r="B761" t="s">
        <v>792</v>
      </c>
      <c r="C761" t="str">
        <f>VLOOKUP($A761,'Customer Names'!$A:$E,4,FALSE)</f>
        <v>Rosemary E.</v>
      </c>
      <c r="D761" t="str">
        <f>VLOOKUP($A761,'Medical Examinations'!$A:$J,2,FALSE)</f>
        <v>Obesity</v>
      </c>
      <c r="E761">
        <f>VLOOKUP($A761,'Medical Examinations'!$A:$J,4,FALSE)</f>
        <v>11.38</v>
      </c>
      <c r="F761" t="str">
        <f>VLOOKUP($A761,'Medical Examinations'!$A:$J,6,FALSE)</f>
        <v>No</v>
      </c>
      <c r="G761" t="str">
        <f>VLOOKUP($A761,'Medical Examinations'!$A:$J,7,FALSE)</f>
        <v>No</v>
      </c>
      <c r="H761" t="str">
        <f>VLOOKUP($A761,'Medical Examinations'!$A:$J,8,FALSE)</f>
        <v>No</v>
      </c>
      <c r="I761">
        <f>VLOOKUP($A761,'Medical Examinations'!$A:$J,9,FALSE)</f>
        <v>0</v>
      </c>
      <c r="J761" t="str">
        <f>VLOOKUP($A761,'Medical Examinations'!$A:$J,10,FALSE)</f>
        <v>No</v>
      </c>
      <c r="K761" t="str">
        <f>VLOOKUP($A761,'Medical Examinations'!$A:$J,5,FALSE)</f>
        <v>Diabetes</v>
      </c>
      <c r="L761">
        <f>VLOOKUP($A762,'Medical Examinations'!$A:$J,3,FALSE)</f>
        <v>39.159999999999997</v>
      </c>
      <c r="M761">
        <f>VLOOKUP($A761,'Hospitalisation Details'!$A:$K,6,FALSE)</f>
        <v>13470.86</v>
      </c>
      <c r="N761" s="11">
        <f>VLOOKUP($B761,'Hospitalisation Details'!A760:J3104,10,0)</f>
        <v>32683</v>
      </c>
      <c r="O761" t="str">
        <f>VLOOKUP($B761,'Hospitalisation Details'!A760:J3104,8,0)</f>
        <v>tier - 2</v>
      </c>
      <c r="P761" t="str">
        <f>VLOOKUP($B761,'Hospitalisation Details'!A760:J3104,7,0)</f>
        <v>tier - 2</v>
      </c>
      <c r="Q761" t="str">
        <f>VLOOKUP($B761,'Hospitalisation Details'!A760:J3104,9,0)</f>
        <v>R1012</v>
      </c>
      <c r="R761">
        <f>VLOOKUP($B761,'Hospitalisation Details'!A760:K3104,11,0)</f>
        <v>33</v>
      </c>
    </row>
    <row r="762" spans="1:18" x14ac:dyDescent="0.35">
      <c r="A762" t="s">
        <v>1610</v>
      </c>
      <c r="B762" t="s">
        <v>793</v>
      </c>
      <c r="C762" t="str">
        <f>VLOOKUP($A762,'Customer Names'!$A:$E,4,FALSE)</f>
        <v>Lisa</v>
      </c>
      <c r="D762" t="str">
        <f>VLOOKUP($A762,'Medical Examinations'!$A:$J,2,FALSE)</f>
        <v>Obesity</v>
      </c>
      <c r="E762">
        <f>VLOOKUP($A762,'Medical Examinations'!$A:$J,4,FALSE)</f>
        <v>10.48</v>
      </c>
      <c r="F762" t="str">
        <f>VLOOKUP($A762,'Medical Examinations'!$A:$J,6,FALSE)</f>
        <v>No</v>
      </c>
      <c r="G762" t="str">
        <f>VLOOKUP($A762,'Medical Examinations'!$A:$J,7,FALSE)</f>
        <v>No</v>
      </c>
      <c r="H762" t="str">
        <f>VLOOKUP($A762,'Medical Examinations'!$A:$J,8,FALSE)</f>
        <v>No</v>
      </c>
      <c r="I762">
        <f>VLOOKUP($A762,'Medical Examinations'!$A:$J,9,FALSE)</f>
        <v>0</v>
      </c>
      <c r="J762" t="str">
        <f>VLOOKUP($A762,'Medical Examinations'!$A:$J,10,FALSE)</f>
        <v>No</v>
      </c>
      <c r="K762" t="str">
        <f>VLOOKUP($A762,'Medical Examinations'!$A:$J,5,FALSE)</f>
        <v>Diabetes</v>
      </c>
      <c r="L762">
        <f>VLOOKUP($A763,'Medical Examinations'!$A:$J,3,FALSE)</f>
        <v>44.1</v>
      </c>
      <c r="M762">
        <f>VLOOKUP($A762,'Hospitalisation Details'!$A:$K,6,FALSE)</f>
        <v>13470.8</v>
      </c>
      <c r="N762" s="11">
        <f>VLOOKUP($B762,'Hospitalisation Details'!A761:J3105,10,0)</f>
        <v>35253</v>
      </c>
      <c r="O762" t="str">
        <f>VLOOKUP($B762,'Hospitalisation Details'!A761:J3105,8,0)</f>
        <v>tier - 3</v>
      </c>
      <c r="P762" t="str">
        <f>VLOOKUP($B762,'Hospitalisation Details'!A761:J3105,7,0)</f>
        <v>tier - 2</v>
      </c>
      <c r="Q762" t="str">
        <f>VLOOKUP($B762,'Hospitalisation Details'!A761:J3105,9,0)</f>
        <v>R1021</v>
      </c>
      <c r="R762">
        <f>VLOOKUP($B762,'Hospitalisation Details'!A761:K3105,11,0)</f>
        <v>26</v>
      </c>
    </row>
    <row r="763" spans="1:18" x14ac:dyDescent="0.35">
      <c r="A763" t="s">
        <v>1609</v>
      </c>
      <c r="B763" t="s">
        <v>794</v>
      </c>
      <c r="C763" t="str">
        <f>VLOOKUP($A763,'Customer Names'!$A:$E,4,FALSE)</f>
        <v>Jason</v>
      </c>
      <c r="D763" t="str">
        <f>VLOOKUP($A763,'Medical Examinations'!$A:$J,2,FALSE)</f>
        <v>Obesity</v>
      </c>
      <c r="E763">
        <f>VLOOKUP($A763,'Medical Examinations'!$A:$J,4,FALSE)</f>
        <v>5.04</v>
      </c>
      <c r="F763" t="str">
        <f>VLOOKUP($A763,'Medical Examinations'!$A:$J,6,FALSE)</f>
        <v>yes</v>
      </c>
      <c r="G763" t="str">
        <f>VLOOKUP($A763,'Medical Examinations'!$A:$J,7,FALSE)</f>
        <v>No</v>
      </c>
      <c r="H763" t="str">
        <f>VLOOKUP($A763,'Medical Examinations'!$A:$J,8,FALSE)</f>
        <v>No</v>
      </c>
      <c r="I763">
        <f>VLOOKUP($A763,'Medical Examinations'!$A:$J,9,FALSE)</f>
        <v>0</v>
      </c>
      <c r="J763" t="str">
        <f>VLOOKUP($A763,'Medical Examinations'!$A:$J,10,FALSE)</f>
        <v>No</v>
      </c>
      <c r="K763" t="str">
        <f>VLOOKUP($A763,'Medical Examinations'!$A:$J,5,FALSE)</f>
        <v>Normal</v>
      </c>
      <c r="L763">
        <f>VLOOKUP($A764,'Medical Examinations'!$A:$J,3,FALSE)</f>
        <v>33.200000000000003</v>
      </c>
      <c r="M763">
        <f>VLOOKUP($A763,'Hospitalisation Details'!$A:$K,6,FALSE)</f>
        <v>13465.8</v>
      </c>
      <c r="N763" s="11">
        <f>VLOOKUP($B763,'Hospitalisation Details'!A762:J3106,10,0)</f>
        <v>25881</v>
      </c>
      <c r="O763" t="str">
        <f>VLOOKUP($B763,'Hospitalisation Details'!A762:J3106,8,0)</f>
        <v>tier - 1</v>
      </c>
      <c r="P763" t="str">
        <f>VLOOKUP($B763,'Hospitalisation Details'!A762:J3106,7,0)</f>
        <v>tier - 2</v>
      </c>
      <c r="Q763" t="str">
        <f>VLOOKUP($B763,'Hospitalisation Details'!A762:J3106,9,0)</f>
        <v>R1013</v>
      </c>
      <c r="R763">
        <f>VLOOKUP($B763,'Hospitalisation Details'!A762:K3106,11,0)</f>
        <v>52</v>
      </c>
    </row>
    <row r="764" spans="1:18" x14ac:dyDescent="0.35">
      <c r="A764" t="s">
        <v>1608</v>
      </c>
      <c r="B764" t="s">
        <v>795</v>
      </c>
      <c r="C764" t="str">
        <f>VLOOKUP($A764,'Customer Names'!$A:$E,4,FALSE)</f>
        <v>Courtney</v>
      </c>
      <c r="D764" t="str">
        <f>VLOOKUP($A764,'Medical Examinations'!$A:$J,2,FALSE)</f>
        <v>Obesity</v>
      </c>
      <c r="E764">
        <f>VLOOKUP($A764,'Medical Examinations'!$A:$J,4,FALSE)</f>
        <v>9.06</v>
      </c>
      <c r="F764" t="str">
        <f>VLOOKUP($A764,'Medical Examinations'!$A:$J,6,FALSE)</f>
        <v>No</v>
      </c>
      <c r="G764" t="str">
        <f>VLOOKUP($A764,'Medical Examinations'!$A:$J,7,FALSE)</f>
        <v>No</v>
      </c>
      <c r="H764" t="str">
        <f>VLOOKUP($A764,'Medical Examinations'!$A:$J,8,FALSE)</f>
        <v>No</v>
      </c>
      <c r="I764">
        <f>VLOOKUP($A764,'Medical Examinations'!$A:$J,9,FALSE)</f>
        <v>0</v>
      </c>
      <c r="J764" t="str">
        <f>VLOOKUP($A764,'Medical Examinations'!$A:$J,10,FALSE)</f>
        <v>No</v>
      </c>
      <c r="K764" t="str">
        <f>VLOOKUP($A764,'Medical Examinations'!$A:$J,5,FALSE)</f>
        <v>Diabetes</v>
      </c>
      <c r="L764">
        <f>VLOOKUP($A765,'Medical Examinations'!$A:$J,3,FALSE)</f>
        <v>29.92</v>
      </c>
      <c r="M764">
        <f>VLOOKUP($A764,'Hospitalisation Details'!$A:$K,6,FALSE)</f>
        <v>13462.52</v>
      </c>
      <c r="N764" s="11">
        <f>VLOOKUP($B764,'Hospitalisation Details'!A763:J3107,10,0)</f>
        <v>30907</v>
      </c>
      <c r="O764" t="str">
        <f>VLOOKUP($B764,'Hospitalisation Details'!A763:J3107,8,0)</f>
        <v>tier - 1</v>
      </c>
      <c r="P764" t="str">
        <f>VLOOKUP($B764,'Hospitalisation Details'!A763:J3107,7,0)</f>
        <v>tier - 2</v>
      </c>
      <c r="Q764" t="str">
        <f>VLOOKUP($B764,'Hospitalisation Details'!A763:J3107,9,0)</f>
        <v>R1012</v>
      </c>
      <c r="R764">
        <f>VLOOKUP($B764,'Hospitalisation Details'!A763:K3107,11,0)</f>
        <v>38</v>
      </c>
    </row>
    <row r="765" spans="1:18" x14ac:dyDescent="0.35">
      <c r="A765" t="s">
        <v>1607</v>
      </c>
      <c r="B765" t="s">
        <v>796</v>
      </c>
      <c r="C765" t="str">
        <f>VLOOKUP($A765,'Customer Names'!$A:$E,4,FALSE)</f>
        <v>Jennifer R.</v>
      </c>
      <c r="D765" t="str">
        <f>VLOOKUP($A765,'Medical Examinations'!$A:$J,2,FALSE)</f>
        <v>Overweight</v>
      </c>
      <c r="E765">
        <f>VLOOKUP($A765,'Medical Examinations'!$A:$J,4,FALSE)</f>
        <v>11.07</v>
      </c>
      <c r="F765" t="str">
        <f>VLOOKUP($A765,'Medical Examinations'!$A:$J,6,FALSE)</f>
        <v>No</v>
      </c>
      <c r="G765" t="str">
        <f>VLOOKUP($A765,'Medical Examinations'!$A:$J,7,FALSE)</f>
        <v>No</v>
      </c>
      <c r="H765" t="str">
        <f>VLOOKUP($A765,'Medical Examinations'!$A:$J,8,FALSE)</f>
        <v>No</v>
      </c>
      <c r="I765">
        <f>VLOOKUP($A765,'Medical Examinations'!$A:$J,9,FALSE)</f>
        <v>0</v>
      </c>
      <c r="J765" t="str">
        <f>VLOOKUP($A765,'Medical Examinations'!$A:$J,10,FALSE)</f>
        <v>No</v>
      </c>
      <c r="K765" t="str">
        <f>VLOOKUP($A765,'Medical Examinations'!$A:$J,5,FALSE)</f>
        <v>Diabetes</v>
      </c>
      <c r="L765">
        <f>VLOOKUP($A766,'Medical Examinations'!$A:$J,3,FALSE)</f>
        <v>25</v>
      </c>
      <c r="M765">
        <f>VLOOKUP($A765,'Hospitalisation Details'!$A:$K,6,FALSE)</f>
        <v>13457.96</v>
      </c>
      <c r="N765" s="11">
        <f>VLOOKUP($B765,'Hospitalisation Details'!A764:J3108,10,0)</f>
        <v>28082</v>
      </c>
      <c r="O765" t="str">
        <f>VLOOKUP($B765,'Hospitalisation Details'!A764:J3108,8,0)</f>
        <v>tier - 2</v>
      </c>
      <c r="P765" t="str">
        <f>VLOOKUP($B765,'Hospitalisation Details'!A764:J3108,7,0)</f>
        <v>tier - 2</v>
      </c>
      <c r="Q765" t="str">
        <f>VLOOKUP($B765,'Hospitalisation Details'!A764:J3108,9,0)</f>
        <v>R1013</v>
      </c>
      <c r="R765">
        <f>VLOOKUP($B765,'Hospitalisation Details'!A764:K3108,11,0)</f>
        <v>46</v>
      </c>
    </row>
    <row r="766" spans="1:18" x14ac:dyDescent="0.35">
      <c r="A766" t="s">
        <v>1606</v>
      </c>
      <c r="B766" t="s">
        <v>797</v>
      </c>
      <c r="C766" t="str">
        <f>VLOOKUP($A766,'Customer Names'!$A:$E,4,FALSE)</f>
        <v>Lauren E</v>
      </c>
      <c r="D766" t="str">
        <f>VLOOKUP($A766,'Medical Examinations'!$A:$J,2,FALSE)</f>
        <v>Overweight</v>
      </c>
      <c r="E766">
        <f>VLOOKUP($A766,'Medical Examinations'!$A:$J,4,FALSE)</f>
        <v>10.45</v>
      </c>
      <c r="F766" t="str">
        <f>VLOOKUP($A766,'Medical Examinations'!$A:$J,6,FALSE)</f>
        <v>No</v>
      </c>
      <c r="G766" t="str">
        <f>VLOOKUP($A766,'Medical Examinations'!$A:$J,7,FALSE)</f>
        <v>No</v>
      </c>
      <c r="H766" t="str">
        <f>VLOOKUP($A766,'Medical Examinations'!$A:$J,8,FALSE)</f>
        <v>No</v>
      </c>
      <c r="I766">
        <f>VLOOKUP($A766,'Medical Examinations'!$A:$J,9,FALSE)</f>
        <v>0</v>
      </c>
      <c r="J766" t="str">
        <f>VLOOKUP($A766,'Medical Examinations'!$A:$J,10,FALSE)</f>
        <v>No</v>
      </c>
      <c r="K766" t="str">
        <f>VLOOKUP($A766,'Medical Examinations'!$A:$J,5,FALSE)</f>
        <v>Diabetes</v>
      </c>
      <c r="L766">
        <f>VLOOKUP($A767,'Medical Examinations'!$A:$J,3,FALSE)</f>
        <v>38.869999999999997</v>
      </c>
      <c r="M766">
        <f>VLOOKUP($A766,'Hospitalisation Details'!$A:$K,6,FALSE)</f>
        <v>13451.12</v>
      </c>
      <c r="N766" s="11">
        <f>VLOOKUP($B766,'Hospitalisation Details'!A765:J3109,10,0)</f>
        <v>30169</v>
      </c>
      <c r="O766" t="str">
        <f>VLOOKUP($B766,'Hospitalisation Details'!A765:J3109,8,0)</f>
        <v>tier - 2</v>
      </c>
      <c r="P766" t="str">
        <f>VLOOKUP($B766,'Hospitalisation Details'!A765:J3109,7,0)</f>
        <v>tier - 1</v>
      </c>
      <c r="Q766" t="str">
        <f>VLOOKUP($B766,'Hospitalisation Details'!A765:J3109,9,0)</f>
        <v>R1012</v>
      </c>
      <c r="R766">
        <f>VLOOKUP($B766,'Hospitalisation Details'!A765:K3109,11,0)</f>
        <v>40</v>
      </c>
    </row>
    <row r="767" spans="1:18" x14ac:dyDescent="0.35">
      <c r="A767" t="s">
        <v>1605</v>
      </c>
      <c r="B767" t="s">
        <v>798</v>
      </c>
      <c r="C767" t="str">
        <f>VLOOKUP($A767,'Customer Names'!$A:$E,4,FALSE)</f>
        <v>Ashley M.</v>
      </c>
      <c r="D767" t="str">
        <f>VLOOKUP($A767,'Medical Examinations'!$A:$J,2,FALSE)</f>
        <v>Obesity</v>
      </c>
      <c r="E767">
        <f>VLOOKUP($A767,'Medical Examinations'!$A:$J,4,FALSE)</f>
        <v>8.6300000000000008</v>
      </c>
      <c r="F767" t="str">
        <f>VLOOKUP($A767,'Medical Examinations'!$A:$J,6,FALSE)</f>
        <v>yes</v>
      </c>
      <c r="G767" t="str">
        <f>VLOOKUP($A767,'Medical Examinations'!$A:$J,7,FALSE)</f>
        <v>No</v>
      </c>
      <c r="H767" t="str">
        <f>VLOOKUP($A767,'Medical Examinations'!$A:$J,8,FALSE)</f>
        <v>No</v>
      </c>
      <c r="I767">
        <f>VLOOKUP($A767,'Medical Examinations'!$A:$J,9,FALSE)</f>
        <v>1</v>
      </c>
      <c r="J767" t="str">
        <f>VLOOKUP($A767,'Medical Examinations'!$A:$J,10,FALSE)</f>
        <v>No</v>
      </c>
      <c r="K767" t="str">
        <f>VLOOKUP($A767,'Medical Examinations'!$A:$J,5,FALSE)</f>
        <v>Diabetes</v>
      </c>
      <c r="L767">
        <f>VLOOKUP($A768,'Medical Examinations'!$A:$J,3,FALSE)</f>
        <v>32.299999999999997</v>
      </c>
      <c r="M767">
        <f>VLOOKUP($A767,'Hospitalisation Details'!$A:$K,6,FALSE)</f>
        <v>13440.7</v>
      </c>
      <c r="N767" s="11">
        <f>VLOOKUP($B767,'Hospitalisation Details'!A766:J3110,10,0)</f>
        <v>35658</v>
      </c>
      <c r="O767" t="str">
        <f>VLOOKUP($B767,'Hospitalisation Details'!A766:J3110,8,0)</f>
        <v>tier - 2</v>
      </c>
      <c r="P767" t="str">
        <f>VLOOKUP($B767,'Hospitalisation Details'!A766:J3110,7,0)</f>
        <v>tier - 2</v>
      </c>
      <c r="Q767" t="str">
        <f>VLOOKUP($B767,'Hospitalisation Details'!A766:J3110,9,0)</f>
        <v>R1021</v>
      </c>
      <c r="R767">
        <f>VLOOKUP($B767,'Hospitalisation Details'!A766:K3110,11,0)</f>
        <v>25</v>
      </c>
    </row>
    <row r="768" spans="1:18" x14ac:dyDescent="0.35">
      <c r="A768" t="s">
        <v>1604</v>
      </c>
      <c r="B768" t="s">
        <v>799</v>
      </c>
      <c r="C768" t="str">
        <f>VLOOKUP($A768,'Customer Names'!$A:$E,4,FALSE)</f>
        <v>Alison R.</v>
      </c>
      <c r="D768" t="str">
        <f>VLOOKUP($A768,'Medical Examinations'!$A:$J,2,FALSE)</f>
        <v>Obesity</v>
      </c>
      <c r="E768">
        <f>VLOOKUP($A768,'Medical Examinations'!$A:$J,4,FALSE)</f>
        <v>5.28</v>
      </c>
      <c r="F768" t="str">
        <f>VLOOKUP($A768,'Medical Examinations'!$A:$J,6,FALSE)</f>
        <v>yes</v>
      </c>
      <c r="G768" t="str">
        <f>VLOOKUP($A768,'Medical Examinations'!$A:$J,7,FALSE)</f>
        <v>No</v>
      </c>
      <c r="H768" t="str">
        <f>VLOOKUP($A768,'Medical Examinations'!$A:$J,8,FALSE)</f>
        <v>No</v>
      </c>
      <c r="I768">
        <f>VLOOKUP($A768,'Medical Examinations'!$A:$J,9,FALSE)</f>
        <v>2</v>
      </c>
      <c r="J768" t="str">
        <f>VLOOKUP($A768,'Medical Examinations'!$A:$J,10,FALSE)</f>
        <v>No</v>
      </c>
      <c r="K768" t="str">
        <f>VLOOKUP($A768,'Medical Examinations'!$A:$J,5,FALSE)</f>
        <v>Normal</v>
      </c>
      <c r="L768">
        <f>VLOOKUP($A769,'Medical Examinations'!$A:$J,3,FALSE)</f>
        <v>31.16</v>
      </c>
      <c r="M768">
        <f>VLOOKUP($A768,'Hospitalisation Details'!$A:$K,6,FALSE)</f>
        <v>13430.27</v>
      </c>
      <c r="N768" s="11">
        <f>VLOOKUP($B768,'Hospitalisation Details'!A767:J3111,10,0)</f>
        <v>30252</v>
      </c>
      <c r="O768" t="str">
        <f>VLOOKUP($B768,'Hospitalisation Details'!A767:J3111,8,0)</f>
        <v>tier - 1</v>
      </c>
      <c r="P768" t="str">
        <f>VLOOKUP($B768,'Hospitalisation Details'!A767:J3111,7,0)</f>
        <v>tier - 2</v>
      </c>
      <c r="Q768" t="str">
        <f>VLOOKUP($B768,'Hospitalisation Details'!A767:J3111,9,0)</f>
        <v>R1012</v>
      </c>
      <c r="R768">
        <f>VLOOKUP($B768,'Hospitalisation Details'!A767:K3111,11,0)</f>
        <v>40</v>
      </c>
    </row>
    <row r="769" spans="1:18" x14ac:dyDescent="0.35">
      <c r="A769" t="s">
        <v>1603</v>
      </c>
      <c r="B769" t="s">
        <v>800</v>
      </c>
      <c r="C769" t="str">
        <f>VLOOKUP($A769,'Customer Names'!$A:$E,4,FALSE)</f>
        <v>Madeleine</v>
      </c>
      <c r="D769" t="str">
        <f>VLOOKUP($A769,'Medical Examinations'!$A:$J,2,FALSE)</f>
        <v>Obesity</v>
      </c>
      <c r="E769">
        <f>VLOOKUP($A769,'Medical Examinations'!$A:$J,4,FALSE)</f>
        <v>7.49</v>
      </c>
      <c r="F769" t="str">
        <f>VLOOKUP($A769,'Medical Examinations'!$A:$J,6,FALSE)</f>
        <v>yes</v>
      </c>
      <c r="G769" t="str">
        <f>VLOOKUP($A769,'Medical Examinations'!$A:$J,7,FALSE)</f>
        <v>No</v>
      </c>
      <c r="H769" t="str">
        <f>VLOOKUP($A769,'Medical Examinations'!$A:$J,8,FALSE)</f>
        <v>No</v>
      </c>
      <c r="I769">
        <f>VLOOKUP($A769,'Medical Examinations'!$A:$J,9,FALSE)</f>
        <v>2</v>
      </c>
      <c r="J769" t="str">
        <f>VLOOKUP($A769,'Medical Examinations'!$A:$J,10,FALSE)</f>
        <v>No</v>
      </c>
      <c r="K769" t="str">
        <f>VLOOKUP($A769,'Medical Examinations'!$A:$J,5,FALSE)</f>
        <v>Diabetes</v>
      </c>
      <c r="L769">
        <f>VLOOKUP($A770,'Medical Examinations'!$A:$J,3,FALSE)</f>
        <v>54.59</v>
      </c>
      <c r="M769">
        <f>VLOOKUP($A769,'Hospitalisation Details'!$A:$K,6,FALSE)</f>
        <v>13429.04</v>
      </c>
      <c r="N769" s="11">
        <f>VLOOKUP($B769,'Hospitalisation Details'!A768:J3112,10,0)</f>
        <v>32029</v>
      </c>
      <c r="O769" t="str">
        <f>VLOOKUP($B769,'Hospitalisation Details'!A768:J3112,8,0)</f>
        <v>tier - 3</v>
      </c>
      <c r="P769" t="str">
        <f>VLOOKUP($B769,'Hospitalisation Details'!A768:J3112,7,0)</f>
        <v>tier - 2</v>
      </c>
      <c r="Q769" t="str">
        <f>VLOOKUP($B769,'Hospitalisation Details'!A768:J3112,9,0)</f>
        <v>R1024</v>
      </c>
      <c r="R769">
        <f>VLOOKUP($B769,'Hospitalisation Details'!A768:K3112,11,0)</f>
        <v>35</v>
      </c>
    </row>
    <row r="770" spans="1:18" x14ac:dyDescent="0.35">
      <c r="A770" t="s">
        <v>1602</v>
      </c>
      <c r="B770" t="s">
        <v>801</v>
      </c>
      <c r="C770" t="str">
        <f>VLOOKUP($A770,'Customer Names'!$A:$E,4,FALSE)</f>
        <v>Stacey</v>
      </c>
      <c r="D770" t="str">
        <f>VLOOKUP($A770,'Medical Examinations'!$A:$J,2,FALSE)</f>
        <v>Obesity</v>
      </c>
      <c r="E770">
        <f>VLOOKUP($A770,'Medical Examinations'!$A:$J,4,FALSE)</f>
        <v>4.2699999999999996</v>
      </c>
      <c r="F770" t="str">
        <f>VLOOKUP($A770,'Medical Examinations'!$A:$J,6,FALSE)</f>
        <v>No</v>
      </c>
      <c r="G770" t="str">
        <f>VLOOKUP($A770,'Medical Examinations'!$A:$J,7,FALSE)</f>
        <v>No</v>
      </c>
      <c r="H770" t="str">
        <f>VLOOKUP($A770,'Medical Examinations'!$A:$J,8,FALSE)</f>
        <v>No</v>
      </c>
      <c r="I770">
        <f>VLOOKUP($A770,'Medical Examinations'!$A:$J,9,FALSE)</f>
        <v>0</v>
      </c>
      <c r="J770" t="str">
        <f>VLOOKUP($A770,'Medical Examinations'!$A:$J,10,FALSE)</f>
        <v>No</v>
      </c>
      <c r="K770" t="str">
        <f>VLOOKUP($A770,'Medical Examinations'!$A:$J,5,FALSE)</f>
        <v>Normal</v>
      </c>
      <c r="L770">
        <f>VLOOKUP($A771,'Medical Examinations'!$A:$J,3,FALSE)</f>
        <v>21.09</v>
      </c>
      <c r="M770">
        <f>VLOOKUP($A770,'Hospitalisation Details'!$A:$K,6,FALSE)</f>
        <v>13417.05</v>
      </c>
      <c r="N770" s="11">
        <f>VLOOKUP($B770,'Hospitalisation Details'!A769:J3113,10,0)</f>
        <v>31391</v>
      </c>
      <c r="O770" t="str">
        <f>VLOOKUP($B770,'Hospitalisation Details'!A769:J3113,8,0)</f>
        <v>tier - 3</v>
      </c>
      <c r="P770" t="str">
        <f>VLOOKUP($B770,'Hospitalisation Details'!A769:J3113,7,0)</f>
        <v>tier - 1</v>
      </c>
      <c r="Q770" t="str">
        <f>VLOOKUP($B770,'Hospitalisation Details'!A769:J3113,9,0)</f>
        <v>R1014</v>
      </c>
      <c r="R770">
        <f>VLOOKUP($B770,'Hospitalisation Details'!A769:K3113,11,0)</f>
        <v>37</v>
      </c>
    </row>
    <row r="771" spans="1:18" x14ac:dyDescent="0.35">
      <c r="A771" t="s">
        <v>1601</v>
      </c>
      <c r="B771" t="s">
        <v>802</v>
      </c>
      <c r="C771" t="str">
        <f>VLOOKUP($A771,'Customer Names'!$A:$E,4,FALSE)</f>
        <v>Kimberly</v>
      </c>
      <c r="D771" t="str">
        <f>VLOOKUP($A771,'Medical Examinations'!$A:$J,2,FALSE)</f>
        <v>Normal Weight</v>
      </c>
      <c r="E771">
        <f>VLOOKUP($A771,'Medical Examinations'!$A:$J,4,FALSE)</f>
        <v>9.2200000000000006</v>
      </c>
      <c r="F771" t="str">
        <f>VLOOKUP($A771,'Medical Examinations'!$A:$J,6,FALSE)</f>
        <v>yes</v>
      </c>
      <c r="G771" t="str">
        <f>VLOOKUP($A771,'Medical Examinations'!$A:$J,7,FALSE)</f>
        <v>No</v>
      </c>
      <c r="H771" t="str">
        <f>VLOOKUP($A771,'Medical Examinations'!$A:$J,8,FALSE)</f>
        <v>No</v>
      </c>
      <c r="I771">
        <f>VLOOKUP($A771,'Medical Examinations'!$A:$J,9,FALSE)</f>
        <v>2</v>
      </c>
      <c r="J771" t="str">
        <f>VLOOKUP($A771,'Medical Examinations'!$A:$J,10,FALSE)</f>
        <v>No</v>
      </c>
      <c r="K771" t="str">
        <f>VLOOKUP($A771,'Medical Examinations'!$A:$J,5,FALSE)</f>
        <v>Diabetes</v>
      </c>
      <c r="L771">
        <f>VLOOKUP($A772,'Medical Examinations'!$A:$J,3,FALSE)</f>
        <v>52.41</v>
      </c>
      <c r="M771">
        <f>VLOOKUP($A771,'Hospitalisation Details'!$A:$K,6,FALSE)</f>
        <v>13415.04</v>
      </c>
      <c r="N771" s="11">
        <f>VLOOKUP($B771,'Hospitalisation Details'!A770:J3114,10,0)</f>
        <v>25800</v>
      </c>
      <c r="O771" t="str">
        <f>VLOOKUP($B771,'Hospitalisation Details'!A770:J3114,8,0)</f>
        <v>tier - 1</v>
      </c>
      <c r="P771" t="str">
        <f>VLOOKUP($B771,'Hospitalisation Details'!A770:J3114,7,0)</f>
        <v>tier - 2</v>
      </c>
      <c r="Q771" t="str">
        <f>VLOOKUP($B771,'Hospitalisation Details'!A770:J3114,9,0)</f>
        <v>R1013</v>
      </c>
      <c r="R771">
        <f>VLOOKUP($B771,'Hospitalisation Details'!A770:K3114,11,0)</f>
        <v>52</v>
      </c>
    </row>
    <row r="772" spans="1:18" x14ac:dyDescent="0.35">
      <c r="A772" t="s">
        <v>1600</v>
      </c>
      <c r="B772" t="s">
        <v>803</v>
      </c>
      <c r="C772" t="str">
        <f>VLOOKUP($A772,'Customer Names'!$A:$E,4,FALSE)</f>
        <v>Matthew D</v>
      </c>
      <c r="D772" t="str">
        <f>VLOOKUP($A772,'Medical Examinations'!$A:$J,2,FALSE)</f>
        <v>Obesity</v>
      </c>
      <c r="E772">
        <f>VLOOKUP($A772,'Medical Examinations'!$A:$J,4,FALSE)</f>
        <v>5.99</v>
      </c>
      <c r="F772" t="str">
        <f>VLOOKUP($A772,'Medical Examinations'!$A:$J,6,FALSE)</f>
        <v>No</v>
      </c>
      <c r="G772" t="str">
        <f>VLOOKUP($A772,'Medical Examinations'!$A:$J,7,FALSE)</f>
        <v>No</v>
      </c>
      <c r="H772" t="str">
        <f>VLOOKUP($A772,'Medical Examinations'!$A:$J,8,FALSE)</f>
        <v>No</v>
      </c>
      <c r="I772">
        <f>VLOOKUP($A772,'Medical Examinations'!$A:$J,9,FALSE)</f>
        <v>1</v>
      </c>
      <c r="J772" t="str">
        <f>VLOOKUP($A772,'Medical Examinations'!$A:$J,10,FALSE)</f>
        <v>No</v>
      </c>
      <c r="K772" t="str">
        <f>VLOOKUP($A772,'Medical Examinations'!$A:$J,5,FALSE)</f>
        <v>Prediabetes</v>
      </c>
      <c r="L772">
        <f>VLOOKUP($A773,'Medical Examinations'!$A:$J,3,FALSE)</f>
        <v>41.47</v>
      </c>
      <c r="M772">
        <f>VLOOKUP($A772,'Hospitalisation Details'!$A:$K,6,FALSE)</f>
        <v>13412.97</v>
      </c>
      <c r="N772" s="11">
        <f>VLOOKUP($B772,'Hospitalisation Details'!A771:J3115,10,0)</f>
        <v>26167</v>
      </c>
      <c r="O772" t="str">
        <f>VLOOKUP($B772,'Hospitalisation Details'!A771:J3115,8,0)</f>
        <v>tier - 3</v>
      </c>
      <c r="P772" t="str">
        <f>VLOOKUP($B772,'Hospitalisation Details'!A771:J3115,7,0)</f>
        <v>tier - 2</v>
      </c>
      <c r="Q772" t="str">
        <f>VLOOKUP($B772,'Hospitalisation Details'!A771:J3115,9,0)</f>
        <v>R1013</v>
      </c>
      <c r="R772">
        <f>VLOOKUP($B772,'Hospitalisation Details'!A771:K3115,11,0)</f>
        <v>51</v>
      </c>
    </row>
    <row r="773" spans="1:18" x14ac:dyDescent="0.35">
      <c r="A773" t="s">
        <v>1599</v>
      </c>
      <c r="B773" t="s">
        <v>804</v>
      </c>
      <c r="C773" t="str">
        <f>VLOOKUP($A773,'Customer Names'!$A:$E,4,FALSE)</f>
        <v>Michael</v>
      </c>
      <c r="D773" t="str">
        <f>VLOOKUP($A773,'Medical Examinations'!$A:$J,2,FALSE)</f>
        <v>Obesity</v>
      </c>
      <c r="E773">
        <f>VLOOKUP($A773,'Medical Examinations'!$A:$J,4,FALSE)</f>
        <v>5.86</v>
      </c>
      <c r="F773" t="str">
        <f>VLOOKUP($A773,'Medical Examinations'!$A:$J,6,FALSE)</f>
        <v>yes</v>
      </c>
      <c r="G773" t="str">
        <f>VLOOKUP($A773,'Medical Examinations'!$A:$J,7,FALSE)</f>
        <v>No</v>
      </c>
      <c r="H773" t="str">
        <f>VLOOKUP($A773,'Medical Examinations'!$A:$J,8,FALSE)</f>
        <v>No</v>
      </c>
      <c r="I773">
        <f>VLOOKUP($A773,'Medical Examinations'!$A:$J,9,FALSE)</f>
        <v>2</v>
      </c>
      <c r="J773" t="str">
        <f>VLOOKUP($A773,'Medical Examinations'!$A:$J,10,FALSE)</f>
        <v>No</v>
      </c>
      <c r="K773" t="str">
        <f>VLOOKUP($A773,'Medical Examinations'!$A:$J,5,FALSE)</f>
        <v>Prediabetes</v>
      </c>
      <c r="L773">
        <f>VLOOKUP($A774,'Medical Examinations'!$A:$J,3,FALSE)</f>
        <v>33.1</v>
      </c>
      <c r="M773">
        <f>VLOOKUP($A773,'Hospitalisation Details'!$A:$K,6,FALSE)</f>
        <v>13405.39</v>
      </c>
      <c r="N773" s="11">
        <f>VLOOKUP($B773,'Hospitalisation Details'!A772:J3116,10,0)</f>
        <v>32024</v>
      </c>
      <c r="O773" t="str">
        <f>VLOOKUP($B773,'Hospitalisation Details'!A772:J3116,8,0)</f>
        <v>tier - 2</v>
      </c>
      <c r="P773" t="str">
        <f>VLOOKUP($B773,'Hospitalisation Details'!A772:J3116,7,0)</f>
        <v>tier - 2</v>
      </c>
      <c r="Q773" t="str">
        <f>VLOOKUP($B773,'Hospitalisation Details'!A772:J3116,9,0)</f>
        <v>R1011</v>
      </c>
      <c r="R773">
        <f>VLOOKUP($B773,'Hospitalisation Details'!A772:K3116,11,0)</f>
        <v>35</v>
      </c>
    </row>
    <row r="774" spans="1:18" x14ac:dyDescent="0.35">
      <c r="A774" t="s">
        <v>1598</v>
      </c>
      <c r="B774" t="s">
        <v>805</v>
      </c>
      <c r="C774" t="str">
        <f>VLOOKUP($A774,'Customer Names'!$A:$E,4,FALSE)</f>
        <v>Ben</v>
      </c>
      <c r="D774" t="str">
        <f>VLOOKUP($A774,'Medical Examinations'!$A:$J,2,FALSE)</f>
        <v>Obesity</v>
      </c>
      <c r="E774">
        <f>VLOOKUP($A774,'Medical Examinations'!$A:$J,4,FALSE)</f>
        <v>5.19</v>
      </c>
      <c r="F774" t="str">
        <f>VLOOKUP($A774,'Medical Examinations'!$A:$J,6,FALSE)</f>
        <v>yes</v>
      </c>
      <c r="G774" t="str">
        <f>VLOOKUP($A774,'Medical Examinations'!$A:$J,7,FALSE)</f>
        <v>No</v>
      </c>
      <c r="H774" t="str">
        <f>VLOOKUP($A774,'Medical Examinations'!$A:$J,8,FALSE)</f>
        <v>No</v>
      </c>
      <c r="I774">
        <f>VLOOKUP($A774,'Medical Examinations'!$A:$J,9,FALSE)</f>
        <v>2</v>
      </c>
      <c r="J774" t="str">
        <f>VLOOKUP($A774,'Medical Examinations'!$A:$J,10,FALSE)</f>
        <v>No</v>
      </c>
      <c r="K774" t="str">
        <f>VLOOKUP($A774,'Medical Examinations'!$A:$J,5,FALSE)</f>
        <v>Normal</v>
      </c>
      <c r="L774">
        <f>VLOOKUP($A775,'Medical Examinations'!$A:$J,3,FALSE)</f>
        <v>30.8</v>
      </c>
      <c r="M774">
        <f>VLOOKUP($A774,'Hospitalisation Details'!$A:$K,6,FALSE)</f>
        <v>13393.76</v>
      </c>
      <c r="N774" s="11">
        <f>VLOOKUP($B774,'Hospitalisation Details'!A773:J3117,10,0)</f>
        <v>28124</v>
      </c>
      <c r="O774" t="str">
        <f>VLOOKUP($B774,'Hospitalisation Details'!A773:J3117,8,0)</f>
        <v>tier - 3</v>
      </c>
      <c r="P774" t="str">
        <f>VLOOKUP($B774,'Hospitalisation Details'!A773:J3117,7,0)</f>
        <v>tier - 2</v>
      </c>
      <c r="Q774" t="str">
        <f>VLOOKUP($B774,'Hospitalisation Details'!A773:J3117,9,0)</f>
        <v>R1013</v>
      </c>
      <c r="R774">
        <f>VLOOKUP($B774,'Hospitalisation Details'!A773:K3117,11,0)</f>
        <v>46</v>
      </c>
    </row>
    <row r="775" spans="1:18" x14ac:dyDescent="0.35">
      <c r="A775" t="s">
        <v>1597</v>
      </c>
      <c r="B775" t="s">
        <v>806</v>
      </c>
      <c r="C775" t="str">
        <f>VLOOKUP($A775,'Customer Names'!$A:$E,4,FALSE)</f>
        <v>Chris</v>
      </c>
      <c r="D775" t="str">
        <f>VLOOKUP($A775,'Medical Examinations'!$A:$J,2,FALSE)</f>
        <v>Obesity</v>
      </c>
      <c r="E775">
        <f>VLOOKUP($A775,'Medical Examinations'!$A:$J,4,FALSE)</f>
        <v>4.37</v>
      </c>
      <c r="F775" t="str">
        <f>VLOOKUP($A775,'Medical Examinations'!$A:$J,6,FALSE)</f>
        <v>yes</v>
      </c>
      <c r="G775" t="str">
        <f>VLOOKUP($A775,'Medical Examinations'!$A:$J,7,FALSE)</f>
        <v>No</v>
      </c>
      <c r="H775" t="str">
        <f>VLOOKUP($A775,'Medical Examinations'!$A:$J,8,FALSE)</f>
        <v>No</v>
      </c>
      <c r="I775">
        <f>VLOOKUP($A775,'Medical Examinations'!$A:$J,9,FALSE)</f>
        <v>2</v>
      </c>
      <c r="J775" t="str">
        <f>VLOOKUP($A775,'Medical Examinations'!$A:$J,10,FALSE)</f>
        <v>No</v>
      </c>
      <c r="K775" t="str">
        <f>VLOOKUP($A775,'Medical Examinations'!$A:$J,5,FALSE)</f>
        <v>Normal</v>
      </c>
      <c r="L775">
        <f>VLOOKUP($A776,'Medical Examinations'!$A:$J,3,FALSE)</f>
        <v>42.06</v>
      </c>
      <c r="M775">
        <f>VLOOKUP($A775,'Hospitalisation Details'!$A:$K,6,FALSE)</f>
        <v>13390.56</v>
      </c>
      <c r="N775" s="11">
        <f>VLOOKUP($B775,'Hospitalisation Details'!A774:J3118,10,0)</f>
        <v>27611</v>
      </c>
      <c r="O775" t="str">
        <f>VLOOKUP($B775,'Hospitalisation Details'!A774:J3118,8,0)</f>
        <v>tier - 3</v>
      </c>
      <c r="P775" t="str">
        <f>VLOOKUP($B775,'Hospitalisation Details'!A774:J3118,7,0)</f>
        <v>tier - 2</v>
      </c>
      <c r="Q775" t="str">
        <f>VLOOKUP($B775,'Hospitalisation Details'!A774:J3118,9,0)</f>
        <v>R1013</v>
      </c>
      <c r="R775">
        <f>VLOOKUP($B775,'Hospitalisation Details'!A774:K3118,11,0)</f>
        <v>47</v>
      </c>
    </row>
    <row r="776" spans="1:18" x14ac:dyDescent="0.35">
      <c r="A776" t="s">
        <v>1596</v>
      </c>
      <c r="B776" t="s">
        <v>807</v>
      </c>
      <c r="C776" t="str">
        <f>VLOOKUP($A776,'Customer Names'!$A:$E,4,FALSE)</f>
        <v>Jeremy J</v>
      </c>
      <c r="D776" t="str">
        <f>VLOOKUP($A776,'Medical Examinations'!$A:$J,2,FALSE)</f>
        <v>Obesity</v>
      </c>
      <c r="E776">
        <f>VLOOKUP($A776,'Medical Examinations'!$A:$J,4,FALSE)</f>
        <v>5.32</v>
      </c>
      <c r="F776" t="str">
        <f>VLOOKUP($A776,'Medical Examinations'!$A:$J,6,FALSE)</f>
        <v>No</v>
      </c>
      <c r="G776" t="str">
        <f>VLOOKUP($A776,'Medical Examinations'!$A:$J,7,FALSE)</f>
        <v>No</v>
      </c>
      <c r="H776" t="str">
        <f>VLOOKUP($A776,'Medical Examinations'!$A:$J,8,FALSE)</f>
        <v>No</v>
      </c>
      <c r="I776">
        <f>VLOOKUP($A776,'Medical Examinations'!$A:$J,9,FALSE)</f>
        <v>1</v>
      </c>
      <c r="J776" t="str">
        <f>VLOOKUP($A776,'Medical Examinations'!$A:$J,10,FALSE)</f>
        <v>No</v>
      </c>
      <c r="K776" t="str">
        <f>VLOOKUP($A776,'Medical Examinations'!$A:$J,5,FALSE)</f>
        <v>Normal</v>
      </c>
      <c r="L776">
        <f>VLOOKUP($A777,'Medical Examinations'!$A:$J,3,FALSE)</f>
        <v>39.270000000000003</v>
      </c>
      <c r="M776">
        <f>VLOOKUP($A776,'Hospitalisation Details'!$A:$K,6,FALSE)</f>
        <v>13383.67</v>
      </c>
      <c r="N776" s="11">
        <f>VLOOKUP($B776,'Hospitalisation Details'!A775:J3119,10,0)</f>
        <v>31250</v>
      </c>
      <c r="O776" t="str">
        <f>VLOOKUP($B776,'Hospitalisation Details'!A775:J3119,8,0)</f>
        <v>tier - 2</v>
      </c>
      <c r="P776" t="str">
        <f>VLOOKUP($B776,'Hospitalisation Details'!A775:J3119,7,0)</f>
        <v>tier - 3</v>
      </c>
      <c r="Q776" t="str">
        <f>VLOOKUP($B776,'Hospitalisation Details'!A775:J3119,9,0)</f>
        <v>R1013</v>
      </c>
      <c r="R776">
        <f>VLOOKUP($B776,'Hospitalisation Details'!A775:K3119,11,0)</f>
        <v>37</v>
      </c>
    </row>
    <row r="777" spans="1:18" x14ac:dyDescent="0.35">
      <c r="A777" t="s">
        <v>1595</v>
      </c>
      <c r="B777" t="s">
        <v>808</v>
      </c>
      <c r="C777" t="str">
        <f>VLOOKUP($A777,'Customer Names'!$A:$E,4,FALSE)</f>
        <v>Amy L.</v>
      </c>
      <c r="D777" t="str">
        <f>VLOOKUP($A777,'Medical Examinations'!$A:$J,2,FALSE)</f>
        <v>Obesity</v>
      </c>
      <c r="E777">
        <f>VLOOKUP($A777,'Medical Examinations'!$A:$J,4,FALSE)</f>
        <v>5.64</v>
      </c>
      <c r="F777" t="str">
        <f>VLOOKUP($A777,'Medical Examinations'!$A:$J,6,FALSE)</f>
        <v>No</v>
      </c>
      <c r="G777" t="str">
        <f>VLOOKUP($A777,'Medical Examinations'!$A:$J,7,FALSE)</f>
        <v>No</v>
      </c>
      <c r="H777" t="str">
        <f>VLOOKUP($A777,'Medical Examinations'!$A:$J,8,FALSE)</f>
        <v>Yes</v>
      </c>
      <c r="I777">
        <f>VLOOKUP($A777,'Medical Examinations'!$A:$J,9,FALSE)</f>
        <v>1</v>
      </c>
      <c r="J777" t="str">
        <f>VLOOKUP($A777,'Medical Examinations'!$A:$J,10,FALSE)</f>
        <v>No</v>
      </c>
      <c r="K777" t="str">
        <f>VLOOKUP($A777,'Medical Examinations'!$A:$J,5,FALSE)</f>
        <v>Normal</v>
      </c>
      <c r="L777">
        <f>VLOOKUP($A778,'Medical Examinations'!$A:$J,3,FALSE)</f>
        <v>30.71</v>
      </c>
      <c r="M777">
        <f>VLOOKUP($A777,'Hospitalisation Details'!$A:$K,6,FALSE)</f>
        <v>13377.41</v>
      </c>
      <c r="N777" s="11">
        <f>VLOOKUP($B777,'Hospitalisation Details'!A776:J3120,10,0)</f>
        <v>30920</v>
      </c>
      <c r="O777" t="str">
        <f>VLOOKUP($B777,'Hospitalisation Details'!A776:J3120,8,0)</f>
        <v>tier - 3</v>
      </c>
      <c r="P777" t="str">
        <f>VLOOKUP($B777,'Hospitalisation Details'!A776:J3120,7,0)</f>
        <v>tier - 3</v>
      </c>
      <c r="Q777" t="str">
        <f>VLOOKUP($B777,'Hospitalisation Details'!A776:J3120,9,0)</f>
        <v>R1012</v>
      </c>
      <c r="R777">
        <f>VLOOKUP($B777,'Hospitalisation Details'!A776:K3120,11,0)</f>
        <v>38</v>
      </c>
    </row>
    <row r="778" spans="1:18" x14ac:dyDescent="0.35">
      <c r="A778" t="s">
        <v>1594</v>
      </c>
      <c r="B778" t="s">
        <v>809</v>
      </c>
      <c r="C778" t="str">
        <f>VLOOKUP($A778,'Customer Names'!$A:$E,4,FALSE)</f>
        <v>Karen L.</v>
      </c>
      <c r="D778" t="str">
        <f>VLOOKUP($A778,'Medical Examinations'!$A:$J,2,FALSE)</f>
        <v>Obesity</v>
      </c>
      <c r="E778">
        <f>VLOOKUP($A778,'Medical Examinations'!$A:$J,4,FALSE)</f>
        <v>5.59</v>
      </c>
      <c r="F778" t="str">
        <f>VLOOKUP($A778,'Medical Examinations'!$A:$J,6,FALSE)</f>
        <v>yes</v>
      </c>
      <c r="G778" t="str">
        <f>VLOOKUP($A778,'Medical Examinations'!$A:$J,7,FALSE)</f>
        <v>No</v>
      </c>
      <c r="H778" t="str">
        <f>VLOOKUP($A778,'Medical Examinations'!$A:$J,8,FALSE)</f>
        <v>No</v>
      </c>
      <c r="I778">
        <f>VLOOKUP($A778,'Medical Examinations'!$A:$J,9,FALSE)</f>
        <v>1</v>
      </c>
      <c r="J778" t="str">
        <f>VLOOKUP($A778,'Medical Examinations'!$A:$J,10,FALSE)</f>
        <v>No</v>
      </c>
      <c r="K778" t="str">
        <f>VLOOKUP($A778,'Medical Examinations'!$A:$J,5,FALSE)</f>
        <v>Normal</v>
      </c>
      <c r="L778">
        <f>VLOOKUP($A779,'Medical Examinations'!$A:$J,3,FALSE)</f>
        <v>47.19</v>
      </c>
      <c r="M778">
        <f>VLOOKUP($A778,'Hospitalisation Details'!$A:$K,6,FALSE)</f>
        <v>13375.76</v>
      </c>
      <c r="N778" s="11">
        <f>VLOOKUP($B778,'Hospitalisation Details'!A777:J3121,10,0)</f>
        <v>30987</v>
      </c>
      <c r="O778" t="str">
        <f>VLOOKUP($B778,'Hospitalisation Details'!A777:J3121,8,0)</f>
        <v>tier - 3</v>
      </c>
      <c r="P778" t="str">
        <f>VLOOKUP($B778,'Hospitalisation Details'!A777:J3121,7,0)</f>
        <v>tier - 2</v>
      </c>
      <c r="Q778" t="str">
        <f>VLOOKUP($B778,'Hospitalisation Details'!A777:J3121,9,0)</f>
        <v>R1012</v>
      </c>
      <c r="R778">
        <f>VLOOKUP($B778,'Hospitalisation Details'!A777:K3121,11,0)</f>
        <v>38</v>
      </c>
    </row>
    <row r="779" spans="1:18" x14ac:dyDescent="0.35">
      <c r="A779" t="s">
        <v>1593</v>
      </c>
      <c r="B779" t="s">
        <v>810</v>
      </c>
      <c r="C779" t="str">
        <f>VLOOKUP($A779,'Customer Names'!$A:$E,4,FALSE)</f>
        <v>Tennille</v>
      </c>
      <c r="D779" t="str">
        <f>VLOOKUP($A779,'Medical Examinations'!$A:$J,2,FALSE)</f>
        <v>Obesity</v>
      </c>
      <c r="E779">
        <f>VLOOKUP($A779,'Medical Examinations'!$A:$J,4,FALSE)</f>
        <v>5.29</v>
      </c>
      <c r="F779" t="str">
        <f>VLOOKUP($A779,'Medical Examinations'!$A:$J,6,FALSE)</f>
        <v>No</v>
      </c>
      <c r="G779" t="str">
        <f>VLOOKUP($A779,'Medical Examinations'!$A:$J,7,FALSE)</f>
        <v>No</v>
      </c>
      <c r="H779" t="str">
        <f>VLOOKUP($A779,'Medical Examinations'!$A:$J,8,FALSE)</f>
        <v>No</v>
      </c>
      <c r="I779">
        <f>VLOOKUP($A779,'Medical Examinations'!$A:$J,9,FALSE)</f>
        <v>0</v>
      </c>
      <c r="J779" t="str">
        <f>VLOOKUP($A779,'Medical Examinations'!$A:$J,10,FALSE)</f>
        <v>No</v>
      </c>
      <c r="K779" t="str">
        <f>VLOOKUP($A779,'Medical Examinations'!$A:$J,5,FALSE)</f>
        <v>Normal</v>
      </c>
      <c r="L779">
        <f>VLOOKUP($A780,'Medical Examinations'!$A:$J,3,FALSE)</f>
        <v>30.02</v>
      </c>
      <c r="M779">
        <f>VLOOKUP($A779,'Hospitalisation Details'!$A:$K,6,FALSE)</f>
        <v>13360.94</v>
      </c>
      <c r="N779" s="11">
        <f>VLOOKUP($B779,'Hospitalisation Details'!A778:J3122,10,0)</f>
        <v>29794</v>
      </c>
      <c r="O779" t="str">
        <f>VLOOKUP($B779,'Hospitalisation Details'!A778:J3122,8,0)</f>
        <v>tier - 2</v>
      </c>
      <c r="P779" t="str">
        <f>VLOOKUP($B779,'Hospitalisation Details'!A778:J3122,7,0)</f>
        <v>tier - 2</v>
      </c>
      <c r="Q779" t="str">
        <f>VLOOKUP($B779,'Hospitalisation Details'!A778:J3122,9,0)</f>
        <v>R1013</v>
      </c>
      <c r="R779">
        <f>VLOOKUP($B779,'Hospitalisation Details'!A778:K3122,11,0)</f>
        <v>41</v>
      </c>
    </row>
    <row r="780" spans="1:18" x14ac:dyDescent="0.35">
      <c r="A780" t="s">
        <v>1592</v>
      </c>
      <c r="B780" t="s">
        <v>811</v>
      </c>
      <c r="C780" t="str">
        <f>VLOOKUP($A780,'Customer Names'!$A:$E,4,FALSE)</f>
        <v>Matt</v>
      </c>
      <c r="D780" t="str">
        <f>VLOOKUP($A780,'Medical Examinations'!$A:$J,2,FALSE)</f>
        <v>Obesity</v>
      </c>
      <c r="E780">
        <f>VLOOKUP($A780,'Medical Examinations'!$A:$J,4,FALSE)</f>
        <v>6.65</v>
      </c>
      <c r="F780" t="str">
        <f>VLOOKUP($A780,'Medical Examinations'!$A:$J,6,FALSE)</f>
        <v>No</v>
      </c>
      <c r="G780" t="str">
        <f>VLOOKUP($A780,'Medical Examinations'!$A:$J,7,FALSE)</f>
        <v>No</v>
      </c>
      <c r="H780" t="str">
        <f>VLOOKUP($A780,'Medical Examinations'!$A:$J,8,FALSE)</f>
        <v>No</v>
      </c>
      <c r="I780">
        <f>VLOOKUP($A780,'Medical Examinations'!$A:$J,9,FALSE)</f>
        <v>0</v>
      </c>
      <c r="J780" t="str">
        <f>VLOOKUP($A780,'Medical Examinations'!$A:$J,10,FALSE)</f>
        <v>No</v>
      </c>
      <c r="K780" t="str">
        <f>VLOOKUP($A780,'Medical Examinations'!$A:$J,5,FALSE)</f>
        <v>Diabetes</v>
      </c>
      <c r="L780">
        <f>VLOOKUP($A781,'Medical Examinations'!$A:$J,3,FALSE)</f>
        <v>37.909999999999997</v>
      </c>
      <c r="M780">
        <f>VLOOKUP($A780,'Hospitalisation Details'!$A:$K,6,FALSE)</f>
        <v>13352.1</v>
      </c>
      <c r="N780" s="11">
        <f>VLOOKUP($B780,'Hospitalisation Details'!A779:J3123,10,0)</f>
        <v>29380</v>
      </c>
      <c r="O780" t="str">
        <f>VLOOKUP($B780,'Hospitalisation Details'!A779:J3123,8,0)</f>
        <v>tier - 3</v>
      </c>
      <c r="P780" t="str">
        <f>VLOOKUP($B780,'Hospitalisation Details'!A779:J3123,7,0)</f>
        <v>tier - 2</v>
      </c>
      <c r="Q780" t="str">
        <f>VLOOKUP($B780,'Hospitalisation Details'!A779:J3123,9,0)</f>
        <v>R1011</v>
      </c>
      <c r="R780">
        <f>VLOOKUP($B780,'Hospitalisation Details'!A779:K3123,11,0)</f>
        <v>43</v>
      </c>
    </row>
    <row r="781" spans="1:18" x14ac:dyDescent="0.35">
      <c r="A781" t="s">
        <v>1591</v>
      </c>
      <c r="B781" t="s">
        <v>812</v>
      </c>
      <c r="C781" t="str">
        <f>VLOOKUP($A781,'Customer Names'!$A:$E,4,FALSE)</f>
        <v>Emily</v>
      </c>
      <c r="D781" t="str">
        <f>VLOOKUP($A781,'Medical Examinations'!$A:$J,2,FALSE)</f>
        <v>Obesity</v>
      </c>
      <c r="E781">
        <f>VLOOKUP($A781,'Medical Examinations'!$A:$J,4,FALSE)</f>
        <v>5.68</v>
      </c>
      <c r="F781" t="str">
        <f>VLOOKUP($A781,'Medical Examinations'!$A:$J,6,FALSE)</f>
        <v>yes</v>
      </c>
      <c r="G781" t="str">
        <f>VLOOKUP($A781,'Medical Examinations'!$A:$J,7,FALSE)</f>
        <v>No</v>
      </c>
      <c r="H781" t="str">
        <f>VLOOKUP($A781,'Medical Examinations'!$A:$J,8,FALSE)</f>
        <v>No</v>
      </c>
      <c r="I781">
        <f>VLOOKUP($A781,'Medical Examinations'!$A:$J,9,FALSE)</f>
        <v>0</v>
      </c>
      <c r="J781" t="str">
        <f>VLOOKUP($A781,'Medical Examinations'!$A:$J,10,FALSE)</f>
        <v>No</v>
      </c>
      <c r="K781" t="str">
        <f>VLOOKUP($A781,'Medical Examinations'!$A:$J,5,FALSE)</f>
        <v>Normal</v>
      </c>
      <c r="L781">
        <f>VLOOKUP($A782,'Medical Examinations'!$A:$J,3,FALSE)</f>
        <v>54.61</v>
      </c>
      <c r="M781">
        <f>VLOOKUP($A781,'Hospitalisation Details'!$A:$K,6,FALSE)</f>
        <v>13333.71</v>
      </c>
      <c r="N781" s="11">
        <f>VLOOKUP($B781,'Hospitalisation Details'!A780:J3124,10,0)</f>
        <v>25903</v>
      </c>
      <c r="O781" t="str">
        <f>VLOOKUP($B781,'Hospitalisation Details'!A780:J3124,8,0)</f>
        <v>tier - 2</v>
      </c>
      <c r="P781" t="str">
        <f>VLOOKUP($B781,'Hospitalisation Details'!A780:J3124,7,0)</f>
        <v>tier - 2</v>
      </c>
      <c r="Q781" t="str">
        <f>VLOOKUP($B781,'Hospitalisation Details'!A780:J3124,9,0)</f>
        <v>R1013</v>
      </c>
      <c r="R781">
        <f>VLOOKUP($B781,'Hospitalisation Details'!A780:K3124,11,0)</f>
        <v>52</v>
      </c>
    </row>
    <row r="782" spans="1:18" x14ac:dyDescent="0.35">
      <c r="A782" t="s">
        <v>1590</v>
      </c>
      <c r="B782" t="s">
        <v>813</v>
      </c>
      <c r="C782" t="str">
        <f>VLOOKUP($A782,'Customer Names'!$A:$E,4,FALSE)</f>
        <v>Justin E</v>
      </c>
      <c r="D782" t="str">
        <f>VLOOKUP($A782,'Medical Examinations'!$A:$J,2,FALSE)</f>
        <v>Obesity</v>
      </c>
      <c r="E782">
        <f>VLOOKUP($A782,'Medical Examinations'!$A:$J,4,FALSE)</f>
        <v>4.49</v>
      </c>
      <c r="F782" t="str">
        <f>VLOOKUP($A782,'Medical Examinations'!$A:$J,6,FALSE)</f>
        <v>No</v>
      </c>
      <c r="G782" t="str">
        <f>VLOOKUP($A782,'Medical Examinations'!$A:$J,7,FALSE)</f>
        <v>No</v>
      </c>
      <c r="H782" t="str">
        <f>VLOOKUP($A782,'Medical Examinations'!$A:$J,8,FALSE)</f>
        <v>No</v>
      </c>
      <c r="I782">
        <f>VLOOKUP($A782,'Medical Examinations'!$A:$J,9,FALSE)</f>
        <v>0</v>
      </c>
      <c r="J782" t="str">
        <f>VLOOKUP($A782,'Medical Examinations'!$A:$J,10,FALSE)</f>
        <v>No</v>
      </c>
      <c r="K782" t="str">
        <f>VLOOKUP($A782,'Medical Examinations'!$A:$J,5,FALSE)</f>
        <v>Normal</v>
      </c>
      <c r="L782">
        <f>VLOOKUP($A783,'Medical Examinations'!$A:$J,3,FALSE)</f>
        <v>36.005000000000003</v>
      </c>
      <c r="M782">
        <f>VLOOKUP($A782,'Hospitalisation Details'!$A:$K,6,FALSE)</f>
        <v>13292.52</v>
      </c>
      <c r="N782" s="11">
        <f>VLOOKUP($B782,'Hospitalisation Details'!A781:J3125,10,0)</f>
        <v>30233</v>
      </c>
      <c r="O782" t="str">
        <f>VLOOKUP($B782,'Hospitalisation Details'!A781:J3125,8,0)</f>
        <v>tier - 3</v>
      </c>
      <c r="P782" t="str">
        <f>VLOOKUP($B782,'Hospitalisation Details'!A781:J3125,7,0)</f>
        <v>tier - 2</v>
      </c>
      <c r="Q782" t="str">
        <f>VLOOKUP($B782,'Hospitalisation Details'!A781:J3125,9,0)</f>
        <v>R1011</v>
      </c>
      <c r="R782">
        <f>VLOOKUP($B782,'Hospitalisation Details'!A781:K3125,11,0)</f>
        <v>40</v>
      </c>
    </row>
    <row r="783" spans="1:18" x14ac:dyDescent="0.35">
      <c r="A783" t="s">
        <v>1589</v>
      </c>
      <c r="B783" t="s">
        <v>814</v>
      </c>
      <c r="C783" t="str">
        <f>VLOOKUP($A783,'Customer Names'!$A:$E,4,FALSE)</f>
        <v>Shalane</v>
      </c>
      <c r="D783" t="str">
        <f>VLOOKUP($A783,'Medical Examinations'!$A:$J,2,FALSE)</f>
        <v>Obesity</v>
      </c>
      <c r="E783">
        <f>VLOOKUP($A783,'Medical Examinations'!$A:$J,4,FALSE)</f>
        <v>6.9</v>
      </c>
      <c r="F783" t="str">
        <f>VLOOKUP($A783,'Medical Examinations'!$A:$J,6,FALSE)</f>
        <v>No</v>
      </c>
      <c r="G783" t="str">
        <f>VLOOKUP($A783,'Medical Examinations'!$A:$J,7,FALSE)</f>
        <v>No</v>
      </c>
      <c r="H783" t="str">
        <f>VLOOKUP($A783,'Medical Examinations'!$A:$J,8,FALSE)</f>
        <v>No</v>
      </c>
      <c r="I783">
        <f>VLOOKUP($A783,'Medical Examinations'!$A:$J,9,FALSE)</f>
        <v>0</v>
      </c>
      <c r="J783" t="str">
        <f>VLOOKUP($A783,'Medical Examinations'!$A:$J,10,FALSE)</f>
        <v>No</v>
      </c>
      <c r="K783" t="str">
        <f>VLOOKUP($A783,'Medical Examinations'!$A:$J,5,FALSE)</f>
        <v>Diabetes</v>
      </c>
      <c r="L783">
        <f>VLOOKUP($A784,'Medical Examinations'!$A:$J,3,FALSE)</f>
        <v>28.7</v>
      </c>
      <c r="M783">
        <f>VLOOKUP($A783,'Hospitalisation Details'!$A:$K,6,FALSE)</f>
        <v>13228.85</v>
      </c>
      <c r="N783" s="11">
        <f>VLOOKUP($B783,'Hospitalisation Details'!A782:J3126,10,0)</f>
        <v>30191</v>
      </c>
      <c r="O783" t="str">
        <f>VLOOKUP($B783,'Hospitalisation Details'!A782:J3126,8,0)</f>
        <v>tier - 2</v>
      </c>
      <c r="P783" t="str">
        <f>VLOOKUP($B783,'Hospitalisation Details'!A782:J3126,7,0)</f>
        <v>tier - 2</v>
      </c>
      <c r="Q783" t="str">
        <f>VLOOKUP($B783,'Hospitalisation Details'!A782:J3126,9,0)</f>
        <v>R1013</v>
      </c>
      <c r="R783">
        <f>VLOOKUP($B783,'Hospitalisation Details'!A782:K3126,11,0)</f>
        <v>40</v>
      </c>
    </row>
    <row r="784" spans="1:18" x14ac:dyDescent="0.35">
      <c r="A784" t="s">
        <v>1588</v>
      </c>
      <c r="B784" t="s">
        <v>815</v>
      </c>
      <c r="C784" t="str">
        <f>VLOOKUP($A784,'Customer Names'!$A:$E,4,FALSE)</f>
        <v>Jessica N.</v>
      </c>
      <c r="D784" t="str">
        <f>VLOOKUP($A784,'Medical Examinations'!$A:$J,2,FALSE)</f>
        <v>Overweight</v>
      </c>
      <c r="E784">
        <f>VLOOKUP($A784,'Medical Examinations'!$A:$J,4,FALSE)</f>
        <v>11.52</v>
      </c>
      <c r="F784" t="str">
        <f>VLOOKUP($A784,'Medical Examinations'!$A:$J,6,FALSE)</f>
        <v>No</v>
      </c>
      <c r="G784" t="str">
        <f>VLOOKUP($A784,'Medical Examinations'!$A:$J,7,FALSE)</f>
        <v>No</v>
      </c>
      <c r="H784" t="str">
        <f>VLOOKUP($A784,'Medical Examinations'!$A:$J,8,FALSE)</f>
        <v>No</v>
      </c>
      <c r="I784">
        <f>VLOOKUP($A784,'Medical Examinations'!$A:$J,9,FALSE)</f>
        <v>0</v>
      </c>
      <c r="J784" t="str">
        <f>VLOOKUP($A784,'Medical Examinations'!$A:$J,10,FALSE)</f>
        <v>No</v>
      </c>
      <c r="K784" t="str">
        <f>VLOOKUP($A784,'Medical Examinations'!$A:$J,5,FALSE)</f>
        <v>Diabetes</v>
      </c>
      <c r="L784">
        <f>VLOOKUP($A785,'Medical Examinations'!$A:$J,3,FALSE)</f>
        <v>34.295000000000002</v>
      </c>
      <c r="M784">
        <f>VLOOKUP($A784,'Hospitalisation Details'!$A:$K,6,FALSE)</f>
        <v>13224.69</v>
      </c>
      <c r="N784" s="11">
        <f>VLOOKUP($B784,'Hospitalisation Details'!A783:J3127,10,0)</f>
        <v>34522</v>
      </c>
      <c r="O784" t="str">
        <f>VLOOKUP($B784,'Hospitalisation Details'!A783:J3127,8,0)</f>
        <v>tier - 1</v>
      </c>
      <c r="P784" t="str">
        <f>VLOOKUP($B784,'Hospitalisation Details'!A783:J3127,7,0)</f>
        <v>tier - 2</v>
      </c>
      <c r="Q784" t="str">
        <f>VLOOKUP($B784,'Hospitalisation Details'!A783:J3127,9,0)</f>
        <v>R1021</v>
      </c>
      <c r="R784">
        <f>VLOOKUP($B784,'Hospitalisation Details'!A783:K3127,11,0)</f>
        <v>28</v>
      </c>
    </row>
    <row r="785" spans="1:18" x14ac:dyDescent="0.35">
      <c r="A785" t="s">
        <v>1587</v>
      </c>
      <c r="B785" t="s">
        <v>816</v>
      </c>
      <c r="C785" t="str">
        <f>VLOOKUP($A785,'Customer Names'!$A:$E,4,FALSE)</f>
        <v>Melanie</v>
      </c>
      <c r="D785" t="str">
        <f>VLOOKUP($A785,'Medical Examinations'!$A:$J,2,FALSE)</f>
        <v>Obesity</v>
      </c>
      <c r="E785">
        <f>VLOOKUP($A785,'Medical Examinations'!$A:$J,4,FALSE)</f>
        <v>11.24</v>
      </c>
      <c r="F785" t="str">
        <f>VLOOKUP($A785,'Medical Examinations'!$A:$J,6,FALSE)</f>
        <v>No</v>
      </c>
      <c r="G785" t="str">
        <f>VLOOKUP($A785,'Medical Examinations'!$A:$J,7,FALSE)</f>
        <v>No</v>
      </c>
      <c r="H785" t="str">
        <f>VLOOKUP($A785,'Medical Examinations'!$A:$J,8,FALSE)</f>
        <v>No</v>
      </c>
      <c r="I785">
        <f>VLOOKUP($A785,'Medical Examinations'!$A:$J,9,FALSE)</f>
        <v>0</v>
      </c>
      <c r="J785" t="str">
        <f>VLOOKUP($A785,'Medical Examinations'!$A:$J,10,FALSE)</f>
        <v>No</v>
      </c>
      <c r="K785" t="str">
        <f>VLOOKUP($A785,'Medical Examinations'!$A:$J,5,FALSE)</f>
        <v>Diabetes</v>
      </c>
      <c r="L785">
        <f>VLOOKUP($A786,'Medical Examinations'!$A:$J,3,FALSE)</f>
        <v>27.55</v>
      </c>
      <c r="M785">
        <f>VLOOKUP($A785,'Hospitalisation Details'!$A:$K,6,FALSE)</f>
        <v>13224.06</v>
      </c>
      <c r="N785" s="11">
        <f>VLOOKUP($B785,'Hospitalisation Details'!A784:J3128,10,0)</f>
        <v>28056</v>
      </c>
      <c r="O785" t="str">
        <f>VLOOKUP($B785,'Hospitalisation Details'!A784:J3128,8,0)</f>
        <v>tier - 1</v>
      </c>
      <c r="P785" t="str">
        <f>VLOOKUP($B785,'Hospitalisation Details'!A784:J3128,7,0)</f>
        <v>tier - 2</v>
      </c>
      <c r="Q785" t="str">
        <f>VLOOKUP($B785,'Hospitalisation Details'!A784:J3128,9,0)</f>
        <v>R1013</v>
      </c>
      <c r="R785">
        <f>VLOOKUP($B785,'Hospitalisation Details'!A784:K3128,11,0)</f>
        <v>46</v>
      </c>
    </row>
    <row r="786" spans="1:18" x14ac:dyDescent="0.35">
      <c r="A786" t="s">
        <v>1586</v>
      </c>
      <c r="B786" t="s">
        <v>817</v>
      </c>
      <c r="C786" t="str">
        <f>VLOOKUP($A786,'Customer Names'!$A:$E,4,FALSE)</f>
        <v>Ruth Angelica</v>
      </c>
      <c r="D786" t="str">
        <f>VLOOKUP($A786,'Medical Examinations'!$A:$J,2,FALSE)</f>
        <v>Overweight</v>
      </c>
      <c r="E786">
        <f>VLOOKUP($A786,'Medical Examinations'!$A:$J,4,FALSE)</f>
        <v>10.98</v>
      </c>
      <c r="F786" t="str">
        <f>VLOOKUP($A786,'Medical Examinations'!$A:$J,6,FALSE)</f>
        <v>No</v>
      </c>
      <c r="G786" t="str">
        <f>VLOOKUP($A786,'Medical Examinations'!$A:$J,7,FALSE)</f>
        <v>No</v>
      </c>
      <c r="H786" t="str">
        <f>VLOOKUP($A786,'Medical Examinations'!$A:$J,8,FALSE)</f>
        <v>No</v>
      </c>
      <c r="I786">
        <f>VLOOKUP($A786,'Medical Examinations'!$A:$J,9,FALSE)</f>
        <v>0</v>
      </c>
      <c r="J786" t="str">
        <f>VLOOKUP($A786,'Medical Examinations'!$A:$J,10,FALSE)</f>
        <v>No</v>
      </c>
      <c r="K786" t="str">
        <f>VLOOKUP($A786,'Medical Examinations'!$A:$J,5,FALSE)</f>
        <v>Diabetes</v>
      </c>
      <c r="L786">
        <f>VLOOKUP($A787,'Medical Examinations'!$A:$J,3,FALSE)</f>
        <v>40.700000000000003</v>
      </c>
      <c r="M786">
        <f>VLOOKUP($A786,'Hospitalisation Details'!$A:$K,6,FALSE)</f>
        <v>13217.09</v>
      </c>
      <c r="N786" s="11">
        <f>VLOOKUP($B786,'Hospitalisation Details'!A785:J3129,10,0)</f>
        <v>30175</v>
      </c>
      <c r="O786" t="str">
        <f>VLOOKUP($B786,'Hospitalisation Details'!A785:J3129,8,0)</f>
        <v>tier - 1</v>
      </c>
      <c r="P786" t="str">
        <f>VLOOKUP($B786,'Hospitalisation Details'!A785:J3129,7,0)</f>
        <v>tier - 2</v>
      </c>
      <c r="Q786" t="str">
        <f>VLOOKUP($B786,'Hospitalisation Details'!A785:J3129,9,0)</f>
        <v>R1013</v>
      </c>
      <c r="R786">
        <f>VLOOKUP($B786,'Hospitalisation Details'!A785:K3129,11,0)</f>
        <v>40</v>
      </c>
    </row>
    <row r="787" spans="1:18" x14ac:dyDescent="0.35">
      <c r="A787" t="s">
        <v>1585</v>
      </c>
      <c r="B787" t="s">
        <v>818</v>
      </c>
      <c r="C787" t="str">
        <f>VLOOKUP($A787,'Customer Names'!$A:$E,4,FALSE)</f>
        <v>Una M</v>
      </c>
      <c r="D787" t="str">
        <f>VLOOKUP($A787,'Medical Examinations'!$A:$J,2,FALSE)</f>
        <v>Obesity</v>
      </c>
      <c r="E787">
        <f>VLOOKUP($A787,'Medical Examinations'!$A:$J,4,FALSE)</f>
        <v>5.42</v>
      </c>
      <c r="F787" t="str">
        <f>VLOOKUP($A787,'Medical Examinations'!$A:$J,6,FALSE)</f>
        <v>No</v>
      </c>
      <c r="G787" t="str">
        <f>VLOOKUP($A787,'Medical Examinations'!$A:$J,7,FALSE)</f>
        <v>No</v>
      </c>
      <c r="H787" t="str">
        <f>VLOOKUP($A787,'Medical Examinations'!$A:$J,8,FALSE)</f>
        <v>No</v>
      </c>
      <c r="I787">
        <f>VLOOKUP($A787,'Medical Examinations'!$A:$J,9,FALSE)</f>
        <v>0</v>
      </c>
      <c r="J787" t="str">
        <f>VLOOKUP($A787,'Medical Examinations'!$A:$J,10,FALSE)</f>
        <v>No</v>
      </c>
      <c r="K787" t="str">
        <f>VLOOKUP($A787,'Medical Examinations'!$A:$J,5,FALSE)</f>
        <v>Normal</v>
      </c>
      <c r="L787">
        <f>VLOOKUP($A788,'Medical Examinations'!$A:$J,3,FALSE)</f>
        <v>18.335000000000001</v>
      </c>
      <c r="M787">
        <f>VLOOKUP($A787,'Hospitalisation Details'!$A:$K,6,FALSE)</f>
        <v>13214.43</v>
      </c>
      <c r="N787" s="11">
        <f>VLOOKUP($B787,'Hospitalisation Details'!A786:J3130,10,0)</f>
        <v>30226</v>
      </c>
      <c r="O787" t="str">
        <f>VLOOKUP($B787,'Hospitalisation Details'!A786:J3130,8,0)</f>
        <v>tier - 2</v>
      </c>
      <c r="P787" t="str">
        <f>VLOOKUP($B787,'Hospitalisation Details'!A786:J3130,7,0)</f>
        <v>tier - 2</v>
      </c>
      <c r="Q787" t="str">
        <f>VLOOKUP($B787,'Hospitalisation Details'!A786:J3130,9,0)</f>
        <v>R1012</v>
      </c>
      <c r="R787">
        <f>VLOOKUP($B787,'Hospitalisation Details'!A786:K3130,11,0)</f>
        <v>40</v>
      </c>
    </row>
    <row r="788" spans="1:18" x14ac:dyDescent="0.35">
      <c r="A788" t="s">
        <v>1584</v>
      </c>
      <c r="B788" t="s">
        <v>819</v>
      </c>
      <c r="C788" t="str">
        <f>VLOOKUP($A788,'Customer Names'!$A:$E,4,FALSE)</f>
        <v>Taralyn</v>
      </c>
      <c r="D788" t="str">
        <f>VLOOKUP($A788,'Medical Examinations'!$A:$J,2,FALSE)</f>
        <v>Underweight</v>
      </c>
      <c r="E788">
        <f>VLOOKUP($A788,'Medical Examinations'!$A:$J,4,FALSE)</f>
        <v>10.97</v>
      </c>
      <c r="F788" t="str">
        <f>VLOOKUP($A788,'Medical Examinations'!$A:$J,6,FALSE)</f>
        <v>No</v>
      </c>
      <c r="G788" t="str">
        <f>VLOOKUP($A788,'Medical Examinations'!$A:$J,7,FALSE)</f>
        <v>No</v>
      </c>
      <c r="H788" t="str">
        <f>VLOOKUP($A788,'Medical Examinations'!$A:$J,8,FALSE)</f>
        <v>No</v>
      </c>
      <c r="I788">
        <f>VLOOKUP($A788,'Medical Examinations'!$A:$J,9,FALSE)</f>
        <v>0</v>
      </c>
      <c r="J788" t="str">
        <f>VLOOKUP($A788,'Medical Examinations'!$A:$J,10,FALSE)</f>
        <v>No</v>
      </c>
      <c r="K788" t="str">
        <f>VLOOKUP($A788,'Medical Examinations'!$A:$J,5,FALSE)</f>
        <v>Diabetes</v>
      </c>
      <c r="L788">
        <f>VLOOKUP($A789,'Medical Examinations'!$A:$J,3,FALSE)</f>
        <v>33.914999999999999</v>
      </c>
      <c r="M788">
        <f>VLOOKUP($A788,'Hospitalisation Details'!$A:$K,6,FALSE)</f>
        <v>13204.29</v>
      </c>
      <c r="N788" s="11">
        <f>VLOOKUP($B788,'Hospitalisation Details'!A787:J3131,10,0)</f>
        <v>25540</v>
      </c>
      <c r="O788" t="str">
        <f>VLOOKUP($B788,'Hospitalisation Details'!A787:J3131,8,0)</f>
        <v>tier - 3</v>
      </c>
      <c r="P788" t="str">
        <f>VLOOKUP($B788,'Hospitalisation Details'!A787:J3131,7,0)</f>
        <v>tier - 2</v>
      </c>
      <c r="Q788" t="str">
        <f>VLOOKUP($B788,'Hospitalisation Details'!A787:J3131,9,0)</f>
        <v>R1013</v>
      </c>
      <c r="R788">
        <f>VLOOKUP($B788,'Hospitalisation Details'!A787:K3131,11,0)</f>
        <v>53</v>
      </c>
    </row>
    <row r="789" spans="1:18" x14ac:dyDescent="0.35">
      <c r="A789" t="s">
        <v>1583</v>
      </c>
      <c r="B789" t="s">
        <v>820</v>
      </c>
      <c r="C789" t="str">
        <f>VLOOKUP($A789,'Customer Names'!$A:$E,4,FALSE)</f>
        <v>James A</v>
      </c>
      <c r="D789" t="str">
        <f>VLOOKUP($A789,'Medical Examinations'!$A:$J,2,FALSE)</f>
        <v>Obesity</v>
      </c>
      <c r="E789">
        <f>VLOOKUP($A789,'Medical Examinations'!$A:$J,4,FALSE)</f>
        <v>9.56</v>
      </c>
      <c r="F789" t="str">
        <f>VLOOKUP($A789,'Medical Examinations'!$A:$J,6,FALSE)</f>
        <v>yes</v>
      </c>
      <c r="G789" t="str">
        <f>VLOOKUP($A789,'Medical Examinations'!$A:$J,7,FALSE)</f>
        <v>No</v>
      </c>
      <c r="H789" t="str">
        <f>VLOOKUP($A789,'Medical Examinations'!$A:$J,8,FALSE)</f>
        <v>No</v>
      </c>
      <c r="I789">
        <f>VLOOKUP($A789,'Medical Examinations'!$A:$J,9,FALSE)</f>
        <v>2</v>
      </c>
      <c r="J789" t="str">
        <f>VLOOKUP($A789,'Medical Examinations'!$A:$J,10,FALSE)</f>
        <v>No</v>
      </c>
      <c r="K789" t="str">
        <f>VLOOKUP($A789,'Medical Examinations'!$A:$J,5,FALSE)</f>
        <v>Diabetes</v>
      </c>
      <c r="L789">
        <f>VLOOKUP($A790,'Medical Examinations'!$A:$J,3,FALSE)</f>
        <v>33.534999999999997</v>
      </c>
      <c r="M789">
        <f>VLOOKUP($A789,'Hospitalisation Details'!$A:$K,6,FALSE)</f>
        <v>13143.86</v>
      </c>
      <c r="N789" s="11">
        <f>VLOOKUP($B789,'Hospitalisation Details'!A788:J3132,10,0)</f>
        <v>31764</v>
      </c>
      <c r="O789" t="str">
        <f>VLOOKUP($B789,'Hospitalisation Details'!A788:J3132,8,0)</f>
        <v>tier - 3</v>
      </c>
      <c r="P789" t="str">
        <f>VLOOKUP($B789,'Hospitalisation Details'!A788:J3132,7,0)</f>
        <v>tier - 2</v>
      </c>
      <c r="Q789" t="str">
        <f>VLOOKUP($B789,'Hospitalisation Details'!A788:J3132,9,0)</f>
        <v>R1012</v>
      </c>
      <c r="R789">
        <f>VLOOKUP($B789,'Hospitalisation Details'!A788:K3132,11,0)</f>
        <v>36</v>
      </c>
    </row>
    <row r="790" spans="1:18" x14ac:dyDescent="0.35">
      <c r="A790" t="s">
        <v>1582</v>
      </c>
      <c r="B790" t="s">
        <v>821</v>
      </c>
      <c r="C790" t="str">
        <f>VLOOKUP($A790,'Customer Names'!$A:$E,4,FALSE)</f>
        <v>Ning</v>
      </c>
      <c r="D790" t="str">
        <f>VLOOKUP($A790,'Medical Examinations'!$A:$J,2,FALSE)</f>
        <v>Obesity</v>
      </c>
      <c r="E790">
        <f>VLOOKUP($A790,'Medical Examinations'!$A:$J,4,FALSE)</f>
        <v>9.4</v>
      </c>
      <c r="F790" t="str">
        <f>VLOOKUP($A790,'Medical Examinations'!$A:$J,6,FALSE)</f>
        <v>yes</v>
      </c>
      <c r="G790" t="str">
        <f>VLOOKUP($A790,'Medical Examinations'!$A:$J,7,FALSE)</f>
        <v>No</v>
      </c>
      <c r="H790" t="str">
        <f>VLOOKUP($A790,'Medical Examinations'!$A:$J,8,FALSE)</f>
        <v>No</v>
      </c>
      <c r="I790">
        <f>VLOOKUP($A790,'Medical Examinations'!$A:$J,9,FALSE)</f>
        <v>2</v>
      </c>
      <c r="J790" t="str">
        <f>VLOOKUP($A790,'Medical Examinations'!$A:$J,10,FALSE)</f>
        <v>No</v>
      </c>
      <c r="K790" t="str">
        <f>VLOOKUP($A790,'Medical Examinations'!$A:$J,5,FALSE)</f>
        <v>Diabetes</v>
      </c>
      <c r="L790">
        <f>VLOOKUP($A791,'Medical Examinations'!$A:$J,3,FALSE)</f>
        <v>23.655000000000001</v>
      </c>
      <c r="M790">
        <f>VLOOKUP($A790,'Hospitalisation Details'!$A:$K,6,FALSE)</f>
        <v>13143.34</v>
      </c>
      <c r="N790" s="11">
        <f>VLOOKUP($B790,'Hospitalisation Details'!A789:J3133,10,0)</f>
        <v>32726</v>
      </c>
      <c r="O790" t="str">
        <f>VLOOKUP($B790,'Hospitalisation Details'!A789:J3133,8,0)</f>
        <v>tier - 2</v>
      </c>
      <c r="P790" t="str">
        <f>VLOOKUP($B790,'Hospitalisation Details'!A789:J3133,7,0)</f>
        <v>tier - 2</v>
      </c>
      <c r="Q790" t="str">
        <f>VLOOKUP($B790,'Hospitalisation Details'!A789:J3133,9,0)</f>
        <v>R1024</v>
      </c>
      <c r="R790">
        <f>VLOOKUP($B790,'Hospitalisation Details'!A789:K3133,11,0)</f>
        <v>33</v>
      </c>
    </row>
    <row r="791" spans="1:18" x14ac:dyDescent="0.35">
      <c r="A791" t="s">
        <v>1581</v>
      </c>
      <c r="B791" t="s">
        <v>822</v>
      </c>
      <c r="C791" t="str">
        <f>VLOOKUP($A791,'Customer Names'!$A:$E,4,FALSE)</f>
        <v>Joel</v>
      </c>
      <c r="D791" t="str">
        <f>VLOOKUP($A791,'Medical Examinations'!$A:$J,2,FALSE)</f>
        <v>Normal Weight</v>
      </c>
      <c r="E791">
        <f>VLOOKUP($A791,'Medical Examinations'!$A:$J,4,FALSE)</f>
        <v>8.48</v>
      </c>
      <c r="F791" t="str">
        <f>VLOOKUP($A791,'Medical Examinations'!$A:$J,6,FALSE)</f>
        <v>yes</v>
      </c>
      <c r="G791" t="str">
        <f>VLOOKUP($A791,'Medical Examinations'!$A:$J,7,FALSE)</f>
        <v>No</v>
      </c>
      <c r="H791" t="str">
        <f>VLOOKUP($A791,'Medical Examinations'!$A:$J,8,FALSE)</f>
        <v>No</v>
      </c>
      <c r="I791">
        <f>VLOOKUP($A791,'Medical Examinations'!$A:$J,9,FALSE)</f>
        <v>2</v>
      </c>
      <c r="J791" t="str">
        <f>VLOOKUP($A791,'Medical Examinations'!$A:$J,10,FALSE)</f>
        <v>No</v>
      </c>
      <c r="K791" t="str">
        <f>VLOOKUP($A791,'Medical Examinations'!$A:$J,5,FALSE)</f>
        <v>Diabetes</v>
      </c>
      <c r="L791">
        <f>VLOOKUP($A792,'Medical Examinations'!$A:$J,3,FALSE)</f>
        <v>28</v>
      </c>
      <c r="M791">
        <f>VLOOKUP($A791,'Hospitalisation Details'!$A:$K,6,FALSE)</f>
        <v>13129.6</v>
      </c>
      <c r="N791" s="11">
        <f>VLOOKUP($B791,'Hospitalisation Details'!A790:J3134,10,0)</f>
        <v>25183</v>
      </c>
      <c r="O791" t="str">
        <f>VLOOKUP($B791,'Hospitalisation Details'!A790:J3134,8,0)</f>
        <v>tier - 2</v>
      </c>
      <c r="P791" t="str">
        <f>VLOOKUP($B791,'Hospitalisation Details'!A790:J3134,7,0)</f>
        <v>tier - 3</v>
      </c>
      <c r="Q791" t="str">
        <f>VLOOKUP($B791,'Hospitalisation Details'!A790:J3134,9,0)</f>
        <v>R1013</v>
      </c>
      <c r="R791">
        <f>VLOOKUP($B791,'Hospitalisation Details'!A790:K3134,11,0)</f>
        <v>54</v>
      </c>
    </row>
    <row r="792" spans="1:18" x14ac:dyDescent="0.35">
      <c r="A792" t="s">
        <v>1580</v>
      </c>
      <c r="B792" t="s">
        <v>823</v>
      </c>
      <c r="C792" t="str">
        <f>VLOOKUP($A792,'Customer Names'!$A:$E,4,FALSE)</f>
        <v>Pamela J.</v>
      </c>
      <c r="D792" t="str">
        <f>VLOOKUP($A792,'Medical Examinations'!$A:$J,2,FALSE)</f>
        <v>Overweight</v>
      </c>
      <c r="E792">
        <f>VLOOKUP($A792,'Medical Examinations'!$A:$J,4,FALSE)</f>
        <v>5.57</v>
      </c>
      <c r="F792" t="str">
        <f>VLOOKUP($A792,'Medical Examinations'!$A:$J,6,FALSE)</f>
        <v>No</v>
      </c>
      <c r="G792" t="str">
        <f>VLOOKUP($A792,'Medical Examinations'!$A:$J,7,FALSE)</f>
        <v>No</v>
      </c>
      <c r="H792" t="str">
        <f>VLOOKUP($A792,'Medical Examinations'!$A:$J,8,FALSE)</f>
        <v>No</v>
      </c>
      <c r="I792">
        <f>VLOOKUP($A792,'Medical Examinations'!$A:$J,9,FALSE)</f>
        <v>0</v>
      </c>
      <c r="J792" t="str">
        <f>VLOOKUP($A792,'Medical Examinations'!$A:$J,10,FALSE)</f>
        <v>No</v>
      </c>
      <c r="K792" t="str">
        <f>VLOOKUP($A792,'Medical Examinations'!$A:$J,5,FALSE)</f>
        <v>Normal</v>
      </c>
      <c r="L792">
        <f>VLOOKUP($A793,'Medical Examinations'!$A:$J,3,FALSE)</f>
        <v>30.23</v>
      </c>
      <c r="M792">
        <f>VLOOKUP($A792,'Hospitalisation Details'!$A:$K,6,FALSE)</f>
        <v>13126.68</v>
      </c>
      <c r="N792" s="11">
        <f>VLOOKUP($B792,'Hospitalisation Details'!A791:J3135,10,0)</f>
        <v>30945</v>
      </c>
      <c r="O792" t="str">
        <f>VLOOKUP($B792,'Hospitalisation Details'!A791:J3135,8,0)</f>
        <v>tier - 2</v>
      </c>
      <c r="P792" t="str">
        <f>VLOOKUP($B792,'Hospitalisation Details'!A791:J3135,7,0)</f>
        <v>tier - 2</v>
      </c>
      <c r="Q792" t="str">
        <f>VLOOKUP($B792,'Hospitalisation Details'!A791:J3135,9,0)</f>
        <v>R1024</v>
      </c>
      <c r="R792">
        <f>VLOOKUP($B792,'Hospitalisation Details'!A791:K3135,11,0)</f>
        <v>38</v>
      </c>
    </row>
    <row r="793" spans="1:18" x14ac:dyDescent="0.35">
      <c r="A793" t="s">
        <v>1579</v>
      </c>
      <c r="B793" t="s">
        <v>824</v>
      </c>
      <c r="C793" t="str">
        <f>VLOOKUP($A793,'Customer Names'!$A:$E,4,FALSE)</f>
        <v>Brittney</v>
      </c>
      <c r="D793" t="str">
        <f>VLOOKUP($A793,'Medical Examinations'!$A:$J,2,FALSE)</f>
        <v>Obesity</v>
      </c>
      <c r="E793">
        <f>VLOOKUP($A793,'Medical Examinations'!$A:$J,4,FALSE)</f>
        <v>6.94</v>
      </c>
      <c r="F793" t="str">
        <f>VLOOKUP($A793,'Medical Examinations'!$A:$J,6,FALSE)</f>
        <v>yes</v>
      </c>
      <c r="G793" t="str">
        <f>VLOOKUP($A793,'Medical Examinations'!$A:$J,7,FALSE)</f>
        <v>No</v>
      </c>
      <c r="H793" t="str">
        <f>VLOOKUP($A793,'Medical Examinations'!$A:$J,8,FALSE)</f>
        <v>Yes</v>
      </c>
      <c r="I793">
        <f>VLOOKUP($A793,'Medical Examinations'!$A:$J,9,FALSE)</f>
        <v>1</v>
      </c>
      <c r="J793" t="str">
        <f>VLOOKUP($A793,'Medical Examinations'!$A:$J,10,FALSE)</f>
        <v>No</v>
      </c>
      <c r="K793" t="str">
        <f>VLOOKUP($A793,'Medical Examinations'!$A:$J,5,FALSE)</f>
        <v>Diabetes</v>
      </c>
      <c r="L793">
        <f>VLOOKUP($A794,'Medical Examinations'!$A:$J,3,FALSE)</f>
        <v>51.14</v>
      </c>
      <c r="M793">
        <f>VLOOKUP($A793,'Hospitalisation Details'!$A:$K,6,FALSE)</f>
        <v>13116.84</v>
      </c>
      <c r="N793" s="11">
        <f>VLOOKUP($B793,'Hospitalisation Details'!A792:J3136,10,0)</f>
        <v>29787</v>
      </c>
      <c r="O793" t="str">
        <f>VLOOKUP($B793,'Hospitalisation Details'!A792:J3136,8,0)</f>
        <v>tier - 1</v>
      </c>
      <c r="P793" t="str">
        <f>VLOOKUP($B793,'Hospitalisation Details'!A792:J3136,7,0)</f>
        <v>tier - 2</v>
      </c>
      <c r="Q793" t="str">
        <f>VLOOKUP($B793,'Hospitalisation Details'!A792:J3136,9,0)</f>
        <v>R1012</v>
      </c>
      <c r="R793">
        <f>VLOOKUP($B793,'Hospitalisation Details'!A792:K3136,11,0)</f>
        <v>41</v>
      </c>
    </row>
    <row r="794" spans="1:18" x14ac:dyDescent="0.35">
      <c r="A794" t="s">
        <v>1578</v>
      </c>
      <c r="B794" t="s">
        <v>825</v>
      </c>
      <c r="C794" t="str">
        <f>VLOOKUP($A794,'Customer Names'!$A:$E,4,FALSE)</f>
        <v>Sheila</v>
      </c>
      <c r="D794" t="str">
        <f>VLOOKUP($A794,'Medical Examinations'!$A:$J,2,FALSE)</f>
        <v>Obesity</v>
      </c>
      <c r="E794">
        <f>VLOOKUP($A794,'Medical Examinations'!$A:$J,4,FALSE)</f>
        <v>4.05</v>
      </c>
      <c r="F794" t="str">
        <f>VLOOKUP($A794,'Medical Examinations'!$A:$J,6,FALSE)</f>
        <v>No</v>
      </c>
      <c r="G794" t="str">
        <f>VLOOKUP($A794,'Medical Examinations'!$A:$J,7,FALSE)</f>
        <v>No</v>
      </c>
      <c r="H794" t="str">
        <f>VLOOKUP($A794,'Medical Examinations'!$A:$J,8,FALSE)</f>
        <v>No</v>
      </c>
      <c r="I794">
        <f>VLOOKUP($A794,'Medical Examinations'!$A:$J,9,FALSE)</f>
        <v>1</v>
      </c>
      <c r="J794" t="str">
        <f>VLOOKUP($A794,'Medical Examinations'!$A:$J,10,FALSE)</f>
        <v>No</v>
      </c>
      <c r="K794" t="str">
        <f>VLOOKUP($A794,'Medical Examinations'!$A:$J,5,FALSE)</f>
        <v>Normal</v>
      </c>
      <c r="L794">
        <f>VLOOKUP($A795,'Medical Examinations'!$A:$J,3,FALSE)</f>
        <v>24.32</v>
      </c>
      <c r="M794">
        <f>VLOOKUP($A794,'Hospitalisation Details'!$A:$K,6,FALSE)</f>
        <v>13113.51</v>
      </c>
      <c r="N794" s="11">
        <f>VLOOKUP($B794,'Hospitalisation Details'!A793:J3137,10,0)</f>
        <v>30960</v>
      </c>
      <c r="O794" t="str">
        <f>VLOOKUP($B794,'Hospitalisation Details'!A793:J3137,8,0)</f>
        <v>tier - 3</v>
      </c>
      <c r="P794" t="str">
        <f>VLOOKUP($B794,'Hospitalisation Details'!A793:J3137,7,0)</f>
        <v>tier - 2</v>
      </c>
      <c r="Q794" t="str">
        <f>VLOOKUP($B794,'Hospitalisation Details'!A793:J3137,9,0)</f>
        <v>R1011</v>
      </c>
      <c r="R794">
        <f>VLOOKUP($B794,'Hospitalisation Details'!A793:K3137,11,0)</f>
        <v>38</v>
      </c>
    </row>
    <row r="795" spans="1:18" x14ac:dyDescent="0.35">
      <c r="A795" t="s">
        <v>1577</v>
      </c>
      <c r="B795" t="s">
        <v>826</v>
      </c>
      <c r="C795" t="str">
        <f>VLOOKUP($A795,'Customer Names'!$A:$E,4,FALSE)</f>
        <v>Koji</v>
      </c>
      <c r="D795" t="str">
        <f>VLOOKUP($A795,'Medical Examinations'!$A:$J,2,FALSE)</f>
        <v>Normal Weight</v>
      </c>
      <c r="E795">
        <f>VLOOKUP($A795,'Medical Examinations'!$A:$J,4,FALSE)</f>
        <v>10.220000000000001</v>
      </c>
      <c r="F795" t="str">
        <f>VLOOKUP($A795,'Medical Examinations'!$A:$J,6,FALSE)</f>
        <v>No</v>
      </c>
      <c r="G795" t="str">
        <f>VLOOKUP($A795,'Medical Examinations'!$A:$J,7,FALSE)</f>
        <v>No</v>
      </c>
      <c r="H795" t="str">
        <f>VLOOKUP($A795,'Medical Examinations'!$A:$J,8,FALSE)</f>
        <v>No</v>
      </c>
      <c r="I795">
        <f>VLOOKUP($A795,'Medical Examinations'!$A:$J,9,FALSE)</f>
        <v>0</v>
      </c>
      <c r="J795" t="str">
        <f>VLOOKUP($A795,'Medical Examinations'!$A:$J,10,FALSE)</f>
        <v>No</v>
      </c>
      <c r="K795" t="str">
        <f>VLOOKUP($A795,'Medical Examinations'!$A:$J,5,FALSE)</f>
        <v>Diabetes</v>
      </c>
      <c r="L795">
        <f>VLOOKUP($A796,'Medical Examinations'!$A:$J,3,FALSE)</f>
        <v>38.06</v>
      </c>
      <c r="M795">
        <f>VLOOKUP($A795,'Hospitalisation Details'!$A:$K,6,FALSE)</f>
        <v>13112.6</v>
      </c>
      <c r="N795" s="11">
        <f>VLOOKUP($B795,'Hospitalisation Details'!A794:J3138,10,0)</f>
        <v>30277</v>
      </c>
      <c r="O795" t="str">
        <f>VLOOKUP($B795,'Hospitalisation Details'!A794:J3138,8,0)</f>
        <v>tier - 1</v>
      </c>
      <c r="P795" t="str">
        <f>VLOOKUP($B795,'Hospitalisation Details'!A794:J3138,7,0)</f>
        <v>tier - 2</v>
      </c>
      <c r="Q795" t="str">
        <f>VLOOKUP($B795,'Hospitalisation Details'!A794:J3138,9,0)</f>
        <v>R1013</v>
      </c>
      <c r="R795">
        <f>VLOOKUP($B795,'Hospitalisation Details'!A794:K3138,11,0)</f>
        <v>40</v>
      </c>
    </row>
    <row r="796" spans="1:18" x14ac:dyDescent="0.35">
      <c r="A796" t="s">
        <v>1576</v>
      </c>
      <c r="B796" t="s">
        <v>827</v>
      </c>
      <c r="C796" t="str">
        <f>VLOOKUP($A796,'Customer Names'!$A:$E,4,FALSE)</f>
        <v>Sarah</v>
      </c>
      <c r="D796" t="str">
        <f>VLOOKUP($A796,'Medical Examinations'!$A:$J,2,FALSE)</f>
        <v>Obesity</v>
      </c>
      <c r="E796">
        <f>VLOOKUP($A796,'Medical Examinations'!$A:$J,4,FALSE)</f>
        <v>9.24</v>
      </c>
      <c r="F796" t="str">
        <f>VLOOKUP($A796,'Medical Examinations'!$A:$J,6,FALSE)</f>
        <v>No</v>
      </c>
      <c r="G796" t="str">
        <f>VLOOKUP($A796,'Medical Examinations'!$A:$J,7,FALSE)</f>
        <v>No</v>
      </c>
      <c r="H796" t="str">
        <f>VLOOKUP($A796,'Medical Examinations'!$A:$J,8,FALSE)</f>
        <v>No</v>
      </c>
      <c r="I796">
        <f>VLOOKUP($A796,'Medical Examinations'!$A:$J,9,FALSE)</f>
        <v>0</v>
      </c>
      <c r="J796" t="str">
        <f>VLOOKUP($A796,'Medical Examinations'!$A:$J,10,FALSE)</f>
        <v>No</v>
      </c>
      <c r="K796" t="str">
        <f>VLOOKUP($A796,'Medical Examinations'!$A:$J,5,FALSE)</f>
        <v>Diabetes</v>
      </c>
      <c r="L796">
        <f>VLOOKUP($A797,'Medical Examinations'!$A:$J,3,FALSE)</f>
        <v>37.700000000000003</v>
      </c>
      <c r="M796">
        <f>VLOOKUP($A796,'Hospitalisation Details'!$A:$K,6,FALSE)</f>
        <v>13110.79</v>
      </c>
      <c r="N796" s="11">
        <f>VLOOKUP($B796,'Hospitalisation Details'!A795:J3139,10,0)</f>
        <v>30314</v>
      </c>
      <c r="O796" t="str">
        <f>VLOOKUP($B796,'Hospitalisation Details'!A795:J3139,8,0)</f>
        <v>tier - 2</v>
      </c>
      <c r="P796" t="str">
        <f>VLOOKUP($B796,'Hospitalisation Details'!A795:J3139,7,0)</f>
        <v>tier - 3</v>
      </c>
      <c r="Q796" t="str">
        <f>VLOOKUP($B796,'Hospitalisation Details'!A795:J3139,9,0)</f>
        <v>R1016</v>
      </c>
      <c r="R796">
        <f>VLOOKUP($B796,'Hospitalisation Details'!A795:K3139,11,0)</f>
        <v>40</v>
      </c>
    </row>
    <row r="797" spans="1:18" x14ac:dyDescent="0.35">
      <c r="A797" t="s">
        <v>1575</v>
      </c>
      <c r="B797" t="s">
        <v>828</v>
      </c>
      <c r="C797" t="str">
        <f>VLOOKUP($A797,'Customer Names'!$A:$E,4,FALSE)</f>
        <v>Colleen M</v>
      </c>
      <c r="D797" t="str">
        <f>VLOOKUP($A797,'Medical Examinations'!$A:$J,2,FALSE)</f>
        <v>Obesity</v>
      </c>
      <c r="E797">
        <f>VLOOKUP($A797,'Medical Examinations'!$A:$J,4,FALSE)</f>
        <v>8.6</v>
      </c>
      <c r="F797" t="str">
        <f>VLOOKUP($A797,'Medical Examinations'!$A:$J,6,FALSE)</f>
        <v>No</v>
      </c>
      <c r="G797" t="str">
        <f>VLOOKUP($A797,'Medical Examinations'!$A:$J,7,FALSE)</f>
        <v>No</v>
      </c>
      <c r="H797" t="str">
        <f>VLOOKUP($A797,'Medical Examinations'!$A:$J,8,FALSE)</f>
        <v>No</v>
      </c>
      <c r="I797">
        <f>VLOOKUP($A797,'Medical Examinations'!$A:$J,9,FALSE)</f>
        <v>0</v>
      </c>
      <c r="J797" t="str">
        <f>VLOOKUP($A797,'Medical Examinations'!$A:$J,10,FALSE)</f>
        <v>No</v>
      </c>
      <c r="K797" t="str">
        <f>VLOOKUP($A797,'Medical Examinations'!$A:$J,5,FALSE)</f>
        <v>Diabetes</v>
      </c>
      <c r="L797">
        <f>VLOOKUP($A798,'Medical Examinations'!$A:$J,3,FALSE)</f>
        <v>44</v>
      </c>
      <c r="M797">
        <f>VLOOKUP($A797,'Hospitalisation Details'!$A:$K,6,FALSE)</f>
        <v>13101.74</v>
      </c>
      <c r="N797" s="11">
        <f>VLOOKUP($B797,'Hospitalisation Details'!A796:J3140,10,0)</f>
        <v>30262</v>
      </c>
      <c r="O797" t="str">
        <f>VLOOKUP($B797,'Hospitalisation Details'!A796:J3140,8,0)</f>
        <v>tier - 3</v>
      </c>
      <c r="P797" t="str">
        <f>VLOOKUP($B797,'Hospitalisation Details'!A796:J3140,7,0)</f>
        <v>tier - 2</v>
      </c>
      <c r="Q797" t="str">
        <f>VLOOKUP($B797,'Hospitalisation Details'!A796:J3140,9,0)</f>
        <v>R1011</v>
      </c>
      <c r="R797">
        <f>VLOOKUP($B797,'Hospitalisation Details'!A796:K3140,11,0)</f>
        <v>40</v>
      </c>
    </row>
    <row r="798" spans="1:18" x14ac:dyDescent="0.35">
      <c r="A798" t="s">
        <v>1574</v>
      </c>
      <c r="B798" t="s">
        <v>829</v>
      </c>
      <c r="C798" t="str">
        <f>VLOOKUP($A798,'Customer Names'!$A:$E,4,FALSE)</f>
        <v>Deedra G.</v>
      </c>
      <c r="D798" t="str">
        <f>VLOOKUP($A798,'Medical Examinations'!$A:$J,2,FALSE)</f>
        <v>Obesity</v>
      </c>
      <c r="E798">
        <f>VLOOKUP($A798,'Medical Examinations'!$A:$J,4,FALSE)</f>
        <v>9.32</v>
      </c>
      <c r="F798" t="str">
        <f>VLOOKUP($A798,'Medical Examinations'!$A:$J,6,FALSE)</f>
        <v>yes</v>
      </c>
      <c r="G798" t="str">
        <f>VLOOKUP($A798,'Medical Examinations'!$A:$J,7,FALSE)</f>
        <v>No</v>
      </c>
      <c r="H798" t="str">
        <f>VLOOKUP($A798,'Medical Examinations'!$A:$J,8,FALSE)</f>
        <v>No</v>
      </c>
      <c r="I798">
        <f>VLOOKUP($A798,'Medical Examinations'!$A:$J,9,FALSE)</f>
        <v>2</v>
      </c>
      <c r="J798" t="str">
        <f>VLOOKUP($A798,'Medical Examinations'!$A:$J,10,FALSE)</f>
        <v>No</v>
      </c>
      <c r="K798" t="str">
        <f>VLOOKUP($A798,'Medical Examinations'!$A:$J,5,FALSE)</f>
        <v>Diabetes</v>
      </c>
      <c r="L798">
        <f>VLOOKUP($A799,'Medical Examinations'!$A:$J,3,FALSE)</f>
        <v>41.45</v>
      </c>
      <c r="M798">
        <f>VLOOKUP($A798,'Hospitalisation Details'!$A:$K,6,FALSE)</f>
        <v>13063.88</v>
      </c>
      <c r="N798" s="11">
        <f>VLOOKUP($B798,'Hospitalisation Details'!A797:J3141,10,0)</f>
        <v>30191</v>
      </c>
      <c r="O798" t="str">
        <f>VLOOKUP($B798,'Hospitalisation Details'!A797:J3141,8,0)</f>
        <v>tier - 2</v>
      </c>
      <c r="P798" t="str">
        <f>VLOOKUP($B798,'Hospitalisation Details'!A797:J3141,7,0)</f>
        <v>tier - 3</v>
      </c>
      <c r="Q798" t="str">
        <f>VLOOKUP($B798,'Hospitalisation Details'!A797:J3141,9,0)</f>
        <v>R1015</v>
      </c>
      <c r="R798">
        <f>VLOOKUP($B798,'Hospitalisation Details'!A797:K3141,11,0)</f>
        <v>40</v>
      </c>
    </row>
    <row r="799" spans="1:18" x14ac:dyDescent="0.35">
      <c r="A799" t="s">
        <v>1573</v>
      </c>
      <c r="B799" t="s">
        <v>830</v>
      </c>
      <c r="C799" t="str">
        <f>VLOOKUP($A799,'Customer Names'!$A:$E,4,FALSE)</f>
        <v>Kulwinder</v>
      </c>
      <c r="D799" t="str">
        <f>VLOOKUP($A799,'Medical Examinations'!$A:$J,2,FALSE)</f>
        <v>Obesity</v>
      </c>
      <c r="E799">
        <f>VLOOKUP($A799,'Medical Examinations'!$A:$J,4,FALSE)</f>
        <v>6.12</v>
      </c>
      <c r="F799" t="str">
        <f>VLOOKUP($A799,'Medical Examinations'!$A:$J,6,FALSE)</f>
        <v>yes</v>
      </c>
      <c r="G799" t="str">
        <f>VLOOKUP($A799,'Medical Examinations'!$A:$J,7,FALSE)</f>
        <v>No</v>
      </c>
      <c r="H799" t="str">
        <f>VLOOKUP($A799,'Medical Examinations'!$A:$J,8,FALSE)</f>
        <v>No</v>
      </c>
      <c r="I799">
        <f>VLOOKUP($A799,'Medical Examinations'!$A:$J,9,FALSE)</f>
        <v>0</v>
      </c>
      <c r="J799" t="str">
        <f>VLOOKUP($A799,'Medical Examinations'!$A:$J,10,FALSE)</f>
        <v>No</v>
      </c>
      <c r="K799" t="str">
        <f>VLOOKUP($A799,'Medical Examinations'!$A:$J,5,FALSE)</f>
        <v>Prediabetes</v>
      </c>
      <c r="L799">
        <f>VLOOKUP($A800,'Medical Examinations'!$A:$J,3,FALSE)</f>
        <v>25.364999999999998</v>
      </c>
      <c r="M799">
        <f>VLOOKUP($A799,'Hospitalisation Details'!$A:$K,6,FALSE)</f>
        <v>13051.22</v>
      </c>
      <c r="N799" s="11">
        <f>VLOOKUP($B799,'Hospitalisation Details'!A798:J3142,10,0)</f>
        <v>26905</v>
      </c>
      <c r="O799" t="str">
        <f>VLOOKUP($B799,'Hospitalisation Details'!A798:J3142,8,0)</f>
        <v>tier - 1</v>
      </c>
      <c r="P799" t="str">
        <f>VLOOKUP($B799,'Hospitalisation Details'!A798:J3142,7,0)</f>
        <v>tier - 2</v>
      </c>
      <c r="Q799" t="str">
        <f>VLOOKUP($B799,'Hospitalisation Details'!A798:J3142,9,0)</f>
        <v>R1013</v>
      </c>
      <c r="R799">
        <f>VLOOKUP($B799,'Hospitalisation Details'!A798:K3142,11,0)</f>
        <v>49</v>
      </c>
    </row>
    <row r="800" spans="1:18" x14ac:dyDescent="0.35">
      <c r="A800" t="s">
        <v>1572</v>
      </c>
      <c r="B800" t="s">
        <v>831</v>
      </c>
      <c r="C800" t="str">
        <f>VLOOKUP($A800,'Customer Names'!$A:$E,4,FALSE)</f>
        <v>Ann M.</v>
      </c>
      <c r="D800" t="str">
        <f>VLOOKUP($A800,'Medical Examinations'!$A:$J,2,FALSE)</f>
        <v>Overweight</v>
      </c>
      <c r="E800">
        <f>VLOOKUP($A800,'Medical Examinations'!$A:$J,4,FALSE)</f>
        <v>9.19</v>
      </c>
      <c r="F800" t="str">
        <f>VLOOKUP($A800,'Medical Examinations'!$A:$J,6,FALSE)</f>
        <v>yes</v>
      </c>
      <c r="G800" t="str">
        <f>VLOOKUP($A800,'Medical Examinations'!$A:$J,7,FALSE)</f>
        <v>No</v>
      </c>
      <c r="H800" t="str">
        <f>VLOOKUP($A800,'Medical Examinations'!$A:$J,8,FALSE)</f>
        <v>No</v>
      </c>
      <c r="I800">
        <f>VLOOKUP($A800,'Medical Examinations'!$A:$J,9,FALSE)</f>
        <v>0</v>
      </c>
      <c r="J800" t="str">
        <f>VLOOKUP($A800,'Medical Examinations'!$A:$J,10,FALSE)</f>
        <v>No</v>
      </c>
      <c r="K800" t="str">
        <f>VLOOKUP($A800,'Medical Examinations'!$A:$J,5,FALSE)</f>
        <v>Diabetes</v>
      </c>
      <c r="L800">
        <f>VLOOKUP($A801,'Medical Examinations'!$A:$J,3,FALSE)</f>
        <v>34.56</v>
      </c>
      <c r="M800">
        <f>VLOOKUP($A800,'Hospitalisation Details'!$A:$K,6,FALSE)</f>
        <v>13047.33</v>
      </c>
      <c r="N800" s="11">
        <f>VLOOKUP($B800,'Hospitalisation Details'!A799:J3143,10,0)</f>
        <v>37868</v>
      </c>
      <c r="O800" t="str">
        <f>VLOOKUP($B800,'Hospitalisation Details'!A799:J3143,8,0)</f>
        <v>tier - 1</v>
      </c>
      <c r="P800" t="str">
        <f>VLOOKUP($B800,'Hospitalisation Details'!A799:J3143,7,0)</f>
        <v>tier - 2</v>
      </c>
      <c r="Q800" t="str">
        <f>VLOOKUP($B800,'Hospitalisation Details'!A799:J3143,9,0)</f>
        <v>R1012</v>
      </c>
      <c r="R800">
        <f>VLOOKUP($B800,'Hospitalisation Details'!A799:K3143,11,0)</f>
        <v>19</v>
      </c>
    </row>
    <row r="801" spans="1:18" x14ac:dyDescent="0.35">
      <c r="A801" t="s">
        <v>1571</v>
      </c>
      <c r="B801" t="s">
        <v>832</v>
      </c>
      <c r="C801" t="str">
        <f>VLOOKUP($A801,'Customer Names'!$A:$E,4,FALSE)</f>
        <v>Sarah E</v>
      </c>
      <c r="D801" t="str">
        <f>VLOOKUP($A801,'Medical Examinations'!$A:$J,2,FALSE)</f>
        <v>Obesity</v>
      </c>
      <c r="E801">
        <f>VLOOKUP($A801,'Medical Examinations'!$A:$J,4,FALSE)</f>
        <v>5.84</v>
      </c>
      <c r="F801" t="str">
        <f>VLOOKUP($A801,'Medical Examinations'!$A:$J,6,FALSE)</f>
        <v>yes</v>
      </c>
      <c r="G801" t="str">
        <f>VLOOKUP($A801,'Medical Examinations'!$A:$J,7,FALSE)</f>
        <v>No</v>
      </c>
      <c r="H801" t="str">
        <f>VLOOKUP($A801,'Medical Examinations'!$A:$J,8,FALSE)</f>
        <v>Yes</v>
      </c>
      <c r="I801">
        <f>VLOOKUP($A801,'Medical Examinations'!$A:$J,9,FALSE)</f>
        <v>1</v>
      </c>
      <c r="J801" t="str">
        <f>VLOOKUP($A801,'Medical Examinations'!$A:$J,10,FALSE)</f>
        <v>No</v>
      </c>
      <c r="K801" t="str">
        <f>VLOOKUP($A801,'Medical Examinations'!$A:$J,5,FALSE)</f>
        <v>Prediabetes</v>
      </c>
      <c r="L801">
        <f>VLOOKUP($A802,'Medical Examinations'!$A:$J,3,FALSE)</f>
        <v>28.2</v>
      </c>
      <c r="M801">
        <f>VLOOKUP($A801,'Hospitalisation Details'!$A:$K,6,FALSE)</f>
        <v>13044.41</v>
      </c>
      <c r="N801" s="11">
        <f>VLOOKUP($B801,'Hospitalisation Details'!A800:J3144,10,0)</f>
        <v>33030</v>
      </c>
      <c r="O801" t="str">
        <f>VLOOKUP($B801,'Hospitalisation Details'!A800:J3144,8,0)</f>
        <v>tier - 2</v>
      </c>
      <c r="P801" t="str">
        <f>VLOOKUP($B801,'Hospitalisation Details'!A800:J3144,7,0)</f>
        <v>tier - 2</v>
      </c>
      <c r="Q801" t="str">
        <f>VLOOKUP($B801,'Hospitalisation Details'!A800:J3144,9,0)</f>
        <v>R1021</v>
      </c>
      <c r="R801">
        <f>VLOOKUP($B801,'Hospitalisation Details'!A800:K3144,11,0)</f>
        <v>33</v>
      </c>
    </row>
    <row r="802" spans="1:18" x14ac:dyDescent="0.35">
      <c r="A802" t="s">
        <v>1570</v>
      </c>
      <c r="B802" t="s">
        <v>833</v>
      </c>
      <c r="C802" t="str">
        <f>VLOOKUP($A802,'Customer Names'!$A:$E,4,FALSE)</f>
        <v>Apryl J.</v>
      </c>
      <c r="D802" t="str">
        <f>VLOOKUP($A802,'Medical Examinations'!$A:$J,2,FALSE)</f>
        <v>Overweight</v>
      </c>
      <c r="E802">
        <f>VLOOKUP($A802,'Medical Examinations'!$A:$J,4,FALSE)</f>
        <v>7.19</v>
      </c>
      <c r="F802" t="str">
        <f>VLOOKUP($A802,'Medical Examinations'!$A:$J,6,FALSE)</f>
        <v>yes</v>
      </c>
      <c r="G802" t="str">
        <f>VLOOKUP($A802,'Medical Examinations'!$A:$J,7,FALSE)</f>
        <v>No</v>
      </c>
      <c r="H802" t="str">
        <f>VLOOKUP($A802,'Medical Examinations'!$A:$J,8,FALSE)</f>
        <v>No</v>
      </c>
      <c r="I802">
        <f>VLOOKUP($A802,'Medical Examinations'!$A:$J,9,FALSE)</f>
        <v>2</v>
      </c>
      <c r="J802" t="str">
        <f>VLOOKUP($A802,'Medical Examinations'!$A:$J,10,FALSE)</f>
        <v>No</v>
      </c>
      <c r="K802" t="str">
        <f>VLOOKUP($A802,'Medical Examinations'!$A:$J,5,FALSE)</f>
        <v>Diabetes</v>
      </c>
      <c r="L802">
        <f>VLOOKUP($A803,'Medical Examinations'!$A:$J,3,FALSE)</f>
        <v>30.43</v>
      </c>
      <c r="M802">
        <f>VLOOKUP($A802,'Hospitalisation Details'!$A:$K,6,FALSE)</f>
        <v>13041.92</v>
      </c>
      <c r="N802" s="11">
        <f>VLOOKUP($B802,'Hospitalisation Details'!A801:J3145,10,0)</f>
        <v>31024</v>
      </c>
      <c r="O802" t="str">
        <f>VLOOKUP($B802,'Hospitalisation Details'!A801:J3145,8,0)</f>
        <v>tier - 3</v>
      </c>
      <c r="P802" t="str">
        <f>VLOOKUP($B802,'Hospitalisation Details'!A801:J3145,7,0)</f>
        <v>tier - 2</v>
      </c>
      <c r="Q802" t="str">
        <f>VLOOKUP($B802,'Hospitalisation Details'!A801:J3145,9,0)</f>
        <v>R1019</v>
      </c>
      <c r="R802">
        <f>VLOOKUP($B802,'Hospitalisation Details'!A801:K3145,11,0)</f>
        <v>38</v>
      </c>
    </row>
    <row r="803" spans="1:18" x14ac:dyDescent="0.35">
      <c r="A803" t="s">
        <v>1569</v>
      </c>
      <c r="B803" t="s">
        <v>834</v>
      </c>
      <c r="C803" t="str">
        <f>VLOOKUP($A803,'Customer Names'!$A:$E,4,FALSE)</f>
        <v>Ilana</v>
      </c>
      <c r="D803" t="str">
        <f>VLOOKUP($A803,'Medical Examinations'!$A:$J,2,FALSE)</f>
        <v>Obesity</v>
      </c>
      <c r="E803">
        <f>VLOOKUP($A803,'Medical Examinations'!$A:$J,4,FALSE)</f>
        <v>9.39</v>
      </c>
      <c r="F803" t="str">
        <f>VLOOKUP($A803,'Medical Examinations'!$A:$J,6,FALSE)</f>
        <v>No</v>
      </c>
      <c r="G803" t="str">
        <f>VLOOKUP($A803,'Medical Examinations'!$A:$J,7,FALSE)</f>
        <v>No</v>
      </c>
      <c r="H803" t="str">
        <f>VLOOKUP($A803,'Medical Examinations'!$A:$J,8,FALSE)</f>
        <v>No</v>
      </c>
      <c r="I803">
        <f>VLOOKUP($A803,'Medical Examinations'!$A:$J,9,FALSE)</f>
        <v>0</v>
      </c>
      <c r="J803" t="str">
        <f>VLOOKUP($A803,'Medical Examinations'!$A:$J,10,FALSE)</f>
        <v>No</v>
      </c>
      <c r="K803" t="str">
        <f>VLOOKUP($A803,'Medical Examinations'!$A:$J,5,FALSE)</f>
        <v>Diabetes</v>
      </c>
      <c r="L803">
        <f>VLOOKUP($A804,'Medical Examinations'!$A:$J,3,FALSE)</f>
        <v>32.395000000000003</v>
      </c>
      <c r="M803">
        <f>VLOOKUP($A803,'Hospitalisation Details'!$A:$K,6,FALSE)</f>
        <v>13023.93</v>
      </c>
      <c r="N803" s="11">
        <f>VLOOKUP($B803,'Hospitalisation Details'!A802:J3146,10,0)</f>
        <v>25880</v>
      </c>
      <c r="O803" t="str">
        <f>VLOOKUP($B803,'Hospitalisation Details'!A802:J3146,8,0)</f>
        <v>tier - 3</v>
      </c>
      <c r="P803" t="str">
        <f>VLOOKUP($B803,'Hospitalisation Details'!A802:J3146,7,0)</f>
        <v>tier - 2</v>
      </c>
      <c r="Q803" t="str">
        <f>VLOOKUP($B803,'Hospitalisation Details'!A802:J3146,9,0)</f>
        <v>R1013</v>
      </c>
      <c r="R803">
        <f>VLOOKUP($B803,'Hospitalisation Details'!A802:K3146,11,0)</f>
        <v>52</v>
      </c>
    </row>
    <row r="804" spans="1:18" x14ac:dyDescent="0.35">
      <c r="A804" t="s">
        <v>1568</v>
      </c>
      <c r="B804" t="s">
        <v>835</v>
      </c>
      <c r="C804" t="str">
        <f>VLOOKUP($A804,'Customer Names'!$A:$E,4,FALSE)</f>
        <v>Katherine</v>
      </c>
      <c r="D804" t="str">
        <f>VLOOKUP($A804,'Medical Examinations'!$A:$J,2,FALSE)</f>
        <v>Obesity</v>
      </c>
      <c r="E804">
        <f>VLOOKUP($A804,'Medical Examinations'!$A:$J,4,FALSE)</f>
        <v>4.2699999999999996</v>
      </c>
      <c r="F804" t="str">
        <f>VLOOKUP($A804,'Medical Examinations'!$A:$J,6,FALSE)</f>
        <v>yes</v>
      </c>
      <c r="G804" t="str">
        <f>VLOOKUP($A804,'Medical Examinations'!$A:$J,7,FALSE)</f>
        <v>No</v>
      </c>
      <c r="H804" t="str">
        <f>VLOOKUP($A804,'Medical Examinations'!$A:$J,8,FALSE)</f>
        <v>No</v>
      </c>
      <c r="I804">
        <f>VLOOKUP($A804,'Medical Examinations'!$A:$J,9,FALSE)</f>
        <v>1</v>
      </c>
      <c r="J804" t="str">
        <f>VLOOKUP($A804,'Medical Examinations'!$A:$J,10,FALSE)</f>
        <v>No</v>
      </c>
      <c r="K804" t="str">
        <f>VLOOKUP($A804,'Medical Examinations'!$A:$J,5,FALSE)</f>
        <v>Normal</v>
      </c>
      <c r="L804">
        <f>VLOOKUP($A805,'Medical Examinations'!$A:$J,3,FALSE)</f>
        <v>24.035</v>
      </c>
      <c r="M804">
        <f>VLOOKUP($A804,'Hospitalisation Details'!$A:$K,6,FALSE)</f>
        <v>13019.16</v>
      </c>
      <c r="N804" s="11">
        <f>VLOOKUP($B804,'Hospitalisation Details'!A803:J3147,10,0)</f>
        <v>30864</v>
      </c>
      <c r="O804" t="str">
        <f>VLOOKUP($B804,'Hospitalisation Details'!A803:J3147,8,0)</f>
        <v>tier - 2</v>
      </c>
      <c r="P804" t="str">
        <f>VLOOKUP($B804,'Hospitalisation Details'!A803:J3147,7,0)</f>
        <v>tier - 3</v>
      </c>
      <c r="Q804" t="str">
        <f>VLOOKUP($B804,'Hospitalisation Details'!A803:J3147,9,0)</f>
        <v>R1013</v>
      </c>
      <c r="R804">
        <f>VLOOKUP($B804,'Hospitalisation Details'!A803:K3147,11,0)</f>
        <v>38</v>
      </c>
    </row>
    <row r="805" spans="1:18" x14ac:dyDescent="0.35">
      <c r="A805" t="s">
        <v>1567</v>
      </c>
      <c r="B805" t="s">
        <v>836</v>
      </c>
      <c r="C805" t="str">
        <f>VLOOKUP($A805,'Customer Names'!$A:$E,4,FALSE)</f>
        <v>Katherine</v>
      </c>
      <c r="D805" t="str">
        <f>VLOOKUP($A805,'Medical Examinations'!$A:$J,2,FALSE)</f>
        <v>Normal Weight</v>
      </c>
      <c r="E805">
        <f>VLOOKUP($A805,'Medical Examinations'!$A:$J,4,FALSE)</f>
        <v>11.71</v>
      </c>
      <c r="F805" t="str">
        <f>VLOOKUP($A805,'Medical Examinations'!$A:$J,6,FALSE)</f>
        <v>No</v>
      </c>
      <c r="G805" t="str">
        <f>VLOOKUP($A805,'Medical Examinations'!$A:$J,7,FALSE)</f>
        <v>No</v>
      </c>
      <c r="H805" t="str">
        <f>VLOOKUP($A805,'Medical Examinations'!$A:$J,8,FALSE)</f>
        <v>No</v>
      </c>
      <c r="I805">
        <f>VLOOKUP($A805,'Medical Examinations'!$A:$J,9,FALSE)</f>
        <v>0</v>
      </c>
      <c r="J805" t="str">
        <f>VLOOKUP($A805,'Medical Examinations'!$A:$J,10,FALSE)</f>
        <v>No</v>
      </c>
      <c r="K805" t="str">
        <f>VLOOKUP($A805,'Medical Examinations'!$A:$J,5,FALSE)</f>
        <v>Diabetes</v>
      </c>
      <c r="L805">
        <f>VLOOKUP($A806,'Medical Examinations'!$A:$J,3,FALSE)</f>
        <v>37.119999999999997</v>
      </c>
      <c r="M805">
        <f>VLOOKUP($A805,'Hospitalisation Details'!$A:$K,6,FALSE)</f>
        <v>13012.21</v>
      </c>
      <c r="N805" s="11">
        <f>VLOOKUP($B805,'Hospitalisation Details'!A804:J3148,10,0)</f>
        <v>32831</v>
      </c>
      <c r="O805" t="str">
        <f>VLOOKUP($B805,'Hospitalisation Details'!A804:J3148,8,0)</f>
        <v>tier - 1</v>
      </c>
      <c r="P805" t="str">
        <f>VLOOKUP($B805,'Hospitalisation Details'!A804:J3148,7,0)</f>
        <v>tier - 2</v>
      </c>
      <c r="Q805" t="str">
        <f>VLOOKUP($B805,'Hospitalisation Details'!A804:J3148,9,0)</f>
        <v>R1013</v>
      </c>
      <c r="R805">
        <f>VLOOKUP($B805,'Hospitalisation Details'!A804:K3148,11,0)</f>
        <v>33</v>
      </c>
    </row>
    <row r="806" spans="1:18" x14ac:dyDescent="0.35">
      <c r="A806" t="s">
        <v>1566</v>
      </c>
      <c r="B806" t="s">
        <v>837</v>
      </c>
      <c r="C806" t="str">
        <f>VLOOKUP($A806,'Customer Names'!$A:$E,4,FALSE)</f>
        <v>Karl</v>
      </c>
      <c r="D806" t="str">
        <f>VLOOKUP($A806,'Medical Examinations'!$A:$J,2,FALSE)</f>
        <v>Obesity</v>
      </c>
      <c r="E806">
        <f>VLOOKUP($A806,'Medical Examinations'!$A:$J,4,FALSE)</f>
        <v>5.29</v>
      </c>
      <c r="F806" t="str">
        <f>VLOOKUP($A806,'Medical Examinations'!$A:$J,6,FALSE)</f>
        <v>No</v>
      </c>
      <c r="G806" t="str">
        <f>VLOOKUP($A806,'Medical Examinations'!$A:$J,7,FALSE)</f>
        <v>No</v>
      </c>
      <c r="H806" t="str">
        <f>VLOOKUP($A806,'Medical Examinations'!$A:$J,8,FALSE)</f>
        <v>No</v>
      </c>
      <c r="I806">
        <f>VLOOKUP($A806,'Medical Examinations'!$A:$J,9,FALSE)</f>
        <v>2</v>
      </c>
      <c r="J806" t="str">
        <f>VLOOKUP($A806,'Medical Examinations'!$A:$J,10,FALSE)</f>
        <v>No</v>
      </c>
      <c r="K806" t="str">
        <f>VLOOKUP($A806,'Medical Examinations'!$A:$J,5,FALSE)</f>
        <v>Normal</v>
      </c>
      <c r="L806">
        <f>VLOOKUP($A807,'Medical Examinations'!$A:$J,3,FALSE)</f>
        <v>34.840000000000003</v>
      </c>
      <c r="M806">
        <f>VLOOKUP($A806,'Hospitalisation Details'!$A:$K,6,FALSE)</f>
        <v>13010.86</v>
      </c>
      <c r="N806" s="11">
        <f>VLOOKUP($B806,'Hospitalisation Details'!A805:J3149,10,0)</f>
        <v>30221</v>
      </c>
      <c r="O806" t="str">
        <f>VLOOKUP($B806,'Hospitalisation Details'!A805:J3149,8,0)</f>
        <v>tier - 2</v>
      </c>
      <c r="P806" t="str">
        <f>VLOOKUP($B806,'Hospitalisation Details'!A805:J3149,7,0)</f>
        <v>tier - 2</v>
      </c>
      <c r="Q806" t="str">
        <f>VLOOKUP($B806,'Hospitalisation Details'!A805:J3149,9,0)</f>
        <v>R1013</v>
      </c>
      <c r="R806">
        <f>VLOOKUP($B806,'Hospitalisation Details'!A805:K3149,11,0)</f>
        <v>40</v>
      </c>
    </row>
    <row r="807" spans="1:18" x14ac:dyDescent="0.35">
      <c r="A807" t="s">
        <v>1565</v>
      </c>
      <c r="B807" t="s">
        <v>838</v>
      </c>
      <c r="C807" t="str">
        <f>VLOOKUP($A807,'Customer Names'!$A:$E,4,FALSE)</f>
        <v>Stephen</v>
      </c>
      <c r="D807" t="str">
        <f>VLOOKUP($A807,'Medical Examinations'!$A:$J,2,FALSE)</f>
        <v>Obesity</v>
      </c>
      <c r="E807">
        <f>VLOOKUP($A807,'Medical Examinations'!$A:$J,4,FALSE)</f>
        <v>6</v>
      </c>
      <c r="F807" t="str">
        <f>VLOOKUP($A807,'Medical Examinations'!$A:$J,6,FALSE)</f>
        <v>yes</v>
      </c>
      <c r="G807" t="str">
        <f>VLOOKUP($A807,'Medical Examinations'!$A:$J,7,FALSE)</f>
        <v>No</v>
      </c>
      <c r="H807" t="str">
        <f>VLOOKUP($A807,'Medical Examinations'!$A:$J,8,FALSE)</f>
        <v>Yes</v>
      </c>
      <c r="I807">
        <f>VLOOKUP($A807,'Medical Examinations'!$A:$J,9,FALSE)</f>
        <v>1</v>
      </c>
      <c r="J807" t="str">
        <f>VLOOKUP($A807,'Medical Examinations'!$A:$J,10,FALSE)</f>
        <v>No</v>
      </c>
      <c r="K807" t="str">
        <f>VLOOKUP($A807,'Medical Examinations'!$A:$J,5,FALSE)</f>
        <v>Prediabetes</v>
      </c>
      <c r="L807">
        <f>VLOOKUP($A808,'Medical Examinations'!$A:$J,3,FALSE)</f>
        <v>29.53</v>
      </c>
      <c r="M807">
        <f>VLOOKUP($A807,'Hospitalisation Details'!$A:$K,6,FALSE)</f>
        <v>13008.07</v>
      </c>
      <c r="N807" s="11">
        <f>VLOOKUP($B807,'Hospitalisation Details'!A806:J3150,10,0)</f>
        <v>29846</v>
      </c>
      <c r="O807" t="str">
        <f>VLOOKUP($B807,'Hospitalisation Details'!A806:J3150,8,0)</f>
        <v>tier - 1</v>
      </c>
      <c r="P807" t="str">
        <f>VLOOKUP($B807,'Hospitalisation Details'!A806:J3150,7,0)</f>
        <v>tier - 3</v>
      </c>
      <c r="Q807" t="str">
        <f>VLOOKUP($B807,'Hospitalisation Details'!A806:J3150,9,0)</f>
        <v>R1012</v>
      </c>
      <c r="R807">
        <f>VLOOKUP($B807,'Hospitalisation Details'!A806:K3150,11,0)</f>
        <v>41</v>
      </c>
    </row>
    <row r="808" spans="1:18" x14ac:dyDescent="0.35">
      <c r="A808" t="s">
        <v>1564</v>
      </c>
      <c r="B808" t="s">
        <v>839</v>
      </c>
      <c r="C808" t="str">
        <f>VLOOKUP($A808,'Customer Names'!$A:$E,4,FALSE)</f>
        <v>Will</v>
      </c>
      <c r="D808" t="str">
        <f>VLOOKUP($A808,'Medical Examinations'!$A:$J,2,FALSE)</f>
        <v>Overweight</v>
      </c>
      <c r="E808">
        <f>VLOOKUP($A808,'Medical Examinations'!$A:$J,4,FALSE)</f>
        <v>10.64</v>
      </c>
      <c r="F808" t="str">
        <f>VLOOKUP($A808,'Medical Examinations'!$A:$J,6,FALSE)</f>
        <v>No</v>
      </c>
      <c r="G808" t="str">
        <f>VLOOKUP($A808,'Medical Examinations'!$A:$J,7,FALSE)</f>
        <v>No</v>
      </c>
      <c r="H808" t="str">
        <f>VLOOKUP($A808,'Medical Examinations'!$A:$J,8,FALSE)</f>
        <v>No</v>
      </c>
      <c r="I808">
        <f>VLOOKUP($A808,'Medical Examinations'!$A:$J,9,FALSE)</f>
        <v>0</v>
      </c>
      <c r="J808" t="str">
        <f>VLOOKUP($A808,'Medical Examinations'!$A:$J,10,FALSE)</f>
        <v>No</v>
      </c>
      <c r="K808" t="str">
        <f>VLOOKUP($A808,'Medical Examinations'!$A:$J,5,FALSE)</f>
        <v>Diabetes</v>
      </c>
      <c r="L808">
        <f>VLOOKUP($A809,'Medical Examinations'!$A:$J,3,FALSE)</f>
        <v>42.51</v>
      </c>
      <c r="M808">
        <f>VLOOKUP($A808,'Hospitalisation Details'!$A:$K,6,FALSE)</f>
        <v>13004.95</v>
      </c>
      <c r="N808" s="11">
        <f>VLOOKUP($B808,'Hospitalisation Details'!A807:J3151,10,0)</f>
        <v>32801</v>
      </c>
      <c r="O808" t="str">
        <f>VLOOKUP($B808,'Hospitalisation Details'!A807:J3151,8,0)</f>
        <v>tier - 1</v>
      </c>
      <c r="P808" t="str">
        <f>VLOOKUP($B808,'Hospitalisation Details'!A807:J3151,7,0)</f>
        <v>tier - 3</v>
      </c>
      <c r="Q808" t="str">
        <f>VLOOKUP($B808,'Hospitalisation Details'!A807:J3151,9,0)</f>
        <v>R1011</v>
      </c>
      <c r="R808">
        <f>VLOOKUP($B808,'Hospitalisation Details'!A807:K3151,11,0)</f>
        <v>33</v>
      </c>
    </row>
    <row r="809" spans="1:18" x14ac:dyDescent="0.35">
      <c r="A809" t="s">
        <v>1563</v>
      </c>
      <c r="B809" t="s">
        <v>840</v>
      </c>
      <c r="C809" t="str">
        <f>VLOOKUP($A809,'Customer Names'!$A:$E,4,FALSE)</f>
        <v>Bradley D</v>
      </c>
      <c r="D809" t="str">
        <f>VLOOKUP($A809,'Medical Examinations'!$A:$J,2,FALSE)</f>
        <v>Obesity</v>
      </c>
      <c r="E809">
        <f>VLOOKUP($A809,'Medical Examinations'!$A:$J,4,FALSE)</f>
        <v>8.2100000000000009</v>
      </c>
      <c r="F809" t="str">
        <f>VLOOKUP($A809,'Medical Examinations'!$A:$J,6,FALSE)</f>
        <v>yes</v>
      </c>
      <c r="G809" t="str">
        <f>VLOOKUP($A809,'Medical Examinations'!$A:$J,7,FALSE)</f>
        <v>No</v>
      </c>
      <c r="H809" t="str">
        <f>VLOOKUP($A809,'Medical Examinations'!$A:$J,8,FALSE)</f>
        <v>No</v>
      </c>
      <c r="I809">
        <f>VLOOKUP($A809,'Medical Examinations'!$A:$J,9,FALSE)</f>
        <v>0</v>
      </c>
      <c r="J809" t="str">
        <f>VLOOKUP($A809,'Medical Examinations'!$A:$J,10,FALSE)</f>
        <v>No</v>
      </c>
      <c r="K809" t="str">
        <f>VLOOKUP($A809,'Medical Examinations'!$A:$J,5,FALSE)</f>
        <v>Diabetes</v>
      </c>
      <c r="L809">
        <f>VLOOKUP($A810,'Medical Examinations'!$A:$J,3,FALSE)</f>
        <v>38.14</v>
      </c>
      <c r="M809">
        <f>VLOOKUP($A809,'Hospitalisation Details'!$A:$K,6,FALSE)</f>
        <v>13002.91</v>
      </c>
      <c r="N809" s="11">
        <f>VLOOKUP($B809,'Hospitalisation Details'!A808:J3152,10,0)</f>
        <v>31237</v>
      </c>
      <c r="O809" t="str">
        <f>VLOOKUP($B809,'Hospitalisation Details'!A808:J3152,8,0)</f>
        <v>tier - 3</v>
      </c>
      <c r="P809" t="str">
        <f>VLOOKUP($B809,'Hospitalisation Details'!A808:J3152,7,0)</f>
        <v>tier - 2</v>
      </c>
      <c r="Q809" t="str">
        <f>VLOOKUP($B809,'Hospitalisation Details'!A808:J3152,9,0)</f>
        <v>R1012</v>
      </c>
      <c r="R809">
        <f>VLOOKUP($B809,'Hospitalisation Details'!A808:K3152,11,0)</f>
        <v>37</v>
      </c>
    </row>
    <row r="810" spans="1:18" x14ac:dyDescent="0.35">
      <c r="A810" t="s">
        <v>1562</v>
      </c>
      <c r="B810" t="s">
        <v>841</v>
      </c>
      <c r="C810" t="str">
        <f>VLOOKUP($A810,'Customer Names'!$A:$E,4,FALSE)</f>
        <v>Amy M</v>
      </c>
      <c r="D810" t="str">
        <f>VLOOKUP($A810,'Medical Examinations'!$A:$J,2,FALSE)</f>
        <v>Obesity</v>
      </c>
      <c r="E810">
        <f>VLOOKUP($A810,'Medical Examinations'!$A:$J,4,FALSE)</f>
        <v>5.58</v>
      </c>
      <c r="F810" t="str">
        <f>VLOOKUP($A810,'Medical Examinations'!$A:$J,6,FALSE)</f>
        <v>No</v>
      </c>
      <c r="G810" t="str">
        <f>VLOOKUP($A810,'Medical Examinations'!$A:$J,7,FALSE)</f>
        <v>No</v>
      </c>
      <c r="H810" t="str">
        <f>VLOOKUP($A810,'Medical Examinations'!$A:$J,8,FALSE)</f>
        <v>Yes</v>
      </c>
      <c r="I810">
        <f>VLOOKUP($A810,'Medical Examinations'!$A:$J,9,FALSE)</f>
        <v>1</v>
      </c>
      <c r="J810" t="str">
        <f>VLOOKUP($A810,'Medical Examinations'!$A:$J,10,FALSE)</f>
        <v>No</v>
      </c>
      <c r="K810" t="str">
        <f>VLOOKUP($A810,'Medical Examinations'!$A:$J,5,FALSE)</f>
        <v>Normal</v>
      </c>
      <c r="L810">
        <f>VLOOKUP($A811,'Medical Examinations'!$A:$J,3,FALSE)</f>
        <v>39.93</v>
      </c>
      <c r="M810">
        <f>VLOOKUP($A810,'Hospitalisation Details'!$A:$K,6,FALSE)</f>
        <v>12994.12</v>
      </c>
      <c r="N810" s="11">
        <f>VLOOKUP($B810,'Hospitalisation Details'!A809:J3153,10,0)</f>
        <v>25032</v>
      </c>
      <c r="O810" t="str">
        <f>VLOOKUP($B810,'Hospitalisation Details'!A809:J3153,8,0)</f>
        <v>tier - 1</v>
      </c>
      <c r="P810" t="str">
        <f>VLOOKUP($B810,'Hospitalisation Details'!A809:J3153,7,0)</f>
        <v>tier - 3</v>
      </c>
      <c r="Q810" t="str">
        <f>VLOOKUP($B810,'Hospitalisation Details'!A809:J3153,9,0)</f>
        <v>R1012</v>
      </c>
      <c r="R810">
        <f>VLOOKUP($B810,'Hospitalisation Details'!A809:K3153,11,0)</f>
        <v>54</v>
      </c>
    </row>
    <row r="811" spans="1:18" x14ac:dyDescent="0.35">
      <c r="A811" t="s">
        <v>1561</v>
      </c>
      <c r="B811" t="s">
        <v>842</v>
      </c>
      <c r="C811" t="str">
        <f>VLOOKUP($A811,'Customer Names'!$A:$E,4,FALSE)</f>
        <v>Matthew W.</v>
      </c>
      <c r="D811" t="str">
        <f>VLOOKUP($A811,'Medical Examinations'!$A:$J,2,FALSE)</f>
        <v>Obesity</v>
      </c>
      <c r="E811">
        <f>VLOOKUP($A811,'Medical Examinations'!$A:$J,4,FALSE)</f>
        <v>8.75</v>
      </c>
      <c r="F811" t="str">
        <f>VLOOKUP($A811,'Medical Examinations'!$A:$J,6,FALSE)</f>
        <v>No</v>
      </c>
      <c r="G811" t="str">
        <f>VLOOKUP($A811,'Medical Examinations'!$A:$J,7,FALSE)</f>
        <v>No</v>
      </c>
      <c r="H811" t="str">
        <f>VLOOKUP($A811,'Medical Examinations'!$A:$J,8,FALSE)</f>
        <v>No</v>
      </c>
      <c r="I811">
        <f>VLOOKUP($A811,'Medical Examinations'!$A:$J,9,FALSE)</f>
        <v>0</v>
      </c>
      <c r="J811" t="str">
        <f>VLOOKUP($A811,'Medical Examinations'!$A:$J,10,FALSE)</f>
        <v>No</v>
      </c>
      <c r="K811" t="str">
        <f>VLOOKUP($A811,'Medical Examinations'!$A:$J,5,FALSE)</f>
        <v>Diabetes</v>
      </c>
      <c r="L811">
        <f>VLOOKUP($A812,'Medical Examinations'!$A:$J,3,FALSE)</f>
        <v>38.83</v>
      </c>
      <c r="M811">
        <f>VLOOKUP($A811,'Hospitalisation Details'!$A:$K,6,FALSE)</f>
        <v>12982.87</v>
      </c>
      <c r="N811" s="11">
        <f>VLOOKUP($B811,'Hospitalisation Details'!A810:J3154,10,0)</f>
        <v>26279</v>
      </c>
      <c r="O811" t="str">
        <f>VLOOKUP($B811,'Hospitalisation Details'!A810:J3154,8,0)</f>
        <v>tier - 1</v>
      </c>
      <c r="P811" t="str">
        <f>VLOOKUP($B811,'Hospitalisation Details'!A810:J3154,7,0)</f>
        <v>tier - 2</v>
      </c>
      <c r="Q811" t="str">
        <f>VLOOKUP($B811,'Hospitalisation Details'!A810:J3154,9,0)</f>
        <v>R1013</v>
      </c>
      <c r="R811">
        <f>VLOOKUP($B811,'Hospitalisation Details'!A810:K3154,11,0)</f>
        <v>51</v>
      </c>
    </row>
    <row r="812" spans="1:18" x14ac:dyDescent="0.35">
      <c r="A812" t="s">
        <v>1560</v>
      </c>
      <c r="B812" t="s">
        <v>843</v>
      </c>
      <c r="C812" t="str">
        <f>VLOOKUP($A812,'Customer Names'!$A:$E,4,FALSE)</f>
        <v>Doug</v>
      </c>
      <c r="D812" t="str">
        <f>VLOOKUP($A812,'Medical Examinations'!$A:$J,2,FALSE)</f>
        <v>Obesity</v>
      </c>
      <c r="E812">
        <f>VLOOKUP($A812,'Medical Examinations'!$A:$J,4,FALSE)</f>
        <v>11.86</v>
      </c>
      <c r="F812" t="str">
        <f>VLOOKUP($A812,'Medical Examinations'!$A:$J,6,FALSE)</f>
        <v>No</v>
      </c>
      <c r="G812" t="str">
        <f>VLOOKUP($A812,'Medical Examinations'!$A:$J,7,FALSE)</f>
        <v>No</v>
      </c>
      <c r="H812" t="str">
        <f>VLOOKUP($A812,'Medical Examinations'!$A:$J,8,FALSE)</f>
        <v>No</v>
      </c>
      <c r="I812">
        <f>VLOOKUP($A812,'Medical Examinations'!$A:$J,9,FALSE)</f>
        <v>0</v>
      </c>
      <c r="J812" t="str">
        <f>VLOOKUP($A812,'Medical Examinations'!$A:$J,10,FALSE)</f>
        <v>No</v>
      </c>
      <c r="K812" t="str">
        <f>VLOOKUP($A812,'Medical Examinations'!$A:$J,5,FALSE)</f>
        <v>Diabetes</v>
      </c>
      <c r="L812">
        <f>VLOOKUP($A813,'Medical Examinations'!$A:$J,3,FALSE)</f>
        <v>37.4</v>
      </c>
      <c r="M812">
        <f>VLOOKUP($A812,'Hospitalisation Details'!$A:$K,6,FALSE)</f>
        <v>12981.35</v>
      </c>
      <c r="N812" s="11">
        <f>VLOOKUP($B812,'Hospitalisation Details'!A811:J3155,10,0)</f>
        <v>30479</v>
      </c>
      <c r="O812" t="str">
        <f>VLOOKUP($B812,'Hospitalisation Details'!A811:J3155,8,0)</f>
        <v>tier - 3</v>
      </c>
      <c r="P812" t="str">
        <f>VLOOKUP($B812,'Hospitalisation Details'!A811:J3155,7,0)</f>
        <v>tier - 3</v>
      </c>
      <c r="Q812" t="str">
        <f>VLOOKUP($B812,'Hospitalisation Details'!A811:J3155,9,0)</f>
        <v>R1012</v>
      </c>
      <c r="R812">
        <f>VLOOKUP($B812,'Hospitalisation Details'!A811:K3155,11,0)</f>
        <v>39</v>
      </c>
    </row>
    <row r="813" spans="1:18" x14ac:dyDescent="0.35">
      <c r="A813" t="s">
        <v>1559</v>
      </c>
      <c r="B813" t="s">
        <v>844</v>
      </c>
      <c r="C813" t="str">
        <f>VLOOKUP($A813,'Customer Names'!$A:$E,4,FALSE)</f>
        <v>Tom</v>
      </c>
      <c r="D813" t="str">
        <f>VLOOKUP($A813,'Medical Examinations'!$A:$J,2,FALSE)</f>
        <v>Obesity</v>
      </c>
      <c r="E813">
        <f>VLOOKUP($A813,'Medical Examinations'!$A:$J,4,FALSE)</f>
        <v>11.46</v>
      </c>
      <c r="F813" t="str">
        <f>VLOOKUP($A813,'Medical Examinations'!$A:$J,6,FALSE)</f>
        <v>No</v>
      </c>
      <c r="G813" t="str">
        <f>VLOOKUP($A813,'Medical Examinations'!$A:$J,7,FALSE)</f>
        <v>No</v>
      </c>
      <c r="H813" t="str">
        <f>VLOOKUP($A813,'Medical Examinations'!$A:$J,8,FALSE)</f>
        <v>No</v>
      </c>
      <c r="I813">
        <f>VLOOKUP($A813,'Medical Examinations'!$A:$J,9,FALSE)</f>
        <v>0</v>
      </c>
      <c r="J813" t="str">
        <f>VLOOKUP($A813,'Medical Examinations'!$A:$J,10,FALSE)</f>
        <v>No</v>
      </c>
      <c r="K813" t="str">
        <f>VLOOKUP($A813,'Medical Examinations'!$A:$J,5,FALSE)</f>
        <v>Diabetes</v>
      </c>
      <c r="L813">
        <f>VLOOKUP($A814,'Medical Examinations'!$A:$J,3,FALSE)</f>
        <v>21.4</v>
      </c>
      <c r="M813">
        <f>VLOOKUP($A813,'Hospitalisation Details'!$A:$K,6,FALSE)</f>
        <v>12979.36</v>
      </c>
      <c r="N813" s="11">
        <f>VLOOKUP($B813,'Hospitalisation Details'!A812:J3156,10,0)</f>
        <v>34498</v>
      </c>
      <c r="O813" t="str">
        <f>VLOOKUP($B813,'Hospitalisation Details'!A812:J3156,8,0)</f>
        <v>tier - 1</v>
      </c>
      <c r="P813" t="str">
        <f>VLOOKUP($B813,'Hospitalisation Details'!A812:J3156,7,0)</f>
        <v>tier - 2</v>
      </c>
      <c r="Q813" t="str">
        <f>VLOOKUP($B813,'Hospitalisation Details'!A812:J3156,9,0)</f>
        <v>R1012</v>
      </c>
      <c r="R813">
        <f>VLOOKUP($B813,'Hospitalisation Details'!A812:K3156,11,0)</f>
        <v>28</v>
      </c>
    </row>
    <row r="814" spans="1:18" x14ac:dyDescent="0.35">
      <c r="A814" t="s">
        <v>1558</v>
      </c>
      <c r="B814" t="s">
        <v>845</v>
      </c>
      <c r="C814" t="str">
        <f>VLOOKUP($A814,'Customer Names'!$A:$E,4,FALSE)</f>
        <v>Jonathan</v>
      </c>
      <c r="D814" t="str">
        <f>VLOOKUP($A814,'Medical Examinations'!$A:$J,2,FALSE)</f>
        <v>Normal Weight</v>
      </c>
      <c r="E814">
        <f>VLOOKUP($A814,'Medical Examinations'!$A:$J,4,FALSE)</f>
        <v>9.0299999999999994</v>
      </c>
      <c r="F814" t="str">
        <f>VLOOKUP($A814,'Medical Examinations'!$A:$J,6,FALSE)</f>
        <v>No</v>
      </c>
      <c r="G814" t="str">
        <f>VLOOKUP($A814,'Medical Examinations'!$A:$J,7,FALSE)</f>
        <v>No</v>
      </c>
      <c r="H814" t="str">
        <f>VLOOKUP($A814,'Medical Examinations'!$A:$J,8,FALSE)</f>
        <v>No</v>
      </c>
      <c r="I814">
        <f>VLOOKUP($A814,'Medical Examinations'!$A:$J,9,FALSE)</f>
        <v>0</v>
      </c>
      <c r="J814" t="str">
        <f>VLOOKUP($A814,'Medical Examinations'!$A:$J,10,FALSE)</f>
        <v>No</v>
      </c>
      <c r="K814" t="str">
        <f>VLOOKUP($A814,'Medical Examinations'!$A:$J,5,FALSE)</f>
        <v>Diabetes</v>
      </c>
      <c r="L814">
        <f>VLOOKUP($A815,'Medical Examinations'!$A:$J,3,FALSE)</f>
        <v>38.380000000000003</v>
      </c>
      <c r="M814">
        <f>VLOOKUP($A814,'Hospitalisation Details'!$A:$K,6,FALSE)</f>
        <v>12957.12</v>
      </c>
      <c r="N814" s="11">
        <f>VLOOKUP($B814,'Hospitalisation Details'!A813:J3157,10,0)</f>
        <v>28784</v>
      </c>
      <c r="O814" t="str">
        <f>VLOOKUP($B814,'Hospitalisation Details'!A813:J3157,8,0)</f>
        <v>tier - 3</v>
      </c>
      <c r="P814" t="str">
        <f>VLOOKUP($B814,'Hospitalisation Details'!A813:J3157,7,0)</f>
        <v>tier - 2</v>
      </c>
      <c r="Q814" t="str">
        <f>VLOOKUP($B814,'Hospitalisation Details'!A813:J3157,9,0)</f>
        <v>R1013</v>
      </c>
      <c r="R814">
        <f>VLOOKUP($B814,'Hospitalisation Details'!A813:K3157,11,0)</f>
        <v>44</v>
      </c>
    </row>
    <row r="815" spans="1:18" x14ac:dyDescent="0.35">
      <c r="A815" t="s">
        <v>1557</v>
      </c>
      <c r="B815" t="s">
        <v>846</v>
      </c>
      <c r="C815" t="str">
        <f>VLOOKUP($A815,'Customer Names'!$A:$E,4,FALSE)</f>
        <v>Wayne A.</v>
      </c>
      <c r="D815" t="str">
        <f>VLOOKUP($A815,'Medical Examinations'!$A:$J,2,FALSE)</f>
        <v>Obesity</v>
      </c>
      <c r="E815">
        <f>VLOOKUP($A815,'Medical Examinations'!$A:$J,4,FALSE)</f>
        <v>8.26</v>
      </c>
      <c r="F815" t="str">
        <f>VLOOKUP($A815,'Medical Examinations'!$A:$J,6,FALSE)</f>
        <v>yes</v>
      </c>
      <c r="G815" t="str">
        <f>VLOOKUP($A815,'Medical Examinations'!$A:$J,7,FALSE)</f>
        <v>No</v>
      </c>
      <c r="H815" t="str">
        <f>VLOOKUP($A815,'Medical Examinations'!$A:$J,8,FALSE)</f>
        <v>No</v>
      </c>
      <c r="I815">
        <f>VLOOKUP($A815,'Medical Examinations'!$A:$J,9,FALSE)</f>
        <v>2</v>
      </c>
      <c r="J815" t="str">
        <f>VLOOKUP($A815,'Medical Examinations'!$A:$J,10,FALSE)</f>
        <v>No</v>
      </c>
      <c r="K815" t="str">
        <f>VLOOKUP($A815,'Medical Examinations'!$A:$J,5,FALSE)</f>
        <v>Diabetes</v>
      </c>
      <c r="L815">
        <f>VLOOKUP($A816,'Medical Examinations'!$A:$J,3,FALSE)</f>
        <v>33.659999999999997</v>
      </c>
      <c r="M815">
        <f>VLOOKUP($A815,'Hospitalisation Details'!$A:$K,6,FALSE)</f>
        <v>12950.07</v>
      </c>
      <c r="N815" s="11">
        <f>VLOOKUP($B815,'Hospitalisation Details'!A814:J3158,10,0)</f>
        <v>25037</v>
      </c>
      <c r="O815" t="str">
        <f>VLOOKUP($B815,'Hospitalisation Details'!A814:J3158,8,0)</f>
        <v>tier - 1</v>
      </c>
      <c r="P815" t="str">
        <f>VLOOKUP($B815,'Hospitalisation Details'!A814:J3158,7,0)</f>
        <v>tier - 3</v>
      </c>
      <c r="Q815" t="str">
        <f>VLOOKUP($B815,'Hospitalisation Details'!A814:J3158,9,0)</f>
        <v>R1012</v>
      </c>
      <c r="R815">
        <f>VLOOKUP($B815,'Hospitalisation Details'!A814:K3158,11,0)</f>
        <v>54</v>
      </c>
    </row>
    <row r="816" spans="1:18" x14ac:dyDescent="0.35">
      <c r="A816" t="s">
        <v>1556</v>
      </c>
      <c r="B816" t="s">
        <v>847</v>
      </c>
      <c r="C816" t="str">
        <f>VLOOKUP($A816,'Customer Names'!$A:$E,4,FALSE)</f>
        <v>Nobuyori</v>
      </c>
      <c r="D816" t="str">
        <f>VLOOKUP($A816,'Medical Examinations'!$A:$J,2,FALSE)</f>
        <v>Obesity</v>
      </c>
      <c r="E816">
        <f>VLOOKUP($A816,'Medical Examinations'!$A:$J,4,FALSE)</f>
        <v>5.42</v>
      </c>
      <c r="F816" t="str">
        <f>VLOOKUP($A816,'Medical Examinations'!$A:$J,6,FALSE)</f>
        <v>yes</v>
      </c>
      <c r="G816" t="str">
        <f>VLOOKUP($A816,'Medical Examinations'!$A:$J,7,FALSE)</f>
        <v>No</v>
      </c>
      <c r="H816" t="str">
        <f>VLOOKUP($A816,'Medical Examinations'!$A:$J,8,FALSE)</f>
        <v>No</v>
      </c>
      <c r="I816">
        <f>VLOOKUP($A816,'Medical Examinations'!$A:$J,9,FALSE)</f>
        <v>2</v>
      </c>
      <c r="J816" t="str">
        <f>VLOOKUP($A816,'Medical Examinations'!$A:$J,10,FALSE)</f>
        <v>No</v>
      </c>
      <c r="K816" t="str">
        <f>VLOOKUP($A816,'Medical Examinations'!$A:$J,5,FALSE)</f>
        <v>Normal</v>
      </c>
      <c r="L816">
        <f>VLOOKUP($A817,'Medical Examinations'!$A:$J,3,FALSE)</f>
        <v>31.79</v>
      </c>
      <c r="M816">
        <f>VLOOKUP($A816,'Hospitalisation Details'!$A:$K,6,FALSE)</f>
        <v>12949.16</v>
      </c>
      <c r="N816" s="11">
        <f>VLOOKUP($B816,'Hospitalisation Details'!A815:J3159,10,0)</f>
        <v>31631</v>
      </c>
      <c r="O816" t="str">
        <f>VLOOKUP($B816,'Hospitalisation Details'!A815:J3159,8,0)</f>
        <v>tier - 2</v>
      </c>
      <c r="P816" t="str">
        <f>VLOOKUP($B816,'Hospitalisation Details'!A815:J3159,7,0)</f>
        <v>tier - 3</v>
      </c>
      <c r="Q816" t="str">
        <f>VLOOKUP($B816,'Hospitalisation Details'!A815:J3159,9,0)</f>
        <v>R1016</v>
      </c>
      <c r="R816">
        <f>VLOOKUP($B816,'Hospitalisation Details'!A815:K3159,11,0)</f>
        <v>36</v>
      </c>
    </row>
    <row r="817" spans="1:18" x14ac:dyDescent="0.35">
      <c r="A817" t="s">
        <v>1555</v>
      </c>
      <c r="B817" t="s">
        <v>848</v>
      </c>
      <c r="C817" t="str">
        <f>VLOOKUP($A817,'Customer Names'!$A:$E,4,FALSE)</f>
        <v>Rich</v>
      </c>
      <c r="D817" t="str">
        <f>VLOOKUP($A817,'Medical Examinations'!$A:$J,2,FALSE)</f>
        <v>Obesity</v>
      </c>
      <c r="E817">
        <f>VLOOKUP($A817,'Medical Examinations'!$A:$J,4,FALSE)</f>
        <v>11.33</v>
      </c>
      <c r="F817" t="str">
        <f>VLOOKUP($A817,'Medical Examinations'!$A:$J,6,FALSE)</f>
        <v>yes</v>
      </c>
      <c r="G817" t="str">
        <f>VLOOKUP($A817,'Medical Examinations'!$A:$J,7,FALSE)</f>
        <v>No</v>
      </c>
      <c r="H817" t="str">
        <f>VLOOKUP($A817,'Medical Examinations'!$A:$J,8,FALSE)</f>
        <v>Yes</v>
      </c>
      <c r="I817">
        <f>VLOOKUP($A817,'Medical Examinations'!$A:$J,9,FALSE)</f>
        <v>1</v>
      </c>
      <c r="J817" t="str">
        <f>VLOOKUP($A817,'Medical Examinations'!$A:$J,10,FALSE)</f>
        <v>No</v>
      </c>
      <c r="K817" t="str">
        <f>VLOOKUP($A817,'Medical Examinations'!$A:$J,5,FALSE)</f>
        <v>Diabetes</v>
      </c>
      <c r="L817">
        <f>VLOOKUP($A818,'Medical Examinations'!$A:$J,3,FALSE)</f>
        <v>29.7</v>
      </c>
      <c r="M817">
        <f>VLOOKUP($A817,'Hospitalisation Details'!$A:$K,6,FALSE)</f>
        <v>12928.79</v>
      </c>
      <c r="N817" s="11">
        <f>VLOOKUP($B817,'Hospitalisation Details'!A816:J3160,10,0)</f>
        <v>31568</v>
      </c>
      <c r="O817" t="str">
        <f>VLOOKUP($B817,'Hospitalisation Details'!A816:J3160,8,0)</f>
        <v>tier - 1</v>
      </c>
      <c r="P817" t="str">
        <f>VLOOKUP($B817,'Hospitalisation Details'!A816:J3160,7,0)</f>
        <v>tier - 3</v>
      </c>
      <c r="Q817" t="str">
        <f>VLOOKUP($B817,'Hospitalisation Details'!A816:J3160,9,0)</f>
        <v>R1016</v>
      </c>
      <c r="R817">
        <f>VLOOKUP($B817,'Hospitalisation Details'!A816:K3160,11,0)</f>
        <v>37</v>
      </c>
    </row>
    <row r="818" spans="1:18" x14ac:dyDescent="0.35">
      <c r="A818" t="s">
        <v>1554</v>
      </c>
      <c r="B818" t="s">
        <v>849</v>
      </c>
      <c r="C818" t="str">
        <f>VLOOKUP($A818,'Customer Names'!$A:$E,4,FALSE)</f>
        <v>Marcos S</v>
      </c>
      <c r="D818" t="str">
        <f>VLOOKUP($A818,'Medical Examinations'!$A:$J,2,FALSE)</f>
        <v>Overweight</v>
      </c>
      <c r="E818">
        <f>VLOOKUP($A818,'Medical Examinations'!$A:$J,4,FALSE)</f>
        <v>7.69</v>
      </c>
      <c r="F818" t="str">
        <f>VLOOKUP($A818,'Medical Examinations'!$A:$J,6,FALSE)</f>
        <v>yes</v>
      </c>
      <c r="G818" t="str">
        <f>VLOOKUP($A818,'Medical Examinations'!$A:$J,7,FALSE)</f>
        <v>No</v>
      </c>
      <c r="H818" t="str">
        <f>VLOOKUP($A818,'Medical Examinations'!$A:$J,8,FALSE)</f>
        <v>Yes</v>
      </c>
      <c r="I818">
        <f>VLOOKUP($A818,'Medical Examinations'!$A:$J,9,FALSE)</f>
        <v>1</v>
      </c>
      <c r="J818" t="str">
        <f>VLOOKUP($A818,'Medical Examinations'!$A:$J,10,FALSE)</f>
        <v>No</v>
      </c>
      <c r="K818" t="str">
        <f>VLOOKUP($A818,'Medical Examinations'!$A:$J,5,FALSE)</f>
        <v>Diabetes</v>
      </c>
      <c r="L818">
        <f>VLOOKUP($A819,'Medical Examinations'!$A:$J,3,FALSE)</f>
        <v>25.46</v>
      </c>
      <c r="M818">
        <f>VLOOKUP($A818,'Hospitalisation Details'!$A:$K,6,FALSE)</f>
        <v>12925.89</v>
      </c>
      <c r="N818" s="11">
        <f>VLOOKUP($B818,'Hospitalisation Details'!A817:J3161,10,0)</f>
        <v>25736</v>
      </c>
      <c r="O818" t="str">
        <f>VLOOKUP($B818,'Hospitalisation Details'!A817:J3161,8,0)</f>
        <v>tier - 1</v>
      </c>
      <c r="P818" t="str">
        <f>VLOOKUP($B818,'Hospitalisation Details'!A817:J3161,7,0)</f>
        <v>tier - 2</v>
      </c>
      <c r="Q818" t="str">
        <f>VLOOKUP($B818,'Hospitalisation Details'!A817:J3161,9,0)</f>
        <v>R1013</v>
      </c>
      <c r="R818">
        <f>VLOOKUP($B818,'Hospitalisation Details'!A817:K3161,11,0)</f>
        <v>52</v>
      </c>
    </row>
    <row r="819" spans="1:18" x14ac:dyDescent="0.35">
      <c r="A819" t="s">
        <v>1553</v>
      </c>
      <c r="B819" t="s">
        <v>850</v>
      </c>
      <c r="C819" t="str">
        <f>VLOOKUP($A819,'Customer Names'!$A:$E,4,FALSE)</f>
        <v>Dave</v>
      </c>
      <c r="D819" t="str">
        <f>VLOOKUP($A819,'Medical Examinations'!$A:$J,2,FALSE)</f>
        <v>Overweight</v>
      </c>
      <c r="E819">
        <f>VLOOKUP($A819,'Medical Examinations'!$A:$J,4,FALSE)</f>
        <v>8.77</v>
      </c>
      <c r="F819" t="str">
        <f>VLOOKUP($A819,'Medical Examinations'!$A:$J,6,FALSE)</f>
        <v>yes</v>
      </c>
      <c r="G819" t="str">
        <f>VLOOKUP($A819,'Medical Examinations'!$A:$J,7,FALSE)</f>
        <v>No</v>
      </c>
      <c r="H819" t="str">
        <f>VLOOKUP($A819,'Medical Examinations'!$A:$J,8,FALSE)</f>
        <v>Yes</v>
      </c>
      <c r="I819">
        <f>VLOOKUP($A819,'Medical Examinations'!$A:$J,9,FALSE)</f>
        <v>1</v>
      </c>
      <c r="J819" t="str">
        <f>VLOOKUP($A819,'Medical Examinations'!$A:$J,10,FALSE)</f>
        <v>No</v>
      </c>
      <c r="K819" t="str">
        <f>VLOOKUP($A819,'Medical Examinations'!$A:$J,5,FALSE)</f>
        <v>Diabetes</v>
      </c>
      <c r="L819">
        <f>VLOOKUP($A820,'Medical Examinations'!$A:$J,3,FALSE)</f>
        <v>39.14</v>
      </c>
      <c r="M819">
        <f>VLOOKUP($A819,'Hospitalisation Details'!$A:$K,6,FALSE)</f>
        <v>12913.99</v>
      </c>
      <c r="N819" s="11">
        <f>VLOOKUP($B819,'Hospitalisation Details'!A818:J3162,10,0)</f>
        <v>24450</v>
      </c>
      <c r="O819" t="str">
        <f>VLOOKUP($B819,'Hospitalisation Details'!A818:J3162,8,0)</f>
        <v>tier - 2</v>
      </c>
      <c r="P819" t="str">
        <f>VLOOKUP($B819,'Hospitalisation Details'!A818:J3162,7,0)</f>
        <v>tier - 3</v>
      </c>
      <c r="Q819" t="str">
        <f>VLOOKUP($B819,'Hospitalisation Details'!A818:J3162,9,0)</f>
        <v>R1013</v>
      </c>
      <c r="R819">
        <f>VLOOKUP($B819,'Hospitalisation Details'!A818:K3162,11,0)</f>
        <v>56</v>
      </c>
    </row>
    <row r="820" spans="1:18" x14ac:dyDescent="0.35">
      <c r="A820" t="s">
        <v>1552</v>
      </c>
      <c r="B820" t="s">
        <v>851</v>
      </c>
      <c r="C820" t="str">
        <f>VLOOKUP($A820,'Customer Names'!$A:$E,4,FALSE)</f>
        <v>Andy</v>
      </c>
      <c r="D820" t="str">
        <f>VLOOKUP($A820,'Medical Examinations'!$A:$J,2,FALSE)</f>
        <v>Obesity</v>
      </c>
      <c r="E820">
        <f>VLOOKUP($A820,'Medical Examinations'!$A:$J,4,FALSE)</f>
        <v>4.91</v>
      </c>
      <c r="F820" t="str">
        <f>VLOOKUP($A820,'Medical Examinations'!$A:$J,6,FALSE)</f>
        <v>No</v>
      </c>
      <c r="G820" t="str">
        <f>VLOOKUP($A820,'Medical Examinations'!$A:$J,7,FALSE)</f>
        <v>yes</v>
      </c>
      <c r="H820" t="str">
        <f>VLOOKUP($A820,'Medical Examinations'!$A:$J,8,FALSE)</f>
        <v>No</v>
      </c>
      <c r="I820">
        <f>VLOOKUP($A820,'Medical Examinations'!$A:$J,9,FALSE)</f>
        <v>1</v>
      </c>
      <c r="J820" t="str">
        <f>VLOOKUP($A820,'Medical Examinations'!$A:$J,10,FALSE)</f>
        <v>No</v>
      </c>
      <c r="K820" t="str">
        <f>VLOOKUP($A820,'Medical Examinations'!$A:$J,5,FALSE)</f>
        <v>Normal</v>
      </c>
      <c r="L820">
        <f>VLOOKUP($A821,'Medical Examinations'!$A:$J,3,FALSE)</f>
        <v>41.2</v>
      </c>
      <c r="M820">
        <f>VLOOKUP($A820,'Hospitalisation Details'!$A:$K,6,FALSE)</f>
        <v>12890.06</v>
      </c>
      <c r="N820" s="11">
        <f>VLOOKUP($B820,'Hospitalisation Details'!A819:J3163,10,0)</f>
        <v>32426</v>
      </c>
      <c r="O820" t="str">
        <f>VLOOKUP($B820,'Hospitalisation Details'!A819:J3163,8,0)</f>
        <v>tier - 2</v>
      </c>
      <c r="P820" t="str">
        <f>VLOOKUP($B820,'Hospitalisation Details'!A819:J3163,7,0)</f>
        <v>tier - 2</v>
      </c>
      <c r="Q820" t="str">
        <f>VLOOKUP($B820,'Hospitalisation Details'!A819:J3163,9,0)</f>
        <v>R1024</v>
      </c>
      <c r="R820">
        <f>VLOOKUP($B820,'Hospitalisation Details'!A819:K3163,11,0)</f>
        <v>34</v>
      </c>
    </row>
    <row r="821" spans="1:18" x14ac:dyDescent="0.35">
      <c r="A821" t="s">
        <v>1551</v>
      </c>
      <c r="B821" t="s">
        <v>852</v>
      </c>
      <c r="C821" t="str">
        <f>VLOOKUP($A821,'Customer Names'!$A:$E,4,FALSE)</f>
        <v>Mary</v>
      </c>
      <c r="D821" t="str">
        <f>VLOOKUP($A821,'Medical Examinations'!$A:$J,2,FALSE)</f>
        <v>Obesity</v>
      </c>
      <c r="E821">
        <f>VLOOKUP($A821,'Medical Examinations'!$A:$J,4,FALSE)</f>
        <v>4.95</v>
      </c>
      <c r="F821" t="str">
        <f>VLOOKUP($A821,'Medical Examinations'!$A:$J,6,FALSE)</f>
        <v>No</v>
      </c>
      <c r="G821" t="str">
        <f>VLOOKUP($A821,'Medical Examinations'!$A:$J,7,FALSE)</f>
        <v>No</v>
      </c>
      <c r="H821" t="str">
        <f>VLOOKUP($A821,'Medical Examinations'!$A:$J,8,FALSE)</f>
        <v>No</v>
      </c>
      <c r="I821">
        <f>VLOOKUP($A821,'Medical Examinations'!$A:$J,9,FALSE)</f>
        <v>1</v>
      </c>
      <c r="J821" t="str">
        <f>VLOOKUP($A821,'Medical Examinations'!$A:$J,10,FALSE)</f>
        <v>No</v>
      </c>
      <c r="K821" t="str">
        <f>VLOOKUP($A821,'Medical Examinations'!$A:$J,5,FALSE)</f>
        <v>Normal</v>
      </c>
      <c r="L821">
        <f>VLOOKUP($A822,'Medical Examinations'!$A:$J,3,FALSE)</f>
        <v>28.81</v>
      </c>
      <c r="M821">
        <f>VLOOKUP($A821,'Hospitalisation Details'!$A:$K,6,FALSE)</f>
        <v>12870.31</v>
      </c>
      <c r="N821" s="11">
        <f>VLOOKUP($B821,'Hospitalisation Details'!A820:J3164,10,0)</f>
        <v>29850</v>
      </c>
      <c r="O821" t="str">
        <f>VLOOKUP($B821,'Hospitalisation Details'!A820:J3164,8,0)</f>
        <v>tier - 3</v>
      </c>
      <c r="P821" t="str">
        <f>VLOOKUP($B821,'Hospitalisation Details'!A820:J3164,7,0)</f>
        <v>tier - 2</v>
      </c>
      <c r="Q821" t="str">
        <f>VLOOKUP($B821,'Hospitalisation Details'!A820:J3164,9,0)</f>
        <v>R1013</v>
      </c>
      <c r="R821">
        <f>VLOOKUP($B821,'Hospitalisation Details'!A820:K3164,11,0)</f>
        <v>41</v>
      </c>
    </row>
    <row r="822" spans="1:18" x14ac:dyDescent="0.35">
      <c r="A822" t="s">
        <v>1550</v>
      </c>
      <c r="B822" t="s">
        <v>853</v>
      </c>
      <c r="C822" t="str">
        <f>VLOOKUP($A822,'Customer Names'!$A:$E,4,FALSE)</f>
        <v>Marcus B</v>
      </c>
      <c r="D822" t="str">
        <f>VLOOKUP($A822,'Medical Examinations'!$A:$J,2,FALSE)</f>
        <v>Overweight</v>
      </c>
      <c r="E822">
        <f>VLOOKUP($A822,'Medical Examinations'!$A:$J,4,FALSE)</f>
        <v>10.8</v>
      </c>
      <c r="F822" t="str">
        <f>VLOOKUP($A822,'Medical Examinations'!$A:$J,6,FALSE)</f>
        <v>yes</v>
      </c>
      <c r="G822" t="str">
        <f>VLOOKUP($A822,'Medical Examinations'!$A:$J,7,FALSE)</f>
        <v>No</v>
      </c>
      <c r="H822" t="str">
        <f>VLOOKUP($A822,'Medical Examinations'!$A:$J,8,FALSE)</f>
        <v>Yes</v>
      </c>
      <c r="I822">
        <f>VLOOKUP($A822,'Medical Examinations'!$A:$J,9,FALSE)</f>
        <v>1</v>
      </c>
      <c r="J822" t="str">
        <f>VLOOKUP($A822,'Medical Examinations'!$A:$J,10,FALSE)</f>
        <v>No</v>
      </c>
      <c r="K822" t="str">
        <f>VLOOKUP($A822,'Medical Examinations'!$A:$J,5,FALSE)</f>
        <v>Diabetes</v>
      </c>
      <c r="L822">
        <f>VLOOKUP($A823,'Medical Examinations'!$A:$J,3,FALSE)</f>
        <v>37.409999999999997</v>
      </c>
      <c r="M822">
        <f>VLOOKUP($A822,'Hospitalisation Details'!$A:$K,6,FALSE)</f>
        <v>12856.84</v>
      </c>
      <c r="N822" s="11">
        <f>VLOOKUP($B822,'Hospitalisation Details'!A821:J3165,10,0)</f>
        <v>29832</v>
      </c>
      <c r="O822" t="str">
        <f>VLOOKUP($B822,'Hospitalisation Details'!A821:J3165,8,0)</f>
        <v>tier - 3</v>
      </c>
      <c r="P822" t="str">
        <f>VLOOKUP($B822,'Hospitalisation Details'!A821:J3165,7,0)</f>
        <v>tier - 2</v>
      </c>
      <c r="Q822" t="str">
        <f>VLOOKUP($B822,'Hospitalisation Details'!A821:J3165,9,0)</f>
        <v>R1011</v>
      </c>
      <c r="R822">
        <f>VLOOKUP($B822,'Hospitalisation Details'!A821:K3165,11,0)</f>
        <v>41</v>
      </c>
    </row>
    <row r="823" spans="1:18" x14ac:dyDescent="0.35">
      <c r="A823" t="s">
        <v>1549</v>
      </c>
      <c r="B823" t="s">
        <v>854</v>
      </c>
      <c r="C823" t="str">
        <f>VLOOKUP($A823,'Customer Names'!$A:$E,4,FALSE)</f>
        <v>Thomas K.</v>
      </c>
      <c r="D823" t="str">
        <f>VLOOKUP($A823,'Medical Examinations'!$A:$J,2,FALSE)</f>
        <v>Obesity</v>
      </c>
      <c r="E823">
        <f>VLOOKUP($A823,'Medical Examinations'!$A:$J,4,FALSE)</f>
        <v>7.21</v>
      </c>
      <c r="F823" t="str">
        <f>VLOOKUP($A823,'Medical Examinations'!$A:$J,6,FALSE)</f>
        <v>No</v>
      </c>
      <c r="G823" t="str">
        <f>VLOOKUP($A823,'Medical Examinations'!$A:$J,7,FALSE)</f>
        <v>No</v>
      </c>
      <c r="H823" t="str">
        <f>VLOOKUP($A823,'Medical Examinations'!$A:$J,8,FALSE)</f>
        <v>No</v>
      </c>
      <c r="I823">
        <f>VLOOKUP($A823,'Medical Examinations'!$A:$J,9,FALSE)</f>
        <v>2</v>
      </c>
      <c r="J823" t="str">
        <f>VLOOKUP($A823,'Medical Examinations'!$A:$J,10,FALSE)</f>
        <v>No</v>
      </c>
      <c r="K823" t="str">
        <f>VLOOKUP($A823,'Medical Examinations'!$A:$J,5,FALSE)</f>
        <v>Diabetes</v>
      </c>
      <c r="L823">
        <f>VLOOKUP($A824,'Medical Examinations'!$A:$J,3,FALSE)</f>
        <v>52.54</v>
      </c>
      <c r="M823">
        <f>VLOOKUP($A823,'Hospitalisation Details'!$A:$K,6,FALSE)</f>
        <v>12852.37</v>
      </c>
      <c r="N823" s="11">
        <f>VLOOKUP($B823,'Hospitalisation Details'!A822:J3166,10,0)</f>
        <v>29867</v>
      </c>
      <c r="O823" t="str">
        <f>VLOOKUP($B823,'Hospitalisation Details'!A822:J3166,8,0)</f>
        <v>tier - 1</v>
      </c>
      <c r="P823" t="str">
        <f>VLOOKUP($B823,'Hospitalisation Details'!A822:J3166,7,0)</f>
        <v>tier - 2</v>
      </c>
      <c r="Q823" t="str">
        <f>VLOOKUP($B823,'Hospitalisation Details'!A822:J3166,9,0)</f>
        <v>R1013</v>
      </c>
      <c r="R823">
        <f>VLOOKUP($B823,'Hospitalisation Details'!A822:K3166,11,0)</f>
        <v>41</v>
      </c>
    </row>
    <row r="824" spans="1:18" x14ac:dyDescent="0.35">
      <c r="A824" t="s">
        <v>1548</v>
      </c>
      <c r="B824" t="s">
        <v>855</v>
      </c>
      <c r="C824" t="str">
        <f>VLOOKUP($A824,'Customer Names'!$A:$E,4,FALSE)</f>
        <v>Robert</v>
      </c>
      <c r="D824" t="str">
        <f>VLOOKUP($A824,'Medical Examinations'!$A:$J,2,FALSE)</f>
        <v>Obesity</v>
      </c>
      <c r="E824">
        <f>VLOOKUP($A824,'Medical Examinations'!$A:$J,4,FALSE)</f>
        <v>5.12</v>
      </c>
      <c r="F824" t="str">
        <f>VLOOKUP($A824,'Medical Examinations'!$A:$J,6,FALSE)</f>
        <v>No</v>
      </c>
      <c r="G824" t="str">
        <f>VLOOKUP($A824,'Medical Examinations'!$A:$J,7,FALSE)</f>
        <v>No</v>
      </c>
      <c r="H824" t="str">
        <f>VLOOKUP($A824,'Medical Examinations'!$A:$J,8,FALSE)</f>
        <v>Yes</v>
      </c>
      <c r="I824">
        <f>VLOOKUP($A824,'Medical Examinations'!$A:$J,9,FALSE)</f>
        <v>1</v>
      </c>
      <c r="J824" t="str">
        <f>VLOOKUP($A824,'Medical Examinations'!$A:$J,10,FALSE)</f>
        <v>No</v>
      </c>
      <c r="K824" t="str">
        <f>VLOOKUP($A824,'Medical Examinations'!$A:$J,5,FALSE)</f>
        <v>Normal</v>
      </c>
      <c r="L824">
        <f>VLOOKUP($A825,'Medical Examinations'!$A:$J,3,FALSE)</f>
        <v>17.29</v>
      </c>
      <c r="M824">
        <f>VLOOKUP($A824,'Hospitalisation Details'!$A:$K,6,FALSE)</f>
        <v>12847.24</v>
      </c>
      <c r="N824" s="11">
        <f>VLOOKUP($B824,'Hospitalisation Details'!A823:J3167,10,0)</f>
        <v>29548</v>
      </c>
      <c r="O824" t="str">
        <f>VLOOKUP($B824,'Hospitalisation Details'!A823:J3167,8,0)</f>
        <v>tier - 2</v>
      </c>
      <c r="P824" t="str">
        <f>VLOOKUP($B824,'Hospitalisation Details'!A823:J3167,7,0)</f>
        <v>tier - 2</v>
      </c>
      <c r="Q824" t="str">
        <f>VLOOKUP($B824,'Hospitalisation Details'!A823:J3167,9,0)</f>
        <v>R1013</v>
      </c>
      <c r="R824">
        <f>VLOOKUP($B824,'Hospitalisation Details'!A823:K3167,11,0)</f>
        <v>42</v>
      </c>
    </row>
    <row r="825" spans="1:18" x14ac:dyDescent="0.35">
      <c r="A825" t="s">
        <v>1547</v>
      </c>
      <c r="B825" t="s">
        <v>856</v>
      </c>
      <c r="C825" t="str">
        <f>VLOOKUP($A825,'Customer Names'!$A:$E,4,FALSE)</f>
        <v>Geoff</v>
      </c>
      <c r="D825" t="str">
        <f>VLOOKUP($A825,'Medical Examinations'!$A:$J,2,FALSE)</f>
        <v>Underweight</v>
      </c>
      <c r="E825">
        <f>VLOOKUP($A825,'Medical Examinations'!$A:$J,4,FALSE)</f>
        <v>4.62</v>
      </c>
      <c r="F825" t="str">
        <f>VLOOKUP($A825,'Medical Examinations'!$A:$J,6,FALSE)</f>
        <v>No</v>
      </c>
      <c r="G825" t="str">
        <f>VLOOKUP($A825,'Medical Examinations'!$A:$J,7,FALSE)</f>
        <v>yes</v>
      </c>
      <c r="H825" t="str">
        <f>VLOOKUP($A825,'Medical Examinations'!$A:$J,8,FALSE)</f>
        <v>No</v>
      </c>
      <c r="I825">
        <f>VLOOKUP($A825,'Medical Examinations'!$A:$J,9,FALSE)</f>
        <v>1</v>
      </c>
      <c r="J825" t="str">
        <f>VLOOKUP($A825,'Medical Examinations'!$A:$J,10,FALSE)</f>
        <v>yes</v>
      </c>
      <c r="K825" t="str">
        <f>VLOOKUP($A825,'Medical Examinations'!$A:$J,5,FALSE)</f>
        <v>Normal</v>
      </c>
      <c r="L825">
        <f>VLOOKUP($A826,'Medical Examinations'!$A:$J,3,FALSE)</f>
        <v>31.74</v>
      </c>
      <c r="M825">
        <f>VLOOKUP($A825,'Hospitalisation Details'!$A:$K,6,FALSE)</f>
        <v>12829.46</v>
      </c>
      <c r="N825" s="11">
        <f>VLOOKUP($B825,'Hospitalisation Details'!A824:J3168,10,0)</f>
        <v>31405</v>
      </c>
      <c r="O825" t="str">
        <f>VLOOKUP($B825,'Hospitalisation Details'!A824:J3168,8,0)</f>
        <v>tier - 3</v>
      </c>
      <c r="P825" t="str">
        <f>VLOOKUP($B825,'Hospitalisation Details'!A824:J3168,7,0)</f>
        <v>tier - 3</v>
      </c>
      <c r="Q825" t="str">
        <f>VLOOKUP($B825,'Hospitalisation Details'!A824:J3168,9,0)</f>
        <v>R1012</v>
      </c>
      <c r="R825">
        <f>VLOOKUP($B825,'Hospitalisation Details'!A824:K3168,11,0)</f>
        <v>37</v>
      </c>
    </row>
    <row r="826" spans="1:18" x14ac:dyDescent="0.35">
      <c r="A826" t="s">
        <v>1546</v>
      </c>
      <c r="B826" t="s">
        <v>857</v>
      </c>
      <c r="C826" t="str">
        <f>VLOOKUP($A826,'Customer Names'!$A:$E,4,FALSE)</f>
        <v>Chris J.</v>
      </c>
      <c r="D826" t="str">
        <f>VLOOKUP($A826,'Medical Examinations'!$A:$J,2,FALSE)</f>
        <v>Obesity</v>
      </c>
      <c r="E826">
        <f>VLOOKUP($A826,'Medical Examinations'!$A:$J,4,FALSE)</f>
        <v>7.68</v>
      </c>
      <c r="F826" t="str">
        <f>VLOOKUP($A826,'Medical Examinations'!$A:$J,6,FALSE)</f>
        <v>yes</v>
      </c>
      <c r="G826" t="str">
        <f>VLOOKUP($A826,'Medical Examinations'!$A:$J,7,FALSE)</f>
        <v>No</v>
      </c>
      <c r="H826" t="str">
        <f>VLOOKUP($A826,'Medical Examinations'!$A:$J,8,FALSE)</f>
        <v>No</v>
      </c>
      <c r="I826">
        <f>VLOOKUP($A826,'Medical Examinations'!$A:$J,9,FALSE)</f>
        <v>0</v>
      </c>
      <c r="J826" t="str">
        <f>VLOOKUP($A826,'Medical Examinations'!$A:$J,10,FALSE)</f>
        <v>No</v>
      </c>
      <c r="K826" t="str">
        <f>VLOOKUP($A826,'Medical Examinations'!$A:$J,5,FALSE)</f>
        <v>Diabetes</v>
      </c>
      <c r="L826">
        <f>VLOOKUP($A827,'Medical Examinations'!$A:$J,3,FALSE)</f>
        <v>26.504999999999999</v>
      </c>
      <c r="M826">
        <f>VLOOKUP($A826,'Hospitalisation Details'!$A:$K,6,FALSE)</f>
        <v>12823.25</v>
      </c>
      <c r="N826" s="11">
        <f>VLOOKUP($B826,'Hospitalisation Details'!A825:J3169,10,0)</f>
        <v>33418</v>
      </c>
      <c r="O826" t="str">
        <f>VLOOKUP($B826,'Hospitalisation Details'!A825:J3169,8,0)</f>
        <v>tier - 2</v>
      </c>
      <c r="P826" t="str">
        <f>VLOOKUP($B826,'Hospitalisation Details'!A825:J3169,7,0)</f>
        <v>tier - 1</v>
      </c>
      <c r="Q826" t="str">
        <f>VLOOKUP($B826,'Hospitalisation Details'!A825:J3169,9,0)</f>
        <v>R1014</v>
      </c>
      <c r="R826">
        <f>VLOOKUP($B826,'Hospitalisation Details'!A825:K3169,11,0)</f>
        <v>31</v>
      </c>
    </row>
    <row r="827" spans="1:18" x14ac:dyDescent="0.35">
      <c r="A827" t="s">
        <v>1545</v>
      </c>
      <c r="B827" t="s">
        <v>858</v>
      </c>
      <c r="C827" t="str">
        <f>VLOOKUP($A827,'Customer Names'!$A:$E,4,FALSE)</f>
        <v>Kate A.</v>
      </c>
      <c r="D827" t="str">
        <f>VLOOKUP($A827,'Medical Examinations'!$A:$J,2,FALSE)</f>
        <v>Overweight</v>
      </c>
      <c r="E827">
        <f>VLOOKUP($A827,'Medical Examinations'!$A:$J,4,FALSE)</f>
        <v>6.79</v>
      </c>
      <c r="F827" t="str">
        <f>VLOOKUP($A827,'Medical Examinations'!$A:$J,6,FALSE)</f>
        <v>yes</v>
      </c>
      <c r="G827" t="str">
        <f>VLOOKUP($A827,'Medical Examinations'!$A:$J,7,FALSE)</f>
        <v>No</v>
      </c>
      <c r="H827" t="str">
        <f>VLOOKUP($A827,'Medical Examinations'!$A:$J,8,FALSE)</f>
        <v>Yes</v>
      </c>
      <c r="I827">
        <f>VLOOKUP($A827,'Medical Examinations'!$A:$J,9,FALSE)</f>
        <v>1</v>
      </c>
      <c r="J827" t="str">
        <f>VLOOKUP($A827,'Medical Examinations'!$A:$J,10,FALSE)</f>
        <v>No</v>
      </c>
      <c r="K827" t="str">
        <f>VLOOKUP($A827,'Medical Examinations'!$A:$J,5,FALSE)</f>
        <v>Diabetes</v>
      </c>
      <c r="L827">
        <f>VLOOKUP($A828,'Medical Examinations'!$A:$J,3,FALSE)</f>
        <v>36.479999999999997</v>
      </c>
      <c r="M827">
        <f>VLOOKUP($A827,'Hospitalisation Details'!$A:$K,6,FALSE)</f>
        <v>12815.44</v>
      </c>
      <c r="N827" s="11">
        <f>VLOOKUP($B827,'Hospitalisation Details'!A826:J3170,10,0)</f>
        <v>27623</v>
      </c>
      <c r="O827" t="str">
        <f>VLOOKUP($B827,'Hospitalisation Details'!A826:J3170,8,0)</f>
        <v>tier - 1</v>
      </c>
      <c r="P827" t="str">
        <f>VLOOKUP($B827,'Hospitalisation Details'!A826:J3170,7,0)</f>
        <v>tier - 2</v>
      </c>
      <c r="Q827" t="str">
        <f>VLOOKUP($B827,'Hospitalisation Details'!A826:J3170,9,0)</f>
        <v>R1012</v>
      </c>
      <c r="R827">
        <f>VLOOKUP($B827,'Hospitalisation Details'!A826:K3170,11,0)</f>
        <v>47</v>
      </c>
    </row>
    <row r="828" spans="1:18" x14ac:dyDescent="0.35">
      <c r="A828" t="s">
        <v>1544</v>
      </c>
      <c r="B828" t="s">
        <v>859</v>
      </c>
      <c r="C828" t="str">
        <f>VLOOKUP($A828,'Customer Names'!$A:$E,4,FALSE)</f>
        <v>Kelli</v>
      </c>
      <c r="D828" t="str">
        <f>VLOOKUP($A828,'Medical Examinations'!$A:$J,2,FALSE)</f>
        <v>Obesity</v>
      </c>
      <c r="E828">
        <f>VLOOKUP($A828,'Medical Examinations'!$A:$J,4,FALSE)</f>
        <v>11.09</v>
      </c>
      <c r="F828" t="str">
        <f>VLOOKUP($A828,'Medical Examinations'!$A:$J,6,FALSE)</f>
        <v>No</v>
      </c>
      <c r="G828" t="str">
        <f>VLOOKUP($A828,'Medical Examinations'!$A:$J,7,FALSE)</f>
        <v>No</v>
      </c>
      <c r="H828" t="str">
        <f>VLOOKUP($A828,'Medical Examinations'!$A:$J,8,FALSE)</f>
        <v>No</v>
      </c>
      <c r="I828">
        <f>VLOOKUP($A828,'Medical Examinations'!$A:$J,9,FALSE)</f>
        <v>0</v>
      </c>
      <c r="J828" t="str">
        <f>VLOOKUP($A828,'Medical Examinations'!$A:$J,10,FALSE)</f>
        <v>No</v>
      </c>
      <c r="K828" t="str">
        <f>VLOOKUP($A828,'Medical Examinations'!$A:$J,5,FALSE)</f>
        <v>Diabetes</v>
      </c>
      <c r="L828">
        <f>VLOOKUP($A829,'Medical Examinations'!$A:$J,3,FALSE)</f>
        <v>39.159999999999997</v>
      </c>
      <c r="M828">
        <f>VLOOKUP($A828,'Hospitalisation Details'!$A:$K,6,FALSE)</f>
        <v>12797.21</v>
      </c>
      <c r="N828" s="11">
        <f>VLOOKUP($B828,'Hospitalisation Details'!A827:J3171,10,0)</f>
        <v>34523</v>
      </c>
      <c r="O828" t="str">
        <f>VLOOKUP($B828,'Hospitalisation Details'!A827:J3171,8,0)</f>
        <v>tier - 2</v>
      </c>
      <c r="P828" t="str">
        <f>VLOOKUP($B828,'Hospitalisation Details'!A827:J3171,7,0)</f>
        <v>tier - 2</v>
      </c>
      <c r="Q828" t="str">
        <f>VLOOKUP($B828,'Hospitalisation Details'!A827:J3171,9,0)</f>
        <v>R1021</v>
      </c>
      <c r="R828">
        <f>VLOOKUP($B828,'Hospitalisation Details'!A827:K3171,11,0)</f>
        <v>28</v>
      </c>
    </row>
    <row r="829" spans="1:18" x14ac:dyDescent="0.35">
      <c r="A829" t="s">
        <v>1543</v>
      </c>
      <c r="B829" t="s">
        <v>860</v>
      </c>
      <c r="C829" t="str">
        <f>VLOOKUP($A829,'Customer Names'!$A:$E,4,FALSE)</f>
        <v>Maggie M</v>
      </c>
      <c r="D829" t="str">
        <f>VLOOKUP($A829,'Medical Examinations'!$A:$J,2,FALSE)</f>
        <v>Obesity</v>
      </c>
      <c r="E829">
        <f>VLOOKUP($A829,'Medical Examinations'!$A:$J,4,FALSE)</f>
        <v>5.24</v>
      </c>
      <c r="F829" t="str">
        <f>VLOOKUP($A829,'Medical Examinations'!$A:$J,6,FALSE)</f>
        <v>yes</v>
      </c>
      <c r="G829" t="str">
        <f>VLOOKUP($A829,'Medical Examinations'!$A:$J,7,FALSE)</f>
        <v>No</v>
      </c>
      <c r="H829" t="str">
        <f>VLOOKUP($A829,'Medical Examinations'!$A:$J,8,FALSE)</f>
        <v>Yes</v>
      </c>
      <c r="I829">
        <f>VLOOKUP($A829,'Medical Examinations'!$A:$J,9,FALSE)</f>
        <v>1</v>
      </c>
      <c r="J829" t="str">
        <f>VLOOKUP($A829,'Medical Examinations'!$A:$J,10,FALSE)</f>
        <v>No</v>
      </c>
      <c r="K829" t="str">
        <f>VLOOKUP($A829,'Medical Examinations'!$A:$J,5,FALSE)</f>
        <v>Normal</v>
      </c>
      <c r="L829">
        <f>VLOOKUP($A830,'Medical Examinations'!$A:$J,3,FALSE)</f>
        <v>28.22</v>
      </c>
      <c r="M829">
        <f>VLOOKUP($A829,'Hospitalisation Details'!$A:$K,6,FALSE)</f>
        <v>12788.18</v>
      </c>
      <c r="N829" s="11">
        <f>VLOOKUP($B829,'Hospitalisation Details'!A828:J3172,10,0)</f>
        <v>29051</v>
      </c>
      <c r="O829" t="str">
        <f>VLOOKUP($B829,'Hospitalisation Details'!A828:J3172,8,0)</f>
        <v>tier - 1</v>
      </c>
      <c r="P829" t="str">
        <f>VLOOKUP($B829,'Hospitalisation Details'!A828:J3172,7,0)</f>
        <v>tier - 3</v>
      </c>
      <c r="Q829" t="str">
        <f>VLOOKUP($B829,'Hospitalisation Details'!A828:J3172,9,0)</f>
        <v>R1016</v>
      </c>
      <c r="R829">
        <f>VLOOKUP($B829,'Hospitalisation Details'!A828:K3172,11,0)</f>
        <v>43</v>
      </c>
    </row>
    <row r="830" spans="1:18" x14ac:dyDescent="0.35">
      <c r="A830" t="s">
        <v>1542</v>
      </c>
      <c r="B830" t="s">
        <v>861</v>
      </c>
      <c r="C830" t="str">
        <f>VLOOKUP($A830,'Customer Names'!$A:$E,4,FALSE)</f>
        <v>Michelle L.</v>
      </c>
      <c r="D830" t="str">
        <f>VLOOKUP($A830,'Medical Examinations'!$A:$J,2,FALSE)</f>
        <v>Overweight</v>
      </c>
      <c r="E830">
        <f>VLOOKUP($A830,'Medical Examinations'!$A:$J,4,FALSE)</f>
        <v>7.51</v>
      </c>
      <c r="F830" t="str">
        <f>VLOOKUP($A830,'Medical Examinations'!$A:$J,6,FALSE)</f>
        <v>yes</v>
      </c>
      <c r="G830" t="str">
        <f>VLOOKUP($A830,'Medical Examinations'!$A:$J,7,FALSE)</f>
        <v>No</v>
      </c>
      <c r="H830" t="str">
        <f>VLOOKUP($A830,'Medical Examinations'!$A:$J,8,FALSE)</f>
        <v>Yes</v>
      </c>
      <c r="I830">
        <f>VLOOKUP($A830,'Medical Examinations'!$A:$J,9,FALSE)</f>
        <v>1</v>
      </c>
      <c r="J830" t="str">
        <f>VLOOKUP($A830,'Medical Examinations'!$A:$J,10,FALSE)</f>
        <v>No</v>
      </c>
      <c r="K830" t="str">
        <f>VLOOKUP($A830,'Medical Examinations'!$A:$J,5,FALSE)</f>
        <v>Diabetes</v>
      </c>
      <c r="L830">
        <f>VLOOKUP($A831,'Medical Examinations'!$A:$J,3,FALSE)</f>
        <v>35</v>
      </c>
      <c r="M830">
        <f>VLOOKUP($A830,'Hospitalisation Details'!$A:$K,6,FALSE)</f>
        <v>12788.03</v>
      </c>
      <c r="N830" s="11">
        <f>VLOOKUP($B830,'Hospitalisation Details'!A829:J3173,10,0)</f>
        <v>36860</v>
      </c>
      <c r="O830" t="str">
        <f>VLOOKUP($B830,'Hospitalisation Details'!A829:J3173,8,0)</f>
        <v>tier - 1</v>
      </c>
      <c r="P830" t="str">
        <f>VLOOKUP($B830,'Hospitalisation Details'!A829:J3173,7,0)</f>
        <v>tier - 2</v>
      </c>
      <c r="Q830" t="str">
        <f>VLOOKUP($B830,'Hospitalisation Details'!A829:J3173,9,0)</f>
        <v>R1012</v>
      </c>
      <c r="R830">
        <f>VLOOKUP($B830,'Hospitalisation Details'!A829:K3173,11,0)</f>
        <v>22</v>
      </c>
    </row>
    <row r="831" spans="1:18" x14ac:dyDescent="0.35">
      <c r="A831" t="s">
        <v>1541</v>
      </c>
      <c r="B831" t="s">
        <v>862</v>
      </c>
      <c r="C831" t="str">
        <f>VLOOKUP($A831,'Customer Names'!$A:$E,4,FALSE)</f>
        <v>Ashley K</v>
      </c>
      <c r="D831" t="str">
        <f>VLOOKUP($A831,'Medical Examinations'!$A:$J,2,FALSE)</f>
        <v>Obesity</v>
      </c>
      <c r="E831">
        <f>VLOOKUP($A831,'Medical Examinations'!$A:$J,4,FALSE)</f>
        <v>4.13</v>
      </c>
      <c r="F831" t="str">
        <f>VLOOKUP($A831,'Medical Examinations'!$A:$J,6,FALSE)</f>
        <v>No</v>
      </c>
      <c r="G831" t="str">
        <f>VLOOKUP($A831,'Medical Examinations'!$A:$J,7,FALSE)</f>
        <v>No</v>
      </c>
      <c r="H831" t="str">
        <f>VLOOKUP($A831,'Medical Examinations'!$A:$J,8,FALSE)</f>
        <v>No</v>
      </c>
      <c r="I831">
        <f>VLOOKUP($A831,'Medical Examinations'!$A:$J,9,FALSE)</f>
        <v>2</v>
      </c>
      <c r="J831" t="str">
        <f>VLOOKUP($A831,'Medical Examinations'!$A:$J,10,FALSE)</f>
        <v>No</v>
      </c>
      <c r="K831" t="str">
        <f>VLOOKUP($A831,'Medical Examinations'!$A:$J,5,FALSE)</f>
        <v>Normal</v>
      </c>
      <c r="L831">
        <f>VLOOKUP($A832,'Medical Examinations'!$A:$J,3,FALSE)</f>
        <v>36.24</v>
      </c>
      <c r="M831">
        <f>VLOOKUP($A831,'Hospitalisation Details'!$A:$K,6,FALSE)</f>
        <v>12776.05</v>
      </c>
      <c r="N831" s="11">
        <f>VLOOKUP($B831,'Hospitalisation Details'!A830:J3174,10,0)</f>
        <v>28291</v>
      </c>
      <c r="O831" t="str">
        <f>VLOOKUP($B831,'Hospitalisation Details'!A830:J3174,8,0)</f>
        <v>tier - 1</v>
      </c>
      <c r="P831" t="str">
        <f>VLOOKUP($B831,'Hospitalisation Details'!A830:J3174,7,0)</f>
        <v>tier - 2</v>
      </c>
      <c r="Q831" t="str">
        <f>VLOOKUP($B831,'Hospitalisation Details'!A830:J3174,9,0)</f>
        <v>R1013</v>
      </c>
      <c r="R831">
        <f>VLOOKUP($B831,'Hospitalisation Details'!A830:K3174,11,0)</f>
        <v>45</v>
      </c>
    </row>
    <row r="832" spans="1:18" x14ac:dyDescent="0.35">
      <c r="A832" t="s">
        <v>1540</v>
      </c>
      <c r="B832" t="s">
        <v>863</v>
      </c>
      <c r="C832" t="str">
        <f>VLOOKUP($A832,'Customer Names'!$A:$E,4,FALSE)</f>
        <v>Michael</v>
      </c>
      <c r="D832" t="str">
        <f>VLOOKUP($A832,'Medical Examinations'!$A:$J,2,FALSE)</f>
        <v>Obesity</v>
      </c>
      <c r="E832">
        <f>VLOOKUP($A832,'Medical Examinations'!$A:$J,4,FALSE)</f>
        <v>8.3800000000000008</v>
      </c>
      <c r="F832" t="str">
        <f>VLOOKUP($A832,'Medical Examinations'!$A:$J,6,FALSE)</f>
        <v>yes</v>
      </c>
      <c r="G832" t="str">
        <f>VLOOKUP($A832,'Medical Examinations'!$A:$J,7,FALSE)</f>
        <v>No</v>
      </c>
      <c r="H832" t="str">
        <f>VLOOKUP($A832,'Medical Examinations'!$A:$J,8,FALSE)</f>
        <v>No</v>
      </c>
      <c r="I832">
        <f>VLOOKUP($A832,'Medical Examinations'!$A:$J,9,FALSE)</f>
        <v>1</v>
      </c>
      <c r="J832" t="str">
        <f>VLOOKUP($A832,'Medical Examinations'!$A:$J,10,FALSE)</f>
        <v>No</v>
      </c>
      <c r="K832" t="str">
        <f>VLOOKUP($A832,'Medical Examinations'!$A:$J,5,FALSE)</f>
        <v>Diabetes</v>
      </c>
      <c r="L832">
        <f>VLOOKUP($A833,'Medical Examinations'!$A:$J,3,FALSE)</f>
        <v>36.954999999999998</v>
      </c>
      <c r="M832">
        <f>VLOOKUP($A832,'Hospitalisation Details'!$A:$K,6,FALSE)</f>
        <v>12770.27</v>
      </c>
      <c r="N832" s="11">
        <f>VLOOKUP($B832,'Hospitalisation Details'!A831:J3175,10,0)</f>
        <v>29163</v>
      </c>
      <c r="O832" t="str">
        <f>VLOOKUP($B832,'Hospitalisation Details'!A831:J3175,8,0)</f>
        <v>tier - 2</v>
      </c>
      <c r="P832" t="str">
        <f>VLOOKUP($B832,'Hospitalisation Details'!A831:J3175,7,0)</f>
        <v>tier - 2</v>
      </c>
      <c r="Q832" t="str">
        <f>VLOOKUP($B832,'Hospitalisation Details'!A831:J3175,9,0)</f>
        <v>R1011</v>
      </c>
      <c r="R832">
        <f>VLOOKUP($B832,'Hospitalisation Details'!A831:K3175,11,0)</f>
        <v>43</v>
      </c>
    </row>
    <row r="833" spans="1:18" x14ac:dyDescent="0.35">
      <c r="A833" t="s">
        <v>1539</v>
      </c>
      <c r="B833" t="s">
        <v>864</v>
      </c>
      <c r="C833" t="str">
        <f>VLOOKUP($A833,'Customer Names'!$A:$E,4,FALSE)</f>
        <v>Ryan K.</v>
      </c>
      <c r="D833" t="str">
        <f>VLOOKUP($A833,'Medical Examinations'!$A:$J,2,FALSE)</f>
        <v>Obesity</v>
      </c>
      <c r="E833">
        <f>VLOOKUP($A833,'Medical Examinations'!$A:$J,4,FALSE)</f>
        <v>8.07</v>
      </c>
      <c r="F833" t="str">
        <f>VLOOKUP($A833,'Medical Examinations'!$A:$J,6,FALSE)</f>
        <v>No</v>
      </c>
      <c r="G833" t="str">
        <f>VLOOKUP($A833,'Medical Examinations'!$A:$J,7,FALSE)</f>
        <v>No</v>
      </c>
      <c r="H833" t="str">
        <f>VLOOKUP($A833,'Medical Examinations'!$A:$J,8,FALSE)</f>
        <v>No</v>
      </c>
      <c r="I833">
        <f>VLOOKUP($A833,'Medical Examinations'!$A:$J,9,FALSE)</f>
        <v>0</v>
      </c>
      <c r="J833" t="str">
        <f>VLOOKUP($A833,'Medical Examinations'!$A:$J,10,FALSE)</f>
        <v>No</v>
      </c>
      <c r="K833" t="str">
        <f>VLOOKUP($A833,'Medical Examinations'!$A:$J,5,FALSE)</f>
        <v>Diabetes</v>
      </c>
      <c r="L833">
        <f>VLOOKUP($A834,'Medical Examinations'!$A:$J,3,FALSE)</f>
        <v>29.64</v>
      </c>
      <c r="M833">
        <f>VLOOKUP($A833,'Hospitalisation Details'!$A:$K,6,FALSE)</f>
        <v>12741.17</v>
      </c>
      <c r="N833" s="11">
        <f>VLOOKUP($B833,'Hospitalisation Details'!A832:J3176,10,0)</f>
        <v>29756</v>
      </c>
      <c r="O833" t="str">
        <f>VLOOKUP($B833,'Hospitalisation Details'!A832:J3176,8,0)</f>
        <v>tier - 2</v>
      </c>
      <c r="P833" t="str">
        <f>VLOOKUP($B833,'Hospitalisation Details'!A832:J3176,7,0)</f>
        <v>tier - 2</v>
      </c>
      <c r="Q833" t="str">
        <f>VLOOKUP($B833,'Hospitalisation Details'!A832:J3176,9,0)</f>
        <v>R1019</v>
      </c>
      <c r="R833">
        <f>VLOOKUP($B833,'Hospitalisation Details'!A832:K3176,11,0)</f>
        <v>41</v>
      </c>
    </row>
    <row r="834" spans="1:18" x14ac:dyDescent="0.35">
      <c r="A834" t="s">
        <v>1538</v>
      </c>
      <c r="B834" t="s">
        <v>865</v>
      </c>
      <c r="C834" t="str">
        <f>VLOOKUP($A834,'Customer Names'!$A:$E,4,FALSE)</f>
        <v>Matthew J</v>
      </c>
      <c r="D834" t="str">
        <f>VLOOKUP($A834,'Medical Examinations'!$A:$J,2,FALSE)</f>
        <v>Overweight</v>
      </c>
      <c r="E834">
        <f>VLOOKUP($A834,'Medical Examinations'!$A:$J,4,FALSE)</f>
        <v>8.9499999999999993</v>
      </c>
      <c r="F834" t="str">
        <f>VLOOKUP($A834,'Medical Examinations'!$A:$J,6,FALSE)</f>
        <v>No</v>
      </c>
      <c r="G834" t="str">
        <f>VLOOKUP($A834,'Medical Examinations'!$A:$J,7,FALSE)</f>
        <v>No</v>
      </c>
      <c r="H834" t="str">
        <f>VLOOKUP($A834,'Medical Examinations'!$A:$J,8,FALSE)</f>
        <v>No</v>
      </c>
      <c r="I834">
        <f>VLOOKUP($A834,'Medical Examinations'!$A:$J,9,FALSE)</f>
        <v>0</v>
      </c>
      <c r="J834" t="str">
        <f>VLOOKUP($A834,'Medical Examinations'!$A:$J,10,FALSE)</f>
        <v>No</v>
      </c>
      <c r="K834" t="str">
        <f>VLOOKUP($A834,'Medical Examinations'!$A:$J,5,FALSE)</f>
        <v>Diabetes</v>
      </c>
      <c r="L834">
        <f>VLOOKUP($A835,'Medical Examinations'!$A:$J,3,FALSE)</f>
        <v>42.74</v>
      </c>
      <c r="M834">
        <f>VLOOKUP($A834,'Hospitalisation Details'!$A:$K,6,FALSE)</f>
        <v>12731</v>
      </c>
      <c r="N834" s="11">
        <f>VLOOKUP($B834,'Hospitalisation Details'!A833:J3177,10,0)</f>
        <v>28707</v>
      </c>
      <c r="O834" t="str">
        <f>VLOOKUP($B834,'Hospitalisation Details'!A833:J3177,8,0)</f>
        <v>tier - 1</v>
      </c>
      <c r="P834" t="str">
        <f>VLOOKUP($B834,'Hospitalisation Details'!A833:J3177,7,0)</f>
        <v>tier - 2</v>
      </c>
      <c r="Q834" t="str">
        <f>VLOOKUP($B834,'Hospitalisation Details'!A833:J3177,9,0)</f>
        <v>R1013</v>
      </c>
      <c r="R834">
        <f>VLOOKUP($B834,'Hospitalisation Details'!A833:K3177,11,0)</f>
        <v>44</v>
      </c>
    </row>
    <row r="835" spans="1:18" x14ac:dyDescent="0.35">
      <c r="A835" t="s">
        <v>1537</v>
      </c>
      <c r="B835" t="s">
        <v>866</v>
      </c>
      <c r="C835" t="str">
        <f>VLOOKUP($A835,'Customer Names'!$A:$E,4,FALSE)</f>
        <v>Karine</v>
      </c>
      <c r="D835" t="str">
        <f>VLOOKUP($A835,'Medical Examinations'!$A:$J,2,FALSE)</f>
        <v>Obesity</v>
      </c>
      <c r="E835">
        <f>VLOOKUP($A835,'Medical Examinations'!$A:$J,4,FALSE)</f>
        <v>6.31</v>
      </c>
      <c r="F835" t="str">
        <f>VLOOKUP($A835,'Medical Examinations'!$A:$J,6,FALSE)</f>
        <v>yes</v>
      </c>
      <c r="G835" t="str">
        <f>VLOOKUP($A835,'Medical Examinations'!$A:$J,7,FALSE)</f>
        <v>No</v>
      </c>
      <c r="H835" t="str">
        <f>VLOOKUP($A835,'Medical Examinations'!$A:$J,8,FALSE)</f>
        <v>No</v>
      </c>
      <c r="I835">
        <f>VLOOKUP($A835,'Medical Examinations'!$A:$J,9,FALSE)</f>
        <v>1</v>
      </c>
      <c r="J835" t="str">
        <f>VLOOKUP($A835,'Medical Examinations'!$A:$J,10,FALSE)</f>
        <v>No</v>
      </c>
      <c r="K835" t="str">
        <f>VLOOKUP($A835,'Medical Examinations'!$A:$J,5,FALSE)</f>
        <v>Prediabetes</v>
      </c>
      <c r="L835">
        <f>VLOOKUP($A836,'Medical Examinations'!$A:$J,3,FALSE)</f>
        <v>36.130000000000003</v>
      </c>
      <c r="M835">
        <f>VLOOKUP($A835,'Hospitalisation Details'!$A:$K,6,FALSE)</f>
        <v>12718.21</v>
      </c>
      <c r="N835" s="11">
        <f>VLOOKUP($B835,'Hospitalisation Details'!A834:J3178,10,0)</f>
        <v>25499</v>
      </c>
      <c r="O835" t="str">
        <f>VLOOKUP($B835,'Hospitalisation Details'!A834:J3178,8,0)</f>
        <v>tier - 2</v>
      </c>
      <c r="P835" t="str">
        <f>VLOOKUP($B835,'Hospitalisation Details'!A834:J3178,7,0)</f>
        <v>tier - 2</v>
      </c>
      <c r="Q835" t="str">
        <f>VLOOKUP($B835,'Hospitalisation Details'!A834:J3178,9,0)</f>
        <v>R1013</v>
      </c>
      <c r="R835">
        <f>VLOOKUP($B835,'Hospitalisation Details'!A834:K3178,11,0)</f>
        <v>53</v>
      </c>
    </row>
    <row r="836" spans="1:18" x14ac:dyDescent="0.35">
      <c r="A836" t="s">
        <v>1536</v>
      </c>
      <c r="B836" t="s">
        <v>867</v>
      </c>
      <c r="C836" t="str">
        <f>VLOOKUP($A836,'Customer Names'!$A:$E,4,FALSE)</f>
        <v>Antonia G</v>
      </c>
      <c r="D836" t="str">
        <f>VLOOKUP($A836,'Medical Examinations'!$A:$J,2,FALSE)</f>
        <v>Obesity</v>
      </c>
      <c r="E836">
        <f>VLOOKUP($A836,'Medical Examinations'!$A:$J,4,FALSE)</f>
        <v>7.19</v>
      </c>
      <c r="F836" t="str">
        <f>VLOOKUP($A836,'Medical Examinations'!$A:$J,6,FALSE)</f>
        <v>yes</v>
      </c>
      <c r="G836" t="str">
        <f>VLOOKUP($A836,'Medical Examinations'!$A:$J,7,FALSE)</f>
        <v>No</v>
      </c>
      <c r="H836" t="str">
        <f>VLOOKUP($A836,'Medical Examinations'!$A:$J,8,FALSE)</f>
        <v>No</v>
      </c>
      <c r="I836">
        <f>VLOOKUP($A836,'Medical Examinations'!$A:$J,9,FALSE)</f>
        <v>2</v>
      </c>
      <c r="J836" t="str">
        <f>VLOOKUP($A836,'Medical Examinations'!$A:$J,10,FALSE)</f>
        <v>No</v>
      </c>
      <c r="K836" t="str">
        <f>VLOOKUP($A836,'Medical Examinations'!$A:$J,5,FALSE)</f>
        <v>Diabetes</v>
      </c>
      <c r="L836">
        <f>VLOOKUP($A837,'Medical Examinations'!$A:$J,3,FALSE)</f>
        <v>31.55</v>
      </c>
      <c r="M836">
        <f>VLOOKUP($A836,'Hospitalisation Details'!$A:$K,6,FALSE)</f>
        <v>12713</v>
      </c>
      <c r="N836" s="11">
        <f>VLOOKUP($B836,'Hospitalisation Details'!A835:J3179,10,0)</f>
        <v>29760</v>
      </c>
      <c r="O836" t="str">
        <f>VLOOKUP($B836,'Hospitalisation Details'!A835:J3179,8,0)</f>
        <v>tier - 2</v>
      </c>
      <c r="P836" t="str">
        <f>VLOOKUP($B836,'Hospitalisation Details'!A835:J3179,7,0)</f>
        <v>tier - 2</v>
      </c>
      <c r="Q836" t="str">
        <f>VLOOKUP($B836,'Hospitalisation Details'!A835:J3179,9,0)</f>
        <v>R1011</v>
      </c>
      <c r="R836">
        <f>VLOOKUP($B836,'Hospitalisation Details'!A835:K3179,11,0)</f>
        <v>41</v>
      </c>
    </row>
    <row r="837" spans="1:18" x14ac:dyDescent="0.35">
      <c r="A837" t="s">
        <v>1535</v>
      </c>
      <c r="B837" t="s">
        <v>868</v>
      </c>
      <c r="C837" t="str">
        <f>VLOOKUP($A837,'Customer Names'!$A:$E,4,FALSE)</f>
        <v>Casondra L</v>
      </c>
      <c r="D837" t="str">
        <f>VLOOKUP($A837,'Medical Examinations'!$A:$J,2,FALSE)</f>
        <v>Obesity</v>
      </c>
      <c r="E837">
        <f>VLOOKUP($A837,'Medical Examinations'!$A:$J,4,FALSE)</f>
        <v>6.11</v>
      </c>
      <c r="F837" t="str">
        <f>VLOOKUP($A837,'Medical Examinations'!$A:$J,6,FALSE)</f>
        <v>yes</v>
      </c>
      <c r="G837" t="str">
        <f>VLOOKUP($A837,'Medical Examinations'!$A:$J,7,FALSE)</f>
        <v>No</v>
      </c>
      <c r="H837" t="str">
        <f>VLOOKUP($A837,'Medical Examinations'!$A:$J,8,FALSE)</f>
        <v>No</v>
      </c>
      <c r="I837">
        <f>VLOOKUP($A837,'Medical Examinations'!$A:$J,9,FALSE)</f>
        <v>1</v>
      </c>
      <c r="J837" t="str">
        <f>VLOOKUP($A837,'Medical Examinations'!$A:$J,10,FALSE)</f>
        <v>No</v>
      </c>
      <c r="K837" t="str">
        <f>VLOOKUP($A837,'Medical Examinations'!$A:$J,5,FALSE)</f>
        <v>Prediabetes</v>
      </c>
      <c r="L837">
        <f>VLOOKUP($A838,'Medical Examinations'!$A:$J,3,FALSE)</f>
        <v>52.75</v>
      </c>
      <c r="M837">
        <f>VLOOKUP($A837,'Hospitalisation Details'!$A:$K,6,FALSE)</f>
        <v>12700.63</v>
      </c>
      <c r="N837" s="11">
        <f>VLOOKUP($B837,'Hospitalisation Details'!A836:J3180,10,0)</f>
        <v>38345</v>
      </c>
      <c r="O837" t="str">
        <f>VLOOKUP($B837,'Hospitalisation Details'!A836:J3180,8,0)</f>
        <v>tier - 1</v>
      </c>
      <c r="P837" t="str">
        <f>VLOOKUP($B837,'Hospitalisation Details'!A836:J3180,7,0)</f>
        <v>tier - 2</v>
      </c>
      <c r="Q837" t="str">
        <f>VLOOKUP($B837,'Hospitalisation Details'!A836:J3180,9,0)</f>
        <v>R1012</v>
      </c>
      <c r="R837">
        <f>VLOOKUP($B837,'Hospitalisation Details'!A836:K3180,11,0)</f>
        <v>18</v>
      </c>
    </row>
    <row r="838" spans="1:18" x14ac:dyDescent="0.35">
      <c r="A838" t="s">
        <v>1534</v>
      </c>
      <c r="B838" t="s">
        <v>869</v>
      </c>
      <c r="C838" t="str">
        <f>VLOOKUP($A838,'Customer Names'!$A:$E,4,FALSE)</f>
        <v>Wendy</v>
      </c>
      <c r="D838" t="str">
        <f>VLOOKUP($A838,'Medical Examinations'!$A:$J,2,FALSE)</f>
        <v>Obesity</v>
      </c>
      <c r="E838">
        <f>VLOOKUP($A838,'Medical Examinations'!$A:$J,4,FALSE)</f>
        <v>6.02</v>
      </c>
      <c r="F838" t="str">
        <f>VLOOKUP($A838,'Medical Examinations'!$A:$J,6,FALSE)</f>
        <v>No</v>
      </c>
      <c r="G838" t="str">
        <f>VLOOKUP($A838,'Medical Examinations'!$A:$J,7,FALSE)</f>
        <v>No</v>
      </c>
      <c r="H838" t="str">
        <f>VLOOKUP($A838,'Medical Examinations'!$A:$J,8,FALSE)</f>
        <v>No</v>
      </c>
      <c r="I838">
        <f>VLOOKUP($A838,'Medical Examinations'!$A:$J,9,FALSE)</f>
        <v>1</v>
      </c>
      <c r="J838" t="str">
        <f>VLOOKUP($A838,'Medical Examinations'!$A:$J,10,FALSE)</f>
        <v>No</v>
      </c>
      <c r="K838" t="str">
        <f>VLOOKUP($A838,'Medical Examinations'!$A:$J,5,FALSE)</f>
        <v>Prediabetes</v>
      </c>
      <c r="L838">
        <f>VLOOKUP($A839,'Medical Examinations'!$A:$J,3,FALSE)</f>
        <v>36.67</v>
      </c>
      <c r="M838">
        <f>VLOOKUP($A838,'Hospitalisation Details'!$A:$K,6,FALSE)</f>
        <v>12699.56</v>
      </c>
      <c r="N838" s="11">
        <f>VLOOKUP($B838,'Hospitalisation Details'!A837:J3181,10,0)</f>
        <v>31300</v>
      </c>
      <c r="O838" t="str">
        <f>VLOOKUP($B838,'Hospitalisation Details'!A837:J3181,8,0)</f>
        <v>tier - 1</v>
      </c>
      <c r="P838" t="str">
        <f>VLOOKUP($B838,'Hospitalisation Details'!A837:J3181,7,0)</f>
        <v>tier - 2</v>
      </c>
      <c r="Q838" t="str">
        <f>VLOOKUP($B838,'Hospitalisation Details'!A837:J3181,9,0)</f>
        <v>R1024</v>
      </c>
      <c r="R838">
        <f>VLOOKUP($B838,'Hospitalisation Details'!A837:K3181,11,0)</f>
        <v>37</v>
      </c>
    </row>
    <row r="839" spans="1:18" x14ac:dyDescent="0.35">
      <c r="A839" t="s">
        <v>1533</v>
      </c>
      <c r="B839" t="s">
        <v>870</v>
      </c>
      <c r="C839" t="str">
        <f>VLOOKUP($A839,'Customer Names'!$A:$E,4,FALSE)</f>
        <v>Eric D</v>
      </c>
      <c r="D839" t="str">
        <f>VLOOKUP($A839,'Medical Examinations'!$A:$J,2,FALSE)</f>
        <v>Obesity</v>
      </c>
      <c r="E839">
        <f>VLOOKUP($A839,'Medical Examinations'!$A:$J,4,FALSE)</f>
        <v>11.86</v>
      </c>
      <c r="F839" t="str">
        <f>VLOOKUP($A839,'Medical Examinations'!$A:$J,6,FALSE)</f>
        <v>No</v>
      </c>
      <c r="G839" t="str">
        <f>VLOOKUP($A839,'Medical Examinations'!$A:$J,7,FALSE)</f>
        <v>No</v>
      </c>
      <c r="H839" t="str">
        <f>VLOOKUP($A839,'Medical Examinations'!$A:$J,8,FALSE)</f>
        <v>No</v>
      </c>
      <c r="I839">
        <f>VLOOKUP($A839,'Medical Examinations'!$A:$J,9,FALSE)</f>
        <v>0</v>
      </c>
      <c r="J839" t="str">
        <f>VLOOKUP($A839,'Medical Examinations'!$A:$J,10,FALSE)</f>
        <v>No</v>
      </c>
      <c r="K839" t="str">
        <f>VLOOKUP($A839,'Medical Examinations'!$A:$J,5,FALSE)</f>
        <v>Diabetes</v>
      </c>
      <c r="L839">
        <f>VLOOKUP($A840,'Medical Examinations'!$A:$J,3,FALSE)</f>
        <v>38.06</v>
      </c>
      <c r="M839">
        <f>VLOOKUP($A839,'Hospitalisation Details'!$A:$K,6,FALSE)</f>
        <v>12697.48</v>
      </c>
      <c r="N839" s="11">
        <f>VLOOKUP($B839,'Hospitalisation Details'!A838:J3182,10,0)</f>
        <v>32863</v>
      </c>
      <c r="O839" t="str">
        <f>VLOOKUP($B839,'Hospitalisation Details'!A838:J3182,8,0)</f>
        <v>tier - 3</v>
      </c>
      <c r="P839" t="str">
        <f>VLOOKUP($B839,'Hospitalisation Details'!A838:J3182,7,0)</f>
        <v>tier - 2</v>
      </c>
      <c r="Q839" t="str">
        <f>VLOOKUP($B839,'Hospitalisation Details'!A838:J3182,9,0)</f>
        <v>R1024</v>
      </c>
      <c r="R839">
        <f>VLOOKUP($B839,'Hospitalisation Details'!A838:K3182,11,0)</f>
        <v>33</v>
      </c>
    </row>
    <row r="840" spans="1:18" x14ac:dyDescent="0.35">
      <c r="A840" t="s">
        <v>1532</v>
      </c>
      <c r="B840" t="s">
        <v>871</v>
      </c>
      <c r="C840" t="str">
        <f>VLOOKUP($A840,'Customer Names'!$A:$E,4,FALSE)</f>
        <v>Elizabeth</v>
      </c>
      <c r="D840" t="str">
        <f>VLOOKUP($A840,'Medical Examinations'!$A:$J,2,FALSE)</f>
        <v>Obesity</v>
      </c>
      <c r="E840">
        <f>VLOOKUP($A840,'Medical Examinations'!$A:$J,4,FALSE)</f>
        <v>8.25</v>
      </c>
      <c r="F840" t="str">
        <f>VLOOKUP($A840,'Medical Examinations'!$A:$J,6,FALSE)</f>
        <v>No</v>
      </c>
      <c r="G840" t="str">
        <f>VLOOKUP($A840,'Medical Examinations'!$A:$J,7,FALSE)</f>
        <v>No</v>
      </c>
      <c r="H840" t="str">
        <f>VLOOKUP($A840,'Medical Examinations'!$A:$J,8,FALSE)</f>
        <v>No</v>
      </c>
      <c r="I840">
        <f>VLOOKUP($A840,'Medical Examinations'!$A:$J,9,FALSE)</f>
        <v>0</v>
      </c>
      <c r="J840" t="str">
        <f>VLOOKUP($A840,'Medical Examinations'!$A:$J,10,FALSE)</f>
        <v>No</v>
      </c>
      <c r="K840" t="str">
        <f>VLOOKUP($A840,'Medical Examinations'!$A:$J,5,FALSE)</f>
        <v>Diabetes</v>
      </c>
      <c r="L840">
        <f>VLOOKUP($A841,'Medical Examinations'!$A:$J,3,FALSE)</f>
        <v>38</v>
      </c>
      <c r="M840">
        <f>VLOOKUP($A840,'Hospitalisation Details'!$A:$K,6,FALSE)</f>
        <v>12648.7</v>
      </c>
      <c r="N840" s="11">
        <f>VLOOKUP($B840,'Hospitalisation Details'!A839:J3183,10,0)</f>
        <v>30930</v>
      </c>
      <c r="O840" t="str">
        <f>VLOOKUP($B840,'Hospitalisation Details'!A839:J3183,8,0)</f>
        <v>tier - 3</v>
      </c>
      <c r="P840" t="str">
        <f>VLOOKUP($B840,'Hospitalisation Details'!A839:J3183,7,0)</f>
        <v>tier - 2</v>
      </c>
      <c r="Q840" t="str">
        <f>VLOOKUP($B840,'Hospitalisation Details'!A839:J3183,9,0)</f>
        <v>R1012</v>
      </c>
      <c r="R840">
        <f>VLOOKUP($B840,'Hospitalisation Details'!A839:K3183,11,0)</f>
        <v>38</v>
      </c>
    </row>
    <row r="841" spans="1:18" x14ac:dyDescent="0.35">
      <c r="A841" t="s">
        <v>1531</v>
      </c>
      <c r="B841" t="s">
        <v>872</v>
      </c>
      <c r="C841" t="str">
        <f>VLOOKUP($A841,'Customer Names'!$A:$E,4,FALSE)</f>
        <v>Laura F</v>
      </c>
      <c r="D841" t="str">
        <f>VLOOKUP($A841,'Medical Examinations'!$A:$J,2,FALSE)</f>
        <v>Obesity</v>
      </c>
      <c r="E841">
        <f>VLOOKUP($A841,'Medical Examinations'!$A:$J,4,FALSE)</f>
        <v>8.1300000000000008</v>
      </c>
      <c r="F841" t="str">
        <f>VLOOKUP($A841,'Medical Examinations'!$A:$J,6,FALSE)</f>
        <v>No</v>
      </c>
      <c r="G841" t="str">
        <f>VLOOKUP($A841,'Medical Examinations'!$A:$J,7,FALSE)</f>
        <v>No</v>
      </c>
      <c r="H841" t="str">
        <f>VLOOKUP($A841,'Medical Examinations'!$A:$J,8,FALSE)</f>
        <v>No</v>
      </c>
      <c r="I841">
        <f>VLOOKUP($A841,'Medical Examinations'!$A:$J,9,FALSE)</f>
        <v>0</v>
      </c>
      <c r="J841" t="str">
        <f>VLOOKUP($A841,'Medical Examinations'!$A:$J,10,FALSE)</f>
        <v>No</v>
      </c>
      <c r="K841" t="str">
        <f>VLOOKUP($A841,'Medical Examinations'!$A:$J,5,FALSE)</f>
        <v>Diabetes</v>
      </c>
      <c r="L841">
        <f>VLOOKUP($A842,'Medical Examinations'!$A:$J,3,FALSE)</f>
        <v>35.1</v>
      </c>
      <c r="M841">
        <f>VLOOKUP($A841,'Hospitalisation Details'!$A:$K,6,FALSE)</f>
        <v>12646.21</v>
      </c>
      <c r="N841" s="11">
        <f>VLOOKUP($B841,'Hospitalisation Details'!A840:J3184,10,0)</f>
        <v>28823</v>
      </c>
      <c r="O841" t="str">
        <f>VLOOKUP($B841,'Hospitalisation Details'!A840:J3184,8,0)</f>
        <v>tier - 2</v>
      </c>
      <c r="P841" t="str">
        <f>VLOOKUP($B841,'Hospitalisation Details'!A840:J3184,7,0)</f>
        <v>tier - 2</v>
      </c>
      <c r="Q841" t="str">
        <f>VLOOKUP($B841,'Hospitalisation Details'!A840:J3184,9,0)</f>
        <v>R1013</v>
      </c>
      <c r="R841">
        <f>VLOOKUP($B841,'Hospitalisation Details'!A840:K3184,11,0)</f>
        <v>44</v>
      </c>
    </row>
    <row r="842" spans="1:18" x14ac:dyDescent="0.35">
      <c r="A842" t="s">
        <v>1530</v>
      </c>
      <c r="B842" t="s">
        <v>873</v>
      </c>
      <c r="C842" t="str">
        <f>VLOOKUP($A842,'Customer Names'!$A:$E,4,FALSE)</f>
        <v>Amelia F.</v>
      </c>
      <c r="D842" t="str">
        <f>VLOOKUP($A842,'Medical Examinations'!$A:$J,2,FALSE)</f>
        <v>Obesity</v>
      </c>
      <c r="E842">
        <f>VLOOKUP($A842,'Medical Examinations'!$A:$J,4,FALSE)</f>
        <v>10.1</v>
      </c>
      <c r="F842" t="str">
        <f>VLOOKUP($A842,'Medical Examinations'!$A:$J,6,FALSE)</f>
        <v>No</v>
      </c>
      <c r="G842" t="str">
        <f>VLOOKUP($A842,'Medical Examinations'!$A:$J,7,FALSE)</f>
        <v>No</v>
      </c>
      <c r="H842" t="str">
        <f>VLOOKUP($A842,'Medical Examinations'!$A:$J,8,FALSE)</f>
        <v>No</v>
      </c>
      <c r="I842">
        <f>VLOOKUP($A842,'Medical Examinations'!$A:$J,9,FALSE)</f>
        <v>0</v>
      </c>
      <c r="J842" t="str">
        <f>VLOOKUP($A842,'Medical Examinations'!$A:$J,10,FALSE)</f>
        <v>No</v>
      </c>
      <c r="K842" t="str">
        <f>VLOOKUP($A842,'Medical Examinations'!$A:$J,5,FALSE)</f>
        <v>Diabetes</v>
      </c>
      <c r="L842">
        <f>VLOOKUP($A843,'Medical Examinations'!$A:$J,3,FALSE)</f>
        <v>33.82</v>
      </c>
      <c r="M842">
        <f>VLOOKUP($A842,'Hospitalisation Details'!$A:$K,6,FALSE)</f>
        <v>12644.59</v>
      </c>
      <c r="N842" s="11">
        <f>VLOOKUP($B842,'Hospitalisation Details'!A841:J3185,10,0)</f>
        <v>29463</v>
      </c>
      <c r="O842" t="str">
        <f>VLOOKUP($B842,'Hospitalisation Details'!A841:J3185,8,0)</f>
        <v>tier - 2</v>
      </c>
      <c r="P842" t="str">
        <f>VLOOKUP($B842,'Hospitalisation Details'!A841:J3185,7,0)</f>
        <v>tier - 2</v>
      </c>
      <c r="Q842" t="str">
        <f>VLOOKUP($B842,'Hospitalisation Details'!A841:J3185,9,0)</f>
        <v>R1012</v>
      </c>
      <c r="R842">
        <f>VLOOKUP($B842,'Hospitalisation Details'!A841:K3185,11,0)</f>
        <v>42</v>
      </c>
    </row>
    <row r="843" spans="1:18" x14ac:dyDescent="0.35">
      <c r="A843" t="s">
        <v>1529</v>
      </c>
      <c r="B843" t="s">
        <v>874</v>
      </c>
      <c r="C843" t="str">
        <f>VLOOKUP($A843,'Customer Names'!$A:$E,4,FALSE)</f>
        <v>Amy L.</v>
      </c>
      <c r="D843" t="str">
        <f>VLOOKUP($A843,'Medical Examinations'!$A:$J,2,FALSE)</f>
        <v>Obesity</v>
      </c>
      <c r="E843">
        <f>VLOOKUP($A843,'Medical Examinations'!$A:$J,4,FALSE)</f>
        <v>5.89</v>
      </c>
      <c r="F843" t="str">
        <f>VLOOKUP($A843,'Medical Examinations'!$A:$J,6,FALSE)</f>
        <v>yes</v>
      </c>
      <c r="G843" t="str">
        <f>VLOOKUP($A843,'Medical Examinations'!$A:$J,7,FALSE)</f>
        <v>No</v>
      </c>
      <c r="H843" t="str">
        <f>VLOOKUP($A843,'Medical Examinations'!$A:$J,8,FALSE)</f>
        <v>No</v>
      </c>
      <c r="I843">
        <f>VLOOKUP($A843,'Medical Examinations'!$A:$J,9,FALSE)</f>
        <v>2</v>
      </c>
      <c r="J843" t="str">
        <f>VLOOKUP($A843,'Medical Examinations'!$A:$J,10,FALSE)</f>
        <v>No</v>
      </c>
      <c r="K843" t="str">
        <f>VLOOKUP($A843,'Medical Examinations'!$A:$J,5,FALSE)</f>
        <v>Prediabetes</v>
      </c>
      <c r="L843">
        <f>VLOOKUP($A844,'Medical Examinations'!$A:$J,3,FALSE)</f>
        <v>37.43</v>
      </c>
      <c r="M843">
        <f>VLOOKUP($A843,'Hospitalisation Details'!$A:$K,6,FALSE)</f>
        <v>12643.38</v>
      </c>
      <c r="N843" s="11">
        <f>VLOOKUP($B843,'Hospitalisation Details'!A842:J3186,10,0)</f>
        <v>29499</v>
      </c>
      <c r="O843" t="str">
        <f>VLOOKUP($B843,'Hospitalisation Details'!A842:J3186,8,0)</f>
        <v>tier - 3</v>
      </c>
      <c r="P843" t="str">
        <f>VLOOKUP($B843,'Hospitalisation Details'!A842:J3186,7,0)</f>
        <v>tier - 2</v>
      </c>
      <c r="Q843" t="str">
        <f>VLOOKUP($B843,'Hospitalisation Details'!A842:J3186,9,0)</f>
        <v>R1013</v>
      </c>
      <c r="R843">
        <f>VLOOKUP($B843,'Hospitalisation Details'!A842:K3186,11,0)</f>
        <v>42</v>
      </c>
    </row>
    <row r="844" spans="1:18" x14ac:dyDescent="0.35">
      <c r="A844" t="s">
        <v>1528</v>
      </c>
      <c r="B844" t="s">
        <v>875</v>
      </c>
      <c r="C844" t="str">
        <f>VLOOKUP($A844,'Customer Names'!$A:$E,4,FALSE)</f>
        <v>Katie J</v>
      </c>
      <c r="D844" t="str">
        <f>VLOOKUP($A844,'Medical Examinations'!$A:$J,2,FALSE)</f>
        <v>Obesity</v>
      </c>
      <c r="E844">
        <f>VLOOKUP($A844,'Medical Examinations'!$A:$J,4,FALSE)</f>
        <v>4.97</v>
      </c>
      <c r="F844" t="str">
        <f>VLOOKUP($A844,'Medical Examinations'!$A:$J,6,FALSE)</f>
        <v>No</v>
      </c>
      <c r="G844" t="str">
        <f>VLOOKUP($A844,'Medical Examinations'!$A:$J,7,FALSE)</f>
        <v>No</v>
      </c>
      <c r="H844" t="str">
        <f>VLOOKUP($A844,'Medical Examinations'!$A:$J,8,FALSE)</f>
        <v>No</v>
      </c>
      <c r="I844">
        <f>VLOOKUP($A844,'Medical Examinations'!$A:$J,9,FALSE)</f>
        <v>2</v>
      </c>
      <c r="J844" t="str">
        <f>VLOOKUP($A844,'Medical Examinations'!$A:$J,10,FALSE)</f>
        <v>No</v>
      </c>
      <c r="K844" t="str">
        <f>VLOOKUP($A844,'Medical Examinations'!$A:$J,5,FALSE)</f>
        <v>Normal</v>
      </c>
      <c r="L844">
        <f>VLOOKUP($A845,'Medical Examinations'!$A:$J,3,FALSE)</f>
        <v>30.5</v>
      </c>
      <c r="M844">
        <f>VLOOKUP($A844,'Hospitalisation Details'!$A:$K,6,FALSE)</f>
        <v>12640.24</v>
      </c>
      <c r="N844" s="11">
        <f>VLOOKUP($B844,'Hospitalisation Details'!A843:J3187,10,0)</f>
        <v>28839</v>
      </c>
      <c r="O844" t="str">
        <f>VLOOKUP($B844,'Hospitalisation Details'!A843:J3187,8,0)</f>
        <v>tier - 2</v>
      </c>
      <c r="P844" t="str">
        <f>VLOOKUP($B844,'Hospitalisation Details'!A843:J3187,7,0)</f>
        <v>tier - 1</v>
      </c>
      <c r="Q844" t="str">
        <f>VLOOKUP($B844,'Hospitalisation Details'!A843:J3187,9,0)</f>
        <v>R1012</v>
      </c>
      <c r="R844">
        <f>VLOOKUP($B844,'Hospitalisation Details'!A843:K3187,11,0)</f>
        <v>44</v>
      </c>
    </row>
    <row r="845" spans="1:18" x14ac:dyDescent="0.35">
      <c r="A845" t="s">
        <v>1527</v>
      </c>
      <c r="B845" t="s">
        <v>876</v>
      </c>
      <c r="C845" t="str">
        <f>VLOOKUP($A845,'Customer Names'!$A:$E,4,FALSE)</f>
        <v>Laura E.</v>
      </c>
      <c r="D845" t="str">
        <f>VLOOKUP($A845,'Medical Examinations'!$A:$J,2,FALSE)</f>
        <v>Obesity</v>
      </c>
      <c r="E845">
        <f>VLOOKUP($A845,'Medical Examinations'!$A:$J,4,FALSE)</f>
        <v>9.9</v>
      </c>
      <c r="F845" t="str">
        <f>VLOOKUP($A845,'Medical Examinations'!$A:$J,6,FALSE)</f>
        <v>No</v>
      </c>
      <c r="G845" t="str">
        <f>VLOOKUP($A845,'Medical Examinations'!$A:$J,7,FALSE)</f>
        <v>No</v>
      </c>
      <c r="H845" t="str">
        <f>VLOOKUP($A845,'Medical Examinations'!$A:$J,8,FALSE)</f>
        <v>No</v>
      </c>
      <c r="I845">
        <f>VLOOKUP($A845,'Medical Examinations'!$A:$J,9,FALSE)</f>
        <v>0</v>
      </c>
      <c r="J845" t="str">
        <f>VLOOKUP($A845,'Medical Examinations'!$A:$J,10,FALSE)</f>
        <v>No</v>
      </c>
      <c r="K845" t="str">
        <f>VLOOKUP($A845,'Medical Examinations'!$A:$J,5,FALSE)</f>
        <v>Diabetes</v>
      </c>
      <c r="L845">
        <f>VLOOKUP($A846,'Medical Examinations'!$A:$J,3,FALSE)</f>
        <v>24.53</v>
      </c>
      <c r="M845">
        <f>VLOOKUP($A845,'Hospitalisation Details'!$A:$K,6,FALSE)</f>
        <v>12638.2</v>
      </c>
      <c r="N845" s="11">
        <f>VLOOKUP($B845,'Hospitalisation Details'!A844:J3188,10,0)</f>
        <v>29451</v>
      </c>
      <c r="O845" t="str">
        <f>VLOOKUP($B845,'Hospitalisation Details'!A844:J3188,8,0)</f>
        <v>tier - 2</v>
      </c>
      <c r="P845" t="str">
        <f>VLOOKUP($B845,'Hospitalisation Details'!A844:J3188,7,0)</f>
        <v>tier - 2</v>
      </c>
      <c r="Q845" t="str">
        <f>VLOOKUP($B845,'Hospitalisation Details'!A844:J3188,9,0)</f>
        <v>R1013</v>
      </c>
      <c r="R845">
        <f>VLOOKUP($B845,'Hospitalisation Details'!A844:K3188,11,0)</f>
        <v>42</v>
      </c>
    </row>
    <row r="846" spans="1:18" x14ac:dyDescent="0.35">
      <c r="A846" t="s">
        <v>1526</v>
      </c>
      <c r="B846" t="s">
        <v>877</v>
      </c>
      <c r="C846" t="str">
        <f>VLOOKUP($A846,'Customer Names'!$A:$E,4,FALSE)</f>
        <v>Mayumi</v>
      </c>
      <c r="D846" t="str">
        <f>VLOOKUP($A846,'Medical Examinations'!$A:$J,2,FALSE)</f>
        <v>Normal Weight</v>
      </c>
      <c r="E846">
        <f>VLOOKUP($A846,'Medical Examinations'!$A:$J,4,FALSE)</f>
        <v>9.0500000000000007</v>
      </c>
      <c r="F846" t="str">
        <f>VLOOKUP($A846,'Medical Examinations'!$A:$J,6,FALSE)</f>
        <v>No</v>
      </c>
      <c r="G846" t="str">
        <f>VLOOKUP($A846,'Medical Examinations'!$A:$J,7,FALSE)</f>
        <v>No</v>
      </c>
      <c r="H846" t="str">
        <f>VLOOKUP($A846,'Medical Examinations'!$A:$J,8,FALSE)</f>
        <v>No</v>
      </c>
      <c r="I846">
        <f>VLOOKUP($A846,'Medical Examinations'!$A:$J,9,FALSE)</f>
        <v>0</v>
      </c>
      <c r="J846" t="str">
        <f>VLOOKUP($A846,'Medical Examinations'!$A:$J,10,FALSE)</f>
        <v>No</v>
      </c>
      <c r="K846" t="str">
        <f>VLOOKUP($A846,'Medical Examinations'!$A:$J,5,FALSE)</f>
        <v>Diabetes</v>
      </c>
      <c r="L846">
        <f>VLOOKUP($A847,'Medical Examinations'!$A:$J,3,FALSE)</f>
        <v>25.74</v>
      </c>
      <c r="M846">
        <f>VLOOKUP($A846,'Hospitalisation Details'!$A:$K,6,FALSE)</f>
        <v>12629.9</v>
      </c>
      <c r="N846" s="11">
        <f>VLOOKUP($B846,'Hospitalisation Details'!A845:J3189,10,0)</f>
        <v>27548</v>
      </c>
      <c r="O846" t="str">
        <f>VLOOKUP($B846,'Hospitalisation Details'!A845:J3189,8,0)</f>
        <v>tier - 3</v>
      </c>
      <c r="P846" t="str">
        <f>VLOOKUP($B846,'Hospitalisation Details'!A845:J3189,7,0)</f>
        <v>tier - 2</v>
      </c>
      <c r="Q846" t="str">
        <f>VLOOKUP($B846,'Hospitalisation Details'!A845:J3189,9,0)</f>
        <v>R1013</v>
      </c>
      <c r="R846">
        <f>VLOOKUP($B846,'Hospitalisation Details'!A845:K3189,11,0)</f>
        <v>48</v>
      </c>
    </row>
    <row r="847" spans="1:18" x14ac:dyDescent="0.35">
      <c r="A847" t="s">
        <v>1525</v>
      </c>
      <c r="B847" t="s">
        <v>878</v>
      </c>
      <c r="C847" t="str">
        <f>VLOOKUP($A847,'Customer Names'!$A:$E,4,FALSE)</f>
        <v>Vanessa</v>
      </c>
      <c r="D847" t="str">
        <f>VLOOKUP($A847,'Medical Examinations'!$A:$J,2,FALSE)</f>
        <v>Overweight</v>
      </c>
      <c r="E847">
        <f>VLOOKUP($A847,'Medical Examinations'!$A:$J,4,FALSE)</f>
        <v>10.93</v>
      </c>
      <c r="F847" t="str">
        <f>VLOOKUP($A847,'Medical Examinations'!$A:$J,6,FALSE)</f>
        <v>No</v>
      </c>
      <c r="G847" t="str">
        <f>VLOOKUP($A847,'Medical Examinations'!$A:$J,7,FALSE)</f>
        <v>No</v>
      </c>
      <c r="H847" t="str">
        <f>VLOOKUP($A847,'Medical Examinations'!$A:$J,8,FALSE)</f>
        <v>No</v>
      </c>
      <c r="I847">
        <f>VLOOKUP($A847,'Medical Examinations'!$A:$J,9,FALSE)</f>
        <v>0</v>
      </c>
      <c r="J847" t="str">
        <f>VLOOKUP($A847,'Medical Examinations'!$A:$J,10,FALSE)</f>
        <v>No</v>
      </c>
      <c r="K847" t="str">
        <f>VLOOKUP($A847,'Medical Examinations'!$A:$J,5,FALSE)</f>
        <v>Diabetes</v>
      </c>
      <c r="L847">
        <f>VLOOKUP($A848,'Medical Examinations'!$A:$J,3,FALSE)</f>
        <v>34.08</v>
      </c>
      <c r="M847">
        <f>VLOOKUP($A847,'Hospitalisation Details'!$A:$K,6,FALSE)</f>
        <v>12629.17</v>
      </c>
      <c r="N847" s="11">
        <f>VLOOKUP($B847,'Hospitalisation Details'!A846:J3190,10,0)</f>
        <v>31391</v>
      </c>
      <c r="O847" t="str">
        <f>VLOOKUP($B847,'Hospitalisation Details'!A846:J3190,8,0)</f>
        <v>tier - 2</v>
      </c>
      <c r="P847" t="str">
        <f>VLOOKUP($B847,'Hospitalisation Details'!A846:J3190,7,0)</f>
        <v>tier - 2</v>
      </c>
      <c r="Q847" t="str">
        <f>VLOOKUP($B847,'Hospitalisation Details'!A846:J3190,9,0)</f>
        <v>R1019</v>
      </c>
      <c r="R847">
        <f>VLOOKUP($B847,'Hospitalisation Details'!A846:K3190,11,0)</f>
        <v>37</v>
      </c>
    </row>
    <row r="848" spans="1:18" x14ac:dyDescent="0.35">
      <c r="A848" t="s">
        <v>1524</v>
      </c>
      <c r="B848" t="s">
        <v>879</v>
      </c>
      <c r="C848" t="str">
        <f>VLOOKUP($A848,'Customer Names'!$A:$E,4,FALSE)</f>
        <v>Natali N</v>
      </c>
      <c r="D848" t="str">
        <f>VLOOKUP($A848,'Medical Examinations'!$A:$J,2,FALSE)</f>
        <v>Obesity</v>
      </c>
      <c r="E848">
        <f>VLOOKUP($A848,'Medical Examinations'!$A:$J,4,FALSE)</f>
        <v>7.58</v>
      </c>
      <c r="F848" t="str">
        <f>VLOOKUP($A848,'Medical Examinations'!$A:$J,6,FALSE)</f>
        <v>yes</v>
      </c>
      <c r="G848" t="str">
        <f>VLOOKUP($A848,'Medical Examinations'!$A:$J,7,FALSE)</f>
        <v>No</v>
      </c>
      <c r="H848" t="str">
        <f>VLOOKUP($A848,'Medical Examinations'!$A:$J,8,FALSE)</f>
        <v>No</v>
      </c>
      <c r="I848">
        <f>VLOOKUP($A848,'Medical Examinations'!$A:$J,9,FALSE)</f>
        <v>2</v>
      </c>
      <c r="J848" t="str">
        <f>VLOOKUP($A848,'Medical Examinations'!$A:$J,10,FALSE)</f>
        <v>No</v>
      </c>
      <c r="K848" t="str">
        <f>VLOOKUP($A848,'Medical Examinations'!$A:$J,5,FALSE)</f>
        <v>Diabetes</v>
      </c>
      <c r="L848">
        <f>VLOOKUP($A849,'Medical Examinations'!$A:$J,3,FALSE)</f>
        <v>31.35</v>
      </c>
      <c r="M848">
        <f>VLOOKUP($A848,'Hospitalisation Details'!$A:$K,6,FALSE)</f>
        <v>12624.74</v>
      </c>
      <c r="N848" s="11">
        <f>VLOOKUP($B848,'Hospitalisation Details'!A847:J3191,10,0)</f>
        <v>30242</v>
      </c>
      <c r="O848" t="str">
        <f>VLOOKUP($B848,'Hospitalisation Details'!A847:J3191,8,0)</f>
        <v>tier - 1</v>
      </c>
      <c r="P848" t="str">
        <f>VLOOKUP($B848,'Hospitalisation Details'!A847:J3191,7,0)</f>
        <v>tier - 3</v>
      </c>
      <c r="Q848" t="str">
        <f>VLOOKUP($B848,'Hospitalisation Details'!A847:J3191,9,0)</f>
        <v>R1012</v>
      </c>
      <c r="R848">
        <f>VLOOKUP($B848,'Hospitalisation Details'!A847:K3191,11,0)</f>
        <v>40</v>
      </c>
    </row>
    <row r="849" spans="1:18" x14ac:dyDescent="0.35">
      <c r="A849" t="s">
        <v>1523</v>
      </c>
      <c r="B849" t="s">
        <v>880</v>
      </c>
      <c r="C849" t="str">
        <f>VLOOKUP($A849,'Customer Names'!$A:$E,4,FALSE)</f>
        <v>Beth</v>
      </c>
      <c r="D849" t="str">
        <f>VLOOKUP($A849,'Medical Examinations'!$A:$J,2,FALSE)</f>
        <v>Obesity</v>
      </c>
      <c r="E849">
        <f>VLOOKUP($A849,'Medical Examinations'!$A:$J,4,FALSE)</f>
        <v>11</v>
      </c>
      <c r="F849" t="str">
        <f>VLOOKUP($A849,'Medical Examinations'!$A:$J,6,FALSE)</f>
        <v>yes</v>
      </c>
      <c r="G849" t="str">
        <f>VLOOKUP($A849,'Medical Examinations'!$A:$J,7,FALSE)</f>
        <v>No</v>
      </c>
      <c r="H849" t="str">
        <f>VLOOKUP($A849,'Medical Examinations'!$A:$J,8,FALSE)</f>
        <v>Yes</v>
      </c>
      <c r="I849">
        <f>VLOOKUP($A849,'Medical Examinations'!$A:$J,9,FALSE)</f>
        <v>1</v>
      </c>
      <c r="J849" t="str">
        <f>VLOOKUP($A849,'Medical Examinations'!$A:$J,10,FALSE)</f>
        <v>No</v>
      </c>
      <c r="K849" t="str">
        <f>VLOOKUP($A849,'Medical Examinations'!$A:$J,5,FALSE)</f>
        <v>Diabetes</v>
      </c>
      <c r="L849">
        <f>VLOOKUP($A850,'Medical Examinations'!$A:$J,3,FALSE)</f>
        <v>26.79</v>
      </c>
      <c r="M849">
        <f>VLOOKUP($A849,'Hospitalisation Details'!$A:$K,6,FALSE)</f>
        <v>12622.18</v>
      </c>
      <c r="N849" s="11">
        <f>VLOOKUP($B849,'Hospitalisation Details'!A848:J3192,10,0)</f>
        <v>30195</v>
      </c>
      <c r="O849" t="str">
        <f>VLOOKUP($B849,'Hospitalisation Details'!A848:J3192,8,0)</f>
        <v>tier - 1</v>
      </c>
      <c r="P849" t="str">
        <f>VLOOKUP($B849,'Hospitalisation Details'!A848:J3192,7,0)</f>
        <v>tier - 2</v>
      </c>
      <c r="Q849" t="str">
        <f>VLOOKUP($B849,'Hospitalisation Details'!A848:J3192,9,0)</f>
        <v>R1013</v>
      </c>
      <c r="R849">
        <f>VLOOKUP($B849,'Hospitalisation Details'!A848:K3192,11,0)</f>
        <v>40</v>
      </c>
    </row>
    <row r="850" spans="1:18" x14ac:dyDescent="0.35">
      <c r="A850" t="s">
        <v>1522</v>
      </c>
      <c r="B850" t="s">
        <v>881</v>
      </c>
      <c r="C850" t="str">
        <f>VLOOKUP($A850,'Customer Names'!$A:$E,4,FALSE)</f>
        <v>Alex</v>
      </c>
      <c r="D850" t="str">
        <f>VLOOKUP($A850,'Medical Examinations'!$A:$J,2,FALSE)</f>
        <v>Overweight</v>
      </c>
      <c r="E850">
        <f>VLOOKUP($A850,'Medical Examinations'!$A:$J,4,FALSE)</f>
        <v>5.0599999999999996</v>
      </c>
      <c r="F850" t="str">
        <f>VLOOKUP($A850,'Medical Examinations'!$A:$J,6,FALSE)</f>
        <v>No</v>
      </c>
      <c r="G850" t="str">
        <f>VLOOKUP($A850,'Medical Examinations'!$A:$J,7,FALSE)</f>
        <v>No</v>
      </c>
      <c r="H850" t="str">
        <f>VLOOKUP($A850,'Medical Examinations'!$A:$J,8,FALSE)</f>
        <v>No</v>
      </c>
      <c r="I850">
        <f>VLOOKUP($A850,'Medical Examinations'!$A:$J,9,FALSE)</f>
        <v>1</v>
      </c>
      <c r="J850" t="str">
        <f>VLOOKUP($A850,'Medical Examinations'!$A:$J,10,FALSE)</f>
        <v>No</v>
      </c>
      <c r="K850" t="str">
        <f>VLOOKUP($A850,'Medical Examinations'!$A:$J,5,FALSE)</f>
        <v>Normal</v>
      </c>
      <c r="L850">
        <f>VLOOKUP($A851,'Medical Examinations'!$A:$J,3,FALSE)</f>
        <v>42.78</v>
      </c>
      <c r="M850">
        <f>VLOOKUP($A850,'Hospitalisation Details'!$A:$K,6,FALSE)</f>
        <v>12609.89</v>
      </c>
      <c r="N850" s="11">
        <f>VLOOKUP($B850,'Hospitalisation Details'!A849:J3193,10,0)</f>
        <v>25390</v>
      </c>
      <c r="O850" t="str">
        <f>VLOOKUP($B850,'Hospitalisation Details'!A849:J3193,8,0)</f>
        <v>tier - 3</v>
      </c>
      <c r="P850" t="str">
        <f>VLOOKUP($B850,'Hospitalisation Details'!A849:J3193,7,0)</f>
        <v>tier - 2</v>
      </c>
      <c r="Q850" t="str">
        <f>VLOOKUP($B850,'Hospitalisation Details'!A849:J3193,9,0)</f>
        <v>R1013</v>
      </c>
      <c r="R850">
        <f>VLOOKUP($B850,'Hospitalisation Details'!A849:K3193,11,0)</f>
        <v>53</v>
      </c>
    </row>
    <row r="851" spans="1:18" x14ac:dyDescent="0.35">
      <c r="A851" t="s">
        <v>1521</v>
      </c>
      <c r="B851" t="s">
        <v>882</v>
      </c>
      <c r="C851" t="str">
        <f>VLOOKUP($A851,'Customer Names'!$A:$E,4,FALSE)</f>
        <v>Spencer</v>
      </c>
      <c r="D851" t="str">
        <f>VLOOKUP($A851,'Medical Examinations'!$A:$J,2,FALSE)</f>
        <v>Obesity</v>
      </c>
      <c r="E851">
        <f>VLOOKUP($A851,'Medical Examinations'!$A:$J,4,FALSE)</f>
        <v>6.11</v>
      </c>
      <c r="F851" t="str">
        <f>VLOOKUP($A851,'Medical Examinations'!$A:$J,6,FALSE)</f>
        <v>yes</v>
      </c>
      <c r="G851" t="str">
        <f>VLOOKUP($A851,'Medical Examinations'!$A:$J,7,FALSE)</f>
        <v>No</v>
      </c>
      <c r="H851" t="str">
        <f>VLOOKUP($A851,'Medical Examinations'!$A:$J,8,FALSE)</f>
        <v>No</v>
      </c>
      <c r="I851">
        <f>VLOOKUP($A851,'Medical Examinations'!$A:$J,9,FALSE)</f>
        <v>1</v>
      </c>
      <c r="J851" t="str">
        <f>VLOOKUP($A851,'Medical Examinations'!$A:$J,10,FALSE)</f>
        <v>No</v>
      </c>
      <c r="K851" t="str">
        <f>VLOOKUP($A851,'Medical Examinations'!$A:$J,5,FALSE)</f>
        <v>Prediabetes</v>
      </c>
      <c r="L851">
        <f>VLOOKUP($A852,'Medical Examinations'!$A:$J,3,FALSE)</f>
        <v>46.75</v>
      </c>
      <c r="M851">
        <f>VLOOKUP($A851,'Hospitalisation Details'!$A:$K,6,FALSE)</f>
        <v>12600.46</v>
      </c>
      <c r="N851" s="11">
        <f>VLOOKUP($B851,'Hospitalisation Details'!A850:J3194,10,0)</f>
        <v>28643</v>
      </c>
      <c r="O851" t="str">
        <f>VLOOKUP($B851,'Hospitalisation Details'!A850:J3194,8,0)</f>
        <v>tier - 2</v>
      </c>
      <c r="P851" t="str">
        <f>VLOOKUP($B851,'Hospitalisation Details'!A850:J3194,7,0)</f>
        <v>tier - 2</v>
      </c>
      <c r="Q851" t="str">
        <f>VLOOKUP($B851,'Hospitalisation Details'!A850:J3194,9,0)</f>
        <v>R1013</v>
      </c>
      <c r="R851">
        <f>VLOOKUP($B851,'Hospitalisation Details'!A850:K3194,11,0)</f>
        <v>45</v>
      </c>
    </row>
    <row r="852" spans="1:18" x14ac:dyDescent="0.35">
      <c r="A852" t="s">
        <v>1520</v>
      </c>
      <c r="B852" t="s">
        <v>883</v>
      </c>
      <c r="C852" t="str">
        <f>VLOOKUP($A852,'Customer Names'!$A:$E,4,FALSE)</f>
        <v>Andee W.</v>
      </c>
      <c r="D852" t="str">
        <f>VLOOKUP($A852,'Medical Examinations'!$A:$J,2,FALSE)</f>
        <v>Obesity</v>
      </c>
      <c r="E852">
        <f>VLOOKUP($A852,'Medical Examinations'!$A:$J,4,FALSE)</f>
        <v>6.66</v>
      </c>
      <c r="F852" t="str">
        <f>VLOOKUP($A852,'Medical Examinations'!$A:$J,6,FALSE)</f>
        <v>yes</v>
      </c>
      <c r="G852" t="str">
        <f>VLOOKUP($A852,'Medical Examinations'!$A:$J,7,FALSE)</f>
        <v>No</v>
      </c>
      <c r="H852" t="str">
        <f>VLOOKUP($A852,'Medical Examinations'!$A:$J,8,FALSE)</f>
        <v>No</v>
      </c>
      <c r="I852">
        <f>VLOOKUP($A852,'Medical Examinations'!$A:$J,9,FALSE)</f>
        <v>2</v>
      </c>
      <c r="J852" t="str">
        <f>VLOOKUP($A852,'Medical Examinations'!$A:$J,10,FALSE)</f>
        <v>No</v>
      </c>
      <c r="K852" t="str">
        <f>VLOOKUP($A852,'Medical Examinations'!$A:$J,5,FALSE)</f>
        <v>Diabetes</v>
      </c>
      <c r="L852">
        <f>VLOOKUP($A853,'Medical Examinations'!$A:$J,3,FALSE)</f>
        <v>32.15</v>
      </c>
      <c r="M852">
        <f>VLOOKUP($A852,'Hospitalisation Details'!$A:$K,6,FALSE)</f>
        <v>12592.53</v>
      </c>
      <c r="N852" s="11">
        <f>VLOOKUP($B852,'Hospitalisation Details'!A851:J3195,10,0)</f>
        <v>35001</v>
      </c>
      <c r="O852" t="str">
        <f>VLOOKUP($B852,'Hospitalisation Details'!A851:J3195,8,0)</f>
        <v>tier - 3</v>
      </c>
      <c r="P852" t="str">
        <f>VLOOKUP($B852,'Hospitalisation Details'!A851:J3195,7,0)</f>
        <v>tier - 2</v>
      </c>
      <c r="Q852" t="str">
        <f>VLOOKUP($B852,'Hospitalisation Details'!A851:J3195,9,0)</f>
        <v>R1012</v>
      </c>
      <c r="R852">
        <f>VLOOKUP($B852,'Hospitalisation Details'!A851:K3195,11,0)</f>
        <v>27</v>
      </c>
    </row>
    <row r="853" spans="1:18" x14ac:dyDescent="0.35">
      <c r="A853" t="s">
        <v>1519</v>
      </c>
      <c r="B853" t="s">
        <v>884</v>
      </c>
      <c r="C853" t="str">
        <f>VLOOKUP($A853,'Customer Names'!$A:$E,4,FALSE)</f>
        <v>Amy</v>
      </c>
      <c r="D853" t="str">
        <f>VLOOKUP($A853,'Medical Examinations'!$A:$J,2,FALSE)</f>
        <v>Obesity</v>
      </c>
      <c r="E853">
        <f>VLOOKUP($A853,'Medical Examinations'!$A:$J,4,FALSE)</f>
        <v>4.0199999999999996</v>
      </c>
      <c r="F853" t="str">
        <f>VLOOKUP($A853,'Medical Examinations'!$A:$J,6,FALSE)</f>
        <v>yes</v>
      </c>
      <c r="G853" t="str">
        <f>VLOOKUP($A853,'Medical Examinations'!$A:$J,7,FALSE)</f>
        <v>No</v>
      </c>
      <c r="H853" t="str">
        <f>VLOOKUP($A853,'Medical Examinations'!$A:$J,8,FALSE)</f>
        <v>Yes</v>
      </c>
      <c r="I853">
        <f>VLOOKUP($A853,'Medical Examinations'!$A:$J,9,FALSE)</f>
        <v>1</v>
      </c>
      <c r="J853" t="str">
        <f>VLOOKUP($A853,'Medical Examinations'!$A:$J,10,FALSE)</f>
        <v>No</v>
      </c>
      <c r="K853" t="str">
        <f>VLOOKUP($A853,'Medical Examinations'!$A:$J,5,FALSE)</f>
        <v>Normal</v>
      </c>
      <c r="L853">
        <f>VLOOKUP($A854,'Medical Examinations'!$A:$J,3,FALSE)</f>
        <v>43.4</v>
      </c>
      <c r="M853">
        <f>VLOOKUP($A853,'Hospitalisation Details'!$A:$K,6,FALSE)</f>
        <v>12579.92</v>
      </c>
      <c r="N853" s="11">
        <f>VLOOKUP($B853,'Hospitalisation Details'!A852:J3196,10,0)</f>
        <v>29428</v>
      </c>
      <c r="O853" t="str">
        <f>VLOOKUP($B853,'Hospitalisation Details'!A852:J3196,8,0)</f>
        <v>tier - 1</v>
      </c>
      <c r="P853" t="str">
        <f>VLOOKUP($B853,'Hospitalisation Details'!A852:J3196,7,0)</f>
        <v>tier - 2</v>
      </c>
      <c r="Q853" t="str">
        <f>VLOOKUP($B853,'Hospitalisation Details'!A852:J3196,9,0)</f>
        <v>R1011</v>
      </c>
      <c r="R853">
        <f>VLOOKUP($B853,'Hospitalisation Details'!A852:K3196,11,0)</f>
        <v>42</v>
      </c>
    </row>
    <row r="854" spans="1:18" x14ac:dyDescent="0.35">
      <c r="A854" t="s">
        <v>1518</v>
      </c>
      <c r="B854" t="s">
        <v>885</v>
      </c>
      <c r="C854" t="str">
        <f>VLOOKUP($A854,'Customer Names'!$A:$E,4,FALSE)</f>
        <v>Joshua</v>
      </c>
      <c r="D854" t="str">
        <f>VLOOKUP($A854,'Medical Examinations'!$A:$J,2,FALSE)</f>
        <v>Obesity</v>
      </c>
      <c r="E854">
        <f>VLOOKUP($A854,'Medical Examinations'!$A:$J,4,FALSE)</f>
        <v>8.81</v>
      </c>
      <c r="F854" t="str">
        <f>VLOOKUP($A854,'Medical Examinations'!$A:$J,6,FALSE)</f>
        <v>yes</v>
      </c>
      <c r="G854" t="str">
        <f>VLOOKUP($A854,'Medical Examinations'!$A:$J,7,FALSE)</f>
        <v>No</v>
      </c>
      <c r="H854" t="str">
        <f>VLOOKUP($A854,'Medical Examinations'!$A:$J,8,FALSE)</f>
        <v>No</v>
      </c>
      <c r="I854">
        <f>VLOOKUP($A854,'Medical Examinations'!$A:$J,9,FALSE)</f>
        <v>2</v>
      </c>
      <c r="J854" t="str">
        <f>VLOOKUP($A854,'Medical Examinations'!$A:$J,10,FALSE)</f>
        <v>No</v>
      </c>
      <c r="K854" t="str">
        <f>VLOOKUP($A854,'Medical Examinations'!$A:$J,5,FALSE)</f>
        <v>Diabetes</v>
      </c>
      <c r="L854">
        <f>VLOOKUP($A855,'Medical Examinations'!$A:$J,3,FALSE)</f>
        <v>31.57</v>
      </c>
      <c r="M854">
        <f>VLOOKUP($A854,'Hospitalisation Details'!$A:$K,6,FALSE)</f>
        <v>12574.05</v>
      </c>
      <c r="N854" s="11">
        <f>VLOOKUP($B854,'Hospitalisation Details'!A853:J3197,10,0)</f>
        <v>29516</v>
      </c>
      <c r="O854" t="str">
        <f>VLOOKUP($B854,'Hospitalisation Details'!A853:J3197,8,0)</f>
        <v>tier - 3</v>
      </c>
      <c r="P854" t="str">
        <f>VLOOKUP($B854,'Hospitalisation Details'!A853:J3197,7,0)</f>
        <v>tier - 2</v>
      </c>
      <c r="Q854" t="str">
        <f>VLOOKUP($B854,'Hospitalisation Details'!A853:J3197,9,0)</f>
        <v>R1013</v>
      </c>
      <c r="R854">
        <f>VLOOKUP($B854,'Hospitalisation Details'!A853:K3197,11,0)</f>
        <v>42</v>
      </c>
    </row>
    <row r="855" spans="1:18" x14ac:dyDescent="0.35">
      <c r="A855" t="s">
        <v>1517</v>
      </c>
      <c r="B855" t="s">
        <v>886</v>
      </c>
      <c r="C855" t="str">
        <f>VLOOKUP($A855,'Customer Names'!$A:$E,4,FALSE)</f>
        <v>C Fred</v>
      </c>
      <c r="D855" t="str">
        <f>VLOOKUP($A855,'Medical Examinations'!$A:$J,2,FALSE)</f>
        <v>Obesity</v>
      </c>
      <c r="E855">
        <f>VLOOKUP($A855,'Medical Examinations'!$A:$J,4,FALSE)</f>
        <v>7.92</v>
      </c>
      <c r="F855" t="str">
        <f>VLOOKUP($A855,'Medical Examinations'!$A:$J,6,FALSE)</f>
        <v>yes</v>
      </c>
      <c r="G855" t="str">
        <f>VLOOKUP($A855,'Medical Examinations'!$A:$J,7,FALSE)</f>
        <v>No</v>
      </c>
      <c r="H855" t="str">
        <f>VLOOKUP($A855,'Medical Examinations'!$A:$J,8,FALSE)</f>
        <v>No</v>
      </c>
      <c r="I855">
        <f>VLOOKUP($A855,'Medical Examinations'!$A:$J,9,FALSE)</f>
        <v>2</v>
      </c>
      <c r="J855" t="str">
        <f>VLOOKUP($A855,'Medical Examinations'!$A:$J,10,FALSE)</f>
        <v>No</v>
      </c>
      <c r="K855" t="str">
        <f>VLOOKUP($A855,'Medical Examinations'!$A:$J,5,FALSE)</f>
        <v>Diabetes</v>
      </c>
      <c r="L855">
        <f>VLOOKUP($A856,'Medical Examinations'!$A:$J,3,FALSE)</f>
        <v>24.32</v>
      </c>
      <c r="M855">
        <f>VLOOKUP($A855,'Hospitalisation Details'!$A:$K,6,FALSE)</f>
        <v>12557.61</v>
      </c>
      <c r="N855" s="11">
        <f>VLOOKUP($B855,'Hospitalisation Details'!A854:J3198,10,0)</f>
        <v>29423</v>
      </c>
      <c r="O855" t="str">
        <f>VLOOKUP($B855,'Hospitalisation Details'!A854:J3198,8,0)</f>
        <v>tier - 1</v>
      </c>
      <c r="P855" t="str">
        <f>VLOOKUP($B855,'Hospitalisation Details'!A854:J3198,7,0)</f>
        <v>tier - 2</v>
      </c>
      <c r="Q855" t="str">
        <f>VLOOKUP($B855,'Hospitalisation Details'!A854:J3198,9,0)</f>
        <v>R1024</v>
      </c>
      <c r="R855">
        <f>VLOOKUP($B855,'Hospitalisation Details'!A854:K3198,11,0)</f>
        <v>42</v>
      </c>
    </row>
    <row r="856" spans="1:18" x14ac:dyDescent="0.35">
      <c r="A856" t="s">
        <v>1516</v>
      </c>
      <c r="B856" t="s">
        <v>887</v>
      </c>
      <c r="C856" t="str">
        <f>VLOOKUP($A856,'Customer Names'!$A:$E,4,FALSE)</f>
        <v>Jeremy</v>
      </c>
      <c r="D856" t="str">
        <f>VLOOKUP($A856,'Medical Examinations'!$A:$J,2,FALSE)</f>
        <v>Normal Weight</v>
      </c>
      <c r="E856">
        <f>VLOOKUP($A856,'Medical Examinations'!$A:$J,4,FALSE)</f>
        <v>7.48</v>
      </c>
      <c r="F856" t="str">
        <f>VLOOKUP($A856,'Medical Examinations'!$A:$J,6,FALSE)</f>
        <v>No</v>
      </c>
      <c r="G856" t="str">
        <f>VLOOKUP($A856,'Medical Examinations'!$A:$J,7,FALSE)</f>
        <v>No</v>
      </c>
      <c r="H856" t="str">
        <f>VLOOKUP($A856,'Medical Examinations'!$A:$J,8,FALSE)</f>
        <v>No</v>
      </c>
      <c r="I856">
        <f>VLOOKUP($A856,'Medical Examinations'!$A:$J,9,FALSE)</f>
        <v>0</v>
      </c>
      <c r="J856" t="str">
        <f>VLOOKUP($A856,'Medical Examinations'!$A:$J,10,FALSE)</f>
        <v>No</v>
      </c>
      <c r="K856" t="str">
        <f>VLOOKUP($A856,'Medical Examinations'!$A:$J,5,FALSE)</f>
        <v>Diabetes</v>
      </c>
      <c r="L856">
        <f>VLOOKUP($A857,'Medical Examinations'!$A:$J,3,FALSE)</f>
        <v>31.07</v>
      </c>
      <c r="M856">
        <f>VLOOKUP($A856,'Hospitalisation Details'!$A:$K,6,FALSE)</f>
        <v>12523.6</v>
      </c>
      <c r="N856" s="11">
        <f>VLOOKUP($B856,'Hospitalisation Details'!A855:J3199,10,0)</f>
        <v>29400</v>
      </c>
      <c r="O856" t="str">
        <f>VLOOKUP($B856,'Hospitalisation Details'!A855:J3199,8,0)</f>
        <v>tier - 3</v>
      </c>
      <c r="P856" t="str">
        <f>VLOOKUP($B856,'Hospitalisation Details'!A855:J3199,7,0)</f>
        <v>tier - 2</v>
      </c>
      <c r="Q856" t="str">
        <f>VLOOKUP($B856,'Hospitalisation Details'!A855:J3199,9,0)</f>
        <v>R1011</v>
      </c>
      <c r="R856">
        <f>VLOOKUP($B856,'Hospitalisation Details'!A855:K3199,11,0)</f>
        <v>42</v>
      </c>
    </row>
    <row r="857" spans="1:18" x14ac:dyDescent="0.35">
      <c r="A857" t="s">
        <v>1515</v>
      </c>
      <c r="B857" t="s">
        <v>888</v>
      </c>
      <c r="C857" t="str">
        <f>VLOOKUP($A857,'Customer Names'!$A:$E,4,FALSE)</f>
        <v>Patrick Sr.</v>
      </c>
      <c r="D857" t="str">
        <f>VLOOKUP($A857,'Medical Examinations'!$A:$J,2,FALSE)</f>
        <v>Obesity</v>
      </c>
      <c r="E857">
        <f>VLOOKUP($A857,'Medical Examinations'!$A:$J,4,FALSE)</f>
        <v>4.62</v>
      </c>
      <c r="F857" t="str">
        <f>VLOOKUP($A857,'Medical Examinations'!$A:$J,6,FALSE)</f>
        <v>yes</v>
      </c>
      <c r="G857" t="str">
        <f>VLOOKUP($A857,'Medical Examinations'!$A:$J,7,FALSE)</f>
        <v>No</v>
      </c>
      <c r="H857" t="str">
        <f>VLOOKUP($A857,'Medical Examinations'!$A:$J,8,FALSE)</f>
        <v>No</v>
      </c>
      <c r="I857">
        <f>VLOOKUP($A857,'Medical Examinations'!$A:$J,9,FALSE)</f>
        <v>2</v>
      </c>
      <c r="J857" t="str">
        <f>VLOOKUP($A857,'Medical Examinations'!$A:$J,10,FALSE)</f>
        <v>No</v>
      </c>
      <c r="K857" t="str">
        <f>VLOOKUP($A857,'Medical Examinations'!$A:$J,5,FALSE)</f>
        <v>Normal</v>
      </c>
      <c r="L857">
        <f>VLOOKUP($A858,'Medical Examinations'!$A:$J,3,FALSE)</f>
        <v>35.814999999999998</v>
      </c>
      <c r="M857">
        <f>VLOOKUP($A857,'Hospitalisation Details'!$A:$K,6,FALSE)</f>
        <v>12499.88</v>
      </c>
      <c r="N857" s="11">
        <f>VLOOKUP($B857,'Hospitalisation Details'!A856:J3200,10,0)</f>
        <v>28665</v>
      </c>
      <c r="O857" t="str">
        <f>VLOOKUP($B857,'Hospitalisation Details'!A856:J3200,8,0)</f>
        <v>tier - 2</v>
      </c>
      <c r="P857" t="str">
        <f>VLOOKUP($B857,'Hospitalisation Details'!A856:J3200,7,0)</f>
        <v>tier - 2</v>
      </c>
      <c r="Q857" t="str">
        <f>VLOOKUP($B857,'Hospitalisation Details'!A856:J3200,9,0)</f>
        <v>R1013</v>
      </c>
      <c r="R857">
        <f>VLOOKUP($B857,'Hospitalisation Details'!A856:K3200,11,0)</f>
        <v>44</v>
      </c>
    </row>
    <row r="858" spans="1:18" x14ac:dyDescent="0.35">
      <c r="A858" t="s">
        <v>1514</v>
      </c>
      <c r="B858" t="s">
        <v>889</v>
      </c>
      <c r="C858" t="str">
        <f>VLOOKUP($A858,'Customer Names'!$A:$E,4,FALSE)</f>
        <v>Kelly M.</v>
      </c>
      <c r="D858" t="str">
        <f>VLOOKUP($A858,'Medical Examinations'!$A:$J,2,FALSE)</f>
        <v>Obesity</v>
      </c>
      <c r="E858">
        <f>VLOOKUP($A858,'Medical Examinations'!$A:$J,4,FALSE)</f>
        <v>8.4700000000000006</v>
      </c>
      <c r="F858" t="str">
        <f>VLOOKUP($A858,'Medical Examinations'!$A:$J,6,FALSE)</f>
        <v>No</v>
      </c>
      <c r="G858" t="str">
        <f>VLOOKUP($A858,'Medical Examinations'!$A:$J,7,FALSE)</f>
        <v>No</v>
      </c>
      <c r="H858" t="str">
        <f>VLOOKUP($A858,'Medical Examinations'!$A:$J,8,FALSE)</f>
        <v>No</v>
      </c>
      <c r="I858">
        <f>VLOOKUP($A858,'Medical Examinations'!$A:$J,9,FALSE)</f>
        <v>0</v>
      </c>
      <c r="J858" t="str">
        <f>VLOOKUP($A858,'Medical Examinations'!$A:$J,10,FALSE)</f>
        <v>No</v>
      </c>
      <c r="K858" t="str">
        <f>VLOOKUP($A858,'Medical Examinations'!$A:$J,5,FALSE)</f>
        <v>Diabetes</v>
      </c>
      <c r="L858">
        <f>VLOOKUP($A859,'Medical Examinations'!$A:$J,3,FALSE)</f>
        <v>40.81</v>
      </c>
      <c r="M858">
        <f>VLOOKUP($A858,'Hospitalisation Details'!$A:$K,6,FALSE)</f>
        <v>12495.29</v>
      </c>
      <c r="N858" s="11">
        <f>VLOOKUP($B858,'Hospitalisation Details'!A857:J3201,10,0)</f>
        <v>30230</v>
      </c>
      <c r="O858" t="str">
        <f>VLOOKUP($B858,'Hospitalisation Details'!A857:J3201,8,0)</f>
        <v>tier - 3</v>
      </c>
      <c r="P858" t="str">
        <f>VLOOKUP($B858,'Hospitalisation Details'!A857:J3201,7,0)</f>
        <v>tier - 2</v>
      </c>
      <c r="Q858" t="str">
        <f>VLOOKUP($B858,'Hospitalisation Details'!A857:J3201,9,0)</f>
        <v>R1024</v>
      </c>
      <c r="R858">
        <f>VLOOKUP($B858,'Hospitalisation Details'!A857:K3201,11,0)</f>
        <v>40</v>
      </c>
    </row>
    <row r="859" spans="1:18" x14ac:dyDescent="0.35">
      <c r="A859" t="s">
        <v>1513</v>
      </c>
      <c r="B859" t="s">
        <v>890</v>
      </c>
      <c r="C859" t="str">
        <f>VLOOKUP($A859,'Customer Names'!$A:$E,4,FALSE)</f>
        <v>Katherine</v>
      </c>
      <c r="D859" t="str">
        <f>VLOOKUP($A859,'Medical Examinations'!$A:$J,2,FALSE)</f>
        <v>Obesity</v>
      </c>
      <c r="E859">
        <f>VLOOKUP($A859,'Medical Examinations'!$A:$J,4,FALSE)</f>
        <v>10.58</v>
      </c>
      <c r="F859" t="str">
        <f>VLOOKUP($A859,'Medical Examinations'!$A:$J,6,FALSE)</f>
        <v>yes</v>
      </c>
      <c r="G859" t="str">
        <f>VLOOKUP($A859,'Medical Examinations'!$A:$J,7,FALSE)</f>
        <v>No</v>
      </c>
      <c r="H859" t="str">
        <f>VLOOKUP($A859,'Medical Examinations'!$A:$J,8,FALSE)</f>
        <v>No</v>
      </c>
      <c r="I859">
        <f>VLOOKUP($A859,'Medical Examinations'!$A:$J,9,FALSE)</f>
        <v>0</v>
      </c>
      <c r="J859" t="str">
        <f>VLOOKUP($A859,'Medical Examinations'!$A:$J,10,FALSE)</f>
        <v>No</v>
      </c>
      <c r="K859" t="str">
        <f>VLOOKUP($A859,'Medical Examinations'!$A:$J,5,FALSE)</f>
        <v>Diabetes</v>
      </c>
      <c r="L859">
        <f>VLOOKUP($A860,'Medical Examinations'!$A:$J,3,FALSE)</f>
        <v>24.605</v>
      </c>
      <c r="M859">
        <f>VLOOKUP($A859,'Hospitalisation Details'!$A:$K,6,FALSE)</f>
        <v>12485.8</v>
      </c>
      <c r="N859" s="11">
        <f>VLOOKUP($B859,'Hospitalisation Details'!A858:J3202,10,0)</f>
        <v>33773</v>
      </c>
      <c r="O859" t="str">
        <f>VLOOKUP($B859,'Hospitalisation Details'!A858:J3202,8,0)</f>
        <v>tier - 2</v>
      </c>
      <c r="P859" t="str">
        <f>VLOOKUP($B859,'Hospitalisation Details'!A858:J3202,7,0)</f>
        <v>tier - 2</v>
      </c>
      <c r="Q859" t="str">
        <f>VLOOKUP($B859,'Hospitalisation Details'!A858:J3202,9,0)</f>
        <v>R1012</v>
      </c>
      <c r="R859">
        <f>VLOOKUP($B859,'Hospitalisation Details'!A858:K3202,11,0)</f>
        <v>30</v>
      </c>
    </row>
    <row r="860" spans="1:18" x14ac:dyDescent="0.35">
      <c r="A860" t="s">
        <v>1512</v>
      </c>
      <c r="B860" t="s">
        <v>891</v>
      </c>
      <c r="C860" t="str">
        <f>VLOOKUP($A860,'Customer Names'!$A:$E,4,FALSE)</f>
        <v>Keila L</v>
      </c>
      <c r="D860" t="str">
        <f>VLOOKUP($A860,'Medical Examinations'!$A:$J,2,FALSE)</f>
        <v>Normal Weight</v>
      </c>
      <c r="E860">
        <f>VLOOKUP($A860,'Medical Examinations'!$A:$J,4,FALSE)</f>
        <v>7.48</v>
      </c>
      <c r="F860" t="str">
        <f>VLOOKUP($A860,'Medical Examinations'!$A:$J,6,FALSE)</f>
        <v>No</v>
      </c>
      <c r="G860" t="str">
        <f>VLOOKUP($A860,'Medical Examinations'!$A:$J,7,FALSE)</f>
        <v>No</v>
      </c>
      <c r="H860" t="str">
        <f>VLOOKUP($A860,'Medical Examinations'!$A:$J,8,FALSE)</f>
        <v>No</v>
      </c>
      <c r="I860">
        <f>VLOOKUP($A860,'Medical Examinations'!$A:$J,9,FALSE)</f>
        <v>0</v>
      </c>
      <c r="J860" t="str">
        <f>VLOOKUP($A860,'Medical Examinations'!$A:$J,10,FALSE)</f>
        <v>No</v>
      </c>
      <c r="K860" t="str">
        <f>VLOOKUP($A860,'Medical Examinations'!$A:$J,5,FALSE)</f>
        <v>Diabetes</v>
      </c>
      <c r="L860">
        <f>VLOOKUP($A861,'Medical Examinations'!$A:$J,3,FALSE)</f>
        <v>21.47</v>
      </c>
      <c r="M860">
        <f>VLOOKUP($A860,'Hospitalisation Details'!$A:$K,6,FALSE)</f>
        <v>12479.71</v>
      </c>
      <c r="N860" s="11">
        <f>VLOOKUP($B860,'Hospitalisation Details'!A859:J3203,10,0)</f>
        <v>32000</v>
      </c>
      <c r="O860" t="str">
        <f>VLOOKUP($B860,'Hospitalisation Details'!A859:J3203,8,0)</f>
        <v>tier - 1</v>
      </c>
      <c r="P860" t="str">
        <f>VLOOKUP($B860,'Hospitalisation Details'!A859:J3203,7,0)</f>
        <v>tier - 2</v>
      </c>
      <c r="Q860" t="str">
        <f>VLOOKUP($B860,'Hospitalisation Details'!A859:J3203,9,0)</f>
        <v>R1012</v>
      </c>
      <c r="R860">
        <f>VLOOKUP($B860,'Hospitalisation Details'!A859:K3203,11,0)</f>
        <v>35</v>
      </c>
    </row>
    <row r="861" spans="1:18" x14ac:dyDescent="0.35">
      <c r="A861" t="s">
        <v>1511</v>
      </c>
      <c r="B861" t="s">
        <v>892</v>
      </c>
      <c r="C861" t="str">
        <f>VLOOKUP($A861,'Customer Names'!$A:$E,4,FALSE)</f>
        <v>Zanae E</v>
      </c>
      <c r="D861" t="str">
        <f>VLOOKUP($A861,'Medical Examinations'!$A:$J,2,FALSE)</f>
        <v>Normal Weight</v>
      </c>
      <c r="E861">
        <f>VLOOKUP($A861,'Medical Examinations'!$A:$J,4,FALSE)</f>
        <v>7.82</v>
      </c>
      <c r="F861" t="str">
        <f>VLOOKUP($A861,'Medical Examinations'!$A:$J,6,FALSE)</f>
        <v>No</v>
      </c>
      <c r="G861" t="str">
        <f>VLOOKUP($A861,'Medical Examinations'!$A:$J,7,FALSE)</f>
        <v>No</v>
      </c>
      <c r="H861" t="str">
        <f>VLOOKUP($A861,'Medical Examinations'!$A:$J,8,FALSE)</f>
        <v>No</v>
      </c>
      <c r="I861">
        <f>VLOOKUP($A861,'Medical Examinations'!$A:$J,9,FALSE)</f>
        <v>0</v>
      </c>
      <c r="J861" t="str">
        <f>VLOOKUP($A861,'Medical Examinations'!$A:$J,10,FALSE)</f>
        <v>No</v>
      </c>
      <c r="K861" t="str">
        <f>VLOOKUP($A861,'Medical Examinations'!$A:$J,5,FALSE)</f>
        <v>Diabetes</v>
      </c>
      <c r="L861">
        <f>VLOOKUP($A862,'Medical Examinations'!$A:$J,3,FALSE)</f>
        <v>52.89</v>
      </c>
      <c r="M861">
        <f>VLOOKUP($A861,'Hospitalisation Details'!$A:$K,6,FALSE)</f>
        <v>12475.35</v>
      </c>
      <c r="N861" s="11">
        <f>VLOOKUP($B861,'Hospitalisation Details'!A860:J3204,10,0)</f>
        <v>25018</v>
      </c>
      <c r="O861" t="str">
        <f>VLOOKUP($B861,'Hospitalisation Details'!A860:J3204,8,0)</f>
        <v>tier - 2</v>
      </c>
      <c r="P861" t="str">
        <f>VLOOKUP($B861,'Hospitalisation Details'!A860:J3204,7,0)</f>
        <v>tier - 3</v>
      </c>
      <c r="Q861" t="str">
        <f>VLOOKUP($B861,'Hospitalisation Details'!A860:J3204,9,0)</f>
        <v>R1013</v>
      </c>
      <c r="R861">
        <f>VLOOKUP($B861,'Hospitalisation Details'!A860:K3204,11,0)</f>
        <v>54</v>
      </c>
    </row>
    <row r="862" spans="1:18" x14ac:dyDescent="0.35">
      <c r="A862" t="s">
        <v>1510</v>
      </c>
      <c r="B862" t="s">
        <v>893</v>
      </c>
      <c r="C862" t="str">
        <f>VLOOKUP($A862,'Customer Names'!$A:$E,4,FALSE)</f>
        <v>Alex</v>
      </c>
      <c r="D862" t="str">
        <f>VLOOKUP($A862,'Medical Examinations'!$A:$J,2,FALSE)</f>
        <v>Obesity</v>
      </c>
      <c r="E862">
        <f>VLOOKUP($A862,'Medical Examinations'!$A:$J,4,FALSE)</f>
        <v>4.96</v>
      </c>
      <c r="F862" t="str">
        <f>VLOOKUP($A862,'Medical Examinations'!$A:$J,6,FALSE)</f>
        <v>yes</v>
      </c>
      <c r="G862" t="str">
        <f>VLOOKUP($A862,'Medical Examinations'!$A:$J,7,FALSE)</f>
        <v>No</v>
      </c>
      <c r="H862" t="str">
        <f>VLOOKUP($A862,'Medical Examinations'!$A:$J,8,FALSE)</f>
        <v>No</v>
      </c>
      <c r="I862">
        <f>VLOOKUP($A862,'Medical Examinations'!$A:$J,9,FALSE)</f>
        <v>1</v>
      </c>
      <c r="J862" t="str">
        <f>VLOOKUP($A862,'Medical Examinations'!$A:$J,10,FALSE)</f>
        <v>No</v>
      </c>
      <c r="K862" t="str">
        <f>VLOOKUP($A862,'Medical Examinations'!$A:$J,5,FALSE)</f>
        <v>Normal</v>
      </c>
      <c r="L862">
        <f>VLOOKUP($A863,'Medical Examinations'!$A:$J,3,FALSE)</f>
        <v>32.965000000000003</v>
      </c>
      <c r="M862">
        <f>VLOOKUP($A862,'Hospitalisation Details'!$A:$K,6,FALSE)</f>
        <v>12452.25</v>
      </c>
      <c r="N862" s="11">
        <f>VLOOKUP($B862,'Hospitalisation Details'!A861:J3205,10,0)</f>
        <v>34182</v>
      </c>
      <c r="O862" t="str">
        <f>VLOOKUP($B862,'Hospitalisation Details'!A861:J3205,8,0)</f>
        <v>tier - 2</v>
      </c>
      <c r="P862" t="str">
        <f>VLOOKUP($B862,'Hospitalisation Details'!A861:J3205,7,0)</f>
        <v>tier - 2</v>
      </c>
      <c r="Q862" t="str">
        <f>VLOOKUP($B862,'Hospitalisation Details'!A861:J3205,9,0)</f>
        <v>R1021</v>
      </c>
      <c r="R862">
        <f>VLOOKUP($B862,'Hospitalisation Details'!A861:K3205,11,0)</f>
        <v>29</v>
      </c>
    </row>
    <row r="863" spans="1:18" x14ac:dyDescent="0.35">
      <c r="A863" t="s">
        <v>1509</v>
      </c>
      <c r="B863" t="s">
        <v>894</v>
      </c>
      <c r="C863" t="str">
        <f>VLOOKUP($A863,'Customer Names'!$A:$E,4,FALSE)</f>
        <v>Kathryn</v>
      </c>
      <c r="D863" t="str">
        <f>VLOOKUP($A863,'Medical Examinations'!$A:$J,2,FALSE)</f>
        <v>Obesity</v>
      </c>
      <c r="E863">
        <f>VLOOKUP($A863,'Medical Examinations'!$A:$J,4,FALSE)</f>
        <v>6.15</v>
      </c>
      <c r="F863" t="str">
        <f>VLOOKUP($A863,'Medical Examinations'!$A:$J,6,FALSE)</f>
        <v>yes</v>
      </c>
      <c r="G863" t="str">
        <f>VLOOKUP($A863,'Medical Examinations'!$A:$J,7,FALSE)</f>
        <v>No</v>
      </c>
      <c r="H863" t="str">
        <f>VLOOKUP($A863,'Medical Examinations'!$A:$J,8,FALSE)</f>
        <v>No</v>
      </c>
      <c r="I863">
        <f>VLOOKUP($A863,'Medical Examinations'!$A:$J,9,FALSE)</f>
        <v>1</v>
      </c>
      <c r="J863" t="str">
        <f>VLOOKUP($A863,'Medical Examinations'!$A:$J,10,FALSE)</f>
        <v>No</v>
      </c>
      <c r="K863" t="str">
        <f>VLOOKUP($A863,'Medical Examinations'!$A:$J,5,FALSE)</f>
        <v>Prediabetes</v>
      </c>
      <c r="L863">
        <f>VLOOKUP($A864,'Medical Examinations'!$A:$J,3,FALSE)</f>
        <v>36.799999999999997</v>
      </c>
      <c r="M863">
        <f>VLOOKUP($A863,'Hospitalisation Details'!$A:$K,6,FALSE)</f>
        <v>12430.95</v>
      </c>
      <c r="N863" s="11">
        <f>VLOOKUP($B863,'Hospitalisation Details'!A862:J3206,10,0)</f>
        <v>30870</v>
      </c>
      <c r="O863" t="str">
        <f>VLOOKUP($B863,'Hospitalisation Details'!A862:J3206,8,0)</f>
        <v>tier - 1</v>
      </c>
      <c r="P863" t="str">
        <f>VLOOKUP($B863,'Hospitalisation Details'!A862:J3206,7,0)</f>
        <v>tier - 2</v>
      </c>
      <c r="Q863" t="str">
        <f>VLOOKUP($B863,'Hospitalisation Details'!A862:J3206,9,0)</f>
        <v>R1024</v>
      </c>
      <c r="R863">
        <f>VLOOKUP($B863,'Hospitalisation Details'!A862:K3206,11,0)</f>
        <v>38</v>
      </c>
    </row>
    <row r="864" spans="1:18" x14ac:dyDescent="0.35">
      <c r="A864" t="s">
        <v>1508</v>
      </c>
      <c r="B864" t="s">
        <v>895</v>
      </c>
      <c r="C864" t="str">
        <f>VLOOKUP($A864,'Customer Names'!$A:$E,4,FALSE)</f>
        <v>Jason L.</v>
      </c>
      <c r="D864" t="str">
        <f>VLOOKUP($A864,'Medical Examinations'!$A:$J,2,FALSE)</f>
        <v>Obesity</v>
      </c>
      <c r="E864">
        <f>VLOOKUP($A864,'Medical Examinations'!$A:$J,4,FALSE)</f>
        <v>4.62</v>
      </c>
      <c r="F864" t="str">
        <f>VLOOKUP($A864,'Medical Examinations'!$A:$J,6,FALSE)</f>
        <v>No</v>
      </c>
      <c r="G864" t="str">
        <f>VLOOKUP($A864,'Medical Examinations'!$A:$J,7,FALSE)</f>
        <v>No</v>
      </c>
      <c r="H864" t="str">
        <f>VLOOKUP($A864,'Medical Examinations'!$A:$J,8,FALSE)</f>
        <v>Yes</v>
      </c>
      <c r="I864">
        <f>VLOOKUP($A864,'Medical Examinations'!$A:$J,9,FALSE)</f>
        <v>1</v>
      </c>
      <c r="J864" t="str">
        <f>VLOOKUP($A864,'Medical Examinations'!$A:$J,10,FALSE)</f>
        <v>No</v>
      </c>
      <c r="K864" t="str">
        <f>VLOOKUP($A864,'Medical Examinations'!$A:$J,5,FALSE)</f>
        <v>Normal</v>
      </c>
      <c r="L864">
        <f>VLOOKUP($A865,'Medical Examinations'!$A:$J,3,FALSE)</f>
        <v>34.299999999999997</v>
      </c>
      <c r="M864">
        <f>VLOOKUP($A864,'Hospitalisation Details'!$A:$K,6,FALSE)</f>
        <v>12408.29</v>
      </c>
      <c r="N864" s="11">
        <f>VLOOKUP($B864,'Hospitalisation Details'!A863:J3207,10,0)</f>
        <v>36380</v>
      </c>
      <c r="O864" t="str">
        <f>VLOOKUP($B864,'Hospitalisation Details'!A863:J3207,8,0)</f>
        <v>tier - 1</v>
      </c>
      <c r="P864" t="str">
        <f>VLOOKUP($B864,'Hospitalisation Details'!A863:J3207,7,0)</f>
        <v>tier - 2</v>
      </c>
      <c r="Q864" t="str">
        <f>VLOOKUP($B864,'Hospitalisation Details'!A863:J3207,9,0)</f>
        <v>R1022</v>
      </c>
      <c r="R864">
        <f>VLOOKUP($B864,'Hospitalisation Details'!A863:K3207,11,0)</f>
        <v>23</v>
      </c>
    </row>
    <row r="865" spans="1:18" x14ac:dyDescent="0.35">
      <c r="A865" t="s">
        <v>1507</v>
      </c>
      <c r="B865" t="s">
        <v>896</v>
      </c>
      <c r="C865" t="str">
        <f>VLOOKUP($A865,'Customer Names'!$A:$E,4,FALSE)</f>
        <v>Benjamin J.</v>
      </c>
      <c r="D865" t="str">
        <f>VLOOKUP($A865,'Medical Examinations'!$A:$J,2,FALSE)</f>
        <v>Obesity</v>
      </c>
      <c r="E865">
        <f>VLOOKUP($A865,'Medical Examinations'!$A:$J,4,FALSE)</f>
        <v>4.87</v>
      </c>
      <c r="F865" t="str">
        <f>VLOOKUP($A865,'Medical Examinations'!$A:$J,6,FALSE)</f>
        <v>No</v>
      </c>
      <c r="G865" t="str">
        <f>VLOOKUP($A865,'Medical Examinations'!$A:$J,7,FALSE)</f>
        <v>No</v>
      </c>
      <c r="H865" t="str">
        <f>VLOOKUP($A865,'Medical Examinations'!$A:$J,8,FALSE)</f>
        <v>No</v>
      </c>
      <c r="I865">
        <f>VLOOKUP($A865,'Medical Examinations'!$A:$J,9,FALSE)</f>
        <v>2</v>
      </c>
      <c r="J865" t="str">
        <f>VLOOKUP($A865,'Medical Examinations'!$A:$J,10,FALSE)</f>
        <v>No</v>
      </c>
      <c r="K865" t="str">
        <f>VLOOKUP($A865,'Medical Examinations'!$A:$J,5,FALSE)</f>
        <v>Normal</v>
      </c>
      <c r="L865">
        <f>VLOOKUP($A866,'Medical Examinations'!$A:$J,3,FALSE)</f>
        <v>35.244999999999997</v>
      </c>
      <c r="M865">
        <f>VLOOKUP($A865,'Hospitalisation Details'!$A:$K,6,FALSE)</f>
        <v>12407.3</v>
      </c>
      <c r="N865" s="11">
        <f>VLOOKUP($B865,'Hospitalisation Details'!A864:J3208,10,0)</f>
        <v>31007</v>
      </c>
      <c r="O865" t="str">
        <f>VLOOKUP($B865,'Hospitalisation Details'!A864:J3208,8,0)</f>
        <v>tier - 2</v>
      </c>
      <c r="P865" t="str">
        <f>VLOOKUP($B865,'Hospitalisation Details'!A864:J3208,7,0)</f>
        <v>tier - 2</v>
      </c>
      <c r="Q865" t="str">
        <f>VLOOKUP($B865,'Hospitalisation Details'!A864:J3208,9,0)</f>
        <v>R1024</v>
      </c>
      <c r="R865">
        <f>VLOOKUP($B865,'Hospitalisation Details'!A864:K3208,11,0)</f>
        <v>38</v>
      </c>
    </row>
    <row r="866" spans="1:18" x14ac:dyDescent="0.35">
      <c r="A866" t="s">
        <v>1506</v>
      </c>
      <c r="B866" t="s">
        <v>897</v>
      </c>
      <c r="C866" t="str">
        <f>VLOOKUP($A866,'Customer Names'!$A:$E,4,FALSE)</f>
        <v>Steven M.</v>
      </c>
      <c r="D866" t="str">
        <f>VLOOKUP($A866,'Medical Examinations'!$A:$J,2,FALSE)</f>
        <v>Obesity</v>
      </c>
      <c r="E866">
        <f>VLOOKUP($A866,'Medical Examinations'!$A:$J,4,FALSE)</f>
        <v>4.63</v>
      </c>
      <c r="F866" t="str">
        <f>VLOOKUP($A866,'Medical Examinations'!$A:$J,6,FALSE)</f>
        <v>No</v>
      </c>
      <c r="G866" t="str">
        <f>VLOOKUP($A866,'Medical Examinations'!$A:$J,7,FALSE)</f>
        <v>No</v>
      </c>
      <c r="H866" t="str">
        <f>VLOOKUP($A866,'Medical Examinations'!$A:$J,8,FALSE)</f>
        <v>No</v>
      </c>
      <c r="I866">
        <f>VLOOKUP($A866,'Medical Examinations'!$A:$J,9,FALSE)</f>
        <v>0</v>
      </c>
      <c r="J866" t="str">
        <f>VLOOKUP($A866,'Medical Examinations'!$A:$J,10,FALSE)</f>
        <v>No</v>
      </c>
      <c r="K866" t="str">
        <f>VLOOKUP($A866,'Medical Examinations'!$A:$J,5,FALSE)</f>
        <v>Normal</v>
      </c>
      <c r="L866">
        <f>VLOOKUP($A867,'Medical Examinations'!$A:$J,3,FALSE)</f>
        <v>26.23</v>
      </c>
      <c r="M866">
        <f>VLOOKUP($A866,'Hospitalisation Details'!$A:$K,6,FALSE)</f>
        <v>12404.88</v>
      </c>
      <c r="N866" s="11">
        <f>VLOOKUP($B866,'Hospitalisation Details'!A865:J3209,10,0)</f>
        <v>27935</v>
      </c>
      <c r="O866" t="str">
        <f>VLOOKUP($B866,'Hospitalisation Details'!A865:J3209,8,0)</f>
        <v>tier - 2</v>
      </c>
      <c r="P866" t="str">
        <f>VLOOKUP($B866,'Hospitalisation Details'!A865:J3209,7,0)</f>
        <v>tier - 3</v>
      </c>
      <c r="Q866" t="str">
        <f>VLOOKUP($B866,'Hospitalisation Details'!A865:J3209,9,0)</f>
        <v>R1011</v>
      </c>
      <c r="R866">
        <f>VLOOKUP($B866,'Hospitalisation Details'!A865:K3209,11,0)</f>
        <v>46</v>
      </c>
    </row>
    <row r="867" spans="1:18" x14ac:dyDescent="0.35">
      <c r="A867" t="s">
        <v>1505</v>
      </c>
      <c r="B867" t="s">
        <v>898</v>
      </c>
      <c r="C867" t="str">
        <f>VLOOKUP($A867,'Customer Names'!$A:$E,4,FALSE)</f>
        <v>Erika</v>
      </c>
      <c r="D867" t="str">
        <f>VLOOKUP($A867,'Medical Examinations'!$A:$J,2,FALSE)</f>
        <v>Overweight</v>
      </c>
      <c r="E867">
        <f>VLOOKUP($A867,'Medical Examinations'!$A:$J,4,FALSE)</f>
        <v>11.93</v>
      </c>
      <c r="F867" t="str">
        <f>VLOOKUP($A867,'Medical Examinations'!$A:$J,6,FALSE)</f>
        <v>No</v>
      </c>
      <c r="G867" t="str">
        <f>VLOOKUP($A867,'Medical Examinations'!$A:$J,7,FALSE)</f>
        <v>No</v>
      </c>
      <c r="H867" t="str">
        <f>VLOOKUP($A867,'Medical Examinations'!$A:$J,8,FALSE)</f>
        <v>No</v>
      </c>
      <c r="I867">
        <f>VLOOKUP($A867,'Medical Examinations'!$A:$J,9,FALSE)</f>
        <v>0</v>
      </c>
      <c r="J867" t="str">
        <f>VLOOKUP($A867,'Medical Examinations'!$A:$J,10,FALSE)</f>
        <v>No</v>
      </c>
      <c r="K867" t="str">
        <f>VLOOKUP($A867,'Medical Examinations'!$A:$J,5,FALSE)</f>
        <v>Diabetes</v>
      </c>
      <c r="L867">
        <f>VLOOKUP($A868,'Medical Examinations'!$A:$J,3,FALSE)</f>
        <v>36.1</v>
      </c>
      <c r="M867">
        <f>VLOOKUP($A867,'Hospitalisation Details'!$A:$K,6,FALSE)</f>
        <v>12369.89</v>
      </c>
      <c r="N867" s="11">
        <f>VLOOKUP($B867,'Hospitalisation Details'!A866:J3210,10,0)</f>
        <v>28701</v>
      </c>
      <c r="O867" t="str">
        <f>VLOOKUP($B867,'Hospitalisation Details'!A866:J3210,8,0)</f>
        <v>tier - 3</v>
      </c>
      <c r="P867" t="str">
        <f>VLOOKUP($B867,'Hospitalisation Details'!A866:J3210,7,0)</f>
        <v>tier - 2</v>
      </c>
      <c r="Q867" t="str">
        <f>VLOOKUP($B867,'Hospitalisation Details'!A866:J3210,9,0)</f>
        <v>R1013</v>
      </c>
      <c r="R867">
        <f>VLOOKUP($B867,'Hospitalisation Details'!A866:K3210,11,0)</f>
        <v>44</v>
      </c>
    </row>
    <row r="868" spans="1:18" x14ac:dyDescent="0.35">
      <c r="A868" t="s">
        <v>1504</v>
      </c>
      <c r="B868" t="s">
        <v>899</v>
      </c>
      <c r="C868" t="str">
        <f>VLOOKUP($A868,'Customer Names'!$A:$E,4,FALSE)</f>
        <v>Chad</v>
      </c>
      <c r="D868" t="str">
        <f>VLOOKUP($A868,'Medical Examinations'!$A:$J,2,FALSE)</f>
        <v>Obesity</v>
      </c>
      <c r="E868">
        <f>VLOOKUP($A868,'Medical Examinations'!$A:$J,4,FALSE)</f>
        <v>5.65</v>
      </c>
      <c r="F868" t="str">
        <f>VLOOKUP($A868,'Medical Examinations'!$A:$J,6,FALSE)</f>
        <v>yes</v>
      </c>
      <c r="G868" t="str">
        <f>VLOOKUP($A868,'Medical Examinations'!$A:$J,7,FALSE)</f>
        <v>No</v>
      </c>
      <c r="H868" t="str">
        <f>VLOOKUP($A868,'Medical Examinations'!$A:$J,8,FALSE)</f>
        <v>No</v>
      </c>
      <c r="I868">
        <f>VLOOKUP($A868,'Medical Examinations'!$A:$J,9,FALSE)</f>
        <v>2</v>
      </c>
      <c r="J868" t="str">
        <f>VLOOKUP($A868,'Medical Examinations'!$A:$J,10,FALSE)</f>
        <v>No</v>
      </c>
      <c r="K868" t="str">
        <f>VLOOKUP($A868,'Medical Examinations'!$A:$J,5,FALSE)</f>
        <v>Normal</v>
      </c>
      <c r="L868">
        <f>VLOOKUP($A869,'Medical Examinations'!$A:$J,3,FALSE)</f>
        <v>37.1</v>
      </c>
      <c r="M868">
        <f>VLOOKUP($A868,'Hospitalisation Details'!$A:$K,6,FALSE)</f>
        <v>12363.55</v>
      </c>
      <c r="N868" s="11">
        <f>VLOOKUP($B868,'Hospitalisation Details'!A867:J3211,10,0)</f>
        <v>30862</v>
      </c>
      <c r="O868" t="str">
        <f>VLOOKUP($B868,'Hospitalisation Details'!A867:J3211,8,0)</f>
        <v>tier - 2</v>
      </c>
      <c r="P868" t="str">
        <f>VLOOKUP($B868,'Hospitalisation Details'!A867:J3211,7,0)</f>
        <v>tier - 2</v>
      </c>
      <c r="Q868" t="str">
        <f>VLOOKUP($B868,'Hospitalisation Details'!A867:J3211,9,0)</f>
        <v>R1011</v>
      </c>
      <c r="R868">
        <f>VLOOKUP($B868,'Hospitalisation Details'!A867:K3211,11,0)</f>
        <v>38</v>
      </c>
    </row>
    <row r="869" spans="1:18" x14ac:dyDescent="0.35">
      <c r="A869" t="s">
        <v>1503</v>
      </c>
      <c r="B869" t="s">
        <v>900</v>
      </c>
      <c r="C869" t="str">
        <f>VLOOKUP($A869,'Customer Names'!$A:$E,4,FALSE)</f>
        <v>Mark</v>
      </c>
      <c r="D869" t="str">
        <f>VLOOKUP($A869,'Medical Examinations'!$A:$J,2,FALSE)</f>
        <v>Obesity</v>
      </c>
      <c r="E869">
        <f>VLOOKUP($A869,'Medical Examinations'!$A:$J,4,FALSE)</f>
        <v>11.21</v>
      </c>
      <c r="F869" t="str">
        <f>VLOOKUP($A869,'Medical Examinations'!$A:$J,6,FALSE)</f>
        <v>yes</v>
      </c>
      <c r="G869" t="str">
        <f>VLOOKUP($A869,'Medical Examinations'!$A:$J,7,FALSE)</f>
        <v>No</v>
      </c>
      <c r="H869" t="str">
        <f>VLOOKUP($A869,'Medical Examinations'!$A:$J,8,FALSE)</f>
        <v>Yes</v>
      </c>
      <c r="I869">
        <f>VLOOKUP($A869,'Medical Examinations'!$A:$J,9,FALSE)</f>
        <v>1</v>
      </c>
      <c r="J869" t="str">
        <f>VLOOKUP($A869,'Medical Examinations'!$A:$J,10,FALSE)</f>
        <v>No</v>
      </c>
      <c r="K869" t="str">
        <f>VLOOKUP($A869,'Medical Examinations'!$A:$J,5,FALSE)</f>
        <v>Diabetes</v>
      </c>
      <c r="L869">
        <f>VLOOKUP($A870,'Medical Examinations'!$A:$J,3,FALSE)</f>
        <v>27.5</v>
      </c>
      <c r="M869">
        <f>VLOOKUP($A869,'Hospitalisation Details'!$A:$K,6,FALSE)</f>
        <v>12347.17</v>
      </c>
      <c r="N869" s="11">
        <f>VLOOKUP($B869,'Hospitalisation Details'!A868:J3212,10,0)</f>
        <v>28739</v>
      </c>
      <c r="O869" t="str">
        <f>VLOOKUP($B869,'Hospitalisation Details'!A868:J3212,8,0)</f>
        <v>tier - 2</v>
      </c>
      <c r="P869" t="str">
        <f>VLOOKUP($B869,'Hospitalisation Details'!A868:J3212,7,0)</f>
        <v>tier - 3</v>
      </c>
      <c r="Q869" t="str">
        <f>VLOOKUP($B869,'Hospitalisation Details'!A868:J3212,9,0)</f>
        <v>R1013</v>
      </c>
      <c r="R869">
        <f>VLOOKUP($B869,'Hospitalisation Details'!A868:K3212,11,0)</f>
        <v>44</v>
      </c>
    </row>
    <row r="870" spans="1:18" x14ac:dyDescent="0.35">
      <c r="A870" t="s">
        <v>1502</v>
      </c>
      <c r="B870" t="s">
        <v>901</v>
      </c>
      <c r="C870" t="str">
        <f>VLOOKUP($A870,'Customer Names'!$A:$E,4,FALSE)</f>
        <v>David</v>
      </c>
      <c r="D870" t="str">
        <f>VLOOKUP($A870,'Medical Examinations'!$A:$J,2,FALSE)</f>
        <v>Overweight</v>
      </c>
      <c r="E870">
        <f>VLOOKUP($A870,'Medical Examinations'!$A:$J,4,FALSE)</f>
        <v>10.62</v>
      </c>
      <c r="F870" t="str">
        <f>VLOOKUP($A870,'Medical Examinations'!$A:$J,6,FALSE)</f>
        <v>yes</v>
      </c>
      <c r="G870" t="str">
        <f>VLOOKUP($A870,'Medical Examinations'!$A:$J,7,FALSE)</f>
        <v>No</v>
      </c>
      <c r="H870" t="str">
        <f>VLOOKUP($A870,'Medical Examinations'!$A:$J,8,FALSE)</f>
        <v>Yes</v>
      </c>
      <c r="I870">
        <f>VLOOKUP($A870,'Medical Examinations'!$A:$J,9,FALSE)</f>
        <v>1</v>
      </c>
      <c r="J870" t="str">
        <f>VLOOKUP($A870,'Medical Examinations'!$A:$J,10,FALSE)</f>
        <v>No</v>
      </c>
      <c r="K870" t="str">
        <f>VLOOKUP($A870,'Medical Examinations'!$A:$J,5,FALSE)</f>
        <v>Diabetes</v>
      </c>
      <c r="L870">
        <f>VLOOKUP($A871,'Medical Examinations'!$A:$J,3,FALSE)</f>
        <v>24.7</v>
      </c>
      <c r="M870">
        <f>VLOOKUP($A870,'Hospitalisation Details'!$A:$K,6,FALSE)</f>
        <v>12333.83</v>
      </c>
      <c r="N870" s="11">
        <f>VLOOKUP($B870,'Hospitalisation Details'!A869:J3213,10,0)</f>
        <v>29784</v>
      </c>
      <c r="O870" t="str">
        <f>VLOOKUP($B870,'Hospitalisation Details'!A869:J3213,8,0)</f>
        <v>tier - 1</v>
      </c>
      <c r="P870" t="str">
        <f>VLOOKUP($B870,'Hospitalisation Details'!A869:J3213,7,0)</f>
        <v>tier - 2</v>
      </c>
      <c r="Q870" t="str">
        <f>VLOOKUP($B870,'Hospitalisation Details'!A869:J3213,9,0)</f>
        <v>R1012</v>
      </c>
      <c r="R870">
        <f>VLOOKUP($B870,'Hospitalisation Details'!A869:K3213,11,0)</f>
        <v>41</v>
      </c>
    </row>
    <row r="871" spans="1:18" x14ac:dyDescent="0.35">
      <c r="A871" t="s">
        <v>1501</v>
      </c>
      <c r="B871" t="s">
        <v>902</v>
      </c>
      <c r="C871" t="str">
        <f>VLOOKUP($A871,'Customer Names'!$A:$E,4,FALSE)</f>
        <v>Matthew R</v>
      </c>
      <c r="D871" t="str">
        <f>VLOOKUP($A871,'Medical Examinations'!$A:$J,2,FALSE)</f>
        <v>Normal Weight</v>
      </c>
      <c r="E871">
        <f>VLOOKUP($A871,'Medical Examinations'!$A:$J,4,FALSE)</f>
        <v>10.7</v>
      </c>
      <c r="F871" t="str">
        <f>VLOOKUP($A871,'Medical Examinations'!$A:$J,6,FALSE)</f>
        <v>yes</v>
      </c>
      <c r="G871" t="str">
        <f>VLOOKUP($A871,'Medical Examinations'!$A:$J,7,FALSE)</f>
        <v>No</v>
      </c>
      <c r="H871" t="str">
        <f>VLOOKUP($A871,'Medical Examinations'!$A:$J,8,FALSE)</f>
        <v>Yes</v>
      </c>
      <c r="I871">
        <f>VLOOKUP($A871,'Medical Examinations'!$A:$J,9,FALSE)</f>
        <v>1</v>
      </c>
      <c r="J871" t="str">
        <f>VLOOKUP($A871,'Medical Examinations'!$A:$J,10,FALSE)</f>
        <v>No</v>
      </c>
      <c r="K871" t="str">
        <f>VLOOKUP($A871,'Medical Examinations'!$A:$J,5,FALSE)</f>
        <v>Diabetes</v>
      </c>
      <c r="L871">
        <f>VLOOKUP($A872,'Medical Examinations'!$A:$J,3,FALSE)</f>
        <v>26.78</v>
      </c>
      <c r="M871">
        <f>VLOOKUP($A871,'Hospitalisation Details'!$A:$K,6,FALSE)</f>
        <v>12323.94</v>
      </c>
      <c r="N871" s="11">
        <f>VLOOKUP($B871,'Hospitalisation Details'!A870:J3214,10,0)</f>
        <v>29394</v>
      </c>
      <c r="O871" t="str">
        <f>VLOOKUP($B871,'Hospitalisation Details'!A870:J3214,8,0)</f>
        <v>tier - 2</v>
      </c>
      <c r="P871" t="str">
        <f>VLOOKUP($B871,'Hospitalisation Details'!A870:J3214,7,0)</f>
        <v>tier - 2</v>
      </c>
      <c r="Q871" t="str">
        <f>VLOOKUP($B871,'Hospitalisation Details'!A870:J3214,9,0)</f>
        <v>R1011</v>
      </c>
      <c r="R871">
        <f>VLOOKUP($B871,'Hospitalisation Details'!A870:K3214,11,0)</f>
        <v>42</v>
      </c>
    </row>
    <row r="872" spans="1:18" x14ac:dyDescent="0.35">
      <c r="A872" t="s">
        <v>1500</v>
      </c>
      <c r="B872" t="s">
        <v>903</v>
      </c>
      <c r="C872" t="str">
        <f>VLOOKUP($A872,'Customer Names'!$A:$E,4,FALSE)</f>
        <v>Orla</v>
      </c>
      <c r="D872" t="str">
        <f>VLOOKUP($A872,'Medical Examinations'!$A:$J,2,FALSE)</f>
        <v>Overweight</v>
      </c>
      <c r="E872">
        <f>VLOOKUP($A872,'Medical Examinations'!$A:$J,4,FALSE)</f>
        <v>10.02</v>
      </c>
      <c r="F872" t="str">
        <f>VLOOKUP($A872,'Medical Examinations'!$A:$J,6,FALSE)</f>
        <v>yes</v>
      </c>
      <c r="G872" t="str">
        <f>VLOOKUP($A872,'Medical Examinations'!$A:$J,7,FALSE)</f>
        <v>No</v>
      </c>
      <c r="H872" t="str">
        <f>VLOOKUP($A872,'Medical Examinations'!$A:$J,8,FALSE)</f>
        <v>Yes</v>
      </c>
      <c r="I872">
        <f>VLOOKUP($A872,'Medical Examinations'!$A:$J,9,FALSE)</f>
        <v>1</v>
      </c>
      <c r="J872" t="str">
        <f>VLOOKUP($A872,'Medical Examinations'!$A:$J,10,FALSE)</f>
        <v>No</v>
      </c>
      <c r="K872" t="str">
        <f>VLOOKUP($A872,'Medical Examinations'!$A:$J,5,FALSE)</f>
        <v>Diabetes</v>
      </c>
      <c r="L872">
        <f>VLOOKUP($A873,'Medical Examinations'!$A:$J,3,FALSE)</f>
        <v>45.8</v>
      </c>
      <c r="M872">
        <f>VLOOKUP($A872,'Hospitalisation Details'!$A:$K,6,FALSE)</f>
        <v>12299.59</v>
      </c>
      <c r="N872" s="11">
        <f>VLOOKUP($B872,'Hospitalisation Details'!A871:J3215,10,0)</f>
        <v>29501</v>
      </c>
      <c r="O872" t="str">
        <f>VLOOKUP($B872,'Hospitalisation Details'!A871:J3215,8,0)</f>
        <v>tier - 1</v>
      </c>
      <c r="P872" t="str">
        <f>VLOOKUP($B872,'Hospitalisation Details'!A871:J3215,7,0)</f>
        <v>tier - 2</v>
      </c>
      <c r="Q872" t="str">
        <f>VLOOKUP($B872,'Hospitalisation Details'!A871:J3215,9,0)</f>
        <v>R1013</v>
      </c>
      <c r="R872">
        <f>VLOOKUP($B872,'Hospitalisation Details'!A871:K3215,11,0)</f>
        <v>42</v>
      </c>
    </row>
    <row r="873" spans="1:18" x14ac:dyDescent="0.35">
      <c r="A873" t="s">
        <v>1499</v>
      </c>
      <c r="B873" t="s">
        <v>904</v>
      </c>
      <c r="C873" t="str">
        <f>VLOOKUP($A873,'Customer Names'!$A:$E,4,FALSE)</f>
        <v>Shaista S</v>
      </c>
      <c r="D873" t="str">
        <f>VLOOKUP($A873,'Medical Examinations'!$A:$J,2,FALSE)</f>
        <v>Obesity</v>
      </c>
      <c r="E873">
        <f>VLOOKUP($A873,'Medical Examinations'!$A:$J,4,FALSE)</f>
        <v>4.8499999999999996</v>
      </c>
      <c r="F873" t="str">
        <f>VLOOKUP($A873,'Medical Examinations'!$A:$J,6,FALSE)</f>
        <v>No</v>
      </c>
      <c r="G873" t="str">
        <f>VLOOKUP($A873,'Medical Examinations'!$A:$J,7,FALSE)</f>
        <v>No</v>
      </c>
      <c r="H873" t="str">
        <f>VLOOKUP($A873,'Medical Examinations'!$A:$J,8,FALSE)</f>
        <v>No</v>
      </c>
      <c r="I873">
        <f>VLOOKUP($A873,'Medical Examinations'!$A:$J,9,FALSE)</f>
        <v>0</v>
      </c>
      <c r="J873" t="str">
        <f>VLOOKUP($A873,'Medical Examinations'!$A:$J,10,FALSE)</f>
        <v>No</v>
      </c>
      <c r="K873" t="str">
        <f>VLOOKUP($A873,'Medical Examinations'!$A:$J,5,FALSE)</f>
        <v>Normal</v>
      </c>
      <c r="L873">
        <f>VLOOKUP($A874,'Medical Examinations'!$A:$J,3,FALSE)</f>
        <v>29</v>
      </c>
      <c r="M873">
        <f>VLOOKUP($A873,'Hospitalisation Details'!$A:$K,6,FALSE)</f>
        <v>12282.38</v>
      </c>
      <c r="N873" s="11">
        <f>VLOOKUP($B873,'Hospitalisation Details'!A872:J3216,10,0)</f>
        <v>29494</v>
      </c>
      <c r="O873" t="str">
        <f>VLOOKUP($B873,'Hospitalisation Details'!A872:J3216,8,0)</f>
        <v>tier - 3</v>
      </c>
      <c r="P873" t="str">
        <f>VLOOKUP($B873,'Hospitalisation Details'!A872:J3216,7,0)</f>
        <v>tier - 2</v>
      </c>
      <c r="Q873" t="str">
        <f>VLOOKUP($B873,'Hospitalisation Details'!A872:J3216,9,0)</f>
        <v>R1013</v>
      </c>
      <c r="R873">
        <f>VLOOKUP($B873,'Hospitalisation Details'!A872:K3216,11,0)</f>
        <v>42</v>
      </c>
    </row>
    <row r="874" spans="1:18" x14ac:dyDescent="0.35">
      <c r="A874" t="s">
        <v>1498</v>
      </c>
      <c r="B874" t="s">
        <v>905</v>
      </c>
      <c r="C874" t="str">
        <f>VLOOKUP($A874,'Customer Names'!$A:$E,4,FALSE)</f>
        <v>Emily</v>
      </c>
      <c r="D874" t="str">
        <f>VLOOKUP($A874,'Medical Examinations'!$A:$J,2,FALSE)</f>
        <v>Overweight</v>
      </c>
      <c r="E874">
        <f>VLOOKUP($A874,'Medical Examinations'!$A:$J,4,FALSE)</f>
        <v>4.3899999999999997</v>
      </c>
      <c r="F874" t="str">
        <f>VLOOKUP($A874,'Medical Examinations'!$A:$J,6,FALSE)</f>
        <v>yes</v>
      </c>
      <c r="G874" t="str">
        <f>VLOOKUP($A874,'Medical Examinations'!$A:$J,7,FALSE)</f>
        <v>No</v>
      </c>
      <c r="H874" t="str">
        <f>VLOOKUP($A874,'Medical Examinations'!$A:$J,8,FALSE)</f>
        <v>No</v>
      </c>
      <c r="I874">
        <f>VLOOKUP($A874,'Medical Examinations'!$A:$J,9,FALSE)</f>
        <v>2</v>
      </c>
      <c r="J874" t="str">
        <f>VLOOKUP($A874,'Medical Examinations'!$A:$J,10,FALSE)</f>
        <v>No</v>
      </c>
      <c r="K874" t="str">
        <f>VLOOKUP($A874,'Medical Examinations'!$A:$J,5,FALSE)</f>
        <v>Normal</v>
      </c>
      <c r="L874">
        <f>VLOOKUP($A875,'Medical Examinations'!$A:$J,3,FALSE)</f>
        <v>33.534999999999997</v>
      </c>
      <c r="M874">
        <f>VLOOKUP($A874,'Hospitalisation Details'!$A:$K,6,FALSE)</f>
        <v>12282.03</v>
      </c>
      <c r="N874" s="11">
        <f>VLOOKUP($B874,'Hospitalisation Details'!A873:J3217,10,0)</f>
        <v>30179</v>
      </c>
      <c r="O874" t="str">
        <f>VLOOKUP($B874,'Hospitalisation Details'!A873:J3217,8,0)</f>
        <v>tier - 2</v>
      </c>
      <c r="P874" t="str">
        <f>VLOOKUP($B874,'Hospitalisation Details'!A873:J3217,7,0)</f>
        <v>tier - 3</v>
      </c>
      <c r="Q874" t="str">
        <f>VLOOKUP($B874,'Hospitalisation Details'!A873:J3217,9,0)</f>
        <v>R1016</v>
      </c>
      <c r="R874">
        <f>VLOOKUP($B874,'Hospitalisation Details'!A873:K3217,11,0)</f>
        <v>40</v>
      </c>
    </row>
    <row r="875" spans="1:18" x14ac:dyDescent="0.35">
      <c r="A875" t="s">
        <v>1497</v>
      </c>
      <c r="B875" t="s">
        <v>906</v>
      </c>
      <c r="C875" t="str">
        <f>VLOOKUP($A875,'Customer Names'!$A:$E,4,FALSE)</f>
        <v>Julie A.</v>
      </c>
      <c r="D875" t="str">
        <f>VLOOKUP($A875,'Medical Examinations'!$A:$J,2,FALSE)</f>
        <v>Obesity</v>
      </c>
      <c r="E875">
        <f>VLOOKUP($A875,'Medical Examinations'!$A:$J,4,FALSE)</f>
        <v>8.24</v>
      </c>
      <c r="F875" t="str">
        <f>VLOOKUP($A875,'Medical Examinations'!$A:$J,6,FALSE)</f>
        <v>yes</v>
      </c>
      <c r="G875" t="str">
        <f>VLOOKUP($A875,'Medical Examinations'!$A:$J,7,FALSE)</f>
        <v>No</v>
      </c>
      <c r="H875" t="str">
        <f>VLOOKUP($A875,'Medical Examinations'!$A:$J,8,FALSE)</f>
        <v>No</v>
      </c>
      <c r="I875">
        <f>VLOOKUP($A875,'Medical Examinations'!$A:$J,9,FALSE)</f>
        <v>0</v>
      </c>
      <c r="J875" t="str">
        <f>VLOOKUP($A875,'Medical Examinations'!$A:$J,10,FALSE)</f>
        <v>No</v>
      </c>
      <c r="K875" t="str">
        <f>VLOOKUP($A875,'Medical Examinations'!$A:$J,5,FALSE)</f>
        <v>Diabetes</v>
      </c>
      <c r="L875">
        <f>VLOOKUP($A876,'Medical Examinations'!$A:$J,3,FALSE)</f>
        <v>32.774999999999999</v>
      </c>
      <c r="M875">
        <f>VLOOKUP($A875,'Hospitalisation Details'!$A:$K,6,FALSE)</f>
        <v>12269.69</v>
      </c>
      <c r="N875" s="11">
        <f>VLOOKUP($B875,'Hospitalisation Details'!A874:J3218,10,0)</f>
        <v>27594</v>
      </c>
      <c r="O875" t="str">
        <f>VLOOKUP($B875,'Hospitalisation Details'!A874:J3218,8,0)</f>
        <v>tier - 3</v>
      </c>
      <c r="P875" t="str">
        <f>VLOOKUP($B875,'Hospitalisation Details'!A874:J3218,7,0)</f>
        <v>tier - 2</v>
      </c>
      <c r="Q875" t="str">
        <f>VLOOKUP($B875,'Hospitalisation Details'!A874:J3218,9,0)</f>
        <v>R1013</v>
      </c>
      <c r="R875">
        <f>VLOOKUP($B875,'Hospitalisation Details'!A874:K3218,11,0)</f>
        <v>47</v>
      </c>
    </row>
    <row r="876" spans="1:18" x14ac:dyDescent="0.35">
      <c r="A876" t="s">
        <v>1496</v>
      </c>
      <c r="B876" t="s">
        <v>907</v>
      </c>
      <c r="C876" t="str">
        <f>VLOOKUP($A876,'Customer Names'!$A:$E,4,FALSE)</f>
        <v>Megumi</v>
      </c>
      <c r="D876" t="str">
        <f>VLOOKUP($A876,'Medical Examinations'!$A:$J,2,FALSE)</f>
        <v>Obesity</v>
      </c>
      <c r="E876">
        <f>VLOOKUP($A876,'Medical Examinations'!$A:$J,4,FALSE)</f>
        <v>9.77</v>
      </c>
      <c r="F876" t="str">
        <f>VLOOKUP($A876,'Medical Examinations'!$A:$J,6,FALSE)</f>
        <v>yes</v>
      </c>
      <c r="G876" t="str">
        <f>VLOOKUP($A876,'Medical Examinations'!$A:$J,7,FALSE)</f>
        <v>No</v>
      </c>
      <c r="H876" t="str">
        <f>VLOOKUP($A876,'Medical Examinations'!$A:$J,8,FALSE)</f>
        <v>No</v>
      </c>
      <c r="I876">
        <f>VLOOKUP($A876,'Medical Examinations'!$A:$J,9,FALSE)</f>
        <v>0</v>
      </c>
      <c r="J876" t="str">
        <f>VLOOKUP($A876,'Medical Examinations'!$A:$J,10,FALSE)</f>
        <v>No</v>
      </c>
      <c r="K876" t="str">
        <f>VLOOKUP($A876,'Medical Examinations'!$A:$J,5,FALSE)</f>
        <v>Diabetes</v>
      </c>
      <c r="L876">
        <f>VLOOKUP($A877,'Medical Examinations'!$A:$J,3,FALSE)</f>
        <v>37.51</v>
      </c>
      <c r="M876">
        <f>VLOOKUP($A876,'Hospitalisation Details'!$A:$K,6,FALSE)</f>
        <v>12268.63</v>
      </c>
      <c r="N876" s="11">
        <f>VLOOKUP($B876,'Hospitalisation Details'!A875:J3219,10,0)</f>
        <v>25076</v>
      </c>
      <c r="O876" t="str">
        <f>VLOOKUP($B876,'Hospitalisation Details'!A875:J3219,8,0)</f>
        <v>tier - 3</v>
      </c>
      <c r="P876" t="str">
        <f>VLOOKUP($B876,'Hospitalisation Details'!A875:J3219,7,0)</f>
        <v>tier - 3</v>
      </c>
      <c r="Q876" t="str">
        <f>VLOOKUP($B876,'Hospitalisation Details'!A875:J3219,9,0)</f>
        <v>R1013</v>
      </c>
      <c r="R876">
        <f>VLOOKUP($B876,'Hospitalisation Details'!A875:K3219,11,0)</f>
        <v>54</v>
      </c>
    </row>
    <row r="877" spans="1:18" x14ac:dyDescent="0.35">
      <c r="A877" t="s">
        <v>1495</v>
      </c>
      <c r="B877" t="s">
        <v>908</v>
      </c>
      <c r="C877" t="str">
        <f>VLOOKUP($A877,'Customer Names'!$A:$E,4,FALSE)</f>
        <v>Skylar</v>
      </c>
      <c r="D877" t="str">
        <f>VLOOKUP($A877,'Medical Examinations'!$A:$J,2,FALSE)</f>
        <v>Obesity</v>
      </c>
      <c r="E877">
        <f>VLOOKUP($A877,'Medical Examinations'!$A:$J,4,FALSE)</f>
        <v>5.5</v>
      </c>
      <c r="F877" t="str">
        <f>VLOOKUP($A877,'Medical Examinations'!$A:$J,6,FALSE)</f>
        <v>yes</v>
      </c>
      <c r="G877" t="str">
        <f>VLOOKUP($A877,'Medical Examinations'!$A:$J,7,FALSE)</f>
        <v>No</v>
      </c>
      <c r="H877" t="str">
        <f>VLOOKUP($A877,'Medical Examinations'!$A:$J,8,FALSE)</f>
        <v>No</v>
      </c>
      <c r="I877">
        <f>VLOOKUP($A877,'Medical Examinations'!$A:$J,9,FALSE)</f>
        <v>2</v>
      </c>
      <c r="J877" t="str">
        <f>VLOOKUP($A877,'Medical Examinations'!$A:$J,10,FALSE)</f>
        <v>No</v>
      </c>
      <c r="K877" t="str">
        <f>VLOOKUP($A877,'Medical Examinations'!$A:$J,5,FALSE)</f>
        <v>Normal</v>
      </c>
      <c r="L877">
        <f>VLOOKUP($A878,'Medical Examinations'!$A:$J,3,FALSE)</f>
        <v>39.86</v>
      </c>
      <c r="M877">
        <f>VLOOKUP($A877,'Hospitalisation Details'!$A:$K,6,FALSE)</f>
        <v>12265.51</v>
      </c>
      <c r="N877" s="11">
        <f>VLOOKUP($B877,'Hospitalisation Details'!A876:J3220,10,0)</f>
        <v>30208</v>
      </c>
      <c r="O877" t="str">
        <f>VLOOKUP($B877,'Hospitalisation Details'!A876:J3220,8,0)</f>
        <v>tier - 2</v>
      </c>
      <c r="P877" t="str">
        <f>VLOOKUP($B877,'Hospitalisation Details'!A876:J3220,7,0)</f>
        <v>tier - 3</v>
      </c>
      <c r="Q877" t="str">
        <f>VLOOKUP($B877,'Hospitalisation Details'!A876:J3220,9,0)</f>
        <v>R1011</v>
      </c>
      <c r="R877">
        <f>VLOOKUP($B877,'Hospitalisation Details'!A876:K3220,11,0)</f>
        <v>40</v>
      </c>
    </row>
    <row r="878" spans="1:18" x14ac:dyDescent="0.35">
      <c r="A878" t="s">
        <v>1494</v>
      </c>
      <c r="B878" t="s">
        <v>909</v>
      </c>
      <c r="C878" t="str">
        <f>VLOOKUP($A878,'Customer Names'!$A:$E,4,FALSE)</f>
        <v>Victoria</v>
      </c>
      <c r="D878" t="str">
        <f>VLOOKUP($A878,'Medical Examinations'!$A:$J,2,FALSE)</f>
        <v>Obesity</v>
      </c>
      <c r="E878">
        <f>VLOOKUP($A878,'Medical Examinations'!$A:$J,4,FALSE)</f>
        <v>11.84</v>
      </c>
      <c r="F878" t="str">
        <f>VLOOKUP($A878,'Medical Examinations'!$A:$J,6,FALSE)</f>
        <v>yes</v>
      </c>
      <c r="G878" t="str">
        <f>VLOOKUP($A878,'Medical Examinations'!$A:$J,7,FALSE)</f>
        <v>No</v>
      </c>
      <c r="H878" t="str">
        <f>VLOOKUP($A878,'Medical Examinations'!$A:$J,8,FALSE)</f>
        <v>No</v>
      </c>
      <c r="I878">
        <f>VLOOKUP($A878,'Medical Examinations'!$A:$J,9,FALSE)</f>
        <v>1</v>
      </c>
      <c r="J878" t="str">
        <f>VLOOKUP($A878,'Medical Examinations'!$A:$J,10,FALSE)</f>
        <v>No</v>
      </c>
      <c r="K878" t="str">
        <f>VLOOKUP($A878,'Medical Examinations'!$A:$J,5,FALSE)</f>
        <v>Diabetes</v>
      </c>
      <c r="L878">
        <f>VLOOKUP($A879,'Medical Examinations'!$A:$J,3,FALSE)</f>
        <v>42.13</v>
      </c>
      <c r="M878">
        <f>VLOOKUP($A878,'Hospitalisation Details'!$A:$K,6,FALSE)</f>
        <v>12255.04</v>
      </c>
      <c r="N878" s="11">
        <f>VLOOKUP($B878,'Hospitalisation Details'!A877:J3221,10,0)</f>
        <v>30539</v>
      </c>
      <c r="O878" t="str">
        <f>VLOOKUP($B878,'Hospitalisation Details'!A877:J3221,8,0)</f>
        <v>tier - 3</v>
      </c>
      <c r="P878" t="str">
        <f>VLOOKUP($B878,'Hospitalisation Details'!A877:J3221,7,0)</f>
        <v>tier - 2</v>
      </c>
      <c r="Q878" t="str">
        <f>VLOOKUP($B878,'Hospitalisation Details'!A877:J3221,9,0)</f>
        <v>R1012</v>
      </c>
      <c r="R878">
        <f>VLOOKUP($B878,'Hospitalisation Details'!A877:K3221,11,0)</f>
        <v>39</v>
      </c>
    </row>
    <row r="879" spans="1:18" x14ac:dyDescent="0.35">
      <c r="A879" t="s">
        <v>1493</v>
      </c>
      <c r="B879" t="s">
        <v>910</v>
      </c>
      <c r="C879" t="str">
        <f>VLOOKUP($A879,'Customer Names'!$A:$E,4,FALSE)</f>
        <v>Amanda L</v>
      </c>
      <c r="D879" t="str">
        <f>VLOOKUP($A879,'Medical Examinations'!$A:$J,2,FALSE)</f>
        <v>Obesity</v>
      </c>
      <c r="E879">
        <f>VLOOKUP($A879,'Medical Examinations'!$A:$J,4,FALSE)</f>
        <v>4.66</v>
      </c>
      <c r="F879" t="str">
        <f>VLOOKUP($A879,'Medical Examinations'!$A:$J,6,FALSE)</f>
        <v>No</v>
      </c>
      <c r="G879" t="str">
        <f>VLOOKUP($A879,'Medical Examinations'!$A:$J,7,FALSE)</f>
        <v>No</v>
      </c>
      <c r="H879" t="str">
        <f>VLOOKUP($A879,'Medical Examinations'!$A:$J,8,FALSE)</f>
        <v>No</v>
      </c>
      <c r="I879">
        <f>VLOOKUP($A879,'Medical Examinations'!$A:$J,9,FALSE)</f>
        <v>0</v>
      </c>
      <c r="J879" t="str">
        <f>VLOOKUP($A879,'Medical Examinations'!$A:$J,10,FALSE)</f>
        <v>No</v>
      </c>
      <c r="K879" t="str">
        <f>VLOOKUP($A879,'Medical Examinations'!$A:$J,5,FALSE)</f>
        <v>Normal</v>
      </c>
      <c r="L879">
        <f>VLOOKUP($A880,'Medical Examinations'!$A:$J,3,FALSE)</f>
        <v>35.99</v>
      </c>
      <c r="M879">
        <f>VLOOKUP($A879,'Hospitalisation Details'!$A:$K,6,FALSE)</f>
        <v>12254.44</v>
      </c>
      <c r="N879" s="11">
        <f>VLOOKUP($B879,'Hospitalisation Details'!A878:J3222,10,0)</f>
        <v>30641</v>
      </c>
      <c r="O879" t="str">
        <f>VLOOKUP($B879,'Hospitalisation Details'!A878:J3222,8,0)</f>
        <v>tier - 3</v>
      </c>
      <c r="P879" t="str">
        <f>VLOOKUP($B879,'Hospitalisation Details'!A878:J3222,7,0)</f>
        <v>tier - 2</v>
      </c>
      <c r="Q879" t="str">
        <f>VLOOKUP($B879,'Hospitalisation Details'!A878:J3222,9,0)</f>
        <v>R1012</v>
      </c>
      <c r="R879">
        <f>VLOOKUP($B879,'Hospitalisation Details'!A878:K3222,11,0)</f>
        <v>39</v>
      </c>
    </row>
    <row r="880" spans="1:18" x14ac:dyDescent="0.35">
      <c r="A880" t="s">
        <v>1492</v>
      </c>
      <c r="B880" t="s">
        <v>911</v>
      </c>
      <c r="C880" t="str">
        <f>VLOOKUP($A880,'Customer Names'!$A:$E,4,FALSE)</f>
        <v>Renee</v>
      </c>
      <c r="D880" t="str">
        <f>VLOOKUP($A880,'Medical Examinations'!$A:$J,2,FALSE)</f>
        <v>Obesity</v>
      </c>
      <c r="E880">
        <f>VLOOKUP($A880,'Medical Examinations'!$A:$J,4,FALSE)</f>
        <v>11.11</v>
      </c>
      <c r="F880" t="str">
        <f>VLOOKUP($A880,'Medical Examinations'!$A:$J,6,FALSE)</f>
        <v>No</v>
      </c>
      <c r="G880" t="str">
        <f>VLOOKUP($A880,'Medical Examinations'!$A:$J,7,FALSE)</f>
        <v>No</v>
      </c>
      <c r="H880" t="str">
        <f>VLOOKUP($A880,'Medical Examinations'!$A:$J,8,FALSE)</f>
        <v>No</v>
      </c>
      <c r="I880">
        <f>VLOOKUP($A880,'Medical Examinations'!$A:$J,9,FALSE)</f>
        <v>0</v>
      </c>
      <c r="J880" t="str">
        <f>VLOOKUP($A880,'Medical Examinations'!$A:$J,10,FALSE)</f>
        <v>No</v>
      </c>
      <c r="K880" t="str">
        <f>VLOOKUP($A880,'Medical Examinations'!$A:$J,5,FALSE)</f>
        <v>Diabetes</v>
      </c>
      <c r="L880">
        <f>VLOOKUP($A881,'Medical Examinations'!$A:$J,3,FALSE)</f>
        <v>35.200000000000003</v>
      </c>
      <c r="M880">
        <f>VLOOKUP($A880,'Hospitalisation Details'!$A:$K,6,FALSE)</f>
        <v>12245.17</v>
      </c>
      <c r="N880" s="11">
        <f>VLOOKUP($B880,'Hospitalisation Details'!A879:J3223,10,0)</f>
        <v>33417</v>
      </c>
      <c r="O880" t="str">
        <f>VLOOKUP($B880,'Hospitalisation Details'!A879:J3223,8,0)</f>
        <v>tier - 2</v>
      </c>
      <c r="P880" t="str">
        <f>VLOOKUP($B880,'Hospitalisation Details'!A879:J3223,7,0)</f>
        <v>tier - 2</v>
      </c>
      <c r="Q880" t="str">
        <f>VLOOKUP($B880,'Hospitalisation Details'!A879:J3223,9,0)</f>
        <v>R1021</v>
      </c>
      <c r="R880">
        <f>VLOOKUP($B880,'Hospitalisation Details'!A879:K3223,11,0)</f>
        <v>31</v>
      </c>
    </row>
    <row r="881" spans="1:18" x14ac:dyDescent="0.35">
      <c r="A881" t="s">
        <v>1491</v>
      </c>
      <c r="B881" t="s">
        <v>912</v>
      </c>
      <c r="C881" t="str">
        <f>VLOOKUP($A881,'Customer Names'!$A:$E,4,FALSE)</f>
        <v>Nellie A.</v>
      </c>
      <c r="D881" t="str">
        <f>VLOOKUP($A881,'Medical Examinations'!$A:$J,2,FALSE)</f>
        <v>Obesity</v>
      </c>
      <c r="E881">
        <f>VLOOKUP($A881,'Medical Examinations'!$A:$J,4,FALSE)</f>
        <v>7.72</v>
      </c>
      <c r="F881" t="str">
        <f>VLOOKUP($A881,'Medical Examinations'!$A:$J,6,FALSE)</f>
        <v>yes</v>
      </c>
      <c r="G881" t="str">
        <f>VLOOKUP($A881,'Medical Examinations'!$A:$J,7,FALSE)</f>
        <v>No</v>
      </c>
      <c r="H881" t="str">
        <f>VLOOKUP($A881,'Medical Examinations'!$A:$J,8,FALSE)</f>
        <v>Yes</v>
      </c>
      <c r="I881">
        <f>VLOOKUP($A881,'Medical Examinations'!$A:$J,9,FALSE)</f>
        <v>1</v>
      </c>
      <c r="J881" t="str">
        <f>VLOOKUP($A881,'Medical Examinations'!$A:$J,10,FALSE)</f>
        <v>No</v>
      </c>
      <c r="K881" t="str">
        <f>VLOOKUP($A881,'Medical Examinations'!$A:$J,5,FALSE)</f>
        <v>Diabetes</v>
      </c>
      <c r="L881">
        <f>VLOOKUP($A882,'Medical Examinations'!$A:$J,3,FALSE)</f>
        <v>29.91</v>
      </c>
      <c r="M881">
        <f>VLOOKUP($A881,'Hospitalisation Details'!$A:$K,6,FALSE)</f>
        <v>12244.53</v>
      </c>
      <c r="N881" s="11">
        <f>VLOOKUP($B881,'Hospitalisation Details'!A880:J3224,10,0)</f>
        <v>28383</v>
      </c>
      <c r="O881" t="str">
        <f>VLOOKUP($B881,'Hospitalisation Details'!A880:J3224,8,0)</f>
        <v>tier - 3</v>
      </c>
      <c r="P881" t="str">
        <f>VLOOKUP($B881,'Hospitalisation Details'!A880:J3224,7,0)</f>
        <v>tier - 3</v>
      </c>
      <c r="Q881" t="str">
        <f>VLOOKUP($B881,'Hospitalisation Details'!A880:J3224,9,0)</f>
        <v>R1012</v>
      </c>
      <c r="R881">
        <f>VLOOKUP($B881,'Hospitalisation Details'!A880:K3224,11,0)</f>
        <v>45</v>
      </c>
    </row>
    <row r="882" spans="1:18" x14ac:dyDescent="0.35">
      <c r="A882" t="s">
        <v>1490</v>
      </c>
      <c r="B882" t="s">
        <v>913</v>
      </c>
      <c r="C882" t="str">
        <f>VLOOKUP($A882,'Customer Names'!$A:$E,4,FALSE)</f>
        <v>Tamara</v>
      </c>
      <c r="D882" t="str">
        <f>VLOOKUP($A882,'Medical Examinations'!$A:$J,2,FALSE)</f>
        <v>Overweight</v>
      </c>
      <c r="E882">
        <f>VLOOKUP($A882,'Medical Examinations'!$A:$J,4,FALSE)</f>
        <v>5.55</v>
      </c>
      <c r="F882" t="str">
        <f>VLOOKUP($A882,'Medical Examinations'!$A:$J,6,FALSE)</f>
        <v>yes</v>
      </c>
      <c r="G882" t="str">
        <f>VLOOKUP($A882,'Medical Examinations'!$A:$J,7,FALSE)</f>
        <v>No</v>
      </c>
      <c r="H882" t="str">
        <f>VLOOKUP($A882,'Medical Examinations'!$A:$J,8,FALSE)</f>
        <v>No</v>
      </c>
      <c r="I882">
        <f>VLOOKUP($A882,'Medical Examinations'!$A:$J,9,FALSE)</f>
        <v>2</v>
      </c>
      <c r="J882" t="str">
        <f>VLOOKUP($A882,'Medical Examinations'!$A:$J,10,FALSE)</f>
        <v>No</v>
      </c>
      <c r="K882" t="str">
        <f>VLOOKUP($A882,'Medical Examinations'!$A:$J,5,FALSE)</f>
        <v>Normal</v>
      </c>
      <c r="L882">
        <f>VLOOKUP($A883,'Medical Examinations'!$A:$J,3,FALSE)</f>
        <v>36.479999999999997</v>
      </c>
      <c r="M882">
        <f>VLOOKUP($A882,'Hospitalisation Details'!$A:$K,6,FALSE)</f>
        <v>12237.73</v>
      </c>
      <c r="N882" s="11">
        <f>VLOOKUP($B882,'Hospitalisation Details'!A881:J3225,10,0)</f>
        <v>31606</v>
      </c>
      <c r="O882" t="str">
        <f>VLOOKUP($B882,'Hospitalisation Details'!A881:J3225,8,0)</f>
        <v>tier - 1</v>
      </c>
      <c r="P882" t="str">
        <f>VLOOKUP($B882,'Hospitalisation Details'!A881:J3225,7,0)</f>
        <v>tier - 2</v>
      </c>
      <c r="Q882" t="str">
        <f>VLOOKUP($B882,'Hospitalisation Details'!A881:J3225,9,0)</f>
        <v>R1024</v>
      </c>
      <c r="R882">
        <f>VLOOKUP($B882,'Hospitalisation Details'!A881:K3225,11,0)</f>
        <v>36</v>
      </c>
    </row>
    <row r="883" spans="1:18" x14ac:dyDescent="0.35">
      <c r="A883" t="s">
        <v>1489</v>
      </c>
      <c r="B883" t="s">
        <v>914</v>
      </c>
      <c r="C883" t="str">
        <f>VLOOKUP($A883,'Customer Names'!$A:$E,4,FALSE)</f>
        <v>Joan</v>
      </c>
      <c r="D883" t="str">
        <f>VLOOKUP($A883,'Medical Examinations'!$A:$J,2,FALSE)</f>
        <v>Obesity</v>
      </c>
      <c r="E883">
        <f>VLOOKUP($A883,'Medical Examinations'!$A:$J,4,FALSE)</f>
        <v>5.05</v>
      </c>
      <c r="F883" t="str">
        <f>VLOOKUP($A883,'Medical Examinations'!$A:$J,6,FALSE)</f>
        <v>yes</v>
      </c>
      <c r="G883" t="str">
        <f>VLOOKUP($A883,'Medical Examinations'!$A:$J,7,FALSE)</f>
        <v>No</v>
      </c>
      <c r="H883" t="str">
        <f>VLOOKUP($A883,'Medical Examinations'!$A:$J,8,FALSE)</f>
        <v>No</v>
      </c>
      <c r="I883">
        <f>VLOOKUP($A883,'Medical Examinations'!$A:$J,9,FALSE)</f>
        <v>1</v>
      </c>
      <c r="J883" t="str">
        <f>VLOOKUP($A883,'Medical Examinations'!$A:$J,10,FALSE)</f>
        <v>No</v>
      </c>
      <c r="K883" t="str">
        <f>VLOOKUP($A883,'Medical Examinations'!$A:$J,5,FALSE)</f>
        <v>Normal</v>
      </c>
      <c r="L883">
        <f>VLOOKUP($A884,'Medical Examinations'!$A:$J,3,FALSE)</f>
        <v>27.5</v>
      </c>
      <c r="M883">
        <f>VLOOKUP($A883,'Hospitalisation Details'!$A:$K,6,FALSE)</f>
        <v>12235.84</v>
      </c>
      <c r="N883" s="11">
        <f>VLOOKUP($B883,'Hospitalisation Details'!A882:J3226,10,0)</f>
        <v>31657</v>
      </c>
      <c r="O883" t="str">
        <f>VLOOKUP($B883,'Hospitalisation Details'!A882:J3226,8,0)</f>
        <v>tier - 3</v>
      </c>
      <c r="P883" t="str">
        <f>VLOOKUP($B883,'Hospitalisation Details'!A882:J3226,7,0)</f>
        <v>tier - 2</v>
      </c>
      <c r="Q883" t="str">
        <f>VLOOKUP($B883,'Hospitalisation Details'!A882:J3226,9,0)</f>
        <v>R1013</v>
      </c>
      <c r="R883">
        <f>VLOOKUP($B883,'Hospitalisation Details'!A882:K3226,11,0)</f>
        <v>36</v>
      </c>
    </row>
    <row r="884" spans="1:18" x14ac:dyDescent="0.35">
      <c r="A884" t="s">
        <v>1488</v>
      </c>
      <c r="B884" t="s">
        <v>915</v>
      </c>
      <c r="C884" t="str">
        <f>VLOOKUP($A884,'Customer Names'!$A:$E,4,FALSE)</f>
        <v>Aimee J.</v>
      </c>
      <c r="D884" t="str">
        <f>VLOOKUP($A884,'Medical Examinations'!$A:$J,2,FALSE)</f>
        <v>Overweight</v>
      </c>
      <c r="E884">
        <f>VLOOKUP($A884,'Medical Examinations'!$A:$J,4,FALSE)</f>
        <v>8.69</v>
      </c>
      <c r="F884" t="str">
        <f>VLOOKUP($A884,'Medical Examinations'!$A:$J,6,FALSE)</f>
        <v>yes</v>
      </c>
      <c r="G884" t="str">
        <f>VLOOKUP($A884,'Medical Examinations'!$A:$J,7,FALSE)</f>
        <v>No</v>
      </c>
      <c r="H884" t="str">
        <f>VLOOKUP($A884,'Medical Examinations'!$A:$J,8,FALSE)</f>
        <v>Yes</v>
      </c>
      <c r="I884">
        <f>VLOOKUP($A884,'Medical Examinations'!$A:$J,9,FALSE)</f>
        <v>1</v>
      </c>
      <c r="J884" t="str">
        <f>VLOOKUP($A884,'Medical Examinations'!$A:$J,10,FALSE)</f>
        <v>No</v>
      </c>
      <c r="K884" t="str">
        <f>VLOOKUP($A884,'Medical Examinations'!$A:$J,5,FALSE)</f>
        <v>Diabetes</v>
      </c>
      <c r="L884">
        <f>VLOOKUP($A885,'Medical Examinations'!$A:$J,3,FALSE)</f>
        <v>33.44</v>
      </c>
      <c r="M884">
        <f>VLOOKUP($A884,'Hospitalisation Details'!$A:$K,6,FALSE)</f>
        <v>12233.83</v>
      </c>
      <c r="N884" s="11">
        <f>VLOOKUP($B884,'Hospitalisation Details'!A883:J3227,10,0)</f>
        <v>30156</v>
      </c>
      <c r="O884" t="str">
        <f>VLOOKUP($B884,'Hospitalisation Details'!A883:J3227,8,0)</f>
        <v>tier - 1</v>
      </c>
      <c r="P884" t="str">
        <f>VLOOKUP($B884,'Hospitalisation Details'!A883:J3227,7,0)</f>
        <v>tier - 2</v>
      </c>
      <c r="Q884" t="str">
        <f>VLOOKUP($B884,'Hospitalisation Details'!A883:J3227,9,0)</f>
        <v>R1013</v>
      </c>
      <c r="R884">
        <f>VLOOKUP($B884,'Hospitalisation Details'!A883:K3227,11,0)</f>
        <v>40</v>
      </c>
    </row>
    <row r="885" spans="1:18" x14ac:dyDescent="0.35">
      <c r="A885" t="s">
        <v>1487</v>
      </c>
      <c r="B885" t="s">
        <v>916</v>
      </c>
      <c r="C885" t="str">
        <f>VLOOKUP($A885,'Customer Names'!$A:$E,4,FALSE)</f>
        <v>Suzanne</v>
      </c>
      <c r="D885" t="str">
        <f>VLOOKUP($A885,'Medical Examinations'!$A:$J,2,FALSE)</f>
        <v>Obesity</v>
      </c>
      <c r="E885">
        <f>VLOOKUP($A885,'Medical Examinations'!$A:$J,4,FALSE)</f>
        <v>5.9</v>
      </c>
      <c r="F885" t="str">
        <f>VLOOKUP($A885,'Medical Examinations'!$A:$J,6,FALSE)</f>
        <v>yes</v>
      </c>
      <c r="G885" t="str">
        <f>VLOOKUP($A885,'Medical Examinations'!$A:$J,7,FALSE)</f>
        <v>No</v>
      </c>
      <c r="H885" t="str">
        <f>VLOOKUP($A885,'Medical Examinations'!$A:$J,8,FALSE)</f>
        <v>No</v>
      </c>
      <c r="I885">
        <f>VLOOKUP($A885,'Medical Examinations'!$A:$J,9,FALSE)</f>
        <v>1</v>
      </c>
      <c r="J885" t="str">
        <f>VLOOKUP($A885,'Medical Examinations'!$A:$J,10,FALSE)</f>
        <v>No</v>
      </c>
      <c r="K885" t="str">
        <f>VLOOKUP($A885,'Medical Examinations'!$A:$J,5,FALSE)</f>
        <v>Prediabetes</v>
      </c>
      <c r="L885">
        <f>VLOOKUP($A886,'Medical Examinations'!$A:$J,3,FALSE)</f>
        <v>28.215</v>
      </c>
      <c r="M885">
        <f>VLOOKUP($A885,'Hospitalisation Details'!$A:$K,6,FALSE)</f>
        <v>12231.61</v>
      </c>
      <c r="N885" s="11">
        <f>VLOOKUP($B885,'Hospitalisation Details'!A884:J3228,10,0)</f>
        <v>29812</v>
      </c>
      <c r="O885" t="str">
        <f>VLOOKUP($B885,'Hospitalisation Details'!A884:J3228,8,0)</f>
        <v>tier - 2</v>
      </c>
      <c r="P885" t="str">
        <f>VLOOKUP($B885,'Hospitalisation Details'!A884:J3228,7,0)</f>
        <v>tier - 3</v>
      </c>
      <c r="Q885" t="str">
        <f>VLOOKUP($B885,'Hospitalisation Details'!A884:J3228,9,0)</f>
        <v>R1012</v>
      </c>
      <c r="R885">
        <f>VLOOKUP($B885,'Hospitalisation Details'!A884:K3228,11,0)</f>
        <v>41</v>
      </c>
    </row>
    <row r="886" spans="1:18" x14ac:dyDescent="0.35">
      <c r="A886" t="s">
        <v>1486</v>
      </c>
      <c r="B886" t="s">
        <v>917</v>
      </c>
      <c r="C886" t="str">
        <f>VLOOKUP($A886,'Customer Names'!$A:$E,4,FALSE)</f>
        <v>Kristin A.</v>
      </c>
      <c r="D886" t="str">
        <f>VLOOKUP($A886,'Medical Examinations'!$A:$J,2,FALSE)</f>
        <v>Overweight</v>
      </c>
      <c r="E886">
        <f>VLOOKUP($A886,'Medical Examinations'!$A:$J,4,FALSE)</f>
        <v>6.29</v>
      </c>
      <c r="F886" t="str">
        <f>VLOOKUP($A886,'Medical Examinations'!$A:$J,6,FALSE)</f>
        <v>yes</v>
      </c>
      <c r="G886" t="str">
        <f>VLOOKUP($A886,'Medical Examinations'!$A:$J,7,FALSE)</f>
        <v>No</v>
      </c>
      <c r="H886" t="str">
        <f>VLOOKUP($A886,'Medical Examinations'!$A:$J,8,FALSE)</f>
        <v>No</v>
      </c>
      <c r="I886">
        <f>VLOOKUP($A886,'Medical Examinations'!$A:$J,9,FALSE)</f>
        <v>1</v>
      </c>
      <c r="J886" t="str">
        <f>VLOOKUP($A886,'Medical Examinations'!$A:$J,10,FALSE)</f>
        <v>No</v>
      </c>
      <c r="K886" t="str">
        <f>VLOOKUP($A886,'Medical Examinations'!$A:$J,5,FALSE)</f>
        <v>Prediabetes</v>
      </c>
      <c r="L886">
        <f>VLOOKUP($A887,'Medical Examinations'!$A:$J,3,FALSE)</f>
        <v>27.17</v>
      </c>
      <c r="M886">
        <f>VLOOKUP($A886,'Hospitalisation Details'!$A:$K,6,FALSE)</f>
        <v>12224.35</v>
      </c>
      <c r="N886" s="11">
        <f>VLOOKUP($B886,'Hospitalisation Details'!A885:J3229,10,0)</f>
        <v>29750</v>
      </c>
      <c r="O886" t="str">
        <f>VLOOKUP($B886,'Hospitalisation Details'!A885:J3229,8,0)</f>
        <v>tier - 3</v>
      </c>
      <c r="P886" t="str">
        <f>VLOOKUP($B886,'Hospitalisation Details'!A885:J3229,7,0)</f>
        <v>tier - 3</v>
      </c>
      <c r="Q886" t="str">
        <f>VLOOKUP($B886,'Hospitalisation Details'!A885:J3229,9,0)</f>
        <v>R1012</v>
      </c>
      <c r="R886">
        <f>VLOOKUP($B886,'Hospitalisation Details'!A885:K3229,11,0)</f>
        <v>41</v>
      </c>
    </row>
    <row r="887" spans="1:18" x14ac:dyDescent="0.35">
      <c r="A887" t="s">
        <v>1485</v>
      </c>
      <c r="B887" t="s">
        <v>918</v>
      </c>
      <c r="C887" t="str">
        <f>VLOOKUP($A887,'Customer Names'!$A:$E,4,FALSE)</f>
        <v>Bronwyn</v>
      </c>
      <c r="D887" t="str">
        <f>VLOOKUP($A887,'Medical Examinations'!$A:$J,2,FALSE)</f>
        <v>Overweight</v>
      </c>
      <c r="E887">
        <f>VLOOKUP($A887,'Medical Examinations'!$A:$J,4,FALSE)</f>
        <v>5.84</v>
      </c>
      <c r="F887" t="str">
        <f>VLOOKUP($A887,'Medical Examinations'!$A:$J,6,FALSE)</f>
        <v>yes</v>
      </c>
      <c r="G887" t="str">
        <f>VLOOKUP($A887,'Medical Examinations'!$A:$J,7,FALSE)</f>
        <v>No</v>
      </c>
      <c r="H887" t="str">
        <f>VLOOKUP($A887,'Medical Examinations'!$A:$J,8,FALSE)</f>
        <v>No</v>
      </c>
      <c r="I887">
        <f>VLOOKUP($A887,'Medical Examinations'!$A:$J,9,FALSE)</f>
        <v>1</v>
      </c>
      <c r="J887" t="str">
        <f>VLOOKUP($A887,'Medical Examinations'!$A:$J,10,FALSE)</f>
        <v>No</v>
      </c>
      <c r="K887" t="str">
        <f>VLOOKUP($A887,'Medical Examinations'!$A:$J,5,FALSE)</f>
        <v>Prediabetes</v>
      </c>
      <c r="L887">
        <f>VLOOKUP($A888,'Medical Examinations'!$A:$J,3,FALSE)</f>
        <v>35.380000000000003</v>
      </c>
      <c r="M887">
        <f>VLOOKUP($A887,'Hospitalisation Details'!$A:$K,6,FALSE)</f>
        <v>12222.9</v>
      </c>
      <c r="N887" s="11">
        <f>VLOOKUP($B887,'Hospitalisation Details'!A886:J3230,10,0)</f>
        <v>26962</v>
      </c>
      <c r="O887" t="str">
        <f>VLOOKUP($B887,'Hospitalisation Details'!A886:J3230,8,0)</f>
        <v>tier - 2</v>
      </c>
      <c r="P887" t="str">
        <f>VLOOKUP($B887,'Hospitalisation Details'!A886:J3230,7,0)</f>
        <v>tier - 2</v>
      </c>
      <c r="Q887" t="str">
        <f>VLOOKUP($B887,'Hospitalisation Details'!A886:J3230,9,0)</f>
        <v>R1013</v>
      </c>
      <c r="R887">
        <f>VLOOKUP($B887,'Hospitalisation Details'!A886:K3230,11,0)</f>
        <v>49</v>
      </c>
    </row>
    <row r="888" spans="1:18" x14ac:dyDescent="0.35">
      <c r="A888" t="s">
        <v>1484</v>
      </c>
      <c r="B888" t="s">
        <v>919</v>
      </c>
      <c r="C888" t="str">
        <f>VLOOKUP($A888,'Customer Names'!$A:$E,4,FALSE)</f>
        <v>Taylor J</v>
      </c>
      <c r="D888" t="str">
        <f>VLOOKUP($A888,'Medical Examinations'!$A:$J,2,FALSE)</f>
        <v>Obesity</v>
      </c>
      <c r="E888">
        <f>VLOOKUP($A888,'Medical Examinations'!$A:$J,4,FALSE)</f>
        <v>6.12</v>
      </c>
      <c r="F888" t="str">
        <f>VLOOKUP($A888,'Medical Examinations'!$A:$J,6,FALSE)</f>
        <v>No</v>
      </c>
      <c r="G888" t="str">
        <f>VLOOKUP($A888,'Medical Examinations'!$A:$J,7,FALSE)</f>
        <v>No</v>
      </c>
      <c r="H888" t="str">
        <f>VLOOKUP($A888,'Medical Examinations'!$A:$J,8,FALSE)</f>
        <v>No</v>
      </c>
      <c r="I888">
        <f>VLOOKUP($A888,'Medical Examinations'!$A:$J,9,FALSE)</f>
        <v>0</v>
      </c>
      <c r="J888" t="str">
        <f>VLOOKUP($A888,'Medical Examinations'!$A:$J,10,FALSE)</f>
        <v>No</v>
      </c>
      <c r="K888" t="str">
        <f>VLOOKUP($A888,'Medical Examinations'!$A:$J,5,FALSE)</f>
        <v>Prediabetes</v>
      </c>
      <c r="L888">
        <f>VLOOKUP($A889,'Medical Examinations'!$A:$J,3,FALSE)</f>
        <v>43.48</v>
      </c>
      <c r="M888">
        <f>VLOOKUP($A888,'Hospitalisation Details'!$A:$K,6,FALSE)</f>
        <v>12218.7</v>
      </c>
      <c r="N888" s="11">
        <f>VLOOKUP($B888,'Hospitalisation Details'!A887:J3231,10,0)</f>
        <v>29802</v>
      </c>
      <c r="O888" t="str">
        <f>VLOOKUP($B888,'Hospitalisation Details'!A887:J3231,8,0)</f>
        <v>tier - 3</v>
      </c>
      <c r="P888" t="str">
        <f>VLOOKUP($B888,'Hospitalisation Details'!A887:J3231,7,0)</f>
        <v>tier - 3</v>
      </c>
      <c r="Q888" t="str">
        <f>VLOOKUP($B888,'Hospitalisation Details'!A887:J3231,9,0)</f>
        <v>R1012</v>
      </c>
      <c r="R888">
        <f>VLOOKUP($B888,'Hospitalisation Details'!A887:K3231,11,0)</f>
        <v>41</v>
      </c>
    </row>
    <row r="889" spans="1:18" x14ac:dyDescent="0.35">
      <c r="A889" t="s">
        <v>1483</v>
      </c>
      <c r="B889" t="s">
        <v>920</v>
      </c>
      <c r="C889" t="str">
        <f>VLOOKUP($A889,'Customer Names'!$A:$E,4,FALSE)</f>
        <v>Kimberly M.</v>
      </c>
      <c r="D889" t="str">
        <f>VLOOKUP($A889,'Medical Examinations'!$A:$J,2,FALSE)</f>
        <v>Obesity</v>
      </c>
      <c r="E889">
        <f>VLOOKUP($A889,'Medical Examinations'!$A:$J,4,FALSE)</f>
        <v>6.24</v>
      </c>
      <c r="F889" t="str">
        <f>VLOOKUP($A889,'Medical Examinations'!$A:$J,6,FALSE)</f>
        <v>No</v>
      </c>
      <c r="G889" t="str">
        <f>VLOOKUP($A889,'Medical Examinations'!$A:$J,7,FALSE)</f>
        <v>No</v>
      </c>
      <c r="H889" t="str">
        <f>VLOOKUP($A889,'Medical Examinations'!$A:$J,8,FALSE)</f>
        <v>No</v>
      </c>
      <c r="I889">
        <f>VLOOKUP($A889,'Medical Examinations'!$A:$J,9,FALSE)</f>
        <v>0</v>
      </c>
      <c r="J889" t="str">
        <f>VLOOKUP($A889,'Medical Examinations'!$A:$J,10,FALSE)</f>
        <v>No</v>
      </c>
      <c r="K889" t="str">
        <f>VLOOKUP($A889,'Medical Examinations'!$A:$J,5,FALSE)</f>
        <v>Prediabetes</v>
      </c>
      <c r="L889">
        <f>VLOOKUP($A890,'Medical Examinations'!$A:$J,3,FALSE)</f>
        <v>41.73</v>
      </c>
      <c r="M889">
        <f>VLOOKUP($A889,'Hospitalisation Details'!$A:$K,6,FALSE)</f>
        <v>12198.64</v>
      </c>
      <c r="N889" s="11">
        <f>VLOOKUP($B889,'Hospitalisation Details'!A888:J3232,10,0)</f>
        <v>28112</v>
      </c>
      <c r="O889" t="str">
        <f>VLOOKUP($B889,'Hospitalisation Details'!A888:J3232,8,0)</f>
        <v>tier - 1</v>
      </c>
      <c r="P889" t="str">
        <f>VLOOKUP($B889,'Hospitalisation Details'!A888:J3232,7,0)</f>
        <v>tier - 2</v>
      </c>
      <c r="Q889" t="str">
        <f>VLOOKUP($B889,'Hospitalisation Details'!A888:J3232,9,0)</f>
        <v>R1013</v>
      </c>
      <c r="R889">
        <f>VLOOKUP($B889,'Hospitalisation Details'!A888:K3232,11,0)</f>
        <v>46</v>
      </c>
    </row>
    <row r="890" spans="1:18" x14ac:dyDescent="0.35">
      <c r="A890" t="s">
        <v>1482</v>
      </c>
      <c r="B890" t="s">
        <v>921</v>
      </c>
      <c r="C890" t="str">
        <f>VLOOKUP($A890,'Customer Names'!$A:$E,4,FALSE)</f>
        <v>Joshua E.</v>
      </c>
      <c r="D890" t="str">
        <f>VLOOKUP($A890,'Medical Examinations'!$A:$J,2,FALSE)</f>
        <v>Obesity</v>
      </c>
      <c r="E890">
        <f>VLOOKUP($A890,'Medical Examinations'!$A:$J,4,FALSE)</f>
        <v>6.25</v>
      </c>
      <c r="F890" t="str">
        <f>VLOOKUP($A890,'Medical Examinations'!$A:$J,6,FALSE)</f>
        <v>No</v>
      </c>
      <c r="G890" t="str">
        <f>VLOOKUP($A890,'Medical Examinations'!$A:$J,7,FALSE)</f>
        <v>No</v>
      </c>
      <c r="H890" t="str">
        <f>VLOOKUP($A890,'Medical Examinations'!$A:$J,8,FALSE)</f>
        <v>No</v>
      </c>
      <c r="I890">
        <f>VLOOKUP($A890,'Medical Examinations'!$A:$J,9,FALSE)</f>
        <v>1</v>
      </c>
      <c r="J890" t="str">
        <f>VLOOKUP($A890,'Medical Examinations'!$A:$J,10,FALSE)</f>
        <v>No</v>
      </c>
      <c r="K890" t="str">
        <f>VLOOKUP($A890,'Medical Examinations'!$A:$J,5,FALSE)</f>
        <v>Prediabetes</v>
      </c>
      <c r="L890">
        <f>VLOOKUP($A891,'Medical Examinations'!$A:$J,3,FALSE)</f>
        <v>28.9</v>
      </c>
      <c r="M890">
        <f>VLOOKUP($A890,'Hospitalisation Details'!$A:$K,6,FALSE)</f>
        <v>12148.2</v>
      </c>
      <c r="N890" s="11">
        <f>VLOOKUP($B890,'Hospitalisation Details'!A889:J3233,10,0)</f>
        <v>31353</v>
      </c>
      <c r="O890" t="str">
        <f>VLOOKUP($B890,'Hospitalisation Details'!A889:J3233,8,0)</f>
        <v>tier - 1</v>
      </c>
      <c r="P890" t="str">
        <f>VLOOKUP($B890,'Hospitalisation Details'!A889:J3233,7,0)</f>
        <v>tier - 2</v>
      </c>
      <c r="Q890" t="str">
        <f>VLOOKUP($B890,'Hospitalisation Details'!A889:J3233,9,0)</f>
        <v>R1012</v>
      </c>
      <c r="R890">
        <f>VLOOKUP($B890,'Hospitalisation Details'!A889:K3233,11,0)</f>
        <v>37</v>
      </c>
    </row>
    <row r="891" spans="1:18" x14ac:dyDescent="0.35">
      <c r="A891" t="s">
        <v>1481</v>
      </c>
      <c r="B891" t="s">
        <v>922</v>
      </c>
      <c r="C891" t="str">
        <f>VLOOKUP($A891,'Customer Names'!$A:$E,4,FALSE)</f>
        <v>Jeffrey</v>
      </c>
      <c r="D891" t="str">
        <f>VLOOKUP($A891,'Medical Examinations'!$A:$J,2,FALSE)</f>
        <v>Overweight</v>
      </c>
      <c r="E891">
        <f>VLOOKUP($A891,'Medical Examinations'!$A:$J,4,FALSE)</f>
        <v>11.96</v>
      </c>
      <c r="F891" t="str">
        <f>VLOOKUP($A891,'Medical Examinations'!$A:$J,6,FALSE)</f>
        <v>No</v>
      </c>
      <c r="G891" t="str">
        <f>VLOOKUP($A891,'Medical Examinations'!$A:$J,7,FALSE)</f>
        <v>No</v>
      </c>
      <c r="H891" t="str">
        <f>VLOOKUP($A891,'Medical Examinations'!$A:$J,8,FALSE)</f>
        <v>No</v>
      </c>
      <c r="I891">
        <f>VLOOKUP($A891,'Medical Examinations'!$A:$J,9,FALSE)</f>
        <v>0</v>
      </c>
      <c r="J891" t="str">
        <f>VLOOKUP($A891,'Medical Examinations'!$A:$J,10,FALSE)</f>
        <v>No</v>
      </c>
      <c r="K891" t="str">
        <f>VLOOKUP($A891,'Medical Examinations'!$A:$J,5,FALSE)</f>
        <v>Diabetes</v>
      </c>
      <c r="L891">
        <f>VLOOKUP($A892,'Medical Examinations'!$A:$J,3,FALSE)</f>
        <v>25.74</v>
      </c>
      <c r="M891">
        <f>VLOOKUP($A891,'Hospitalisation Details'!$A:$K,6,FALSE)</f>
        <v>12146.97</v>
      </c>
      <c r="N891" s="11">
        <f>VLOOKUP($B891,'Hospitalisation Details'!A890:J3234,10,0)</f>
        <v>24467</v>
      </c>
      <c r="O891" t="str">
        <f>VLOOKUP($B891,'Hospitalisation Details'!A890:J3234,8,0)</f>
        <v>tier - 1</v>
      </c>
      <c r="P891" t="str">
        <f>VLOOKUP($B891,'Hospitalisation Details'!A890:J3234,7,0)</f>
        <v>tier - 3</v>
      </c>
      <c r="Q891" t="str">
        <f>VLOOKUP($B891,'Hospitalisation Details'!A890:J3234,9,0)</f>
        <v>R1012</v>
      </c>
      <c r="R891">
        <f>VLOOKUP($B891,'Hospitalisation Details'!A890:K3234,11,0)</f>
        <v>56</v>
      </c>
    </row>
    <row r="892" spans="1:18" x14ac:dyDescent="0.35">
      <c r="A892" t="s">
        <v>1480</v>
      </c>
      <c r="B892" t="s">
        <v>923</v>
      </c>
      <c r="C892" t="str">
        <f>VLOOKUP($A892,'Customer Names'!$A:$E,4,FALSE)</f>
        <v>Andrew R</v>
      </c>
      <c r="D892" t="str">
        <f>VLOOKUP($A892,'Medical Examinations'!$A:$J,2,FALSE)</f>
        <v>Overweight</v>
      </c>
      <c r="E892">
        <f>VLOOKUP($A892,'Medical Examinations'!$A:$J,4,FALSE)</f>
        <v>7.69</v>
      </c>
      <c r="F892" t="str">
        <f>VLOOKUP($A892,'Medical Examinations'!$A:$J,6,FALSE)</f>
        <v>No</v>
      </c>
      <c r="G892" t="str">
        <f>VLOOKUP($A892,'Medical Examinations'!$A:$J,7,FALSE)</f>
        <v>No</v>
      </c>
      <c r="H892" t="str">
        <f>VLOOKUP($A892,'Medical Examinations'!$A:$J,8,FALSE)</f>
        <v>No</v>
      </c>
      <c r="I892">
        <f>VLOOKUP($A892,'Medical Examinations'!$A:$J,9,FALSE)</f>
        <v>0</v>
      </c>
      <c r="J892" t="str">
        <f>VLOOKUP($A892,'Medical Examinations'!$A:$J,10,FALSE)</f>
        <v>No</v>
      </c>
      <c r="K892" t="str">
        <f>VLOOKUP($A892,'Medical Examinations'!$A:$J,5,FALSE)</f>
        <v>Diabetes</v>
      </c>
      <c r="L892">
        <f>VLOOKUP($A893,'Medical Examinations'!$A:$J,3,FALSE)</f>
        <v>36.06</v>
      </c>
      <c r="M892">
        <f>VLOOKUP($A892,'Hospitalisation Details'!$A:$K,6,FALSE)</f>
        <v>12142.58</v>
      </c>
      <c r="N892" s="11">
        <f>VLOOKUP($B892,'Hospitalisation Details'!A891:J3235,10,0)</f>
        <v>23899</v>
      </c>
      <c r="O892" t="str">
        <f>VLOOKUP($B892,'Hospitalisation Details'!A891:J3235,8,0)</f>
        <v>tier - 3</v>
      </c>
      <c r="P892" t="str">
        <f>VLOOKUP($B892,'Hospitalisation Details'!A891:J3235,7,0)</f>
        <v>tier - 3</v>
      </c>
      <c r="Q892" t="str">
        <f>VLOOKUP($B892,'Hospitalisation Details'!A891:J3235,9,0)</f>
        <v>R1013</v>
      </c>
      <c r="R892">
        <f>VLOOKUP($B892,'Hospitalisation Details'!A891:K3235,11,0)</f>
        <v>58</v>
      </c>
    </row>
    <row r="893" spans="1:18" x14ac:dyDescent="0.35">
      <c r="A893" t="s">
        <v>1479</v>
      </c>
      <c r="B893" t="s">
        <v>924</v>
      </c>
      <c r="C893" t="str">
        <f>VLOOKUP($A893,'Customer Names'!$A:$E,4,FALSE)</f>
        <v>Francisco J. Sr.</v>
      </c>
      <c r="D893" t="str">
        <f>VLOOKUP($A893,'Medical Examinations'!$A:$J,2,FALSE)</f>
        <v>Obesity</v>
      </c>
      <c r="E893">
        <f>VLOOKUP($A893,'Medical Examinations'!$A:$J,4,FALSE)</f>
        <v>8.83</v>
      </c>
      <c r="F893" t="str">
        <f>VLOOKUP($A893,'Medical Examinations'!$A:$J,6,FALSE)</f>
        <v>No</v>
      </c>
      <c r="G893" t="str">
        <f>VLOOKUP($A893,'Medical Examinations'!$A:$J,7,FALSE)</f>
        <v>No</v>
      </c>
      <c r="H893" t="str">
        <f>VLOOKUP($A893,'Medical Examinations'!$A:$J,8,FALSE)</f>
        <v>No</v>
      </c>
      <c r="I893">
        <f>VLOOKUP($A893,'Medical Examinations'!$A:$J,9,FALSE)</f>
        <v>0</v>
      </c>
      <c r="J893" t="str">
        <f>VLOOKUP($A893,'Medical Examinations'!$A:$J,10,FALSE)</f>
        <v>No</v>
      </c>
      <c r="K893" t="str">
        <f>VLOOKUP($A893,'Medical Examinations'!$A:$J,5,FALSE)</f>
        <v>Diabetes</v>
      </c>
      <c r="L893">
        <f>VLOOKUP($A894,'Medical Examinations'!$A:$J,3,FALSE)</f>
        <v>43.28</v>
      </c>
      <c r="M893">
        <f>VLOOKUP($A893,'Hospitalisation Details'!$A:$K,6,FALSE)</f>
        <v>12137.6</v>
      </c>
      <c r="N893" s="11">
        <f>VLOOKUP($B893,'Hospitalisation Details'!A892:J3236,10,0)</f>
        <v>23918</v>
      </c>
      <c r="O893" t="str">
        <f>VLOOKUP($B893,'Hospitalisation Details'!A892:J3236,8,0)</f>
        <v>tier - 1</v>
      </c>
      <c r="P893" t="str">
        <f>VLOOKUP($B893,'Hospitalisation Details'!A892:J3236,7,0)</f>
        <v>tier - 3</v>
      </c>
      <c r="Q893" t="str">
        <f>VLOOKUP($B893,'Hospitalisation Details'!A892:J3236,9,0)</f>
        <v>R1013</v>
      </c>
      <c r="R893">
        <f>VLOOKUP($B893,'Hospitalisation Details'!A892:K3236,11,0)</f>
        <v>57</v>
      </c>
    </row>
    <row r="894" spans="1:18" x14ac:dyDescent="0.35">
      <c r="A894" t="s">
        <v>1478</v>
      </c>
      <c r="B894" t="s">
        <v>925</v>
      </c>
      <c r="C894" t="str">
        <f>VLOOKUP($A894,'Customer Names'!$A:$E,4,FALSE)</f>
        <v>Rhonda</v>
      </c>
      <c r="D894" t="str">
        <f>VLOOKUP($A894,'Medical Examinations'!$A:$J,2,FALSE)</f>
        <v>Obesity</v>
      </c>
      <c r="E894">
        <f>VLOOKUP($A894,'Medical Examinations'!$A:$J,4,FALSE)</f>
        <v>4.41</v>
      </c>
      <c r="F894" t="str">
        <f>VLOOKUP($A894,'Medical Examinations'!$A:$J,6,FALSE)</f>
        <v>No</v>
      </c>
      <c r="G894" t="str">
        <f>VLOOKUP($A894,'Medical Examinations'!$A:$J,7,FALSE)</f>
        <v>No</v>
      </c>
      <c r="H894" t="str">
        <f>VLOOKUP($A894,'Medical Examinations'!$A:$J,8,FALSE)</f>
        <v>No</v>
      </c>
      <c r="I894">
        <f>VLOOKUP($A894,'Medical Examinations'!$A:$J,9,FALSE)</f>
        <v>0</v>
      </c>
      <c r="J894" t="str">
        <f>VLOOKUP($A894,'Medical Examinations'!$A:$J,10,FALSE)</f>
        <v>No</v>
      </c>
      <c r="K894" t="str">
        <f>VLOOKUP($A894,'Medical Examinations'!$A:$J,5,FALSE)</f>
        <v>Normal</v>
      </c>
      <c r="L894">
        <f>VLOOKUP($A895,'Medical Examinations'!$A:$J,3,FALSE)</f>
        <v>28.785</v>
      </c>
      <c r="M894">
        <f>VLOOKUP($A894,'Hospitalisation Details'!$A:$K,6,FALSE)</f>
        <v>12130.8</v>
      </c>
      <c r="N894" s="11">
        <f>VLOOKUP($B894,'Hospitalisation Details'!A893:J3237,10,0)</f>
        <v>26522</v>
      </c>
      <c r="O894" t="str">
        <f>VLOOKUP($B894,'Hospitalisation Details'!A893:J3237,8,0)</f>
        <v>tier - 3</v>
      </c>
      <c r="P894" t="str">
        <f>VLOOKUP($B894,'Hospitalisation Details'!A893:J3237,7,0)</f>
        <v>tier - 2</v>
      </c>
      <c r="Q894" t="str">
        <f>VLOOKUP($B894,'Hospitalisation Details'!A893:J3237,9,0)</f>
        <v>R1012</v>
      </c>
      <c r="R894">
        <f>VLOOKUP($B894,'Hospitalisation Details'!A893:K3237,11,0)</f>
        <v>50</v>
      </c>
    </row>
    <row r="895" spans="1:18" x14ac:dyDescent="0.35">
      <c r="A895" t="s">
        <v>1477</v>
      </c>
      <c r="B895" t="s">
        <v>926</v>
      </c>
      <c r="C895" t="str">
        <f>VLOOKUP($A895,'Customer Names'!$A:$E,4,FALSE)</f>
        <v>John</v>
      </c>
      <c r="D895" t="str">
        <f>VLOOKUP($A895,'Medical Examinations'!$A:$J,2,FALSE)</f>
        <v>Overweight</v>
      </c>
      <c r="E895">
        <f>VLOOKUP($A895,'Medical Examinations'!$A:$J,4,FALSE)</f>
        <v>9.1</v>
      </c>
      <c r="F895" t="str">
        <f>VLOOKUP($A895,'Medical Examinations'!$A:$J,6,FALSE)</f>
        <v>yes</v>
      </c>
      <c r="G895" t="str">
        <f>VLOOKUP($A895,'Medical Examinations'!$A:$J,7,FALSE)</f>
        <v>No</v>
      </c>
      <c r="H895" t="str">
        <f>VLOOKUP($A895,'Medical Examinations'!$A:$J,8,FALSE)</f>
        <v>Yes</v>
      </c>
      <c r="I895">
        <f>VLOOKUP($A895,'Medical Examinations'!$A:$J,9,FALSE)</f>
        <v>1</v>
      </c>
      <c r="J895" t="str">
        <f>VLOOKUP($A895,'Medical Examinations'!$A:$J,10,FALSE)</f>
        <v>No</v>
      </c>
      <c r="K895" t="str">
        <f>VLOOKUP($A895,'Medical Examinations'!$A:$J,5,FALSE)</f>
        <v>Diabetes</v>
      </c>
      <c r="L895">
        <f>VLOOKUP($A896,'Medical Examinations'!$A:$J,3,FALSE)</f>
        <v>25.46</v>
      </c>
      <c r="M895">
        <f>VLOOKUP($A895,'Hospitalisation Details'!$A:$K,6,FALSE)</f>
        <v>12129.61</v>
      </c>
      <c r="N895" s="11">
        <f>VLOOKUP($B895,'Hospitalisation Details'!A894:J3238,10,0)</f>
        <v>23934</v>
      </c>
      <c r="O895" t="str">
        <f>VLOOKUP($B895,'Hospitalisation Details'!A894:J3238,8,0)</f>
        <v>tier - 3</v>
      </c>
      <c r="P895" t="str">
        <f>VLOOKUP($B895,'Hospitalisation Details'!A894:J3238,7,0)</f>
        <v>tier - 3</v>
      </c>
      <c r="Q895" t="str">
        <f>VLOOKUP($B895,'Hospitalisation Details'!A894:J3238,9,0)</f>
        <v>R1012</v>
      </c>
      <c r="R895">
        <f>VLOOKUP($B895,'Hospitalisation Details'!A894:K3238,11,0)</f>
        <v>57</v>
      </c>
    </row>
    <row r="896" spans="1:18" x14ac:dyDescent="0.35">
      <c r="A896" t="s">
        <v>1476</v>
      </c>
      <c r="B896" t="s">
        <v>927</v>
      </c>
      <c r="C896" t="str">
        <f>VLOOKUP($A896,'Customer Names'!$A:$E,4,FALSE)</f>
        <v>Miles J.</v>
      </c>
      <c r="D896" t="str">
        <f>VLOOKUP($A896,'Medical Examinations'!$A:$J,2,FALSE)</f>
        <v>Overweight</v>
      </c>
      <c r="E896">
        <f>VLOOKUP($A896,'Medical Examinations'!$A:$J,4,FALSE)</f>
        <v>11.52</v>
      </c>
      <c r="F896" t="str">
        <f>VLOOKUP($A896,'Medical Examinations'!$A:$J,6,FALSE)</f>
        <v>yes</v>
      </c>
      <c r="G896" t="str">
        <f>VLOOKUP($A896,'Medical Examinations'!$A:$J,7,FALSE)</f>
        <v>No</v>
      </c>
      <c r="H896" t="str">
        <f>VLOOKUP($A896,'Medical Examinations'!$A:$J,8,FALSE)</f>
        <v>Yes</v>
      </c>
      <c r="I896">
        <f>VLOOKUP($A896,'Medical Examinations'!$A:$J,9,FALSE)</f>
        <v>1</v>
      </c>
      <c r="J896" t="str">
        <f>VLOOKUP($A896,'Medical Examinations'!$A:$J,10,FALSE)</f>
        <v>No</v>
      </c>
      <c r="K896" t="str">
        <f>VLOOKUP($A896,'Medical Examinations'!$A:$J,5,FALSE)</f>
        <v>Diabetes</v>
      </c>
      <c r="L896">
        <f>VLOOKUP($A897,'Medical Examinations'!$A:$J,3,FALSE)</f>
        <v>30.8</v>
      </c>
      <c r="M896">
        <f>VLOOKUP($A896,'Hospitalisation Details'!$A:$K,6,FALSE)</f>
        <v>12124.99</v>
      </c>
      <c r="N896" s="11">
        <f>VLOOKUP($B896,'Hospitalisation Details'!A895:J3239,10,0)</f>
        <v>38306</v>
      </c>
      <c r="O896" t="str">
        <f>VLOOKUP($B896,'Hospitalisation Details'!A895:J3239,8,0)</f>
        <v>tier - 2</v>
      </c>
      <c r="P896" t="str">
        <f>VLOOKUP($B896,'Hospitalisation Details'!A895:J3239,7,0)</f>
        <v>tier - 2</v>
      </c>
      <c r="Q896" t="str">
        <f>VLOOKUP($B896,'Hospitalisation Details'!A895:J3239,9,0)</f>
        <v>R1024</v>
      </c>
      <c r="R896">
        <f>VLOOKUP($B896,'Hospitalisation Details'!A895:K3239,11,0)</f>
        <v>18</v>
      </c>
    </row>
    <row r="897" spans="1:18" x14ac:dyDescent="0.35">
      <c r="A897" t="s">
        <v>1475</v>
      </c>
      <c r="B897" t="s">
        <v>928</v>
      </c>
      <c r="C897" t="str">
        <f>VLOOKUP($A897,'Customer Names'!$A:$E,4,FALSE)</f>
        <v>Justyna I.</v>
      </c>
      <c r="D897" t="str">
        <f>VLOOKUP($A897,'Medical Examinations'!$A:$J,2,FALSE)</f>
        <v>Obesity</v>
      </c>
      <c r="E897">
        <f>VLOOKUP($A897,'Medical Examinations'!$A:$J,4,FALSE)</f>
        <v>10.95</v>
      </c>
      <c r="F897" t="str">
        <f>VLOOKUP($A897,'Medical Examinations'!$A:$J,6,FALSE)</f>
        <v>No</v>
      </c>
      <c r="G897" t="str">
        <f>VLOOKUP($A897,'Medical Examinations'!$A:$J,7,FALSE)</f>
        <v>No</v>
      </c>
      <c r="H897" t="str">
        <f>VLOOKUP($A897,'Medical Examinations'!$A:$J,8,FALSE)</f>
        <v>No</v>
      </c>
      <c r="I897">
        <f>VLOOKUP($A897,'Medical Examinations'!$A:$J,9,FALSE)</f>
        <v>0</v>
      </c>
      <c r="J897" t="str">
        <f>VLOOKUP($A897,'Medical Examinations'!$A:$J,10,FALSE)</f>
        <v>No</v>
      </c>
      <c r="K897" t="str">
        <f>VLOOKUP($A897,'Medical Examinations'!$A:$J,5,FALSE)</f>
        <v>Diabetes</v>
      </c>
      <c r="L897">
        <f>VLOOKUP($A898,'Medical Examinations'!$A:$J,3,FALSE)</f>
        <v>28.88</v>
      </c>
      <c r="M897">
        <f>VLOOKUP($A897,'Hospitalisation Details'!$A:$K,6,FALSE)</f>
        <v>12105.32</v>
      </c>
      <c r="N897" s="11">
        <f>VLOOKUP($B897,'Hospitalisation Details'!A896:J3240,10,0)</f>
        <v>29025</v>
      </c>
      <c r="O897" t="str">
        <f>VLOOKUP($B897,'Hospitalisation Details'!A896:J3240,8,0)</f>
        <v>tier - 3</v>
      </c>
      <c r="P897" t="str">
        <f>VLOOKUP($B897,'Hospitalisation Details'!A896:J3240,7,0)</f>
        <v>tier - 2</v>
      </c>
      <c r="Q897" t="str">
        <f>VLOOKUP($B897,'Hospitalisation Details'!A896:J3240,9,0)</f>
        <v>R1024</v>
      </c>
      <c r="R897">
        <f>VLOOKUP($B897,'Hospitalisation Details'!A896:K3240,11,0)</f>
        <v>43</v>
      </c>
    </row>
    <row r="898" spans="1:18" x14ac:dyDescent="0.35">
      <c r="A898" t="s">
        <v>1474</v>
      </c>
      <c r="B898" t="s">
        <v>929</v>
      </c>
      <c r="C898" t="str">
        <f>VLOOKUP($A898,'Customer Names'!$A:$E,4,FALSE)</f>
        <v>Lucille</v>
      </c>
      <c r="D898" t="str">
        <f>VLOOKUP($A898,'Medical Examinations'!$A:$J,2,FALSE)</f>
        <v>Overweight</v>
      </c>
      <c r="E898">
        <f>VLOOKUP($A898,'Medical Examinations'!$A:$J,4,FALSE)</f>
        <v>11.5</v>
      </c>
      <c r="F898" t="str">
        <f>VLOOKUP($A898,'Medical Examinations'!$A:$J,6,FALSE)</f>
        <v>No</v>
      </c>
      <c r="G898" t="str">
        <f>VLOOKUP($A898,'Medical Examinations'!$A:$J,7,FALSE)</f>
        <v>No</v>
      </c>
      <c r="H898" t="str">
        <f>VLOOKUP($A898,'Medical Examinations'!$A:$J,8,FALSE)</f>
        <v>No</v>
      </c>
      <c r="I898">
        <f>VLOOKUP($A898,'Medical Examinations'!$A:$J,9,FALSE)</f>
        <v>0</v>
      </c>
      <c r="J898" t="str">
        <f>VLOOKUP($A898,'Medical Examinations'!$A:$J,10,FALSE)</f>
        <v>No</v>
      </c>
      <c r="K898" t="str">
        <f>VLOOKUP($A898,'Medical Examinations'!$A:$J,5,FALSE)</f>
        <v>Diabetes</v>
      </c>
      <c r="L898">
        <f>VLOOKUP($A899,'Medical Examinations'!$A:$J,3,FALSE)</f>
        <v>23</v>
      </c>
      <c r="M898">
        <f>VLOOKUP($A898,'Hospitalisation Details'!$A:$K,6,FALSE)</f>
        <v>12096.65</v>
      </c>
      <c r="N898" s="11">
        <f>VLOOKUP($B898,'Hospitalisation Details'!A897:J3241,10,0)</f>
        <v>30888</v>
      </c>
      <c r="O898" t="str">
        <f>VLOOKUP($B898,'Hospitalisation Details'!A897:J3241,8,0)</f>
        <v>tier - 1</v>
      </c>
      <c r="P898" t="str">
        <f>VLOOKUP($B898,'Hospitalisation Details'!A897:J3241,7,0)</f>
        <v>tier - 2</v>
      </c>
      <c r="Q898" t="str">
        <f>VLOOKUP($B898,'Hospitalisation Details'!A897:J3241,9,0)</f>
        <v>R1012</v>
      </c>
      <c r="R898">
        <f>VLOOKUP($B898,'Hospitalisation Details'!A897:K3241,11,0)</f>
        <v>38</v>
      </c>
    </row>
    <row r="899" spans="1:18" x14ac:dyDescent="0.35">
      <c r="A899" t="s">
        <v>1473</v>
      </c>
      <c r="B899" t="s">
        <v>930</v>
      </c>
      <c r="C899" t="str">
        <f>VLOOKUP($A899,'Customer Names'!$A:$E,4,FALSE)</f>
        <v>April</v>
      </c>
      <c r="D899" t="str">
        <f>VLOOKUP($A899,'Medical Examinations'!$A:$J,2,FALSE)</f>
        <v>Normal Weight</v>
      </c>
      <c r="E899">
        <f>VLOOKUP($A899,'Medical Examinations'!$A:$J,4,FALSE)</f>
        <v>9.8800000000000008</v>
      </c>
      <c r="F899" t="str">
        <f>VLOOKUP($A899,'Medical Examinations'!$A:$J,6,FALSE)</f>
        <v>No</v>
      </c>
      <c r="G899" t="str">
        <f>VLOOKUP($A899,'Medical Examinations'!$A:$J,7,FALSE)</f>
        <v>No</v>
      </c>
      <c r="H899" t="str">
        <f>VLOOKUP($A899,'Medical Examinations'!$A:$J,8,FALSE)</f>
        <v>No</v>
      </c>
      <c r="I899">
        <f>VLOOKUP($A899,'Medical Examinations'!$A:$J,9,FALSE)</f>
        <v>0</v>
      </c>
      <c r="J899" t="str">
        <f>VLOOKUP($A899,'Medical Examinations'!$A:$J,10,FALSE)</f>
        <v>No</v>
      </c>
      <c r="K899" t="str">
        <f>VLOOKUP($A899,'Medical Examinations'!$A:$J,5,FALSE)</f>
        <v>Diabetes</v>
      </c>
      <c r="L899">
        <f>VLOOKUP($A900,'Medical Examinations'!$A:$J,3,FALSE)</f>
        <v>38.25</v>
      </c>
      <c r="M899">
        <f>VLOOKUP($A899,'Hospitalisation Details'!$A:$K,6,FALSE)</f>
        <v>12094.48</v>
      </c>
      <c r="N899" s="11">
        <f>VLOOKUP($B899,'Hospitalisation Details'!A898:J3242,10,0)</f>
        <v>29117</v>
      </c>
      <c r="O899" t="str">
        <f>VLOOKUP($B899,'Hospitalisation Details'!A898:J3242,8,0)</f>
        <v>tier - 3</v>
      </c>
      <c r="P899" t="str">
        <f>VLOOKUP($B899,'Hospitalisation Details'!A898:J3242,7,0)</f>
        <v>tier - 2</v>
      </c>
      <c r="Q899" t="str">
        <f>VLOOKUP($B899,'Hospitalisation Details'!A898:J3242,9,0)</f>
        <v>R1011</v>
      </c>
      <c r="R899">
        <f>VLOOKUP($B899,'Hospitalisation Details'!A898:K3242,11,0)</f>
        <v>43</v>
      </c>
    </row>
    <row r="900" spans="1:18" x14ac:dyDescent="0.35">
      <c r="A900" t="s">
        <v>1472</v>
      </c>
      <c r="B900" t="s">
        <v>931</v>
      </c>
      <c r="C900" t="str">
        <f>VLOOKUP($A900,'Customer Names'!$A:$E,4,FALSE)</f>
        <v>Robert</v>
      </c>
      <c r="D900" t="str">
        <f>VLOOKUP($A900,'Medical Examinations'!$A:$J,2,FALSE)</f>
        <v>Obesity</v>
      </c>
      <c r="E900">
        <f>VLOOKUP($A900,'Medical Examinations'!$A:$J,4,FALSE)</f>
        <v>6.2</v>
      </c>
      <c r="F900" t="str">
        <f>VLOOKUP($A900,'Medical Examinations'!$A:$J,6,FALSE)</f>
        <v>No</v>
      </c>
      <c r="G900" t="str">
        <f>VLOOKUP($A900,'Medical Examinations'!$A:$J,7,FALSE)</f>
        <v>No</v>
      </c>
      <c r="H900" t="str">
        <f>VLOOKUP($A900,'Medical Examinations'!$A:$J,8,FALSE)</f>
        <v>No</v>
      </c>
      <c r="I900">
        <f>VLOOKUP($A900,'Medical Examinations'!$A:$J,9,FALSE)</f>
        <v>1</v>
      </c>
      <c r="J900" t="str">
        <f>VLOOKUP($A900,'Medical Examinations'!$A:$J,10,FALSE)</f>
        <v>No</v>
      </c>
      <c r="K900" t="str">
        <f>VLOOKUP($A900,'Medical Examinations'!$A:$J,5,FALSE)</f>
        <v>Prediabetes</v>
      </c>
      <c r="L900">
        <f>VLOOKUP($A901,'Medical Examinations'!$A:$J,3,FALSE)</f>
        <v>39.25</v>
      </c>
      <c r="M900">
        <f>VLOOKUP($A900,'Hospitalisation Details'!$A:$K,6,FALSE)</f>
        <v>12091.34</v>
      </c>
      <c r="N900" s="11">
        <f>VLOOKUP($B900,'Hospitalisation Details'!A899:J3243,10,0)</f>
        <v>31578</v>
      </c>
      <c r="O900" t="str">
        <f>VLOOKUP($B900,'Hospitalisation Details'!A899:J3243,8,0)</f>
        <v>tier - 2</v>
      </c>
      <c r="P900" t="str">
        <f>VLOOKUP($B900,'Hospitalisation Details'!A899:J3243,7,0)</f>
        <v>tier - 2</v>
      </c>
      <c r="Q900" t="str">
        <f>VLOOKUP($B900,'Hospitalisation Details'!A899:J3243,9,0)</f>
        <v>R1012</v>
      </c>
      <c r="R900">
        <f>VLOOKUP($B900,'Hospitalisation Details'!A899:K3243,11,0)</f>
        <v>36</v>
      </c>
    </row>
    <row r="901" spans="1:18" x14ac:dyDescent="0.35">
      <c r="A901" t="s">
        <v>1471</v>
      </c>
      <c r="B901" t="s">
        <v>932</v>
      </c>
      <c r="C901" t="str">
        <f>VLOOKUP($A901,'Customer Names'!$A:$E,4,FALSE)</f>
        <v>Alyssa</v>
      </c>
      <c r="D901" t="str">
        <f>VLOOKUP($A901,'Medical Examinations'!$A:$J,2,FALSE)</f>
        <v>Obesity</v>
      </c>
      <c r="E901">
        <f>VLOOKUP($A901,'Medical Examinations'!$A:$J,4,FALSE)</f>
        <v>8.41</v>
      </c>
      <c r="F901" t="str">
        <f>VLOOKUP($A901,'Medical Examinations'!$A:$J,6,FALSE)</f>
        <v>yes</v>
      </c>
      <c r="G901" t="str">
        <f>VLOOKUP($A901,'Medical Examinations'!$A:$J,7,FALSE)</f>
        <v>No</v>
      </c>
      <c r="H901" t="str">
        <f>VLOOKUP($A901,'Medical Examinations'!$A:$J,8,FALSE)</f>
        <v>No</v>
      </c>
      <c r="I901">
        <f>VLOOKUP($A901,'Medical Examinations'!$A:$J,9,FALSE)</f>
        <v>1</v>
      </c>
      <c r="J901" t="str">
        <f>VLOOKUP($A901,'Medical Examinations'!$A:$J,10,FALSE)</f>
        <v>No</v>
      </c>
      <c r="K901" t="str">
        <f>VLOOKUP($A901,'Medical Examinations'!$A:$J,5,FALSE)</f>
        <v>Diabetes</v>
      </c>
      <c r="L901">
        <f>VLOOKUP($A902,'Medical Examinations'!$A:$J,3,FALSE)</f>
        <v>26.6</v>
      </c>
      <c r="M901">
        <f>VLOOKUP($A901,'Hospitalisation Details'!$A:$K,6,FALSE)</f>
        <v>12048.13</v>
      </c>
      <c r="N901" s="11">
        <f>VLOOKUP($B901,'Hospitalisation Details'!A900:J3244,10,0)</f>
        <v>28477</v>
      </c>
      <c r="O901" t="str">
        <f>VLOOKUP($B901,'Hospitalisation Details'!A900:J3244,8,0)</f>
        <v>tier - 1</v>
      </c>
      <c r="P901" t="str">
        <f>VLOOKUP($B901,'Hospitalisation Details'!A900:J3244,7,0)</f>
        <v>tier - 2</v>
      </c>
      <c r="Q901" t="str">
        <f>VLOOKUP($B901,'Hospitalisation Details'!A900:J3244,9,0)</f>
        <v>R1011</v>
      </c>
      <c r="R901">
        <f>VLOOKUP($B901,'Hospitalisation Details'!A900:K3244,11,0)</f>
        <v>45</v>
      </c>
    </row>
    <row r="902" spans="1:18" x14ac:dyDescent="0.35">
      <c r="A902" t="s">
        <v>1470</v>
      </c>
      <c r="B902" t="s">
        <v>933</v>
      </c>
      <c r="C902" t="str">
        <f>VLOOKUP($A902,'Customer Names'!$A:$E,4,FALSE)</f>
        <v>Jessica E.</v>
      </c>
      <c r="D902" t="str">
        <f>VLOOKUP($A902,'Medical Examinations'!$A:$J,2,FALSE)</f>
        <v>Overweight</v>
      </c>
      <c r="E902">
        <f>VLOOKUP($A902,'Medical Examinations'!$A:$J,4,FALSE)</f>
        <v>5.07</v>
      </c>
      <c r="F902" t="str">
        <f>VLOOKUP($A902,'Medical Examinations'!$A:$J,6,FALSE)</f>
        <v>yes</v>
      </c>
      <c r="G902" t="str">
        <f>VLOOKUP($A902,'Medical Examinations'!$A:$J,7,FALSE)</f>
        <v>No</v>
      </c>
      <c r="H902" t="str">
        <f>VLOOKUP($A902,'Medical Examinations'!$A:$J,8,FALSE)</f>
        <v>No</v>
      </c>
      <c r="I902">
        <f>VLOOKUP($A902,'Medical Examinations'!$A:$J,9,FALSE)</f>
        <v>2</v>
      </c>
      <c r="J902" t="str">
        <f>VLOOKUP($A902,'Medical Examinations'!$A:$J,10,FALSE)</f>
        <v>No</v>
      </c>
      <c r="K902" t="str">
        <f>VLOOKUP($A902,'Medical Examinations'!$A:$J,5,FALSE)</f>
        <v>Normal</v>
      </c>
      <c r="L902">
        <f>VLOOKUP($A903,'Medical Examinations'!$A:$J,3,FALSE)</f>
        <v>35.700000000000003</v>
      </c>
      <c r="M902">
        <f>VLOOKUP($A902,'Hospitalisation Details'!$A:$K,6,FALSE)</f>
        <v>12044.34</v>
      </c>
      <c r="N902" s="11">
        <f>VLOOKUP($B902,'Hospitalisation Details'!A901:J3245,10,0)</f>
        <v>29032</v>
      </c>
      <c r="O902" t="str">
        <f>VLOOKUP($B902,'Hospitalisation Details'!A901:J3245,8,0)</f>
        <v>tier - 1</v>
      </c>
      <c r="P902" t="str">
        <f>VLOOKUP($B902,'Hospitalisation Details'!A901:J3245,7,0)</f>
        <v>tier - 2</v>
      </c>
      <c r="Q902" t="str">
        <f>VLOOKUP($B902,'Hospitalisation Details'!A901:J3245,9,0)</f>
        <v>R1013</v>
      </c>
      <c r="R902">
        <f>VLOOKUP($B902,'Hospitalisation Details'!A901:K3245,11,0)</f>
        <v>43</v>
      </c>
    </row>
    <row r="903" spans="1:18" x14ac:dyDescent="0.35">
      <c r="A903" t="s">
        <v>1469</v>
      </c>
      <c r="B903" t="s">
        <v>934</v>
      </c>
      <c r="C903" t="str">
        <f>VLOOKUP($A903,'Customer Names'!$A:$E,4,FALSE)</f>
        <v>Patrick J.</v>
      </c>
      <c r="D903" t="str">
        <f>VLOOKUP($A903,'Medical Examinations'!$A:$J,2,FALSE)</f>
        <v>Obesity</v>
      </c>
      <c r="E903">
        <f>VLOOKUP($A903,'Medical Examinations'!$A:$J,4,FALSE)</f>
        <v>4.0599999999999996</v>
      </c>
      <c r="F903" t="str">
        <f>VLOOKUP($A903,'Medical Examinations'!$A:$J,6,FALSE)</f>
        <v>No</v>
      </c>
      <c r="G903" t="str">
        <f>VLOOKUP($A903,'Medical Examinations'!$A:$J,7,FALSE)</f>
        <v>No</v>
      </c>
      <c r="H903" t="str">
        <f>VLOOKUP($A903,'Medical Examinations'!$A:$J,8,FALSE)</f>
        <v>Yes</v>
      </c>
      <c r="I903">
        <f>VLOOKUP($A903,'Medical Examinations'!$A:$J,9,FALSE)</f>
        <v>1</v>
      </c>
      <c r="J903" t="str">
        <f>VLOOKUP($A903,'Medical Examinations'!$A:$J,10,FALSE)</f>
        <v>No</v>
      </c>
      <c r="K903" t="str">
        <f>VLOOKUP($A903,'Medical Examinations'!$A:$J,5,FALSE)</f>
        <v>Normal</v>
      </c>
      <c r="L903">
        <f>VLOOKUP($A904,'Medical Examinations'!$A:$J,3,FALSE)</f>
        <v>20.100000000000001</v>
      </c>
      <c r="M903">
        <f>VLOOKUP($A903,'Hospitalisation Details'!$A:$K,6,FALSE)</f>
        <v>12035.18</v>
      </c>
      <c r="N903" s="11">
        <f>VLOOKUP($B903,'Hospitalisation Details'!A902:J3246,10,0)</f>
        <v>28460</v>
      </c>
      <c r="O903" t="str">
        <f>VLOOKUP($B903,'Hospitalisation Details'!A902:J3246,8,0)</f>
        <v>tier - 1</v>
      </c>
      <c r="P903" t="str">
        <f>VLOOKUP($B903,'Hospitalisation Details'!A902:J3246,7,0)</f>
        <v>tier - 2</v>
      </c>
      <c r="Q903" t="str">
        <f>VLOOKUP($B903,'Hospitalisation Details'!A902:J3246,9,0)</f>
        <v>R1011</v>
      </c>
      <c r="R903">
        <f>VLOOKUP($B903,'Hospitalisation Details'!A902:K3246,11,0)</f>
        <v>45</v>
      </c>
    </row>
    <row r="904" spans="1:18" x14ac:dyDescent="0.35">
      <c r="A904" t="s">
        <v>1468</v>
      </c>
      <c r="B904" t="s">
        <v>935</v>
      </c>
      <c r="C904" t="str">
        <f>VLOOKUP($A904,'Customer Names'!$A:$E,4,FALSE)</f>
        <v>Emilie</v>
      </c>
      <c r="D904" t="str">
        <f>VLOOKUP($A904,'Medical Examinations'!$A:$J,2,FALSE)</f>
        <v>Normal Weight</v>
      </c>
      <c r="E904">
        <f>VLOOKUP($A904,'Medical Examinations'!$A:$J,4,FALSE)</f>
        <v>10.52</v>
      </c>
      <c r="F904" t="str">
        <f>VLOOKUP($A904,'Medical Examinations'!$A:$J,6,FALSE)</f>
        <v>No</v>
      </c>
      <c r="G904" t="str">
        <f>VLOOKUP($A904,'Medical Examinations'!$A:$J,7,FALSE)</f>
        <v>No</v>
      </c>
      <c r="H904" t="str">
        <f>VLOOKUP($A904,'Medical Examinations'!$A:$J,8,FALSE)</f>
        <v>No</v>
      </c>
      <c r="I904">
        <f>VLOOKUP($A904,'Medical Examinations'!$A:$J,9,FALSE)</f>
        <v>0</v>
      </c>
      <c r="J904" t="str">
        <f>VLOOKUP($A904,'Medical Examinations'!$A:$J,10,FALSE)</f>
        <v>No</v>
      </c>
      <c r="K904" t="str">
        <f>VLOOKUP($A904,'Medical Examinations'!$A:$J,5,FALSE)</f>
        <v>Diabetes</v>
      </c>
      <c r="L904">
        <f>VLOOKUP($A905,'Medical Examinations'!$A:$J,3,FALSE)</f>
        <v>22.23</v>
      </c>
      <c r="M904">
        <f>VLOOKUP($A904,'Hospitalisation Details'!$A:$K,6,FALSE)</f>
        <v>12032.33</v>
      </c>
      <c r="N904" s="11">
        <f>VLOOKUP($B904,'Hospitalisation Details'!A903:J3247,10,0)</f>
        <v>34247</v>
      </c>
      <c r="O904" t="str">
        <f>VLOOKUP($B904,'Hospitalisation Details'!A903:J3247,8,0)</f>
        <v>tier - 2</v>
      </c>
      <c r="P904" t="str">
        <f>VLOOKUP($B904,'Hospitalisation Details'!A903:J3247,7,0)</f>
        <v>tier - 2</v>
      </c>
      <c r="Q904" t="str">
        <f>VLOOKUP($B904,'Hospitalisation Details'!A903:J3247,9,0)</f>
        <v>R1021</v>
      </c>
      <c r="R904">
        <f>VLOOKUP($B904,'Hospitalisation Details'!A903:K3247,11,0)</f>
        <v>29</v>
      </c>
    </row>
    <row r="905" spans="1:18" x14ac:dyDescent="0.35">
      <c r="A905" t="s">
        <v>1467</v>
      </c>
      <c r="B905" t="s">
        <v>936</v>
      </c>
      <c r="C905" t="str">
        <f>VLOOKUP($A905,'Customer Names'!$A:$E,4,FALSE)</f>
        <v>Caitlin B.</v>
      </c>
      <c r="D905" t="str">
        <f>VLOOKUP($A905,'Medical Examinations'!$A:$J,2,FALSE)</f>
        <v>Normal Weight</v>
      </c>
      <c r="E905">
        <f>VLOOKUP($A905,'Medical Examinations'!$A:$J,4,FALSE)</f>
        <v>9.65</v>
      </c>
      <c r="F905" t="str">
        <f>VLOOKUP($A905,'Medical Examinations'!$A:$J,6,FALSE)</f>
        <v>No</v>
      </c>
      <c r="G905" t="str">
        <f>VLOOKUP($A905,'Medical Examinations'!$A:$J,7,FALSE)</f>
        <v>No</v>
      </c>
      <c r="H905" t="str">
        <f>VLOOKUP($A905,'Medical Examinations'!$A:$J,8,FALSE)</f>
        <v>No</v>
      </c>
      <c r="I905">
        <f>VLOOKUP($A905,'Medical Examinations'!$A:$J,9,FALSE)</f>
        <v>0</v>
      </c>
      <c r="J905" t="str">
        <f>VLOOKUP($A905,'Medical Examinations'!$A:$J,10,FALSE)</f>
        <v>No</v>
      </c>
      <c r="K905" t="str">
        <f>VLOOKUP($A905,'Medical Examinations'!$A:$J,5,FALSE)</f>
        <v>Diabetes</v>
      </c>
      <c r="L905">
        <f>VLOOKUP($A906,'Medical Examinations'!$A:$J,3,FALSE)</f>
        <v>36.47</v>
      </c>
      <c r="M905">
        <f>VLOOKUP($A905,'Hospitalisation Details'!$A:$K,6,FALSE)</f>
        <v>12029.29</v>
      </c>
      <c r="N905" s="11">
        <f>VLOOKUP($B905,'Hospitalisation Details'!A904:J3248,10,0)</f>
        <v>30488</v>
      </c>
      <c r="O905" t="str">
        <f>VLOOKUP($B905,'Hospitalisation Details'!A904:J3248,8,0)</f>
        <v>tier - 2</v>
      </c>
      <c r="P905" t="str">
        <f>VLOOKUP($B905,'Hospitalisation Details'!A904:J3248,7,0)</f>
        <v>tier - 2</v>
      </c>
      <c r="Q905" t="str">
        <f>VLOOKUP($B905,'Hospitalisation Details'!A904:J3248,9,0)</f>
        <v>R1012</v>
      </c>
      <c r="R905">
        <f>VLOOKUP($B905,'Hospitalisation Details'!A904:K3248,11,0)</f>
        <v>39</v>
      </c>
    </row>
    <row r="906" spans="1:18" x14ac:dyDescent="0.35">
      <c r="A906" t="s">
        <v>1466</v>
      </c>
      <c r="B906" t="s">
        <v>937</v>
      </c>
      <c r="C906" t="str">
        <f>VLOOKUP($A906,'Customer Names'!$A:$E,4,FALSE)</f>
        <v>Joseph W</v>
      </c>
      <c r="D906" t="str">
        <f>VLOOKUP($A906,'Medical Examinations'!$A:$J,2,FALSE)</f>
        <v>Obesity</v>
      </c>
      <c r="E906">
        <f>VLOOKUP($A906,'Medical Examinations'!$A:$J,4,FALSE)</f>
        <v>6.21</v>
      </c>
      <c r="F906" t="str">
        <f>VLOOKUP($A906,'Medical Examinations'!$A:$J,6,FALSE)</f>
        <v>No</v>
      </c>
      <c r="G906" t="str">
        <f>VLOOKUP($A906,'Medical Examinations'!$A:$J,7,FALSE)</f>
        <v>No</v>
      </c>
      <c r="H906" t="str">
        <f>VLOOKUP($A906,'Medical Examinations'!$A:$J,8,FALSE)</f>
        <v>No</v>
      </c>
      <c r="I906">
        <f>VLOOKUP($A906,'Medical Examinations'!$A:$J,9,FALSE)</f>
        <v>0</v>
      </c>
      <c r="J906" t="str">
        <f>VLOOKUP($A906,'Medical Examinations'!$A:$J,10,FALSE)</f>
        <v>No</v>
      </c>
      <c r="K906" t="str">
        <f>VLOOKUP($A906,'Medical Examinations'!$A:$J,5,FALSE)</f>
        <v>Prediabetes</v>
      </c>
      <c r="L906">
        <f>VLOOKUP($A907,'Medical Examinations'!$A:$J,3,FALSE)</f>
        <v>49.64</v>
      </c>
      <c r="M906">
        <f>VLOOKUP($A906,'Hospitalisation Details'!$A:$K,6,FALSE)</f>
        <v>12001.29</v>
      </c>
      <c r="N906" s="11">
        <f>VLOOKUP($B906,'Hospitalisation Details'!A905:J3249,10,0)</f>
        <v>29783</v>
      </c>
      <c r="O906" t="str">
        <f>VLOOKUP($B906,'Hospitalisation Details'!A905:J3249,8,0)</f>
        <v>tier - 3</v>
      </c>
      <c r="P906" t="str">
        <f>VLOOKUP($B906,'Hospitalisation Details'!A905:J3249,7,0)</f>
        <v>tier - 2</v>
      </c>
      <c r="Q906" t="str">
        <f>VLOOKUP($B906,'Hospitalisation Details'!A905:J3249,9,0)</f>
        <v>R1024</v>
      </c>
      <c r="R906">
        <f>VLOOKUP($B906,'Hospitalisation Details'!A905:K3249,11,0)</f>
        <v>41</v>
      </c>
    </row>
    <row r="907" spans="1:18" x14ac:dyDescent="0.35">
      <c r="A907" t="s">
        <v>1465</v>
      </c>
      <c r="B907" t="s">
        <v>938</v>
      </c>
      <c r="C907" t="str">
        <f>VLOOKUP($A907,'Customer Names'!$A:$E,4,FALSE)</f>
        <v>Wendy</v>
      </c>
      <c r="D907" t="str">
        <f>VLOOKUP($A907,'Medical Examinations'!$A:$J,2,FALSE)</f>
        <v>Obesity</v>
      </c>
      <c r="E907">
        <f>VLOOKUP($A907,'Medical Examinations'!$A:$J,4,FALSE)</f>
        <v>4.76</v>
      </c>
      <c r="F907" t="str">
        <f>VLOOKUP($A907,'Medical Examinations'!$A:$J,6,FALSE)</f>
        <v>No</v>
      </c>
      <c r="G907" t="str">
        <f>VLOOKUP($A907,'Medical Examinations'!$A:$J,7,FALSE)</f>
        <v>No</v>
      </c>
      <c r="H907" t="str">
        <f>VLOOKUP($A907,'Medical Examinations'!$A:$J,8,FALSE)</f>
        <v>Yes</v>
      </c>
      <c r="I907">
        <f>VLOOKUP($A907,'Medical Examinations'!$A:$J,9,FALSE)</f>
        <v>1</v>
      </c>
      <c r="J907" t="str">
        <f>VLOOKUP($A907,'Medical Examinations'!$A:$J,10,FALSE)</f>
        <v>No</v>
      </c>
      <c r="K907" t="str">
        <f>VLOOKUP($A907,'Medical Examinations'!$A:$J,5,FALSE)</f>
        <v>Normal</v>
      </c>
      <c r="L907">
        <f>VLOOKUP($A908,'Medical Examinations'!$A:$J,3,FALSE)</f>
        <v>36.799999999999997</v>
      </c>
      <c r="M907">
        <f>VLOOKUP($A907,'Hospitalisation Details'!$A:$K,6,FALSE)</f>
        <v>11994.89</v>
      </c>
      <c r="N907" s="11">
        <f>VLOOKUP($B907,'Hospitalisation Details'!A906:J3250,10,0)</f>
        <v>24085</v>
      </c>
      <c r="O907" t="str">
        <f>VLOOKUP($B907,'Hospitalisation Details'!A906:J3250,8,0)</f>
        <v>tier - 3</v>
      </c>
      <c r="P907" t="str">
        <f>VLOOKUP($B907,'Hospitalisation Details'!A906:J3250,7,0)</f>
        <v>tier - 3</v>
      </c>
      <c r="Q907" t="str">
        <f>VLOOKUP($B907,'Hospitalisation Details'!A906:J3250,9,0)</f>
        <v>R1013</v>
      </c>
      <c r="R907">
        <f>VLOOKUP($B907,'Hospitalisation Details'!A906:K3250,11,0)</f>
        <v>57</v>
      </c>
    </row>
    <row r="908" spans="1:18" x14ac:dyDescent="0.35">
      <c r="A908" t="s">
        <v>1464</v>
      </c>
      <c r="B908" t="s">
        <v>939</v>
      </c>
      <c r="C908" t="str">
        <f>VLOOKUP($A908,'Customer Names'!$A:$E,4,FALSE)</f>
        <v>Leah L.</v>
      </c>
      <c r="D908" t="str">
        <f>VLOOKUP($A908,'Medical Examinations'!$A:$J,2,FALSE)</f>
        <v>Obesity</v>
      </c>
      <c r="E908">
        <f>VLOOKUP($A908,'Medical Examinations'!$A:$J,4,FALSE)</f>
        <v>5.73</v>
      </c>
      <c r="F908" t="str">
        <f>VLOOKUP($A908,'Medical Examinations'!$A:$J,6,FALSE)</f>
        <v>yes</v>
      </c>
      <c r="G908" t="str">
        <f>VLOOKUP($A908,'Medical Examinations'!$A:$J,7,FALSE)</f>
        <v>No</v>
      </c>
      <c r="H908" t="str">
        <f>VLOOKUP($A908,'Medical Examinations'!$A:$J,8,FALSE)</f>
        <v>Yes</v>
      </c>
      <c r="I908">
        <f>VLOOKUP($A908,'Medical Examinations'!$A:$J,9,FALSE)</f>
        <v>1</v>
      </c>
      <c r="J908" t="str">
        <f>VLOOKUP($A908,'Medical Examinations'!$A:$J,10,FALSE)</f>
        <v>No</v>
      </c>
      <c r="K908" t="str">
        <f>VLOOKUP($A908,'Medical Examinations'!$A:$J,5,FALSE)</f>
        <v>Prediabetes</v>
      </c>
      <c r="L908">
        <f>VLOOKUP($A909,'Medical Examinations'!$A:$J,3,FALSE)</f>
        <v>33.880000000000003</v>
      </c>
      <c r="M908">
        <f>VLOOKUP($A908,'Hospitalisation Details'!$A:$K,6,FALSE)</f>
        <v>11987.68</v>
      </c>
      <c r="N908" s="11">
        <f>VLOOKUP($B908,'Hospitalisation Details'!A907:J3251,10,0)</f>
        <v>29914</v>
      </c>
      <c r="O908" t="str">
        <f>VLOOKUP($B908,'Hospitalisation Details'!A907:J3251,8,0)</f>
        <v>tier - 1</v>
      </c>
      <c r="P908" t="str">
        <f>VLOOKUP($B908,'Hospitalisation Details'!A907:J3251,7,0)</f>
        <v>tier - 2</v>
      </c>
      <c r="Q908" t="str">
        <f>VLOOKUP($B908,'Hospitalisation Details'!A907:J3251,9,0)</f>
        <v>R1011</v>
      </c>
      <c r="R908">
        <f>VLOOKUP($B908,'Hospitalisation Details'!A907:K3251,11,0)</f>
        <v>41</v>
      </c>
    </row>
    <row r="909" spans="1:18" x14ac:dyDescent="0.35">
      <c r="A909" t="s">
        <v>1463</v>
      </c>
      <c r="B909" t="s">
        <v>940</v>
      </c>
      <c r="C909" t="str">
        <f>VLOOKUP($A909,'Customer Names'!$A:$E,4,FALSE)</f>
        <v>Wayne L.</v>
      </c>
      <c r="D909" t="str">
        <f>VLOOKUP($A909,'Medical Examinations'!$A:$J,2,FALSE)</f>
        <v>Obesity</v>
      </c>
      <c r="E909">
        <f>VLOOKUP($A909,'Medical Examinations'!$A:$J,4,FALSE)</f>
        <v>10.78</v>
      </c>
      <c r="F909" t="str">
        <f>VLOOKUP($A909,'Medical Examinations'!$A:$J,6,FALSE)</f>
        <v>yes</v>
      </c>
      <c r="G909" t="str">
        <f>VLOOKUP($A909,'Medical Examinations'!$A:$J,7,FALSE)</f>
        <v>No</v>
      </c>
      <c r="H909" t="str">
        <f>VLOOKUP($A909,'Medical Examinations'!$A:$J,8,FALSE)</f>
        <v>No</v>
      </c>
      <c r="I909">
        <f>VLOOKUP($A909,'Medical Examinations'!$A:$J,9,FALSE)</f>
        <v>0</v>
      </c>
      <c r="J909" t="str">
        <f>VLOOKUP($A909,'Medical Examinations'!$A:$J,10,FALSE)</f>
        <v>No</v>
      </c>
      <c r="K909" t="str">
        <f>VLOOKUP($A909,'Medical Examinations'!$A:$J,5,FALSE)</f>
        <v>Diabetes</v>
      </c>
      <c r="L909">
        <f>VLOOKUP($A910,'Medical Examinations'!$A:$J,3,FALSE)</f>
        <v>32.01</v>
      </c>
      <c r="M909">
        <f>VLOOKUP($A909,'Hospitalisation Details'!$A:$K,6,FALSE)</f>
        <v>11987.17</v>
      </c>
      <c r="N909" s="11">
        <f>VLOOKUP($B909,'Hospitalisation Details'!A908:J3252,10,0)</f>
        <v>34172</v>
      </c>
      <c r="O909" t="str">
        <f>VLOOKUP($B909,'Hospitalisation Details'!A908:J3252,8,0)</f>
        <v>tier - 2</v>
      </c>
      <c r="P909" t="str">
        <f>VLOOKUP($B909,'Hospitalisation Details'!A908:J3252,7,0)</f>
        <v>tier - 2</v>
      </c>
      <c r="Q909" t="str">
        <f>VLOOKUP($B909,'Hospitalisation Details'!A908:J3252,9,0)</f>
        <v>R1026</v>
      </c>
      <c r="R909">
        <f>VLOOKUP($B909,'Hospitalisation Details'!A908:K3252,11,0)</f>
        <v>29</v>
      </c>
    </row>
    <row r="910" spans="1:18" x14ac:dyDescent="0.35">
      <c r="A910" t="s">
        <v>1462</v>
      </c>
      <c r="B910" t="s">
        <v>941</v>
      </c>
      <c r="C910" t="str">
        <f>VLOOKUP($A910,'Customer Names'!$A:$E,4,FALSE)</f>
        <v>Jason M.</v>
      </c>
      <c r="D910" t="str">
        <f>VLOOKUP($A910,'Medical Examinations'!$A:$J,2,FALSE)</f>
        <v>Obesity</v>
      </c>
      <c r="E910">
        <f>VLOOKUP($A910,'Medical Examinations'!$A:$J,4,FALSE)</f>
        <v>5.08</v>
      </c>
      <c r="F910" t="str">
        <f>VLOOKUP($A910,'Medical Examinations'!$A:$J,6,FALSE)</f>
        <v>yes</v>
      </c>
      <c r="G910" t="str">
        <f>VLOOKUP($A910,'Medical Examinations'!$A:$J,7,FALSE)</f>
        <v>No</v>
      </c>
      <c r="H910" t="str">
        <f>VLOOKUP($A910,'Medical Examinations'!$A:$J,8,FALSE)</f>
        <v>No</v>
      </c>
      <c r="I910">
        <f>VLOOKUP($A910,'Medical Examinations'!$A:$J,9,FALSE)</f>
        <v>1</v>
      </c>
      <c r="J910" t="str">
        <f>VLOOKUP($A910,'Medical Examinations'!$A:$J,10,FALSE)</f>
        <v>No</v>
      </c>
      <c r="K910" t="str">
        <f>VLOOKUP($A910,'Medical Examinations'!$A:$J,5,FALSE)</f>
        <v>Normal</v>
      </c>
      <c r="L910">
        <f>VLOOKUP($A911,'Medical Examinations'!$A:$J,3,FALSE)</f>
        <v>33.630000000000003</v>
      </c>
      <c r="M910">
        <f>VLOOKUP($A910,'Hospitalisation Details'!$A:$K,6,FALSE)</f>
        <v>11946.63</v>
      </c>
      <c r="N910" s="11">
        <f>VLOOKUP($B910,'Hospitalisation Details'!A909:J3253,10,0)</f>
        <v>24081</v>
      </c>
      <c r="O910" t="str">
        <f>VLOOKUP($B910,'Hospitalisation Details'!A909:J3253,8,0)</f>
        <v>tier - 2</v>
      </c>
      <c r="P910" t="str">
        <f>VLOOKUP($B910,'Hospitalisation Details'!A909:J3253,7,0)</f>
        <v>tier - 3</v>
      </c>
      <c r="Q910" t="str">
        <f>VLOOKUP($B910,'Hospitalisation Details'!A909:J3253,9,0)</f>
        <v>R1013</v>
      </c>
      <c r="R910">
        <f>VLOOKUP($B910,'Hospitalisation Details'!A909:K3253,11,0)</f>
        <v>57</v>
      </c>
    </row>
    <row r="911" spans="1:18" x14ac:dyDescent="0.35">
      <c r="A911" t="s">
        <v>1461</v>
      </c>
      <c r="B911" t="s">
        <v>942</v>
      </c>
      <c r="C911" t="str">
        <f>VLOOKUP($A911,'Customer Names'!$A:$E,4,FALSE)</f>
        <v>Floris</v>
      </c>
      <c r="D911" t="str">
        <f>VLOOKUP($A911,'Medical Examinations'!$A:$J,2,FALSE)</f>
        <v>Obesity</v>
      </c>
      <c r="E911">
        <f>VLOOKUP($A911,'Medical Examinations'!$A:$J,4,FALSE)</f>
        <v>11.39</v>
      </c>
      <c r="F911" t="str">
        <f>VLOOKUP($A911,'Medical Examinations'!$A:$J,6,FALSE)</f>
        <v>No</v>
      </c>
      <c r="G911" t="str">
        <f>VLOOKUP($A911,'Medical Examinations'!$A:$J,7,FALSE)</f>
        <v>No</v>
      </c>
      <c r="H911" t="str">
        <f>VLOOKUP($A911,'Medical Examinations'!$A:$J,8,FALSE)</f>
        <v>No</v>
      </c>
      <c r="I911">
        <f>VLOOKUP($A911,'Medical Examinations'!$A:$J,9,FALSE)</f>
        <v>0</v>
      </c>
      <c r="J911" t="str">
        <f>VLOOKUP($A911,'Medical Examinations'!$A:$J,10,FALSE)</f>
        <v>No</v>
      </c>
      <c r="K911" t="str">
        <f>VLOOKUP($A911,'Medical Examinations'!$A:$J,5,FALSE)</f>
        <v>Diabetes</v>
      </c>
      <c r="L911">
        <f>VLOOKUP($A912,'Medical Examinations'!$A:$J,3,FALSE)</f>
        <v>34.865000000000002</v>
      </c>
      <c r="M911">
        <f>VLOOKUP($A911,'Hospitalisation Details'!$A:$K,6,FALSE)</f>
        <v>11945.13</v>
      </c>
      <c r="N911" s="11">
        <f>VLOOKUP($B911,'Hospitalisation Details'!A910:J3254,10,0)</f>
        <v>30578</v>
      </c>
      <c r="O911" t="str">
        <f>VLOOKUP($B911,'Hospitalisation Details'!A910:J3254,8,0)</f>
        <v>tier - 2</v>
      </c>
      <c r="P911" t="str">
        <f>VLOOKUP($B911,'Hospitalisation Details'!A910:J3254,7,0)</f>
        <v>tier - 2</v>
      </c>
      <c r="Q911" t="str">
        <f>VLOOKUP($B911,'Hospitalisation Details'!A910:J3254,9,0)</f>
        <v>R1011</v>
      </c>
      <c r="R911">
        <f>VLOOKUP($B911,'Hospitalisation Details'!A910:K3254,11,0)</f>
        <v>39</v>
      </c>
    </row>
    <row r="912" spans="1:18" x14ac:dyDescent="0.35">
      <c r="A912" t="s">
        <v>1460</v>
      </c>
      <c r="B912" t="s">
        <v>943</v>
      </c>
      <c r="C912" t="str">
        <f>VLOOKUP($A912,'Customer Names'!$A:$E,4,FALSE)</f>
        <v>Marc</v>
      </c>
      <c r="D912" t="str">
        <f>VLOOKUP($A912,'Medical Examinations'!$A:$J,2,FALSE)</f>
        <v>Obesity</v>
      </c>
      <c r="E912">
        <f>VLOOKUP($A912,'Medical Examinations'!$A:$J,4,FALSE)</f>
        <v>5.35</v>
      </c>
      <c r="F912" t="str">
        <f>VLOOKUP($A912,'Medical Examinations'!$A:$J,6,FALSE)</f>
        <v>yes</v>
      </c>
      <c r="G912" t="str">
        <f>VLOOKUP($A912,'Medical Examinations'!$A:$J,7,FALSE)</f>
        <v>No</v>
      </c>
      <c r="H912" t="str">
        <f>VLOOKUP($A912,'Medical Examinations'!$A:$J,8,FALSE)</f>
        <v>No</v>
      </c>
      <c r="I912">
        <f>VLOOKUP($A912,'Medical Examinations'!$A:$J,9,FALSE)</f>
        <v>1</v>
      </c>
      <c r="J912" t="str">
        <f>VLOOKUP($A912,'Medical Examinations'!$A:$J,10,FALSE)</f>
        <v>No</v>
      </c>
      <c r="K912" t="str">
        <f>VLOOKUP($A912,'Medical Examinations'!$A:$J,5,FALSE)</f>
        <v>Normal</v>
      </c>
      <c r="L912">
        <f>VLOOKUP($A913,'Medical Examinations'!$A:$J,3,FALSE)</f>
        <v>43.11</v>
      </c>
      <c r="M912">
        <f>VLOOKUP($A912,'Hospitalisation Details'!$A:$K,6,FALSE)</f>
        <v>11944.59</v>
      </c>
      <c r="N912" s="11">
        <f>VLOOKUP($B912,'Hospitalisation Details'!A911:J3255,10,0)</f>
        <v>28806</v>
      </c>
      <c r="O912" t="str">
        <f>VLOOKUP($B912,'Hospitalisation Details'!A911:J3255,8,0)</f>
        <v>tier - 2</v>
      </c>
      <c r="P912" t="str">
        <f>VLOOKUP($B912,'Hospitalisation Details'!A911:J3255,7,0)</f>
        <v>tier - 2</v>
      </c>
      <c r="Q912" t="str">
        <f>VLOOKUP($B912,'Hospitalisation Details'!A911:J3255,9,0)</f>
        <v>R1012</v>
      </c>
      <c r="R912">
        <f>VLOOKUP($B912,'Hospitalisation Details'!A911:K3255,11,0)</f>
        <v>44</v>
      </c>
    </row>
    <row r="913" spans="1:18" x14ac:dyDescent="0.35">
      <c r="A913" t="s">
        <v>1459</v>
      </c>
      <c r="B913" t="s">
        <v>944</v>
      </c>
      <c r="C913" t="str">
        <f>VLOOKUP($A913,'Customer Names'!$A:$E,4,FALSE)</f>
        <v>Christopher</v>
      </c>
      <c r="D913" t="str">
        <f>VLOOKUP($A913,'Medical Examinations'!$A:$J,2,FALSE)</f>
        <v>Obesity</v>
      </c>
      <c r="E913">
        <f>VLOOKUP($A913,'Medical Examinations'!$A:$J,4,FALSE)</f>
        <v>5.6</v>
      </c>
      <c r="F913" t="str">
        <f>VLOOKUP($A913,'Medical Examinations'!$A:$J,6,FALSE)</f>
        <v>No</v>
      </c>
      <c r="G913" t="str">
        <f>VLOOKUP($A913,'Medical Examinations'!$A:$J,7,FALSE)</f>
        <v>No</v>
      </c>
      <c r="H913" t="str">
        <f>VLOOKUP($A913,'Medical Examinations'!$A:$J,8,FALSE)</f>
        <v>No</v>
      </c>
      <c r="I913">
        <f>VLOOKUP($A913,'Medical Examinations'!$A:$J,9,FALSE)</f>
        <v>0</v>
      </c>
      <c r="J913" t="str">
        <f>VLOOKUP($A913,'Medical Examinations'!$A:$J,10,FALSE)</f>
        <v>No</v>
      </c>
      <c r="K913" t="str">
        <f>VLOOKUP($A913,'Medical Examinations'!$A:$J,5,FALSE)</f>
        <v>Normal</v>
      </c>
      <c r="L913">
        <f>VLOOKUP($A914,'Medical Examinations'!$A:$J,3,FALSE)</f>
        <v>30.305</v>
      </c>
      <c r="M913">
        <f>VLOOKUP($A913,'Hospitalisation Details'!$A:$K,6,FALSE)</f>
        <v>11941.83</v>
      </c>
      <c r="N913" s="11">
        <f>VLOOKUP($B913,'Hospitalisation Details'!A912:J3256,10,0)</f>
        <v>28826</v>
      </c>
      <c r="O913" t="str">
        <f>VLOOKUP($B913,'Hospitalisation Details'!A912:J3256,8,0)</f>
        <v>tier - 3</v>
      </c>
      <c r="P913" t="str">
        <f>VLOOKUP($B913,'Hospitalisation Details'!A912:J3256,7,0)</f>
        <v>tier - 2</v>
      </c>
      <c r="Q913" t="str">
        <f>VLOOKUP($B913,'Hospitalisation Details'!A912:J3256,9,0)</f>
        <v>R1012</v>
      </c>
      <c r="R913">
        <f>VLOOKUP($B913,'Hospitalisation Details'!A912:K3256,11,0)</f>
        <v>44</v>
      </c>
    </row>
    <row r="914" spans="1:18" x14ac:dyDescent="0.35">
      <c r="A914" t="s">
        <v>1458</v>
      </c>
      <c r="B914" t="s">
        <v>945</v>
      </c>
      <c r="C914" t="str">
        <f>VLOOKUP($A914,'Customer Names'!$A:$E,4,FALSE)</f>
        <v>Kevin</v>
      </c>
      <c r="D914" t="str">
        <f>VLOOKUP($A914,'Medical Examinations'!$A:$J,2,FALSE)</f>
        <v>Obesity</v>
      </c>
      <c r="E914">
        <f>VLOOKUP($A914,'Medical Examinations'!$A:$J,4,FALSE)</f>
        <v>4.2699999999999996</v>
      </c>
      <c r="F914" t="str">
        <f>VLOOKUP($A914,'Medical Examinations'!$A:$J,6,FALSE)</f>
        <v>yes</v>
      </c>
      <c r="G914" t="str">
        <f>VLOOKUP($A914,'Medical Examinations'!$A:$J,7,FALSE)</f>
        <v>No</v>
      </c>
      <c r="H914" t="str">
        <f>VLOOKUP($A914,'Medical Examinations'!$A:$J,8,FALSE)</f>
        <v>No</v>
      </c>
      <c r="I914">
        <f>VLOOKUP($A914,'Medical Examinations'!$A:$J,9,FALSE)</f>
        <v>1</v>
      </c>
      <c r="J914" t="str">
        <f>VLOOKUP($A914,'Medical Examinations'!$A:$J,10,FALSE)</f>
        <v>No</v>
      </c>
      <c r="K914" t="str">
        <f>VLOOKUP($A914,'Medical Examinations'!$A:$J,5,FALSE)</f>
        <v>Normal</v>
      </c>
      <c r="L914">
        <f>VLOOKUP($A915,'Medical Examinations'!$A:$J,3,FALSE)</f>
        <v>25.175000000000001</v>
      </c>
      <c r="M914">
        <f>VLOOKUP($A914,'Hospitalisation Details'!$A:$K,6,FALSE)</f>
        <v>11938.26</v>
      </c>
      <c r="N914" s="11">
        <f>VLOOKUP($B914,'Hospitalisation Details'!A913:J3257,10,0)</f>
        <v>28362</v>
      </c>
      <c r="O914" t="str">
        <f>VLOOKUP($B914,'Hospitalisation Details'!A913:J3257,8,0)</f>
        <v>tier - 2</v>
      </c>
      <c r="P914" t="str">
        <f>VLOOKUP($B914,'Hospitalisation Details'!A913:J3257,7,0)</f>
        <v>tier - 3</v>
      </c>
      <c r="Q914" t="str">
        <f>VLOOKUP($B914,'Hospitalisation Details'!A913:J3257,9,0)</f>
        <v>R1011</v>
      </c>
      <c r="R914">
        <f>VLOOKUP($B914,'Hospitalisation Details'!A913:K3257,11,0)</f>
        <v>45</v>
      </c>
    </row>
    <row r="915" spans="1:18" x14ac:dyDescent="0.35">
      <c r="A915" t="s">
        <v>1457</v>
      </c>
      <c r="B915" t="s">
        <v>946</v>
      </c>
      <c r="C915" t="str">
        <f>VLOOKUP($A915,'Customer Names'!$A:$E,4,FALSE)</f>
        <v>Aharon N</v>
      </c>
      <c r="D915" t="str">
        <f>VLOOKUP($A915,'Medical Examinations'!$A:$J,2,FALSE)</f>
        <v>Overweight</v>
      </c>
      <c r="E915">
        <f>VLOOKUP($A915,'Medical Examinations'!$A:$J,4,FALSE)</f>
        <v>5.57</v>
      </c>
      <c r="F915" t="str">
        <f>VLOOKUP($A915,'Medical Examinations'!$A:$J,6,FALSE)</f>
        <v>yes</v>
      </c>
      <c r="G915" t="str">
        <f>VLOOKUP($A915,'Medical Examinations'!$A:$J,7,FALSE)</f>
        <v>No</v>
      </c>
      <c r="H915" t="str">
        <f>VLOOKUP($A915,'Medical Examinations'!$A:$J,8,FALSE)</f>
        <v>No</v>
      </c>
      <c r="I915">
        <f>VLOOKUP($A915,'Medical Examinations'!$A:$J,9,FALSE)</f>
        <v>1</v>
      </c>
      <c r="J915" t="str">
        <f>VLOOKUP($A915,'Medical Examinations'!$A:$J,10,FALSE)</f>
        <v>No</v>
      </c>
      <c r="K915" t="str">
        <f>VLOOKUP($A915,'Medical Examinations'!$A:$J,5,FALSE)</f>
        <v>Normal</v>
      </c>
      <c r="L915">
        <f>VLOOKUP($A916,'Medical Examinations'!$A:$J,3,FALSE)</f>
        <v>26.8</v>
      </c>
      <c r="M915">
        <f>VLOOKUP($A915,'Hospitalisation Details'!$A:$K,6,FALSE)</f>
        <v>11931.13</v>
      </c>
      <c r="N915" s="11">
        <f>VLOOKUP($B915,'Hospitalisation Details'!A914:J3258,10,0)</f>
        <v>29099</v>
      </c>
      <c r="O915" t="str">
        <f>VLOOKUP($B915,'Hospitalisation Details'!A914:J3258,8,0)</f>
        <v>tier - 2</v>
      </c>
      <c r="P915" t="str">
        <f>VLOOKUP($B915,'Hospitalisation Details'!A914:J3258,7,0)</f>
        <v>tier - 3</v>
      </c>
      <c r="Q915" t="str">
        <f>VLOOKUP($B915,'Hospitalisation Details'!A914:J3258,9,0)</f>
        <v>R1011</v>
      </c>
      <c r="R915">
        <f>VLOOKUP($B915,'Hospitalisation Details'!A914:K3258,11,0)</f>
        <v>43</v>
      </c>
    </row>
    <row r="916" spans="1:18" x14ac:dyDescent="0.35">
      <c r="A916" t="s">
        <v>1456</v>
      </c>
      <c r="B916" t="s">
        <v>947</v>
      </c>
      <c r="C916" t="str">
        <f>VLOOKUP($A916,'Customer Names'!$A:$E,4,FALSE)</f>
        <v>Lawrence D.</v>
      </c>
      <c r="D916" t="str">
        <f>VLOOKUP($A916,'Medical Examinations'!$A:$J,2,FALSE)</f>
        <v>Overweight</v>
      </c>
      <c r="E916">
        <f>VLOOKUP($A916,'Medical Examinations'!$A:$J,4,FALSE)</f>
        <v>5.68</v>
      </c>
      <c r="F916" t="str">
        <f>VLOOKUP($A916,'Medical Examinations'!$A:$J,6,FALSE)</f>
        <v>yes</v>
      </c>
      <c r="G916" t="str">
        <f>VLOOKUP($A916,'Medical Examinations'!$A:$J,7,FALSE)</f>
        <v>No</v>
      </c>
      <c r="H916" t="str">
        <f>VLOOKUP($A916,'Medical Examinations'!$A:$J,8,FALSE)</f>
        <v>No</v>
      </c>
      <c r="I916">
        <f>VLOOKUP($A916,'Medical Examinations'!$A:$J,9,FALSE)</f>
        <v>1</v>
      </c>
      <c r="J916" t="str">
        <f>VLOOKUP($A916,'Medical Examinations'!$A:$J,10,FALSE)</f>
        <v>No</v>
      </c>
      <c r="K916" t="str">
        <f>VLOOKUP($A916,'Medical Examinations'!$A:$J,5,FALSE)</f>
        <v>Normal</v>
      </c>
      <c r="L916">
        <f>VLOOKUP($A917,'Medical Examinations'!$A:$J,3,FALSE)</f>
        <v>21.78</v>
      </c>
      <c r="M916">
        <f>VLOOKUP($A916,'Hospitalisation Details'!$A:$K,6,FALSE)</f>
        <v>11918.2</v>
      </c>
      <c r="N916" s="11">
        <f>VLOOKUP($B916,'Hospitalisation Details'!A915:J3259,10,0)</f>
        <v>29409</v>
      </c>
      <c r="O916" t="str">
        <f>VLOOKUP($B916,'Hospitalisation Details'!A915:J3259,8,0)</f>
        <v>tier - 3</v>
      </c>
      <c r="P916" t="str">
        <f>VLOOKUP($B916,'Hospitalisation Details'!A915:J3259,7,0)</f>
        <v>tier - 2</v>
      </c>
      <c r="Q916" t="str">
        <f>VLOOKUP($B916,'Hospitalisation Details'!A915:J3259,9,0)</f>
        <v>R1012</v>
      </c>
      <c r="R916">
        <f>VLOOKUP($B916,'Hospitalisation Details'!A915:K3259,11,0)</f>
        <v>42</v>
      </c>
    </row>
    <row r="917" spans="1:18" x14ac:dyDescent="0.35">
      <c r="A917" t="s">
        <v>1455</v>
      </c>
      <c r="B917" t="s">
        <v>948</v>
      </c>
      <c r="C917" t="str">
        <f>VLOOKUP($A917,'Customer Names'!$A:$E,4,FALSE)</f>
        <v>Malcolm</v>
      </c>
      <c r="D917" t="str">
        <f>VLOOKUP($A917,'Medical Examinations'!$A:$J,2,FALSE)</f>
        <v>Normal Weight</v>
      </c>
      <c r="E917">
        <f>VLOOKUP($A917,'Medical Examinations'!$A:$J,4,FALSE)</f>
        <v>5.3</v>
      </c>
      <c r="F917" t="str">
        <f>VLOOKUP($A917,'Medical Examinations'!$A:$J,6,FALSE)</f>
        <v>No</v>
      </c>
      <c r="G917" t="str">
        <f>VLOOKUP($A917,'Medical Examinations'!$A:$J,7,FALSE)</f>
        <v>yes</v>
      </c>
      <c r="H917" t="str">
        <f>VLOOKUP($A917,'Medical Examinations'!$A:$J,8,FALSE)</f>
        <v>No</v>
      </c>
      <c r="I917">
        <f>VLOOKUP($A917,'Medical Examinations'!$A:$J,9,FALSE)</f>
        <v>1</v>
      </c>
      <c r="J917" t="str">
        <f>VLOOKUP($A917,'Medical Examinations'!$A:$J,10,FALSE)</f>
        <v>No</v>
      </c>
      <c r="K917" t="str">
        <f>VLOOKUP($A917,'Medical Examinations'!$A:$J,5,FALSE)</f>
        <v>Normal</v>
      </c>
      <c r="L917">
        <f>VLOOKUP($A918,'Medical Examinations'!$A:$J,3,FALSE)</f>
        <v>30.14</v>
      </c>
      <c r="M917">
        <f>VLOOKUP($A917,'Hospitalisation Details'!$A:$K,6,FALSE)</f>
        <v>11884.05</v>
      </c>
      <c r="N917" s="11">
        <f>VLOOKUP($B917,'Hospitalisation Details'!A916:J3260,10,0)</f>
        <v>28393</v>
      </c>
      <c r="O917" t="str">
        <f>VLOOKUP($B917,'Hospitalisation Details'!A916:J3260,8,0)</f>
        <v>tier - 1</v>
      </c>
      <c r="P917" t="str">
        <f>VLOOKUP($B917,'Hospitalisation Details'!A916:J3260,7,0)</f>
        <v>tier - 3</v>
      </c>
      <c r="Q917" t="str">
        <f>VLOOKUP($B917,'Hospitalisation Details'!A916:J3260,9,0)</f>
        <v>R1011</v>
      </c>
      <c r="R917">
        <f>VLOOKUP($B917,'Hospitalisation Details'!A916:K3260,11,0)</f>
        <v>45</v>
      </c>
    </row>
    <row r="918" spans="1:18" x14ac:dyDescent="0.35">
      <c r="A918" t="s">
        <v>1454</v>
      </c>
      <c r="B918" t="s">
        <v>949</v>
      </c>
      <c r="C918" t="str">
        <f>VLOOKUP($A918,'Customer Names'!$A:$E,4,FALSE)</f>
        <v>Anna E.</v>
      </c>
      <c r="D918" t="str">
        <f>VLOOKUP($A918,'Medical Examinations'!$A:$J,2,FALSE)</f>
        <v>Obesity</v>
      </c>
      <c r="E918">
        <f>VLOOKUP($A918,'Medical Examinations'!$A:$J,4,FALSE)</f>
        <v>9.4499999999999993</v>
      </c>
      <c r="F918" t="str">
        <f>VLOOKUP($A918,'Medical Examinations'!$A:$J,6,FALSE)</f>
        <v>yes</v>
      </c>
      <c r="G918" t="str">
        <f>VLOOKUP($A918,'Medical Examinations'!$A:$J,7,FALSE)</f>
        <v>No</v>
      </c>
      <c r="H918" t="str">
        <f>VLOOKUP($A918,'Medical Examinations'!$A:$J,8,FALSE)</f>
        <v>No</v>
      </c>
      <c r="I918">
        <f>VLOOKUP($A918,'Medical Examinations'!$A:$J,9,FALSE)</f>
        <v>0</v>
      </c>
      <c r="J918" t="str">
        <f>VLOOKUP($A918,'Medical Examinations'!$A:$J,10,FALSE)</f>
        <v>No</v>
      </c>
      <c r="K918" t="str">
        <f>VLOOKUP($A918,'Medical Examinations'!$A:$J,5,FALSE)</f>
        <v>Diabetes</v>
      </c>
      <c r="L918">
        <f>VLOOKUP($A919,'Medical Examinations'!$A:$J,3,FALSE)</f>
        <v>29.7</v>
      </c>
      <c r="M918">
        <f>VLOOKUP($A918,'Hospitalisation Details'!$A:$K,6,FALSE)</f>
        <v>11881.97</v>
      </c>
      <c r="N918" s="11">
        <f>VLOOKUP($B918,'Hospitalisation Details'!A917:J3261,10,0)</f>
        <v>28398</v>
      </c>
      <c r="O918" t="str">
        <f>VLOOKUP($B918,'Hospitalisation Details'!A917:J3261,8,0)</f>
        <v>tier - 3</v>
      </c>
      <c r="P918" t="str">
        <f>VLOOKUP($B918,'Hospitalisation Details'!A917:J3261,7,0)</f>
        <v>tier - 3</v>
      </c>
      <c r="Q918" t="str">
        <f>VLOOKUP($B918,'Hospitalisation Details'!A917:J3261,9,0)</f>
        <v>R1017</v>
      </c>
      <c r="R918">
        <f>VLOOKUP($B918,'Hospitalisation Details'!A917:K3261,11,0)</f>
        <v>45</v>
      </c>
    </row>
    <row r="919" spans="1:18" x14ac:dyDescent="0.35">
      <c r="A919" t="s">
        <v>1453</v>
      </c>
      <c r="B919" t="s">
        <v>950</v>
      </c>
      <c r="C919" t="str">
        <f>VLOOKUP($A919,'Customer Names'!$A:$E,4,FALSE)</f>
        <v>Jenny</v>
      </c>
      <c r="D919" t="str">
        <f>VLOOKUP($A919,'Medical Examinations'!$A:$J,2,FALSE)</f>
        <v>Overweight</v>
      </c>
      <c r="E919">
        <f>VLOOKUP($A919,'Medical Examinations'!$A:$J,4,FALSE)</f>
        <v>6.79</v>
      </c>
      <c r="F919" t="str">
        <f>VLOOKUP($A919,'Medical Examinations'!$A:$J,6,FALSE)</f>
        <v>yes</v>
      </c>
      <c r="G919" t="str">
        <f>VLOOKUP($A919,'Medical Examinations'!$A:$J,7,FALSE)</f>
        <v>No</v>
      </c>
      <c r="H919" t="str">
        <f>VLOOKUP($A919,'Medical Examinations'!$A:$J,8,FALSE)</f>
        <v>No</v>
      </c>
      <c r="I919">
        <f>VLOOKUP($A919,'Medical Examinations'!$A:$J,9,FALSE)</f>
        <v>0</v>
      </c>
      <c r="J919" t="str">
        <f>VLOOKUP($A919,'Medical Examinations'!$A:$J,10,FALSE)</f>
        <v>No</v>
      </c>
      <c r="K919" t="str">
        <f>VLOOKUP($A919,'Medical Examinations'!$A:$J,5,FALSE)</f>
        <v>Diabetes</v>
      </c>
      <c r="L919">
        <f>VLOOKUP($A920,'Medical Examinations'!$A:$J,3,FALSE)</f>
        <v>32.395000000000003</v>
      </c>
      <c r="M919">
        <f>VLOOKUP($A919,'Hospitalisation Details'!$A:$K,6,FALSE)</f>
        <v>11881.36</v>
      </c>
      <c r="N919" s="11">
        <f>VLOOKUP($B919,'Hospitalisation Details'!A918:J3262,10,0)</f>
        <v>37043</v>
      </c>
      <c r="O919" t="str">
        <f>VLOOKUP($B919,'Hospitalisation Details'!A918:J3262,8,0)</f>
        <v>tier - 2</v>
      </c>
      <c r="P919" t="str">
        <f>VLOOKUP($B919,'Hospitalisation Details'!A918:J3262,7,0)</f>
        <v>tier - 2</v>
      </c>
      <c r="Q919" t="str">
        <f>VLOOKUP($B919,'Hospitalisation Details'!A918:J3262,9,0)</f>
        <v>R1012</v>
      </c>
      <c r="R919">
        <f>VLOOKUP($B919,'Hospitalisation Details'!A918:K3262,11,0)</f>
        <v>22</v>
      </c>
    </row>
    <row r="920" spans="1:18" x14ac:dyDescent="0.35">
      <c r="A920" t="s">
        <v>1452</v>
      </c>
      <c r="B920" t="s">
        <v>951</v>
      </c>
      <c r="C920" t="str">
        <f>VLOOKUP($A920,'Customer Names'!$A:$E,4,FALSE)</f>
        <v>Melissa L</v>
      </c>
      <c r="D920" t="str">
        <f>VLOOKUP($A920,'Medical Examinations'!$A:$J,2,FALSE)</f>
        <v>Obesity</v>
      </c>
      <c r="E920">
        <f>VLOOKUP($A920,'Medical Examinations'!$A:$J,4,FALSE)</f>
        <v>11.1</v>
      </c>
      <c r="F920" t="str">
        <f>VLOOKUP($A920,'Medical Examinations'!$A:$J,6,FALSE)</f>
        <v>yes</v>
      </c>
      <c r="G920" t="str">
        <f>VLOOKUP($A920,'Medical Examinations'!$A:$J,7,FALSE)</f>
        <v>No</v>
      </c>
      <c r="H920" t="str">
        <f>VLOOKUP($A920,'Medical Examinations'!$A:$J,8,FALSE)</f>
        <v>No</v>
      </c>
      <c r="I920">
        <f>VLOOKUP($A920,'Medical Examinations'!$A:$J,9,FALSE)</f>
        <v>0</v>
      </c>
      <c r="J920" t="str">
        <f>VLOOKUP($A920,'Medical Examinations'!$A:$J,10,FALSE)</f>
        <v>No</v>
      </c>
      <c r="K920" t="str">
        <f>VLOOKUP($A920,'Medical Examinations'!$A:$J,5,FALSE)</f>
        <v>Diabetes</v>
      </c>
      <c r="L920">
        <f>VLOOKUP($A921,'Medical Examinations'!$A:$J,3,FALSE)</f>
        <v>36.64</v>
      </c>
      <c r="M920">
        <f>VLOOKUP($A920,'Hospitalisation Details'!$A:$K,6,FALSE)</f>
        <v>11879.1</v>
      </c>
      <c r="N920" s="11">
        <f>VLOOKUP($B920,'Hospitalisation Details'!A919:J3263,10,0)</f>
        <v>24688</v>
      </c>
      <c r="O920" t="str">
        <f>VLOOKUP($B920,'Hospitalisation Details'!A919:J3263,8,0)</f>
        <v>tier - 3</v>
      </c>
      <c r="P920" t="str">
        <f>VLOOKUP($B920,'Hospitalisation Details'!A919:J3263,7,0)</f>
        <v>tier - 3</v>
      </c>
      <c r="Q920" t="str">
        <f>VLOOKUP($B920,'Hospitalisation Details'!A919:J3263,9,0)</f>
        <v>R1013</v>
      </c>
      <c r="R920">
        <f>VLOOKUP($B920,'Hospitalisation Details'!A919:K3263,11,0)</f>
        <v>55</v>
      </c>
    </row>
    <row r="921" spans="1:18" x14ac:dyDescent="0.35">
      <c r="A921" t="s">
        <v>1451</v>
      </c>
      <c r="B921" t="s">
        <v>952</v>
      </c>
      <c r="C921" t="str">
        <f>VLOOKUP($A921,'Customer Names'!$A:$E,4,FALSE)</f>
        <v>Chia J.</v>
      </c>
      <c r="D921" t="str">
        <f>VLOOKUP($A921,'Medical Examinations'!$A:$J,2,FALSE)</f>
        <v>Obesity</v>
      </c>
      <c r="E921">
        <f>VLOOKUP($A921,'Medical Examinations'!$A:$J,4,FALSE)</f>
        <v>7.26</v>
      </c>
      <c r="F921" t="str">
        <f>VLOOKUP($A921,'Medical Examinations'!$A:$J,6,FALSE)</f>
        <v>No</v>
      </c>
      <c r="G921" t="str">
        <f>VLOOKUP($A921,'Medical Examinations'!$A:$J,7,FALSE)</f>
        <v>No</v>
      </c>
      <c r="H921" t="str">
        <f>VLOOKUP($A921,'Medical Examinations'!$A:$J,8,FALSE)</f>
        <v>No</v>
      </c>
      <c r="I921">
        <f>VLOOKUP($A921,'Medical Examinations'!$A:$J,9,FALSE)</f>
        <v>0</v>
      </c>
      <c r="J921" t="str">
        <f>VLOOKUP($A921,'Medical Examinations'!$A:$J,10,FALSE)</f>
        <v>No</v>
      </c>
      <c r="K921" t="str">
        <f>VLOOKUP($A921,'Medical Examinations'!$A:$J,5,FALSE)</f>
        <v>Diabetes</v>
      </c>
      <c r="L921">
        <f>VLOOKUP($A922,'Medical Examinations'!$A:$J,3,FALSE)</f>
        <v>39.049999999999997</v>
      </c>
      <c r="M921">
        <f>VLOOKUP($A921,'Hospitalisation Details'!$A:$K,6,FALSE)</f>
        <v>11858.56</v>
      </c>
      <c r="N921" s="11">
        <f>VLOOKUP($B921,'Hospitalisation Details'!A920:J3264,10,0)</f>
        <v>35230</v>
      </c>
      <c r="O921" t="str">
        <f>VLOOKUP($B921,'Hospitalisation Details'!A920:J3264,8,0)</f>
        <v>tier - 3</v>
      </c>
      <c r="P921" t="str">
        <f>VLOOKUP($B921,'Hospitalisation Details'!A920:J3264,7,0)</f>
        <v>tier - 2</v>
      </c>
      <c r="Q921" t="str">
        <f>VLOOKUP($B921,'Hospitalisation Details'!A920:J3264,9,0)</f>
        <v>R1012</v>
      </c>
      <c r="R921">
        <f>VLOOKUP($B921,'Hospitalisation Details'!A920:K3264,11,0)</f>
        <v>26</v>
      </c>
    </row>
    <row r="922" spans="1:18" x14ac:dyDescent="0.35">
      <c r="A922" t="s">
        <v>1450</v>
      </c>
      <c r="B922" t="s">
        <v>953</v>
      </c>
      <c r="C922" t="str">
        <f>VLOOKUP($A922,'Customer Names'!$A:$E,4,FALSE)</f>
        <v>Laura A</v>
      </c>
      <c r="D922" t="str">
        <f>VLOOKUP($A922,'Medical Examinations'!$A:$J,2,FALSE)</f>
        <v>Obesity</v>
      </c>
      <c r="E922">
        <f>VLOOKUP($A922,'Medical Examinations'!$A:$J,4,FALSE)</f>
        <v>5.27</v>
      </c>
      <c r="F922" t="str">
        <f>VLOOKUP($A922,'Medical Examinations'!$A:$J,6,FALSE)</f>
        <v>yes</v>
      </c>
      <c r="G922" t="str">
        <f>VLOOKUP($A922,'Medical Examinations'!$A:$J,7,FALSE)</f>
        <v>No</v>
      </c>
      <c r="H922" t="str">
        <f>VLOOKUP($A922,'Medical Examinations'!$A:$J,8,FALSE)</f>
        <v>No</v>
      </c>
      <c r="I922">
        <f>VLOOKUP($A922,'Medical Examinations'!$A:$J,9,FALSE)</f>
        <v>1</v>
      </c>
      <c r="J922" t="str">
        <f>VLOOKUP($A922,'Medical Examinations'!$A:$J,10,FALSE)</f>
        <v>No</v>
      </c>
      <c r="K922" t="str">
        <f>VLOOKUP($A922,'Medical Examinations'!$A:$J,5,FALSE)</f>
        <v>Normal</v>
      </c>
      <c r="L922">
        <f>VLOOKUP($A923,'Medical Examinations'!$A:$J,3,FALSE)</f>
        <v>33.1</v>
      </c>
      <c r="M922">
        <f>VLOOKUP($A922,'Hospitalisation Details'!$A:$K,6,FALSE)</f>
        <v>11856.41</v>
      </c>
      <c r="N922" s="11">
        <f>VLOOKUP($B922,'Hospitalisation Details'!A921:J3265,10,0)</f>
        <v>32492</v>
      </c>
      <c r="O922" t="str">
        <f>VLOOKUP($B922,'Hospitalisation Details'!A921:J3265,8,0)</f>
        <v>tier - 3</v>
      </c>
      <c r="P922" t="str">
        <f>VLOOKUP($B922,'Hospitalisation Details'!A921:J3265,7,0)</f>
        <v>tier - 2</v>
      </c>
      <c r="Q922" t="str">
        <f>VLOOKUP($B922,'Hospitalisation Details'!A921:J3265,9,0)</f>
        <v>R1025</v>
      </c>
      <c r="R922">
        <f>VLOOKUP($B922,'Hospitalisation Details'!A921:K3265,11,0)</f>
        <v>34</v>
      </c>
    </row>
    <row r="923" spans="1:18" x14ac:dyDescent="0.35">
      <c r="A923" t="s">
        <v>1449</v>
      </c>
      <c r="B923" t="s">
        <v>954</v>
      </c>
      <c r="C923" t="str">
        <f>VLOOKUP($A923,'Customer Names'!$A:$E,4,FALSE)</f>
        <v>Aditi</v>
      </c>
      <c r="D923" t="str">
        <f>VLOOKUP($A923,'Medical Examinations'!$A:$J,2,FALSE)</f>
        <v>Obesity</v>
      </c>
      <c r="E923">
        <f>VLOOKUP($A923,'Medical Examinations'!$A:$J,4,FALSE)</f>
        <v>5.46</v>
      </c>
      <c r="F923" t="str">
        <f>VLOOKUP($A923,'Medical Examinations'!$A:$J,6,FALSE)</f>
        <v>yes</v>
      </c>
      <c r="G923" t="str">
        <f>VLOOKUP($A923,'Medical Examinations'!$A:$J,7,FALSE)</f>
        <v>No</v>
      </c>
      <c r="H923" t="str">
        <f>VLOOKUP($A923,'Medical Examinations'!$A:$J,8,FALSE)</f>
        <v>No</v>
      </c>
      <c r="I923">
        <f>VLOOKUP($A923,'Medical Examinations'!$A:$J,9,FALSE)</f>
        <v>1</v>
      </c>
      <c r="J923" t="str">
        <f>VLOOKUP($A923,'Medical Examinations'!$A:$J,10,FALSE)</f>
        <v>No</v>
      </c>
      <c r="K923" t="str">
        <f>VLOOKUP($A923,'Medical Examinations'!$A:$J,5,FALSE)</f>
        <v>Normal</v>
      </c>
      <c r="L923">
        <f>VLOOKUP($A924,'Medical Examinations'!$A:$J,3,FALSE)</f>
        <v>31.824999999999999</v>
      </c>
      <c r="M923">
        <f>VLOOKUP($A923,'Hospitalisation Details'!$A:$K,6,FALSE)</f>
        <v>11848.14</v>
      </c>
      <c r="N923" s="11">
        <f>VLOOKUP($B923,'Hospitalisation Details'!A922:J3266,10,0)</f>
        <v>35731</v>
      </c>
      <c r="O923" t="str">
        <f>VLOOKUP($B923,'Hospitalisation Details'!A922:J3266,8,0)</f>
        <v>tier - 1</v>
      </c>
      <c r="P923" t="str">
        <f>VLOOKUP($B923,'Hospitalisation Details'!A922:J3266,7,0)</f>
        <v>tier - 2</v>
      </c>
      <c r="Q923" t="str">
        <f>VLOOKUP($B923,'Hospitalisation Details'!A922:J3266,9,0)</f>
        <v>R1012</v>
      </c>
      <c r="R923">
        <f>VLOOKUP($B923,'Hospitalisation Details'!A922:K3266,11,0)</f>
        <v>25</v>
      </c>
    </row>
    <row r="924" spans="1:18" x14ac:dyDescent="0.35">
      <c r="A924" t="s">
        <v>1448</v>
      </c>
      <c r="B924" t="s">
        <v>955</v>
      </c>
      <c r="C924" t="str">
        <f>VLOOKUP($A924,'Customer Names'!$A:$E,4,FALSE)</f>
        <v>Leah A.</v>
      </c>
      <c r="D924" t="str">
        <f>VLOOKUP($A924,'Medical Examinations'!$A:$J,2,FALSE)</f>
        <v>Obesity</v>
      </c>
      <c r="E924">
        <f>VLOOKUP($A924,'Medical Examinations'!$A:$J,4,FALSE)</f>
        <v>8.1300000000000008</v>
      </c>
      <c r="F924" t="str">
        <f>VLOOKUP($A924,'Medical Examinations'!$A:$J,6,FALSE)</f>
        <v>No</v>
      </c>
      <c r="G924" t="str">
        <f>VLOOKUP($A924,'Medical Examinations'!$A:$J,7,FALSE)</f>
        <v>No</v>
      </c>
      <c r="H924" t="str">
        <f>VLOOKUP($A924,'Medical Examinations'!$A:$J,8,FALSE)</f>
        <v>No</v>
      </c>
      <c r="I924">
        <f>VLOOKUP($A924,'Medical Examinations'!$A:$J,9,FALSE)</f>
        <v>0</v>
      </c>
      <c r="J924" t="str">
        <f>VLOOKUP($A924,'Medical Examinations'!$A:$J,10,FALSE)</f>
        <v>No</v>
      </c>
      <c r="K924" t="str">
        <f>VLOOKUP($A924,'Medical Examinations'!$A:$J,5,FALSE)</f>
        <v>Diabetes</v>
      </c>
      <c r="L924">
        <f>VLOOKUP($A925,'Medical Examinations'!$A:$J,3,FALSE)</f>
        <v>29</v>
      </c>
      <c r="M924">
        <f>VLOOKUP($A924,'Hospitalisation Details'!$A:$K,6,FALSE)</f>
        <v>11842.62</v>
      </c>
      <c r="N924" s="11">
        <f>VLOOKUP($B924,'Hospitalisation Details'!A923:J3267,10,0)</f>
        <v>30507</v>
      </c>
      <c r="O924" t="str">
        <f>VLOOKUP($B924,'Hospitalisation Details'!A923:J3267,8,0)</f>
        <v>tier - 2</v>
      </c>
      <c r="P924" t="str">
        <f>VLOOKUP($B924,'Hospitalisation Details'!A923:J3267,7,0)</f>
        <v>tier - 3</v>
      </c>
      <c r="Q924" t="str">
        <f>VLOOKUP($B924,'Hospitalisation Details'!A923:J3267,9,0)</f>
        <v>R1011</v>
      </c>
      <c r="R924">
        <f>VLOOKUP($B924,'Hospitalisation Details'!A923:K3267,11,0)</f>
        <v>39</v>
      </c>
    </row>
    <row r="925" spans="1:18" x14ac:dyDescent="0.35">
      <c r="A925" t="s">
        <v>1447</v>
      </c>
      <c r="B925" t="s">
        <v>956</v>
      </c>
      <c r="C925" t="str">
        <f>VLOOKUP($A925,'Customer Names'!$A:$E,4,FALSE)</f>
        <v>Marianne</v>
      </c>
      <c r="D925" t="str">
        <f>VLOOKUP($A925,'Medical Examinations'!$A:$J,2,FALSE)</f>
        <v>Overweight</v>
      </c>
      <c r="E925">
        <f>VLOOKUP($A925,'Medical Examinations'!$A:$J,4,FALSE)</f>
        <v>4.25</v>
      </c>
      <c r="F925" t="str">
        <f>VLOOKUP($A925,'Medical Examinations'!$A:$J,6,FALSE)</f>
        <v>yes</v>
      </c>
      <c r="G925" t="str">
        <f>VLOOKUP($A925,'Medical Examinations'!$A:$J,7,FALSE)</f>
        <v>No</v>
      </c>
      <c r="H925" t="str">
        <f>VLOOKUP($A925,'Medical Examinations'!$A:$J,8,FALSE)</f>
        <v>No</v>
      </c>
      <c r="I925">
        <f>VLOOKUP($A925,'Medical Examinations'!$A:$J,9,FALSE)</f>
        <v>1</v>
      </c>
      <c r="J925" t="str">
        <f>VLOOKUP($A925,'Medical Examinations'!$A:$J,10,FALSE)</f>
        <v>No</v>
      </c>
      <c r="K925" t="str">
        <f>VLOOKUP($A925,'Medical Examinations'!$A:$J,5,FALSE)</f>
        <v>Normal</v>
      </c>
      <c r="L925">
        <f>VLOOKUP($A926,'Medical Examinations'!$A:$J,3,FALSE)</f>
        <v>30.495000000000001</v>
      </c>
      <c r="M925">
        <f>VLOOKUP($A925,'Hospitalisation Details'!$A:$K,6,FALSE)</f>
        <v>11842.44</v>
      </c>
      <c r="N925" s="11">
        <f>VLOOKUP($B925,'Hospitalisation Details'!A924:J3268,10,0)</f>
        <v>28781</v>
      </c>
      <c r="O925" t="str">
        <f>VLOOKUP($B925,'Hospitalisation Details'!A924:J3268,8,0)</f>
        <v>tier - 3</v>
      </c>
      <c r="P925" t="str">
        <f>VLOOKUP($B925,'Hospitalisation Details'!A924:J3268,7,0)</f>
        <v>tier - 2</v>
      </c>
      <c r="Q925" t="str">
        <f>VLOOKUP($B925,'Hospitalisation Details'!A924:J3268,9,0)</f>
        <v>R1012</v>
      </c>
      <c r="R925">
        <f>VLOOKUP($B925,'Hospitalisation Details'!A924:K3268,11,0)</f>
        <v>44</v>
      </c>
    </row>
    <row r="926" spans="1:18" x14ac:dyDescent="0.35">
      <c r="A926" t="s">
        <v>1446</v>
      </c>
      <c r="B926" t="s">
        <v>957</v>
      </c>
      <c r="C926" t="str">
        <f>VLOOKUP($A926,'Customer Names'!$A:$E,4,FALSE)</f>
        <v>Carla</v>
      </c>
      <c r="D926" t="str">
        <f>VLOOKUP($A926,'Medical Examinations'!$A:$J,2,FALSE)</f>
        <v>Obesity</v>
      </c>
      <c r="E926">
        <f>VLOOKUP($A926,'Medical Examinations'!$A:$J,4,FALSE)</f>
        <v>8.68</v>
      </c>
      <c r="F926" t="str">
        <f>VLOOKUP($A926,'Medical Examinations'!$A:$J,6,FALSE)</f>
        <v>No</v>
      </c>
      <c r="G926" t="str">
        <f>VLOOKUP($A926,'Medical Examinations'!$A:$J,7,FALSE)</f>
        <v>No</v>
      </c>
      <c r="H926" t="str">
        <f>VLOOKUP($A926,'Medical Examinations'!$A:$J,8,FALSE)</f>
        <v>No</v>
      </c>
      <c r="I926">
        <f>VLOOKUP($A926,'Medical Examinations'!$A:$J,9,FALSE)</f>
        <v>0</v>
      </c>
      <c r="J926" t="str">
        <f>VLOOKUP($A926,'Medical Examinations'!$A:$J,10,FALSE)</f>
        <v>No</v>
      </c>
      <c r="K926" t="str">
        <f>VLOOKUP($A926,'Medical Examinations'!$A:$J,5,FALSE)</f>
        <v>Diabetes</v>
      </c>
      <c r="L926">
        <f>VLOOKUP($A927,'Medical Examinations'!$A:$J,3,FALSE)</f>
        <v>25.2</v>
      </c>
      <c r="M926">
        <f>VLOOKUP($A926,'Hospitalisation Details'!$A:$K,6,FALSE)</f>
        <v>11840.78</v>
      </c>
      <c r="N926" s="11">
        <f>VLOOKUP($B926,'Hospitalisation Details'!A925:J3269,10,0)</f>
        <v>28043</v>
      </c>
      <c r="O926" t="str">
        <f>VLOOKUP($B926,'Hospitalisation Details'!A925:J3269,8,0)</f>
        <v>tier - 1</v>
      </c>
      <c r="P926" t="str">
        <f>VLOOKUP($B926,'Hospitalisation Details'!A925:J3269,7,0)</f>
        <v>tier - 3</v>
      </c>
      <c r="Q926" t="str">
        <f>VLOOKUP($B926,'Hospitalisation Details'!A925:J3269,9,0)</f>
        <v>R1012</v>
      </c>
      <c r="R926">
        <f>VLOOKUP($B926,'Hospitalisation Details'!A925:K3269,11,0)</f>
        <v>46</v>
      </c>
    </row>
    <row r="927" spans="1:18" x14ac:dyDescent="0.35">
      <c r="A927" t="s">
        <v>1445</v>
      </c>
      <c r="B927" t="s">
        <v>958</v>
      </c>
      <c r="C927" t="str">
        <f>VLOOKUP($A927,'Customer Names'!$A:$E,4,FALSE)</f>
        <v>Oksana</v>
      </c>
      <c r="D927" t="str">
        <f>VLOOKUP($A927,'Medical Examinations'!$A:$J,2,FALSE)</f>
        <v>Overweight</v>
      </c>
      <c r="E927">
        <f>VLOOKUP($A927,'Medical Examinations'!$A:$J,4,FALSE)</f>
        <v>6.25</v>
      </c>
      <c r="F927" t="str">
        <f>VLOOKUP($A927,'Medical Examinations'!$A:$J,6,FALSE)</f>
        <v>yes</v>
      </c>
      <c r="G927" t="str">
        <f>VLOOKUP($A927,'Medical Examinations'!$A:$J,7,FALSE)</f>
        <v>No</v>
      </c>
      <c r="H927" t="str">
        <f>VLOOKUP($A927,'Medical Examinations'!$A:$J,8,FALSE)</f>
        <v>No</v>
      </c>
      <c r="I927">
        <f>VLOOKUP($A927,'Medical Examinations'!$A:$J,9,FALSE)</f>
        <v>1</v>
      </c>
      <c r="J927" t="str">
        <f>VLOOKUP($A927,'Medical Examinations'!$A:$J,10,FALSE)</f>
        <v>No</v>
      </c>
      <c r="K927" t="str">
        <f>VLOOKUP($A927,'Medical Examinations'!$A:$J,5,FALSE)</f>
        <v>Prediabetes</v>
      </c>
      <c r="L927">
        <f>VLOOKUP($A928,'Medical Examinations'!$A:$J,3,FALSE)</f>
        <v>22.77</v>
      </c>
      <c r="M927">
        <f>VLOOKUP($A927,'Hospitalisation Details'!$A:$K,6,FALSE)</f>
        <v>11837.16</v>
      </c>
      <c r="N927" s="11">
        <f>VLOOKUP($B927,'Hospitalisation Details'!A926:J3270,10,0)</f>
        <v>28838</v>
      </c>
      <c r="O927" t="str">
        <f>VLOOKUP($B927,'Hospitalisation Details'!A926:J3270,8,0)</f>
        <v>tier - 1</v>
      </c>
      <c r="P927" t="str">
        <f>VLOOKUP($B927,'Hospitalisation Details'!A926:J3270,7,0)</f>
        <v>tier - 2</v>
      </c>
      <c r="Q927" t="str">
        <f>VLOOKUP($B927,'Hospitalisation Details'!A926:J3270,9,0)</f>
        <v>R1013</v>
      </c>
      <c r="R927">
        <f>VLOOKUP($B927,'Hospitalisation Details'!A926:K3270,11,0)</f>
        <v>44</v>
      </c>
    </row>
    <row r="928" spans="1:18" x14ac:dyDescent="0.35">
      <c r="A928" t="s">
        <v>1444</v>
      </c>
      <c r="B928" t="s">
        <v>959</v>
      </c>
      <c r="C928" t="str">
        <f>VLOOKUP($A928,'Customer Names'!$A:$E,4,FALSE)</f>
        <v>Rebecca B.</v>
      </c>
      <c r="D928" t="str">
        <f>VLOOKUP($A928,'Medical Examinations'!$A:$J,2,FALSE)</f>
        <v>Normal Weight</v>
      </c>
      <c r="E928">
        <f>VLOOKUP($A928,'Medical Examinations'!$A:$J,4,FALSE)</f>
        <v>4.47</v>
      </c>
      <c r="F928" t="str">
        <f>VLOOKUP($A928,'Medical Examinations'!$A:$J,6,FALSE)</f>
        <v>yes</v>
      </c>
      <c r="G928" t="str">
        <f>VLOOKUP($A928,'Medical Examinations'!$A:$J,7,FALSE)</f>
        <v>No</v>
      </c>
      <c r="H928" t="str">
        <f>VLOOKUP($A928,'Medical Examinations'!$A:$J,8,FALSE)</f>
        <v>No</v>
      </c>
      <c r="I928">
        <f>VLOOKUP($A928,'Medical Examinations'!$A:$J,9,FALSE)</f>
        <v>1</v>
      </c>
      <c r="J928" t="str">
        <f>VLOOKUP($A928,'Medical Examinations'!$A:$J,10,FALSE)</f>
        <v>No</v>
      </c>
      <c r="K928" t="str">
        <f>VLOOKUP($A928,'Medical Examinations'!$A:$J,5,FALSE)</f>
        <v>Normal</v>
      </c>
      <c r="L928">
        <f>VLOOKUP($A929,'Medical Examinations'!$A:$J,3,FALSE)</f>
        <v>23.18</v>
      </c>
      <c r="M928">
        <f>VLOOKUP($A928,'Hospitalisation Details'!$A:$K,6,FALSE)</f>
        <v>11833.78</v>
      </c>
      <c r="N928" s="11">
        <f>VLOOKUP($B928,'Hospitalisation Details'!A927:J3271,10,0)</f>
        <v>30916</v>
      </c>
      <c r="O928" t="str">
        <f>VLOOKUP($B928,'Hospitalisation Details'!A927:J3271,8,0)</f>
        <v>tier - 2</v>
      </c>
      <c r="P928" t="str">
        <f>VLOOKUP($B928,'Hospitalisation Details'!A927:J3271,7,0)</f>
        <v>tier - 2</v>
      </c>
      <c r="Q928" t="str">
        <f>VLOOKUP($B928,'Hospitalisation Details'!A927:J3271,9,0)</f>
        <v>R1012</v>
      </c>
      <c r="R928">
        <f>VLOOKUP($B928,'Hospitalisation Details'!A927:K3271,11,0)</f>
        <v>38</v>
      </c>
    </row>
    <row r="929" spans="1:18" x14ac:dyDescent="0.35">
      <c r="A929" t="s">
        <v>1443</v>
      </c>
      <c r="B929" t="s">
        <v>960</v>
      </c>
      <c r="C929" t="str">
        <f>VLOOKUP($A929,'Customer Names'!$A:$E,4,FALSE)</f>
        <v>Maria A.</v>
      </c>
      <c r="D929" t="str">
        <f>VLOOKUP($A929,'Medical Examinations'!$A:$J,2,FALSE)</f>
        <v>Normal Weight</v>
      </c>
      <c r="E929">
        <f>VLOOKUP($A929,'Medical Examinations'!$A:$J,4,FALSE)</f>
        <v>8.31</v>
      </c>
      <c r="F929" t="str">
        <f>VLOOKUP($A929,'Medical Examinations'!$A:$J,6,FALSE)</f>
        <v>No</v>
      </c>
      <c r="G929" t="str">
        <f>VLOOKUP($A929,'Medical Examinations'!$A:$J,7,FALSE)</f>
        <v>No</v>
      </c>
      <c r="H929" t="str">
        <f>VLOOKUP($A929,'Medical Examinations'!$A:$J,8,FALSE)</f>
        <v>No</v>
      </c>
      <c r="I929">
        <f>VLOOKUP($A929,'Medical Examinations'!$A:$J,9,FALSE)</f>
        <v>0</v>
      </c>
      <c r="J929" t="str">
        <f>VLOOKUP($A929,'Medical Examinations'!$A:$J,10,FALSE)</f>
        <v>No</v>
      </c>
      <c r="K929" t="str">
        <f>VLOOKUP($A929,'Medical Examinations'!$A:$J,5,FALSE)</f>
        <v>Diabetes</v>
      </c>
      <c r="L929">
        <f>VLOOKUP($A930,'Medical Examinations'!$A:$J,3,FALSE)</f>
        <v>35.409999999999997</v>
      </c>
      <c r="M929">
        <f>VLOOKUP($A929,'Hospitalisation Details'!$A:$K,6,FALSE)</f>
        <v>11830.61</v>
      </c>
      <c r="N929" s="11">
        <f>VLOOKUP($B929,'Hospitalisation Details'!A928:J3272,10,0)</f>
        <v>32492</v>
      </c>
      <c r="O929" t="str">
        <f>VLOOKUP($B929,'Hospitalisation Details'!A928:J3272,8,0)</f>
        <v>tier - 2</v>
      </c>
      <c r="P929" t="str">
        <f>VLOOKUP($B929,'Hospitalisation Details'!A928:J3272,7,0)</f>
        <v>tier - 2</v>
      </c>
      <c r="Q929" t="str">
        <f>VLOOKUP($B929,'Hospitalisation Details'!A928:J3272,9,0)</f>
        <v>R1012</v>
      </c>
      <c r="R929">
        <f>VLOOKUP($B929,'Hospitalisation Details'!A928:K3272,11,0)</f>
        <v>34</v>
      </c>
    </row>
    <row r="930" spans="1:18" x14ac:dyDescent="0.35">
      <c r="A930" t="s">
        <v>1442</v>
      </c>
      <c r="B930" t="s">
        <v>961</v>
      </c>
      <c r="C930" t="str">
        <f>VLOOKUP($A930,'Customer Names'!$A:$E,4,FALSE)</f>
        <v>Lisa M</v>
      </c>
      <c r="D930" t="str">
        <f>VLOOKUP($A930,'Medical Examinations'!$A:$J,2,FALSE)</f>
        <v>Obesity</v>
      </c>
      <c r="E930">
        <f>VLOOKUP($A930,'Medical Examinations'!$A:$J,4,FALSE)</f>
        <v>5.68</v>
      </c>
      <c r="F930" t="str">
        <f>VLOOKUP($A930,'Medical Examinations'!$A:$J,6,FALSE)</f>
        <v>No</v>
      </c>
      <c r="G930" t="str">
        <f>VLOOKUP($A930,'Medical Examinations'!$A:$J,7,FALSE)</f>
        <v>No</v>
      </c>
      <c r="H930" t="str">
        <f>VLOOKUP($A930,'Medical Examinations'!$A:$J,8,FALSE)</f>
        <v>No</v>
      </c>
      <c r="I930">
        <f>VLOOKUP($A930,'Medical Examinations'!$A:$J,9,FALSE)</f>
        <v>0</v>
      </c>
      <c r="J930" t="str">
        <f>VLOOKUP($A930,'Medical Examinations'!$A:$J,10,FALSE)</f>
        <v>No</v>
      </c>
      <c r="K930" t="str">
        <f>VLOOKUP($A930,'Medical Examinations'!$A:$J,5,FALSE)</f>
        <v>Normal</v>
      </c>
      <c r="L930">
        <f>VLOOKUP($A931,'Medical Examinations'!$A:$J,3,FALSE)</f>
        <v>32.11</v>
      </c>
      <c r="M930">
        <f>VLOOKUP($A930,'Hospitalisation Details'!$A:$K,6,FALSE)</f>
        <v>11773.06</v>
      </c>
      <c r="N930" s="11">
        <f>VLOOKUP($B930,'Hospitalisation Details'!A929:J3273,10,0)</f>
        <v>34560</v>
      </c>
      <c r="O930" t="str">
        <f>VLOOKUP($B930,'Hospitalisation Details'!A929:J3273,8,0)</f>
        <v>tier - 2</v>
      </c>
      <c r="P930" t="str">
        <f>VLOOKUP($B930,'Hospitalisation Details'!A929:J3273,7,0)</f>
        <v>tier - 2</v>
      </c>
      <c r="Q930" t="str">
        <f>VLOOKUP($B930,'Hospitalisation Details'!A929:J3273,9,0)</f>
        <v>R1021</v>
      </c>
      <c r="R930">
        <f>VLOOKUP($B930,'Hospitalisation Details'!A929:K3273,11,0)</f>
        <v>28</v>
      </c>
    </row>
    <row r="931" spans="1:18" x14ac:dyDescent="0.35">
      <c r="A931" t="s">
        <v>1441</v>
      </c>
      <c r="B931" t="s">
        <v>962</v>
      </c>
      <c r="C931" t="str">
        <f>VLOOKUP($A931,'Customer Names'!$A:$E,4,FALSE)</f>
        <v>Steve Jr.</v>
      </c>
      <c r="D931" t="str">
        <f>VLOOKUP($A931,'Medical Examinations'!$A:$J,2,FALSE)</f>
        <v>Obesity</v>
      </c>
      <c r="E931">
        <f>VLOOKUP($A931,'Medical Examinations'!$A:$J,4,FALSE)</f>
        <v>4.75</v>
      </c>
      <c r="F931" t="str">
        <f>VLOOKUP($A931,'Medical Examinations'!$A:$J,6,FALSE)</f>
        <v>yes</v>
      </c>
      <c r="G931" t="str">
        <f>VLOOKUP($A931,'Medical Examinations'!$A:$J,7,FALSE)</f>
        <v>No</v>
      </c>
      <c r="H931" t="str">
        <f>VLOOKUP($A931,'Medical Examinations'!$A:$J,8,FALSE)</f>
        <v>No</v>
      </c>
      <c r="I931">
        <f>VLOOKUP($A931,'Medical Examinations'!$A:$J,9,FALSE)</f>
        <v>2</v>
      </c>
      <c r="J931" t="str">
        <f>VLOOKUP($A931,'Medical Examinations'!$A:$J,10,FALSE)</f>
        <v>No</v>
      </c>
      <c r="K931" t="str">
        <f>VLOOKUP($A931,'Medical Examinations'!$A:$J,5,FALSE)</f>
        <v>Normal</v>
      </c>
      <c r="L931">
        <f>VLOOKUP($A932,'Medical Examinations'!$A:$J,3,FALSE)</f>
        <v>34.479999999999997</v>
      </c>
      <c r="M931">
        <f>VLOOKUP($A931,'Hospitalisation Details'!$A:$K,6,FALSE)</f>
        <v>11763</v>
      </c>
      <c r="N931" s="11">
        <f>VLOOKUP($B931,'Hospitalisation Details'!A930:J3274,10,0)</f>
        <v>24670</v>
      </c>
      <c r="O931" t="str">
        <f>VLOOKUP($B931,'Hospitalisation Details'!A930:J3274,8,0)</f>
        <v>tier - 2</v>
      </c>
      <c r="P931" t="str">
        <f>VLOOKUP($B931,'Hospitalisation Details'!A930:J3274,7,0)</f>
        <v>tier - 3</v>
      </c>
      <c r="Q931" t="str">
        <f>VLOOKUP($B931,'Hospitalisation Details'!A930:J3274,9,0)</f>
        <v>R1013</v>
      </c>
      <c r="R931">
        <f>VLOOKUP($B931,'Hospitalisation Details'!A930:K3274,11,0)</f>
        <v>55</v>
      </c>
    </row>
    <row r="932" spans="1:18" x14ac:dyDescent="0.35">
      <c r="A932" t="s">
        <v>1440</v>
      </c>
      <c r="B932" t="s">
        <v>963</v>
      </c>
      <c r="C932" t="str">
        <f>VLOOKUP($A932,'Customer Names'!$A:$E,4,FALSE)</f>
        <v>Tiffany</v>
      </c>
      <c r="D932" t="str">
        <f>VLOOKUP($A932,'Medical Examinations'!$A:$J,2,FALSE)</f>
        <v>Obesity</v>
      </c>
      <c r="E932">
        <f>VLOOKUP($A932,'Medical Examinations'!$A:$J,4,FALSE)</f>
        <v>6.31</v>
      </c>
      <c r="F932" t="str">
        <f>VLOOKUP($A932,'Medical Examinations'!$A:$J,6,FALSE)</f>
        <v>No</v>
      </c>
      <c r="G932" t="str">
        <f>VLOOKUP($A932,'Medical Examinations'!$A:$J,7,FALSE)</f>
        <v>No</v>
      </c>
      <c r="H932" t="str">
        <f>VLOOKUP($A932,'Medical Examinations'!$A:$J,8,FALSE)</f>
        <v>Yes</v>
      </c>
      <c r="I932">
        <f>VLOOKUP($A932,'Medical Examinations'!$A:$J,9,FALSE)</f>
        <v>1</v>
      </c>
      <c r="J932" t="str">
        <f>VLOOKUP($A932,'Medical Examinations'!$A:$J,10,FALSE)</f>
        <v>No</v>
      </c>
      <c r="K932" t="str">
        <f>VLOOKUP($A932,'Medical Examinations'!$A:$J,5,FALSE)</f>
        <v>Prediabetes</v>
      </c>
      <c r="L932">
        <f>VLOOKUP($A933,'Medical Examinations'!$A:$J,3,FALSE)</f>
        <v>34.39</v>
      </c>
      <c r="M932">
        <f>VLOOKUP($A932,'Hospitalisation Details'!$A:$K,6,FALSE)</f>
        <v>11752.68</v>
      </c>
      <c r="N932" s="11">
        <f>VLOOKUP($B932,'Hospitalisation Details'!A931:J3275,10,0)</f>
        <v>35703</v>
      </c>
      <c r="O932" t="str">
        <f>VLOOKUP($B932,'Hospitalisation Details'!A931:J3275,8,0)</f>
        <v>tier - 2</v>
      </c>
      <c r="P932" t="str">
        <f>VLOOKUP($B932,'Hospitalisation Details'!A931:J3275,7,0)</f>
        <v>tier - 2</v>
      </c>
      <c r="Q932" t="str">
        <f>VLOOKUP($B932,'Hospitalisation Details'!A931:J3275,9,0)</f>
        <v>R1012</v>
      </c>
      <c r="R932">
        <f>VLOOKUP($B932,'Hospitalisation Details'!A931:K3275,11,0)</f>
        <v>25</v>
      </c>
    </row>
    <row r="933" spans="1:18" x14ac:dyDescent="0.35">
      <c r="A933" t="s">
        <v>1439</v>
      </c>
      <c r="B933" t="s">
        <v>964</v>
      </c>
      <c r="C933" t="str">
        <f>VLOOKUP($A933,'Customer Names'!$A:$E,4,FALSE)</f>
        <v>Greg</v>
      </c>
      <c r="D933" t="str">
        <f>VLOOKUP($A933,'Medical Examinations'!$A:$J,2,FALSE)</f>
        <v>Obesity</v>
      </c>
      <c r="E933">
        <f>VLOOKUP($A933,'Medical Examinations'!$A:$J,4,FALSE)</f>
        <v>6.28</v>
      </c>
      <c r="F933" t="str">
        <f>VLOOKUP($A933,'Medical Examinations'!$A:$J,6,FALSE)</f>
        <v>yes</v>
      </c>
      <c r="G933" t="str">
        <f>VLOOKUP($A933,'Medical Examinations'!$A:$J,7,FALSE)</f>
        <v>No</v>
      </c>
      <c r="H933" t="str">
        <f>VLOOKUP($A933,'Medical Examinations'!$A:$J,8,FALSE)</f>
        <v>No</v>
      </c>
      <c r="I933">
        <f>VLOOKUP($A933,'Medical Examinations'!$A:$J,9,FALSE)</f>
        <v>1</v>
      </c>
      <c r="J933" t="str">
        <f>VLOOKUP($A933,'Medical Examinations'!$A:$J,10,FALSE)</f>
        <v>No</v>
      </c>
      <c r="K933" t="str">
        <f>VLOOKUP($A933,'Medical Examinations'!$A:$J,5,FALSE)</f>
        <v>Prediabetes</v>
      </c>
      <c r="L933">
        <f>VLOOKUP($A934,'Medical Examinations'!$A:$J,3,FALSE)</f>
        <v>26.4</v>
      </c>
      <c r="M933">
        <f>VLOOKUP($A933,'Hospitalisation Details'!$A:$K,6,FALSE)</f>
        <v>11743.93</v>
      </c>
      <c r="N933" s="11">
        <f>VLOOKUP($B933,'Hospitalisation Details'!A932:J3276,10,0)</f>
        <v>25022</v>
      </c>
      <c r="O933" t="str">
        <f>VLOOKUP($B933,'Hospitalisation Details'!A932:J3276,8,0)</f>
        <v>tier - 2</v>
      </c>
      <c r="P933" t="str">
        <f>VLOOKUP($B933,'Hospitalisation Details'!A932:J3276,7,0)</f>
        <v>tier - 3</v>
      </c>
      <c r="Q933" t="str">
        <f>VLOOKUP($B933,'Hospitalisation Details'!A932:J3276,9,0)</f>
        <v>R1012</v>
      </c>
      <c r="R933">
        <f>VLOOKUP($B933,'Hospitalisation Details'!A932:K3276,11,0)</f>
        <v>54</v>
      </c>
    </row>
    <row r="934" spans="1:18" x14ac:dyDescent="0.35">
      <c r="A934" t="s">
        <v>1438</v>
      </c>
      <c r="B934" t="s">
        <v>965</v>
      </c>
      <c r="C934" t="str">
        <f>VLOOKUP($A934,'Customer Names'!$A:$E,4,FALSE)</f>
        <v>Dale</v>
      </c>
      <c r="D934" t="str">
        <f>VLOOKUP($A934,'Medical Examinations'!$A:$J,2,FALSE)</f>
        <v>Overweight</v>
      </c>
      <c r="E934">
        <f>VLOOKUP($A934,'Medical Examinations'!$A:$J,4,FALSE)</f>
        <v>9.2899999999999991</v>
      </c>
      <c r="F934" t="str">
        <f>VLOOKUP($A934,'Medical Examinations'!$A:$J,6,FALSE)</f>
        <v>yes</v>
      </c>
      <c r="G934" t="str">
        <f>VLOOKUP($A934,'Medical Examinations'!$A:$J,7,FALSE)</f>
        <v>No</v>
      </c>
      <c r="H934" t="str">
        <f>VLOOKUP($A934,'Medical Examinations'!$A:$J,8,FALSE)</f>
        <v>Yes</v>
      </c>
      <c r="I934">
        <f>VLOOKUP($A934,'Medical Examinations'!$A:$J,9,FALSE)</f>
        <v>1</v>
      </c>
      <c r="J934" t="str">
        <f>VLOOKUP($A934,'Medical Examinations'!$A:$J,10,FALSE)</f>
        <v>No</v>
      </c>
      <c r="K934" t="str">
        <f>VLOOKUP($A934,'Medical Examinations'!$A:$J,5,FALSE)</f>
        <v>Diabetes</v>
      </c>
      <c r="L934">
        <f>VLOOKUP($A935,'Medical Examinations'!$A:$J,3,FALSE)</f>
        <v>28.1</v>
      </c>
      <c r="M934">
        <f>VLOOKUP($A934,'Hospitalisation Details'!$A:$K,6,FALSE)</f>
        <v>11743.3</v>
      </c>
      <c r="N934" s="11">
        <f>VLOOKUP($B934,'Hospitalisation Details'!A933:J3277,10,0)</f>
        <v>35325</v>
      </c>
      <c r="O934" t="str">
        <f>VLOOKUP($B934,'Hospitalisation Details'!A933:J3277,8,0)</f>
        <v>tier - 3</v>
      </c>
      <c r="P934" t="str">
        <f>VLOOKUP($B934,'Hospitalisation Details'!A933:J3277,7,0)</f>
        <v>tier - 2</v>
      </c>
      <c r="Q934" t="str">
        <f>VLOOKUP($B934,'Hospitalisation Details'!A933:J3277,9,0)</f>
        <v>R1011</v>
      </c>
      <c r="R934">
        <f>VLOOKUP($B934,'Hospitalisation Details'!A933:K3277,11,0)</f>
        <v>26</v>
      </c>
    </row>
    <row r="935" spans="1:18" x14ac:dyDescent="0.35">
      <c r="A935" t="s">
        <v>1437</v>
      </c>
      <c r="B935" t="s">
        <v>966</v>
      </c>
      <c r="C935" t="str">
        <f>VLOOKUP($A935,'Customer Names'!$A:$E,4,FALSE)</f>
        <v>Brittany A.</v>
      </c>
      <c r="D935" t="str">
        <f>VLOOKUP($A935,'Medical Examinations'!$A:$J,2,FALSE)</f>
        <v>Overweight</v>
      </c>
      <c r="E935">
        <f>VLOOKUP($A935,'Medical Examinations'!$A:$J,4,FALSE)</f>
        <v>5.79</v>
      </c>
      <c r="F935" t="str">
        <f>VLOOKUP($A935,'Medical Examinations'!$A:$J,6,FALSE)</f>
        <v>yes</v>
      </c>
      <c r="G935" t="str">
        <f>VLOOKUP($A935,'Medical Examinations'!$A:$J,7,FALSE)</f>
        <v>No</v>
      </c>
      <c r="H935" t="str">
        <f>VLOOKUP($A935,'Medical Examinations'!$A:$J,8,FALSE)</f>
        <v>Yes</v>
      </c>
      <c r="I935">
        <f>VLOOKUP($A935,'Medical Examinations'!$A:$J,9,FALSE)</f>
        <v>1</v>
      </c>
      <c r="J935" t="str">
        <f>VLOOKUP($A935,'Medical Examinations'!$A:$J,10,FALSE)</f>
        <v>No</v>
      </c>
      <c r="K935" t="str">
        <f>VLOOKUP($A935,'Medical Examinations'!$A:$J,5,FALSE)</f>
        <v>Prediabetes</v>
      </c>
      <c r="L935">
        <f>VLOOKUP($A936,'Medical Examinations'!$A:$J,3,FALSE)</f>
        <v>27</v>
      </c>
      <c r="M935">
        <f>VLOOKUP($A935,'Hospitalisation Details'!$A:$K,6,FALSE)</f>
        <v>11741.73</v>
      </c>
      <c r="N935" s="11">
        <f>VLOOKUP($B935,'Hospitalisation Details'!A934:J3278,10,0)</f>
        <v>28822</v>
      </c>
      <c r="O935" t="str">
        <f>VLOOKUP($B935,'Hospitalisation Details'!A934:J3278,8,0)</f>
        <v>tier - 1</v>
      </c>
      <c r="P935" t="str">
        <f>VLOOKUP($B935,'Hospitalisation Details'!A934:J3278,7,0)</f>
        <v>tier - 2</v>
      </c>
      <c r="Q935" t="str">
        <f>VLOOKUP($B935,'Hospitalisation Details'!A934:J3278,9,0)</f>
        <v>R1011</v>
      </c>
      <c r="R935">
        <f>VLOOKUP($B935,'Hospitalisation Details'!A934:K3278,11,0)</f>
        <v>44</v>
      </c>
    </row>
    <row r="936" spans="1:18" x14ac:dyDescent="0.35">
      <c r="A936" t="s">
        <v>1436</v>
      </c>
      <c r="B936" t="s">
        <v>967</v>
      </c>
      <c r="C936" t="str">
        <f>VLOOKUP($A936,'Customer Names'!$A:$E,4,FALSE)</f>
        <v>Robert S</v>
      </c>
      <c r="D936" t="str">
        <f>VLOOKUP($A936,'Medical Examinations'!$A:$J,2,FALSE)</f>
        <v>Overweight</v>
      </c>
      <c r="E936">
        <f>VLOOKUP($A936,'Medical Examinations'!$A:$J,4,FALSE)</f>
        <v>4.54</v>
      </c>
      <c r="F936" t="str">
        <f>VLOOKUP($A936,'Medical Examinations'!$A:$J,6,FALSE)</f>
        <v>yes</v>
      </c>
      <c r="G936" t="str">
        <f>VLOOKUP($A936,'Medical Examinations'!$A:$J,7,FALSE)</f>
        <v>No</v>
      </c>
      <c r="H936" t="str">
        <f>VLOOKUP($A936,'Medical Examinations'!$A:$J,8,FALSE)</f>
        <v>No</v>
      </c>
      <c r="I936">
        <f>VLOOKUP($A936,'Medical Examinations'!$A:$J,9,FALSE)</f>
        <v>1</v>
      </c>
      <c r="J936" t="str">
        <f>VLOOKUP($A936,'Medical Examinations'!$A:$J,10,FALSE)</f>
        <v>No</v>
      </c>
      <c r="K936" t="str">
        <f>VLOOKUP($A936,'Medical Examinations'!$A:$J,5,FALSE)</f>
        <v>Normal</v>
      </c>
      <c r="L936">
        <f>VLOOKUP($A937,'Medical Examinations'!$A:$J,3,FALSE)</f>
        <v>28.594999999999999</v>
      </c>
      <c r="M936">
        <f>VLOOKUP($A936,'Hospitalisation Details'!$A:$K,6,FALSE)</f>
        <v>11737.85</v>
      </c>
      <c r="N936" s="11">
        <f>VLOOKUP($B936,'Hospitalisation Details'!A935:J3279,10,0)</f>
        <v>28800</v>
      </c>
      <c r="O936" t="str">
        <f>VLOOKUP($B936,'Hospitalisation Details'!A935:J3279,8,0)</f>
        <v>tier - 1</v>
      </c>
      <c r="P936" t="str">
        <f>VLOOKUP($B936,'Hospitalisation Details'!A935:J3279,7,0)</f>
        <v>tier - 2</v>
      </c>
      <c r="Q936" t="str">
        <f>VLOOKUP($B936,'Hospitalisation Details'!A935:J3279,9,0)</f>
        <v>R1011</v>
      </c>
      <c r="R936">
        <f>VLOOKUP($B936,'Hospitalisation Details'!A935:K3279,11,0)</f>
        <v>44</v>
      </c>
    </row>
    <row r="937" spans="1:18" x14ac:dyDescent="0.35">
      <c r="A937" t="s">
        <v>1435</v>
      </c>
      <c r="B937" t="s">
        <v>968</v>
      </c>
      <c r="C937" t="str">
        <f>VLOOKUP($A937,'Customer Names'!$A:$E,4,FALSE)</f>
        <v>Cameron</v>
      </c>
      <c r="D937" t="str">
        <f>VLOOKUP($A937,'Medical Examinations'!$A:$J,2,FALSE)</f>
        <v>Overweight</v>
      </c>
      <c r="E937">
        <f>VLOOKUP($A937,'Medical Examinations'!$A:$J,4,FALSE)</f>
        <v>4.68</v>
      </c>
      <c r="F937" t="str">
        <f>VLOOKUP($A937,'Medical Examinations'!$A:$J,6,FALSE)</f>
        <v>yes</v>
      </c>
      <c r="G937" t="str">
        <f>VLOOKUP($A937,'Medical Examinations'!$A:$J,7,FALSE)</f>
        <v>No</v>
      </c>
      <c r="H937" t="str">
        <f>VLOOKUP($A937,'Medical Examinations'!$A:$J,8,FALSE)</f>
        <v>No</v>
      </c>
      <c r="I937">
        <f>VLOOKUP($A937,'Medical Examinations'!$A:$J,9,FALSE)</f>
        <v>1</v>
      </c>
      <c r="J937" t="str">
        <f>VLOOKUP($A937,'Medical Examinations'!$A:$J,10,FALSE)</f>
        <v>No</v>
      </c>
      <c r="K937" t="str">
        <f>VLOOKUP($A937,'Medical Examinations'!$A:$J,5,FALSE)</f>
        <v>Normal</v>
      </c>
      <c r="L937">
        <f>VLOOKUP($A938,'Medical Examinations'!$A:$J,3,FALSE)</f>
        <v>36.799999999999997</v>
      </c>
      <c r="M937">
        <f>VLOOKUP($A937,'Hospitalisation Details'!$A:$K,6,FALSE)</f>
        <v>11735.88</v>
      </c>
      <c r="N937" s="11">
        <f>VLOOKUP($B937,'Hospitalisation Details'!A936:J3280,10,0)</f>
        <v>28823</v>
      </c>
      <c r="O937" t="str">
        <f>VLOOKUP($B937,'Hospitalisation Details'!A936:J3280,8,0)</f>
        <v>tier - 2</v>
      </c>
      <c r="P937" t="str">
        <f>VLOOKUP($B937,'Hospitalisation Details'!A936:J3280,7,0)</f>
        <v>tier - 2</v>
      </c>
      <c r="Q937" t="str">
        <f>VLOOKUP($B937,'Hospitalisation Details'!A936:J3280,9,0)</f>
        <v>R1011</v>
      </c>
      <c r="R937">
        <f>VLOOKUP($B937,'Hospitalisation Details'!A936:K3280,11,0)</f>
        <v>44</v>
      </c>
    </row>
    <row r="938" spans="1:18" x14ac:dyDescent="0.35">
      <c r="A938" t="s">
        <v>1434</v>
      </c>
      <c r="B938" t="s">
        <v>969</v>
      </c>
      <c r="C938" t="str">
        <f>VLOOKUP($A938,'Customer Names'!$A:$E,4,FALSE)</f>
        <v>Ulrike</v>
      </c>
      <c r="D938" t="str">
        <f>VLOOKUP($A938,'Medical Examinations'!$A:$J,2,FALSE)</f>
        <v>Obesity</v>
      </c>
      <c r="E938">
        <f>VLOOKUP($A938,'Medical Examinations'!$A:$J,4,FALSE)</f>
        <v>5.88</v>
      </c>
      <c r="F938" t="str">
        <f>VLOOKUP($A938,'Medical Examinations'!$A:$J,6,FALSE)</f>
        <v>No</v>
      </c>
      <c r="G938" t="str">
        <f>VLOOKUP($A938,'Medical Examinations'!$A:$J,7,FALSE)</f>
        <v>No</v>
      </c>
      <c r="H938" t="str">
        <f>VLOOKUP($A938,'Medical Examinations'!$A:$J,8,FALSE)</f>
        <v>No</v>
      </c>
      <c r="I938">
        <f>VLOOKUP($A938,'Medical Examinations'!$A:$J,9,FALSE)</f>
        <v>1</v>
      </c>
      <c r="J938" t="str">
        <f>VLOOKUP($A938,'Medical Examinations'!$A:$J,10,FALSE)</f>
        <v>No</v>
      </c>
      <c r="K938" t="str">
        <f>VLOOKUP($A938,'Medical Examinations'!$A:$J,5,FALSE)</f>
        <v>Prediabetes</v>
      </c>
      <c r="L938">
        <f>VLOOKUP($A939,'Medical Examinations'!$A:$J,3,FALSE)</f>
        <v>23.75</v>
      </c>
      <c r="M938">
        <f>VLOOKUP($A938,'Hospitalisation Details'!$A:$K,6,FALSE)</f>
        <v>11730.82</v>
      </c>
      <c r="N938" s="11">
        <f>VLOOKUP($B938,'Hospitalisation Details'!A937:J3281,10,0)</f>
        <v>28726</v>
      </c>
      <c r="O938" t="str">
        <f>VLOOKUP($B938,'Hospitalisation Details'!A937:J3281,8,0)</f>
        <v>tier - 1</v>
      </c>
      <c r="P938" t="str">
        <f>VLOOKUP($B938,'Hospitalisation Details'!A937:J3281,7,0)</f>
        <v>tier - 2</v>
      </c>
      <c r="Q938" t="str">
        <f>VLOOKUP($B938,'Hospitalisation Details'!A937:J3281,9,0)</f>
        <v>R1013</v>
      </c>
      <c r="R938">
        <f>VLOOKUP($B938,'Hospitalisation Details'!A937:K3281,11,0)</f>
        <v>44</v>
      </c>
    </row>
    <row r="939" spans="1:18" x14ac:dyDescent="0.35">
      <c r="A939" t="s">
        <v>1433</v>
      </c>
      <c r="B939" t="s">
        <v>970</v>
      </c>
      <c r="C939" t="str">
        <f>VLOOKUP($A939,'Customer Names'!$A:$E,4,FALSE)</f>
        <v>Katlyn A.</v>
      </c>
      <c r="D939" t="str">
        <f>VLOOKUP($A939,'Medical Examinations'!$A:$J,2,FALSE)</f>
        <v>Normal Weight</v>
      </c>
      <c r="E939">
        <f>VLOOKUP($A939,'Medical Examinations'!$A:$J,4,FALSE)</f>
        <v>5.42</v>
      </c>
      <c r="F939" t="str">
        <f>VLOOKUP($A939,'Medical Examinations'!$A:$J,6,FALSE)</f>
        <v>yes</v>
      </c>
      <c r="G939" t="str">
        <f>VLOOKUP($A939,'Medical Examinations'!$A:$J,7,FALSE)</f>
        <v>No</v>
      </c>
      <c r="H939" t="str">
        <f>VLOOKUP($A939,'Medical Examinations'!$A:$J,8,FALSE)</f>
        <v>Yes</v>
      </c>
      <c r="I939">
        <f>VLOOKUP($A939,'Medical Examinations'!$A:$J,9,FALSE)</f>
        <v>1</v>
      </c>
      <c r="J939" t="str">
        <f>VLOOKUP($A939,'Medical Examinations'!$A:$J,10,FALSE)</f>
        <v>No</v>
      </c>
      <c r="K939" t="str">
        <f>VLOOKUP($A939,'Medical Examinations'!$A:$J,5,FALSE)</f>
        <v>Normal</v>
      </c>
      <c r="L939">
        <f>VLOOKUP($A940,'Medical Examinations'!$A:$J,3,FALSE)</f>
        <v>35.619999999999997</v>
      </c>
      <c r="M939">
        <f>VLOOKUP($A939,'Hospitalisation Details'!$A:$K,6,FALSE)</f>
        <v>11729.68</v>
      </c>
      <c r="N939" s="11">
        <f>VLOOKUP($B939,'Hospitalisation Details'!A938:J3282,10,0)</f>
        <v>37238</v>
      </c>
      <c r="O939" t="str">
        <f>VLOOKUP($B939,'Hospitalisation Details'!A938:J3282,8,0)</f>
        <v>tier - 3</v>
      </c>
      <c r="P939" t="str">
        <f>VLOOKUP($B939,'Hospitalisation Details'!A938:J3282,7,0)</f>
        <v>tier - 2</v>
      </c>
      <c r="Q939" t="str">
        <f>VLOOKUP($B939,'Hospitalisation Details'!A938:J3282,9,0)</f>
        <v>R1012</v>
      </c>
      <c r="R939">
        <f>VLOOKUP($B939,'Hospitalisation Details'!A938:K3282,11,0)</f>
        <v>21</v>
      </c>
    </row>
    <row r="940" spans="1:18" x14ac:dyDescent="0.35">
      <c r="A940" t="s">
        <v>1432</v>
      </c>
      <c r="B940" t="s">
        <v>971</v>
      </c>
      <c r="C940" t="str">
        <f>VLOOKUP($A940,'Customer Names'!$A:$E,4,FALSE)</f>
        <v>Morgan B.</v>
      </c>
      <c r="D940" t="str">
        <f>VLOOKUP($A940,'Medical Examinations'!$A:$J,2,FALSE)</f>
        <v>Obesity</v>
      </c>
      <c r="E940">
        <f>VLOOKUP($A940,'Medical Examinations'!$A:$J,4,FALSE)</f>
        <v>4.16</v>
      </c>
      <c r="F940" t="str">
        <f>VLOOKUP($A940,'Medical Examinations'!$A:$J,6,FALSE)</f>
        <v>No</v>
      </c>
      <c r="G940" t="str">
        <f>VLOOKUP($A940,'Medical Examinations'!$A:$J,7,FALSE)</f>
        <v>No</v>
      </c>
      <c r="H940" t="str">
        <f>VLOOKUP($A940,'Medical Examinations'!$A:$J,8,FALSE)</f>
        <v>No</v>
      </c>
      <c r="I940">
        <f>VLOOKUP($A940,'Medical Examinations'!$A:$J,9,FALSE)</f>
        <v>0</v>
      </c>
      <c r="J940" t="str">
        <f>VLOOKUP($A940,'Medical Examinations'!$A:$J,10,FALSE)</f>
        <v>No</v>
      </c>
      <c r="K940" t="str">
        <f>VLOOKUP($A940,'Medical Examinations'!$A:$J,5,FALSE)</f>
        <v>Normal</v>
      </c>
      <c r="L940">
        <f>VLOOKUP($A941,'Medical Examinations'!$A:$J,3,FALSE)</f>
        <v>30.69</v>
      </c>
      <c r="M940">
        <f>VLOOKUP($A940,'Hospitalisation Details'!$A:$K,6,FALSE)</f>
        <v>11712.97</v>
      </c>
      <c r="N940" s="11">
        <f>VLOOKUP($B940,'Hospitalisation Details'!A939:J3283,10,0)</f>
        <v>29392</v>
      </c>
      <c r="O940" t="str">
        <f>VLOOKUP($B940,'Hospitalisation Details'!A939:J3283,8,0)</f>
        <v>tier - 2</v>
      </c>
      <c r="P940" t="str">
        <f>VLOOKUP($B940,'Hospitalisation Details'!A939:J3283,7,0)</f>
        <v>tier - 2</v>
      </c>
      <c r="Q940" t="str">
        <f>VLOOKUP($B940,'Hospitalisation Details'!A939:J3283,9,0)</f>
        <v>R1024</v>
      </c>
      <c r="R940">
        <f>VLOOKUP($B940,'Hospitalisation Details'!A939:K3283,11,0)</f>
        <v>42</v>
      </c>
    </row>
    <row r="941" spans="1:18" x14ac:dyDescent="0.35">
      <c r="A941" t="s">
        <v>1431</v>
      </c>
      <c r="B941" t="s">
        <v>972</v>
      </c>
      <c r="C941" t="str">
        <f>VLOOKUP($A941,'Customer Names'!$A:$E,4,FALSE)</f>
        <v>Peter</v>
      </c>
      <c r="D941" t="str">
        <f>VLOOKUP($A941,'Medical Examinations'!$A:$J,2,FALSE)</f>
        <v>Obesity</v>
      </c>
      <c r="E941">
        <f>VLOOKUP($A941,'Medical Examinations'!$A:$J,4,FALSE)</f>
        <v>7.05</v>
      </c>
      <c r="F941" t="str">
        <f>VLOOKUP($A941,'Medical Examinations'!$A:$J,6,FALSE)</f>
        <v>yes</v>
      </c>
      <c r="G941" t="str">
        <f>VLOOKUP($A941,'Medical Examinations'!$A:$J,7,FALSE)</f>
        <v>No</v>
      </c>
      <c r="H941" t="str">
        <f>VLOOKUP($A941,'Medical Examinations'!$A:$J,8,FALSE)</f>
        <v>No</v>
      </c>
      <c r="I941">
        <f>VLOOKUP($A941,'Medical Examinations'!$A:$J,9,FALSE)</f>
        <v>2</v>
      </c>
      <c r="J941" t="str">
        <f>VLOOKUP($A941,'Medical Examinations'!$A:$J,10,FALSE)</f>
        <v>No</v>
      </c>
      <c r="K941" t="str">
        <f>VLOOKUP($A941,'Medical Examinations'!$A:$J,5,FALSE)</f>
        <v>Diabetes</v>
      </c>
      <c r="L941">
        <f>VLOOKUP($A942,'Medical Examinations'!$A:$J,3,FALSE)</f>
        <v>35.799999999999997</v>
      </c>
      <c r="M941">
        <f>VLOOKUP($A941,'Hospitalisation Details'!$A:$K,6,FALSE)</f>
        <v>11696.52</v>
      </c>
      <c r="N941" s="11">
        <f>VLOOKUP($B941,'Hospitalisation Details'!A940:J3284,10,0)</f>
        <v>29426</v>
      </c>
      <c r="O941" t="str">
        <f>VLOOKUP($B941,'Hospitalisation Details'!A940:J3284,8,0)</f>
        <v>tier - 1</v>
      </c>
      <c r="P941" t="str">
        <f>VLOOKUP($B941,'Hospitalisation Details'!A940:J3284,7,0)</f>
        <v>tier - 2</v>
      </c>
      <c r="Q941" t="str">
        <f>VLOOKUP($B941,'Hospitalisation Details'!A940:J3284,9,0)</f>
        <v>R1013</v>
      </c>
      <c r="R941">
        <f>VLOOKUP($B941,'Hospitalisation Details'!A940:K3284,11,0)</f>
        <v>42</v>
      </c>
    </row>
    <row r="942" spans="1:18" x14ac:dyDescent="0.35">
      <c r="A942" t="s">
        <v>1430</v>
      </c>
      <c r="B942" t="s">
        <v>973</v>
      </c>
      <c r="C942" t="str">
        <f>VLOOKUP($A942,'Customer Names'!$A:$E,4,FALSE)</f>
        <v>Chandler</v>
      </c>
      <c r="D942" t="str">
        <f>VLOOKUP($A942,'Medical Examinations'!$A:$J,2,FALSE)</f>
        <v>Obesity</v>
      </c>
      <c r="E942">
        <f>VLOOKUP($A942,'Medical Examinations'!$A:$J,4,FALSE)</f>
        <v>5.63</v>
      </c>
      <c r="F942" t="str">
        <f>VLOOKUP($A942,'Medical Examinations'!$A:$J,6,FALSE)</f>
        <v>yes</v>
      </c>
      <c r="G942" t="str">
        <f>VLOOKUP($A942,'Medical Examinations'!$A:$J,7,FALSE)</f>
        <v>No</v>
      </c>
      <c r="H942" t="str">
        <f>VLOOKUP($A942,'Medical Examinations'!$A:$J,8,FALSE)</f>
        <v>No</v>
      </c>
      <c r="I942">
        <f>VLOOKUP($A942,'Medical Examinations'!$A:$J,9,FALSE)</f>
        <v>2</v>
      </c>
      <c r="J942" t="str">
        <f>VLOOKUP($A942,'Medical Examinations'!$A:$J,10,FALSE)</f>
        <v>No</v>
      </c>
      <c r="K942" t="str">
        <f>VLOOKUP($A942,'Medical Examinations'!$A:$J,5,FALSE)</f>
        <v>Normal</v>
      </c>
      <c r="L942">
        <f>VLOOKUP($A943,'Medical Examinations'!$A:$J,3,FALSE)</f>
        <v>28.785</v>
      </c>
      <c r="M942">
        <f>VLOOKUP($A942,'Hospitalisation Details'!$A:$K,6,FALSE)</f>
        <v>11674.13</v>
      </c>
      <c r="N942" s="11">
        <f>VLOOKUP($B942,'Hospitalisation Details'!A941:J3285,10,0)</f>
        <v>36326</v>
      </c>
      <c r="O942" t="str">
        <f>VLOOKUP($B942,'Hospitalisation Details'!A941:J3285,8,0)</f>
        <v>tier - 2</v>
      </c>
      <c r="P942" t="str">
        <f>VLOOKUP($B942,'Hospitalisation Details'!A941:J3285,7,0)</f>
        <v>tier - 2</v>
      </c>
      <c r="Q942" t="str">
        <f>VLOOKUP($B942,'Hospitalisation Details'!A941:J3285,9,0)</f>
        <v>R1026</v>
      </c>
      <c r="R942">
        <f>VLOOKUP($B942,'Hospitalisation Details'!A941:K3285,11,0)</f>
        <v>23</v>
      </c>
    </row>
    <row r="943" spans="1:18" x14ac:dyDescent="0.35">
      <c r="A943" t="s">
        <v>1429</v>
      </c>
      <c r="B943" t="s">
        <v>974</v>
      </c>
      <c r="C943" t="str">
        <f>VLOOKUP($A943,'Customer Names'!$A:$E,4,FALSE)</f>
        <v>Silvana M.</v>
      </c>
      <c r="D943" t="str">
        <f>VLOOKUP($A943,'Medical Examinations'!$A:$J,2,FALSE)</f>
        <v>Overweight</v>
      </c>
      <c r="E943">
        <f>VLOOKUP($A943,'Medical Examinations'!$A:$J,4,FALSE)</f>
        <v>4.24</v>
      </c>
      <c r="F943" t="str">
        <f>VLOOKUP($A943,'Medical Examinations'!$A:$J,6,FALSE)</f>
        <v>yes</v>
      </c>
      <c r="G943" t="str">
        <f>VLOOKUP($A943,'Medical Examinations'!$A:$J,7,FALSE)</f>
        <v>No</v>
      </c>
      <c r="H943" t="str">
        <f>VLOOKUP($A943,'Medical Examinations'!$A:$J,8,FALSE)</f>
        <v>No</v>
      </c>
      <c r="I943">
        <f>VLOOKUP($A943,'Medical Examinations'!$A:$J,9,FALSE)</f>
        <v>2</v>
      </c>
      <c r="J943" t="str">
        <f>VLOOKUP($A943,'Medical Examinations'!$A:$J,10,FALSE)</f>
        <v>No</v>
      </c>
      <c r="K943" t="str">
        <f>VLOOKUP($A943,'Medical Examinations'!$A:$J,5,FALSE)</f>
        <v>Normal</v>
      </c>
      <c r="L943">
        <f>VLOOKUP($A944,'Medical Examinations'!$A:$J,3,FALSE)</f>
        <v>28.594999999999999</v>
      </c>
      <c r="M943">
        <f>VLOOKUP($A943,'Hospitalisation Details'!$A:$K,6,FALSE)</f>
        <v>11658.38</v>
      </c>
      <c r="N943" s="11">
        <f>VLOOKUP($B943,'Hospitalisation Details'!A942:J3286,10,0)</f>
        <v>29510</v>
      </c>
      <c r="O943" t="str">
        <f>VLOOKUP($B943,'Hospitalisation Details'!A942:J3286,8,0)</f>
        <v>tier - 2</v>
      </c>
      <c r="P943" t="str">
        <f>VLOOKUP($B943,'Hospitalisation Details'!A942:J3286,7,0)</f>
        <v>tier - 2</v>
      </c>
      <c r="Q943" t="str">
        <f>VLOOKUP($B943,'Hospitalisation Details'!A942:J3286,9,0)</f>
        <v>R1024</v>
      </c>
      <c r="R943">
        <f>VLOOKUP($B943,'Hospitalisation Details'!A942:K3286,11,0)</f>
        <v>42</v>
      </c>
    </row>
    <row r="944" spans="1:18" x14ac:dyDescent="0.35">
      <c r="A944" t="s">
        <v>1428</v>
      </c>
      <c r="B944" t="s">
        <v>975</v>
      </c>
      <c r="C944" t="str">
        <f>VLOOKUP($A944,'Customer Names'!$A:$E,4,FALSE)</f>
        <v>Natty</v>
      </c>
      <c r="D944" t="str">
        <f>VLOOKUP($A944,'Medical Examinations'!$A:$J,2,FALSE)</f>
        <v>Overweight</v>
      </c>
      <c r="E944">
        <f>VLOOKUP($A944,'Medical Examinations'!$A:$J,4,FALSE)</f>
        <v>4.96</v>
      </c>
      <c r="F944" t="str">
        <f>VLOOKUP($A944,'Medical Examinations'!$A:$J,6,FALSE)</f>
        <v>yes</v>
      </c>
      <c r="G944" t="str">
        <f>VLOOKUP($A944,'Medical Examinations'!$A:$J,7,FALSE)</f>
        <v>No</v>
      </c>
      <c r="H944" t="str">
        <f>VLOOKUP($A944,'Medical Examinations'!$A:$J,8,FALSE)</f>
        <v>No</v>
      </c>
      <c r="I944">
        <f>VLOOKUP($A944,'Medical Examinations'!$A:$J,9,FALSE)</f>
        <v>2</v>
      </c>
      <c r="J944" t="str">
        <f>VLOOKUP($A944,'Medical Examinations'!$A:$J,10,FALSE)</f>
        <v>No</v>
      </c>
      <c r="K944" t="str">
        <f>VLOOKUP($A944,'Medical Examinations'!$A:$J,5,FALSE)</f>
        <v>Normal</v>
      </c>
      <c r="L944">
        <f>VLOOKUP($A945,'Medical Examinations'!$A:$J,3,FALSE)</f>
        <v>48.75</v>
      </c>
      <c r="M944">
        <f>VLOOKUP($A944,'Hospitalisation Details'!$A:$K,6,FALSE)</f>
        <v>11658.12</v>
      </c>
      <c r="N944" s="11">
        <f>VLOOKUP($B944,'Hospitalisation Details'!A943:J3287,10,0)</f>
        <v>34191</v>
      </c>
      <c r="O944" t="str">
        <f>VLOOKUP($B944,'Hospitalisation Details'!A943:J3287,8,0)</f>
        <v>tier - 2</v>
      </c>
      <c r="P944" t="str">
        <f>VLOOKUP($B944,'Hospitalisation Details'!A943:J3287,7,0)</f>
        <v>tier - 2</v>
      </c>
      <c r="Q944" t="str">
        <f>VLOOKUP($B944,'Hospitalisation Details'!A943:J3287,9,0)</f>
        <v>R1012</v>
      </c>
      <c r="R944">
        <f>VLOOKUP($B944,'Hospitalisation Details'!A943:K3287,11,0)</f>
        <v>29</v>
      </c>
    </row>
    <row r="945" spans="1:18" x14ac:dyDescent="0.35">
      <c r="A945" t="s">
        <v>1427</v>
      </c>
      <c r="B945" t="s">
        <v>976</v>
      </c>
      <c r="C945" t="str">
        <f>VLOOKUP($A945,'Customer Names'!$A:$E,4,FALSE)</f>
        <v>Nicholas T</v>
      </c>
      <c r="D945" t="str">
        <f>VLOOKUP($A945,'Medical Examinations'!$A:$J,2,FALSE)</f>
        <v>Obesity</v>
      </c>
      <c r="E945">
        <f>VLOOKUP($A945,'Medical Examinations'!$A:$J,4,FALSE)</f>
        <v>4.34</v>
      </c>
      <c r="F945" t="str">
        <f>VLOOKUP($A945,'Medical Examinations'!$A:$J,6,FALSE)</f>
        <v>No</v>
      </c>
      <c r="G945" t="str">
        <f>VLOOKUP($A945,'Medical Examinations'!$A:$J,7,FALSE)</f>
        <v>No</v>
      </c>
      <c r="H945" t="str">
        <f>VLOOKUP($A945,'Medical Examinations'!$A:$J,8,FALSE)</f>
        <v>No</v>
      </c>
      <c r="I945">
        <f>VLOOKUP($A945,'Medical Examinations'!$A:$J,9,FALSE)</f>
        <v>0</v>
      </c>
      <c r="J945" t="str">
        <f>VLOOKUP($A945,'Medical Examinations'!$A:$J,10,FALSE)</f>
        <v>No</v>
      </c>
      <c r="K945" t="str">
        <f>VLOOKUP($A945,'Medical Examinations'!$A:$J,5,FALSE)</f>
        <v>Normal</v>
      </c>
      <c r="L945">
        <f>VLOOKUP($A946,'Medical Examinations'!$A:$J,3,FALSE)</f>
        <v>28.31</v>
      </c>
      <c r="M945">
        <f>VLOOKUP($A945,'Hospitalisation Details'!$A:$K,6,FALSE)</f>
        <v>11657.81</v>
      </c>
      <c r="N945" s="11">
        <f>VLOOKUP($B945,'Hospitalisation Details'!A944:J3288,10,0)</f>
        <v>36068</v>
      </c>
      <c r="O945" t="str">
        <f>VLOOKUP($B945,'Hospitalisation Details'!A944:J3288,8,0)</f>
        <v>tier - 3</v>
      </c>
      <c r="P945" t="str">
        <f>VLOOKUP($B945,'Hospitalisation Details'!A944:J3288,7,0)</f>
        <v>tier - 2</v>
      </c>
      <c r="Q945" t="str">
        <f>VLOOKUP($B945,'Hospitalisation Details'!A944:J3288,9,0)</f>
        <v>R1023</v>
      </c>
      <c r="R945">
        <f>VLOOKUP($B945,'Hospitalisation Details'!A944:K3288,11,0)</f>
        <v>24</v>
      </c>
    </row>
    <row r="946" spans="1:18" x14ac:dyDescent="0.35">
      <c r="A946" t="s">
        <v>1426</v>
      </c>
      <c r="B946" t="s">
        <v>977</v>
      </c>
      <c r="C946" t="str">
        <f>VLOOKUP($A946,'Customer Names'!$A:$E,4,FALSE)</f>
        <v>Rebecca</v>
      </c>
      <c r="D946" t="str">
        <f>VLOOKUP($A946,'Medical Examinations'!$A:$J,2,FALSE)</f>
        <v>Overweight</v>
      </c>
      <c r="E946">
        <f>VLOOKUP($A946,'Medical Examinations'!$A:$J,4,FALSE)</f>
        <v>5.43</v>
      </c>
      <c r="F946" t="str">
        <f>VLOOKUP($A946,'Medical Examinations'!$A:$J,6,FALSE)</f>
        <v>yes</v>
      </c>
      <c r="G946" t="str">
        <f>VLOOKUP($A946,'Medical Examinations'!$A:$J,7,FALSE)</f>
        <v>No</v>
      </c>
      <c r="H946" t="str">
        <f>VLOOKUP($A946,'Medical Examinations'!$A:$J,8,FALSE)</f>
        <v>No</v>
      </c>
      <c r="I946">
        <f>VLOOKUP($A946,'Medical Examinations'!$A:$J,9,FALSE)</f>
        <v>2</v>
      </c>
      <c r="J946" t="str">
        <f>VLOOKUP($A946,'Medical Examinations'!$A:$J,10,FALSE)</f>
        <v>No</v>
      </c>
      <c r="K946" t="str">
        <f>VLOOKUP($A946,'Medical Examinations'!$A:$J,5,FALSE)</f>
        <v>Normal</v>
      </c>
      <c r="L946">
        <f>VLOOKUP($A947,'Medical Examinations'!$A:$J,3,FALSE)</f>
        <v>38.39</v>
      </c>
      <c r="M946">
        <f>VLOOKUP($A946,'Hospitalisation Details'!$A:$K,6,FALSE)</f>
        <v>11657.72</v>
      </c>
      <c r="N946" s="11">
        <f>VLOOKUP($B946,'Hospitalisation Details'!A945:J3289,10,0)</f>
        <v>24103</v>
      </c>
      <c r="O946" t="str">
        <f>VLOOKUP($B946,'Hospitalisation Details'!A945:J3289,8,0)</f>
        <v>tier - 3</v>
      </c>
      <c r="P946" t="str">
        <f>VLOOKUP($B946,'Hospitalisation Details'!A945:J3289,7,0)</f>
        <v>tier - 3</v>
      </c>
      <c r="Q946" t="str">
        <f>VLOOKUP($B946,'Hospitalisation Details'!A945:J3289,9,0)</f>
        <v>R1012</v>
      </c>
      <c r="R946">
        <f>VLOOKUP($B946,'Hospitalisation Details'!A945:K3289,11,0)</f>
        <v>57</v>
      </c>
    </row>
    <row r="947" spans="1:18" x14ac:dyDescent="0.35">
      <c r="A947" t="s">
        <v>1425</v>
      </c>
      <c r="B947" t="s">
        <v>978</v>
      </c>
      <c r="C947" t="str">
        <f>VLOOKUP($A947,'Customer Names'!$A:$E,4,FALSE)</f>
        <v>John</v>
      </c>
      <c r="D947" t="str">
        <f>VLOOKUP($A947,'Medical Examinations'!$A:$J,2,FALSE)</f>
        <v>Obesity</v>
      </c>
      <c r="E947">
        <f>VLOOKUP($A947,'Medical Examinations'!$A:$J,4,FALSE)</f>
        <v>8.33</v>
      </c>
      <c r="F947" t="str">
        <f>VLOOKUP($A947,'Medical Examinations'!$A:$J,6,FALSE)</f>
        <v>yes</v>
      </c>
      <c r="G947" t="str">
        <f>VLOOKUP($A947,'Medical Examinations'!$A:$J,7,FALSE)</f>
        <v>No</v>
      </c>
      <c r="H947" t="str">
        <f>VLOOKUP($A947,'Medical Examinations'!$A:$J,8,FALSE)</f>
        <v>No</v>
      </c>
      <c r="I947">
        <f>VLOOKUP($A947,'Medical Examinations'!$A:$J,9,FALSE)</f>
        <v>1</v>
      </c>
      <c r="J947" t="str">
        <f>VLOOKUP($A947,'Medical Examinations'!$A:$J,10,FALSE)</f>
        <v>No</v>
      </c>
      <c r="K947" t="str">
        <f>VLOOKUP($A947,'Medical Examinations'!$A:$J,5,FALSE)</f>
        <v>Diabetes</v>
      </c>
      <c r="L947">
        <f>VLOOKUP($A948,'Medical Examinations'!$A:$J,3,FALSE)</f>
        <v>25.87</v>
      </c>
      <c r="M947">
        <f>VLOOKUP($A947,'Hospitalisation Details'!$A:$K,6,FALSE)</f>
        <v>11625.11</v>
      </c>
      <c r="N947" s="11">
        <f>VLOOKUP($B947,'Hospitalisation Details'!A946:J3290,10,0)</f>
        <v>28042</v>
      </c>
      <c r="O947" t="str">
        <f>VLOOKUP($B947,'Hospitalisation Details'!A946:J3290,8,0)</f>
        <v>tier - 1</v>
      </c>
      <c r="P947" t="str">
        <f>VLOOKUP($B947,'Hospitalisation Details'!A946:J3290,7,0)</f>
        <v>tier - 2</v>
      </c>
      <c r="Q947" t="str">
        <f>VLOOKUP($B947,'Hospitalisation Details'!A946:J3290,9,0)</f>
        <v>R1011</v>
      </c>
      <c r="R947">
        <f>VLOOKUP($B947,'Hospitalisation Details'!A946:K3290,11,0)</f>
        <v>46</v>
      </c>
    </row>
    <row r="948" spans="1:18" x14ac:dyDescent="0.35">
      <c r="A948" t="s">
        <v>1424</v>
      </c>
      <c r="B948" t="s">
        <v>979</v>
      </c>
      <c r="C948" t="str">
        <f>VLOOKUP($A948,'Customer Names'!$A:$E,4,FALSE)</f>
        <v>Antony G</v>
      </c>
      <c r="D948" t="str">
        <f>VLOOKUP($A948,'Medical Examinations'!$A:$J,2,FALSE)</f>
        <v>Overweight</v>
      </c>
      <c r="E948">
        <f>VLOOKUP($A948,'Medical Examinations'!$A:$J,4,FALSE)</f>
        <v>5.63</v>
      </c>
      <c r="F948" t="str">
        <f>VLOOKUP($A948,'Medical Examinations'!$A:$J,6,FALSE)</f>
        <v>yes</v>
      </c>
      <c r="G948" t="str">
        <f>VLOOKUP($A948,'Medical Examinations'!$A:$J,7,FALSE)</f>
        <v>No</v>
      </c>
      <c r="H948" t="str">
        <f>VLOOKUP($A948,'Medical Examinations'!$A:$J,8,FALSE)</f>
        <v>No</v>
      </c>
      <c r="I948">
        <f>VLOOKUP($A948,'Medical Examinations'!$A:$J,9,FALSE)</f>
        <v>1</v>
      </c>
      <c r="J948" t="str">
        <f>VLOOKUP($A948,'Medical Examinations'!$A:$J,10,FALSE)</f>
        <v>No</v>
      </c>
      <c r="K948" t="str">
        <f>VLOOKUP($A948,'Medical Examinations'!$A:$J,5,FALSE)</f>
        <v>Normal</v>
      </c>
      <c r="L948">
        <f>VLOOKUP($A949,'Medical Examinations'!$A:$J,3,FALSE)</f>
        <v>43.7</v>
      </c>
      <c r="M948">
        <f>VLOOKUP($A948,'Hospitalisation Details'!$A:$K,6,FALSE)</f>
        <v>11602.75</v>
      </c>
      <c r="N948" s="11">
        <f>VLOOKUP($B948,'Hospitalisation Details'!A947:J3291,10,0)</f>
        <v>35393</v>
      </c>
      <c r="O948" t="str">
        <f>VLOOKUP($B948,'Hospitalisation Details'!A947:J3291,8,0)</f>
        <v>tier - 2</v>
      </c>
      <c r="P948" t="str">
        <f>VLOOKUP($B948,'Hospitalisation Details'!A947:J3291,7,0)</f>
        <v>tier - 2</v>
      </c>
      <c r="Q948" t="str">
        <f>VLOOKUP($B948,'Hospitalisation Details'!A947:J3291,9,0)</f>
        <v>R1022</v>
      </c>
      <c r="R948">
        <f>VLOOKUP($B948,'Hospitalisation Details'!A947:K3291,11,0)</f>
        <v>26</v>
      </c>
    </row>
    <row r="949" spans="1:18" x14ac:dyDescent="0.35">
      <c r="A949" t="s">
        <v>1423</v>
      </c>
      <c r="B949" t="s">
        <v>980</v>
      </c>
      <c r="C949" t="str">
        <f>VLOOKUP($A949,'Customer Names'!$A:$E,4,FALSE)</f>
        <v>Eric</v>
      </c>
      <c r="D949" t="str">
        <f>VLOOKUP($A949,'Medical Examinations'!$A:$J,2,FALSE)</f>
        <v>Obesity</v>
      </c>
      <c r="E949">
        <f>VLOOKUP($A949,'Medical Examinations'!$A:$J,4,FALSE)</f>
        <v>7.23</v>
      </c>
      <c r="F949" t="str">
        <f>VLOOKUP($A949,'Medical Examinations'!$A:$J,6,FALSE)</f>
        <v>No</v>
      </c>
      <c r="G949" t="str">
        <f>VLOOKUP($A949,'Medical Examinations'!$A:$J,7,FALSE)</f>
        <v>No</v>
      </c>
      <c r="H949" t="str">
        <f>VLOOKUP($A949,'Medical Examinations'!$A:$J,8,FALSE)</f>
        <v>No</v>
      </c>
      <c r="I949">
        <f>VLOOKUP($A949,'Medical Examinations'!$A:$J,9,FALSE)</f>
        <v>0</v>
      </c>
      <c r="J949" t="str">
        <f>VLOOKUP($A949,'Medical Examinations'!$A:$J,10,FALSE)</f>
        <v>No</v>
      </c>
      <c r="K949" t="str">
        <f>VLOOKUP($A949,'Medical Examinations'!$A:$J,5,FALSE)</f>
        <v>Diabetes</v>
      </c>
      <c r="L949">
        <f>VLOOKUP($A950,'Medical Examinations'!$A:$J,3,FALSE)</f>
        <v>40.945</v>
      </c>
      <c r="M949">
        <f>VLOOKUP($A949,'Hospitalisation Details'!$A:$K,6,FALSE)</f>
        <v>11576.13</v>
      </c>
      <c r="N949" s="11">
        <f>VLOOKUP($B949,'Hospitalisation Details'!A948:J3292,10,0)</f>
        <v>34955</v>
      </c>
      <c r="O949" t="str">
        <f>VLOOKUP($B949,'Hospitalisation Details'!A948:J3292,8,0)</f>
        <v>tier - 1</v>
      </c>
      <c r="P949" t="str">
        <f>VLOOKUP($B949,'Hospitalisation Details'!A948:J3292,7,0)</f>
        <v>tier - 2</v>
      </c>
      <c r="Q949" t="str">
        <f>VLOOKUP($B949,'Hospitalisation Details'!A948:J3292,9,0)</f>
        <v>R1012</v>
      </c>
      <c r="R949">
        <f>VLOOKUP($B949,'Hospitalisation Details'!A948:K3292,11,0)</f>
        <v>27</v>
      </c>
    </row>
    <row r="950" spans="1:18" x14ac:dyDescent="0.35">
      <c r="A950" t="s">
        <v>1422</v>
      </c>
      <c r="B950" t="s">
        <v>981</v>
      </c>
      <c r="C950" t="str">
        <f>VLOOKUP($A950,'Customer Names'!$A:$E,4,FALSE)</f>
        <v>Erik</v>
      </c>
      <c r="D950" t="str">
        <f>VLOOKUP($A950,'Medical Examinations'!$A:$J,2,FALSE)</f>
        <v>Obesity</v>
      </c>
      <c r="E950">
        <f>VLOOKUP($A950,'Medical Examinations'!$A:$J,4,FALSE)</f>
        <v>10.57</v>
      </c>
      <c r="F950" t="str">
        <f>VLOOKUP($A950,'Medical Examinations'!$A:$J,6,FALSE)</f>
        <v>No</v>
      </c>
      <c r="G950" t="str">
        <f>VLOOKUP($A950,'Medical Examinations'!$A:$J,7,FALSE)</f>
        <v>No</v>
      </c>
      <c r="H950" t="str">
        <f>VLOOKUP($A950,'Medical Examinations'!$A:$J,8,FALSE)</f>
        <v>No</v>
      </c>
      <c r="I950">
        <f>VLOOKUP($A950,'Medical Examinations'!$A:$J,9,FALSE)</f>
        <v>0</v>
      </c>
      <c r="J950" t="str">
        <f>VLOOKUP($A950,'Medical Examinations'!$A:$J,10,FALSE)</f>
        <v>No</v>
      </c>
      <c r="K950" t="str">
        <f>VLOOKUP($A950,'Medical Examinations'!$A:$J,5,FALSE)</f>
        <v>Diabetes</v>
      </c>
      <c r="L950">
        <f>VLOOKUP($A951,'Medical Examinations'!$A:$J,3,FALSE)</f>
        <v>27.94</v>
      </c>
      <c r="M950">
        <f>VLOOKUP($A950,'Hospitalisation Details'!$A:$K,6,FALSE)</f>
        <v>11566.3</v>
      </c>
      <c r="N950" s="11">
        <f>VLOOKUP($B950,'Hospitalisation Details'!A949:J3293,10,0)</f>
        <v>26217</v>
      </c>
      <c r="O950" t="str">
        <f>VLOOKUP($B950,'Hospitalisation Details'!A949:J3293,8,0)</f>
        <v>tier - 1</v>
      </c>
      <c r="P950" t="str">
        <f>VLOOKUP($B950,'Hospitalisation Details'!A949:J3293,7,0)</f>
        <v>tier - 2</v>
      </c>
      <c r="Q950" t="str">
        <f>VLOOKUP($B950,'Hospitalisation Details'!A949:J3293,9,0)</f>
        <v>R1013</v>
      </c>
      <c r="R950">
        <f>VLOOKUP($B950,'Hospitalisation Details'!A949:K3293,11,0)</f>
        <v>51</v>
      </c>
    </row>
    <row r="951" spans="1:18" x14ac:dyDescent="0.35">
      <c r="A951" t="s">
        <v>1421</v>
      </c>
      <c r="B951" t="s">
        <v>982</v>
      </c>
      <c r="C951" t="str">
        <f>VLOOKUP($A951,'Customer Names'!$A:$E,4,FALSE)</f>
        <v>Matthew T</v>
      </c>
      <c r="D951" t="str">
        <f>VLOOKUP($A951,'Medical Examinations'!$A:$J,2,FALSE)</f>
        <v>Overweight</v>
      </c>
      <c r="E951">
        <f>VLOOKUP($A951,'Medical Examinations'!$A:$J,4,FALSE)</f>
        <v>7.92</v>
      </c>
      <c r="F951" t="str">
        <f>VLOOKUP($A951,'Medical Examinations'!$A:$J,6,FALSE)</f>
        <v>No</v>
      </c>
      <c r="G951" t="str">
        <f>VLOOKUP($A951,'Medical Examinations'!$A:$J,7,FALSE)</f>
        <v>No</v>
      </c>
      <c r="H951" t="str">
        <f>VLOOKUP($A951,'Medical Examinations'!$A:$J,8,FALSE)</f>
        <v>No</v>
      </c>
      <c r="I951">
        <f>VLOOKUP($A951,'Medical Examinations'!$A:$J,9,FALSE)</f>
        <v>0</v>
      </c>
      <c r="J951" t="str">
        <f>VLOOKUP($A951,'Medical Examinations'!$A:$J,10,FALSE)</f>
        <v>No</v>
      </c>
      <c r="K951" t="str">
        <f>VLOOKUP($A951,'Medical Examinations'!$A:$J,5,FALSE)</f>
        <v>Diabetes</v>
      </c>
      <c r="L951">
        <f>VLOOKUP($A952,'Medical Examinations'!$A:$J,3,FALSE)</f>
        <v>31.9</v>
      </c>
      <c r="M951">
        <f>VLOOKUP($A951,'Hospitalisation Details'!$A:$K,6,FALSE)</f>
        <v>11554.22</v>
      </c>
      <c r="N951" s="11">
        <f>VLOOKUP($B951,'Hospitalisation Details'!A950:J3294,10,0)</f>
        <v>29939</v>
      </c>
      <c r="O951" t="str">
        <f>VLOOKUP($B951,'Hospitalisation Details'!A950:J3294,8,0)</f>
        <v>tier - 2</v>
      </c>
      <c r="P951" t="str">
        <f>VLOOKUP($B951,'Hospitalisation Details'!A950:J3294,7,0)</f>
        <v>tier - 2</v>
      </c>
      <c r="Q951" t="str">
        <f>VLOOKUP($B951,'Hospitalisation Details'!A950:J3294,9,0)</f>
        <v>R1020</v>
      </c>
      <c r="R951">
        <f>VLOOKUP($B951,'Hospitalisation Details'!A950:K3294,11,0)</f>
        <v>41</v>
      </c>
    </row>
    <row r="952" spans="1:18" x14ac:dyDescent="0.35">
      <c r="A952" t="s">
        <v>1420</v>
      </c>
      <c r="B952" t="s">
        <v>983</v>
      </c>
      <c r="C952" t="str">
        <f>VLOOKUP($A952,'Customer Names'!$A:$E,4,FALSE)</f>
        <v>Cassandra</v>
      </c>
      <c r="D952" t="str">
        <f>VLOOKUP($A952,'Medical Examinations'!$A:$J,2,FALSE)</f>
        <v>Obesity</v>
      </c>
      <c r="E952">
        <f>VLOOKUP($A952,'Medical Examinations'!$A:$J,4,FALSE)</f>
        <v>10.119999999999999</v>
      </c>
      <c r="F952" t="str">
        <f>VLOOKUP($A952,'Medical Examinations'!$A:$J,6,FALSE)</f>
        <v>No</v>
      </c>
      <c r="G952" t="str">
        <f>VLOOKUP($A952,'Medical Examinations'!$A:$J,7,FALSE)</f>
        <v>No</v>
      </c>
      <c r="H952" t="str">
        <f>VLOOKUP($A952,'Medical Examinations'!$A:$J,8,FALSE)</f>
        <v>No</v>
      </c>
      <c r="I952">
        <f>VLOOKUP($A952,'Medical Examinations'!$A:$J,9,FALSE)</f>
        <v>2</v>
      </c>
      <c r="J952" t="str">
        <f>VLOOKUP($A952,'Medical Examinations'!$A:$J,10,FALSE)</f>
        <v>No</v>
      </c>
      <c r="K952" t="str">
        <f>VLOOKUP($A952,'Medical Examinations'!$A:$J,5,FALSE)</f>
        <v>Diabetes</v>
      </c>
      <c r="L952">
        <f>VLOOKUP($A953,'Medical Examinations'!$A:$J,3,FALSE)</f>
        <v>31.64</v>
      </c>
      <c r="M952">
        <f>VLOOKUP($A952,'Hospitalisation Details'!$A:$K,6,FALSE)</f>
        <v>11552.9</v>
      </c>
      <c r="N952" s="11">
        <f>VLOOKUP($B952,'Hospitalisation Details'!A951:J3295,10,0)</f>
        <v>30303</v>
      </c>
      <c r="O952" t="str">
        <f>VLOOKUP($B952,'Hospitalisation Details'!A951:J3295,8,0)</f>
        <v>tier - 1</v>
      </c>
      <c r="P952" t="str">
        <f>VLOOKUP($B952,'Hospitalisation Details'!A951:J3295,7,0)</f>
        <v>tier - 2</v>
      </c>
      <c r="Q952" t="str">
        <f>VLOOKUP($B952,'Hospitalisation Details'!A951:J3295,9,0)</f>
        <v>R1013</v>
      </c>
      <c r="R952">
        <f>VLOOKUP($B952,'Hospitalisation Details'!A951:K3295,11,0)</f>
        <v>40</v>
      </c>
    </row>
    <row r="953" spans="1:18" x14ac:dyDescent="0.35">
      <c r="A953" t="s">
        <v>1419</v>
      </c>
      <c r="B953" t="s">
        <v>984</v>
      </c>
      <c r="C953" t="str">
        <f>VLOOKUP($A953,'Customer Names'!$A:$E,4,FALSE)</f>
        <v>Rosemary C</v>
      </c>
      <c r="D953" t="str">
        <f>VLOOKUP($A953,'Medical Examinations'!$A:$J,2,FALSE)</f>
        <v>Obesity</v>
      </c>
      <c r="E953">
        <f>VLOOKUP($A953,'Medical Examinations'!$A:$J,4,FALSE)</f>
        <v>7.91</v>
      </c>
      <c r="F953" t="str">
        <f>VLOOKUP($A953,'Medical Examinations'!$A:$J,6,FALSE)</f>
        <v>No</v>
      </c>
      <c r="G953" t="str">
        <f>VLOOKUP($A953,'Medical Examinations'!$A:$J,7,FALSE)</f>
        <v>No</v>
      </c>
      <c r="H953" t="str">
        <f>VLOOKUP($A953,'Medical Examinations'!$A:$J,8,FALSE)</f>
        <v>No</v>
      </c>
      <c r="I953">
        <f>VLOOKUP($A953,'Medical Examinations'!$A:$J,9,FALSE)</f>
        <v>0</v>
      </c>
      <c r="J953" t="str">
        <f>VLOOKUP($A953,'Medical Examinations'!$A:$J,10,FALSE)</f>
        <v>No</v>
      </c>
      <c r="K953" t="str">
        <f>VLOOKUP($A953,'Medical Examinations'!$A:$J,5,FALSE)</f>
        <v>Diabetes</v>
      </c>
      <c r="L953">
        <f>VLOOKUP($A954,'Medical Examinations'!$A:$J,3,FALSE)</f>
        <v>46.7</v>
      </c>
      <c r="M953">
        <f>VLOOKUP($A953,'Hospitalisation Details'!$A:$K,6,FALSE)</f>
        <v>11540.25</v>
      </c>
      <c r="N953" s="11">
        <f>VLOOKUP($B953,'Hospitalisation Details'!A952:J3296,10,0)</f>
        <v>31970</v>
      </c>
      <c r="O953" t="str">
        <f>VLOOKUP($B953,'Hospitalisation Details'!A952:J3296,8,0)</f>
        <v>tier - 3</v>
      </c>
      <c r="P953" t="str">
        <f>VLOOKUP($B953,'Hospitalisation Details'!A952:J3296,7,0)</f>
        <v>tier - 2</v>
      </c>
      <c r="Q953" t="str">
        <f>VLOOKUP($B953,'Hospitalisation Details'!A952:J3296,9,0)</f>
        <v>R1021</v>
      </c>
      <c r="R953">
        <f>VLOOKUP($B953,'Hospitalisation Details'!A952:K3296,11,0)</f>
        <v>35</v>
      </c>
    </row>
    <row r="954" spans="1:18" x14ac:dyDescent="0.35">
      <c r="A954" t="s">
        <v>1418</v>
      </c>
      <c r="B954" t="s">
        <v>985</v>
      </c>
      <c r="C954" t="str">
        <f>VLOOKUP($A954,'Customer Names'!$A:$E,4,FALSE)</f>
        <v>Carrie A.</v>
      </c>
      <c r="D954" t="str">
        <f>VLOOKUP($A954,'Medical Examinations'!$A:$J,2,FALSE)</f>
        <v>Obesity</v>
      </c>
      <c r="E954">
        <f>VLOOKUP($A954,'Medical Examinations'!$A:$J,4,FALSE)</f>
        <v>10.9</v>
      </c>
      <c r="F954" t="str">
        <f>VLOOKUP($A954,'Medical Examinations'!$A:$J,6,FALSE)</f>
        <v>No</v>
      </c>
      <c r="G954" t="str">
        <f>VLOOKUP($A954,'Medical Examinations'!$A:$J,7,FALSE)</f>
        <v>No</v>
      </c>
      <c r="H954" t="str">
        <f>VLOOKUP($A954,'Medical Examinations'!$A:$J,8,FALSE)</f>
        <v>No</v>
      </c>
      <c r="I954">
        <f>VLOOKUP($A954,'Medical Examinations'!$A:$J,9,FALSE)</f>
        <v>0</v>
      </c>
      <c r="J954" t="str">
        <f>VLOOKUP($A954,'Medical Examinations'!$A:$J,10,FALSE)</f>
        <v>No</v>
      </c>
      <c r="K954" t="str">
        <f>VLOOKUP($A954,'Medical Examinations'!$A:$J,5,FALSE)</f>
        <v>Diabetes</v>
      </c>
      <c r="L954">
        <f>VLOOKUP($A955,'Medical Examinations'!$A:$J,3,FALSE)</f>
        <v>18.335000000000001</v>
      </c>
      <c r="M954">
        <f>VLOOKUP($A954,'Hospitalisation Details'!$A:$K,6,FALSE)</f>
        <v>11538.42</v>
      </c>
      <c r="N954" s="11">
        <f>VLOOKUP($B954,'Hospitalisation Details'!A953:J3297,10,0)</f>
        <v>28853</v>
      </c>
      <c r="O954" t="str">
        <f>VLOOKUP($B954,'Hospitalisation Details'!A953:J3297,8,0)</f>
        <v>tier - 2</v>
      </c>
      <c r="P954" t="str">
        <f>VLOOKUP($B954,'Hospitalisation Details'!A953:J3297,7,0)</f>
        <v>tier - 1</v>
      </c>
      <c r="Q954" t="str">
        <f>VLOOKUP($B954,'Hospitalisation Details'!A953:J3297,9,0)</f>
        <v>R1011</v>
      </c>
      <c r="R954">
        <f>VLOOKUP($B954,'Hospitalisation Details'!A953:K3297,11,0)</f>
        <v>44</v>
      </c>
    </row>
    <row r="955" spans="1:18" x14ac:dyDescent="0.35">
      <c r="A955" t="s">
        <v>1417</v>
      </c>
      <c r="B955" t="s">
        <v>986</v>
      </c>
      <c r="C955" t="str">
        <f>VLOOKUP($A955,'Customer Names'!$A:$E,4,FALSE)</f>
        <v>Gerardo Sr.</v>
      </c>
      <c r="D955" t="str">
        <f>VLOOKUP($A955,'Medical Examinations'!$A:$J,2,FALSE)</f>
        <v>Underweight</v>
      </c>
      <c r="E955">
        <f>VLOOKUP($A955,'Medical Examinations'!$A:$J,4,FALSE)</f>
        <v>11.83</v>
      </c>
      <c r="F955" t="str">
        <f>VLOOKUP($A955,'Medical Examinations'!$A:$J,6,FALSE)</f>
        <v>No</v>
      </c>
      <c r="G955" t="str">
        <f>VLOOKUP($A955,'Medical Examinations'!$A:$J,7,FALSE)</f>
        <v>No</v>
      </c>
      <c r="H955" t="str">
        <f>VLOOKUP($A955,'Medical Examinations'!$A:$J,8,FALSE)</f>
        <v>No</v>
      </c>
      <c r="I955">
        <f>VLOOKUP($A955,'Medical Examinations'!$A:$J,9,FALSE)</f>
        <v>0</v>
      </c>
      <c r="J955" t="str">
        <f>VLOOKUP($A955,'Medical Examinations'!$A:$J,10,FALSE)</f>
        <v>No</v>
      </c>
      <c r="K955" t="str">
        <f>VLOOKUP($A955,'Medical Examinations'!$A:$J,5,FALSE)</f>
        <v>Diabetes</v>
      </c>
      <c r="L955">
        <f>VLOOKUP($A956,'Medical Examinations'!$A:$J,3,FALSE)</f>
        <v>31.24</v>
      </c>
      <c r="M955">
        <f>VLOOKUP($A955,'Hospitalisation Details'!$A:$K,6,FALSE)</f>
        <v>11534.87</v>
      </c>
      <c r="N955" s="11">
        <f>VLOOKUP($B955,'Hospitalisation Details'!A954:J3298,10,0)</f>
        <v>29008</v>
      </c>
      <c r="O955" t="str">
        <f>VLOOKUP($B955,'Hospitalisation Details'!A954:J3298,8,0)</f>
        <v>tier - 3</v>
      </c>
      <c r="P955" t="str">
        <f>VLOOKUP($B955,'Hospitalisation Details'!A954:J3298,7,0)</f>
        <v>tier - 2</v>
      </c>
      <c r="Q955" t="str">
        <f>VLOOKUP($B955,'Hospitalisation Details'!A954:J3298,9,0)</f>
        <v>R1012</v>
      </c>
      <c r="R955">
        <f>VLOOKUP($B955,'Hospitalisation Details'!A954:K3298,11,0)</f>
        <v>44</v>
      </c>
    </row>
    <row r="956" spans="1:18" x14ac:dyDescent="0.35">
      <c r="A956" t="s">
        <v>1416</v>
      </c>
      <c r="B956" t="s">
        <v>987</v>
      </c>
      <c r="C956" t="str">
        <f>VLOOKUP($A956,'Customer Names'!$A:$E,4,FALSE)</f>
        <v>Matthew R.</v>
      </c>
      <c r="D956" t="str">
        <f>VLOOKUP($A956,'Medical Examinations'!$A:$J,2,FALSE)</f>
        <v>Obesity</v>
      </c>
      <c r="E956">
        <f>VLOOKUP($A956,'Medical Examinations'!$A:$J,4,FALSE)</f>
        <v>7.42</v>
      </c>
      <c r="F956" t="str">
        <f>VLOOKUP($A956,'Medical Examinations'!$A:$J,6,FALSE)</f>
        <v>yes</v>
      </c>
      <c r="G956" t="str">
        <f>VLOOKUP($A956,'Medical Examinations'!$A:$J,7,FALSE)</f>
        <v>No</v>
      </c>
      <c r="H956" t="str">
        <f>VLOOKUP($A956,'Medical Examinations'!$A:$J,8,FALSE)</f>
        <v>No</v>
      </c>
      <c r="I956">
        <f>VLOOKUP($A956,'Medical Examinations'!$A:$J,9,FALSE)</f>
        <v>2</v>
      </c>
      <c r="J956" t="str">
        <f>VLOOKUP($A956,'Medical Examinations'!$A:$J,10,FALSE)</f>
        <v>No</v>
      </c>
      <c r="K956" t="str">
        <f>VLOOKUP($A956,'Medical Examinations'!$A:$J,5,FALSE)</f>
        <v>Diabetes</v>
      </c>
      <c r="L956">
        <f>VLOOKUP($A957,'Medical Examinations'!$A:$J,3,FALSE)</f>
        <v>39.22</v>
      </c>
      <c r="M956">
        <f>VLOOKUP($A956,'Hospitalisation Details'!$A:$K,6,FALSE)</f>
        <v>11530.12</v>
      </c>
      <c r="N956" s="11">
        <f>VLOOKUP($B956,'Hospitalisation Details'!A955:J3299,10,0)</f>
        <v>29474</v>
      </c>
      <c r="O956" t="str">
        <f>VLOOKUP($B956,'Hospitalisation Details'!A955:J3299,8,0)</f>
        <v>tier - 1</v>
      </c>
      <c r="P956" t="str">
        <f>VLOOKUP($B956,'Hospitalisation Details'!A955:J3299,7,0)</f>
        <v>tier - 3</v>
      </c>
      <c r="Q956" t="str">
        <f>VLOOKUP($B956,'Hospitalisation Details'!A955:J3299,9,0)</f>
        <v>R1016</v>
      </c>
      <c r="R956">
        <f>VLOOKUP($B956,'Hospitalisation Details'!A955:K3299,11,0)</f>
        <v>42</v>
      </c>
    </row>
    <row r="957" spans="1:18" x14ac:dyDescent="0.35">
      <c r="A957" t="s">
        <v>1415</v>
      </c>
      <c r="B957" t="s">
        <v>988</v>
      </c>
      <c r="C957" t="str">
        <f>VLOOKUP($A957,'Customer Names'!$A:$E,4,FALSE)</f>
        <v>Meghan E</v>
      </c>
      <c r="D957" t="str">
        <f>VLOOKUP($A957,'Medical Examinations'!$A:$J,2,FALSE)</f>
        <v>Obesity</v>
      </c>
      <c r="E957">
        <f>VLOOKUP($A957,'Medical Examinations'!$A:$J,4,FALSE)</f>
        <v>5.62</v>
      </c>
      <c r="F957" t="str">
        <f>VLOOKUP($A957,'Medical Examinations'!$A:$J,6,FALSE)</f>
        <v>yes</v>
      </c>
      <c r="G957" t="str">
        <f>VLOOKUP($A957,'Medical Examinations'!$A:$J,7,FALSE)</f>
        <v>No</v>
      </c>
      <c r="H957" t="str">
        <f>VLOOKUP($A957,'Medical Examinations'!$A:$J,8,FALSE)</f>
        <v>No</v>
      </c>
      <c r="I957">
        <f>VLOOKUP($A957,'Medical Examinations'!$A:$J,9,FALSE)</f>
        <v>1</v>
      </c>
      <c r="J957" t="str">
        <f>VLOOKUP($A957,'Medical Examinations'!$A:$J,10,FALSE)</f>
        <v>No</v>
      </c>
      <c r="K957" t="str">
        <f>VLOOKUP($A957,'Medical Examinations'!$A:$J,5,FALSE)</f>
        <v>Normal</v>
      </c>
      <c r="L957">
        <f>VLOOKUP($A958,'Medical Examinations'!$A:$J,3,FALSE)</f>
        <v>24.414999999999999</v>
      </c>
      <c r="M957">
        <f>VLOOKUP($A957,'Hospitalisation Details'!$A:$K,6,FALSE)</f>
        <v>11524.25</v>
      </c>
      <c r="N957" s="11">
        <f>VLOOKUP($B957,'Hospitalisation Details'!A956:J3300,10,0)</f>
        <v>28828</v>
      </c>
      <c r="O957" t="str">
        <f>VLOOKUP($B957,'Hospitalisation Details'!A956:J3300,8,0)</f>
        <v>tier - 2</v>
      </c>
      <c r="P957" t="str">
        <f>VLOOKUP($B957,'Hospitalisation Details'!A956:J3300,7,0)</f>
        <v>tier - 3</v>
      </c>
      <c r="Q957" t="str">
        <f>VLOOKUP($B957,'Hospitalisation Details'!A956:J3300,9,0)</f>
        <v>R1013</v>
      </c>
      <c r="R957">
        <f>VLOOKUP($B957,'Hospitalisation Details'!A956:K3300,11,0)</f>
        <v>44</v>
      </c>
    </row>
    <row r="958" spans="1:18" x14ac:dyDescent="0.35">
      <c r="A958" t="s">
        <v>1414</v>
      </c>
      <c r="B958" t="s">
        <v>989</v>
      </c>
      <c r="C958" t="str">
        <f>VLOOKUP($A958,'Customer Names'!$A:$E,4,FALSE)</f>
        <v>Eric</v>
      </c>
      <c r="D958" t="str">
        <f>VLOOKUP($A958,'Medical Examinations'!$A:$J,2,FALSE)</f>
        <v>Normal Weight</v>
      </c>
      <c r="E958">
        <f>VLOOKUP($A958,'Medical Examinations'!$A:$J,4,FALSE)</f>
        <v>7.16</v>
      </c>
      <c r="F958" t="str">
        <f>VLOOKUP($A958,'Medical Examinations'!$A:$J,6,FALSE)</f>
        <v>No</v>
      </c>
      <c r="G958" t="str">
        <f>VLOOKUP($A958,'Medical Examinations'!$A:$J,7,FALSE)</f>
        <v>No</v>
      </c>
      <c r="H958" t="str">
        <f>VLOOKUP($A958,'Medical Examinations'!$A:$J,8,FALSE)</f>
        <v>No</v>
      </c>
      <c r="I958">
        <f>VLOOKUP($A958,'Medical Examinations'!$A:$J,9,FALSE)</f>
        <v>0</v>
      </c>
      <c r="J958" t="str">
        <f>VLOOKUP($A958,'Medical Examinations'!$A:$J,10,FALSE)</f>
        <v>No</v>
      </c>
      <c r="K958" t="str">
        <f>VLOOKUP($A958,'Medical Examinations'!$A:$J,5,FALSE)</f>
        <v>Diabetes</v>
      </c>
      <c r="L958">
        <f>VLOOKUP($A959,'Medical Examinations'!$A:$J,3,FALSE)</f>
        <v>32.299999999999997</v>
      </c>
      <c r="M958">
        <f>VLOOKUP($A958,'Hospitalisation Details'!$A:$K,6,FALSE)</f>
        <v>11520.1</v>
      </c>
      <c r="N958" s="11">
        <f>VLOOKUP($B958,'Hospitalisation Details'!A957:J3301,10,0)</f>
        <v>28366</v>
      </c>
      <c r="O958" t="str">
        <f>VLOOKUP($B958,'Hospitalisation Details'!A957:J3301,8,0)</f>
        <v>tier - 3</v>
      </c>
      <c r="P958" t="str">
        <f>VLOOKUP($B958,'Hospitalisation Details'!A957:J3301,7,0)</f>
        <v>tier - 2</v>
      </c>
      <c r="Q958" t="str">
        <f>VLOOKUP($B958,'Hospitalisation Details'!A957:J3301,9,0)</f>
        <v>R1012</v>
      </c>
      <c r="R958">
        <f>VLOOKUP($B958,'Hospitalisation Details'!A957:K3301,11,0)</f>
        <v>45</v>
      </c>
    </row>
    <row r="959" spans="1:18" x14ac:dyDescent="0.35">
      <c r="A959" t="s">
        <v>1413</v>
      </c>
      <c r="B959" t="s">
        <v>990</v>
      </c>
      <c r="C959" t="str">
        <f>VLOOKUP($A959,'Customer Names'!$A:$E,4,FALSE)</f>
        <v>Lisa B</v>
      </c>
      <c r="D959" t="str">
        <f>VLOOKUP($A959,'Medical Examinations'!$A:$J,2,FALSE)</f>
        <v>Obesity</v>
      </c>
      <c r="E959">
        <f>VLOOKUP($A959,'Medical Examinations'!$A:$J,4,FALSE)</f>
        <v>9.89</v>
      </c>
      <c r="F959" t="str">
        <f>VLOOKUP($A959,'Medical Examinations'!$A:$J,6,FALSE)</f>
        <v>No</v>
      </c>
      <c r="G959" t="str">
        <f>VLOOKUP($A959,'Medical Examinations'!$A:$J,7,FALSE)</f>
        <v>No</v>
      </c>
      <c r="H959" t="str">
        <f>VLOOKUP($A959,'Medical Examinations'!$A:$J,8,FALSE)</f>
        <v>No</v>
      </c>
      <c r="I959">
        <f>VLOOKUP($A959,'Medical Examinations'!$A:$J,9,FALSE)</f>
        <v>0</v>
      </c>
      <c r="J959" t="str">
        <f>VLOOKUP($A959,'Medical Examinations'!$A:$J,10,FALSE)</f>
        <v>No</v>
      </c>
      <c r="K959" t="str">
        <f>VLOOKUP($A959,'Medical Examinations'!$A:$J,5,FALSE)</f>
        <v>Diabetes</v>
      </c>
      <c r="L959">
        <f>VLOOKUP($A960,'Medical Examinations'!$A:$J,3,FALSE)</f>
        <v>39.94</v>
      </c>
      <c r="M959">
        <f>VLOOKUP($A959,'Hospitalisation Details'!$A:$K,6,FALSE)</f>
        <v>11512.41</v>
      </c>
      <c r="N959" s="11">
        <f>VLOOKUP($B959,'Hospitalisation Details'!A958:J3302,10,0)</f>
        <v>23941</v>
      </c>
      <c r="O959" t="str">
        <f>VLOOKUP($B959,'Hospitalisation Details'!A958:J3302,8,0)</f>
        <v>tier - 2</v>
      </c>
      <c r="P959" t="str">
        <f>VLOOKUP($B959,'Hospitalisation Details'!A958:J3302,7,0)</f>
        <v>tier - 3</v>
      </c>
      <c r="Q959" t="str">
        <f>VLOOKUP($B959,'Hospitalisation Details'!A958:J3302,9,0)</f>
        <v>R1013</v>
      </c>
      <c r="R959">
        <f>VLOOKUP($B959,'Hospitalisation Details'!A958:K3302,11,0)</f>
        <v>57</v>
      </c>
    </row>
    <row r="960" spans="1:18" x14ac:dyDescent="0.35">
      <c r="A960" t="s">
        <v>1412</v>
      </c>
      <c r="B960" t="s">
        <v>991</v>
      </c>
      <c r="C960" t="str">
        <f>VLOOKUP($A960,'Customer Names'!$A:$E,4,FALSE)</f>
        <v>Jane R.</v>
      </c>
      <c r="D960" t="str">
        <f>VLOOKUP($A960,'Medical Examinations'!$A:$J,2,FALSE)</f>
        <v>Obesity</v>
      </c>
      <c r="E960">
        <f>VLOOKUP($A960,'Medical Examinations'!$A:$J,4,FALSE)</f>
        <v>5.14</v>
      </c>
      <c r="F960" t="str">
        <f>VLOOKUP($A960,'Medical Examinations'!$A:$J,6,FALSE)</f>
        <v>No</v>
      </c>
      <c r="G960" t="str">
        <f>VLOOKUP($A960,'Medical Examinations'!$A:$J,7,FALSE)</f>
        <v>No</v>
      </c>
      <c r="H960" t="str">
        <f>VLOOKUP($A960,'Medical Examinations'!$A:$J,8,FALSE)</f>
        <v>No</v>
      </c>
      <c r="I960">
        <f>VLOOKUP($A960,'Medical Examinations'!$A:$J,9,FALSE)</f>
        <v>0</v>
      </c>
      <c r="J960" t="str">
        <f>VLOOKUP($A960,'Medical Examinations'!$A:$J,10,FALSE)</f>
        <v>No</v>
      </c>
      <c r="K960" t="str">
        <f>VLOOKUP($A960,'Medical Examinations'!$A:$J,5,FALSE)</f>
        <v>Normal</v>
      </c>
      <c r="L960">
        <f>VLOOKUP($A961,'Medical Examinations'!$A:$J,3,FALSE)</f>
        <v>30</v>
      </c>
      <c r="M960">
        <f>VLOOKUP($A960,'Hospitalisation Details'!$A:$K,6,FALSE)</f>
        <v>11511.61</v>
      </c>
      <c r="N960" s="11">
        <f>VLOOKUP($B960,'Hospitalisation Details'!A959:J3303,10,0)</f>
        <v>28737</v>
      </c>
      <c r="O960" t="str">
        <f>VLOOKUP($B960,'Hospitalisation Details'!A959:J3303,8,0)</f>
        <v>tier - 1</v>
      </c>
      <c r="P960" t="str">
        <f>VLOOKUP($B960,'Hospitalisation Details'!A959:J3303,7,0)</f>
        <v>tier - 1</v>
      </c>
      <c r="Q960" t="str">
        <f>VLOOKUP($B960,'Hospitalisation Details'!A959:J3303,9,0)</f>
        <v>R1011</v>
      </c>
      <c r="R960">
        <f>VLOOKUP($B960,'Hospitalisation Details'!A959:K3303,11,0)</f>
        <v>44</v>
      </c>
    </row>
    <row r="961" spans="1:18" x14ac:dyDescent="0.35">
      <c r="A961" t="s">
        <v>1411</v>
      </c>
      <c r="B961" t="s">
        <v>992</v>
      </c>
      <c r="C961" t="str">
        <f>VLOOKUP($A961,'Customer Names'!$A:$E,4,FALSE)</f>
        <v>Allison M</v>
      </c>
      <c r="D961" t="str">
        <f>VLOOKUP($A961,'Medical Examinations'!$A:$J,2,FALSE)</f>
        <v>Obesity</v>
      </c>
      <c r="E961">
        <f>VLOOKUP($A961,'Medical Examinations'!$A:$J,4,FALSE)</f>
        <v>5.61</v>
      </c>
      <c r="F961" t="str">
        <f>VLOOKUP($A961,'Medical Examinations'!$A:$J,6,FALSE)</f>
        <v>yes</v>
      </c>
      <c r="G961" t="str">
        <f>VLOOKUP($A961,'Medical Examinations'!$A:$J,7,FALSE)</f>
        <v>No</v>
      </c>
      <c r="H961" t="str">
        <f>VLOOKUP($A961,'Medical Examinations'!$A:$J,8,FALSE)</f>
        <v>Yes</v>
      </c>
      <c r="I961">
        <f>VLOOKUP($A961,'Medical Examinations'!$A:$J,9,FALSE)</f>
        <v>1</v>
      </c>
      <c r="J961" t="str">
        <f>VLOOKUP($A961,'Medical Examinations'!$A:$J,10,FALSE)</f>
        <v>No</v>
      </c>
      <c r="K961" t="str">
        <f>VLOOKUP($A961,'Medical Examinations'!$A:$J,5,FALSE)</f>
        <v>Normal</v>
      </c>
      <c r="L961">
        <f>VLOOKUP($A962,'Medical Examinations'!$A:$J,3,FALSE)</f>
        <v>35.340000000000003</v>
      </c>
      <c r="M961">
        <f>VLOOKUP($A961,'Hospitalisation Details'!$A:$K,6,FALSE)</f>
        <v>11497.69</v>
      </c>
      <c r="N961" s="11">
        <f>VLOOKUP($B961,'Hospitalisation Details'!A960:J3304,10,0)</f>
        <v>28106</v>
      </c>
      <c r="O961" t="str">
        <f>VLOOKUP($B961,'Hospitalisation Details'!A960:J3304,8,0)</f>
        <v>tier - 2</v>
      </c>
      <c r="P961" t="str">
        <f>VLOOKUP($B961,'Hospitalisation Details'!A960:J3304,7,0)</f>
        <v>tier - 3</v>
      </c>
      <c r="Q961" t="str">
        <f>VLOOKUP($B961,'Hospitalisation Details'!A960:J3304,9,0)</f>
        <v>R1013</v>
      </c>
      <c r="R961">
        <f>VLOOKUP($B961,'Hospitalisation Details'!A960:K3304,11,0)</f>
        <v>46</v>
      </c>
    </row>
    <row r="962" spans="1:18" x14ac:dyDescent="0.35">
      <c r="A962" t="s">
        <v>1410</v>
      </c>
      <c r="B962" t="s">
        <v>993</v>
      </c>
      <c r="C962" t="str">
        <f>VLOOKUP($A962,'Customer Names'!$A:$E,4,FALSE)</f>
        <v>Sarah E.</v>
      </c>
      <c r="D962" t="str">
        <f>VLOOKUP($A962,'Medical Examinations'!$A:$J,2,FALSE)</f>
        <v>Obesity</v>
      </c>
      <c r="E962">
        <f>VLOOKUP($A962,'Medical Examinations'!$A:$J,4,FALSE)</f>
        <v>5.51</v>
      </c>
      <c r="F962" t="str">
        <f>VLOOKUP($A962,'Medical Examinations'!$A:$J,6,FALSE)</f>
        <v>yes</v>
      </c>
      <c r="G962" t="str">
        <f>VLOOKUP($A962,'Medical Examinations'!$A:$J,7,FALSE)</f>
        <v>No</v>
      </c>
      <c r="H962" t="str">
        <f>VLOOKUP($A962,'Medical Examinations'!$A:$J,8,FALSE)</f>
        <v>Yes</v>
      </c>
      <c r="I962">
        <f>VLOOKUP($A962,'Medical Examinations'!$A:$J,9,FALSE)</f>
        <v>1</v>
      </c>
      <c r="J962" t="str">
        <f>VLOOKUP($A962,'Medical Examinations'!$A:$J,10,FALSE)</f>
        <v>No</v>
      </c>
      <c r="K962" t="str">
        <f>VLOOKUP($A962,'Medical Examinations'!$A:$J,5,FALSE)</f>
        <v>Normal</v>
      </c>
      <c r="L962">
        <f>VLOOKUP($A963,'Medical Examinations'!$A:$J,3,FALSE)</f>
        <v>32.204999999999998</v>
      </c>
      <c r="M962">
        <f>VLOOKUP($A962,'Hospitalisation Details'!$A:$K,6,FALSE)</f>
        <v>11492.46</v>
      </c>
      <c r="N962" s="11">
        <f>VLOOKUP($B962,'Hospitalisation Details'!A961:J3305,10,0)</f>
        <v>29767</v>
      </c>
      <c r="O962" t="str">
        <f>VLOOKUP($B962,'Hospitalisation Details'!A961:J3305,8,0)</f>
        <v>tier - 1</v>
      </c>
      <c r="P962" t="str">
        <f>VLOOKUP($B962,'Hospitalisation Details'!A961:J3305,7,0)</f>
        <v>tier - 2</v>
      </c>
      <c r="Q962" t="str">
        <f>VLOOKUP($B962,'Hospitalisation Details'!A961:J3305,9,0)</f>
        <v>R1012</v>
      </c>
      <c r="R962">
        <f>VLOOKUP($B962,'Hospitalisation Details'!A961:K3305,11,0)</f>
        <v>41</v>
      </c>
    </row>
    <row r="963" spans="1:18" x14ac:dyDescent="0.35">
      <c r="A963" t="s">
        <v>1409</v>
      </c>
      <c r="B963" t="s">
        <v>994</v>
      </c>
      <c r="C963" t="str">
        <f>VLOOKUP($A963,'Customer Names'!$A:$E,4,FALSE)</f>
        <v>Philip J</v>
      </c>
      <c r="D963" t="str">
        <f>VLOOKUP($A963,'Medical Examinations'!$A:$J,2,FALSE)</f>
        <v>Obesity</v>
      </c>
      <c r="E963">
        <f>VLOOKUP($A963,'Medical Examinations'!$A:$J,4,FALSE)</f>
        <v>8.3800000000000008</v>
      </c>
      <c r="F963" t="str">
        <f>VLOOKUP($A963,'Medical Examinations'!$A:$J,6,FALSE)</f>
        <v>yes</v>
      </c>
      <c r="G963" t="str">
        <f>VLOOKUP($A963,'Medical Examinations'!$A:$J,7,FALSE)</f>
        <v>No</v>
      </c>
      <c r="H963" t="str">
        <f>VLOOKUP($A963,'Medical Examinations'!$A:$J,8,FALSE)</f>
        <v>No</v>
      </c>
      <c r="I963">
        <f>VLOOKUP($A963,'Medical Examinations'!$A:$J,9,FALSE)</f>
        <v>2</v>
      </c>
      <c r="J963" t="str">
        <f>VLOOKUP($A963,'Medical Examinations'!$A:$J,10,FALSE)</f>
        <v>No</v>
      </c>
      <c r="K963" t="str">
        <f>VLOOKUP($A963,'Medical Examinations'!$A:$J,5,FALSE)</f>
        <v>Diabetes</v>
      </c>
      <c r="L963">
        <f>VLOOKUP($A964,'Medical Examinations'!$A:$J,3,FALSE)</f>
        <v>33.880000000000003</v>
      </c>
      <c r="M963">
        <f>VLOOKUP($A963,'Hospitalisation Details'!$A:$K,6,FALSE)</f>
        <v>11488.32</v>
      </c>
      <c r="N963" s="11">
        <f>VLOOKUP($B963,'Hospitalisation Details'!A962:J3306,10,0)</f>
        <v>35785</v>
      </c>
      <c r="O963" t="str">
        <f>VLOOKUP($B963,'Hospitalisation Details'!A962:J3306,8,0)</f>
        <v>tier - 1</v>
      </c>
      <c r="P963" t="str">
        <f>VLOOKUP($B963,'Hospitalisation Details'!A962:J3306,7,0)</f>
        <v>tier - 2</v>
      </c>
      <c r="Q963" t="str">
        <f>VLOOKUP($B963,'Hospitalisation Details'!A962:J3306,9,0)</f>
        <v>R1012</v>
      </c>
      <c r="R963">
        <f>VLOOKUP($B963,'Hospitalisation Details'!A962:K3306,11,0)</f>
        <v>25</v>
      </c>
    </row>
    <row r="964" spans="1:18" x14ac:dyDescent="0.35">
      <c r="A964" t="s">
        <v>1408</v>
      </c>
      <c r="B964" t="s">
        <v>995</v>
      </c>
      <c r="C964" t="str">
        <f>VLOOKUP($A964,'Customer Names'!$A:$E,4,FALSE)</f>
        <v>Jillian A.</v>
      </c>
      <c r="D964" t="str">
        <f>VLOOKUP($A964,'Medical Examinations'!$A:$J,2,FALSE)</f>
        <v>Obesity</v>
      </c>
      <c r="E964">
        <f>VLOOKUP($A964,'Medical Examinations'!$A:$J,4,FALSE)</f>
        <v>4.68</v>
      </c>
      <c r="F964" t="str">
        <f>VLOOKUP($A964,'Medical Examinations'!$A:$J,6,FALSE)</f>
        <v>No</v>
      </c>
      <c r="G964" t="str">
        <f>VLOOKUP($A964,'Medical Examinations'!$A:$J,7,FALSE)</f>
        <v>yes</v>
      </c>
      <c r="H964" t="str">
        <f>VLOOKUP($A964,'Medical Examinations'!$A:$J,8,FALSE)</f>
        <v>No</v>
      </c>
      <c r="I964">
        <f>VLOOKUP($A964,'Medical Examinations'!$A:$J,9,FALSE)</f>
        <v>1</v>
      </c>
      <c r="J964" t="str">
        <f>VLOOKUP($A964,'Medical Examinations'!$A:$J,10,FALSE)</f>
        <v>No</v>
      </c>
      <c r="K964" t="str">
        <f>VLOOKUP($A964,'Medical Examinations'!$A:$J,5,FALSE)</f>
        <v>Normal</v>
      </c>
      <c r="L964">
        <f>VLOOKUP($A965,'Medical Examinations'!$A:$J,3,FALSE)</f>
        <v>26.63</v>
      </c>
      <c r="M964">
        <f>VLOOKUP($A964,'Hospitalisation Details'!$A:$K,6,FALSE)</f>
        <v>11482.63</v>
      </c>
      <c r="N964" s="11">
        <f>VLOOKUP($B964,'Hospitalisation Details'!A963:J3307,10,0)</f>
        <v>27369</v>
      </c>
      <c r="O964" t="str">
        <f>VLOOKUP($B964,'Hospitalisation Details'!A963:J3307,8,0)</f>
        <v>tier - 3</v>
      </c>
      <c r="P964" t="str">
        <f>VLOOKUP($B964,'Hospitalisation Details'!A963:J3307,7,0)</f>
        <v>tier - 1</v>
      </c>
      <c r="Q964" t="str">
        <f>VLOOKUP($B964,'Hospitalisation Details'!A963:J3307,9,0)</f>
        <v>R1013</v>
      </c>
      <c r="R964">
        <f>VLOOKUP($B964,'Hospitalisation Details'!A963:K3307,11,0)</f>
        <v>48</v>
      </c>
    </row>
    <row r="965" spans="1:18" x14ac:dyDescent="0.35">
      <c r="A965" t="s">
        <v>1407</v>
      </c>
      <c r="B965" t="s">
        <v>996</v>
      </c>
      <c r="C965" t="str">
        <f>VLOOKUP($A965,'Customer Names'!$A:$E,4,FALSE)</f>
        <v>Laura D</v>
      </c>
      <c r="D965" t="str">
        <f>VLOOKUP($A965,'Medical Examinations'!$A:$J,2,FALSE)</f>
        <v>Overweight</v>
      </c>
      <c r="E965">
        <f>VLOOKUP($A965,'Medical Examinations'!$A:$J,4,FALSE)</f>
        <v>4.3600000000000003</v>
      </c>
      <c r="F965" t="str">
        <f>VLOOKUP($A965,'Medical Examinations'!$A:$J,6,FALSE)</f>
        <v>yes</v>
      </c>
      <c r="G965" t="str">
        <f>VLOOKUP($A965,'Medical Examinations'!$A:$J,7,FALSE)</f>
        <v>No</v>
      </c>
      <c r="H965" t="str">
        <f>VLOOKUP($A965,'Medical Examinations'!$A:$J,8,FALSE)</f>
        <v>No</v>
      </c>
      <c r="I965">
        <f>VLOOKUP($A965,'Medical Examinations'!$A:$J,9,FALSE)</f>
        <v>2</v>
      </c>
      <c r="J965" t="str">
        <f>VLOOKUP($A965,'Medical Examinations'!$A:$J,10,FALSE)</f>
        <v>No</v>
      </c>
      <c r="K965" t="str">
        <f>VLOOKUP($A965,'Medical Examinations'!$A:$J,5,FALSE)</f>
        <v>Normal</v>
      </c>
      <c r="L965">
        <f>VLOOKUP($A966,'Medical Examinations'!$A:$J,3,FALSE)</f>
        <v>28.7</v>
      </c>
      <c r="M965">
        <f>VLOOKUP($A965,'Hospitalisation Details'!$A:$K,6,FALSE)</f>
        <v>11478.14</v>
      </c>
      <c r="N965" s="11">
        <f>VLOOKUP($B965,'Hospitalisation Details'!A964:J3308,10,0)</f>
        <v>36519</v>
      </c>
      <c r="O965" t="str">
        <f>VLOOKUP($B965,'Hospitalisation Details'!A964:J3308,8,0)</f>
        <v>tier - 2</v>
      </c>
      <c r="P965" t="str">
        <f>VLOOKUP($B965,'Hospitalisation Details'!A964:J3308,7,0)</f>
        <v>tier - 2</v>
      </c>
      <c r="Q965" t="str">
        <f>VLOOKUP($B965,'Hospitalisation Details'!A964:J3308,9,0)</f>
        <v>R1026</v>
      </c>
      <c r="R965">
        <f>VLOOKUP($B965,'Hospitalisation Details'!A964:K3308,11,0)</f>
        <v>23</v>
      </c>
    </row>
    <row r="966" spans="1:18" x14ac:dyDescent="0.35">
      <c r="A966" t="s">
        <v>1406</v>
      </c>
      <c r="B966" t="s">
        <v>997</v>
      </c>
      <c r="C966" t="str">
        <f>VLOOKUP($A966,'Customer Names'!$A:$E,4,FALSE)</f>
        <v>Megan E.</v>
      </c>
      <c r="D966" t="str">
        <f>VLOOKUP($A966,'Medical Examinations'!$A:$J,2,FALSE)</f>
        <v>Overweight</v>
      </c>
      <c r="E966">
        <f>VLOOKUP($A966,'Medical Examinations'!$A:$J,4,FALSE)</f>
        <v>7.74</v>
      </c>
      <c r="F966" t="str">
        <f>VLOOKUP($A966,'Medical Examinations'!$A:$J,6,FALSE)</f>
        <v>No</v>
      </c>
      <c r="G966" t="str">
        <f>VLOOKUP($A966,'Medical Examinations'!$A:$J,7,FALSE)</f>
        <v>No</v>
      </c>
      <c r="H966" t="str">
        <f>VLOOKUP($A966,'Medical Examinations'!$A:$J,8,FALSE)</f>
        <v>No</v>
      </c>
      <c r="I966">
        <f>VLOOKUP($A966,'Medical Examinations'!$A:$J,9,FALSE)</f>
        <v>0</v>
      </c>
      <c r="J966" t="str">
        <f>VLOOKUP($A966,'Medical Examinations'!$A:$J,10,FALSE)</f>
        <v>No</v>
      </c>
      <c r="K966" t="str">
        <f>VLOOKUP($A966,'Medical Examinations'!$A:$J,5,FALSE)</f>
        <v>Diabetes</v>
      </c>
      <c r="L966">
        <f>VLOOKUP($A967,'Medical Examinations'!$A:$J,3,FALSE)</f>
        <v>25.65</v>
      </c>
      <c r="M966">
        <f>VLOOKUP($A966,'Hospitalisation Details'!$A:$K,6,FALSE)</f>
        <v>11455.28</v>
      </c>
      <c r="N966" s="11">
        <f>VLOOKUP($B966,'Hospitalisation Details'!A965:J3309,10,0)</f>
        <v>35766</v>
      </c>
      <c r="O966" t="str">
        <f>VLOOKUP($B966,'Hospitalisation Details'!A965:J3309,8,0)</f>
        <v>tier - 3</v>
      </c>
      <c r="P966" t="str">
        <f>VLOOKUP($B966,'Hospitalisation Details'!A965:J3309,7,0)</f>
        <v>tier - 2</v>
      </c>
      <c r="Q966" t="str">
        <f>VLOOKUP($B966,'Hospitalisation Details'!A965:J3309,9,0)</f>
        <v>R1012</v>
      </c>
      <c r="R966">
        <f>VLOOKUP($B966,'Hospitalisation Details'!A965:K3309,11,0)</f>
        <v>25</v>
      </c>
    </row>
    <row r="967" spans="1:18" x14ac:dyDescent="0.35">
      <c r="A967" t="s">
        <v>1405</v>
      </c>
      <c r="B967" t="s">
        <v>998</v>
      </c>
      <c r="C967" t="str">
        <f>VLOOKUP($A967,'Customer Names'!$A:$E,4,FALSE)</f>
        <v>Shannon J.</v>
      </c>
      <c r="D967" t="str">
        <f>VLOOKUP($A967,'Medical Examinations'!$A:$J,2,FALSE)</f>
        <v>Overweight</v>
      </c>
      <c r="E967">
        <f>VLOOKUP($A967,'Medical Examinations'!$A:$J,4,FALSE)</f>
        <v>4.05</v>
      </c>
      <c r="F967" t="str">
        <f>VLOOKUP($A967,'Medical Examinations'!$A:$J,6,FALSE)</f>
        <v>yes</v>
      </c>
      <c r="G967" t="str">
        <f>VLOOKUP($A967,'Medical Examinations'!$A:$J,7,FALSE)</f>
        <v>No</v>
      </c>
      <c r="H967" t="str">
        <f>VLOOKUP($A967,'Medical Examinations'!$A:$J,8,FALSE)</f>
        <v>No</v>
      </c>
      <c r="I967">
        <f>VLOOKUP($A967,'Medical Examinations'!$A:$J,9,FALSE)</f>
        <v>2</v>
      </c>
      <c r="J967" t="str">
        <f>VLOOKUP($A967,'Medical Examinations'!$A:$J,10,FALSE)</f>
        <v>No</v>
      </c>
      <c r="K967" t="str">
        <f>VLOOKUP($A967,'Medical Examinations'!$A:$J,5,FALSE)</f>
        <v>Normal</v>
      </c>
      <c r="L967">
        <f>VLOOKUP($A968,'Medical Examinations'!$A:$J,3,FALSE)</f>
        <v>36.384999999999998</v>
      </c>
      <c r="M967">
        <f>VLOOKUP($A967,'Hospitalisation Details'!$A:$K,6,FALSE)</f>
        <v>11454.02</v>
      </c>
      <c r="N967" s="11">
        <f>VLOOKUP($B967,'Hospitalisation Details'!A966:J3310,10,0)</f>
        <v>27342</v>
      </c>
      <c r="O967" t="str">
        <f>VLOOKUP($B967,'Hospitalisation Details'!A966:J3310,8,0)</f>
        <v>tier - 3</v>
      </c>
      <c r="P967" t="str">
        <f>VLOOKUP($B967,'Hospitalisation Details'!A966:J3310,7,0)</f>
        <v>tier - 2</v>
      </c>
      <c r="Q967" t="str">
        <f>VLOOKUP($B967,'Hospitalisation Details'!A966:J3310,9,0)</f>
        <v>R1013</v>
      </c>
      <c r="R967">
        <f>VLOOKUP($B967,'Hospitalisation Details'!A966:K3310,11,0)</f>
        <v>48</v>
      </c>
    </row>
    <row r="968" spans="1:18" x14ac:dyDescent="0.35">
      <c r="A968" t="s">
        <v>1404</v>
      </c>
      <c r="B968" t="s">
        <v>999</v>
      </c>
      <c r="C968" t="str">
        <f>VLOOKUP($A968,'Customer Names'!$A:$E,4,FALSE)</f>
        <v>Rachelle M</v>
      </c>
      <c r="D968" t="str">
        <f>VLOOKUP($A968,'Medical Examinations'!$A:$J,2,FALSE)</f>
        <v>Obesity</v>
      </c>
      <c r="E968">
        <f>VLOOKUP($A968,'Medical Examinations'!$A:$J,4,FALSE)</f>
        <v>11.49</v>
      </c>
      <c r="F968" t="str">
        <f>VLOOKUP($A968,'Medical Examinations'!$A:$J,6,FALSE)</f>
        <v>No</v>
      </c>
      <c r="G968" t="str">
        <f>VLOOKUP($A968,'Medical Examinations'!$A:$J,7,FALSE)</f>
        <v>No</v>
      </c>
      <c r="H968" t="str">
        <f>VLOOKUP($A968,'Medical Examinations'!$A:$J,8,FALSE)</f>
        <v>No</v>
      </c>
      <c r="I968">
        <f>VLOOKUP($A968,'Medical Examinations'!$A:$J,9,FALSE)</f>
        <v>0</v>
      </c>
      <c r="J968" t="str">
        <f>VLOOKUP($A968,'Medical Examinations'!$A:$J,10,FALSE)</f>
        <v>No</v>
      </c>
      <c r="K968" t="str">
        <f>VLOOKUP($A968,'Medical Examinations'!$A:$J,5,FALSE)</f>
        <v>Diabetes</v>
      </c>
      <c r="L968">
        <f>VLOOKUP($A969,'Medical Examinations'!$A:$J,3,FALSE)</f>
        <v>34.69</v>
      </c>
      <c r="M968">
        <f>VLOOKUP($A968,'Hospitalisation Details'!$A:$K,6,FALSE)</f>
        <v>11436.74</v>
      </c>
      <c r="N968" s="11">
        <f>VLOOKUP($B968,'Hospitalisation Details'!A967:J3311,10,0)</f>
        <v>33593</v>
      </c>
      <c r="O968" t="str">
        <f>VLOOKUP($B968,'Hospitalisation Details'!A967:J3311,8,0)</f>
        <v>tier - 1</v>
      </c>
      <c r="P968" t="str">
        <f>VLOOKUP($B968,'Hospitalisation Details'!A967:J3311,7,0)</f>
        <v>tier - 2</v>
      </c>
      <c r="Q968" t="str">
        <f>VLOOKUP($B968,'Hospitalisation Details'!A967:J3311,9,0)</f>
        <v>R1012</v>
      </c>
      <c r="R968">
        <f>VLOOKUP($B968,'Hospitalisation Details'!A967:K3311,11,0)</f>
        <v>31</v>
      </c>
    </row>
    <row r="969" spans="1:18" x14ac:dyDescent="0.35">
      <c r="A969" t="s">
        <v>1403</v>
      </c>
      <c r="B969" t="s">
        <v>1000</v>
      </c>
      <c r="C969" t="str">
        <f>VLOOKUP($A969,'Customer Names'!$A:$E,4,FALSE)</f>
        <v>Casey</v>
      </c>
      <c r="D969" t="str">
        <f>VLOOKUP($A969,'Medical Examinations'!$A:$J,2,FALSE)</f>
        <v>Obesity</v>
      </c>
      <c r="E969">
        <f>VLOOKUP($A969,'Medical Examinations'!$A:$J,4,FALSE)</f>
        <v>5.65</v>
      </c>
      <c r="F969" t="str">
        <f>VLOOKUP($A969,'Medical Examinations'!$A:$J,6,FALSE)</f>
        <v>No</v>
      </c>
      <c r="G969" t="str">
        <f>VLOOKUP($A969,'Medical Examinations'!$A:$J,7,FALSE)</f>
        <v>No</v>
      </c>
      <c r="H969" t="str">
        <f>VLOOKUP($A969,'Medical Examinations'!$A:$J,8,FALSE)</f>
        <v>No</v>
      </c>
      <c r="I969">
        <f>VLOOKUP($A969,'Medical Examinations'!$A:$J,9,FALSE)</f>
        <v>0</v>
      </c>
      <c r="J969" t="str">
        <f>VLOOKUP($A969,'Medical Examinations'!$A:$J,10,FALSE)</f>
        <v>No</v>
      </c>
      <c r="K969" t="str">
        <f>VLOOKUP($A969,'Medical Examinations'!$A:$J,5,FALSE)</f>
        <v>Normal</v>
      </c>
      <c r="L969">
        <f>VLOOKUP($A970,'Medical Examinations'!$A:$J,3,FALSE)</f>
        <v>37.68</v>
      </c>
      <c r="M969">
        <f>VLOOKUP($A969,'Hospitalisation Details'!$A:$K,6,FALSE)</f>
        <v>11435.74</v>
      </c>
      <c r="N969" s="11">
        <f>VLOOKUP($B969,'Hospitalisation Details'!A968:J3312,10,0)</f>
        <v>32793</v>
      </c>
      <c r="O969" t="str">
        <f>VLOOKUP($B969,'Hospitalisation Details'!A968:J3312,8,0)</f>
        <v>tier - 2</v>
      </c>
      <c r="P969" t="str">
        <f>VLOOKUP($B969,'Hospitalisation Details'!A968:J3312,7,0)</f>
        <v>tier - 2</v>
      </c>
      <c r="Q969" t="str">
        <f>VLOOKUP($B969,'Hospitalisation Details'!A968:J3312,9,0)</f>
        <v>R1012</v>
      </c>
      <c r="R969">
        <f>VLOOKUP($B969,'Hospitalisation Details'!A968:K3312,11,0)</f>
        <v>33</v>
      </c>
    </row>
    <row r="970" spans="1:18" x14ac:dyDescent="0.35">
      <c r="A970" t="s">
        <v>1402</v>
      </c>
      <c r="B970" t="s">
        <v>1001</v>
      </c>
      <c r="C970" t="str">
        <f>VLOOKUP($A970,'Customer Names'!$A:$E,4,FALSE)</f>
        <v>Jessica L</v>
      </c>
      <c r="D970" t="str">
        <f>VLOOKUP($A970,'Medical Examinations'!$A:$J,2,FALSE)</f>
        <v>Obesity</v>
      </c>
      <c r="E970">
        <f>VLOOKUP($A970,'Medical Examinations'!$A:$J,4,FALSE)</f>
        <v>4.29</v>
      </c>
      <c r="F970" t="str">
        <f>VLOOKUP($A970,'Medical Examinations'!$A:$J,6,FALSE)</f>
        <v>yes</v>
      </c>
      <c r="G970" t="str">
        <f>VLOOKUP($A970,'Medical Examinations'!$A:$J,7,FALSE)</f>
        <v>No</v>
      </c>
      <c r="H970" t="str">
        <f>VLOOKUP($A970,'Medical Examinations'!$A:$J,8,FALSE)</f>
        <v>No</v>
      </c>
      <c r="I970">
        <f>VLOOKUP($A970,'Medical Examinations'!$A:$J,9,FALSE)</f>
        <v>0</v>
      </c>
      <c r="J970" t="str">
        <f>VLOOKUP($A970,'Medical Examinations'!$A:$J,10,FALSE)</f>
        <v>No</v>
      </c>
      <c r="K970" t="str">
        <f>VLOOKUP($A970,'Medical Examinations'!$A:$J,5,FALSE)</f>
        <v>Normal</v>
      </c>
      <c r="L970">
        <f>VLOOKUP($A971,'Medical Examinations'!$A:$J,3,FALSE)</f>
        <v>35.49</v>
      </c>
      <c r="M970">
        <f>VLOOKUP($A970,'Hospitalisation Details'!$A:$K,6,FALSE)</f>
        <v>11419.49</v>
      </c>
      <c r="N970" s="11">
        <f>VLOOKUP($B970,'Hospitalisation Details'!A969:J3313,10,0)</f>
        <v>37169</v>
      </c>
      <c r="O970" t="str">
        <f>VLOOKUP($B970,'Hospitalisation Details'!A969:J3313,8,0)</f>
        <v>tier - 2</v>
      </c>
      <c r="P970" t="str">
        <f>VLOOKUP($B970,'Hospitalisation Details'!A969:J3313,7,0)</f>
        <v>tier - 2</v>
      </c>
      <c r="Q970" t="str">
        <f>VLOOKUP($B970,'Hospitalisation Details'!A969:J3313,9,0)</f>
        <v>R1012</v>
      </c>
      <c r="R970">
        <f>VLOOKUP($B970,'Hospitalisation Details'!A969:K3313,11,0)</f>
        <v>21</v>
      </c>
    </row>
    <row r="971" spans="1:18" x14ac:dyDescent="0.35">
      <c r="A971" t="s">
        <v>1401</v>
      </c>
      <c r="B971" t="s">
        <v>1002</v>
      </c>
      <c r="C971" t="str">
        <f>VLOOKUP($A971,'Customer Names'!$A:$E,4,FALSE)</f>
        <v>Brandon F</v>
      </c>
      <c r="D971" t="str">
        <f>VLOOKUP($A971,'Medical Examinations'!$A:$J,2,FALSE)</f>
        <v>Obesity</v>
      </c>
      <c r="E971">
        <f>VLOOKUP($A971,'Medical Examinations'!$A:$J,4,FALSE)</f>
        <v>4.74</v>
      </c>
      <c r="F971" t="str">
        <f>VLOOKUP($A971,'Medical Examinations'!$A:$J,6,FALSE)</f>
        <v>yes</v>
      </c>
      <c r="G971" t="str">
        <f>VLOOKUP($A971,'Medical Examinations'!$A:$J,7,FALSE)</f>
        <v>No</v>
      </c>
      <c r="H971" t="str">
        <f>VLOOKUP($A971,'Medical Examinations'!$A:$J,8,FALSE)</f>
        <v>Yes</v>
      </c>
      <c r="I971">
        <f>VLOOKUP($A971,'Medical Examinations'!$A:$J,9,FALSE)</f>
        <v>1</v>
      </c>
      <c r="J971" t="str">
        <f>VLOOKUP($A971,'Medical Examinations'!$A:$J,10,FALSE)</f>
        <v>No</v>
      </c>
      <c r="K971" t="str">
        <f>VLOOKUP($A971,'Medical Examinations'!$A:$J,5,FALSE)</f>
        <v>Normal</v>
      </c>
      <c r="L971">
        <f>VLOOKUP($A972,'Medical Examinations'!$A:$J,3,FALSE)</f>
        <v>44.7</v>
      </c>
      <c r="M971">
        <f>VLOOKUP($A971,'Hospitalisation Details'!$A:$K,6,FALSE)</f>
        <v>11412.02</v>
      </c>
      <c r="N971" s="11">
        <f>VLOOKUP($B971,'Hospitalisation Details'!A970:J3314,10,0)</f>
        <v>34655</v>
      </c>
      <c r="O971" t="str">
        <f>VLOOKUP($B971,'Hospitalisation Details'!A970:J3314,8,0)</f>
        <v>tier - 3</v>
      </c>
      <c r="P971" t="str">
        <f>VLOOKUP($B971,'Hospitalisation Details'!A970:J3314,7,0)</f>
        <v>tier - 2</v>
      </c>
      <c r="Q971" t="str">
        <f>VLOOKUP($B971,'Hospitalisation Details'!A970:J3314,9,0)</f>
        <v>R1012</v>
      </c>
      <c r="R971">
        <f>VLOOKUP($B971,'Hospitalisation Details'!A970:K3314,11,0)</f>
        <v>28</v>
      </c>
    </row>
    <row r="972" spans="1:18" x14ac:dyDescent="0.35">
      <c r="A972" t="s">
        <v>1400</v>
      </c>
      <c r="B972" t="s">
        <v>1003</v>
      </c>
      <c r="C972" t="str">
        <f>VLOOKUP($A972,'Customer Names'!$A:$E,4,FALSE)</f>
        <v>Melissa</v>
      </c>
      <c r="D972" t="str">
        <f>VLOOKUP($A972,'Medical Examinations'!$A:$J,2,FALSE)</f>
        <v>Obesity</v>
      </c>
      <c r="E972">
        <f>VLOOKUP($A972,'Medical Examinations'!$A:$J,4,FALSE)</f>
        <v>7.6</v>
      </c>
      <c r="F972" t="str">
        <f>VLOOKUP($A972,'Medical Examinations'!$A:$J,6,FALSE)</f>
        <v>yes</v>
      </c>
      <c r="G972" t="str">
        <f>VLOOKUP($A972,'Medical Examinations'!$A:$J,7,FALSE)</f>
        <v>No</v>
      </c>
      <c r="H972" t="str">
        <f>VLOOKUP($A972,'Medical Examinations'!$A:$J,8,FALSE)</f>
        <v>No</v>
      </c>
      <c r="I972">
        <f>VLOOKUP($A972,'Medical Examinations'!$A:$J,9,FALSE)</f>
        <v>2</v>
      </c>
      <c r="J972" t="str">
        <f>VLOOKUP($A972,'Medical Examinations'!$A:$J,10,FALSE)</f>
        <v>No</v>
      </c>
      <c r="K972" t="str">
        <f>VLOOKUP($A972,'Medical Examinations'!$A:$J,5,FALSE)</f>
        <v>Diabetes</v>
      </c>
      <c r="L972">
        <f>VLOOKUP($A973,'Medical Examinations'!$A:$J,3,FALSE)</f>
        <v>38.380000000000003</v>
      </c>
      <c r="M972">
        <f>VLOOKUP($A972,'Hospitalisation Details'!$A:$K,6,FALSE)</f>
        <v>11411.69</v>
      </c>
      <c r="N972" s="11">
        <f>VLOOKUP($B972,'Hospitalisation Details'!A971:J3315,10,0)</f>
        <v>22929</v>
      </c>
      <c r="O972" t="str">
        <f>VLOOKUP($B972,'Hospitalisation Details'!A971:J3315,8,0)</f>
        <v>tier - 2</v>
      </c>
      <c r="P972" t="str">
        <f>VLOOKUP($B972,'Hospitalisation Details'!A971:J3315,7,0)</f>
        <v>tier - 3</v>
      </c>
      <c r="Q972" t="str">
        <f>VLOOKUP($B972,'Hospitalisation Details'!A971:J3315,9,0)</f>
        <v>R1013</v>
      </c>
      <c r="R972">
        <f>VLOOKUP($B972,'Hospitalisation Details'!A971:K3315,11,0)</f>
        <v>60</v>
      </c>
    </row>
    <row r="973" spans="1:18" x14ac:dyDescent="0.35">
      <c r="A973" t="s">
        <v>1399</v>
      </c>
      <c r="B973" t="s">
        <v>1004</v>
      </c>
      <c r="C973" t="str">
        <f>VLOOKUP($A973,'Customer Names'!$A:$E,4,FALSE)</f>
        <v>Danielle N</v>
      </c>
      <c r="D973" t="str">
        <f>VLOOKUP($A973,'Medical Examinations'!$A:$J,2,FALSE)</f>
        <v>Obesity</v>
      </c>
      <c r="E973">
        <f>VLOOKUP($A973,'Medical Examinations'!$A:$J,4,FALSE)</f>
        <v>8.5</v>
      </c>
      <c r="F973" t="str">
        <f>VLOOKUP($A973,'Medical Examinations'!$A:$J,6,FALSE)</f>
        <v>yes</v>
      </c>
      <c r="G973" t="str">
        <f>VLOOKUP($A973,'Medical Examinations'!$A:$J,7,FALSE)</f>
        <v>No</v>
      </c>
      <c r="H973" t="str">
        <f>VLOOKUP($A973,'Medical Examinations'!$A:$J,8,FALSE)</f>
        <v>No</v>
      </c>
      <c r="I973">
        <f>VLOOKUP($A973,'Medical Examinations'!$A:$J,9,FALSE)</f>
        <v>2</v>
      </c>
      <c r="J973" t="str">
        <f>VLOOKUP($A973,'Medical Examinations'!$A:$J,10,FALSE)</f>
        <v>No</v>
      </c>
      <c r="K973" t="str">
        <f>VLOOKUP($A973,'Medical Examinations'!$A:$J,5,FALSE)</f>
        <v>Diabetes</v>
      </c>
      <c r="L973">
        <f>VLOOKUP($A974,'Medical Examinations'!$A:$J,3,FALSE)</f>
        <v>35.244999999999997</v>
      </c>
      <c r="M973">
        <f>VLOOKUP($A973,'Hospitalisation Details'!$A:$K,6,FALSE)</f>
        <v>11396.9</v>
      </c>
      <c r="N973" s="11">
        <f>VLOOKUP($B973,'Hospitalisation Details'!A972:J3316,10,0)</f>
        <v>28326</v>
      </c>
      <c r="O973" t="str">
        <f>VLOOKUP($B973,'Hospitalisation Details'!A972:J3316,8,0)</f>
        <v>tier - 1</v>
      </c>
      <c r="P973" t="str">
        <f>VLOOKUP($B973,'Hospitalisation Details'!A972:J3316,7,0)</f>
        <v>tier - 2</v>
      </c>
      <c r="Q973" t="str">
        <f>VLOOKUP($B973,'Hospitalisation Details'!A972:J3316,9,0)</f>
        <v>R1024</v>
      </c>
      <c r="R973">
        <f>VLOOKUP($B973,'Hospitalisation Details'!A972:K3316,11,0)</f>
        <v>45</v>
      </c>
    </row>
    <row r="974" spans="1:18" x14ac:dyDescent="0.35">
      <c r="A974" t="s">
        <v>1398</v>
      </c>
      <c r="B974" t="s">
        <v>1005</v>
      </c>
      <c r="C974" t="str">
        <f>VLOOKUP($A974,'Customer Names'!$A:$E,4,FALSE)</f>
        <v>Matthew</v>
      </c>
      <c r="D974" t="str">
        <f>VLOOKUP($A974,'Medical Examinations'!$A:$J,2,FALSE)</f>
        <v>Obesity</v>
      </c>
      <c r="E974">
        <f>VLOOKUP($A974,'Medical Examinations'!$A:$J,4,FALSE)</f>
        <v>11.22</v>
      </c>
      <c r="F974" t="str">
        <f>VLOOKUP($A974,'Medical Examinations'!$A:$J,6,FALSE)</f>
        <v>yes</v>
      </c>
      <c r="G974" t="str">
        <f>VLOOKUP($A974,'Medical Examinations'!$A:$J,7,FALSE)</f>
        <v>No</v>
      </c>
      <c r="H974" t="str">
        <f>VLOOKUP($A974,'Medical Examinations'!$A:$J,8,FALSE)</f>
        <v>No</v>
      </c>
      <c r="I974">
        <f>VLOOKUP($A974,'Medical Examinations'!$A:$J,9,FALSE)</f>
        <v>0</v>
      </c>
      <c r="J974" t="str">
        <f>VLOOKUP($A974,'Medical Examinations'!$A:$J,10,FALSE)</f>
        <v>No</v>
      </c>
      <c r="K974" t="str">
        <f>VLOOKUP($A974,'Medical Examinations'!$A:$J,5,FALSE)</f>
        <v>Diabetes</v>
      </c>
      <c r="L974">
        <f>VLOOKUP($A975,'Medical Examinations'!$A:$J,3,FALSE)</f>
        <v>49.84</v>
      </c>
      <c r="M974">
        <f>VLOOKUP($A974,'Hospitalisation Details'!$A:$K,6,FALSE)</f>
        <v>11394.07</v>
      </c>
      <c r="N974" s="11">
        <f>VLOOKUP($B974,'Hospitalisation Details'!A973:J3317,10,0)</f>
        <v>32079</v>
      </c>
      <c r="O974" t="str">
        <f>VLOOKUP($B974,'Hospitalisation Details'!A973:J3317,8,0)</f>
        <v>tier - 3</v>
      </c>
      <c r="P974" t="str">
        <f>VLOOKUP($B974,'Hospitalisation Details'!A973:J3317,7,0)</f>
        <v>tier - 2</v>
      </c>
      <c r="Q974" t="str">
        <f>VLOOKUP($B974,'Hospitalisation Details'!A973:J3317,9,0)</f>
        <v>R1025</v>
      </c>
      <c r="R974">
        <f>VLOOKUP($B974,'Hospitalisation Details'!A973:K3317,11,0)</f>
        <v>35</v>
      </c>
    </row>
    <row r="975" spans="1:18" x14ac:dyDescent="0.35">
      <c r="A975" t="s">
        <v>1397</v>
      </c>
      <c r="B975" t="s">
        <v>1006</v>
      </c>
      <c r="C975" t="str">
        <f>VLOOKUP($A975,'Customer Names'!$A:$E,4,FALSE)</f>
        <v>Bettina</v>
      </c>
      <c r="D975" t="str">
        <f>VLOOKUP($A975,'Medical Examinations'!$A:$J,2,FALSE)</f>
        <v>Obesity</v>
      </c>
      <c r="E975">
        <f>VLOOKUP($A975,'Medical Examinations'!$A:$J,4,FALSE)</f>
        <v>5.0999999999999996</v>
      </c>
      <c r="F975" t="str">
        <f>VLOOKUP($A975,'Medical Examinations'!$A:$J,6,FALSE)</f>
        <v>yes</v>
      </c>
      <c r="G975" t="str">
        <f>VLOOKUP($A975,'Medical Examinations'!$A:$J,7,FALSE)</f>
        <v>No</v>
      </c>
      <c r="H975" t="str">
        <f>VLOOKUP($A975,'Medical Examinations'!$A:$J,8,FALSE)</f>
        <v>Yes</v>
      </c>
      <c r="I975">
        <f>VLOOKUP($A975,'Medical Examinations'!$A:$J,9,FALSE)</f>
        <v>1</v>
      </c>
      <c r="J975" t="str">
        <f>VLOOKUP($A975,'Medical Examinations'!$A:$J,10,FALSE)</f>
        <v>No</v>
      </c>
      <c r="K975" t="str">
        <f>VLOOKUP($A975,'Medical Examinations'!$A:$J,5,FALSE)</f>
        <v>Normal</v>
      </c>
      <c r="L975">
        <f>VLOOKUP($A976,'Medical Examinations'!$A:$J,3,FALSE)</f>
        <v>49.06</v>
      </c>
      <c r="M975">
        <f>VLOOKUP($A975,'Hospitalisation Details'!$A:$K,6,FALSE)</f>
        <v>11388.27</v>
      </c>
      <c r="N975" s="11">
        <f>VLOOKUP($B975,'Hospitalisation Details'!A974:J3318,10,0)</f>
        <v>24297</v>
      </c>
      <c r="O975" t="str">
        <f>VLOOKUP($B975,'Hospitalisation Details'!A974:J3318,8,0)</f>
        <v>tier - 3</v>
      </c>
      <c r="P975" t="str">
        <f>VLOOKUP($B975,'Hospitalisation Details'!A974:J3318,7,0)</f>
        <v>tier - 3</v>
      </c>
      <c r="Q975" t="str">
        <f>VLOOKUP($B975,'Hospitalisation Details'!A974:J3318,9,0)</f>
        <v>R1012</v>
      </c>
      <c r="R975">
        <f>VLOOKUP($B975,'Hospitalisation Details'!A974:K3318,11,0)</f>
        <v>56</v>
      </c>
    </row>
    <row r="976" spans="1:18" x14ac:dyDescent="0.35">
      <c r="A976" t="s">
        <v>1396</v>
      </c>
      <c r="B976" t="s">
        <v>1007</v>
      </c>
      <c r="C976" t="str">
        <f>VLOOKUP($A976,'Customer Names'!$A:$E,4,FALSE)</f>
        <v>Alexander</v>
      </c>
      <c r="D976" t="str">
        <f>VLOOKUP($A976,'Medical Examinations'!$A:$J,2,FALSE)</f>
        <v>Obesity</v>
      </c>
      <c r="E976">
        <f>VLOOKUP($A976,'Medical Examinations'!$A:$J,4,FALSE)</f>
        <v>5.43</v>
      </c>
      <c r="F976" t="str">
        <f>VLOOKUP($A976,'Medical Examinations'!$A:$J,6,FALSE)</f>
        <v>yes</v>
      </c>
      <c r="G976" t="str">
        <f>VLOOKUP($A976,'Medical Examinations'!$A:$J,7,FALSE)</f>
        <v>No</v>
      </c>
      <c r="H976" t="str">
        <f>VLOOKUP($A976,'Medical Examinations'!$A:$J,8,FALSE)</f>
        <v>No</v>
      </c>
      <c r="I976">
        <f>VLOOKUP($A976,'Medical Examinations'!$A:$J,9,FALSE)</f>
        <v>1</v>
      </c>
      <c r="J976" t="str">
        <f>VLOOKUP($A976,'Medical Examinations'!$A:$J,10,FALSE)</f>
        <v>No</v>
      </c>
      <c r="K976" t="str">
        <f>VLOOKUP($A976,'Medical Examinations'!$A:$J,5,FALSE)</f>
        <v>Normal</v>
      </c>
      <c r="L976">
        <f>VLOOKUP($A977,'Medical Examinations'!$A:$J,3,FALSE)</f>
        <v>30.88</v>
      </c>
      <c r="M976">
        <f>VLOOKUP($A976,'Hospitalisation Details'!$A:$K,6,FALSE)</f>
        <v>11381.33</v>
      </c>
      <c r="N976" s="11">
        <f>VLOOKUP($B976,'Hospitalisation Details'!A975:J3319,10,0)</f>
        <v>29948</v>
      </c>
      <c r="O976" t="str">
        <f>VLOOKUP($B976,'Hospitalisation Details'!A975:J3319,8,0)</f>
        <v>tier - 2</v>
      </c>
      <c r="P976" t="str">
        <f>VLOOKUP($B976,'Hospitalisation Details'!A975:J3319,7,0)</f>
        <v>tier - 2</v>
      </c>
      <c r="Q976" t="str">
        <f>VLOOKUP($B976,'Hospitalisation Details'!A975:J3319,9,0)</f>
        <v>R1011</v>
      </c>
      <c r="R976">
        <f>VLOOKUP($B976,'Hospitalisation Details'!A975:K3319,11,0)</f>
        <v>41</v>
      </c>
    </row>
    <row r="977" spans="1:18" x14ac:dyDescent="0.35">
      <c r="A977" t="s">
        <v>1395</v>
      </c>
      <c r="B977" t="s">
        <v>1008</v>
      </c>
      <c r="C977" t="str">
        <f>VLOOKUP($A977,'Customer Names'!$A:$E,4,FALSE)</f>
        <v>Holli</v>
      </c>
      <c r="D977" t="str">
        <f>VLOOKUP($A977,'Medical Examinations'!$A:$J,2,FALSE)</f>
        <v>Obesity</v>
      </c>
      <c r="E977">
        <f>VLOOKUP($A977,'Medical Examinations'!$A:$J,4,FALSE)</f>
        <v>5.82</v>
      </c>
      <c r="F977" t="str">
        <f>VLOOKUP($A977,'Medical Examinations'!$A:$J,6,FALSE)</f>
        <v>No</v>
      </c>
      <c r="G977" t="str">
        <f>VLOOKUP($A977,'Medical Examinations'!$A:$J,7,FALSE)</f>
        <v>No</v>
      </c>
      <c r="H977" t="str">
        <f>VLOOKUP($A977,'Medical Examinations'!$A:$J,8,FALSE)</f>
        <v>No</v>
      </c>
      <c r="I977">
        <f>VLOOKUP($A977,'Medical Examinations'!$A:$J,9,FALSE)</f>
        <v>2</v>
      </c>
      <c r="J977" t="str">
        <f>VLOOKUP($A977,'Medical Examinations'!$A:$J,10,FALSE)</f>
        <v>No</v>
      </c>
      <c r="K977" t="str">
        <f>VLOOKUP($A977,'Medical Examinations'!$A:$J,5,FALSE)</f>
        <v>Prediabetes</v>
      </c>
      <c r="L977">
        <f>VLOOKUP($A978,'Medical Examinations'!$A:$J,3,FALSE)</f>
        <v>33.35</v>
      </c>
      <c r="M977">
        <f>VLOOKUP($A977,'Hospitalisation Details'!$A:$K,6,FALSE)</f>
        <v>11378.57</v>
      </c>
      <c r="N977" s="11">
        <f>VLOOKUP($B977,'Hospitalisation Details'!A976:J3320,10,0)</f>
        <v>25738</v>
      </c>
      <c r="O977" t="str">
        <f>VLOOKUP($B977,'Hospitalisation Details'!A976:J3320,8,0)</f>
        <v>tier - 2</v>
      </c>
      <c r="P977" t="str">
        <f>VLOOKUP($B977,'Hospitalisation Details'!A976:J3320,7,0)</f>
        <v>tier - 2</v>
      </c>
      <c r="Q977" t="str">
        <f>VLOOKUP($B977,'Hospitalisation Details'!A976:J3320,9,0)</f>
        <v>R1013</v>
      </c>
      <c r="R977">
        <f>VLOOKUP($B977,'Hospitalisation Details'!A976:K3320,11,0)</f>
        <v>52</v>
      </c>
    </row>
    <row r="978" spans="1:18" x14ac:dyDescent="0.35">
      <c r="A978" t="s">
        <v>1394</v>
      </c>
      <c r="B978" t="s">
        <v>1009</v>
      </c>
      <c r="C978" t="str">
        <f>VLOOKUP($A978,'Customer Names'!$A:$E,4,FALSE)</f>
        <v>Heather C</v>
      </c>
      <c r="D978" t="str">
        <f>VLOOKUP($A978,'Medical Examinations'!$A:$J,2,FALSE)</f>
        <v>Obesity</v>
      </c>
      <c r="E978">
        <f>VLOOKUP($A978,'Medical Examinations'!$A:$J,4,FALSE)</f>
        <v>6.05</v>
      </c>
      <c r="F978" t="str">
        <f>VLOOKUP($A978,'Medical Examinations'!$A:$J,6,FALSE)</f>
        <v>No</v>
      </c>
      <c r="G978" t="str">
        <f>VLOOKUP($A978,'Medical Examinations'!$A:$J,7,FALSE)</f>
        <v>No</v>
      </c>
      <c r="H978" t="str">
        <f>VLOOKUP($A978,'Medical Examinations'!$A:$J,8,FALSE)</f>
        <v>Yes</v>
      </c>
      <c r="I978">
        <f>VLOOKUP($A978,'Medical Examinations'!$A:$J,9,FALSE)</f>
        <v>1</v>
      </c>
      <c r="J978" t="str">
        <f>VLOOKUP($A978,'Medical Examinations'!$A:$J,10,FALSE)</f>
        <v>No</v>
      </c>
      <c r="K978" t="str">
        <f>VLOOKUP($A978,'Medical Examinations'!$A:$J,5,FALSE)</f>
        <v>Prediabetes</v>
      </c>
      <c r="L978">
        <f>VLOOKUP($A979,'Medical Examinations'!$A:$J,3,FALSE)</f>
        <v>38</v>
      </c>
      <c r="M978">
        <f>VLOOKUP($A978,'Hospitalisation Details'!$A:$K,6,FALSE)</f>
        <v>11369.39</v>
      </c>
      <c r="N978" s="11">
        <f>VLOOKUP($B978,'Hospitalisation Details'!A977:J3321,10,0)</f>
        <v>27616</v>
      </c>
      <c r="O978" t="str">
        <f>VLOOKUP($B978,'Hospitalisation Details'!A977:J3321,8,0)</f>
        <v>tier - 2</v>
      </c>
      <c r="P978" t="str">
        <f>VLOOKUP($B978,'Hospitalisation Details'!A977:J3321,7,0)</f>
        <v>tier - 2</v>
      </c>
      <c r="Q978" t="str">
        <f>VLOOKUP($B978,'Hospitalisation Details'!A977:J3321,9,0)</f>
        <v>R1013</v>
      </c>
      <c r="R978">
        <f>VLOOKUP($B978,'Hospitalisation Details'!A977:K3321,11,0)</f>
        <v>47</v>
      </c>
    </row>
    <row r="979" spans="1:18" x14ac:dyDescent="0.35">
      <c r="A979" t="s">
        <v>1393</v>
      </c>
      <c r="B979" t="s">
        <v>1010</v>
      </c>
      <c r="C979" t="str">
        <f>VLOOKUP($A979,'Customer Names'!$A:$E,4,FALSE)</f>
        <v>Kyle</v>
      </c>
      <c r="D979" t="str">
        <f>VLOOKUP($A979,'Medical Examinations'!$A:$J,2,FALSE)</f>
        <v>Obesity</v>
      </c>
      <c r="E979">
        <f>VLOOKUP($A979,'Medical Examinations'!$A:$J,4,FALSE)</f>
        <v>6.38</v>
      </c>
      <c r="F979" t="str">
        <f>VLOOKUP($A979,'Medical Examinations'!$A:$J,6,FALSE)</f>
        <v>yes</v>
      </c>
      <c r="G979" t="str">
        <f>VLOOKUP($A979,'Medical Examinations'!$A:$J,7,FALSE)</f>
        <v>No</v>
      </c>
      <c r="H979" t="str">
        <f>VLOOKUP($A979,'Medical Examinations'!$A:$J,8,FALSE)</f>
        <v>No</v>
      </c>
      <c r="I979">
        <f>VLOOKUP($A979,'Medical Examinations'!$A:$J,9,FALSE)</f>
        <v>1</v>
      </c>
      <c r="J979" t="str">
        <f>VLOOKUP($A979,'Medical Examinations'!$A:$J,10,FALSE)</f>
        <v>No</v>
      </c>
      <c r="K979" t="str">
        <f>VLOOKUP($A979,'Medical Examinations'!$A:$J,5,FALSE)</f>
        <v>Prediabetes</v>
      </c>
      <c r="L979">
        <f>VLOOKUP($A980,'Medical Examinations'!$A:$J,3,FALSE)</f>
        <v>36.08</v>
      </c>
      <c r="M979">
        <f>VLOOKUP($A979,'Hospitalisation Details'!$A:$K,6,FALSE)</f>
        <v>11365.95</v>
      </c>
      <c r="N979" s="11">
        <f>VLOOKUP($B979,'Hospitalisation Details'!A978:J3322,10,0)</f>
        <v>26626</v>
      </c>
      <c r="O979" t="str">
        <f>VLOOKUP($B979,'Hospitalisation Details'!A978:J3322,8,0)</f>
        <v>tier - 2</v>
      </c>
      <c r="P979" t="str">
        <f>VLOOKUP($B979,'Hospitalisation Details'!A978:J3322,7,0)</f>
        <v>tier - 2</v>
      </c>
      <c r="Q979" t="str">
        <f>VLOOKUP($B979,'Hospitalisation Details'!A978:J3322,9,0)</f>
        <v>R1013</v>
      </c>
      <c r="R979">
        <f>VLOOKUP($B979,'Hospitalisation Details'!A978:K3322,11,0)</f>
        <v>50</v>
      </c>
    </row>
    <row r="980" spans="1:18" x14ac:dyDescent="0.35">
      <c r="A980" t="s">
        <v>1392</v>
      </c>
      <c r="B980" t="s">
        <v>1011</v>
      </c>
      <c r="C980" t="str">
        <f>VLOOKUP($A980,'Customer Names'!$A:$E,4,FALSE)</f>
        <v>Thomas J</v>
      </c>
      <c r="D980" t="str">
        <f>VLOOKUP($A980,'Medical Examinations'!$A:$J,2,FALSE)</f>
        <v>Obesity</v>
      </c>
      <c r="E980">
        <f>VLOOKUP($A980,'Medical Examinations'!$A:$J,4,FALSE)</f>
        <v>5.73</v>
      </c>
      <c r="F980" t="str">
        <f>VLOOKUP($A980,'Medical Examinations'!$A:$J,6,FALSE)</f>
        <v>yes</v>
      </c>
      <c r="G980" t="str">
        <f>VLOOKUP($A980,'Medical Examinations'!$A:$J,7,FALSE)</f>
        <v>No</v>
      </c>
      <c r="H980" t="str">
        <f>VLOOKUP($A980,'Medical Examinations'!$A:$J,8,FALSE)</f>
        <v>No</v>
      </c>
      <c r="I980">
        <f>VLOOKUP($A980,'Medical Examinations'!$A:$J,9,FALSE)</f>
        <v>1</v>
      </c>
      <c r="J980" t="str">
        <f>VLOOKUP($A980,'Medical Examinations'!$A:$J,10,FALSE)</f>
        <v>No</v>
      </c>
      <c r="K980" t="str">
        <f>VLOOKUP($A980,'Medical Examinations'!$A:$J,5,FALSE)</f>
        <v>Prediabetes</v>
      </c>
      <c r="L980">
        <f>VLOOKUP($A981,'Medical Examinations'!$A:$J,3,FALSE)</f>
        <v>35.700000000000003</v>
      </c>
      <c r="M980">
        <f>VLOOKUP($A980,'Hospitalisation Details'!$A:$K,6,FALSE)</f>
        <v>11363.28</v>
      </c>
      <c r="N980" s="11">
        <f>VLOOKUP($B980,'Hospitalisation Details'!A979:J3323,10,0)</f>
        <v>30556</v>
      </c>
      <c r="O980" t="str">
        <f>VLOOKUP($B980,'Hospitalisation Details'!A979:J3323,8,0)</f>
        <v>tier - 1</v>
      </c>
      <c r="P980" t="str">
        <f>VLOOKUP($B980,'Hospitalisation Details'!A979:J3323,7,0)</f>
        <v>tier - 2</v>
      </c>
      <c r="Q980" t="str">
        <f>VLOOKUP($B980,'Hospitalisation Details'!A979:J3323,9,0)</f>
        <v>R1024</v>
      </c>
      <c r="R980">
        <f>VLOOKUP($B980,'Hospitalisation Details'!A979:K3323,11,0)</f>
        <v>39</v>
      </c>
    </row>
    <row r="981" spans="1:18" x14ac:dyDescent="0.35">
      <c r="A981" t="s">
        <v>1391</v>
      </c>
      <c r="B981" t="s">
        <v>1012</v>
      </c>
      <c r="C981" t="str">
        <f>VLOOKUP($A981,'Customer Names'!$A:$E,4,FALSE)</f>
        <v>Chris</v>
      </c>
      <c r="D981" t="str">
        <f>VLOOKUP($A981,'Medical Examinations'!$A:$J,2,FALSE)</f>
        <v>Obesity</v>
      </c>
      <c r="E981">
        <f>VLOOKUP($A981,'Medical Examinations'!$A:$J,4,FALSE)</f>
        <v>5.47</v>
      </c>
      <c r="F981" t="str">
        <f>VLOOKUP($A981,'Medical Examinations'!$A:$J,6,FALSE)</f>
        <v>yes</v>
      </c>
      <c r="G981" t="str">
        <f>VLOOKUP($A981,'Medical Examinations'!$A:$J,7,FALSE)</f>
        <v>No</v>
      </c>
      <c r="H981" t="str">
        <f>VLOOKUP($A981,'Medical Examinations'!$A:$J,8,FALSE)</f>
        <v>No</v>
      </c>
      <c r="I981">
        <f>VLOOKUP($A981,'Medical Examinations'!$A:$J,9,FALSE)</f>
        <v>1</v>
      </c>
      <c r="J981" t="str">
        <f>VLOOKUP($A981,'Medical Examinations'!$A:$J,10,FALSE)</f>
        <v>No</v>
      </c>
      <c r="K981" t="str">
        <f>VLOOKUP($A981,'Medical Examinations'!$A:$J,5,FALSE)</f>
        <v>Normal</v>
      </c>
      <c r="L981">
        <f>VLOOKUP($A982,'Medical Examinations'!$A:$J,3,FALSE)</f>
        <v>34.01</v>
      </c>
      <c r="M981">
        <f>VLOOKUP($A981,'Hospitalisation Details'!$A:$K,6,FALSE)</f>
        <v>11362.76</v>
      </c>
      <c r="N981" s="11">
        <f>VLOOKUP($B981,'Hospitalisation Details'!A980:J3324,10,0)</f>
        <v>30548</v>
      </c>
      <c r="O981" t="str">
        <f>VLOOKUP($B981,'Hospitalisation Details'!A980:J3324,8,0)</f>
        <v>tier - 3</v>
      </c>
      <c r="P981" t="str">
        <f>VLOOKUP($B981,'Hospitalisation Details'!A980:J3324,7,0)</f>
        <v>tier - 2</v>
      </c>
      <c r="Q981" t="str">
        <f>VLOOKUP($B981,'Hospitalisation Details'!A980:J3324,9,0)</f>
        <v>R1024</v>
      </c>
      <c r="R981">
        <f>VLOOKUP($B981,'Hospitalisation Details'!A980:K3324,11,0)</f>
        <v>39</v>
      </c>
    </row>
    <row r="982" spans="1:18" x14ac:dyDescent="0.35">
      <c r="A982" t="s">
        <v>1390</v>
      </c>
      <c r="B982" t="s">
        <v>1013</v>
      </c>
      <c r="C982" t="str">
        <f>VLOOKUP($A982,'Customer Names'!$A:$E,4,FALSE)</f>
        <v>Graham</v>
      </c>
      <c r="D982" t="str">
        <f>VLOOKUP($A982,'Medical Examinations'!$A:$J,2,FALSE)</f>
        <v>Obesity</v>
      </c>
      <c r="E982">
        <f>VLOOKUP($A982,'Medical Examinations'!$A:$J,4,FALSE)</f>
        <v>11.3</v>
      </c>
      <c r="F982" t="str">
        <f>VLOOKUP($A982,'Medical Examinations'!$A:$J,6,FALSE)</f>
        <v>No</v>
      </c>
      <c r="G982" t="str">
        <f>VLOOKUP($A982,'Medical Examinations'!$A:$J,7,FALSE)</f>
        <v>No</v>
      </c>
      <c r="H982" t="str">
        <f>VLOOKUP($A982,'Medical Examinations'!$A:$J,8,FALSE)</f>
        <v>No</v>
      </c>
      <c r="I982">
        <f>VLOOKUP($A982,'Medical Examinations'!$A:$J,9,FALSE)</f>
        <v>0</v>
      </c>
      <c r="J982" t="str">
        <f>VLOOKUP($A982,'Medical Examinations'!$A:$J,10,FALSE)</f>
        <v>No</v>
      </c>
      <c r="K982" t="str">
        <f>VLOOKUP($A982,'Medical Examinations'!$A:$J,5,FALSE)</f>
        <v>Diabetes</v>
      </c>
      <c r="L982">
        <f>VLOOKUP($A983,'Medical Examinations'!$A:$J,3,FALSE)</f>
        <v>31.54</v>
      </c>
      <c r="M982">
        <f>VLOOKUP($A982,'Hospitalisation Details'!$A:$K,6,FALSE)</f>
        <v>11356.66</v>
      </c>
      <c r="N982" s="11">
        <f>VLOOKUP($B982,'Hospitalisation Details'!A981:J3325,10,0)</f>
        <v>22880</v>
      </c>
      <c r="O982" t="str">
        <f>VLOOKUP($B982,'Hospitalisation Details'!A981:J3325,8,0)</f>
        <v>tier - 1</v>
      </c>
      <c r="P982" t="str">
        <f>VLOOKUP($B982,'Hospitalisation Details'!A981:J3325,7,0)</f>
        <v>tier - 3</v>
      </c>
      <c r="Q982" t="str">
        <f>VLOOKUP($B982,'Hospitalisation Details'!A981:J3325,9,0)</f>
        <v>R1013</v>
      </c>
      <c r="R982">
        <f>VLOOKUP($B982,'Hospitalisation Details'!A981:K3325,11,0)</f>
        <v>60</v>
      </c>
    </row>
    <row r="983" spans="1:18" x14ac:dyDescent="0.35">
      <c r="A983" t="s">
        <v>1389</v>
      </c>
      <c r="B983" t="s">
        <v>1014</v>
      </c>
      <c r="C983" t="str">
        <f>VLOOKUP($A983,'Customer Names'!$A:$E,4,FALSE)</f>
        <v>Garrett</v>
      </c>
      <c r="D983" t="str">
        <f>VLOOKUP($A983,'Medical Examinations'!$A:$J,2,FALSE)</f>
        <v>Obesity</v>
      </c>
      <c r="E983">
        <f>VLOOKUP($A983,'Medical Examinations'!$A:$J,4,FALSE)</f>
        <v>6.72</v>
      </c>
      <c r="F983" t="str">
        <f>VLOOKUP($A983,'Medical Examinations'!$A:$J,6,FALSE)</f>
        <v>No</v>
      </c>
      <c r="G983" t="str">
        <f>VLOOKUP($A983,'Medical Examinations'!$A:$J,7,FALSE)</f>
        <v>No</v>
      </c>
      <c r="H983" t="str">
        <f>VLOOKUP($A983,'Medical Examinations'!$A:$J,8,FALSE)</f>
        <v>No</v>
      </c>
      <c r="I983">
        <f>VLOOKUP($A983,'Medical Examinations'!$A:$J,9,FALSE)</f>
        <v>0</v>
      </c>
      <c r="J983" t="str">
        <f>VLOOKUP($A983,'Medical Examinations'!$A:$J,10,FALSE)</f>
        <v>No</v>
      </c>
      <c r="K983" t="str">
        <f>VLOOKUP($A983,'Medical Examinations'!$A:$J,5,FALSE)</f>
        <v>Diabetes</v>
      </c>
      <c r="L983">
        <f>VLOOKUP($A984,'Medical Examinations'!$A:$J,3,FALSE)</f>
        <v>23.3</v>
      </c>
      <c r="M983">
        <f>VLOOKUP($A983,'Hospitalisation Details'!$A:$K,6,FALSE)</f>
        <v>11353.23</v>
      </c>
      <c r="N983" s="11">
        <f>VLOOKUP($B983,'Hospitalisation Details'!A982:J3326,10,0)</f>
        <v>34960</v>
      </c>
      <c r="O983" t="str">
        <f>VLOOKUP($B983,'Hospitalisation Details'!A982:J3326,8,0)</f>
        <v>tier - 3</v>
      </c>
      <c r="P983" t="str">
        <f>VLOOKUP($B983,'Hospitalisation Details'!A982:J3326,7,0)</f>
        <v>tier - 2</v>
      </c>
      <c r="Q983" t="str">
        <f>VLOOKUP($B983,'Hospitalisation Details'!A982:J3326,9,0)</f>
        <v>R1012</v>
      </c>
      <c r="R983">
        <f>VLOOKUP($B983,'Hospitalisation Details'!A982:K3326,11,0)</f>
        <v>27</v>
      </c>
    </row>
    <row r="984" spans="1:18" x14ac:dyDescent="0.35">
      <c r="A984" t="s">
        <v>1388</v>
      </c>
      <c r="B984" t="s">
        <v>1015</v>
      </c>
      <c r="C984" t="str">
        <f>VLOOKUP($A984,'Customer Names'!$A:$E,4,FALSE)</f>
        <v>Andrew</v>
      </c>
      <c r="D984" t="str">
        <f>VLOOKUP($A984,'Medical Examinations'!$A:$J,2,FALSE)</f>
        <v>Normal Weight</v>
      </c>
      <c r="E984">
        <f>VLOOKUP($A984,'Medical Examinations'!$A:$J,4,FALSE)</f>
        <v>5.36</v>
      </c>
      <c r="F984" t="str">
        <f>VLOOKUP($A984,'Medical Examinations'!$A:$J,6,FALSE)</f>
        <v>yes</v>
      </c>
      <c r="G984" t="str">
        <f>VLOOKUP($A984,'Medical Examinations'!$A:$J,7,FALSE)</f>
        <v>No</v>
      </c>
      <c r="H984" t="str">
        <f>VLOOKUP($A984,'Medical Examinations'!$A:$J,8,FALSE)</f>
        <v>No</v>
      </c>
      <c r="I984">
        <f>VLOOKUP($A984,'Medical Examinations'!$A:$J,9,FALSE)</f>
        <v>1</v>
      </c>
      <c r="J984" t="str">
        <f>VLOOKUP($A984,'Medical Examinations'!$A:$J,10,FALSE)</f>
        <v>No</v>
      </c>
      <c r="K984" t="str">
        <f>VLOOKUP($A984,'Medical Examinations'!$A:$J,5,FALSE)</f>
        <v>Normal</v>
      </c>
      <c r="L984">
        <f>VLOOKUP($A985,'Medical Examinations'!$A:$J,3,FALSE)</f>
        <v>27.75</v>
      </c>
      <c r="M984">
        <f>VLOOKUP($A984,'Hospitalisation Details'!$A:$K,6,FALSE)</f>
        <v>11345.52</v>
      </c>
      <c r="N984" s="11">
        <f>VLOOKUP($B984,'Hospitalisation Details'!A983:J3327,10,0)</f>
        <v>29533</v>
      </c>
      <c r="O984" t="str">
        <f>VLOOKUP($B984,'Hospitalisation Details'!A983:J3327,8,0)</f>
        <v>tier - 2</v>
      </c>
      <c r="P984" t="str">
        <f>VLOOKUP($B984,'Hospitalisation Details'!A983:J3327,7,0)</f>
        <v>tier - 2</v>
      </c>
      <c r="Q984" t="str">
        <f>VLOOKUP($B984,'Hospitalisation Details'!A983:J3327,9,0)</f>
        <v>R1012</v>
      </c>
      <c r="R984">
        <f>VLOOKUP($B984,'Hospitalisation Details'!A983:K3327,11,0)</f>
        <v>42</v>
      </c>
    </row>
    <row r="985" spans="1:18" x14ac:dyDescent="0.35">
      <c r="A985" t="s">
        <v>1387</v>
      </c>
      <c r="B985" t="s">
        <v>1016</v>
      </c>
      <c r="C985" t="str">
        <f>VLOOKUP($A985,'Customer Names'!$A:$E,4,FALSE)</f>
        <v>Annabelle M</v>
      </c>
      <c r="D985" t="str">
        <f>VLOOKUP($A985,'Medical Examinations'!$A:$J,2,FALSE)</f>
        <v>Overweight</v>
      </c>
      <c r="E985">
        <f>VLOOKUP($A985,'Medical Examinations'!$A:$J,4,FALSE)</f>
        <v>9.8800000000000008</v>
      </c>
      <c r="F985" t="str">
        <f>VLOOKUP($A985,'Medical Examinations'!$A:$J,6,FALSE)</f>
        <v>No</v>
      </c>
      <c r="G985" t="str">
        <f>VLOOKUP($A985,'Medical Examinations'!$A:$J,7,FALSE)</f>
        <v>No</v>
      </c>
      <c r="H985" t="str">
        <f>VLOOKUP($A985,'Medical Examinations'!$A:$J,8,FALSE)</f>
        <v>No</v>
      </c>
      <c r="I985">
        <f>VLOOKUP($A985,'Medical Examinations'!$A:$J,9,FALSE)</f>
        <v>0</v>
      </c>
      <c r="J985" t="str">
        <f>VLOOKUP($A985,'Medical Examinations'!$A:$J,10,FALSE)</f>
        <v>No</v>
      </c>
      <c r="K985" t="str">
        <f>VLOOKUP($A985,'Medical Examinations'!$A:$J,5,FALSE)</f>
        <v>Diabetes</v>
      </c>
      <c r="L985">
        <f>VLOOKUP($A986,'Medical Examinations'!$A:$J,3,FALSE)</f>
        <v>42.46</v>
      </c>
      <c r="M985">
        <f>VLOOKUP($A985,'Hospitalisation Details'!$A:$K,6,FALSE)</f>
        <v>11344.32</v>
      </c>
      <c r="N985" s="11">
        <f>VLOOKUP($B985,'Hospitalisation Details'!A984:J3328,10,0)</f>
        <v>32815</v>
      </c>
      <c r="O985" t="str">
        <f>VLOOKUP($B985,'Hospitalisation Details'!A984:J3328,8,0)</f>
        <v>tier - 1</v>
      </c>
      <c r="P985" t="str">
        <f>VLOOKUP($B985,'Hospitalisation Details'!A984:J3328,7,0)</f>
        <v>tier - 2</v>
      </c>
      <c r="Q985" t="str">
        <f>VLOOKUP($B985,'Hospitalisation Details'!A984:J3328,9,0)</f>
        <v>R1012</v>
      </c>
      <c r="R985">
        <f>VLOOKUP($B985,'Hospitalisation Details'!A984:K3328,11,0)</f>
        <v>33</v>
      </c>
    </row>
    <row r="986" spans="1:18" x14ac:dyDescent="0.35">
      <c r="A986" t="s">
        <v>1386</v>
      </c>
      <c r="B986" t="s">
        <v>1017</v>
      </c>
      <c r="C986" t="str">
        <f>VLOOKUP($A986,'Customer Names'!$A:$E,4,FALSE)</f>
        <v>Daniel T.</v>
      </c>
      <c r="D986" t="str">
        <f>VLOOKUP($A986,'Medical Examinations'!$A:$J,2,FALSE)</f>
        <v>Obesity</v>
      </c>
      <c r="E986">
        <f>VLOOKUP($A986,'Medical Examinations'!$A:$J,4,FALSE)</f>
        <v>4.1100000000000003</v>
      </c>
      <c r="F986" t="str">
        <f>VLOOKUP($A986,'Medical Examinations'!$A:$J,6,FALSE)</f>
        <v>No</v>
      </c>
      <c r="G986" t="str">
        <f>VLOOKUP($A986,'Medical Examinations'!$A:$J,7,FALSE)</f>
        <v>No</v>
      </c>
      <c r="H986" t="str">
        <f>VLOOKUP($A986,'Medical Examinations'!$A:$J,8,FALSE)</f>
        <v>No</v>
      </c>
      <c r="I986">
        <f>VLOOKUP($A986,'Medical Examinations'!$A:$J,9,FALSE)</f>
        <v>0</v>
      </c>
      <c r="J986" t="str">
        <f>VLOOKUP($A986,'Medical Examinations'!$A:$J,10,FALSE)</f>
        <v>No</v>
      </c>
      <c r="K986" t="str">
        <f>VLOOKUP($A986,'Medical Examinations'!$A:$J,5,FALSE)</f>
        <v>Normal</v>
      </c>
      <c r="L986">
        <f>VLOOKUP($A987,'Medical Examinations'!$A:$J,3,FALSE)</f>
        <v>54.47</v>
      </c>
      <c r="M986">
        <f>VLOOKUP($A986,'Hospitalisation Details'!$A:$K,6,FALSE)</f>
        <v>11326.71</v>
      </c>
      <c r="N986" s="11">
        <f>VLOOKUP($B986,'Hospitalisation Details'!A985:J3329,10,0)</f>
        <v>28688</v>
      </c>
      <c r="O986" t="str">
        <f>VLOOKUP($B986,'Hospitalisation Details'!A985:J3329,8,0)</f>
        <v>tier - 3</v>
      </c>
      <c r="P986" t="str">
        <f>VLOOKUP($B986,'Hospitalisation Details'!A985:J3329,7,0)</f>
        <v>tier - 2</v>
      </c>
      <c r="Q986" t="str">
        <f>VLOOKUP($B986,'Hospitalisation Details'!A985:J3329,9,0)</f>
        <v>R1012</v>
      </c>
      <c r="R986">
        <f>VLOOKUP($B986,'Hospitalisation Details'!A985:K3329,11,0)</f>
        <v>44</v>
      </c>
    </row>
    <row r="987" spans="1:18" x14ac:dyDescent="0.35">
      <c r="A987" t="s">
        <v>1385</v>
      </c>
      <c r="B987" t="s">
        <v>1018</v>
      </c>
      <c r="C987" t="str">
        <f>VLOOKUP($A987,'Customer Names'!$A:$E,4,FALSE)</f>
        <v>Deanne</v>
      </c>
      <c r="D987" t="str">
        <f>VLOOKUP($A987,'Medical Examinations'!$A:$J,2,FALSE)</f>
        <v>Obesity</v>
      </c>
      <c r="E987">
        <f>VLOOKUP($A987,'Medical Examinations'!$A:$J,4,FALSE)</f>
        <v>7.48</v>
      </c>
      <c r="F987" t="str">
        <f>VLOOKUP($A987,'Medical Examinations'!$A:$J,6,FALSE)</f>
        <v>No</v>
      </c>
      <c r="G987" t="str">
        <f>VLOOKUP($A987,'Medical Examinations'!$A:$J,7,FALSE)</f>
        <v>No</v>
      </c>
      <c r="H987" t="str">
        <f>VLOOKUP($A987,'Medical Examinations'!$A:$J,8,FALSE)</f>
        <v>No</v>
      </c>
      <c r="I987">
        <f>VLOOKUP($A987,'Medical Examinations'!$A:$J,9,FALSE)</f>
        <v>0</v>
      </c>
      <c r="J987" t="str">
        <f>VLOOKUP($A987,'Medical Examinations'!$A:$J,10,FALSE)</f>
        <v>No</v>
      </c>
      <c r="K987" t="str">
        <f>VLOOKUP($A987,'Medical Examinations'!$A:$J,5,FALSE)</f>
        <v>Diabetes</v>
      </c>
      <c r="L987">
        <f>VLOOKUP($A988,'Medical Examinations'!$A:$J,3,FALSE)</f>
        <v>24.93</v>
      </c>
      <c r="M987">
        <f>VLOOKUP($A987,'Hospitalisation Details'!$A:$K,6,FALSE)</f>
        <v>11321.49</v>
      </c>
      <c r="N987" s="11">
        <f>VLOOKUP($B987,'Hospitalisation Details'!A986:J3330,10,0)</f>
        <v>28114</v>
      </c>
      <c r="O987" t="str">
        <f>VLOOKUP($B987,'Hospitalisation Details'!A986:J3330,8,0)</f>
        <v>tier - 2</v>
      </c>
      <c r="P987" t="str">
        <f>VLOOKUP($B987,'Hospitalisation Details'!A986:J3330,7,0)</f>
        <v>tier - 2</v>
      </c>
      <c r="Q987" t="str">
        <f>VLOOKUP($B987,'Hospitalisation Details'!A986:J3330,9,0)</f>
        <v>R1012</v>
      </c>
      <c r="R987">
        <f>VLOOKUP($B987,'Hospitalisation Details'!A986:K3330,11,0)</f>
        <v>46</v>
      </c>
    </row>
    <row r="988" spans="1:18" x14ac:dyDescent="0.35">
      <c r="A988" t="s">
        <v>1384</v>
      </c>
      <c r="B988" t="s">
        <v>1019</v>
      </c>
      <c r="C988" t="str">
        <f>VLOOKUP($A988,'Customer Names'!$A:$E,4,FALSE)</f>
        <v>Carrie</v>
      </c>
      <c r="D988" t="str">
        <f>VLOOKUP($A988,'Medical Examinations'!$A:$J,2,FALSE)</f>
        <v>Normal Weight</v>
      </c>
      <c r="E988">
        <f>VLOOKUP($A988,'Medical Examinations'!$A:$J,4,FALSE)</f>
        <v>9.18</v>
      </c>
      <c r="F988" t="str">
        <f>VLOOKUP($A988,'Medical Examinations'!$A:$J,6,FALSE)</f>
        <v>yes</v>
      </c>
      <c r="G988" t="str">
        <f>VLOOKUP($A988,'Medical Examinations'!$A:$J,7,FALSE)</f>
        <v>No</v>
      </c>
      <c r="H988" t="str">
        <f>VLOOKUP($A988,'Medical Examinations'!$A:$J,8,FALSE)</f>
        <v>Yes</v>
      </c>
      <c r="I988">
        <f>VLOOKUP($A988,'Medical Examinations'!$A:$J,9,FALSE)</f>
        <v>1</v>
      </c>
      <c r="J988" t="str">
        <f>VLOOKUP($A988,'Medical Examinations'!$A:$J,10,FALSE)</f>
        <v>No</v>
      </c>
      <c r="K988" t="str">
        <f>VLOOKUP($A988,'Medical Examinations'!$A:$J,5,FALSE)</f>
        <v>Diabetes</v>
      </c>
      <c r="L988">
        <f>VLOOKUP($A989,'Medical Examinations'!$A:$J,3,FALSE)</f>
        <v>48.12</v>
      </c>
      <c r="M988">
        <f>VLOOKUP($A988,'Hospitalisation Details'!$A:$K,6,FALSE)</f>
        <v>11319.12</v>
      </c>
      <c r="N988" s="11">
        <f>VLOOKUP($B988,'Hospitalisation Details'!A987:J3331,10,0)</f>
        <v>28435</v>
      </c>
      <c r="O988" t="str">
        <f>VLOOKUP($B988,'Hospitalisation Details'!A987:J3331,8,0)</f>
        <v>tier - 2</v>
      </c>
      <c r="P988" t="str">
        <f>VLOOKUP($B988,'Hospitalisation Details'!A987:J3331,7,0)</f>
        <v>tier - 3</v>
      </c>
      <c r="Q988" t="str">
        <f>VLOOKUP($B988,'Hospitalisation Details'!A987:J3331,9,0)</f>
        <v>R1011</v>
      </c>
      <c r="R988">
        <f>VLOOKUP($B988,'Hospitalisation Details'!A987:K3331,11,0)</f>
        <v>45</v>
      </c>
    </row>
    <row r="989" spans="1:18" x14ac:dyDescent="0.35">
      <c r="A989" t="s">
        <v>1383</v>
      </c>
      <c r="B989" t="s">
        <v>1020</v>
      </c>
      <c r="C989" t="str">
        <f>VLOOKUP($A989,'Customer Names'!$A:$E,4,FALSE)</f>
        <v>Suzanne</v>
      </c>
      <c r="D989" t="str">
        <f>VLOOKUP($A989,'Medical Examinations'!$A:$J,2,FALSE)</f>
        <v>Obesity</v>
      </c>
      <c r="E989">
        <f>VLOOKUP($A989,'Medical Examinations'!$A:$J,4,FALSE)</f>
        <v>4.51</v>
      </c>
      <c r="F989" t="str">
        <f>VLOOKUP($A989,'Medical Examinations'!$A:$J,6,FALSE)</f>
        <v>yes</v>
      </c>
      <c r="G989" t="str">
        <f>VLOOKUP($A989,'Medical Examinations'!$A:$J,7,FALSE)</f>
        <v>No</v>
      </c>
      <c r="H989" t="str">
        <f>VLOOKUP($A989,'Medical Examinations'!$A:$J,8,FALSE)</f>
        <v>No</v>
      </c>
      <c r="I989">
        <f>VLOOKUP($A989,'Medical Examinations'!$A:$J,9,FALSE)</f>
        <v>1</v>
      </c>
      <c r="J989" t="str">
        <f>VLOOKUP($A989,'Medical Examinations'!$A:$J,10,FALSE)</f>
        <v>No</v>
      </c>
      <c r="K989" t="str">
        <f>VLOOKUP($A989,'Medical Examinations'!$A:$J,5,FALSE)</f>
        <v>Normal</v>
      </c>
      <c r="L989">
        <f>VLOOKUP($A990,'Medical Examinations'!$A:$J,3,FALSE)</f>
        <v>24.91</v>
      </c>
      <c r="M989">
        <f>VLOOKUP($A989,'Hospitalisation Details'!$A:$K,6,FALSE)</f>
        <v>11318.57</v>
      </c>
      <c r="N989" s="11">
        <f>VLOOKUP($B989,'Hospitalisation Details'!A988:J3332,10,0)</f>
        <v>37967</v>
      </c>
      <c r="O989" t="str">
        <f>VLOOKUP($B989,'Hospitalisation Details'!A988:J3332,8,0)</f>
        <v>tier - 2</v>
      </c>
      <c r="P989" t="str">
        <f>VLOOKUP($B989,'Hospitalisation Details'!A988:J3332,7,0)</f>
        <v>tier - 2</v>
      </c>
      <c r="Q989" t="str">
        <f>VLOOKUP($B989,'Hospitalisation Details'!A988:J3332,9,0)</f>
        <v>R1012</v>
      </c>
      <c r="R989">
        <f>VLOOKUP($B989,'Hospitalisation Details'!A988:K3332,11,0)</f>
        <v>19</v>
      </c>
    </row>
    <row r="990" spans="1:18" x14ac:dyDescent="0.35">
      <c r="A990" t="s">
        <v>1382</v>
      </c>
      <c r="B990" t="s">
        <v>1021</v>
      </c>
      <c r="C990" t="str">
        <f>VLOOKUP($A990,'Customer Names'!$A:$E,4,FALSE)</f>
        <v>Jasmine P.</v>
      </c>
      <c r="D990" t="str">
        <f>VLOOKUP($A990,'Medical Examinations'!$A:$J,2,FALSE)</f>
        <v>Normal Weight</v>
      </c>
      <c r="E990">
        <f>VLOOKUP($A990,'Medical Examinations'!$A:$J,4,FALSE)</f>
        <v>7.33</v>
      </c>
      <c r="F990" t="str">
        <f>VLOOKUP($A990,'Medical Examinations'!$A:$J,6,FALSE)</f>
        <v>yes</v>
      </c>
      <c r="G990" t="str">
        <f>VLOOKUP($A990,'Medical Examinations'!$A:$J,7,FALSE)</f>
        <v>No</v>
      </c>
      <c r="H990" t="str">
        <f>VLOOKUP($A990,'Medical Examinations'!$A:$J,8,FALSE)</f>
        <v>Yes</v>
      </c>
      <c r="I990">
        <f>VLOOKUP($A990,'Medical Examinations'!$A:$J,9,FALSE)</f>
        <v>1</v>
      </c>
      <c r="J990" t="str">
        <f>VLOOKUP($A990,'Medical Examinations'!$A:$J,10,FALSE)</f>
        <v>No</v>
      </c>
      <c r="K990" t="str">
        <f>VLOOKUP($A990,'Medical Examinations'!$A:$J,5,FALSE)</f>
        <v>Diabetes</v>
      </c>
      <c r="L990">
        <f>VLOOKUP($A991,'Medical Examinations'!$A:$J,3,FALSE)</f>
        <v>27.645</v>
      </c>
      <c r="M990">
        <f>VLOOKUP($A990,'Hospitalisation Details'!$A:$K,6,FALSE)</f>
        <v>11312.33</v>
      </c>
      <c r="N990" s="11">
        <f>VLOOKUP($B990,'Hospitalisation Details'!A989:J3333,10,0)</f>
        <v>31379</v>
      </c>
      <c r="O990" t="str">
        <f>VLOOKUP($B990,'Hospitalisation Details'!A989:J3333,8,0)</f>
        <v>tier - 3</v>
      </c>
      <c r="P990" t="str">
        <f>VLOOKUP($B990,'Hospitalisation Details'!A989:J3333,7,0)</f>
        <v>tier - 2</v>
      </c>
      <c r="Q990" t="str">
        <f>VLOOKUP($B990,'Hospitalisation Details'!A989:J3333,9,0)</f>
        <v>R1012</v>
      </c>
      <c r="R990">
        <f>VLOOKUP($B990,'Hospitalisation Details'!A989:K3333,11,0)</f>
        <v>37</v>
      </c>
    </row>
    <row r="991" spans="1:18" x14ac:dyDescent="0.35">
      <c r="A991" t="s">
        <v>1381</v>
      </c>
      <c r="B991" t="s">
        <v>1022</v>
      </c>
      <c r="C991" t="str">
        <f>VLOOKUP($A991,'Customer Names'!$A:$E,4,FALSE)</f>
        <v>Jennifer</v>
      </c>
      <c r="D991" t="str">
        <f>VLOOKUP($A991,'Medical Examinations'!$A:$J,2,FALSE)</f>
        <v>Overweight</v>
      </c>
      <c r="E991">
        <f>VLOOKUP($A991,'Medical Examinations'!$A:$J,4,FALSE)</f>
        <v>10.56</v>
      </c>
      <c r="F991" t="str">
        <f>VLOOKUP($A991,'Medical Examinations'!$A:$J,6,FALSE)</f>
        <v>No</v>
      </c>
      <c r="G991" t="str">
        <f>VLOOKUP($A991,'Medical Examinations'!$A:$J,7,FALSE)</f>
        <v>No</v>
      </c>
      <c r="H991" t="str">
        <f>VLOOKUP($A991,'Medical Examinations'!$A:$J,8,FALSE)</f>
        <v>No</v>
      </c>
      <c r="I991">
        <f>VLOOKUP($A991,'Medical Examinations'!$A:$J,9,FALSE)</f>
        <v>0</v>
      </c>
      <c r="J991" t="str">
        <f>VLOOKUP($A991,'Medical Examinations'!$A:$J,10,FALSE)</f>
        <v>No</v>
      </c>
      <c r="K991" t="str">
        <f>VLOOKUP($A991,'Medical Examinations'!$A:$J,5,FALSE)</f>
        <v>Diabetes</v>
      </c>
      <c r="L991">
        <f>VLOOKUP($A992,'Medical Examinations'!$A:$J,3,FALSE)</f>
        <v>33.700000000000003</v>
      </c>
      <c r="M991">
        <f>VLOOKUP($A991,'Hospitalisation Details'!$A:$K,6,FALSE)</f>
        <v>11305.93</v>
      </c>
      <c r="N991" s="11">
        <f>VLOOKUP($B991,'Hospitalisation Details'!A990:J3334,10,0)</f>
        <v>30312</v>
      </c>
      <c r="O991" t="str">
        <f>VLOOKUP($B991,'Hospitalisation Details'!A990:J3334,8,0)</f>
        <v>tier - 3</v>
      </c>
      <c r="P991" t="str">
        <f>VLOOKUP($B991,'Hospitalisation Details'!A990:J3334,7,0)</f>
        <v>tier - 2</v>
      </c>
      <c r="Q991" t="str">
        <f>VLOOKUP($B991,'Hospitalisation Details'!A990:J3334,9,0)</f>
        <v>R1012</v>
      </c>
      <c r="R991">
        <f>VLOOKUP($B991,'Hospitalisation Details'!A990:K3334,11,0)</f>
        <v>40</v>
      </c>
    </row>
    <row r="992" spans="1:18" x14ac:dyDescent="0.35">
      <c r="A992" t="s">
        <v>1380</v>
      </c>
      <c r="B992" t="s">
        <v>1023</v>
      </c>
      <c r="C992" t="str">
        <f>VLOOKUP($A992,'Customer Names'!$A:$E,4,FALSE)</f>
        <v>Tracie</v>
      </c>
      <c r="D992" t="str">
        <f>VLOOKUP($A992,'Medical Examinations'!$A:$J,2,FALSE)</f>
        <v>Obesity</v>
      </c>
      <c r="E992">
        <f>VLOOKUP($A992,'Medical Examinations'!$A:$J,4,FALSE)</f>
        <v>4.01</v>
      </c>
      <c r="F992" t="str">
        <f>VLOOKUP($A992,'Medical Examinations'!$A:$J,6,FALSE)</f>
        <v>No</v>
      </c>
      <c r="G992" t="str">
        <f>VLOOKUP($A992,'Medical Examinations'!$A:$J,7,FALSE)</f>
        <v>No</v>
      </c>
      <c r="H992" t="str">
        <f>VLOOKUP($A992,'Medical Examinations'!$A:$J,8,FALSE)</f>
        <v>No</v>
      </c>
      <c r="I992">
        <f>VLOOKUP($A992,'Medical Examinations'!$A:$J,9,FALSE)</f>
        <v>2</v>
      </c>
      <c r="J992" t="str">
        <f>VLOOKUP($A992,'Medical Examinations'!$A:$J,10,FALSE)</f>
        <v>No</v>
      </c>
      <c r="K992" t="str">
        <f>VLOOKUP($A992,'Medical Examinations'!$A:$J,5,FALSE)</f>
        <v>Normal</v>
      </c>
      <c r="L992">
        <f>VLOOKUP($A993,'Medical Examinations'!$A:$J,3,FALSE)</f>
        <v>38.93</v>
      </c>
      <c r="M992">
        <f>VLOOKUP($A992,'Hospitalisation Details'!$A:$K,6,FALSE)</f>
        <v>11299.34</v>
      </c>
      <c r="N992" s="11">
        <f>VLOOKUP($B992,'Hospitalisation Details'!A991:J3335,10,0)</f>
        <v>25914</v>
      </c>
      <c r="O992" t="str">
        <f>VLOOKUP($B992,'Hospitalisation Details'!A991:J3335,8,0)</f>
        <v>tier - 1</v>
      </c>
      <c r="P992" t="str">
        <f>VLOOKUP($B992,'Hospitalisation Details'!A991:J3335,7,0)</f>
        <v>tier - 2</v>
      </c>
      <c r="Q992" t="str">
        <f>VLOOKUP($B992,'Hospitalisation Details'!A991:J3335,9,0)</f>
        <v>R1013</v>
      </c>
      <c r="R992">
        <f>VLOOKUP($B992,'Hospitalisation Details'!A991:K3335,11,0)</f>
        <v>52</v>
      </c>
    </row>
    <row r="993" spans="1:18" x14ac:dyDescent="0.35">
      <c r="A993" t="s">
        <v>1379</v>
      </c>
      <c r="B993" t="s">
        <v>1024</v>
      </c>
      <c r="C993" t="str">
        <f>VLOOKUP($A993,'Customer Names'!$A:$E,4,FALSE)</f>
        <v>Tristan D.</v>
      </c>
      <c r="D993" t="str">
        <f>VLOOKUP($A993,'Medical Examinations'!$A:$J,2,FALSE)</f>
        <v>Obesity</v>
      </c>
      <c r="E993">
        <f>VLOOKUP($A993,'Medical Examinations'!$A:$J,4,FALSE)</f>
        <v>5.64</v>
      </c>
      <c r="F993" t="str">
        <f>VLOOKUP($A993,'Medical Examinations'!$A:$J,6,FALSE)</f>
        <v>yes</v>
      </c>
      <c r="G993" t="str">
        <f>VLOOKUP($A993,'Medical Examinations'!$A:$J,7,FALSE)</f>
        <v>No</v>
      </c>
      <c r="H993" t="str">
        <f>VLOOKUP($A993,'Medical Examinations'!$A:$J,8,FALSE)</f>
        <v>No</v>
      </c>
      <c r="I993">
        <f>VLOOKUP($A993,'Medical Examinations'!$A:$J,9,FALSE)</f>
        <v>1</v>
      </c>
      <c r="J993" t="str">
        <f>VLOOKUP($A993,'Medical Examinations'!$A:$J,10,FALSE)</f>
        <v>No</v>
      </c>
      <c r="K993" t="str">
        <f>VLOOKUP($A993,'Medical Examinations'!$A:$J,5,FALSE)</f>
        <v>Normal</v>
      </c>
      <c r="L993">
        <f>VLOOKUP($A994,'Medical Examinations'!$A:$J,3,FALSE)</f>
        <v>32.774999999999999</v>
      </c>
      <c r="M993">
        <f>VLOOKUP($A993,'Hospitalisation Details'!$A:$K,6,FALSE)</f>
        <v>11294.57</v>
      </c>
      <c r="N993" s="11">
        <f>VLOOKUP($B993,'Hospitalisation Details'!A992:J3336,10,0)</f>
        <v>27573</v>
      </c>
      <c r="O993" t="str">
        <f>VLOOKUP($B993,'Hospitalisation Details'!A992:J3336,8,0)</f>
        <v>tier - 3</v>
      </c>
      <c r="P993" t="str">
        <f>VLOOKUP($B993,'Hospitalisation Details'!A992:J3336,7,0)</f>
        <v>tier - 3</v>
      </c>
      <c r="Q993" t="str">
        <f>VLOOKUP($B993,'Hospitalisation Details'!A992:J3336,9,0)</f>
        <v>R1011</v>
      </c>
      <c r="R993">
        <f>VLOOKUP($B993,'Hospitalisation Details'!A992:K3336,11,0)</f>
        <v>47</v>
      </c>
    </row>
    <row r="994" spans="1:18" x14ac:dyDescent="0.35">
      <c r="A994" t="s">
        <v>1378</v>
      </c>
      <c r="B994" t="s">
        <v>1025</v>
      </c>
      <c r="C994" t="str">
        <f>VLOOKUP($A994,'Customer Names'!$A:$E,4,FALSE)</f>
        <v>Peiweng</v>
      </c>
      <c r="D994" t="str">
        <f>VLOOKUP($A994,'Medical Examinations'!$A:$J,2,FALSE)</f>
        <v>Obesity</v>
      </c>
      <c r="E994">
        <f>VLOOKUP($A994,'Medical Examinations'!$A:$J,4,FALSE)</f>
        <v>8.02</v>
      </c>
      <c r="F994" t="str">
        <f>VLOOKUP($A994,'Medical Examinations'!$A:$J,6,FALSE)</f>
        <v>yes</v>
      </c>
      <c r="G994" t="str">
        <f>VLOOKUP($A994,'Medical Examinations'!$A:$J,7,FALSE)</f>
        <v>No</v>
      </c>
      <c r="H994" t="str">
        <f>VLOOKUP($A994,'Medical Examinations'!$A:$J,8,FALSE)</f>
        <v>No</v>
      </c>
      <c r="I994">
        <f>VLOOKUP($A994,'Medical Examinations'!$A:$J,9,FALSE)</f>
        <v>2</v>
      </c>
      <c r="J994" t="str">
        <f>VLOOKUP($A994,'Medical Examinations'!$A:$J,10,FALSE)</f>
        <v>No</v>
      </c>
      <c r="K994" t="str">
        <f>VLOOKUP($A994,'Medical Examinations'!$A:$J,5,FALSE)</f>
        <v>Diabetes</v>
      </c>
      <c r="L994">
        <f>VLOOKUP($A995,'Medical Examinations'!$A:$J,3,FALSE)</f>
        <v>29.83</v>
      </c>
      <c r="M994">
        <f>VLOOKUP($A994,'Hospitalisation Details'!$A:$K,6,FALSE)</f>
        <v>11289.11</v>
      </c>
      <c r="N994" s="11">
        <f>VLOOKUP($B994,'Hospitalisation Details'!A993:J3337,10,0)</f>
        <v>23965</v>
      </c>
      <c r="O994" t="str">
        <f>VLOOKUP($B994,'Hospitalisation Details'!A993:J3337,8,0)</f>
        <v>tier - 1</v>
      </c>
      <c r="P994" t="str">
        <f>VLOOKUP($B994,'Hospitalisation Details'!A993:J3337,7,0)</f>
        <v>tier - 3</v>
      </c>
      <c r="Q994" t="str">
        <f>VLOOKUP($B994,'Hospitalisation Details'!A993:J3337,9,0)</f>
        <v>R1013</v>
      </c>
      <c r="R994">
        <f>VLOOKUP($B994,'Hospitalisation Details'!A993:K3337,11,0)</f>
        <v>57</v>
      </c>
    </row>
    <row r="995" spans="1:18" x14ac:dyDescent="0.35">
      <c r="A995" t="s">
        <v>1377</v>
      </c>
      <c r="B995" t="s">
        <v>1026</v>
      </c>
      <c r="C995" t="str">
        <f>VLOOKUP($A995,'Customer Names'!$A:$E,4,FALSE)</f>
        <v>Theresa M.</v>
      </c>
      <c r="D995" t="str">
        <f>VLOOKUP($A995,'Medical Examinations'!$A:$J,2,FALSE)</f>
        <v>Overweight</v>
      </c>
      <c r="E995">
        <f>VLOOKUP($A995,'Medical Examinations'!$A:$J,4,FALSE)</f>
        <v>7.2</v>
      </c>
      <c r="F995" t="str">
        <f>VLOOKUP($A995,'Medical Examinations'!$A:$J,6,FALSE)</f>
        <v>yes</v>
      </c>
      <c r="G995" t="str">
        <f>VLOOKUP($A995,'Medical Examinations'!$A:$J,7,FALSE)</f>
        <v>No</v>
      </c>
      <c r="H995" t="str">
        <f>VLOOKUP($A995,'Medical Examinations'!$A:$J,8,FALSE)</f>
        <v>No</v>
      </c>
      <c r="I995">
        <f>VLOOKUP($A995,'Medical Examinations'!$A:$J,9,FALSE)</f>
        <v>0</v>
      </c>
      <c r="J995" t="str">
        <f>VLOOKUP($A995,'Medical Examinations'!$A:$J,10,FALSE)</f>
        <v>No</v>
      </c>
      <c r="K995" t="str">
        <f>VLOOKUP($A995,'Medical Examinations'!$A:$J,5,FALSE)</f>
        <v>Diabetes</v>
      </c>
      <c r="L995">
        <f>VLOOKUP($A996,'Medical Examinations'!$A:$J,3,FALSE)</f>
        <v>28.31</v>
      </c>
      <c r="M995">
        <f>VLOOKUP($A995,'Hospitalisation Details'!$A:$K,6,FALSE)</f>
        <v>11286.54</v>
      </c>
      <c r="N995" s="11">
        <f>VLOOKUP($B995,'Hospitalisation Details'!A994:J3338,10,0)</f>
        <v>27743</v>
      </c>
      <c r="O995" t="str">
        <f>VLOOKUP($B995,'Hospitalisation Details'!A994:J3338,8,0)</f>
        <v>tier - 2</v>
      </c>
      <c r="P995" t="str">
        <f>VLOOKUP($B995,'Hospitalisation Details'!A994:J3338,7,0)</f>
        <v>tier - 3</v>
      </c>
      <c r="Q995" t="str">
        <f>VLOOKUP($B995,'Hospitalisation Details'!A994:J3338,9,0)</f>
        <v>R1011</v>
      </c>
      <c r="R995">
        <f>VLOOKUP($B995,'Hospitalisation Details'!A994:K3338,11,0)</f>
        <v>47</v>
      </c>
    </row>
    <row r="996" spans="1:18" x14ac:dyDescent="0.35">
      <c r="A996" t="s">
        <v>1376</v>
      </c>
      <c r="B996" t="s">
        <v>1027</v>
      </c>
      <c r="C996" t="str">
        <f>VLOOKUP($A996,'Customer Names'!$A:$E,4,FALSE)</f>
        <v>Daniel J</v>
      </c>
      <c r="D996" t="str">
        <f>VLOOKUP($A996,'Medical Examinations'!$A:$J,2,FALSE)</f>
        <v>Overweight</v>
      </c>
      <c r="E996">
        <f>VLOOKUP($A996,'Medical Examinations'!$A:$J,4,FALSE)</f>
        <v>4.55</v>
      </c>
      <c r="F996" t="str">
        <f>VLOOKUP($A996,'Medical Examinations'!$A:$J,6,FALSE)</f>
        <v>No</v>
      </c>
      <c r="G996" t="str">
        <f>VLOOKUP($A996,'Medical Examinations'!$A:$J,7,FALSE)</f>
        <v>yes</v>
      </c>
      <c r="H996" t="str">
        <f>VLOOKUP($A996,'Medical Examinations'!$A:$J,8,FALSE)</f>
        <v>No</v>
      </c>
      <c r="I996">
        <f>VLOOKUP($A996,'Medical Examinations'!$A:$J,9,FALSE)</f>
        <v>1</v>
      </c>
      <c r="J996" t="str">
        <f>VLOOKUP($A996,'Medical Examinations'!$A:$J,10,FALSE)</f>
        <v>No</v>
      </c>
      <c r="K996" t="str">
        <f>VLOOKUP($A996,'Medical Examinations'!$A:$J,5,FALSE)</f>
        <v>Normal</v>
      </c>
      <c r="L996">
        <f>VLOOKUP($A997,'Medical Examinations'!$A:$J,3,FALSE)</f>
        <v>29.79</v>
      </c>
      <c r="M996">
        <f>VLOOKUP($A996,'Hospitalisation Details'!$A:$K,6,FALSE)</f>
        <v>11272.33</v>
      </c>
      <c r="N996" s="11">
        <f>VLOOKUP($B996,'Hospitalisation Details'!A995:J3339,10,0)</f>
        <v>24036</v>
      </c>
      <c r="O996" t="str">
        <f>VLOOKUP($B996,'Hospitalisation Details'!A995:J3339,8,0)</f>
        <v>tier - 1</v>
      </c>
      <c r="P996" t="str">
        <f>VLOOKUP($B996,'Hospitalisation Details'!A995:J3339,7,0)</f>
        <v>tier - 3</v>
      </c>
      <c r="Q996" t="str">
        <f>VLOOKUP($B996,'Hospitalisation Details'!A995:J3339,9,0)</f>
        <v>R1011</v>
      </c>
      <c r="R996">
        <f>VLOOKUP($B996,'Hospitalisation Details'!A995:K3339,11,0)</f>
        <v>57</v>
      </c>
    </row>
    <row r="997" spans="1:18" x14ac:dyDescent="0.35">
      <c r="A997" t="s">
        <v>1375</v>
      </c>
      <c r="B997" t="s">
        <v>1028</v>
      </c>
      <c r="C997" t="str">
        <f>VLOOKUP($A997,'Customer Names'!$A:$E,4,FALSE)</f>
        <v>Courtney M.</v>
      </c>
      <c r="D997" t="str">
        <f>VLOOKUP($A997,'Medical Examinations'!$A:$J,2,FALSE)</f>
        <v>Overweight</v>
      </c>
      <c r="E997">
        <f>VLOOKUP($A997,'Medical Examinations'!$A:$J,4,FALSE)</f>
        <v>9.0299999999999994</v>
      </c>
      <c r="F997" t="str">
        <f>VLOOKUP($A997,'Medical Examinations'!$A:$J,6,FALSE)</f>
        <v>No</v>
      </c>
      <c r="G997" t="str">
        <f>VLOOKUP($A997,'Medical Examinations'!$A:$J,7,FALSE)</f>
        <v>No</v>
      </c>
      <c r="H997" t="str">
        <f>VLOOKUP($A997,'Medical Examinations'!$A:$J,8,FALSE)</f>
        <v>No</v>
      </c>
      <c r="I997">
        <f>VLOOKUP($A997,'Medical Examinations'!$A:$J,9,FALSE)</f>
        <v>0</v>
      </c>
      <c r="J997" t="str">
        <f>VLOOKUP($A997,'Medical Examinations'!$A:$J,10,FALSE)</f>
        <v>No</v>
      </c>
      <c r="K997" t="str">
        <f>VLOOKUP($A997,'Medical Examinations'!$A:$J,5,FALSE)</f>
        <v>Diabetes</v>
      </c>
      <c r="L997">
        <f>VLOOKUP($A998,'Medical Examinations'!$A:$J,3,FALSE)</f>
        <v>36.6</v>
      </c>
      <c r="M997">
        <f>VLOOKUP($A997,'Hospitalisation Details'!$A:$K,6,FALSE)</f>
        <v>11265.71</v>
      </c>
      <c r="N997" s="11">
        <f>VLOOKUP($B997,'Hospitalisation Details'!A996:J3340,10,0)</f>
        <v>34280</v>
      </c>
      <c r="O997" t="str">
        <f>VLOOKUP($B997,'Hospitalisation Details'!A996:J3340,8,0)</f>
        <v>tier - 1</v>
      </c>
      <c r="P997" t="str">
        <f>VLOOKUP($B997,'Hospitalisation Details'!A996:J3340,7,0)</f>
        <v>tier - 2</v>
      </c>
      <c r="Q997" t="str">
        <f>VLOOKUP($B997,'Hospitalisation Details'!A996:J3340,9,0)</f>
        <v>R1026</v>
      </c>
      <c r="R997">
        <f>VLOOKUP($B997,'Hospitalisation Details'!A996:K3340,11,0)</f>
        <v>29</v>
      </c>
    </row>
    <row r="998" spans="1:18" x14ac:dyDescent="0.35">
      <c r="A998" t="s">
        <v>1374</v>
      </c>
      <c r="B998" t="s">
        <v>1029</v>
      </c>
      <c r="C998" t="str">
        <f>VLOOKUP($A998,'Customer Names'!$A:$E,4,FALSE)</f>
        <v>Jose A.</v>
      </c>
      <c r="D998" t="str">
        <f>VLOOKUP($A998,'Medical Examinations'!$A:$J,2,FALSE)</f>
        <v>Obesity</v>
      </c>
      <c r="E998">
        <f>VLOOKUP($A998,'Medical Examinations'!$A:$J,4,FALSE)</f>
        <v>5.2</v>
      </c>
      <c r="F998" t="str">
        <f>VLOOKUP($A998,'Medical Examinations'!$A:$J,6,FALSE)</f>
        <v>yes</v>
      </c>
      <c r="G998" t="str">
        <f>VLOOKUP($A998,'Medical Examinations'!$A:$J,7,FALSE)</f>
        <v>No</v>
      </c>
      <c r="H998" t="str">
        <f>VLOOKUP($A998,'Medical Examinations'!$A:$J,8,FALSE)</f>
        <v>Yes</v>
      </c>
      <c r="I998">
        <f>VLOOKUP($A998,'Medical Examinations'!$A:$J,9,FALSE)</f>
        <v>1</v>
      </c>
      <c r="J998" t="str">
        <f>VLOOKUP($A998,'Medical Examinations'!$A:$J,10,FALSE)</f>
        <v>No</v>
      </c>
      <c r="K998" t="str">
        <f>VLOOKUP($A998,'Medical Examinations'!$A:$J,5,FALSE)</f>
        <v>Normal</v>
      </c>
      <c r="L998">
        <f>VLOOKUP($A999,'Medical Examinations'!$A:$J,3,FALSE)</f>
        <v>35.93</v>
      </c>
      <c r="M998">
        <f>VLOOKUP($A998,'Hospitalisation Details'!$A:$K,6,FALSE)</f>
        <v>11264.54</v>
      </c>
      <c r="N998" s="11">
        <f>VLOOKUP($B998,'Hospitalisation Details'!A997:J3341,10,0)</f>
        <v>37131</v>
      </c>
      <c r="O998" t="str">
        <f>VLOOKUP($B998,'Hospitalisation Details'!A997:J3341,8,0)</f>
        <v>tier - 2</v>
      </c>
      <c r="P998" t="str">
        <f>VLOOKUP($B998,'Hospitalisation Details'!A997:J3341,7,0)</f>
        <v>tier - 2</v>
      </c>
      <c r="Q998" t="str">
        <f>VLOOKUP($B998,'Hospitalisation Details'!A997:J3341,9,0)</f>
        <v>R1012</v>
      </c>
      <c r="R998">
        <f>VLOOKUP($B998,'Hospitalisation Details'!A997:K3341,11,0)</f>
        <v>21</v>
      </c>
    </row>
    <row r="999" spans="1:18" x14ac:dyDescent="0.35">
      <c r="A999" t="s">
        <v>1373</v>
      </c>
      <c r="B999" t="s">
        <v>1030</v>
      </c>
      <c r="C999" t="str">
        <f>VLOOKUP($A999,'Customer Names'!$A:$E,4,FALSE)</f>
        <v>Lauren</v>
      </c>
      <c r="D999" t="str">
        <f>VLOOKUP($A999,'Medical Examinations'!$A:$J,2,FALSE)</f>
        <v>Obesity</v>
      </c>
      <c r="E999">
        <f>VLOOKUP($A999,'Medical Examinations'!$A:$J,4,FALSE)</f>
        <v>8.3000000000000007</v>
      </c>
      <c r="F999" t="str">
        <f>VLOOKUP($A999,'Medical Examinations'!$A:$J,6,FALSE)</f>
        <v>yes</v>
      </c>
      <c r="G999" t="str">
        <f>VLOOKUP($A999,'Medical Examinations'!$A:$J,7,FALSE)</f>
        <v>No</v>
      </c>
      <c r="H999" t="str">
        <f>VLOOKUP($A999,'Medical Examinations'!$A:$J,8,FALSE)</f>
        <v>No</v>
      </c>
      <c r="I999">
        <f>VLOOKUP($A999,'Medical Examinations'!$A:$J,9,FALSE)</f>
        <v>0</v>
      </c>
      <c r="J999" t="str">
        <f>VLOOKUP($A999,'Medical Examinations'!$A:$J,10,FALSE)</f>
        <v>No</v>
      </c>
      <c r="K999" t="str">
        <f>VLOOKUP($A999,'Medical Examinations'!$A:$J,5,FALSE)</f>
        <v>Diabetes</v>
      </c>
      <c r="L999">
        <f>VLOOKUP($A1000,'Medical Examinations'!$A:$J,3,FALSE)</f>
        <v>28.6</v>
      </c>
      <c r="M999">
        <f>VLOOKUP($A999,'Hospitalisation Details'!$A:$K,6,FALSE)</f>
        <v>11255.29</v>
      </c>
      <c r="N999" s="11">
        <f>VLOOKUP($B999,'Hospitalisation Details'!A998:J3342,10,0)</f>
        <v>34619</v>
      </c>
      <c r="O999" t="str">
        <f>VLOOKUP($B999,'Hospitalisation Details'!A998:J3342,8,0)</f>
        <v>tier - 2</v>
      </c>
      <c r="P999" t="str">
        <f>VLOOKUP($B999,'Hospitalisation Details'!A998:J3342,7,0)</f>
        <v>tier - 2</v>
      </c>
      <c r="Q999" t="str">
        <f>VLOOKUP($B999,'Hospitalisation Details'!A998:J3342,9,0)</f>
        <v>R1026</v>
      </c>
      <c r="R999">
        <f>VLOOKUP($B999,'Hospitalisation Details'!A998:K3342,11,0)</f>
        <v>28</v>
      </c>
    </row>
    <row r="1000" spans="1:18" x14ac:dyDescent="0.35">
      <c r="A1000" t="s">
        <v>1372</v>
      </c>
      <c r="B1000" t="s">
        <v>1031</v>
      </c>
      <c r="C1000" t="str">
        <f>VLOOKUP($A1000,'Customer Names'!$A:$E,4,FALSE)</f>
        <v>Jonathon M.</v>
      </c>
      <c r="D1000" t="str">
        <f>VLOOKUP($A1000,'Medical Examinations'!$A:$J,2,FALSE)</f>
        <v>Overweight</v>
      </c>
      <c r="E1000">
        <f>VLOOKUP($A1000,'Medical Examinations'!$A:$J,4,FALSE)</f>
        <v>5.56</v>
      </c>
      <c r="F1000" t="str">
        <f>VLOOKUP($A1000,'Medical Examinations'!$A:$J,6,FALSE)</f>
        <v>yes</v>
      </c>
      <c r="G1000" t="str">
        <f>VLOOKUP($A1000,'Medical Examinations'!$A:$J,7,FALSE)</f>
        <v>No</v>
      </c>
      <c r="H1000" t="str">
        <f>VLOOKUP($A1000,'Medical Examinations'!$A:$J,8,FALSE)</f>
        <v>Yes</v>
      </c>
      <c r="I1000">
        <f>VLOOKUP($A1000,'Medical Examinations'!$A:$J,9,FALSE)</f>
        <v>1</v>
      </c>
      <c r="J1000" t="str">
        <f>VLOOKUP($A1000,'Medical Examinations'!$A:$J,10,FALSE)</f>
        <v>No</v>
      </c>
      <c r="K1000" t="str">
        <f>VLOOKUP($A1000,'Medical Examinations'!$A:$J,5,FALSE)</f>
        <v>Normal</v>
      </c>
      <c r="L1000">
        <f>VLOOKUP($A1001,'Medical Examinations'!$A:$J,3,FALSE)</f>
        <v>39.17</v>
      </c>
      <c r="M1000">
        <f>VLOOKUP($A1000,'Hospitalisation Details'!$A:$K,6,FALSE)</f>
        <v>11253.42</v>
      </c>
      <c r="N1000" s="11">
        <f>VLOOKUP($B1000,'Hospitalisation Details'!A999:J3343,10,0)</f>
        <v>27749</v>
      </c>
      <c r="O1000" t="str">
        <f>VLOOKUP($B1000,'Hospitalisation Details'!A999:J3343,8,0)</f>
        <v>tier - 3</v>
      </c>
      <c r="P1000" t="str">
        <f>VLOOKUP($B1000,'Hospitalisation Details'!A999:J3343,7,0)</f>
        <v>tier - 3</v>
      </c>
      <c r="Q1000" t="str">
        <f>VLOOKUP($B1000,'Hospitalisation Details'!A999:J3343,9,0)</f>
        <v>R1013</v>
      </c>
      <c r="R1000">
        <f>VLOOKUP($B1000,'Hospitalisation Details'!A999:K3343,11,0)</f>
        <v>47</v>
      </c>
    </row>
    <row r="1001" spans="1:18" x14ac:dyDescent="0.35">
      <c r="A1001" t="s">
        <v>1371</v>
      </c>
      <c r="B1001" t="s">
        <v>1032</v>
      </c>
      <c r="C1001" t="str">
        <f>VLOOKUP($A1001,'Customer Names'!$A:$E,4,FALSE)</f>
        <v>Stephanie A</v>
      </c>
      <c r="D1001" t="str">
        <f>VLOOKUP($A1001,'Medical Examinations'!$A:$J,2,FALSE)</f>
        <v>Obesity</v>
      </c>
      <c r="E1001">
        <f>VLOOKUP($A1001,'Medical Examinations'!$A:$J,4,FALSE)</f>
        <v>4.1500000000000004</v>
      </c>
      <c r="F1001" t="str">
        <f>VLOOKUP($A1001,'Medical Examinations'!$A:$J,6,FALSE)</f>
        <v>No</v>
      </c>
      <c r="G1001" t="str">
        <f>VLOOKUP($A1001,'Medical Examinations'!$A:$J,7,FALSE)</f>
        <v>No</v>
      </c>
      <c r="H1001" t="str">
        <f>VLOOKUP($A1001,'Medical Examinations'!$A:$J,8,FALSE)</f>
        <v>No</v>
      </c>
      <c r="I1001">
        <f>VLOOKUP($A1001,'Medical Examinations'!$A:$J,9,FALSE)</f>
        <v>0</v>
      </c>
      <c r="J1001" t="str">
        <f>VLOOKUP($A1001,'Medical Examinations'!$A:$J,10,FALSE)</f>
        <v>No</v>
      </c>
      <c r="K1001" t="str">
        <f>VLOOKUP($A1001,'Medical Examinations'!$A:$J,5,FALSE)</f>
        <v>Normal</v>
      </c>
      <c r="L1001">
        <f>VLOOKUP($A1002,'Medical Examinations'!$A:$J,3,FALSE)</f>
        <v>26.41</v>
      </c>
      <c r="M1001">
        <f>VLOOKUP($A1001,'Hospitalisation Details'!$A:$K,6,FALSE)</f>
        <v>11250.43</v>
      </c>
      <c r="N1001" s="11">
        <f>VLOOKUP($B1001,'Hospitalisation Details'!A1000:J3344,10,0)</f>
        <v>24633</v>
      </c>
      <c r="O1001" t="str">
        <f>VLOOKUP($B1001,'Hospitalisation Details'!A1000:J3344,8,0)</f>
        <v>tier - 1</v>
      </c>
      <c r="P1001" t="str">
        <f>VLOOKUP($B1001,'Hospitalisation Details'!A1000:J3344,7,0)</f>
        <v>tier - 3</v>
      </c>
      <c r="Q1001" t="str">
        <f>VLOOKUP($B1001,'Hospitalisation Details'!A1000:J3344,9,0)</f>
        <v>R1012</v>
      </c>
      <c r="R1001">
        <f>VLOOKUP($B1001,'Hospitalisation Details'!A1000:K3344,11,0)</f>
        <v>55</v>
      </c>
    </row>
    <row r="1002" spans="1:18" x14ac:dyDescent="0.35">
      <c r="A1002" t="s">
        <v>1370</v>
      </c>
      <c r="B1002" t="s">
        <v>1033</v>
      </c>
      <c r="C1002" t="str">
        <f>VLOOKUP($A1002,'Customer Names'!$A:$E,4,FALSE)</f>
        <v>Patrick</v>
      </c>
      <c r="D1002" t="str">
        <f>VLOOKUP($A1002,'Medical Examinations'!$A:$J,2,FALSE)</f>
        <v>Overweight</v>
      </c>
      <c r="E1002">
        <f>VLOOKUP($A1002,'Medical Examinations'!$A:$J,4,FALSE)</f>
        <v>5.99</v>
      </c>
      <c r="F1002" t="str">
        <f>VLOOKUP($A1002,'Medical Examinations'!$A:$J,6,FALSE)</f>
        <v>yes</v>
      </c>
      <c r="G1002" t="str">
        <f>VLOOKUP($A1002,'Medical Examinations'!$A:$J,7,FALSE)</f>
        <v>No</v>
      </c>
      <c r="H1002" t="str">
        <f>VLOOKUP($A1002,'Medical Examinations'!$A:$J,8,FALSE)</f>
        <v>Yes</v>
      </c>
      <c r="I1002">
        <f>VLOOKUP($A1002,'Medical Examinations'!$A:$J,9,FALSE)</f>
        <v>1</v>
      </c>
      <c r="J1002" t="str">
        <f>VLOOKUP($A1002,'Medical Examinations'!$A:$J,10,FALSE)</f>
        <v>No</v>
      </c>
      <c r="K1002" t="str">
        <f>VLOOKUP($A1002,'Medical Examinations'!$A:$J,5,FALSE)</f>
        <v>Prediabetes</v>
      </c>
      <c r="L1002">
        <f>VLOOKUP($A1003,'Medical Examinations'!$A:$J,3,FALSE)</f>
        <v>30.63</v>
      </c>
      <c r="M1002">
        <f>VLOOKUP($A1002,'Hospitalisation Details'!$A:$K,6,FALSE)</f>
        <v>11244.38</v>
      </c>
      <c r="N1002" s="11">
        <f>VLOOKUP($B1002,'Hospitalisation Details'!A1001:J3345,10,0)</f>
        <v>26948</v>
      </c>
      <c r="O1002" t="str">
        <f>VLOOKUP($B1002,'Hospitalisation Details'!A1001:J3345,8,0)</f>
        <v>tier - 2</v>
      </c>
      <c r="P1002" t="str">
        <f>VLOOKUP($B1002,'Hospitalisation Details'!A1001:J3345,7,0)</f>
        <v>tier - 2</v>
      </c>
      <c r="Q1002" t="str">
        <f>VLOOKUP($B1002,'Hospitalisation Details'!A1001:J3345,9,0)</f>
        <v>R1013</v>
      </c>
      <c r="R1002">
        <f>VLOOKUP($B1002,'Hospitalisation Details'!A1001:K3345,11,0)</f>
        <v>49</v>
      </c>
    </row>
    <row r="1003" spans="1:18" x14ac:dyDescent="0.35">
      <c r="A1003" t="s">
        <v>1369</v>
      </c>
      <c r="B1003" t="s">
        <v>1034</v>
      </c>
      <c r="C1003" t="str">
        <f>VLOOKUP($A1003,'Customer Names'!$A:$E,4,FALSE)</f>
        <v>Krista</v>
      </c>
      <c r="D1003" t="str">
        <f>VLOOKUP($A1003,'Medical Examinations'!$A:$J,2,FALSE)</f>
        <v>Obesity</v>
      </c>
      <c r="E1003">
        <f>VLOOKUP($A1003,'Medical Examinations'!$A:$J,4,FALSE)</f>
        <v>5.8</v>
      </c>
      <c r="F1003" t="str">
        <f>VLOOKUP($A1003,'Medical Examinations'!$A:$J,6,FALSE)</f>
        <v>yes</v>
      </c>
      <c r="G1003" t="str">
        <f>VLOOKUP($A1003,'Medical Examinations'!$A:$J,7,FALSE)</f>
        <v>No</v>
      </c>
      <c r="H1003" t="str">
        <f>VLOOKUP($A1003,'Medical Examinations'!$A:$J,8,FALSE)</f>
        <v>No</v>
      </c>
      <c r="I1003">
        <f>VLOOKUP($A1003,'Medical Examinations'!$A:$J,9,FALSE)</f>
        <v>0</v>
      </c>
      <c r="J1003" t="str">
        <f>VLOOKUP($A1003,'Medical Examinations'!$A:$J,10,FALSE)</f>
        <v>No</v>
      </c>
      <c r="K1003" t="str">
        <f>VLOOKUP($A1003,'Medical Examinations'!$A:$J,5,FALSE)</f>
        <v>Prediabetes</v>
      </c>
      <c r="L1003">
        <f>VLOOKUP($A1004,'Medical Examinations'!$A:$J,3,FALSE)</f>
        <v>31.73</v>
      </c>
      <c r="M1003">
        <f>VLOOKUP($A1003,'Hospitalisation Details'!$A:$K,6,FALSE)</f>
        <v>11217.35</v>
      </c>
      <c r="N1003" s="11">
        <f>VLOOKUP($B1003,'Hospitalisation Details'!A1002:J3346,10,0)</f>
        <v>28734</v>
      </c>
      <c r="O1003" t="str">
        <f>VLOOKUP($B1003,'Hospitalisation Details'!A1002:J3346,8,0)</f>
        <v>tier - 1</v>
      </c>
      <c r="P1003" t="str">
        <f>VLOOKUP($B1003,'Hospitalisation Details'!A1002:J3346,7,0)</f>
        <v>tier - 3</v>
      </c>
      <c r="Q1003" t="str">
        <f>VLOOKUP($B1003,'Hospitalisation Details'!A1002:J3346,9,0)</f>
        <v>R1012</v>
      </c>
      <c r="R1003">
        <f>VLOOKUP($B1003,'Hospitalisation Details'!A1002:K3346,11,0)</f>
        <v>44</v>
      </c>
    </row>
    <row r="1004" spans="1:18" x14ac:dyDescent="0.35">
      <c r="A1004" t="s">
        <v>1368</v>
      </c>
      <c r="B1004" t="s">
        <v>1035</v>
      </c>
      <c r="C1004" t="str">
        <f>VLOOKUP($A1004,'Customer Names'!$A:$E,4,FALSE)</f>
        <v>Jenessa</v>
      </c>
      <c r="D1004" t="str">
        <f>VLOOKUP($A1004,'Medical Examinations'!$A:$J,2,FALSE)</f>
        <v>Obesity</v>
      </c>
      <c r="E1004">
        <f>VLOOKUP($A1004,'Medical Examinations'!$A:$J,4,FALSE)</f>
        <v>7.32</v>
      </c>
      <c r="F1004" t="str">
        <f>VLOOKUP($A1004,'Medical Examinations'!$A:$J,6,FALSE)</f>
        <v>yes</v>
      </c>
      <c r="G1004" t="str">
        <f>VLOOKUP($A1004,'Medical Examinations'!$A:$J,7,FALSE)</f>
        <v>No</v>
      </c>
      <c r="H1004" t="str">
        <f>VLOOKUP($A1004,'Medical Examinations'!$A:$J,8,FALSE)</f>
        <v>No</v>
      </c>
      <c r="I1004">
        <f>VLOOKUP($A1004,'Medical Examinations'!$A:$J,9,FALSE)</f>
        <v>2</v>
      </c>
      <c r="J1004" t="str">
        <f>VLOOKUP($A1004,'Medical Examinations'!$A:$J,10,FALSE)</f>
        <v>No</v>
      </c>
      <c r="K1004" t="str">
        <f>VLOOKUP($A1004,'Medical Examinations'!$A:$J,5,FALSE)</f>
        <v>Diabetes</v>
      </c>
      <c r="L1004">
        <f>VLOOKUP($A1005,'Medical Examinations'!$A:$J,3,FALSE)</f>
        <v>30.7</v>
      </c>
      <c r="M1004">
        <f>VLOOKUP($A1004,'Hospitalisation Details'!$A:$K,6,FALSE)</f>
        <v>11187.66</v>
      </c>
      <c r="N1004" s="11">
        <f>VLOOKUP($B1004,'Hospitalisation Details'!A1003:J3347,10,0)</f>
        <v>27014</v>
      </c>
      <c r="O1004" t="str">
        <f>VLOOKUP($B1004,'Hospitalisation Details'!A1003:J3347,8,0)</f>
        <v>tier - 1</v>
      </c>
      <c r="P1004" t="str">
        <f>VLOOKUP($B1004,'Hospitalisation Details'!A1003:J3347,7,0)</f>
        <v>tier - 3</v>
      </c>
      <c r="Q1004" t="str">
        <f>VLOOKUP($B1004,'Hospitalisation Details'!A1003:J3347,9,0)</f>
        <v>R1011</v>
      </c>
      <c r="R1004">
        <f>VLOOKUP($B1004,'Hospitalisation Details'!A1003:K3347,11,0)</f>
        <v>49</v>
      </c>
    </row>
    <row r="1005" spans="1:18" x14ac:dyDescent="0.35">
      <c r="A1005" t="s">
        <v>1367</v>
      </c>
      <c r="B1005" t="s">
        <v>1036</v>
      </c>
      <c r="C1005" t="str">
        <f>VLOOKUP($A1005,'Customer Names'!$A:$E,4,FALSE)</f>
        <v>Ryan M.</v>
      </c>
      <c r="D1005" t="str">
        <f>VLOOKUP($A1005,'Medical Examinations'!$A:$J,2,FALSE)</f>
        <v>Obesity</v>
      </c>
      <c r="E1005">
        <f>VLOOKUP($A1005,'Medical Examinations'!$A:$J,4,FALSE)</f>
        <v>5.16</v>
      </c>
      <c r="F1005" t="str">
        <f>VLOOKUP($A1005,'Medical Examinations'!$A:$J,6,FALSE)</f>
        <v>No</v>
      </c>
      <c r="G1005" t="str">
        <f>VLOOKUP($A1005,'Medical Examinations'!$A:$J,7,FALSE)</f>
        <v>No</v>
      </c>
      <c r="H1005" t="str">
        <f>VLOOKUP($A1005,'Medical Examinations'!$A:$J,8,FALSE)</f>
        <v>No</v>
      </c>
      <c r="I1005">
        <f>VLOOKUP($A1005,'Medical Examinations'!$A:$J,9,FALSE)</f>
        <v>2</v>
      </c>
      <c r="J1005" t="str">
        <f>VLOOKUP($A1005,'Medical Examinations'!$A:$J,10,FALSE)</f>
        <v>No</v>
      </c>
      <c r="K1005" t="str">
        <f>VLOOKUP($A1005,'Medical Examinations'!$A:$J,5,FALSE)</f>
        <v>Normal</v>
      </c>
      <c r="L1005">
        <f>VLOOKUP($A1006,'Medical Examinations'!$A:$J,3,FALSE)</f>
        <v>25.934999999999999</v>
      </c>
      <c r="M1005">
        <f>VLOOKUP($A1005,'Hospitalisation Details'!$A:$K,6,FALSE)</f>
        <v>11186.2</v>
      </c>
      <c r="N1005" s="11">
        <f>VLOOKUP($B1005,'Hospitalisation Details'!A1004:J3348,10,0)</f>
        <v>26906</v>
      </c>
      <c r="O1005" t="str">
        <f>VLOOKUP($B1005,'Hospitalisation Details'!A1004:J3348,8,0)</f>
        <v>tier - 1</v>
      </c>
      <c r="P1005" t="str">
        <f>VLOOKUP($B1005,'Hospitalisation Details'!A1004:J3348,7,0)</f>
        <v>tier - 3</v>
      </c>
      <c r="Q1005" t="str">
        <f>VLOOKUP($B1005,'Hospitalisation Details'!A1004:J3348,9,0)</f>
        <v>R1013</v>
      </c>
      <c r="R1005">
        <f>VLOOKUP($B1005,'Hospitalisation Details'!A1004:K3348,11,0)</f>
        <v>49</v>
      </c>
    </row>
    <row r="1006" spans="1:18" x14ac:dyDescent="0.35">
      <c r="A1006" t="s">
        <v>1366</v>
      </c>
      <c r="B1006" t="s">
        <v>1037</v>
      </c>
      <c r="C1006" t="str">
        <f>VLOOKUP($A1006,'Customer Names'!$A:$E,4,FALSE)</f>
        <v>Thomas</v>
      </c>
      <c r="D1006" t="str">
        <f>VLOOKUP($A1006,'Medical Examinations'!$A:$J,2,FALSE)</f>
        <v>Overweight</v>
      </c>
      <c r="E1006">
        <f>VLOOKUP($A1006,'Medical Examinations'!$A:$J,4,FALSE)</f>
        <v>5.96</v>
      </c>
      <c r="F1006" t="str">
        <f>VLOOKUP($A1006,'Medical Examinations'!$A:$J,6,FALSE)</f>
        <v>yes</v>
      </c>
      <c r="G1006" t="str">
        <f>VLOOKUP($A1006,'Medical Examinations'!$A:$J,7,FALSE)</f>
        <v>No</v>
      </c>
      <c r="H1006" t="str">
        <f>VLOOKUP($A1006,'Medical Examinations'!$A:$J,8,FALSE)</f>
        <v>No</v>
      </c>
      <c r="I1006">
        <f>VLOOKUP($A1006,'Medical Examinations'!$A:$J,9,FALSE)</f>
        <v>2</v>
      </c>
      <c r="J1006" t="str">
        <f>VLOOKUP($A1006,'Medical Examinations'!$A:$J,10,FALSE)</f>
        <v>No</v>
      </c>
      <c r="K1006" t="str">
        <f>VLOOKUP($A1006,'Medical Examinations'!$A:$J,5,FALSE)</f>
        <v>Prediabetes</v>
      </c>
      <c r="L1006">
        <f>VLOOKUP($A1007,'Medical Examinations'!$A:$J,3,FALSE)</f>
        <v>35.9</v>
      </c>
      <c r="M1006">
        <f>VLOOKUP($A1006,'Hospitalisation Details'!$A:$K,6,FALSE)</f>
        <v>11165.42</v>
      </c>
      <c r="N1006" s="11">
        <f>VLOOKUP($B1006,'Hospitalisation Details'!A1005:J3349,10,0)</f>
        <v>26910</v>
      </c>
      <c r="O1006" t="str">
        <f>VLOOKUP($B1006,'Hospitalisation Details'!A1005:J3349,8,0)</f>
        <v>tier - 2</v>
      </c>
      <c r="P1006" t="str">
        <f>VLOOKUP($B1006,'Hospitalisation Details'!A1005:J3349,7,0)</f>
        <v>tier - 2</v>
      </c>
      <c r="Q1006" t="str">
        <f>VLOOKUP($B1006,'Hospitalisation Details'!A1005:J3349,9,0)</f>
        <v>R1013</v>
      </c>
      <c r="R1006">
        <f>VLOOKUP($B1006,'Hospitalisation Details'!A1005:K3349,11,0)</f>
        <v>49</v>
      </c>
    </row>
    <row r="1007" spans="1:18" x14ac:dyDescent="0.35">
      <c r="A1007" t="s">
        <v>1365</v>
      </c>
      <c r="B1007" t="s">
        <v>1038</v>
      </c>
      <c r="C1007" t="str">
        <f>VLOOKUP($A1007,'Customer Names'!$A:$E,4,FALSE)</f>
        <v>Amanda N.</v>
      </c>
      <c r="D1007" t="str">
        <f>VLOOKUP($A1007,'Medical Examinations'!$A:$J,2,FALSE)</f>
        <v>Obesity</v>
      </c>
      <c r="E1007">
        <f>VLOOKUP($A1007,'Medical Examinations'!$A:$J,4,FALSE)</f>
        <v>4.8499999999999996</v>
      </c>
      <c r="F1007" t="str">
        <f>VLOOKUP($A1007,'Medical Examinations'!$A:$J,6,FALSE)</f>
        <v>yes</v>
      </c>
      <c r="G1007" t="str">
        <f>VLOOKUP($A1007,'Medical Examinations'!$A:$J,7,FALSE)</f>
        <v>No</v>
      </c>
      <c r="H1007" t="str">
        <f>VLOOKUP($A1007,'Medical Examinations'!$A:$J,8,FALSE)</f>
        <v>Yes</v>
      </c>
      <c r="I1007">
        <f>VLOOKUP($A1007,'Medical Examinations'!$A:$J,9,FALSE)</f>
        <v>1</v>
      </c>
      <c r="J1007" t="str">
        <f>VLOOKUP($A1007,'Medical Examinations'!$A:$J,10,FALSE)</f>
        <v>No</v>
      </c>
      <c r="K1007" t="str">
        <f>VLOOKUP($A1007,'Medical Examinations'!$A:$J,5,FALSE)</f>
        <v>Normal</v>
      </c>
      <c r="L1007">
        <f>VLOOKUP($A1008,'Medical Examinations'!$A:$J,3,FALSE)</f>
        <v>26.7</v>
      </c>
      <c r="M1007">
        <f>VLOOKUP($A1007,'Hospitalisation Details'!$A:$K,6,FALSE)</f>
        <v>11163.57</v>
      </c>
      <c r="N1007" s="11">
        <f>VLOOKUP($B1007,'Hospitalisation Details'!A1006:J3350,10,0)</f>
        <v>33045</v>
      </c>
      <c r="O1007" t="str">
        <f>VLOOKUP($B1007,'Hospitalisation Details'!A1006:J3350,8,0)</f>
        <v>tier - 3</v>
      </c>
      <c r="P1007" t="str">
        <f>VLOOKUP($B1007,'Hospitalisation Details'!A1006:J3350,7,0)</f>
        <v>tier - 2</v>
      </c>
      <c r="Q1007" t="str">
        <f>VLOOKUP($B1007,'Hospitalisation Details'!A1006:J3350,9,0)</f>
        <v>R1025</v>
      </c>
      <c r="R1007">
        <f>VLOOKUP($B1007,'Hospitalisation Details'!A1006:K3350,11,0)</f>
        <v>32</v>
      </c>
    </row>
    <row r="1008" spans="1:18" x14ac:dyDescent="0.35">
      <c r="A1008" t="s">
        <v>1364</v>
      </c>
      <c r="B1008" t="s">
        <v>1039</v>
      </c>
      <c r="C1008" t="str">
        <f>VLOOKUP($A1008,'Customer Names'!$A:$E,4,FALSE)</f>
        <v>Teresa P.</v>
      </c>
      <c r="D1008" t="str">
        <f>VLOOKUP($A1008,'Medical Examinations'!$A:$J,2,FALSE)</f>
        <v>Overweight</v>
      </c>
      <c r="E1008">
        <f>VLOOKUP($A1008,'Medical Examinations'!$A:$J,4,FALSE)</f>
        <v>5.09</v>
      </c>
      <c r="F1008" t="str">
        <f>VLOOKUP($A1008,'Medical Examinations'!$A:$J,6,FALSE)</f>
        <v>yes</v>
      </c>
      <c r="G1008" t="str">
        <f>VLOOKUP($A1008,'Medical Examinations'!$A:$J,7,FALSE)</f>
        <v>No</v>
      </c>
      <c r="H1008" t="str">
        <f>VLOOKUP($A1008,'Medical Examinations'!$A:$J,8,FALSE)</f>
        <v>Yes</v>
      </c>
      <c r="I1008">
        <f>VLOOKUP($A1008,'Medical Examinations'!$A:$J,9,FALSE)</f>
        <v>1</v>
      </c>
      <c r="J1008" t="str">
        <f>VLOOKUP($A1008,'Medical Examinations'!$A:$J,10,FALSE)</f>
        <v>No</v>
      </c>
      <c r="K1008" t="str">
        <f>VLOOKUP($A1008,'Medical Examinations'!$A:$J,5,FALSE)</f>
        <v>Normal</v>
      </c>
      <c r="L1008">
        <f>VLOOKUP($A1009,'Medical Examinations'!$A:$J,3,FALSE)</f>
        <v>33.71</v>
      </c>
      <c r="M1008">
        <f>VLOOKUP($A1008,'Hospitalisation Details'!$A:$K,6,FALSE)</f>
        <v>11150.78</v>
      </c>
      <c r="N1008" s="11">
        <f>VLOOKUP($B1008,'Hospitalisation Details'!A1007:J3351,10,0)</f>
        <v>30130</v>
      </c>
      <c r="O1008" t="str">
        <f>VLOOKUP($B1008,'Hospitalisation Details'!A1007:J3351,8,0)</f>
        <v>tier - 3</v>
      </c>
      <c r="P1008" t="str">
        <f>VLOOKUP($B1008,'Hospitalisation Details'!A1007:J3351,7,0)</f>
        <v>tier - 3</v>
      </c>
      <c r="Q1008" t="str">
        <f>VLOOKUP($B1008,'Hospitalisation Details'!A1007:J3351,9,0)</f>
        <v>R1012</v>
      </c>
      <c r="R1008">
        <f>VLOOKUP($B1008,'Hospitalisation Details'!A1007:K3351,11,0)</f>
        <v>40</v>
      </c>
    </row>
    <row r="1009" spans="1:18" x14ac:dyDescent="0.35">
      <c r="A1009" t="s">
        <v>1363</v>
      </c>
      <c r="B1009" t="s">
        <v>1040</v>
      </c>
      <c r="C1009" t="str">
        <f>VLOOKUP($A1009,'Customer Names'!$A:$E,4,FALSE)</f>
        <v>Dorian</v>
      </c>
      <c r="D1009" t="str">
        <f>VLOOKUP($A1009,'Medical Examinations'!$A:$J,2,FALSE)</f>
        <v>Obesity</v>
      </c>
      <c r="E1009">
        <f>VLOOKUP($A1009,'Medical Examinations'!$A:$J,4,FALSE)</f>
        <v>4.9400000000000004</v>
      </c>
      <c r="F1009" t="str">
        <f>VLOOKUP($A1009,'Medical Examinations'!$A:$J,6,FALSE)</f>
        <v>No</v>
      </c>
      <c r="G1009" t="str">
        <f>VLOOKUP($A1009,'Medical Examinations'!$A:$J,7,FALSE)</f>
        <v>No</v>
      </c>
      <c r="H1009" t="str">
        <f>VLOOKUP($A1009,'Medical Examinations'!$A:$J,8,FALSE)</f>
        <v>No</v>
      </c>
      <c r="I1009">
        <f>VLOOKUP($A1009,'Medical Examinations'!$A:$J,9,FALSE)</f>
        <v>0</v>
      </c>
      <c r="J1009" t="str">
        <f>VLOOKUP($A1009,'Medical Examinations'!$A:$J,10,FALSE)</f>
        <v>No</v>
      </c>
      <c r="K1009" t="str">
        <f>VLOOKUP($A1009,'Medical Examinations'!$A:$J,5,FALSE)</f>
        <v>Normal</v>
      </c>
      <c r="L1009">
        <f>VLOOKUP($A1010,'Medical Examinations'!$A:$J,3,FALSE)</f>
        <v>41.91</v>
      </c>
      <c r="M1009">
        <f>VLOOKUP($A1009,'Hospitalisation Details'!$A:$K,6,FALSE)</f>
        <v>11103.33</v>
      </c>
      <c r="N1009" s="11">
        <f>VLOOKUP($B1009,'Hospitalisation Details'!A1008:J3352,10,0)</f>
        <v>23320</v>
      </c>
      <c r="O1009" t="str">
        <f>VLOOKUP($B1009,'Hospitalisation Details'!A1008:J3352,8,0)</f>
        <v>tier - 1</v>
      </c>
      <c r="P1009" t="str">
        <f>VLOOKUP($B1009,'Hospitalisation Details'!A1008:J3352,7,0)</f>
        <v>tier - 3</v>
      </c>
      <c r="Q1009" t="str">
        <f>VLOOKUP($B1009,'Hospitalisation Details'!A1008:J3352,9,0)</f>
        <v>R1013</v>
      </c>
      <c r="R1009">
        <f>VLOOKUP($B1009,'Hospitalisation Details'!A1008:K3352,11,0)</f>
        <v>59</v>
      </c>
    </row>
    <row r="1010" spans="1:18" x14ac:dyDescent="0.35">
      <c r="A1010" t="s">
        <v>1362</v>
      </c>
      <c r="B1010" t="s">
        <v>1041</v>
      </c>
      <c r="C1010" t="str">
        <f>VLOOKUP($A1010,'Customer Names'!$A:$E,4,FALSE)</f>
        <v>Amy</v>
      </c>
      <c r="D1010" t="str">
        <f>VLOOKUP($A1010,'Medical Examinations'!$A:$J,2,FALSE)</f>
        <v>Obesity</v>
      </c>
      <c r="E1010">
        <f>VLOOKUP($A1010,'Medical Examinations'!$A:$J,4,FALSE)</f>
        <v>4.92</v>
      </c>
      <c r="F1010" t="str">
        <f>VLOOKUP($A1010,'Medical Examinations'!$A:$J,6,FALSE)</f>
        <v>yes</v>
      </c>
      <c r="G1010" t="str">
        <f>VLOOKUP($A1010,'Medical Examinations'!$A:$J,7,FALSE)</f>
        <v>No</v>
      </c>
      <c r="H1010" t="str">
        <f>VLOOKUP($A1010,'Medical Examinations'!$A:$J,8,FALSE)</f>
        <v>No</v>
      </c>
      <c r="I1010">
        <f>VLOOKUP($A1010,'Medical Examinations'!$A:$J,9,FALSE)</f>
        <v>2</v>
      </c>
      <c r="J1010" t="str">
        <f>VLOOKUP($A1010,'Medical Examinations'!$A:$J,10,FALSE)</f>
        <v>No</v>
      </c>
      <c r="K1010" t="str">
        <f>VLOOKUP($A1010,'Medical Examinations'!$A:$J,5,FALSE)</f>
        <v>Normal</v>
      </c>
      <c r="L1010">
        <f>VLOOKUP($A1011,'Medical Examinations'!$A:$J,3,FALSE)</f>
        <v>39.82</v>
      </c>
      <c r="M1010">
        <f>VLOOKUP($A1010,'Hospitalisation Details'!$A:$K,6,FALSE)</f>
        <v>11093.62</v>
      </c>
      <c r="N1010" s="11">
        <f>VLOOKUP($B1010,'Hospitalisation Details'!A1009:J3353,10,0)</f>
        <v>30475</v>
      </c>
      <c r="O1010" t="str">
        <f>VLOOKUP($B1010,'Hospitalisation Details'!A1009:J3353,8,0)</f>
        <v>tier - 2</v>
      </c>
      <c r="P1010" t="str">
        <f>VLOOKUP($B1010,'Hospitalisation Details'!A1009:J3353,7,0)</f>
        <v>tier - 2</v>
      </c>
      <c r="Q1010" t="str">
        <f>VLOOKUP($B1010,'Hospitalisation Details'!A1009:J3353,9,0)</f>
        <v>R1020</v>
      </c>
      <c r="R1010">
        <f>VLOOKUP($B1010,'Hospitalisation Details'!A1009:K3353,11,0)</f>
        <v>40</v>
      </c>
    </row>
    <row r="1011" spans="1:18" x14ac:dyDescent="0.35">
      <c r="A1011" t="s">
        <v>1361</v>
      </c>
      <c r="B1011" t="s">
        <v>1042</v>
      </c>
      <c r="C1011" t="str">
        <f>VLOOKUP($A1011,'Customer Names'!$A:$E,4,FALSE)</f>
        <v>Aberu</v>
      </c>
      <c r="D1011" t="str">
        <f>VLOOKUP($A1011,'Medical Examinations'!$A:$J,2,FALSE)</f>
        <v>Obesity</v>
      </c>
      <c r="E1011">
        <f>VLOOKUP($A1011,'Medical Examinations'!$A:$J,4,FALSE)</f>
        <v>6.05</v>
      </c>
      <c r="F1011" t="str">
        <f>VLOOKUP($A1011,'Medical Examinations'!$A:$J,6,FALSE)</f>
        <v>yes</v>
      </c>
      <c r="G1011" t="str">
        <f>VLOOKUP($A1011,'Medical Examinations'!$A:$J,7,FALSE)</f>
        <v>No</v>
      </c>
      <c r="H1011" t="str">
        <f>VLOOKUP($A1011,'Medical Examinations'!$A:$J,8,FALSE)</f>
        <v>No</v>
      </c>
      <c r="I1011">
        <f>VLOOKUP($A1011,'Medical Examinations'!$A:$J,9,FALSE)</f>
        <v>2</v>
      </c>
      <c r="J1011" t="str">
        <f>VLOOKUP($A1011,'Medical Examinations'!$A:$J,10,FALSE)</f>
        <v>No</v>
      </c>
      <c r="K1011" t="str">
        <f>VLOOKUP($A1011,'Medical Examinations'!$A:$J,5,FALSE)</f>
        <v>Prediabetes</v>
      </c>
      <c r="L1011">
        <f>VLOOKUP($A1012,'Medical Examinations'!$A:$J,3,FALSE)</f>
        <v>28.12</v>
      </c>
      <c r="M1011">
        <f>VLOOKUP($A1011,'Hospitalisation Details'!$A:$K,6,FALSE)</f>
        <v>11090.72</v>
      </c>
      <c r="N1011" s="11">
        <f>VLOOKUP($B1011,'Hospitalisation Details'!A1010:J3354,10,0)</f>
        <v>35724</v>
      </c>
      <c r="O1011" t="str">
        <f>VLOOKUP($B1011,'Hospitalisation Details'!A1010:J3354,8,0)</f>
        <v>tier - 1</v>
      </c>
      <c r="P1011" t="str">
        <f>VLOOKUP($B1011,'Hospitalisation Details'!A1010:J3354,7,0)</f>
        <v>tier - 2</v>
      </c>
      <c r="Q1011" t="str">
        <f>VLOOKUP($B1011,'Hospitalisation Details'!A1010:J3354,9,0)</f>
        <v>R1026</v>
      </c>
      <c r="R1011">
        <f>VLOOKUP($B1011,'Hospitalisation Details'!A1010:K3354,11,0)</f>
        <v>25</v>
      </c>
    </row>
    <row r="1012" spans="1:18" x14ac:dyDescent="0.35">
      <c r="A1012" t="s">
        <v>1360</v>
      </c>
      <c r="B1012" t="s">
        <v>1043</v>
      </c>
      <c r="C1012" t="str">
        <f>VLOOKUP($A1012,'Customer Names'!$A:$E,4,FALSE)</f>
        <v>Ashley</v>
      </c>
      <c r="D1012" t="str">
        <f>VLOOKUP($A1012,'Medical Examinations'!$A:$J,2,FALSE)</f>
        <v>Overweight</v>
      </c>
      <c r="E1012">
        <f>VLOOKUP($A1012,'Medical Examinations'!$A:$J,4,FALSE)</f>
        <v>4.67</v>
      </c>
      <c r="F1012" t="str">
        <f>VLOOKUP($A1012,'Medical Examinations'!$A:$J,6,FALSE)</f>
        <v>No</v>
      </c>
      <c r="G1012" t="str">
        <f>VLOOKUP($A1012,'Medical Examinations'!$A:$J,7,FALSE)</f>
        <v>No</v>
      </c>
      <c r="H1012" t="str">
        <f>VLOOKUP($A1012,'Medical Examinations'!$A:$J,8,FALSE)</f>
        <v>No</v>
      </c>
      <c r="I1012">
        <f>VLOOKUP($A1012,'Medical Examinations'!$A:$J,9,FALSE)</f>
        <v>2</v>
      </c>
      <c r="J1012" t="str">
        <f>VLOOKUP($A1012,'Medical Examinations'!$A:$J,10,FALSE)</f>
        <v>No</v>
      </c>
      <c r="K1012" t="str">
        <f>VLOOKUP($A1012,'Medical Examinations'!$A:$J,5,FALSE)</f>
        <v>Normal</v>
      </c>
      <c r="L1012">
        <f>VLOOKUP($A1013,'Medical Examinations'!$A:$J,3,FALSE)</f>
        <v>26.98</v>
      </c>
      <c r="M1012">
        <f>VLOOKUP($A1012,'Hospitalisation Details'!$A:$K,6,FALSE)</f>
        <v>11085.59</v>
      </c>
      <c r="N1012" s="11">
        <f>VLOOKUP($B1012,'Hospitalisation Details'!A1011:J3355,10,0)</f>
        <v>22973</v>
      </c>
      <c r="O1012" t="str">
        <f>VLOOKUP($B1012,'Hospitalisation Details'!A1011:J3355,8,0)</f>
        <v>tier - 3</v>
      </c>
      <c r="P1012" t="str">
        <f>VLOOKUP($B1012,'Hospitalisation Details'!A1011:J3355,7,0)</f>
        <v>tier - 3</v>
      </c>
      <c r="Q1012" t="str">
        <f>VLOOKUP($B1012,'Hospitalisation Details'!A1011:J3355,9,0)</f>
        <v>R1013</v>
      </c>
      <c r="R1012">
        <f>VLOOKUP($B1012,'Hospitalisation Details'!A1011:K3355,11,0)</f>
        <v>60</v>
      </c>
    </row>
    <row r="1013" spans="1:18" x14ac:dyDescent="0.35">
      <c r="A1013" t="s">
        <v>1359</v>
      </c>
      <c r="B1013" t="s">
        <v>1044</v>
      </c>
      <c r="C1013" t="str">
        <f>VLOOKUP($A1013,'Customer Names'!$A:$E,4,FALSE)</f>
        <v>Anna E</v>
      </c>
      <c r="D1013" t="str">
        <f>VLOOKUP($A1013,'Medical Examinations'!$A:$J,2,FALSE)</f>
        <v>Overweight</v>
      </c>
      <c r="E1013">
        <f>VLOOKUP($A1013,'Medical Examinations'!$A:$J,4,FALSE)</f>
        <v>9.81</v>
      </c>
      <c r="F1013" t="str">
        <f>VLOOKUP($A1013,'Medical Examinations'!$A:$J,6,FALSE)</f>
        <v>yes</v>
      </c>
      <c r="G1013" t="str">
        <f>VLOOKUP($A1013,'Medical Examinations'!$A:$J,7,FALSE)</f>
        <v>No</v>
      </c>
      <c r="H1013" t="str">
        <f>VLOOKUP($A1013,'Medical Examinations'!$A:$J,8,FALSE)</f>
        <v>No</v>
      </c>
      <c r="I1013">
        <f>VLOOKUP($A1013,'Medical Examinations'!$A:$J,9,FALSE)</f>
        <v>0</v>
      </c>
      <c r="J1013" t="str">
        <f>VLOOKUP($A1013,'Medical Examinations'!$A:$J,10,FALSE)</f>
        <v>No</v>
      </c>
      <c r="K1013" t="str">
        <f>VLOOKUP($A1013,'Medical Examinations'!$A:$J,5,FALSE)</f>
        <v>Diabetes</v>
      </c>
      <c r="L1013">
        <f>VLOOKUP($A1014,'Medical Examinations'!$A:$J,3,FALSE)</f>
        <v>27.2</v>
      </c>
      <c r="M1013">
        <f>VLOOKUP($A1013,'Hospitalisation Details'!$A:$K,6,FALSE)</f>
        <v>11082.58</v>
      </c>
      <c r="N1013" s="11">
        <f>VLOOKUP($B1013,'Hospitalisation Details'!A1012:J3356,10,0)</f>
        <v>28787</v>
      </c>
      <c r="O1013" t="str">
        <f>VLOOKUP($B1013,'Hospitalisation Details'!A1012:J3356,8,0)</f>
        <v>tier - 3</v>
      </c>
      <c r="P1013" t="str">
        <f>VLOOKUP($B1013,'Hospitalisation Details'!A1012:J3356,7,0)</f>
        <v>tier - 2</v>
      </c>
      <c r="Q1013" t="str">
        <f>VLOOKUP($B1013,'Hospitalisation Details'!A1012:J3356,9,0)</f>
        <v>R1013</v>
      </c>
      <c r="R1013">
        <f>VLOOKUP($B1013,'Hospitalisation Details'!A1012:K3356,11,0)</f>
        <v>44</v>
      </c>
    </row>
    <row r="1014" spans="1:18" x14ac:dyDescent="0.35">
      <c r="A1014" t="s">
        <v>1358</v>
      </c>
      <c r="B1014" t="s">
        <v>1045</v>
      </c>
      <c r="C1014" t="str">
        <f>VLOOKUP($A1014,'Customer Names'!$A:$E,4,FALSE)</f>
        <v>Tania K.</v>
      </c>
      <c r="D1014" t="str">
        <f>VLOOKUP($A1014,'Medical Examinations'!$A:$J,2,FALSE)</f>
        <v>Overweight</v>
      </c>
      <c r="E1014">
        <f>VLOOKUP($A1014,'Medical Examinations'!$A:$J,4,FALSE)</f>
        <v>6.06</v>
      </c>
      <c r="F1014" t="str">
        <f>VLOOKUP($A1014,'Medical Examinations'!$A:$J,6,FALSE)</f>
        <v>yes</v>
      </c>
      <c r="G1014" t="str">
        <f>VLOOKUP($A1014,'Medical Examinations'!$A:$J,7,FALSE)</f>
        <v>No</v>
      </c>
      <c r="H1014" t="str">
        <f>VLOOKUP($A1014,'Medical Examinations'!$A:$J,8,FALSE)</f>
        <v>No</v>
      </c>
      <c r="I1014">
        <f>VLOOKUP($A1014,'Medical Examinations'!$A:$J,9,FALSE)</f>
        <v>2</v>
      </c>
      <c r="J1014" t="str">
        <f>VLOOKUP($A1014,'Medical Examinations'!$A:$J,10,FALSE)</f>
        <v>No</v>
      </c>
      <c r="K1014" t="str">
        <f>VLOOKUP($A1014,'Medical Examinations'!$A:$J,5,FALSE)</f>
        <v>Prediabetes</v>
      </c>
      <c r="L1014">
        <f>VLOOKUP($A1015,'Medical Examinations'!$A:$J,3,FALSE)</f>
        <v>25.3</v>
      </c>
      <c r="M1014">
        <f>VLOOKUP($A1014,'Hospitalisation Details'!$A:$K,6,FALSE)</f>
        <v>11073.18</v>
      </c>
      <c r="N1014" s="11">
        <f>VLOOKUP($B1014,'Hospitalisation Details'!A1013:J3357,10,0)</f>
        <v>28671</v>
      </c>
      <c r="O1014" t="str">
        <f>VLOOKUP($B1014,'Hospitalisation Details'!A1013:J3357,8,0)</f>
        <v>tier - 2</v>
      </c>
      <c r="P1014" t="str">
        <f>VLOOKUP($B1014,'Hospitalisation Details'!A1013:J3357,7,0)</f>
        <v>tier - 2</v>
      </c>
      <c r="Q1014" t="str">
        <f>VLOOKUP($B1014,'Hospitalisation Details'!A1013:J3357,9,0)</f>
        <v>R1013</v>
      </c>
      <c r="R1014">
        <f>VLOOKUP($B1014,'Hospitalisation Details'!A1013:K3357,11,0)</f>
        <v>44</v>
      </c>
    </row>
    <row r="1015" spans="1:18" x14ac:dyDescent="0.35">
      <c r="A1015" t="s">
        <v>1357</v>
      </c>
      <c r="B1015" t="s">
        <v>1046</v>
      </c>
      <c r="C1015" t="str">
        <f>VLOOKUP($A1015,'Customer Names'!$A:$E,4,FALSE)</f>
        <v>Ashley E</v>
      </c>
      <c r="D1015" t="str">
        <f>VLOOKUP($A1015,'Medical Examinations'!$A:$J,2,FALSE)</f>
        <v>Overweight</v>
      </c>
      <c r="E1015">
        <f>VLOOKUP($A1015,'Medical Examinations'!$A:$J,4,FALSE)</f>
        <v>5.19</v>
      </c>
      <c r="F1015" t="str">
        <f>VLOOKUP($A1015,'Medical Examinations'!$A:$J,6,FALSE)</f>
        <v>yes</v>
      </c>
      <c r="G1015" t="str">
        <f>VLOOKUP($A1015,'Medical Examinations'!$A:$J,7,FALSE)</f>
        <v>No</v>
      </c>
      <c r="H1015" t="str">
        <f>VLOOKUP($A1015,'Medical Examinations'!$A:$J,8,FALSE)</f>
        <v>No</v>
      </c>
      <c r="I1015">
        <f>VLOOKUP($A1015,'Medical Examinations'!$A:$J,9,FALSE)</f>
        <v>2</v>
      </c>
      <c r="J1015" t="str">
        <f>VLOOKUP($A1015,'Medical Examinations'!$A:$J,10,FALSE)</f>
        <v>No</v>
      </c>
      <c r="K1015" t="str">
        <f>VLOOKUP($A1015,'Medical Examinations'!$A:$J,5,FALSE)</f>
        <v>Normal</v>
      </c>
      <c r="L1015">
        <f>VLOOKUP($A1016,'Medical Examinations'!$A:$J,3,FALSE)</f>
        <v>30.25</v>
      </c>
      <c r="M1015">
        <f>VLOOKUP($A1015,'Hospitalisation Details'!$A:$K,6,FALSE)</f>
        <v>11070.54</v>
      </c>
      <c r="N1015" s="11">
        <f>VLOOKUP($B1015,'Hospitalisation Details'!A1014:J3358,10,0)</f>
        <v>28006</v>
      </c>
      <c r="O1015" t="str">
        <f>VLOOKUP($B1015,'Hospitalisation Details'!A1014:J3358,8,0)</f>
        <v>tier - 3</v>
      </c>
      <c r="P1015" t="str">
        <f>VLOOKUP($B1015,'Hospitalisation Details'!A1014:J3358,7,0)</f>
        <v>tier - 2</v>
      </c>
      <c r="Q1015" t="str">
        <f>VLOOKUP($B1015,'Hospitalisation Details'!A1014:J3358,9,0)</f>
        <v>R1013</v>
      </c>
      <c r="R1015">
        <f>VLOOKUP($B1015,'Hospitalisation Details'!A1014:K3358,11,0)</f>
        <v>46</v>
      </c>
    </row>
    <row r="1016" spans="1:18" x14ac:dyDescent="0.35">
      <c r="A1016" t="s">
        <v>1356</v>
      </c>
      <c r="B1016" t="s">
        <v>1047</v>
      </c>
      <c r="C1016" t="str">
        <f>VLOOKUP($A1016,'Customer Names'!$A:$E,4,FALSE)</f>
        <v>Aleksandra</v>
      </c>
      <c r="D1016" t="str">
        <f>VLOOKUP($A1016,'Medical Examinations'!$A:$J,2,FALSE)</f>
        <v>Obesity</v>
      </c>
      <c r="E1016">
        <f>VLOOKUP($A1016,'Medical Examinations'!$A:$J,4,FALSE)</f>
        <v>10.16</v>
      </c>
      <c r="F1016" t="str">
        <f>VLOOKUP($A1016,'Medical Examinations'!$A:$J,6,FALSE)</f>
        <v>No</v>
      </c>
      <c r="G1016" t="str">
        <f>VLOOKUP($A1016,'Medical Examinations'!$A:$J,7,FALSE)</f>
        <v>No</v>
      </c>
      <c r="H1016" t="str">
        <f>VLOOKUP($A1016,'Medical Examinations'!$A:$J,8,FALSE)</f>
        <v>No</v>
      </c>
      <c r="I1016">
        <f>VLOOKUP($A1016,'Medical Examinations'!$A:$J,9,FALSE)</f>
        <v>0</v>
      </c>
      <c r="J1016" t="str">
        <f>VLOOKUP($A1016,'Medical Examinations'!$A:$J,10,FALSE)</f>
        <v>No</v>
      </c>
      <c r="K1016" t="str">
        <f>VLOOKUP($A1016,'Medical Examinations'!$A:$J,5,FALSE)</f>
        <v>Diabetes</v>
      </c>
      <c r="L1016">
        <f>VLOOKUP($A1017,'Medical Examinations'!$A:$J,3,FALSE)</f>
        <v>54</v>
      </c>
      <c r="M1016">
        <f>VLOOKUP($A1016,'Hospitalisation Details'!$A:$K,6,FALSE)</f>
        <v>11068.77</v>
      </c>
      <c r="N1016" s="11">
        <f>VLOOKUP($B1016,'Hospitalisation Details'!A1015:J3359,10,0)</f>
        <v>27941</v>
      </c>
      <c r="O1016" t="str">
        <f>VLOOKUP($B1016,'Hospitalisation Details'!A1015:J3359,8,0)</f>
        <v>tier - 2</v>
      </c>
      <c r="P1016" t="str">
        <f>VLOOKUP($B1016,'Hospitalisation Details'!A1015:J3359,7,0)</f>
        <v>tier - 2</v>
      </c>
      <c r="Q1016" t="str">
        <f>VLOOKUP($B1016,'Hospitalisation Details'!A1015:J3359,9,0)</f>
        <v>R1013</v>
      </c>
      <c r="R1016">
        <f>VLOOKUP($B1016,'Hospitalisation Details'!A1015:K3359,11,0)</f>
        <v>46</v>
      </c>
    </row>
    <row r="1017" spans="1:18" x14ac:dyDescent="0.35">
      <c r="A1017" t="s">
        <v>1355</v>
      </c>
      <c r="B1017" t="s">
        <v>1048</v>
      </c>
      <c r="C1017" t="str">
        <f>VLOOKUP($A1017,'Customer Names'!$A:$E,4,FALSE)</f>
        <v>Valery L</v>
      </c>
      <c r="D1017" t="str">
        <f>VLOOKUP($A1017,'Medical Examinations'!$A:$J,2,FALSE)</f>
        <v>Obesity</v>
      </c>
      <c r="E1017">
        <f>VLOOKUP($A1017,'Medical Examinations'!$A:$J,4,FALSE)</f>
        <v>4.68</v>
      </c>
      <c r="F1017" t="str">
        <f>VLOOKUP($A1017,'Medical Examinations'!$A:$J,6,FALSE)</f>
        <v>yes</v>
      </c>
      <c r="G1017" t="str">
        <f>VLOOKUP($A1017,'Medical Examinations'!$A:$J,7,FALSE)</f>
        <v>yes</v>
      </c>
      <c r="H1017" t="str">
        <f>VLOOKUP($A1017,'Medical Examinations'!$A:$J,8,FALSE)</f>
        <v>No</v>
      </c>
      <c r="I1017">
        <f>VLOOKUP($A1017,'Medical Examinations'!$A:$J,9,FALSE)</f>
        <v>2</v>
      </c>
      <c r="J1017" t="str">
        <f>VLOOKUP($A1017,'Medical Examinations'!$A:$J,10,FALSE)</f>
        <v>No</v>
      </c>
      <c r="K1017" t="str">
        <f>VLOOKUP($A1017,'Medical Examinations'!$A:$J,5,FALSE)</f>
        <v>Normal</v>
      </c>
      <c r="L1017">
        <f>VLOOKUP($A1018,'Medical Examinations'!$A:$J,3,FALSE)</f>
        <v>51.86</v>
      </c>
      <c r="M1017">
        <f>VLOOKUP($A1017,'Hospitalisation Details'!$A:$K,6,FALSE)</f>
        <v>11068.7</v>
      </c>
      <c r="N1017" s="11">
        <f>VLOOKUP($B1017,'Hospitalisation Details'!A1016:J3360,10,0)</f>
        <v>28005</v>
      </c>
      <c r="O1017" t="str">
        <f>VLOOKUP($B1017,'Hospitalisation Details'!A1016:J3360,8,0)</f>
        <v>tier - 2</v>
      </c>
      <c r="P1017" t="str">
        <f>VLOOKUP($B1017,'Hospitalisation Details'!A1016:J3360,7,0)</f>
        <v>tier - 2</v>
      </c>
      <c r="Q1017" t="str">
        <f>VLOOKUP($B1017,'Hospitalisation Details'!A1016:J3360,9,0)</f>
        <v>R1013</v>
      </c>
      <c r="R1017">
        <f>VLOOKUP($B1017,'Hospitalisation Details'!A1016:K3360,11,0)</f>
        <v>46</v>
      </c>
    </row>
    <row r="1018" spans="1:18" x14ac:dyDescent="0.35">
      <c r="A1018" t="s">
        <v>1354</v>
      </c>
      <c r="B1018" t="s">
        <v>1049</v>
      </c>
      <c r="C1018" t="str">
        <f>VLOOKUP($A1018,'Customer Names'!$A:$E,4,FALSE)</f>
        <v>Joanna G.</v>
      </c>
      <c r="D1018" t="str">
        <f>VLOOKUP($A1018,'Medical Examinations'!$A:$J,2,FALSE)</f>
        <v>Obesity</v>
      </c>
      <c r="E1018">
        <f>VLOOKUP($A1018,'Medical Examinations'!$A:$J,4,FALSE)</f>
        <v>5.32</v>
      </c>
      <c r="F1018" t="str">
        <f>VLOOKUP($A1018,'Medical Examinations'!$A:$J,6,FALSE)</f>
        <v>yes</v>
      </c>
      <c r="G1018" t="str">
        <f>VLOOKUP($A1018,'Medical Examinations'!$A:$J,7,FALSE)</f>
        <v>No</v>
      </c>
      <c r="H1018" t="str">
        <f>VLOOKUP($A1018,'Medical Examinations'!$A:$J,8,FALSE)</f>
        <v>No</v>
      </c>
      <c r="I1018">
        <f>VLOOKUP($A1018,'Medical Examinations'!$A:$J,9,FALSE)</f>
        <v>0</v>
      </c>
      <c r="J1018" t="str">
        <f>VLOOKUP($A1018,'Medical Examinations'!$A:$J,10,FALSE)</f>
        <v>No</v>
      </c>
      <c r="K1018" t="str">
        <f>VLOOKUP($A1018,'Medical Examinations'!$A:$J,5,FALSE)</f>
        <v>Normal</v>
      </c>
      <c r="L1018">
        <f>VLOOKUP($A1019,'Medical Examinations'!$A:$J,3,FALSE)</f>
        <v>31.39</v>
      </c>
      <c r="M1018">
        <f>VLOOKUP($A1018,'Hospitalisation Details'!$A:$K,6,FALSE)</f>
        <v>11046.02</v>
      </c>
      <c r="N1018" s="11">
        <f>VLOOKUP($B1018,'Hospitalisation Details'!A1017:J3361,10,0)</f>
        <v>30221</v>
      </c>
      <c r="O1018" t="str">
        <f>VLOOKUP($B1018,'Hospitalisation Details'!A1017:J3361,8,0)</f>
        <v>tier - 2</v>
      </c>
      <c r="P1018" t="str">
        <f>VLOOKUP($B1018,'Hospitalisation Details'!A1017:J3361,7,0)</f>
        <v>tier - 2</v>
      </c>
      <c r="Q1018" t="str">
        <f>VLOOKUP($B1018,'Hospitalisation Details'!A1017:J3361,9,0)</f>
        <v>R1024</v>
      </c>
      <c r="R1018">
        <f>VLOOKUP($B1018,'Hospitalisation Details'!A1017:K3361,11,0)</f>
        <v>40</v>
      </c>
    </row>
    <row r="1019" spans="1:18" x14ac:dyDescent="0.35">
      <c r="A1019" t="s">
        <v>1353</v>
      </c>
      <c r="B1019" t="s">
        <v>1050</v>
      </c>
      <c r="C1019" t="str">
        <f>VLOOKUP($A1019,'Customer Names'!$A:$E,4,FALSE)</f>
        <v>Stefanie F.</v>
      </c>
      <c r="D1019" t="str">
        <f>VLOOKUP($A1019,'Medical Examinations'!$A:$J,2,FALSE)</f>
        <v>Obesity</v>
      </c>
      <c r="E1019">
        <f>VLOOKUP($A1019,'Medical Examinations'!$A:$J,4,FALSE)</f>
        <v>6.99</v>
      </c>
      <c r="F1019" t="str">
        <f>VLOOKUP($A1019,'Medical Examinations'!$A:$J,6,FALSE)</f>
        <v>No</v>
      </c>
      <c r="G1019" t="str">
        <f>VLOOKUP($A1019,'Medical Examinations'!$A:$J,7,FALSE)</f>
        <v>No</v>
      </c>
      <c r="H1019" t="str">
        <f>VLOOKUP($A1019,'Medical Examinations'!$A:$J,8,FALSE)</f>
        <v>No</v>
      </c>
      <c r="I1019">
        <f>VLOOKUP($A1019,'Medical Examinations'!$A:$J,9,FALSE)</f>
        <v>0</v>
      </c>
      <c r="J1019" t="str">
        <f>VLOOKUP($A1019,'Medical Examinations'!$A:$J,10,FALSE)</f>
        <v>No</v>
      </c>
      <c r="K1019" t="str">
        <f>VLOOKUP($A1019,'Medical Examinations'!$A:$J,5,FALSE)</f>
        <v>Diabetes</v>
      </c>
      <c r="L1019">
        <f>VLOOKUP($A1020,'Medical Examinations'!$A:$J,3,FALSE)</f>
        <v>39.97</v>
      </c>
      <c r="M1019">
        <f>VLOOKUP($A1019,'Hospitalisation Details'!$A:$K,6,FALSE)</f>
        <v>11037.85</v>
      </c>
      <c r="N1019" s="11">
        <f>VLOOKUP($B1019,'Hospitalisation Details'!A1018:J3362,10,0)</f>
        <v>23625</v>
      </c>
      <c r="O1019" t="str">
        <f>VLOOKUP($B1019,'Hospitalisation Details'!A1018:J3362,8,0)</f>
        <v>tier - 3</v>
      </c>
      <c r="P1019" t="str">
        <f>VLOOKUP($B1019,'Hospitalisation Details'!A1018:J3362,7,0)</f>
        <v>tier - 3</v>
      </c>
      <c r="Q1019" t="str">
        <f>VLOOKUP($B1019,'Hospitalisation Details'!A1018:J3362,9,0)</f>
        <v>R1013</v>
      </c>
      <c r="R1019">
        <f>VLOOKUP($B1019,'Hospitalisation Details'!A1018:K3362,11,0)</f>
        <v>58</v>
      </c>
    </row>
    <row r="1020" spans="1:18" x14ac:dyDescent="0.35">
      <c r="A1020" t="s">
        <v>1352</v>
      </c>
      <c r="B1020" t="s">
        <v>1051</v>
      </c>
      <c r="C1020" t="str">
        <f>VLOOKUP($A1020,'Customer Names'!$A:$E,4,FALSE)</f>
        <v>Stephen</v>
      </c>
      <c r="D1020" t="str">
        <f>VLOOKUP($A1020,'Medical Examinations'!$A:$J,2,FALSE)</f>
        <v>Obesity</v>
      </c>
      <c r="E1020">
        <f>VLOOKUP($A1020,'Medical Examinations'!$A:$J,4,FALSE)</f>
        <v>5.55</v>
      </c>
      <c r="F1020" t="str">
        <f>VLOOKUP($A1020,'Medical Examinations'!$A:$J,6,FALSE)</f>
        <v>No</v>
      </c>
      <c r="G1020" t="str">
        <f>VLOOKUP($A1020,'Medical Examinations'!$A:$J,7,FALSE)</f>
        <v>No</v>
      </c>
      <c r="H1020" t="str">
        <f>VLOOKUP($A1020,'Medical Examinations'!$A:$J,8,FALSE)</f>
        <v>No</v>
      </c>
      <c r="I1020">
        <f>VLOOKUP($A1020,'Medical Examinations'!$A:$J,9,FALSE)</f>
        <v>0</v>
      </c>
      <c r="J1020" t="str">
        <f>VLOOKUP($A1020,'Medical Examinations'!$A:$J,10,FALSE)</f>
        <v>No</v>
      </c>
      <c r="K1020" t="str">
        <f>VLOOKUP($A1020,'Medical Examinations'!$A:$J,5,FALSE)</f>
        <v>Normal</v>
      </c>
      <c r="L1020">
        <f>VLOOKUP($A1021,'Medical Examinations'!$A:$J,3,FALSE)</f>
        <v>41.23</v>
      </c>
      <c r="M1020">
        <f>VLOOKUP($A1020,'Hospitalisation Details'!$A:$K,6,FALSE)</f>
        <v>11037.51</v>
      </c>
      <c r="N1020" s="11">
        <f>VLOOKUP($B1020,'Hospitalisation Details'!A1019:J3363,10,0)</f>
        <v>27246</v>
      </c>
      <c r="O1020" t="str">
        <f>VLOOKUP($B1020,'Hospitalisation Details'!A1019:J3363,8,0)</f>
        <v>tier - 1</v>
      </c>
      <c r="P1020" t="str">
        <f>VLOOKUP($B1020,'Hospitalisation Details'!A1019:J3363,7,0)</f>
        <v>tier - 2</v>
      </c>
      <c r="Q1020" t="str">
        <f>VLOOKUP($B1020,'Hospitalisation Details'!A1019:J3363,9,0)</f>
        <v>R1011</v>
      </c>
      <c r="R1020">
        <f>VLOOKUP($B1020,'Hospitalisation Details'!A1019:K3363,11,0)</f>
        <v>48</v>
      </c>
    </row>
    <row r="1021" spans="1:18" x14ac:dyDescent="0.35">
      <c r="A1021" t="s">
        <v>1351</v>
      </c>
      <c r="B1021" t="s">
        <v>1052</v>
      </c>
      <c r="C1021" t="str">
        <f>VLOOKUP($A1021,'Customer Names'!$A:$E,4,FALSE)</f>
        <v>Liza J.</v>
      </c>
      <c r="D1021" t="str">
        <f>VLOOKUP($A1021,'Medical Examinations'!$A:$J,2,FALSE)</f>
        <v>Obesity</v>
      </c>
      <c r="E1021">
        <f>VLOOKUP($A1021,'Medical Examinations'!$A:$J,4,FALSE)</f>
        <v>6.94</v>
      </c>
      <c r="F1021" t="str">
        <f>VLOOKUP($A1021,'Medical Examinations'!$A:$J,6,FALSE)</f>
        <v>No</v>
      </c>
      <c r="G1021" t="str">
        <f>VLOOKUP($A1021,'Medical Examinations'!$A:$J,7,FALSE)</f>
        <v>No</v>
      </c>
      <c r="H1021" t="str">
        <f>VLOOKUP($A1021,'Medical Examinations'!$A:$J,8,FALSE)</f>
        <v>No</v>
      </c>
      <c r="I1021">
        <f>VLOOKUP($A1021,'Medical Examinations'!$A:$J,9,FALSE)</f>
        <v>0</v>
      </c>
      <c r="J1021" t="str">
        <f>VLOOKUP($A1021,'Medical Examinations'!$A:$J,10,FALSE)</f>
        <v>No</v>
      </c>
      <c r="K1021" t="str">
        <f>VLOOKUP($A1021,'Medical Examinations'!$A:$J,5,FALSE)</f>
        <v>Diabetes</v>
      </c>
      <c r="L1021">
        <f>VLOOKUP($A1022,'Medical Examinations'!$A:$J,3,FALSE)</f>
        <v>49.45</v>
      </c>
      <c r="M1021">
        <f>VLOOKUP($A1021,'Hospitalisation Details'!$A:$K,6,FALSE)</f>
        <v>11033.66</v>
      </c>
      <c r="N1021" s="11">
        <f>VLOOKUP($B1021,'Hospitalisation Details'!A1020:J3364,10,0)</f>
        <v>36858</v>
      </c>
      <c r="O1021" t="str">
        <f>VLOOKUP($B1021,'Hospitalisation Details'!A1020:J3364,8,0)</f>
        <v>tier - 1</v>
      </c>
      <c r="P1021" t="str">
        <f>VLOOKUP($B1021,'Hospitalisation Details'!A1020:J3364,7,0)</f>
        <v>tier - 2</v>
      </c>
      <c r="Q1021" t="str">
        <f>VLOOKUP($B1021,'Hospitalisation Details'!A1020:J3364,9,0)</f>
        <v>R1023</v>
      </c>
      <c r="R1021">
        <f>VLOOKUP($B1021,'Hospitalisation Details'!A1020:K3364,11,0)</f>
        <v>22</v>
      </c>
    </row>
    <row r="1022" spans="1:18" x14ac:dyDescent="0.35">
      <c r="A1022" t="s">
        <v>1350</v>
      </c>
      <c r="B1022" t="s">
        <v>1053</v>
      </c>
      <c r="C1022" t="str">
        <f>VLOOKUP($A1022,'Customer Names'!$A:$E,4,FALSE)</f>
        <v>Ian M.</v>
      </c>
      <c r="D1022" t="str">
        <f>VLOOKUP($A1022,'Medical Examinations'!$A:$J,2,FALSE)</f>
        <v>Obesity</v>
      </c>
      <c r="E1022">
        <f>VLOOKUP($A1022,'Medical Examinations'!$A:$J,4,FALSE)</f>
        <v>4.2</v>
      </c>
      <c r="F1022" t="str">
        <f>VLOOKUP($A1022,'Medical Examinations'!$A:$J,6,FALSE)</f>
        <v>yes</v>
      </c>
      <c r="G1022" t="str">
        <f>VLOOKUP($A1022,'Medical Examinations'!$A:$J,7,FALSE)</f>
        <v>No</v>
      </c>
      <c r="H1022" t="str">
        <f>VLOOKUP($A1022,'Medical Examinations'!$A:$J,8,FALSE)</f>
        <v>No</v>
      </c>
      <c r="I1022">
        <f>VLOOKUP($A1022,'Medical Examinations'!$A:$J,9,FALSE)</f>
        <v>0</v>
      </c>
      <c r="J1022" t="str">
        <f>VLOOKUP($A1022,'Medical Examinations'!$A:$J,10,FALSE)</f>
        <v>No</v>
      </c>
      <c r="K1022" t="str">
        <f>VLOOKUP($A1022,'Medical Examinations'!$A:$J,5,FALSE)</f>
        <v>Normal</v>
      </c>
      <c r="L1022">
        <f>VLOOKUP($A1023,'Medical Examinations'!$A:$J,3,FALSE)</f>
        <v>41.04</v>
      </c>
      <c r="M1022">
        <f>VLOOKUP($A1022,'Hospitalisation Details'!$A:$K,6,FALSE)</f>
        <v>11028.56</v>
      </c>
      <c r="N1022" s="11">
        <f>VLOOKUP($B1022,'Hospitalisation Details'!A1021:J3365,10,0)</f>
        <v>27298</v>
      </c>
      <c r="O1022" t="str">
        <f>VLOOKUP($B1022,'Hospitalisation Details'!A1021:J3365,8,0)</f>
        <v>tier - 2</v>
      </c>
      <c r="P1022" t="str">
        <f>VLOOKUP($B1022,'Hospitalisation Details'!A1021:J3365,7,0)</f>
        <v>tier - 2</v>
      </c>
      <c r="Q1022" t="str">
        <f>VLOOKUP($B1022,'Hospitalisation Details'!A1021:J3365,9,0)</f>
        <v>R1011</v>
      </c>
      <c r="R1022">
        <f>VLOOKUP($B1022,'Hospitalisation Details'!A1021:K3365,11,0)</f>
        <v>48</v>
      </c>
    </row>
    <row r="1023" spans="1:18" x14ac:dyDescent="0.35">
      <c r="A1023" t="s">
        <v>1349</v>
      </c>
      <c r="B1023" t="s">
        <v>1054</v>
      </c>
      <c r="C1023" t="str">
        <f>VLOOKUP($A1023,'Customer Names'!$A:$E,4,FALSE)</f>
        <v>Claudia L.</v>
      </c>
      <c r="D1023" t="str">
        <f>VLOOKUP($A1023,'Medical Examinations'!$A:$J,2,FALSE)</f>
        <v>Obesity</v>
      </c>
      <c r="E1023">
        <f>VLOOKUP($A1023,'Medical Examinations'!$A:$J,4,FALSE)</f>
        <v>5.59</v>
      </c>
      <c r="F1023" t="str">
        <f>VLOOKUP($A1023,'Medical Examinations'!$A:$J,6,FALSE)</f>
        <v>No</v>
      </c>
      <c r="G1023" t="str">
        <f>VLOOKUP($A1023,'Medical Examinations'!$A:$J,7,FALSE)</f>
        <v>No</v>
      </c>
      <c r="H1023" t="str">
        <f>VLOOKUP($A1023,'Medical Examinations'!$A:$J,8,FALSE)</f>
        <v>No</v>
      </c>
      <c r="I1023">
        <f>VLOOKUP($A1023,'Medical Examinations'!$A:$J,9,FALSE)</f>
        <v>0</v>
      </c>
      <c r="J1023" t="str">
        <f>VLOOKUP($A1023,'Medical Examinations'!$A:$J,10,FALSE)</f>
        <v>No</v>
      </c>
      <c r="K1023" t="str">
        <f>VLOOKUP($A1023,'Medical Examinations'!$A:$J,5,FALSE)</f>
        <v>Normal</v>
      </c>
      <c r="L1023">
        <f>VLOOKUP($A1024,'Medical Examinations'!$A:$J,3,FALSE)</f>
        <v>27.93</v>
      </c>
      <c r="M1023">
        <f>VLOOKUP($A1023,'Hospitalisation Details'!$A:$K,6,FALSE)</f>
        <v>11018.05</v>
      </c>
      <c r="N1023" s="11">
        <f>VLOOKUP($B1023,'Hospitalisation Details'!A1022:J3366,10,0)</f>
        <v>27385</v>
      </c>
      <c r="O1023" t="str">
        <f>VLOOKUP($B1023,'Hospitalisation Details'!A1022:J3366,8,0)</f>
        <v>tier - 2</v>
      </c>
      <c r="P1023" t="str">
        <f>VLOOKUP($B1023,'Hospitalisation Details'!A1022:J3366,7,0)</f>
        <v>tier - 2</v>
      </c>
      <c r="Q1023" t="str">
        <f>VLOOKUP($B1023,'Hospitalisation Details'!A1022:J3366,9,0)</f>
        <v>R1013</v>
      </c>
      <c r="R1023">
        <f>VLOOKUP($B1023,'Hospitalisation Details'!A1022:K3366,11,0)</f>
        <v>48</v>
      </c>
    </row>
    <row r="1024" spans="1:18" x14ac:dyDescent="0.35">
      <c r="A1024" t="s">
        <v>1348</v>
      </c>
      <c r="B1024" t="s">
        <v>1055</v>
      </c>
      <c r="C1024" t="str">
        <f>VLOOKUP($A1024,'Customer Names'!$A:$E,4,FALSE)</f>
        <v>Jessica M</v>
      </c>
      <c r="D1024" t="str">
        <f>VLOOKUP($A1024,'Medical Examinations'!$A:$J,2,FALSE)</f>
        <v>Overweight</v>
      </c>
      <c r="E1024">
        <f>VLOOKUP($A1024,'Medical Examinations'!$A:$J,4,FALSE)</f>
        <v>9.9600000000000009</v>
      </c>
      <c r="F1024" t="str">
        <f>VLOOKUP($A1024,'Medical Examinations'!$A:$J,6,FALSE)</f>
        <v>No</v>
      </c>
      <c r="G1024" t="str">
        <f>VLOOKUP($A1024,'Medical Examinations'!$A:$J,7,FALSE)</f>
        <v>No</v>
      </c>
      <c r="H1024" t="str">
        <f>VLOOKUP($A1024,'Medical Examinations'!$A:$J,8,FALSE)</f>
        <v>No</v>
      </c>
      <c r="I1024">
        <f>VLOOKUP($A1024,'Medical Examinations'!$A:$J,9,FALSE)</f>
        <v>0</v>
      </c>
      <c r="J1024" t="str">
        <f>VLOOKUP($A1024,'Medical Examinations'!$A:$J,10,FALSE)</f>
        <v>No</v>
      </c>
      <c r="K1024" t="str">
        <f>VLOOKUP($A1024,'Medical Examinations'!$A:$J,5,FALSE)</f>
        <v>Diabetes</v>
      </c>
      <c r="L1024">
        <f>VLOOKUP($A1025,'Medical Examinations'!$A:$J,3,FALSE)</f>
        <v>21.01</v>
      </c>
      <c r="M1024">
        <f>VLOOKUP($A1024,'Hospitalisation Details'!$A:$K,6,FALSE)</f>
        <v>11015.17</v>
      </c>
      <c r="N1024" s="11">
        <f>VLOOKUP($B1024,'Hospitalisation Details'!A1023:J3367,10,0)</f>
        <v>27186</v>
      </c>
      <c r="O1024" t="str">
        <f>VLOOKUP($B1024,'Hospitalisation Details'!A1023:J3367,8,0)</f>
        <v>tier - 3</v>
      </c>
      <c r="P1024" t="str">
        <f>VLOOKUP($B1024,'Hospitalisation Details'!A1023:J3367,7,0)</f>
        <v>tier - 2</v>
      </c>
      <c r="Q1024" t="str">
        <f>VLOOKUP($B1024,'Hospitalisation Details'!A1023:J3367,9,0)</f>
        <v>R1013</v>
      </c>
      <c r="R1024">
        <f>VLOOKUP($B1024,'Hospitalisation Details'!A1023:K3367,11,0)</f>
        <v>49</v>
      </c>
    </row>
    <row r="1025" spans="1:18" x14ac:dyDescent="0.35">
      <c r="A1025" t="s">
        <v>1347</v>
      </c>
      <c r="B1025" t="s">
        <v>1056</v>
      </c>
      <c r="C1025" t="str">
        <f>VLOOKUP($A1025,'Customer Names'!$A:$E,4,FALSE)</f>
        <v>Billy Jr.</v>
      </c>
      <c r="D1025" t="str">
        <f>VLOOKUP($A1025,'Medical Examinations'!$A:$J,2,FALSE)</f>
        <v>Normal Weight</v>
      </c>
      <c r="E1025">
        <f>VLOOKUP($A1025,'Medical Examinations'!$A:$J,4,FALSE)</f>
        <v>7.37</v>
      </c>
      <c r="F1025" t="str">
        <f>VLOOKUP($A1025,'Medical Examinations'!$A:$J,6,FALSE)</f>
        <v>No</v>
      </c>
      <c r="G1025" t="str">
        <f>VLOOKUP($A1025,'Medical Examinations'!$A:$J,7,FALSE)</f>
        <v>No</v>
      </c>
      <c r="H1025" t="str">
        <f>VLOOKUP($A1025,'Medical Examinations'!$A:$J,8,FALSE)</f>
        <v>No</v>
      </c>
      <c r="I1025">
        <f>VLOOKUP($A1025,'Medical Examinations'!$A:$J,9,FALSE)</f>
        <v>0</v>
      </c>
      <c r="J1025" t="str">
        <f>VLOOKUP($A1025,'Medical Examinations'!$A:$J,10,FALSE)</f>
        <v>No</v>
      </c>
      <c r="K1025" t="str">
        <f>VLOOKUP($A1025,'Medical Examinations'!$A:$J,5,FALSE)</f>
        <v>Diabetes</v>
      </c>
      <c r="L1025">
        <f>VLOOKUP($A1026,'Medical Examinations'!$A:$J,3,FALSE)</f>
        <v>52.37</v>
      </c>
      <c r="M1025">
        <f>VLOOKUP($A1025,'Hospitalisation Details'!$A:$K,6,FALSE)</f>
        <v>11013.71</v>
      </c>
      <c r="N1025" s="11">
        <f>VLOOKUP($B1025,'Hospitalisation Details'!A1024:J3368,10,0)</f>
        <v>28667</v>
      </c>
      <c r="O1025" t="str">
        <f>VLOOKUP($B1025,'Hospitalisation Details'!A1024:J3368,8,0)</f>
        <v>tier - 3</v>
      </c>
      <c r="P1025" t="str">
        <f>VLOOKUP($B1025,'Hospitalisation Details'!A1024:J3368,7,0)</f>
        <v>tier - 3</v>
      </c>
      <c r="Q1025" t="str">
        <f>VLOOKUP($B1025,'Hospitalisation Details'!A1024:J3368,9,0)</f>
        <v>R1016</v>
      </c>
      <c r="R1025">
        <f>VLOOKUP($B1025,'Hospitalisation Details'!A1024:K3368,11,0)</f>
        <v>44</v>
      </c>
    </row>
    <row r="1026" spans="1:18" x14ac:dyDescent="0.35">
      <c r="A1026" t="s">
        <v>1346</v>
      </c>
      <c r="B1026" t="s">
        <v>1057</v>
      </c>
      <c r="C1026" t="str">
        <f>VLOOKUP($A1026,'Customer Names'!$A:$E,4,FALSE)</f>
        <v>David</v>
      </c>
      <c r="D1026" t="str">
        <f>VLOOKUP($A1026,'Medical Examinations'!$A:$J,2,FALSE)</f>
        <v>Obesity</v>
      </c>
      <c r="E1026">
        <f>VLOOKUP($A1026,'Medical Examinations'!$A:$J,4,FALSE)</f>
        <v>5.0599999999999996</v>
      </c>
      <c r="F1026" t="str">
        <f>VLOOKUP($A1026,'Medical Examinations'!$A:$J,6,FALSE)</f>
        <v>yes</v>
      </c>
      <c r="G1026" t="str">
        <f>VLOOKUP($A1026,'Medical Examinations'!$A:$J,7,FALSE)</f>
        <v>yes</v>
      </c>
      <c r="H1026" t="str">
        <f>VLOOKUP($A1026,'Medical Examinations'!$A:$J,8,FALSE)</f>
        <v>No</v>
      </c>
      <c r="I1026">
        <f>VLOOKUP($A1026,'Medical Examinations'!$A:$J,9,FALSE)</f>
        <v>2</v>
      </c>
      <c r="J1026" t="str">
        <f>VLOOKUP($A1026,'Medical Examinations'!$A:$J,10,FALSE)</f>
        <v>No</v>
      </c>
      <c r="K1026" t="str">
        <f>VLOOKUP($A1026,'Medical Examinations'!$A:$J,5,FALSE)</f>
        <v>Normal</v>
      </c>
      <c r="L1026">
        <f>VLOOKUP($A1027,'Medical Examinations'!$A:$J,3,FALSE)</f>
        <v>40.369999999999997</v>
      </c>
      <c r="M1026">
        <f>VLOOKUP($A1026,'Hospitalisation Details'!$A:$K,6,FALSE)</f>
        <v>10991.58</v>
      </c>
      <c r="N1026" s="11">
        <f>VLOOKUP($B1026,'Hospitalisation Details'!A1025:J3369,10,0)</f>
        <v>29074</v>
      </c>
      <c r="O1026" t="str">
        <f>VLOOKUP($B1026,'Hospitalisation Details'!A1025:J3369,8,0)</f>
        <v>tier - 2</v>
      </c>
      <c r="P1026" t="str">
        <f>VLOOKUP($B1026,'Hospitalisation Details'!A1025:J3369,7,0)</f>
        <v>tier - 2</v>
      </c>
      <c r="Q1026" t="str">
        <f>VLOOKUP($B1026,'Hospitalisation Details'!A1025:J3369,9,0)</f>
        <v>R1012</v>
      </c>
      <c r="R1026">
        <f>VLOOKUP($B1026,'Hospitalisation Details'!A1025:K3369,11,0)</f>
        <v>43</v>
      </c>
    </row>
    <row r="1027" spans="1:18" x14ac:dyDescent="0.35">
      <c r="A1027" t="s">
        <v>1345</v>
      </c>
      <c r="B1027" t="s">
        <v>1058</v>
      </c>
      <c r="C1027" t="str">
        <f>VLOOKUP($A1027,'Customer Names'!$A:$E,4,FALSE)</f>
        <v>Tim</v>
      </c>
      <c r="D1027" t="str">
        <f>VLOOKUP($A1027,'Medical Examinations'!$A:$J,2,FALSE)</f>
        <v>Obesity</v>
      </c>
      <c r="E1027">
        <f>VLOOKUP($A1027,'Medical Examinations'!$A:$J,4,FALSE)</f>
        <v>8.2100000000000009</v>
      </c>
      <c r="F1027" t="str">
        <f>VLOOKUP($A1027,'Medical Examinations'!$A:$J,6,FALSE)</f>
        <v>No</v>
      </c>
      <c r="G1027" t="str">
        <f>VLOOKUP($A1027,'Medical Examinations'!$A:$J,7,FALSE)</f>
        <v>No</v>
      </c>
      <c r="H1027" t="str">
        <f>VLOOKUP($A1027,'Medical Examinations'!$A:$J,8,FALSE)</f>
        <v>No</v>
      </c>
      <c r="I1027">
        <f>VLOOKUP($A1027,'Medical Examinations'!$A:$J,9,FALSE)</f>
        <v>0</v>
      </c>
      <c r="J1027" t="str">
        <f>VLOOKUP($A1027,'Medical Examinations'!$A:$J,10,FALSE)</f>
        <v>No</v>
      </c>
      <c r="K1027" t="str">
        <f>VLOOKUP($A1027,'Medical Examinations'!$A:$J,5,FALSE)</f>
        <v>Diabetes</v>
      </c>
      <c r="L1027">
        <f>VLOOKUP($A1028,'Medical Examinations'!$A:$J,3,FALSE)</f>
        <v>41.47</v>
      </c>
      <c r="M1027">
        <f>VLOOKUP($A1027,'Hospitalisation Details'!$A:$K,6,FALSE)</f>
        <v>10982.5</v>
      </c>
      <c r="N1027" s="11">
        <f>VLOOKUP($B1027,'Hospitalisation Details'!A1026:J3370,10,0)</f>
        <v>34142</v>
      </c>
      <c r="O1027" t="str">
        <f>VLOOKUP($B1027,'Hospitalisation Details'!A1026:J3370,8,0)</f>
        <v>tier - 1</v>
      </c>
      <c r="P1027" t="str">
        <f>VLOOKUP($B1027,'Hospitalisation Details'!A1026:J3370,7,0)</f>
        <v>tier - 2</v>
      </c>
      <c r="Q1027" t="str">
        <f>VLOOKUP($B1027,'Hospitalisation Details'!A1026:J3370,9,0)</f>
        <v>R1012</v>
      </c>
      <c r="R1027">
        <f>VLOOKUP($B1027,'Hospitalisation Details'!A1026:K3370,11,0)</f>
        <v>29</v>
      </c>
    </row>
    <row r="1028" spans="1:18" x14ac:dyDescent="0.35">
      <c r="A1028" t="s">
        <v>1344</v>
      </c>
      <c r="B1028" t="s">
        <v>1059</v>
      </c>
      <c r="C1028" t="str">
        <f>VLOOKUP($A1028,'Customer Names'!$A:$E,4,FALSE)</f>
        <v>Emma M</v>
      </c>
      <c r="D1028" t="str">
        <f>VLOOKUP($A1028,'Medical Examinations'!$A:$J,2,FALSE)</f>
        <v>Obesity</v>
      </c>
      <c r="E1028">
        <f>VLOOKUP($A1028,'Medical Examinations'!$A:$J,4,FALSE)</f>
        <v>10.34</v>
      </c>
      <c r="F1028" t="str">
        <f>VLOOKUP($A1028,'Medical Examinations'!$A:$J,6,FALSE)</f>
        <v>No</v>
      </c>
      <c r="G1028" t="str">
        <f>VLOOKUP($A1028,'Medical Examinations'!$A:$J,7,FALSE)</f>
        <v>No</v>
      </c>
      <c r="H1028" t="str">
        <f>VLOOKUP($A1028,'Medical Examinations'!$A:$J,8,FALSE)</f>
        <v>No</v>
      </c>
      <c r="I1028">
        <f>VLOOKUP($A1028,'Medical Examinations'!$A:$J,9,FALSE)</f>
        <v>2</v>
      </c>
      <c r="J1028" t="str">
        <f>VLOOKUP($A1028,'Medical Examinations'!$A:$J,10,FALSE)</f>
        <v>No</v>
      </c>
      <c r="K1028" t="str">
        <f>VLOOKUP($A1028,'Medical Examinations'!$A:$J,5,FALSE)</f>
        <v>Diabetes</v>
      </c>
      <c r="L1028">
        <f>VLOOKUP($A1029,'Medical Examinations'!$A:$J,3,FALSE)</f>
        <v>33.725000000000001</v>
      </c>
      <c r="M1028">
        <f>VLOOKUP($A1028,'Hospitalisation Details'!$A:$K,6,FALSE)</f>
        <v>10977.21</v>
      </c>
      <c r="N1028" s="11">
        <f>VLOOKUP($B1028,'Hospitalisation Details'!A1027:J3371,10,0)</f>
        <v>27953</v>
      </c>
      <c r="O1028" t="str">
        <f>VLOOKUP($B1028,'Hospitalisation Details'!A1027:J3371,8,0)</f>
        <v>tier - 2</v>
      </c>
      <c r="P1028" t="str">
        <f>VLOOKUP($B1028,'Hospitalisation Details'!A1027:J3371,7,0)</f>
        <v>tier - 3</v>
      </c>
      <c r="Q1028" t="str">
        <f>VLOOKUP($B1028,'Hospitalisation Details'!A1027:J3371,9,0)</f>
        <v>R1016</v>
      </c>
      <c r="R1028">
        <f>VLOOKUP($B1028,'Hospitalisation Details'!A1027:K3371,11,0)</f>
        <v>46</v>
      </c>
    </row>
    <row r="1029" spans="1:18" x14ac:dyDescent="0.35">
      <c r="A1029" t="s">
        <v>1343</v>
      </c>
      <c r="B1029" t="s">
        <v>1060</v>
      </c>
      <c r="C1029" t="str">
        <f>VLOOKUP($A1029,'Customer Names'!$A:$E,4,FALSE)</f>
        <v>Tim</v>
      </c>
      <c r="D1029" t="str">
        <f>VLOOKUP($A1029,'Medical Examinations'!$A:$J,2,FALSE)</f>
        <v>Obesity</v>
      </c>
      <c r="E1029">
        <f>VLOOKUP($A1029,'Medical Examinations'!$A:$J,4,FALSE)</f>
        <v>5.51</v>
      </c>
      <c r="F1029" t="str">
        <f>VLOOKUP($A1029,'Medical Examinations'!$A:$J,6,FALSE)</f>
        <v>yes</v>
      </c>
      <c r="G1029" t="str">
        <f>VLOOKUP($A1029,'Medical Examinations'!$A:$J,7,FALSE)</f>
        <v>No</v>
      </c>
      <c r="H1029" t="str">
        <f>VLOOKUP($A1029,'Medical Examinations'!$A:$J,8,FALSE)</f>
        <v>No</v>
      </c>
      <c r="I1029">
        <f>VLOOKUP($A1029,'Medical Examinations'!$A:$J,9,FALSE)</f>
        <v>2</v>
      </c>
      <c r="J1029" t="str">
        <f>VLOOKUP($A1029,'Medical Examinations'!$A:$J,10,FALSE)</f>
        <v>No</v>
      </c>
      <c r="K1029" t="str">
        <f>VLOOKUP($A1029,'Medical Examinations'!$A:$J,5,FALSE)</f>
        <v>Normal</v>
      </c>
      <c r="L1029">
        <f>VLOOKUP($A1030,'Medical Examinations'!$A:$J,3,FALSE)</f>
        <v>28.1</v>
      </c>
      <c r="M1029">
        <f>VLOOKUP($A1029,'Hospitalisation Details'!$A:$K,6,FALSE)</f>
        <v>10976.25</v>
      </c>
      <c r="N1029" s="11">
        <f>VLOOKUP($B1029,'Hospitalisation Details'!A1028:J3372,10,0)</f>
        <v>27961</v>
      </c>
      <c r="O1029" t="str">
        <f>VLOOKUP($B1029,'Hospitalisation Details'!A1028:J3372,8,0)</f>
        <v>tier - 2</v>
      </c>
      <c r="P1029" t="str">
        <f>VLOOKUP($B1029,'Hospitalisation Details'!A1028:J3372,7,0)</f>
        <v>tier - 3</v>
      </c>
      <c r="Q1029" t="str">
        <f>VLOOKUP($B1029,'Hospitalisation Details'!A1028:J3372,9,0)</f>
        <v>R1016</v>
      </c>
      <c r="R1029">
        <f>VLOOKUP($B1029,'Hospitalisation Details'!A1028:K3372,11,0)</f>
        <v>46</v>
      </c>
    </row>
    <row r="1030" spans="1:18" x14ac:dyDescent="0.35">
      <c r="A1030" t="s">
        <v>1342</v>
      </c>
      <c r="B1030" t="s">
        <v>1061</v>
      </c>
      <c r="C1030" t="str">
        <f>VLOOKUP($A1030,'Customer Names'!$A:$E,4,FALSE)</f>
        <v>Patrick</v>
      </c>
      <c r="D1030" t="str">
        <f>VLOOKUP($A1030,'Medical Examinations'!$A:$J,2,FALSE)</f>
        <v>Overweight</v>
      </c>
      <c r="E1030">
        <f>VLOOKUP($A1030,'Medical Examinations'!$A:$J,4,FALSE)</f>
        <v>11.2</v>
      </c>
      <c r="F1030" t="str">
        <f>VLOOKUP($A1030,'Medical Examinations'!$A:$J,6,FALSE)</f>
        <v>No</v>
      </c>
      <c r="G1030" t="str">
        <f>VLOOKUP($A1030,'Medical Examinations'!$A:$J,7,FALSE)</f>
        <v>No</v>
      </c>
      <c r="H1030" t="str">
        <f>VLOOKUP($A1030,'Medical Examinations'!$A:$J,8,FALSE)</f>
        <v>No</v>
      </c>
      <c r="I1030">
        <f>VLOOKUP($A1030,'Medical Examinations'!$A:$J,9,FALSE)</f>
        <v>0</v>
      </c>
      <c r="J1030" t="str">
        <f>VLOOKUP($A1030,'Medical Examinations'!$A:$J,10,FALSE)</f>
        <v>No</v>
      </c>
      <c r="K1030" t="str">
        <f>VLOOKUP($A1030,'Medical Examinations'!$A:$J,5,FALSE)</f>
        <v>Diabetes</v>
      </c>
      <c r="L1030">
        <f>VLOOKUP($A1031,'Medical Examinations'!$A:$J,3,FALSE)</f>
        <v>37.43</v>
      </c>
      <c r="M1030">
        <f>VLOOKUP($A1030,'Hospitalisation Details'!$A:$K,6,FALSE)</f>
        <v>10965.45</v>
      </c>
      <c r="N1030" s="11">
        <f>VLOOKUP($B1030,'Hospitalisation Details'!A1029:J3373,10,0)</f>
        <v>27948</v>
      </c>
      <c r="O1030" t="str">
        <f>VLOOKUP($B1030,'Hospitalisation Details'!A1029:J3373,8,0)</f>
        <v>tier - 1</v>
      </c>
      <c r="P1030" t="str">
        <f>VLOOKUP($B1030,'Hospitalisation Details'!A1029:J3373,7,0)</f>
        <v>tier - 3</v>
      </c>
      <c r="Q1030" t="str">
        <f>VLOOKUP($B1030,'Hospitalisation Details'!A1029:J3373,9,0)</f>
        <v>R1016</v>
      </c>
      <c r="R1030">
        <f>VLOOKUP($B1030,'Hospitalisation Details'!A1029:K3373,11,0)</f>
        <v>46</v>
      </c>
    </row>
    <row r="1031" spans="1:18" x14ac:dyDescent="0.35">
      <c r="A1031" t="s">
        <v>1341</v>
      </c>
      <c r="B1031" t="s">
        <v>1062</v>
      </c>
      <c r="C1031" t="str">
        <f>VLOOKUP($A1031,'Customer Names'!$A:$E,4,FALSE)</f>
        <v>Bridget K.</v>
      </c>
      <c r="D1031" t="str">
        <f>VLOOKUP($A1031,'Medical Examinations'!$A:$J,2,FALSE)</f>
        <v>Obesity</v>
      </c>
      <c r="E1031">
        <f>VLOOKUP($A1031,'Medical Examinations'!$A:$J,4,FALSE)</f>
        <v>4.3499999999999996</v>
      </c>
      <c r="F1031" t="str">
        <f>VLOOKUP($A1031,'Medical Examinations'!$A:$J,6,FALSE)</f>
        <v>yes</v>
      </c>
      <c r="G1031" t="str">
        <f>VLOOKUP($A1031,'Medical Examinations'!$A:$J,7,FALSE)</f>
        <v>No</v>
      </c>
      <c r="H1031" t="str">
        <f>VLOOKUP($A1031,'Medical Examinations'!$A:$J,8,FALSE)</f>
        <v>Yes</v>
      </c>
      <c r="I1031">
        <f>VLOOKUP($A1031,'Medical Examinations'!$A:$J,9,FALSE)</f>
        <v>1</v>
      </c>
      <c r="J1031" t="str">
        <f>VLOOKUP($A1031,'Medical Examinations'!$A:$J,10,FALSE)</f>
        <v>No</v>
      </c>
      <c r="K1031" t="str">
        <f>VLOOKUP($A1031,'Medical Examinations'!$A:$J,5,FALSE)</f>
        <v>Normal</v>
      </c>
      <c r="L1031">
        <f>VLOOKUP($A1032,'Medical Examinations'!$A:$J,3,FALSE)</f>
        <v>23.7</v>
      </c>
      <c r="M1031">
        <f>VLOOKUP($A1031,'Hospitalisation Details'!$A:$K,6,FALSE)</f>
        <v>10959.69</v>
      </c>
      <c r="N1031" s="11">
        <f>VLOOKUP($B1031,'Hospitalisation Details'!A1030:J3374,10,0)</f>
        <v>27923</v>
      </c>
      <c r="O1031" t="str">
        <f>VLOOKUP($B1031,'Hospitalisation Details'!A1030:J3374,8,0)</f>
        <v>tier - 1</v>
      </c>
      <c r="P1031" t="str">
        <f>VLOOKUP($B1031,'Hospitalisation Details'!A1030:J3374,7,0)</f>
        <v>tier - 2</v>
      </c>
      <c r="Q1031" t="str">
        <f>VLOOKUP($B1031,'Hospitalisation Details'!A1030:J3374,9,0)</f>
        <v>R1013</v>
      </c>
      <c r="R1031">
        <f>VLOOKUP($B1031,'Hospitalisation Details'!A1030:K3374,11,0)</f>
        <v>46</v>
      </c>
    </row>
    <row r="1032" spans="1:18" x14ac:dyDescent="0.35">
      <c r="A1032" t="s">
        <v>1340</v>
      </c>
      <c r="B1032" t="s">
        <v>1063</v>
      </c>
      <c r="C1032" t="str">
        <f>VLOOKUP($A1032,'Customer Names'!$A:$E,4,FALSE)</f>
        <v>Gabriel</v>
      </c>
      <c r="D1032" t="str">
        <f>VLOOKUP($A1032,'Medical Examinations'!$A:$J,2,FALSE)</f>
        <v>Normal Weight</v>
      </c>
      <c r="E1032">
        <f>VLOOKUP($A1032,'Medical Examinations'!$A:$J,4,FALSE)</f>
        <v>10.45</v>
      </c>
      <c r="F1032" t="str">
        <f>VLOOKUP($A1032,'Medical Examinations'!$A:$J,6,FALSE)</f>
        <v>No</v>
      </c>
      <c r="G1032" t="str">
        <f>VLOOKUP($A1032,'Medical Examinations'!$A:$J,7,FALSE)</f>
        <v>No</v>
      </c>
      <c r="H1032" t="str">
        <f>VLOOKUP($A1032,'Medical Examinations'!$A:$J,8,FALSE)</f>
        <v>No</v>
      </c>
      <c r="I1032">
        <f>VLOOKUP($A1032,'Medical Examinations'!$A:$J,9,FALSE)</f>
        <v>0</v>
      </c>
      <c r="J1032" t="str">
        <f>VLOOKUP($A1032,'Medical Examinations'!$A:$J,10,FALSE)</f>
        <v>No</v>
      </c>
      <c r="K1032" t="str">
        <f>VLOOKUP($A1032,'Medical Examinations'!$A:$J,5,FALSE)</f>
        <v>Diabetes</v>
      </c>
      <c r="L1032">
        <f>VLOOKUP($A1033,'Medical Examinations'!$A:$J,3,FALSE)</f>
        <v>24.795000000000002</v>
      </c>
      <c r="M1032">
        <f>VLOOKUP($A1032,'Hospitalisation Details'!$A:$K,6,FALSE)</f>
        <v>10959.33</v>
      </c>
      <c r="N1032" s="11">
        <f>VLOOKUP($B1032,'Hospitalisation Details'!A1031:J3375,10,0)</f>
        <v>23275</v>
      </c>
      <c r="O1032" t="str">
        <f>VLOOKUP($B1032,'Hospitalisation Details'!A1031:J3375,8,0)</f>
        <v>tier - 3</v>
      </c>
      <c r="P1032" t="str">
        <f>VLOOKUP($B1032,'Hospitalisation Details'!A1031:J3375,7,0)</f>
        <v>tier - 3</v>
      </c>
      <c r="Q1032" t="str">
        <f>VLOOKUP($B1032,'Hospitalisation Details'!A1031:J3375,9,0)</f>
        <v>R1012</v>
      </c>
      <c r="R1032">
        <f>VLOOKUP($B1032,'Hospitalisation Details'!A1031:K3375,11,0)</f>
        <v>59</v>
      </c>
    </row>
    <row r="1033" spans="1:18" x14ac:dyDescent="0.35">
      <c r="A1033" t="s">
        <v>1339</v>
      </c>
      <c r="B1033" t="s">
        <v>1064</v>
      </c>
      <c r="C1033" t="str">
        <f>VLOOKUP($A1033,'Customer Names'!$A:$E,4,FALSE)</f>
        <v>Natasha</v>
      </c>
      <c r="D1033" t="str">
        <f>VLOOKUP($A1033,'Medical Examinations'!$A:$J,2,FALSE)</f>
        <v>Normal Weight</v>
      </c>
      <c r="E1033">
        <f>VLOOKUP($A1033,'Medical Examinations'!$A:$J,4,FALSE)</f>
        <v>4.07</v>
      </c>
      <c r="F1033" t="str">
        <f>VLOOKUP($A1033,'Medical Examinations'!$A:$J,6,FALSE)</f>
        <v>yes</v>
      </c>
      <c r="G1033" t="str">
        <f>VLOOKUP($A1033,'Medical Examinations'!$A:$J,7,FALSE)</f>
        <v>No</v>
      </c>
      <c r="H1033" t="str">
        <f>VLOOKUP($A1033,'Medical Examinations'!$A:$J,8,FALSE)</f>
        <v>Yes</v>
      </c>
      <c r="I1033">
        <f>VLOOKUP($A1033,'Medical Examinations'!$A:$J,9,FALSE)</f>
        <v>1</v>
      </c>
      <c r="J1033" t="str">
        <f>VLOOKUP($A1033,'Medical Examinations'!$A:$J,10,FALSE)</f>
        <v>No</v>
      </c>
      <c r="K1033" t="str">
        <f>VLOOKUP($A1033,'Medical Examinations'!$A:$J,5,FALSE)</f>
        <v>Normal</v>
      </c>
      <c r="L1033">
        <f>VLOOKUP($A1034,'Medical Examinations'!$A:$J,3,FALSE)</f>
        <v>31.9</v>
      </c>
      <c r="M1033">
        <f>VLOOKUP($A1033,'Hospitalisation Details'!$A:$K,6,FALSE)</f>
        <v>10942.13</v>
      </c>
      <c r="N1033" s="11">
        <f>VLOOKUP($B1033,'Hospitalisation Details'!A1032:J3376,10,0)</f>
        <v>26180</v>
      </c>
      <c r="O1033" t="str">
        <f>VLOOKUP($B1033,'Hospitalisation Details'!A1032:J3376,8,0)</f>
        <v>tier - 3</v>
      </c>
      <c r="P1033" t="str">
        <f>VLOOKUP($B1033,'Hospitalisation Details'!A1032:J3376,7,0)</f>
        <v>tier - 2</v>
      </c>
      <c r="Q1033" t="str">
        <f>VLOOKUP($B1033,'Hospitalisation Details'!A1032:J3376,9,0)</f>
        <v>R1013</v>
      </c>
      <c r="R1033">
        <f>VLOOKUP($B1033,'Hospitalisation Details'!A1032:K3376,11,0)</f>
        <v>51</v>
      </c>
    </row>
    <row r="1034" spans="1:18" x14ac:dyDescent="0.35">
      <c r="A1034" t="s">
        <v>1338</v>
      </c>
      <c r="B1034" t="s">
        <v>1065</v>
      </c>
      <c r="C1034" t="str">
        <f>VLOOKUP($A1034,'Customer Names'!$A:$E,4,FALSE)</f>
        <v>Abby A.</v>
      </c>
      <c r="D1034" t="str">
        <f>VLOOKUP($A1034,'Medical Examinations'!$A:$J,2,FALSE)</f>
        <v>Obesity</v>
      </c>
      <c r="E1034">
        <f>VLOOKUP($A1034,'Medical Examinations'!$A:$J,4,FALSE)</f>
        <v>8.34</v>
      </c>
      <c r="F1034" t="str">
        <f>VLOOKUP($A1034,'Medical Examinations'!$A:$J,6,FALSE)</f>
        <v>No</v>
      </c>
      <c r="G1034" t="str">
        <f>VLOOKUP($A1034,'Medical Examinations'!$A:$J,7,FALSE)</f>
        <v>No</v>
      </c>
      <c r="H1034" t="str">
        <f>VLOOKUP($A1034,'Medical Examinations'!$A:$J,8,FALSE)</f>
        <v>No</v>
      </c>
      <c r="I1034">
        <f>VLOOKUP($A1034,'Medical Examinations'!$A:$J,9,FALSE)</f>
        <v>0</v>
      </c>
      <c r="J1034" t="str">
        <f>VLOOKUP($A1034,'Medical Examinations'!$A:$J,10,FALSE)</f>
        <v>No</v>
      </c>
      <c r="K1034" t="str">
        <f>VLOOKUP($A1034,'Medical Examinations'!$A:$J,5,FALSE)</f>
        <v>Diabetes</v>
      </c>
      <c r="L1034">
        <f>VLOOKUP($A1035,'Medical Examinations'!$A:$J,3,FALSE)</f>
        <v>32.68</v>
      </c>
      <c r="M1034">
        <f>VLOOKUP($A1034,'Hospitalisation Details'!$A:$K,6,FALSE)</f>
        <v>10928.85</v>
      </c>
      <c r="N1034" s="11">
        <f>VLOOKUP($B1034,'Hospitalisation Details'!A1033:J3377,10,0)</f>
        <v>26194</v>
      </c>
      <c r="O1034" t="str">
        <f>VLOOKUP($B1034,'Hospitalisation Details'!A1033:J3377,8,0)</f>
        <v>tier - 3</v>
      </c>
      <c r="P1034" t="str">
        <f>VLOOKUP($B1034,'Hospitalisation Details'!A1033:J3377,7,0)</f>
        <v>tier - 2</v>
      </c>
      <c r="Q1034" t="str">
        <f>VLOOKUP($B1034,'Hospitalisation Details'!A1033:J3377,9,0)</f>
        <v>R1013</v>
      </c>
      <c r="R1034">
        <f>VLOOKUP($B1034,'Hospitalisation Details'!A1033:K3377,11,0)</f>
        <v>51</v>
      </c>
    </row>
    <row r="1035" spans="1:18" x14ac:dyDescent="0.35">
      <c r="A1035" t="s">
        <v>1337</v>
      </c>
      <c r="B1035" t="s">
        <v>1066</v>
      </c>
      <c r="C1035" t="str">
        <f>VLOOKUP($A1035,'Customer Names'!$A:$E,4,FALSE)</f>
        <v>Michelle</v>
      </c>
      <c r="D1035" t="str">
        <f>VLOOKUP($A1035,'Medical Examinations'!$A:$J,2,FALSE)</f>
        <v>Obesity</v>
      </c>
      <c r="E1035">
        <f>VLOOKUP($A1035,'Medical Examinations'!$A:$J,4,FALSE)</f>
        <v>7.41</v>
      </c>
      <c r="F1035" t="str">
        <f>VLOOKUP($A1035,'Medical Examinations'!$A:$J,6,FALSE)</f>
        <v>No</v>
      </c>
      <c r="G1035" t="str">
        <f>VLOOKUP($A1035,'Medical Examinations'!$A:$J,7,FALSE)</f>
        <v>No</v>
      </c>
      <c r="H1035" t="str">
        <f>VLOOKUP($A1035,'Medical Examinations'!$A:$J,8,FALSE)</f>
        <v>No</v>
      </c>
      <c r="I1035">
        <f>VLOOKUP($A1035,'Medical Examinations'!$A:$J,9,FALSE)</f>
        <v>0</v>
      </c>
      <c r="J1035" t="str">
        <f>VLOOKUP($A1035,'Medical Examinations'!$A:$J,10,FALSE)</f>
        <v>No</v>
      </c>
      <c r="K1035" t="str">
        <f>VLOOKUP($A1035,'Medical Examinations'!$A:$J,5,FALSE)</f>
        <v>Diabetes</v>
      </c>
      <c r="L1035">
        <f>VLOOKUP($A1036,'Medical Examinations'!$A:$J,3,FALSE)</f>
        <v>47.13</v>
      </c>
      <c r="M1035">
        <f>VLOOKUP($A1035,'Hospitalisation Details'!$A:$K,6,FALSE)</f>
        <v>10923.93</v>
      </c>
      <c r="N1035" s="11">
        <f>VLOOKUP($B1035,'Hospitalisation Details'!A1034:J3378,10,0)</f>
        <v>29017</v>
      </c>
      <c r="O1035" t="str">
        <f>VLOOKUP($B1035,'Hospitalisation Details'!A1034:J3378,8,0)</f>
        <v>tier - 2</v>
      </c>
      <c r="P1035" t="str">
        <f>VLOOKUP($B1035,'Hospitalisation Details'!A1034:J3378,7,0)</f>
        <v>tier - 2</v>
      </c>
      <c r="Q1035" t="str">
        <f>VLOOKUP($B1035,'Hospitalisation Details'!A1034:J3378,9,0)</f>
        <v>R1012</v>
      </c>
      <c r="R1035">
        <f>VLOOKUP($B1035,'Hospitalisation Details'!A1034:K3378,11,0)</f>
        <v>43</v>
      </c>
    </row>
    <row r="1036" spans="1:18" x14ac:dyDescent="0.35">
      <c r="A1036" t="s">
        <v>1336</v>
      </c>
      <c r="B1036" t="s">
        <v>1067</v>
      </c>
      <c r="C1036" t="str">
        <f>VLOOKUP($A1036,'Customer Names'!$A:$E,4,FALSE)</f>
        <v>Mckendree</v>
      </c>
      <c r="D1036" t="str">
        <f>VLOOKUP($A1036,'Medical Examinations'!$A:$J,2,FALSE)</f>
        <v>Obesity</v>
      </c>
      <c r="E1036">
        <f>VLOOKUP($A1036,'Medical Examinations'!$A:$J,4,FALSE)</f>
        <v>4.3099999999999996</v>
      </c>
      <c r="F1036" t="str">
        <f>VLOOKUP($A1036,'Medical Examinations'!$A:$J,6,FALSE)</f>
        <v>No</v>
      </c>
      <c r="G1036" t="str">
        <f>VLOOKUP($A1036,'Medical Examinations'!$A:$J,7,FALSE)</f>
        <v>No</v>
      </c>
      <c r="H1036" t="str">
        <f>VLOOKUP($A1036,'Medical Examinations'!$A:$J,8,FALSE)</f>
        <v>No</v>
      </c>
      <c r="I1036">
        <f>VLOOKUP($A1036,'Medical Examinations'!$A:$J,9,FALSE)</f>
        <v>0</v>
      </c>
      <c r="J1036" t="str">
        <f>VLOOKUP($A1036,'Medical Examinations'!$A:$J,10,FALSE)</f>
        <v>No</v>
      </c>
      <c r="K1036" t="str">
        <f>VLOOKUP($A1036,'Medical Examinations'!$A:$J,5,FALSE)</f>
        <v>Normal</v>
      </c>
      <c r="L1036">
        <f>VLOOKUP($A1037,'Medical Examinations'!$A:$J,3,FALSE)</f>
        <v>36.67</v>
      </c>
      <c r="M1036">
        <f>VLOOKUP($A1036,'Hospitalisation Details'!$A:$K,6,FALSE)</f>
        <v>10886.66</v>
      </c>
      <c r="N1036" s="11">
        <f>VLOOKUP($B1036,'Hospitalisation Details'!A1035:J3379,10,0)</f>
        <v>28372</v>
      </c>
      <c r="O1036" t="str">
        <f>VLOOKUP($B1036,'Hospitalisation Details'!A1035:J3379,8,0)</f>
        <v>tier - 1</v>
      </c>
      <c r="P1036" t="str">
        <f>VLOOKUP($B1036,'Hospitalisation Details'!A1035:J3379,7,0)</f>
        <v>tier - 3</v>
      </c>
      <c r="Q1036" t="str">
        <f>VLOOKUP($B1036,'Hospitalisation Details'!A1035:J3379,9,0)</f>
        <v>R1012</v>
      </c>
      <c r="R1036">
        <f>VLOOKUP($B1036,'Hospitalisation Details'!A1035:K3379,11,0)</f>
        <v>45</v>
      </c>
    </row>
    <row r="1037" spans="1:18" x14ac:dyDescent="0.35">
      <c r="A1037" t="s">
        <v>1335</v>
      </c>
      <c r="B1037" t="s">
        <v>1068</v>
      </c>
      <c r="C1037" t="str">
        <f>VLOOKUP($A1037,'Customer Names'!$A:$E,4,FALSE)</f>
        <v>Tara</v>
      </c>
      <c r="D1037" t="str">
        <f>VLOOKUP($A1037,'Medical Examinations'!$A:$J,2,FALSE)</f>
        <v>Obesity</v>
      </c>
      <c r="E1037">
        <f>VLOOKUP($A1037,'Medical Examinations'!$A:$J,4,FALSE)</f>
        <v>10.83</v>
      </c>
      <c r="F1037" t="str">
        <f>VLOOKUP($A1037,'Medical Examinations'!$A:$J,6,FALSE)</f>
        <v>No</v>
      </c>
      <c r="G1037" t="str">
        <f>VLOOKUP($A1037,'Medical Examinations'!$A:$J,7,FALSE)</f>
        <v>No</v>
      </c>
      <c r="H1037" t="str">
        <f>VLOOKUP($A1037,'Medical Examinations'!$A:$J,8,FALSE)</f>
        <v>No</v>
      </c>
      <c r="I1037">
        <f>VLOOKUP($A1037,'Medical Examinations'!$A:$J,9,FALSE)</f>
        <v>0</v>
      </c>
      <c r="J1037" t="str">
        <f>VLOOKUP($A1037,'Medical Examinations'!$A:$J,10,FALSE)</f>
        <v>No</v>
      </c>
      <c r="K1037" t="str">
        <f>VLOOKUP($A1037,'Medical Examinations'!$A:$J,5,FALSE)</f>
        <v>Diabetes</v>
      </c>
      <c r="L1037">
        <f>VLOOKUP($A1038,'Medical Examinations'!$A:$J,3,FALSE)</f>
        <v>33.630000000000003</v>
      </c>
      <c r="M1037">
        <f>VLOOKUP($A1037,'Hospitalisation Details'!$A:$K,6,FALSE)</f>
        <v>10848.13</v>
      </c>
      <c r="N1037" s="11">
        <f>VLOOKUP($B1037,'Hospitalisation Details'!A1036:J3380,10,0)</f>
        <v>27665</v>
      </c>
      <c r="O1037" t="str">
        <f>VLOOKUP($B1037,'Hospitalisation Details'!A1036:J3380,8,0)</f>
        <v>tier - 2</v>
      </c>
      <c r="P1037" t="str">
        <f>VLOOKUP($B1037,'Hospitalisation Details'!A1036:J3380,7,0)</f>
        <v>tier - 3</v>
      </c>
      <c r="Q1037" t="str">
        <f>VLOOKUP($B1037,'Hospitalisation Details'!A1036:J3380,9,0)</f>
        <v>R1012</v>
      </c>
      <c r="R1037">
        <f>VLOOKUP($B1037,'Hospitalisation Details'!A1036:K3380,11,0)</f>
        <v>47</v>
      </c>
    </row>
    <row r="1038" spans="1:18" x14ac:dyDescent="0.35">
      <c r="A1038" t="s">
        <v>1334</v>
      </c>
      <c r="B1038" t="s">
        <v>1069</v>
      </c>
      <c r="C1038" t="str">
        <f>VLOOKUP($A1038,'Customer Names'!$A:$E,4,FALSE)</f>
        <v>Daniel</v>
      </c>
      <c r="D1038" t="str">
        <f>VLOOKUP($A1038,'Medical Examinations'!$A:$J,2,FALSE)</f>
        <v>Obesity</v>
      </c>
      <c r="E1038">
        <f>VLOOKUP($A1038,'Medical Examinations'!$A:$J,4,FALSE)</f>
        <v>11.31</v>
      </c>
      <c r="F1038" t="str">
        <f>VLOOKUP($A1038,'Medical Examinations'!$A:$J,6,FALSE)</f>
        <v>No</v>
      </c>
      <c r="G1038" t="str">
        <f>VLOOKUP($A1038,'Medical Examinations'!$A:$J,7,FALSE)</f>
        <v>No</v>
      </c>
      <c r="H1038" t="str">
        <f>VLOOKUP($A1038,'Medical Examinations'!$A:$J,8,FALSE)</f>
        <v>No</v>
      </c>
      <c r="I1038">
        <f>VLOOKUP($A1038,'Medical Examinations'!$A:$J,9,FALSE)</f>
        <v>0</v>
      </c>
      <c r="J1038" t="str">
        <f>VLOOKUP($A1038,'Medical Examinations'!$A:$J,10,FALSE)</f>
        <v>No</v>
      </c>
      <c r="K1038" t="str">
        <f>VLOOKUP($A1038,'Medical Examinations'!$A:$J,5,FALSE)</f>
        <v>Diabetes</v>
      </c>
      <c r="L1038">
        <f>VLOOKUP($A1039,'Medical Examinations'!$A:$J,3,FALSE)</f>
        <v>32.67</v>
      </c>
      <c r="M1038">
        <f>VLOOKUP($A1038,'Hospitalisation Details'!$A:$K,6,FALSE)</f>
        <v>10825.25</v>
      </c>
      <c r="N1038" s="11">
        <f>VLOOKUP($B1038,'Hospitalisation Details'!A1037:J3381,10,0)</f>
        <v>23278</v>
      </c>
      <c r="O1038" t="str">
        <f>VLOOKUP($B1038,'Hospitalisation Details'!A1037:J3381,8,0)</f>
        <v>tier - 2</v>
      </c>
      <c r="P1038" t="str">
        <f>VLOOKUP($B1038,'Hospitalisation Details'!A1037:J3381,7,0)</f>
        <v>tier - 3</v>
      </c>
      <c r="Q1038" t="str">
        <f>VLOOKUP($B1038,'Hospitalisation Details'!A1037:J3381,9,0)</f>
        <v>R1013</v>
      </c>
      <c r="R1038">
        <f>VLOOKUP($B1038,'Hospitalisation Details'!A1037:K3381,11,0)</f>
        <v>59</v>
      </c>
    </row>
    <row r="1039" spans="1:18" x14ac:dyDescent="0.35">
      <c r="A1039" t="s">
        <v>1333</v>
      </c>
      <c r="B1039" t="s">
        <v>1070</v>
      </c>
      <c r="C1039" t="str">
        <f>VLOOKUP($A1039,'Customer Names'!$A:$E,4,FALSE)</f>
        <v>Joshua P</v>
      </c>
      <c r="D1039" t="str">
        <f>VLOOKUP($A1039,'Medical Examinations'!$A:$J,2,FALSE)</f>
        <v>Obesity</v>
      </c>
      <c r="E1039">
        <f>VLOOKUP($A1039,'Medical Examinations'!$A:$J,4,FALSE)</f>
        <v>11.81</v>
      </c>
      <c r="F1039" t="str">
        <f>VLOOKUP($A1039,'Medical Examinations'!$A:$J,6,FALSE)</f>
        <v>yes</v>
      </c>
      <c r="G1039" t="str">
        <f>VLOOKUP($A1039,'Medical Examinations'!$A:$J,7,FALSE)</f>
        <v>No</v>
      </c>
      <c r="H1039" t="str">
        <f>VLOOKUP($A1039,'Medical Examinations'!$A:$J,8,FALSE)</f>
        <v>No</v>
      </c>
      <c r="I1039">
        <f>VLOOKUP($A1039,'Medical Examinations'!$A:$J,9,FALSE)</f>
        <v>0</v>
      </c>
      <c r="J1039" t="str">
        <f>VLOOKUP($A1039,'Medical Examinations'!$A:$J,10,FALSE)</f>
        <v>No</v>
      </c>
      <c r="K1039" t="str">
        <f>VLOOKUP($A1039,'Medical Examinations'!$A:$J,5,FALSE)</f>
        <v>Diabetes</v>
      </c>
      <c r="L1039">
        <f>VLOOKUP($A1040,'Medical Examinations'!$A:$J,3,FALSE)</f>
        <v>33.299999999999997</v>
      </c>
      <c r="M1039">
        <f>VLOOKUP($A1039,'Hospitalisation Details'!$A:$K,6,FALSE)</f>
        <v>10807.49</v>
      </c>
      <c r="N1039" s="11">
        <f>VLOOKUP($B1039,'Hospitalisation Details'!A1038:J3382,10,0)</f>
        <v>26551</v>
      </c>
      <c r="O1039" t="str">
        <f>VLOOKUP($B1039,'Hospitalisation Details'!A1038:J3382,8,0)</f>
        <v>tier - 3</v>
      </c>
      <c r="P1039" t="str">
        <f>VLOOKUP($B1039,'Hospitalisation Details'!A1038:J3382,7,0)</f>
        <v>tier - 2</v>
      </c>
      <c r="Q1039" t="str">
        <f>VLOOKUP($B1039,'Hospitalisation Details'!A1038:J3382,9,0)</f>
        <v>R1013</v>
      </c>
      <c r="R1039">
        <f>VLOOKUP($B1039,'Hospitalisation Details'!A1038:K3382,11,0)</f>
        <v>50</v>
      </c>
    </row>
    <row r="1040" spans="1:18" x14ac:dyDescent="0.35">
      <c r="A1040" t="s">
        <v>1332</v>
      </c>
      <c r="B1040" t="s">
        <v>1071</v>
      </c>
      <c r="C1040" t="str">
        <f>VLOOKUP($A1040,'Customer Names'!$A:$E,4,FALSE)</f>
        <v>Erin C</v>
      </c>
      <c r="D1040" t="str">
        <f>VLOOKUP($A1040,'Medical Examinations'!$A:$J,2,FALSE)</f>
        <v>Obesity</v>
      </c>
      <c r="E1040">
        <f>VLOOKUP($A1040,'Medical Examinations'!$A:$J,4,FALSE)</f>
        <v>8.26</v>
      </c>
      <c r="F1040" t="str">
        <f>VLOOKUP($A1040,'Medical Examinations'!$A:$J,6,FALSE)</f>
        <v>yes</v>
      </c>
      <c r="G1040" t="str">
        <f>VLOOKUP($A1040,'Medical Examinations'!$A:$J,7,FALSE)</f>
        <v>No</v>
      </c>
      <c r="H1040" t="str">
        <f>VLOOKUP($A1040,'Medical Examinations'!$A:$J,8,FALSE)</f>
        <v>No</v>
      </c>
      <c r="I1040">
        <f>VLOOKUP($A1040,'Medical Examinations'!$A:$J,9,FALSE)</f>
        <v>2</v>
      </c>
      <c r="J1040" t="str">
        <f>VLOOKUP($A1040,'Medical Examinations'!$A:$J,10,FALSE)</f>
        <v>No</v>
      </c>
      <c r="K1040" t="str">
        <f>VLOOKUP($A1040,'Medical Examinations'!$A:$J,5,FALSE)</f>
        <v>Diabetes</v>
      </c>
      <c r="L1040">
        <f>VLOOKUP($A1041,'Medical Examinations'!$A:$J,3,FALSE)</f>
        <v>30.78</v>
      </c>
      <c r="M1040">
        <f>VLOOKUP($A1040,'Hospitalisation Details'!$A:$K,6,FALSE)</f>
        <v>10806.84</v>
      </c>
      <c r="N1040" s="11">
        <f>VLOOKUP($B1040,'Hospitalisation Details'!A1039:J3383,10,0)</f>
        <v>26546</v>
      </c>
      <c r="O1040" t="str">
        <f>VLOOKUP($B1040,'Hospitalisation Details'!A1039:J3383,8,0)</f>
        <v>tier - 1</v>
      </c>
      <c r="P1040" t="str">
        <f>VLOOKUP($B1040,'Hospitalisation Details'!A1039:J3383,7,0)</f>
        <v>tier - 3</v>
      </c>
      <c r="Q1040" t="str">
        <f>VLOOKUP($B1040,'Hospitalisation Details'!A1039:J3383,9,0)</f>
        <v>R1011</v>
      </c>
      <c r="R1040">
        <f>VLOOKUP($B1040,'Hospitalisation Details'!A1039:K3383,11,0)</f>
        <v>50</v>
      </c>
    </row>
    <row r="1041" spans="1:18" x14ac:dyDescent="0.35">
      <c r="A1041" t="s">
        <v>1331</v>
      </c>
      <c r="B1041" t="s">
        <v>1072</v>
      </c>
      <c r="C1041" t="str">
        <f>VLOOKUP($A1041,'Customer Names'!$A:$E,4,FALSE)</f>
        <v>Shure</v>
      </c>
      <c r="D1041" t="str">
        <f>VLOOKUP($A1041,'Medical Examinations'!$A:$J,2,FALSE)</f>
        <v>Obesity</v>
      </c>
      <c r="E1041">
        <f>VLOOKUP($A1041,'Medical Examinations'!$A:$J,4,FALSE)</f>
        <v>10.74</v>
      </c>
      <c r="F1041" t="str">
        <f>VLOOKUP($A1041,'Medical Examinations'!$A:$J,6,FALSE)</f>
        <v>yes</v>
      </c>
      <c r="G1041" t="str">
        <f>VLOOKUP($A1041,'Medical Examinations'!$A:$J,7,FALSE)</f>
        <v>No</v>
      </c>
      <c r="H1041" t="str">
        <f>VLOOKUP($A1041,'Medical Examinations'!$A:$J,8,FALSE)</f>
        <v>No</v>
      </c>
      <c r="I1041">
        <f>VLOOKUP($A1041,'Medical Examinations'!$A:$J,9,FALSE)</f>
        <v>2</v>
      </c>
      <c r="J1041" t="str">
        <f>VLOOKUP($A1041,'Medical Examinations'!$A:$J,10,FALSE)</f>
        <v>No</v>
      </c>
      <c r="K1041" t="str">
        <f>VLOOKUP($A1041,'Medical Examinations'!$A:$J,5,FALSE)</f>
        <v>Diabetes</v>
      </c>
      <c r="L1041">
        <f>VLOOKUP($A1042,'Medical Examinations'!$A:$J,3,FALSE)</f>
        <v>28.975000000000001</v>
      </c>
      <c r="M1041">
        <f>VLOOKUP($A1041,'Hospitalisation Details'!$A:$K,6,FALSE)</f>
        <v>10797.34</v>
      </c>
      <c r="N1041" s="11">
        <f>VLOOKUP($B1041,'Hospitalisation Details'!A1040:J3384,10,0)</f>
        <v>24270</v>
      </c>
      <c r="O1041" t="str">
        <f>VLOOKUP($B1041,'Hospitalisation Details'!A1040:J3384,8,0)</f>
        <v>tier - 1</v>
      </c>
      <c r="P1041" t="str">
        <f>VLOOKUP($B1041,'Hospitalisation Details'!A1040:J3384,7,0)</f>
        <v>tier - 3</v>
      </c>
      <c r="Q1041" t="str">
        <f>VLOOKUP($B1041,'Hospitalisation Details'!A1040:J3384,9,0)</f>
        <v>R1013</v>
      </c>
      <c r="R1041">
        <f>VLOOKUP($B1041,'Hospitalisation Details'!A1040:K3384,11,0)</f>
        <v>56</v>
      </c>
    </row>
    <row r="1042" spans="1:18" x14ac:dyDescent="0.35">
      <c r="A1042" t="s">
        <v>1330</v>
      </c>
      <c r="B1042" t="s">
        <v>1073</v>
      </c>
      <c r="C1042" t="str">
        <f>VLOOKUP($A1042,'Customer Names'!$A:$E,4,FALSE)</f>
        <v>Richard</v>
      </c>
      <c r="D1042" t="str">
        <f>VLOOKUP($A1042,'Medical Examinations'!$A:$J,2,FALSE)</f>
        <v>Overweight</v>
      </c>
      <c r="E1042">
        <f>VLOOKUP($A1042,'Medical Examinations'!$A:$J,4,FALSE)</f>
        <v>7.69</v>
      </c>
      <c r="F1042" t="str">
        <f>VLOOKUP($A1042,'Medical Examinations'!$A:$J,6,FALSE)</f>
        <v>yes</v>
      </c>
      <c r="G1042" t="str">
        <f>VLOOKUP($A1042,'Medical Examinations'!$A:$J,7,FALSE)</f>
        <v>No</v>
      </c>
      <c r="H1042" t="str">
        <f>VLOOKUP($A1042,'Medical Examinations'!$A:$J,8,FALSE)</f>
        <v>No</v>
      </c>
      <c r="I1042">
        <f>VLOOKUP($A1042,'Medical Examinations'!$A:$J,9,FALSE)</f>
        <v>0</v>
      </c>
      <c r="J1042" t="str">
        <f>VLOOKUP($A1042,'Medical Examinations'!$A:$J,10,FALSE)</f>
        <v>No</v>
      </c>
      <c r="K1042" t="str">
        <f>VLOOKUP($A1042,'Medical Examinations'!$A:$J,5,FALSE)</f>
        <v>Diabetes</v>
      </c>
      <c r="L1042">
        <f>VLOOKUP($A1043,'Medical Examinations'!$A:$J,3,FALSE)</f>
        <v>33.4</v>
      </c>
      <c r="M1042">
        <f>VLOOKUP($A1042,'Hospitalisation Details'!$A:$K,6,FALSE)</f>
        <v>10796.35</v>
      </c>
      <c r="N1042" s="11">
        <f>VLOOKUP($B1042,'Hospitalisation Details'!A1041:J3385,10,0)</f>
        <v>30852</v>
      </c>
      <c r="O1042" t="str">
        <f>VLOOKUP($B1042,'Hospitalisation Details'!A1041:J3385,8,0)</f>
        <v>tier - 2</v>
      </c>
      <c r="P1042" t="str">
        <f>VLOOKUP($B1042,'Hospitalisation Details'!A1041:J3385,7,0)</f>
        <v>tier - 2</v>
      </c>
      <c r="Q1042" t="str">
        <f>VLOOKUP($B1042,'Hospitalisation Details'!A1041:J3385,9,0)</f>
        <v>R1025</v>
      </c>
      <c r="R1042">
        <f>VLOOKUP($B1042,'Hospitalisation Details'!A1041:K3385,11,0)</f>
        <v>38</v>
      </c>
    </row>
    <row r="1043" spans="1:18" x14ac:dyDescent="0.35">
      <c r="A1043" t="s">
        <v>1329</v>
      </c>
      <c r="B1043" t="s">
        <v>1074</v>
      </c>
      <c r="C1043" t="str">
        <f>VLOOKUP($A1043,'Customer Names'!$A:$E,4,FALSE)</f>
        <v>Brenda</v>
      </c>
      <c r="D1043" t="str">
        <f>VLOOKUP($A1043,'Medical Examinations'!$A:$J,2,FALSE)</f>
        <v>Obesity</v>
      </c>
      <c r="E1043">
        <f>VLOOKUP($A1043,'Medical Examinations'!$A:$J,4,FALSE)</f>
        <v>4.84</v>
      </c>
      <c r="F1043" t="str">
        <f>VLOOKUP($A1043,'Medical Examinations'!$A:$J,6,FALSE)</f>
        <v>No</v>
      </c>
      <c r="G1043" t="str">
        <f>VLOOKUP($A1043,'Medical Examinations'!$A:$J,7,FALSE)</f>
        <v>No</v>
      </c>
      <c r="H1043" t="str">
        <f>VLOOKUP($A1043,'Medical Examinations'!$A:$J,8,FALSE)</f>
        <v>No</v>
      </c>
      <c r="I1043">
        <f>VLOOKUP($A1043,'Medical Examinations'!$A:$J,9,FALSE)</f>
        <v>0</v>
      </c>
      <c r="J1043" t="str">
        <f>VLOOKUP($A1043,'Medical Examinations'!$A:$J,10,FALSE)</f>
        <v>No</v>
      </c>
      <c r="K1043" t="str">
        <f>VLOOKUP($A1043,'Medical Examinations'!$A:$J,5,FALSE)</f>
        <v>Normal</v>
      </c>
      <c r="L1043">
        <f>VLOOKUP($A1044,'Medical Examinations'!$A:$J,3,FALSE)</f>
        <v>21.5</v>
      </c>
      <c r="M1043">
        <f>VLOOKUP($A1043,'Hospitalisation Details'!$A:$K,6,FALSE)</f>
        <v>10795.94</v>
      </c>
      <c r="N1043" s="11">
        <f>VLOOKUP($B1043,'Hospitalisation Details'!A1042:J3386,10,0)</f>
        <v>26659</v>
      </c>
      <c r="O1043" t="str">
        <f>VLOOKUP($B1043,'Hospitalisation Details'!A1042:J3386,8,0)</f>
        <v>tier - 3</v>
      </c>
      <c r="P1043" t="str">
        <f>VLOOKUP($B1043,'Hospitalisation Details'!A1042:J3386,7,0)</f>
        <v>tier - 2</v>
      </c>
      <c r="Q1043" t="str">
        <f>VLOOKUP($B1043,'Hospitalisation Details'!A1042:J3386,9,0)</f>
        <v>R1011</v>
      </c>
      <c r="R1043">
        <f>VLOOKUP($B1043,'Hospitalisation Details'!A1042:K3386,11,0)</f>
        <v>50</v>
      </c>
    </row>
    <row r="1044" spans="1:18" x14ac:dyDescent="0.35">
      <c r="A1044" t="s">
        <v>1328</v>
      </c>
      <c r="B1044" t="s">
        <v>1075</v>
      </c>
      <c r="C1044" t="str">
        <f>VLOOKUP($A1044,'Customer Names'!$A:$E,4,FALSE)</f>
        <v>Joseph M</v>
      </c>
      <c r="D1044" t="str">
        <f>VLOOKUP($A1044,'Medical Examinations'!$A:$J,2,FALSE)</f>
        <v>Normal Weight</v>
      </c>
      <c r="E1044">
        <f>VLOOKUP($A1044,'Medical Examinations'!$A:$J,4,FALSE)</f>
        <v>9.77</v>
      </c>
      <c r="F1044" t="str">
        <f>VLOOKUP($A1044,'Medical Examinations'!$A:$J,6,FALSE)</f>
        <v>yes</v>
      </c>
      <c r="G1044" t="str">
        <f>VLOOKUP($A1044,'Medical Examinations'!$A:$J,7,FALSE)</f>
        <v>No</v>
      </c>
      <c r="H1044" t="str">
        <f>VLOOKUP($A1044,'Medical Examinations'!$A:$J,8,FALSE)</f>
        <v>No</v>
      </c>
      <c r="I1044">
        <f>VLOOKUP($A1044,'Medical Examinations'!$A:$J,9,FALSE)</f>
        <v>0</v>
      </c>
      <c r="J1044" t="str">
        <f>VLOOKUP($A1044,'Medical Examinations'!$A:$J,10,FALSE)</f>
        <v>No</v>
      </c>
      <c r="K1044" t="str">
        <f>VLOOKUP($A1044,'Medical Examinations'!$A:$J,5,FALSE)</f>
        <v>Diabetes</v>
      </c>
      <c r="L1044">
        <f>VLOOKUP($A1045,'Medical Examinations'!$A:$J,3,FALSE)</f>
        <v>38.14</v>
      </c>
      <c r="M1044">
        <f>VLOOKUP($A1044,'Hospitalisation Details'!$A:$K,6,FALSE)</f>
        <v>10791.96</v>
      </c>
      <c r="N1044" s="11">
        <f>VLOOKUP($B1044,'Hospitalisation Details'!A1043:J3387,10,0)</f>
        <v>33856</v>
      </c>
      <c r="O1044" t="str">
        <f>VLOOKUP($B1044,'Hospitalisation Details'!A1043:J3387,8,0)</f>
        <v>tier - 2</v>
      </c>
      <c r="P1044" t="str">
        <f>VLOOKUP($B1044,'Hospitalisation Details'!A1043:J3387,7,0)</f>
        <v>tier - 2</v>
      </c>
      <c r="Q1044" t="str">
        <f>VLOOKUP($B1044,'Hospitalisation Details'!A1043:J3387,9,0)</f>
        <v>R1012</v>
      </c>
      <c r="R1044">
        <f>VLOOKUP($B1044,'Hospitalisation Details'!A1043:K3387,11,0)</f>
        <v>30</v>
      </c>
    </row>
    <row r="1045" spans="1:18" x14ac:dyDescent="0.35">
      <c r="A1045" t="s">
        <v>1327</v>
      </c>
      <c r="B1045" t="s">
        <v>1076</v>
      </c>
      <c r="C1045" t="str">
        <f>VLOOKUP($A1045,'Customer Names'!$A:$E,4,FALSE)</f>
        <v>Stephen J.</v>
      </c>
      <c r="D1045" t="str">
        <f>VLOOKUP($A1045,'Medical Examinations'!$A:$J,2,FALSE)</f>
        <v>Obesity</v>
      </c>
      <c r="E1045">
        <f>VLOOKUP($A1045,'Medical Examinations'!$A:$J,4,FALSE)</f>
        <v>5.84</v>
      </c>
      <c r="F1045" t="str">
        <f>VLOOKUP($A1045,'Medical Examinations'!$A:$J,6,FALSE)</f>
        <v>No</v>
      </c>
      <c r="G1045" t="str">
        <f>VLOOKUP($A1045,'Medical Examinations'!$A:$J,7,FALSE)</f>
        <v>No</v>
      </c>
      <c r="H1045" t="str">
        <f>VLOOKUP($A1045,'Medical Examinations'!$A:$J,8,FALSE)</f>
        <v>No</v>
      </c>
      <c r="I1045">
        <f>VLOOKUP($A1045,'Medical Examinations'!$A:$J,9,FALSE)</f>
        <v>0</v>
      </c>
      <c r="J1045" t="str">
        <f>VLOOKUP($A1045,'Medical Examinations'!$A:$J,10,FALSE)</f>
        <v>No</v>
      </c>
      <c r="K1045" t="str">
        <f>VLOOKUP($A1045,'Medical Examinations'!$A:$J,5,FALSE)</f>
        <v>Prediabetes</v>
      </c>
      <c r="L1045">
        <f>VLOOKUP($A1046,'Medical Examinations'!$A:$J,3,FALSE)</f>
        <v>35.42</v>
      </c>
      <c r="M1045">
        <f>VLOOKUP($A1045,'Hospitalisation Details'!$A:$K,6,FALSE)</f>
        <v>10769.75</v>
      </c>
      <c r="N1045" s="11">
        <f>VLOOKUP($B1045,'Hospitalisation Details'!A1044:J3388,10,0)</f>
        <v>34283</v>
      </c>
      <c r="O1045" t="str">
        <f>VLOOKUP($B1045,'Hospitalisation Details'!A1044:J3388,8,0)</f>
        <v>tier - 1</v>
      </c>
      <c r="P1045" t="str">
        <f>VLOOKUP($B1045,'Hospitalisation Details'!A1044:J3388,7,0)</f>
        <v>tier - 2</v>
      </c>
      <c r="Q1045" t="str">
        <f>VLOOKUP($B1045,'Hospitalisation Details'!A1044:J3388,9,0)</f>
        <v>R1012</v>
      </c>
      <c r="R1045">
        <f>VLOOKUP($B1045,'Hospitalisation Details'!A1044:K3388,11,0)</f>
        <v>29</v>
      </c>
    </row>
    <row r="1046" spans="1:18" x14ac:dyDescent="0.35">
      <c r="A1046" t="s">
        <v>1326</v>
      </c>
      <c r="B1046" t="s">
        <v>1077</v>
      </c>
      <c r="C1046" t="str">
        <f>VLOOKUP($A1046,'Customer Names'!$A:$E,4,FALSE)</f>
        <v>Kathya</v>
      </c>
      <c r="D1046" t="str">
        <f>VLOOKUP($A1046,'Medical Examinations'!$A:$J,2,FALSE)</f>
        <v>Obesity</v>
      </c>
      <c r="E1046">
        <f>VLOOKUP($A1046,'Medical Examinations'!$A:$J,4,FALSE)</f>
        <v>8.6999999999999993</v>
      </c>
      <c r="F1046" t="str">
        <f>VLOOKUP($A1046,'Medical Examinations'!$A:$J,6,FALSE)</f>
        <v>yes</v>
      </c>
      <c r="G1046" t="str">
        <f>VLOOKUP($A1046,'Medical Examinations'!$A:$J,7,FALSE)</f>
        <v>No</v>
      </c>
      <c r="H1046" t="str">
        <f>VLOOKUP($A1046,'Medical Examinations'!$A:$J,8,FALSE)</f>
        <v>No</v>
      </c>
      <c r="I1046">
        <f>VLOOKUP($A1046,'Medical Examinations'!$A:$J,9,FALSE)</f>
        <v>1</v>
      </c>
      <c r="J1046" t="str">
        <f>VLOOKUP($A1046,'Medical Examinations'!$A:$J,10,FALSE)</f>
        <v>No</v>
      </c>
      <c r="K1046" t="str">
        <f>VLOOKUP($A1046,'Medical Examinations'!$A:$J,5,FALSE)</f>
        <v>Diabetes</v>
      </c>
      <c r="L1046">
        <f>VLOOKUP($A1047,'Medical Examinations'!$A:$J,3,FALSE)</f>
        <v>35.625</v>
      </c>
      <c r="M1046">
        <f>VLOOKUP($A1046,'Hospitalisation Details'!$A:$K,6,FALSE)</f>
        <v>10749.02</v>
      </c>
      <c r="N1046" s="11">
        <f>VLOOKUP($B1046,'Hospitalisation Details'!A1045:J3389,10,0)</f>
        <v>28485</v>
      </c>
      <c r="O1046" t="str">
        <f>VLOOKUP($B1046,'Hospitalisation Details'!A1045:J3389,8,0)</f>
        <v>tier - 2</v>
      </c>
      <c r="P1046" t="str">
        <f>VLOOKUP($B1046,'Hospitalisation Details'!A1045:J3389,7,0)</f>
        <v>tier - 2</v>
      </c>
      <c r="Q1046" t="str">
        <f>VLOOKUP($B1046,'Hospitalisation Details'!A1045:J3389,9,0)</f>
        <v>R1013</v>
      </c>
      <c r="R1046">
        <f>VLOOKUP($B1046,'Hospitalisation Details'!A1045:K3389,11,0)</f>
        <v>45</v>
      </c>
    </row>
    <row r="1047" spans="1:18" x14ac:dyDescent="0.35">
      <c r="A1047" t="s">
        <v>1325</v>
      </c>
      <c r="B1047" t="s">
        <v>1078</v>
      </c>
      <c r="C1047" t="str">
        <f>VLOOKUP($A1047,'Customer Names'!$A:$E,4,FALSE)</f>
        <v>Wesley</v>
      </c>
      <c r="D1047" t="str">
        <f>VLOOKUP($A1047,'Medical Examinations'!$A:$J,2,FALSE)</f>
        <v>Obesity</v>
      </c>
      <c r="E1047">
        <f>VLOOKUP($A1047,'Medical Examinations'!$A:$J,4,FALSE)</f>
        <v>10.79</v>
      </c>
      <c r="F1047" t="str">
        <f>VLOOKUP($A1047,'Medical Examinations'!$A:$J,6,FALSE)</f>
        <v>No</v>
      </c>
      <c r="G1047" t="str">
        <f>VLOOKUP($A1047,'Medical Examinations'!$A:$J,7,FALSE)</f>
        <v>No</v>
      </c>
      <c r="H1047" t="str">
        <f>VLOOKUP($A1047,'Medical Examinations'!$A:$J,8,FALSE)</f>
        <v>No</v>
      </c>
      <c r="I1047">
        <f>VLOOKUP($A1047,'Medical Examinations'!$A:$J,9,FALSE)</f>
        <v>0</v>
      </c>
      <c r="J1047" t="str">
        <f>VLOOKUP($A1047,'Medical Examinations'!$A:$J,10,FALSE)</f>
        <v>No</v>
      </c>
      <c r="K1047" t="str">
        <f>VLOOKUP($A1047,'Medical Examinations'!$A:$J,5,FALSE)</f>
        <v>Diabetes</v>
      </c>
      <c r="L1047">
        <f>VLOOKUP($A1048,'Medical Examinations'!$A:$J,3,FALSE)</f>
        <v>45.51</v>
      </c>
      <c r="M1047">
        <f>VLOOKUP($A1047,'Hospitalisation Details'!$A:$K,6,FALSE)</f>
        <v>10736.87</v>
      </c>
      <c r="N1047" s="11">
        <f>VLOOKUP($B1047,'Hospitalisation Details'!A1046:J3390,10,0)</f>
        <v>28297</v>
      </c>
      <c r="O1047" t="str">
        <f>VLOOKUP($B1047,'Hospitalisation Details'!A1046:J3390,8,0)</f>
        <v>tier - 1</v>
      </c>
      <c r="P1047" t="str">
        <f>VLOOKUP($B1047,'Hospitalisation Details'!A1046:J3390,7,0)</f>
        <v>tier - 2</v>
      </c>
      <c r="Q1047" t="str">
        <f>VLOOKUP($B1047,'Hospitalisation Details'!A1046:J3390,9,0)</f>
        <v>R1013</v>
      </c>
      <c r="R1047">
        <f>VLOOKUP($B1047,'Hospitalisation Details'!A1046:K3390,11,0)</f>
        <v>45</v>
      </c>
    </row>
    <row r="1048" spans="1:18" x14ac:dyDescent="0.35">
      <c r="A1048" t="s">
        <v>1324</v>
      </c>
      <c r="B1048" t="s">
        <v>1079</v>
      </c>
      <c r="C1048" t="str">
        <f>VLOOKUP($A1048,'Customer Names'!$A:$E,4,FALSE)</f>
        <v>Tim</v>
      </c>
      <c r="D1048" t="str">
        <f>VLOOKUP($A1048,'Medical Examinations'!$A:$J,2,FALSE)</f>
        <v>Obesity</v>
      </c>
      <c r="E1048">
        <f>VLOOKUP($A1048,'Medical Examinations'!$A:$J,4,FALSE)</f>
        <v>4.32</v>
      </c>
      <c r="F1048" t="str">
        <f>VLOOKUP($A1048,'Medical Examinations'!$A:$J,6,FALSE)</f>
        <v>No</v>
      </c>
      <c r="G1048" t="str">
        <f>VLOOKUP($A1048,'Medical Examinations'!$A:$J,7,FALSE)</f>
        <v>No</v>
      </c>
      <c r="H1048" t="str">
        <f>VLOOKUP($A1048,'Medical Examinations'!$A:$J,8,FALSE)</f>
        <v>No</v>
      </c>
      <c r="I1048">
        <f>VLOOKUP($A1048,'Medical Examinations'!$A:$J,9,FALSE)</f>
        <v>1</v>
      </c>
      <c r="J1048" t="str">
        <f>VLOOKUP($A1048,'Medical Examinations'!$A:$J,10,FALSE)</f>
        <v>No</v>
      </c>
      <c r="K1048" t="str">
        <f>VLOOKUP($A1048,'Medical Examinations'!$A:$J,5,FALSE)</f>
        <v>Normal</v>
      </c>
      <c r="L1048">
        <f>VLOOKUP($A1049,'Medical Examinations'!$A:$J,3,FALSE)</f>
        <v>37.1</v>
      </c>
      <c r="M1048">
        <f>VLOOKUP($A1048,'Hospitalisation Details'!$A:$K,6,FALSE)</f>
        <v>10719.57</v>
      </c>
      <c r="N1048" s="11">
        <f>VLOOKUP($B1048,'Hospitalisation Details'!A1047:J3391,10,0)</f>
        <v>28488</v>
      </c>
      <c r="O1048" t="str">
        <f>VLOOKUP($B1048,'Hospitalisation Details'!A1047:J3391,8,0)</f>
        <v>tier - 3</v>
      </c>
      <c r="P1048" t="str">
        <f>VLOOKUP($B1048,'Hospitalisation Details'!A1047:J3391,7,0)</f>
        <v>tier - 2</v>
      </c>
      <c r="Q1048" t="str">
        <f>VLOOKUP($B1048,'Hospitalisation Details'!A1047:J3391,9,0)</f>
        <v>R1011</v>
      </c>
      <c r="R1048">
        <f>VLOOKUP($B1048,'Hospitalisation Details'!A1047:K3391,11,0)</f>
        <v>45</v>
      </c>
    </row>
    <row r="1049" spans="1:18" x14ac:dyDescent="0.35">
      <c r="A1049" t="s">
        <v>1323</v>
      </c>
      <c r="B1049" t="s">
        <v>1080</v>
      </c>
      <c r="C1049" t="str">
        <f>VLOOKUP($A1049,'Customer Names'!$A:$E,4,FALSE)</f>
        <v>Jamie L.</v>
      </c>
      <c r="D1049" t="str">
        <f>VLOOKUP($A1049,'Medical Examinations'!$A:$J,2,FALSE)</f>
        <v>Obesity</v>
      </c>
      <c r="E1049">
        <f>VLOOKUP($A1049,'Medical Examinations'!$A:$J,4,FALSE)</f>
        <v>7.19</v>
      </c>
      <c r="F1049" t="str">
        <f>VLOOKUP($A1049,'Medical Examinations'!$A:$J,6,FALSE)</f>
        <v>yes</v>
      </c>
      <c r="G1049" t="str">
        <f>VLOOKUP($A1049,'Medical Examinations'!$A:$J,7,FALSE)</f>
        <v>No</v>
      </c>
      <c r="H1049" t="str">
        <f>VLOOKUP($A1049,'Medical Examinations'!$A:$J,8,FALSE)</f>
        <v>No</v>
      </c>
      <c r="I1049">
        <f>VLOOKUP($A1049,'Medical Examinations'!$A:$J,9,FALSE)</f>
        <v>0</v>
      </c>
      <c r="J1049" t="str">
        <f>VLOOKUP($A1049,'Medical Examinations'!$A:$J,10,FALSE)</f>
        <v>No</v>
      </c>
      <c r="K1049" t="str">
        <f>VLOOKUP($A1049,'Medical Examinations'!$A:$J,5,FALSE)</f>
        <v>Diabetes</v>
      </c>
      <c r="L1049">
        <f>VLOOKUP($A1050,'Medical Examinations'!$A:$J,3,FALSE)</f>
        <v>30.5</v>
      </c>
      <c r="M1049">
        <f>VLOOKUP($A1049,'Hospitalisation Details'!$A:$K,6,FALSE)</f>
        <v>10713.64</v>
      </c>
      <c r="N1049" s="11">
        <f>VLOOKUP($B1049,'Hospitalisation Details'!A1048:J3392,10,0)</f>
        <v>29080</v>
      </c>
      <c r="O1049" t="str">
        <f>VLOOKUP($B1049,'Hospitalisation Details'!A1048:J3392,8,0)</f>
        <v>tier - 2</v>
      </c>
      <c r="P1049" t="str">
        <f>VLOOKUP($B1049,'Hospitalisation Details'!A1048:J3392,7,0)</f>
        <v>tier - 2</v>
      </c>
      <c r="Q1049" t="str">
        <f>VLOOKUP($B1049,'Hospitalisation Details'!A1048:J3392,9,0)</f>
        <v>R1011</v>
      </c>
      <c r="R1049">
        <f>VLOOKUP($B1049,'Hospitalisation Details'!A1048:K3392,11,0)</f>
        <v>43</v>
      </c>
    </row>
    <row r="1050" spans="1:18" x14ac:dyDescent="0.35">
      <c r="A1050" t="s">
        <v>1322</v>
      </c>
      <c r="B1050" t="s">
        <v>1081</v>
      </c>
      <c r="C1050" t="str">
        <f>VLOOKUP($A1050,'Customer Names'!$A:$E,4,FALSE)</f>
        <v>Alexandra</v>
      </c>
      <c r="D1050" t="str">
        <f>VLOOKUP($A1050,'Medical Examinations'!$A:$J,2,FALSE)</f>
        <v>Obesity</v>
      </c>
      <c r="E1050">
        <f>VLOOKUP($A1050,'Medical Examinations'!$A:$J,4,FALSE)</f>
        <v>11.94</v>
      </c>
      <c r="F1050" t="str">
        <f>VLOOKUP($A1050,'Medical Examinations'!$A:$J,6,FALSE)</f>
        <v>yes</v>
      </c>
      <c r="G1050" t="str">
        <f>VLOOKUP($A1050,'Medical Examinations'!$A:$J,7,FALSE)</f>
        <v>No</v>
      </c>
      <c r="H1050" t="str">
        <f>VLOOKUP($A1050,'Medical Examinations'!$A:$J,8,FALSE)</f>
        <v>No</v>
      </c>
      <c r="I1050">
        <f>VLOOKUP($A1050,'Medical Examinations'!$A:$J,9,FALSE)</f>
        <v>0</v>
      </c>
      <c r="J1050" t="str">
        <f>VLOOKUP($A1050,'Medical Examinations'!$A:$J,10,FALSE)</f>
        <v>No</v>
      </c>
      <c r="K1050" t="str">
        <f>VLOOKUP($A1050,'Medical Examinations'!$A:$J,5,FALSE)</f>
        <v>Diabetes</v>
      </c>
      <c r="L1050">
        <f>VLOOKUP($A1051,'Medical Examinations'!$A:$J,3,FALSE)</f>
        <v>28.16</v>
      </c>
      <c r="M1050">
        <f>VLOOKUP($A1050,'Hospitalisation Details'!$A:$K,6,FALSE)</f>
        <v>10704.47</v>
      </c>
      <c r="N1050" s="11">
        <f>VLOOKUP($B1050,'Hospitalisation Details'!A1049:J3393,10,0)</f>
        <v>28332</v>
      </c>
      <c r="O1050" t="str">
        <f>VLOOKUP($B1050,'Hospitalisation Details'!A1049:J3393,8,0)</f>
        <v>tier - 2</v>
      </c>
      <c r="P1050" t="str">
        <f>VLOOKUP($B1050,'Hospitalisation Details'!A1049:J3393,7,0)</f>
        <v>tier - 2</v>
      </c>
      <c r="Q1050" t="str">
        <f>VLOOKUP($B1050,'Hospitalisation Details'!A1049:J3393,9,0)</f>
        <v>R1013</v>
      </c>
      <c r="R1050">
        <f>VLOOKUP($B1050,'Hospitalisation Details'!A1049:K3393,11,0)</f>
        <v>45</v>
      </c>
    </row>
    <row r="1051" spans="1:18" x14ac:dyDescent="0.35">
      <c r="A1051" t="s">
        <v>1321</v>
      </c>
      <c r="B1051" t="s">
        <v>1082</v>
      </c>
      <c r="C1051" t="str">
        <f>VLOOKUP($A1051,'Customer Names'!$A:$E,4,FALSE)</f>
        <v>Tiffany</v>
      </c>
      <c r="D1051" t="str">
        <f>VLOOKUP($A1051,'Medical Examinations'!$A:$J,2,FALSE)</f>
        <v>Overweight</v>
      </c>
      <c r="E1051">
        <f>VLOOKUP($A1051,'Medical Examinations'!$A:$J,4,FALSE)</f>
        <v>5.56</v>
      </c>
      <c r="F1051" t="str">
        <f>VLOOKUP($A1051,'Medical Examinations'!$A:$J,6,FALSE)</f>
        <v>No</v>
      </c>
      <c r="G1051" t="str">
        <f>VLOOKUP($A1051,'Medical Examinations'!$A:$J,7,FALSE)</f>
        <v>No</v>
      </c>
      <c r="H1051" t="str">
        <f>VLOOKUP($A1051,'Medical Examinations'!$A:$J,8,FALSE)</f>
        <v>No</v>
      </c>
      <c r="I1051">
        <f>VLOOKUP($A1051,'Medical Examinations'!$A:$J,9,FALSE)</f>
        <v>2</v>
      </c>
      <c r="J1051" t="str">
        <f>VLOOKUP($A1051,'Medical Examinations'!$A:$J,10,FALSE)</f>
        <v>No</v>
      </c>
      <c r="K1051" t="str">
        <f>VLOOKUP($A1051,'Medical Examinations'!$A:$J,5,FALSE)</f>
        <v>Normal</v>
      </c>
      <c r="L1051">
        <f>VLOOKUP($A1052,'Medical Examinations'!$A:$J,3,FALSE)</f>
        <v>29.1</v>
      </c>
      <c r="M1051">
        <f>VLOOKUP($A1051,'Hospitalisation Details'!$A:$K,6,FALSE)</f>
        <v>10702.64</v>
      </c>
      <c r="N1051" s="11">
        <f>VLOOKUP($B1051,'Hospitalisation Details'!A1050:J3394,10,0)</f>
        <v>30521</v>
      </c>
      <c r="O1051" t="str">
        <f>VLOOKUP($B1051,'Hospitalisation Details'!A1050:J3394,8,0)</f>
        <v>tier - 3</v>
      </c>
      <c r="P1051" t="str">
        <f>VLOOKUP($B1051,'Hospitalisation Details'!A1050:J3394,7,0)</f>
        <v>tier - 2</v>
      </c>
      <c r="Q1051" t="str">
        <f>VLOOKUP($B1051,'Hospitalisation Details'!A1050:J3394,9,0)</f>
        <v>R1024</v>
      </c>
      <c r="R1051">
        <f>VLOOKUP($B1051,'Hospitalisation Details'!A1050:K3394,11,0)</f>
        <v>39</v>
      </c>
    </row>
    <row r="1052" spans="1:18" x14ac:dyDescent="0.35">
      <c r="A1052" t="s">
        <v>1320</v>
      </c>
      <c r="B1052" t="s">
        <v>1083</v>
      </c>
      <c r="C1052" t="str">
        <f>VLOOKUP($A1052,'Customer Names'!$A:$E,4,FALSE)</f>
        <v>Rebecca J</v>
      </c>
      <c r="D1052" t="str">
        <f>VLOOKUP($A1052,'Medical Examinations'!$A:$J,2,FALSE)</f>
        <v>Overweight</v>
      </c>
      <c r="E1052">
        <f>VLOOKUP($A1052,'Medical Examinations'!$A:$J,4,FALSE)</f>
        <v>5.64</v>
      </c>
      <c r="F1052" t="str">
        <f>VLOOKUP($A1052,'Medical Examinations'!$A:$J,6,FALSE)</f>
        <v>yes</v>
      </c>
      <c r="G1052" t="str">
        <f>VLOOKUP($A1052,'Medical Examinations'!$A:$J,7,FALSE)</f>
        <v>No</v>
      </c>
      <c r="H1052" t="str">
        <f>VLOOKUP($A1052,'Medical Examinations'!$A:$J,8,FALSE)</f>
        <v>No</v>
      </c>
      <c r="I1052">
        <f>VLOOKUP($A1052,'Medical Examinations'!$A:$J,9,FALSE)</f>
        <v>0</v>
      </c>
      <c r="J1052" t="str">
        <f>VLOOKUP($A1052,'Medical Examinations'!$A:$J,10,FALSE)</f>
        <v>No</v>
      </c>
      <c r="K1052" t="str">
        <f>VLOOKUP($A1052,'Medical Examinations'!$A:$J,5,FALSE)</f>
        <v>Normal</v>
      </c>
      <c r="L1052">
        <f>VLOOKUP($A1053,'Medical Examinations'!$A:$J,3,FALSE)</f>
        <v>30.22</v>
      </c>
      <c r="M1052">
        <f>VLOOKUP($A1052,'Hospitalisation Details'!$A:$K,6,FALSE)</f>
        <v>10698.38</v>
      </c>
      <c r="N1052" s="11">
        <f>VLOOKUP($B1052,'Hospitalisation Details'!A1051:J3395,10,0)</f>
        <v>29947</v>
      </c>
      <c r="O1052" t="str">
        <f>VLOOKUP($B1052,'Hospitalisation Details'!A1051:J3395,8,0)</f>
        <v>tier - 3</v>
      </c>
      <c r="P1052" t="str">
        <f>VLOOKUP($B1052,'Hospitalisation Details'!A1051:J3395,7,0)</f>
        <v>tier - 2</v>
      </c>
      <c r="Q1052" t="str">
        <f>VLOOKUP($B1052,'Hospitalisation Details'!A1051:J3395,9,0)</f>
        <v>R1024</v>
      </c>
      <c r="R1052">
        <f>VLOOKUP($B1052,'Hospitalisation Details'!A1051:K3395,11,0)</f>
        <v>41</v>
      </c>
    </row>
    <row r="1053" spans="1:18" x14ac:dyDescent="0.35">
      <c r="A1053" t="s">
        <v>1319</v>
      </c>
      <c r="B1053" t="s">
        <v>1084</v>
      </c>
      <c r="C1053" t="str">
        <f>VLOOKUP($A1053,'Customer Names'!$A:$E,4,FALSE)</f>
        <v>Austin T.</v>
      </c>
      <c r="D1053" t="str">
        <f>VLOOKUP($A1053,'Medical Examinations'!$A:$J,2,FALSE)</f>
        <v>Obesity</v>
      </c>
      <c r="E1053">
        <f>VLOOKUP($A1053,'Medical Examinations'!$A:$J,4,FALSE)</f>
        <v>4.6500000000000004</v>
      </c>
      <c r="F1053" t="str">
        <f>VLOOKUP($A1053,'Medical Examinations'!$A:$J,6,FALSE)</f>
        <v>No</v>
      </c>
      <c r="G1053" t="str">
        <f>VLOOKUP($A1053,'Medical Examinations'!$A:$J,7,FALSE)</f>
        <v>No</v>
      </c>
      <c r="H1053" t="str">
        <f>VLOOKUP($A1053,'Medical Examinations'!$A:$J,8,FALSE)</f>
        <v>No</v>
      </c>
      <c r="I1053">
        <f>VLOOKUP($A1053,'Medical Examinations'!$A:$J,9,FALSE)</f>
        <v>0</v>
      </c>
      <c r="J1053" t="str">
        <f>VLOOKUP($A1053,'Medical Examinations'!$A:$J,10,FALSE)</f>
        <v>No</v>
      </c>
      <c r="K1053" t="str">
        <f>VLOOKUP($A1053,'Medical Examinations'!$A:$J,5,FALSE)</f>
        <v>Normal</v>
      </c>
      <c r="L1053">
        <f>VLOOKUP($A1054,'Medical Examinations'!$A:$J,3,FALSE)</f>
        <v>24.29</v>
      </c>
      <c r="M1053">
        <f>VLOOKUP($A1053,'Hospitalisation Details'!$A:$K,6,FALSE)</f>
        <v>10690.11</v>
      </c>
      <c r="N1053" s="11">
        <f>VLOOKUP($B1053,'Hospitalisation Details'!A1052:J3396,10,0)</f>
        <v>27704</v>
      </c>
      <c r="O1053" t="str">
        <f>VLOOKUP($B1053,'Hospitalisation Details'!A1052:J3396,8,0)</f>
        <v>tier - 3</v>
      </c>
      <c r="P1053" t="str">
        <f>VLOOKUP($B1053,'Hospitalisation Details'!A1052:J3396,7,0)</f>
        <v>tier - 2</v>
      </c>
      <c r="Q1053" t="str">
        <f>VLOOKUP($B1053,'Hospitalisation Details'!A1052:J3396,9,0)</f>
        <v>R1011</v>
      </c>
      <c r="R1053">
        <f>VLOOKUP($B1053,'Hospitalisation Details'!A1052:K3396,11,0)</f>
        <v>47</v>
      </c>
    </row>
    <row r="1054" spans="1:18" x14ac:dyDescent="0.35">
      <c r="A1054" t="s">
        <v>1318</v>
      </c>
      <c r="B1054" t="s">
        <v>1085</v>
      </c>
      <c r="C1054" t="str">
        <f>VLOOKUP($A1054,'Customer Names'!$A:$E,4,FALSE)</f>
        <v>Jamie T</v>
      </c>
      <c r="D1054" t="str">
        <f>VLOOKUP($A1054,'Medical Examinations'!$A:$J,2,FALSE)</f>
        <v>Normal Weight</v>
      </c>
      <c r="E1054">
        <f>VLOOKUP($A1054,'Medical Examinations'!$A:$J,4,FALSE)</f>
        <v>9.0500000000000007</v>
      </c>
      <c r="F1054" t="str">
        <f>VLOOKUP($A1054,'Medical Examinations'!$A:$J,6,FALSE)</f>
        <v>No</v>
      </c>
      <c r="G1054" t="str">
        <f>VLOOKUP($A1054,'Medical Examinations'!$A:$J,7,FALSE)</f>
        <v>No</v>
      </c>
      <c r="H1054" t="str">
        <f>VLOOKUP($A1054,'Medical Examinations'!$A:$J,8,FALSE)</f>
        <v>No</v>
      </c>
      <c r="I1054">
        <f>VLOOKUP($A1054,'Medical Examinations'!$A:$J,9,FALSE)</f>
        <v>0</v>
      </c>
      <c r="J1054" t="str">
        <f>VLOOKUP($A1054,'Medical Examinations'!$A:$J,10,FALSE)</f>
        <v>No</v>
      </c>
      <c r="K1054" t="str">
        <f>VLOOKUP($A1054,'Medical Examinations'!$A:$J,5,FALSE)</f>
        <v>Diabetes</v>
      </c>
      <c r="L1054">
        <f>VLOOKUP($A1055,'Medical Examinations'!$A:$J,3,FALSE)</f>
        <v>29.39</v>
      </c>
      <c r="M1054">
        <f>VLOOKUP($A1054,'Hospitalisation Details'!$A:$K,6,FALSE)</f>
        <v>10676.83</v>
      </c>
      <c r="N1054" s="11">
        <f>VLOOKUP($B1054,'Hospitalisation Details'!A1053:J3397,10,0)</f>
        <v>30662</v>
      </c>
      <c r="O1054" t="str">
        <f>VLOOKUP($B1054,'Hospitalisation Details'!A1053:J3397,8,0)</f>
        <v>tier - 1</v>
      </c>
      <c r="P1054" t="str">
        <f>VLOOKUP($B1054,'Hospitalisation Details'!A1053:J3397,7,0)</f>
        <v>tier - 2</v>
      </c>
      <c r="Q1054" t="str">
        <f>VLOOKUP($B1054,'Hospitalisation Details'!A1053:J3397,9,0)</f>
        <v>R1013</v>
      </c>
      <c r="R1054">
        <f>VLOOKUP($B1054,'Hospitalisation Details'!A1053:K3397,11,0)</f>
        <v>39</v>
      </c>
    </row>
    <row r="1055" spans="1:18" x14ac:dyDescent="0.35">
      <c r="A1055" t="s">
        <v>1317</v>
      </c>
      <c r="B1055" t="s">
        <v>1086</v>
      </c>
      <c r="C1055" t="str">
        <f>VLOOKUP($A1055,'Customer Names'!$A:$E,4,FALSE)</f>
        <v>Matthew T.</v>
      </c>
      <c r="D1055" t="str">
        <f>VLOOKUP($A1055,'Medical Examinations'!$A:$J,2,FALSE)</f>
        <v>Overweight</v>
      </c>
      <c r="E1055">
        <f>VLOOKUP($A1055,'Medical Examinations'!$A:$J,4,FALSE)</f>
        <v>4.5199999999999996</v>
      </c>
      <c r="F1055" t="str">
        <f>VLOOKUP($A1055,'Medical Examinations'!$A:$J,6,FALSE)</f>
        <v>yes</v>
      </c>
      <c r="G1055" t="str">
        <f>VLOOKUP($A1055,'Medical Examinations'!$A:$J,7,FALSE)</f>
        <v>No</v>
      </c>
      <c r="H1055" t="str">
        <f>VLOOKUP($A1055,'Medical Examinations'!$A:$J,8,FALSE)</f>
        <v>No</v>
      </c>
      <c r="I1055">
        <f>VLOOKUP($A1055,'Medical Examinations'!$A:$J,9,FALSE)</f>
        <v>0</v>
      </c>
      <c r="J1055" t="str">
        <f>VLOOKUP($A1055,'Medical Examinations'!$A:$J,10,FALSE)</f>
        <v>No</v>
      </c>
      <c r="K1055" t="str">
        <f>VLOOKUP($A1055,'Medical Examinations'!$A:$J,5,FALSE)</f>
        <v>Normal</v>
      </c>
      <c r="L1055">
        <f>VLOOKUP($A1056,'Medical Examinations'!$A:$J,3,FALSE)</f>
        <v>25.66</v>
      </c>
      <c r="M1055">
        <f>VLOOKUP($A1055,'Hospitalisation Details'!$A:$K,6,FALSE)</f>
        <v>10665.44</v>
      </c>
      <c r="N1055" s="11">
        <f>VLOOKUP($B1055,'Hospitalisation Details'!A1054:J3398,10,0)</f>
        <v>27612</v>
      </c>
      <c r="O1055" t="str">
        <f>VLOOKUP($B1055,'Hospitalisation Details'!A1054:J3398,8,0)</f>
        <v>tier - 2</v>
      </c>
      <c r="P1055" t="str">
        <f>VLOOKUP($B1055,'Hospitalisation Details'!A1054:J3398,7,0)</f>
        <v>tier - 2</v>
      </c>
      <c r="Q1055" t="str">
        <f>VLOOKUP($B1055,'Hospitalisation Details'!A1054:J3398,9,0)</f>
        <v>R1011</v>
      </c>
      <c r="R1055">
        <f>VLOOKUP($B1055,'Hospitalisation Details'!A1054:K3398,11,0)</f>
        <v>47</v>
      </c>
    </row>
    <row r="1056" spans="1:18" x14ac:dyDescent="0.35">
      <c r="A1056" t="s">
        <v>1316</v>
      </c>
      <c r="B1056" t="s">
        <v>1087</v>
      </c>
      <c r="C1056" t="str">
        <f>VLOOKUP($A1056,'Customer Names'!$A:$E,4,FALSE)</f>
        <v>Emily</v>
      </c>
      <c r="D1056" t="str">
        <f>VLOOKUP($A1056,'Medical Examinations'!$A:$J,2,FALSE)</f>
        <v>Overweight</v>
      </c>
      <c r="E1056">
        <f>VLOOKUP($A1056,'Medical Examinations'!$A:$J,4,FALSE)</f>
        <v>4.62</v>
      </c>
      <c r="F1056" t="str">
        <f>VLOOKUP($A1056,'Medical Examinations'!$A:$J,6,FALSE)</f>
        <v>yes</v>
      </c>
      <c r="G1056" t="str">
        <f>VLOOKUP($A1056,'Medical Examinations'!$A:$J,7,FALSE)</f>
        <v>No</v>
      </c>
      <c r="H1056" t="str">
        <f>VLOOKUP($A1056,'Medical Examinations'!$A:$J,8,FALSE)</f>
        <v>No</v>
      </c>
      <c r="I1056">
        <f>VLOOKUP($A1056,'Medical Examinations'!$A:$J,9,FALSE)</f>
        <v>1</v>
      </c>
      <c r="J1056" t="str">
        <f>VLOOKUP($A1056,'Medical Examinations'!$A:$J,10,FALSE)</f>
        <v>No</v>
      </c>
      <c r="K1056" t="str">
        <f>VLOOKUP($A1056,'Medical Examinations'!$A:$J,5,FALSE)</f>
        <v>Normal</v>
      </c>
      <c r="L1056">
        <f>VLOOKUP($A1057,'Medical Examinations'!$A:$J,3,FALSE)</f>
        <v>39.11</v>
      </c>
      <c r="M1056">
        <f>VLOOKUP($A1056,'Hospitalisation Details'!$A:$K,6,FALSE)</f>
        <v>10627.81</v>
      </c>
      <c r="N1056" s="11">
        <f>VLOOKUP($B1056,'Hospitalisation Details'!A1055:J3399,10,0)</f>
        <v>27627</v>
      </c>
      <c r="O1056" t="str">
        <f>VLOOKUP($B1056,'Hospitalisation Details'!A1055:J3399,8,0)</f>
        <v>tier - 1</v>
      </c>
      <c r="P1056" t="str">
        <f>VLOOKUP($B1056,'Hospitalisation Details'!A1055:J3399,7,0)</f>
        <v>tier - 2</v>
      </c>
      <c r="Q1056" t="str">
        <f>VLOOKUP($B1056,'Hospitalisation Details'!A1055:J3399,9,0)</f>
        <v>R1011</v>
      </c>
      <c r="R1056">
        <f>VLOOKUP($B1056,'Hospitalisation Details'!A1055:K3399,11,0)</f>
        <v>47</v>
      </c>
    </row>
    <row r="1057" spans="1:18" x14ac:dyDescent="0.35">
      <c r="A1057" t="s">
        <v>1315</v>
      </c>
      <c r="B1057" t="s">
        <v>1088</v>
      </c>
      <c r="C1057" t="str">
        <f>VLOOKUP($A1057,'Customer Names'!$A:$E,4,FALSE)</f>
        <v>Gillian</v>
      </c>
      <c r="D1057" t="str">
        <f>VLOOKUP($A1057,'Medical Examinations'!$A:$J,2,FALSE)</f>
        <v>Obesity</v>
      </c>
      <c r="E1057">
        <f>VLOOKUP($A1057,'Medical Examinations'!$A:$J,4,FALSE)</f>
        <v>5.87</v>
      </c>
      <c r="F1057" t="str">
        <f>VLOOKUP($A1057,'Medical Examinations'!$A:$J,6,FALSE)</f>
        <v>No</v>
      </c>
      <c r="G1057" t="str">
        <f>VLOOKUP($A1057,'Medical Examinations'!$A:$J,7,FALSE)</f>
        <v>No</v>
      </c>
      <c r="H1057" t="str">
        <f>VLOOKUP($A1057,'Medical Examinations'!$A:$J,8,FALSE)</f>
        <v>No</v>
      </c>
      <c r="I1057">
        <f>VLOOKUP($A1057,'Medical Examinations'!$A:$J,9,FALSE)</f>
        <v>0</v>
      </c>
      <c r="J1057" t="str">
        <f>VLOOKUP($A1057,'Medical Examinations'!$A:$J,10,FALSE)</f>
        <v>No</v>
      </c>
      <c r="K1057" t="str">
        <f>VLOOKUP($A1057,'Medical Examinations'!$A:$J,5,FALSE)</f>
        <v>Prediabetes</v>
      </c>
      <c r="L1057">
        <f>VLOOKUP($A1058,'Medical Examinations'!$A:$J,3,FALSE)</f>
        <v>43.78</v>
      </c>
      <c r="M1057">
        <f>VLOOKUP($A1057,'Hospitalisation Details'!$A:$K,6,FALSE)</f>
        <v>10620.26</v>
      </c>
      <c r="N1057" s="11">
        <f>VLOOKUP($B1057,'Hospitalisation Details'!A1056:J3400,10,0)</f>
        <v>32407</v>
      </c>
      <c r="O1057" t="str">
        <f>VLOOKUP($B1057,'Hospitalisation Details'!A1056:J3400,8,0)</f>
        <v>tier - 1</v>
      </c>
      <c r="P1057" t="str">
        <f>VLOOKUP($B1057,'Hospitalisation Details'!A1056:J3400,7,0)</f>
        <v>tier - 2</v>
      </c>
      <c r="Q1057" t="str">
        <f>VLOOKUP($B1057,'Hospitalisation Details'!A1056:J3400,9,0)</f>
        <v>R1012</v>
      </c>
      <c r="R1057">
        <f>VLOOKUP($B1057,'Hospitalisation Details'!A1056:K3400,11,0)</f>
        <v>34</v>
      </c>
    </row>
    <row r="1058" spans="1:18" x14ac:dyDescent="0.35">
      <c r="A1058" t="s">
        <v>1314</v>
      </c>
      <c r="B1058" t="s">
        <v>1089</v>
      </c>
      <c r="C1058" t="str">
        <f>VLOOKUP($A1058,'Customer Names'!$A:$E,4,FALSE)</f>
        <v>Brenn E.</v>
      </c>
      <c r="D1058" t="str">
        <f>VLOOKUP($A1058,'Medical Examinations'!$A:$J,2,FALSE)</f>
        <v>Obesity</v>
      </c>
      <c r="E1058">
        <f>VLOOKUP($A1058,'Medical Examinations'!$A:$J,4,FALSE)</f>
        <v>5.71</v>
      </c>
      <c r="F1058" t="str">
        <f>VLOOKUP($A1058,'Medical Examinations'!$A:$J,6,FALSE)</f>
        <v>No</v>
      </c>
      <c r="G1058" t="str">
        <f>VLOOKUP($A1058,'Medical Examinations'!$A:$J,7,FALSE)</f>
        <v>No</v>
      </c>
      <c r="H1058" t="str">
        <f>VLOOKUP($A1058,'Medical Examinations'!$A:$J,8,FALSE)</f>
        <v>No</v>
      </c>
      <c r="I1058">
        <f>VLOOKUP($A1058,'Medical Examinations'!$A:$J,9,FALSE)</f>
        <v>1</v>
      </c>
      <c r="J1058" t="str">
        <f>VLOOKUP($A1058,'Medical Examinations'!$A:$J,10,FALSE)</f>
        <v>No</v>
      </c>
      <c r="K1058" t="str">
        <f>VLOOKUP($A1058,'Medical Examinations'!$A:$J,5,FALSE)</f>
        <v>Prediabetes</v>
      </c>
      <c r="L1058">
        <f>VLOOKUP($A1059,'Medical Examinations'!$A:$J,3,FALSE)</f>
        <v>24.35</v>
      </c>
      <c r="M1058">
        <f>VLOOKUP($A1058,'Hospitalisation Details'!$A:$K,6,FALSE)</f>
        <v>10617.04</v>
      </c>
      <c r="N1058" s="11">
        <f>VLOOKUP($B1058,'Hospitalisation Details'!A1057:J3401,10,0)</f>
        <v>27663</v>
      </c>
      <c r="O1058" t="str">
        <f>VLOOKUP($B1058,'Hospitalisation Details'!A1057:J3401,8,0)</f>
        <v>tier - 3</v>
      </c>
      <c r="P1058" t="str">
        <f>VLOOKUP($B1058,'Hospitalisation Details'!A1057:J3401,7,0)</f>
        <v>tier - 2</v>
      </c>
      <c r="Q1058" t="str">
        <f>VLOOKUP($B1058,'Hospitalisation Details'!A1057:J3401,9,0)</f>
        <v>R1013</v>
      </c>
      <c r="R1058">
        <f>VLOOKUP($B1058,'Hospitalisation Details'!A1057:K3401,11,0)</f>
        <v>47</v>
      </c>
    </row>
    <row r="1059" spans="1:18" x14ac:dyDescent="0.35">
      <c r="A1059" t="s">
        <v>1313</v>
      </c>
      <c r="B1059" t="s">
        <v>1090</v>
      </c>
      <c r="C1059" t="str">
        <f>VLOOKUP($A1059,'Customer Names'!$A:$E,4,FALSE)</f>
        <v>Lisa M</v>
      </c>
      <c r="D1059" t="str">
        <f>VLOOKUP($A1059,'Medical Examinations'!$A:$J,2,FALSE)</f>
        <v>Normal Weight</v>
      </c>
      <c r="E1059">
        <f>VLOOKUP($A1059,'Medical Examinations'!$A:$J,4,FALSE)</f>
        <v>9.08</v>
      </c>
      <c r="F1059" t="str">
        <f>VLOOKUP($A1059,'Medical Examinations'!$A:$J,6,FALSE)</f>
        <v>No</v>
      </c>
      <c r="G1059" t="str">
        <f>VLOOKUP($A1059,'Medical Examinations'!$A:$J,7,FALSE)</f>
        <v>No</v>
      </c>
      <c r="H1059" t="str">
        <f>VLOOKUP($A1059,'Medical Examinations'!$A:$J,8,FALSE)</f>
        <v>No</v>
      </c>
      <c r="I1059">
        <f>VLOOKUP($A1059,'Medical Examinations'!$A:$J,9,FALSE)</f>
        <v>0</v>
      </c>
      <c r="J1059" t="str">
        <f>VLOOKUP($A1059,'Medical Examinations'!$A:$J,10,FALSE)</f>
        <v>No</v>
      </c>
      <c r="K1059" t="str">
        <f>VLOOKUP($A1059,'Medical Examinations'!$A:$J,5,FALSE)</f>
        <v>Diabetes</v>
      </c>
      <c r="L1059">
        <f>VLOOKUP($A1060,'Medical Examinations'!$A:$J,3,FALSE)</f>
        <v>40.299999999999997</v>
      </c>
      <c r="M1059">
        <f>VLOOKUP($A1059,'Hospitalisation Details'!$A:$K,6,FALSE)</f>
        <v>10608.67</v>
      </c>
      <c r="N1059" s="11">
        <f>VLOOKUP($B1059,'Hospitalisation Details'!A1058:J3402,10,0)</f>
        <v>30291</v>
      </c>
      <c r="O1059" t="str">
        <f>VLOOKUP($B1059,'Hospitalisation Details'!A1058:J3402,8,0)</f>
        <v>tier - 2</v>
      </c>
      <c r="P1059" t="str">
        <f>VLOOKUP($B1059,'Hospitalisation Details'!A1058:J3402,7,0)</f>
        <v>tier - 2</v>
      </c>
      <c r="Q1059" t="str">
        <f>VLOOKUP($B1059,'Hospitalisation Details'!A1058:J3402,9,0)</f>
        <v>R1021</v>
      </c>
      <c r="R1059">
        <f>VLOOKUP($B1059,'Hospitalisation Details'!A1058:K3402,11,0)</f>
        <v>40</v>
      </c>
    </row>
    <row r="1060" spans="1:18" x14ac:dyDescent="0.35">
      <c r="A1060" t="s">
        <v>1312</v>
      </c>
      <c r="B1060" t="s">
        <v>1091</v>
      </c>
      <c r="C1060" t="str">
        <f>VLOOKUP($A1060,'Customer Names'!$A:$E,4,FALSE)</f>
        <v>Matt</v>
      </c>
      <c r="D1060" t="str">
        <f>VLOOKUP($A1060,'Medical Examinations'!$A:$J,2,FALSE)</f>
        <v>Obesity</v>
      </c>
      <c r="E1060">
        <f>VLOOKUP($A1060,'Medical Examinations'!$A:$J,4,FALSE)</f>
        <v>5.3</v>
      </c>
      <c r="F1060" t="str">
        <f>VLOOKUP($A1060,'Medical Examinations'!$A:$J,6,FALSE)</f>
        <v>yes</v>
      </c>
      <c r="G1060" t="str">
        <f>VLOOKUP($A1060,'Medical Examinations'!$A:$J,7,FALSE)</f>
        <v>No</v>
      </c>
      <c r="H1060" t="str">
        <f>VLOOKUP($A1060,'Medical Examinations'!$A:$J,8,FALSE)</f>
        <v>No</v>
      </c>
      <c r="I1060">
        <f>VLOOKUP($A1060,'Medical Examinations'!$A:$J,9,FALSE)</f>
        <v>2</v>
      </c>
      <c r="J1060" t="str">
        <f>VLOOKUP($A1060,'Medical Examinations'!$A:$J,10,FALSE)</f>
        <v>No</v>
      </c>
      <c r="K1060" t="str">
        <f>VLOOKUP($A1060,'Medical Examinations'!$A:$J,5,FALSE)</f>
        <v>Normal</v>
      </c>
      <c r="L1060">
        <f>VLOOKUP($A1061,'Medical Examinations'!$A:$J,3,FALSE)</f>
        <v>32.774999999999999</v>
      </c>
      <c r="M1060">
        <f>VLOOKUP($A1060,'Hospitalisation Details'!$A:$K,6,FALSE)</f>
        <v>10602.39</v>
      </c>
      <c r="N1060" s="11">
        <f>VLOOKUP($B1060,'Hospitalisation Details'!A1059:J3403,10,0)</f>
        <v>32092</v>
      </c>
      <c r="O1060" t="str">
        <f>VLOOKUP($B1060,'Hospitalisation Details'!A1059:J3403,8,0)</f>
        <v>tier - 2</v>
      </c>
      <c r="P1060" t="str">
        <f>VLOOKUP($B1060,'Hospitalisation Details'!A1059:J3403,7,0)</f>
        <v>tier - 2</v>
      </c>
      <c r="Q1060" t="str">
        <f>VLOOKUP($B1060,'Hospitalisation Details'!A1059:J3403,9,0)</f>
        <v>R1021</v>
      </c>
      <c r="R1060">
        <f>VLOOKUP($B1060,'Hospitalisation Details'!A1059:K3403,11,0)</f>
        <v>35</v>
      </c>
    </row>
    <row r="1061" spans="1:18" x14ac:dyDescent="0.35">
      <c r="A1061" t="s">
        <v>1311</v>
      </c>
      <c r="B1061" t="s">
        <v>1092</v>
      </c>
      <c r="C1061" t="str">
        <f>VLOOKUP($A1061,'Customer Names'!$A:$E,4,FALSE)</f>
        <v>Thomas A.</v>
      </c>
      <c r="D1061" t="str">
        <f>VLOOKUP($A1061,'Medical Examinations'!$A:$J,2,FALSE)</f>
        <v>Obesity</v>
      </c>
      <c r="E1061">
        <f>VLOOKUP($A1061,'Medical Examinations'!$A:$J,4,FALSE)</f>
        <v>11.76</v>
      </c>
      <c r="F1061" t="str">
        <f>VLOOKUP($A1061,'Medical Examinations'!$A:$J,6,FALSE)</f>
        <v>yes</v>
      </c>
      <c r="G1061" t="str">
        <f>VLOOKUP($A1061,'Medical Examinations'!$A:$J,7,FALSE)</f>
        <v>No</v>
      </c>
      <c r="H1061" t="str">
        <f>VLOOKUP($A1061,'Medical Examinations'!$A:$J,8,FALSE)</f>
        <v>No</v>
      </c>
      <c r="I1061">
        <f>VLOOKUP($A1061,'Medical Examinations'!$A:$J,9,FALSE)</f>
        <v>0</v>
      </c>
      <c r="J1061" t="str">
        <f>VLOOKUP($A1061,'Medical Examinations'!$A:$J,10,FALSE)</f>
        <v>No</v>
      </c>
      <c r="K1061" t="str">
        <f>VLOOKUP($A1061,'Medical Examinations'!$A:$J,5,FALSE)</f>
        <v>Diabetes</v>
      </c>
      <c r="L1061">
        <f>VLOOKUP($A1062,'Medical Examinations'!$A:$J,3,FALSE)</f>
        <v>39.6</v>
      </c>
      <c r="M1061">
        <f>VLOOKUP($A1061,'Hospitalisation Details'!$A:$K,6,FALSE)</f>
        <v>10601.63</v>
      </c>
      <c r="N1061" s="11">
        <f>VLOOKUP($B1061,'Hospitalisation Details'!A1060:J3404,10,0)</f>
        <v>30680</v>
      </c>
      <c r="O1061" t="str">
        <f>VLOOKUP($B1061,'Hospitalisation Details'!A1060:J3404,8,0)</f>
        <v>tier - 1</v>
      </c>
      <c r="P1061" t="str">
        <f>VLOOKUP($B1061,'Hospitalisation Details'!A1060:J3404,7,0)</f>
        <v>tier - 2</v>
      </c>
      <c r="Q1061" t="str">
        <f>VLOOKUP($B1061,'Hospitalisation Details'!A1060:J3404,9,0)</f>
        <v>R1013</v>
      </c>
      <c r="R1061">
        <f>VLOOKUP($B1061,'Hospitalisation Details'!A1060:K3404,11,0)</f>
        <v>39</v>
      </c>
    </row>
    <row r="1062" spans="1:18" x14ac:dyDescent="0.35">
      <c r="A1062" t="s">
        <v>1310</v>
      </c>
      <c r="B1062" t="s">
        <v>1093</v>
      </c>
      <c r="C1062" t="str">
        <f>VLOOKUP($A1062,'Customer Names'!$A:$E,4,FALSE)</f>
        <v>Kevin J</v>
      </c>
      <c r="D1062" t="str">
        <f>VLOOKUP($A1062,'Medical Examinations'!$A:$J,2,FALSE)</f>
        <v>Obesity</v>
      </c>
      <c r="E1062">
        <f>VLOOKUP($A1062,'Medical Examinations'!$A:$J,4,FALSE)</f>
        <v>5.1100000000000003</v>
      </c>
      <c r="F1062" t="str">
        <f>VLOOKUP($A1062,'Medical Examinations'!$A:$J,6,FALSE)</f>
        <v>yes</v>
      </c>
      <c r="G1062" t="str">
        <f>VLOOKUP($A1062,'Medical Examinations'!$A:$J,7,FALSE)</f>
        <v>No</v>
      </c>
      <c r="H1062" t="str">
        <f>VLOOKUP($A1062,'Medical Examinations'!$A:$J,8,FALSE)</f>
        <v>No</v>
      </c>
      <c r="I1062">
        <f>VLOOKUP($A1062,'Medical Examinations'!$A:$J,9,FALSE)</f>
        <v>2</v>
      </c>
      <c r="J1062" t="str">
        <f>VLOOKUP($A1062,'Medical Examinations'!$A:$J,10,FALSE)</f>
        <v>No</v>
      </c>
      <c r="K1062" t="str">
        <f>VLOOKUP($A1062,'Medical Examinations'!$A:$J,5,FALSE)</f>
        <v>Normal</v>
      </c>
      <c r="L1062">
        <f>VLOOKUP($A1063,'Medical Examinations'!$A:$J,3,FALSE)</f>
        <v>30.97</v>
      </c>
      <c r="M1062">
        <f>VLOOKUP($A1062,'Hospitalisation Details'!$A:$K,6,FALSE)</f>
        <v>10601.41</v>
      </c>
      <c r="N1062" s="11">
        <f>VLOOKUP($B1062,'Hospitalisation Details'!A1061:J3405,10,0)</f>
        <v>30522</v>
      </c>
      <c r="O1062" t="str">
        <f>VLOOKUP($B1062,'Hospitalisation Details'!A1061:J3405,8,0)</f>
        <v>tier - 3</v>
      </c>
      <c r="P1062" t="str">
        <f>VLOOKUP($B1062,'Hospitalisation Details'!A1061:J3405,7,0)</f>
        <v>tier - 2</v>
      </c>
      <c r="Q1062" t="str">
        <f>VLOOKUP($B1062,'Hospitalisation Details'!A1061:J3405,9,0)</f>
        <v>R1013</v>
      </c>
      <c r="R1062">
        <f>VLOOKUP($B1062,'Hospitalisation Details'!A1061:K3405,11,0)</f>
        <v>39</v>
      </c>
    </row>
    <row r="1063" spans="1:18" x14ac:dyDescent="0.35">
      <c r="A1063" t="s">
        <v>1309</v>
      </c>
      <c r="B1063" t="s">
        <v>1094</v>
      </c>
      <c r="C1063" t="str">
        <f>VLOOKUP($A1063,'Customer Names'!$A:$E,4,FALSE)</f>
        <v>William H. III</v>
      </c>
      <c r="D1063" t="str">
        <f>VLOOKUP($A1063,'Medical Examinations'!$A:$J,2,FALSE)</f>
        <v>Obesity</v>
      </c>
      <c r="E1063">
        <f>VLOOKUP($A1063,'Medical Examinations'!$A:$J,4,FALSE)</f>
        <v>5.54</v>
      </c>
      <c r="F1063" t="str">
        <f>VLOOKUP($A1063,'Medical Examinations'!$A:$J,6,FALSE)</f>
        <v>No</v>
      </c>
      <c r="G1063" t="str">
        <f>VLOOKUP($A1063,'Medical Examinations'!$A:$J,7,FALSE)</f>
        <v>No</v>
      </c>
      <c r="H1063" t="str">
        <f>VLOOKUP($A1063,'Medical Examinations'!$A:$J,8,FALSE)</f>
        <v>No</v>
      </c>
      <c r="I1063">
        <f>VLOOKUP($A1063,'Medical Examinations'!$A:$J,9,FALSE)</f>
        <v>2</v>
      </c>
      <c r="J1063" t="str">
        <f>VLOOKUP($A1063,'Medical Examinations'!$A:$J,10,FALSE)</f>
        <v>No</v>
      </c>
      <c r="K1063" t="str">
        <f>VLOOKUP($A1063,'Medical Examinations'!$A:$J,5,FALSE)</f>
        <v>Normal</v>
      </c>
      <c r="L1063">
        <f>VLOOKUP($A1064,'Medical Examinations'!$A:$J,3,FALSE)</f>
        <v>27.645</v>
      </c>
      <c r="M1063">
        <f>VLOOKUP($A1063,'Hospitalisation Details'!$A:$K,6,FALSE)</f>
        <v>10600.55</v>
      </c>
      <c r="N1063" s="11">
        <f>VLOOKUP($B1063,'Hospitalisation Details'!A1062:J3406,10,0)</f>
        <v>26856</v>
      </c>
      <c r="O1063" t="str">
        <f>VLOOKUP($B1063,'Hospitalisation Details'!A1062:J3406,8,0)</f>
        <v>tier - 1</v>
      </c>
      <c r="P1063" t="str">
        <f>VLOOKUP($B1063,'Hospitalisation Details'!A1062:J3406,7,0)</f>
        <v>tier - 2</v>
      </c>
      <c r="Q1063" t="str">
        <f>VLOOKUP($B1063,'Hospitalisation Details'!A1062:J3406,9,0)</f>
        <v>R1013</v>
      </c>
      <c r="R1063">
        <f>VLOOKUP($B1063,'Hospitalisation Details'!A1062:K3406,11,0)</f>
        <v>49</v>
      </c>
    </row>
    <row r="1064" spans="1:18" x14ac:dyDescent="0.35">
      <c r="A1064" t="s">
        <v>1308</v>
      </c>
      <c r="B1064" t="s">
        <v>1095</v>
      </c>
      <c r="C1064" t="str">
        <f>VLOOKUP($A1064,'Customer Names'!$A:$E,4,FALSE)</f>
        <v>Gal</v>
      </c>
      <c r="D1064" t="str">
        <f>VLOOKUP($A1064,'Medical Examinations'!$A:$J,2,FALSE)</f>
        <v>Overweight</v>
      </c>
      <c r="E1064">
        <f>VLOOKUP($A1064,'Medical Examinations'!$A:$J,4,FALSE)</f>
        <v>8.8699999999999992</v>
      </c>
      <c r="F1064" t="str">
        <f>VLOOKUP($A1064,'Medical Examinations'!$A:$J,6,FALSE)</f>
        <v>yes</v>
      </c>
      <c r="G1064" t="str">
        <f>VLOOKUP($A1064,'Medical Examinations'!$A:$J,7,FALSE)</f>
        <v>No</v>
      </c>
      <c r="H1064" t="str">
        <f>VLOOKUP($A1064,'Medical Examinations'!$A:$J,8,FALSE)</f>
        <v>No</v>
      </c>
      <c r="I1064">
        <f>VLOOKUP($A1064,'Medical Examinations'!$A:$J,9,FALSE)</f>
        <v>0</v>
      </c>
      <c r="J1064" t="str">
        <f>VLOOKUP($A1064,'Medical Examinations'!$A:$J,10,FALSE)</f>
        <v>No</v>
      </c>
      <c r="K1064" t="str">
        <f>VLOOKUP($A1064,'Medical Examinations'!$A:$J,5,FALSE)</f>
        <v>Diabetes</v>
      </c>
      <c r="L1064">
        <f>VLOOKUP($A1065,'Medical Examinations'!$A:$J,3,FALSE)</f>
        <v>34.43</v>
      </c>
      <c r="M1064">
        <f>VLOOKUP($A1064,'Hospitalisation Details'!$A:$K,6,FALSE)</f>
        <v>10594.5</v>
      </c>
      <c r="N1064" s="11">
        <f>VLOOKUP($B1064,'Hospitalisation Details'!A1063:J3407,10,0)</f>
        <v>28392</v>
      </c>
      <c r="O1064" t="str">
        <f>VLOOKUP($B1064,'Hospitalisation Details'!A1063:J3407,8,0)</f>
        <v>tier - 1</v>
      </c>
      <c r="P1064" t="str">
        <f>VLOOKUP($B1064,'Hospitalisation Details'!A1063:J3407,7,0)</f>
        <v>tier - 2</v>
      </c>
      <c r="Q1064" t="str">
        <f>VLOOKUP($B1064,'Hospitalisation Details'!A1063:J3407,9,0)</f>
        <v>R1019</v>
      </c>
      <c r="R1064">
        <f>VLOOKUP($B1064,'Hospitalisation Details'!A1063:K3407,11,0)</f>
        <v>45</v>
      </c>
    </row>
    <row r="1065" spans="1:18" x14ac:dyDescent="0.35">
      <c r="A1065" t="s">
        <v>1307</v>
      </c>
      <c r="B1065" t="s">
        <v>1096</v>
      </c>
      <c r="C1065" t="str">
        <f>VLOOKUP($A1065,'Customer Names'!$A:$E,4,FALSE)</f>
        <v>Anton</v>
      </c>
      <c r="D1065" t="str">
        <f>VLOOKUP($A1065,'Medical Examinations'!$A:$J,2,FALSE)</f>
        <v>Obesity</v>
      </c>
      <c r="E1065">
        <f>VLOOKUP($A1065,'Medical Examinations'!$A:$J,4,FALSE)</f>
        <v>5.96</v>
      </c>
      <c r="F1065" t="str">
        <f>VLOOKUP($A1065,'Medical Examinations'!$A:$J,6,FALSE)</f>
        <v>yes</v>
      </c>
      <c r="G1065" t="str">
        <f>VLOOKUP($A1065,'Medical Examinations'!$A:$J,7,FALSE)</f>
        <v>No</v>
      </c>
      <c r="H1065" t="str">
        <f>VLOOKUP($A1065,'Medical Examinations'!$A:$J,8,FALSE)</f>
        <v>No</v>
      </c>
      <c r="I1065">
        <f>VLOOKUP($A1065,'Medical Examinations'!$A:$J,9,FALSE)</f>
        <v>2</v>
      </c>
      <c r="J1065" t="str">
        <f>VLOOKUP($A1065,'Medical Examinations'!$A:$J,10,FALSE)</f>
        <v>No</v>
      </c>
      <c r="K1065" t="str">
        <f>VLOOKUP($A1065,'Medical Examinations'!$A:$J,5,FALSE)</f>
        <v>Prediabetes</v>
      </c>
      <c r="L1065">
        <f>VLOOKUP($A1066,'Medical Examinations'!$A:$J,3,FALSE)</f>
        <v>39.6</v>
      </c>
      <c r="M1065">
        <f>VLOOKUP($A1065,'Hospitalisation Details'!$A:$K,6,FALSE)</f>
        <v>10594.23</v>
      </c>
      <c r="N1065" s="11">
        <f>VLOOKUP($B1065,'Hospitalisation Details'!A1064:J3408,10,0)</f>
        <v>28441</v>
      </c>
      <c r="O1065" t="str">
        <f>VLOOKUP($B1065,'Hospitalisation Details'!A1064:J3408,8,0)</f>
        <v>tier - 2</v>
      </c>
      <c r="P1065" t="str">
        <f>VLOOKUP($B1065,'Hospitalisation Details'!A1064:J3408,7,0)</f>
        <v>tier - 3</v>
      </c>
      <c r="Q1065" t="str">
        <f>VLOOKUP($B1065,'Hospitalisation Details'!A1064:J3408,9,0)</f>
        <v>R1016</v>
      </c>
      <c r="R1065">
        <f>VLOOKUP($B1065,'Hospitalisation Details'!A1064:K3408,11,0)</f>
        <v>45</v>
      </c>
    </row>
    <row r="1066" spans="1:18" x14ac:dyDescent="0.35">
      <c r="A1066" t="s">
        <v>1306</v>
      </c>
      <c r="B1066" t="s">
        <v>1097</v>
      </c>
      <c r="C1066" t="str">
        <f>VLOOKUP($A1066,'Customer Names'!$A:$E,4,FALSE)</f>
        <v>Yazmin</v>
      </c>
      <c r="D1066" t="str">
        <f>VLOOKUP($A1066,'Medical Examinations'!$A:$J,2,FALSE)</f>
        <v>Obesity</v>
      </c>
      <c r="E1066">
        <f>VLOOKUP($A1066,'Medical Examinations'!$A:$J,4,FALSE)</f>
        <v>4.4400000000000004</v>
      </c>
      <c r="F1066" t="str">
        <f>VLOOKUP($A1066,'Medical Examinations'!$A:$J,6,FALSE)</f>
        <v>yes</v>
      </c>
      <c r="G1066" t="str">
        <f>VLOOKUP($A1066,'Medical Examinations'!$A:$J,7,FALSE)</f>
        <v>No</v>
      </c>
      <c r="H1066" t="str">
        <f>VLOOKUP($A1066,'Medical Examinations'!$A:$J,8,FALSE)</f>
        <v>Yes</v>
      </c>
      <c r="I1066">
        <f>VLOOKUP($A1066,'Medical Examinations'!$A:$J,9,FALSE)</f>
        <v>1</v>
      </c>
      <c r="J1066" t="str">
        <f>VLOOKUP($A1066,'Medical Examinations'!$A:$J,10,FALSE)</f>
        <v>No</v>
      </c>
      <c r="K1066" t="str">
        <f>VLOOKUP($A1066,'Medical Examinations'!$A:$J,5,FALSE)</f>
        <v>Normal</v>
      </c>
      <c r="L1066">
        <f>VLOOKUP($A1067,'Medical Examinations'!$A:$J,3,FALSE)</f>
        <v>22.1</v>
      </c>
      <c r="M1066">
        <f>VLOOKUP($A1066,'Hospitalisation Details'!$A:$K,6,FALSE)</f>
        <v>10579.71</v>
      </c>
      <c r="N1066" s="11">
        <f>VLOOKUP($B1066,'Hospitalisation Details'!A1065:J3409,10,0)</f>
        <v>28413</v>
      </c>
      <c r="O1066" t="str">
        <f>VLOOKUP($B1066,'Hospitalisation Details'!A1065:J3409,8,0)</f>
        <v>tier - 2</v>
      </c>
      <c r="P1066" t="str">
        <f>VLOOKUP($B1066,'Hospitalisation Details'!A1065:J3409,7,0)</f>
        <v>tier - 2</v>
      </c>
      <c r="Q1066" t="str">
        <f>VLOOKUP($B1066,'Hospitalisation Details'!A1065:J3409,9,0)</f>
        <v>R1013</v>
      </c>
      <c r="R1066">
        <f>VLOOKUP($B1066,'Hospitalisation Details'!A1065:K3409,11,0)</f>
        <v>45</v>
      </c>
    </row>
    <row r="1067" spans="1:18" x14ac:dyDescent="0.35">
      <c r="A1067" t="s">
        <v>1305</v>
      </c>
      <c r="B1067" t="s">
        <v>1098</v>
      </c>
      <c r="C1067" t="str">
        <f>VLOOKUP($A1067,'Customer Names'!$A:$E,4,FALSE)</f>
        <v>Florian</v>
      </c>
      <c r="D1067" t="str">
        <f>VLOOKUP($A1067,'Medical Examinations'!$A:$J,2,FALSE)</f>
        <v>Normal Weight</v>
      </c>
      <c r="E1067">
        <f>VLOOKUP($A1067,'Medical Examinations'!$A:$J,4,FALSE)</f>
        <v>4.6500000000000004</v>
      </c>
      <c r="F1067" t="str">
        <f>VLOOKUP($A1067,'Medical Examinations'!$A:$J,6,FALSE)</f>
        <v>yes</v>
      </c>
      <c r="G1067" t="str">
        <f>VLOOKUP($A1067,'Medical Examinations'!$A:$J,7,FALSE)</f>
        <v>No</v>
      </c>
      <c r="H1067" t="str">
        <f>VLOOKUP($A1067,'Medical Examinations'!$A:$J,8,FALSE)</f>
        <v>No</v>
      </c>
      <c r="I1067">
        <f>VLOOKUP($A1067,'Medical Examinations'!$A:$J,9,FALSE)</f>
        <v>2</v>
      </c>
      <c r="J1067" t="str">
        <f>VLOOKUP($A1067,'Medical Examinations'!$A:$J,10,FALSE)</f>
        <v>No</v>
      </c>
      <c r="K1067" t="str">
        <f>VLOOKUP($A1067,'Medical Examinations'!$A:$J,5,FALSE)</f>
        <v>Normal</v>
      </c>
      <c r="L1067">
        <f>VLOOKUP($A1068,'Medical Examinations'!$A:$J,3,FALSE)</f>
        <v>33.25</v>
      </c>
      <c r="M1067">
        <f>VLOOKUP($A1067,'Hospitalisation Details'!$A:$K,6,FALSE)</f>
        <v>10577.09</v>
      </c>
      <c r="N1067" s="11">
        <f>VLOOKUP($B1067,'Hospitalisation Details'!A1066:J3410,10,0)</f>
        <v>29053</v>
      </c>
      <c r="O1067" t="str">
        <f>VLOOKUP($B1067,'Hospitalisation Details'!A1066:J3410,8,0)</f>
        <v>tier - 2</v>
      </c>
      <c r="P1067" t="str">
        <f>VLOOKUP($B1067,'Hospitalisation Details'!A1066:J3410,7,0)</f>
        <v>tier - 1</v>
      </c>
      <c r="Q1067" t="str">
        <f>VLOOKUP($B1067,'Hospitalisation Details'!A1066:J3410,9,0)</f>
        <v>R1014</v>
      </c>
      <c r="R1067">
        <f>VLOOKUP($B1067,'Hospitalisation Details'!A1066:K3410,11,0)</f>
        <v>43</v>
      </c>
    </row>
    <row r="1068" spans="1:18" x14ac:dyDescent="0.35">
      <c r="A1068" t="s">
        <v>1304</v>
      </c>
      <c r="B1068" t="s">
        <v>1099</v>
      </c>
      <c r="C1068" t="str">
        <f>VLOOKUP($A1068,'Customer Names'!$A:$E,4,FALSE)</f>
        <v>Karen L</v>
      </c>
      <c r="D1068" t="str">
        <f>VLOOKUP($A1068,'Medical Examinations'!$A:$J,2,FALSE)</f>
        <v>Obesity</v>
      </c>
      <c r="E1068">
        <f>VLOOKUP($A1068,'Medical Examinations'!$A:$J,4,FALSE)</f>
        <v>5.64</v>
      </c>
      <c r="F1068" t="str">
        <f>VLOOKUP($A1068,'Medical Examinations'!$A:$J,6,FALSE)</f>
        <v>yes</v>
      </c>
      <c r="G1068" t="str">
        <f>VLOOKUP($A1068,'Medical Examinations'!$A:$J,7,FALSE)</f>
        <v>No</v>
      </c>
      <c r="H1068" t="str">
        <f>VLOOKUP($A1068,'Medical Examinations'!$A:$J,8,FALSE)</f>
        <v>Yes</v>
      </c>
      <c r="I1068">
        <f>VLOOKUP($A1068,'Medical Examinations'!$A:$J,9,FALSE)</f>
        <v>1</v>
      </c>
      <c r="J1068" t="str">
        <f>VLOOKUP($A1068,'Medical Examinations'!$A:$J,10,FALSE)</f>
        <v>No</v>
      </c>
      <c r="K1068" t="str">
        <f>VLOOKUP($A1068,'Medical Examinations'!$A:$J,5,FALSE)</f>
        <v>Normal</v>
      </c>
      <c r="L1068">
        <f>VLOOKUP($A1069,'Medical Examinations'!$A:$J,3,FALSE)</f>
        <v>33.33</v>
      </c>
      <c r="M1068">
        <f>VLOOKUP($A1068,'Hospitalisation Details'!$A:$K,6,FALSE)</f>
        <v>10564.88</v>
      </c>
      <c r="N1068" s="11">
        <f>VLOOKUP($B1068,'Hospitalisation Details'!A1067:J3411,10,0)</f>
        <v>28370</v>
      </c>
      <c r="O1068" t="str">
        <f>VLOOKUP($B1068,'Hospitalisation Details'!A1067:J3411,8,0)</f>
        <v>tier - 3</v>
      </c>
      <c r="P1068" t="str">
        <f>VLOOKUP($B1068,'Hospitalisation Details'!A1067:J3411,7,0)</f>
        <v>tier - 2</v>
      </c>
      <c r="Q1068" t="str">
        <f>VLOOKUP($B1068,'Hospitalisation Details'!A1067:J3411,9,0)</f>
        <v>R1011</v>
      </c>
      <c r="R1068">
        <f>VLOOKUP($B1068,'Hospitalisation Details'!A1067:K3411,11,0)</f>
        <v>45</v>
      </c>
    </row>
    <row r="1069" spans="1:18" x14ac:dyDescent="0.35">
      <c r="A1069" t="s">
        <v>1303</v>
      </c>
      <c r="B1069" t="s">
        <v>1100</v>
      </c>
      <c r="C1069" t="str">
        <f>VLOOKUP($A1069,'Customer Names'!$A:$E,4,FALSE)</f>
        <v>Scott</v>
      </c>
      <c r="D1069" t="str">
        <f>VLOOKUP($A1069,'Medical Examinations'!$A:$J,2,FALSE)</f>
        <v>Obesity</v>
      </c>
      <c r="E1069">
        <f>VLOOKUP($A1069,'Medical Examinations'!$A:$J,4,FALSE)</f>
        <v>10.19</v>
      </c>
      <c r="F1069" t="str">
        <f>VLOOKUP($A1069,'Medical Examinations'!$A:$J,6,FALSE)</f>
        <v>No</v>
      </c>
      <c r="G1069" t="str">
        <f>VLOOKUP($A1069,'Medical Examinations'!$A:$J,7,FALSE)</f>
        <v>No</v>
      </c>
      <c r="H1069" t="str">
        <f>VLOOKUP($A1069,'Medical Examinations'!$A:$J,8,FALSE)</f>
        <v>No</v>
      </c>
      <c r="I1069">
        <f>VLOOKUP($A1069,'Medical Examinations'!$A:$J,9,FALSE)</f>
        <v>0</v>
      </c>
      <c r="J1069" t="str">
        <f>VLOOKUP($A1069,'Medical Examinations'!$A:$J,10,FALSE)</f>
        <v>No</v>
      </c>
      <c r="K1069" t="str">
        <f>VLOOKUP($A1069,'Medical Examinations'!$A:$J,5,FALSE)</f>
        <v>Diabetes</v>
      </c>
      <c r="L1069">
        <f>VLOOKUP($A1070,'Medical Examinations'!$A:$J,3,FALSE)</f>
        <v>30.5</v>
      </c>
      <c r="M1069">
        <f>VLOOKUP($A1069,'Hospitalisation Details'!$A:$K,6,FALSE)</f>
        <v>10560.49</v>
      </c>
      <c r="N1069" s="11">
        <f>VLOOKUP($B1069,'Hospitalisation Details'!A1068:J3412,10,0)</f>
        <v>27609</v>
      </c>
      <c r="O1069" t="str">
        <f>VLOOKUP($B1069,'Hospitalisation Details'!A1068:J3412,8,0)</f>
        <v>tier - 2</v>
      </c>
      <c r="P1069" t="str">
        <f>VLOOKUP($B1069,'Hospitalisation Details'!A1068:J3412,7,0)</f>
        <v>tier - 2</v>
      </c>
      <c r="Q1069" t="str">
        <f>VLOOKUP($B1069,'Hospitalisation Details'!A1068:J3412,9,0)</f>
        <v>R1017</v>
      </c>
      <c r="R1069">
        <f>VLOOKUP($B1069,'Hospitalisation Details'!A1068:K3412,11,0)</f>
        <v>47</v>
      </c>
    </row>
    <row r="1070" spans="1:18" x14ac:dyDescent="0.35">
      <c r="A1070" t="s">
        <v>1302</v>
      </c>
      <c r="B1070" t="s">
        <v>1101</v>
      </c>
      <c r="C1070" t="str">
        <f>VLOOKUP($A1070,'Customer Names'!$A:$E,4,FALSE)</f>
        <v>Claire</v>
      </c>
      <c r="D1070" t="str">
        <f>VLOOKUP($A1070,'Medical Examinations'!$A:$J,2,FALSE)</f>
        <v>Obesity</v>
      </c>
      <c r="E1070">
        <f>VLOOKUP($A1070,'Medical Examinations'!$A:$J,4,FALSE)</f>
        <v>10.79</v>
      </c>
      <c r="F1070" t="str">
        <f>VLOOKUP($A1070,'Medical Examinations'!$A:$J,6,FALSE)</f>
        <v>No</v>
      </c>
      <c r="G1070" t="str">
        <f>VLOOKUP($A1070,'Medical Examinations'!$A:$J,7,FALSE)</f>
        <v>No</v>
      </c>
      <c r="H1070" t="str">
        <f>VLOOKUP($A1070,'Medical Examinations'!$A:$J,8,FALSE)</f>
        <v>No</v>
      </c>
      <c r="I1070">
        <f>VLOOKUP($A1070,'Medical Examinations'!$A:$J,9,FALSE)</f>
        <v>0</v>
      </c>
      <c r="J1070" t="str">
        <f>VLOOKUP($A1070,'Medical Examinations'!$A:$J,10,FALSE)</f>
        <v>No</v>
      </c>
      <c r="K1070" t="str">
        <f>VLOOKUP($A1070,'Medical Examinations'!$A:$J,5,FALSE)</f>
        <v>Diabetes</v>
      </c>
      <c r="L1070">
        <f>VLOOKUP($A1071,'Medical Examinations'!$A:$J,3,FALSE)</f>
        <v>30.3</v>
      </c>
      <c r="M1070">
        <f>VLOOKUP($A1070,'Hospitalisation Details'!$A:$K,6,FALSE)</f>
        <v>10546.48</v>
      </c>
      <c r="N1070" s="11">
        <f>VLOOKUP($B1070,'Hospitalisation Details'!A1069:J3413,10,0)</f>
        <v>24036</v>
      </c>
      <c r="O1070" t="str">
        <f>VLOOKUP($B1070,'Hospitalisation Details'!A1069:J3413,8,0)</f>
        <v>tier - 2</v>
      </c>
      <c r="P1070" t="str">
        <f>VLOOKUP($B1070,'Hospitalisation Details'!A1069:J3413,7,0)</f>
        <v>tier - 3</v>
      </c>
      <c r="Q1070" t="str">
        <f>VLOOKUP($B1070,'Hospitalisation Details'!A1069:J3413,9,0)</f>
        <v>R1012</v>
      </c>
      <c r="R1070">
        <f>VLOOKUP($B1070,'Hospitalisation Details'!A1069:K3413,11,0)</f>
        <v>57</v>
      </c>
    </row>
    <row r="1071" spans="1:18" x14ac:dyDescent="0.35">
      <c r="A1071" t="s">
        <v>1301</v>
      </c>
      <c r="B1071" t="s">
        <v>1102</v>
      </c>
      <c r="C1071" t="str">
        <f>VLOOKUP($A1071,'Customer Names'!$A:$E,4,FALSE)</f>
        <v>Lynn M.</v>
      </c>
      <c r="D1071" t="str">
        <f>VLOOKUP($A1071,'Medical Examinations'!$A:$J,2,FALSE)</f>
        <v>Obesity</v>
      </c>
      <c r="E1071">
        <f>VLOOKUP($A1071,'Medical Examinations'!$A:$J,4,FALSE)</f>
        <v>4.24</v>
      </c>
      <c r="F1071" t="str">
        <f>VLOOKUP($A1071,'Medical Examinations'!$A:$J,6,FALSE)</f>
        <v>No</v>
      </c>
      <c r="G1071" t="str">
        <f>VLOOKUP($A1071,'Medical Examinations'!$A:$J,7,FALSE)</f>
        <v>No</v>
      </c>
      <c r="H1071" t="str">
        <f>VLOOKUP($A1071,'Medical Examinations'!$A:$J,8,FALSE)</f>
        <v>No</v>
      </c>
      <c r="I1071">
        <f>VLOOKUP($A1071,'Medical Examinations'!$A:$J,9,FALSE)</f>
        <v>0</v>
      </c>
      <c r="J1071" t="str">
        <f>VLOOKUP($A1071,'Medical Examinations'!$A:$J,10,FALSE)</f>
        <v>No</v>
      </c>
      <c r="K1071" t="str">
        <f>VLOOKUP($A1071,'Medical Examinations'!$A:$J,5,FALSE)</f>
        <v>Normal</v>
      </c>
      <c r="L1071">
        <f>VLOOKUP($A1072,'Medical Examinations'!$A:$J,3,FALSE)</f>
        <v>26.22</v>
      </c>
      <c r="M1071">
        <f>VLOOKUP($A1071,'Hospitalisation Details'!$A:$K,6,FALSE)</f>
        <v>10495.6</v>
      </c>
      <c r="N1071" s="11">
        <f>VLOOKUP($B1071,'Hospitalisation Details'!A1070:J3414,10,0)</f>
        <v>25425</v>
      </c>
      <c r="O1071" t="str">
        <f>VLOOKUP($B1071,'Hospitalisation Details'!A1070:J3414,8,0)</f>
        <v>tier - 3</v>
      </c>
      <c r="P1071" t="str">
        <f>VLOOKUP($B1071,'Hospitalisation Details'!A1070:J3414,7,0)</f>
        <v>tier - 2</v>
      </c>
      <c r="Q1071" t="str">
        <f>VLOOKUP($B1071,'Hospitalisation Details'!A1070:J3414,9,0)</f>
        <v>R1013</v>
      </c>
      <c r="R1071">
        <f>VLOOKUP($B1071,'Hospitalisation Details'!A1070:K3414,11,0)</f>
        <v>53</v>
      </c>
    </row>
    <row r="1072" spans="1:18" x14ac:dyDescent="0.35">
      <c r="A1072" t="s">
        <v>1300</v>
      </c>
      <c r="B1072" t="s">
        <v>1103</v>
      </c>
      <c r="C1072" t="str">
        <f>VLOOKUP($A1072,'Customer Names'!$A:$E,4,FALSE)</f>
        <v>Sharon</v>
      </c>
      <c r="D1072" t="str">
        <f>VLOOKUP($A1072,'Medical Examinations'!$A:$J,2,FALSE)</f>
        <v>Overweight</v>
      </c>
      <c r="E1072">
        <f>VLOOKUP($A1072,'Medical Examinations'!$A:$J,4,FALSE)</f>
        <v>5.83</v>
      </c>
      <c r="F1072" t="str">
        <f>VLOOKUP($A1072,'Medical Examinations'!$A:$J,6,FALSE)</f>
        <v>No</v>
      </c>
      <c r="G1072" t="str">
        <f>VLOOKUP($A1072,'Medical Examinations'!$A:$J,7,FALSE)</f>
        <v>No</v>
      </c>
      <c r="H1072" t="str">
        <f>VLOOKUP($A1072,'Medical Examinations'!$A:$J,8,FALSE)</f>
        <v>No</v>
      </c>
      <c r="I1072">
        <f>VLOOKUP($A1072,'Medical Examinations'!$A:$J,9,FALSE)</f>
        <v>2</v>
      </c>
      <c r="J1072" t="str">
        <f>VLOOKUP($A1072,'Medical Examinations'!$A:$J,10,FALSE)</f>
        <v>No</v>
      </c>
      <c r="K1072" t="str">
        <f>VLOOKUP($A1072,'Medical Examinations'!$A:$J,5,FALSE)</f>
        <v>Prediabetes</v>
      </c>
      <c r="L1072">
        <f>VLOOKUP($A1073,'Medical Examinations'!$A:$J,3,FALSE)</f>
        <v>29.99</v>
      </c>
      <c r="M1072">
        <f>VLOOKUP($A1072,'Hospitalisation Details'!$A:$K,6,FALSE)</f>
        <v>10493.95</v>
      </c>
      <c r="N1072" s="11">
        <f>VLOOKUP($B1072,'Hospitalisation Details'!A1071:J3415,10,0)</f>
        <v>27257</v>
      </c>
      <c r="O1072" t="str">
        <f>VLOOKUP($B1072,'Hospitalisation Details'!A1071:J3415,8,0)</f>
        <v>tier - 1</v>
      </c>
      <c r="P1072" t="str">
        <f>VLOOKUP($B1072,'Hospitalisation Details'!A1071:J3415,7,0)</f>
        <v>tier - 2</v>
      </c>
      <c r="Q1072" t="str">
        <f>VLOOKUP($B1072,'Hospitalisation Details'!A1071:J3415,9,0)</f>
        <v>R1012</v>
      </c>
      <c r="R1072">
        <f>VLOOKUP($B1072,'Hospitalisation Details'!A1071:K3415,11,0)</f>
        <v>48</v>
      </c>
    </row>
    <row r="1073" spans="1:18" x14ac:dyDescent="0.35">
      <c r="A1073" t="s">
        <v>1299</v>
      </c>
      <c r="B1073" t="s">
        <v>1104</v>
      </c>
      <c r="C1073" t="str">
        <f>VLOOKUP($A1073,'Customer Names'!$A:$E,4,FALSE)</f>
        <v>Candice</v>
      </c>
      <c r="D1073" t="str">
        <f>VLOOKUP($A1073,'Medical Examinations'!$A:$J,2,FALSE)</f>
        <v>Overweight</v>
      </c>
      <c r="E1073">
        <f>VLOOKUP($A1073,'Medical Examinations'!$A:$J,4,FALSE)</f>
        <v>11.85</v>
      </c>
      <c r="F1073" t="str">
        <f>VLOOKUP($A1073,'Medical Examinations'!$A:$J,6,FALSE)</f>
        <v>No</v>
      </c>
      <c r="G1073" t="str">
        <f>VLOOKUP($A1073,'Medical Examinations'!$A:$J,7,FALSE)</f>
        <v>No</v>
      </c>
      <c r="H1073" t="str">
        <f>VLOOKUP($A1073,'Medical Examinations'!$A:$J,8,FALSE)</f>
        <v>No</v>
      </c>
      <c r="I1073">
        <f>VLOOKUP($A1073,'Medical Examinations'!$A:$J,9,FALSE)</f>
        <v>0</v>
      </c>
      <c r="J1073" t="str">
        <f>VLOOKUP($A1073,'Medical Examinations'!$A:$J,10,FALSE)</f>
        <v>No</v>
      </c>
      <c r="K1073" t="str">
        <f>VLOOKUP($A1073,'Medical Examinations'!$A:$J,5,FALSE)</f>
        <v>Diabetes</v>
      </c>
      <c r="L1073">
        <f>VLOOKUP($A1074,'Medical Examinations'!$A:$J,3,FALSE)</f>
        <v>36.380000000000003</v>
      </c>
      <c r="M1073">
        <f>VLOOKUP($A1073,'Hospitalisation Details'!$A:$K,6,FALSE)</f>
        <v>10486.55</v>
      </c>
      <c r="N1073" s="11">
        <f>VLOOKUP($B1073,'Hospitalisation Details'!A1072:J3416,10,0)</f>
        <v>26948</v>
      </c>
      <c r="O1073" t="str">
        <f>VLOOKUP($B1073,'Hospitalisation Details'!A1072:J3416,8,0)</f>
        <v>tier - 1</v>
      </c>
      <c r="P1073" t="str">
        <f>VLOOKUP($B1073,'Hospitalisation Details'!A1072:J3416,7,0)</f>
        <v>tier - 2</v>
      </c>
      <c r="Q1073" t="str">
        <f>VLOOKUP($B1073,'Hospitalisation Details'!A1072:J3416,9,0)</f>
        <v>R1017</v>
      </c>
      <c r="R1073">
        <f>VLOOKUP($B1073,'Hospitalisation Details'!A1072:K3416,11,0)</f>
        <v>49</v>
      </c>
    </row>
    <row r="1074" spans="1:18" x14ac:dyDescent="0.35">
      <c r="A1074" t="s">
        <v>1298</v>
      </c>
      <c r="B1074" t="s">
        <v>1105</v>
      </c>
      <c r="C1074" t="str">
        <f>VLOOKUP($A1074,'Customer Names'!$A:$E,4,FALSE)</f>
        <v>Jennifer D</v>
      </c>
      <c r="D1074" t="str">
        <f>VLOOKUP($A1074,'Medical Examinations'!$A:$J,2,FALSE)</f>
        <v>Obesity</v>
      </c>
      <c r="E1074">
        <f>VLOOKUP($A1074,'Medical Examinations'!$A:$J,4,FALSE)</f>
        <v>5.98</v>
      </c>
      <c r="F1074" t="str">
        <f>VLOOKUP($A1074,'Medical Examinations'!$A:$J,6,FALSE)</f>
        <v>No</v>
      </c>
      <c r="G1074" t="str">
        <f>VLOOKUP($A1074,'Medical Examinations'!$A:$J,7,FALSE)</f>
        <v>No</v>
      </c>
      <c r="H1074" t="str">
        <f>VLOOKUP($A1074,'Medical Examinations'!$A:$J,8,FALSE)</f>
        <v>No</v>
      </c>
      <c r="I1074">
        <f>VLOOKUP($A1074,'Medical Examinations'!$A:$J,9,FALSE)</f>
        <v>1</v>
      </c>
      <c r="J1074" t="str">
        <f>VLOOKUP($A1074,'Medical Examinations'!$A:$J,10,FALSE)</f>
        <v>No</v>
      </c>
      <c r="K1074" t="str">
        <f>VLOOKUP($A1074,'Medical Examinations'!$A:$J,5,FALSE)</f>
        <v>Prediabetes</v>
      </c>
      <c r="L1074">
        <f>VLOOKUP($A1075,'Medical Examinations'!$A:$J,3,FALSE)</f>
        <v>31.16</v>
      </c>
      <c r="M1074">
        <f>VLOOKUP($A1074,'Hospitalisation Details'!$A:$K,6,FALSE)</f>
        <v>10464.83</v>
      </c>
      <c r="N1074" s="11">
        <f>VLOOKUP($B1074,'Hospitalisation Details'!A1073:J3417,10,0)</f>
        <v>29522</v>
      </c>
      <c r="O1074" t="str">
        <f>VLOOKUP($B1074,'Hospitalisation Details'!A1073:J3417,8,0)</f>
        <v>tier - 3</v>
      </c>
      <c r="P1074" t="str">
        <f>VLOOKUP($B1074,'Hospitalisation Details'!A1073:J3417,7,0)</f>
        <v>tier - 2</v>
      </c>
      <c r="Q1074" t="str">
        <f>VLOOKUP($B1074,'Hospitalisation Details'!A1073:J3417,9,0)</f>
        <v>R1021</v>
      </c>
      <c r="R1074">
        <f>VLOOKUP($B1074,'Hospitalisation Details'!A1073:K3417,11,0)</f>
        <v>42</v>
      </c>
    </row>
    <row r="1075" spans="1:18" x14ac:dyDescent="0.35">
      <c r="A1075" t="s">
        <v>1297</v>
      </c>
      <c r="B1075" t="s">
        <v>1106</v>
      </c>
      <c r="C1075" t="str">
        <f>VLOOKUP($A1075,'Customer Names'!$A:$E,4,FALSE)</f>
        <v>Eric</v>
      </c>
      <c r="D1075" t="str">
        <f>VLOOKUP($A1075,'Medical Examinations'!$A:$J,2,FALSE)</f>
        <v>Obesity</v>
      </c>
      <c r="E1075">
        <f>VLOOKUP($A1075,'Medical Examinations'!$A:$J,4,FALSE)</f>
        <v>4.26</v>
      </c>
      <c r="F1075" t="str">
        <f>VLOOKUP($A1075,'Medical Examinations'!$A:$J,6,FALSE)</f>
        <v>yes</v>
      </c>
      <c r="G1075" t="str">
        <f>VLOOKUP($A1075,'Medical Examinations'!$A:$J,7,FALSE)</f>
        <v>No</v>
      </c>
      <c r="H1075" t="str">
        <f>VLOOKUP($A1075,'Medical Examinations'!$A:$J,8,FALSE)</f>
        <v>Yes</v>
      </c>
      <c r="I1075">
        <f>VLOOKUP($A1075,'Medical Examinations'!$A:$J,9,FALSE)</f>
        <v>1</v>
      </c>
      <c r="J1075" t="str">
        <f>VLOOKUP($A1075,'Medical Examinations'!$A:$J,10,FALSE)</f>
        <v>No</v>
      </c>
      <c r="K1075" t="str">
        <f>VLOOKUP($A1075,'Medical Examinations'!$A:$J,5,FALSE)</f>
        <v>Normal</v>
      </c>
      <c r="L1075">
        <f>VLOOKUP($A1076,'Medical Examinations'!$A:$J,3,FALSE)</f>
        <v>25.55</v>
      </c>
      <c r="M1075">
        <f>VLOOKUP($A1075,'Hospitalisation Details'!$A:$K,6,FALSE)</f>
        <v>10461.98</v>
      </c>
      <c r="N1075" s="11">
        <f>VLOOKUP($B1075,'Hospitalisation Details'!A1074:J3418,10,0)</f>
        <v>26840</v>
      </c>
      <c r="O1075" t="str">
        <f>VLOOKUP($B1075,'Hospitalisation Details'!A1074:J3418,8,0)</f>
        <v>tier - 3</v>
      </c>
      <c r="P1075" t="str">
        <f>VLOOKUP($B1075,'Hospitalisation Details'!A1074:J3418,7,0)</f>
        <v>tier - 3</v>
      </c>
      <c r="Q1075" t="str">
        <f>VLOOKUP($B1075,'Hospitalisation Details'!A1074:J3418,9,0)</f>
        <v>R1011</v>
      </c>
      <c r="R1075">
        <f>VLOOKUP($B1075,'Hospitalisation Details'!A1074:K3418,11,0)</f>
        <v>49</v>
      </c>
    </row>
    <row r="1076" spans="1:18" x14ac:dyDescent="0.35">
      <c r="A1076" t="s">
        <v>1296</v>
      </c>
      <c r="B1076" t="s">
        <v>1107</v>
      </c>
      <c r="C1076" t="str">
        <f>VLOOKUP($A1076,'Customer Names'!$A:$E,4,FALSE)</f>
        <v>Bryan</v>
      </c>
      <c r="D1076" t="str">
        <f>VLOOKUP($A1076,'Medical Examinations'!$A:$J,2,FALSE)</f>
        <v>Overweight</v>
      </c>
      <c r="E1076">
        <f>VLOOKUP($A1076,'Medical Examinations'!$A:$J,4,FALSE)</f>
        <v>4.96</v>
      </c>
      <c r="F1076" t="str">
        <f>VLOOKUP($A1076,'Medical Examinations'!$A:$J,6,FALSE)</f>
        <v>yes</v>
      </c>
      <c r="G1076" t="str">
        <f>VLOOKUP($A1076,'Medical Examinations'!$A:$J,7,FALSE)</f>
        <v>No</v>
      </c>
      <c r="H1076" t="str">
        <f>VLOOKUP($A1076,'Medical Examinations'!$A:$J,8,FALSE)</f>
        <v>No</v>
      </c>
      <c r="I1076">
        <f>VLOOKUP($A1076,'Medical Examinations'!$A:$J,9,FALSE)</f>
        <v>1</v>
      </c>
      <c r="J1076" t="str">
        <f>VLOOKUP($A1076,'Medical Examinations'!$A:$J,10,FALSE)</f>
        <v>No</v>
      </c>
      <c r="K1076" t="str">
        <f>VLOOKUP($A1076,'Medical Examinations'!$A:$J,5,FALSE)</f>
        <v>Normal</v>
      </c>
      <c r="L1076">
        <f>VLOOKUP($A1077,'Medical Examinations'!$A:$J,3,FALSE)</f>
        <v>28.77</v>
      </c>
      <c r="M1076">
        <f>VLOOKUP($A1076,'Hospitalisation Details'!$A:$K,6,FALSE)</f>
        <v>10459.19</v>
      </c>
      <c r="N1076" s="11">
        <f>VLOOKUP($B1076,'Hospitalisation Details'!A1075:J3419,10,0)</f>
        <v>27928</v>
      </c>
      <c r="O1076" t="str">
        <f>VLOOKUP($B1076,'Hospitalisation Details'!A1075:J3419,8,0)</f>
        <v>tier - 3</v>
      </c>
      <c r="P1076" t="str">
        <f>VLOOKUP($B1076,'Hospitalisation Details'!A1075:J3419,7,0)</f>
        <v>tier - 2</v>
      </c>
      <c r="Q1076" t="str">
        <f>VLOOKUP($B1076,'Hospitalisation Details'!A1075:J3419,9,0)</f>
        <v>R1012</v>
      </c>
      <c r="R1076">
        <f>VLOOKUP($B1076,'Hospitalisation Details'!A1075:K3419,11,0)</f>
        <v>46</v>
      </c>
    </row>
    <row r="1077" spans="1:18" x14ac:dyDescent="0.35">
      <c r="A1077" t="s">
        <v>1295</v>
      </c>
      <c r="B1077" t="s">
        <v>1108</v>
      </c>
      <c r="C1077" t="str">
        <f>VLOOKUP($A1077,'Customer Names'!$A:$E,4,FALSE)</f>
        <v>Devon R.</v>
      </c>
      <c r="D1077" t="str">
        <f>VLOOKUP($A1077,'Medical Examinations'!$A:$J,2,FALSE)</f>
        <v>Overweight</v>
      </c>
      <c r="E1077">
        <f>VLOOKUP($A1077,'Medical Examinations'!$A:$J,4,FALSE)</f>
        <v>4</v>
      </c>
      <c r="F1077" t="str">
        <f>VLOOKUP($A1077,'Medical Examinations'!$A:$J,6,FALSE)</f>
        <v>yes</v>
      </c>
      <c r="G1077" t="str">
        <f>VLOOKUP($A1077,'Medical Examinations'!$A:$J,7,FALSE)</f>
        <v>No</v>
      </c>
      <c r="H1077" t="str">
        <f>VLOOKUP($A1077,'Medical Examinations'!$A:$J,8,FALSE)</f>
        <v>No</v>
      </c>
      <c r="I1077">
        <f>VLOOKUP($A1077,'Medical Examinations'!$A:$J,9,FALSE)</f>
        <v>0</v>
      </c>
      <c r="J1077" t="str">
        <f>VLOOKUP($A1077,'Medical Examinations'!$A:$J,10,FALSE)</f>
        <v>No</v>
      </c>
      <c r="K1077" t="str">
        <f>VLOOKUP($A1077,'Medical Examinations'!$A:$J,5,FALSE)</f>
        <v>Normal</v>
      </c>
      <c r="L1077">
        <f>VLOOKUP($A1078,'Medical Examinations'!$A:$J,3,FALSE)</f>
        <v>23.14</v>
      </c>
      <c r="M1077">
        <f>VLOOKUP($A1077,'Hospitalisation Details'!$A:$K,6,FALSE)</f>
        <v>10455.14</v>
      </c>
      <c r="N1077" s="11">
        <f>VLOOKUP($B1077,'Hospitalisation Details'!A1076:J3420,10,0)</f>
        <v>36395</v>
      </c>
      <c r="O1077" t="str">
        <f>VLOOKUP($B1077,'Hospitalisation Details'!A1076:J3420,8,0)</f>
        <v>tier - 3</v>
      </c>
      <c r="P1077" t="str">
        <f>VLOOKUP($B1077,'Hospitalisation Details'!A1076:J3420,7,0)</f>
        <v>tier - 2</v>
      </c>
      <c r="Q1077" t="str">
        <f>VLOOKUP($B1077,'Hospitalisation Details'!A1076:J3420,9,0)</f>
        <v>R1011</v>
      </c>
      <c r="R1077">
        <f>VLOOKUP($B1077,'Hospitalisation Details'!A1076:K3420,11,0)</f>
        <v>23</v>
      </c>
    </row>
    <row r="1078" spans="1:18" x14ac:dyDescent="0.35">
      <c r="A1078" t="s">
        <v>1294</v>
      </c>
      <c r="B1078" t="s">
        <v>1109</v>
      </c>
      <c r="C1078" t="str">
        <f>VLOOKUP($A1078,'Customer Names'!$A:$E,4,FALSE)</f>
        <v>Elena</v>
      </c>
      <c r="D1078" t="str">
        <f>VLOOKUP($A1078,'Medical Examinations'!$A:$J,2,FALSE)</f>
        <v>Normal Weight</v>
      </c>
      <c r="E1078">
        <f>VLOOKUP($A1078,'Medical Examinations'!$A:$J,4,FALSE)</f>
        <v>4.1500000000000004</v>
      </c>
      <c r="F1078" t="str">
        <f>VLOOKUP($A1078,'Medical Examinations'!$A:$J,6,FALSE)</f>
        <v>yes</v>
      </c>
      <c r="G1078" t="str">
        <f>VLOOKUP($A1078,'Medical Examinations'!$A:$J,7,FALSE)</f>
        <v>No</v>
      </c>
      <c r="H1078" t="str">
        <f>VLOOKUP($A1078,'Medical Examinations'!$A:$J,8,FALSE)</f>
        <v>No</v>
      </c>
      <c r="I1078">
        <f>VLOOKUP($A1078,'Medical Examinations'!$A:$J,9,FALSE)</f>
        <v>1</v>
      </c>
      <c r="J1078" t="str">
        <f>VLOOKUP($A1078,'Medical Examinations'!$A:$J,10,FALSE)</f>
        <v>No</v>
      </c>
      <c r="K1078" t="str">
        <f>VLOOKUP($A1078,'Medical Examinations'!$A:$J,5,FALSE)</f>
        <v>Normal</v>
      </c>
      <c r="L1078">
        <f>VLOOKUP($A1079,'Medical Examinations'!$A:$J,3,FALSE)</f>
        <v>39.6</v>
      </c>
      <c r="M1078">
        <f>VLOOKUP($A1078,'Hospitalisation Details'!$A:$K,6,FALSE)</f>
        <v>10455.1</v>
      </c>
      <c r="N1078" s="11">
        <f>VLOOKUP($B1078,'Hospitalisation Details'!A1077:J3421,10,0)</f>
        <v>25455</v>
      </c>
      <c r="O1078" t="str">
        <f>VLOOKUP($B1078,'Hospitalisation Details'!A1077:J3421,8,0)</f>
        <v>tier - 1</v>
      </c>
      <c r="P1078" t="str">
        <f>VLOOKUP($B1078,'Hospitalisation Details'!A1077:J3421,7,0)</f>
        <v>tier - 2</v>
      </c>
      <c r="Q1078" t="str">
        <f>VLOOKUP($B1078,'Hospitalisation Details'!A1077:J3421,9,0)</f>
        <v>R1013</v>
      </c>
      <c r="R1078">
        <f>VLOOKUP($B1078,'Hospitalisation Details'!A1077:K3421,11,0)</f>
        <v>53</v>
      </c>
    </row>
    <row r="1079" spans="1:18" x14ac:dyDescent="0.35">
      <c r="A1079" t="s">
        <v>1293</v>
      </c>
      <c r="B1079" t="s">
        <v>1110</v>
      </c>
      <c r="C1079" t="str">
        <f>VLOOKUP($A1079,'Customer Names'!$A:$E,4,FALSE)</f>
        <v>Chris</v>
      </c>
      <c r="D1079" t="str">
        <f>VLOOKUP($A1079,'Medical Examinations'!$A:$J,2,FALSE)</f>
        <v>Obesity</v>
      </c>
      <c r="E1079">
        <f>VLOOKUP($A1079,'Medical Examinations'!$A:$J,4,FALSE)</f>
        <v>11.36</v>
      </c>
      <c r="F1079" t="str">
        <f>VLOOKUP($A1079,'Medical Examinations'!$A:$J,6,FALSE)</f>
        <v>No</v>
      </c>
      <c r="G1079" t="str">
        <f>VLOOKUP($A1079,'Medical Examinations'!$A:$J,7,FALSE)</f>
        <v>No</v>
      </c>
      <c r="H1079" t="str">
        <f>VLOOKUP($A1079,'Medical Examinations'!$A:$J,8,FALSE)</f>
        <v>No</v>
      </c>
      <c r="I1079">
        <f>VLOOKUP($A1079,'Medical Examinations'!$A:$J,9,FALSE)</f>
        <v>0</v>
      </c>
      <c r="J1079" t="str">
        <f>VLOOKUP($A1079,'Medical Examinations'!$A:$J,10,FALSE)</f>
        <v>No</v>
      </c>
      <c r="K1079" t="str">
        <f>VLOOKUP($A1079,'Medical Examinations'!$A:$J,5,FALSE)</f>
        <v>Diabetes</v>
      </c>
      <c r="L1079">
        <f>VLOOKUP($A1080,'Medical Examinations'!$A:$J,3,FALSE)</f>
        <v>29.2</v>
      </c>
      <c r="M1079">
        <f>VLOOKUP($A1079,'Hospitalisation Details'!$A:$K,6,FALSE)</f>
        <v>10450.549999999999</v>
      </c>
      <c r="N1079" s="11">
        <f>VLOOKUP($B1079,'Hospitalisation Details'!A1078:J3422,10,0)</f>
        <v>27278</v>
      </c>
      <c r="O1079" t="str">
        <f>VLOOKUP($B1079,'Hospitalisation Details'!A1078:J3422,8,0)</f>
        <v>tier - 3</v>
      </c>
      <c r="P1079" t="str">
        <f>VLOOKUP($B1079,'Hospitalisation Details'!A1078:J3422,7,0)</f>
        <v>tier - 2</v>
      </c>
      <c r="Q1079" t="str">
        <f>VLOOKUP($B1079,'Hospitalisation Details'!A1078:J3422,9,0)</f>
        <v>R1012</v>
      </c>
      <c r="R1079">
        <f>VLOOKUP($B1079,'Hospitalisation Details'!A1078:K3422,11,0)</f>
        <v>48</v>
      </c>
    </row>
    <row r="1080" spans="1:18" x14ac:dyDescent="0.35">
      <c r="A1080" t="s">
        <v>1292</v>
      </c>
      <c r="B1080" t="s">
        <v>1111</v>
      </c>
      <c r="C1080" t="str">
        <f>VLOOKUP($A1080,'Customer Names'!$A:$E,4,FALSE)</f>
        <v>Bert</v>
      </c>
      <c r="D1080" t="str">
        <f>VLOOKUP($A1080,'Medical Examinations'!$A:$J,2,FALSE)</f>
        <v>Overweight</v>
      </c>
      <c r="E1080">
        <f>VLOOKUP($A1080,'Medical Examinations'!$A:$J,4,FALSE)</f>
        <v>7.53</v>
      </c>
      <c r="F1080" t="str">
        <f>VLOOKUP($A1080,'Medical Examinations'!$A:$J,6,FALSE)</f>
        <v>No</v>
      </c>
      <c r="G1080" t="str">
        <f>VLOOKUP($A1080,'Medical Examinations'!$A:$J,7,FALSE)</f>
        <v>No</v>
      </c>
      <c r="H1080" t="str">
        <f>VLOOKUP($A1080,'Medical Examinations'!$A:$J,8,FALSE)</f>
        <v>No</v>
      </c>
      <c r="I1080">
        <f>VLOOKUP($A1080,'Medical Examinations'!$A:$J,9,FALSE)</f>
        <v>0</v>
      </c>
      <c r="J1080" t="str">
        <f>VLOOKUP($A1080,'Medical Examinations'!$A:$J,10,FALSE)</f>
        <v>No</v>
      </c>
      <c r="K1080" t="str">
        <f>VLOOKUP($A1080,'Medical Examinations'!$A:$J,5,FALSE)</f>
        <v>Diabetes</v>
      </c>
      <c r="L1080">
        <f>VLOOKUP($A1081,'Medical Examinations'!$A:$J,3,FALSE)</f>
        <v>32.774999999999999</v>
      </c>
      <c r="M1080">
        <f>VLOOKUP($A1080,'Hospitalisation Details'!$A:$K,6,FALSE)</f>
        <v>10436.1</v>
      </c>
      <c r="N1080" s="11">
        <f>VLOOKUP($B1080,'Hospitalisation Details'!A1079:J3423,10,0)</f>
        <v>26168</v>
      </c>
      <c r="O1080" t="str">
        <f>VLOOKUP($B1080,'Hospitalisation Details'!A1079:J3423,8,0)</f>
        <v>tier - 3</v>
      </c>
      <c r="P1080" t="str">
        <f>VLOOKUP($B1080,'Hospitalisation Details'!A1079:J3423,7,0)</f>
        <v>tier - 2</v>
      </c>
      <c r="Q1080" t="str">
        <f>VLOOKUP($B1080,'Hospitalisation Details'!A1079:J3423,9,0)</f>
        <v>R1011</v>
      </c>
      <c r="R1080">
        <f>VLOOKUP($B1080,'Hospitalisation Details'!A1079:K3423,11,0)</f>
        <v>51</v>
      </c>
    </row>
    <row r="1081" spans="1:18" x14ac:dyDescent="0.35">
      <c r="A1081" t="s">
        <v>1291</v>
      </c>
      <c r="B1081" t="s">
        <v>1112</v>
      </c>
      <c r="C1081" t="str">
        <f>VLOOKUP($A1081,'Customer Names'!$A:$E,4,FALSE)</f>
        <v>John P.</v>
      </c>
      <c r="D1081" t="str">
        <f>VLOOKUP($A1081,'Medical Examinations'!$A:$J,2,FALSE)</f>
        <v>Obesity</v>
      </c>
      <c r="E1081">
        <f>VLOOKUP($A1081,'Medical Examinations'!$A:$J,4,FALSE)</f>
        <v>7.95</v>
      </c>
      <c r="F1081" t="str">
        <f>VLOOKUP($A1081,'Medical Examinations'!$A:$J,6,FALSE)</f>
        <v>No</v>
      </c>
      <c r="G1081" t="str">
        <f>VLOOKUP($A1081,'Medical Examinations'!$A:$J,7,FALSE)</f>
        <v>No</v>
      </c>
      <c r="H1081" t="str">
        <f>VLOOKUP($A1081,'Medical Examinations'!$A:$J,8,FALSE)</f>
        <v>No</v>
      </c>
      <c r="I1081">
        <f>VLOOKUP($A1081,'Medical Examinations'!$A:$J,9,FALSE)</f>
        <v>0</v>
      </c>
      <c r="J1081" t="str">
        <f>VLOOKUP($A1081,'Medical Examinations'!$A:$J,10,FALSE)</f>
        <v>No</v>
      </c>
      <c r="K1081" t="str">
        <f>VLOOKUP($A1081,'Medical Examinations'!$A:$J,5,FALSE)</f>
        <v>Diabetes</v>
      </c>
      <c r="L1081">
        <f>VLOOKUP($A1082,'Medical Examinations'!$A:$J,3,FALSE)</f>
        <v>24.035</v>
      </c>
      <c r="M1081">
        <f>VLOOKUP($A1081,'Hospitalisation Details'!$A:$K,6,FALSE)</f>
        <v>10435.07</v>
      </c>
      <c r="N1081" s="11">
        <f>VLOOKUP($B1081,'Hospitalisation Details'!A1080:J3424,10,0)</f>
        <v>26102</v>
      </c>
      <c r="O1081" t="str">
        <f>VLOOKUP($B1081,'Hospitalisation Details'!A1080:J3424,8,0)</f>
        <v>tier - 1</v>
      </c>
      <c r="P1081" t="str">
        <f>VLOOKUP($B1081,'Hospitalisation Details'!A1080:J3424,7,0)</f>
        <v>tier - 2</v>
      </c>
      <c r="Q1081" t="str">
        <f>VLOOKUP($B1081,'Hospitalisation Details'!A1080:J3424,9,0)</f>
        <v>R1011</v>
      </c>
      <c r="R1081">
        <f>VLOOKUP($B1081,'Hospitalisation Details'!A1080:K3424,11,0)</f>
        <v>51</v>
      </c>
    </row>
    <row r="1082" spans="1:18" x14ac:dyDescent="0.35">
      <c r="A1082" t="s">
        <v>1290</v>
      </c>
      <c r="B1082" t="s">
        <v>1113</v>
      </c>
      <c r="C1082" t="str">
        <f>VLOOKUP($A1082,'Customer Names'!$A:$E,4,FALSE)</f>
        <v>Daniel P</v>
      </c>
      <c r="D1082" t="str">
        <f>VLOOKUP($A1082,'Medical Examinations'!$A:$J,2,FALSE)</f>
        <v>Normal Weight</v>
      </c>
      <c r="E1082">
        <f>VLOOKUP($A1082,'Medical Examinations'!$A:$J,4,FALSE)</f>
        <v>8.5</v>
      </c>
      <c r="F1082" t="str">
        <f>VLOOKUP($A1082,'Medical Examinations'!$A:$J,6,FALSE)</f>
        <v>No</v>
      </c>
      <c r="G1082" t="str">
        <f>VLOOKUP($A1082,'Medical Examinations'!$A:$J,7,FALSE)</f>
        <v>No</v>
      </c>
      <c r="H1082" t="str">
        <f>VLOOKUP($A1082,'Medical Examinations'!$A:$J,8,FALSE)</f>
        <v>No</v>
      </c>
      <c r="I1082">
        <f>VLOOKUP($A1082,'Medical Examinations'!$A:$J,9,FALSE)</f>
        <v>0</v>
      </c>
      <c r="J1082" t="str">
        <f>VLOOKUP($A1082,'Medical Examinations'!$A:$J,10,FALSE)</f>
        <v>No</v>
      </c>
      <c r="K1082" t="str">
        <f>VLOOKUP($A1082,'Medical Examinations'!$A:$J,5,FALSE)</f>
        <v>Diabetes</v>
      </c>
      <c r="L1082">
        <f>VLOOKUP($A1083,'Medical Examinations'!$A:$J,3,FALSE)</f>
        <v>30.55</v>
      </c>
      <c r="M1082">
        <f>VLOOKUP($A1082,'Hospitalisation Details'!$A:$K,6,FALSE)</f>
        <v>10422.92</v>
      </c>
      <c r="N1082" s="11">
        <f>VLOOKUP($B1082,'Hospitalisation Details'!A1081:J3425,10,0)</f>
        <v>23983</v>
      </c>
      <c r="O1082" t="str">
        <f>VLOOKUP($B1082,'Hospitalisation Details'!A1081:J3425,8,0)</f>
        <v>tier - 2</v>
      </c>
      <c r="P1082" t="str">
        <f>VLOOKUP($B1082,'Hospitalisation Details'!A1081:J3425,7,0)</f>
        <v>tier - 3</v>
      </c>
      <c r="Q1082" t="str">
        <f>VLOOKUP($B1082,'Hospitalisation Details'!A1081:J3425,9,0)</f>
        <v>R1013</v>
      </c>
      <c r="R1082">
        <f>VLOOKUP($B1082,'Hospitalisation Details'!A1081:K3425,11,0)</f>
        <v>57</v>
      </c>
    </row>
    <row r="1083" spans="1:18" x14ac:dyDescent="0.35">
      <c r="A1083" t="s">
        <v>1289</v>
      </c>
      <c r="B1083" t="s">
        <v>1114</v>
      </c>
      <c r="C1083" t="str">
        <f>VLOOKUP($A1083,'Customer Names'!$A:$E,4,FALSE)</f>
        <v>Lisa K.</v>
      </c>
      <c r="D1083" t="str">
        <f>VLOOKUP($A1083,'Medical Examinations'!$A:$J,2,FALSE)</f>
        <v>Obesity</v>
      </c>
      <c r="E1083">
        <f>VLOOKUP($A1083,'Medical Examinations'!$A:$J,4,FALSE)</f>
        <v>5.89</v>
      </c>
      <c r="F1083" t="str">
        <f>VLOOKUP($A1083,'Medical Examinations'!$A:$J,6,FALSE)</f>
        <v>No</v>
      </c>
      <c r="G1083" t="str">
        <f>VLOOKUP($A1083,'Medical Examinations'!$A:$J,7,FALSE)</f>
        <v>No</v>
      </c>
      <c r="H1083" t="str">
        <f>VLOOKUP($A1083,'Medical Examinations'!$A:$J,8,FALSE)</f>
        <v>Yes</v>
      </c>
      <c r="I1083">
        <f>VLOOKUP($A1083,'Medical Examinations'!$A:$J,9,FALSE)</f>
        <v>1</v>
      </c>
      <c r="J1083" t="str">
        <f>VLOOKUP($A1083,'Medical Examinations'!$A:$J,10,FALSE)</f>
        <v>No</v>
      </c>
      <c r="K1083" t="str">
        <f>VLOOKUP($A1083,'Medical Examinations'!$A:$J,5,FALSE)</f>
        <v>Prediabetes</v>
      </c>
      <c r="L1083">
        <f>VLOOKUP($A1084,'Medical Examinations'!$A:$J,3,FALSE)</f>
        <v>28.81</v>
      </c>
      <c r="M1083">
        <f>VLOOKUP($A1083,'Hospitalisation Details'!$A:$K,6,FALSE)</f>
        <v>10419.65</v>
      </c>
      <c r="N1083" s="11">
        <f>VLOOKUP($B1083,'Hospitalisation Details'!A1082:J3426,10,0)</f>
        <v>37202</v>
      </c>
      <c r="O1083" t="str">
        <f>VLOOKUP($B1083,'Hospitalisation Details'!A1082:J3426,8,0)</f>
        <v>tier - 3</v>
      </c>
      <c r="P1083" t="str">
        <f>VLOOKUP($B1083,'Hospitalisation Details'!A1082:J3426,7,0)</f>
        <v>tier - 2</v>
      </c>
      <c r="Q1083" t="str">
        <f>VLOOKUP($B1083,'Hospitalisation Details'!A1082:J3426,9,0)</f>
        <v>R1023</v>
      </c>
      <c r="R1083">
        <f>VLOOKUP($B1083,'Hospitalisation Details'!A1082:K3426,11,0)</f>
        <v>21</v>
      </c>
    </row>
    <row r="1084" spans="1:18" x14ac:dyDescent="0.35">
      <c r="A1084" t="s">
        <v>1288</v>
      </c>
      <c r="B1084" t="s">
        <v>1115</v>
      </c>
      <c r="C1084" t="str">
        <f>VLOOKUP($A1084,'Customer Names'!$A:$E,4,FALSE)</f>
        <v>Kristine</v>
      </c>
      <c r="D1084" t="str">
        <f>VLOOKUP($A1084,'Medical Examinations'!$A:$J,2,FALSE)</f>
        <v>Overweight</v>
      </c>
      <c r="E1084">
        <f>VLOOKUP($A1084,'Medical Examinations'!$A:$J,4,FALSE)</f>
        <v>8.76</v>
      </c>
      <c r="F1084" t="str">
        <f>VLOOKUP($A1084,'Medical Examinations'!$A:$J,6,FALSE)</f>
        <v>No</v>
      </c>
      <c r="G1084" t="str">
        <f>VLOOKUP($A1084,'Medical Examinations'!$A:$J,7,FALSE)</f>
        <v>No</v>
      </c>
      <c r="H1084" t="str">
        <f>VLOOKUP($A1084,'Medical Examinations'!$A:$J,8,FALSE)</f>
        <v>No</v>
      </c>
      <c r="I1084">
        <f>VLOOKUP($A1084,'Medical Examinations'!$A:$J,9,FALSE)</f>
        <v>2</v>
      </c>
      <c r="J1084" t="str">
        <f>VLOOKUP($A1084,'Medical Examinations'!$A:$J,10,FALSE)</f>
        <v>No</v>
      </c>
      <c r="K1084" t="str">
        <f>VLOOKUP($A1084,'Medical Examinations'!$A:$J,5,FALSE)</f>
        <v>Diabetes</v>
      </c>
      <c r="L1084">
        <f>VLOOKUP($A1085,'Medical Examinations'!$A:$J,3,FALSE)</f>
        <v>31.66</v>
      </c>
      <c r="M1084">
        <f>VLOOKUP($A1084,'Hospitalisation Details'!$A:$K,6,FALSE)</f>
        <v>10419.59</v>
      </c>
      <c r="N1084" s="11">
        <f>VLOOKUP($B1084,'Hospitalisation Details'!A1083:J3427,10,0)</f>
        <v>27925</v>
      </c>
      <c r="O1084" t="str">
        <f>VLOOKUP($B1084,'Hospitalisation Details'!A1083:J3427,8,0)</f>
        <v>tier - 1</v>
      </c>
      <c r="P1084" t="str">
        <f>VLOOKUP($B1084,'Hospitalisation Details'!A1083:J3427,7,0)</f>
        <v>tier - 2</v>
      </c>
      <c r="Q1084" t="str">
        <f>VLOOKUP($B1084,'Hospitalisation Details'!A1083:J3427,9,0)</f>
        <v>R1011</v>
      </c>
      <c r="R1084">
        <f>VLOOKUP($B1084,'Hospitalisation Details'!A1083:K3427,11,0)</f>
        <v>46</v>
      </c>
    </row>
    <row r="1085" spans="1:18" x14ac:dyDescent="0.35">
      <c r="A1085" t="s">
        <v>1287</v>
      </c>
      <c r="B1085" t="s">
        <v>1116</v>
      </c>
      <c r="C1085" t="str">
        <f>VLOOKUP($A1085,'Customer Names'!$A:$E,4,FALSE)</f>
        <v>Paul A</v>
      </c>
      <c r="D1085" t="str">
        <f>VLOOKUP($A1085,'Medical Examinations'!$A:$J,2,FALSE)</f>
        <v>Obesity</v>
      </c>
      <c r="E1085">
        <f>VLOOKUP($A1085,'Medical Examinations'!$A:$J,4,FALSE)</f>
        <v>4.1100000000000003</v>
      </c>
      <c r="F1085" t="str">
        <f>VLOOKUP($A1085,'Medical Examinations'!$A:$J,6,FALSE)</f>
        <v>No</v>
      </c>
      <c r="G1085" t="str">
        <f>VLOOKUP($A1085,'Medical Examinations'!$A:$J,7,FALSE)</f>
        <v>No</v>
      </c>
      <c r="H1085" t="str">
        <f>VLOOKUP($A1085,'Medical Examinations'!$A:$J,8,FALSE)</f>
        <v>No</v>
      </c>
      <c r="I1085">
        <f>VLOOKUP($A1085,'Medical Examinations'!$A:$J,9,FALSE)</f>
        <v>0</v>
      </c>
      <c r="J1085" t="str">
        <f>VLOOKUP($A1085,'Medical Examinations'!$A:$J,10,FALSE)</f>
        <v>No</v>
      </c>
      <c r="K1085" t="str">
        <f>VLOOKUP($A1085,'Medical Examinations'!$A:$J,5,FALSE)</f>
        <v>Normal</v>
      </c>
      <c r="L1085">
        <f>VLOOKUP($A1086,'Medical Examinations'!$A:$J,3,FALSE)</f>
        <v>28.215</v>
      </c>
      <c r="M1085">
        <f>VLOOKUP($A1085,'Hospitalisation Details'!$A:$K,6,FALSE)</f>
        <v>10407.98</v>
      </c>
      <c r="N1085" s="11">
        <f>VLOOKUP($B1085,'Hospitalisation Details'!A1084:J3428,10,0)</f>
        <v>28052</v>
      </c>
      <c r="O1085" t="str">
        <f>VLOOKUP($B1085,'Hospitalisation Details'!A1084:J3428,8,0)</f>
        <v>tier - 3</v>
      </c>
      <c r="P1085" t="str">
        <f>VLOOKUP($B1085,'Hospitalisation Details'!A1084:J3428,7,0)</f>
        <v>tier - 2</v>
      </c>
      <c r="Q1085" t="str">
        <f>VLOOKUP($B1085,'Hospitalisation Details'!A1084:J3428,9,0)</f>
        <v>R1024</v>
      </c>
      <c r="R1085">
        <f>VLOOKUP($B1085,'Hospitalisation Details'!A1084:K3428,11,0)</f>
        <v>46</v>
      </c>
    </row>
    <row r="1086" spans="1:18" x14ac:dyDescent="0.35">
      <c r="A1086" t="s">
        <v>1286</v>
      </c>
      <c r="B1086" t="s">
        <v>1117</v>
      </c>
      <c r="C1086" t="str">
        <f>VLOOKUP($A1086,'Customer Names'!$A:$E,4,FALSE)</f>
        <v>Bryan</v>
      </c>
      <c r="D1086" t="str">
        <f>VLOOKUP($A1086,'Medical Examinations'!$A:$J,2,FALSE)</f>
        <v>Overweight</v>
      </c>
      <c r="E1086">
        <f>VLOOKUP($A1086,'Medical Examinations'!$A:$J,4,FALSE)</f>
        <v>7.56</v>
      </c>
      <c r="F1086" t="str">
        <f>VLOOKUP($A1086,'Medical Examinations'!$A:$J,6,FALSE)</f>
        <v>yes</v>
      </c>
      <c r="G1086" t="str">
        <f>VLOOKUP($A1086,'Medical Examinations'!$A:$J,7,FALSE)</f>
        <v>No</v>
      </c>
      <c r="H1086" t="str">
        <f>VLOOKUP($A1086,'Medical Examinations'!$A:$J,8,FALSE)</f>
        <v>No</v>
      </c>
      <c r="I1086">
        <f>VLOOKUP($A1086,'Medical Examinations'!$A:$J,9,FALSE)</f>
        <v>1</v>
      </c>
      <c r="J1086" t="str">
        <f>VLOOKUP($A1086,'Medical Examinations'!$A:$J,10,FALSE)</f>
        <v>No</v>
      </c>
      <c r="K1086" t="str">
        <f>VLOOKUP($A1086,'Medical Examinations'!$A:$J,5,FALSE)</f>
        <v>Diabetes</v>
      </c>
      <c r="L1086">
        <f>VLOOKUP($A1087,'Medical Examinations'!$A:$J,3,FALSE)</f>
        <v>26.12</v>
      </c>
      <c r="M1086">
        <f>VLOOKUP($A1086,'Hospitalisation Details'!$A:$K,6,FALSE)</f>
        <v>10407.09</v>
      </c>
      <c r="N1086" s="11">
        <f>VLOOKUP($B1086,'Hospitalisation Details'!A1085:J3429,10,0)</f>
        <v>32377</v>
      </c>
      <c r="O1086" t="str">
        <f>VLOOKUP($B1086,'Hospitalisation Details'!A1085:J3429,8,0)</f>
        <v>tier - 1</v>
      </c>
      <c r="P1086" t="str">
        <f>VLOOKUP($B1086,'Hospitalisation Details'!A1085:J3429,7,0)</f>
        <v>tier - 2</v>
      </c>
      <c r="Q1086" t="str">
        <f>VLOOKUP($B1086,'Hospitalisation Details'!A1085:J3429,9,0)</f>
        <v>R1025</v>
      </c>
      <c r="R1086">
        <f>VLOOKUP($B1086,'Hospitalisation Details'!A1085:K3429,11,0)</f>
        <v>34</v>
      </c>
    </row>
    <row r="1087" spans="1:18" x14ac:dyDescent="0.35">
      <c r="A1087" t="s">
        <v>1285</v>
      </c>
      <c r="B1087" t="s">
        <v>1118</v>
      </c>
      <c r="C1087" t="str">
        <f>VLOOKUP($A1087,'Customer Names'!$A:$E,4,FALSE)</f>
        <v>Chris</v>
      </c>
      <c r="D1087" t="str">
        <f>VLOOKUP($A1087,'Medical Examinations'!$A:$J,2,FALSE)</f>
        <v>Overweight</v>
      </c>
      <c r="E1087">
        <f>VLOOKUP($A1087,'Medical Examinations'!$A:$J,4,FALSE)</f>
        <v>4.17</v>
      </c>
      <c r="F1087" t="str">
        <f>VLOOKUP($A1087,'Medical Examinations'!$A:$J,6,FALSE)</f>
        <v>yes</v>
      </c>
      <c r="G1087" t="str">
        <f>VLOOKUP($A1087,'Medical Examinations'!$A:$J,7,FALSE)</f>
        <v>No</v>
      </c>
      <c r="H1087" t="str">
        <f>VLOOKUP($A1087,'Medical Examinations'!$A:$J,8,FALSE)</f>
        <v>Yes</v>
      </c>
      <c r="I1087">
        <f>VLOOKUP($A1087,'Medical Examinations'!$A:$J,9,FALSE)</f>
        <v>1</v>
      </c>
      <c r="J1087" t="str">
        <f>VLOOKUP($A1087,'Medical Examinations'!$A:$J,10,FALSE)</f>
        <v>No</v>
      </c>
      <c r="K1087" t="str">
        <f>VLOOKUP($A1087,'Medical Examinations'!$A:$J,5,FALSE)</f>
        <v>Normal</v>
      </c>
      <c r="L1087">
        <f>VLOOKUP($A1088,'Medical Examinations'!$A:$J,3,FALSE)</f>
        <v>36.630000000000003</v>
      </c>
      <c r="M1087">
        <f>VLOOKUP($A1087,'Hospitalisation Details'!$A:$K,6,FALSE)</f>
        <v>10403.27</v>
      </c>
      <c r="N1087" s="11">
        <f>VLOOKUP($B1087,'Hospitalisation Details'!A1086:J3430,10,0)</f>
        <v>27955</v>
      </c>
      <c r="O1087" t="str">
        <f>VLOOKUP($B1087,'Hospitalisation Details'!A1086:J3430,8,0)</f>
        <v>tier - 3</v>
      </c>
      <c r="P1087" t="str">
        <f>VLOOKUP($B1087,'Hospitalisation Details'!A1086:J3430,7,0)</f>
        <v>tier - 2</v>
      </c>
      <c r="Q1087" t="str">
        <f>VLOOKUP($B1087,'Hospitalisation Details'!A1086:J3430,9,0)</f>
        <v>R1011</v>
      </c>
      <c r="R1087">
        <f>VLOOKUP($B1087,'Hospitalisation Details'!A1086:K3430,11,0)</f>
        <v>46</v>
      </c>
    </row>
    <row r="1088" spans="1:18" x14ac:dyDescent="0.35">
      <c r="A1088" t="s">
        <v>1284</v>
      </c>
      <c r="B1088" t="s">
        <v>1119</v>
      </c>
      <c r="C1088" t="str">
        <f>VLOOKUP($A1088,'Customer Names'!$A:$E,4,FALSE)</f>
        <v>Milah B</v>
      </c>
      <c r="D1088" t="str">
        <f>VLOOKUP($A1088,'Medical Examinations'!$A:$J,2,FALSE)</f>
        <v>Obesity</v>
      </c>
      <c r="E1088">
        <f>VLOOKUP($A1088,'Medical Examinations'!$A:$J,4,FALSE)</f>
        <v>11.42</v>
      </c>
      <c r="F1088" t="str">
        <f>VLOOKUP($A1088,'Medical Examinations'!$A:$J,6,FALSE)</f>
        <v>No</v>
      </c>
      <c r="G1088" t="str">
        <f>VLOOKUP($A1088,'Medical Examinations'!$A:$J,7,FALSE)</f>
        <v>No</v>
      </c>
      <c r="H1088" t="str">
        <f>VLOOKUP($A1088,'Medical Examinations'!$A:$J,8,FALSE)</f>
        <v>No</v>
      </c>
      <c r="I1088">
        <f>VLOOKUP($A1088,'Medical Examinations'!$A:$J,9,FALSE)</f>
        <v>2</v>
      </c>
      <c r="J1088" t="str">
        <f>VLOOKUP($A1088,'Medical Examinations'!$A:$J,10,FALSE)</f>
        <v>No</v>
      </c>
      <c r="K1088" t="str">
        <f>VLOOKUP($A1088,'Medical Examinations'!$A:$J,5,FALSE)</f>
        <v>Diabetes</v>
      </c>
      <c r="L1088">
        <f>VLOOKUP($A1089,'Medical Examinations'!$A:$J,3,FALSE)</f>
        <v>33.344999999999999</v>
      </c>
      <c r="M1088">
        <f>VLOOKUP($A1088,'Hospitalisation Details'!$A:$K,6,FALSE)</f>
        <v>10381.48</v>
      </c>
      <c r="N1088" s="11">
        <f>VLOOKUP($B1088,'Hospitalisation Details'!A1087:J3431,10,0)</f>
        <v>26617</v>
      </c>
      <c r="O1088" t="str">
        <f>VLOOKUP($B1088,'Hospitalisation Details'!A1087:J3431,8,0)</f>
        <v>tier - 1</v>
      </c>
      <c r="P1088" t="str">
        <f>VLOOKUP($B1088,'Hospitalisation Details'!A1087:J3431,7,0)</f>
        <v>tier - 3</v>
      </c>
      <c r="Q1088" t="str">
        <f>VLOOKUP($B1088,'Hospitalisation Details'!A1087:J3431,9,0)</f>
        <v>R1012</v>
      </c>
      <c r="R1088">
        <f>VLOOKUP($B1088,'Hospitalisation Details'!A1087:K3431,11,0)</f>
        <v>50</v>
      </c>
    </row>
    <row r="1089" spans="1:18" x14ac:dyDescent="0.35">
      <c r="A1089" t="s">
        <v>1283</v>
      </c>
      <c r="B1089" t="s">
        <v>1120</v>
      </c>
      <c r="C1089" t="str">
        <f>VLOOKUP($A1089,'Customer Names'!$A:$E,4,FALSE)</f>
        <v>Annette M.</v>
      </c>
      <c r="D1089" t="str">
        <f>VLOOKUP($A1089,'Medical Examinations'!$A:$J,2,FALSE)</f>
        <v>Obesity</v>
      </c>
      <c r="E1089">
        <f>VLOOKUP($A1089,'Medical Examinations'!$A:$J,4,FALSE)</f>
        <v>7.33</v>
      </c>
      <c r="F1089" t="str">
        <f>VLOOKUP($A1089,'Medical Examinations'!$A:$J,6,FALSE)</f>
        <v>No</v>
      </c>
      <c r="G1089" t="str">
        <f>VLOOKUP($A1089,'Medical Examinations'!$A:$J,7,FALSE)</f>
        <v>No</v>
      </c>
      <c r="H1089" t="str">
        <f>VLOOKUP($A1089,'Medical Examinations'!$A:$J,8,FALSE)</f>
        <v>No</v>
      </c>
      <c r="I1089">
        <f>VLOOKUP($A1089,'Medical Examinations'!$A:$J,9,FALSE)</f>
        <v>2</v>
      </c>
      <c r="J1089" t="str">
        <f>VLOOKUP($A1089,'Medical Examinations'!$A:$J,10,FALSE)</f>
        <v>No</v>
      </c>
      <c r="K1089" t="str">
        <f>VLOOKUP($A1089,'Medical Examinations'!$A:$J,5,FALSE)</f>
        <v>Diabetes</v>
      </c>
      <c r="L1089">
        <f>VLOOKUP($A1090,'Medical Examinations'!$A:$J,3,FALSE)</f>
        <v>27.11</v>
      </c>
      <c r="M1089">
        <f>VLOOKUP($A1089,'Hospitalisation Details'!$A:$K,6,FALSE)</f>
        <v>10370.91</v>
      </c>
      <c r="N1089" s="11">
        <f>VLOOKUP($B1089,'Hospitalisation Details'!A1088:J3432,10,0)</f>
        <v>26625</v>
      </c>
      <c r="O1089" t="str">
        <f>VLOOKUP($B1089,'Hospitalisation Details'!A1088:J3432,8,0)</f>
        <v>tier - 2</v>
      </c>
      <c r="P1089" t="str">
        <f>VLOOKUP($B1089,'Hospitalisation Details'!A1088:J3432,7,0)</f>
        <v>tier - 3</v>
      </c>
      <c r="Q1089" t="str">
        <f>VLOOKUP($B1089,'Hospitalisation Details'!A1088:J3432,9,0)</f>
        <v>R1012</v>
      </c>
      <c r="R1089">
        <f>VLOOKUP($B1089,'Hospitalisation Details'!A1088:K3432,11,0)</f>
        <v>50</v>
      </c>
    </row>
    <row r="1090" spans="1:18" x14ac:dyDescent="0.35">
      <c r="A1090" t="s">
        <v>1282</v>
      </c>
      <c r="B1090" t="s">
        <v>1121</v>
      </c>
      <c r="C1090" t="str">
        <f>VLOOKUP($A1090,'Customer Names'!$A:$E,4,FALSE)</f>
        <v>Yoko</v>
      </c>
      <c r="D1090" t="str">
        <f>VLOOKUP($A1090,'Medical Examinations'!$A:$J,2,FALSE)</f>
        <v>Overweight</v>
      </c>
      <c r="E1090">
        <f>VLOOKUP($A1090,'Medical Examinations'!$A:$J,4,FALSE)</f>
        <v>6.7</v>
      </c>
      <c r="F1090" t="str">
        <f>VLOOKUP($A1090,'Medical Examinations'!$A:$J,6,FALSE)</f>
        <v>No</v>
      </c>
      <c r="G1090" t="str">
        <f>VLOOKUP($A1090,'Medical Examinations'!$A:$J,7,FALSE)</f>
        <v>No</v>
      </c>
      <c r="H1090" t="str">
        <f>VLOOKUP($A1090,'Medical Examinations'!$A:$J,8,FALSE)</f>
        <v>No</v>
      </c>
      <c r="I1090">
        <f>VLOOKUP($A1090,'Medical Examinations'!$A:$J,9,FALSE)</f>
        <v>0</v>
      </c>
      <c r="J1090" t="str">
        <f>VLOOKUP($A1090,'Medical Examinations'!$A:$J,10,FALSE)</f>
        <v>No</v>
      </c>
      <c r="K1090" t="str">
        <f>VLOOKUP($A1090,'Medical Examinations'!$A:$J,5,FALSE)</f>
        <v>Diabetes</v>
      </c>
      <c r="L1090">
        <f>VLOOKUP($A1091,'Medical Examinations'!$A:$J,3,FALSE)</f>
        <v>26.6</v>
      </c>
      <c r="M1090">
        <f>VLOOKUP($A1090,'Hospitalisation Details'!$A:$K,6,FALSE)</f>
        <v>10356.67</v>
      </c>
      <c r="N1090" s="11">
        <f>VLOOKUP($B1090,'Hospitalisation Details'!A1089:J3433,10,0)</f>
        <v>27198</v>
      </c>
      <c r="O1090" t="str">
        <f>VLOOKUP($B1090,'Hospitalisation Details'!A1089:J3433,8,0)</f>
        <v>tier - 3</v>
      </c>
      <c r="P1090" t="str">
        <f>VLOOKUP($B1090,'Hospitalisation Details'!A1089:J3433,7,0)</f>
        <v>tier - 2</v>
      </c>
      <c r="Q1090" t="str">
        <f>VLOOKUP($B1090,'Hospitalisation Details'!A1089:J3433,9,0)</f>
        <v>R1013</v>
      </c>
      <c r="R1090">
        <f>VLOOKUP($B1090,'Hospitalisation Details'!A1089:K3433,11,0)</f>
        <v>48</v>
      </c>
    </row>
    <row r="1091" spans="1:18" x14ac:dyDescent="0.35">
      <c r="A1091" t="s">
        <v>1281</v>
      </c>
      <c r="B1091" t="s">
        <v>1122</v>
      </c>
      <c r="C1091" t="str">
        <f>VLOOKUP($A1091,'Customer Names'!$A:$E,4,FALSE)</f>
        <v>Laura</v>
      </c>
      <c r="D1091" t="str">
        <f>VLOOKUP($A1091,'Medical Examinations'!$A:$J,2,FALSE)</f>
        <v>Overweight</v>
      </c>
      <c r="E1091">
        <f>VLOOKUP($A1091,'Medical Examinations'!$A:$J,4,FALSE)</f>
        <v>5.27</v>
      </c>
      <c r="F1091" t="str">
        <f>VLOOKUP($A1091,'Medical Examinations'!$A:$J,6,FALSE)</f>
        <v>yes</v>
      </c>
      <c r="G1091" t="str">
        <f>VLOOKUP($A1091,'Medical Examinations'!$A:$J,7,FALSE)</f>
        <v>No</v>
      </c>
      <c r="H1091" t="str">
        <f>VLOOKUP($A1091,'Medical Examinations'!$A:$J,8,FALSE)</f>
        <v>Yes</v>
      </c>
      <c r="I1091">
        <f>VLOOKUP($A1091,'Medical Examinations'!$A:$J,9,FALSE)</f>
        <v>1</v>
      </c>
      <c r="J1091" t="str">
        <f>VLOOKUP($A1091,'Medical Examinations'!$A:$J,10,FALSE)</f>
        <v>No</v>
      </c>
      <c r="K1091" t="str">
        <f>VLOOKUP($A1091,'Medical Examinations'!$A:$J,5,FALSE)</f>
        <v>Normal</v>
      </c>
      <c r="L1091">
        <f>VLOOKUP($A1092,'Medical Examinations'!$A:$J,3,FALSE)</f>
        <v>30.41</v>
      </c>
      <c r="M1091">
        <f>VLOOKUP($A1091,'Hospitalisation Details'!$A:$K,6,FALSE)</f>
        <v>10355.64</v>
      </c>
      <c r="N1091" s="11">
        <f>VLOOKUP($B1091,'Hospitalisation Details'!A1090:J3434,10,0)</f>
        <v>26916</v>
      </c>
      <c r="O1091" t="str">
        <f>VLOOKUP($B1091,'Hospitalisation Details'!A1090:J3434,8,0)</f>
        <v>tier - 3</v>
      </c>
      <c r="P1091" t="str">
        <f>VLOOKUP($B1091,'Hospitalisation Details'!A1090:J3434,7,0)</f>
        <v>tier - 2</v>
      </c>
      <c r="Q1091" t="str">
        <f>VLOOKUP($B1091,'Hospitalisation Details'!A1090:J3434,9,0)</f>
        <v>R1012</v>
      </c>
      <c r="R1091">
        <f>VLOOKUP($B1091,'Hospitalisation Details'!A1090:K3434,11,0)</f>
        <v>49</v>
      </c>
    </row>
    <row r="1092" spans="1:18" x14ac:dyDescent="0.35">
      <c r="A1092" t="s">
        <v>1280</v>
      </c>
      <c r="B1092" t="s">
        <v>1123</v>
      </c>
      <c r="C1092" t="str">
        <f>VLOOKUP($A1092,'Customer Names'!$A:$E,4,FALSE)</f>
        <v>Tess A.</v>
      </c>
      <c r="D1092" t="str">
        <f>VLOOKUP($A1092,'Medical Examinations'!$A:$J,2,FALSE)</f>
        <v>Obesity</v>
      </c>
      <c r="E1092">
        <f>VLOOKUP($A1092,'Medical Examinations'!$A:$J,4,FALSE)</f>
        <v>7.72</v>
      </c>
      <c r="F1092" t="str">
        <f>VLOOKUP($A1092,'Medical Examinations'!$A:$J,6,FALSE)</f>
        <v>No</v>
      </c>
      <c r="G1092" t="str">
        <f>VLOOKUP($A1092,'Medical Examinations'!$A:$J,7,FALSE)</f>
        <v>No</v>
      </c>
      <c r="H1092" t="str">
        <f>VLOOKUP($A1092,'Medical Examinations'!$A:$J,8,FALSE)</f>
        <v>No</v>
      </c>
      <c r="I1092">
        <f>VLOOKUP($A1092,'Medical Examinations'!$A:$J,9,FALSE)</f>
        <v>0</v>
      </c>
      <c r="J1092" t="str">
        <f>VLOOKUP($A1092,'Medical Examinations'!$A:$J,10,FALSE)</f>
        <v>No</v>
      </c>
      <c r="K1092" t="str">
        <f>VLOOKUP($A1092,'Medical Examinations'!$A:$J,5,FALSE)</f>
        <v>Diabetes</v>
      </c>
      <c r="L1092">
        <f>VLOOKUP($A1093,'Medical Examinations'!$A:$J,3,FALSE)</f>
        <v>28.98</v>
      </c>
      <c r="M1092">
        <f>VLOOKUP($A1092,'Hospitalisation Details'!$A:$K,6,FALSE)</f>
        <v>10352.48</v>
      </c>
      <c r="N1092" s="11">
        <f>VLOOKUP($B1092,'Hospitalisation Details'!A1091:J3435,10,0)</f>
        <v>28840</v>
      </c>
      <c r="O1092" t="str">
        <f>VLOOKUP($B1092,'Hospitalisation Details'!A1091:J3435,8,0)</f>
        <v>tier - 3</v>
      </c>
      <c r="P1092" t="str">
        <f>VLOOKUP($B1092,'Hospitalisation Details'!A1091:J3435,7,0)</f>
        <v>tier - 2</v>
      </c>
      <c r="Q1092" t="str">
        <f>VLOOKUP($B1092,'Hospitalisation Details'!A1091:J3435,9,0)</f>
        <v>R1017</v>
      </c>
      <c r="R1092">
        <f>VLOOKUP($B1092,'Hospitalisation Details'!A1091:K3435,11,0)</f>
        <v>44</v>
      </c>
    </row>
    <row r="1093" spans="1:18" x14ac:dyDescent="0.35">
      <c r="A1093" t="s">
        <v>1279</v>
      </c>
      <c r="B1093" t="s">
        <v>1124</v>
      </c>
      <c r="C1093" t="str">
        <f>VLOOKUP($A1093,'Customer Names'!$A:$E,4,FALSE)</f>
        <v>William G.</v>
      </c>
      <c r="D1093" t="str">
        <f>VLOOKUP($A1093,'Medical Examinations'!$A:$J,2,FALSE)</f>
        <v>Overweight</v>
      </c>
      <c r="E1093">
        <f>VLOOKUP($A1093,'Medical Examinations'!$A:$J,4,FALSE)</f>
        <v>8.68</v>
      </c>
      <c r="F1093" t="str">
        <f>VLOOKUP($A1093,'Medical Examinations'!$A:$J,6,FALSE)</f>
        <v>No</v>
      </c>
      <c r="G1093" t="str">
        <f>VLOOKUP($A1093,'Medical Examinations'!$A:$J,7,FALSE)</f>
        <v>No</v>
      </c>
      <c r="H1093" t="str">
        <f>VLOOKUP($A1093,'Medical Examinations'!$A:$J,8,FALSE)</f>
        <v>No</v>
      </c>
      <c r="I1093">
        <f>VLOOKUP($A1093,'Medical Examinations'!$A:$J,9,FALSE)</f>
        <v>2</v>
      </c>
      <c r="J1093" t="str">
        <f>VLOOKUP($A1093,'Medical Examinations'!$A:$J,10,FALSE)</f>
        <v>No</v>
      </c>
      <c r="K1093" t="str">
        <f>VLOOKUP($A1093,'Medical Examinations'!$A:$J,5,FALSE)</f>
        <v>Diabetes</v>
      </c>
      <c r="L1093">
        <f>VLOOKUP($A1094,'Medical Examinations'!$A:$J,3,FALSE)</f>
        <v>31.24</v>
      </c>
      <c r="M1093">
        <f>VLOOKUP($A1093,'Hospitalisation Details'!$A:$K,6,FALSE)</f>
        <v>10345.93</v>
      </c>
      <c r="N1093" s="11">
        <f>VLOOKUP($B1093,'Hospitalisation Details'!A1092:J3436,10,0)</f>
        <v>35762</v>
      </c>
      <c r="O1093" t="str">
        <f>VLOOKUP($B1093,'Hospitalisation Details'!A1092:J3436,8,0)</f>
        <v>tier - 2</v>
      </c>
      <c r="P1093" t="str">
        <f>VLOOKUP($B1093,'Hospitalisation Details'!A1092:J3436,7,0)</f>
        <v>tier - 2</v>
      </c>
      <c r="Q1093" t="str">
        <f>VLOOKUP($B1093,'Hospitalisation Details'!A1092:J3436,9,0)</f>
        <v>R1012</v>
      </c>
      <c r="R1093">
        <f>VLOOKUP($B1093,'Hospitalisation Details'!A1092:K3436,11,0)</f>
        <v>25</v>
      </c>
    </row>
    <row r="1094" spans="1:18" x14ac:dyDescent="0.35">
      <c r="A1094" t="s">
        <v>1278</v>
      </c>
      <c r="B1094" t="s">
        <v>1125</v>
      </c>
      <c r="C1094" t="str">
        <f>VLOOKUP($A1094,'Customer Names'!$A:$E,4,FALSE)</f>
        <v>Paige</v>
      </c>
      <c r="D1094" t="str">
        <f>VLOOKUP($A1094,'Medical Examinations'!$A:$J,2,FALSE)</f>
        <v>Obesity</v>
      </c>
      <c r="E1094">
        <f>VLOOKUP($A1094,'Medical Examinations'!$A:$J,4,FALSE)</f>
        <v>9.8000000000000007</v>
      </c>
      <c r="F1094" t="str">
        <f>VLOOKUP($A1094,'Medical Examinations'!$A:$J,6,FALSE)</f>
        <v>No</v>
      </c>
      <c r="G1094" t="str">
        <f>VLOOKUP($A1094,'Medical Examinations'!$A:$J,7,FALSE)</f>
        <v>No</v>
      </c>
      <c r="H1094" t="str">
        <f>VLOOKUP($A1094,'Medical Examinations'!$A:$J,8,FALSE)</f>
        <v>No</v>
      </c>
      <c r="I1094">
        <f>VLOOKUP($A1094,'Medical Examinations'!$A:$J,9,FALSE)</f>
        <v>0</v>
      </c>
      <c r="J1094" t="str">
        <f>VLOOKUP($A1094,'Medical Examinations'!$A:$J,10,FALSE)</f>
        <v>No</v>
      </c>
      <c r="K1094" t="str">
        <f>VLOOKUP($A1094,'Medical Examinations'!$A:$J,5,FALSE)</f>
        <v>Diabetes</v>
      </c>
      <c r="L1094">
        <f>VLOOKUP($A1095,'Medical Examinations'!$A:$J,3,FALSE)</f>
        <v>31.54</v>
      </c>
      <c r="M1094">
        <f>VLOOKUP($A1094,'Hospitalisation Details'!$A:$K,6,FALSE)</f>
        <v>10338.93</v>
      </c>
      <c r="N1094" s="11">
        <f>VLOOKUP($B1094,'Hospitalisation Details'!A1093:J3437,10,0)</f>
        <v>24721</v>
      </c>
      <c r="O1094" t="str">
        <f>VLOOKUP($B1094,'Hospitalisation Details'!A1093:J3437,8,0)</f>
        <v>tier - 2</v>
      </c>
      <c r="P1094" t="str">
        <f>VLOOKUP($B1094,'Hospitalisation Details'!A1093:J3437,7,0)</f>
        <v>tier - 3</v>
      </c>
      <c r="Q1094" t="str">
        <f>VLOOKUP($B1094,'Hospitalisation Details'!A1093:J3437,9,0)</f>
        <v>R1013</v>
      </c>
      <c r="R1094">
        <f>VLOOKUP($B1094,'Hospitalisation Details'!A1093:K3437,11,0)</f>
        <v>55</v>
      </c>
    </row>
    <row r="1095" spans="1:18" x14ac:dyDescent="0.35">
      <c r="A1095" t="s">
        <v>1277</v>
      </c>
      <c r="B1095" t="s">
        <v>1126</v>
      </c>
      <c r="C1095" t="str">
        <f>VLOOKUP($A1095,'Customer Names'!$A:$E,4,FALSE)</f>
        <v>Matthew J</v>
      </c>
      <c r="D1095" t="str">
        <f>VLOOKUP($A1095,'Medical Examinations'!$A:$J,2,FALSE)</f>
        <v>Obesity</v>
      </c>
      <c r="E1095">
        <f>VLOOKUP($A1095,'Medical Examinations'!$A:$J,4,FALSE)</f>
        <v>4.4400000000000004</v>
      </c>
      <c r="F1095" t="str">
        <f>VLOOKUP($A1095,'Medical Examinations'!$A:$J,6,FALSE)</f>
        <v>No</v>
      </c>
      <c r="G1095" t="str">
        <f>VLOOKUP($A1095,'Medical Examinations'!$A:$J,7,FALSE)</f>
        <v>No</v>
      </c>
      <c r="H1095" t="str">
        <f>VLOOKUP($A1095,'Medical Examinations'!$A:$J,8,FALSE)</f>
        <v>No</v>
      </c>
      <c r="I1095">
        <f>VLOOKUP($A1095,'Medical Examinations'!$A:$J,9,FALSE)</f>
        <v>0</v>
      </c>
      <c r="J1095" t="str">
        <f>VLOOKUP($A1095,'Medical Examinations'!$A:$J,10,FALSE)</f>
        <v>No</v>
      </c>
      <c r="K1095" t="str">
        <f>VLOOKUP($A1095,'Medical Examinations'!$A:$J,5,FALSE)</f>
        <v>Normal</v>
      </c>
      <c r="L1095">
        <f>VLOOKUP($A1096,'Medical Examinations'!$A:$J,3,FALSE)</f>
        <v>38.6</v>
      </c>
      <c r="M1095">
        <f>VLOOKUP($A1095,'Hospitalisation Details'!$A:$K,6,FALSE)</f>
        <v>10329.06</v>
      </c>
      <c r="N1095" s="11">
        <f>VLOOKUP($B1095,'Hospitalisation Details'!A1094:J3438,10,0)</f>
        <v>27582</v>
      </c>
      <c r="O1095" t="str">
        <f>VLOOKUP($B1095,'Hospitalisation Details'!A1094:J3438,8,0)</f>
        <v>tier - 2</v>
      </c>
      <c r="P1095" t="str">
        <f>VLOOKUP($B1095,'Hospitalisation Details'!A1094:J3438,7,0)</f>
        <v>tier - 2</v>
      </c>
      <c r="Q1095" t="str">
        <f>VLOOKUP($B1095,'Hospitalisation Details'!A1094:J3438,9,0)</f>
        <v>R1012</v>
      </c>
      <c r="R1095">
        <f>VLOOKUP($B1095,'Hospitalisation Details'!A1094:K3438,11,0)</f>
        <v>47</v>
      </c>
    </row>
    <row r="1096" spans="1:18" x14ac:dyDescent="0.35">
      <c r="A1096" t="s">
        <v>1276</v>
      </c>
      <c r="B1096" t="s">
        <v>1127</v>
      </c>
      <c r="C1096" t="str">
        <f>VLOOKUP($A1096,'Customer Names'!$A:$E,4,FALSE)</f>
        <v>Matthew</v>
      </c>
      <c r="D1096" t="str">
        <f>VLOOKUP($A1096,'Medical Examinations'!$A:$J,2,FALSE)</f>
        <v>Obesity</v>
      </c>
      <c r="E1096">
        <f>VLOOKUP($A1096,'Medical Examinations'!$A:$J,4,FALSE)</f>
        <v>7.19</v>
      </c>
      <c r="F1096" t="str">
        <f>VLOOKUP($A1096,'Medical Examinations'!$A:$J,6,FALSE)</f>
        <v>yes</v>
      </c>
      <c r="G1096" t="str">
        <f>VLOOKUP($A1096,'Medical Examinations'!$A:$J,7,FALSE)</f>
        <v>No</v>
      </c>
      <c r="H1096" t="str">
        <f>VLOOKUP($A1096,'Medical Examinations'!$A:$J,8,FALSE)</f>
        <v>No</v>
      </c>
      <c r="I1096">
        <f>VLOOKUP($A1096,'Medical Examinations'!$A:$J,9,FALSE)</f>
        <v>2</v>
      </c>
      <c r="J1096" t="str">
        <f>VLOOKUP($A1096,'Medical Examinations'!$A:$J,10,FALSE)</f>
        <v>No</v>
      </c>
      <c r="K1096" t="str">
        <f>VLOOKUP($A1096,'Medical Examinations'!$A:$J,5,FALSE)</f>
        <v>Diabetes</v>
      </c>
      <c r="L1096">
        <f>VLOOKUP($A1097,'Medical Examinations'!$A:$J,3,FALSE)</f>
        <v>37.950000000000003</v>
      </c>
      <c r="M1096">
        <f>VLOOKUP($A1096,'Hospitalisation Details'!$A:$K,6,FALSE)</f>
        <v>10325.209999999999</v>
      </c>
      <c r="N1096" s="11">
        <f>VLOOKUP($B1096,'Hospitalisation Details'!A1095:J3439,10,0)</f>
        <v>26456</v>
      </c>
      <c r="O1096" t="str">
        <f>VLOOKUP($B1096,'Hospitalisation Details'!A1095:J3439,8,0)</f>
        <v>tier - 1</v>
      </c>
      <c r="P1096" t="str">
        <f>VLOOKUP($B1096,'Hospitalisation Details'!A1095:J3439,7,0)</f>
        <v>tier - 2</v>
      </c>
      <c r="Q1096" t="str">
        <f>VLOOKUP($B1096,'Hospitalisation Details'!A1095:J3439,9,0)</f>
        <v>R1011</v>
      </c>
      <c r="R1096">
        <f>VLOOKUP($B1096,'Hospitalisation Details'!A1095:K3439,11,0)</f>
        <v>51</v>
      </c>
    </row>
    <row r="1097" spans="1:18" x14ac:dyDescent="0.35">
      <c r="A1097" t="s">
        <v>1275</v>
      </c>
      <c r="B1097" t="s">
        <v>1128</v>
      </c>
      <c r="C1097" t="str">
        <f>VLOOKUP($A1097,'Customer Names'!$A:$E,4,FALSE)</f>
        <v>Maria</v>
      </c>
      <c r="D1097" t="str">
        <f>VLOOKUP($A1097,'Medical Examinations'!$A:$J,2,FALSE)</f>
        <v>Obesity</v>
      </c>
      <c r="E1097">
        <f>VLOOKUP($A1097,'Medical Examinations'!$A:$J,4,FALSE)</f>
        <v>6.06</v>
      </c>
      <c r="F1097" t="str">
        <f>VLOOKUP($A1097,'Medical Examinations'!$A:$J,6,FALSE)</f>
        <v>No</v>
      </c>
      <c r="G1097" t="str">
        <f>VLOOKUP($A1097,'Medical Examinations'!$A:$J,7,FALSE)</f>
        <v>No</v>
      </c>
      <c r="H1097" t="str">
        <f>VLOOKUP($A1097,'Medical Examinations'!$A:$J,8,FALSE)</f>
        <v>No</v>
      </c>
      <c r="I1097">
        <f>VLOOKUP($A1097,'Medical Examinations'!$A:$J,9,FALSE)</f>
        <v>0</v>
      </c>
      <c r="J1097" t="str">
        <f>VLOOKUP($A1097,'Medical Examinations'!$A:$J,10,FALSE)</f>
        <v>No</v>
      </c>
      <c r="K1097" t="str">
        <f>VLOOKUP($A1097,'Medical Examinations'!$A:$J,5,FALSE)</f>
        <v>Prediabetes</v>
      </c>
      <c r="L1097">
        <f>VLOOKUP($A1098,'Medical Examinations'!$A:$J,3,FALSE)</f>
        <v>38.97</v>
      </c>
      <c r="M1097">
        <f>VLOOKUP($A1097,'Hospitalisation Details'!$A:$K,6,FALSE)</f>
        <v>10322.9</v>
      </c>
      <c r="N1097" s="11">
        <f>VLOOKUP($B1097,'Hospitalisation Details'!A1096:J3440,10,0)</f>
        <v>28119</v>
      </c>
      <c r="O1097" t="str">
        <f>VLOOKUP($B1097,'Hospitalisation Details'!A1096:J3440,8,0)</f>
        <v>tier - 2</v>
      </c>
      <c r="P1097" t="str">
        <f>VLOOKUP($B1097,'Hospitalisation Details'!A1096:J3440,7,0)</f>
        <v>tier - 3</v>
      </c>
      <c r="Q1097" t="str">
        <f>VLOOKUP($B1097,'Hospitalisation Details'!A1096:J3440,9,0)</f>
        <v>R1013</v>
      </c>
      <c r="R1097">
        <f>VLOOKUP($B1097,'Hospitalisation Details'!A1096:K3440,11,0)</f>
        <v>46</v>
      </c>
    </row>
    <row r="1098" spans="1:18" x14ac:dyDescent="0.35">
      <c r="A1098" t="s">
        <v>1274</v>
      </c>
      <c r="B1098" t="s">
        <v>1129</v>
      </c>
      <c r="C1098" t="str">
        <f>VLOOKUP($A1098,'Customer Names'!$A:$E,4,FALSE)</f>
        <v>Stephanie D</v>
      </c>
      <c r="D1098" t="str">
        <f>VLOOKUP($A1098,'Medical Examinations'!$A:$J,2,FALSE)</f>
        <v>Obesity</v>
      </c>
      <c r="E1098">
        <f>VLOOKUP($A1098,'Medical Examinations'!$A:$J,4,FALSE)</f>
        <v>5.12</v>
      </c>
      <c r="F1098" t="str">
        <f>VLOOKUP($A1098,'Medical Examinations'!$A:$J,6,FALSE)</f>
        <v>No</v>
      </c>
      <c r="G1098" t="str">
        <f>VLOOKUP($A1098,'Medical Examinations'!$A:$J,7,FALSE)</f>
        <v>No</v>
      </c>
      <c r="H1098" t="str">
        <f>VLOOKUP($A1098,'Medical Examinations'!$A:$J,8,FALSE)</f>
        <v>No</v>
      </c>
      <c r="I1098">
        <f>VLOOKUP($A1098,'Medical Examinations'!$A:$J,9,FALSE)</f>
        <v>0</v>
      </c>
      <c r="J1098" t="str">
        <f>VLOOKUP($A1098,'Medical Examinations'!$A:$J,10,FALSE)</f>
        <v>No</v>
      </c>
      <c r="K1098" t="str">
        <f>VLOOKUP($A1098,'Medical Examinations'!$A:$J,5,FALSE)</f>
        <v>Normal</v>
      </c>
      <c r="L1098">
        <f>VLOOKUP($A1099,'Medical Examinations'!$A:$J,3,FALSE)</f>
        <v>21.2</v>
      </c>
      <c r="M1098">
        <f>VLOOKUP($A1098,'Hospitalisation Details'!$A:$K,6,FALSE)</f>
        <v>10315.91</v>
      </c>
      <c r="N1098" s="11">
        <f>VLOOKUP($B1098,'Hospitalisation Details'!A1097:J3441,10,0)</f>
        <v>33874</v>
      </c>
      <c r="O1098" t="str">
        <f>VLOOKUP($B1098,'Hospitalisation Details'!A1097:J3441,8,0)</f>
        <v>tier - 3</v>
      </c>
      <c r="P1098" t="str">
        <f>VLOOKUP($B1098,'Hospitalisation Details'!A1097:J3441,7,0)</f>
        <v>tier - 2</v>
      </c>
      <c r="Q1098" t="str">
        <f>VLOOKUP($B1098,'Hospitalisation Details'!A1097:J3441,9,0)</f>
        <v>R1026</v>
      </c>
      <c r="R1098">
        <f>VLOOKUP($B1098,'Hospitalisation Details'!A1097:K3441,11,0)</f>
        <v>30</v>
      </c>
    </row>
    <row r="1099" spans="1:18" x14ac:dyDescent="0.35">
      <c r="A1099" t="s">
        <v>1273</v>
      </c>
      <c r="B1099" t="s">
        <v>1130</v>
      </c>
      <c r="C1099" t="str">
        <f>VLOOKUP($A1099,'Customer Names'!$A:$E,4,FALSE)</f>
        <v>Tiffany</v>
      </c>
      <c r="D1099" t="str">
        <f>VLOOKUP($A1099,'Medical Examinations'!$A:$J,2,FALSE)</f>
        <v>Normal Weight</v>
      </c>
      <c r="E1099">
        <f>VLOOKUP($A1099,'Medical Examinations'!$A:$J,4,FALSE)</f>
        <v>10.72</v>
      </c>
      <c r="F1099" t="str">
        <f>VLOOKUP($A1099,'Medical Examinations'!$A:$J,6,FALSE)</f>
        <v>No</v>
      </c>
      <c r="G1099" t="str">
        <f>VLOOKUP($A1099,'Medical Examinations'!$A:$J,7,FALSE)</f>
        <v>No</v>
      </c>
      <c r="H1099" t="str">
        <f>VLOOKUP($A1099,'Medical Examinations'!$A:$J,8,FALSE)</f>
        <v>No</v>
      </c>
      <c r="I1099">
        <f>VLOOKUP($A1099,'Medical Examinations'!$A:$J,9,FALSE)</f>
        <v>0</v>
      </c>
      <c r="J1099" t="str">
        <f>VLOOKUP($A1099,'Medical Examinations'!$A:$J,10,FALSE)</f>
        <v>No</v>
      </c>
      <c r="K1099" t="str">
        <f>VLOOKUP($A1099,'Medical Examinations'!$A:$J,5,FALSE)</f>
        <v>Diabetes</v>
      </c>
      <c r="L1099">
        <f>VLOOKUP($A1100,'Medical Examinations'!$A:$J,3,FALSE)</f>
        <v>23.96</v>
      </c>
      <c r="M1099">
        <f>VLOOKUP($A1099,'Hospitalisation Details'!$A:$K,6,FALSE)</f>
        <v>10310.780000000001</v>
      </c>
      <c r="N1099" s="11">
        <f>VLOOKUP($B1099,'Hospitalisation Details'!A1098:J3442,10,0)</f>
        <v>27258</v>
      </c>
      <c r="O1099" t="str">
        <f>VLOOKUP($B1099,'Hospitalisation Details'!A1098:J3442,8,0)</f>
        <v>tier - 2</v>
      </c>
      <c r="P1099" t="str">
        <f>VLOOKUP($B1099,'Hospitalisation Details'!A1098:J3442,7,0)</f>
        <v>tier - 3</v>
      </c>
      <c r="Q1099" t="str">
        <f>VLOOKUP($B1099,'Hospitalisation Details'!A1098:J3442,9,0)</f>
        <v>R1016</v>
      </c>
      <c r="R1099">
        <f>VLOOKUP($B1099,'Hospitalisation Details'!A1098:K3442,11,0)</f>
        <v>48</v>
      </c>
    </row>
    <row r="1100" spans="1:18" x14ac:dyDescent="0.35">
      <c r="A1100" t="s">
        <v>1272</v>
      </c>
      <c r="B1100" t="s">
        <v>1131</v>
      </c>
      <c r="C1100" t="str">
        <f>VLOOKUP($A1100,'Customer Names'!$A:$E,4,FALSE)</f>
        <v>Sara M.</v>
      </c>
      <c r="D1100" t="str">
        <f>VLOOKUP($A1100,'Medical Examinations'!$A:$J,2,FALSE)</f>
        <v>Normal Weight</v>
      </c>
      <c r="E1100">
        <f>VLOOKUP($A1100,'Medical Examinations'!$A:$J,4,FALSE)</f>
        <v>9.58</v>
      </c>
      <c r="F1100" t="str">
        <f>VLOOKUP($A1100,'Medical Examinations'!$A:$J,6,FALSE)</f>
        <v>yes</v>
      </c>
      <c r="G1100" t="str">
        <f>VLOOKUP($A1100,'Medical Examinations'!$A:$J,7,FALSE)</f>
        <v>No</v>
      </c>
      <c r="H1100" t="str">
        <f>VLOOKUP($A1100,'Medical Examinations'!$A:$J,8,FALSE)</f>
        <v>Yes</v>
      </c>
      <c r="I1100">
        <f>VLOOKUP($A1100,'Medical Examinations'!$A:$J,9,FALSE)</f>
        <v>1</v>
      </c>
      <c r="J1100" t="str">
        <f>VLOOKUP($A1100,'Medical Examinations'!$A:$J,10,FALSE)</f>
        <v>No</v>
      </c>
      <c r="K1100" t="str">
        <f>VLOOKUP($A1100,'Medical Examinations'!$A:$J,5,FALSE)</f>
        <v>Diabetes</v>
      </c>
      <c r="L1100">
        <f>VLOOKUP($A1101,'Medical Examinations'!$A:$J,3,FALSE)</f>
        <v>35.93</v>
      </c>
      <c r="M1100">
        <f>VLOOKUP($A1100,'Hospitalisation Details'!$A:$K,6,FALSE)</f>
        <v>10308.040000000001</v>
      </c>
      <c r="N1100" s="11">
        <f>VLOOKUP($B1100,'Hospitalisation Details'!A1099:J3443,10,0)</f>
        <v>30512</v>
      </c>
      <c r="O1100" t="str">
        <f>VLOOKUP($B1100,'Hospitalisation Details'!A1099:J3443,8,0)</f>
        <v>tier - 3</v>
      </c>
      <c r="P1100" t="str">
        <f>VLOOKUP($B1100,'Hospitalisation Details'!A1099:J3443,7,0)</f>
        <v>tier - 2</v>
      </c>
      <c r="Q1100" t="str">
        <f>VLOOKUP($B1100,'Hospitalisation Details'!A1099:J3443,9,0)</f>
        <v>R1012</v>
      </c>
      <c r="R1100">
        <f>VLOOKUP($B1100,'Hospitalisation Details'!A1099:K3443,11,0)</f>
        <v>39</v>
      </c>
    </row>
    <row r="1101" spans="1:18" x14ac:dyDescent="0.35">
      <c r="A1101" t="s">
        <v>1271</v>
      </c>
      <c r="B1101" t="s">
        <v>1132</v>
      </c>
      <c r="C1101" t="str">
        <f>VLOOKUP($A1101,'Customer Names'!$A:$E,4,FALSE)</f>
        <v>Scott A.</v>
      </c>
      <c r="D1101" t="str">
        <f>VLOOKUP($A1101,'Medical Examinations'!$A:$J,2,FALSE)</f>
        <v>Obesity</v>
      </c>
      <c r="E1101">
        <f>VLOOKUP($A1101,'Medical Examinations'!$A:$J,4,FALSE)</f>
        <v>6.4</v>
      </c>
      <c r="F1101" t="str">
        <f>VLOOKUP($A1101,'Medical Examinations'!$A:$J,6,FALSE)</f>
        <v>yes</v>
      </c>
      <c r="G1101" t="str">
        <f>VLOOKUP($A1101,'Medical Examinations'!$A:$J,7,FALSE)</f>
        <v>No</v>
      </c>
      <c r="H1101" t="str">
        <f>VLOOKUP($A1101,'Medical Examinations'!$A:$J,8,FALSE)</f>
        <v>No</v>
      </c>
      <c r="I1101">
        <f>VLOOKUP($A1101,'Medical Examinations'!$A:$J,9,FALSE)</f>
        <v>1</v>
      </c>
      <c r="J1101" t="str">
        <f>VLOOKUP($A1101,'Medical Examinations'!$A:$J,10,FALSE)</f>
        <v>No</v>
      </c>
      <c r="K1101" t="str">
        <f>VLOOKUP($A1101,'Medical Examinations'!$A:$J,5,FALSE)</f>
        <v>Prediabetes</v>
      </c>
      <c r="L1101">
        <f>VLOOKUP($A1102,'Medical Examinations'!$A:$J,3,FALSE)</f>
        <v>26.11</v>
      </c>
      <c r="M1101">
        <f>VLOOKUP($A1101,'Hospitalisation Details'!$A:$K,6,FALSE)</f>
        <v>10276.99</v>
      </c>
      <c r="N1101" s="11">
        <f>VLOOKUP($B1101,'Hospitalisation Details'!A1100:J3444,10,0)</f>
        <v>27280</v>
      </c>
      <c r="O1101" t="str">
        <f>VLOOKUP($B1101,'Hospitalisation Details'!A1100:J3444,8,0)</f>
        <v>tier - 2</v>
      </c>
      <c r="P1101" t="str">
        <f>VLOOKUP($B1101,'Hospitalisation Details'!A1100:J3444,7,0)</f>
        <v>tier - 3</v>
      </c>
      <c r="Q1101" t="str">
        <f>VLOOKUP($B1101,'Hospitalisation Details'!A1100:J3444,9,0)</f>
        <v>R1011</v>
      </c>
      <c r="R1101">
        <f>VLOOKUP($B1101,'Hospitalisation Details'!A1100:K3444,11,0)</f>
        <v>48</v>
      </c>
    </row>
    <row r="1102" spans="1:18" x14ac:dyDescent="0.35">
      <c r="A1102" t="s">
        <v>1270</v>
      </c>
      <c r="B1102" t="s">
        <v>1133</v>
      </c>
      <c r="C1102" t="str">
        <f>VLOOKUP($A1102,'Customer Names'!$A:$E,4,FALSE)</f>
        <v>Lauren</v>
      </c>
      <c r="D1102" t="str">
        <f>VLOOKUP($A1102,'Medical Examinations'!$A:$J,2,FALSE)</f>
        <v>Overweight</v>
      </c>
      <c r="E1102">
        <f>VLOOKUP($A1102,'Medical Examinations'!$A:$J,4,FALSE)</f>
        <v>6.8</v>
      </c>
      <c r="F1102" t="str">
        <f>VLOOKUP($A1102,'Medical Examinations'!$A:$J,6,FALSE)</f>
        <v>yes</v>
      </c>
      <c r="G1102" t="str">
        <f>VLOOKUP($A1102,'Medical Examinations'!$A:$J,7,FALSE)</f>
        <v>No</v>
      </c>
      <c r="H1102" t="str">
        <f>VLOOKUP($A1102,'Medical Examinations'!$A:$J,8,FALSE)</f>
        <v>No</v>
      </c>
      <c r="I1102">
        <f>VLOOKUP($A1102,'Medical Examinations'!$A:$J,9,FALSE)</f>
        <v>2</v>
      </c>
      <c r="J1102" t="str">
        <f>VLOOKUP($A1102,'Medical Examinations'!$A:$J,10,FALSE)</f>
        <v>No</v>
      </c>
      <c r="K1102" t="str">
        <f>VLOOKUP($A1102,'Medical Examinations'!$A:$J,5,FALSE)</f>
        <v>Diabetes</v>
      </c>
      <c r="L1102">
        <f>VLOOKUP($A1103,'Medical Examinations'!$A:$J,3,FALSE)</f>
        <v>32.299999999999997</v>
      </c>
      <c r="M1102">
        <f>VLOOKUP($A1102,'Hospitalisation Details'!$A:$K,6,FALSE)</f>
        <v>10274.33</v>
      </c>
      <c r="N1102" s="11">
        <f>VLOOKUP($B1102,'Hospitalisation Details'!A1101:J3445,10,0)</f>
        <v>27231</v>
      </c>
      <c r="O1102" t="str">
        <f>VLOOKUP($B1102,'Hospitalisation Details'!A1101:J3445,8,0)</f>
        <v>tier - 2</v>
      </c>
      <c r="P1102" t="str">
        <f>VLOOKUP($B1102,'Hospitalisation Details'!A1101:J3445,7,0)</f>
        <v>tier - 2</v>
      </c>
      <c r="Q1102" t="str">
        <f>VLOOKUP($B1102,'Hospitalisation Details'!A1101:J3445,9,0)</f>
        <v>R1013</v>
      </c>
      <c r="R1102">
        <f>VLOOKUP($B1102,'Hospitalisation Details'!A1101:K3445,11,0)</f>
        <v>48</v>
      </c>
    </row>
    <row r="1103" spans="1:18" x14ac:dyDescent="0.35">
      <c r="A1103" t="s">
        <v>1269</v>
      </c>
      <c r="B1103" t="s">
        <v>1134</v>
      </c>
      <c r="C1103" t="str">
        <f>VLOOKUP($A1103,'Customer Names'!$A:$E,4,FALSE)</f>
        <v>Scott</v>
      </c>
      <c r="D1103" t="str">
        <f>VLOOKUP($A1103,'Medical Examinations'!$A:$J,2,FALSE)</f>
        <v>Obesity</v>
      </c>
      <c r="E1103">
        <f>VLOOKUP($A1103,'Medical Examinations'!$A:$J,4,FALSE)</f>
        <v>9.48</v>
      </c>
      <c r="F1103" t="str">
        <f>VLOOKUP($A1103,'Medical Examinations'!$A:$J,6,FALSE)</f>
        <v>No</v>
      </c>
      <c r="G1103" t="str">
        <f>VLOOKUP($A1103,'Medical Examinations'!$A:$J,7,FALSE)</f>
        <v>No</v>
      </c>
      <c r="H1103" t="str">
        <f>VLOOKUP($A1103,'Medical Examinations'!$A:$J,8,FALSE)</f>
        <v>No</v>
      </c>
      <c r="I1103">
        <f>VLOOKUP($A1103,'Medical Examinations'!$A:$J,9,FALSE)</f>
        <v>2</v>
      </c>
      <c r="J1103" t="str">
        <f>VLOOKUP($A1103,'Medical Examinations'!$A:$J,10,FALSE)</f>
        <v>No</v>
      </c>
      <c r="K1103" t="str">
        <f>VLOOKUP($A1103,'Medical Examinations'!$A:$J,5,FALSE)</f>
        <v>Diabetes</v>
      </c>
      <c r="L1103">
        <f>VLOOKUP($A1104,'Medical Examinations'!$A:$J,3,FALSE)</f>
        <v>28.69</v>
      </c>
      <c r="M1103">
        <f>VLOOKUP($A1103,'Hospitalisation Details'!$A:$K,6,FALSE)</f>
        <v>10269.459999999999</v>
      </c>
      <c r="N1103" s="11">
        <f>VLOOKUP($B1103,'Hospitalisation Details'!A1102:J3446,10,0)</f>
        <v>26948</v>
      </c>
      <c r="O1103" t="str">
        <f>VLOOKUP($B1103,'Hospitalisation Details'!A1102:J3446,8,0)</f>
        <v>tier - 1</v>
      </c>
      <c r="P1103" t="str">
        <f>VLOOKUP($B1103,'Hospitalisation Details'!A1102:J3446,7,0)</f>
        <v>tier - 2</v>
      </c>
      <c r="Q1103" t="str">
        <f>VLOOKUP($B1103,'Hospitalisation Details'!A1102:J3446,9,0)</f>
        <v>R1012</v>
      </c>
      <c r="R1103">
        <f>VLOOKUP($B1103,'Hospitalisation Details'!A1102:K3446,11,0)</f>
        <v>49</v>
      </c>
    </row>
    <row r="1104" spans="1:18" x14ac:dyDescent="0.35">
      <c r="A1104" t="s">
        <v>1268</v>
      </c>
      <c r="B1104" t="s">
        <v>1135</v>
      </c>
      <c r="C1104" t="str">
        <f>VLOOKUP($A1104,'Customer Names'!$A:$E,4,FALSE)</f>
        <v>Brian A.</v>
      </c>
      <c r="D1104" t="str">
        <f>VLOOKUP($A1104,'Medical Examinations'!$A:$J,2,FALSE)</f>
        <v>Overweight</v>
      </c>
      <c r="E1104">
        <f>VLOOKUP($A1104,'Medical Examinations'!$A:$J,4,FALSE)</f>
        <v>7.45</v>
      </c>
      <c r="F1104" t="str">
        <f>VLOOKUP($A1104,'Medical Examinations'!$A:$J,6,FALSE)</f>
        <v>No</v>
      </c>
      <c r="G1104" t="str">
        <f>VLOOKUP($A1104,'Medical Examinations'!$A:$J,7,FALSE)</f>
        <v>No</v>
      </c>
      <c r="H1104" t="str">
        <f>VLOOKUP($A1104,'Medical Examinations'!$A:$J,8,FALSE)</f>
        <v>No</v>
      </c>
      <c r="I1104">
        <f>VLOOKUP($A1104,'Medical Examinations'!$A:$J,9,FALSE)</f>
        <v>2</v>
      </c>
      <c r="J1104" t="str">
        <f>VLOOKUP($A1104,'Medical Examinations'!$A:$J,10,FALSE)</f>
        <v>No</v>
      </c>
      <c r="K1104" t="str">
        <f>VLOOKUP($A1104,'Medical Examinations'!$A:$J,5,FALSE)</f>
        <v>Diabetes</v>
      </c>
      <c r="L1104">
        <f>VLOOKUP($A1105,'Medical Examinations'!$A:$J,3,FALSE)</f>
        <v>31.28</v>
      </c>
      <c r="M1104">
        <f>VLOOKUP($A1104,'Hospitalisation Details'!$A:$K,6,FALSE)</f>
        <v>10264.44</v>
      </c>
      <c r="N1104" s="11">
        <f>VLOOKUP($B1104,'Hospitalisation Details'!A1103:J3447,10,0)</f>
        <v>29205</v>
      </c>
      <c r="O1104" t="str">
        <f>VLOOKUP($B1104,'Hospitalisation Details'!A1103:J3447,8,0)</f>
        <v>tier - 1</v>
      </c>
      <c r="P1104" t="str">
        <f>VLOOKUP($B1104,'Hospitalisation Details'!A1103:J3447,7,0)</f>
        <v>tier - 2</v>
      </c>
      <c r="Q1104" t="str">
        <f>VLOOKUP($B1104,'Hospitalisation Details'!A1103:J3447,9,0)</f>
        <v>R1025</v>
      </c>
      <c r="R1104">
        <f>VLOOKUP($B1104,'Hospitalisation Details'!A1103:K3447,11,0)</f>
        <v>43</v>
      </c>
    </row>
    <row r="1105" spans="1:18" x14ac:dyDescent="0.35">
      <c r="A1105" t="s">
        <v>1267</v>
      </c>
      <c r="B1105" t="s">
        <v>1136</v>
      </c>
      <c r="C1105" t="str">
        <f>VLOOKUP($A1105,'Customer Names'!$A:$E,4,FALSE)</f>
        <v>Kaitlin R.</v>
      </c>
      <c r="D1105" t="str">
        <f>VLOOKUP($A1105,'Medical Examinations'!$A:$J,2,FALSE)</f>
        <v>Obesity</v>
      </c>
      <c r="E1105">
        <f>VLOOKUP($A1105,'Medical Examinations'!$A:$J,4,FALSE)</f>
        <v>6.94</v>
      </c>
      <c r="F1105" t="str">
        <f>VLOOKUP($A1105,'Medical Examinations'!$A:$J,6,FALSE)</f>
        <v>yes</v>
      </c>
      <c r="G1105" t="str">
        <f>VLOOKUP($A1105,'Medical Examinations'!$A:$J,7,FALSE)</f>
        <v>No</v>
      </c>
      <c r="H1105" t="str">
        <f>VLOOKUP($A1105,'Medical Examinations'!$A:$J,8,FALSE)</f>
        <v>No</v>
      </c>
      <c r="I1105">
        <f>VLOOKUP($A1105,'Medical Examinations'!$A:$J,9,FALSE)</f>
        <v>1</v>
      </c>
      <c r="J1105" t="str">
        <f>VLOOKUP($A1105,'Medical Examinations'!$A:$J,10,FALSE)</f>
        <v>No</v>
      </c>
      <c r="K1105" t="str">
        <f>VLOOKUP($A1105,'Medical Examinations'!$A:$J,5,FALSE)</f>
        <v>Diabetes</v>
      </c>
      <c r="L1105">
        <f>VLOOKUP($A1106,'Medical Examinations'!$A:$J,3,FALSE)</f>
        <v>30.21</v>
      </c>
      <c r="M1105">
        <f>VLOOKUP($A1105,'Hospitalisation Details'!$A:$K,6,FALSE)</f>
        <v>10259.129999999999</v>
      </c>
      <c r="N1105" s="11">
        <f>VLOOKUP($B1105,'Hospitalisation Details'!A1104:J3448,10,0)</f>
        <v>34304</v>
      </c>
      <c r="O1105" t="str">
        <f>VLOOKUP($B1105,'Hospitalisation Details'!A1104:J3448,8,0)</f>
        <v>tier - 3</v>
      </c>
      <c r="P1105" t="str">
        <f>VLOOKUP($B1105,'Hospitalisation Details'!A1104:J3448,7,0)</f>
        <v>tier - 2</v>
      </c>
      <c r="Q1105" t="str">
        <f>VLOOKUP($B1105,'Hospitalisation Details'!A1104:J3448,9,0)</f>
        <v>R1026</v>
      </c>
      <c r="R1105">
        <f>VLOOKUP($B1105,'Hospitalisation Details'!A1104:K3448,11,0)</f>
        <v>29</v>
      </c>
    </row>
    <row r="1106" spans="1:18" x14ac:dyDescent="0.35">
      <c r="A1106" t="s">
        <v>1266</v>
      </c>
      <c r="B1106" t="s">
        <v>1137</v>
      </c>
      <c r="C1106" t="str">
        <f>VLOOKUP($A1106,'Customer Names'!$A:$E,4,FALSE)</f>
        <v>Mohammad</v>
      </c>
      <c r="D1106" t="str">
        <f>VLOOKUP($A1106,'Medical Examinations'!$A:$J,2,FALSE)</f>
        <v>Obesity</v>
      </c>
      <c r="E1106">
        <f>VLOOKUP($A1106,'Medical Examinations'!$A:$J,4,FALSE)</f>
        <v>7.83</v>
      </c>
      <c r="F1106" t="str">
        <f>VLOOKUP($A1106,'Medical Examinations'!$A:$J,6,FALSE)</f>
        <v>No</v>
      </c>
      <c r="G1106" t="str">
        <f>VLOOKUP($A1106,'Medical Examinations'!$A:$J,7,FALSE)</f>
        <v>No</v>
      </c>
      <c r="H1106" t="str">
        <f>VLOOKUP($A1106,'Medical Examinations'!$A:$J,8,FALSE)</f>
        <v>No</v>
      </c>
      <c r="I1106">
        <f>VLOOKUP($A1106,'Medical Examinations'!$A:$J,9,FALSE)</f>
        <v>0</v>
      </c>
      <c r="J1106" t="str">
        <f>VLOOKUP($A1106,'Medical Examinations'!$A:$J,10,FALSE)</f>
        <v>No</v>
      </c>
      <c r="K1106" t="str">
        <f>VLOOKUP($A1106,'Medical Examinations'!$A:$J,5,FALSE)</f>
        <v>Diabetes</v>
      </c>
      <c r="L1106">
        <f>VLOOKUP($A1107,'Medical Examinations'!$A:$J,3,FALSE)</f>
        <v>38.28</v>
      </c>
      <c r="M1106">
        <f>VLOOKUP($A1106,'Hospitalisation Details'!$A:$K,6,FALSE)</f>
        <v>10231.5</v>
      </c>
      <c r="N1106" s="11">
        <f>VLOOKUP($B1106,'Hospitalisation Details'!A1105:J3449,10,0)</f>
        <v>26640</v>
      </c>
      <c r="O1106" t="str">
        <f>VLOOKUP($B1106,'Hospitalisation Details'!A1105:J3449,8,0)</f>
        <v>tier - 2</v>
      </c>
      <c r="P1106" t="str">
        <f>VLOOKUP($B1106,'Hospitalisation Details'!A1105:J3449,7,0)</f>
        <v>tier - 2</v>
      </c>
      <c r="Q1106" t="str">
        <f>VLOOKUP($B1106,'Hospitalisation Details'!A1105:J3449,9,0)</f>
        <v>R1013</v>
      </c>
      <c r="R1106">
        <f>VLOOKUP($B1106,'Hospitalisation Details'!A1105:K3449,11,0)</f>
        <v>50</v>
      </c>
    </row>
    <row r="1107" spans="1:18" x14ac:dyDescent="0.35">
      <c r="A1107" t="s">
        <v>1265</v>
      </c>
      <c r="B1107" t="s">
        <v>1138</v>
      </c>
      <c r="C1107" t="str">
        <f>VLOOKUP($A1107,'Customer Names'!$A:$E,4,FALSE)</f>
        <v>Charlie</v>
      </c>
      <c r="D1107" t="str">
        <f>VLOOKUP($A1107,'Medical Examinations'!$A:$J,2,FALSE)</f>
        <v>Obesity</v>
      </c>
      <c r="E1107">
        <f>VLOOKUP($A1107,'Medical Examinations'!$A:$J,4,FALSE)</f>
        <v>10.17</v>
      </c>
      <c r="F1107" t="str">
        <f>VLOOKUP($A1107,'Medical Examinations'!$A:$J,6,FALSE)</f>
        <v>yes</v>
      </c>
      <c r="G1107" t="str">
        <f>VLOOKUP($A1107,'Medical Examinations'!$A:$J,7,FALSE)</f>
        <v>No</v>
      </c>
      <c r="H1107" t="str">
        <f>VLOOKUP($A1107,'Medical Examinations'!$A:$J,8,FALSE)</f>
        <v>No</v>
      </c>
      <c r="I1107">
        <f>VLOOKUP($A1107,'Medical Examinations'!$A:$J,9,FALSE)</f>
        <v>0</v>
      </c>
      <c r="J1107" t="str">
        <f>VLOOKUP($A1107,'Medical Examinations'!$A:$J,10,FALSE)</f>
        <v>No</v>
      </c>
      <c r="K1107" t="str">
        <f>VLOOKUP($A1107,'Medical Examinations'!$A:$J,5,FALSE)</f>
        <v>Diabetes</v>
      </c>
      <c r="L1107">
        <f>VLOOKUP($A1108,'Medical Examinations'!$A:$J,3,FALSE)</f>
        <v>29.9</v>
      </c>
      <c r="M1107">
        <f>VLOOKUP($A1107,'Hospitalisation Details'!$A:$K,6,FALSE)</f>
        <v>10226.280000000001</v>
      </c>
      <c r="N1107" s="11">
        <f>VLOOKUP($B1107,'Hospitalisation Details'!A1106:J3450,10,0)</f>
        <v>26635</v>
      </c>
      <c r="O1107" t="str">
        <f>VLOOKUP($B1107,'Hospitalisation Details'!A1106:J3450,8,0)</f>
        <v>tier - 2</v>
      </c>
      <c r="P1107" t="str">
        <f>VLOOKUP($B1107,'Hospitalisation Details'!A1106:J3450,7,0)</f>
        <v>tier - 3</v>
      </c>
      <c r="Q1107" t="str">
        <f>VLOOKUP($B1107,'Hospitalisation Details'!A1106:J3450,9,0)</f>
        <v>R1013</v>
      </c>
      <c r="R1107">
        <f>VLOOKUP($B1107,'Hospitalisation Details'!A1106:K3450,11,0)</f>
        <v>50</v>
      </c>
    </row>
    <row r="1108" spans="1:18" x14ac:dyDescent="0.35">
      <c r="A1108" t="s">
        <v>1264</v>
      </c>
      <c r="B1108" t="s">
        <v>1139</v>
      </c>
      <c r="C1108" t="str">
        <f>VLOOKUP($A1108,'Customer Names'!$A:$E,4,FALSE)</f>
        <v>Brent</v>
      </c>
      <c r="D1108" t="str">
        <f>VLOOKUP($A1108,'Medical Examinations'!$A:$J,2,FALSE)</f>
        <v>Overweight</v>
      </c>
      <c r="E1108">
        <f>VLOOKUP($A1108,'Medical Examinations'!$A:$J,4,FALSE)</f>
        <v>8.9600000000000009</v>
      </c>
      <c r="F1108" t="str">
        <f>VLOOKUP($A1108,'Medical Examinations'!$A:$J,6,FALSE)</f>
        <v>yes</v>
      </c>
      <c r="G1108" t="str">
        <f>VLOOKUP($A1108,'Medical Examinations'!$A:$J,7,FALSE)</f>
        <v>No</v>
      </c>
      <c r="H1108" t="str">
        <f>VLOOKUP($A1108,'Medical Examinations'!$A:$J,8,FALSE)</f>
        <v>No</v>
      </c>
      <c r="I1108">
        <f>VLOOKUP($A1108,'Medical Examinations'!$A:$J,9,FALSE)</f>
        <v>0</v>
      </c>
      <c r="J1108" t="str">
        <f>VLOOKUP($A1108,'Medical Examinations'!$A:$J,10,FALSE)</f>
        <v>No</v>
      </c>
      <c r="K1108" t="str">
        <f>VLOOKUP($A1108,'Medical Examinations'!$A:$J,5,FALSE)</f>
        <v>Diabetes</v>
      </c>
      <c r="L1108">
        <f>VLOOKUP($A1109,'Medical Examinations'!$A:$J,3,FALSE)</f>
        <v>23.18</v>
      </c>
      <c r="M1108">
        <f>VLOOKUP($A1108,'Hospitalisation Details'!$A:$K,6,FALSE)</f>
        <v>10214.64</v>
      </c>
      <c r="N1108" s="11">
        <f>VLOOKUP($B1108,'Hospitalisation Details'!A1107:J3451,10,0)</f>
        <v>28433</v>
      </c>
      <c r="O1108" t="str">
        <f>VLOOKUP($B1108,'Hospitalisation Details'!A1107:J3451,8,0)</f>
        <v>tier - 2</v>
      </c>
      <c r="P1108" t="str">
        <f>VLOOKUP($B1108,'Hospitalisation Details'!A1107:J3451,7,0)</f>
        <v>tier - 2</v>
      </c>
      <c r="Q1108" t="str">
        <f>VLOOKUP($B1108,'Hospitalisation Details'!A1107:J3451,9,0)</f>
        <v>R1024</v>
      </c>
      <c r="R1108">
        <f>VLOOKUP($B1108,'Hospitalisation Details'!A1107:K3451,11,0)</f>
        <v>45</v>
      </c>
    </row>
    <row r="1109" spans="1:18" x14ac:dyDescent="0.35">
      <c r="A1109" t="s">
        <v>1263</v>
      </c>
      <c r="B1109" t="s">
        <v>1140</v>
      </c>
      <c r="C1109" t="str">
        <f>VLOOKUP($A1109,'Customer Names'!$A:$E,4,FALSE)</f>
        <v>Kelli M</v>
      </c>
      <c r="D1109" t="str">
        <f>VLOOKUP($A1109,'Medical Examinations'!$A:$J,2,FALSE)</f>
        <v>Normal Weight</v>
      </c>
      <c r="E1109">
        <f>VLOOKUP($A1109,'Medical Examinations'!$A:$J,4,FALSE)</f>
        <v>6.96</v>
      </c>
      <c r="F1109" t="str">
        <f>VLOOKUP($A1109,'Medical Examinations'!$A:$J,6,FALSE)</f>
        <v>yes</v>
      </c>
      <c r="G1109" t="str">
        <f>VLOOKUP($A1109,'Medical Examinations'!$A:$J,7,FALSE)</f>
        <v>No</v>
      </c>
      <c r="H1109" t="str">
        <f>VLOOKUP($A1109,'Medical Examinations'!$A:$J,8,FALSE)</f>
        <v>No</v>
      </c>
      <c r="I1109">
        <f>VLOOKUP($A1109,'Medical Examinations'!$A:$J,9,FALSE)</f>
        <v>2</v>
      </c>
      <c r="J1109" t="str">
        <f>VLOOKUP($A1109,'Medical Examinations'!$A:$J,10,FALSE)</f>
        <v>No</v>
      </c>
      <c r="K1109" t="str">
        <f>VLOOKUP($A1109,'Medical Examinations'!$A:$J,5,FALSE)</f>
        <v>Diabetes</v>
      </c>
      <c r="L1109">
        <f>VLOOKUP($A1110,'Medical Examinations'!$A:$J,3,FALSE)</f>
        <v>33.020000000000003</v>
      </c>
      <c r="M1109">
        <f>VLOOKUP($A1109,'Hospitalisation Details'!$A:$K,6,FALSE)</f>
        <v>10197.77</v>
      </c>
      <c r="N1109" s="11">
        <f>VLOOKUP($B1109,'Hospitalisation Details'!A1108:J3452,10,0)</f>
        <v>24055</v>
      </c>
      <c r="O1109" t="str">
        <f>VLOOKUP($B1109,'Hospitalisation Details'!A1108:J3452,8,0)</f>
        <v>tier - 1</v>
      </c>
      <c r="P1109" t="str">
        <f>VLOOKUP($B1109,'Hospitalisation Details'!A1108:J3452,7,0)</f>
        <v>tier - 3</v>
      </c>
      <c r="Q1109" t="str">
        <f>VLOOKUP($B1109,'Hospitalisation Details'!A1108:J3452,9,0)</f>
        <v>R1011</v>
      </c>
      <c r="R1109">
        <f>VLOOKUP($B1109,'Hospitalisation Details'!A1108:K3452,11,0)</f>
        <v>57</v>
      </c>
    </row>
    <row r="1110" spans="1:18" x14ac:dyDescent="0.35">
      <c r="A1110" t="s">
        <v>1262</v>
      </c>
      <c r="B1110" t="s">
        <v>1141</v>
      </c>
      <c r="C1110" t="str">
        <f>VLOOKUP($A1110,'Customer Names'!$A:$E,4,FALSE)</f>
        <v>Sheridan H</v>
      </c>
      <c r="D1110" t="str">
        <f>VLOOKUP($A1110,'Medical Examinations'!$A:$J,2,FALSE)</f>
        <v>Obesity</v>
      </c>
      <c r="E1110">
        <f>VLOOKUP($A1110,'Medical Examinations'!$A:$J,4,FALSE)</f>
        <v>5.07</v>
      </c>
      <c r="F1110" t="str">
        <f>VLOOKUP($A1110,'Medical Examinations'!$A:$J,6,FALSE)</f>
        <v>yes</v>
      </c>
      <c r="G1110" t="str">
        <f>VLOOKUP($A1110,'Medical Examinations'!$A:$J,7,FALSE)</f>
        <v>No</v>
      </c>
      <c r="H1110" t="str">
        <f>VLOOKUP($A1110,'Medical Examinations'!$A:$J,8,FALSE)</f>
        <v>No</v>
      </c>
      <c r="I1110">
        <f>VLOOKUP($A1110,'Medical Examinations'!$A:$J,9,FALSE)</f>
        <v>0</v>
      </c>
      <c r="J1110" t="str">
        <f>VLOOKUP($A1110,'Medical Examinations'!$A:$J,10,FALSE)</f>
        <v>No</v>
      </c>
      <c r="K1110" t="str">
        <f>VLOOKUP($A1110,'Medical Examinations'!$A:$J,5,FALSE)</f>
        <v>Normal</v>
      </c>
      <c r="L1110">
        <f>VLOOKUP($A1111,'Medical Examinations'!$A:$J,3,FALSE)</f>
        <v>27.29</v>
      </c>
      <c r="M1110">
        <f>VLOOKUP($A1110,'Hospitalisation Details'!$A:$K,6,FALSE)</f>
        <v>10191.82</v>
      </c>
      <c r="N1110" s="11">
        <f>VLOOKUP($B1110,'Hospitalisation Details'!A1109:J3453,10,0)</f>
        <v>28461</v>
      </c>
      <c r="O1110" t="str">
        <f>VLOOKUP($B1110,'Hospitalisation Details'!A1109:J3453,8,0)</f>
        <v>tier - 1</v>
      </c>
      <c r="P1110" t="str">
        <f>VLOOKUP($B1110,'Hospitalisation Details'!A1109:J3453,7,0)</f>
        <v>tier - 2</v>
      </c>
      <c r="Q1110" t="str">
        <f>VLOOKUP($B1110,'Hospitalisation Details'!A1109:J3453,9,0)</f>
        <v>R1011</v>
      </c>
      <c r="R1110">
        <f>VLOOKUP($B1110,'Hospitalisation Details'!A1109:K3453,11,0)</f>
        <v>45</v>
      </c>
    </row>
    <row r="1111" spans="1:18" x14ac:dyDescent="0.35">
      <c r="A1111" t="s">
        <v>1261</v>
      </c>
      <c r="B1111" t="s">
        <v>1142</v>
      </c>
      <c r="C1111" t="str">
        <f>VLOOKUP($A1111,'Customer Names'!$A:$E,4,FALSE)</f>
        <v>Sarah M.</v>
      </c>
      <c r="D1111" t="str">
        <f>VLOOKUP($A1111,'Medical Examinations'!$A:$J,2,FALSE)</f>
        <v>Overweight</v>
      </c>
      <c r="E1111">
        <f>VLOOKUP($A1111,'Medical Examinations'!$A:$J,4,FALSE)</f>
        <v>5.85</v>
      </c>
      <c r="F1111" t="str">
        <f>VLOOKUP($A1111,'Medical Examinations'!$A:$J,6,FALSE)</f>
        <v>No</v>
      </c>
      <c r="G1111" t="str">
        <f>VLOOKUP($A1111,'Medical Examinations'!$A:$J,7,FALSE)</f>
        <v>No</v>
      </c>
      <c r="H1111" t="str">
        <f>VLOOKUP($A1111,'Medical Examinations'!$A:$J,8,FALSE)</f>
        <v>No</v>
      </c>
      <c r="I1111">
        <f>VLOOKUP($A1111,'Medical Examinations'!$A:$J,9,FALSE)</f>
        <v>2</v>
      </c>
      <c r="J1111" t="str">
        <f>VLOOKUP($A1111,'Medical Examinations'!$A:$J,10,FALSE)</f>
        <v>No</v>
      </c>
      <c r="K1111" t="str">
        <f>VLOOKUP($A1111,'Medical Examinations'!$A:$J,5,FALSE)</f>
        <v>Prediabetes</v>
      </c>
      <c r="L1111">
        <f>VLOOKUP($A1112,'Medical Examinations'!$A:$J,3,FALSE)</f>
        <v>23.18</v>
      </c>
      <c r="M1111">
        <f>VLOOKUP($A1111,'Hospitalisation Details'!$A:$K,6,FALSE)</f>
        <v>10160.870000000001</v>
      </c>
      <c r="N1111" s="11">
        <f>VLOOKUP($B1111,'Hospitalisation Details'!A1110:J3454,10,0)</f>
        <v>25792</v>
      </c>
      <c r="O1111" t="str">
        <f>VLOOKUP($B1111,'Hospitalisation Details'!A1110:J3454,8,0)</f>
        <v>tier - 3</v>
      </c>
      <c r="P1111" t="str">
        <f>VLOOKUP($B1111,'Hospitalisation Details'!A1110:J3454,7,0)</f>
        <v>tier - 3</v>
      </c>
      <c r="Q1111" t="str">
        <f>VLOOKUP($B1111,'Hospitalisation Details'!A1110:J3454,9,0)</f>
        <v>R1013</v>
      </c>
      <c r="R1111">
        <f>VLOOKUP($B1111,'Hospitalisation Details'!A1110:K3454,11,0)</f>
        <v>52</v>
      </c>
    </row>
    <row r="1112" spans="1:18" x14ac:dyDescent="0.35">
      <c r="A1112" t="s">
        <v>1260</v>
      </c>
      <c r="B1112" t="s">
        <v>1143</v>
      </c>
      <c r="C1112" t="str">
        <f>VLOOKUP($A1112,'Customer Names'!$A:$E,4,FALSE)</f>
        <v>Jennifer</v>
      </c>
      <c r="D1112" t="str">
        <f>VLOOKUP($A1112,'Medical Examinations'!$A:$J,2,FALSE)</f>
        <v>Normal Weight</v>
      </c>
      <c r="E1112">
        <f>VLOOKUP($A1112,'Medical Examinations'!$A:$J,4,FALSE)</f>
        <v>10.56</v>
      </c>
      <c r="F1112" t="str">
        <f>VLOOKUP($A1112,'Medical Examinations'!$A:$J,6,FALSE)</f>
        <v>No</v>
      </c>
      <c r="G1112" t="str">
        <f>VLOOKUP($A1112,'Medical Examinations'!$A:$J,7,FALSE)</f>
        <v>No</v>
      </c>
      <c r="H1112" t="str">
        <f>VLOOKUP($A1112,'Medical Examinations'!$A:$J,8,FALSE)</f>
        <v>No</v>
      </c>
      <c r="I1112">
        <f>VLOOKUP($A1112,'Medical Examinations'!$A:$J,9,FALSE)</f>
        <v>2</v>
      </c>
      <c r="J1112" t="str">
        <f>VLOOKUP($A1112,'Medical Examinations'!$A:$J,10,FALSE)</f>
        <v>No</v>
      </c>
      <c r="K1112" t="str">
        <f>VLOOKUP($A1112,'Medical Examinations'!$A:$J,5,FALSE)</f>
        <v>Diabetes</v>
      </c>
      <c r="L1112">
        <f>VLOOKUP($A1113,'Medical Examinations'!$A:$J,3,FALSE)</f>
        <v>32.659999999999997</v>
      </c>
      <c r="M1112">
        <f>VLOOKUP($A1112,'Hospitalisation Details'!$A:$K,6,FALSE)</f>
        <v>10156.780000000001</v>
      </c>
      <c r="N1112" s="11">
        <f>VLOOKUP($B1112,'Hospitalisation Details'!A1111:J3455,10,0)</f>
        <v>25859</v>
      </c>
      <c r="O1112" t="str">
        <f>VLOOKUP($B1112,'Hospitalisation Details'!A1111:J3455,8,0)</f>
        <v>tier - 2</v>
      </c>
      <c r="P1112" t="str">
        <f>VLOOKUP($B1112,'Hospitalisation Details'!A1111:J3455,7,0)</f>
        <v>tier - 3</v>
      </c>
      <c r="Q1112" t="str">
        <f>VLOOKUP($B1112,'Hospitalisation Details'!A1111:J3455,9,0)</f>
        <v>R1011</v>
      </c>
      <c r="R1112">
        <f>VLOOKUP($B1112,'Hospitalisation Details'!A1111:K3455,11,0)</f>
        <v>52</v>
      </c>
    </row>
    <row r="1113" spans="1:18" x14ac:dyDescent="0.35">
      <c r="A1113" t="s">
        <v>1259</v>
      </c>
      <c r="B1113" t="s">
        <v>1144</v>
      </c>
      <c r="C1113" t="str">
        <f>VLOOKUP($A1113,'Customer Names'!$A:$E,4,FALSE)</f>
        <v>Laura J</v>
      </c>
      <c r="D1113" t="str">
        <f>VLOOKUP($A1113,'Medical Examinations'!$A:$J,2,FALSE)</f>
        <v>Obesity</v>
      </c>
      <c r="E1113">
        <f>VLOOKUP($A1113,'Medical Examinations'!$A:$J,4,FALSE)</f>
        <v>8.92</v>
      </c>
      <c r="F1113" t="str">
        <f>VLOOKUP($A1113,'Medical Examinations'!$A:$J,6,FALSE)</f>
        <v>yes</v>
      </c>
      <c r="G1113" t="str">
        <f>VLOOKUP($A1113,'Medical Examinations'!$A:$J,7,FALSE)</f>
        <v>No</v>
      </c>
      <c r="H1113" t="str">
        <f>VLOOKUP($A1113,'Medical Examinations'!$A:$J,8,FALSE)</f>
        <v>No</v>
      </c>
      <c r="I1113">
        <f>VLOOKUP($A1113,'Medical Examinations'!$A:$J,9,FALSE)</f>
        <v>0</v>
      </c>
      <c r="J1113" t="str">
        <f>VLOOKUP($A1113,'Medical Examinations'!$A:$J,10,FALSE)</f>
        <v>No</v>
      </c>
      <c r="K1113" t="str">
        <f>VLOOKUP($A1113,'Medical Examinations'!$A:$J,5,FALSE)</f>
        <v>Diabetes</v>
      </c>
      <c r="L1113">
        <f>VLOOKUP($A1114,'Medical Examinations'!$A:$J,3,FALSE)</f>
        <v>30.78</v>
      </c>
      <c r="M1113">
        <f>VLOOKUP($A1113,'Hospitalisation Details'!$A:$K,6,FALSE)</f>
        <v>10146.129999999999</v>
      </c>
      <c r="N1113" s="11">
        <f>VLOOKUP($B1113,'Hospitalisation Details'!A1112:J3456,10,0)</f>
        <v>30293</v>
      </c>
      <c r="O1113" t="str">
        <f>VLOOKUP($B1113,'Hospitalisation Details'!A1112:J3456,8,0)</f>
        <v>tier - 1</v>
      </c>
      <c r="P1113" t="str">
        <f>VLOOKUP($B1113,'Hospitalisation Details'!A1112:J3456,7,0)</f>
        <v>tier - 2</v>
      </c>
      <c r="Q1113" t="str">
        <f>VLOOKUP($B1113,'Hospitalisation Details'!A1112:J3456,9,0)</f>
        <v>R1012</v>
      </c>
      <c r="R1113">
        <f>VLOOKUP($B1113,'Hospitalisation Details'!A1112:K3456,11,0)</f>
        <v>40</v>
      </c>
    </row>
    <row r="1114" spans="1:18" x14ac:dyDescent="0.35">
      <c r="A1114" t="s">
        <v>1258</v>
      </c>
      <c r="B1114" t="s">
        <v>1145</v>
      </c>
      <c r="C1114" t="str">
        <f>VLOOKUP($A1114,'Customer Names'!$A:$E,4,FALSE)</f>
        <v>Thomas</v>
      </c>
      <c r="D1114" t="str">
        <f>VLOOKUP($A1114,'Medical Examinations'!$A:$J,2,FALSE)</f>
        <v>Obesity</v>
      </c>
      <c r="E1114">
        <f>VLOOKUP($A1114,'Medical Examinations'!$A:$J,4,FALSE)</f>
        <v>8.6300000000000008</v>
      </c>
      <c r="F1114" t="str">
        <f>VLOOKUP($A1114,'Medical Examinations'!$A:$J,6,FALSE)</f>
        <v>No</v>
      </c>
      <c r="G1114" t="str">
        <f>VLOOKUP($A1114,'Medical Examinations'!$A:$J,7,FALSE)</f>
        <v>No</v>
      </c>
      <c r="H1114" t="str">
        <f>VLOOKUP($A1114,'Medical Examinations'!$A:$J,8,FALSE)</f>
        <v>No</v>
      </c>
      <c r="I1114">
        <f>VLOOKUP($A1114,'Medical Examinations'!$A:$J,9,FALSE)</f>
        <v>0</v>
      </c>
      <c r="J1114" t="str">
        <f>VLOOKUP($A1114,'Medical Examinations'!$A:$J,10,FALSE)</f>
        <v>No</v>
      </c>
      <c r="K1114" t="str">
        <f>VLOOKUP($A1114,'Medical Examinations'!$A:$J,5,FALSE)</f>
        <v>Diabetes</v>
      </c>
      <c r="L1114">
        <f>VLOOKUP($A1115,'Medical Examinations'!$A:$J,3,FALSE)</f>
        <v>47.2</v>
      </c>
      <c r="M1114">
        <f>VLOOKUP($A1114,'Hospitalisation Details'!$A:$K,6,FALSE)</f>
        <v>10141.14</v>
      </c>
      <c r="N1114" s="11">
        <f>VLOOKUP($B1114,'Hospitalisation Details'!A1113:J3457,10,0)</f>
        <v>33108</v>
      </c>
      <c r="O1114" t="str">
        <f>VLOOKUP($B1114,'Hospitalisation Details'!A1113:J3457,8,0)</f>
        <v>tier - 2</v>
      </c>
      <c r="P1114" t="str">
        <f>VLOOKUP($B1114,'Hospitalisation Details'!A1113:J3457,7,0)</f>
        <v>tier - 2</v>
      </c>
      <c r="Q1114" t="str">
        <f>VLOOKUP($B1114,'Hospitalisation Details'!A1113:J3457,9,0)</f>
        <v>R1021</v>
      </c>
      <c r="R1114">
        <f>VLOOKUP($B1114,'Hospitalisation Details'!A1113:K3457,11,0)</f>
        <v>32</v>
      </c>
    </row>
    <row r="1115" spans="1:18" x14ac:dyDescent="0.35">
      <c r="A1115" t="s">
        <v>1257</v>
      </c>
      <c r="B1115" t="s">
        <v>1146</v>
      </c>
      <c r="C1115" t="str">
        <f>VLOOKUP($A1115,'Customer Names'!$A:$E,4,FALSE)</f>
        <v>Gisele</v>
      </c>
      <c r="D1115" t="str">
        <f>VLOOKUP($A1115,'Medical Examinations'!$A:$J,2,FALSE)</f>
        <v>Obesity</v>
      </c>
      <c r="E1115">
        <f>VLOOKUP($A1115,'Medical Examinations'!$A:$J,4,FALSE)</f>
        <v>6.29</v>
      </c>
      <c r="F1115" t="str">
        <f>VLOOKUP($A1115,'Medical Examinations'!$A:$J,6,FALSE)</f>
        <v>yes</v>
      </c>
      <c r="G1115" t="str">
        <f>VLOOKUP($A1115,'Medical Examinations'!$A:$J,7,FALSE)</f>
        <v>No</v>
      </c>
      <c r="H1115" t="str">
        <f>VLOOKUP($A1115,'Medical Examinations'!$A:$J,8,FALSE)</f>
        <v>Yes</v>
      </c>
      <c r="I1115">
        <f>VLOOKUP($A1115,'Medical Examinations'!$A:$J,9,FALSE)</f>
        <v>1</v>
      </c>
      <c r="J1115" t="str">
        <f>VLOOKUP($A1115,'Medical Examinations'!$A:$J,10,FALSE)</f>
        <v>No</v>
      </c>
      <c r="K1115" t="str">
        <f>VLOOKUP($A1115,'Medical Examinations'!$A:$J,5,FALSE)</f>
        <v>Prediabetes</v>
      </c>
      <c r="L1115">
        <f>VLOOKUP($A1116,'Medical Examinations'!$A:$J,3,FALSE)</f>
        <v>31.6</v>
      </c>
      <c r="M1115">
        <f>VLOOKUP($A1115,'Hospitalisation Details'!$A:$K,6,FALSE)</f>
        <v>10139.84</v>
      </c>
      <c r="N1115" s="11">
        <f>VLOOKUP($B1115,'Hospitalisation Details'!A1114:J3458,10,0)</f>
        <v>25865</v>
      </c>
      <c r="O1115" t="str">
        <f>VLOOKUP($B1115,'Hospitalisation Details'!A1114:J3458,8,0)</f>
        <v>tier - 2</v>
      </c>
      <c r="P1115" t="str">
        <f>VLOOKUP($B1115,'Hospitalisation Details'!A1114:J3458,7,0)</f>
        <v>tier - 2</v>
      </c>
      <c r="Q1115" t="str">
        <f>VLOOKUP($B1115,'Hospitalisation Details'!A1114:J3458,9,0)</f>
        <v>R1012</v>
      </c>
      <c r="R1115">
        <f>VLOOKUP($B1115,'Hospitalisation Details'!A1114:K3458,11,0)</f>
        <v>52</v>
      </c>
    </row>
    <row r="1116" spans="1:18" x14ac:dyDescent="0.35">
      <c r="A1116" t="s">
        <v>1256</v>
      </c>
      <c r="B1116" t="s">
        <v>1147</v>
      </c>
      <c r="C1116" t="str">
        <f>VLOOKUP($A1116,'Customer Names'!$A:$E,4,FALSE)</f>
        <v>Myra L</v>
      </c>
      <c r="D1116" t="str">
        <f>VLOOKUP($A1116,'Medical Examinations'!$A:$J,2,FALSE)</f>
        <v>Obesity</v>
      </c>
      <c r="E1116">
        <f>VLOOKUP($A1116,'Medical Examinations'!$A:$J,4,FALSE)</f>
        <v>5.75</v>
      </c>
      <c r="F1116" t="str">
        <f>VLOOKUP($A1116,'Medical Examinations'!$A:$J,6,FALSE)</f>
        <v>No</v>
      </c>
      <c r="G1116" t="str">
        <f>VLOOKUP($A1116,'Medical Examinations'!$A:$J,7,FALSE)</f>
        <v>No</v>
      </c>
      <c r="H1116" t="str">
        <f>VLOOKUP($A1116,'Medical Examinations'!$A:$J,8,FALSE)</f>
        <v>No</v>
      </c>
      <c r="I1116">
        <f>VLOOKUP($A1116,'Medical Examinations'!$A:$J,9,FALSE)</f>
        <v>2</v>
      </c>
      <c r="J1116" t="str">
        <f>VLOOKUP($A1116,'Medical Examinations'!$A:$J,10,FALSE)</f>
        <v>No</v>
      </c>
      <c r="K1116" t="str">
        <f>VLOOKUP($A1116,'Medical Examinations'!$A:$J,5,FALSE)</f>
        <v>Prediabetes</v>
      </c>
      <c r="L1116">
        <f>VLOOKUP($A1117,'Medical Examinations'!$A:$J,3,FALSE)</f>
        <v>33.914999999999999</v>
      </c>
      <c r="M1116">
        <f>VLOOKUP($A1116,'Hospitalisation Details'!$A:$K,6,FALSE)</f>
        <v>10118.42</v>
      </c>
      <c r="N1116" s="11">
        <f>VLOOKUP($B1116,'Hospitalisation Details'!A1115:J3459,10,0)</f>
        <v>26296</v>
      </c>
      <c r="O1116" t="str">
        <f>VLOOKUP($B1116,'Hospitalisation Details'!A1115:J3459,8,0)</f>
        <v>tier - 1</v>
      </c>
      <c r="P1116" t="str">
        <f>VLOOKUP($B1116,'Hospitalisation Details'!A1115:J3459,7,0)</f>
        <v>tier - 3</v>
      </c>
      <c r="Q1116" t="str">
        <f>VLOOKUP($B1116,'Hospitalisation Details'!A1115:J3459,9,0)</f>
        <v>R1012</v>
      </c>
      <c r="R1116">
        <f>VLOOKUP($B1116,'Hospitalisation Details'!A1115:K3459,11,0)</f>
        <v>51</v>
      </c>
    </row>
    <row r="1117" spans="1:18" x14ac:dyDescent="0.35">
      <c r="A1117" t="s">
        <v>1255</v>
      </c>
      <c r="B1117" t="s">
        <v>1148</v>
      </c>
      <c r="C1117" t="str">
        <f>VLOOKUP($A1117,'Customer Names'!$A:$E,4,FALSE)</f>
        <v>Melissa M.</v>
      </c>
      <c r="D1117" t="str">
        <f>VLOOKUP($A1117,'Medical Examinations'!$A:$J,2,FALSE)</f>
        <v>Obesity</v>
      </c>
      <c r="E1117">
        <f>VLOOKUP($A1117,'Medical Examinations'!$A:$J,4,FALSE)</f>
        <v>6.66</v>
      </c>
      <c r="F1117" t="str">
        <f>VLOOKUP($A1117,'Medical Examinations'!$A:$J,6,FALSE)</f>
        <v>yes</v>
      </c>
      <c r="G1117" t="str">
        <f>VLOOKUP($A1117,'Medical Examinations'!$A:$J,7,FALSE)</f>
        <v>No</v>
      </c>
      <c r="H1117" t="str">
        <f>VLOOKUP($A1117,'Medical Examinations'!$A:$J,8,FALSE)</f>
        <v>No</v>
      </c>
      <c r="I1117">
        <f>VLOOKUP($A1117,'Medical Examinations'!$A:$J,9,FALSE)</f>
        <v>1</v>
      </c>
      <c r="J1117" t="str">
        <f>VLOOKUP($A1117,'Medical Examinations'!$A:$J,10,FALSE)</f>
        <v>No</v>
      </c>
      <c r="K1117" t="str">
        <f>VLOOKUP($A1117,'Medical Examinations'!$A:$J,5,FALSE)</f>
        <v>Diabetes</v>
      </c>
      <c r="L1117">
        <f>VLOOKUP($A1118,'Medical Examinations'!$A:$J,3,FALSE)</f>
        <v>23.54</v>
      </c>
      <c r="M1117">
        <f>VLOOKUP($A1117,'Hospitalisation Details'!$A:$K,6,FALSE)</f>
        <v>10115.01</v>
      </c>
      <c r="N1117" s="11">
        <f>VLOOKUP($B1117,'Hospitalisation Details'!A1116:J3460,10,0)</f>
        <v>27023</v>
      </c>
      <c r="O1117" t="str">
        <f>VLOOKUP($B1117,'Hospitalisation Details'!A1116:J3460,8,0)</f>
        <v>tier - 3</v>
      </c>
      <c r="P1117" t="str">
        <f>VLOOKUP($B1117,'Hospitalisation Details'!A1116:J3460,7,0)</f>
        <v>tier - 2</v>
      </c>
      <c r="Q1117" t="str">
        <f>VLOOKUP($B1117,'Hospitalisation Details'!A1116:J3460,9,0)</f>
        <v>R1011</v>
      </c>
      <c r="R1117">
        <f>VLOOKUP($B1117,'Hospitalisation Details'!A1116:K3460,11,0)</f>
        <v>49</v>
      </c>
    </row>
    <row r="1118" spans="1:18" x14ac:dyDescent="0.35">
      <c r="A1118" t="s">
        <v>1254</v>
      </c>
      <c r="B1118" t="s">
        <v>1149</v>
      </c>
      <c r="C1118" t="str">
        <f>VLOOKUP($A1118,'Customer Names'!$A:$E,4,FALSE)</f>
        <v>Eleanor F.</v>
      </c>
      <c r="D1118" t="str">
        <f>VLOOKUP($A1118,'Medical Examinations'!$A:$J,2,FALSE)</f>
        <v>Normal Weight</v>
      </c>
      <c r="E1118">
        <f>VLOOKUP($A1118,'Medical Examinations'!$A:$J,4,FALSE)</f>
        <v>5.0999999999999996</v>
      </c>
      <c r="F1118" t="str">
        <f>VLOOKUP($A1118,'Medical Examinations'!$A:$J,6,FALSE)</f>
        <v>No</v>
      </c>
      <c r="G1118" t="str">
        <f>VLOOKUP($A1118,'Medical Examinations'!$A:$J,7,FALSE)</f>
        <v>No</v>
      </c>
      <c r="H1118" t="str">
        <f>VLOOKUP($A1118,'Medical Examinations'!$A:$J,8,FALSE)</f>
        <v>No</v>
      </c>
      <c r="I1118">
        <f>VLOOKUP($A1118,'Medical Examinations'!$A:$J,9,FALSE)</f>
        <v>2</v>
      </c>
      <c r="J1118" t="str">
        <f>VLOOKUP($A1118,'Medical Examinations'!$A:$J,10,FALSE)</f>
        <v>No</v>
      </c>
      <c r="K1118" t="str">
        <f>VLOOKUP($A1118,'Medical Examinations'!$A:$J,5,FALSE)</f>
        <v>Normal</v>
      </c>
      <c r="L1118">
        <f>VLOOKUP($A1119,'Medical Examinations'!$A:$J,3,FALSE)</f>
        <v>27.074999999999999</v>
      </c>
      <c r="M1118">
        <f>VLOOKUP($A1118,'Hospitalisation Details'!$A:$K,6,FALSE)</f>
        <v>10107.219999999999</v>
      </c>
      <c r="N1118" s="11">
        <f>VLOOKUP($B1118,'Hospitalisation Details'!A1117:J3461,10,0)</f>
        <v>28013</v>
      </c>
      <c r="O1118" t="str">
        <f>VLOOKUP($B1118,'Hospitalisation Details'!A1117:J3461,8,0)</f>
        <v>tier - 1</v>
      </c>
      <c r="P1118" t="str">
        <f>VLOOKUP($B1118,'Hospitalisation Details'!A1117:J3461,7,0)</f>
        <v>tier - 2</v>
      </c>
      <c r="Q1118" t="str">
        <f>VLOOKUP($B1118,'Hospitalisation Details'!A1117:J3461,9,0)</f>
        <v>R1012</v>
      </c>
      <c r="R1118">
        <f>VLOOKUP($B1118,'Hospitalisation Details'!A1117:K3461,11,0)</f>
        <v>46</v>
      </c>
    </row>
    <row r="1119" spans="1:18" x14ac:dyDescent="0.35">
      <c r="A1119" t="s">
        <v>1253</v>
      </c>
      <c r="B1119" t="s">
        <v>1150</v>
      </c>
      <c r="C1119" t="str">
        <f>VLOOKUP($A1119,'Customer Names'!$A:$E,4,FALSE)</f>
        <v>Elizabeth</v>
      </c>
      <c r="D1119" t="str">
        <f>VLOOKUP($A1119,'Medical Examinations'!$A:$J,2,FALSE)</f>
        <v>Overweight</v>
      </c>
      <c r="E1119">
        <f>VLOOKUP($A1119,'Medical Examinations'!$A:$J,4,FALSE)</f>
        <v>4.41</v>
      </c>
      <c r="F1119" t="str">
        <f>VLOOKUP($A1119,'Medical Examinations'!$A:$J,6,FALSE)</f>
        <v>No</v>
      </c>
      <c r="G1119" t="str">
        <f>VLOOKUP($A1119,'Medical Examinations'!$A:$J,7,FALSE)</f>
        <v>No</v>
      </c>
      <c r="H1119" t="str">
        <f>VLOOKUP($A1119,'Medical Examinations'!$A:$J,8,FALSE)</f>
        <v>No</v>
      </c>
      <c r="I1119">
        <f>VLOOKUP($A1119,'Medical Examinations'!$A:$J,9,FALSE)</f>
        <v>2</v>
      </c>
      <c r="J1119" t="str">
        <f>VLOOKUP($A1119,'Medical Examinations'!$A:$J,10,FALSE)</f>
        <v>No</v>
      </c>
      <c r="K1119" t="str">
        <f>VLOOKUP($A1119,'Medical Examinations'!$A:$J,5,FALSE)</f>
        <v>Normal</v>
      </c>
      <c r="L1119">
        <f>VLOOKUP($A1120,'Medical Examinations'!$A:$J,3,FALSE)</f>
        <v>25.8</v>
      </c>
      <c r="M1119">
        <f>VLOOKUP($A1119,'Hospitalisation Details'!$A:$K,6,FALSE)</f>
        <v>10106.129999999999</v>
      </c>
      <c r="N1119" s="11">
        <f>VLOOKUP($B1119,'Hospitalisation Details'!A1118:J3462,10,0)</f>
        <v>31771</v>
      </c>
      <c r="O1119" t="str">
        <f>VLOOKUP($B1119,'Hospitalisation Details'!A1118:J3462,8,0)</f>
        <v>tier - 3</v>
      </c>
      <c r="P1119" t="str">
        <f>VLOOKUP($B1119,'Hospitalisation Details'!A1118:J3462,7,0)</f>
        <v>tier - 2</v>
      </c>
      <c r="Q1119" t="str">
        <f>VLOOKUP($B1119,'Hospitalisation Details'!A1118:J3462,9,0)</f>
        <v>R1021</v>
      </c>
      <c r="R1119">
        <f>VLOOKUP($B1119,'Hospitalisation Details'!A1118:K3462,11,0)</f>
        <v>36</v>
      </c>
    </row>
    <row r="1120" spans="1:18" x14ac:dyDescent="0.35">
      <c r="A1120" t="s">
        <v>1252</v>
      </c>
      <c r="B1120" t="s">
        <v>1151</v>
      </c>
      <c r="C1120" t="str">
        <f>VLOOKUP($A1120,'Customer Names'!$A:$E,4,FALSE)</f>
        <v>Kenneth</v>
      </c>
      <c r="D1120" t="str">
        <f>VLOOKUP($A1120,'Medical Examinations'!$A:$J,2,FALSE)</f>
        <v>Overweight</v>
      </c>
      <c r="E1120">
        <f>VLOOKUP($A1120,'Medical Examinations'!$A:$J,4,FALSE)</f>
        <v>5.52</v>
      </c>
      <c r="F1120" t="str">
        <f>VLOOKUP($A1120,'Medical Examinations'!$A:$J,6,FALSE)</f>
        <v>yes</v>
      </c>
      <c r="G1120" t="str">
        <f>VLOOKUP($A1120,'Medical Examinations'!$A:$J,7,FALSE)</f>
        <v>No</v>
      </c>
      <c r="H1120" t="str">
        <f>VLOOKUP($A1120,'Medical Examinations'!$A:$J,8,FALSE)</f>
        <v>No</v>
      </c>
      <c r="I1120">
        <f>VLOOKUP($A1120,'Medical Examinations'!$A:$J,9,FALSE)</f>
        <v>0</v>
      </c>
      <c r="J1120" t="str">
        <f>VLOOKUP($A1120,'Medical Examinations'!$A:$J,10,FALSE)</f>
        <v>No</v>
      </c>
      <c r="K1120" t="str">
        <f>VLOOKUP($A1120,'Medical Examinations'!$A:$J,5,FALSE)</f>
        <v>Normal</v>
      </c>
      <c r="L1120">
        <f>VLOOKUP($A1121,'Medical Examinations'!$A:$J,3,FALSE)</f>
        <v>36.1</v>
      </c>
      <c r="M1120">
        <f>VLOOKUP($A1120,'Hospitalisation Details'!$A:$K,6,FALSE)</f>
        <v>10096.969999999999</v>
      </c>
      <c r="N1120" s="11">
        <f>VLOOKUP($B1120,'Hospitalisation Details'!A1119:J3463,10,0)</f>
        <v>29925</v>
      </c>
      <c r="O1120" t="str">
        <f>VLOOKUP($B1120,'Hospitalisation Details'!A1119:J3463,8,0)</f>
        <v>tier - 3</v>
      </c>
      <c r="P1120" t="str">
        <f>VLOOKUP($B1120,'Hospitalisation Details'!A1119:J3463,7,0)</f>
        <v>tier - 2</v>
      </c>
      <c r="Q1120" t="str">
        <f>VLOOKUP($B1120,'Hospitalisation Details'!A1119:J3463,9,0)</f>
        <v>R1019</v>
      </c>
      <c r="R1120">
        <f>VLOOKUP($B1120,'Hospitalisation Details'!A1119:K3463,11,0)</f>
        <v>41</v>
      </c>
    </row>
    <row r="1121" spans="1:18" x14ac:dyDescent="0.35">
      <c r="A1121" t="s">
        <v>1251</v>
      </c>
      <c r="B1121" t="s">
        <v>1152</v>
      </c>
      <c r="C1121" t="str">
        <f>VLOOKUP($A1121,'Customer Names'!$A:$E,4,FALSE)</f>
        <v>Robert G.</v>
      </c>
      <c r="D1121" t="str">
        <f>VLOOKUP($A1121,'Medical Examinations'!$A:$J,2,FALSE)</f>
        <v>Obesity</v>
      </c>
      <c r="E1121">
        <f>VLOOKUP($A1121,'Medical Examinations'!$A:$J,4,FALSE)</f>
        <v>4.62</v>
      </c>
      <c r="F1121" t="str">
        <f>VLOOKUP($A1121,'Medical Examinations'!$A:$J,6,FALSE)</f>
        <v>yes</v>
      </c>
      <c r="G1121" t="str">
        <f>VLOOKUP($A1121,'Medical Examinations'!$A:$J,7,FALSE)</f>
        <v>No</v>
      </c>
      <c r="H1121" t="str">
        <f>VLOOKUP($A1121,'Medical Examinations'!$A:$J,8,FALSE)</f>
        <v>Yes</v>
      </c>
      <c r="I1121">
        <f>VLOOKUP($A1121,'Medical Examinations'!$A:$J,9,FALSE)</f>
        <v>1</v>
      </c>
      <c r="J1121" t="str">
        <f>VLOOKUP($A1121,'Medical Examinations'!$A:$J,10,FALSE)</f>
        <v>No</v>
      </c>
      <c r="K1121" t="str">
        <f>VLOOKUP($A1121,'Medical Examinations'!$A:$J,5,FALSE)</f>
        <v>Normal</v>
      </c>
      <c r="L1121">
        <f>VLOOKUP($A1122,'Medical Examinations'!$A:$J,3,FALSE)</f>
        <v>30.495000000000001</v>
      </c>
      <c r="M1121">
        <f>VLOOKUP($A1121,'Hospitalisation Details'!$A:$K,6,FALSE)</f>
        <v>10085.85</v>
      </c>
      <c r="N1121" s="11">
        <f>VLOOKUP($B1121,'Hospitalisation Details'!A1120:J3464,10,0)</f>
        <v>27734</v>
      </c>
      <c r="O1121" t="str">
        <f>VLOOKUP($B1121,'Hospitalisation Details'!A1120:J3464,8,0)</f>
        <v>tier - 3</v>
      </c>
      <c r="P1121" t="str">
        <f>VLOOKUP($B1121,'Hospitalisation Details'!A1120:J3464,7,0)</f>
        <v>tier - 3</v>
      </c>
      <c r="Q1121" t="str">
        <f>VLOOKUP($B1121,'Hospitalisation Details'!A1120:J3464,9,0)</f>
        <v>R1015</v>
      </c>
      <c r="R1121">
        <f>VLOOKUP($B1121,'Hospitalisation Details'!A1120:K3464,11,0)</f>
        <v>47</v>
      </c>
    </row>
    <row r="1122" spans="1:18" x14ac:dyDescent="0.35">
      <c r="A1122" t="s">
        <v>1250</v>
      </c>
      <c r="B1122" t="s">
        <v>1153</v>
      </c>
      <c r="C1122" t="str">
        <f>VLOOKUP($A1122,'Customer Names'!$A:$E,4,FALSE)</f>
        <v>Thomas C.</v>
      </c>
      <c r="D1122" t="str">
        <f>VLOOKUP($A1122,'Medical Examinations'!$A:$J,2,FALSE)</f>
        <v>Obesity</v>
      </c>
      <c r="E1122">
        <f>VLOOKUP($A1122,'Medical Examinations'!$A:$J,4,FALSE)</f>
        <v>5.74</v>
      </c>
      <c r="F1122" t="str">
        <f>VLOOKUP($A1122,'Medical Examinations'!$A:$J,6,FALSE)</f>
        <v>yes</v>
      </c>
      <c r="G1122" t="str">
        <f>VLOOKUP($A1122,'Medical Examinations'!$A:$J,7,FALSE)</f>
        <v>No</v>
      </c>
      <c r="H1122" t="str">
        <f>VLOOKUP($A1122,'Medical Examinations'!$A:$J,8,FALSE)</f>
        <v>Yes</v>
      </c>
      <c r="I1122">
        <f>VLOOKUP($A1122,'Medical Examinations'!$A:$J,9,FALSE)</f>
        <v>1</v>
      </c>
      <c r="J1122" t="str">
        <f>VLOOKUP($A1122,'Medical Examinations'!$A:$J,10,FALSE)</f>
        <v>No</v>
      </c>
      <c r="K1122" t="str">
        <f>VLOOKUP($A1122,'Medical Examinations'!$A:$J,5,FALSE)</f>
        <v>Prediabetes</v>
      </c>
      <c r="L1122">
        <f>VLOOKUP($A1123,'Medical Examinations'!$A:$J,3,FALSE)</f>
        <v>21.4</v>
      </c>
      <c r="M1122">
        <f>VLOOKUP($A1122,'Hospitalisation Details'!$A:$K,6,FALSE)</f>
        <v>10072.06</v>
      </c>
      <c r="N1122" s="11">
        <f>VLOOKUP($B1122,'Hospitalisation Details'!A1121:J3465,10,0)</f>
        <v>29499</v>
      </c>
      <c r="O1122" t="str">
        <f>VLOOKUP($B1122,'Hospitalisation Details'!A1121:J3465,8,0)</f>
        <v>tier - 1</v>
      </c>
      <c r="P1122" t="str">
        <f>VLOOKUP($B1122,'Hospitalisation Details'!A1121:J3465,7,0)</f>
        <v>tier - 2</v>
      </c>
      <c r="Q1122" t="str">
        <f>VLOOKUP($B1122,'Hospitalisation Details'!A1121:J3465,9,0)</f>
        <v>R1021</v>
      </c>
      <c r="R1122">
        <f>VLOOKUP($B1122,'Hospitalisation Details'!A1121:K3465,11,0)</f>
        <v>42</v>
      </c>
    </row>
    <row r="1123" spans="1:18" x14ac:dyDescent="0.35">
      <c r="A1123" t="s">
        <v>1249</v>
      </c>
      <c r="B1123" t="s">
        <v>1154</v>
      </c>
      <c r="C1123" t="str">
        <f>VLOOKUP($A1123,'Customer Names'!$A:$E,4,FALSE)</f>
        <v>Matthew J.</v>
      </c>
      <c r="D1123" t="str">
        <f>VLOOKUP($A1123,'Medical Examinations'!$A:$J,2,FALSE)</f>
        <v>Normal Weight</v>
      </c>
      <c r="E1123">
        <f>VLOOKUP($A1123,'Medical Examinations'!$A:$J,4,FALSE)</f>
        <v>6.3</v>
      </c>
      <c r="F1123" t="str">
        <f>VLOOKUP($A1123,'Medical Examinations'!$A:$J,6,FALSE)</f>
        <v>yes</v>
      </c>
      <c r="G1123" t="str">
        <f>VLOOKUP($A1123,'Medical Examinations'!$A:$J,7,FALSE)</f>
        <v>No</v>
      </c>
      <c r="H1123" t="str">
        <f>VLOOKUP($A1123,'Medical Examinations'!$A:$J,8,FALSE)</f>
        <v>Yes</v>
      </c>
      <c r="I1123">
        <f>VLOOKUP($A1123,'Medical Examinations'!$A:$J,9,FALSE)</f>
        <v>1</v>
      </c>
      <c r="J1123" t="str">
        <f>VLOOKUP($A1123,'Medical Examinations'!$A:$J,10,FALSE)</f>
        <v>No</v>
      </c>
      <c r="K1123" t="str">
        <f>VLOOKUP($A1123,'Medical Examinations'!$A:$J,5,FALSE)</f>
        <v>Prediabetes</v>
      </c>
      <c r="L1123">
        <f>VLOOKUP($A1124,'Medical Examinations'!$A:$J,3,FALSE)</f>
        <v>32.299999999999997</v>
      </c>
      <c r="M1123">
        <f>VLOOKUP($A1123,'Hospitalisation Details'!$A:$K,6,FALSE)</f>
        <v>10065.41</v>
      </c>
      <c r="N1123" s="11">
        <f>VLOOKUP($B1123,'Hospitalisation Details'!A1122:J3466,10,0)</f>
        <v>27262</v>
      </c>
      <c r="O1123" t="str">
        <f>VLOOKUP($B1123,'Hospitalisation Details'!A1122:J3466,8,0)</f>
        <v>tier - 1</v>
      </c>
      <c r="P1123" t="str">
        <f>VLOOKUP($B1123,'Hospitalisation Details'!A1122:J3466,7,0)</f>
        <v>tier - 2</v>
      </c>
      <c r="Q1123" t="str">
        <f>VLOOKUP($B1123,'Hospitalisation Details'!A1122:J3466,9,0)</f>
        <v>R1012</v>
      </c>
      <c r="R1123">
        <f>VLOOKUP($B1123,'Hospitalisation Details'!A1122:K3466,11,0)</f>
        <v>48</v>
      </c>
    </row>
    <row r="1124" spans="1:18" x14ac:dyDescent="0.35">
      <c r="A1124" t="s">
        <v>1248</v>
      </c>
      <c r="B1124" t="s">
        <v>1155</v>
      </c>
      <c r="C1124" t="str">
        <f>VLOOKUP($A1124,'Customer Names'!$A:$E,4,FALSE)</f>
        <v>Mallory D.</v>
      </c>
      <c r="D1124" t="str">
        <f>VLOOKUP($A1124,'Medical Examinations'!$A:$J,2,FALSE)</f>
        <v>Obesity</v>
      </c>
      <c r="E1124">
        <f>VLOOKUP($A1124,'Medical Examinations'!$A:$J,4,FALSE)</f>
        <v>10.27</v>
      </c>
      <c r="F1124" t="str">
        <f>VLOOKUP($A1124,'Medical Examinations'!$A:$J,6,FALSE)</f>
        <v>No</v>
      </c>
      <c r="G1124" t="str">
        <f>VLOOKUP($A1124,'Medical Examinations'!$A:$J,7,FALSE)</f>
        <v>No</v>
      </c>
      <c r="H1124" t="str">
        <f>VLOOKUP($A1124,'Medical Examinations'!$A:$J,8,FALSE)</f>
        <v>No</v>
      </c>
      <c r="I1124">
        <f>VLOOKUP($A1124,'Medical Examinations'!$A:$J,9,FALSE)</f>
        <v>0</v>
      </c>
      <c r="J1124" t="str">
        <f>VLOOKUP($A1124,'Medical Examinations'!$A:$J,10,FALSE)</f>
        <v>No</v>
      </c>
      <c r="K1124" t="str">
        <f>VLOOKUP($A1124,'Medical Examinations'!$A:$J,5,FALSE)</f>
        <v>Diabetes</v>
      </c>
      <c r="L1124">
        <f>VLOOKUP($A1125,'Medical Examinations'!$A:$J,3,FALSE)</f>
        <v>29.78</v>
      </c>
      <c r="M1124">
        <f>VLOOKUP($A1124,'Hospitalisation Details'!$A:$K,6,FALSE)</f>
        <v>10043.25</v>
      </c>
      <c r="N1124" s="11">
        <f>VLOOKUP($B1124,'Hospitalisation Details'!A1123:J3467,10,0)</f>
        <v>26151</v>
      </c>
      <c r="O1124" t="str">
        <f>VLOOKUP($B1124,'Hospitalisation Details'!A1123:J3467,8,0)</f>
        <v>tier - 1</v>
      </c>
      <c r="P1124" t="str">
        <f>VLOOKUP($B1124,'Hospitalisation Details'!A1123:J3467,7,0)</f>
        <v>tier - 2</v>
      </c>
      <c r="Q1124" t="str">
        <f>VLOOKUP($B1124,'Hospitalisation Details'!A1123:J3467,9,0)</f>
        <v>R1011</v>
      </c>
      <c r="R1124">
        <f>VLOOKUP($B1124,'Hospitalisation Details'!A1123:K3467,11,0)</f>
        <v>51</v>
      </c>
    </row>
    <row r="1125" spans="1:18" x14ac:dyDescent="0.35">
      <c r="A1125" t="s">
        <v>1247</v>
      </c>
      <c r="B1125" t="s">
        <v>1156</v>
      </c>
      <c r="C1125" t="str">
        <f>VLOOKUP($A1125,'Customer Names'!$A:$E,4,FALSE)</f>
        <v>Christopher D.</v>
      </c>
      <c r="D1125" t="str">
        <f>VLOOKUP($A1125,'Medical Examinations'!$A:$J,2,FALSE)</f>
        <v>Overweight</v>
      </c>
      <c r="E1125">
        <f>VLOOKUP($A1125,'Medical Examinations'!$A:$J,4,FALSE)</f>
        <v>5.85</v>
      </c>
      <c r="F1125" t="str">
        <f>VLOOKUP($A1125,'Medical Examinations'!$A:$J,6,FALSE)</f>
        <v>No</v>
      </c>
      <c r="G1125" t="str">
        <f>VLOOKUP($A1125,'Medical Examinations'!$A:$J,7,FALSE)</f>
        <v>No</v>
      </c>
      <c r="H1125" t="str">
        <f>VLOOKUP($A1125,'Medical Examinations'!$A:$J,8,FALSE)</f>
        <v>Yes</v>
      </c>
      <c r="I1125">
        <f>VLOOKUP($A1125,'Medical Examinations'!$A:$J,9,FALSE)</f>
        <v>1</v>
      </c>
      <c r="J1125" t="str">
        <f>VLOOKUP($A1125,'Medical Examinations'!$A:$J,10,FALSE)</f>
        <v>No</v>
      </c>
      <c r="K1125" t="str">
        <f>VLOOKUP($A1125,'Medical Examinations'!$A:$J,5,FALSE)</f>
        <v>Prediabetes</v>
      </c>
      <c r="L1125">
        <f>VLOOKUP($A1126,'Medical Examinations'!$A:$J,3,FALSE)</f>
        <v>34.76</v>
      </c>
      <c r="M1125">
        <f>VLOOKUP($A1125,'Hospitalisation Details'!$A:$K,6,FALSE)</f>
        <v>10027.15</v>
      </c>
      <c r="N1125" s="11">
        <f>VLOOKUP($B1125,'Hospitalisation Details'!A1124:J3468,10,0)</f>
        <v>26964</v>
      </c>
      <c r="O1125" t="str">
        <f>VLOOKUP($B1125,'Hospitalisation Details'!A1124:J3468,8,0)</f>
        <v>tier - 2</v>
      </c>
      <c r="P1125" t="str">
        <f>VLOOKUP($B1125,'Hospitalisation Details'!A1124:J3468,7,0)</f>
        <v>tier - 3</v>
      </c>
      <c r="Q1125" t="str">
        <f>VLOOKUP($B1125,'Hospitalisation Details'!A1124:J3468,9,0)</f>
        <v>R1016</v>
      </c>
      <c r="R1125">
        <f>VLOOKUP($B1125,'Hospitalisation Details'!A1124:K3468,11,0)</f>
        <v>49</v>
      </c>
    </row>
    <row r="1126" spans="1:18" x14ac:dyDescent="0.35">
      <c r="A1126" t="s">
        <v>1246</v>
      </c>
      <c r="B1126" t="s">
        <v>1157</v>
      </c>
      <c r="C1126" t="str">
        <f>VLOOKUP($A1126,'Customer Names'!$A:$E,4,FALSE)</f>
        <v>Jamie</v>
      </c>
      <c r="D1126" t="str">
        <f>VLOOKUP($A1126,'Medical Examinations'!$A:$J,2,FALSE)</f>
        <v>Obesity</v>
      </c>
      <c r="E1126">
        <f>VLOOKUP($A1126,'Medical Examinations'!$A:$J,4,FALSE)</f>
        <v>5.92</v>
      </c>
      <c r="F1126" t="str">
        <f>VLOOKUP($A1126,'Medical Examinations'!$A:$J,6,FALSE)</f>
        <v>yes</v>
      </c>
      <c r="G1126" t="str">
        <f>VLOOKUP($A1126,'Medical Examinations'!$A:$J,7,FALSE)</f>
        <v>No</v>
      </c>
      <c r="H1126" t="str">
        <f>VLOOKUP($A1126,'Medical Examinations'!$A:$J,8,FALSE)</f>
        <v>No</v>
      </c>
      <c r="I1126">
        <f>VLOOKUP($A1126,'Medical Examinations'!$A:$J,9,FALSE)</f>
        <v>1</v>
      </c>
      <c r="J1126" t="str">
        <f>VLOOKUP($A1126,'Medical Examinations'!$A:$J,10,FALSE)</f>
        <v>No</v>
      </c>
      <c r="K1126" t="str">
        <f>VLOOKUP($A1126,'Medical Examinations'!$A:$J,5,FALSE)</f>
        <v>Prediabetes</v>
      </c>
      <c r="L1126">
        <f>VLOOKUP($A1127,'Medical Examinations'!$A:$J,3,FALSE)</f>
        <v>18.335000000000001</v>
      </c>
      <c r="M1126">
        <f>VLOOKUP($A1126,'Hospitalisation Details'!$A:$K,6,FALSE)</f>
        <v>10011.44</v>
      </c>
      <c r="N1126" s="11">
        <f>VLOOKUP($B1126,'Hospitalisation Details'!A1125:J3469,10,0)</f>
        <v>26116</v>
      </c>
      <c r="O1126" t="str">
        <f>VLOOKUP($B1126,'Hospitalisation Details'!A1125:J3469,8,0)</f>
        <v>tier - 3</v>
      </c>
      <c r="P1126" t="str">
        <f>VLOOKUP($B1126,'Hospitalisation Details'!A1125:J3469,7,0)</f>
        <v>tier - 2</v>
      </c>
      <c r="Q1126" t="str">
        <f>VLOOKUP($B1126,'Hospitalisation Details'!A1125:J3469,9,0)</f>
        <v>R1013</v>
      </c>
      <c r="R1126">
        <f>VLOOKUP($B1126,'Hospitalisation Details'!A1125:K3469,11,0)</f>
        <v>51</v>
      </c>
    </row>
    <row r="1127" spans="1:18" x14ac:dyDescent="0.35">
      <c r="A1127" t="s">
        <v>1245</v>
      </c>
      <c r="B1127" t="s">
        <v>1158</v>
      </c>
      <c r="C1127" t="str">
        <f>VLOOKUP($A1127,'Customer Names'!$A:$E,4,FALSE)</f>
        <v>Ariell</v>
      </c>
      <c r="D1127" t="str">
        <f>VLOOKUP($A1127,'Medical Examinations'!$A:$J,2,FALSE)</f>
        <v>Underweight</v>
      </c>
      <c r="E1127">
        <f>VLOOKUP($A1127,'Medical Examinations'!$A:$J,4,FALSE)</f>
        <v>10.01</v>
      </c>
      <c r="F1127" t="str">
        <f>VLOOKUP($A1127,'Medical Examinations'!$A:$J,6,FALSE)</f>
        <v>yes</v>
      </c>
      <c r="G1127" t="str">
        <f>VLOOKUP($A1127,'Medical Examinations'!$A:$J,7,FALSE)</f>
        <v>No</v>
      </c>
      <c r="H1127" t="str">
        <f>VLOOKUP($A1127,'Medical Examinations'!$A:$J,8,FALSE)</f>
        <v>No</v>
      </c>
      <c r="I1127">
        <f>VLOOKUP($A1127,'Medical Examinations'!$A:$J,9,FALSE)</f>
        <v>2</v>
      </c>
      <c r="J1127" t="str">
        <f>VLOOKUP($A1127,'Medical Examinations'!$A:$J,10,FALSE)</f>
        <v>No</v>
      </c>
      <c r="K1127" t="str">
        <f>VLOOKUP($A1127,'Medical Examinations'!$A:$J,5,FALSE)</f>
        <v>Diabetes</v>
      </c>
      <c r="L1127">
        <f>VLOOKUP($A1128,'Medical Examinations'!$A:$J,3,FALSE)</f>
        <v>32.299999999999997</v>
      </c>
      <c r="M1127">
        <f>VLOOKUP($A1127,'Hospitalisation Details'!$A:$K,6,FALSE)</f>
        <v>9991.0400000000009</v>
      </c>
      <c r="N1127" s="11">
        <f>VLOOKUP($B1127,'Hospitalisation Details'!A1126:J3470,10,0)</f>
        <v>25533</v>
      </c>
      <c r="O1127" t="str">
        <f>VLOOKUP($B1127,'Hospitalisation Details'!A1126:J3470,8,0)</f>
        <v>tier - 3</v>
      </c>
      <c r="P1127" t="str">
        <f>VLOOKUP($B1127,'Hospitalisation Details'!A1126:J3470,7,0)</f>
        <v>tier - 2</v>
      </c>
      <c r="Q1127" t="str">
        <f>VLOOKUP($B1127,'Hospitalisation Details'!A1126:J3470,9,0)</f>
        <v>R1013</v>
      </c>
      <c r="R1127">
        <f>VLOOKUP($B1127,'Hospitalisation Details'!A1126:K3470,11,0)</f>
        <v>53</v>
      </c>
    </row>
    <row r="1128" spans="1:18" x14ac:dyDescent="0.35">
      <c r="A1128" t="s">
        <v>1244</v>
      </c>
      <c r="B1128" t="s">
        <v>1159</v>
      </c>
      <c r="C1128" t="str">
        <f>VLOOKUP($A1128,'Customer Names'!$A:$E,4,FALSE)</f>
        <v>Christopher</v>
      </c>
      <c r="D1128" t="str">
        <f>VLOOKUP($A1128,'Medical Examinations'!$A:$J,2,FALSE)</f>
        <v>Obesity</v>
      </c>
      <c r="E1128">
        <f>VLOOKUP($A1128,'Medical Examinations'!$A:$J,4,FALSE)</f>
        <v>9.59</v>
      </c>
      <c r="F1128" t="str">
        <f>VLOOKUP($A1128,'Medical Examinations'!$A:$J,6,FALSE)</f>
        <v>No</v>
      </c>
      <c r="G1128" t="str">
        <f>VLOOKUP($A1128,'Medical Examinations'!$A:$J,7,FALSE)</f>
        <v>No</v>
      </c>
      <c r="H1128" t="str">
        <f>VLOOKUP($A1128,'Medical Examinations'!$A:$J,8,FALSE)</f>
        <v>No</v>
      </c>
      <c r="I1128">
        <f>VLOOKUP($A1128,'Medical Examinations'!$A:$J,9,FALSE)</f>
        <v>0</v>
      </c>
      <c r="J1128" t="str">
        <f>VLOOKUP($A1128,'Medical Examinations'!$A:$J,10,FALSE)</f>
        <v>No</v>
      </c>
      <c r="K1128" t="str">
        <f>VLOOKUP($A1128,'Medical Examinations'!$A:$J,5,FALSE)</f>
        <v>Diabetes</v>
      </c>
      <c r="L1128">
        <f>VLOOKUP($A1129,'Medical Examinations'!$A:$J,3,FALSE)</f>
        <v>27.74</v>
      </c>
      <c r="M1128">
        <f>VLOOKUP($A1128,'Hospitalisation Details'!$A:$K,6,FALSE)</f>
        <v>9964.06</v>
      </c>
      <c r="N1128" s="11">
        <f>VLOOKUP($B1128,'Hospitalisation Details'!A1127:J3471,10,0)</f>
        <v>26953</v>
      </c>
      <c r="O1128" t="str">
        <f>VLOOKUP($B1128,'Hospitalisation Details'!A1127:J3471,8,0)</f>
        <v>tier - 3</v>
      </c>
      <c r="P1128" t="str">
        <f>VLOOKUP($B1128,'Hospitalisation Details'!A1127:J3471,7,0)</f>
        <v>tier - 2</v>
      </c>
      <c r="Q1128" t="str">
        <f>VLOOKUP($B1128,'Hospitalisation Details'!A1127:J3471,9,0)</f>
        <v>R1018</v>
      </c>
      <c r="R1128">
        <f>VLOOKUP($B1128,'Hospitalisation Details'!A1127:K3471,11,0)</f>
        <v>49</v>
      </c>
    </row>
    <row r="1129" spans="1:18" x14ac:dyDescent="0.35">
      <c r="A1129" t="s">
        <v>1243</v>
      </c>
      <c r="B1129" t="s">
        <v>1160</v>
      </c>
      <c r="C1129" t="str">
        <f>VLOOKUP($A1129,'Customer Names'!$A:$E,4,FALSE)</f>
        <v>Ryan</v>
      </c>
      <c r="D1129" t="str">
        <f>VLOOKUP($A1129,'Medical Examinations'!$A:$J,2,FALSE)</f>
        <v>Overweight</v>
      </c>
      <c r="E1129">
        <f>VLOOKUP($A1129,'Medical Examinations'!$A:$J,4,FALSE)</f>
        <v>10.37</v>
      </c>
      <c r="F1129" t="str">
        <f>VLOOKUP($A1129,'Medical Examinations'!$A:$J,6,FALSE)</f>
        <v>No</v>
      </c>
      <c r="G1129" t="str">
        <f>VLOOKUP($A1129,'Medical Examinations'!$A:$J,7,FALSE)</f>
        <v>No</v>
      </c>
      <c r="H1129" t="str">
        <f>VLOOKUP($A1129,'Medical Examinations'!$A:$J,8,FALSE)</f>
        <v>No</v>
      </c>
      <c r="I1129">
        <f>VLOOKUP($A1129,'Medical Examinations'!$A:$J,9,FALSE)</f>
        <v>0</v>
      </c>
      <c r="J1129" t="str">
        <f>VLOOKUP($A1129,'Medical Examinations'!$A:$J,10,FALSE)</f>
        <v>No</v>
      </c>
      <c r="K1129" t="str">
        <f>VLOOKUP($A1129,'Medical Examinations'!$A:$J,5,FALSE)</f>
        <v>Diabetes</v>
      </c>
      <c r="L1129">
        <f>VLOOKUP($A1130,'Medical Examinations'!$A:$J,3,FALSE)</f>
        <v>24</v>
      </c>
      <c r="M1129">
        <f>VLOOKUP($A1129,'Hospitalisation Details'!$A:$K,6,FALSE)</f>
        <v>9957.7199999999993</v>
      </c>
      <c r="N1129" s="11">
        <f>VLOOKUP($B1129,'Hospitalisation Details'!A1128:J3472,10,0)</f>
        <v>26925</v>
      </c>
      <c r="O1129" t="str">
        <f>VLOOKUP($B1129,'Hospitalisation Details'!A1128:J3472,8,0)</f>
        <v>tier - 3</v>
      </c>
      <c r="P1129" t="str">
        <f>VLOOKUP($B1129,'Hospitalisation Details'!A1128:J3472,7,0)</f>
        <v>tier - 3</v>
      </c>
      <c r="Q1129" t="str">
        <f>VLOOKUP($B1129,'Hospitalisation Details'!A1128:J3472,9,0)</f>
        <v>R1016</v>
      </c>
      <c r="R1129">
        <f>VLOOKUP($B1129,'Hospitalisation Details'!A1128:K3472,11,0)</f>
        <v>49</v>
      </c>
    </row>
    <row r="1130" spans="1:18" x14ac:dyDescent="0.35">
      <c r="A1130" t="s">
        <v>1242</v>
      </c>
      <c r="B1130" t="s">
        <v>1161</v>
      </c>
      <c r="C1130" t="str">
        <f>VLOOKUP($A1130,'Customer Names'!$A:$E,4,FALSE)</f>
        <v>Thomas B.</v>
      </c>
      <c r="D1130" t="str">
        <f>VLOOKUP($A1130,'Medical Examinations'!$A:$J,2,FALSE)</f>
        <v>Normal Weight</v>
      </c>
      <c r="E1130">
        <f>VLOOKUP($A1130,'Medical Examinations'!$A:$J,4,FALSE)</f>
        <v>4.01</v>
      </c>
      <c r="F1130" t="str">
        <f>VLOOKUP($A1130,'Medical Examinations'!$A:$J,6,FALSE)</f>
        <v>yes</v>
      </c>
      <c r="G1130" t="str">
        <f>VLOOKUP($A1130,'Medical Examinations'!$A:$J,7,FALSE)</f>
        <v>No</v>
      </c>
      <c r="H1130" t="str">
        <f>VLOOKUP($A1130,'Medical Examinations'!$A:$J,8,FALSE)</f>
        <v>No</v>
      </c>
      <c r="I1130">
        <f>VLOOKUP($A1130,'Medical Examinations'!$A:$J,9,FALSE)</f>
        <v>1</v>
      </c>
      <c r="J1130" t="str">
        <f>VLOOKUP($A1130,'Medical Examinations'!$A:$J,10,FALSE)</f>
        <v>No</v>
      </c>
      <c r="K1130" t="str">
        <f>VLOOKUP($A1130,'Medical Examinations'!$A:$J,5,FALSE)</f>
        <v>Normal</v>
      </c>
      <c r="L1130">
        <f>VLOOKUP($A1131,'Medical Examinations'!$A:$J,3,FALSE)</f>
        <v>31.78</v>
      </c>
      <c r="M1130">
        <f>VLOOKUP($A1130,'Hospitalisation Details'!$A:$K,6,FALSE)</f>
        <v>9933.44</v>
      </c>
      <c r="N1130" s="11">
        <f>VLOOKUP($B1130,'Hospitalisation Details'!A1129:J3473,10,0)</f>
        <v>28067</v>
      </c>
      <c r="O1130" t="str">
        <f>VLOOKUP($B1130,'Hospitalisation Details'!A1129:J3473,8,0)</f>
        <v>tier - 1</v>
      </c>
      <c r="P1130" t="str">
        <f>VLOOKUP($B1130,'Hospitalisation Details'!A1129:J3473,7,0)</f>
        <v>tier - 2</v>
      </c>
      <c r="Q1130" t="str">
        <f>VLOOKUP($B1130,'Hospitalisation Details'!A1129:J3473,9,0)</f>
        <v>R1012</v>
      </c>
      <c r="R1130">
        <f>VLOOKUP($B1130,'Hospitalisation Details'!A1129:K3473,11,0)</f>
        <v>46</v>
      </c>
    </row>
    <row r="1131" spans="1:18" x14ac:dyDescent="0.35">
      <c r="A1131" t="s">
        <v>1241</v>
      </c>
      <c r="B1131" t="s">
        <v>1162</v>
      </c>
      <c r="C1131" t="str">
        <f>VLOOKUP($A1131,'Customer Names'!$A:$E,4,FALSE)</f>
        <v>Katie</v>
      </c>
      <c r="D1131" t="str">
        <f>VLOOKUP($A1131,'Medical Examinations'!$A:$J,2,FALSE)</f>
        <v>Obesity</v>
      </c>
      <c r="E1131">
        <f>VLOOKUP($A1131,'Medical Examinations'!$A:$J,4,FALSE)</f>
        <v>4.24</v>
      </c>
      <c r="F1131" t="str">
        <f>VLOOKUP($A1131,'Medical Examinations'!$A:$J,6,FALSE)</f>
        <v>yes</v>
      </c>
      <c r="G1131" t="str">
        <f>VLOOKUP($A1131,'Medical Examinations'!$A:$J,7,FALSE)</f>
        <v>No</v>
      </c>
      <c r="H1131" t="str">
        <f>VLOOKUP($A1131,'Medical Examinations'!$A:$J,8,FALSE)</f>
        <v>Yes</v>
      </c>
      <c r="I1131">
        <f>VLOOKUP($A1131,'Medical Examinations'!$A:$J,9,FALSE)</f>
        <v>1</v>
      </c>
      <c r="J1131" t="str">
        <f>VLOOKUP($A1131,'Medical Examinations'!$A:$J,10,FALSE)</f>
        <v>No</v>
      </c>
      <c r="K1131" t="str">
        <f>VLOOKUP($A1131,'Medical Examinations'!$A:$J,5,FALSE)</f>
        <v>Normal</v>
      </c>
      <c r="L1131">
        <f>VLOOKUP($A1132,'Medical Examinations'!$A:$J,3,FALSE)</f>
        <v>32.25</v>
      </c>
      <c r="M1131">
        <f>VLOOKUP($A1131,'Hospitalisation Details'!$A:$K,6,FALSE)</f>
        <v>9931.9599999999991</v>
      </c>
      <c r="N1131" s="11">
        <f>VLOOKUP($B1131,'Hospitalisation Details'!A1130:J3474,10,0)</f>
        <v>26953</v>
      </c>
      <c r="O1131" t="str">
        <f>VLOOKUP($B1131,'Hospitalisation Details'!A1130:J3474,8,0)</f>
        <v>tier - 3</v>
      </c>
      <c r="P1131" t="str">
        <f>VLOOKUP($B1131,'Hospitalisation Details'!A1130:J3474,7,0)</f>
        <v>tier - 3</v>
      </c>
      <c r="Q1131" t="str">
        <f>VLOOKUP($B1131,'Hospitalisation Details'!A1130:J3474,9,0)</f>
        <v>R1013</v>
      </c>
      <c r="R1131">
        <f>VLOOKUP($B1131,'Hospitalisation Details'!A1130:K3474,11,0)</f>
        <v>49</v>
      </c>
    </row>
    <row r="1132" spans="1:18" x14ac:dyDescent="0.35">
      <c r="A1132" t="s">
        <v>1240</v>
      </c>
      <c r="B1132" t="s">
        <v>1163</v>
      </c>
      <c r="C1132" t="str">
        <f>VLOOKUP($A1132,'Customer Names'!$A:$E,4,FALSE)</f>
        <v>Rachelle L</v>
      </c>
      <c r="D1132" t="str">
        <f>VLOOKUP($A1132,'Medical Examinations'!$A:$J,2,FALSE)</f>
        <v>Obesity</v>
      </c>
      <c r="E1132">
        <f>VLOOKUP($A1132,'Medical Examinations'!$A:$J,4,FALSE)</f>
        <v>5.36</v>
      </c>
      <c r="F1132" t="str">
        <f>VLOOKUP($A1132,'Medical Examinations'!$A:$J,6,FALSE)</f>
        <v>yes</v>
      </c>
      <c r="G1132" t="str">
        <f>VLOOKUP($A1132,'Medical Examinations'!$A:$J,7,FALSE)</f>
        <v>No</v>
      </c>
      <c r="H1132" t="str">
        <f>VLOOKUP($A1132,'Medical Examinations'!$A:$J,8,FALSE)</f>
        <v>No</v>
      </c>
      <c r="I1132">
        <f>VLOOKUP($A1132,'Medical Examinations'!$A:$J,9,FALSE)</f>
        <v>0</v>
      </c>
      <c r="J1132" t="str">
        <f>VLOOKUP($A1132,'Medical Examinations'!$A:$J,10,FALSE)</f>
        <v>No</v>
      </c>
      <c r="K1132" t="str">
        <f>VLOOKUP($A1132,'Medical Examinations'!$A:$J,5,FALSE)</f>
        <v>Normal</v>
      </c>
      <c r="L1132">
        <f>VLOOKUP($A1133,'Medical Examinations'!$A:$J,3,FALSE)</f>
        <v>30.114999999999998</v>
      </c>
      <c r="M1132">
        <f>VLOOKUP($A1132,'Hospitalisation Details'!$A:$K,6,FALSE)</f>
        <v>9930.64</v>
      </c>
      <c r="N1132" s="11">
        <f>VLOOKUP($B1132,'Hospitalisation Details'!A1131:J3475,10,0)</f>
        <v>23170</v>
      </c>
      <c r="O1132" t="str">
        <f>VLOOKUP($B1132,'Hospitalisation Details'!A1131:J3475,8,0)</f>
        <v>tier - 1</v>
      </c>
      <c r="P1132" t="str">
        <f>VLOOKUP($B1132,'Hospitalisation Details'!A1131:J3475,7,0)</f>
        <v>tier - 3</v>
      </c>
      <c r="Q1132" t="str">
        <f>VLOOKUP($B1132,'Hospitalisation Details'!A1131:J3475,9,0)</f>
        <v>R1013</v>
      </c>
      <c r="R1132">
        <f>VLOOKUP($B1132,'Hospitalisation Details'!A1131:K3475,11,0)</f>
        <v>60</v>
      </c>
    </row>
    <row r="1133" spans="1:18" x14ac:dyDescent="0.35">
      <c r="A1133" t="s">
        <v>1239</v>
      </c>
      <c r="B1133" t="s">
        <v>1164</v>
      </c>
      <c r="C1133" t="str">
        <f>VLOOKUP($A1133,'Customer Names'!$A:$E,4,FALSE)</f>
        <v>Colleen</v>
      </c>
      <c r="D1133" t="str">
        <f>VLOOKUP($A1133,'Medical Examinations'!$A:$J,2,FALSE)</f>
        <v>Obesity</v>
      </c>
      <c r="E1133">
        <f>VLOOKUP($A1133,'Medical Examinations'!$A:$J,4,FALSE)</f>
        <v>4.99</v>
      </c>
      <c r="F1133" t="str">
        <f>VLOOKUP($A1133,'Medical Examinations'!$A:$J,6,FALSE)</f>
        <v>No</v>
      </c>
      <c r="G1133" t="str">
        <f>VLOOKUP($A1133,'Medical Examinations'!$A:$J,7,FALSE)</f>
        <v>No</v>
      </c>
      <c r="H1133" t="str">
        <f>VLOOKUP($A1133,'Medical Examinations'!$A:$J,8,FALSE)</f>
        <v>No</v>
      </c>
      <c r="I1133">
        <f>VLOOKUP($A1133,'Medical Examinations'!$A:$J,9,FALSE)</f>
        <v>2</v>
      </c>
      <c r="J1133" t="str">
        <f>VLOOKUP($A1133,'Medical Examinations'!$A:$J,10,FALSE)</f>
        <v>No</v>
      </c>
      <c r="K1133" t="str">
        <f>VLOOKUP($A1133,'Medical Examinations'!$A:$J,5,FALSE)</f>
        <v>Normal</v>
      </c>
      <c r="L1133">
        <f>VLOOKUP($A1134,'Medical Examinations'!$A:$J,3,FALSE)</f>
        <v>22.41</v>
      </c>
      <c r="M1133">
        <f>VLOOKUP($A1133,'Hospitalisation Details'!$A:$K,6,FALSE)</f>
        <v>9910.36</v>
      </c>
      <c r="N1133" s="11">
        <f>VLOOKUP($B1133,'Hospitalisation Details'!A1132:J3476,10,0)</f>
        <v>28410</v>
      </c>
      <c r="O1133" t="str">
        <f>VLOOKUP($B1133,'Hospitalisation Details'!A1132:J3476,8,0)</f>
        <v>tier - 1</v>
      </c>
      <c r="P1133" t="str">
        <f>VLOOKUP($B1133,'Hospitalisation Details'!A1132:J3476,7,0)</f>
        <v>tier - 2</v>
      </c>
      <c r="Q1133" t="str">
        <f>VLOOKUP($B1133,'Hospitalisation Details'!A1132:J3476,9,0)</f>
        <v>R1024</v>
      </c>
      <c r="R1133">
        <f>VLOOKUP($B1133,'Hospitalisation Details'!A1132:K3476,11,0)</f>
        <v>45</v>
      </c>
    </row>
    <row r="1134" spans="1:18" x14ac:dyDescent="0.35">
      <c r="A1134" t="s">
        <v>1238</v>
      </c>
      <c r="B1134" t="s">
        <v>1165</v>
      </c>
      <c r="C1134" t="str">
        <f>VLOOKUP($A1134,'Customer Names'!$A:$E,4,FALSE)</f>
        <v>Gregory A</v>
      </c>
      <c r="D1134" t="str">
        <f>VLOOKUP($A1134,'Medical Examinations'!$A:$J,2,FALSE)</f>
        <v>Normal Weight</v>
      </c>
      <c r="E1134">
        <f>VLOOKUP($A1134,'Medical Examinations'!$A:$J,4,FALSE)</f>
        <v>8.68</v>
      </c>
      <c r="F1134" t="str">
        <f>VLOOKUP($A1134,'Medical Examinations'!$A:$J,6,FALSE)</f>
        <v>No</v>
      </c>
      <c r="G1134" t="str">
        <f>VLOOKUP($A1134,'Medical Examinations'!$A:$J,7,FALSE)</f>
        <v>No</v>
      </c>
      <c r="H1134" t="str">
        <f>VLOOKUP($A1134,'Medical Examinations'!$A:$J,8,FALSE)</f>
        <v>No</v>
      </c>
      <c r="I1134">
        <f>VLOOKUP($A1134,'Medical Examinations'!$A:$J,9,FALSE)</f>
        <v>0</v>
      </c>
      <c r="J1134" t="str">
        <f>VLOOKUP($A1134,'Medical Examinations'!$A:$J,10,FALSE)</f>
        <v>No</v>
      </c>
      <c r="K1134" t="str">
        <f>VLOOKUP($A1134,'Medical Examinations'!$A:$J,5,FALSE)</f>
        <v>Diabetes</v>
      </c>
      <c r="L1134">
        <f>VLOOKUP($A1135,'Medical Examinations'!$A:$J,3,FALSE)</f>
        <v>45.72</v>
      </c>
      <c r="M1134">
        <f>VLOOKUP($A1134,'Hospitalisation Details'!$A:$K,6,FALSE)</f>
        <v>9907.83</v>
      </c>
      <c r="N1134" s="11">
        <f>VLOOKUP($B1134,'Hospitalisation Details'!A1133:J3477,10,0)</f>
        <v>32333</v>
      </c>
      <c r="O1134" t="str">
        <f>VLOOKUP($B1134,'Hospitalisation Details'!A1133:J3477,8,0)</f>
        <v>tier - 1</v>
      </c>
      <c r="P1134" t="str">
        <f>VLOOKUP($B1134,'Hospitalisation Details'!A1133:J3477,7,0)</f>
        <v>tier - 2</v>
      </c>
      <c r="Q1134" t="str">
        <f>VLOOKUP($B1134,'Hospitalisation Details'!A1133:J3477,9,0)</f>
        <v>R1012</v>
      </c>
      <c r="R1134">
        <f>VLOOKUP($B1134,'Hospitalisation Details'!A1133:K3477,11,0)</f>
        <v>34</v>
      </c>
    </row>
    <row r="1135" spans="1:18" x14ac:dyDescent="0.35">
      <c r="A1135" t="s">
        <v>1237</v>
      </c>
      <c r="B1135" t="s">
        <v>1166</v>
      </c>
      <c r="C1135" t="str">
        <f>VLOOKUP($A1135,'Customer Names'!$A:$E,4,FALSE)</f>
        <v>Lara</v>
      </c>
      <c r="D1135" t="str">
        <f>VLOOKUP($A1135,'Medical Examinations'!$A:$J,2,FALSE)</f>
        <v>Obesity</v>
      </c>
      <c r="E1135">
        <f>VLOOKUP($A1135,'Medical Examinations'!$A:$J,4,FALSE)</f>
        <v>4.2300000000000004</v>
      </c>
      <c r="F1135" t="str">
        <f>VLOOKUP($A1135,'Medical Examinations'!$A:$J,6,FALSE)</f>
        <v>yes</v>
      </c>
      <c r="G1135" t="str">
        <f>VLOOKUP($A1135,'Medical Examinations'!$A:$J,7,FALSE)</f>
        <v>No</v>
      </c>
      <c r="H1135" t="str">
        <f>VLOOKUP($A1135,'Medical Examinations'!$A:$J,8,FALSE)</f>
        <v>No</v>
      </c>
      <c r="I1135">
        <f>VLOOKUP($A1135,'Medical Examinations'!$A:$J,9,FALSE)</f>
        <v>0</v>
      </c>
      <c r="J1135" t="str">
        <f>VLOOKUP($A1135,'Medical Examinations'!$A:$J,10,FALSE)</f>
        <v>No</v>
      </c>
      <c r="K1135" t="str">
        <f>VLOOKUP($A1135,'Medical Examinations'!$A:$J,5,FALSE)</f>
        <v>Normal</v>
      </c>
      <c r="L1135">
        <f>VLOOKUP($A1136,'Medical Examinations'!$A:$J,3,FALSE)</f>
        <v>25</v>
      </c>
      <c r="M1135">
        <f>VLOOKUP($A1135,'Hospitalisation Details'!$A:$K,6,FALSE)</f>
        <v>9894.69</v>
      </c>
      <c r="N1135" s="11">
        <f>VLOOKUP($B1135,'Hospitalisation Details'!A1134:J3478,10,0)</f>
        <v>35350</v>
      </c>
      <c r="O1135" t="str">
        <f>VLOOKUP($B1135,'Hospitalisation Details'!A1134:J3478,8,0)</f>
        <v>tier - 1</v>
      </c>
      <c r="P1135" t="str">
        <f>VLOOKUP($B1135,'Hospitalisation Details'!A1134:J3478,7,0)</f>
        <v>tier - 2</v>
      </c>
      <c r="Q1135" t="str">
        <f>VLOOKUP($B1135,'Hospitalisation Details'!A1134:J3478,9,0)</f>
        <v>R1026</v>
      </c>
      <c r="R1135">
        <f>VLOOKUP($B1135,'Hospitalisation Details'!A1134:K3478,11,0)</f>
        <v>26</v>
      </c>
    </row>
    <row r="1136" spans="1:18" x14ac:dyDescent="0.35">
      <c r="A1136" t="s">
        <v>1236</v>
      </c>
      <c r="B1136" t="s">
        <v>1167</v>
      </c>
      <c r="C1136" t="str">
        <f>VLOOKUP($A1136,'Customer Names'!$A:$E,4,FALSE)</f>
        <v>Megan</v>
      </c>
      <c r="D1136" t="str">
        <f>VLOOKUP($A1136,'Medical Examinations'!$A:$J,2,FALSE)</f>
        <v>Overweight</v>
      </c>
      <c r="E1136">
        <f>VLOOKUP($A1136,'Medical Examinations'!$A:$J,4,FALSE)</f>
        <v>5.32</v>
      </c>
      <c r="F1136" t="str">
        <f>VLOOKUP($A1136,'Medical Examinations'!$A:$J,6,FALSE)</f>
        <v>yes</v>
      </c>
      <c r="G1136" t="str">
        <f>VLOOKUP($A1136,'Medical Examinations'!$A:$J,7,FALSE)</f>
        <v>No</v>
      </c>
      <c r="H1136" t="str">
        <f>VLOOKUP($A1136,'Medical Examinations'!$A:$J,8,FALSE)</f>
        <v>No</v>
      </c>
      <c r="I1136">
        <f>VLOOKUP($A1136,'Medical Examinations'!$A:$J,9,FALSE)</f>
        <v>2</v>
      </c>
      <c r="J1136" t="str">
        <f>VLOOKUP($A1136,'Medical Examinations'!$A:$J,10,FALSE)</f>
        <v>No</v>
      </c>
      <c r="K1136" t="str">
        <f>VLOOKUP($A1136,'Medical Examinations'!$A:$J,5,FALSE)</f>
        <v>Normal</v>
      </c>
      <c r="L1136">
        <f>VLOOKUP($A1137,'Medical Examinations'!$A:$J,3,FALSE)</f>
        <v>39.5</v>
      </c>
      <c r="M1136">
        <f>VLOOKUP($A1136,'Hospitalisation Details'!$A:$K,6,FALSE)</f>
        <v>9890.23</v>
      </c>
      <c r="N1136" s="11">
        <f>VLOOKUP($B1136,'Hospitalisation Details'!A1135:J3479,10,0)</f>
        <v>32325</v>
      </c>
      <c r="O1136" t="str">
        <f>VLOOKUP($B1136,'Hospitalisation Details'!A1135:J3479,8,0)</f>
        <v>tier - 1</v>
      </c>
      <c r="P1136" t="str">
        <f>VLOOKUP($B1136,'Hospitalisation Details'!A1135:J3479,7,0)</f>
        <v>tier - 2</v>
      </c>
      <c r="Q1136" t="str">
        <f>VLOOKUP($B1136,'Hospitalisation Details'!A1135:J3479,9,0)</f>
        <v>R1021</v>
      </c>
      <c r="R1136">
        <f>VLOOKUP($B1136,'Hospitalisation Details'!A1135:K3479,11,0)</f>
        <v>34</v>
      </c>
    </row>
    <row r="1137" spans="1:18" x14ac:dyDescent="0.35">
      <c r="A1137" t="s">
        <v>1235</v>
      </c>
      <c r="B1137" t="s">
        <v>1168</v>
      </c>
      <c r="C1137" t="str">
        <f>VLOOKUP($A1137,'Customer Names'!$A:$E,4,FALSE)</f>
        <v>Sara</v>
      </c>
      <c r="D1137" t="str">
        <f>VLOOKUP($A1137,'Medical Examinations'!$A:$J,2,FALSE)</f>
        <v>Obesity</v>
      </c>
      <c r="E1137">
        <f>VLOOKUP($A1137,'Medical Examinations'!$A:$J,4,FALSE)</f>
        <v>6.66</v>
      </c>
      <c r="F1137" t="str">
        <f>VLOOKUP($A1137,'Medical Examinations'!$A:$J,6,FALSE)</f>
        <v>No</v>
      </c>
      <c r="G1137" t="str">
        <f>VLOOKUP($A1137,'Medical Examinations'!$A:$J,7,FALSE)</f>
        <v>No</v>
      </c>
      <c r="H1137" t="str">
        <f>VLOOKUP($A1137,'Medical Examinations'!$A:$J,8,FALSE)</f>
        <v>No</v>
      </c>
      <c r="I1137">
        <f>VLOOKUP($A1137,'Medical Examinations'!$A:$J,9,FALSE)</f>
        <v>0</v>
      </c>
      <c r="J1137" t="str">
        <f>VLOOKUP($A1137,'Medical Examinations'!$A:$J,10,FALSE)</f>
        <v>No</v>
      </c>
      <c r="K1137" t="str">
        <f>VLOOKUP($A1137,'Medical Examinations'!$A:$J,5,FALSE)</f>
        <v>Diabetes</v>
      </c>
      <c r="L1137">
        <f>VLOOKUP($A1138,'Medical Examinations'!$A:$J,3,FALSE)</f>
        <v>37.729999999999997</v>
      </c>
      <c r="M1137">
        <f>VLOOKUP($A1137,'Hospitalisation Details'!$A:$K,6,FALSE)</f>
        <v>9880.07</v>
      </c>
      <c r="N1137" s="11">
        <f>VLOOKUP($B1137,'Hospitalisation Details'!A1136:J3480,10,0)</f>
        <v>26214</v>
      </c>
      <c r="O1137" t="str">
        <f>VLOOKUP($B1137,'Hospitalisation Details'!A1136:J3480,8,0)</f>
        <v>tier - 1</v>
      </c>
      <c r="P1137" t="str">
        <f>VLOOKUP($B1137,'Hospitalisation Details'!A1136:J3480,7,0)</f>
        <v>tier - 3</v>
      </c>
      <c r="Q1137" t="str">
        <f>VLOOKUP($B1137,'Hospitalisation Details'!A1136:J3480,9,0)</f>
        <v>R1016</v>
      </c>
      <c r="R1137">
        <f>VLOOKUP($B1137,'Hospitalisation Details'!A1136:K3480,11,0)</f>
        <v>51</v>
      </c>
    </row>
    <row r="1138" spans="1:18" x14ac:dyDescent="0.35">
      <c r="A1138" t="s">
        <v>1234</v>
      </c>
      <c r="B1138" t="s">
        <v>1169</v>
      </c>
      <c r="C1138" t="str">
        <f>VLOOKUP($A1138,'Customer Names'!$A:$E,4,FALSE)</f>
        <v>Lucie J.</v>
      </c>
      <c r="D1138" t="str">
        <f>VLOOKUP($A1138,'Medical Examinations'!$A:$J,2,FALSE)</f>
        <v>Obesity</v>
      </c>
      <c r="E1138">
        <f>VLOOKUP($A1138,'Medical Examinations'!$A:$J,4,FALSE)</f>
        <v>7.4</v>
      </c>
      <c r="F1138" t="str">
        <f>VLOOKUP($A1138,'Medical Examinations'!$A:$J,6,FALSE)</f>
        <v>No</v>
      </c>
      <c r="G1138" t="str">
        <f>VLOOKUP($A1138,'Medical Examinations'!$A:$J,7,FALSE)</f>
        <v>No</v>
      </c>
      <c r="H1138" t="str">
        <f>VLOOKUP($A1138,'Medical Examinations'!$A:$J,8,FALSE)</f>
        <v>No</v>
      </c>
      <c r="I1138">
        <f>VLOOKUP($A1138,'Medical Examinations'!$A:$J,9,FALSE)</f>
        <v>0</v>
      </c>
      <c r="J1138" t="str">
        <f>VLOOKUP($A1138,'Medical Examinations'!$A:$J,10,FALSE)</f>
        <v>No</v>
      </c>
      <c r="K1138" t="str">
        <f>VLOOKUP($A1138,'Medical Examinations'!$A:$J,5,FALSE)</f>
        <v>Diabetes</v>
      </c>
      <c r="L1138">
        <f>VLOOKUP($A1139,'Medical Examinations'!$A:$J,3,FALSE)</f>
        <v>40.659999999999997</v>
      </c>
      <c r="M1138">
        <f>VLOOKUP($A1138,'Hospitalisation Details'!$A:$K,6,FALSE)</f>
        <v>9877.61</v>
      </c>
      <c r="N1138" s="11">
        <f>VLOOKUP($B1138,'Hospitalisation Details'!A1137:J3481,10,0)</f>
        <v>25531</v>
      </c>
      <c r="O1138" t="str">
        <f>VLOOKUP($B1138,'Hospitalisation Details'!A1137:J3481,8,0)</f>
        <v>tier - 3</v>
      </c>
      <c r="P1138" t="str">
        <f>VLOOKUP($B1138,'Hospitalisation Details'!A1137:J3481,7,0)</f>
        <v>tier - 2</v>
      </c>
      <c r="Q1138" t="str">
        <f>VLOOKUP($B1138,'Hospitalisation Details'!A1137:J3481,9,0)</f>
        <v>R1013</v>
      </c>
      <c r="R1138">
        <f>VLOOKUP($B1138,'Hospitalisation Details'!A1137:K3481,11,0)</f>
        <v>53</v>
      </c>
    </row>
    <row r="1139" spans="1:18" x14ac:dyDescent="0.35">
      <c r="A1139" t="s">
        <v>1233</v>
      </c>
      <c r="B1139" t="s">
        <v>1170</v>
      </c>
      <c r="C1139" t="str">
        <f>VLOOKUP($A1139,'Customer Names'!$A:$E,4,FALSE)</f>
        <v>Elizabeth S.</v>
      </c>
      <c r="D1139" t="str">
        <f>VLOOKUP($A1139,'Medical Examinations'!$A:$J,2,FALSE)</f>
        <v>Obesity</v>
      </c>
      <c r="E1139">
        <f>VLOOKUP($A1139,'Medical Examinations'!$A:$J,4,FALSE)</f>
        <v>10.08</v>
      </c>
      <c r="F1139" t="str">
        <f>VLOOKUP($A1139,'Medical Examinations'!$A:$J,6,FALSE)</f>
        <v>No</v>
      </c>
      <c r="G1139" t="str">
        <f>VLOOKUP($A1139,'Medical Examinations'!$A:$J,7,FALSE)</f>
        <v>No</v>
      </c>
      <c r="H1139" t="str">
        <f>VLOOKUP($A1139,'Medical Examinations'!$A:$J,8,FALSE)</f>
        <v>No</v>
      </c>
      <c r="I1139">
        <f>VLOOKUP($A1139,'Medical Examinations'!$A:$J,9,FALSE)</f>
        <v>0</v>
      </c>
      <c r="J1139" t="str">
        <f>VLOOKUP($A1139,'Medical Examinations'!$A:$J,10,FALSE)</f>
        <v>No</v>
      </c>
      <c r="K1139" t="str">
        <f>VLOOKUP($A1139,'Medical Examinations'!$A:$J,5,FALSE)</f>
        <v>Diabetes</v>
      </c>
      <c r="L1139">
        <f>VLOOKUP($A1140,'Medical Examinations'!$A:$J,3,FALSE)</f>
        <v>34.200000000000003</v>
      </c>
      <c r="M1139">
        <f>VLOOKUP($A1139,'Hospitalisation Details'!$A:$K,6,FALSE)</f>
        <v>9875.68</v>
      </c>
      <c r="N1139" s="11">
        <f>VLOOKUP($B1139,'Hospitalisation Details'!A1138:J3482,10,0)</f>
        <v>26263</v>
      </c>
      <c r="O1139" t="str">
        <f>VLOOKUP($B1139,'Hospitalisation Details'!A1138:J3482,8,0)</f>
        <v>tier - 1</v>
      </c>
      <c r="P1139" t="str">
        <f>VLOOKUP($B1139,'Hospitalisation Details'!A1138:J3482,7,0)</f>
        <v>tier - 2</v>
      </c>
      <c r="Q1139" t="str">
        <f>VLOOKUP($B1139,'Hospitalisation Details'!A1138:J3482,9,0)</f>
        <v>R1013</v>
      </c>
      <c r="R1139">
        <f>VLOOKUP($B1139,'Hospitalisation Details'!A1138:K3482,11,0)</f>
        <v>51</v>
      </c>
    </row>
    <row r="1140" spans="1:18" x14ac:dyDescent="0.35">
      <c r="A1140" t="s">
        <v>1232</v>
      </c>
      <c r="B1140" t="s">
        <v>1171</v>
      </c>
      <c r="C1140" t="str">
        <f>VLOOKUP($A1140,'Customer Names'!$A:$E,4,FALSE)</f>
        <v>Carma S</v>
      </c>
      <c r="D1140" t="str">
        <f>VLOOKUP($A1140,'Medical Examinations'!$A:$J,2,FALSE)</f>
        <v>Obesity</v>
      </c>
      <c r="E1140">
        <f>VLOOKUP($A1140,'Medical Examinations'!$A:$J,4,FALSE)</f>
        <v>8.58</v>
      </c>
      <c r="F1140" t="str">
        <f>VLOOKUP($A1140,'Medical Examinations'!$A:$J,6,FALSE)</f>
        <v>No</v>
      </c>
      <c r="G1140" t="str">
        <f>VLOOKUP($A1140,'Medical Examinations'!$A:$J,7,FALSE)</f>
        <v>No</v>
      </c>
      <c r="H1140" t="str">
        <f>VLOOKUP($A1140,'Medical Examinations'!$A:$J,8,FALSE)</f>
        <v>No</v>
      </c>
      <c r="I1140">
        <f>VLOOKUP($A1140,'Medical Examinations'!$A:$J,9,FALSE)</f>
        <v>0</v>
      </c>
      <c r="J1140" t="str">
        <f>VLOOKUP($A1140,'Medical Examinations'!$A:$J,10,FALSE)</f>
        <v>No</v>
      </c>
      <c r="K1140" t="str">
        <f>VLOOKUP($A1140,'Medical Examinations'!$A:$J,5,FALSE)</f>
        <v>Diabetes</v>
      </c>
      <c r="L1140">
        <f>VLOOKUP($A1141,'Medical Examinations'!$A:$J,3,FALSE)</f>
        <v>46.51</v>
      </c>
      <c r="M1140">
        <f>VLOOKUP($A1140,'Hospitalisation Details'!$A:$K,6,FALSE)</f>
        <v>9872.7000000000007</v>
      </c>
      <c r="N1140" s="11">
        <f>VLOOKUP($B1140,'Hospitalisation Details'!A1139:J3483,10,0)</f>
        <v>27730</v>
      </c>
      <c r="O1140" t="str">
        <f>VLOOKUP($B1140,'Hospitalisation Details'!A1139:J3483,8,0)</f>
        <v>tier - 2</v>
      </c>
      <c r="P1140" t="str">
        <f>VLOOKUP($B1140,'Hospitalisation Details'!A1139:J3483,7,0)</f>
        <v>tier - 2</v>
      </c>
      <c r="Q1140" t="str">
        <f>VLOOKUP($B1140,'Hospitalisation Details'!A1139:J3483,9,0)</f>
        <v>R1024</v>
      </c>
      <c r="R1140">
        <f>VLOOKUP($B1140,'Hospitalisation Details'!A1139:K3483,11,0)</f>
        <v>47</v>
      </c>
    </row>
    <row r="1141" spans="1:18" x14ac:dyDescent="0.35">
      <c r="A1141" t="s">
        <v>1231</v>
      </c>
      <c r="B1141" t="s">
        <v>1172</v>
      </c>
      <c r="C1141" t="str">
        <f>VLOOKUP($A1141,'Customer Names'!$A:$E,4,FALSE)</f>
        <v>Ryan</v>
      </c>
      <c r="D1141" t="str">
        <f>VLOOKUP($A1141,'Medical Examinations'!$A:$J,2,FALSE)</f>
        <v>Obesity</v>
      </c>
      <c r="E1141">
        <f>VLOOKUP($A1141,'Medical Examinations'!$A:$J,4,FALSE)</f>
        <v>5.84</v>
      </c>
      <c r="F1141" t="str">
        <f>VLOOKUP($A1141,'Medical Examinations'!$A:$J,6,FALSE)</f>
        <v>No</v>
      </c>
      <c r="G1141" t="str">
        <f>VLOOKUP($A1141,'Medical Examinations'!$A:$J,7,FALSE)</f>
        <v>No</v>
      </c>
      <c r="H1141" t="str">
        <f>VLOOKUP($A1141,'Medical Examinations'!$A:$J,8,FALSE)</f>
        <v>No</v>
      </c>
      <c r="I1141">
        <f>VLOOKUP($A1141,'Medical Examinations'!$A:$J,9,FALSE)</f>
        <v>1</v>
      </c>
      <c r="J1141" t="str">
        <f>VLOOKUP($A1141,'Medical Examinations'!$A:$J,10,FALSE)</f>
        <v>No</v>
      </c>
      <c r="K1141" t="str">
        <f>VLOOKUP($A1141,'Medical Examinations'!$A:$J,5,FALSE)</f>
        <v>Prediabetes</v>
      </c>
      <c r="L1141">
        <f>VLOOKUP($A1142,'Medical Examinations'!$A:$J,3,FALSE)</f>
        <v>28.88</v>
      </c>
      <c r="M1141">
        <f>VLOOKUP($A1141,'Hospitalisation Details'!$A:$K,6,FALSE)</f>
        <v>9870.59</v>
      </c>
      <c r="N1141" s="11">
        <f>VLOOKUP($B1141,'Hospitalisation Details'!A1140:J3484,10,0)</f>
        <v>26296</v>
      </c>
      <c r="O1141" t="str">
        <f>VLOOKUP($B1141,'Hospitalisation Details'!A1140:J3484,8,0)</f>
        <v>tier - 2</v>
      </c>
      <c r="P1141" t="str">
        <f>VLOOKUP($B1141,'Hospitalisation Details'!A1140:J3484,7,0)</f>
        <v>tier - 3</v>
      </c>
      <c r="Q1141" t="str">
        <f>VLOOKUP($B1141,'Hospitalisation Details'!A1140:J3484,9,0)</f>
        <v>R1013</v>
      </c>
      <c r="R1141">
        <f>VLOOKUP($B1141,'Hospitalisation Details'!A1140:K3484,11,0)</f>
        <v>51</v>
      </c>
    </row>
    <row r="1142" spans="1:18" x14ac:dyDescent="0.35">
      <c r="A1142" t="s">
        <v>1230</v>
      </c>
      <c r="B1142" t="s">
        <v>1173</v>
      </c>
      <c r="C1142" t="str">
        <f>VLOOKUP($A1142,'Customer Names'!$A:$E,4,FALSE)</f>
        <v>Daniel</v>
      </c>
      <c r="D1142" t="str">
        <f>VLOOKUP($A1142,'Medical Examinations'!$A:$J,2,FALSE)</f>
        <v>Overweight</v>
      </c>
      <c r="E1142">
        <f>VLOOKUP($A1142,'Medical Examinations'!$A:$J,4,FALSE)</f>
        <v>4.8600000000000003</v>
      </c>
      <c r="F1142" t="str">
        <f>VLOOKUP($A1142,'Medical Examinations'!$A:$J,6,FALSE)</f>
        <v>yes</v>
      </c>
      <c r="G1142" t="str">
        <f>VLOOKUP($A1142,'Medical Examinations'!$A:$J,7,FALSE)</f>
        <v>No</v>
      </c>
      <c r="H1142" t="str">
        <f>VLOOKUP($A1142,'Medical Examinations'!$A:$J,8,FALSE)</f>
        <v>Yes</v>
      </c>
      <c r="I1142">
        <f>VLOOKUP($A1142,'Medical Examinations'!$A:$J,9,FALSE)</f>
        <v>1</v>
      </c>
      <c r="J1142" t="str">
        <f>VLOOKUP($A1142,'Medical Examinations'!$A:$J,10,FALSE)</f>
        <v>No</v>
      </c>
      <c r="K1142" t="str">
        <f>VLOOKUP($A1142,'Medical Examinations'!$A:$J,5,FALSE)</f>
        <v>Normal</v>
      </c>
      <c r="L1142">
        <f>VLOOKUP($A1143,'Medical Examinations'!$A:$J,3,FALSE)</f>
        <v>33.914999999999999</v>
      </c>
      <c r="M1142">
        <f>VLOOKUP($A1142,'Hospitalisation Details'!$A:$K,6,FALSE)</f>
        <v>9869.81</v>
      </c>
      <c r="N1142" s="11">
        <f>VLOOKUP($B1142,'Hospitalisation Details'!A1141:J3485,10,0)</f>
        <v>26226</v>
      </c>
      <c r="O1142" t="str">
        <f>VLOOKUP($B1142,'Hospitalisation Details'!A1141:J3485,8,0)</f>
        <v>tier - 3</v>
      </c>
      <c r="P1142" t="str">
        <f>VLOOKUP($B1142,'Hospitalisation Details'!A1141:J3485,7,0)</f>
        <v>tier - 3</v>
      </c>
      <c r="Q1142" t="str">
        <f>VLOOKUP($B1142,'Hospitalisation Details'!A1141:J3485,9,0)</f>
        <v>R1011</v>
      </c>
      <c r="R1142">
        <f>VLOOKUP($B1142,'Hospitalisation Details'!A1141:K3485,11,0)</f>
        <v>51</v>
      </c>
    </row>
    <row r="1143" spans="1:18" x14ac:dyDescent="0.35">
      <c r="A1143" t="s">
        <v>1229</v>
      </c>
      <c r="B1143" t="s">
        <v>1174</v>
      </c>
      <c r="C1143" t="str">
        <f>VLOOKUP($A1143,'Customer Names'!$A:$E,4,FALSE)</f>
        <v>Sarah</v>
      </c>
      <c r="D1143" t="str">
        <f>VLOOKUP($A1143,'Medical Examinations'!$A:$J,2,FALSE)</f>
        <v>Obesity</v>
      </c>
      <c r="E1143">
        <f>VLOOKUP($A1143,'Medical Examinations'!$A:$J,4,FALSE)</f>
        <v>11.52</v>
      </c>
      <c r="F1143" t="str">
        <f>VLOOKUP($A1143,'Medical Examinations'!$A:$J,6,FALSE)</f>
        <v>No</v>
      </c>
      <c r="G1143" t="str">
        <f>VLOOKUP($A1143,'Medical Examinations'!$A:$J,7,FALSE)</f>
        <v>No</v>
      </c>
      <c r="H1143" t="str">
        <f>VLOOKUP($A1143,'Medical Examinations'!$A:$J,8,FALSE)</f>
        <v>No</v>
      </c>
      <c r="I1143">
        <f>VLOOKUP($A1143,'Medical Examinations'!$A:$J,9,FALSE)</f>
        <v>0</v>
      </c>
      <c r="J1143" t="str">
        <f>VLOOKUP($A1143,'Medical Examinations'!$A:$J,10,FALSE)</f>
        <v>No</v>
      </c>
      <c r="K1143" t="str">
        <f>VLOOKUP($A1143,'Medical Examinations'!$A:$J,5,FALSE)</f>
        <v>Diabetes</v>
      </c>
      <c r="L1143">
        <f>VLOOKUP($A1144,'Medical Examinations'!$A:$J,3,FALSE)</f>
        <v>24.32</v>
      </c>
      <c r="M1143">
        <f>VLOOKUP($A1143,'Hospitalisation Details'!$A:$K,6,FALSE)</f>
        <v>9866.2999999999993</v>
      </c>
      <c r="N1143" s="11">
        <f>VLOOKUP($B1143,'Hospitalisation Details'!A1142:J3486,10,0)</f>
        <v>28050</v>
      </c>
      <c r="O1143" t="str">
        <f>VLOOKUP($B1143,'Hospitalisation Details'!A1142:J3486,8,0)</f>
        <v>tier - 3</v>
      </c>
      <c r="P1143" t="str">
        <f>VLOOKUP($B1143,'Hospitalisation Details'!A1142:J3486,7,0)</f>
        <v>tier - 2</v>
      </c>
      <c r="Q1143" t="str">
        <f>VLOOKUP($B1143,'Hospitalisation Details'!A1142:J3486,9,0)</f>
        <v>R1024</v>
      </c>
      <c r="R1143">
        <f>VLOOKUP($B1143,'Hospitalisation Details'!A1142:K3486,11,0)</f>
        <v>46</v>
      </c>
    </row>
    <row r="1144" spans="1:18" x14ac:dyDescent="0.35">
      <c r="A1144" t="s">
        <v>1228</v>
      </c>
      <c r="B1144" t="s">
        <v>1175</v>
      </c>
      <c r="C1144" t="str">
        <f>VLOOKUP($A1144,'Customer Names'!$A:$E,4,FALSE)</f>
        <v>Matthew J</v>
      </c>
      <c r="D1144" t="str">
        <f>VLOOKUP($A1144,'Medical Examinations'!$A:$J,2,FALSE)</f>
        <v>Normal Weight</v>
      </c>
      <c r="E1144">
        <f>VLOOKUP($A1144,'Medical Examinations'!$A:$J,4,FALSE)</f>
        <v>6.15</v>
      </c>
      <c r="F1144" t="str">
        <f>VLOOKUP($A1144,'Medical Examinations'!$A:$J,6,FALSE)</f>
        <v>yes</v>
      </c>
      <c r="G1144" t="str">
        <f>VLOOKUP($A1144,'Medical Examinations'!$A:$J,7,FALSE)</f>
        <v>No</v>
      </c>
      <c r="H1144" t="str">
        <f>VLOOKUP($A1144,'Medical Examinations'!$A:$J,8,FALSE)</f>
        <v>Yes</v>
      </c>
      <c r="I1144">
        <f>VLOOKUP($A1144,'Medical Examinations'!$A:$J,9,FALSE)</f>
        <v>1</v>
      </c>
      <c r="J1144" t="str">
        <f>VLOOKUP($A1144,'Medical Examinations'!$A:$J,10,FALSE)</f>
        <v>No</v>
      </c>
      <c r="K1144" t="str">
        <f>VLOOKUP($A1144,'Medical Examinations'!$A:$J,5,FALSE)</f>
        <v>Prediabetes</v>
      </c>
      <c r="L1144">
        <f>VLOOKUP($A1145,'Medical Examinations'!$A:$J,3,FALSE)</f>
        <v>25.8</v>
      </c>
      <c r="M1144">
        <f>VLOOKUP($A1144,'Hospitalisation Details'!$A:$K,6,FALSE)</f>
        <v>9863.4699999999993</v>
      </c>
      <c r="N1144" s="11">
        <f>VLOOKUP($B1144,'Hospitalisation Details'!A1143:J3487,10,0)</f>
        <v>28063</v>
      </c>
      <c r="O1144" t="str">
        <f>VLOOKUP($B1144,'Hospitalisation Details'!A1143:J3487,8,0)</f>
        <v>tier - 2</v>
      </c>
      <c r="P1144" t="str">
        <f>VLOOKUP($B1144,'Hospitalisation Details'!A1143:J3487,7,0)</f>
        <v>tier - 2</v>
      </c>
      <c r="Q1144" t="str">
        <f>VLOOKUP($B1144,'Hospitalisation Details'!A1143:J3487,9,0)</f>
        <v>R1011</v>
      </c>
      <c r="R1144">
        <f>VLOOKUP($B1144,'Hospitalisation Details'!A1143:K3487,11,0)</f>
        <v>46</v>
      </c>
    </row>
    <row r="1145" spans="1:18" x14ac:dyDescent="0.35">
      <c r="A1145" t="s">
        <v>1227</v>
      </c>
      <c r="B1145" t="s">
        <v>1176</v>
      </c>
      <c r="C1145" t="str">
        <f>VLOOKUP($A1145,'Customer Names'!$A:$E,4,FALSE)</f>
        <v>Francesca</v>
      </c>
      <c r="D1145" t="str">
        <f>VLOOKUP($A1145,'Medical Examinations'!$A:$J,2,FALSE)</f>
        <v>Overweight</v>
      </c>
      <c r="E1145">
        <f>VLOOKUP($A1145,'Medical Examinations'!$A:$J,4,FALSE)</f>
        <v>9.94</v>
      </c>
      <c r="F1145" t="str">
        <f>VLOOKUP($A1145,'Medical Examinations'!$A:$J,6,FALSE)</f>
        <v>No</v>
      </c>
      <c r="G1145" t="str">
        <f>VLOOKUP($A1145,'Medical Examinations'!$A:$J,7,FALSE)</f>
        <v>No</v>
      </c>
      <c r="H1145" t="str">
        <f>VLOOKUP($A1145,'Medical Examinations'!$A:$J,8,FALSE)</f>
        <v>No</v>
      </c>
      <c r="I1145">
        <f>VLOOKUP($A1145,'Medical Examinations'!$A:$J,9,FALSE)</f>
        <v>0</v>
      </c>
      <c r="J1145" t="str">
        <f>VLOOKUP($A1145,'Medical Examinations'!$A:$J,10,FALSE)</f>
        <v>No</v>
      </c>
      <c r="K1145" t="str">
        <f>VLOOKUP($A1145,'Medical Examinations'!$A:$J,5,FALSE)</f>
        <v>Diabetes</v>
      </c>
      <c r="L1145">
        <f>VLOOKUP($A1146,'Medical Examinations'!$A:$J,3,FALSE)</f>
        <v>21.56</v>
      </c>
      <c r="M1145">
        <f>VLOOKUP($A1145,'Hospitalisation Details'!$A:$K,6,FALSE)</f>
        <v>9861.0300000000007</v>
      </c>
      <c r="N1145" s="11">
        <f>VLOOKUP($B1145,'Hospitalisation Details'!A1144:J3488,10,0)</f>
        <v>28067</v>
      </c>
      <c r="O1145" t="str">
        <f>VLOOKUP($B1145,'Hospitalisation Details'!A1144:J3488,8,0)</f>
        <v>tier - 1</v>
      </c>
      <c r="P1145" t="str">
        <f>VLOOKUP($B1145,'Hospitalisation Details'!A1144:J3488,7,0)</f>
        <v>tier - 2</v>
      </c>
      <c r="Q1145" t="str">
        <f>VLOOKUP($B1145,'Hospitalisation Details'!A1144:J3488,9,0)</f>
        <v>R1024</v>
      </c>
      <c r="R1145">
        <f>VLOOKUP($B1145,'Hospitalisation Details'!A1144:K3488,11,0)</f>
        <v>46</v>
      </c>
    </row>
    <row r="1146" spans="1:18" x14ac:dyDescent="0.35">
      <c r="A1146" t="s">
        <v>1226</v>
      </c>
      <c r="B1146" t="s">
        <v>1177</v>
      </c>
      <c r="C1146" t="str">
        <f>VLOOKUP($A1146,'Customer Names'!$A:$E,4,FALSE)</f>
        <v>Nicole</v>
      </c>
      <c r="D1146" t="str">
        <f>VLOOKUP($A1146,'Medical Examinations'!$A:$J,2,FALSE)</f>
        <v>Normal Weight</v>
      </c>
      <c r="E1146">
        <f>VLOOKUP($A1146,'Medical Examinations'!$A:$J,4,FALSE)</f>
        <v>10.56</v>
      </c>
      <c r="F1146" t="str">
        <f>VLOOKUP($A1146,'Medical Examinations'!$A:$J,6,FALSE)</f>
        <v>No</v>
      </c>
      <c r="G1146" t="str">
        <f>VLOOKUP($A1146,'Medical Examinations'!$A:$J,7,FALSE)</f>
        <v>No</v>
      </c>
      <c r="H1146" t="str">
        <f>VLOOKUP($A1146,'Medical Examinations'!$A:$J,8,FALSE)</f>
        <v>No</v>
      </c>
      <c r="I1146">
        <f>VLOOKUP($A1146,'Medical Examinations'!$A:$J,9,FALSE)</f>
        <v>0</v>
      </c>
      <c r="J1146" t="str">
        <f>VLOOKUP($A1146,'Medical Examinations'!$A:$J,10,FALSE)</f>
        <v>No</v>
      </c>
      <c r="K1146" t="str">
        <f>VLOOKUP($A1146,'Medical Examinations'!$A:$J,5,FALSE)</f>
        <v>Diabetes</v>
      </c>
      <c r="L1146">
        <f>VLOOKUP($A1147,'Medical Examinations'!$A:$J,3,FALSE)</f>
        <v>31.6</v>
      </c>
      <c r="M1146">
        <f>VLOOKUP($A1146,'Hospitalisation Details'!$A:$K,6,FALSE)</f>
        <v>9855.1299999999992</v>
      </c>
      <c r="N1146" s="11">
        <f>VLOOKUP($B1146,'Hospitalisation Details'!A1145:J3489,10,0)</f>
        <v>27360</v>
      </c>
      <c r="O1146" t="str">
        <f>VLOOKUP($B1146,'Hospitalisation Details'!A1145:J3489,8,0)</f>
        <v>tier - 1</v>
      </c>
      <c r="P1146" t="str">
        <f>VLOOKUP($B1146,'Hospitalisation Details'!A1145:J3489,7,0)</f>
        <v>tier - 2</v>
      </c>
      <c r="Q1146" t="str">
        <f>VLOOKUP($B1146,'Hospitalisation Details'!A1145:J3489,9,0)</f>
        <v>R1024</v>
      </c>
      <c r="R1146">
        <f>VLOOKUP($B1146,'Hospitalisation Details'!A1145:K3489,11,0)</f>
        <v>48</v>
      </c>
    </row>
    <row r="1147" spans="1:18" x14ac:dyDescent="0.35">
      <c r="A1147" t="s">
        <v>1225</v>
      </c>
      <c r="B1147" t="s">
        <v>1178</v>
      </c>
      <c r="C1147" t="str">
        <f>VLOOKUP($A1147,'Customer Names'!$A:$E,4,FALSE)</f>
        <v>Toshiyuki</v>
      </c>
      <c r="D1147" t="str">
        <f>VLOOKUP($A1147,'Medical Examinations'!$A:$J,2,FALSE)</f>
        <v>Obesity</v>
      </c>
      <c r="E1147">
        <f>VLOOKUP($A1147,'Medical Examinations'!$A:$J,4,FALSE)</f>
        <v>6.79</v>
      </c>
      <c r="F1147" t="str">
        <f>VLOOKUP($A1147,'Medical Examinations'!$A:$J,6,FALSE)</f>
        <v>No</v>
      </c>
      <c r="G1147" t="str">
        <f>VLOOKUP($A1147,'Medical Examinations'!$A:$J,7,FALSE)</f>
        <v>No</v>
      </c>
      <c r="H1147" t="str">
        <f>VLOOKUP($A1147,'Medical Examinations'!$A:$J,8,FALSE)</f>
        <v>No</v>
      </c>
      <c r="I1147">
        <f>VLOOKUP($A1147,'Medical Examinations'!$A:$J,9,FALSE)</f>
        <v>0</v>
      </c>
      <c r="J1147" t="str">
        <f>VLOOKUP($A1147,'Medical Examinations'!$A:$J,10,FALSE)</f>
        <v>No</v>
      </c>
      <c r="K1147" t="str">
        <f>VLOOKUP($A1147,'Medical Examinations'!$A:$J,5,FALSE)</f>
        <v>Diabetes</v>
      </c>
      <c r="L1147">
        <f>VLOOKUP($A1148,'Medical Examinations'!$A:$J,3,FALSE)</f>
        <v>42.93</v>
      </c>
      <c r="M1147">
        <f>VLOOKUP($A1147,'Hospitalisation Details'!$A:$K,6,FALSE)</f>
        <v>9850.43</v>
      </c>
      <c r="N1147" s="11">
        <f>VLOOKUP($B1147,'Hospitalisation Details'!A1146:J3490,10,0)</f>
        <v>27188</v>
      </c>
      <c r="O1147" t="str">
        <f>VLOOKUP($B1147,'Hospitalisation Details'!A1146:J3490,8,0)</f>
        <v>tier - 3</v>
      </c>
      <c r="P1147" t="str">
        <f>VLOOKUP($B1147,'Hospitalisation Details'!A1146:J3490,7,0)</f>
        <v>tier - 2</v>
      </c>
      <c r="Q1147" t="str">
        <f>VLOOKUP($B1147,'Hospitalisation Details'!A1146:J3490,9,0)</f>
        <v>R1024</v>
      </c>
      <c r="R1147">
        <f>VLOOKUP($B1147,'Hospitalisation Details'!A1146:K3490,11,0)</f>
        <v>49</v>
      </c>
    </row>
    <row r="1148" spans="1:18" x14ac:dyDescent="0.35">
      <c r="A1148" t="s">
        <v>1224</v>
      </c>
      <c r="B1148" t="s">
        <v>1179</v>
      </c>
      <c r="C1148" t="str">
        <f>VLOOKUP($A1148,'Customer Names'!$A:$E,4,FALSE)</f>
        <v>Tom L.</v>
      </c>
      <c r="D1148" t="str">
        <f>VLOOKUP($A1148,'Medical Examinations'!$A:$J,2,FALSE)</f>
        <v>Obesity</v>
      </c>
      <c r="E1148">
        <f>VLOOKUP($A1148,'Medical Examinations'!$A:$J,4,FALSE)</f>
        <v>4.8</v>
      </c>
      <c r="F1148" t="str">
        <f>VLOOKUP($A1148,'Medical Examinations'!$A:$J,6,FALSE)</f>
        <v>No</v>
      </c>
      <c r="G1148" t="str">
        <f>VLOOKUP($A1148,'Medical Examinations'!$A:$J,7,FALSE)</f>
        <v>No</v>
      </c>
      <c r="H1148" t="str">
        <f>VLOOKUP($A1148,'Medical Examinations'!$A:$J,8,FALSE)</f>
        <v>No</v>
      </c>
      <c r="I1148">
        <f>VLOOKUP($A1148,'Medical Examinations'!$A:$J,9,FALSE)</f>
        <v>1</v>
      </c>
      <c r="J1148" t="str">
        <f>VLOOKUP($A1148,'Medical Examinations'!$A:$J,10,FALSE)</f>
        <v>No</v>
      </c>
      <c r="K1148" t="str">
        <f>VLOOKUP($A1148,'Medical Examinations'!$A:$J,5,FALSE)</f>
        <v>Normal</v>
      </c>
      <c r="L1148">
        <f>VLOOKUP($A1149,'Medical Examinations'!$A:$J,3,FALSE)</f>
        <v>26.72</v>
      </c>
      <c r="M1148">
        <f>VLOOKUP($A1148,'Hospitalisation Details'!$A:$K,6,FALSE)</f>
        <v>9844.4500000000007</v>
      </c>
      <c r="N1148" s="11">
        <f>VLOOKUP($B1148,'Hospitalisation Details'!A1147:J3491,10,0)</f>
        <v>32095</v>
      </c>
      <c r="O1148" t="str">
        <f>VLOOKUP($B1148,'Hospitalisation Details'!A1147:J3491,8,0)</f>
        <v>tier - 3</v>
      </c>
      <c r="P1148" t="str">
        <f>VLOOKUP($B1148,'Hospitalisation Details'!A1147:J3491,7,0)</f>
        <v>tier - 2</v>
      </c>
      <c r="Q1148" t="str">
        <f>VLOOKUP($B1148,'Hospitalisation Details'!A1147:J3491,9,0)</f>
        <v>R1021</v>
      </c>
      <c r="R1148">
        <f>VLOOKUP($B1148,'Hospitalisation Details'!A1147:K3491,11,0)</f>
        <v>35</v>
      </c>
    </row>
    <row r="1149" spans="1:18" x14ac:dyDescent="0.35">
      <c r="A1149" t="s">
        <v>1223</v>
      </c>
      <c r="B1149" t="s">
        <v>1180</v>
      </c>
      <c r="C1149" t="str">
        <f>VLOOKUP($A1149,'Customer Names'!$A:$E,4,FALSE)</f>
        <v>Brian</v>
      </c>
      <c r="D1149" t="str">
        <f>VLOOKUP($A1149,'Medical Examinations'!$A:$J,2,FALSE)</f>
        <v>Overweight</v>
      </c>
      <c r="E1149">
        <f>VLOOKUP($A1149,'Medical Examinations'!$A:$J,4,FALSE)</f>
        <v>5.75</v>
      </c>
      <c r="F1149" t="str">
        <f>VLOOKUP($A1149,'Medical Examinations'!$A:$J,6,FALSE)</f>
        <v>No</v>
      </c>
      <c r="G1149" t="str">
        <f>VLOOKUP($A1149,'Medical Examinations'!$A:$J,7,FALSE)</f>
        <v>No</v>
      </c>
      <c r="H1149" t="str">
        <f>VLOOKUP($A1149,'Medical Examinations'!$A:$J,8,FALSE)</f>
        <v>No</v>
      </c>
      <c r="I1149">
        <f>VLOOKUP($A1149,'Medical Examinations'!$A:$J,9,FALSE)</f>
        <v>2</v>
      </c>
      <c r="J1149" t="str">
        <f>VLOOKUP($A1149,'Medical Examinations'!$A:$J,10,FALSE)</f>
        <v>No</v>
      </c>
      <c r="K1149" t="str">
        <f>VLOOKUP($A1149,'Medical Examinations'!$A:$J,5,FALSE)</f>
        <v>Prediabetes</v>
      </c>
      <c r="L1149">
        <f>VLOOKUP($A1150,'Medical Examinations'!$A:$J,3,FALSE)</f>
        <v>26.67</v>
      </c>
      <c r="M1149">
        <f>VLOOKUP($A1149,'Hospitalisation Details'!$A:$K,6,FALSE)</f>
        <v>9836.2099999999991</v>
      </c>
      <c r="N1149" s="11">
        <f>VLOOKUP($B1149,'Hospitalisation Details'!A1148:J3492,10,0)</f>
        <v>29053</v>
      </c>
      <c r="O1149" t="str">
        <f>VLOOKUP($B1149,'Hospitalisation Details'!A1148:J3492,8,0)</f>
        <v>tier - 2</v>
      </c>
      <c r="P1149" t="str">
        <f>VLOOKUP($B1149,'Hospitalisation Details'!A1148:J3492,7,0)</f>
        <v>tier - 2</v>
      </c>
      <c r="Q1149" t="str">
        <f>VLOOKUP($B1149,'Hospitalisation Details'!A1148:J3492,9,0)</f>
        <v>R1021</v>
      </c>
      <c r="R1149">
        <f>VLOOKUP($B1149,'Hospitalisation Details'!A1148:K3492,11,0)</f>
        <v>43</v>
      </c>
    </row>
    <row r="1150" spans="1:18" x14ac:dyDescent="0.35">
      <c r="A1150" t="s">
        <v>1222</v>
      </c>
      <c r="B1150" t="s">
        <v>1181</v>
      </c>
      <c r="C1150" t="str">
        <f>VLOOKUP($A1150,'Customer Names'!$A:$E,4,FALSE)</f>
        <v>Matthew</v>
      </c>
      <c r="D1150" t="str">
        <f>VLOOKUP($A1150,'Medical Examinations'!$A:$J,2,FALSE)</f>
        <v>Overweight</v>
      </c>
      <c r="E1150">
        <f>VLOOKUP($A1150,'Medical Examinations'!$A:$J,4,FALSE)</f>
        <v>5.81</v>
      </c>
      <c r="F1150" t="str">
        <f>VLOOKUP($A1150,'Medical Examinations'!$A:$J,6,FALSE)</f>
        <v>No</v>
      </c>
      <c r="G1150" t="str">
        <f>VLOOKUP($A1150,'Medical Examinations'!$A:$J,7,FALSE)</f>
        <v>No</v>
      </c>
      <c r="H1150" t="str">
        <f>VLOOKUP($A1150,'Medical Examinations'!$A:$J,8,FALSE)</f>
        <v>No</v>
      </c>
      <c r="I1150">
        <f>VLOOKUP($A1150,'Medical Examinations'!$A:$J,9,FALSE)</f>
        <v>2</v>
      </c>
      <c r="J1150" t="str">
        <f>VLOOKUP($A1150,'Medical Examinations'!$A:$J,10,FALSE)</f>
        <v>No</v>
      </c>
      <c r="K1150" t="str">
        <f>VLOOKUP($A1150,'Medical Examinations'!$A:$J,5,FALSE)</f>
        <v>Prediabetes</v>
      </c>
      <c r="L1150">
        <f>VLOOKUP($A1151,'Medical Examinations'!$A:$J,3,FALSE)</f>
        <v>42.68</v>
      </c>
      <c r="M1150">
        <f>VLOOKUP($A1150,'Hospitalisation Details'!$A:$K,6,FALSE)</f>
        <v>9819.25</v>
      </c>
      <c r="N1150" s="11">
        <f>VLOOKUP($B1150,'Hospitalisation Details'!A1149:J3493,10,0)</f>
        <v>25358</v>
      </c>
      <c r="O1150" t="str">
        <f>VLOOKUP($B1150,'Hospitalisation Details'!A1149:J3493,8,0)</f>
        <v>tier - 2</v>
      </c>
      <c r="P1150" t="str">
        <f>VLOOKUP($B1150,'Hospitalisation Details'!A1149:J3493,7,0)</f>
        <v>tier - 2</v>
      </c>
      <c r="Q1150" t="str">
        <f>VLOOKUP($B1150,'Hospitalisation Details'!A1149:J3493,9,0)</f>
        <v>R1013</v>
      </c>
      <c r="R1150">
        <f>VLOOKUP($B1150,'Hospitalisation Details'!A1149:K3493,11,0)</f>
        <v>54</v>
      </c>
    </row>
    <row r="1151" spans="1:18" x14ac:dyDescent="0.35">
      <c r="A1151" t="s">
        <v>1221</v>
      </c>
      <c r="B1151" t="s">
        <v>1182</v>
      </c>
      <c r="C1151" t="str">
        <f>VLOOKUP($A1151,'Customer Names'!$A:$E,4,FALSE)</f>
        <v>Julee</v>
      </c>
      <c r="D1151" t="str">
        <f>VLOOKUP($A1151,'Medical Examinations'!$A:$J,2,FALSE)</f>
        <v>Obesity</v>
      </c>
      <c r="E1151">
        <f>VLOOKUP($A1151,'Medical Examinations'!$A:$J,4,FALSE)</f>
        <v>9.2799999999999994</v>
      </c>
      <c r="F1151" t="str">
        <f>VLOOKUP($A1151,'Medical Examinations'!$A:$J,6,FALSE)</f>
        <v>No</v>
      </c>
      <c r="G1151" t="str">
        <f>VLOOKUP($A1151,'Medical Examinations'!$A:$J,7,FALSE)</f>
        <v>No</v>
      </c>
      <c r="H1151" t="str">
        <f>VLOOKUP($A1151,'Medical Examinations'!$A:$J,8,FALSE)</f>
        <v>No</v>
      </c>
      <c r="I1151">
        <f>VLOOKUP($A1151,'Medical Examinations'!$A:$J,9,FALSE)</f>
        <v>2</v>
      </c>
      <c r="J1151" t="str">
        <f>VLOOKUP($A1151,'Medical Examinations'!$A:$J,10,FALSE)</f>
        <v>No</v>
      </c>
      <c r="K1151" t="str">
        <f>VLOOKUP($A1151,'Medical Examinations'!$A:$J,5,FALSE)</f>
        <v>Diabetes</v>
      </c>
      <c r="L1151">
        <f>VLOOKUP($A1152,'Medical Examinations'!$A:$J,3,FALSE)</f>
        <v>24.31</v>
      </c>
      <c r="M1151">
        <f>VLOOKUP($A1151,'Hospitalisation Details'!$A:$K,6,FALSE)</f>
        <v>9800.89</v>
      </c>
      <c r="N1151" s="11">
        <f>VLOOKUP($B1151,'Hospitalisation Details'!A1150:J3494,10,0)</f>
        <v>28092</v>
      </c>
      <c r="O1151" t="str">
        <f>VLOOKUP($B1151,'Hospitalisation Details'!A1150:J3494,8,0)</f>
        <v>tier - 3</v>
      </c>
      <c r="P1151" t="str">
        <f>VLOOKUP($B1151,'Hospitalisation Details'!A1150:J3494,7,0)</f>
        <v>tier - 2</v>
      </c>
      <c r="Q1151" t="str">
        <f>VLOOKUP($B1151,'Hospitalisation Details'!A1150:J3494,9,0)</f>
        <v>R1017</v>
      </c>
      <c r="R1151">
        <f>VLOOKUP($B1151,'Hospitalisation Details'!A1150:K3494,11,0)</f>
        <v>46</v>
      </c>
    </row>
    <row r="1152" spans="1:18" x14ac:dyDescent="0.35">
      <c r="A1152" t="s">
        <v>1220</v>
      </c>
      <c r="B1152" t="s">
        <v>1183</v>
      </c>
      <c r="C1152" t="str">
        <f>VLOOKUP($A1152,'Customer Names'!$A:$E,4,FALSE)</f>
        <v>Christopher M.</v>
      </c>
      <c r="D1152" t="str">
        <f>VLOOKUP($A1152,'Medical Examinations'!$A:$J,2,FALSE)</f>
        <v>Normal Weight</v>
      </c>
      <c r="E1152">
        <f>VLOOKUP($A1152,'Medical Examinations'!$A:$J,4,FALSE)</f>
        <v>6.37</v>
      </c>
      <c r="F1152" t="str">
        <f>VLOOKUP($A1152,'Medical Examinations'!$A:$J,6,FALSE)</f>
        <v>No</v>
      </c>
      <c r="G1152" t="str">
        <f>VLOOKUP($A1152,'Medical Examinations'!$A:$J,7,FALSE)</f>
        <v>No</v>
      </c>
      <c r="H1152" t="str">
        <f>VLOOKUP($A1152,'Medical Examinations'!$A:$J,8,FALSE)</f>
        <v>No</v>
      </c>
      <c r="I1152">
        <f>VLOOKUP($A1152,'Medical Examinations'!$A:$J,9,FALSE)</f>
        <v>0</v>
      </c>
      <c r="J1152" t="str">
        <f>VLOOKUP($A1152,'Medical Examinations'!$A:$J,10,FALSE)</f>
        <v>No</v>
      </c>
      <c r="K1152" t="str">
        <f>VLOOKUP($A1152,'Medical Examinations'!$A:$J,5,FALSE)</f>
        <v>Prediabetes</v>
      </c>
      <c r="L1152">
        <f>VLOOKUP($A1153,'Medical Examinations'!$A:$J,3,FALSE)</f>
        <v>44.75</v>
      </c>
      <c r="M1152">
        <f>VLOOKUP($A1152,'Hospitalisation Details'!$A:$K,6,FALSE)</f>
        <v>9788.8700000000008</v>
      </c>
      <c r="N1152" s="11">
        <f>VLOOKUP($B1152,'Hospitalisation Details'!A1151:J3495,10,0)</f>
        <v>25439</v>
      </c>
      <c r="O1152" t="str">
        <f>VLOOKUP($B1152,'Hospitalisation Details'!A1151:J3495,8,0)</f>
        <v>tier - 2</v>
      </c>
      <c r="P1152" t="str">
        <f>VLOOKUP($B1152,'Hospitalisation Details'!A1151:J3495,7,0)</f>
        <v>tier - 3</v>
      </c>
      <c r="Q1152" t="str">
        <f>VLOOKUP($B1152,'Hospitalisation Details'!A1151:J3495,9,0)</f>
        <v>R1013</v>
      </c>
      <c r="R1152">
        <f>VLOOKUP($B1152,'Hospitalisation Details'!A1151:K3495,11,0)</f>
        <v>53</v>
      </c>
    </row>
    <row r="1153" spans="1:18" x14ac:dyDescent="0.35">
      <c r="A1153" t="s">
        <v>1219</v>
      </c>
      <c r="B1153" t="s">
        <v>1184</v>
      </c>
      <c r="C1153" t="str">
        <f>VLOOKUP($A1153,'Customer Names'!$A:$E,4,FALSE)</f>
        <v>Ciaran</v>
      </c>
      <c r="D1153" t="str">
        <f>VLOOKUP($A1153,'Medical Examinations'!$A:$J,2,FALSE)</f>
        <v>Obesity</v>
      </c>
      <c r="E1153">
        <f>VLOOKUP($A1153,'Medical Examinations'!$A:$J,4,FALSE)</f>
        <v>5.09</v>
      </c>
      <c r="F1153" t="str">
        <f>VLOOKUP($A1153,'Medical Examinations'!$A:$J,6,FALSE)</f>
        <v>yes</v>
      </c>
      <c r="G1153" t="str">
        <f>VLOOKUP($A1153,'Medical Examinations'!$A:$J,7,FALSE)</f>
        <v>No</v>
      </c>
      <c r="H1153" t="str">
        <f>VLOOKUP($A1153,'Medical Examinations'!$A:$J,8,FALSE)</f>
        <v>No</v>
      </c>
      <c r="I1153">
        <f>VLOOKUP($A1153,'Medical Examinations'!$A:$J,9,FALSE)</f>
        <v>0</v>
      </c>
      <c r="J1153" t="str">
        <f>VLOOKUP($A1153,'Medical Examinations'!$A:$J,10,FALSE)</f>
        <v>No</v>
      </c>
      <c r="K1153" t="str">
        <f>VLOOKUP($A1153,'Medical Examinations'!$A:$J,5,FALSE)</f>
        <v>Normal</v>
      </c>
      <c r="L1153">
        <f>VLOOKUP($A1154,'Medical Examinations'!$A:$J,3,FALSE)</f>
        <v>30.78</v>
      </c>
      <c r="M1153">
        <f>VLOOKUP($A1153,'Hospitalisation Details'!$A:$K,6,FALSE)</f>
        <v>9787.32</v>
      </c>
      <c r="N1153" s="11">
        <f>VLOOKUP($B1153,'Hospitalisation Details'!A1152:J3496,10,0)</f>
        <v>33838</v>
      </c>
      <c r="O1153" t="str">
        <f>VLOOKUP($B1153,'Hospitalisation Details'!A1152:J3496,8,0)</f>
        <v>tier - 1</v>
      </c>
      <c r="P1153" t="str">
        <f>VLOOKUP($B1153,'Hospitalisation Details'!A1152:J3496,7,0)</f>
        <v>tier - 2</v>
      </c>
      <c r="Q1153" t="str">
        <f>VLOOKUP($B1153,'Hospitalisation Details'!A1152:J3496,9,0)</f>
        <v>R1012</v>
      </c>
      <c r="R1153">
        <f>VLOOKUP($B1153,'Hospitalisation Details'!A1152:K3496,11,0)</f>
        <v>30</v>
      </c>
    </row>
    <row r="1154" spans="1:18" x14ac:dyDescent="0.35">
      <c r="A1154" t="s">
        <v>1218</v>
      </c>
      <c r="B1154" t="s">
        <v>1185</v>
      </c>
      <c r="C1154" t="str">
        <f>VLOOKUP($A1154,'Customer Names'!$A:$E,4,FALSE)</f>
        <v>Kara</v>
      </c>
      <c r="D1154" t="str">
        <f>VLOOKUP($A1154,'Medical Examinations'!$A:$J,2,FALSE)</f>
        <v>Obesity</v>
      </c>
      <c r="E1154">
        <f>VLOOKUP($A1154,'Medical Examinations'!$A:$J,4,FALSE)</f>
        <v>7.94</v>
      </c>
      <c r="F1154" t="str">
        <f>VLOOKUP($A1154,'Medical Examinations'!$A:$J,6,FALSE)</f>
        <v>No</v>
      </c>
      <c r="G1154" t="str">
        <f>VLOOKUP($A1154,'Medical Examinations'!$A:$J,7,FALSE)</f>
        <v>No</v>
      </c>
      <c r="H1154" t="str">
        <f>VLOOKUP($A1154,'Medical Examinations'!$A:$J,8,FALSE)</f>
        <v>No</v>
      </c>
      <c r="I1154">
        <f>VLOOKUP($A1154,'Medical Examinations'!$A:$J,9,FALSE)</f>
        <v>2</v>
      </c>
      <c r="J1154" t="str">
        <f>VLOOKUP($A1154,'Medical Examinations'!$A:$J,10,FALSE)</f>
        <v>No</v>
      </c>
      <c r="K1154" t="str">
        <f>VLOOKUP($A1154,'Medical Examinations'!$A:$J,5,FALSE)</f>
        <v>Diabetes</v>
      </c>
      <c r="L1154">
        <f>VLOOKUP($A1155,'Medical Examinations'!$A:$J,3,FALSE)</f>
        <v>21.86</v>
      </c>
      <c r="M1154">
        <f>VLOOKUP($A1154,'Hospitalisation Details'!$A:$K,6,FALSE)</f>
        <v>9778.35</v>
      </c>
      <c r="N1154" s="11">
        <f>VLOOKUP($B1154,'Hospitalisation Details'!A1153:J3497,10,0)</f>
        <v>26266</v>
      </c>
      <c r="O1154" t="str">
        <f>VLOOKUP($B1154,'Hospitalisation Details'!A1153:J3497,8,0)</f>
        <v>tier - 2</v>
      </c>
      <c r="P1154" t="str">
        <f>VLOOKUP($B1154,'Hospitalisation Details'!A1153:J3497,7,0)</f>
        <v>tier - 2</v>
      </c>
      <c r="Q1154" t="str">
        <f>VLOOKUP($B1154,'Hospitalisation Details'!A1153:J3497,9,0)</f>
        <v>R1011</v>
      </c>
      <c r="R1154">
        <f>VLOOKUP($B1154,'Hospitalisation Details'!A1153:K3497,11,0)</f>
        <v>51</v>
      </c>
    </row>
    <row r="1155" spans="1:18" x14ac:dyDescent="0.35">
      <c r="A1155" t="s">
        <v>1217</v>
      </c>
      <c r="B1155" t="s">
        <v>1186</v>
      </c>
      <c r="C1155" t="str">
        <f>VLOOKUP($A1155,'Customer Names'!$A:$E,4,FALSE)</f>
        <v>Makie</v>
      </c>
      <c r="D1155" t="str">
        <f>VLOOKUP($A1155,'Medical Examinations'!$A:$J,2,FALSE)</f>
        <v>Normal Weight</v>
      </c>
      <c r="E1155">
        <f>VLOOKUP($A1155,'Medical Examinations'!$A:$J,4,FALSE)</f>
        <v>10.95</v>
      </c>
      <c r="F1155" t="str">
        <f>VLOOKUP($A1155,'Medical Examinations'!$A:$J,6,FALSE)</f>
        <v>No</v>
      </c>
      <c r="G1155" t="str">
        <f>VLOOKUP($A1155,'Medical Examinations'!$A:$J,7,FALSE)</f>
        <v>No</v>
      </c>
      <c r="H1155" t="str">
        <f>VLOOKUP($A1155,'Medical Examinations'!$A:$J,8,FALSE)</f>
        <v>No</v>
      </c>
      <c r="I1155">
        <f>VLOOKUP($A1155,'Medical Examinations'!$A:$J,9,FALSE)</f>
        <v>0</v>
      </c>
      <c r="J1155" t="str">
        <f>VLOOKUP($A1155,'Medical Examinations'!$A:$J,10,FALSE)</f>
        <v>No</v>
      </c>
      <c r="K1155" t="str">
        <f>VLOOKUP($A1155,'Medical Examinations'!$A:$J,5,FALSE)</f>
        <v>Diabetes</v>
      </c>
      <c r="L1155">
        <f>VLOOKUP($A1156,'Medical Examinations'!$A:$J,3,FALSE)</f>
        <v>49.09</v>
      </c>
      <c r="M1155">
        <f>VLOOKUP($A1155,'Hospitalisation Details'!$A:$K,6,FALSE)</f>
        <v>9764.08</v>
      </c>
      <c r="N1155" s="11">
        <f>VLOOKUP($B1155,'Hospitalisation Details'!A1154:J3498,10,0)</f>
        <v>27019</v>
      </c>
      <c r="O1155" t="str">
        <f>VLOOKUP($B1155,'Hospitalisation Details'!A1154:J3498,8,0)</f>
        <v>tier - 3</v>
      </c>
      <c r="P1155" t="str">
        <f>VLOOKUP($B1155,'Hospitalisation Details'!A1154:J3498,7,0)</f>
        <v>tier - 2</v>
      </c>
      <c r="Q1155" t="str">
        <f>VLOOKUP($B1155,'Hospitalisation Details'!A1154:J3498,9,0)</f>
        <v>R1021</v>
      </c>
      <c r="R1155">
        <f>VLOOKUP($B1155,'Hospitalisation Details'!A1154:K3498,11,0)</f>
        <v>49</v>
      </c>
    </row>
    <row r="1156" spans="1:18" x14ac:dyDescent="0.35">
      <c r="A1156" t="s">
        <v>1216</v>
      </c>
      <c r="B1156" t="s">
        <v>1187</v>
      </c>
      <c r="C1156" t="str">
        <f>VLOOKUP($A1156,'Customer Names'!$A:$E,4,FALSE)</f>
        <v>Emily E</v>
      </c>
      <c r="D1156" t="str">
        <f>VLOOKUP($A1156,'Medical Examinations'!$A:$J,2,FALSE)</f>
        <v>Obesity</v>
      </c>
      <c r="E1156">
        <f>VLOOKUP($A1156,'Medical Examinations'!$A:$J,4,FALSE)</f>
        <v>6.3</v>
      </c>
      <c r="F1156" t="str">
        <f>VLOOKUP($A1156,'Medical Examinations'!$A:$J,6,FALSE)</f>
        <v>yes</v>
      </c>
      <c r="G1156" t="str">
        <f>VLOOKUP($A1156,'Medical Examinations'!$A:$J,7,FALSE)</f>
        <v>No</v>
      </c>
      <c r="H1156" t="str">
        <f>VLOOKUP($A1156,'Medical Examinations'!$A:$J,8,FALSE)</f>
        <v>No</v>
      </c>
      <c r="I1156">
        <f>VLOOKUP($A1156,'Medical Examinations'!$A:$J,9,FALSE)</f>
        <v>0</v>
      </c>
      <c r="J1156" t="str">
        <f>VLOOKUP($A1156,'Medical Examinations'!$A:$J,10,FALSE)</f>
        <v>No</v>
      </c>
      <c r="K1156" t="str">
        <f>VLOOKUP($A1156,'Medical Examinations'!$A:$J,5,FALSE)</f>
        <v>Prediabetes</v>
      </c>
      <c r="L1156">
        <f>VLOOKUP($A1157,'Medical Examinations'!$A:$J,3,FALSE)</f>
        <v>47.74</v>
      </c>
      <c r="M1156">
        <f>VLOOKUP($A1156,'Hospitalisation Details'!$A:$K,6,FALSE)</f>
        <v>9753.49</v>
      </c>
      <c r="N1156" s="11">
        <f>VLOOKUP($B1156,'Hospitalisation Details'!A1155:J3499,10,0)</f>
        <v>27603</v>
      </c>
      <c r="O1156" t="str">
        <f>VLOOKUP($B1156,'Hospitalisation Details'!A1155:J3499,8,0)</f>
        <v>tier - 2</v>
      </c>
      <c r="P1156" t="str">
        <f>VLOOKUP($B1156,'Hospitalisation Details'!A1155:J3499,7,0)</f>
        <v>tier - 2</v>
      </c>
      <c r="Q1156" t="str">
        <f>VLOOKUP($B1156,'Hospitalisation Details'!A1155:J3499,9,0)</f>
        <v>R1024</v>
      </c>
      <c r="R1156">
        <f>VLOOKUP($B1156,'Hospitalisation Details'!A1155:K3499,11,0)</f>
        <v>47</v>
      </c>
    </row>
    <row r="1157" spans="1:18" x14ac:dyDescent="0.35">
      <c r="A1157" t="s">
        <v>1215</v>
      </c>
      <c r="B1157" t="s">
        <v>1188</v>
      </c>
      <c r="C1157" t="str">
        <f>VLOOKUP($A1157,'Customer Names'!$A:$E,4,FALSE)</f>
        <v>Cary</v>
      </c>
      <c r="D1157" t="str">
        <f>VLOOKUP($A1157,'Medical Examinations'!$A:$J,2,FALSE)</f>
        <v>Obesity</v>
      </c>
      <c r="E1157">
        <f>VLOOKUP($A1157,'Medical Examinations'!$A:$J,4,FALSE)</f>
        <v>8.0500000000000007</v>
      </c>
      <c r="F1157" t="str">
        <f>VLOOKUP($A1157,'Medical Examinations'!$A:$J,6,FALSE)</f>
        <v>yes</v>
      </c>
      <c r="G1157" t="str">
        <f>VLOOKUP($A1157,'Medical Examinations'!$A:$J,7,FALSE)</f>
        <v>No</v>
      </c>
      <c r="H1157" t="str">
        <f>VLOOKUP($A1157,'Medical Examinations'!$A:$J,8,FALSE)</f>
        <v>No</v>
      </c>
      <c r="I1157">
        <f>VLOOKUP($A1157,'Medical Examinations'!$A:$J,9,FALSE)</f>
        <v>2</v>
      </c>
      <c r="J1157" t="str">
        <f>VLOOKUP($A1157,'Medical Examinations'!$A:$J,10,FALSE)</f>
        <v>No</v>
      </c>
      <c r="K1157" t="str">
        <f>VLOOKUP($A1157,'Medical Examinations'!$A:$J,5,FALSE)</f>
        <v>Diabetes</v>
      </c>
      <c r="L1157">
        <f>VLOOKUP($A1158,'Medical Examinations'!$A:$J,3,FALSE)</f>
        <v>30.2</v>
      </c>
      <c r="M1157">
        <f>VLOOKUP($A1157,'Hospitalisation Details'!$A:$K,6,FALSE)</f>
        <v>9748.91</v>
      </c>
      <c r="N1157" s="11">
        <f>VLOOKUP($B1157,'Hospitalisation Details'!A1156:J3500,10,0)</f>
        <v>26564</v>
      </c>
      <c r="O1157" t="str">
        <f>VLOOKUP($B1157,'Hospitalisation Details'!A1156:J3500,8,0)</f>
        <v>tier - 1</v>
      </c>
      <c r="P1157" t="str">
        <f>VLOOKUP($B1157,'Hospitalisation Details'!A1156:J3500,7,0)</f>
        <v>tier - 2</v>
      </c>
      <c r="Q1157" t="str">
        <f>VLOOKUP($B1157,'Hospitalisation Details'!A1156:J3500,9,0)</f>
        <v>R1024</v>
      </c>
      <c r="R1157">
        <f>VLOOKUP($B1157,'Hospitalisation Details'!A1156:K3500,11,0)</f>
        <v>50</v>
      </c>
    </row>
    <row r="1158" spans="1:18" x14ac:dyDescent="0.35">
      <c r="A1158" t="s">
        <v>1214</v>
      </c>
      <c r="B1158" t="s">
        <v>1189</v>
      </c>
      <c r="C1158" t="str">
        <f>VLOOKUP($A1158,'Customer Names'!$A:$E,4,FALSE)</f>
        <v>Steven</v>
      </c>
      <c r="D1158" t="str">
        <f>VLOOKUP($A1158,'Medical Examinations'!$A:$J,2,FALSE)</f>
        <v>Obesity</v>
      </c>
      <c r="E1158">
        <f>VLOOKUP($A1158,'Medical Examinations'!$A:$J,4,FALSE)</f>
        <v>9.8800000000000008</v>
      </c>
      <c r="F1158" t="str">
        <f>VLOOKUP($A1158,'Medical Examinations'!$A:$J,6,FALSE)</f>
        <v>yes</v>
      </c>
      <c r="G1158" t="str">
        <f>VLOOKUP($A1158,'Medical Examinations'!$A:$J,7,FALSE)</f>
        <v>No</v>
      </c>
      <c r="H1158" t="str">
        <f>VLOOKUP($A1158,'Medical Examinations'!$A:$J,8,FALSE)</f>
        <v>No</v>
      </c>
      <c r="I1158">
        <f>VLOOKUP($A1158,'Medical Examinations'!$A:$J,9,FALSE)</f>
        <v>2</v>
      </c>
      <c r="J1158" t="str">
        <f>VLOOKUP($A1158,'Medical Examinations'!$A:$J,10,FALSE)</f>
        <v>No</v>
      </c>
      <c r="K1158" t="str">
        <f>VLOOKUP($A1158,'Medical Examinations'!$A:$J,5,FALSE)</f>
        <v>Diabetes</v>
      </c>
      <c r="L1158">
        <f>VLOOKUP($A1159,'Medical Examinations'!$A:$J,3,FALSE)</f>
        <v>33.25</v>
      </c>
      <c r="M1158">
        <f>VLOOKUP($A1158,'Hospitalisation Details'!$A:$K,6,FALSE)</f>
        <v>9724.5300000000007</v>
      </c>
      <c r="N1158" s="11">
        <f>VLOOKUP($B1158,'Hospitalisation Details'!A1157:J3501,10,0)</f>
        <v>26564</v>
      </c>
      <c r="O1158" t="str">
        <f>VLOOKUP($B1158,'Hospitalisation Details'!A1157:J3501,8,0)</f>
        <v>tier - 1</v>
      </c>
      <c r="P1158" t="str">
        <f>VLOOKUP($B1158,'Hospitalisation Details'!A1157:J3501,7,0)</f>
        <v>tier - 2</v>
      </c>
      <c r="Q1158" t="str">
        <f>VLOOKUP($B1158,'Hospitalisation Details'!A1157:J3501,9,0)</f>
        <v>R1013</v>
      </c>
      <c r="R1158">
        <f>VLOOKUP($B1158,'Hospitalisation Details'!A1157:K3501,11,0)</f>
        <v>50</v>
      </c>
    </row>
    <row r="1159" spans="1:18" x14ac:dyDescent="0.35">
      <c r="A1159" t="s">
        <v>1213</v>
      </c>
      <c r="B1159" t="s">
        <v>1190</v>
      </c>
      <c r="C1159" t="str">
        <f>VLOOKUP($A1159,'Customer Names'!$A:$E,4,FALSE)</f>
        <v>Jose Antonio Sr.</v>
      </c>
      <c r="D1159" t="str">
        <f>VLOOKUP($A1159,'Medical Examinations'!$A:$J,2,FALSE)</f>
        <v>Obesity</v>
      </c>
      <c r="E1159">
        <f>VLOOKUP($A1159,'Medical Examinations'!$A:$J,4,FALSE)</f>
        <v>7.42</v>
      </c>
      <c r="F1159" t="str">
        <f>VLOOKUP($A1159,'Medical Examinations'!$A:$J,6,FALSE)</f>
        <v>yes</v>
      </c>
      <c r="G1159" t="str">
        <f>VLOOKUP($A1159,'Medical Examinations'!$A:$J,7,FALSE)</f>
        <v>No</v>
      </c>
      <c r="H1159" t="str">
        <f>VLOOKUP($A1159,'Medical Examinations'!$A:$J,8,FALSE)</f>
        <v>No</v>
      </c>
      <c r="I1159">
        <f>VLOOKUP($A1159,'Medical Examinations'!$A:$J,9,FALSE)</f>
        <v>2</v>
      </c>
      <c r="J1159" t="str">
        <f>VLOOKUP($A1159,'Medical Examinations'!$A:$J,10,FALSE)</f>
        <v>No</v>
      </c>
      <c r="K1159" t="str">
        <f>VLOOKUP($A1159,'Medical Examinations'!$A:$J,5,FALSE)</f>
        <v>Diabetes</v>
      </c>
      <c r="L1159">
        <f>VLOOKUP($A1160,'Medical Examinations'!$A:$J,3,FALSE)</f>
        <v>26.6</v>
      </c>
      <c r="M1159">
        <f>VLOOKUP($A1159,'Hospitalisation Details'!$A:$K,6,FALSE)</f>
        <v>9722.77</v>
      </c>
      <c r="N1159" s="11">
        <f>VLOOKUP($B1159,'Hospitalisation Details'!A1158:J3502,10,0)</f>
        <v>27255</v>
      </c>
      <c r="O1159" t="str">
        <f>VLOOKUP($B1159,'Hospitalisation Details'!A1158:J3502,8,0)</f>
        <v>tier - 1</v>
      </c>
      <c r="P1159" t="str">
        <f>VLOOKUP($B1159,'Hospitalisation Details'!A1158:J3502,7,0)</f>
        <v>tier - 3</v>
      </c>
      <c r="Q1159" t="str">
        <f>VLOOKUP($B1159,'Hospitalisation Details'!A1158:J3502,9,0)</f>
        <v>R1011</v>
      </c>
      <c r="R1159">
        <f>VLOOKUP($B1159,'Hospitalisation Details'!A1158:K3502,11,0)</f>
        <v>48</v>
      </c>
    </row>
    <row r="1160" spans="1:18" x14ac:dyDescent="0.35">
      <c r="A1160" t="s">
        <v>1212</v>
      </c>
      <c r="B1160" t="s">
        <v>1191</v>
      </c>
      <c r="C1160" t="str">
        <f>VLOOKUP($A1160,'Customer Names'!$A:$E,4,FALSE)</f>
        <v>Tatiana</v>
      </c>
      <c r="D1160" t="str">
        <f>VLOOKUP($A1160,'Medical Examinations'!$A:$J,2,FALSE)</f>
        <v>Overweight</v>
      </c>
      <c r="E1160">
        <f>VLOOKUP($A1160,'Medical Examinations'!$A:$J,4,FALSE)</f>
        <v>8.4499999999999993</v>
      </c>
      <c r="F1160" t="str">
        <f>VLOOKUP($A1160,'Medical Examinations'!$A:$J,6,FALSE)</f>
        <v>yes</v>
      </c>
      <c r="G1160" t="str">
        <f>VLOOKUP($A1160,'Medical Examinations'!$A:$J,7,FALSE)</f>
        <v>No</v>
      </c>
      <c r="H1160" t="str">
        <f>VLOOKUP($A1160,'Medical Examinations'!$A:$J,8,FALSE)</f>
        <v>No</v>
      </c>
      <c r="I1160">
        <f>VLOOKUP($A1160,'Medical Examinations'!$A:$J,9,FALSE)</f>
        <v>1</v>
      </c>
      <c r="J1160" t="str">
        <f>VLOOKUP($A1160,'Medical Examinations'!$A:$J,10,FALSE)</f>
        <v>No</v>
      </c>
      <c r="K1160" t="str">
        <f>VLOOKUP($A1160,'Medical Examinations'!$A:$J,5,FALSE)</f>
        <v>Diabetes</v>
      </c>
      <c r="L1160">
        <f>VLOOKUP($A1161,'Medical Examinations'!$A:$J,3,FALSE)</f>
        <v>26.35</v>
      </c>
      <c r="M1160">
        <f>VLOOKUP($A1160,'Hospitalisation Details'!$A:$K,6,FALSE)</f>
        <v>9715.84</v>
      </c>
      <c r="N1160" s="11">
        <f>VLOOKUP($B1160,'Hospitalisation Details'!A1159:J3503,10,0)</f>
        <v>26999</v>
      </c>
      <c r="O1160" t="str">
        <f>VLOOKUP($B1160,'Hospitalisation Details'!A1159:J3503,8,0)</f>
        <v>tier - 1</v>
      </c>
      <c r="P1160" t="str">
        <f>VLOOKUP($B1160,'Hospitalisation Details'!A1159:J3503,7,0)</f>
        <v>tier - 2</v>
      </c>
      <c r="Q1160" t="str">
        <f>VLOOKUP($B1160,'Hospitalisation Details'!A1159:J3503,9,0)</f>
        <v>R1012</v>
      </c>
      <c r="R1160">
        <f>VLOOKUP($B1160,'Hospitalisation Details'!A1159:K3503,11,0)</f>
        <v>49</v>
      </c>
    </row>
    <row r="1161" spans="1:18" x14ac:dyDescent="0.35">
      <c r="A1161" t="s">
        <v>1211</v>
      </c>
      <c r="B1161" t="s">
        <v>1192</v>
      </c>
      <c r="C1161" t="str">
        <f>VLOOKUP($A1161,'Customer Names'!$A:$E,4,FALSE)</f>
        <v>Dan T.</v>
      </c>
      <c r="D1161" t="str">
        <f>VLOOKUP($A1161,'Medical Examinations'!$A:$J,2,FALSE)</f>
        <v>Overweight</v>
      </c>
      <c r="E1161">
        <f>VLOOKUP($A1161,'Medical Examinations'!$A:$J,4,FALSE)</f>
        <v>6.21</v>
      </c>
      <c r="F1161" t="str">
        <f>VLOOKUP($A1161,'Medical Examinations'!$A:$J,6,FALSE)</f>
        <v>No</v>
      </c>
      <c r="G1161" t="str">
        <f>VLOOKUP($A1161,'Medical Examinations'!$A:$J,7,FALSE)</f>
        <v>No</v>
      </c>
      <c r="H1161" t="str">
        <f>VLOOKUP($A1161,'Medical Examinations'!$A:$J,8,FALSE)</f>
        <v>No</v>
      </c>
      <c r="I1161">
        <f>VLOOKUP($A1161,'Medical Examinations'!$A:$J,9,FALSE)</f>
        <v>2</v>
      </c>
      <c r="J1161" t="str">
        <f>VLOOKUP($A1161,'Medical Examinations'!$A:$J,10,FALSE)</f>
        <v>No</v>
      </c>
      <c r="K1161" t="str">
        <f>VLOOKUP($A1161,'Medical Examinations'!$A:$J,5,FALSE)</f>
        <v>Prediabetes</v>
      </c>
      <c r="L1161">
        <f>VLOOKUP($A1162,'Medical Examinations'!$A:$J,3,FALSE)</f>
        <v>39.994999999999997</v>
      </c>
      <c r="M1161">
        <f>VLOOKUP($A1161,'Hospitalisation Details'!$A:$K,6,FALSE)</f>
        <v>9710.7099999999991</v>
      </c>
      <c r="N1161" s="11">
        <f>VLOOKUP($B1161,'Hospitalisation Details'!A1160:J3504,10,0)</f>
        <v>24445</v>
      </c>
      <c r="O1161" t="str">
        <f>VLOOKUP($B1161,'Hospitalisation Details'!A1160:J3504,8,0)</f>
        <v>tier - 2</v>
      </c>
      <c r="P1161" t="str">
        <f>VLOOKUP($B1161,'Hospitalisation Details'!A1160:J3504,7,0)</f>
        <v>tier - 3</v>
      </c>
      <c r="Q1161" t="str">
        <f>VLOOKUP($B1161,'Hospitalisation Details'!A1160:J3504,9,0)</f>
        <v>R1013</v>
      </c>
      <c r="R1161">
        <f>VLOOKUP($B1161,'Hospitalisation Details'!A1160:K3504,11,0)</f>
        <v>56</v>
      </c>
    </row>
    <row r="1162" spans="1:18" x14ac:dyDescent="0.35">
      <c r="A1162" t="s">
        <v>1210</v>
      </c>
      <c r="B1162" t="s">
        <v>1193</v>
      </c>
      <c r="C1162" t="str">
        <f>VLOOKUP($A1162,'Customer Names'!$A:$E,4,FALSE)</f>
        <v>Liisa A.</v>
      </c>
      <c r="D1162" t="str">
        <f>VLOOKUP($A1162,'Medical Examinations'!$A:$J,2,FALSE)</f>
        <v>Obesity</v>
      </c>
      <c r="E1162">
        <f>VLOOKUP($A1162,'Medical Examinations'!$A:$J,4,FALSE)</f>
        <v>4.6500000000000004</v>
      </c>
      <c r="F1162" t="str">
        <f>VLOOKUP($A1162,'Medical Examinations'!$A:$J,6,FALSE)</f>
        <v>No</v>
      </c>
      <c r="G1162" t="str">
        <f>VLOOKUP($A1162,'Medical Examinations'!$A:$J,7,FALSE)</f>
        <v>No</v>
      </c>
      <c r="H1162" t="str">
        <f>VLOOKUP($A1162,'Medical Examinations'!$A:$J,8,FALSE)</f>
        <v>No</v>
      </c>
      <c r="I1162">
        <f>VLOOKUP($A1162,'Medical Examinations'!$A:$J,9,FALSE)</f>
        <v>0</v>
      </c>
      <c r="J1162" t="str">
        <f>VLOOKUP($A1162,'Medical Examinations'!$A:$J,10,FALSE)</f>
        <v>No</v>
      </c>
      <c r="K1162" t="str">
        <f>VLOOKUP($A1162,'Medical Examinations'!$A:$J,5,FALSE)</f>
        <v>Normal</v>
      </c>
      <c r="L1162">
        <f>VLOOKUP($A1163,'Medical Examinations'!$A:$J,3,FALSE)</f>
        <v>22.92</v>
      </c>
      <c r="M1162">
        <f>VLOOKUP($A1162,'Hospitalisation Details'!$A:$K,6,FALSE)</f>
        <v>9704.67</v>
      </c>
      <c r="N1162" s="11">
        <f>VLOOKUP($B1162,'Hospitalisation Details'!A1161:J3505,10,0)</f>
        <v>26996</v>
      </c>
      <c r="O1162" t="str">
        <f>VLOOKUP($B1162,'Hospitalisation Details'!A1161:J3505,8,0)</f>
        <v>tier - 3</v>
      </c>
      <c r="P1162" t="str">
        <f>VLOOKUP($B1162,'Hospitalisation Details'!A1161:J3505,7,0)</f>
        <v>tier - 2</v>
      </c>
      <c r="Q1162" t="str">
        <f>VLOOKUP($B1162,'Hospitalisation Details'!A1161:J3505,9,0)</f>
        <v>R1012</v>
      </c>
      <c r="R1162">
        <f>VLOOKUP($B1162,'Hospitalisation Details'!A1161:K3505,11,0)</f>
        <v>49</v>
      </c>
    </row>
    <row r="1163" spans="1:18" x14ac:dyDescent="0.35">
      <c r="A1163" t="s">
        <v>1209</v>
      </c>
      <c r="B1163" t="s">
        <v>1194</v>
      </c>
      <c r="C1163" t="str">
        <f>VLOOKUP($A1163,'Customer Names'!$A:$E,4,FALSE)</f>
        <v>Kathryn E.</v>
      </c>
      <c r="D1163" t="str">
        <f>VLOOKUP($A1163,'Medical Examinations'!$A:$J,2,FALSE)</f>
        <v>Normal Weight</v>
      </c>
      <c r="E1163">
        <f>VLOOKUP($A1163,'Medical Examinations'!$A:$J,4,FALSE)</f>
        <v>5.87</v>
      </c>
      <c r="F1163" t="str">
        <f>VLOOKUP($A1163,'Medical Examinations'!$A:$J,6,FALSE)</f>
        <v>yes</v>
      </c>
      <c r="G1163" t="str">
        <f>VLOOKUP($A1163,'Medical Examinations'!$A:$J,7,FALSE)</f>
        <v>No</v>
      </c>
      <c r="H1163" t="str">
        <f>VLOOKUP($A1163,'Medical Examinations'!$A:$J,8,FALSE)</f>
        <v>No</v>
      </c>
      <c r="I1163">
        <f>VLOOKUP($A1163,'Medical Examinations'!$A:$J,9,FALSE)</f>
        <v>1</v>
      </c>
      <c r="J1163" t="str">
        <f>VLOOKUP($A1163,'Medical Examinations'!$A:$J,10,FALSE)</f>
        <v>No</v>
      </c>
      <c r="K1163" t="str">
        <f>VLOOKUP($A1163,'Medical Examinations'!$A:$J,5,FALSE)</f>
        <v>Prediabetes</v>
      </c>
      <c r="L1163">
        <f>VLOOKUP($A1164,'Medical Examinations'!$A:$J,3,FALSE)</f>
        <v>24.78</v>
      </c>
      <c r="M1163">
        <f>VLOOKUP($A1163,'Hospitalisation Details'!$A:$K,6,FALSE)</f>
        <v>9698.42</v>
      </c>
      <c r="N1163" s="11">
        <f>VLOOKUP($B1163,'Hospitalisation Details'!A1162:J3506,10,0)</f>
        <v>29877</v>
      </c>
      <c r="O1163" t="str">
        <f>VLOOKUP($B1163,'Hospitalisation Details'!A1162:J3506,8,0)</f>
        <v>tier - 1</v>
      </c>
      <c r="P1163" t="str">
        <f>VLOOKUP($B1163,'Hospitalisation Details'!A1162:J3506,7,0)</f>
        <v>tier - 2</v>
      </c>
      <c r="Q1163" t="str">
        <f>VLOOKUP($B1163,'Hospitalisation Details'!A1162:J3506,9,0)</f>
        <v>R1021</v>
      </c>
      <c r="R1163">
        <f>VLOOKUP($B1163,'Hospitalisation Details'!A1162:K3506,11,0)</f>
        <v>41</v>
      </c>
    </row>
    <row r="1164" spans="1:18" x14ac:dyDescent="0.35">
      <c r="A1164" t="s">
        <v>1208</v>
      </c>
      <c r="B1164" t="s">
        <v>1195</v>
      </c>
      <c r="C1164" t="str">
        <f>VLOOKUP($A1164,'Customer Names'!$A:$E,4,FALSE)</f>
        <v>Maxwell</v>
      </c>
      <c r="D1164" t="str">
        <f>VLOOKUP($A1164,'Medical Examinations'!$A:$J,2,FALSE)</f>
        <v>Normal Weight</v>
      </c>
      <c r="E1164">
        <f>VLOOKUP($A1164,'Medical Examinations'!$A:$J,4,FALSE)</f>
        <v>4.24</v>
      </c>
      <c r="F1164" t="str">
        <f>VLOOKUP($A1164,'Medical Examinations'!$A:$J,6,FALSE)</f>
        <v>yes</v>
      </c>
      <c r="G1164" t="str">
        <f>VLOOKUP($A1164,'Medical Examinations'!$A:$J,7,FALSE)</f>
        <v>No</v>
      </c>
      <c r="H1164" t="str">
        <f>VLOOKUP($A1164,'Medical Examinations'!$A:$J,8,FALSE)</f>
        <v>No</v>
      </c>
      <c r="I1164">
        <f>VLOOKUP($A1164,'Medical Examinations'!$A:$J,9,FALSE)</f>
        <v>2</v>
      </c>
      <c r="J1164" t="str">
        <f>VLOOKUP($A1164,'Medical Examinations'!$A:$J,10,FALSE)</f>
        <v>No</v>
      </c>
      <c r="K1164" t="str">
        <f>VLOOKUP($A1164,'Medical Examinations'!$A:$J,5,FALSE)</f>
        <v>Normal</v>
      </c>
      <c r="L1164">
        <f>VLOOKUP($A1165,'Medical Examinations'!$A:$J,3,FALSE)</f>
        <v>34.07</v>
      </c>
      <c r="M1164">
        <f>VLOOKUP($A1164,'Hospitalisation Details'!$A:$K,6,FALSE)</f>
        <v>9684.2900000000009</v>
      </c>
      <c r="N1164" s="11">
        <f>VLOOKUP($B1164,'Hospitalisation Details'!A1163:J3507,10,0)</f>
        <v>23726</v>
      </c>
      <c r="O1164" t="str">
        <f>VLOOKUP($B1164,'Hospitalisation Details'!A1163:J3507,8,0)</f>
        <v>tier - 3</v>
      </c>
      <c r="P1164" t="str">
        <f>VLOOKUP($B1164,'Hospitalisation Details'!A1163:J3507,7,0)</f>
        <v>tier - 3</v>
      </c>
      <c r="Q1164" t="str">
        <f>VLOOKUP($B1164,'Hospitalisation Details'!A1163:J3507,9,0)</f>
        <v>R1013</v>
      </c>
      <c r="R1164">
        <f>VLOOKUP($B1164,'Hospitalisation Details'!A1163:K3507,11,0)</f>
        <v>58</v>
      </c>
    </row>
    <row r="1165" spans="1:18" x14ac:dyDescent="0.35">
      <c r="A1165" t="s">
        <v>1207</v>
      </c>
      <c r="B1165" t="s">
        <v>1196</v>
      </c>
      <c r="C1165" t="str">
        <f>VLOOKUP($A1165,'Customer Names'!$A:$E,4,FALSE)</f>
        <v>Pascale</v>
      </c>
      <c r="D1165" t="str">
        <f>VLOOKUP($A1165,'Medical Examinations'!$A:$J,2,FALSE)</f>
        <v>Obesity</v>
      </c>
      <c r="E1165">
        <f>VLOOKUP($A1165,'Medical Examinations'!$A:$J,4,FALSE)</f>
        <v>7.81</v>
      </c>
      <c r="F1165" t="str">
        <f>VLOOKUP($A1165,'Medical Examinations'!$A:$J,6,FALSE)</f>
        <v>yes</v>
      </c>
      <c r="G1165" t="str">
        <f>VLOOKUP($A1165,'Medical Examinations'!$A:$J,7,FALSE)</f>
        <v>No</v>
      </c>
      <c r="H1165" t="str">
        <f>VLOOKUP($A1165,'Medical Examinations'!$A:$J,8,FALSE)</f>
        <v>No</v>
      </c>
      <c r="I1165">
        <f>VLOOKUP($A1165,'Medical Examinations'!$A:$J,9,FALSE)</f>
        <v>0</v>
      </c>
      <c r="J1165" t="str">
        <f>VLOOKUP($A1165,'Medical Examinations'!$A:$J,10,FALSE)</f>
        <v>No</v>
      </c>
      <c r="K1165" t="str">
        <f>VLOOKUP($A1165,'Medical Examinations'!$A:$J,5,FALSE)</f>
        <v>Diabetes</v>
      </c>
      <c r="L1165">
        <f>VLOOKUP($A1166,'Medical Examinations'!$A:$J,3,FALSE)</f>
        <v>30.14</v>
      </c>
      <c r="M1165">
        <f>VLOOKUP($A1165,'Hospitalisation Details'!$A:$K,6,FALSE)</f>
        <v>9664.34</v>
      </c>
      <c r="N1165" s="11">
        <f>VLOOKUP($B1165,'Hospitalisation Details'!A1164:J3508,10,0)</f>
        <v>26660</v>
      </c>
      <c r="O1165" t="str">
        <f>VLOOKUP($B1165,'Hospitalisation Details'!A1164:J3508,8,0)</f>
        <v>tier - 3</v>
      </c>
      <c r="P1165" t="str">
        <f>VLOOKUP($B1165,'Hospitalisation Details'!A1164:J3508,7,0)</f>
        <v>tier - 3</v>
      </c>
      <c r="Q1165" t="str">
        <f>VLOOKUP($B1165,'Hospitalisation Details'!A1164:J3508,9,0)</f>
        <v>R1016</v>
      </c>
      <c r="R1165">
        <f>VLOOKUP($B1165,'Hospitalisation Details'!A1164:K3508,11,0)</f>
        <v>50</v>
      </c>
    </row>
    <row r="1166" spans="1:18" x14ac:dyDescent="0.35">
      <c r="A1166" t="s">
        <v>1206</v>
      </c>
      <c r="B1166" t="s">
        <v>1197</v>
      </c>
      <c r="C1166" t="str">
        <f>VLOOKUP($A1166,'Customer Names'!$A:$E,4,FALSE)</f>
        <v>Becca</v>
      </c>
      <c r="D1166" t="str">
        <f>VLOOKUP($A1166,'Medical Examinations'!$A:$J,2,FALSE)</f>
        <v>Obesity</v>
      </c>
      <c r="E1166">
        <f>VLOOKUP($A1166,'Medical Examinations'!$A:$J,4,FALSE)</f>
        <v>9.85</v>
      </c>
      <c r="F1166" t="str">
        <f>VLOOKUP($A1166,'Medical Examinations'!$A:$J,6,FALSE)</f>
        <v>No</v>
      </c>
      <c r="G1166" t="str">
        <f>VLOOKUP($A1166,'Medical Examinations'!$A:$J,7,FALSE)</f>
        <v>No</v>
      </c>
      <c r="H1166" t="str">
        <f>VLOOKUP($A1166,'Medical Examinations'!$A:$J,8,FALSE)</f>
        <v>No</v>
      </c>
      <c r="I1166">
        <f>VLOOKUP($A1166,'Medical Examinations'!$A:$J,9,FALSE)</f>
        <v>0</v>
      </c>
      <c r="J1166" t="str">
        <f>VLOOKUP($A1166,'Medical Examinations'!$A:$J,10,FALSE)</f>
        <v>No</v>
      </c>
      <c r="K1166" t="str">
        <f>VLOOKUP($A1166,'Medical Examinations'!$A:$J,5,FALSE)</f>
        <v>Diabetes</v>
      </c>
      <c r="L1166">
        <f>VLOOKUP($A1167,'Medical Examinations'!$A:$J,3,FALSE)</f>
        <v>18.05</v>
      </c>
      <c r="M1166">
        <f>VLOOKUP($A1166,'Hospitalisation Details'!$A:$K,6,FALSE)</f>
        <v>9653.81</v>
      </c>
      <c r="N1166" s="11">
        <f>VLOOKUP($B1166,'Hospitalisation Details'!A1165:J3509,10,0)</f>
        <v>30192</v>
      </c>
      <c r="O1166" t="str">
        <f>VLOOKUP($B1166,'Hospitalisation Details'!A1165:J3509,8,0)</f>
        <v>tier - 1</v>
      </c>
      <c r="P1166" t="str">
        <f>VLOOKUP($B1166,'Hospitalisation Details'!A1165:J3509,7,0)</f>
        <v>tier - 2</v>
      </c>
      <c r="Q1166" t="str">
        <f>VLOOKUP($B1166,'Hospitalisation Details'!A1165:J3509,9,0)</f>
        <v>R1025</v>
      </c>
      <c r="R1166">
        <f>VLOOKUP($B1166,'Hospitalisation Details'!A1165:K3509,11,0)</f>
        <v>40</v>
      </c>
    </row>
    <row r="1167" spans="1:18" x14ac:dyDescent="0.35">
      <c r="A1167" t="s">
        <v>1205</v>
      </c>
      <c r="B1167" t="s">
        <v>1198</v>
      </c>
      <c r="C1167" t="str">
        <f>VLOOKUP($A1167,'Customer Names'!$A:$E,4,FALSE)</f>
        <v>Grace</v>
      </c>
      <c r="D1167" t="str">
        <f>VLOOKUP($A1167,'Medical Examinations'!$A:$J,2,FALSE)</f>
        <v>Underweight</v>
      </c>
      <c r="E1167">
        <f>VLOOKUP($A1167,'Medical Examinations'!$A:$J,4,FALSE)</f>
        <v>6.94</v>
      </c>
      <c r="F1167" t="str">
        <f>VLOOKUP($A1167,'Medical Examinations'!$A:$J,6,FALSE)</f>
        <v>No</v>
      </c>
      <c r="G1167" t="str">
        <f>VLOOKUP($A1167,'Medical Examinations'!$A:$J,7,FALSE)</f>
        <v>No</v>
      </c>
      <c r="H1167" t="str">
        <f>VLOOKUP($A1167,'Medical Examinations'!$A:$J,8,FALSE)</f>
        <v>No</v>
      </c>
      <c r="I1167">
        <f>VLOOKUP($A1167,'Medical Examinations'!$A:$J,9,FALSE)</f>
        <v>0</v>
      </c>
      <c r="J1167" t="str">
        <f>VLOOKUP($A1167,'Medical Examinations'!$A:$J,10,FALSE)</f>
        <v>No</v>
      </c>
      <c r="K1167" t="str">
        <f>VLOOKUP($A1167,'Medical Examinations'!$A:$J,5,FALSE)</f>
        <v>Diabetes</v>
      </c>
      <c r="L1167">
        <f>VLOOKUP($A1168,'Medical Examinations'!$A:$J,3,FALSE)</f>
        <v>37.4</v>
      </c>
      <c r="M1167">
        <f>VLOOKUP($A1167,'Hospitalisation Details'!$A:$K,6,FALSE)</f>
        <v>9644.25</v>
      </c>
      <c r="N1167" s="11">
        <f>VLOOKUP($B1167,'Hospitalisation Details'!A1166:J3510,10,0)</f>
        <v>27696</v>
      </c>
      <c r="O1167" t="str">
        <f>VLOOKUP($B1167,'Hospitalisation Details'!A1166:J3510,8,0)</f>
        <v>tier - 3</v>
      </c>
      <c r="P1167" t="str">
        <f>VLOOKUP($B1167,'Hospitalisation Details'!A1166:J3510,7,0)</f>
        <v>tier - 3</v>
      </c>
      <c r="Q1167" t="str">
        <f>VLOOKUP($B1167,'Hospitalisation Details'!A1166:J3510,9,0)</f>
        <v>R1012</v>
      </c>
      <c r="R1167">
        <f>VLOOKUP($B1167,'Hospitalisation Details'!A1166:K3510,11,0)</f>
        <v>47</v>
      </c>
    </row>
    <row r="1168" spans="1:18" x14ac:dyDescent="0.35">
      <c r="A1168" t="s">
        <v>1204</v>
      </c>
      <c r="B1168" t="s">
        <v>1199</v>
      </c>
      <c r="C1168" t="str">
        <f>VLOOKUP($A1168,'Customer Names'!$A:$E,4,FALSE)</f>
        <v>Samantha</v>
      </c>
      <c r="D1168" t="str">
        <f>VLOOKUP($A1168,'Medical Examinations'!$A:$J,2,FALSE)</f>
        <v>Obesity</v>
      </c>
      <c r="E1168">
        <f>VLOOKUP($A1168,'Medical Examinations'!$A:$J,4,FALSE)</f>
        <v>11.3</v>
      </c>
      <c r="F1168" t="str">
        <f>VLOOKUP($A1168,'Medical Examinations'!$A:$J,6,FALSE)</f>
        <v>yes</v>
      </c>
      <c r="G1168" t="str">
        <f>VLOOKUP($A1168,'Medical Examinations'!$A:$J,7,FALSE)</f>
        <v>No</v>
      </c>
      <c r="H1168" t="str">
        <f>VLOOKUP($A1168,'Medical Examinations'!$A:$J,8,FALSE)</f>
        <v>No</v>
      </c>
      <c r="I1168">
        <f>VLOOKUP($A1168,'Medical Examinations'!$A:$J,9,FALSE)</f>
        <v>2</v>
      </c>
      <c r="J1168" t="str">
        <f>VLOOKUP($A1168,'Medical Examinations'!$A:$J,10,FALSE)</f>
        <v>No</v>
      </c>
      <c r="K1168" t="str">
        <f>VLOOKUP($A1168,'Medical Examinations'!$A:$J,5,FALSE)</f>
        <v>Diabetes</v>
      </c>
      <c r="L1168">
        <f>VLOOKUP($A1169,'Medical Examinations'!$A:$J,3,FALSE)</f>
        <v>25.75</v>
      </c>
      <c r="M1168">
        <f>VLOOKUP($A1168,'Hospitalisation Details'!$A:$K,6,FALSE)</f>
        <v>9634.5400000000009</v>
      </c>
      <c r="N1168" s="11">
        <f>VLOOKUP($B1168,'Hospitalisation Details'!A1167:J3511,10,0)</f>
        <v>25918</v>
      </c>
      <c r="O1168" t="str">
        <f>VLOOKUP($B1168,'Hospitalisation Details'!A1167:J3511,8,0)</f>
        <v>tier - 3</v>
      </c>
      <c r="P1168" t="str">
        <f>VLOOKUP($B1168,'Hospitalisation Details'!A1167:J3511,7,0)</f>
        <v>tier - 2</v>
      </c>
      <c r="Q1168" t="str">
        <f>VLOOKUP($B1168,'Hospitalisation Details'!A1167:J3511,9,0)</f>
        <v>R1011</v>
      </c>
      <c r="R1168">
        <f>VLOOKUP($B1168,'Hospitalisation Details'!A1167:K3511,11,0)</f>
        <v>52</v>
      </c>
    </row>
    <row r="1169" spans="1:18" x14ac:dyDescent="0.35">
      <c r="A1169" t="s">
        <v>1203</v>
      </c>
      <c r="B1169" t="s">
        <v>1200</v>
      </c>
      <c r="C1169" t="str">
        <f>VLOOKUP($A1169,'Customer Names'!$A:$E,4,FALSE)</f>
        <v>Nicole R.</v>
      </c>
      <c r="D1169" t="str">
        <f>VLOOKUP($A1169,'Medical Examinations'!$A:$J,2,FALSE)</f>
        <v>Overweight</v>
      </c>
      <c r="E1169">
        <f>VLOOKUP($A1169,'Medical Examinations'!$A:$J,4,FALSE)</f>
        <v>9.23</v>
      </c>
      <c r="F1169" t="str">
        <f>VLOOKUP($A1169,'Medical Examinations'!$A:$J,6,FALSE)</f>
        <v>No</v>
      </c>
      <c r="G1169" t="str">
        <f>VLOOKUP($A1169,'Medical Examinations'!$A:$J,7,FALSE)</f>
        <v>No</v>
      </c>
      <c r="H1169" t="str">
        <f>VLOOKUP($A1169,'Medical Examinations'!$A:$J,8,FALSE)</f>
        <v>No</v>
      </c>
      <c r="I1169">
        <f>VLOOKUP($A1169,'Medical Examinations'!$A:$J,9,FALSE)</f>
        <v>0</v>
      </c>
      <c r="J1169" t="str">
        <f>VLOOKUP($A1169,'Medical Examinations'!$A:$J,10,FALSE)</f>
        <v>No</v>
      </c>
      <c r="K1169" t="str">
        <f>VLOOKUP($A1169,'Medical Examinations'!$A:$J,5,FALSE)</f>
        <v>Diabetes</v>
      </c>
      <c r="L1169">
        <f>VLOOKUP($A1170,'Medical Examinations'!$A:$J,3,FALSE)</f>
        <v>32.299999999999997</v>
      </c>
      <c r="M1169">
        <f>VLOOKUP($A1169,'Hospitalisation Details'!$A:$K,6,FALSE)</f>
        <v>9630.91</v>
      </c>
      <c r="N1169" s="11">
        <f>VLOOKUP($B1169,'Hospitalisation Details'!A1168:J3512,10,0)</f>
        <v>35969</v>
      </c>
      <c r="O1169" t="str">
        <f>VLOOKUP($B1169,'Hospitalisation Details'!A1168:J3512,8,0)</f>
        <v>tier - 2</v>
      </c>
      <c r="P1169" t="str">
        <f>VLOOKUP($B1169,'Hospitalisation Details'!A1168:J3512,7,0)</f>
        <v>tier - 2</v>
      </c>
      <c r="Q1169" t="str">
        <f>VLOOKUP($B1169,'Hospitalisation Details'!A1168:J3512,9,0)</f>
        <v>R1026</v>
      </c>
      <c r="R1169">
        <f>VLOOKUP($B1169,'Hospitalisation Details'!A1168:K3512,11,0)</f>
        <v>24</v>
      </c>
    </row>
    <row r="1170" spans="1:18" x14ac:dyDescent="0.35">
      <c r="A1170" t="s">
        <v>1202</v>
      </c>
      <c r="B1170" t="s">
        <v>1201</v>
      </c>
      <c r="C1170" t="str">
        <f>VLOOKUP($A1170,'Customer Names'!$A:$E,4,FALSE)</f>
        <v>David W</v>
      </c>
      <c r="D1170" t="str">
        <f>VLOOKUP($A1170,'Medical Examinations'!$A:$J,2,FALSE)</f>
        <v>Obesity</v>
      </c>
      <c r="E1170">
        <f>VLOOKUP($A1170,'Medical Examinations'!$A:$J,4,FALSE)</f>
        <v>4.37</v>
      </c>
      <c r="F1170" t="str">
        <f>VLOOKUP($A1170,'Medical Examinations'!$A:$J,6,FALSE)</f>
        <v>No</v>
      </c>
      <c r="G1170" t="str">
        <f>VLOOKUP($A1170,'Medical Examinations'!$A:$J,7,FALSE)</f>
        <v>No</v>
      </c>
      <c r="H1170" t="str">
        <f>VLOOKUP($A1170,'Medical Examinations'!$A:$J,8,FALSE)</f>
        <v>No</v>
      </c>
      <c r="I1170">
        <f>VLOOKUP($A1170,'Medical Examinations'!$A:$J,9,FALSE)</f>
        <v>2</v>
      </c>
      <c r="J1170" t="str">
        <f>VLOOKUP($A1170,'Medical Examinations'!$A:$J,10,FALSE)</f>
        <v>No</v>
      </c>
      <c r="K1170" t="str">
        <f>VLOOKUP($A1170,'Medical Examinations'!$A:$J,5,FALSE)</f>
        <v>Normal</v>
      </c>
      <c r="L1170">
        <f>VLOOKUP($A1171,'Medical Examinations'!$A:$J,3,FALSE)</f>
        <v>28.61</v>
      </c>
      <c r="M1170">
        <f>VLOOKUP($A1170,'Hospitalisation Details'!$A:$K,6,FALSE)</f>
        <v>9630.4</v>
      </c>
      <c r="N1170" s="11">
        <f>VLOOKUP($B1170,'Hospitalisation Details'!A1169:J3513,10,0)</f>
        <v>29208</v>
      </c>
      <c r="O1170" t="str">
        <f>VLOOKUP($B1170,'Hospitalisation Details'!A1169:J3513,8,0)</f>
        <v>tier - 2</v>
      </c>
      <c r="P1170" t="str">
        <f>VLOOKUP($B1170,'Hospitalisation Details'!A1169:J3513,7,0)</f>
        <v>tier - 2</v>
      </c>
      <c r="Q1170" t="str">
        <f>VLOOKUP($B1170,'Hospitalisation Details'!A1169:J3513,9,0)</f>
        <v>R1021</v>
      </c>
      <c r="R1170">
        <f>VLOOKUP($B1170,'Hospitalisation Details'!A1169:K3513,11,0)</f>
        <v>43</v>
      </c>
    </row>
    <row r="1171" spans="1:18" x14ac:dyDescent="0.35">
      <c r="A1171" t="s">
        <v>1201</v>
      </c>
      <c r="B1171" t="s">
        <v>1202</v>
      </c>
      <c r="C1171" t="str">
        <f>VLOOKUP($A1171,'Customer Names'!$A:$E,4,FALSE)</f>
        <v>Grant</v>
      </c>
      <c r="D1171" t="str">
        <f>VLOOKUP($A1171,'Medical Examinations'!$A:$J,2,FALSE)</f>
        <v>Overweight</v>
      </c>
      <c r="E1171">
        <f>VLOOKUP($A1171,'Medical Examinations'!$A:$J,4,FALSE)</f>
        <v>5.76</v>
      </c>
      <c r="F1171" t="str">
        <f>VLOOKUP($A1171,'Medical Examinations'!$A:$J,6,FALSE)</f>
        <v>No</v>
      </c>
      <c r="G1171" t="str">
        <f>VLOOKUP($A1171,'Medical Examinations'!$A:$J,7,FALSE)</f>
        <v>No</v>
      </c>
      <c r="H1171" t="str">
        <f>VLOOKUP($A1171,'Medical Examinations'!$A:$J,8,FALSE)</f>
        <v>Yes</v>
      </c>
      <c r="I1171">
        <f>VLOOKUP($A1171,'Medical Examinations'!$A:$J,9,FALSE)</f>
        <v>1</v>
      </c>
      <c r="J1171" t="str">
        <f>VLOOKUP($A1171,'Medical Examinations'!$A:$J,10,FALSE)</f>
        <v>No</v>
      </c>
      <c r="K1171" t="str">
        <f>VLOOKUP($A1171,'Medical Examinations'!$A:$J,5,FALSE)</f>
        <v>Prediabetes</v>
      </c>
      <c r="L1171">
        <f>VLOOKUP($A1172,'Medical Examinations'!$A:$J,3,FALSE)</f>
        <v>45.41</v>
      </c>
      <c r="M1171">
        <f>VLOOKUP($A1171,'Hospitalisation Details'!$A:$K,6,FALSE)</f>
        <v>9630.2999999999993</v>
      </c>
      <c r="N1171" s="11">
        <f>VLOOKUP($B1171,'Hospitalisation Details'!A1170:J3514,10,0)</f>
        <v>26595</v>
      </c>
      <c r="O1171" t="str">
        <f>VLOOKUP($B1171,'Hospitalisation Details'!A1170:J3514,8,0)</f>
        <v>tier - 2</v>
      </c>
      <c r="P1171" t="str">
        <f>VLOOKUP($B1171,'Hospitalisation Details'!A1170:J3514,7,0)</f>
        <v>tier - 2</v>
      </c>
      <c r="Q1171" t="str">
        <f>VLOOKUP($B1171,'Hospitalisation Details'!A1170:J3514,9,0)</f>
        <v>R1011</v>
      </c>
      <c r="R1171">
        <f>VLOOKUP($B1171,'Hospitalisation Details'!A1170:K3514,11,0)</f>
        <v>50</v>
      </c>
    </row>
    <row r="1172" spans="1:18" x14ac:dyDescent="0.35">
      <c r="A1172" t="s">
        <v>1200</v>
      </c>
      <c r="B1172" t="s">
        <v>1203</v>
      </c>
      <c r="C1172" t="str">
        <f>VLOOKUP($A1172,'Customer Names'!$A:$E,4,FALSE)</f>
        <v>Sophia</v>
      </c>
      <c r="D1172" t="str">
        <f>VLOOKUP($A1172,'Medical Examinations'!$A:$J,2,FALSE)</f>
        <v>Obesity</v>
      </c>
      <c r="E1172">
        <f>VLOOKUP($A1172,'Medical Examinations'!$A:$J,4,FALSE)</f>
        <v>4.96</v>
      </c>
      <c r="F1172" t="str">
        <f>VLOOKUP($A1172,'Medical Examinations'!$A:$J,6,FALSE)</f>
        <v>No</v>
      </c>
      <c r="G1172" t="str">
        <f>VLOOKUP($A1172,'Medical Examinations'!$A:$J,7,FALSE)</f>
        <v>No</v>
      </c>
      <c r="H1172" t="str">
        <f>VLOOKUP($A1172,'Medical Examinations'!$A:$J,8,FALSE)</f>
        <v>No</v>
      </c>
      <c r="I1172">
        <f>VLOOKUP($A1172,'Medical Examinations'!$A:$J,9,FALSE)</f>
        <v>1</v>
      </c>
      <c r="J1172" t="str">
        <f>VLOOKUP($A1172,'Medical Examinations'!$A:$J,10,FALSE)</f>
        <v>No</v>
      </c>
      <c r="K1172" t="str">
        <f>VLOOKUP($A1172,'Medical Examinations'!$A:$J,5,FALSE)</f>
        <v>Normal</v>
      </c>
      <c r="L1172">
        <f>VLOOKUP($A1173,'Medical Examinations'!$A:$J,3,FALSE)</f>
        <v>31.2</v>
      </c>
      <c r="M1172">
        <f>VLOOKUP($A1172,'Hospitalisation Details'!$A:$K,6,FALSE)</f>
        <v>9628.7900000000009</v>
      </c>
      <c r="N1172" s="11">
        <f>VLOOKUP($B1172,'Hospitalisation Details'!A1171:J3515,10,0)</f>
        <v>25011</v>
      </c>
      <c r="O1172" t="str">
        <f>VLOOKUP($B1172,'Hospitalisation Details'!A1171:J3515,8,0)</f>
        <v>tier - 2</v>
      </c>
      <c r="P1172" t="str">
        <f>VLOOKUP($B1172,'Hospitalisation Details'!A1171:J3515,7,0)</f>
        <v>tier - 3</v>
      </c>
      <c r="Q1172" t="str">
        <f>VLOOKUP($B1172,'Hospitalisation Details'!A1171:J3515,9,0)</f>
        <v>R1013</v>
      </c>
      <c r="R1172">
        <f>VLOOKUP($B1172,'Hospitalisation Details'!A1171:K3515,11,0)</f>
        <v>54</v>
      </c>
    </row>
    <row r="1173" spans="1:18" x14ac:dyDescent="0.35">
      <c r="A1173" t="s">
        <v>1199</v>
      </c>
      <c r="B1173" t="s">
        <v>1204</v>
      </c>
      <c r="C1173" t="str">
        <f>VLOOKUP($A1173,'Customer Names'!$A:$E,4,FALSE)</f>
        <v>Christina</v>
      </c>
      <c r="D1173" t="str">
        <f>VLOOKUP($A1173,'Medical Examinations'!$A:$J,2,FALSE)</f>
        <v>Obesity</v>
      </c>
      <c r="E1173">
        <f>VLOOKUP($A1173,'Medical Examinations'!$A:$J,4,FALSE)</f>
        <v>11.04</v>
      </c>
      <c r="F1173" t="str">
        <f>VLOOKUP($A1173,'Medical Examinations'!$A:$J,6,FALSE)</f>
        <v>yes</v>
      </c>
      <c r="G1173" t="str">
        <f>VLOOKUP($A1173,'Medical Examinations'!$A:$J,7,FALSE)</f>
        <v>No</v>
      </c>
      <c r="H1173" t="str">
        <f>VLOOKUP($A1173,'Medical Examinations'!$A:$J,8,FALSE)</f>
        <v>No</v>
      </c>
      <c r="I1173">
        <f>VLOOKUP($A1173,'Medical Examinations'!$A:$J,9,FALSE)</f>
        <v>2</v>
      </c>
      <c r="J1173" t="str">
        <f>VLOOKUP($A1173,'Medical Examinations'!$A:$J,10,FALSE)</f>
        <v>No</v>
      </c>
      <c r="K1173" t="str">
        <f>VLOOKUP($A1173,'Medical Examinations'!$A:$J,5,FALSE)</f>
        <v>Diabetes</v>
      </c>
      <c r="L1173">
        <f>VLOOKUP($A1174,'Medical Examinations'!$A:$J,3,FALSE)</f>
        <v>29.83</v>
      </c>
      <c r="M1173">
        <f>VLOOKUP($A1173,'Hospitalisation Details'!$A:$K,6,FALSE)</f>
        <v>9625.92</v>
      </c>
      <c r="N1173" s="11">
        <f>VLOOKUP($B1173,'Hospitalisation Details'!A1172:J3516,10,0)</f>
        <v>25841</v>
      </c>
      <c r="O1173" t="str">
        <f>VLOOKUP($B1173,'Hospitalisation Details'!A1172:J3516,8,0)</f>
        <v>tier - 2</v>
      </c>
      <c r="P1173" t="str">
        <f>VLOOKUP($B1173,'Hospitalisation Details'!A1172:J3516,7,0)</f>
        <v>tier - 2</v>
      </c>
      <c r="Q1173" t="str">
        <f>VLOOKUP($B1173,'Hospitalisation Details'!A1172:J3516,9,0)</f>
        <v>R1011</v>
      </c>
      <c r="R1173">
        <f>VLOOKUP($B1173,'Hospitalisation Details'!A1172:K3516,11,0)</f>
        <v>52</v>
      </c>
    </row>
    <row r="1174" spans="1:18" x14ac:dyDescent="0.35">
      <c r="A1174" t="s">
        <v>1198</v>
      </c>
      <c r="B1174" t="s">
        <v>1205</v>
      </c>
      <c r="C1174" t="str">
        <f>VLOOKUP($A1174,'Customer Names'!$A:$E,4,FALSE)</f>
        <v>Sam L.</v>
      </c>
      <c r="D1174" t="str">
        <f>VLOOKUP($A1174,'Medical Examinations'!$A:$J,2,FALSE)</f>
        <v>Overweight</v>
      </c>
      <c r="E1174">
        <f>VLOOKUP($A1174,'Medical Examinations'!$A:$J,4,FALSE)</f>
        <v>7.81</v>
      </c>
      <c r="F1174" t="str">
        <f>VLOOKUP($A1174,'Medical Examinations'!$A:$J,6,FALSE)</f>
        <v>yes</v>
      </c>
      <c r="G1174" t="str">
        <f>VLOOKUP($A1174,'Medical Examinations'!$A:$J,7,FALSE)</f>
        <v>No</v>
      </c>
      <c r="H1174" t="str">
        <f>VLOOKUP($A1174,'Medical Examinations'!$A:$J,8,FALSE)</f>
        <v>No</v>
      </c>
      <c r="I1174">
        <f>VLOOKUP($A1174,'Medical Examinations'!$A:$J,9,FALSE)</f>
        <v>1</v>
      </c>
      <c r="J1174" t="str">
        <f>VLOOKUP($A1174,'Medical Examinations'!$A:$J,10,FALSE)</f>
        <v>No</v>
      </c>
      <c r="K1174" t="str">
        <f>VLOOKUP($A1174,'Medical Examinations'!$A:$J,5,FALSE)</f>
        <v>Diabetes</v>
      </c>
      <c r="L1174">
        <f>VLOOKUP($A1175,'Medical Examinations'!$A:$J,3,FALSE)</f>
        <v>29.06</v>
      </c>
      <c r="M1174">
        <f>VLOOKUP($A1174,'Hospitalisation Details'!$A:$K,6,FALSE)</f>
        <v>9620.33</v>
      </c>
      <c r="N1174" s="11">
        <f>VLOOKUP($B1174,'Hospitalisation Details'!A1173:J3517,10,0)</f>
        <v>26133</v>
      </c>
      <c r="O1174" t="str">
        <f>VLOOKUP($B1174,'Hospitalisation Details'!A1173:J3517,8,0)</f>
        <v>tier - 1</v>
      </c>
      <c r="P1174" t="str">
        <f>VLOOKUP($B1174,'Hospitalisation Details'!A1173:J3517,7,0)</f>
        <v>tier - 2</v>
      </c>
      <c r="Q1174" t="str">
        <f>VLOOKUP($B1174,'Hospitalisation Details'!A1173:J3517,9,0)</f>
        <v>R1012</v>
      </c>
      <c r="R1174">
        <f>VLOOKUP($B1174,'Hospitalisation Details'!A1173:K3517,11,0)</f>
        <v>51</v>
      </c>
    </row>
    <row r="1175" spans="1:18" x14ac:dyDescent="0.35">
      <c r="A1175" t="s">
        <v>1197</v>
      </c>
      <c r="B1175" t="s">
        <v>1206</v>
      </c>
      <c r="C1175" t="str">
        <f>VLOOKUP($A1175,'Customer Names'!$A:$E,4,FALSE)</f>
        <v>Haley R.</v>
      </c>
      <c r="D1175" t="str">
        <f>VLOOKUP($A1175,'Medical Examinations'!$A:$J,2,FALSE)</f>
        <v>Overweight</v>
      </c>
      <c r="E1175">
        <f>VLOOKUP($A1175,'Medical Examinations'!$A:$J,4,FALSE)</f>
        <v>4.55</v>
      </c>
      <c r="F1175" t="str">
        <f>VLOOKUP($A1175,'Medical Examinations'!$A:$J,6,FALSE)</f>
        <v>No</v>
      </c>
      <c r="G1175" t="str">
        <f>VLOOKUP($A1175,'Medical Examinations'!$A:$J,7,FALSE)</f>
        <v>No</v>
      </c>
      <c r="H1175" t="str">
        <f>VLOOKUP($A1175,'Medical Examinations'!$A:$J,8,FALSE)</f>
        <v>No</v>
      </c>
      <c r="I1175">
        <f>VLOOKUP($A1175,'Medical Examinations'!$A:$J,9,FALSE)</f>
        <v>0</v>
      </c>
      <c r="J1175" t="str">
        <f>VLOOKUP($A1175,'Medical Examinations'!$A:$J,10,FALSE)</f>
        <v>No</v>
      </c>
      <c r="K1175" t="str">
        <f>VLOOKUP($A1175,'Medical Examinations'!$A:$J,5,FALSE)</f>
        <v>Normal</v>
      </c>
      <c r="L1175">
        <f>VLOOKUP($A1176,'Medical Examinations'!$A:$J,3,FALSE)</f>
        <v>27.454999999999998</v>
      </c>
      <c r="M1175">
        <f>VLOOKUP($A1175,'Hospitalisation Details'!$A:$K,6,FALSE)</f>
        <v>9619.18</v>
      </c>
      <c r="N1175" s="11">
        <f>VLOOKUP($B1175,'Hospitalisation Details'!A1174:J3518,10,0)</f>
        <v>27218</v>
      </c>
      <c r="O1175" t="str">
        <f>VLOOKUP($B1175,'Hospitalisation Details'!A1174:J3518,8,0)</f>
        <v>tier - 2</v>
      </c>
      <c r="P1175" t="str">
        <f>VLOOKUP($B1175,'Hospitalisation Details'!A1174:J3518,7,0)</f>
        <v>tier - 2</v>
      </c>
      <c r="Q1175" t="str">
        <f>VLOOKUP($B1175,'Hospitalisation Details'!A1174:J3518,9,0)</f>
        <v>R1011</v>
      </c>
      <c r="R1175">
        <f>VLOOKUP($B1175,'Hospitalisation Details'!A1174:K3518,11,0)</f>
        <v>48</v>
      </c>
    </row>
    <row r="1176" spans="1:18" x14ac:dyDescent="0.35">
      <c r="A1176" t="s">
        <v>1196</v>
      </c>
      <c r="B1176" t="s">
        <v>1207</v>
      </c>
      <c r="C1176" t="str">
        <f>VLOOKUP($A1176,'Customer Names'!$A:$E,4,FALSE)</f>
        <v>Ethan</v>
      </c>
      <c r="D1176" t="str">
        <f>VLOOKUP($A1176,'Medical Examinations'!$A:$J,2,FALSE)</f>
        <v>Overweight</v>
      </c>
      <c r="E1176">
        <f>VLOOKUP($A1176,'Medical Examinations'!$A:$J,4,FALSE)</f>
        <v>6.13</v>
      </c>
      <c r="F1176" t="str">
        <f>VLOOKUP($A1176,'Medical Examinations'!$A:$J,6,FALSE)</f>
        <v>No</v>
      </c>
      <c r="G1176" t="str">
        <f>VLOOKUP($A1176,'Medical Examinations'!$A:$J,7,FALSE)</f>
        <v>No</v>
      </c>
      <c r="H1176" t="str">
        <f>VLOOKUP($A1176,'Medical Examinations'!$A:$J,8,FALSE)</f>
        <v>No</v>
      </c>
      <c r="I1176">
        <f>VLOOKUP($A1176,'Medical Examinations'!$A:$J,9,FALSE)</f>
        <v>2</v>
      </c>
      <c r="J1176" t="str">
        <f>VLOOKUP($A1176,'Medical Examinations'!$A:$J,10,FALSE)</f>
        <v>No</v>
      </c>
      <c r="K1176" t="str">
        <f>VLOOKUP($A1176,'Medical Examinations'!$A:$J,5,FALSE)</f>
        <v>Prediabetes</v>
      </c>
      <c r="L1176">
        <f>VLOOKUP($A1177,'Medical Examinations'!$A:$J,3,FALSE)</f>
        <v>23.01</v>
      </c>
      <c r="M1176">
        <f>VLOOKUP($A1176,'Hospitalisation Details'!$A:$K,6,FALSE)</f>
        <v>9617.66</v>
      </c>
      <c r="N1176" s="11">
        <f>VLOOKUP($B1176,'Hospitalisation Details'!A1175:J3519,10,0)</f>
        <v>29806</v>
      </c>
      <c r="O1176" t="str">
        <f>VLOOKUP($B1176,'Hospitalisation Details'!A1175:J3519,8,0)</f>
        <v>tier - 3</v>
      </c>
      <c r="P1176" t="str">
        <f>VLOOKUP($B1176,'Hospitalisation Details'!A1175:J3519,7,0)</f>
        <v>tier - 2</v>
      </c>
      <c r="Q1176" t="str">
        <f>VLOOKUP($B1176,'Hospitalisation Details'!A1175:J3519,9,0)</f>
        <v>R1011</v>
      </c>
      <c r="R1176">
        <f>VLOOKUP($B1176,'Hospitalisation Details'!A1175:K3519,11,0)</f>
        <v>41</v>
      </c>
    </row>
    <row r="1177" spans="1:18" x14ac:dyDescent="0.35">
      <c r="A1177" t="s">
        <v>1195</v>
      </c>
      <c r="B1177" t="s">
        <v>1208</v>
      </c>
      <c r="C1177" t="str">
        <f>VLOOKUP($A1177,'Customer Names'!$A:$E,4,FALSE)</f>
        <v>Andrew W</v>
      </c>
      <c r="D1177" t="str">
        <f>VLOOKUP($A1177,'Medical Examinations'!$A:$J,2,FALSE)</f>
        <v>Normal Weight</v>
      </c>
      <c r="E1177">
        <f>VLOOKUP($A1177,'Medical Examinations'!$A:$J,4,FALSE)</f>
        <v>6.04</v>
      </c>
      <c r="F1177" t="str">
        <f>VLOOKUP($A1177,'Medical Examinations'!$A:$J,6,FALSE)</f>
        <v>yes</v>
      </c>
      <c r="G1177" t="str">
        <f>VLOOKUP($A1177,'Medical Examinations'!$A:$J,7,FALSE)</f>
        <v>No</v>
      </c>
      <c r="H1177" t="str">
        <f>VLOOKUP($A1177,'Medical Examinations'!$A:$J,8,FALSE)</f>
        <v>No</v>
      </c>
      <c r="I1177">
        <f>VLOOKUP($A1177,'Medical Examinations'!$A:$J,9,FALSE)</f>
        <v>1</v>
      </c>
      <c r="J1177" t="str">
        <f>VLOOKUP($A1177,'Medical Examinations'!$A:$J,10,FALSE)</f>
        <v>No</v>
      </c>
      <c r="K1177" t="str">
        <f>VLOOKUP($A1177,'Medical Examinations'!$A:$J,5,FALSE)</f>
        <v>Prediabetes</v>
      </c>
      <c r="L1177">
        <f>VLOOKUP($A1178,'Medical Examinations'!$A:$J,3,FALSE)</f>
        <v>31.39</v>
      </c>
      <c r="M1177">
        <f>VLOOKUP($A1177,'Hospitalisation Details'!$A:$K,6,FALSE)</f>
        <v>9597.6299999999992</v>
      </c>
      <c r="N1177" s="11">
        <f>VLOOKUP($B1177,'Hospitalisation Details'!A1176:J3520,10,0)</f>
        <v>24366</v>
      </c>
      <c r="O1177" t="str">
        <f>VLOOKUP($B1177,'Hospitalisation Details'!A1176:J3520,8,0)</f>
        <v>tier - 2</v>
      </c>
      <c r="P1177" t="str">
        <f>VLOOKUP($B1177,'Hospitalisation Details'!A1176:J3520,7,0)</f>
        <v>tier - 3</v>
      </c>
      <c r="Q1177" t="str">
        <f>VLOOKUP($B1177,'Hospitalisation Details'!A1176:J3520,9,0)</f>
        <v>R1013</v>
      </c>
      <c r="R1177">
        <f>VLOOKUP($B1177,'Hospitalisation Details'!A1176:K3520,11,0)</f>
        <v>56</v>
      </c>
    </row>
    <row r="1178" spans="1:18" x14ac:dyDescent="0.35">
      <c r="A1178" t="s">
        <v>1194</v>
      </c>
      <c r="B1178" t="s">
        <v>1209</v>
      </c>
      <c r="C1178" t="str">
        <f>VLOOKUP($A1178,'Customer Names'!$A:$E,4,FALSE)</f>
        <v>Mark G</v>
      </c>
      <c r="D1178" t="str">
        <f>VLOOKUP($A1178,'Medical Examinations'!$A:$J,2,FALSE)</f>
        <v>Obesity</v>
      </c>
      <c r="E1178">
        <f>VLOOKUP($A1178,'Medical Examinations'!$A:$J,4,FALSE)</f>
        <v>8.85</v>
      </c>
      <c r="F1178" t="str">
        <f>VLOOKUP($A1178,'Medical Examinations'!$A:$J,6,FALSE)</f>
        <v>yes</v>
      </c>
      <c r="G1178" t="str">
        <f>VLOOKUP($A1178,'Medical Examinations'!$A:$J,7,FALSE)</f>
        <v>No</v>
      </c>
      <c r="H1178" t="str">
        <f>VLOOKUP($A1178,'Medical Examinations'!$A:$J,8,FALSE)</f>
        <v>No</v>
      </c>
      <c r="I1178">
        <f>VLOOKUP($A1178,'Medical Examinations'!$A:$J,9,FALSE)</f>
        <v>0</v>
      </c>
      <c r="J1178" t="str">
        <f>VLOOKUP($A1178,'Medical Examinations'!$A:$J,10,FALSE)</f>
        <v>No</v>
      </c>
      <c r="K1178" t="str">
        <f>VLOOKUP($A1178,'Medical Examinations'!$A:$J,5,FALSE)</f>
        <v>Diabetes</v>
      </c>
      <c r="L1178">
        <f>VLOOKUP($A1179,'Medical Examinations'!$A:$J,3,FALSE)</f>
        <v>34.770000000000003</v>
      </c>
      <c r="M1178">
        <f>VLOOKUP($A1178,'Hospitalisation Details'!$A:$K,6,FALSE)</f>
        <v>9584.0400000000009</v>
      </c>
      <c r="N1178" s="11">
        <f>VLOOKUP($B1178,'Hospitalisation Details'!A1177:J3521,10,0)</f>
        <v>23688</v>
      </c>
      <c r="O1178" t="str">
        <f>VLOOKUP($B1178,'Hospitalisation Details'!A1177:J3521,8,0)</f>
        <v>tier - 3</v>
      </c>
      <c r="P1178" t="str">
        <f>VLOOKUP($B1178,'Hospitalisation Details'!A1177:J3521,7,0)</f>
        <v>tier - 3</v>
      </c>
      <c r="Q1178" t="str">
        <f>VLOOKUP($B1178,'Hospitalisation Details'!A1177:J3521,9,0)</f>
        <v>R1013</v>
      </c>
      <c r="R1178">
        <f>VLOOKUP($B1178,'Hospitalisation Details'!A1177:K3521,11,0)</f>
        <v>58</v>
      </c>
    </row>
    <row r="1179" spans="1:18" x14ac:dyDescent="0.35">
      <c r="A1179" t="s">
        <v>1193</v>
      </c>
      <c r="B1179" t="s">
        <v>1210</v>
      </c>
      <c r="C1179" t="str">
        <f>VLOOKUP($A1179,'Customer Names'!$A:$E,4,FALSE)</f>
        <v>Kasey E.</v>
      </c>
      <c r="D1179" t="str">
        <f>VLOOKUP($A1179,'Medical Examinations'!$A:$J,2,FALSE)</f>
        <v>Obesity</v>
      </c>
      <c r="E1179">
        <f>VLOOKUP($A1179,'Medical Examinations'!$A:$J,4,FALSE)</f>
        <v>10.54</v>
      </c>
      <c r="F1179" t="str">
        <f>VLOOKUP($A1179,'Medical Examinations'!$A:$J,6,FALSE)</f>
        <v>No</v>
      </c>
      <c r="G1179" t="str">
        <f>VLOOKUP($A1179,'Medical Examinations'!$A:$J,7,FALSE)</f>
        <v>No</v>
      </c>
      <c r="H1179" t="str">
        <f>VLOOKUP($A1179,'Medical Examinations'!$A:$J,8,FALSE)</f>
        <v>No</v>
      </c>
      <c r="I1179">
        <f>VLOOKUP($A1179,'Medical Examinations'!$A:$J,9,FALSE)</f>
        <v>2</v>
      </c>
      <c r="J1179" t="str">
        <f>VLOOKUP($A1179,'Medical Examinations'!$A:$J,10,FALSE)</f>
        <v>No</v>
      </c>
      <c r="K1179" t="str">
        <f>VLOOKUP($A1179,'Medical Examinations'!$A:$J,5,FALSE)</f>
        <v>Diabetes</v>
      </c>
      <c r="L1179">
        <f>VLOOKUP($A1180,'Medical Examinations'!$A:$J,3,FALSE)</f>
        <v>24.48</v>
      </c>
      <c r="M1179">
        <f>VLOOKUP($A1179,'Hospitalisation Details'!$A:$K,6,FALSE)</f>
        <v>9583.89</v>
      </c>
      <c r="N1179" s="11">
        <f>VLOOKUP($B1179,'Hospitalisation Details'!A1178:J3522,10,0)</f>
        <v>28387</v>
      </c>
      <c r="O1179" t="str">
        <f>VLOOKUP($B1179,'Hospitalisation Details'!A1178:J3522,8,0)</f>
        <v>tier - 3</v>
      </c>
      <c r="P1179" t="str">
        <f>VLOOKUP($B1179,'Hospitalisation Details'!A1178:J3522,7,0)</f>
        <v>tier - 2</v>
      </c>
      <c r="Q1179" t="str">
        <f>VLOOKUP($B1179,'Hospitalisation Details'!A1178:J3522,9,0)</f>
        <v>R1024</v>
      </c>
      <c r="R1179">
        <f>VLOOKUP($B1179,'Hospitalisation Details'!A1178:K3522,11,0)</f>
        <v>45</v>
      </c>
    </row>
    <row r="1180" spans="1:18" x14ac:dyDescent="0.35">
      <c r="A1180" t="s">
        <v>1192</v>
      </c>
      <c r="B1180" t="s">
        <v>1211</v>
      </c>
      <c r="C1180" t="str">
        <f>VLOOKUP($A1180,'Customer Names'!$A:$E,4,FALSE)</f>
        <v>Jeff</v>
      </c>
      <c r="D1180" t="str">
        <f>VLOOKUP($A1180,'Medical Examinations'!$A:$J,2,FALSE)</f>
        <v>Normal Weight</v>
      </c>
      <c r="E1180">
        <f>VLOOKUP($A1180,'Medical Examinations'!$A:$J,4,FALSE)</f>
        <v>4.37</v>
      </c>
      <c r="F1180" t="str">
        <f>VLOOKUP($A1180,'Medical Examinations'!$A:$J,6,FALSE)</f>
        <v>yes</v>
      </c>
      <c r="G1180" t="str">
        <f>VLOOKUP($A1180,'Medical Examinations'!$A:$J,7,FALSE)</f>
        <v>No</v>
      </c>
      <c r="H1180" t="str">
        <f>VLOOKUP($A1180,'Medical Examinations'!$A:$J,8,FALSE)</f>
        <v>No</v>
      </c>
      <c r="I1180">
        <f>VLOOKUP($A1180,'Medical Examinations'!$A:$J,9,FALSE)</f>
        <v>2</v>
      </c>
      <c r="J1180" t="str">
        <f>VLOOKUP($A1180,'Medical Examinations'!$A:$J,10,FALSE)</f>
        <v>No</v>
      </c>
      <c r="K1180" t="str">
        <f>VLOOKUP($A1180,'Medical Examinations'!$A:$J,5,FALSE)</f>
        <v>Normal</v>
      </c>
      <c r="L1180">
        <f>VLOOKUP($A1181,'Medical Examinations'!$A:$J,3,FALSE)</f>
        <v>22.61</v>
      </c>
      <c r="M1180">
        <f>VLOOKUP($A1180,'Hospitalisation Details'!$A:$K,6,FALSE)</f>
        <v>9582.5400000000009</v>
      </c>
      <c r="N1180" s="11">
        <f>VLOOKUP($B1180,'Hospitalisation Details'!A1179:J3523,10,0)</f>
        <v>26490</v>
      </c>
      <c r="O1180" t="str">
        <f>VLOOKUP($B1180,'Hospitalisation Details'!A1179:J3523,8,0)</f>
        <v>tier - 1</v>
      </c>
      <c r="P1180" t="str">
        <f>VLOOKUP($B1180,'Hospitalisation Details'!A1179:J3523,7,0)</f>
        <v>tier - 2</v>
      </c>
      <c r="Q1180" t="str">
        <f>VLOOKUP($B1180,'Hospitalisation Details'!A1179:J3523,9,0)</f>
        <v>R1021</v>
      </c>
      <c r="R1180">
        <f>VLOOKUP($B1180,'Hospitalisation Details'!A1179:K3523,11,0)</f>
        <v>50</v>
      </c>
    </row>
    <row r="1181" spans="1:18" x14ac:dyDescent="0.35">
      <c r="A1181" t="s">
        <v>1191</v>
      </c>
      <c r="B1181" t="s">
        <v>1212</v>
      </c>
      <c r="C1181" t="str">
        <f>VLOOKUP($A1181,'Customer Names'!$A:$E,4,FALSE)</f>
        <v>Amy</v>
      </c>
      <c r="D1181" t="str">
        <f>VLOOKUP($A1181,'Medical Examinations'!$A:$J,2,FALSE)</f>
        <v>Normal Weight</v>
      </c>
      <c r="E1181">
        <f>VLOOKUP($A1181,'Medical Examinations'!$A:$J,4,FALSE)</f>
        <v>9.6300000000000008</v>
      </c>
      <c r="F1181" t="str">
        <f>VLOOKUP($A1181,'Medical Examinations'!$A:$J,6,FALSE)</f>
        <v>No</v>
      </c>
      <c r="G1181" t="str">
        <f>VLOOKUP($A1181,'Medical Examinations'!$A:$J,7,FALSE)</f>
        <v>No</v>
      </c>
      <c r="H1181" t="str">
        <f>VLOOKUP($A1181,'Medical Examinations'!$A:$J,8,FALSE)</f>
        <v>No</v>
      </c>
      <c r="I1181">
        <f>VLOOKUP($A1181,'Medical Examinations'!$A:$J,9,FALSE)</f>
        <v>2</v>
      </c>
      <c r="J1181" t="str">
        <f>VLOOKUP($A1181,'Medical Examinations'!$A:$J,10,FALSE)</f>
        <v>No</v>
      </c>
      <c r="K1181" t="str">
        <f>VLOOKUP($A1181,'Medical Examinations'!$A:$J,5,FALSE)</f>
        <v>Diabetes</v>
      </c>
      <c r="L1181">
        <f>VLOOKUP($A1182,'Medical Examinations'!$A:$J,3,FALSE)</f>
        <v>34.299999999999997</v>
      </c>
      <c r="M1181">
        <f>VLOOKUP($A1181,'Hospitalisation Details'!$A:$K,6,FALSE)</f>
        <v>9566.99</v>
      </c>
      <c r="N1181" s="11">
        <f>VLOOKUP($B1181,'Hospitalisation Details'!A1180:J3524,10,0)</f>
        <v>27572</v>
      </c>
      <c r="O1181" t="str">
        <f>VLOOKUP($B1181,'Hospitalisation Details'!A1180:J3524,8,0)</f>
        <v>tier - 1</v>
      </c>
      <c r="P1181" t="str">
        <f>VLOOKUP($B1181,'Hospitalisation Details'!A1180:J3524,7,0)</f>
        <v>tier - 2</v>
      </c>
      <c r="Q1181" t="str">
        <f>VLOOKUP($B1181,'Hospitalisation Details'!A1180:J3524,9,0)</f>
        <v>R1024</v>
      </c>
      <c r="R1181">
        <f>VLOOKUP($B1181,'Hospitalisation Details'!A1180:K3524,11,0)</f>
        <v>47</v>
      </c>
    </row>
    <row r="1182" spans="1:18" x14ac:dyDescent="0.35">
      <c r="A1182" t="s">
        <v>1190</v>
      </c>
      <c r="B1182" t="s">
        <v>1213</v>
      </c>
      <c r="C1182" t="str">
        <f>VLOOKUP($A1182,'Customer Names'!$A:$E,4,FALSE)</f>
        <v>Adam</v>
      </c>
      <c r="D1182" t="str">
        <f>VLOOKUP($A1182,'Medical Examinations'!$A:$J,2,FALSE)</f>
        <v>Obesity</v>
      </c>
      <c r="E1182">
        <f>VLOOKUP($A1182,'Medical Examinations'!$A:$J,4,FALSE)</f>
        <v>10.37</v>
      </c>
      <c r="F1182" t="str">
        <f>VLOOKUP($A1182,'Medical Examinations'!$A:$J,6,FALSE)</f>
        <v>No</v>
      </c>
      <c r="G1182" t="str">
        <f>VLOOKUP($A1182,'Medical Examinations'!$A:$J,7,FALSE)</f>
        <v>No</v>
      </c>
      <c r="H1182" t="str">
        <f>VLOOKUP($A1182,'Medical Examinations'!$A:$J,8,FALSE)</f>
        <v>No</v>
      </c>
      <c r="I1182">
        <f>VLOOKUP($A1182,'Medical Examinations'!$A:$J,9,FALSE)</f>
        <v>0</v>
      </c>
      <c r="J1182" t="str">
        <f>VLOOKUP($A1182,'Medical Examinations'!$A:$J,10,FALSE)</f>
        <v>No</v>
      </c>
      <c r="K1182" t="str">
        <f>VLOOKUP($A1182,'Medical Examinations'!$A:$J,5,FALSE)</f>
        <v>Diabetes</v>
      </c>
      <c r="L1182">
        <f>VLOOKUP($A1183,'Medical Examinations'!$A:$J,3,FALSE)</f>
        <v>46.09</v>
      </c>
      <c r="M1182">
        <f>VLOOKUP($A1182,'Hospitalisation Details'!$A:$K,6,FALSE)</f>
        <v>9563.0300000000007</v>
      </c>
      <c r="N1182" s="11">
        <f>VLOOKUP($B1182,'Hospitalisation Details'!A1181:J3525,10,0)</f>
        <v>25823</v>
      </c>
      <c r="O1182" t="str">
        <f>VLOOKUP($B1182,'Hospitalisation Details'!A1181:J3525,8,0)</f>
        <v>tier - 1</v>
      </c>
      <c r="P1182" t="str">
        <f>VLOOKUP($B1182,'Hospitalisation Details'!A1181:J3525,7,0)</f>
        <v>tier - 3</v>
      </c>
      <c r="Q1182" t="str">
        <f>VLOOKUP($B1182,'Hospitalisation Details'!A1181:J3525,9,0)</f>
        <v>R1016</v>
      </c>
      <c r="R1182">
        <f>VLOOKUP($B1182,'Hospitalisation Details'!A1181:K3525,11,0)</f>
        <v>52</v>
      </c>
    </row>
    <row r="1183" spans="1:18" x14ac:dyDescent="0.35">
      <c r="A1183" t="s">
        <v>1189</v>
      </c>
      <c r="B1183" t="s">
        <v>1214</v>
      </c>
      <c r="C1183" t="str">
        <f>VLOOKUP($A1183,'Customer Names'!$A:$E,4,FALSE)</f>
        <v>Kristin M</v>
      </c>
      <c r="D1183" t="str">
        <f>VLOOKUP($A1183,'Medical Examinations'!$A:$J,2,FALSE)</f>
        <v>Obesity</v>
      </c>
      <c r="E1183">
        <f>VLOOKUP($A1183,'Medical Examinations'!$A:$J,4,FALSE)</f>
        <v>5.44</v>
      </c>
      <c r="F1183" t="str">
        <f>VLOOKUP($A1183,'Medical Examinations'!$A:$J,6,FALSE)</f>
        <v>No</v>
      </c>
      <c r="G1183" t="str">
        <f>VLOOKUP($A1183,'Medical Examinations'!$A:$J,7,FALSE)</f>
        <v>No</v>
      </c>
      <c r="H1183" t="str">
        <f>VLOOKUP($A1183,'Medical Examinations'!$A:$J,8,FALSE)</f>
        <v>No</v>
      </c>
      <c r="I1183">
        <f>VLOOKUP($A1183,'Medical Examinations'!$A:$J,9,FALSE)</f>
        <v>2</v>
      </c>
      <c r="J1183" t="str">
        <f>VLOOKUP($A1183,'Medical Examinations'!$A:$J,10,FALSE)</f>
        <v>No</v>
      </c>
      <c r="K1183" t="str">
        <f>VLOOKUP($A1183,'Medical Examinations'!$A:$J,5,FALSE)</f>
        <v>Normal</v>
      </c>
      <c r="L1183">
        <f>VLOOKUP($A1184,'Medical Examinations'!$A:$J,3,FALSE)</f>
        <v>44.744999999999997</v>
      </c>
      <c r="M1183">
        <f>VLOOKUP($A1183,'Hospitalisation Details'!$A:$K,6,FALSE)</f>
        <v>9549.57</v>
      </c>
      <c r="N1183" s="11">
        <f>VLOOKUP($B1183,'Hospitalisation Details'!A1182:J3526,10,0)</f>
        <v>25798</v>
      </c>
      <c r="O1183" t="str">
        <f>VLOOKUP($B1183,'Hospitalisation Details'!A1182:J3526,8,0)</f>
        <v>tier - 1</v>
      </c>
      <c r="P1183" t="str">
        <f>VLOOKUP($B1183,'Hospitalisation Details'!A1182:J3526,7,0)</f>
        <v>tier - 3</v>
      </c>
      <c r="Q1183" t="str">
        <f>VLOOKUP($B1183,'Hospitalisation Details'!A1182:J3526,9,0)</f>
        <v>R1011</v>
      </c>
      <c r="R1183">
        <f>VLOOKUP($B1183,'Hospitalisation Details'!A1182:K3526,11,0)</f>
        <v>52</v>
      </c>
    </row>
    <row r="1184" spans="1:18" x14ac:dyDescent="0.35">
      <c r="A1184" t="s">
        <v>1188</v>
      </c>
      <c r="B1184" t="s">
        <v>1215</v>
      </c>
      <c r="C1184" t="str">
        <f>VLOOKUP($A1184,'Customer Names'!$A:$E,4,FALSE)</f>
        <v>Mary-Lynn B.</v>
      </c>
      <c r="D1184" t="str">
        <f>VLOOKUP($A1184,'Medical Examinations'!$A:$J,2,FALSE)</f>
        <v>Obesity</v>
      </c>
      <c r="E1184">
        <f>VLOOKUP($A1184,'Medical Examinations'!$A:$J,4,FALSE)</f>
        <v>5.19</v>
      </c>
      <c r="F1184" t="str">
        <f>VLOOKUP($A1184,'Medical Examinations'!$A:$J,6,FALSE)</f>
        <v>No</v>
      </c>
      <c r="G1184" t="str">
        <f>VLOOKUP($A1184,'Medical Examinations'!$A:$J,7,FALSE)</f>
        <v>No</v>
      </c>
      <c r="H1184" t="str">
        <f>VLOOKUP($A1184,'Medical Examinations'!$A:$J,8,FALSE)</f>
        <v>No</v>
      </c>
      <c r="I1184">
        <f>VLOOKUP($A1184,'Medical Examinations'!$A:$J,9,FALSE)</f>
        <v>2</v>
      </c>
      <c r="J1184" t="str">
        <f>VLOOKUP($A1184,'Medical Examinations'!$A:$J,10,FALSE)</f>
        <v>No</v>
      </c>
      <c r="K1184" t="str">
        <f>VLOOKUP($A1184,'Medical Examinations'!$A:$J,5,FALSE)</f>
        <v>Normal</v>
      </c>
      <c r="L1184">
        <f>VLOOKUP($A1185,'Medical Examinations'!$A:$J,3,FALSE)</f>
        <v>26.33</v>
      </c>
      <c r="M1184">
        <f>VLOOKUP($A1184,'Hospitalisation Details'!$A:$K,6,FALSE)</f>
        <v>9541.7000000000007</v>
      </c>
      <c r="N1184" s="11">
        <f>VLOOKUP($B1184,'Hospitalisation Details'!A1183:J3527,10,0)</f>
        <v>25753</v>
      </c>
      <c r="O1184" t="str">
        <f>VLOOKUP($B1184,'Hospitalisation Details'!A1183:J3527,8,0)</f>
        <v>tier - 1</v>
      </c>
      <c r="P1184" t="str">
        <f>VLOOKUP($B1184,'Hospitalisation Details'!A1183:J3527,7,0)</f>
        <v>tier - 2</v>
      </c>
      <c r="Q1184" t="str">
        <f>VLOOKUP($B1184,'Hospitalisation Details'!A1183:J3527,9,0)</f>
        <v>R1013</v>
      </c>
      <c r="R1184">
        <f>VLOOKUP($B1184,'Hospitalisation Details'!A1183:K3527,11,0)</f>
        <v>52</v>
      </c>
    </row>
    <row r="1185" spans="1:18" x14ac:dyDescent="0.35">
      <c r="A1185" t="s">
        <v>1187</v>
      </c>
      <c r="B1185" t="s">
        <v>1216</v>
      </c>
      <c r="C1185" t="str">
        <f>VLOOKUP($A1185,'Customer Names'!$A:$E,4,FALSE)</f>
        <v>Jamie A</v>
      </c>
      <c r="D1185" t="str">
        <f>VLOOKUP($A1185,'Medical Examinations'!$A:$J,2,FALSE)</f>
        <v>Overweight</v>
      </c>
      <c r="E1185">
        <f>VLOOKUP($A1185,'Medical Examinations'!$A:$J,4,FALSE)</f>
        <v>11.8</v>
      </c>
      <c r="F1185" t="str">
        <f>VLOOKUP($A1185,'Medical Examinations'!$A:$J,6,FALSE)</f>
        <v>yes</v>
      </c>
      <c r="G1185" t="str">
        <f>VLOOKUP($A1185,'Medical Examinations'!$A:$J,7,FALSE)</f>
        <v>No</v>
      </c>
      <c r="H1185" t="str">
        <f>VLOOKUP($A1185,'Medical Examinations'!$A:$J,8,FALSE)</f>
        <v>No</v>
      </c>
      <c r="I1185">
        <f>VLOOKUP($A1185,'Medical Examinations'!$A:$J,9,FALSE)</f>
        <v>1</v>
      </c>
      <c r="J1185" t="str">
        <f>VLOOKUP($A1185,'Medical Examinations'!$A:$J,10,FALSE)</f>
        <v>No</v>
      </c>
      <c r="K1185" t="str">
        <f>VLOOKUP($A1185,'Medical Examinations'!$A:$J,5,FALSE)</f>
        <v>Diabetes</v>
      </c>
      <c r="L1185">
        <f>VLOOKUP($A1186,'Medical Examinations'!$A:$J,3,FALSE)</f>
        <v>26.6</v>
      </c>
      <c r="M1185">
        <f>VLOOKUP($A1185,'Hospitalisation Details'!$A:$K,6,FALSE)</f>
        <v>9540.17</v>
      </c>
      <c r="N1185" s="11">
        <f>VLOOKUP($B1185,'Hospitalisation Details'!A1184:J3528,10,0)</f>
        <v>37086</v>
      </c>
      <c r="O1185" t="str">
        <f>VLOOKUP($B1185,'Hospitalisation Details'!A1184:J3528,8,0)</f>
        <v>tier - 2</v>
      </c>
      <c r="P1185" t="str">
        <f>VLOOKUP($B1185,'Hospitalisation Details'!A1184:J3528,7,0)</f>
        <v>tier - 2</v>
      </c>
      <c r="Q1185" t="str">
        <f>VLOOKUP($B1185,'Hospitalisation Details'!A1184:J3528,9,0)</f>
        <v>R1012</v>
      </c>
      <c r="R1185">
        <f>VLOOKUP($B1185,'Hospitalisation Details'!A1184:K3528,11,0)</f>
        <v>21</v>
      </c>
    </row>
    <row r="1186" spans="1:18" x14ac:dyDescent="0.35">
      <c r="A1186" t="s">
        <v>1186</v>
      </c>
      <c r="B1186" t="s">
        <v>1217</v>
      </c>
      <c r="C1186" t="str">
        <f>VLOOKUP($A1186,'Customer Names'!$A:$E,4,FALSE)</f>
        <v>Jeffrey A.</v>
      </c>
      <c r="D1186" t="str">
        <f>VLOOKUP($A1186,'Medical Examinations'!$A:$J,2,FALSE)</f>
        <v>Overweight</v>
      </c>
      <c r="E1186">
        <f>VLOOKUP($A1186,'Medical Examinations'!$A:$J,4,FALSE)</f>
        <v>8.3800000000000008</v>
      </c>
      <c r="F1186" t="str">
        <f>VLOOKUP($A1186,'Medical Examinations'!$A:$J,6,FALSE)</f>
        <v>No</v>
      </c>
      <c r="G1186" t="str">
        <f>VLOOKUP($A1186,'Medical Examinations'!$A:$J,7,FALSE)</f>
        <v>No</v>
      </c>
      <c r="H1186" t="str">
        <f>VLOOKUP($A1186,'Medical Examinations'!$A:$J,8,FALSE)</f>
        <v>No</v>
      </c>
      <c r="I1186">
        <f>VLOOKUP($A1186,'Medical Examinations'!$A:$J,9,FALSE)</f>
        <v>2</v>
      </c>
      <c r="J1186" t="str">
        <f>VLOOKUP($A1186,'Medical Examinations'!$A:$J,10,FALSE)</f>
        <v>No</v>
      </c>
      <c r="K1186" t="str">
        <f>VLOOKUP($A1186,'Medical Examinations'!$A:$J,5,FALSE)</f>
        <v>Diabetes</v>
      </c>
      <c r="L1186">
        <f>VLOOKUP($A1187,'Medical Examinations'!$A:$J,3,FALSE)</f>
        <v>27.5</v>
      </c>
      <c r="M1186">
        <f>VLOOKUP($A1186,'Hospitalisation Details'!$A:$K,6,FALSE)</f>
        <v>9538.65</v>
      </c>
      <c r="N1186" s="11">
        <f>VLOOKUP($B1186,'Hospitalisation Details'!A1185:J3529,10,0)</f>
        <v>23990</v>
      </c>
      <c r="O1186" t="str">
        <f>VLOOKUP($B1186,'Hospitalisation Details'!A1185:J3529,8,0)</f>
        <v>tier - 1</v>
      </c>
      <c r="P1186" t="str">
        <f>VLOOKUP($B1186,'Hospitalisation Details'!A1185:J3529,7,0)</f>
        <v>tier - 3</v>
      </c>
      <c r="Q1186" t="str">
        <f>VLOOKUP($B1186,'Hospitalisation Details'!A1185:J3529,9,0)</f>
        <v>R1012</v>
      </c>
      <c r="R1186">
        <f>VLOOKUP($B1186,'Hospitalisation Details'!A1185:K3529,11,0)</f>
        <v>57</v>
      </c>
    </row>
    <row r="1187" spans="1:18" x14ac:dyDescent="0.35">
      <c r="A1187" t="s">
        <v>1185</v>
      </c>
      <c r="B1187" t="s">
        <v>1218</v>
      </c>
      <c r="C1187" t="str">
        <f>VLOOKUP($A1187,'Customer Names'!$A:$E,4,FALSE)</f>
        <v>Nicole</v>
      </c>
      <c r="D1187" t="str">
        <f>VLOOKUP($A1187,'Medical Examinations'!$A:$J,2,FALSE)</f>
        <v>Overweight</v>
      </c>
      <c r="E1187">
        <f>VLOOKUP($A1187,'Medical Examinations'!$A:$J,4,FALSE)</f>
        <v>7.58</v>
      </c>
      <c r="F1187" t="str">
        <f>VLOOKUP($A1187,'Medical Examinations'!$A:$J,6,FALSE)</f>
        <v>No</v>
      </c>
      <c r="G1187" t="str">
        <f>VLOOKUP($A1187,'Medical Examinations'!$A:$J,7,FALSE)</f>
        <v>No</v>
      </c>
      <c r="H1187" t="str">
        <f>VLOOKUP($A1187,'Medical Examinations'!$A:$J,8,FALSE)</f>
        <v>No</v>
      </c>
      <c r="I1187">
        <f>VLOOKUP($A1187,'Medical Examinations'!$A:$J,9,FALSE)</f>
        <v>0</v>
      </c>
      <c r="J1187" t="str">
        <f>VLOOKUP($A1187,'Medical Examinations'!$A:$J,10,FALSE)</f>
        <v>No</v>
      </c>
      <c r="K1187" t="str">
        <f>VLOOKUP($A1187,'Medical Examinations'!$A:$J,5,FALSE)</f>
        <v>Diabetes</v>
      </c>
      <c r="L1187">
        <f>VLOOKUP($A1188,'Medical Examinations'!$A:$J,3,FALSE)</f>
        <v>41.55</v>
      </c>
      <c r="M1187">
        <f>VLOOKUP($A1187,'Hospitalisation Details'!$A:$K,6,FALSE)</f>
        <v>9528.9</v>
      </c>
      <c r="N1187" s="11">
        <f>VLOOKUP($B1187,'Hospitalisation Details'!A1186:J3530,10,0)</f>
        <v>26852</v>
      </c>
      <c r="O1187" t="str">
        <f>VLOOKUP($B1187,'Hospitalisation Details'!A1186:J3530,8,0)</f>
        <v>tier - 2</v>
      </c>
      <c r="P1187" t="str">
        <f>VLOOKUP($B1187,'Hospitalisation Details'!A1186:J3530,7,0)</f>
        <v>tier - 2</v>
      </c>
      <c r="Q1187" t="str">
        <f>VLOOKUP($B1187,'Hospitalisation Details'!A1186:J3530,9,0)</f>
        <v>R1024</v>
      </c>
      <c r="R1187">
        <f>VLOOKUP($B1187,'Hospitalisation Details'!A1186:K3530,11,0)</f>
        <v>49</v>
      </c>
    </row>
    <row r="1188" spans="1:18" x14ac:dyDescent="0.35">
      <c r="A1188" t="s">
        <v>1184</v>
      </c>
      <c r="B1188" t="s">
        <v>1219</v>
      </c>
      <c r="C1188" t="str">
        <f>VLOOKUP($A1188,'Customer Names'!$A:$E,4,FALSE)</f>
        <v>Audrey</v>
      </c>
      <c r="D1188" t="str">
        <f>VLOOKUP($A1188,'Medical Examinations'!$A:$J,2,FALSE)</f>
        <v>Obesity</v>
      </c>
      <c r="E1188">
        <f>VLOOKUP($A1188,'Medical Examinations'!$A:$J,4,FALSE)</f>
        <v>4.6100000000000003</v>
      </c>
      <c r="F1188" t="str">
        <f>VLOOKUP($A1188,'Medical Examinations'!$A:$J,6,FALSE)</f>
        <v>No</v>
      </c>
      <c r="G1188" t="str">
        <f>VLOOKUP($A1188,'Medical Examinations'!$A:$J,7,FALSE)</f>
        <v>No</v>
      </c>
      <c r="H1188" t="str">
        <f>VLOOKUP($A1188,'Medical Examinations'!$A:$J,8,FALSE)</f>
        <v>No</v>
      </c>
      <c r="I1188">
        <f>VLOOKUP($A1188,'Medical Examinations'!$A:$J,9,FALSE)</f>
        <v>1</v>
      </c>
      <c r="J1188" t="str">
        <f>VLOOKUP($A1188,'Medical Examinations'!$A:$J,10,FALSE)</f>
        <v>No</v>
      </c>
      <c r="K1188" t="str">
        <f>VLOOKUP($A1188,'Medical Examinations'!$A:$J,5,FALSE)</f>
        <v>Normal</v>
      </c>
      <c r="L1188">
        <f>VLOOKUP($A1189,'Medical Examinations'!$A:$J,3,FALSE)</f>
        <v>41.47</v>
      </c>
      <c r="M1188">
        <f>VLOOKUP($A1188,'Hospitalisation Details'!$A:$K,6,FALSE)</f>
        <v>9507.68</v>
      </c>
      <c r="N1188" s="11">
        <f>VLOOKUP($B1188,'Hospitalisation Details'!A1187:J3531,10,0)</f>
        <v>35285</v>
      </c>
      <c r="O1188" t="str">
        <f>VLOOKUP($B1188,'Hospitalisation Details'!A1187:J3531,8,0)</f>
        <v>tier - 3</v>
      </c>
      <c r="P1188" t="str">
        <f>VLOOKUP($B1188,'Hospitalisation Details'!A1187:J3531,7,0)</f>
        <v>tier - 2</v>
      </c>
      <c r="Q1188" t="str">
        <f>VLOOKUP($B1188,'Hospitalisation Details'!A1187:J3531,9,0)</f>
        <v>R1023</v>
      </c>
      <c r="R1188">
        <f>VLOOKUP($B1188,'Hospitalisation Details'!A1187:K3531,11,0)</f>
        <v>26</v>
      </c>
    </row>
    <row r="1189" spans="1:18" x14ac:dyDescent="0.35">
      <c r="A1189" t="s">
        <v>1183</v>
      </c>
      <c r="B1189" t="s">
        <v>1220</v>
      </c>
      <c r="C1189" t="str">
        <f>VLOOKUP($A1189,'Customer Names'!$A:$E,4,FALSE)</f>
        <v>Jacob</v>
      </c>
      <c r="D1189" t="str">
        <f>VLOOKUP($A1189,'Medical Examinations'!$A:$J,2,FALSE)</f>
        <v>Obesity</v>
      </c>
      <c r="E1189">
        <f>VLOOKUP($A1189,'Medical Examinations'!$A:$J,4,FALSE)</f>
        <v>4.7</v>
      </c>
      <c r="F1189" t="str">
        <f>VLOOKUP($A1189,'Medical Examinations'!$A:$J,6,FALSE)</f>
        <v>yes</v>
      </c>
      <c r="G1189" t="str">
        <f>VLOOKUP($A1189,'Medical Examinations'!$A:$J,7,FALSE)</f>
        <v>No</v>
      </c>
      <c r="H1189" t="str">
        <f>VLOOKUP($A1189,'Medical Examinations'!$A:$J,8,FALSE)</f>
        <v>Yes</v>
      </c>
      <c r="I1189">
        <f>VLOOKUP($A1189,'Medical Examinations'!$A:$J,9,FALSE)</f>
        <v>1</v>
      </c>
      <c r="J1189" t="str">
        <f>VLOOKUP($A1189,'Medical Examinations'!$A:$J,10,FALSE)</f>
        <v>No</v>
      </c>
      <c r="K1189" t="str">
        <f>VLOOKUP($A1189,'Medical Examinations'!$A:$J,5,FALSE)</f>
        <v>Normal</v>
      </c>
      <c r="L1189">
        <f>VLOOKUP($A1190,'Medical Examinations'!$A:$J,3,FALSE)</f>
        <v>24.795000000000002</v>
      </c>
      <c r="M1189">
        <f>VLOOKUP($A1189,'Hospitalisation Details'!$A:$K,6,FALSE)</f>
        <v>9504.31</v>
      </c>
      <c r="N1189" s="11">
        <f>VLOOKUP($B1189,'Hospitalisation Details'!A1188:J3532,10,0)</f>
        <v>28283</v>
      </c>
      <c r="O1189" t="str">
        <f>VLOOKUP($B1189,'Hospitalisation Details'!A1188:J3532,8,0)</f>
        <v>tier - 2</v>
      </c>
      <c r="P1189" t="str">
        <f>VLOOKUP($B1189,'Hospitalisation Details'!A1188:J3532,7,0)</f>
        <v>tier - 3</v>
      </c>
      <c r="Q1189" t="str">
        <f>VLOOKUP($B1189,'Hospitalisation Details'!A1188:J3532,9,0)</f>
        <v>R1013</v>
      </c>
      <c r="R1189">
        <f>VLOOKUP($B1189,'Hospitalisation Details'!A1188:K3532,11,0)</f>
        <v>46</v>
      </c>
    </row>
    <row r="1190" spans="1:18" x14ac:dyDescent="0.35">
      <c r="A1190" t="s">
        <v>1182</v>
      </c>
      <c r="B1190" t="s">
        <v>1221</v>
      </c>
      <c r="C1190" t="str">
        <f>VLOOKUP($A1190,'Customer Names'!$A:$E,4,FALSE)</f>
        <v>Daniel S</v>
      </c>
      <c r="D1190" t="str">
        <f>VLOOKUP($A1190,'Medical Examinations'!$A:$J,2,FALSE)</f>
        <v>Normal Weight</v>
      </c>
      <c r="E1190">
        <f>VLOOKUP($A1190,'Medical Examinations'!$A:$J,4,FALSE)</f>
        <v>6.05</v>
      </c>
      <c r="F1190" t="str">
        <f>VLOOKUP($A1190,'Medical Examinations'!$A:$J,6,FALSE)</f>
        <v>yes</v>
      </c>
      <c r="G1190" t="str">
        <f>VLOOKUP($A1190,'Medical Examinations'!$A:$J,7,FALSE)</f>
        <v>No</v>
      </c>
      <c r="H1190" t="str">
        <f>VLOOKUP($A1190,'Medical Examinations'!$A:$J,8,FALSE)</f>
        <v>No</v>
      </c>
      <c r="I1190">
        <f>VLOOKUP($A1190,'Medical Examinations'!$A:$J,9,FALSE)</f>
        <v>0</v>
      </c>
      <c r="J1190" t="str">
        <f>VLOOKUP($A1190,'Medical Examinations'!$A:$J,10,FALSE)</f>
        <v>No</v>
      </c>
      <c r="K1190" t="str">
        <f>VLOOKUP($A1190,'Medical Examinations'!$A:$J,5,FALSE)</f>
        <v>Prediabetes</v>
      </c>
      <c r="L1190">
        <f>VLOOKUP($A1191,'Medical Examinations'!$A:$J,3,FALSE)</f>
        <v>29.48</v>
      </c>
      <c r="M1190">
        <f>VLOOKUP($A1190,'Hospitalisation Details'!$A:$K,6,FALSE)</f>
        <v>9500.57</v>
      </c>
      <c r="N1190" s="11">
        <f>VLOOKUP($B1190,'Hospitalisation Details'!A1189:J3533,10,0)</f>
        <v>26924</v>
      </c>
      <c r="O1190" t="str">
        <f>VLOOKUP($B1190,'Hospitalisation Details'!A1189:J3533,8,0)</f>
        <v>tier - 1</v>
      </c>
      <c r="P1190" t="str">
        <f>VLOOKUP($B1190,'Hospitalisation Details'!A1189:J3533,7,0)</f>
        <v>tier - 2</v>
      </c>
      <c r="Q1190" t="str">
        <f>VLOOKUP($B1190,'Hospitalisation Details'!A1189:J3533,9,0)</f>
        <v>R1013</v>
      </c>
      <c r="R1190">
        <f>VLOOKUP($B1190,'Hospitalisation Details'!A1189:K3533,11,0)</f>
        <v>49</v>
      </c>
    </row>
    <row r="1191" spans="1:18" x14ac:dyDescent="0.35">
      <c r="A1191" t="s">
        <v>1181</v>
      </c>
      <c r="B1191" t="s">
        <v>1222</v>
      </c>
      <c r="C1191" t="str">
        <f>VLOOKUP($A1191,'Customer Names'!$A:$E,4,FALSE)</f>
        <v>Marc C.</v>
      </c>
      <c r="D1191" t="str">
        <f>VLOOKUP($A1191,'Medical Examinations'!$A:$J,2,FALSE)</f>
        <v>Overweight</v>
      </c>
      <c r="E1191">
        <f>VLOOKUP($A1191,'Medical Examinations'!$A:$J,4,FALSE)</f>
        <v>5.63</v>
      </c>
      <c r="F1191" t="str">
        <f>VLOOKUP($A1191,'Medical Examinations'!$A:$J,6,FALSE)</f>
        <v>yes</v>
      </c>
      <c r="G1191" t="str">
        <f>VLOOKUP($A1191,'Medical Examinations'!$A:$J,7,FALSE)</f>
        <v>No</v>
      </c>
      <c r="H1191" t="str">
        <f>VLOOKUP($A1191,'Medical Examinations'!$A:$J,8,FALSE)</f>
        <v>Yes</v>
      </c>
      <c r="I1191">
        <f>VLOOKUP($A1191,'Medical Examinations'!$A:$J,9,FALSE)</f>
        <v>1</v>
      </c>
      <c r="J1191" t="str">
        <f>VLOOKUP($A1191,'Medical Examinations'!$A:$J,10,FALSE)</f>
        <v>No</v>
      </c>
      <c r="K1191" t="str">
        <f>VLOOKUP($A1191,'Medical Examinations'!$A:$J,5,FALSE)</f>
        <v>Normal</v>
      </c>
      <c r="L1191">
        <f>VLOOKUP($A1192,'Medical Examinations'!$A:$J,3,FALSE)</f>
        <v>28.09</v>
      </c>
      <c r="M1191">
        <f>VLOOKUP($A1191,'Hospitalisation Details'!$A:$K,6,FALSE)</f>
        <v>9487.64</v>
      </c>
      <c r="N1191" s="11">
        <f>VLOOKUP($B1191,'Hospitalisation Details'!A1190:J3534,10,0)</f>
        <v>26478</v>
      </c>
      <c r="O1191" t="str">
        <f>VLOOKUP($B1191,'Hospitalisation Details'!A1190:J3534,8,0)</f>
        <v>tier - 2</v>
      </c>
      <c r="P1191" t="str">
        <f>VLOOKUP($B1191,'Hospitalisation Details'!A1190:J3534,7,0)</f>
        <v>tier - 2</v>
      </c>
      <c r="Q1191" t="str">
        <f>VLOOKUP($B1191,'Hospitalisation Details'!A1190:J3534,9,0)</f>
        <v>R1021</v>
      </c>
      <c r="R1191">
        <f>VLOOKUP($B1191,'Hospitalisation Details'!A1190:K3534,11,0)</f>
        <v>50</v>
      </c>
    </row>
    <row r="1192" spans="1:18" x14ac:dyDescent="0.35">
      <c r="A1192" t="s">
        <v>1180</v>
      </c>
      <c r="B1192" t="s">
        <v>1223</v>
      </c>
      <c r="C1192" t="str">
        <f>VLOOKUP($A1192,'Customer Names'!$A:$E,4,FALSE)</f>
        <v>Mark S</v>
      </c>
      <c r="D1192" t="str">
        <f>VLOOKUP($A1192,'Medical Examinations'!$A:$J,2,FALSE)</f>
        <v>Overweight</v>
      </c>
      <c r="E1192">
        <f>VLOOKUP($A1192,'Medical Examinations'!$A:$J,4,FALSE)</f>
        <v>6.06</v>
      </c>
      <c r="F1192" t="str">
        <f>VLOOKUP($A1192,'Medical Examinations'!$A:$J,6,FALSE)</f>
        <v>No</v>
      </c>
      <c r="G1192" t="str">
        <f>VLOOKUP($A1192,'Medical Examinations'!$A:$J,7,FALSE)</f>
        <v>No</v>
      </c>
      <c r="H1192" t="str">
        <f>VLOOKUP($A1192,'Medical Examinations'!$A:$J,8,FALSE)</f>
        <v>Yes</v>
      </c>
      <c r="I1192">
        <f>VLOOKUP($A1192,'Medical Examinations'!$A:$J,9,FALSE)</f>
        <v>1</v>
      </c>
      <c r="J1192" t="str">
        <f>VLOOKUP($A1192,'Medical Examinations'!$A:$J,10,FALSE)</f>
        <v>No</v>
      </c>
      <c r="K1192" t="str">
        <f>VLOOKUP($A1192,'Medical Examinations'!$A:$J,5,FALSE)</f>
        <v>Prediabetes</v>
      </c>
      <c r="L1192">
        <f>VLOOKUP($A1193,'Medical Examinations'!$A:$J,3,FALSE)</f>
        <v>32.729999999999997</v>
      </c>
      <c r="M1192">
        <f>VLOOKUP($A1192,'Hospitalisation Details'!$A:$K,6,FALSE)</f>
        <v>9453.92</v>
      </c>
      <c r="N1192" s="11">
        <f>VLOOKUP($B1192,'Hospitalisation Details'!A1191:J3535,10,0)</f>
        <v>26568</v>
      </c>
      <c r="O1192" t="str">
        <f>VLOOKUP($B1192,'Hospitalisation Details'!A1191:J3535,8,0)</f>
        <v>tier - 3</v>
      </c>
      <c r="P1192" t="str">
        <f>VLOOKUP($B1192,'Hospitalisation Details'!A1191:J3535,7,0)</f>
        <v>tier - 2</v>
      </c>
      <c r="Q1192" t="str">
        <f>VLOOKUP($B1192,'Hospitalisation Details'!A1191:J3535,9,0)</f>
        <v>R1021</v>
      </c>
      <c r="R1192">
        <f>VLOOKUP($B1192,'Hospitalisation Details'!A1191:K3535,11,0)</f>
        <v>50</v>
      </c>
    </row>
    <row r="1193" spans="1:18" x14ac:dyDescent="0.35">
      <c r="A1193" t="s">
        <v>1179</v>
      </c>
      <c r="B1193" t="s">
        <v>1224</v>
      </c>
      <c r="C1193" t="str">
        <f>VLOOKUP($A1193,'Customer Names'!$A:$E,4,FALSE)</f>
        <v>Dan</v>
      </c>
      <c r="D1193" t="str">
        <f>VLOOKUP($A1193,'Medical Examinations'!$A:$J,2,FALSE)</f>
        <v>Obesity</v>
      </c>
      <c r="E1193">
        <f>VLOOKUP($A1193,'Medical Examinations'!$A:$J,4,FALSE)</f>
        <v>5.19</v>
      </c>
      <c r="F1193" t="str">
        <f>VLOOKUP($A1193,'Medical Examinations'!$A:$J,6,FALSE)</f>
        <v>No</v>
      </c>
      <c r="G1193" t="str">
        <f>VLOOKUP($A1193,'Medical Examinations'!$A:$J,7,FALSE)</f>
        <v>No</v>
      </c>
      <c r="H1193" t="str">
        <f>VLOOKUP($A1193,'Medical Examinations'!$A:$J,8,FALSE)</f>
        <v>No</v>
      </c>
      <c r="I1193">
        <f>VLOOKUP($A1193,'Medical Examinations'!$A:$J,9,FALSE)</f>
        <v>1</v>
      </c>
      <c r="J1193" t="str">
        <f>VLOOKUP($A1193,'Medical Examinations'!$A:$J,10,FALSE)</f>
        <v>No</v>
      </c>
      <c r="K1193" t="str">
        <f>VLOOKUP($A1193,'Medical Examinations'!$A:$J,5,FALSE)</f>
        <v>Normal</v>
      </c>
      <c r="L1193">
        <f>VLOOKUP($A1194,'Medical Examinations'!$A:$J,3,FALSE)</f>
        <v>27.36</v>
      </c>
      <c r="M1193">
        <f>VLOOKUP($A1193,'Hospitalisation Details'!$A:$K,6,FALSE)</f>
        <v>9448.42</v>
      </c>
      <c r="N1193" s="11">
        <f>VLOOKUP($B1193,'Hospitalisation Details'!A1192:J3536,10,0)</f>
        <v>33829</v>
      </c>
      <c r="O1193" t="str">
        <f>VLOOKUP($B1193,'Hospitalisation Details'!A1192:J3536,8,0)</f>
        <v>tier - 1</v>
      </c>
      <c r="P1193" t="str">
        <f>VLOOKUP($B1193,'Hospitalisation Details'!A1192:J3536,7,0)</f>
        <v>tier - 2</v>
      </c>
      <c r="Q1193" t="str">
        <f>VLOOKUP($B1193,'Hospitalisation Details'!A1192:J3536,9,0)</f>
        <v>R1012</v>
      </c>
      <c r="R1193">
        <f>VLOOKUP($B1193,'Hospitalisation Details'!A1192:K3536,11,0)</f>
        <v>30</v>
      </c>
    </row>
    <row r="1194" spans="1:18" x14ac:dyDescent="0.35">
      <c r="A1194" t="s">
        <v>1178</v>
      </c>
      <c r="B1194" t="s">
        <v>1225</v>
      </c>
      <c r="C1194" t="str">
        <f>VLOOKUP($A1194,'Customer Names'!$A:$E,4,FALSE)</f>
        <v>Gabriela</v>
      </c>
      <c r="D1194" t="str">
        <f>VLOOKUP($A1194,'Medical Examinations'!$A:$J,2,FALSE)</f>
        <v>Overweight</v>
      </c>
      <c r="E1194">
        <f>VLOOKUP($A1194,'Medical Examinations'!$A:$J,4,FALSE)</f>
        <v>8.9600000000000009</v>
      </c>
      <c r="F1194" t="str">
        <f>VLOOKUP($A1194,'Medical Examinations'!$A:$J,6,FALSE)</f>
        <v>No</v>
      </c>
      <c r="G1194" t="str">
        <f>VLOOKUP($A1194,'Medical Examinations'!$A:$J,7,FALSE)</f>
        <v>No</v>
      </c>
      <c r="H1194" t="str">
        <f>VLOOKUP($A1194,'Medical Examinations'!$A:$J,8,FALSE)</f>
        <v>No</v>
      </c>
      <c r="I1194">
        <f>VLOOKUP($A1194,'Medical Examinations'!$A:$J,9,FALSE)</f>
        <v>0</v>
      </c>
      <c r="J1194" t="str">
        <f>VLOOKUP($A1194,'Medical Examinations'!$A:$J,10,FALSE)</f>
        <v>No</v>
      </c>
      <c r="K1194" t="str">
        <f>VLOOKUP($A1194,'Medical Examinations'!$A:$J,5,FALSE)</f>
        <v>Diabetes</v>
      </c>
      <c r="L1194">
        <f>VLOOKUP($A1195,'Medical Examinations'!$A:$J,3,FALSE)</f>
        <v>27.265000000000001</v>
      </c>
      <c r="M1194">
        <f>VLOOKUP($A1194,'Hospitalisation Details'!$A:$K,6,FALSE)</f>
        <v>9447.3799999999992</v>
      </c>
      <c r="N1194" s="11">
        <f>VLOOKUP($B1194,'Hospitalisation Details'!A1193:J3537,10,0)</f>
        <v>25146</v>
      </c>
      <c r="O1194" t="str">
        <f>VLOOKUP($B1194,'Hospitalisation Details'!A1193:J3537,8,0)</f>
        <v>tier - 3</v>
      </c>
      <c r="P1194" t="str">
        <f>VLOOKUP($B1194,'Hospitalisation Details'!A1193:J3537,7,0)</f>
        <v>tier - 3</v>
      </c>
      <c r="Q1194" t="str">
        <f>VLOOKUP($B1194,'Hospitalisation Details'!A1193:J3537,9,0)</f>
        <v>R1011</v>
      </c>
      <c r="R1194">
        <f>VLOOKUP($B1194,'Hospitalisation Details'!A1193:K3537,11,0)</f>
        <v>54</v>
      </c>
    </row>
    <row r="1195" spans="1:18" x14ac:dyDescent="0.35">
      <c r="A1195" t="s">
        <v>1177</v>
      </c>
      <c r="B1195" t="s">
        <v>1226</v>
      </c>
      <c r="C1195" t="str">
        <f>VLOOKUP($A1195,'Customer Names'!$A:$E,4,FALSE)</f>
        <v>Amanda</v>
      </c>
      <c r="D1195" t="str">
        <f>VLOOKUP($A1195,'Medical Examinations'!$A:$J,2,FALSE)</f>
        <v>Overweight</v>
      </c>
      <c r="E1195">
        <f>VLOOKUP($A1195,'Medical Examinations'!$A:$J,4,FALSE)</f>
        <v>11.39</v>
      </c>
      <c r="F1195" t="str">
        <f>VLOOKUP($A1195,'Medical Examinations'!$A:$J,6,FALSE)</f>
        <v>No</v>
      </c>
      <c r="G1195" t="str">
        <f>VLOOKUP($A1195,'Medical Examinations'!$A:$J,7,FALSE)</f>
        <v>No</v>
      </c>
      <c r="H1195" t="str">
        <f>VLOOKUP($A1195,'Medical Examinations'!$A:$J,8,FALSE)</f>
        <v>No</v>
      </c>
      <c r="I1195">
        <f>VLOOKUP($A1195,'Medical Examinations'!$A:$J,9,FALSE)</f>
        <v>0</v>
      </c>
      <c r="J1195" t="str">
        <f>VLOOKUP($A1195,'Medical Examinations'!$A:$J,10,FALSE)</f>
        <v>No</v>
      </c>
      <c r="K1195" t="str">
        <f>VLOOKUP($A1195,'Medical Examinations'!$A:$J,5,FALSE)</f>
        <v>Diabetes</v>
      </c>
      <c r="L1195">
        <f>VLOOKUP($A1196,'Medical Examinations'!$A:$J,3,FALSE)</f>
        <v>48.07</v>
      </c>
      <c r="M1195">
        <f>VLOOKUP($A1195,'Hospitalisation Details'!$A:$K,6,FALSE)</f>
        <v>9447.25</v>
      </c>
      <c r="N1195" s="11">
        <f>VLOOKUP($B1195,'Hospitalisation Details'!A1194:J3538,10,0)</f>
        <v>26229</v>
      </c>
      <c r="O1195" t="str">
        <f>VLOOKUP($B1195,'Hospitalisation Details'!A1194:J3538,8,0)</f>
        <v>tier - 3</v>
      </c>
      <c r="P1195" t="str">
        <f>VLOOKUP($B1195,'Hospitalisation Details'!A1194:J3538,7,0)</f>
        <v>tier - 2</v>
      </c>
      <c r="Q1195" t="str">
        <f>VLOOKUP($B1195,'Hospitalisation Details'!A1194:J3538,9,0)</f>
        <v>R1013</v>
      </c>
      <c r="R1195">
        <f>VLOOKUP($B1195,'Hospitalisation Details'!A1194:K3538,11,0)</f>
        <v>51</v>
      </c>
    </row>
    <row r="1196" spans="1:18" x14ac:dyDescent="0.35">
      <c r="A1196" t="s">
        <v>1176</v>
      </c>
      <c r="B1196" t="s">
        <v>1227</v>
      </c>
      <c r="C1196" t="str">
        <f>VLOOKUP($A1196,'Customer Names'!$A:$E,4,FALSE)</f>
        <v>Dara</v>
      </c>
      <c r="D1196" t="str">
        <f>VLOOKUP($A1196,'Medical Examinations'!$A:$J,2,FALSE)</f>
        <v>Obesity</v>
      </c>
      <c r="E1196">
        <f>VLOOKUP($A1196,'Medical Examinations'!$A:$J,4,FALSE)</f>
        <v>4.0599999999999996</v>
      </c>
      <c r="F1196" t="str">
        <f>VLOOKUP($A1196,'Medical Examinations'!$A:$J,6,FALSE)</f>
        <v>yes</v>
      </c>
      <c r="G1196" t="str">
        <f>VLOOKUP($A1196,'Medical Examinations'!$A:$J,7,FALSE)</f>
        <v>No</v>
      </c>
      <c r="H1196" t="str">
        <f>VLOOKUP($A1196,'Medical Examinations'!$A:$J,8,FALSE)</f>
        <v>No</v>
      </c>
      <c r="I1196">
        <f>VLOOKUP($A1196,'Medical Examinations'!$A:$J,9,FALSE)</f>
        <v>0</v>
      </c>
      <c r="J1196" t="str">
        <f>VLOOKUP($A1196,'Medical Examinations'!$A:$J,10,FALSE)</f>
        <v>No</v>
      </c>
      <c r="K1196" t="str">
        <f>VLOOKUP($A1196,'Medical Examinations'!$A:$J,5,FALSE)</f>
        <v>Normal</v>
      </c>
      <c r="L1196">
        <f>VLOOKUP($A1197,'Medical Examinations'!$A:$J,3,FALSE)</f>
        <v>30.8</v>
      </c>
      <c r="M1196">
        <f>VLOOKUP($A1196,'Hospitalisation Details'!$A:$K,6,FALSE)</f>
        <v>9432.93</v>
      </c>
      <c r="N1196" s="11">
        <f>VLOOKUP($B1196,'Hospitalisation Details'!A1195:J3539,10,0)</f>
        <v>26131</v>
      </c>
      <c r="O1196" t="str">
        <f>VLOOKUP($B1196,'Hospitalisation Details'!A1195:J3539,8,0)</f>
        <v>tier - 2</v>
      </c>
      <c r="P1196" t="str">
        <f>VLOOKUP($B1196,'Hospitalisation Details'!A1195:J3539,7,0)</f>
        <v>tier - 2</v>
      </c>
      <c r="Q1196" t="str">
        <f>VLOOKUP($B1196,'Hospitalisation Details'!A1195:J3539,9,0)</f>
        <v>R1011</v>
      </c>
      <c r="R1196">
        <f>VLOOKUP($B1196,'Hospitalisation Details'!A1195:K3539,11,0)</f>
        <v>51</v>
      </c>
    </row>
    <row r="1197" spans="1:18" x14ac:dyDescent="0.35">
      <c r="A1197" t="s">
        <v>1175</v>
      </c>
      <c r="B1197" t="s">
        <v>1228</v>
      </c>
      <c r="C1197" t="str">
        <f>VLOOKUP($A1197,'Customer Names'!$A:$E,4,FALSE)</f>
        <v>Rachelle R</v>
      </c>
      <c r="D1197" t="str">
        <f>VLOOKUP($A1197,'Medical Examinations'!$A:$J,2,FALSE)</f>
        <v>Obesity</v>
      </c>
      <c r="E1197">
        <f>VLOOKUP($A1197,'Medical Examinations'!$A:$J,4,FALSE)</f>
        <v>5.23</v>
      </c>
      <c r="F1197" t="str">
        <f>VLOOKUP($A1197,'Medical Examinations'!$A:$J,6,FALSE)</f>
        <v>yes</v>
      </c>
      <c r="G1197" t="str">
        <f>VLOOKUP($A1197,'Medical Examinations'!$A:$J,7,FALSE)</f>
        <v>No</v>
      </c>
      <c r="H1197" t="str">
        <f>VLOOKUP($A1197,'Medical Examinations'!$A:$J,8,FALSE)</f>
        <v>No</v>
      </c>
      <c r="I1197">
        <f>VLOOKUP($A1197,'Medical Examinations'!$A:$J,9,FALSE)</f>
        <v>0</v>
      </c>
      <c r="J1197" t="str">
        <f>VLOOKUP($A1197,'Medical Examinations'!$A:$J,10,FALSE)</f>
        <v>No</v>
      </c>
      <c r="K1197" t="str">
        <f>VLOOKUP($A1197,'Medical Examinations'!$A:$J,5,FALSE)</f>
        <v>Normal</v>
      </c>
      <c r="L1197">
        <f>VLOOKUP($A1198,'Medical Examinations'!$A:$J,3,FALSE)</f>
        <v>32.299999999999997</v>
      </c>
      <c r="M1197">
        <f>VLOOKUP($A1197,'Hospitalisation Details'!$A:$K,6,FALSE)</f>
        <v>9414.92</v>
      </c>
      <c r="N1197" s="11">
        <f>VLOOKUP($B1197,'Hospitalisation Details'!A1196:J3540,10,0)</f>
        <v>25496</v>
      </c>
      <c r="O1197" t="str">
        <f>VLOOKUP($B1197,'Hospitalisation Details'!A1196:J3540,8,0)</f>
        <v>tier - 3</v>
      </c>
      <c r="P1197" t="str">
        <f>VLOOKUP($B1197,'Hospitalisation Details'!A1196:J3540,7,0)</f>
        <v>tier - 3</v>
      </c>
      <c r="Q1197" t="str">
        <f>VLOOKUP($B1197,'Hospitalisation Details'!A1196:J3540,9,0)</f>
        <v>R1012</v>
      </c>
      <c r="R1197">
        <f>VLOOKUP($B1197,'Hospitalisation Details'!A1196:K3540,11,0)</f>
        <v>53</v>
      </c>
    </row>
    <row r="1198" spans="1:18" x14ac:dyDescent="0.35">
      <c r="A1198" t="s">
        <v>1174</v>
      </c>
      <c r="B1198" t="s">
        <v>1229</v>
      </c>
      <c r="C1198" t="str">
        <f>VLOOKUP($A1198,'Customer Names'!$A:$E,4,FALSE)</f>
        <v>Brenda J</v>
      </c>
      <c r="D1198" t="str">
        <f>VLOOKUP($A1198,'Medical Examinations'!$A:$J,2,FALSE)</f>
        <v>Obesity</v>
      </c>
      <c r="E1198">
        <f>VLOOKUP($A1198,'Medical Examinations'!$A:$J,4,FALSE)</f>
        <v>5.05</v>
      </c>
      <c r="F1198" t="str">
        <f>VLOOKUP($A1198,'Medical Examinations'!$A:$J,6,FALSE)</f>
        <v>yes</v>
      </c>
      <c r="G1198" t="str">
        <f>VLOOKUP($A1198,'Medical Examinations'!$A:$J,7,FALSE)</f>
        <v>No</v>
      </c>
      <c r="H1198" t="str">
        <f>VLOOKUP($A1198,'Medical Examinations'!$A:$J,8,FALSE)</f>
        <v>No</v>
      </c>
      <c r="I1198">
        <f>VLOOKUP($A1198,'Medical Examinations'!$A:$J,9,FALSE)</f>
        <v>0</v>
      </c>
      <c r="J1198" t="str">
        <f>VLOOKUP($A1198,'Medical Examinations'!$A:$J,10,FALSE)</f>
        <v>No</v>
      </c>
      <c r="K1198" t="str">
        <f>VLOOKUP($A1198,'Medical Examinations'!$A:$J,5,FALSE)</f>
        <v>Normal</v>
      </c>
      <c r="L1198">
        <f>VLOOKUP($A1199,'Medical Examinations'!$A:$J,3,FALSE)</f>
        <v>39.700000000000003</v>
      </c>
      <c r="M1198">
        <f>VLOOKUP($A1198,'Hospitalisation Details'!$A:$K,6,FALSE)</f>
        <v>9411.01</v>
      </c>
      <c r="N1198" s="11">
        <f>VLOOKUP($B1198,'Hospitalisation Details'!A1197:J3541,10,0)</f>
        <v>26246</v>
      </c>
      <c r="O1198" t="str">
        <f>VLOOKUP($B1198,'Hospitalisation Details'!A1197:J3541,8,0)</f>
        <v>tier - 3</v>
      </c>
      <c r="P1198" t="str">
        <f>VLOOKUP($B1198,'Hospitalisation Details'!A1197:J3541,7,0)</f>
        <v>tier - 2</v>
      </c>
      <c r="Q1198" t="str">
        <f>VLOOKUP($B1198,'Hospitalisation Details'!A1197:J3541,9,0)</f>
        <v>R1024</v>
      </c>
      <c r="R1198">
        <f>VLOOKUP($B1198,'Hospitalisation Details'!A1197:K3541,11,0)</f>
        <v>51</v>
      </c>
    </row>
    <row r="1199" spans="1:18" x14ac:dyDescent="0.35">
      <c r="A1199" t="s">
        <v>1173</v>
      </c>
      <c r="B1199" t="s">
        <v>1230</v>
      </c>
      <c r="C1199" t="str">
        <f>VLOOKUP($A1199,'Customer Names'!$A:$E,4,FALSE)</f>
        <v>Tim</v>
      </c>
      <c r="D1199" t="str">
        <f>VLOOKUP($A1199,'Medical Examinations'!$A:$J,2,FALSE)</f>
        <v>Obesity</v>
      </c>
      <c r="E1199">
        <f>VLOOKUP($A1199,'Medical Examinations'!$A:$J,4,FALSE)</f>
        <v>7.34</v>
      </c>
      <c r="F1199" t="str">
        <f>VLOOKUP($A1199,'Medical Examinations'!$A:$J,6,FALSE)</f>
        <v>No</v>
      </c>
      <c r="G1199" t="str">
        <f>VLOOKUP($A1199,'Medical Examinations'!$A:$J,7,FALSE)</f>
        <v>No</v>
      </c>
      <c r="H1199" t="str">
        <f>VLOOKUP($A1199,'Medical Examinations'!$A:$J,8,FALSE)</f>
        <v>No</v>
      </c>
      <c r="I1199">
        <f>VLOOKUP($A1199,'Medical Examinations'!$A:$J,9,FALSE)</f>
        <v>0</v>
      </c>
      <c r="J1199" t="str">
        <f>VLOOKUP($A1199,'Medical Examinations'!$A:$J,10,FALSE)</f>
        <v>No</v>
      </c>
      <c r="K1199" t="str">
        <f>VLOOKUP($A1199,'Medical Examinations'!$A:$J,5,FALSE)</f>
        <v>Diabetes</v>
      </c>
      <c r="L1199">
        <f>VLOOKUP($A1200,'Medical Examinations'!$A:$J,3,FALSE)</f>
        <v>35.97</v>
      </c>
      <c r="M1199">
        <f>VLOOKUP($A1199,'Hospitalisation Details'!$A:$K,6,FALSE)</f>
        <v>9391.35</v>
      </c>
      <c r="N1199" s="11">
        <f>VLOOKUP($B1199,'Hospitalisation Details'!A1198:J3542,10,0)</f>
        <v>25428</v>
      </c>
      <c r="O1199" t="str">
        <f>VLOOKUP($B1199,'Hospitalisation Details'!A1198:J3542,8,0)</f>
        <v>tier - 3</v>
      </c>
      <c r="P1199" t="str">
        <f>VLOOKUP($B1199,'Hospitalisation Details'!A1198:J3542,7,0)</f>
        <v>tier - 3</v>
      </c>
      <c r="Q1199" t="str">
        <f>VLOOKUP($B1199,'Hospitalisation Details'!A1198:J3542,9,0)</f>
        <v>R1012</v>
      </c>
      <c r="R1199">
        <f>VLOOKUP($B1199,'Hospitalisation Details'!A1198:K3542,11,0)</f>
        <v>53</v>
      </c>
    </row>
    <row r="1200" spans="1:18" x14ac:dyDescent="0.35">
      <c r="A1200" t="s">
        <v>1172</v>
      </c>
      <c r="B1200" t="s">
        <v>1231</v>
      </c>
      <c r="C1200" t="str">
        <f>VLOOKUP($A1200,'Customer Names'!$A:$E,4,FALSE)</f>
        <v>Sylvain</v>
      </c>
      <c r="D1200" t="str">
        <f>VLOOKUP($A1200,'Medical Examinations'!$A:$J,2,FALSE)</f>
        <v>Obesity</v>
      </c>
      <c r="E1200">
        <f>VLOOKUP($A1200,'Medical Examinations'!$A:$J,4,FALSE)</f>
        <v>8.1300000000000008</v>
      </c>
      <c r="F1200" t="str">
        <f>VLOOKUP($A1200,'Medical Examinations'!$A:$J,6,FALSE)</f>
        <v>No</v>
      </c>
      <c r="G1200" t="str">
        <f>VLOOKUP($A1200,'Medical Examinations'!$A:$J,7,FALSE)</f>
        <v>No</v>
      </c>
      <c r="H1200" t="str">
        <f>VLOOKUP($A1200,'Medical Examinations'!$A:$J,8,FALSE)</f>
        <v>No</v>
      </c>
      <c r="I1200">
        <f>VLOOKUP($A1200,'Medical Examinations'!$A:$J,9,FALSE)</f>
        <v>0</v>
      </c>
      <c r="J1200" t="str">
        <f>VLOOKUP($A1200,'Medical Examinations'!$A:$J,10,FALSE)</f>
        <v>No</v>
      </c>
      <c r="K1200" t="str">
        <f>VLOOKUP($A1200,'Medical Examinations'!$A:$J,5,FALSE)</f>
        <v>Diabetes</v>
      </c>
      <c r="L1200">
        <f>VLOOKUP($A1201,'Medical Examinations'!$A:$J,3,FALSE)</f>
        <v>25.86</v>
      </c>
      <c r="M1200">
        <f>VLOOKUP($A1200,'Hospitalisation Details'!$A:$K,6,FALSE)</f>
        <v>9386.16</v>
      </c>
      <c r="N1200" s="11">
        <f>VLOOKUP($B1200,'Hospitalisation Details'!A1199:J3543,10,0)</f>
        <v>35982</v>
      </c>
      <c r="O1200" t="str">
        <f>VLOOKUP($B1200,'Hospitalisation Details'!A1199:J3543,8,0)</f>
        <v>tier - 2</v>
      </c>
      <c r="P1200" t="str">
        <f>VLOOKUP($B1200,'Hospitalisation Details'!A1199:J3543,7,0)</f>
        <v>tier - 2</v>
      </c>
      <c r="Q1200" t="str">
        <f>VLOOKUP($B1200,'Hospitalisation Details'!A1199:J3543,9,0)</f>
        <v>R1023</v>
      </c>
      <c r="R1200">
        <f>VLOOKUP($B1200,'Hospitalisation Details'!A1199:K3543,11,0)</f>
        <v>24</v>
      </c>
    </row>
    <row r="1201" spans="1:18" x14ac:dyDescent="0.35">
      <c r="A1201" t="s">
        <v>1171</v>
      </c>
      <c r="B1201" t="s">
        <v>1232</v>
      </c>
      <c r="C1201" t="str">
        <f>VLOOKUP($A1201,'Customer Names'!$A:$E,4,FALSE)</f>
        <v>Lisa M</v>
      </c>
      <c r="D1201" t="str">
        <f>VLOOKUP($A1201,'Medical Examinations'!$A:$J,2,FALSE)</f>
        <v>Overweight</v>
      </c>
      <c r="E1201">
        <f>VLOOKUP($A1201,'Medical Examinations'!$A:$J,4,FALSE)</f>
        <v>6.68</v>
      </c>
      <c r="F1201" t="str">
        <f>VLOOKUP($A1201,'Medical Examinations'!$A:$J,6,FALSE)</f>
        <v>yes</v>
      </c>
      <c r="G1201" t="str">
        <f>VLOOKUP($A1201,'Medical Examinations'!$A:$J,7,FALSE)</f>
        <v>No</v>
      </c>
      <c r="H1201" t="str">
        <f>VLOOKUP($A1201,'Medical Examinations'!$A:$J,8,FALSE)</f>
        <v>No</v>
      </c>
      <c r="I1201">
        <f>VLOOKUP($A1201,'Medical Examinations'!$A:$J,9,FALSE)</f>
        <v>1</v>
      </c>
      <c r="J1201" t="str">
        <f>VLOOKUP($A1201,'Medical Examinations'!$A:$J,10,FALSE)</f>
        <v>No</v>
      </c>
      <c r="K1201" t="str">
        <f>VLOOKUP($A1201,'Medical Examinations'!$A:$J,5,FALSE)</f>
        <v>Diabetes</v>
      </c>
      <c r="L1201">
        <f>VLOOKUP($A1202,'Medical Examinations'!$A:$J,3,FALSE)</f>
        <v>30.03</v>
      </c>
      <c r="M1201">
        <f>VLOOKUP($A1201,'Hospitalisation Details'!$A:$K,6,FALSE)</f>
        <v>9380.75</v>
      </c>
      <c r="N1201" s="11">
        <f>VLOOKUP($B1201,'Hospitalisation Details'!A1200:J3544,10,0)</f>
        <v>26289</v>
      </c>
      <c r="O1201" t="str">
        <f>VLOOKUP($B1201,'Hospitalisation Details'!A1200:J3544,8,0)</f>
        <v>tier - 2</v>
      </c>
      <c r="P1201" t="str">
        <f>VLOOKUP($B1201,'Hospitalisation Details'!A1200:J3544,7,0)</f>
        <v>tier - 2</v>
      </c>
      <c r="Q1201" t="str">
        <f>VLOOKUP($B1201,'Hospitalisation Details'!A1200:J3544,9,0)</f>
        <v>R1011</v>
      </c>
      <c r="R1201">
        <f>VLOOKUP($B1201,'Hospitalisation Details'!A1200:K3544,11,0)</f>
        <v>51</v>
      </c>
    </row>
    <row r="1202" spans="1:18" x14ac:dyDescent="0.35">
      <c r="A1202" t="s">
        <v>1170</v>
      </c>
      <c r="B1202" t="s">
        <v>1233</v>
      </c>
      <c r="C1202" t="str">
        <f>VLOOKUP($A1202,'Customer Names'!$A:$E,4,FALSE)</f>
        <v>Ryan</v>
      </c>
      <c r="D1202" t="str">
        <f>VLOOKUP($A1202,'Medical Examinations'!$A:$J,2,FALSE)</f>
        <v>Obesity</v>
      </c>
      <c r="E1202">
        <f>VLOOKUP($A1202,'Medical Examinations'!$A:$J,4,FALSE)</f>
        <v>11.51</v>
      </c>
      <c r="F1202" t="str">
        <f>VLOOKUP($A1202,'Medical Examinations'!$A:$J,6,FALSE)</f>
        <v>No</v>
      </c>
      <c r="G1202" t="str">
        <f>VLOOKUP($A1202,'Medical Examinations'!$A:$J,7,FALSE)</f>
        <v>No</v>
      </c>
      <c r="H1202" t="str">
        <f>VLOOKUP($A1202,'Medical Examinations'!$A:$J,8,FALSE)</f>
        <v>No</v>
      </c>
      <c r="I1202">
        <f>VLOOKUP($A1202,'Medical Examinations'!$A:$J,9,FALSE)</f>
        <v>0</v>
      </c>
      <c r="J1202" t="str">
        <f>VLOOKUP($A1202,'Medical Examinations'!$A:$J,10,FALSE)</f>
        <v>No</v>
      </c>
      <c r="K1202" t="str">
        <f>VLOOKUP($A1202,'Medical Examinations'!$A:$J,5,FALSE)</f>
        <v>Diabetes</v>
      </c>
      <c r="L1202">
        <f>VLOOKUP($A1203,'Medical Examinations'!$A:$J,3,FALSE)</f>
        <v>25.76</v>
      </c>
      <c r="M1202">
        <f>VLOOKUP($A1202,'Hospitalisation Details'!$A:$K,6,FALSE)</f>
        <v>9377.9</v>
      </c>
      <c r="N1202" s="11">
        <f>VLOOKUP($B1202,'Hospitalisation Details'!A1201:J3545,10,0)</f>
        <v>26117</v>
      </c>
      <c r="O1202" t="str">
        <f>VLOOKUP($B1202,'Hospitalisation Details'!A1201:J3545,8,0)</f>
        <v>tier - 3</v>
      </c>
      <c r="P1202" t="str">
        <f>VLOOKUP($B1202,'Hospitalisation Details'!A1201:J3545,7,0)</f>
        <v>tier - 2</v>
      </c>
      <c r="Q1202" t="str">
        <f>VLOOKUP($B1202,'Hospitalisation Details'!A1201:J3545,9,0)</f>
        <v>R1024</v>
      </c>
      <c r="R1202">
        <f>VLOOKUP($B1202,'Hospitalisation Details'!A1201:K3545,11,0)</f>
        <v>51</v>
      </c>
    </row>
    <row r="1203" spans="1:18" x14ac:dyDescent="0.35">
      <c r="A1203" t="s">
        <v>1169</v>
      </c>
      <c r="B1203" t="s">
        <v>1234</v>
      </c>
      <c r="C1203" t="str">
        <f>VLOOKUP($A1203,'Customer Names'!$A:$E,4,FALSE)</f>
        <v>Kaitlin M</v>
      </c>
      <c r="D1203" t="str">
        <f>VLOOKUP($A1203,'Medical Examinations'!$A:$J,2,FALSE)</f>
        <v>Overweight</v>
      </c>
      <c r="E1203">
        <f>VLOOKUP($A1203,'Medical Examinations'!$A:$J,4,FALSE)</f>
        <v>6.02</v>
      </c>
      <c r="F1203" t="str">
        <f>VLOOKUP($A1203,'Medical Examinations'!$A:$J,6,FALSE)</f>
        <v>yes</v>
      </c>
      <c r="G1203" t="str">
        <f>VLOOKUP($A1203,'Medical Examinations'!$A:$J,7,FALSE)</f>
        <v>No</v>
      </c>
      <c r="H1203" t="str">
        <f>VLOOKUP($A1203,'Medical Examinations'!$A:$J,8,FALSE)</f>
        <v>Yes</v>
      </c>
      <c r="I1203">
        <f>VLOOKUP($A1203,'Medical Examinations'!$A:$J,9,FALSE)</f>
        <v>1</v>
      </c>
      <c r="J1203" t="str">
        <f>VLOOKUP($A1203,'Medical Examinations'!$A:$J,10,FALSE)</f>
        <v>No</v>
      </c>
      <c r="K1203" t="str">
        <f>VLOOKUP($A1203,'Medical Examinations'!$A:$J,5,FALSE)</f>
        <v>Prediabetes</v>
      </c>
      <c r="L1203">
        <f>VLOOKUP($A1204,'Medical Examinations'!$A:$J,3,FALSE)</f>
        <v>22.42</v>
      </c>
      <c r="M1203">
        <f>VLOOKUP($A1203,'Hospitalisation Details'!$A:$K,6,FALSE)</f>
        <v>9377.4500000000007</v>
      </c>
      <c r="N1203" s="11">
        <f>VLOOKUP($B1203,'Hospitalisation Details'!A1202:J3546,10,0)</f>
        <v>26209</v>
      </c>
      <c r="O1203" t="str">
        <f>VLOOKUP($B1203,'Hospitalisation Details'!A1202:J3546,8,0)</f>
        <v>tier - 1</v>
      </c>
      <c r="P1203" t="str">
        <f>VLOOKUP($B1203,'Hospitalisation Details'!A1202:J3546,7,0)</f>
        <v>tier - 2</v>
      </c>
      <c r="Q1203" t="str">
        <f>VLOOKUP($B1203,'Hospitalisation Details'!A1202:J3546,9,0)</f>
        <v>R1013</v>
      </c>
      <c r="R1203">
        <f>VLOOKUP($B1203,'Hospitalisation Details'!A1202:K3546,11,0)</f>
        <v>51</v>
      </c>
    </row>
    <row r="1204" spans="1:18" x14ac:dyDescent="0.35">
      <c r="A1204" t="s">
        <v>1168</v>
      </c>
      <c r="B1204" t="s">
        <v>1235</v>
      </c>
      <c r="C1204" t="str">
        <f>VLOOKUP($A1204,'Customer Names'!$A:$E,4,FALSE)</f>
        <v>William R.</v>
      </c>
      <c r="D1204" t="str">
        <f>VLOOKUP($A1204,'Medical Examinations'!$A:$J,2,FALSE)</f>
        <v>Normal Weight</v>
      </c>
      <c r="E1204">
        <f>VLOOKUP($A1204,'Medical Examinations'!$A:$J,4,FALSE)</f>
        <v>7.96</v>
      </c>
      <c r="F1204" t="str">
        <f>VLOOKUP($A1204,'Medical Examinations'!$A:$J,6,FALSE)</f>
        <v>No</v>
      </c>
      <c r="G1204" t="str">
        <f>VLOOKUP($A1204,'Medical Examinations'!$A:$J,7,FALSE)</f>
        <v>No</v>
      </c>
      <c r="H1204" t="str">
        <f>VLOOKUP($A1204,'Medical Examinations'!$A:$J,8,FALSE)</f>
        <v>No</v>
      </c>
      <c r="I1204">
        <f>VLOOKUP($A1204,'Medical Examinations'!$A:$J,9,FALSE)</f>
        <v>0</v>
      </c>
      <c r="J1204" t="str">
        <f>VLOOKUP($A1204,'Medical Examinations'!$A:$J,10,FALSE)</f>
        <v>No</v>
      </c>
      <c r="K1204" t="str">
        <f>VLOOKUP($A1204,'Medical Examinations'!$A:$J,5,FALSE)</f>
        <v>Diabetes</v>
      </c>
      <c r="L1204">
        <f>VLOOKUP($A1205,'Medical Examinations'!$A:$J,3,FALSE)</f>
        <v>33.18</v>
      </c>
      <c r="M1204">
        <f>VLOOKUP($A1204,'Hospitalisation Details'!$A:$K,6,FALSE)</f>
        <v>9361.33</v>
      </c>
      <c r="N1204" s="11">
        <f>VLOOKUP($B1204,'Hospitalisation Details'!A1203:J3547,10,0)</f>
        <v>26245</v>
      </c>
      <c r="O1204" t="str">
        <f>VLOOKUP($B1204,'Hospitalisation Details'!A1203:J3547,8,0)</f>
        <v>tier - 3</v>
      </c>
      <c r="P1204" t="str">
        <f>VLOOKUP($B1204,'Hospitalisation Details'!A1203:J3547,7,0)</f>
        <v>tier - 2</v>
      </c>
      <c r="Q1204" t="str">
        <f>VLOOKUP($B1204,'Hospitalisation Details'!A1203:J3547,9,0)</f>
        <v>R1011</v>
      </c>
      <c r="R1204">
        <f>VLOOKUP($B1204,'Hospitalisation Details'!A1203:K3547,11,0)</f>
        <v>51</v>
      </c>
    </row>
    <row r="1205" spans="1:18" x14ac:dyDescent="0.35">
      <c r="A1205" t="s">
        <v>1167</v>
      </c>
      <c r="B1205" t="s">
        <v>1236</v>
      </c>
      <c r="C1205" t="str">
        <f>VLOOKUP($A1205,'Customer Names'!$A:$E,4,FALSE)</f>
        <v>Bruce</v>
      </c>
      <c r="D1205" t="str">
        <f>VLOOKUP($A1205,'Medical Examinations'!$A:$J,2,FALSE)</f>
        <v>Obesity</v>
      </c>
      <c r="E1205">
        <f>VLOOKUP($A1205,'Medical Examinations'!$A:$J,4,FALSE)</f>
        <v>6.01</v>
      </c>
      <c r="F1205" t="str">
        <f>VLOOKUP($A1205,'Medical Examinations'!$A:$J,6,FALSE)</f>
        <v>yes</v>
      </c>
      <c r="G1205" t="str">
        <f>VLOOKUP($A1205,'Medical Examinations'!$A:$J,7,FALSE)</f>
        <v>No</v>
      </c>
      <c r="H1205" t="str">
        <f>VLOOKUP($A1205,'Medical Examinations'!$A:$J,8,FALSE)</f>
        <v>No</v>
      </c>
      <c r="I1205">
        <f>VLOOKUP($A1205,'Medical Examinations'!$A:$J,9,FALSE)</f>
        <v>1</v>
      </c>
      <c r="J1205" t="str">
        <f>VLOOKUP($A1205,'Medical Examinations'!$A:$J,10,FALSE)</f>
        <v>No</v>
      </c>
      <c r="K1205" t="str">
        <f>VLOOKUP($A1205,'Medical Examinations'!$A:$J,5,FALSE)</f>
        <v>Prediabetes</v>
      </c>
      <c r="L1205">
        <f>VLOOKUP($A1206,'Medical Examinations'!$A:$J,3,FALSE)</f>
        <v>43.04</v>
      </c>
      <c r="M1205">
        <f>VLOOKUP($A1205,'Hospitalisation Details'!$A:$K,6,FALSE)</f>
        <v>9344.2000000000007</v>
      </c>
      <c r="N1205" s="11">
        <f>VLOOKUP($B1205,'Hospitalisation Details'!A1204:J3548,10,0)</f>
        <v>24416</v>
      </c>
      <c r="O1205" t="str">
        <f>VLOOKUP($B1205,'Hospitalisation Details'!A1204:J3548,8,0)</f>
        <v>tier - 3</v>
      </c>
      <c r="P1205" t="str">
        <f>VLOOKUP($B1205,'Hospitalisation Details'!A1204:J3548,7,0)</f>
        <v>tier - 3</v>
      </c>
      <c r="Q1205" t="str">
        <f>VLOOKUP($B1205,'Hospitalisation Details'!A1204:J3548,9,0)</f>
        <v>R1013</v>
      </c>
      <c r="R1205">
        <f>VLOOKUP($B1205,'Hospitalisation Details'!A1204:K3548,11,0)</f>
        <v>56</v>
      </c>
    </row>
    <row r="1206" spans="1:18" x14ac:dyDescent="0.35">
      <c r="A1206" t="s">
        <v>1166</v>
      </c>
      <c r="B1206" t="s">
        <v>1237</v>
      </c>
      <c r="C1206" t="str">
        <f>VLOOKUP($A1206,'Customer Names'!$A:$E,4,FALSE)</f>
        <v>Veronica</v>
      </c>
      <c r="D1206" t="str">
        <f>VLOOKUP($A1206,'Medical Examinations'!$A:$J,2,FALSE)</f>
        <v>Obesity</v>
      </c>
      <c r="E1206">
        <f>VLOOKUP($A1206,'Medical Examinations'!$A:$J,4,FALSE)</f>
        <v>5.9</v>
      </c>
      <c r="F1206" t="str">
        <f>VLOOKUP($A1206,'Medical Examinations'!$A:$J,6,FALSE)</f>
        <v>yes</v>
      </c>
      <c r="G1206" t="str">
        <f>VLOOKUP($A1206,'Medical Examinations'!$A:$J,7,FALSE)</f>
        <v>No</v>
      </c>
      <c r="H1206" t="str">
        <f>VLOOKUP($A1206,'Medical Examinations'!$A:$J,8,FALSE)</f>
        <v>No</v>
      </c>
      <c r="I1206">
        <f>VLOOKUP($A1206,'Medical Examinations'!$A:$J,9,FALSE)</f>
        <v>0</v>
      </c>
      <c r="J1206" t="str">
        <f>VLOOKUP($A1206,'Medical Examinations'!$A:$J,10,FALSE)</f>
        <v>No</v>
      </c>
      <c r="K1206" t="str">
        <f>VLOOKUP($A1206,'Medical Examinations'!$A:$J,5,FALSE)</f>
        <v>Prediabetes</v>
      </c>
      <c r="L1206">
        <f>VLOOKUP($A1207,'Medical Examinations'!$A:$J,3,FALSE)</f>
        <v>34.15</v>
      </c>
      <c r="M1206">
        <f>VLOOKUP($A1206,'Hospitalisation Details'!$A:$K,6,FALSE)</f>
        <v>9338.61</v>
      </c>
      <c r="N1206" s="11">
        <f>VLOOKUP($B1206,'Hospitalisation Details'!A1205:J3549,10,0)</f>
        <v>35254</v>
      </c>
      <c r="O1206" t="str">
        <f>VLOOKUP($B1206,'Hospitalisation Details'!A1205:J3549,8,0)</f>
        <v>tier - 3</v>
      </c>
      <c r="P1206" t="str">
        <f>VLOOKUP($B1206,'Hospitalisation Details'!A1205:J3549,7,0)</f>
        <v>tier - 2</v>
      </c>
      <c r="Q1206" t="str">
        <f>VLOOKUP($B1206,'Hospitalisation Details'!A1205:J3549,9,0)</f>
        <v>R1012</v>
      </c>
      <c r="R1206">
        <f>VLOOKUP($B1206,'Hospitalisation Details'!A1205:K3549,11,0)</f>
        <v>26</v>
      </c>
    </row>
    <row r="1207" spans="1:18" x14ac:dyDescent="0.35">
      <c r="A1207" t="s">
        <v>1165</v>
      </c>
      <c r="B1207" t="s">
        <v>1238</v>
      </c>
      <c r="C1207" t="str">
        <f>VLOOKUP($A1207,'Customer Names'!$A:$E,4,FALSE)</f>
        <v>Warren</v>
      </c>
      <c r="D1207" t="str">
        <f>VLOOKUP($A1207,'Medical Examinations'!$A:$J,2,FALSE)</f>
        <v>Obesity</v>
      </c>
      <c r="E1207">
        <f>VLOOKUP($A1207,'Medical Examinations'!$A:$J,4,FALSE)</f>
        <v>4.49</v>
      </c>
      <c r="F1207" t="str">
        <f>VLOOKUP($A1207,'Medical Examinations'!$A:$J,6,FALSE)</f>
        <v>yes</v>
      </c>
      <c r="G1207" t="str">
        <f>VLOOKUP($A1207,'Medical Examinations'!$A:$J,7,FALSE)</f>
        <v>No</v>
      </c>
      <c r="H1207" t="str">
        <f>VLOOKUP($A1207,'Medical Examinations'!$A:$J,8,FALSE)</f>
        <v>No</v>
      </c>
      <c r="I1207">
        <f>VLOOKUP($A1207,'Medical Examinations'!$A:$J,9,FALSE)</f>
        <v>1</v>
      </c>
      <c r="J1207" t="str">
        <f>VLOOKUP($A1207,'Medical Examinations'!$A:$J,10,FALSE)</f>
        <v>No</v>
      </c>
      <c r="K1207" t="str">
        <f>VLOOKUP($A1207,'Medical Examinations'!$A:$J,5,FALSE)</f>
        <v>Normal</v>
      </c>
      <c r="L1207">
        <f>VLOOKUP($A1208,'Medical Examinations'!$A:$J,3,FALSE)</f>
        <v>25.78</v>
      </c>
      <c r="M1207">
        <f>VLOOKUP($A1207,'Hospitalisation Details'!$A:$K,6,FALSE)</f>
        <v>9320.26</v>
      </c>
      <c r="N1207" s="11">
        <f>VLOOKUP($B1207,'Hospitalisation Details'!A1206:J3550,10,0)</f>
        <v>22875</v>
      </c>
      <c r="O1207" t="str">
        <f>VLOOKUP($B1207,'Hospitalisation Details'!A1206:J3550,8,0)</f>
        <v>tier - 2</v>
      </c>
      <c r="P1207" t="str">
        <f>VLOOKUP($B1207,'Hospitalisation Details'!A1206:J3550,7,0)</f>
        <v>tier - 3</v>
      </c>
      <c r="Q1207" t="str">
        <f>VLOOKUP($B1207,'Hospitalisation Details'!A1206:J3550,9,0)</f>
        <v>R1013</v>
      </c>
      <c r="R1207">
        <f>VLOOKUP($B1207,'Hospitalisation Details'!A1206:K3550,11,0)</f>
        <v>60</v>
      </c>
    </row>
    <row r="1208" spans="1:18" x14ac:dyDescent="0.35">
      <c r="A1208" t="s">
        <v>1164</v>
      </c>
      <c r="B1208" t="s">
        <v>1239</v>
      </c>
      <c r="C1208" t="str">
        <f>VLOOKUP($A1208,'Customer Names'!$A:$E,4,FALSE)</f>
        <v>Daniela</v>
      </c>
      <c r="D1208" t="str">
        <f>VLOOKUP($A1208,'Medical Examinations'!$A:$J,2,FALSE)</f>
        <v>Overweight</v>
      </c>
      <c r="E1208">
        <f>VLOOKUP($A1208,'Medical Examinations'!$A:$J,4,FALSE)</f>
        <v>6.25</v>
      </c>
      <c r="F1208" t="str">
        <f>VLOOKUP($A1208,'Medical Examinations'!$A:$J,6,FALSE)</f>
        <v>No</v>
      </c>
      <c r="G1208" t="str">
        <f>VLOOKUP($A1208,'Medical Examinations'!$A:$J,7,FALSE)</f>
        <v>No</v>
      </c>
      <c r="H1208" t="str">
        <f>VLOOKUP($A1208,'Medical Examinations'!$A:$J,8,FALSE)</f>
        <v>No</v>
      </c>
      <c r="I1208">
        <f>VLOOKUP($A1208,'Medical Examinations'!$A:$J,9,FALSE)</f>
        <v>0</v>
      </c>
      <c r="J1208" t="str">
        <f>VLOOKUP($A1208,'Medical Examinations'!$A:$J,10,FALSE)</f>
        <v>No</v>
      </c>
      <c r="K1208" t="str">
        <f>VLOOKUP($A1208,'Medical Examinations'!$A:$J,5,FALSE)</f>
        <v>Prediabetes</v>
      </c>
      <c r="L1208">
        <f>VLOOKUP($A1209,'Medical Examinations'!$A:$J,3,FALSE)</f>
        <v>21.02</v>
      </c>
      <c r="M1208">
        <f>VLOOKUP($A1208,'Hospitalisation Details'!$A:$K,6,FALSE)</f>
        <v>9315.41</v>
      </c>
      <c r="N1208" s="11">
        <f>VLOOKUP($B1208,'Hospitalisation Details'!A1207:J3551,10,0)</f>
        <v>26556</v>
      </c>
      <c r="O1208" t="str">
        <f>VLOOKUP($B1208,'Hospitalisation Details'!A1207:J3551,8,0)</f>
        <v>tier - 3</v>
      </c>
      <c r="P1208" t="str">
        <f>VLOOKUP($B1208,'Hospitalisation Details'!A1207:J3551,7,0)</f>
        <v>tier - 2</v>
      </c>
      <c r="Q1208" t="str">
        <f>VLOOKUP($B1208,'Hospitalisation Details'!A1207:J3551,9,0)</f>
        <v>R1012</v>
      </c>
      <c r="R1208">
        <f>VLOOKUP($B1208,'Hospitalisation Details'!A1207:K3551,11,0)</f>
        <v>50</v>
      </c>
    </row>
    <row r="1209" spans="1:18" x14ac:dyDescent="0.35">
      <c r="A1209" t="s">
        <v>1163</v>
      </c>
      <c r="B1209" t="s">
        <v>1240</v>
      </c>
      <c r="C1209" t="str">
        <f>VLOOKUP($A1209,'Customer Names'!$A:$E,4,FALSE)</f>
        <v>Deirdre A</v>
      </c>
      <c r="D1209" t="str">
        <f>VLOOKUP($A1209,'Medical Examinations'!$A:$J,2,FALSE)</f>
        <v>Normal Weight</v>
      </c>
      <c r="E1209">
        <f>VLOOKUP($A1209,'Medical Examinations'!$A:$J,4,FALSE)</f>
        <v>9.6199999999999992</v>
      </c>
      <c r="F1209" t="str">
        <f>VLOOKUP($A1209,'Medical Examinations'!$A:$J,6,FALSE)</f>
        <v>yes</v>
      </c>
      <c r="G1209" t="str">
        <f>VLOOKUP($A1209,'Medical Examinations'!$A:$J,7,FALSE)</f>
        <v>No</v>
      </c>
      <c r="H1209" t="str">
        <f>VLOOKUP($A1209,'Medical Examinations'!$A:$J,8,FALSE)</f>
        <v>Yes</v>
      </c>
      <c r="I1209">
        <f>VLOOKUP($A1209,'Medical Examinations'!$A:$J,9,FALSE)</f>
        <v>1</v>
      </c>
      <c r="J1209" t="str">
        <f>VLOOKUP($A1209,'Medical Examinations'!$A:$J,10,FALSE)</f>
        <v>No</v>
      </c>
      <c r="K1209" t="str">
        <f>VLOOKUP($A1209,'Medical Examinations'!$A:$J,5,FALSE)</f>
        <v>Diabetes</v>
      </c>
      <c r="L1209">
        <f>VLOOKUP($A1210,'Medical Examinations'!$A:$J,3,FALSE)</f>
        <v>37.51</v>
      </c>
      <c r="M1209">
        <f>VLOOKUP($A1209,'Hospitalisation Details'!$A:$K,6,FALSE)</f>
        <v>9310.81</v>
      </c>
      <c r="N1209" s="11">
        <f>VLOOKUP($B1209,'Hospitalisation Details'!A1208:J3552,10,0)</f>
        <v>31278</v>
      </c>
      <c r="O1209" t="str">
        <f>VLOOKUP($B1209,'Hospitalisation Details'!A1208:J3552,8,0)</f>
        <v>tier - 3</v>
      </c>
      <c r="P1209" t="str">
        <f>VLOOKUP($B1209,'Hospitalisation Details'!A1208:J3552,7,0)</f>
        <v>tier - 2</v>
      </c>
      <c r="Q1209" t="str">
        <f>VLOOKUP($B1209,'Hospitalisation Details'!A1208:J3552,9,0)</f>
        <v>R1025</v>
      </c>
      <c r="R1209">
        <f>VLOOKUP($B1209,'Hospitalisation Details'!A1208:K3552,11,0)</f>
        <v>37</v>
      </c>
    </row>
    <row r="1210" spans="1:18" x14ac:dyDescent="0.35">
      <c r="A1210" t="s">
        <v>1162</v>
      </c>
      <c r="B1210" t="s">
        <v>1241</v>
      </c>
      <c r="C1210" t="str">
        <f>VLOOKUP($A1210,'Customer Names'!$A:$E,4,FALSE)</f>
        <v>Mathias</v>
      </c>
      <c r="D1210" t="str">
        <f>VLOOKUP($A1210,'Medical Examinations'!$A:$J,2,FALSE)</f>
        <v>Obesity</v>
      </c>
      <c r="E1210">
        <f>VLOOKUP($A1210,'Medical Examinations'!$A:$J,4,FALSE)</f>
        <v>11.06</v>
      </c>
      <c r="F1210" t="str">
        <f>VLOOKUP($A1210,'Medical Examinations'!$A:$J,6,FALSE)</f>
        <v>No</v>
      </c>
      <c r="G1210" t="str">
        <f>VLOOKUP($A1210,'Medical Examinations'!$A:$J,7,FALSE)</f>
        <v>No</v>
      </c>
      <c r="H1210" t="str">
        <f>VLOOKUP($A1210,'Medical Examinations'!$A:$J,8,FALSE)</f>
        <v>No</v>
      </c>
      <c r="I1210">
        <f>VLOOKUP($A1210,'Medical Examinations'!$A:$J,9,FALSE)</f>
        <v>2</v>
      </c>
      <c r="J1210" t="str">
        <f>VLOOKUP($A1210,'Medical Examinations'!$A:$J,10,FALSE)</f>
        <v>No</v>
      </c>
      <c r="K1210" t="str">
        <f>VLOOKUP($A1210,'Medical Examinations'!$A:$J,5,FALSE)</f>
        <v>Diabetes</v>
      </c>
      <c r="L1210">
        <f>VLOOKUP($A1211,'Medical Examinations'!$A:$J,3,FALSE)</f>
        <v>25.745000000000001</v>
      </c>
      <c r="M1210">
        <f>VLOOKUP($A1210,'Hospitalisation Details'!$A:$K,6,FALSE)</f>
        <v>9304.7000000000007</v>
      </c>
      <c r="N1210" s="11">
        <f>VLOOKUP($B1210,'Hospitalisation Details'!A1209:J3553,10,0)</f>
        <v>30653</v>
      </c>
      <c r="O1210" t="str">
        <f>VLOOKUP($B1210,'Hospitalisation Details'!A1209:J3553,8,0)</f>
        <v>tier - 2</v>
      </c>
      <c r="P1210" t="str">
        <f>VLOOKUP($B1210,'Hospitalisation Details'!A1209:J3553,7,0)</f>
        <v>tier - 2</v>
      </c>
      <c r="Q1210" t="str">
        <f>VLOOKUP($B1210,'Hospitalisation Details'!A1209:J3553,9,0)</f>
        <v>R1012</v>
      </c>
      <c r="R1210">
        <f>VLOOKUP($B1210,'Hospitalisation Details'!A1209:K3553,11,0)</f>
        <v>39</v>
      </c>
    </row>
    <row r="1211" spans="1:18" x14ac:dyDescent="0.35">
      <c r="A1211" t="s">
        <v>1161</v>
      </c>
      <c r="B1211" t="s">
        <v>1242</v>
      </c>
      <c r="C1211" t="str">
        <f>VLOOKUP($A1211,'Customer Names'!$A:$E,4,FALSE)</f>
        <v>Matthew</v>
      </c>
      <c r="D1211" t="str">
        <f>VLOOKUP($A1211,'Medical Examinations'!$A:$J,2,FALSE)</f>
        <v>Overweight</v>
      </c>
      <c r="E1211">
        <f>VLOOKUP($A1211,'Medical Examinations'!$A:$J,4,FALSE)</f>
        <v>6.11</v>
      </c>
      <c r="F1211" t="str">
        <f>VLOOKUP($A1211,'Medical Examinations'!$A:$J,6,FALSE)</f>
        <v>yes</v>
      </c>
      <c r="G1211" t="str">
        <f>VLOOKUP($A1211,'Medical Examinations'!$A:$J,7,FALSE)</f>
        <v>No</v>
      </c>
      <c r="H1211" t="str">
        <f>VLOOKUP($A1211,'Medical Examinations'!$A:$J,8,FALSE)</f>
        <v>No</v>
      </c>
      <c r="I1211">
        <f>VLOOKUP($A1211,'Medical Examinations'!$A:$J,9,FALSE)</f>
        <v>0</v>
      </c>
      <c r="J1211" t="str">
        <f>VLOOKUP($A1211,'Medical Examinations'!$A:$J,10,FALSE)</f>
        <v>No</v>
      </c>
      <c r="K1211" t="str">
        <f>VLOOKUP($A1211,'Medical Examinations'!$A:$J,5,FALSE)</f>
        <v>Prediabetes</v>
      </c>
      <c r="L1211">
        <f>VLOOKUP($A1212,'Medical Examinations'!$A:$J,3,FALSE)</f>
        <v>31.35</v>
      </c>
      <c r="M1211">
        <f>VLOOKUP($A1211,'Hospitalisation Details'!$A:$K,6,FALSE)</f>
        <v>9301.89</v>
      </c>
      <c r="N1211" s="11">
        <f>VLOOKUP($B1211,'Hospitalisation Details'!A1210:J3554,10,0)</f>
        <v>23631</v>
      </c>
      <c r="O1211" t="str">
        <f>VLOOKUP($B1211,'Hospitalisation Details'!A1210:J3554,8,0)</f>
        <v>tier - 3</v>
      </c>
      <c r="P1211" t="str">
        <f>VLOOKUP($B1211,'Hospitalisation Details'!A1210:J3554,7,0)</f>
        <v>tier - 3</v>
      </c>
      <c r="Q1211" t="str">
        <f>VLOOKUP($B1211,'Hospitalisation Details'!A1210:J3554,9,0)</f>
        <v>R1013</v>
      </c>
      <c r="R1211">
        <f>VLOOKUP($B1211,'Hospitalisation Details'!A1210:K3554,11,0)</f>
        <v>58</v>
      </c>
    </row>
    <row r="1212" spans="1:18" x14ac:dyDescent="0.35">
      <c r="A1212" t="s">
        <v>1160</v>
      </c>
      <c r="B1212" t="s">
        <v>1243</v>
      </c>
      <c r="C1212" t="str">
        <f>VLOOKUP($A1212,'Customer Names'!$A:$E,4,FALSE)</f>
        <v>Kurt</v>
      </c>
      <c r="D1212" t="str">
        <f>VLOOKUP($A1212,'Medical Examinations'!$A:$J,2,FALSE)</f>
        <v>Obesity</v>
      </c>
      <c r="E1212">
        <f>VLOOKUP($A1212,'Medical Examinations'!$A:$J,4,FALSE)</f>
        <v>11.49</v>
      </c>
      <c r="F1212" t="str">
        <f>VLOOKUP($A1212,'Medical Examinations'!$A:$J,6,FALSE)</f>
        <v>No</v>
      </c>
      <c r="G1212" t="str">
        <f>VLOOKUP($A1212,'Medical Examinations'!$A:$J,7,FALSE)</f>
        <v>No</v>
      </c>
      <c r="H1212" t="str">
        <f>VLOOKUP($A1212,'Medical Examinations'!$A:$J,8,FALSE)</f>
        <v>No</v>
      </c>
      <c r="I1212">
        <f>VLOOKUP($A1212,'Medical Examinations'!$A:$J,9,FALSE)</f>
        <v>2</v>
      </c>
      <c r="J1212" t="str">
        <f>VLOOKUP($A1212,'Medical Examinations'!$A:$J,10,FALSE)</f>
        <v>No</v>
      </c>
      <c r="K1212" t="str">
        <f>VLOOKUP($A1212,'Medical Examinations'!$A:$J,5,FALSE)</f>
        <v>Diabetes</v>
      </c>
      <c r="L1212">
        <f>VLOOKUP($A1213,'Medical Examinations'!$A:$J,3,FALSE)</f>
        <v>29.83</v>
      </c>
      <c r="M1212">
        <f>VLOOKUP($A1212,'Hospitalisation Details'!$A:$K,6,FALSE)</f>
        <v>9290.14</v>
      </c>
      <c r="N1212" s="11">
        <f>VLOOKUP($B1212,'Hospitalisation Details'!A1211:J3555,10,0)</f>
        <v>26293</v>
      </c>
      <c r="O1212" t="str">
        <f>VLOOKUP($B1212,'Hospitalisation Details'!A1211:J3555,8,0)</f>
        <v>tier - 3</v>
      </c>
      <c r="P1212" t="str">
        <f>VLOOKUP($B1212,'Hospitalisation Details'!A1211:J3555,7,0)</f>
        <v>tier - 2</v>
      </c>
      <c r="Q1212" t="str">
        <f>VLOOKUP($B1212,'Hospitalisation Details'!A1211:J3555,9,0)</f>
        <v>R1018</v>
      </c>
      <c r="R1212">
        <f>VLOOKUP($B1212,'Hospitalisation Details'!A1211:K3555,11,0)</f>
        <v>51</v>
      </c>
    </row>
    <row r="1213" spans="1:18" x14ac:dyDescent="0.35">
      <c r="A1213" t="s">
        <v>1159</v>
      </c>
      <c r="B1213" t="s">
        <v>1244</v>
      </c>
      <c r="C1213" t="str">
        <f>VLOOKUP($A1213,'Customer Names'!$A:$E,4,FALSE)</f>
        <v>Samuel</v>
      </c>
      <c r="D1213" t="str">
        <f>VLOOKUP($A1213,'Medical Examinations'!$A:$J,2,FALSE)</f>
        <v>Overweight</v>
      </c>
      <c r="E1213">
        <f>VLOOKUP($A1213,'Medical Examinations'!$A:$J,4,FALSE)</f>
        <v>8.68</v>
      </c>
      <c r="F1213" t="str">
        <f>VLOOKUP($A1213,'Medical Examinations'!$A:$J,6,FALSE)</f>
        <v>No</v>
      </c>
      <c r="G1213" t="str">
        <f>VLOOKUP($A1213,'Medical Examinations'!$A:$J,7,FALSE)</f>
        <v>No</v>
      </c>
      <c r="H1213" t="str">
        <f>VLOOKUP($A1213,'Medical Examinations'!$A:$J,8,FALSE)</f>
        <v>No</v>
      </c>
      <c r="I1213">
        <f>VLOOKUP($A1213,'Medical Examinations'!$A:$J,9,FALSE)</f>
        <v>2</v>
      </c>
      <c r="J1213" t="str">
        <f>VLOOKUP($A1213,'Medical Examinations'!$A:$J,10,FALSE)</f>
        <v>No</v>
      </c>
      <c r="K1213" t="str">
        <f>VLOOKUP($A1213,'Medical Examinations'!$A:$J,5,FALSE)</f>
        <v>Diabetes</v>
      </c>
      <c r="L1213">
        <f>VLOOKUP($A1214,'Medical Examinations'!$A:$J,3,FALSE)</f>
        <v>25.49</v>
      </c>
      <c r="M1213">
        <f>VLOOKUP($A1213,'Hospitalisation Details'!$A:$K,6,FALSE)</f>
        <v>9288.0300000000007</v>
      </c>
      <c r="N1213" s="11">
        <f>VLOOKUP($B1213,'Hospitalisation Details'!A1212:J3556,10,0)</f>
        <v>26212</v>
      </c>
      <c r="O1213" t="str">
        <f>VLOOKUP($B1213,'Hospitalisation Details'!A1212:J3556,8,0)</f>
        <v>tier - 2</v>
      </c>
      <c r="P1213" t="str">
        <f>VLOOKUP($B1213,'Hospitalisation Details'!A1212:J3556,7,0)</f>
        <v>tier - 2</v>
      </c>
      <c r="Q1213" t="str">
        <f>VLOOKUP($B1213,'Hospitalisation Details'!A1212:J3556,9,0)</f>
        <v>R1019</v>
      </c>
      <c r="R1213">
        <f>VLOOKUP($B1213,'Hospitalisation Details'!A1212:K3556,11,0)</f>
        <v>51</v>
      </c>
    </row>
    <row r="1214" spans="1:18" x14ac:dyDescent="0.35">
      <c r="A1214" t="s">
        <v>1158</v>
      </c>
      <c r="B1214" t="s">
        <v>1245</v>
      </c>
      <c r="C1214" t="str">
        <f>VLOOKUP($A1214,'Customer Names'!$A:$E,4,FALSE)</f>
        <v>Emily</v>
      </c>
      <c r="D1214" t="str">
        <f>VLOOKUP($A1214,'Medical Examinations'!$A:$J,2,FALSE)</f>
        <v>Overweight</v>
      </c>
      <c r="E1214">
        <f>VLOOKUP($A1214,'Medical Examinations'!$A:$J,4,FALSE)</f>
        <v>5.68</v>
      </c>
      <c r="F1214" t="str">
        <f>VLOOKUP($A1214,'Medical Examinations'!$A:$J,6,FALSE)</f>
        <v>yes</v>
      </c>
      <c r="G1214" t="str">
        <f>VLOOKUP($A1214,'Medical Examinations'!$A:$J,7,FALSE)</f>
        <v>No</v>
      </c>
      <c r="H1214" t="str">
        <f>VLOOKUP($A1214,'Medical Examinations'!$A:$J,8,FALSE)</f>
        <v>Yes</v>
      </c>
      <c r="I1214">
        <f>VLOOKUP($A1214,'Medical Examinations'!$A:$J,9,FALSE)</f>
        <v>1</v>
      </c>
      <c r="J1214" t="str">
        <f>VLOOKUP($A1214,'Medical Examinations'!$A:$J,10,FALSE)</f>
        <v>No</v>
      </c>
      <c r="K1214" t="str">
        <f>VLOOKUP($A1214,'Medical Examinations'!$A:$J,5,FALSE)</f>
        <v>Normal</v>
      </c>
      <c r="L1214">
        <f>VLOOKUP($A1215,'Medical Examinations'!$A:$J,3,FALSE)</f>
        <v>34.1</v>
      </c>
      <c r="M1214">
        <f>VLOOKUP($A1214,'Hospitalisation Details'!$A:$K,6,FALSE)</f>
        <v>9285.8700000000008</v>
      </c>
      <c r="N1214" s="11">
        <f>VLOOKUP($B1214,'Hospitalisation Details'!A1213:J3557,10,0)</f>
        <v>25791</v>
      </c>
      <c r="O1214" t="str">
        <f>VLOOKUP($B1214,'Hospitalisation Details'!A1213:J3557,8,0)</f>
        <v>tier - 3</v>
      </c>
      <c r="P1214" t="str">
        <f>VLOOKUP($B1214,'Hospitalisation Details'!A1213:J3557,7,0)</f>
        <v>tier - 2</v>
      </c>
      <c r="Q1214" t="str">
        <f>VLOOKUP($B1214,'Hospitalisation Details'!A1213:J3557,9,0)</f>
        <v>R1012</v>
      </c>
      <c r="R1214">
        <f>VLOOKUP($B1214,'Hospitalisation Details'!A1213:K3557,11,0)</f>
        <v>52</v>
      </c>
    </row>
    <row r="1215" spans="1:18" x14ac:dyDescent="0.35">
      <c r="A1215" t="s">
        <v>1157</v>
      </c>
      <c r="B1215" t="s">
        <v>1246</v>
      </c>
      <c r="C1215" t="str">
        <f>VLOOKUP($A1215,'Customer Names'!$A:$E,4,FALSE)</f>
        <v>Tiffany</v>
      </c>
      <c r="D1215" t="str">
        <f>VLOOKUP($A1215,'Medical Examinations'!$A:$J,2,FALSE)</f>
        <v>Obesity</v>
      </c>
      <c r="E1215">
        <f>VLOOKUP($A1215,'Medical Examinations'!$A:$J,4,FALSE)</f>
        <v>8.4499999999999993</v>
      </c>
      <c r="F1215" t="str">
        <f>VLOOKUP($A1215,'Medical Examinations'!$A:$J,6,FALSE)</f>
        <v>No</v>
      </c>
      <c r="G1215" t="str">
        <f>VLOOKUP($A1215,'Medical Examinations'!$A:$J,7,FALSE)</f>
        <v>No</v>
      </c>
      <c r="H1215" t="str">
        <f>VLOOKUP($A1215,'Medical Examinations'!$A:$J,8,FALSE)</f>
        <v>No</v>
      </c>
      <c r="I1215">
        <f>VLOOKUP($A1215,'Medical Examinations'!$A:$J,9,FALSE)</f>
        <v>0</v>
      </c>
      <c r="J1215" t="str">
        <f>VLOOKUP($A1215,'Medical Examinations'!$A:$J,10,FALSE)</f>
        <v>No</v>
      </c>
      <c r="K1215" t="str">
        <f>VLOOKUP($A1215,'Medical Examinations'!$A:$J,5,FALSE)</f>
        <v>Diabetes</v>
      </c>
      <c r="L1215">
        <f>VLOOKUP($A1216,'Medical Examinations'!$A:$J,3,FALSE)</f>
        <v>25.84</v>
      </c>
      <c r="M1215">
        <f>VLOOKUP($A1215,'Hospitalisation Details'!$A:$K,6,FALSE)</f>
        <v>9283.56</v>
      </c>
      <c r="N1215" s="11">
        <f>VLOOKUP($B1215,'Hospitalisation Details'!A1214:J3558,10,0)</f>
        <v>32327</v>
      </c>
      <c r="O1215" t="str">
        <f>VLOOKUP($B1215,'Hospitalisation Details'!A1214:J3558,8,0)</f>
        <v>tier - 3</v>
      </c>
      <c r="P1215" t="str">
        <f>VLOOKUP($B1215,'Hospitalisation Details'!A1214:J3558,7,0)</f>
        <v>tier - 3</v>
      </c>
      <c r="Q1215" t="str">
        <f>VLOOKUP($B1215,'Hospitalisation Details'!A1214:J3558,9,0)</f>
        <v>R1026</v>
      </c>
      <c r="R1215">
        <f>VLOOKUP($B1215,'Hospitalisation Details'!A1214:K3558,11,0)</f>
        <v>34</v>
      </c>
    </row>
    <row r="1216" spans="1:18" x14ac:dyDescent="0.35">
      <c r="A1216" t="s">
        <v>1156</v>
      </c>
      <c r="B1216" t="s">
        <v>1247</v>
      </c>
      <c r="C1216" t="str">
        <f>VLOOKUP($A1216,'Customer Names'!$A:$E,4,FALSE)</f>
        <v>Alex F</v>
      </c>
      <c r="D1216" t="str">
        <f>VLOOKUP($A1216,'Medical Examinations'!$A:$J,2,FALSE)</f>
        <v>Overweight</v>
      </c>
      <c r="E1216">
        <f>VLOOKUP($A1216,'Medical Examinations'!$A:$J,4,FALSE)</f>
        <v>8.51</v>
      </c>
      <c r="F1216" t="str">
        <f>VLOOKUP($A1216,'Medical Examinations'!$A:$J,6,FALSE)</f>
        <v>No</v>
      </c>
      <c r="G1216" t="str">
        <f>VLOOKUP($A1216,'Medical Examinations'!$A:$J,7,FALSE)</f>
        <v>No</v>
      </c>
      <c r="H1216" t="str">
        <f>VLOOKUP($A1216,'Medical Examinations'!$A:$J,8,FALSE)</f>
        <v>No</v>
      </c>
      <c r="I1216">
        <f>VLOOKUP($A1216,'Medical Examinations'!$A:$J,9,FALSE)</f>
        <v>2</v>
      </c>
      <c r="J1216" t="str">
        <f>VLOOKUP($A1216,'Medical Examinations'!$A:$J,10,FALSE)</f>
        <v>No</v>
      </c>
      <c r="K1216" t="str">
        <f>VLOOKUP($A1216,'Medical Examinations'!$A:$J,5,FALSE)</f>
        <v>Diabetes</v>
      </c>
      <c r="L1216">
        <f>VLOOKUP($A1217,'Medical Examinations'!$A:$J,3,FALSE)</f>
        <v>20.6</v>
      </c>
      <c r="M1216">
        <f>VLOOKUP($A1216,'Hospitalisation Details'!$A:$K,6,FALSE)</f>
        <v>9282.48</v>
      </c>
      <c r="N1216" s="11">
        <f>VLOOKUP($B1216,'Hospitalisation Details'!A1215:J3559,10,0)</f>
        <v>29217</v>
      </c>
      <c r="O1216" t="str">
        <f>VLOOKUP($B1216,'Hospitalisation Details'!A1215:J3559,8,0)</f>
        <v>tier - 1</v>
      </c>
      <c r="P1216" t="str">
        <f>VLOOKUP($B1216,'Hospitalisation Details'!A1215:J3559,7,0)</f>
        <v>tier - 3</v>
      </c>
      <c r="Q1216" t="str">
        <f>VLOOKUP($B1216,'Hospitalisation Details'!A1215:J3559,9,0)</f>
        <v>R1021</v>
      </c>
      <c r="R1216">
        <f>VLOOKUP($B1216,'Hospitalisation Details'!A1215:K3559,11,0)</f>
        <v>43</v>
      </c>
    </row>
    <row r="1217" spans="1:18" x14ac:dyDescent="0.35">
      <c r="A1217" t="s">
        <v>1155</v>
      </c>
      <c r="B1217" t="s">
        <v>1248</v>
      </c>
      <c r="C1217" t="str">
        <f>VLOOKUP($A1217,'Customer Names'!$A:$E,4,FALSE)</f>
        <v>Alice</v>
      </c>
      <c r="D1217" t="str">
        <f>VLOOKUP($A1217,'Medical Examinations'!$A:$J,2,FALSE)</f>
        <v>Normal Weight</v>
      </c>
      <c r="E1217">
        <f>VLOOKUP($A1217,'Medical Examinations'!$A:$J,4,FALSE)</f>
        <v>7.62</v>
      </c>
      <c r="F1217" t="str">
        <f>VLOOKUP($A1217,'Medical Examinations'!$A:$J,6,FALSE)</f>
        <v>No</v>
      </c>
      <c r="G1217" t="str">
        <f>VLOOKUP($A1217,'Medical Examinations'!$A:$J,7,FALSE)</f>
        <v>No</v>
      </c>
      <c r="H1217" t="str">
        <f>VLOOKUP($A1217,'Medical Examinations'!$A:$J,8,FALSE)</f>
        <v>No</v>
      </c>
      <c r="I1217">
        <f>VLOOKUP($A1217,'Medical Examinations'!$A:$J,9,FALSE)</f>
        <v>0</v>
      </c>
      <c r="J1217" t="str">
        <f>VLOOKUP($A1217,'Medical Examinations'!$A:$J,10,FALSE)</f>
        <v>No</v>
      </c>
      <c r="K1217" t="str">
        <f>VLOOKUP($A1217,'Medical Examinations'!$A:$J,5,FALSE)</f>
        <v>Diabetes</v>
      </c>
      <c r="L1217">
        <f>VLOOKUP($A1218,'Medical Examinations'!$A:$J,3,FALSE)</f>
        <v>28.88</v>
      </c>
      <c r="M1217">
        <f>VLOOKUP($A1217,'Hospitalisation Details'!$A:$K,6,FALSE)</f>
        <v>9264.7999999999993</v>
      </c>
      <c r="N1217" s="11">
        <f>VLOOKUP($B1217,'Hospitalisation Details'!A1216:J3560,10,0)</f>
        <v>27271</v>
      </c>
      <c r="O1217" t="str">
        <f>VLOOKUP($B1217,'Hospitalisation Details'!A1216:J3560,8,0)</f>
        <v>tier - 2</v>
      </c>
      <c r="P1217" t="str">
        <f>VLOOKUP($B1217,'Hospitalisation Details'!A1216:J3560,7,0)</f>
        <v>tier - 3</v>
      </c>
      <c r="Q1217" t="str">
        <f>VLOOKUP($B1217,'Hospitalisation Details'!A1216:J3560,9,0)</f>
        <v>R1024</v>
      </c>
      <c r="R1217">
        <f>VLOOKUP($B1217,'Hospitalisation Details'!A1216:K3560,11,0)</f>
        <v>48</v>
      </c>
    </row>
    <row r="1218" spans="1:18" x14ac:dyDescent="0.35">
      <c r="A1218" t="s">
        <v>1154</v>
      </c>
      <c r="B1218" t="s">
        <v>1249</v>
      </c>
      <c r="C1218" t="str">
        <f>VLOOKUP($A1218,'Customer Names'!$A:$E,4,FALSE)</f>
        <v>Allison M.</v>
      </c>
      <c r="D1218" t="str">
        <f>VLOOKUP($A1218,'Medical Examinations'!$A:$J,2,FALSE)</f>
        <v>Overweight</v>
      </c>
      <c r="E1218">
        <f>VLOOKUP($A1218,'Medical Examinations'!$A:$J,4,FALSE)</f>
        <v>10.18</v>
      </c>
      <c r="F1218" t="str">
        <f>VLOOKUP($A1218,'Medical Examinations'!$A:$J,6,FALSE)</f>
        <v>No</v>
      </c>
      <c r="G1218" t="str">
        <f>VLOOKUP($A1218,'Medical Examinations'!$A:$J,7,FALSE)</f>
        <v>No</v>
      </c>
      <c r="H1218" t="str">
        <f>VLOOKUP($A1218,'Medical Examinations'!$A:$J,8,FALSE)</f>
        <v>No</v>
      </c>
      <c r="I1218">
        <f>VLOOKUP($A1218,'Medical Examinations'!$A:$J,9,FALSE)</f>
        <v>0</v>
      </c>
      <c r="J1218" t="str">
        <f>VLOOKUP($A1218,'Medical Examinations'!$A:$J,10,FALSE)</f>
        <v>No</v>
      </c>
      <c r="K1218" t="str">
        <f>VLOOKUP($A1218,'Medical Examinations'!$A:$J,5,FALSE)</f>
        <v>Diabetes</v>
      </c>
      <c r="L1218">
        <f>VLOOKUP($A1219,'Medical Examinations'!$A:$J,3,FALSE)</f>
        <v>28.24</v>
      </c>
      <c r="M1218">
        <f>VLOOKUP($A1218,'Hospitalisation Details'!$A:$K,6,FALSE)</f>
        <v>9249.5</v>
      </c>
      <c r="N1218" s="11">
        <f>VLOOKUP($B1218,'Hospitalisation Details'!A1217:J3561,10,0)</f>
        <v>25437</v>
      </c>
      <c r="O1218" t="str">
        <f>VLOOKUP($B1218,'Hospitalisation Details'!A1217:J3561,8,0)</f>
        <v>tier - 2</v>
      </c>
      <c r="P1218" t="str">
        <f>VLOOKUP($B1218,'Hospitalisation Details'!A1217:J3561,7,0)</f>
        <v>tier - 3</v>
      </c>
      <c r="Q1218" t="str">
        <f>VLOOKUP($B1218,'Hospitalisation Details'!A1217:J3561,9,0)</f>
        <v>R1011</v>
      </c>
      <c r="R1218">
        <f>VLOOKUP($B1218,'Hospitalisation Details'!A1217:K3561,11,0)</f>
        <v>53</v>
      </c>
    </row>
    <row r="1219" spans="1:18" x14ac:dyDescent="0.35">
      <c r="A1219" t="s">
        <v>1153</v>
      </c>
      <c r="B1219" t="s">
        <v>1250</v>
      </c>
      <c r="C1219" t="str">
        <f>VLOOKUP($A1219,'Customer Names'!$A:$E,4,FALSE)</f>
        <v>Johannes Fiskerstand</v>
      </c>
      <c r="D1219" t="str">
        <f>VLOOKUP($A1219,'Medical Examinations'!$A:$J,2,FALSE)</f>
        <v>Overweight</v>
      </c>
      <c r="E1219">
        <f>VLOOKUP($A1219,'Medical Examinations'!$A:$J,4,FALSE)</f>
        <v>5.36</v>
      </c>
      <c r="F1219" t="str">
        <f>VLOOKUP($A1219,'Medical Examinations'!$A:$J,6,FALSE)</f>
        <v>No</v>
      </c>
      <c r="G1219" t="str">
        <f>VLOOKUP($A1219,'Medical Examinations'!$A:$J,7,FALSE)</f>
        <v>No</v>
      </c>
      <c r="H1219" t="str">
        <f>VLOOKUP($A1219,'Medical Examinations'!$A:$J,8,FALSE)</f>
        <v>No</v>
      </c>
      <c r="I1219">
        <f>VLOOKUP($A1219,'Medical Examinations'!$A:$J,9,FALSE)</f>
        <v>0</v>
      </c>
      <c r="J1219" t="str">
        <f>VLOOKUP($A1219,'Medical Examinations'!$A:$J,10,FALSE)</f>
        <v>No</v>
      </c>
      <c r="K1219" t="str">
        <f>VLOOKUP($A1219,'Medical Examinations'!$A:$J,5,FALSE)</f>
        <v>Normal</v>
      </c>
      <c r="L1219">
        <f>VLOOKUP($A1220,'Medical Examinations'!$A:$J,3,FALSE)</f>
        <v>25.46</v>
      </c>
      <c r="M1219">
        <f>VLOOKUP($A1219,'Hospitalisation Details'!$A:$K,6,FALSE)</f>
        <v>9247.94</v>
      </c>
      <c r="N1219" s="11">
        <f>VLOOKUP($B1219,'Hospitalisation Details'!A1218:J3562,10,0)</f>
        <v>25503</v>
      </c>
      <c r="O1219" t="str">
        <f>VLOOKUP($B1219,'Hospitalisation Details'!A1218:J3562,8,0)</f>
        <v>tier - 1</v>
      </c>
      <c r="P1219" t="str">
        <f>VLOOKUP($B1219,'Hospitalisation Details'!A1218:J3562,7,0)</f>
        <v>tier - 3</v>
      </c>
      <c r="Q1219" t="str">
        <f>VLOOKUP($B1219,'Hospitalisation Details'!A1218:J3562,9,0)</f>
        <v>R1017</v>
      </c>
      <c r="R1219">
        <f>VLOOKUP($B1219,'Hospitalisation Details'!A1218:K3562,11,0)</f>
        <v>53</v>
      </c>
    </row>
    <row r="1220" spans="1:18" x14ac:dyDescent="0.35">
      <c r="A1220" t="s">
        <v>1152</v>
      </c>
      <c r="B1220" t="s">
        <v>1251</v>
      </c>
      <c r="C1220" t="str">
        <f>VLOOKUP($A1220,'Customer Names'!$A:$E,4,FALSE)</f>
        <v>Stephen</v>
      </c>
      <c r="D1220" t="str">
        <f>VLOOKUP($A1220,'Medical Examinations'!$A:$J,2,FALSE)</f>
        <v>Overweight</v>
      </c>
      <c r="E1220">
        <f>VLOOKUP($A1220,'Medical Examinations'!$A:$J,4,FALSE)</f>
        <v>11.78</v>
      </c>
      <c r="F1220" t="str">
        <f>VLOOKUP($A1220,'Medical Examinations'!$A:$J,6,FALSE)</f>
        <v>yes</v>
      </c>
      <c r="G1220" t="str">
        <f>VLOOKUP($A1220,'Medical Examinations'!$A:$J,7,FALSE)</f>
        <v>No</v>
      </c>
      <c r="H1220" t="str">
        <f>VLOOKUP($A1220,'Medical Examinations'!$A:$J,8,FALSE)</f>
        <v>No</v>
      </c>
      <c r="I1220">
        <f>VLOOKUP($A1220,'Medical Examinations'!$A:$J,9,FALSE)</f>
        <v>1</v>
      </c>
      <c r="J1220" t="str">
        <f>VLOOKUP($A1220,'Medical Examinations'!$A:$J,10,FALSE)</f>
        <v>No</v>
      </c>
      <c r="K1220" t="str">
        <f>VLOOKUP($A1220,'Medical Examinations'!$A:$J,5,FALSE)</f>
        <v>Diabetes</v>
      </c>
      <c r="L1220">
        <f>VLOOKUP($A1221,'Medical Examinations'!$A:$J,3,FALSE)</f>
        <v>29.64</v>
      </c>
      <c r="M1220">
        <f>VLOOKUP($A1220,'Hospitalisation Details'!$A:$K,6,FALSE)</f>
        <v>9225.26</v>
      </c>
      <c r="N1220" s="11">
        <f>VLOOKUP($B1220,'Hospitalisation Details'!A1219:J3563,10,0)</f>
        <v>25387</v>
      </c>
      <c r="O1220" t="str">
        <f>VLOOKUP($B1220,'Hospitalisation Details'!A1219:J3563,8,0)</f>
        <v>tier - 3</v>
      </c>
      <c r="P1220" t="str">
        <f>VLOOKUP($B1220,'Hospitalisation Details'!A1219:J3563,7,0)</f>
        <v>tier - 3</v>
      </c>
      <c r="Q1220" t="str">
        <f>VLOOKUP($B1220,'Hospitalisation Details'!A1219:J3563,9,0)</f>
        <v>R1011</v>
      </c>
      <c r="R1220">
        <f>VLOOKUP($B1220,'Hospitalisation Details'!A1219:K3563,11,0)</f>
        <v>53</v>
      </c>
    </row>
    <row r="1221" spans="1:18" x14ac:dyDescent="0.35">
      <c r="A1221" t="s">
        <v>1151</v>
      </c>
      <c r="B1221" t="s">
        <v>1252</v>
      </c>
      <c r="C1221" t="str">
        <f>VLOOKUP($A1221,'Customer Names'!$A:$E,4,FALSE)</f>
        <v>Jon M</v>
      </c>
      <c r="D1221" t="str">
        <f>VLOOKUP($A1221,'Medical Examinations'!$A:$J,2,FALSE)</f>
        <v>Overweight</v>
      </c>
      <c r="E1221">
        <f>VLOOKUP($A1221,'Medical Examinations'!$A:$J,4,FALSE)</f>
        <v>10.82</v>
      </c>
      <c r="F1221" t="str">
        <f>VLOOKUP($A1221,'Medical Examinations'!$A:$J,6,FALSE)</f>
        <v>yes</v>
      </c>
      <c r="G1221" t="str">
        <f>VLOOKUP($A1221,'Medical Examinations'!$A:$J,7,FALSE)</f>
        <v>No</v>
      </c>
      <c r="H1221" t="str">
        <f>VLOOKUP($A1221,'Medical Examinations'!$A:$J,8,FALSE)</f>
        <v>No</v>
      </c>
      <c r="I1221">
        <f>VLOOKUP($A1221,'Medical Examinations'!$A:$J,9,FALSE)</f>
        <v>0</v>
      </c>
      <c r="J1221" t="str">
        <f>VLOOKUP($A1221,'Medical Examinations'!$A:$J,10,FALSE)</f>
        <v>No</v>
      </c>
      <c r="K1221" t="str">
        <f>VLOOKUP($A1221,'Medical Examinations'!$A:$J,5,FALSE)</f>
        <v>Diabetes</v>
      </c>
      <c r="L1221">
        <f>VLOOKUP($A1222,'Medical Examinations'!$A:$J,3,FALSE)</f>
        <v>31.27</v>
      </c>
      <c r="M1221">
        <f>VLOOKUP($A1221,'Hospitalisation Details'!$A:$K,6,FALSE)</f>
        <v>9222.4</v>
      </c>
      <c r="N1221" s="11">
        <f>VLOOKUP($B1221,'Hospitalisation Details'!A1220:J3564,10,0)</f>
        <v>28113</v>
      </c>
      <c r="O1221" t="str">
        <f>VLOOKUP($B1221,'Hospitalisation Details'!A1220:J3564,8,0)</f>
        <v>tier - 2</v>
      </c>
      <c r="P1221" t="str">
        <f>VLOOKUP($B1221,'Hospitalisation Details'!A1220:J3564,7,0)</f>
        <v>tier - 3</v>
      </c>
      <c r="Q1221" t="str">
        <f>VLOOKUP($B1221,'Hospitalisation Details'!A1220:J3564,9,0)</f>
        <v>R1011</v>
      </c>
      <c r="R1221">
        <f>VLOOKUP($B1221,'Hospitalisation Details'!A1220:K3564,11,0)</f>
        <v>46</v>
      </c>
    </row>
    <row r="1222" spans="1:18" x14ac:dyDescent="0.35">
      <c r="A1222" t="s">
        <v>1150</v>
      </c>
      <c r="B1222" t="s">
        <v>1253</v>
      </c>
      <c r="C1222" t="str">
        <f>VLOOKUP($A1222,'Customer Names'!$A:$E,4,FALSE)</f>
        <v>Fasil</v>
      </c>
      <c r="D1222" t="str">
        <f>VLOOKUP($A1222,'Medical Examinations'!$A:$J,2,FALSE)</f>
        <v>Obesity</v>
      </c>
      <c r="E1222">
        <f>VLOOKUP($A1222,'Medical Examinations'!$A:$J,4,FALSE)</f>
        <v>7.73</v>
      </c>
      <c r="F1222" t="str">
        <f>VLOOKUP($A1222,'Medical Examinations'!$A:$J,6,FALSE)</f>
        <v>yes</v>
      </c>
      <c r="G1222" t="str">
        <f>VLOOKUP($A1222,'Medical Examinations'!$A:$J,7,FALSE)</f>
        <v>No</v>
      </c>
      <c r="H1222" t="str">
        <f>VLOOKUP($A1222,'Medical Examinations'!$A:$J,8,FALSE)</f>
        <v>No</v>
      </c>
      <c r="I1222">
        <f>VLOOKUP($A1222,'Medical Examinations'!$A:$J,9,FALSE)</f>
        <v>1</v>
      </c>
      <c r="J1222" t="str">
        <f>VLOOKUP($A1222,'Medical Examinations'!$A:$J,10,FALSE)</f>
        <v>No</v>
      </c>
      <c r="K1222" t="str">
        <f>VLOOKUP($A1222,'Medical Examinations'!$A:$J,5,FALSE)</f>
        <v>Diabetes</v>
      </c>
      <c r="L1222">
        <f>VLOOKUP($A1223,'Medical Examinations'!$A:$J,3,FALSE)</f>
        <v>19.95</v>
      </c>
      <c r="M1222">
        <f>VLOOKUP($A1222,'Hospitalisation Details'!$A:$K,6,FALSE)</f>
        <v>9210.06</v>
      </c>
      <c r="N1222" s="11">
        <f>VLOOKUP($B1222,'Hospitalisation Details'!A1221:J3565,10,0)</f>
        <v>26591</v>
      </c>
      <c r="O1222" t="str">
        <f>VLOOKUP($B1222,'Hospitalisation Details'!A1221:J3565,8,0)</f>
        <v>tier - 1</v>
      </c>
      <c r="P1222" t="str">
        <f>VLOOKUP($B1222,'Hospitalisation Details'!A1221:J3565,7,0)</f>
        <v>tier - 3</v>
      </c>
      <c r="Q1222" t="str">
        <f>VLOOKUP($B1222,'Hospitalisation Details'!A1221:J3565,9,0)</f>
        <v>R1024</v>
      </c>
      <c r="R1222">
        <f>VLOOKUP($B1222,'Hospitalisation Details'!A1221:K3565,11,0)</f>
        <v>50</v>
      </c>
    </row>
    <row r="1223" spans="1:18" x14ac:dyDescent="0.35">
      <c r="A1223" t="s">
        <v>1149</v>
      </c>
      <c r="B1223" t="s">
        <v>1254</v>
      </c>
      <c r="C1223" t="str">
        <f>VLOOKUP($A1223,'Customer Names'!$A:$E,4,FALSE)</f>
        <v>Megan C.</v>
      </c>
      <c r="D1223" t="str">
        <f>VLOOKUP($A1223,'Medical Examinations'!$A:$J,2,FALSE)</f>
        <v>Normal Weight</v>
      </c>
      <c r="E1223">
        <f>VLOOKUP($A1223,'Medical Examinations'!$A:$J,4,FALSE)</f>
        <v>6.24</v>
      </c>
      <c r="F1223" t="str">
        <f>VLOOKUP($A1223,'Medical Examinations'!$A:$J,6,FALSE)</f>
        <v>yes</v>
      </c>
      <c r="G1223" t="str">
        <f>VLOOKUP($A1223,'Medical Examinations'!$A:$J,7,FALSE)</f>
        <v>No</v>
      </c>
      <c r="H1223" t="str">
        <f>VLOOKUP($A1223,'Medical Examinations'!$A:$J,8,FALSE)</f>
        <v>No</v>
      </c>
      <c r="I1223">
        <f>VLOOKUP($A1223,'Medical Examinations'!$A:$J,9,FALSE)</f>
        <v>0</v>
      </c>
      <c r="J1223" t="str">
        <f>VLOOKUP($A1223,'Medical Examinations'!$A:$J,10,FALSE)</f>
        <v>No</v>
      </c>
      <c r="K1223" t="str">
        <f>VLOOKUP($A1223,'Medical Examinations'!$A:$J,5,FALSE)</f>
        <v>Prediabetes</v>
      </c>
      <c r="L1223">
        <f>VLOOKUP($A1224,'Medical Examinations'!$A:$J,3,FALSE)</f>
        <v>21.3</v>
      </c>
      <c r="M1223">
        <f>VLOOKUP($A1223,'Hospitalisation Details'!$A:$K,6,FALSE)</f>
        <v>9193.84</v>
      </c>
      <c r="N1223" s="11">
        <f>VLOOKUP($B1223,'Hospitalisation Details'!A1222:J3566,10,0)</f>
        <v>26519</v>
      </c>
      <c r="O1223" t="str">
        <f>VLOOKUP($B1223,'Hospitalisation Details'!A1222:J3566,8,0)</f>
        <v>tier - 1</v>
      </c>
      <c r="P1223" t="str">
        <f>VLOOKUP($B1223,'Hospitalisation Details'!A1222:J3566,7,0)</f>
        <v>tier - 3</v>
      </c>
      <c r="Q1223" t="str">
        <f>VLOOKUP($B1223,'Hospitalisation Details'!A1222:J3566,9,0)</f>
        <v>R1013</v>
      </c>
      <c r="R1223">
        <f>VLOOKUP($B1223,'Hospitalisation Details'!A1222:K3566,11,0)</f>
        <v>50</v>
      </c>
    </row>
    <row r="1224" spans="1:18" x14ac:dyDescent="0.35">
      <c r="A1224" t="s">
        <v>1148</v>
      </c>
      <c r="B1224" t="s">
        <v>1255</v>
      </c>
      <c r="C1224" t="str">
        <f>VLOOKUP($A1224,'Customer Names'!$A:$E,4,FALSE)</f>
        <v>Lisa J.</v>
      </c>
      <c r="D1224" t="str">
        <f>VLOOKUP($A1224,'Medical Examinations'!$A:$J,2,FALSE)</f>
        <v>Normal Weight</v>
      </c>
      <c r="E1224">
        <f>VLOOKUP($A1224,'Medical Examinations'!$A:$J,4,FALSE)</f>
        <v>10.42</v>
      </c>
      <c r="F1224" t="str">
        <f>VLOOKUP($A1224,'Medical Examinations'!$A:$J,6,FALSE)</f>
        <v>No</v>
      </c>
      <c r="G1224" t="str">
        <f>VLOOKUP($A1224,'Medical Examinations'!$A:$J,7,FALSE)</f>
        <v>No</v>
      </c>
      <c r="H1224" t="str">
        <f>VLOOKUP($A1224,'Medical Examinations'!$A:$J,8,FALSE)</f>
        <v>No</v>
      </c>
      <c r="I1224">
        <f>VLOOKUP($A1224,'Medical Examinations'!$A:$J,9,FALSE)</f>
        <v>2</v>
      </c>
      <c r="J1224" t="str">
        <f>VLOOKUP($A1224,'Medical Examinations'!$A:$J,10,FALSE)</f>
        <v>No</v>
      </c>
      <c r="K1224" t="str">
        <f>VLOOKUP($A1224,'Medical Examinations'!$A:$J,5,FALSE)</f>
        <v>Diabetes</v>
      </c>
      <c r="L1224">
        <f>VLOOKUP($A1225,'Medical Examinations'!$A:$J,3,FALSE)</f>
        <v>31.635000000000002</v>
      </c>
      <c r="M1224">
        <f>VLOOKUP($A1224,'Hospitalisation Details'!$A:$K,6,FALSE)</f>
        <v>9182.17</v>
      </c>
      <c r="N1224" s="11">
        <f>VLOOKUP($B1224,'Hospitalisation Details'!A1223:J3567,10,0)</f>
        <v>27577</v>
      </c>
      <c r="O1224" t="str">
        <f>VLOOKUP($B1224,'Hospitalisation Details'!A1223:J3567,8,0)</f>
        <v>tier - 3</v>
      </c>
      <c r="P1224" t="str">
        <f>VLOOKUP($B1224,'Hospitalisation Details'!A1223:J3567,7,0)</f>
        <v>tier - 3</v>
      </c>
      <c r="Q1224" t="str">
        <f>VLOOKUP($B1224,'Hospitalisation Details'!A1223:J3567,9,0)</f>
        <v>R1012</v>
      </c>
      <c r="R1224">
        <f>VLOOKUP($B1224,'Hospitalisation Details'!A1223:K3567,11,0)</f>
        <v>47</v>
      </c>
    </row>
    <row r="1225" spans="1:18" x14ac:dyDescent="0.35">
      <c r="A1225" t="s">
        <v>1147</v>
      </c>
      <c r="B1225" t="s">
        <v>1256</v>
      </c>
      <c r="C1225" t="str">
        <f>VLOOKUP($A1225,'Customer Names'!$A:$E,4,FALSE)</f>
        <v>Doron P</v>
      </c>
      <c r="D1225" t="str">
        <f>VLOOKUP($A1225,'Medical Examinations'!$A:$J,2,FALSE)</f>
        <v>Obesity</v>
      </c>
      <c r="E1225">
        <f>VLOOKUP($A1225,'Medical Examinations'!$A:$J,4,FALSE)</f>
        <v>11.11</v>
      </c>
      <c r="F1225" t="str">
        <f>VLOOKUP($A1225,'Medical Examinations'!$A:$J,6,FALSE)</f>
        <v>No</v>
      </c>
      <c r="G1225" t="str">
        <f>VLOOKUP($A1225,'Medical Examinations'!$A:$J,7,FALSE)</f>
        <v>No</v>
      </c>
      <c r="H1225" t="str">
        <f>VLOOKUP($A1225,'Medical Examinations'!$A:$J,8,FALSE)</f>
        <v>No</v>
      </c>
      <c r="I1225">
        <f>VLOOKUP($A1225,'Medical Examinations'!$A:$J,9,FALSE)</f>
        <v>0</v>
      </c>
      <c r="J1225" t="str">
        <f>VLOOKUP($A1225,'Medical Examinations'!$A:$J,10,FALSE)</f>
        <v>No</v>
      </c>
      <c r="K1225" t="str">
        <f>VLOOKUP($A1225,'Medical Examinations'!$A:$J,5,FALSE)</f>
        <v>Diabetes</v>
      </c>
      <c r="L1225">
        <f>VLOOKUP($A1226,'Medical Examinations'!$A:$J,3,FALSE)</f>
        <v>23.9</v>
      </c>
      <c r="M1225">
        <f>VLOOKUP($A1225,'Hospitalisation Details'!$A:$K,6,FALSE)</f>
        <v>9174.14</v>
      </c>
      <c r="N1225" s="11">
        <f>VLOOKUP($B1225,'Hospitalisation Details'!A1224:J3568,10,0)</f>
        <v>26619</v>
      </c>
      <c r="O1225" t="str">
        <f>VLOOKUP($B1225,'Hospitalisation Details'!A1224:J3568,8,0)</f>
        <v>tier - 3</v>
      </c>
      <c r="P1225" t="str">
        <f>VLOOKUP($B1225,'Hospitalisation Details'!A1224:J3568,7,0)</f>
        <v>tier - 3</v>
      </c>
      <c r="Q1225" t="str">
        <f>VLOOKUP($B1225,'Hospitalisation Details'!A1224:J3568,9,0)</f>
        <v>R1011</v>
      </c>
      <c r="R1225">
        <f>VLOOKUP($B1225,'Hospitalisation Details'!A1224:K3568,11,0)</f>
        <v>50</v>
      </c>
    </row>
    <row r="1226" spans="1:18" x14ac:dyDescent="0.35">
      <c r="A1226" t="s">
        <v>1146</v>
      </c>
      <c r="B1226" t="s">
        <v>1257</v>
      </c>
      <c r="C1226" t="str">
        <f>VLOOKUP($A1226,'Customer Names'!$A:$E,4,FALSE)</f>
        <v>Katharina</v>
      </c>
      <c r="D1226" t="str">
        <f>VLOOKUP($A1226,'Medical Examinations'!$A:$J,2,FALSE)</f>
        <v>Normal Weight</v>
      </c>
      <c r="E1226">
        <f>VLOOKUP($A1226,'Medical Examinations'!$A:$J,4,FALSE)</f>
        <v>7.67</v>
      </c>
      <c r="F1226" t="str">
        <f>VLOOKUP($A1226,'Medical Examinations'!$A:$J,6,FALSE)</f>
        <v>yes</v>
      </c>
      <c r="G1226" t="str">
        <f>VLOOKUP($A1226,'Medical Examinations'!$A:$J,7,FALSE)</f>
        <v>No</v>
      </c>
      <c r="H1226" t="str">
        <f>VLOOKUP($A1226,'Medical Examinations'!$A:$J,8,FALSE)</f>
        <v>No</v>
      </c>
      <c r="I1226">
        <f>VLOOKUP($A1226,'Medical Examinations'!$A:$J,9,FALSE)</f>
        <v>2</v>
      </c>
      <c r="J1226" t="str">
        <f>VLOOKUP($A1226,'Medical Examinations'!$A:$J,10,FALSE)</f>
        <v>No</v>
      </c>
      <c r="K1226" t="str">
        <f>VLOOKUP($A1226,'Medical Examinations'!$A:$J,5,FALSE)</f>
        <v>Diabetes</v>
      </c>
      <c r="L1226">
        <f>VLOOKUP($A1227,'Medical Examinations'!$A:$J,3,FALSE)</f>
        <v>34.15</v>
      </c>
      <c r="M1226">
        <f>VLOOKUP($A1226,'Hospitalisation Details'!$A:$K,6,FALSE)</f>
        <v>9171.75</v>
      </c>
      <c r="N1226" s="11">
        <f>VLOOKUP($B1226,'Hospitalisation Details'!A1225:J3569,10,0)</f>
        <v>35678</v>
      </c>
      <c r="O1226" t="str">
        <f>VLOOKUP($B1226,'Hospitalisation Details'!A1225:J3569,8,0)</f>
        <v>tier - 2</v>
      </c>
      <c r="P1226" t="str">
        <f>VLOOKUP($B1226,'Hospitalisation Details'!A1225:J3569,7,0)</f>
        <v>tier - 3</v>
      </c>
      <c r="Q1226" t="str">
        <f>VLOOKUP($B1226,'Hospitalisation Details'!A1225:J3569,9,0)</f>
        <v>R1012</v>
      </c>
      <c r="R1226">
        <f>VLOOKUP($B1226,'Hospitalisation Details'!A1225:K3569,11,0)</f>
        <v>25</v>
      </c>
    </row>
    <row r="1227" spans="1:18" x14ac:dyDescent="0.35">
      <c r="A1227" t="s">
        <v>1145</v>
      </c>
      <c r="B1227" t="s">
        <v>1258</v>
      </c>
      <c r="C1227" t="str">
        <f>VLOOKUP($A1227,'Customer Names'!$A:$E,4,FALSE)</f>
        <v>Carl</v>
      </c>
      <c r="D1227" t="str">
        <f>VLOOKUP($A1227,'Medical Examinations'!$A:$J,2,FALSE)</f>
        <v>Obesity</v>
      </c>
      <c r="E1227">
        <f>VLOOKUP($A1227,'Medical Examinations'!$A:$J,4,FALSE)</f>
        <v>6.15</v>
      </c>
      <c r="F1227" t="str">
        <f>VLOOKUP($A1227,'Medical Examinations'!$A:$J,6,FALSE)</f>
        <v>No</v>
      </c>
      <c r="G1227" t="str">
        <f>VLOOKUP($A1227,'Medical Examinations'!$A:$J,7,FALSE)</f>
        <v>No</v>
      </c>
      <c r="H1227" t="str">
        <f>VLOOKUP($A1227,'Medical Examinations'!$A:$J,8,FALSE)</f>
        <v>No</v>
      </c>
      <c r="I1227">
        <f>VLOOKUP($A1227,'Medical Examinations'!$A:$J,9,FALSE)</f>
        <v>0</v>
      </c>
      <c r="J1227" t="str">
        <f>VLOOKUP($A1227,'Medical Examinations'!$A:$J,10,FALSE)</f>
        <v>No</v>
      </c>
      <c r="K1227" t="str">
        <f>VLOOKUP($A1227,'Medical Examinations'!$A:$J,5,FALSE)</f>
        <v>Prediabetes</v>
      </c>
      <c r="L1227">
        <f>VLOOKUP($A1228,'Medical Examinations'!$A:$J,3,FALSE)</f>
        <v>28.71</v>
      </c>
      <c r="M1227">
        <f>VLOOKUP($A1227,'Hospitalisation Details'!$A:$K,6,FALSE)</f>
        <v>9159.51</v>
      </c>
      <c r="N1227" s="11">
        <f>VLOOKUP($B1227,'Hospitalisation Details'!A1226:J3570,10,0)</f>
        <v>27393</v>
      </c>
      <c r="O1227" t="str">
        <f>VLOOKUP($B1227,'Hospitalisation Details'!A1226:J3570,8,0)</f>
        <v>tier - 1</v>
      </c>
      <c r="P1227" t="str">
        <f>VLOOKUP($B1227,'Hospitalisation Details'!A1226:J3570,7,0)</f>
        <v>tier - 3</v>
      </c>
      <c r="Q1227" t="str">
        <f>VLOOKUP($B1227,'Hospitalisation Details'!A1226:J3570,9,0)</f>
        <v>R1016</v>
      </c>
      <c r="R1227">
        <f>VLOOKUP($B1227,'Hospitalisation Details'!A1226:K3570,11,0)</f>
        <v>48</v>
      </c>
    </row>
    <row r="1228" spans="1:18" x14ac:dyDescent="0.35">
      <c r="A1228" t="s">
        <v>1144</v>
      </c>
      <c r="B1228" t="s">
        <v>1259</v>
      </c>
      <c r="C1228" t="str">
        <f>VLOOKUP($A1228,'Customer Names'!$A:$E,4,FALSE)</f>
        <v>Kelsey J.</v>
      </c>
      <c r="D1228" t="str">
        <f>VLOOKUP($A1228,'Medical Examinations'!$A:$J,2,FALSE)</f>
        <v>Overweight</v>
      </c>
      <c r="E1228">
        <f>VLOOKUP($A1228,'Medical Examinations'!$A:$J,4,FALSE)</f>
        <v>5.71</v>
      </c>
      <c r="F1228" t="str">
        <f>VLOOKUP($A1228,'Medical Examinations'!$A:$J,6,FALSE)</f>
        <v>No</v>
      </c>
      <c r="G1228" t="str">
        <f>VLOOKUP($A1228,'Medical Examinations'!$A:$J,7,FALSE)</f>
        <v>No</v>
      </c>
      <c r="H1228" t="str">
        <f>VLOOKUP($A1228,'Medical Examinations'!$A:$J,8,FALSE)</f>
        <v>No</v>
      </c>
      <c r="I1228">
        <f>VLOOKUP($A1228,'Medical Examinations'!$A:$J,9,FALSE)</f>
        <v>0</v>
      </c>
      <c r="J1228" t="str">
        <f>VLOOKUP($A1228,'Medical Examinations'!$A:$J,10,FALSE)</f>
        <v>No</v>
      </c>
      <c r="K1228" t="str">
        <f>VLOOKUP($A1228,'Medical Examinations'!$A:$J,5,FALSE)</f>
        <v>Prediabetes</v>
      </c>
      <c r="L1228">
        <f>VLOOKUP($A1229,'Medical Examinations'!$A:$J,3,FALSE)</f>
        <v>36.700000000000003</v>
      </c>
      <c r="M1228">
        <f>VLOOKUP($A1228,'Hospitalisation Details'!$A:$K,6,FALSE)</f>
        <v>9147.5</v>
      </c>
      <c r="N1228" s="11">
        <f>VLOOKUP($B1228,'Hospitalisation Details'!A1227:J3571,10,0)</f>
        <v>29749</v>
      </c>
      <c r="O1228" t="str">
        <f>VLOOKUP($B1228,'Hospitalisation Details'!A1227:J3571,8,0)</f>
        <v>tier - 1</v>
      </c>
      <c r="P1228" t="str">
        <f>VLOOKUP($B1228,'Hospitalisation Details'!A1227:J3571,7,0)</f>
        <v>tier - 3</v>
      </c>
      <c r="Q1228" t="str">
        <f>VLOOKUP($B1228,'Hospitalisation Details'!A1227:J3571,9,0)</f>
        <v>R1025</v>
      </c>
      <c r="R1228">
        <f>VLOOKUP($B1228,'Hospitalisation Details'!A1227:K3571,11,0)</f>
        <v>41</v>
      </c>
    </row>
    <row r="1229" spans="1:18" x14ac:dyDescent="0.35">
      <c r="A1229" t="s">
        <v>1143</v>
      </c>
      <c r="B1229" t="s">
        <v>1260</v>
      </c>
      <c r="C1229" t="str">
        <f>VLOOKUP($A1229,'Customer Names'!$A:$E,4,FALSE)</f>
        <v>Stephen A.</v>
      </c>
      <c r="D1229" t="str">
        <f>VLOOKUP($A1229,'Medical Examinations'!$A:$J,2,FALSE)</f>
        <v>Obesity</v>
      </c>
      <c r="E1229">
        <f>VLOOKUP($A1229,'Medical Examinations'!$A:$J,4,FALSE)</f>
        <v>8.6999999999999993</v>
      </c>
      <c r="F1229" t="str">
        <f>VLOOKUP($A1229,'Medical Examinations'!$A:$J,6,FALSE)</f>
        <v>yes</v>
      </c>
      <c r="G1229" t="str">
        <f>VLOOKUP($A1229,'Medical Examinations'!$A:$J,7,FALSE)</f>
        <v>No</v>
      </c>
      <c r="H1229" t="str">
        <f>VLOOKUP($A1229,'Medical Examinations'!$A:$J,8,FALSE)</f>
        <v>No</v>
      </c>
      <c r="I1229">
        <f>VLOOKUP($A1229,'Medical Examinations'!$A:$J,9,FALSE)</f>
        <v>2</v>
      </c>
      <c r="J1229" t="str">
        <f>VLOOKUP($A1229,'Medical Examinations'!$A:$J,10,FALSE)</f>
        <v>No</v>
      </c>
      <c r="K1229" t="str">
        <f>VLOOKUP($A1229,'Medical Examinations'!$A:$J,5,FALSE)</f>
        <v>Diabetes</v>
      </c>
      <c r="L1229">
        <f>VLOOKUP($A1230,'Medical Examinations'!$A:$J,3,FALSE)</f>
        <v>34.1</v>
      </c>
      <c r="M1229">
        <f>VLOOKUP($A1229,'Hospitalisation Details'!$A:$K,6,FALSE)</f>
        <v>9144.57</v>
      </c>
      <c r="N1229" s="11">
        <f>VLOOKUP($B1229,'Hospitalisation Details'!A1228:J3572,10,0)</f>
        <v>26950</v>
      </c>
      <c r="O1229" t="str">
        <f>VLOOKUP($B1229,'Hospitalisation Details'!A1228:J3572,8,0)</f>
        <v>tier - 2</v>
      </c>
      <c r="P1229" t="str">
        <f>VLOOKUP($B1229,'Hospitalisation Details'!A1228:J3572,7,0)</f>
        <v>tier - 3</v>
      </c>
      <c r="Q1229" t="str">
        <f>VLOOKUP($B1229,'Hospitalisation Details'!A1228:J3572,9,0)</f>
        <v>R1012</v>
      </c>
      <c r="R1229">
        <f>VLOOKUP($B1229,'Hospitalisation Details'!A1228:K3572,11,0)</f>
        <v>49</v>
      </c>
    </row>
    <row r="1230" spans="1:18" x14ac:dyDescent="0.35">
      <c r="A1230" t="s">
        <v>1142</v>
      </c>
      <c r="B1230" t="s">
        <v>1261</v>
      </c>
      <c r="C1230" t="str">
        <f>VLOOKUP($A1230,'Customer Names'!$A:$E,4,FALSE)</f>
        <v>Dan</v>
      </c>
      <c r="D1230" t="str">
        <f>VLOOKUP($A1230,'Medical Examinations'!$A:$J,2,FALSE)</f>
        <v>Obesity</v>
      </c>
      <c r="E1230">
        <f>VLOOKUP($A1230,'Medical Examinations'!$A:$J,4,FALSE)</f>
        <v>9.0399999999999991</v>
      </c>
      <c r="F1230" t="str">
        <f>VLOOKUP($A1230,'Medical Examinations'!$A:$J,6,FALSE)</f>
        <v>yes</v>
      </c>
      <c r="G1230" t="str">
        <f>VLOOKUP($A1230,'Medical Examinations'!$A:$J,7,FALSE)</f>
        <v>No</v>
      </c>
      <c r="H1230" t="str">
        <f>VLOOKUP($A1230,'Medical Examinations'!$A:$J,8,FALSE)</f>
        <v>No</v>
      </c>
      <c r="I1230">
        <f>VLOOKUP($A1230,'Medical Examinations'!$A:$J,9,FALSE)</f>
        <v>2</v>
      </c>
      <c r="J1230" t="str">
        <f>VLOOKUP($A1230,'Medical Examinations'!$A:$J,10,FALSE)</f>
        <v>No</v>
      </c>
      <c r="K1230" t="str">
        <f>VLOOKUP($A1230,'Medical Examinations'!$A:$J,5,FALSE)</f>
        <v>Diabetes</v>
      </c>
      <c r="L1230">
        <f>VLOOKUP($A1231,'Medical Examinations'!$A:$J,3,FALSE)</f>
        <v>25.7</v>
      </c>
      <c r="M1230">
        <f>VLOOKUP($A1230,'Hospitalisation Details'!$A:$K,6,FALSE)</f>
        <v>9140.9500000000007</v>
      </c>
      <c r="N1230" s="11">
        <f>VLOOKUP($B1230,'Hospitalisation Details'!A1229:J3573,10,0)</f>
        <v>26490</v>
      </c>
      <c r="O1230" t="str">
        <f>VLOOKUP($B1230,'Hospitalisation Details'!A1229:J3573,8,0)</f>
        <v>tier - 3</v>
      </c>
      <c r="P1230" t="str">
        <f>VLOOKUP($B1230,'Hospitalisation Details'!A1229:J3573,7,0)</f>
        <v>tier - 3</v>
      </c>
      <c r="Q1230" t="str">
        <f>VLOOKUP($B1230,'Hospitalisation Details'!A1229:J3573,9,0)</f>
        <v>R1025</v>
      </c>
      <c r="R1230">
        <f>VLOOKUP($B1230,'Hospitalisation Details'!A1229:K3573,11,0)</f>
        <v>50</v>
      </c>
    </row>
    <row r="1231" spans="1:18" x14ac:dyDescent="0.35">
      <c r="A1231" t="s">
        <v>1141</v>
      </c>
      <c r="B1231" t="s">
        <v>1262</v>
      </c>
      <c r="C1231" t="str">
        <f>VLOOKUP($A1231,'Customer Names'!$A:$E,4,FALSE)</f>
        <v>Katie C</v>
      </c>
      <c r="D1231" t="str">
        <f>VLOOKUP($A1231,'Medical Examinations'!$A:$J,2,FALSE)</f>
        <v>Overweight</v>
      </c>
      <c r="E1231">
        <f>VLOOKUP($A1231,'Medical Examinations'!$A:$J,4,FALSE)</f>
        <v>5.61</v>
      </c>
      <c r="F1231" t="str">
        <f>VLOOKUP($A1231,'Medical Examinations'!$A:$J,6,FALSE)</f>
        <v>No</v>
      </c>
      <c r="G1231" t="str">
        <f>VLOOKUP($A1231,'Medical Examinations'!$A:$J,7,FALSE)</f>
        <v>No</v>
      </c>
      <c r="H1231" t="str">
        <f>VLOOKUP($A1231,'Medical Examinations'!$A:$J,8,FALSE)</f>
        <v>No</v>
      </c>
      <c r="I1231">
        <f>VLOOKUP($A1231,'Medical Examinations'!$A:$J,9,FALSE)</f>
        <v>0</v>
      </c>
      <c r="J1231" t="str">
        <f>VLOOKUP($A1231,'Medical Examinations'!$A:$J,10,FALSE)</f>
        <v>No</v>
      </c>
      <c r="K1231" t="str">
        <f>VLOOKUP($A1231,'Medical Examinations'!$A:$J,5,FALSE)</f>
        <v>Normal</v>
      </c>
      <c r="L1231">
        <f>VLOOKUP($A1232,'Medical Examinations'!$A:$J,3,FALSE)</f>
        <v>21.68</v>
      </c>
      <c r="M1231">
        <f>VLOOKUP($A1231,'Hospitalisation Details'!$A:$K,6,FALSE)</f>
        <v>9101.7999999999993</v>
      </c>
      <c r="N1231" s="11">
        <f>VLOOKUP($B1231,'Hospitalisation Details'!A1230:J3574,10,0)</f>
        <v>31336</v>
      </c>
      <c r="O1231" t="str">
        <f>VLOOKUP($B1231,'Hospitalisation Details'!A1230:J3574,8,0)</f>
        <v>tier - 2</v>
      </c>
      <c r="P1231" t="str">
        <f>VLOOKUP($B1231,'Hospitalisation Details'!A1230:J3574,7,0)</f>
        <v>tier - 3</v>
      </c>
      <c r="Q1231" t="str">
        <f>VLOOKUP($B1231,'Hospitalisation Details'!A1230:J3574,9,0)</f>
        <v>R1026</v>
      </c>
      <c r="R1231">
        <f>VLOOKUP($B1231,'Hospitalisation Details'!A1230:K3574,11,0)</f>
        <v>37</v>
      </c>
    </row>
    <row r="1232" spans="1:18" x14ac:dyDescent="0.35">
      <c r="A1232" t="s">
        <v>1140</v>
      </c>
      <c r="B1232" t="s">
        <v>1263</v>
      </c>
      <c r="C1232" t="str">
        <f>VLOOKUP($A1232,'Customer Names'!$A:$E,4,FALSE)</f>
        <v>Melissa K</v>
      </c>
      <c r="D1232" t="str">
        <f>VLOOKUP($A1232,'Medical Examinations'!$A:$J,2,FALSE)</f>
        <v>Normal Weight</v>
      </c>
      <c r="E1232">
        <f>VLOOKUP($A1232,'Medical Examinations'!$A:$J,4,FALSE)</f>
        <v>8.1199999999999992</v>
      </c>
      <c r="F1232" t="str">
        <f>VLOOKUP($A1232,'Medical Examinations'!$A:$J,6,FALSE)</f>
        <v>No</v>
      </c>
      <c r="G1232" t="str">
        <f>VLOOKUP($A1232,'Medical Examinations'!$A:$J,7,FALSE)</f>
        <v>No</v>
      </c>
      <c r="H1232" t="str">
        <f>VLOOKUP($A1232,'Medical Examinations'!$A:$J,8,FALSE)</f>
        <v>No</v>
      </c>
      <c r="I1232">
        <f>VLOOKUP($A1232,'Medical Examinations'!$A:$J,9,FALSE)</f>
        <v>0</v>
      </c>
      <c r="J1232" t="str">
        <f>VLOOKUP($A1232,'Medical Examinations'!$A:$J,10,FALSE)</f>
        <v>No</v>
      </c>
      <c r="K1232" t="str">
        <f>VLOOKUP($A1232,'Medical Examinations'!$A:$J,5,FALSE)</f>
        <v>Diabetes</v>
      </c>
      <c r="L1232">
        <f>VLOOKUP($A1233,'Medical Examinations'!$A:$J,3,FALSE)</f>
        <v>25.175000000000001</v>
      </c>
      <c r="M1232">
        <f>VLOOKUP($A1232,'Hospitalisation Details'!$A:$K,6,FALSE)</f>
        <v>9095.94</v>
      </c>
      <c r="N1232" s="11">
        <f>VLOOKUP($B1232,'Hospitalisation Details'!A1231:J3575,10,0)</f>
        <v>25926</v>
      </c>
      <c r="O1232" t="str">
        <f>VLOOKUP($B1232,'Hospitalisation Details'!A1231:J3575,8,0)</f>
        <v>tier - 1</v>
      </c>
      <c r="P1232" t="str">
        <f>VLOOKUP($B1232,'Hospitalisation Details'!A1231:J3575,7,0)</f>
        <v>tier - 3</v>
      </c>
      <c r="Q1232" t="str">
        <f>VLOOKUP($B1232,'Hospitalisation Details'!A1231:J3575,9,0)</f>
        <v>R1024</v>
      </c>
      <c r="R1232">
        <f>VLOOKUP($B1232,'Hospitalisation Details'!A1231:K3575,11,0)</f>
        <v>52</v>
      </c>
    </row>
    <row r="1233" spans="1:18" x14ac:dyDescent="0.35">
      <c r="A1233" t="s">
        <v>1139</v>
      </c>
      <c r="B1233" t="s">
        <v>1264</v>
      </c>
      <c r="C1233" t="str">
        <f>VLOOKUP($A1233,'Customer Names'!$A:$E,4,FALSE)</f>
        <v>Kara H</v>
      </c>
      <c r="D1233" t="str">
        <f>VLOOKUP($A1233,'Medical Examinations'!$A:$J,2,FALSE)</f>
        <v>Overweight</v>
      </c>
      <c r="E1233">
        <f>VLOOKUP($A1233,'Medical Examinations'!$A:$J,4,FALSE)</f>
        <v>4.74</v>
      </c>
      <c r="F1233" t="str">
        <f>VLOOKUP($A1233,'Medical Examinations'!$A:$J,6,FALSE)</f>
        <v>No</v>
      </c>
      <c r="G1233" t="str">
        <f>VLOOKUP($A1233,'Medical Examinations'!$A:$J,7,FALSE)</f>
        <v>No</v>
      </c>
      <c r="H1233" t="str">
        <f>VLOOKUP($A1233,'Medical Examinations'!$A:$J,8,FALSE)</f>
        <v>No</v>
      </c>
      <c r="I1233">
        <f>VLOOKUP($A1233,'Medical Examinations'!$A:$J,9,FALSE)</f>
        <v>0</v>
      </c>
      <c r="J1233" t="str">
        <f>VLOOKUP($A1233,'Medical Examinations'!$A:$J,10,FALSE)</f>
        <v>No</v>
      </c>
      <c r="K1233" t="str">
        <f>VLOOKUP($A1233,'Medical Examinations'!$A:$J,5,FALSE)</f>
        <v>Normal</v>
      </c>
      <c r="L1233">
        <f>VLOOKUP($A1234,'Medical Examinations'!$A:$J,3,FALSE)</f>
        <v>44.77</v>
      </c>
      <c r="M1233">
        <f>VLOOKUP($A1233,'Hospitalisation Details'!$A:$K,6,FALSE)</f>
        <v>9095.07</v>
      </c>
      <c r="N1233" s="11">
        <f>VLOOKUP($B1233,'Hospitalisation Details'!A1232:J3576,10,0)</f>
        <v>24741</v>
      </c>
      <c r="O1233" t="str">
        <f>VLOOKUP($B1233,'Hospitalisation Details'!A1232:J3576,8,0)</f>
        <v>tier - 2</v>
      </c>
      <c r="P1233" t="str">
        <f>VLOOKUP($B1233,'Hospitalisation Details'!A1232:J3576,7,0)</f>
        <v>tier - 3</v>
      </c>
      <c r="Q1233" t="str">
        <f>VLOOKUP($B1233,'Hospitalisation Details'!A1232:J3576,9,0)</f>
        <v>R1011</v>
      </c>
      <c r="R1233">
        <f>VLOOKUP($B1233,'Hospitalisation Details'!A1232:K3576,11,0)</f>
        <v>55</v>
      </c>
    </row>
    <row r="1234" spans="1:18" x14ac:dyDescent="0.35">
      <c r="A1234" t="s">
        <v>1138</v>
      </c>
      <c r="B1234" t="s">
        <v>1265</v>
      </c>
      <c r="C1234" t="str">
        <f>VLOOKUP($A1234,'Customer Names'!$A:$E,4,FALSE)</f>
        <v>Juan Carlos</v>
      </c>
      <c r="D1234" t="str">
        <f>VLOOKUP($A1234,'Medical Examinations'!$A:$J,2,FALSE)</f>
        <v>Obesity</v>
      </c>
      <c r="E1234">
        <f>VLOOKUP($A1234,'Medical Examinations'!$A:$J,4,FALSE)</f>
        <v>4.0599999999999996</v>
      </c>
      <c r="F1234" t="str">
        <f>VLOOKUP($A1234,'Medical Examinations'!$A:$J,6,FALSE)</f>
        <v>No</v>
      </c>
      <c r="G1234" t="str">
        <f>VLOOKUP($A1234,'Medical Examinations'!$A:$J,7,FALSE)</f>
        <v>No</v>
      </c>
      <c r="H1234" t="str">
        <f>VLOOKUP($A1234,'Medical Examinations'!$A:$J,8,FALSE)</f>
        <v>No</v>
      </c>
      <c r="I1234">
        <f>VLOOKUP($A1234,'Medical Examinations'!$A:$J,9,FALSE)</f>
        <v>2</v>
      </c>
      <c r="J1234" t="str">
        <f>VLOOKUP($A1234,'Medical Examinations'!$A:$J,10,FALSE)</f>
        <v>No</v>
      </c>
      <c r="K1234" t="str">
        <f>VLOOKUP($A1234,'Medical Examinations'!$A:$J,5,FALSE)</f>
        <v>Normal</v>
      </c>
      <c r="L1234">
        <f>VLOOKUP($A1235,'Medical Examinations'!$A:$J,3,FALSE)</f>
        <v>37.07</v>
      </c>
      <c r="M1234">
        <f>VLOOKUP($A1234,'Hospitalisation Details'!$A:$K,6,FALSE)</f>
        <v>9058.73</v>
      </c>
      <c r="N1234" s="11">
        <f>VLOOKUP($B1234,'Hospitalisation Details'!A1233:J3577,10,0)</f>
        <v>24651</v>
      </c>
      <c r="O1234" t="str">
        <f>VLOOKUP($B1234,'Hospitalisation Details'!A1233:J3577,8,0)</f>
        <v>tier - 3</v>
      </c>
      <c r="P1234" t="str">
        <f>VLOOKUP($B1234,'Hospitalisation Details'!A1233:J3577,7,0)</f>
        <v>tier - 3</v>
      </c>
      <c r="Q1234" t="str">
        <f>VLOOKUP($B1234,'Hospitalisation Details'!A1233:J3577,9,0)</f>
        <v>R1013</v>
      </c>
      <c r="R1234">
        <f>VLOOKUP($B1234,'Hospitalisation Details'!A1233:K3577,11,0)</f>
        <v>55</v>
      </c>
    </row>
    <row r="1235" spans="1:18" x14ac:dyDescent="0.35">
      <c r="A1235" t="s">
        <v>1137</v>
      </c>
      <c r="B1235" t="s">
        <v>1266</v>
      </c>
      <c r="C1235" t="str">
        <f>VLOOKUP($A1235,'Customer Names'!$A:$E,4,FALSE)</f>
        <v>John III</v>
      </c>
      <c r="D1235" t="str">
        <f>VLOOKUP($A1235,'Medical Examinations'!$A:$J,2,FALSE)</f>
        <v>Obesity</v>
      </c>
      <c r="E1235">
        <f>VLOOKUP($A1235,'Medical Examinations'!$A:$J,4,FALSE)</f>
        <v>5.69</v>
      </c>
      <c r="F1235" t="str">
        <f>VLOOKUP($A1235,'Medical Examinations'!$A:$J,6,FALSE)</f>
        <v>No</v>
      </c>
      <c r="G1235" t="str">
        <f>VLOOKUP($A1235,'Medical Examinations'!$A:$J,7,FALSE)</f>
        <v>No</v>
      </c>
      <c r="H1235" t="str">
        <f>VLOOKUP($A1235,'Medical Examinations'!$A:$J,8,FALSE)</f>
        <v>No</v>
      </c>
      <c r="I1235">
        <f>VLOOKUP($A1235,'Medical Examinations'!$A:$J,9,FALSE)</f>
        <v>2</v>
      </c>
      <c r="J1235" t="str">
        <f>VLOOKUP($A1235,'Medical Examinations'!$A:$J,10,FALSE)</f>
        <v>No</v>
      </c>
      <c r="K1235" t="str">
        <f>VLOOKUP($A1235,'Medical Examinations'!$A:$J,5,FALSE)</f>
        <v>Normal</v>
      </c>
      <c r="L1235">
        <f>VLOOKUP($A1236,'Medical Examinations'!$A:$J,3,FALSE)</f>
        <v>39.799999999999997</v>
      </c>
      <c r="M1235">
        <f>VLOOKUP($A1235,'Hospitalisation Details'!$A:$K,6,FALSE)</f>
        <v>9048.0300000000007</v>
      </c>
      <c r="N1235" s="11">
        <f>VLOOKUP($B1235,'Hospitalisation Details'!A1234:J3578,10,0)</f>
        <v>25104</v>
      </c>
      <c r="O1235" t="str">
        <f>VLOOKUP($B1235,'Hospitalisation Details'!A1234:J3578,8,0)</f>
        <v>tier - 1</v>
      </c>
      <c r="P1235" t="str">
        <f>VLOOKUP($B1235,'Hospitalisation Details'!A1234:J3578,7,0)</f>
        <v>tier - 3</v>
      </c>
      <c r="Q1235" t="str">
        <f>VLOOKUP($B1235,'Hospitalisation Details'!A1234:J3578,9,0)</f>
        <v>R1012</v>
      </c>
      <c r="R1235">
        <f>VLOOKUP($B1235,'Hospitalisation Details'!A1234:K3578,11,0)</f>
        <v>54</v>
      </c>
    </row>
    <row r="1236" spans="1:18" x14ac:dyDescent="0.35">
      <c r="A1236" t="s">
        <v>1136</v>
      </c>
      <c r="B1236" t="s">
        <v>1267</v>
      </c>
      <c r="C1236" t="str">
        <f>VLOOKUP($A1236,'Customer Names'!$A:$E,4,FALSE)</f>
        <v>Sarah M</v>
      </c>
      <c r="D1236" t="str">
        <f>VLOOKUP($A1236,'Medical Examinations'!$A:$J,2,FALSE)</f>
        <v>Obesity</v>
      </c>
      <c r="E1236">
        <f>VLOOKUP($A1236,'Medical Examinations'!$A:$J,4,FALSE)</f>
        <v>5.66</v>
      </c>
      <c r="F1236" t="str">
        <f>VLOOKUP($A1236,'Medical Examinations'!$A:$J,6,FALSE)</f>
        <v>No</v>
      </c>
      <c r="G1236" t="str">
        <f>VLOOKUP($A1236,'Medical Examinations'!$A:$J,7,FALSE)</f>
        <v>No</v>
      </c>
      <c r="H1236" t="str">
        <f>VLOOKUP($A1236,'Medical Examinations'!$A:$J,8,FALSE)</f>
        <v>Yes</v>
      </c>
      <c r="I1236">
        <f>VLOOKUP($A1236,'Medical Examinations'!$A:$J,9,FALSE)</f>
        <v>1</v>
      </c>
      <c r="J1236" t="str">
        <f>VLOOKUP($A1236,'Medical Examinations'!$A:$J,10,FALSE)</f>
        <v>No</v>
      </c>
      <c r="K1236" t="str">
        <f>VLOOKUP($A1236,'Medical Examinations'!$A:$J,5,FALSE)</f>
        <v>Normal</v>
      </c>
      <c r="L1236">
        <f>VLOOKUP($A1237,'Medical Examinations'!$A:$J,3,FALSE)</f>
        <v>26.36</v>
      </c>
      <c r="M1236">
        <f>VLOOKUP($A1236,'Hospitalisation Details'!$A:$K,6,FALSE)</f>
        <v>9010.2000000000007</v>
      </c>
      <c r="N1236" s="11">
        <f>VLOOKUP($B1236,'Hospitalisation Details'!A1235:J3579,10,0)</f>
        <v>27621</v>
      </c>
      <c r="O1236" t="str">
        <f>VLOOKUP($B1236,'Hospitalisation Details'!A1235:J3579,8,0)</f>
        <v>tier - 2</v>
      </c>
      <c r="P1236" t="str">
        <f>VLOOKUP($B1236,'Hospitalisation Details'!A1235:J3579,7,0)</f>
        <v>tier - 3</v>
      </c>
      <c r="Q1236" t="str">
        <f>VLOOKUP($B1236,'Hospitalisation Details'!A1235:J3579,9,0)</f>
        <v>R1011</v>
      </c>
      <c r="R1236">
        <f>VLOOKUP($B1236,'Hospitalisation Details'!A1235:K3579,11,0)</f>
        <v>47</v>
      </c>
    </row>
    <row r="1237" spans="1:18" x14ac:dyDescent="0.35">
      <c r="A1237" t="s">
        <v>1135</v>
      </c>
      <c r="B1237" t="s">
        <v>1268</v>
      </c>
      <c r="C1237" t="str">
        <f>VLOOKUP($A1237,'Customer Names'!$A:$E,4,FALSE)</f>
        <v>Kristin C</v>
      </c>
      <c r="D1237" t="str">
        <f>VLOOKUP($A1237,'Medical Examinations'!$A:$J,2,FALSE)</f>
        <v>Overweight</v>
      </c>
      <c r="E1237">
        <f>VLOOKUP($A1237,'Medical Examinations'!$A:$J,4,FALSE)</f>
        <v>4.32</v>
      </c>
      <c r="F1237" t="str">
        <f>VLOOKUP($A1237,'Medical Examinations'!$A:$J,6,FALSE)</f>
        <v>No</v>
      </c>
      <c r="G1237" t="str">
        <f>VLOOKUP($A1237,'Medical Examinations'!$A:$J,7,FALSE)</f>
        <v>No</v>
      </c>
      <c r="H1237" t="str">
        <f>VLOOKUP($A1237,'Medical Examinations'!$A:$J,8,FALSE)</f>
        <v>Yes</v>
      </c>
      <c r="I1237">
        <f>VLOOKUP($A1237,'Medical Examinations'!$A:$J,9,FALSE)</f>
        <v>1</v>
      </c>
      <c r="J1237" t="str">
        <f>VLOOKUP($A1237,'Medical Examinations'!$A:$J,10,FALSE)</f>
        <v>No</v>
      </c>
      <c r="K1237" t="str">
        <f>VLOOKUP($A1237,'Medical Examinations'!$A:$J,5,FALSE)</f>
        <v>Normal</v>
      </c>
      <c r="L1237">
        <f>VLOOKUP($A1238,'Medical Examinations'!$A:$J,3,FALSE)</f>
        <v>29.925000000000001</v>
      </c>
      <c r="M1237">
        <f>VLOOKUP($A1237,'Hospitalisation Details'!$A:$K,6,FALSE)</f>
        <v>8998.43</v>
      </c>
      <c r="N1237" s="11">
        <f>VLOOKUP($B1237,'Hospitalisation Details'!A1236:J3580,10,0)</f>
        <v>26912</v>
      </c>
      <c r="O1237" t="str">
        <f>VLOOKUP($B1237,'Hospitalisation Details'!A1236:J3580,8,0)</f>
        <v>tier - 2</v>
      </c>
      <c r="P1237" t="str">
        <f>VLOOKUP($B1237,'Hospitalisation Details'!A1236:J3580,7,0)</f>
        <v>tier - 3</v>
      </c>
      <c r="Q1237" t="str">
        <f>VLOOKUP($B1237,'Hospitalisation Details'!A1236:J3580,9,0)</f>
        <v>R1012</v>
      </c>
      <c r="R1237">
        <f>VLOOKUP($B1237,'Hospitalisation Details'!A1236:K3580,11,0)</f>
        <v>49</v>
      </c>
    </row>
    <row r="1238" spans="1:18" x14ac:dyDescent="0.35">
      <c r="A1238" t="s">
        <v>1134</v>
      </c>
      <c r="B1238" t="s">
        <v>1269</v>
      </c>
      <c r="C1238" t="str">
        <f>VLOOKUP($A1238,'Customer Names'!$A:$E,4,FALSE)</f>
        <v>Casey M.</v>
      </c>
      <c r="D1238" t="str">
        <f>VLOOKUP($A1238,'Medical Examinations'!$A:$J,2,FALSE)</f>
        <v>Overweight</v>
      </c>
      <c r="E1238">
        <f>VLOOKUP($A1238,'Medical Examinations'!$A:$J,4,FALSE)</f>
        <v>8.2899999999999991</v>
      </c>
      <c r="F1238" t="str">
        <f>VLOOKUP($A1238,'Medical Examinations'!$A:$J,6,FALSE)</f>
        <v>No</v>
      </c>
      <c r="G1238" t="str">
        <f>VLOOKUP($A1238,'Medical Examinations'!$A:$J,7,FALSE)</f>
        <v>No</v>
      </c>
      <c r="H1238" t="str">
        <f>VLOOKUP($A1238,'Medical Examinations'!$A:$J,8,FALSE)</f>
        <v>No</v>
      </c>
      <c r="I1238">
        <f>VLOOKUP($A1238,'Medical Examinations'!$A:$J,9,FALSE)</f>
        <v>2</v>
      </c>
      <c r="J1238" t="str">
        <f>VLOOKUP($A1238,'Medical Examinations'!$A:$J,10,FALSE)</f>
        <v>No</v>
      </c>
      <c r="K1238" t="str">
        <f>VLOOKUP($A1238,'Medical Examinations'!$A:$J,5,FALSE)</f>
        <v>Diabetes</v>
      </c>
      <c r="L1238">
        <f>VLOOKUP($A1239,'Medical Examinations'!$A:$J,3,FALSE)</f>
        <v>37.29</v>
      </c>
      <c r="M1238">
        <f>VLOOKUP($A1238,'Hospitalisation Details'!$A:$K,6,FALSE)</f>
        <v>8988.16</v>
      </c>
      <c r="N1238" s="11">
        <f>VLOOKUP($B1238,'Hospitalisation Details'!A1237:J3581,10,0)</f>
        <v>26995</v>
      </c>
      <c r="O1238" t="str">
        <f>VLOOKUP($B1238,'Hospitalisation Details'!A1237:J3581,8,0)</f>
        <v>tier - 3</v>
      </c>
      <c r="P1238" t="str">
        <f>VLOOKUP($B1238,'Hospitalisation Details'!A1237:J3581,7,0)</f>
        <v>tier - 3</v>
      </c>
      <c r="Q1238" t="str">
        <f>VLOOKUP($B1238,'Hospitalisation Details'!A1237:J3581,9,0)</f>
        <v>R1012</v>
      </c>
      <c r="R1238">
        <f>VLOOKUP($B1238,'Hospitalisation Details'!A1237:K3581,11,0)</f>
        <v>49</v>
      </c>
    </row>
    <row r="1239" spans="1:18" x14ac:dyDescent="0.35">
      <c r="A1239" t="s">
        <v>1133</v>
      </c>
      <c r="B1239" t="s">
        <v>1270</v>
      </c>
      <c r="C1239" t="str">
        <f>VLOOKUP($A1239,'Customer Names'!$A:$E,4,FALSE)</f>
        <v>Samuel</v>
      </c>
      <c r="D1239" t="str">
        <f>VLOOKUP($A1239,'Medical Examinations'!$A:$J,2,FALSE)</f>
        <v>Obesity</v>
      </c>
      <c r="E1239">
        <f>VLOOKUP($A1239,'Medical Examinations'!$A:$J,4,FALSE)</f>
        <v>10.46</v>
      </c>
      <c r="F1239" t="str">
        <f>VLOOKUP($A1239,'Medical Examinations'!$A:$J,6,FALSE)</f>
        <v>No</v>
      </c>
      <c r="G1239" t="str">
        <f>VLOOKUP($A1239,'Medical Examinations'!$A:$J,7,FALSE)</f>
        <v>No</v>
      </c>
      <c r="H1239" t="str">
        <f>VLOOKUP($A1239,'Medical Examinations'!$A:$J,8,FALSE)</f>
        <v>No</v>
      </c>
      <c r="I1239">
        <f>VLOOKUP($A1239,'Medical Examinations'!$A:$J,9,FALSE)</f>
        <v>0</v>
      </c>
      <c r="J1239" t="str">
        <f>VLOOKUP($A1239,'Medical Examinations'!$A:$J,10,FALSE)</f>
        <v>No</v>
      </c>
      <c r="K1239" t="str">
        <f>VLOOKUP($A1239,'Medical Examinations'!$A:$J,5,FALSE)</f>
        <v>Diabetes</v>
      </c>
      <c r="L1239">
        <f>VLOOKUP($A1240,'Medical Examinations'!$A:$J,3,FALSE)</f>
        <v>30.2</v>
      </c>
      <c r="M1239">
        <f>VLOOKUP($A1239,'Hospitalisation Details'!$A:$K,6,FALSE)</f>
        <v>8978.19</v>
      </c>
      <c r="N1239" s="11">
        <f>VLOOKUP($B1239,'Hospitalisation Details'!A1238:J3582,10,0)</f>
        <v>25740</v>
      </c>
      <c r="O1239" t="str">
        <f>VLOOKUP($B1239,'Hospitalisation Details'!A1238:J3582,8,0)</f>
        <v>tier - 1</v>
      </c>
      <c r="P1239" t="str">
        <f>VLOOKUP($B1239,'Hospitalisation Details'!A1238:J3582,7,0)</f>
        <v>tier - 3</v>
      </c>
      <c r="Q1239" t="str">
        <f>VLOOKUP($B1239,'Hospitalisation Details'!A1238:J3582,9,0)</f>
        <v>R1024</v>
      </c>
      <c r="R1239">
        <f>VLOOKUP($B1239,'Hospitalisation Details'!A1238:K3582,11,0)</f>
        <v>52</v>
      </c>
    </row>
    <row r="1240" spans="1:18" x14ac:dyDescent="0.35">
      <c r="A1240" t="s">
        <v>1132</v>
      </c>
      <c r="B1240" t="s">
        <v>1271</v>
      </c>
      <c r="C1240" t="str">
        <f>VLOOKUP($A1240,'Customer Names'!$A:$E,4,FALSE)</f>
        <v>Braulio</v>
      </c>
      <c r="D1240" t="str">
        <f>VLOOKUP($A1240,'Medical Examinations'!$A:$J,2,FALSE)</f>
        <v>Obesity</v>
      </c>
      <c r="E1240">
        <f>VLOOKUP($A1240,'Medical Examinations'!$A:$J,4,FALSE)</f>
        <v>11.96</v>
      </c>
      <c r="F1240" t="str">
        <f>VLOOKUP($A1240,'Medical Examinations'!$A:$J,6,FALSE)</f>
        <v>No</v>
      </c>
      <c r="G1240" t="str">
        <f>VLOOKUP($A1240,'Medical Examinations'!$A:$J,7,FALSE)</f>
        <v>No</v>
      </c>
      <c r="H1240" t="str">
        <f>VLOOKUP($A1240,'Medical Examinations'!$A:$J,8,FALSE)</f>
        <v>No</v>
      </c>
      <c r="I1240">
        <f>VLOOKUP($A1240,'Medical Examinations'!$A:$J,9,FALSE)</f>
        <v>0</v>
      </c>
      <c r="J1240" t="str">
        <f>VLOOKUP($A1240,'Medical Examinations'!$A:$J,10,FALSE)</f>
        <v>No</v>
      </c>
      <c r="K1240" t="str">
        <f>VLOOKUP($A1240,'Medical Examinations'!$A:$J,5,FALSE)</f>
        <v>Diabetes</v>
      </c>
      <c r="L1240">
        <f>VLOOKUP($A1241,'Medical Examinations'!$A:$J,3,FALSE)</f>
        <v>24.225000000000001</v>
      </c>
      <c r="M1240">
        <f>VLOOKUP($A1240,'Hospitalisation Details'!$A:$K,6,FALSE)</f>
        <v>8968.33</v>
      </c>
      <c r="N1240" s="11">
        <f>VLOOKUP($B1240,'Hospitalisation Details'!A1239:J3583,10,0)</f>
        <v>32400</v>
      </c>
      <c r="O1240" t="str">
        <f>VLOOKUP($B1240,'Hospitalisation Details'!A1239:J3583,8,0)</f>
        <v>tier - 1</v>
      </c>
      <c r="P1240" t="str">
        <f>VLOOKUP($B1240,'Hospitalisation Details'!A1239:J3583,7,0)</f>
        <v>tier - 3</v>
      </c>
      <c r="Q1240" t="str">
        <f>VLOOKUP($B1240,'Hospitalisation Details'!A1239:J3583,9,0)</f>
        <v>R1021</v>
      </c>
      <c r="R1240">
        <f>VLOOKUP($B1240,'Hospitalisation Details'!A1239:K3583,11,0)</f>
        <v>34</v>
      </c>
    </row>
    <row r="1241" spans="1:18" x14ac:dyDescent="0.35">
      <c r="A1241" t="s">
        <v>1131</v>
      </c>
      <c r="B1241" t="s">
        <v>1272</v>
      </c>
      <c r="C1241" t="str">
        <f>VLOOKUP($A1241,'Customer Names'!$A:$E,4,FALSE)</f>
        <v>Anne-Marie</v>
      </c>
      <c r="D1241" t="str">
        <f>VLOOKUP($A1241,'Medical Examinations'!$A:$J,2,FALSE)</f>
        <v>Normal Weight</v>
      </c>
      <c r="E1241">
        <f>VLOOKUP($A1241,'Medical Examinations'!$A:$J,4,FALSE)</f>
        <v>4.25</v>
      </c>
      <c r="F1241" t="str">
        <f>VLOOKUP($A1241,'Medical Examinations'!$A:$J,6,FALSE)</f>
        <v>yes</v>
      </c>
      <c r="G1241" t="str">
        <f>VLOOKUP($A1241,'Medical Examinations'!$A:$J,7,FALSE)</f>
        <v>No</v>
      </c>
      <c r="H1241" t="str">
        <f>VLOOKUP($A1241,'Medical Examinations'!$A:$J,8,FALSE)</f>
        <v>Yes</v>
      </c>
      <c r="I1241">
        <f>VLOOKUP($A1241,'Medical Examinations'!$A:$J,9,FALSE)</f>
        <v>1</v>
      </c>
      <c r="J1241" t="str">
        <f>VLOOKUP($A1241,'Medical Examinations'!$A:$J,10,FALSE)</f>
        <v>No</v>
      </c>
      <c r="K1241" t="str">
        <f>VLOOKUP($A1241,'Medical Examinations'!$A:$J,5,FALSE)</f>
        <v>Normal</v>
      </c>
      <c r="L1241">
        <f>VLOOKUP($A1242,'Medical Examinations'!$A:$J,3,FALSE)</f>
        <v>31.445</v>
      </c>
      <c r="M1241">
        <f>VLOOKUP($A1241,'Hospitalisation Details'!$A:$K,6,FALSE)</f>
        <v>8965.7999999999993</v>
      </c>
      <c r="N1241" s="11">
        <f>VLOOKUP($B1241,'Hospitalisation Details'!A1240:J3584,10,0)</f>
        <v>23278</v>
      </c>
      <c r="O1241" t="str">
        <f>VLOOKUP($B1241,'Hospitalisation Details'!A1240:J3584,8,0)</f>
        <v>tier - 1</v>
      </c>
      <c r="P1241" t="str">
        <f>VLOOKUP($B1241,'Hospitalisation Details'!A1240:J3584,7,0)</f>
        <v>tier - 3</v>
      </c>
      <c r="Q1241" t="str">
        <f>VLOOKUP($B1241,'Hospitalisation Details'!A1240:J3584,9,0)</f>
        <v>R1013</v>
      </c>
      <c r="R1241">
        <f>VLOOKUP($B1241,'Hospitalisation Details'!A1240:K3584,11,0)</f>
        <v>59</v>
      </c>
    </row>
    <row r="1242" spans="1:18" x14ac:dyDescent="0.35">
      <c r="A1242" t="s">
        <v>1130</v>
      </c>
      <c r="B1242" t="s">
        <v>1273</v>
      </c>
      <c r="C1242" t="str">
        <f>VLOOKUP($A1242,'Customer Names'!$A:$E,4,FALSE)</f>
        <v>Samuel K.</v>
      </c>
      <c r="D1242" t="str">
        <f>VLOOKUP($A1242,'Medical Examinations'!$A:$J,2,FALSE)</f>
        <v>Obesity</v>
      </c>
      <c r="E1242">
        <f>VLOOKUP($A1242,'Medical Examinations'!$A:$J,4,FALSE)</f>
        <v>8.33</v>
      </c>
      <c r="F1242" t="str">
        <f>VLOOKUP($A1242,'Medical Examinations'!$A:$J,6,FALSE)</f>
        <v>No</v>
      </c>
      <c r="G1242" t="str">
        <f>VLOOKUP($A1242,'Medical Examinations'!$A:$J,7,FALSE)</f>
        <v>No</v>
      </c>
      <c r="H1242" t="str">
        <f>VLOOKUP($A1242,'Medical Examinations'!$A:$J,8,FALSE)</f>
        <v>No</v>
      </c>
      <c r="I1242">
        <f>VLOOKUP($A1242,'Medical Examinations'!$A:$J,9,FALSE)</f>
        <v>0</v>
      </c>
      <c r="J1242" t="str">
        <f>VLOOKUP($A1242,'Medical Examinations'!$A:$J,10,FALSE)</f>
        <v>No</v>
      </c>
      <c r="K1242" t="str">
        <f>VLOOKUP($A1242,'Medical Examinations'!$A:$J,5,FALSE)</f>
        <v>Diabetes</v>
      </c>
      <c r="L1242">
        <f>VLOOKUP($A1243,'Medical Examinations'!$A:$J,3,FALSE)</f>
        <v>38.880000000000003</v>
      </c>
      <c r="M1242">
        <f>VLOOKUP($A1242,'Hospitalisation Details'!$A:$K,6,FALSE)</f>
        <v>8964.06</v>
      </c>
      <c r="N1242" s="11">
        <f>VLOOKUP($B1242,'Hospitalisation Details'!A1241:J3585,10,0)</f>
        <v>22839</v>
      </c>
      <c r="O1242" t="str">
        <f>VLOOKUP($B1242,'Hospitalisation Details'!A1241:J3585,8,0)</f>
        <v>tier - 3</v>
      </c>
      <c r="P1242" t="str">
        <f>VLOOKUP($B1242,'Hospitalisation Details'!A1241:J3585,7,0)</f>
        <v>tier - 3</v>
      </c>
      <c r="Q1242" t="str">
        <f>VLOOKUP($B1242,'Hospitalisation Details'!A1241:J3585,9,0)</f>
        <v>R1012</v>
      </c>
      <c r="R1242">
        <f>VLOOKUP($B1242,'Hospitalisation Details'!A1241:K3585,11,0)</f>
        <v>60</v>
      </c>
    </row>
    <row r="1243" spans="1:18" x14ac:dyDescent="0.35">
      <c r="A1243" t="s">
        <v>1129</v>
      </c>
      <c r="B1243" t="s">
        <v>1274</v>
      </c>
      <c r="C1243" t="str">
        <f>VLOOKUP($A1243,'Customer Names'!$A:$E,4,FALSE)</f>
        <v>Yuki</v>
      </c>
      <c r="D1243" t="str">
        <f>VLOOKUP($A1243,'Medical Examinations'!$A:$J,2,FALSE)</f>
        <v>Obesity</v>
      </c>
      <c r="E1243">
        <f>VLOOKUP($A1243,'Medical Examinations'!$A:$J,4,FALSE)</f>
        <v>4.29</v>
      </c>
      <c r="F1243" t="str">
        <f>VLOOKUP($A1243,'Medical Examinations'!$A:$J,6,FALSE)</f>
        <v>No</v>
      </c>
      <c r="G1243" t="str">
        <f>VLOOKUP($A1243,'Medical Examinations'!$A:$J,7,FALSE)</f>
        <v>No</v>
      </c>
      <c r="H1243" t="str">
        <f>VLOOKUP($A1243,'Medical Examinations'!$A:$J,8,FALSE)</f>
        <v>No</v>
      </c>
      <c r="I1243">
        <f>VLOOKUP($A1243,'Medical Examinations'!$A:$J,9,FALSE)</f>
        <v>1</v>
      </c>
      <c r="J1243" t="str">
        <f>VLOOKUP($A1243,'Medical Examinations'!$A:$J,10,FALSE)</f>
        <v>No</v>
      </c>
      <c r="K1243" t="str">
        <f>VLOOKUP($A1243,'Medical Examinations'!$A:$J,5,FALSE)</f>
        <v>Normal</v>
      </c>
      <c r="L1243">
        <f>VLOOKUP($A1244,'Medical Examinations'!$A:$J,3,FALSE)</f>
        <v>43.89</v>
      </c>
      <c r="M1243">
        <f>VLOOKUP($A1243,'Hospitalisation Details'!$A:$K,6,FALSE)</f>
        <v>8954.99</v>
      </c>
      <c r="N1243" s="11">
        <f>VLOOKUP($B1243,'Hospitalisation Details'!A1242:J3586,10,0)</f>
        <v>33559</v>
      </c>
      <c r="O1243" t="str">
        <f>VLOOKUP($B1243,'Hospitalisation Details'!A1242:J3586,8,0)</f>
        <v>tier - 2</v>
      </c>
      <c r="P1243" t="str">
        <f>VLOOKUP($B1243,'Hospitalisation Details'!A1242:J3586,7,0)</f>
        <v>tier - 3</v>
      </c>
      <c r="Q1243" t="str">
        <f>VLOOKUP($B1243,'Hospitalisation Details'!A1242:J3586,9,0)</f>
        <v>R1012</v>
      </c>
      <c r="R1243">
        <f>VLOOKUP($B1243,'Hospitalisation Details'!A1242:K3586,11,0)</f>
        <v>31</v>
      </c>
    </row>
    <row r="1244" spans="1:18" x14ac:dyDescent="0.35">
      <c r="A1244" t="s">
        <v>1128</v>
      </c>
      <c r="B1244" t="s">
        <v>1275</v>
      </c>
      <c r="C1244" t="str">
        <f>VLOOKUP($A1244,'Customer Names'!$A:$E,4,FALSE)</f>
        <v>Rafer</v>
      </c>
      <c r="D1244" t="str">
        <f>VLOOKUP($A1244,'Medical Examinations'!$A:$J,2,FALSE)</f>
        <v>Obesity</v>
      </c>
      <c r="E1244">
        <f>VLOOKUP($A1244,'Medical Examinations'!$A:$J,4,FALSE)</f>
        <v>6.32</v>
      </c>
      <c r="F1244" t="str">
        <f>VLOOKUP($A1244,'Medical Examinations'!$A:$J,6,FALSE)</f>
        <v>yes</v>
      </c>
      <c r="G1244" t="str">
        <f>VLOOKUP($A1244,'Medical Examinations'!$A:$J,7,FALSE)</f>
        <v>No</v>
      </c>
      <c r="H1244" t="str">
        <f>VLOOKUP($A1244,'Medical Examinations'!$A:$J,8,FALSE)</f>
        <v>No</v>
      </c>
      <c r="I1244">
        <f>VLOOKUP($A1244,'Medical Examinations'!$A:$J,9,FALSE)</f>
        <v>0</v>
      </c>
      <c r="J1244" t="str">
        <f>VLOOKUP($A1244,'Medical Examinations'!$A:$J,10,FALSE)</f>
        <v>No</v>
      </c>
      <c r="K1244" t="str">
        <f>VLOOKUP($A1244,'Medical Examinations'!$A:$J,5,FALSE)</f>
        <v>Prediabetes</v>
      </c>
      <c r="L1244">
        <f>VLOOKUP($A1245,'Medical Examinations'!$A:$J,3,FALSE)</f>
        <v>25.6</v>
      </c>
      <c r="M1244">
        <f>VLOOKUP($A1244,'Hospitalisation Details'!$A:$K,6,FALSE)</f>
        <v>8944.1200000000008</v>
      </c>
      <c r="N1244" s="11">
        <f>VLOOKUP($B1244,'Hospitalisation Details'!A1243:J3587,10,0)</f>
        <v>33471</v>
      </c>
      <c r="O1244" t="str">
        <f>VLOOKUP($B1244,'Hospitalisation Details'!A1243:J3587,8,0)</f>
        <v>tier - 1</v>
      </c>
      <c r="P1244" t="str">
        <f>VLOOKUP($B1244,'Hospitalisation Details'!A1243:J3587,7,0)</f>
        <v>tier - 3</v>
      </c>
      <c r="Q1244" t="str">
        <f>VLOOKUP($B1244,'Hospitalisation Details'!A1243:J3587,9,0)</f>
        <v>R1026</v>
      </c>
      <c r="R1244">
        <f>VLOOKUP($B1244,'Hospitalisation Details'!A1243:K3587,11,0)</f>
        <v>31</v>
      </c>
    </row>
    <row r="1245" spans="1:18" x14ac:dyDescent="0.35">
      <c r="A1245" t="s">
        <v>1127</v>
      </c>
      <c r="B1245" t="s">
        <v>1276</v>
      </c>
      <c r="C1245" t="str">
        <f>VLOOKUP($A1245,'Customer Names'!$A:$E,4,FALSE)</f>
        <v>Claire</v>
      </c>
      <c r="D1245" t="str">
        <f>VLOOKUP($A1245,'Medical Examinations'!$A:$J,2,FALSE)</f>
        <v>Overweight</v>
      </c>
      <c r="E1245">
        <f>VLOOKUP($A1245,'Medical Examinations'!$A:$J,4,FALSE)</f>
        <v>5.65</v>
      </c>
      <c r="F1245" t="str">
        <f>VLOOKUP($A1245,'Medical Examinations'!$A:$J,6,FALSE)</f>
        <v>No</v>
      </c>
      <c r="G1245" t="str">
        <f>VLOOKUP($A1245,'Medical Examinations'!$A:$J,7,FALSE)</f>
        <v>No</v>
      </c>
      <c r="H1245" t="str">
        <f>VLOOKUP($A1245,'Medical Examinations'!$A:$J,8,FALSE)</f>
        <v>No</v>
      </c>
      <c r="I1245">
        <f>VLOOKUP($A1245,'Medical Examinations'!$A:$J,9,FALSE)</f>
        <v>2</v>
      </c>
      <c r="J1245" t="str">
        <f>VLOOKUP($A1245,'Medical Examinations'!$A:$J,10,FALSE)</f>
        <v>No</v>
      </c>
      <c r="K1245" t="str">
        <f>VLOOKUP($A1245,'Medical Examinations'!$A:$J,5,FALSE)</f>
        <v>Normal</v>
      </c>
      <c r="L1245">
        <f>VLOOKUP($A1246,'Medical Examinations'!$A:$J,3,FALSE)</f>
        <v>29.545000000000002</v>
      </c>
      <c r="M1245">
        <f>VLOOKUP($A1245,'Hospitalisation Details'!$A:$K,6,FALSE)</f>
        <v>8932.08</v>
      </c>
      <c r="N1245" s="11">
        <f>VLOOKUP($B1245,'Hospitalisation Details'!A1244:J3588,10,0)</f>
        <v>25903</v>
      </c>
      <c r="O1245" t="str">
        <f>VLOOKUP($B1245,'Hospitalisation Details'!A1244:J3588,8,0)</f>
        <v>tier - 3</v>
      </c>
      <c r="P1245" t="str">
        <f>VLOOKUP($B1245,'Hospitalisation Details'!A1244:J3588,7,0)</f>
        <v>tier - 3</v>
      </c>
      <c r="Q1245" t="str">
        <f>VLOOKUP($B1245,'Hospitalisation Details'!A1244:J3588,9,0)</f>
        <v>R1011</v>
      </c>
      <c r="R1245">
        <f>VLOOKUP($B1245,'Hospitalisation Details'!A1244:K3588,11,0)</f>
        <v>52</v>
      </c>
    </row>
    <row r="1246" spans="1:18" x14ac:dyDescent="0.35">
      <c r="A1246" t="s">
        <v>1126</v>
      </c>
      <c r="B1246" t="s">
        <v>1277</v>
      </c>
      <c r="C1246" t="str">
        <f>VLOOKUP($A1246,'Customer Names'!$A:$E,4,FALSE)</f>
        <v>Erynn J.</v>
      </c>
      <c r="D1246" t="str">
        <f>VLOOKUP($A1246,'Medical Examinations'!$A:$J,2,FALSE)</f>
        <v>Overweight</v>
      </c>
      <c r="E1246">
        <f>VLOOKUP($A1246,'Medical Examinations'!$A:$J,4,FALSE)</f>
        <v>8.41</v>
      </c>
      <c r="F1246" t="str">
        <f>VLOOKUP($A1246,'Medical Examinations'!$A:$J,6,FALSE)</f>
        <v>yes</v>
      </c>
      <c r="G1246" t="str">
        <f>VLOOKUP($A1246,'Medical Examinations'!$A:$J,7,FALSE)</f>
        <v>No</v>
      </c>
      <c r="H1246" t="str">
        <f>VLOOKUP($A1246,'Medical Examinations'!$A:$J,8,FALSE)</f>
        <v>No</v>
      </c>
      <c r="I1246">
        <f>VLOOKUP($A1246,'Medical Examinations'!$A:$J,9,FALSE)</f>
        <v>1</v>
      </c>
      <c r="J1246" t="str">
        <f>VLOOKUP($A1246,'Medical Examinations'!$A:$J,10,FALSE)</f>
        <v>No</v>
      </c>
      <c r="K1246" t="str">
        <f>VLOOKUP($A1246,'Medical Examinations'!$A:$J,5,FALSE)</f>
        <v>Diabetes</v>
      </c>
      <c r="L1246">
        <f>VLOOKUP($A1247,'Medical Examinations'!$A:$J,3,FALSE)</f>
        <v>23.25</v>
      </c>
      <c r="M1246">
        <f>VLOOKUP($A1246,'Hospitalisation Details'!$A:$K,6,FALSE)</f>
        <v>8930.93</v>
      </c>
      <c r="N1246" s="11">
        <f>VLOOKUP($B1246,'Hospitalisation Details'!A1245:J3589,10,0)</f>
        <v>30153</v>
      </c>
      <c r="O1246" t="str">
        <f>VLOOKUP($B1246,'Hospitalisation Details'!A1245:J3589,8,0)</f>
        <v>tier - 1</v>
      </c>
      <c r="P1246" t="str">
        <f>VLOOKUP($B1246,'Hospitalisation Details'!A1245:J3589,7,0)</f>
        <v>tier - 3</v>
      </c>
      <c r="Q1246" t="str">
        <f>VLOOKUP($B1246,'Hospitalisation Details'!A1245:J3589,9,0)</f>
        <v>R1021</v>
      </c>
      <c r="R1246">
        <f>VLOOKUP($B1246,'Hospitalisation Details'!A1245:K3589,11,0)</f>
        <v>40</v>
      </c>
    </row>
    <row r="1247" spans="1:18" x14ac:dyDescent="0.35">
      <c r="A1247" t="s">
        <v>1125</v>
      </c>
      <c r="B1247" t="s">
        <v>1278</v>
      </c>
      <c r="C1247" t="str">
        <f>VLOOKUP($A1247,'Customer Names'!$A:$E,4,FALSE)</f>
        <v>Mahesh</v>
      </c>
      <c r="D1247" t="str">
        <f>VLOOKUP($A1247,'Medical Examinations'!$A:$J,2,FALSE)</f>
        <v>Normal Weight</v>
      </c>
      <c r="E1247">
        <f>VLOOKUP($A1247,'Medical Examinations'!$A:$J,4,FALSE)</f>
        <v>11.96</v>
      </c>
      <c r="F1247" t="str">
        <f>VLOOKUP($A1247,'Medical Examinations'!$A:$J,6,FALSE)</f>
        <v>yes</v>
      </c>
      <c r="G1247" t="str">
        <f>VLOOKUP($A1247,'Medical Examinations'!$A:$J,7,FALSE)</f>
        <v>No</v>
      </c>
      <c r="H1247" t="str">
        <f>VLOOKUP($A1247,'Medical Examinations'!$A:$J,8,FALSE)</f>
        <v>No</v>
      </c>
      <c r="I1247">
        <f>VLOOKUP($A1247,'Medical Examinations'!$A:$J,9,FALSE)</f>
        <v>0</v>
      </c>
      <c r="J1247" t="str">
        <f>VLOOKUP($A1247,'Medical Examinations'!$A:$J,10,FALSE)</f>
        <v>No</v>
      </c>
      <c r="K1247" t="str">
        <f>VLOOKUP($A1247,'Medical Examinations'!$A:$J,5,FALSE)</f>
        <v>Diabetes</v>
      </c>
      <c r="L1247">
        <f>VLOOKUP($A1248,'Medical Examinations'!$A:$J,3,FALSE)</f>
        <v>43.95</v>
      </c>
      <c r="M1247">
        <f>VLOOKUP($A1247,'Hospitalisation Details'!$A:$K,6,FALSE)</f>
        <v>8908.4699999999993</v>
      </c>
      <c r="N1247" s="11">
        <f>VLOOKUP($B1247,'Hospitalisation Details'!A1246:J3590,10,0)</f>
        <v>25038</v>
      </c>
      <c r="O1247" t="str">
        <f>VLOOKUP($B1247,'Hospitalisation Details'!A1246:J3590,8,0)</f>
        <v>tier - 1</v>
      </c>
      <c r="P1247" t="str">
        <f>VLOOKUP($B1247,'Hospitalisation Details'!A1246:J3590,7,0)</f>
        <v>tier - 3</v>
      </c>
      <c r="Q1247" t="str">
        <f>VLOOKUP($B1247,'Hospitalisation Details'!A1246:J3590,9,0)</f>
        <v>R1013</v>
      </c>
      <c r="R1247">
        <f>VLOOKUP($B1247,'Hospitalisation Details'!A1246:K3590,11,0)</f>
        <v>54</v>
      </c>
    </row>
    <row r="1248" spans="1:18" x14ac:dyDescent="0.35">
      <c r="A1248" t="s">
        <v>1124</v>
      </c>
      <c r="B1248" t="s">
        <v>1279</v>
      </c>
      <c r="C1248" t="str">
        <f>VLOOKUP($A1248,'Customer Names'!$A:$E,4,FALSE)</f>
        <v>Stanley</v>
      </c>
      <c r="D1248" t="str">
        <f>VLOOKUP($A1248,'Medical Examinations'!$A:$J,2,FALSE)</f>
        <v>Obesity</v>
      </c>
      <c r="E1248">
        <f>VLOOKUP($A1248,'Medical Examinations'!$A:$J,4,FALSE)</f>
        <v>5.17</v>
      </c>
      <c r="F1248" t="str">
        <f>VLOOKUP($A1248,'Medical Examinations'!$A:$J,6,FALSE)</f>
        <v>yes</v>
      </c>
      <c r="G1248" t="str">
        <f>VLOOKUP($A1248,'Medical Examinations'!$A:$J,7,FALSE)</f>
        <v>No</v>
      </c>
      <c r="H1248" t="str">
        <f>VLOOKUP($A1248,'Medical Examinations'!$A:$J,8,FALSE)</f>
        <v>Yes</v>
      </c>
      <c r="I1248">
        <f>VLOOKUP($A1248,'Medical Examinations'!$A:$J,9,FALSE)</f>
        <v>1</v>
      </c>
      <c r="J1248" t="str">
        <f>VLOOKUP($A1248,'Medical Examinations'!$A:$J,10,FALSE)</f>
        <v>No</v>
      </c>
      <c r="K1248" t="str">
        <f>VLOOKUP($A1248,'Medical Examinations'!$A:$J,5,FALSE)</f>
        <v>Normal</v>
      </c>
      <c r="L1248">
        <f>VLOOKUP($A1249,'Medical Examinations'!$A:$J,3,FALSE)</f>
        <v>21.85</v>
      </c>
      <c r="M1248">
        <f>VLOOKUP($A1248,'Hospitalisation Details'!$A:$K,6,FALSE)</f>
        <v>8906.14</v>
      </c>
      <c r="N1248" s="11">
        <f>VLOOKUP($B1248,'Hospitalisation Details'!A1247:J3591,10,0)</f>
        <v>26884</v>
      </c>
      <c r="O1248" t="str">
        <f>VLOOKUP($B1248,'Hospitalisation Details'!A1247:J3591,8,0)</f>
        <v>tier - 2</v>
      </c>
      <c r="P1248" t="str">
        <f>VLOOKUP($B1248,'Hospitalisation Details'!A1247:J3591,7,0)</f>
        <v>tier - 3</v>
      </c>
      <c r="Q1248" t="str">
        <f>VLOOKUP($B1248,'Hospitalisation Details'!A1247:J3591,9,0)</f>
        <v>R1021</v>
      </c>
      <c r="R1248">
        <f>VLOOKUP($B1248,'Hospitalisation Details'!A1247:K3591,11,0)</f>
        <v>49</v>
      </c>
    </row>
    <row r="1249" spans="1:18" x14ac:dyDescent="0.35">
      <c r="A1249" t="s">
        <v>1123</v>
      </c>
      <c r="B1249" t="s">
        <v>1280</v>
      </c>
      <c r="C1249" t="str">
        <f>VLOOKUP($A1249,'Customer Names'!$A:$E,4,FALSE)</f>
        <v>Gregory</v>
      </c>
      <c r="D1249" t="str">
        <f>VLOOKUP($A1249,'Medical Examinations'!$A:$J,2,FALSE)</f>
        <v>Normal Weight</v>
      </c>
      <c r="E1249">
        <f>VLOOKUP($A1249,'Medical Examinations'!$A:$J,4,FALSE)</f>
        <v>8.76</v>
      </c>
      <c r="F1249" t="str">
        <f>VLOOKUP($A1249,'Medical Examinations'!$A:$J,6,FALSE)</f>
        <v>No</v>
      </c>
      <c r="G1249" t="str">
        <f>VLOOKUP($A1249,'Medical Examinations'!$A:$J,7,FALSE)</f>
        <v>No</v>
      </c>
      <c r="H1249" t="str">
        <f>VLOOKUP($A1249,'Medical Examinations'!$A:$J,8,FALSE)</f>
        <v>No</v>
      </c>
      <c r="I1249">
        <f>VLOOKUP($A1249,'Medical Examinations'!$A:$J,9,FALSE)</f>
        <v>0</v>
      </c>
      <c r="J1249" t="str">
        <f>VLOOKUP($A1249,'Medical Examinations'!$A:$J,10,FALSE)</f>
        <v>No</v>
      </c>
      <c r="K1249" t="str">
        <f>VLOOKUP($A1249,'Medical Examinations'!$A:$J,5,FALSE)</f>
        <v>Diabetes</v>
      </c>
      <c r="L1249">
        <f>VLOOKUP($A1250,'Medical Examinations'!$A:$J,3,FALSE)</f>
        <v>25.73</v>
      </c>
      <c r="M1249">
        <f>VLOOKUP($A1249,'Hospitalisation Details'!$A:$K,6,FALSE)</f>
        <v>8891.14</v>
      </c>
      <c r="N1249" s="11">
        <f>VLOOKUP($B1249,'Hospitalisation Details'!A1248:J3592,10,0)</f>
        <v>27301</v>
      </c>
      <c r="O1249" t="str">
        <f>VLOOKUP($B1249,'Hospitalisation Details'!A1248:J3592,8,0)</f>
        <v>tier - 1</v>
      </c>
      <c r="P1249" t="str">
        <f>VLOOKUP($B1249,'Hospitalisation Details'!A1248:J3592,7,0)</f>
        <v>tier - 3</v>
      </c>
      <c r="Q1249" t="str">
        <f>VLOOKUP($B1249,'Hospitalisation Details'!A1248:J3592,9,0)</f>
        <v>R1012</v>
      </c>
      <c r="R1249">
        <f>VLOOKUP($B1249,'Hospitalisation Details'!A1248:K3592,11,0)</f>
        <v>48</v>
      </c>
    </row>
    <row r="1250" spans="1:18" x14ac:dyDescent="0.35">
      <c r="A1250" t="s">
        <v>1122</v>
      </c>
      <c r="B1250" t="s">
        <v>1281</v>
      </c>
      <c r="C1250" t="str">
        <f>VLOOKUP($A1250,'Customer Names'!$A:$E,4,FALSE)</f>
        <v>Eric</v>
      </c>
      <c r="D1250" t="str">
        <f>VLOOKUP($A1250,'Medical Examinations'!$A:$J,2,FALSE)</f>
        <v>Overweight</v>
      </c>
      <c r="E1250">
        <f>VLOOKUP($A1250,'Medical Examinations'!$A:$J,4,FALSE)</f>
        <v>7.99</v>
      </c>
      <c r="F1250" t="str">
        <f>VLOOKUP($A1250,'Medical Examinations'!$A:$J,6,FALSE)</f>
        <v>No</v>
      </c>
      <c r="G1250" t="str">
        <f>VLOOKUP($A1250,'Medical Examinations'!$A:$J,7,FALSE)</f>
        <v>No</v>
      </c>
      <c r="H1250" t="str">
        <f>VLOOKUP($A1250,'Medical Examinations'!$A:$J,8,FALSE)</f>
        <v>No</v>
      </c>
      <c r="I1250">
        <f>VLOOKUP($A1250,'Medical Examinations'!$A:$J,9,FALSE)</f>
        <v>2</v>
      </c>
      <c r="J1250" t="str">
        <f>VLOOKUP($A1250,'Medical Examinations'!$A:$J,10,FALSE)</f>
        <v>No</v>
      </c>
      <c r="K1250" t="str">
        <f>VLOOKUP($A1250,'Medical Examinations'!$A:$J,5,FALSE)</f>
        <v>Diabetes</v>
      </c>
      <c r="L1250">
        <f>VLOOKUP($A1251,'Medical Examinations'!$A:$J,3,FALSE)</f>
        <v>32.229999999999997</v>
      </c>
      <c r="M1250">
        <f>VLOOKUP($A1250,'Hospitalisation Details'!$A:$K,6,FALSE)</f>
        <v>8890.59</v>
      </c>
      <c r="N1250" s="11">
        <f>VLOOKUP($B1250,'Hospitalisation Details'!A1249:J3593,10,0)</f>
        <v>25371</v>
      </c>
      <c r="O1250" t="str">
        <f>VLOOKUP($B1250,'Hospitalisation Details'!A1249:J3593,8,0)</f>
        <v>tier - 1</v>
      </c>
      <c r="P1250" t="str">
        <f>VLOOKUP($B1250,'Hospitalisation Details'!A1249:J3593,7,0)</f>
        <v>tier - 3</v>
      </c>
      <c r="Q1250" t="str">
        <f>VLOOKUP($B1250,'Hospitalisation Details'!A1249:J3593,9,0)</f>
        <v>R1012</v>
      </c>
      <c r="R1250">
        <f>VLOOKUP($B1250,'Hospitalisation Details'!A1249:K3593,11,0)</f>
        <v>53</v>
      </c>
    </row>
    <row r="1251" spans="1:18" x14ac:dyDescent="0.35">
      <c r="A1251" t="s">
        <v>1121</v>
      </c>
      <c r="B1251" t="s">
        <v>1282</v>
      </c>
      <c r="C1251" t="str">
        <f>VLOOKUP($A1251,'Customer Names'!$A:$E,4,FALSE)</f>
        <v>Rachel M</v>
      </c>
      <c r="D1251" t="str">
        <f>VLOOKUP($A1251,'Medical Examinations'!$A:$J,2,FALSE)</f>
        <v>Obesity</v>
      </c>
      <c r="E1251">
        <f>VLOOKUP($A1251,'Medical Examinations'!$A:$J,4,FALSE)</f>
        <v>8.59</v>
      </c>
      <c r="F1251" t="str">
        <f>VLOOKUP($A1251,'Medical Examinations'!$A:$J,6,FALSE)</f>
        <v>No</v>
      </c>
      <c r="G1251" t="str">
        <f>VLOOKUP($A1251,'Medical Examinations'!$A:$J,7,FALSE)</f>
        <v>No</v>
      </c>
      <c r="H1251" t="str">
        <f>VLOOKUP($A1251,'Medical Examinations'!$A:$J,8,FALSE)</f>
        <v>No</v>
      </c>
      <c r="I1251">
        <f>VLOOKUP($A1251,'Medical Examinations'!$A:$J,9,FALSE)</f>
        <v>0</v>
      </c>
      <c r="J1251" t="str">
        <f>VLOOKUP($A1251,'Medical Examinations'!$A:$J,10,FALSE)</f>
        <v>No</v>
      </c>
      <c r="K1251" t="str">
        <f>VLOOKUP($A1251,'Medical Examinations'!$A:$J,5,FALSE)</f>
        <v>Diabetes</v>
      </c>
      <c r="L1251">
        <f>VLOOKUP($A1252,'Medical Examinations'!$A:$J,3,FALSE)</f>
        <v>32.204999999999998</v>
      </c>
      <c r="M1251">
        <f>VLOOKUP($A1251,'Hospitalisation Details'!$A:$K,6,FALSE)</f>
        <v>8871.15</v>
      </c>
      <c r="N1251" s="11">
        <f>VLOOKUP($B1251,'Hospitalisation Details'!A1250:J3594,10,0)</f>
        <v>26182</v>
      </c>
      <c r="O1251" t="str">
        <f>VLOOKUP($B1251,'Hospitalisation Details'!A1250:J3594,8,0)</f>
        <v>tier - 1</v>
      </c>
      <c r="P1251" t="str">
        <f>VLOOKUP($B1251,'Hospitalisation Details'!A1250:J3594,7,0)</f>
        <v>tier - 3</v>
      </c>
      <c r="Q1251" t="str">
        <f>VLOOKUP($B1251,'Hospitalisation Details'!A1250:J3594,9,0)</f>
        <v>R1025</v>
      </c>
      <c r="R1251">
        <f>VLOOKUP($B1251,'Hospitalisation Details'!A1250:K3594,11,0)</f>
        <v>51</v>
      </c>
    </row>
    <row r="1252" spans="1:18" x14ac:dyDescent="0.35">
      <c r="A1252" t="s">
        <v>1120</v>
      </c>
      <c r="B1252" t="s">
        <v>1283</v>
      </c>
      <c r="C1252" t="str">
        <f>VLOOKUP($A1252,'Customer Names'!$A:$E,4,FALSE)</f>
        <v>Fritz</v>
      </c>
      <c r="D1252" t="str">
        <f>VLOOKUP($A1252,'Medical Examinations'!$A:$J,2,FALSE)</f>
        <v>Obesity</v>
      </c>
      <c r="E1252">
        <f>VLOOKUP($A1252,'Medical Examinations'!$A:$J,4,FALSE)</f>
        <v>6.14</v>
      </c>
      <c r="F1252" t="str">
        <f>VLOOKUP($A1252,'Medical Examinations'!$A:$J,6,FALSE)</f>
        <v>No</v>
      </c>
      <c r="G1252" t="str">
        <f>VLOOKUP($A1252,'Medical Examinations'!$A:$J,7,FALSE)</f>
        <v>No</v>
      </c>
      <c r="H1252" t="str">
        <f>VLOOKUP($A1252,'Medical Examinations'!$A:$J,8,FALSE)</f>
        <v>No</v>
      </c>
      <c r="I1252">
        <f>VLOOKUP($A1252,'Medical Examinations'!$A:$J,9,FALSE)</f>
        <v>2</v>
      </c>
      <c r="J1252" t="str">
        <f>VLOOKUP($A1252,'Medical Examinations'!$A:$J,10,FALSE)</f>
        <v>No</v>
      </c>
      <c r="K1252" t="str">
        <f>VLOOKUP($A1252,'Medical Examinations'!$A:$J,5,FALSE)</f>
        <v>Prediabetes</v>
      </c>
      <c r="L1252">
        <f>VLOOKUP($A1253,'Medical Examinations'!$A:$J,3,FALSE)</f>
        <v>26.41</v>
      </c>
      <c r="M1252">
        <f>VLOOKUP($A1252,'Hospitalisation Details'!$A:$K,6,FALSE)</f>
        <v>8835.26</v>
      </c>
      <c r="N1252" s="11">
        <f>VLOOKUP($B1252,'Hospitalisation Details'!A1251:J3595,10,0)</f>
        <v>26936</v>
      </c>
      <c r="O1252" t="str">
        <f>VLOOKUP($B1252,'Hospitalisation Details'!A1251:J3595,8,0)</f>
        <v>tier - 3</v>
      </c>
      <c r="P1252" t="str">
        <f>VLOOKUP($B1252,'Hospitalisation Details'!A1251:J3595,7,0)</f>
        <v>tier - 3</v>
      </c>
      <c r="Q1252" t="str">
        <f>VLOOKUP($B1252,'Hospitalisation Details'!A1251:J3595,9,0)</f>
        <v>R1024</v>
      </c>
      <c r="R1252">
        <f>VLOOKUP($B1252,'Hospitalisation Details'!A1251:K3595,11,0)</f>
        <v>49</v>
      </c>
    </row>
    <row r="1253" spans="1:18" x14ac:dyDescent="0.35">
      <c r="A1253" t="s">
        <v>1119</v>
      </c>
      <c r="B1253" t="s">
        <v>1284</v>
      </c>
      <c r="C1253" t="str">
        <f>VLOOKUP($A1253,'Customer Names'!$A:$E,4,FALSE)</f>
        <v>Brad</v>
      </c>
      <c r="D1253" t="str">
        <f>VLOOKUP($A1253,'Medical Examinations'!$A:$J,2,FALSE)</f>
        <v>Overweight</v>
      </c>
      <c r="E1253">
        <f>VLOOKUP($A1253,'Medical Examinations'!$A:$J,4,FALSE)</f>
        <v>4.08</v>
      </c>
      <c r="F1253" t="str">
        <f>VLOOKUP($A1253,'Medical Examinations'!$A:$J,6,FALSE)</f>
        <v>No</v>
      </c>
      <c r="G1253" t="str">
        <f>VLOOKUP($A1253,'Medical Examinations'!$A:$J,7,FALSE)</f>
        <v>No</v>
      </c>
      <c r="H1253" t="str">
        <f>VLOOKUP($A1253,'Medical Examinations'!$A:$J,8,FALSE)</f>
        <v>No</v>
      </c>
      <c r="I1253">
        <f>VLOOKUP($A1253,'Medical Examinations'!$A:$J,9,FALSE)</f>
        <v>2</v>
      </c>
      <c r="J1253" t="str">
        <f>VLOOKUP($A1253,'Medical Examinations'!$A:$J,10,FALSE)</f>
        <v>No</v>
      </c>
      <c r="K1253" t="str">
        <f>VLOOKUP($A1253,'Medical Examinations'!$A:$J,5,FALSE)</f>
        <v>Normal</v>
      </c>
      <c r="L1253">
        <f>VLOOKUP($A1254,'Medical Examinations'!$A:$J,3,FALSE)</f>
        <v>30.2</v>
      </c>
      <c r="M1253">
        <f>VLOOKUP($A1253,'Hospitalisation Details'!$A:$K,6,FALSE)</f>
        <v>8827.2099999999991</v>
      </c>
      <c r="N1253" s="11">
        <f>VLOOKUP($B1253,'Hospitalisation Details'!A1252:J3596,10,0)</f>
        <v>26926</v>
      </c>
      <c r="O1253" t="str">
        <f>VLOOKUP($B1253,'Hospitalisation Details'!A1252:J3596,8,0)</f>
        <v>tier - 3</v>
      </c>
      <c r="P1253" t="str">
        <f>VLOOKUP($B1253,'Hospitalisation Details'!A1252:J3596,7,0)</f>
        <v>tier - 3</v>
      </c>
      <c r="Q1253" t="str">
        <f>VLOOKUP($B1253,'Hospitalisation Details'!A1252:J3596,9,0)</f>
        <v>R1013</v>
      </c>
      <c r="R1253">
        <f>VLOOKUP($B1253,'Hospitalisation Details'!A1252:K3596,11,0)</f>
        <v>49</v>
      </c>
    </row>
    <row r="1254" spans="1:18" x14ac:dyDescent="0.35">
      <c r="A1254" t="s">
        <v>1118</v>
      </c>
      <c r="B1254" t="s">
        <v>1285</v>
      </c>
      <c r="C1254" t="str">
        <f>VLOOKUP($A1254,'Customer Names'!$A:$E,4,FALSE)</f>
        <v>Claire M</v>
      </c>
      <c r="D1254" t="str">
        <f>VLOOKUP($A1254,'Medical Examinations'!$A:$J,2,FALSE)</f>
        <v>Obesity</v>
      </c>
      <c r="E1254">
        <f>VLOOKUP($A1254,'Medical Examinations'!$A:$J,4,FALSE)</f>
        <v>6.25</v>
      </c>
      <c r="F1254" t="str">
        <f>VLOOKUP($A1254,'Medical Examinations'!$A:$J,6,FALSE)</f>
        <v>yes</v>
      </c>
      <c r="G1254" t="str">
        <f>VLOOKUP($A1254,'Medical Examinations'!$A:$J,7,FALSE)</f>
        <v>No</v>
      </c>
      <c r="H1254" t="str">
        <f>VLOOKUP($A1254,'Medical Examinations'!$A:$J,8,FALSE)</f>
        <v>No</v>
      </c>
      <c r="I1254">
        <f>VLOOKUP($A1254,'Medical Examinations'!$A:$J,9,FALSE)</f>
        <v>0</v>
      </c>
      <c r="J1254" t="str">
        <f>VLOOKUP($A1254,'Medical Examinations'!$A:$J,10,FALSE)</f>
        <v>No</v>
      </c>
      <c r="K1254" t="str">
        <f>VLOOKUP($A1254,'Medical Examinations'!$A:$J,5,FALSE)</f>
        <v>Prediabetes</v>
      </c>
      <c r="L1254">
        <f>VLOOKUP($A1255,'Medical Examinations'!$A:$J,3,FALSE)</f>
        <v>31.26</v>
      </c>
      <c r="M1254">
        <f>VLOOKUP($A1254,'Hospitalisation Details'!$A:$K,6,FALSE)</f>
        <v>8825.09</v>
      </c>
      <c r="N1254" s="11">
        <f>VLOOKUP($B1254,'Hospitalisation Details'!A1253:J3597,10,0)</f>
        <v>25391</v>
      </c>
      <c r="O1254" t="str">
        <f>VLOOKUP($B1254,'Hospitalisation Details'!A1253:J3597,8,0)</f>
        <v>tier - 2</v>
      </c>
      <c r="P1254" t="str">
        <f>VLOOKUP($B1254,'Hospitalisation Details'!A1253:J3597,7,0)</f>
        <v>tier - 3</v>
      </c>
      <c r="Q1254" t="str">
        <f>VLOOKUP($B1254,'Hospitalisation Details'!A1253:J3597,9,0)</f>
        <v>R1020</v>
      </c>
      <c r="R1254">
        <f>VLOOKUP($B1254,'Hospitalisation Details'!A1253:K3597,11,0)</f>
        <v>53</v>
      </c>
    </row>
    <row r="1255" spans="1:18" x14ac:dyDescent="0.35">
      <c r="A1255" t="s">
        <v>1117</v>
      </c>
      <c r="B1255" t="s">
        <v>1286</v>
      </c>
      <c r="C1255" t="str">
        <f>VLOOKUP($A1255,'Customer Names'!$A:$E,4,FALSE)</f>
        <v>Jennifer</v>
      </c>
      <c r="D1255" t="str">
        <f>VLOOKUP($A1255,'Medical Examinations'!$A:$J,2,FALSE)</f>
        <v>Obesity</v>
      </c>
      <c r="E1255">
        <f>VLOOKUP($A1255,'Medical Examinations'!$A:$J,4,FALSE)</f>
        <v>5.94</v>
      </c>
      <c r="F1255" t="str">
        <f>VLOOKUP($A1255,'Medical Examinations'!$A:$J,6,FALSE)</f>
        <v>yes</v>
      </c>
      <c r="G1255" t="str">
        <f>VLOOKUP($A1255,'Medical Examinations'!$A:$J,7,FALSE)</f>
        <v>No</v>
      </c>
      <c r="H1255" t="str">
        <f>VLOOKUP($A1255,'Medical Examinations'!$A:$J,8,FALSE)</f>
        <v>No</v>
      </c>
      <c r="I1255">
        <f>VLOOKUP($A1255,'Medical Examinations'!$A:$J,9,FALSE)</f>
        <v>1</v>
      </c>
      <c r="J1255" t="str">
        <f>VLOOKUP($A1255,'Medical Examinations'!$A:$J,10,FALSE)</f>
        <v>No</v>
      </c>
      <c r="K1255" t="str">
        <f>VLOOKUP($A1255,'Medical Examinations'!$A:$J,5,FALSE)</f>
        <v>Prediabetes</v>
      </c>
      <c r="L1255">
        <f>VLOOKUP($A1256,'Medical Examinations'!$A:$J,3,FALSE)</f>
        <v>33.725000000000001</v>
      </c>
      <c r="M1255">
        <f>VLOOKUP($A1255,'Hospitalisation Details'!$A:$K,6,FALSE)</f>
        <v>8824.27</v>
      </c>
      <c r="N1255" s="11">
        <f>VLOOKUP($B1255,'Hospitalisation Details'!A1254:J3598,10,0)</f>
        <v>27550</v>
      </c>
      <c r="O1255" t="str">
        <f>VLOOKUP($B1255,'Hospitalisation Details'!A1254:J3598,8,0)</f>
        <v>tier - 1</v>
      </c>
      <c r="P1255" t="str">
        <f>VLOOKUP($B1255,'Hospitalisation Details'!A1254:J3598,7,0)</f>
        <v>tier - 3</v>
      </c>
      <c r="Q1255" t="str">
        <f>VLOOKUP($B1255,'Hospitalisation Details'!A1254:J3598,9,0)</f>
        <v>R1015</v>
      </c>
      <c r="R1255">
        <f>VLOOKUP($B1255,'Hospitalisation Details'!A1254:K3598,11,0)</f>
        <v>48</v>
      </c>
    </row>
    <row r="1256" spans="1:18" x14ac:dyDescent="0.35">
      <c r="A1256" t="s">
        <v>1116</v>
      </c>
      <c r="B1256" t="s">
        <v>1287</v>
      </c>
      <c r="C1256" t="str">
        <f>VLOOKUP($A1256,'Customer Names'!$A:$E,4,FALSE)</f>
        <v>Maria S.</v>
      </c>
      <c r="D1256" t="str">
        <f>VLOOKUP($A1256,'Medical Examinations'!$A:$J,2,FALSE)</f>
        <v>Obesity</v>
      </c>
      <c r="E1256">
        <f>VLOOKUP($A1256,'Medical Examinations'!$A:$J,4,FALSE)</f>
        <v>6.45</v>
      </c>
      <c r="F1256" t="str">
        <f>VLOOKUP($A1256,'Medical Examinations'!$A:$J,6,FALSE)</f>
        <v>yes</v>
      </c>
      <c r="G1256" t="str">
        <f>VLOOKUP($A1256,'Medical Examinations'!$A:$J,7,FALSE)</f>
        <v>No</v>
      </c>
      <c r="H1256" t="str">
        <f>VLOOKUP($A1256,'Medical Examinations'!$A:$J,8,FALSE)</f>
        <v>No</v>
      </c>
      <c r="I1256">
        <f>VLOOKUP($A1256,'Medical Examinations'!$A:$J,9,FALSE)</f>
        <v>0</v>
      </c>
      <c r="J1256" t="str">
        <f>VLOOKUP($A1256,'Medical Examinations'!$A:$J,10,FALSE)</f>
        <v>No</v>
      </c>
      <c r="K1256" t="str">
        <f>VLOOKUP($A1256,'Medical Examinations'!$A:$J,5,FALSE)</f>
        <v>Prediabetes</v>
      </c>
      <c r="L1256">
        <f>VLOOKUP($A1257,'Medical Examinations'!$A:$J,3,FALSE)</f>
        <v>28.9</v>
      </c>
      <c r="M1256">
        <f>VLOOKUP($A1256,'Hospitalisation Details'!$A:$K,6,FALSE)</f>
        <v>8823.99</v>
      </c>
      <c r="N1256" s="11">
        <f>VLOOKUP($B1256,'Hospitalisation Details'!A1255:J3599,10,0)</f>
        <v>29518</v>
      </c>
      <c r="O1256" t="str">
        <f>VLOOKUP($B1256,'Hospitalisation Details'!A1255:J3599,8,0)</f>
        <v>tier - 1</v>
      </c>
      <c r="P1256" t="str">
        <f>VLOOKUP($B1256,'Hospitalisation Details'!A1255:J3599,7,0)</f>
        <v>tier - 3</v>
      </c>
      <c r="Q1256" t="str">
        <f>VLOOKUP($B1256,'Hospitalisation Details'!A1255:J3599,9,0)</f>
        <v>R1021</v>
      </c>
      <c r="R1256">
        <f>VLOOKUP($B1256,'Hospitalisation Details'!A1255:K3599,11,0)</f>
        <v>42</v>
      </c>
    </row>
    <row r="1257" spans="1:18" x14ac:dyDescent="0.35">
      <c r="A1257" t="s">
        <v>1115</v>
      </c>
      <c r="B1257" t="s">
        <v>1288</v>
      </c>
      <c r="C1257" t="str">
        <f>VLOOKUP($A1257,'Customer Names'!$A:$E,4,FALSE)</f>
        <v>Katherine E</v>
      </c>
      <c r="D1257" t="str">
        <f>VLOOKUP($A1257,'Medical Examinations'!$A:$J,2,FALSE)</f>
        <v>Overweight</v>
      </c>
      <c r="E1257">
        <f>VLOOKUP($A1257,'Medical Examinations'!$A:$J,4,FALSE)</f>
        <v>5.74</v>
      </c>
      <c r="F1257" t="str">
        <f>VLOOKUP($A1257,'Medical Examinations'!$A:$J,6,FALSE)</f>
        <v>yes</v>
      </c>
      <c r="G1257" t="str">
        <f>VLOOKUP($A1257,'Medical Examinations'!$A:$J,7,FALSE)</f>
        <v>No</v>
      </c>
      <c r="H1257" t="str">
        <f>VLOOKUP($A1257,'Medical Examinations'!$A:$J,8,FALSE)</f>
        <v>No</v>
      </c>
      <c r="I1257">
        <f>VLOOKUP($A1257,'Medical Examinations'!$A:$J,9,FALSE)</f>
        <v>0</v>
      </c>
      <c r="J1257" t="str">
        <f>VLOOKUP($A1257,'Medical Examinations'!$A:$J,10,FALSE)</f>
        <v>No</v>
      </c>
      <c r="K1257" t="str">
        <f>VLOOKUP($A1257,'Medical Examinations'!$A:$J,5,FALSE)</f>
        <v>Prediabetes</v>
      </c>
      <c r="L1257">
        <f>VLOOKUP($A1258,'Medical Examinations'!$A:$J,3,FALSE)</f>
        <v>45.69</v>
      </c>
      <c r="M1257">
        <f>VLOOKUP($A1257,'Hospitalisation Details'!$A:$K,6,FALSE)</f>
        <v>8823.2800000000007</v>
      </c>
      <c r="N1257" s="11">
        <f>VLOOKUP($B1257,'Hospitalisation Details'!A1256:J3600,10,0)</f>
        <v>26948</v>
      </c>
      <c r="O1257" t="str">
        <f>VLOOKUP($B1257,'Hospitalisation Details'!A1256:J3600,8,0)</f>
        <v>tier - 2</v>
      </c>
      <c r="P1257" t="str">
        <f>VLOOKUP($B1257,'Hospitalisation Details'!A1256:J3600,7,0)</f>
        <v>tier - 3</v>
      </c>
      <c r="Q1257" t="str">
        <f>VLOOKUP($B1257,'Hospitalisation Details'!A1256:J3600,9,0)</f>
        <v>R1025</v>
      </c>
      <c r="R1257">
        <f>VLOOKUP($B1257,'Hospitalisation Details'!A1256:K3600,11,0)</f>
        <v>49</v>
      </c>
    </row>
    <row r="1258" spans="1:18" x14ac:dyDescent="0.35">
      <c r="A1258" t="s">
        <v>1114</v>
      </c>
      <c r="B1258" t="s">
        <v>1289</v>
      </c>
      <c r="C1258" t="str">
        <f>VLOOKUP($A1258,'Customer Names'!$A:$E,4,FALSE)</f>
        <v>Michael</v>
      </c>
      <c r="D1258" t="str">
        <f>VLOOKUP($A1258,'Medical Examinations'!$A:$J,2,FALSE)</f>
        <v>Obesity</v>
      </c>
      <c r="E1258">
        <f>VLOOKUP($A1258,'Medical Examinations'!$A:$J,4,FALSE)</f>
        <v>4.43</v>
      </c>
      <c r="F1258" t="str">
        <f>VLOOKUP($A1258,'Medical Examinations'!$A:$J,6,FALSE)</f>
        <v>yes</v>
      </c>
      <c r="G1258" t="str">
        <f>VLOOKUP($A1258,'Medical Examinations'!$A:$J,7,FALSE)</f>
        <v>No</v>
      </c>
      <c r="H1258" t="str">
        <f>VLOOKUP($A1258,'Medical Examinations'!$A:$J,8,FALSE)</f>
        <v>No</v>
      </c>
      <c r="I1258">
        <f>VLOOKUP($A1258,'Medical Examinations'!$A:$J,9,FALSE)</f>
        <v>0</v>
      </c>
      <c r="J1258" t="str">
        <f>VLOOKUP($A1258,'Medical Examinations'!$A:$J,10,FALSE)</f>
        <v>No</v>
      </c>
      <c r="K1258" t="str">
        <f>VLOOKUP($A1258,'Medical Examinations'!$A:$J,5,FALSE)</f>
        <v>Normal</v>
      </c>
      <c r="L1258">
        <f>VLOOKUP($A1259,'Medical Examinations'!$A:$J,3,FALSE)</f>
        <v>21.03</v>
      </c>
      <c r="M1258">
        <f>VLOOKUP($A1258,'Hospitalisation Details'!$A:$K,6,FALSE)</f>
        <v>8821.8799999999992</v>
      </c>
      <c r="N1258" s="11">
        <f>VLOOKUP($B1258,'Hospitalisation Details'!A1257:J3601,10,0)</f>
        <v>29184</v>
      </c>
      <c r="O1258" t="str">
        <f>VLOOKUP($B1258,'Hospitalisation Details'!A1257:J3601,8,0)</f>
        <v>tier - 2</v>
      </c>
      <c r="P1258" t="str">
        <f>VLOOKUP($B1258,'Hospitalisation Details'!A1257:J3601,7,0)</f>
        <v>tier - 3</v>
      </c>
      <c r="Q1258" t="str">
        <f>VLOOKUP($B1258,'Hospitalisation Details'!A1257:J3601,9,0)</f>
        <v>R1025</v>
      </c>
      <c r="R1258">
        <f>VLOOKUP($B1258,'Hospitalisation Details'!A1257:K3601,11,0)</f>
        <v>43</v>
      </c>
    </row>
    <row r="1259" spans="1:18" x14ac:dyDescent="0.35">
      <c r="A1259" t="s">
        <v>1113</v>
      </c>
      <c r="B1259" t="s">
        <v>1290</v>
      </c>
      <c r="C1259" t="str">
        <f>VLOOKUP($A1259,'Customer Names'!$A:$E,4,FALSE)</f>
        <v>Roxanne</v>
      </c>
      <c r="D1259" t="str">
        <f>VLOOKUP($A1259,'Medical Examinations'!$A:$J,2,FALSE)</f>
        <v>Normal Weight</v>
      </c>
      <c r="E1259">
        <f>VLOOKUP($A1259,'Medical Examinations'!$A:$J,4,FALSE)</f>
        <v>6.5</v>
      </c>
      <c r="F1259" t="str">
        <f>VLOOKUP($A1259,'Medical Examinations'!$A:$J,6,FALSE)</f>
        <v>No</v>
      </c>
      <c r="G1259" t="str">
        <f>VLOOKUP($A1259,'Medical Examinations'!$A:$J,7,FALSE)</f>
        <v>No</v>
      </c>
      <c r="H1259" t="str">
        <f>VLOOKUP($A1259,'Medical Examinations'!$A:$J,8,FALSE)</f>
        <v>No</v>
      </c>
      <c r="I1259">
        <f>VLOOKUP($A1259,'Medical Examinations'!$A:$J,9,FALSE)</f>
        <v>0</v>
      </c>
      <c r="J1259" t="str">
        <f>VLOOKUP($A1259,'Medical Examinations'!$A:$J,10,FALSE)</f>
        <v>No</v>
      </c>
      <c r="K1259" t="str">
        <f>VLOOKUP($A1259,'Medical Examinations'!$A:$J,5,FALSE)</f>
        <v>Diabetes</v>
      </c>
      <c r="L1259">
        <f>VLOOKUP($A1260,'Medical Examinations'!$A:$J,3,FALSE)</f>
        <v>37</v>
      </c>
      <c r="M1259">
        <f>VLOOKUP($A1259,'Hospitalisation Details'!$A:$K,6,FALSE)</f>
        <v>8800.49</v>
      </c>
      <c r="N1259" s="11">
        <f>VLOOKUP($B1259,'Hospitalisation Details'!A1258:J3602,10,0)</f>
        <v>25199</v>
      </c>
      <c r="O1259" t="str">
        <f>VLOOKUP($B1259,'Hospitalisation Details'!A1258:J3602,8,0)</f>
        <v>tier - 1</v>
      </c>
      <c r="P1259" t="str">
        <f>VLOOKUP($B1259,'Hospitalisation Details'!A1258:J3602,7,0)</f>
        <v>tier - 3</v>
      </c>
      <c r="Q1259" t="str">
        <f>VLOOKUP($B1259,'Hospitalisation Details'!A1258:J3602,9,0)</f>
        <v>R1017</v>
      </c>
      <c r="R1259">
        <f>VLOOKUP($B1259,'Hospitalisation Details'!A1258:K3602,11,0)</f>
        <v>54</v>
      </c>
    </row>
    <row r="1260" spans="1:18" x14ac:dyDescent="0.35">
      <c r="A1260" t="s">
        <v>1112</v>
      </c>
      <c r="B1260" t="s">
        <v>1291</v>
      </c>
      <c r="C1260" t="str">
        <f>VLOOKUP($A1260,'Customer Names'!$A:$E,4,FALSE)</f>
        <v>Israel</v>
      </c>
      <c r="D1260" t="str">
        <f>VLOOKUP($A1260,'Medical Examinations'!$A:$J,2,FALSE)</f>
        <v>Obesity</v>
      </c>
      <c r="E1260">
        <f>VLOOKUP($A1260,'Medical Examinations'!$A:$J,4,FALSE)</f>
        <v>8.75</v>
      </c>
      <c r="F1260" t="str">
        <f>VLOOKUP($A1260,'Medical Examinations'!$A:$J,6,FALSE)</f>
        <v>No</v>
      </c>
      <c r="G1260" t="str">
        <f>VLOOKUP($A1260,'Medical Examinations'!$A:$J,7,FALSE)</f>
        <v>No</v>
      </c>
      <c r="H1260" t="str">
        <f>VLOOKUP($A1260,'Medical Examinations'!$A:$J,8,FALSE)</f>
        <v>No</v>
      </c>
      <c r="I1260">
        <f>VLOOKUP($A1260,'Medical Examinations'!$A:$J,9,FALSE)</f>
        <v>0</v>
      </c>
      <c r="J1260" t="str">
        <f>VLOOKUP($A1260,'Medical Examinations'!$A:$J,10,FALSE)</f>
        <v>No</v>
      </c>
      <c r="K1260" t="str">
        <f>VLOOKUP($A1260,'Medical Examinations'!$A:$J,5,FALSE)</f>
        <v>Diabetes</v>
      </c>
      <c r="L1260">
        <f>VLOOKUP($A1261,'Medical Examinations'!$A:$J,3,FALSE)</f>
        <v>25.4</v>
      </c>
      <c r="M1260">
        <f>VLOOKUP($A1260,'Hospitalisation Details'!$A:$K,6,FALSE)</f>
        <v>8798.59</v>
      </c>
      <c r="N1260" s="11">
        <f>VLOOKUP($B1260,'Hospitalisation Details'!A1259:J3603,10,0)</f>
        <v>25073</v>
      </c>
      <c r="O1260" t="str">
        <f>VLOOKUP($B1260,'Hospitalisation Details'!A1259:J3603,8,0)</f>
        <v>tier - 1</v>
      </c>
      <c r="P1260" t="str">
        <f>VLOOKUP($B1260,'Hospitalisation Details'!A1259:J3603,7,0)</f>
        <v>tier - 3</v>
      </c>
      <c r="Q1260" t="str">
        <f>VLOOKUP($B1260,'Hospitalisation Details'!A1259:J3603,9,0)</f>
        <v>R1016</v>
      </c>
      <c r="R1260">
        <f>VLOOKUP($B1260,'Hospitalisation Details'!A1259:K3603,11,0)</f>
        <v>54</v>
      </c>
    </row>
    <row r="1261" spans="1:18" x14ac:dyDescent="0.35">
      <c r="A1261" t="s">
        <v>1111</v>
      </c>
      <c r="B1261" t="s">
        <v>1292</v>
      </c>
      <c r="C1261" t="str">
        <f>VLOOKUP($A1261,'Customer Names'!$A:$E,4,FALSE)</f>
        <v>Samalya</v>
      </c>
      <c r="D1261" t="str">
        <f>VLOOKUP($A1261,'Medical Examinations'!$A:$J,2,FALSE)</f>
        <v>Overweight</v>
      </c>
      <c r="E1261">
        <f>VLOOKUP($A1261,'Medical Examinations'!$A:$J,4,FALSE)</f>
        <v>11.96</v>
      </c>
      <c r="F1261" t="str">
        <f>VLOOKUP($A1261,'Medical Examinations'!$A:$J,6,FALSE)</f>
        <v>No</v>
      </c>
      <c r="G1261" t="str">
        <f>VLOOKUP($A1261,'Medical Examinations'!$A:$J,7,FALSE)</f>
        <v>No</v>
      </c>
      <c r="H1261" t="str">
        <f>VLOOKUP($A1261,'Medical Examinations'!$A:$J,8,FALSE)</f>
        <v>No</v>
      </c>
      <c r="I1261">
        <f>VLOOKUP($A1261,'Medical Examinations'!$A:$J,9,FALSE)</f>
        <v>0</v>
      </c>
      <c r="J1261" t="str">
        <f>VLOOKUP($A1261,'Medical Examinations'!$A:$J,10,FALSE)</f>
        <v>No</v>
      </c>
      <c r="K1261" t="str">
        <f>VLOOKUP($A1261,'Medical Examinations'!$A:$J,5,FALSE)</f>
        <v>Diabetes</v>
      </c>
      <c r="L1261">
        <f>VLOOKUP($A1262,'Medical Examinations'!$A:$J,3,FALSE)</f>
        <v>32.299999999999997</v>
      </c>
      <c r="M1261">
        <f>VLOOKUP($A1261,'Hospitalisation Details'!$A:$K,6,FALSE)</f>
        <v>8782.4699999999993</v>
      </c>
      <c r="N1261" s="11">
        <f>VLOOKUP($B1261,'Hospitalisation Details'!A1260:J3604,10,0)</f>
        <v>25079</v>
      </c>
      <c r="O1261" t="str">
        <f>VLOOKUP($B1261,'Hospitalisation Details'!A1260:J3604,8,0)</f>
        <v>tier - 3</v>
      </c>
      <c r="P1261" t="str">
        <f>VLOOKUP($B1261,'Hospitalisation Details'!A1260:J3604,7,0)</f>
        <v>tier - 3</v>
      </c>
      <c r="Q1261" t="str">
        <f>VLOOKUP($B1261,'Hospitalisation Details'!A1260:J3604,9,0)</f>
        <v>R1011</v>
      </c>
      <c r="R1261">
        <f>VLOOKUP($B1261,'Hospitalisation Details'!A1260:K3604,11,0)</f>
        <v>54</v>
      </c>
    </row>
    <row r="1262" spans="1:18" x14ac:dyDescent="0.35">
      <c r="A1262" t="s">
        <v>1110</v>
      </c>
      <c r="B1262" t="s">
        <v>1293</v>
      </c>
      <c r="C1262" t="str">
        <f>VLOOKUP($A1262,'Customer Names'!$A:$E,4,FALSE)</f>
        <v>Peter</v>
      </c>
      <c r="D1262" t="str">
        <f>VLOOKUP($A1262,'Medical Examinations'!$A:$J,2,FALSE)</f>
        <v>Obesity</v>
      </c>
      <c r="E1262">
        <f>VLOOKUP($A1262,'Medical Examinations'!$A:$J,4,FALSE)</f>
        <v>10.54</v>
      </c>
      <c r="F1262" t="str">
        <f>VLOOKUP($A1262,'Medical Examinations'!$A:$J,6,FALSE)</f>
        <v>No</v>
      </c>
      <c r="G1262" t="str">
        <f>VLOOKUP($A1262,'Medical Examinations'!$A:$J,7,FALSE)</f>
        <v>No</v>
      </c>
      <c r="H1262" t="str">
        <f>VLOOKUP($A1262,'Medical Examinations'!$A:$J,8,FALSE)</f>
        <v>No</v>
      </c>
      <c r="I1262">
        <f>VLOOKUP($A1262,'Medical Examinations'!$A:$J,9,FALSE)</f>
        <v>0</v>
      </c>
      <c r="J1262" t="str">
        <f>VLOOKUP($A1262,'Medical Examinations'!$A:$J,10,FALSE)</f>
        <v>No</v>
      </c>
      <c r="K1262" t="str">
        <f>VLOOKUP($A1262,'Medical Examinations'!$A:$J,5,FALSE)</f>
        <v>Diabetes</v>
      </c>
      <c r="L1262">
        <f>VLOOKUP($A1263,'Medical Examinations'!$A:$J,3,FALSE)</f>
        <v>23.94</v>
      </c>
      <c r="M1262">
        <f>VLOOKUP($A1262,'Hospitalisation Details'!$A:$K,6,FALSE)</f>
        <v>8765.25</v>
      </c>
      <c r="N1262" s="11">
        <f>VLOOKUP($B1262,'Hospitalisation Details'!A1261:J3605,10,0)</f>
        <v>25150</v>
      </c>
      <c r="O1262" t="str">
        <f>VLOOKUP($B1262,'Hospitalisation Details'!A1261:J3605,8,0)</f>
        <v>tier - 1</v>
      </c>
      <c r="P1262" t="str">
        <f>VLOOKUP($B1262,'Hospitalisation Details'!A1261:J3605,7,0)</f>
        <v>tier - 3</v>
      </c>
      <c r="Q1262" t="str">
        <f>VLOOKUP($B1262,'Hospitalisation Details'!A1261:J3605,9,0)</f>
        <v>R1011</v>
      </c>
      <c r="R1262">
        <f>VLOOKUP($B1262,'Hospitalisation Details'!A1261:K3605,11,0)</f>
        <v>54</v>
      </c>
    </row>
    <row r="1263" spans="1:18" x14ac:dyDescent="0.35">
      <c r="A1263" t="s">
        <v>1109</v>
      </c>
      <c r="B1263" t="s">
        <v>1294</v>
      </c>
      <c r="C1263" t="str">
        <f>VLOOKUP($A1263,'Customer Names'!$A:$E,4,FALSE)</f>
        <v>Alicia</v>
      </c>
      <c r="D1263" t="str">
        <f>VLOOKUP($A1263,'Medical Examinations'!$A:$J,2,FALSE)</f>
        <v>Normal Weight</v>
      </c>
      <c r="E1263">
        <f>VLOOKUP($A1263,'Medical Examinations'!$A:$J,4,FALSE)</f>
        <v>4.54</v>
      </c>
      <c r="F1263" t="str">
        <f>VLOOKUP($A1263,'Medical Examinations'!$A:$J,6,FALSE)</f>
        <v>yes</v>
      </c>
      <c r="G1263" t="str">
        <f>VLOOKUP($A1263,'Medical Examinations'!$A:$J,7,FALSE)</f>
        <v>No</v>
      </c>
      <c r="H1263" t="str">
        <f>VLOOKUP($A1263,'Medical Examinations'!$A:$J,8,FALSE)</f>
        <v>Yes</v>
      </c>
      <c r="I1263">
        <f>VLOOKUP($A1263,'Medical Examinations'!$A:$J,9,FALSE)</f>
        <v>1</v>
      </c>
      <c r="J1263" t="str">
        <f>VLOOKUP($A1263,'Medical Examinations'!$A:$J,10,FALSE)</f>
        <v>No</v>
      </c>
      <c r="K1263" t="str">
        <f>VLOOKUP($A1263,'Medical Examinations'!$A:$J,5,FALSE)</f>
        <v>Normal</v>
      </c>
      <c r="L1263">
        <f>VLOOKUP($A1264,'Medical Examinations'!$A:$J,3,FALSE)</f>
        <v>46.4</v>
      </c>
      <c r="M1263">
        <f>VLOOKUP($A1263,'Hospitalisation Details'!$A:$K,6,FALSE)</f>
        <v>8760.1200000000008</v>
      </c>
      <c r="N1263" s="11">
        <f>VLOOKUP($B1263,'Hospitalisation Details'!A1262:J3606,10,0)</f>
        <v>23664</v>
      </c>
      <c r="O1263" t="str">
        <f>VLOOKUP($B1263,'Hospitalisation Details'!A1262:J3606,8,0)</f>
        <v>tier - 1</v>
      </c>
      <c r="P1263" t="str">
        <f>VLOOKUP($B1263,'Hospitalisation Details'!A1262:J3606,7,0)</f>
        <v>tier - 3</v>
      </c>
      <c r="Q1263" t="str">
        <f>VLOOKUP($B1263,'Hospitalisation Details'!A1262:J3606,9,0)</f>
        <v>R1012</v>
      </c>
      <c r="R1263">
        <f>VLOOKUP($B1263,'Hospitalisation Details'!A1262:K3606,11,0)</f>
        <v>58</v>
      </c>
    </row>
    <row r="1264" spans="1:18" x14ac:dyDescent="0.35">
      <c r="A1264" t="s">
        <v>1108</v>
      </c>
      <c r="B1264" t="s">
        <v>1295</v>
      </c>
      <c r="C1264" t="str">
        <f>VLOOKUP($A1264,'Customer Names'!$A:$E,4,FALSE)</f>
        <v>Sarah K.</v>
      </c>
      <c r="D1264" t="str">
        <f>VLOOKUP($A1264,'Medical Examinations'!$A:$J,2,FALSE)</f>
        <v>Obesity</v>
      </c>
      <c r="E1264">
        <f>VLOOKUP($A1264,'Medical Examinations'!$A:$J,4,FALSE)</f>
        <v>5.71</v>
      </c>
      <c r="F1264" t="str">
        <f>VLOOKUP($A1264,'Medical Examinations'!$A:$J,6,FALSE)</f>
        <v>No</v>
      </c>
      <c r="G1264" t="str">
        <f>VLOOKUP($A1264,'Medical Examinations'!$A:$J,7,FALSE)</f>
        <v>No</v>
      </c>
      <c r="H1264" t="str">
        <f>VLOOKUP($A1264,'Medical Examinations'!$A:$J,8,FALSE)</f>
        <v>No</v>
      </c>
      <c r="I1264">
        <f>VLOOKUP($A1264,'Medical Examinations'!$A:$J,9,FALSE)</f>
        <v>0</v>
      </c>
      <c r="J1264" t="str">
        <f>VLOOKUP($A1264,'Medical Examinations'!$A:$J,10,FALSE)</f>
        <v>No</v>
      </c>
      <c r="K1264" t="str">
        <f>VLOOKUP($A1264,'Medical Examinations'!$A:$J,5,FALSE)</f>
        <v>Prediabetes</v>
      </c>
      <c r="L1264">
        <f>VLOOKUP($A1265,'Medical Examinations'!$A:$J,3,FALSE)</f>
        <v>40.375</v>
      </c>
      <c r="M1264">
        <f>VLOOKUP($A1264,'Hospitalisation Details'!$A:$K,6,FALSE)</f>
        <v>8747.68</v>
      </c>
      <c r="N1264" s="11">
        <f>VLOOKUP($B1264,'Hospitalisation Details'!A1263:J3607,10,0)</f>
        <v>27975</v>
      </c>
      <c r="O1264" t="str">
        <f>VLOOKUP($B1264,'Hospitalisation Details'!A1263:J3607,8,0)</f>
        <v>tier - 2</v>
      </c>
      <c r="P1264" t="str">
        <f>VLOOKUP($B1264,'Hospitalisation Details'!A1263:J3607,7,0)</f>
        <v>tier - 3</v>
      </c>
      <c r="Q1264" t="str">
        <f>VLOOKUP($B1264,'Hospitalisation Details'!A1263:J3607,9,0)</f>
        <v>R1021</v>
      </c>
      <c r="R1264">
        <f>VLOOKUP($B1264,'Hospitalisation Details'!A1263:K3607,11,0)</f>
        <v>46</v>
      </c>
    </row>
    <row r="1265" spans="1:18" x14ac:dyDescent="0.35">
      <c r="A1265" t="s">
        <v>1107</v>
      </c>
      <c r="B1265" t="s">
        <v>1296</v>
      </c>
      <c r="C1265" t="str">
        <f>VLOOKUP($A1265,'Customer Names'!$A:$E,4,FALSE)</f>
        <v>Guomin</v>
      </c>
      <c r="D1265" t="str">
        <f>VLOOKUP($A1265,'Medical Examinations'!$A:$J,2,FALSE)</f>
        <v>Obesity</v>
      </c>
      <c r="E1265">
        <f>VLOOKUP($A1265,'Medical Examinations'!$A:$J,4,FALSE)</f>
        <v>6.25</v>
      </c>
      <c r="F1265" t="str">
        <f>VLOOKUP($A1265,'Medical Examinations'!$A:$J,6,FALSE)</f>
        <v>yes</v>
      </c>
      <c r="G1265" t="str">
        <f>VLOOKUP($A1265,'Medical Examinations'!$A:$J,7,FALSE)</f>
        <v>No</v>
      </c>
      <c r="H1265" t="str">
        <f>VLOOKUP($A1265,'Medical Examinations'!$A:$J,8,FALSE)</f>
        <v>No</v>
      </c>
      <c r="I1265">
        <f>VLOOKUP($A1265,'Medical Examinations'!$A:$J,9,FALSE)</f>
        <v>0</v>
      </c>
      <c r="J1265" t="str">
        <f>VLOOKUP($A1265,'Medical Examinations'!$A:$J,10,FALSE)</f>
        <v>No</v>
      </c>
      <c r="K1265" t="str">
        <f>VLOOKUP($A1265,'Medical Examinations'!$A:$J,5,FALSE)</f>
        <v>Prediabetes</v>
      </c>
      <c r="L1265">
        <f>VLOOKUP($A1266,'Medical Examinations'!$A:$J,3,FALSE)</f>
        <v>28.7</v>
      </c>
      <c r="M1265">
        <f>VLOOKUP($A1265,'Hospitalisation Details'!$A:$K,6,FALSE)</f>
        <v>8733.23</v>
      </c>
      <c r="N1265" s="11">
        <f>VLOOKUP($B1265,'Hospitalisation Details'!A1264:J3608,10,0)</f>
        <v>23585</v>
      </c>
      <c r="O1265" t="str">
        <f>VLOOKUP($B1265,'Hospitalisation Details'!A1264:J3608,8,0)</f>
        <v>tier - 1</v>
      </c>
      <c r="P1265" t="str">
        <f>VLOOKUP($B1265,'Hospitalisation Details'!A1264:J3608,7,0)</f>
        <v>tier - 3</v>
      </c>
      <c r="Q1265" t="str">
        <f>VLOOKUP($B1265,'Hospitalisation Details'!A1264:J3608,9,0)</f>
        <v>R1013</v>
      </c>
      <c r="R1265">
        <f>VLOOKUP($B1265,'Hospitalisation Details'!A1264:K3608,11,0)</f>
        <v>58</v>
      </c>
    </row>
    <row r="1266" spans="1:18" x14ac:dyDescent="0.35">
      <c r="A1266" t="s">
        <v>1106</v>
      </c>
      <c r="B1266" t="s">
        <v>1297</v>
      </c>
      <c r="C1266" t="str">
        <f>VLOOKUP($A1266,'Customer Names'!$A:$E,4,FALSE)</f>
        <v>Javier</v>
      </c>
      <c r="D1266" t="str">
        <f>VLOOKUP($A1266,'Medical Examinations'!$A:$J,2,FALSE)</f>
        <v>Overweight</v>
      </c>
      <c r="E1266">
        <f>VLOOKUP($A1266,'Medical Examinations'!$A:$J,4,FALSE)</f>
        <v>9.4700000000000006</v>
      </c>
      <c r="F1266" t="str">
        <f>VLOOKUP($A1266,'Medical Examinations'!$A:$J,6,FALSE)</f>
        <v>No</v>
      </c>
      <c r="G1266" t="str">
        <f>VLOOKUP($A1266,'Medical Examinations'!$A:$J,7,FALSE)</f>
        <v>No</v>
      </c>
      <c r="H1266" t="str">
        <f>VLOOKUP($A1266,'Medical Examinations'!$A:$J,8,FALSE)</f>
        <v>No</v>
      </c>
      <c r="I1266">
        <f>VLOOKUP($A1266,'Medical Examinations'!$A:$J,9,FALSE)</f>
        <v>2</v>
      </c>
      <c r="J1266" t="str">
        <f>VLOOKUP($A1266,'Medical Examinations'!$A:$J,10,FALSE)</f>
        <v>No</v>
      </c>
      <c r="K1266" t="str">
        <f>VLOOKUP($A1266,'Medical Examinations'!$A:$J,5,FALSE)</f>
        <v>Diabetes</v>
      </c>
      <c r="L1266">
        <f>VLOOKUP($A1267,'Medical Examinations'!$A:$J,3,FALSE)</f>
        <v>26.63</v>
      </c>
      <c r="M1266">
        <f>VLOOKUP($A1266,'Hospitalisation Details'!$A:$K,6,FALSE)</f>
        <v>8703.4599999999991</v>
      </c>
      <c r="N1266" s="11">
        <f>VLOOKUP($B1266,'Hospitalisation Details'!A1265:J3609,10,0)</f>
        <v>25468</v>
      </c>
      <c r="O1266" t="str">
        <f>VLOOKUP($B1266,'Hospitalisation Details'!A1265:J3609,8,0)</f>
        <v>tier - 1</v>
      </c>
      <c r="P1266" t="str">
        <f>VLOOKUP($B1266,'Hospitalisation Details'!A1265:J3609,7,0)</f>
        <v>tier - 3</v>
      </c>
      <c r="Q1266" t="str">
        <f>VLOOKUP($B1266,'Hospitalisation Details'!A1265:J3609,9,0)</f>
        <v>R1012</v>
      </c>
      <c r="R1266">
        <f>VLOOKUP($B1266,'Hospitalisation Details'!A1265:K3609,11,0)</f>
        <v>53</v>
      </c>
    </row>
    <row r="1267" spans="1:18" x14ac:dyDescent="0.35">
      <c r="A1267" t="s">
        <v>1105</v>
      </c>
      <c r="B1267" t="s">
        <v>1298</v>
      </c>
      <c r="C1267" t="str">
        <f>VLOOKUP($A1267,'Customer Names'!$A:$E,4,FALSE)</f>
        <v>Matt</v>
      </c>
      <c r="D1267" t="str">
        <f>VLOOKUP($A1267,'Medical Examinations'!$A:$J,2,FALSE)</f>
        <v>Overweight</v>
      </c>
      <c r="E1267">
        <f>VLOOKUP($A1267,'Medical Examinations'!$A:$J,4,FALSE)</f>
        <v>5.7</v>
      </c>
      <c r="F1267" t="str">
        <f>VLOOKUP($A1267,'Medical Examinations'!$A:$J,6,FALSE)</f>
        <v>No</v>
      </c>
      <c r="G1267" t="str">
        <f>VLOOKUP($A1267,'Medical Examinations'!$A:$J,7,FALSE)</f>
        <v>No</v>
      </c>
      <c r="H1267" t="str">
        <f>VLOOKUP($A1267,'Medical Examinations'!$A:$J,8,FALSE)</f>
        <v>No</v>
      </c>
      <c r="I1267">
        <f>VLOOKUP($A1267,'Medical Examinations'!$A:$J,9,FALSE)</f>
        <v>0</v>
      </c>
      <c r="J1267" t="str">
        <f>VLOOKUP($A1267,'Medical Examinations'!$A:$J,10,FALSE)</f>
        <v>No</v>
      </c>
      <c r="K1267" t="str">
        <f>VLOOKUP($A1267,'Medical Examinations'!$A:$J,5,FALSE)</f>
        <v>Prediabetes</v>
      </c>
      <c r="L1267">
        <f>VLOOKUP($A1268,'Medical Examinations'!$A:$J,3,FALSE)</f>
        <v>22.515000000000001</v>
      </c>
      <c r="M1267">
        <f>VLOOKUP($A1267,'Hospitalisation Details'!$A:$K,6,FALSE)</f>
        <v>8701.84</v>
      </c>
      <c r="N1267" s="11">
        <f>VLOOKUP($B1267,'Hospitalisation Details'!A1266:J3610,10,0)</f>
        <v>31956</v>
      </c>
      <c r="O1267" t="str">
        <f>VLOOKUP($B1267,'Hospitalisation Details'!A1266:J3610,8,0)</f>
        <v>tier - 1</v>
      </c>
      <c r="P1267" t="str">
        <f>VLOOKUP($B1267,'Hospitalisation Details'!A1266:J3610,7,0)</f>
        <v>tier - 3</v>
      </c>
      <c r="Q1267" t="str">
        <f>VLOOKUP($B1267,'Hospitalisation Details'!A1266:J3610,9,0)</f>
        <v>R1012</v>
      </c>
      <c r="R1267">
        <f>VLOOKUP($B1267,'Hospitalisation Details'!A1266:K3610,11,0)</f>
        <v>35</v>
      </c>
    </row>
    <row r="1268" spans="1:18" x14ac:dyDescent="0.35">
      <c r="A1268" t="s">
        <v>1104</v>
      </c>
      <c r="B1268" t="s">
        <v>1299</v>
      </c>
      <c r="C1268" t="str">
        <f>VLOOKUP($A1268,'Customer Names'!$A:$E,4,FALSE)</f>
        <v>Thomas S</v>
      </c>
      <c r="D1268" t="str">
        <f>VLOOKUP($A1268,'Medical Examinations'!$A:$J,2,FALSE)</f>
        <v>Normal Weight</v>
      </c>
      <c r="E1268">
        <f>VLOOKUP($A1268,'Medical Examinations'!$A:$J,4,FALSE)</f>
        <v>11.18</v>
      </c>
      <c r="F1268" t="str">
        <f>VLOOKUP($A1268,'Medical Examinations'!$A:$J,6,FALSE)</f>
        <v>No</v>
      </c>
      <c r="G1268" t="str">
        <f>VLOOKUP($A1268,'Medical Examinations'!$A:$J,7,FALSE)</f>
        <v>No</v>
      </c>
      <c r="H1268" t="str">
        <f>VLOOKUP($A1268,'Medical Examinations'!$A:$J,8,FALSE)</f>
        <v>No</v>
      </c>
      <c r="I1268">
        <f>VLOOKUP($A1268,'Medical Examinations'!$A:$J,9,FALSE)</f>
        <v>2</v>
      </c>
      <c r="J1268" t="str">
        <f>VLOOKUP($A1268,'Medical Examinations'!$A:$J,10,FALSE)</f>
        <v>No</v>
      </c>
      <c r="K1268" t="str">
        <f>VLOOKUP($A1268,'Medical Examinations'!$A:$J,5,FALSE)</f>
        <v>Diabetes</v>
      </c>
      <c r="L1268">
        <f>VLOOKUP($A1269,'Medical Examinations'!$A:$J,3,FALSE)</f>
        <v>36.575000000000003</v>
      </c>
      <c r="M1268">
        <f>VLOOKUP($A1268,'Hospitalisation Details'!$A:$K,6,FALSE)</f>
        <v>8688.86</v>
      </c>
      <c r="N1268" s="11">
        <f>VLOOKUP($B1268,'Hospitalisation Details'!A1267:J3611,10,0)</f>
        <v>28723</v>
      </c>
      <c r="O1268" t="str">
        <f>VLOOKUP($B1268,'Hospitalisation Details'!A1267:J3611,8,0)</f>
        <v>tier - 3</v>
      </c>
      <c r="P1268" t="str">
        <f>VLOOKUP($B1268,'Hospitalisation Details'!A1267:J3611,7,0)</f>
        <v>tier - 3</v>
      </c>
      <c r="Q1268" t="str">
        <f>VLOOKUP($B1268,'Hospitalisation Details'!A1267:J3611,9,0)</f>
        <v>R1025</v>
      </c>
      <c r="R1268">
        <f>VLOOKUP($B1268,'Hospitalisation Details'!A1267:K3611,11,0)</f>
        <v>44</v>
      </c>
    </row>
    <row r="1269" spans="1:18" x14ac:dyDescent="0.35">
      <c r="A1269" t="s">
        <v>1103</v>
      </c>
      <c r="B1269" t="s">
        <v>1300</v>
      </c>
      <c r="C1269" t="str">
        <f>VLOOKUP($A1269,'Customer Names'!$A:$E,4,FALSE)</f>
        <v>Martha Patricia</v>
      </c>
      <c r="D1269" t="str">
        <f>VLOOKUP($A1269,'Medical Examinations'!$A:$J,2,FALSE)</f>
        <v>Obesity</v>
      </c>
      <c r="E1269">
        <f>VLOOKUP($A1269,'Medical Examinations'!$A:$J,4,FALSE)</f>
        <v>10.98</v>
      </c>
      <c r="F1269" t="str">
        <f>VLOOKUP($A1269,'Medical Examinations'!$A:$J,6,FALSE)</f>
        <v>No</v>
      </c>
      <c r="G1269" t="str">
        <f>VLOOKUP($A1269,'Medical Examinations'!$A:$J,7,FALSE)</f>
        <v>No</v>
      </c>
      <c r="H1269" t="str">
        <f>VLOOKUP($A1269,'Medical Examinations'!$A:$J,8,FALSE)</f>
        <v>No</v>
      </c>
      <c r="I1269">
        <f>VLOOKUP($A1269,'Medical Examinations'!$A:$J,9,FALSE)</f>
        <v>0</v>
      </c>
      <c r="J1269" t="str">
        <f>VLOOKUP($A1269,'Medical Examinations'!$A:$J,10,FALSE)</f>
        <v>No</v>
      </c>
      <c r="K1269" t="str">
        <f>VLOOKUP($A1269,'Medical Examinations'!$A:$J,5,FALSE)</f>
        <v>Diabetes</v>
      </c>
      <c r="L1269">
        <f>VLOOKUP($A1270,'Medical Examinations'!$A:$J,3,FALSE)</f>
        <v>23.66</v>
      </c>
      <c r="M1269">
        <f>VLOOKUP($A1269,'Hospitalisation Details'!$A:$K,6,FALSE)</f>
        <v>8671.19</v>
      </c>
      <c r="N1269" s="11">
        <f>VLOOKUP($B1269,'Hospitalisation Details'!A1268:J3612,10,0)</f>
        <v>26591</v>
      </c>
      <c r="O1269" t="str">
        <f>VLOOKUP($B1269,'Hospitalisation Details'!A1268:J3612,8,0)</f>
        <v>tier - 1</v>
      </c>
      <c r="P1269" t="str">
        <f>VLOOKUP($B1269,'Hospitalisation Details'!A1268:J3612,7,0)</f>
        <v>tier - 3</v>
      </c>
      <c r="Q1269" t="str">
        <f>VLOOKUP($B1269,'Hospitalisation Details'!A1268:J3612,9,0)</f>
        <v>R1012</v>
      </c>
      <c r="R1269">
        <f>VLOOKUP($B1269,'Hospitalisation Details'!A1268:K3612,11,0)</f>
        <v>50</v>
      </c>
    </row>
    <row r="1270" spans="1:18" x14ac:dyDescent="0.35">
      <c r="A1270" t="s">
        <v>1102</v>
      </c>
      <c r="B1270" t="s">
        <v>1301</v>
      </c>
      <c r="C1270" t="str">
        <f>VLOOKUP($A1270,'Customer Names'!$A:$E,4,FALSE)</f>
        <v>Alicia</v>
      </c>
      <c r="D1270" t="str">
        <f>VLOOKUP($A1270,'Medical Examinations'!$A:$J,2,FALSE)</f>
        <v>Normal Weight</v>
      </c>
      <c r="E1270">
        <f>VLOOKUP($A1270,'Medical Examinations'!$A:$J,4,FALSE)</f>
        <v>5.1100000000000003</v>
      </c>
      <c r="F1270" t="str">
        <f>VLOOKUP($A1270,'Medical Examinations'!$A:$J,6,FALSE)</f>
        <v>yes</v>
      </c>
      <c r="G1270" t="str">
        <f>VLOOKUP($A1270,'Medical Examinations'!$A:$J,7,FALSE)</f>
        <v>No</v>
      </c>
      <c r="H1270" t="str">
        <f>VLOOKUP($A1270,'Medical Examinations'!$A:$J,8,FALSE)</f>
        <v>Yes</v>
      </c>
      <c r="I1270">
        <f>VLOOKUP($A1270,'Medical Examinations'!$A:$J,9,FALSE)</f>
        <v>1</v>
      </c>
      <c r="J1270" t="str">
        <f>VLOOKUP($A1270,'Medical Examinations'!$A:$J,10,FALSE)</f>
        <v>No</v>
      </c>
      <c r="K1270" t="str">
        <f>VLOOKUP($A1270,'Medical Examinations'!$A:$J,5,FALSE)</f>
        <v>Normal</v>
      </c>
      <c r="L1270">
        <f>VLOOKUP($A1271,'Medical Examinations'!$A:$J,3,FALSE)</f>
        <v>18.62</v>
      </c>
      <c r="M1270">
        <f>VLOOKUP($A1270,'Hospitalisation Details'!$A:$K,6,FALSE)</f>
        <v>8665.14</v>
      </c>
      <c r="N1270" s="11">
        <f>VLOOKUP($B1270,'Hospitalisation Details'!A1269:J3613,10,0)</f>
        <v>28423</v>
      </c>
      <c r="O1270" t="str">
        <f>VLOOKUP($B1270,'Hospitalisation Details'!A1269:J3613,8,0)</f>
        <v>tier - 1</v>
      </c>
      <c r="P1270" t="str">
        <f>VLOOKUP($B1270,'Hospitalisation Details'!A1269:J3613,7,0)</f>
        <v>tier - 3</v>
      </c>
      <c r="Q1270" t="str">
        <f>VLOOKUP($B1270,'Hospitalisation Details'!A1269:J3613,9,0)</f>
        <v>R1012</v>
      </c>
      <c r="R1270">
        <f>VLOOKUP($B1270,'Hospitalisation Details'!A1269:K3613,11,0)</f>
        <v>45</v>
      </c>
    </row>
    <row r="1271" spans="1:18" x14ac:dyDescent="0.35">
      <c r="A1271" t="s">
        <v>1101</v>
      </c>
      <c r="B1271" t="s">
        <v>1302</v>
      </c>
      <c r="C1271" t="str">
        <f>VLOOKUP($A1271,'Customer Names'!$A:$E,4,FALSE)</f>
        <v>Jennifer V.</v>
      </c>
      <c r="D1271" t="str">
        <f>VLOOKUP($A1271,'Medical Examinations'!$A:$J,2,FALSE)</f>
        <v>Normal Weight</v>
      </c>
      <c r="E1271">
        <f>VLOOKUP($A1271,'Medical Examinations'!$A:$J,4,FALSE)</f>
        <v>10.24</v>
      </c>
      <c r="F1271" t="str">
        <f>VLOOKUP($A1271,'Medical Examinations'!$A:$J,6,FALSE)</f>
        <v>No</v>
      </c>
      <c r="G1271" t="str">
        <f>VLOOKUP($A1271,'Medical Examinations'!$A:$J,7,FALSE)</f>
        <v>No</v>
      </c>
      <c r="H1271" t="str">
        <f>VLOOKUP($A1271,'Medical Examinations'!$A:$J,8,FALSE)</f>
        <v>No</v>
      </c>
      <c r="I1271">
        <f>VLOOKUP($A1271,'Medical Examinations'!$A:$J,9,FALSE)</f>
        <v>0</v>
      </c>
      <c r="J1271" t="str">
        <f>VLOOKUP($A1271,'Medical Examinations'!$A:$J,10,FALSE)</f>
        <v>No</v>
      </c>
      <c r="K1271" t="str">
        <f>VLOOKUP($A1271,'Medical Examinations'!$A:$J,5,FALSE)</f>
        <v>Diabetes</v>
      </c>
      <c r="L1271">
        <f>VLOOKUP($A1272,'Medical Examinations'!$A:$J,3,FALSE)</f>
        <v>19.190000000000001</v>
      </c>
      <c r="M1271">
        <f>VLOOKUP($A1271,'Hospitalisation Details'!$A:$K,6,FALSE)</f>
        <v>8665.09</v>
      </c>
      <c r="N1271" s="11">
        <f>VLOOKUP($B1271,'Hospitalisation Details'!A1270:J3614,10,0)</f>
        <v>26202</v>
      </c>
      <c r="O1271" t="str">
        <f>VLOOKUP($B1271,'Hospitalisation Details'!A1270:J3614,8,0)</f>
        <v>tier - 3</v>
      </c>
      <c r="P1271" t="str">
        <f>VLOOKUP($B1271,'Hospitalisation Details'!A1270:J3614,7,0)</f>
        <v>tier - 3</v>
      </c>
      <c r="Q1271" t="str">
        <f>VLOOKUP($B1271,'Hospitalisation Details'!A1270:J3614,9,0)</f>
        <v>R1011</v>
      </c>
      <c r="R1271">
        <f>VLOOKUP($B1271,'Hospitalisation Details'!A1270:K3614,11,0)</f>
        <v>51</v>
      </c>
    </row>
    <row r="1272" spans="1:18" x14ac:dyDescent="0.35">
      <c r="A1272" t="s">
        <v>1100</v>
      </c>
      <c r="B1272" t="s">
        <v>1303</v>
      </c>
      <c r="C1272" t="str">
        <f>VLOOKUP($A1272,'Customer Names'!$A:$E,4,FALSE)</f>
        <v>Michael W.</v>
      </c>
      <c r="D1272" t="str">
        <f>VLOOKUP($A1272,'Medical Examinations'!$A:$J,2,FALSE)</f>
        <v>Normal Weight</v>
      </c>
      <c r="E1272">
        <f>VLOOKUP($A1272,'Medical Examinations'!$A:$J,4,FALSE)</f>
        <v>7.71</v>
      </c>
      <c r="F1272" t="str">
        <f>VLOOKUP($A1272,'Medical Examinations'!$A:$J,6,FALSE)</f>
        <v>yes</v>
      </c>
      <c r="G1272" t="str">
        <f>VLOOKUP($A1272,'Medical Examinations'!$A:$J,7,FALSE)</f>
        <v>No</v>
      </c>
      <c r="H1272" t="str">
        <f>VLOOKUP($A1272,'Medical Examinations'!$A:$J,8,FALSE)</f>
        <v>No</v>
      </c>
      <c r="I1272">
        <f>VLOOKUP($A1272,'Medical Examinations'!$A:$J,9,FALSE)</f>
        <v>1</v>
      </c>
      <c r="J1272" t="str">
        <f>VLOOKUP($A1272,'Medical Examinations'!$A:$J,10,FALSE)</f>
        <v>No</v>
      </c>
      <c r="K1272" t="str">
        <f>VLOOKUP($A1272,'Medical Examinations'!$A:$J,5,FALSE)</f>
        <v>Diabetes</v>
      </c>
      <c r="L1272">
        <f>VLOOKUP($A1273,'Medical Examinations'!$A:$J,3,FALSE)</f>
        <v>27.5</v>
      </c>
      <c r="M1272">
        <f>VLOOKUP($A1272,'Hospitalisation Details'!$A:$K,6,FALSE)</f>
        <v>8627.5400000000009</v>
      </c>
      <c r="N1272" s="11">
        <f>VLOOKUP($B1272,'Hospitalisation Details'!A1271:J3615,10,0)</f>
        <v>26113</v>
      </c>
      <c r="O1272" t="str">
        <f>VLOOKUP($B1272,'Hospitalisation Details'!A1271:J3615,8,0)</f>
        <v>tier - 2</v>
      </c>
      <c r="P1272" t="str">
        <f>VLOOKUP($B1272,'Hospitalisation Details'!A1271:J3615,7,0)</f>
        <v>tier - 3</v>
      </c>
      <c r="Q1272" t="str">
        <f>VLOOKUP($B1272,'Hospitalisation Details'!A1271:J3615,9,0)</f>
        <v>R1013</v>
      </c>
      <c r="R1272">
        <f>VLOOKUP($B1272,'Hospitalisation Details'!A1271:K3615,11,0)</f>
        <v>51</v>
      </c>
    </row>
    <row r="1273" spans="1:18" x14ac:dyDescent="0.35">
      <c r="A1273" t="s">
        <v>1099</v>
      </c>
      <c r="B1273" t="s">
        <v>1304</v>
      </c>
      <c r="C1273" t="str">
        <f>VLOOKUP($A1273,'Customer Names'!$A:$E,4,FALSE)</f>
        <v>Eddie C</v>
      </c>
      <c r="D1273" t="str">
        <f>VLOOKUP($A1273,'Medical Examinations'!$A:$J,2,FALSE)</f>
        <v>Overweight</v>
      </c>
      <c r="E1273">
        <f>VLOOKUP($A1273,'Medical Examinations'!$A:$J,4,FALSE)</f>
        <v>6.03</v>
      </c>
      <c r="F1273" t="str">
        <f>VLOOKUP($A1273,'Medical Examinations'!$A:$J,6,FALSE)</f>
        <v>No</v>
      </c>
      <c r="G1273" t="str">
        <f>VLOOKUP($A1273,'Medical Examinations'!$A:$J,7,FALSE)</f>
        <v>No</v>
      </c>
      <c r="H1273" t="str">
        <f>VLOOKUP($A1273,'Medical Examinations'!$A:$J,8,FALSE)</f>
        <v>No</v>
      </c>
      <c r="I1273">
        <f>VLOOKUP($A1273,'Medical Examinations'!$A:$J,9,FALSE)</f>
        <v>0</v>
      </c>
      <c r="J1273" t="str">
        <f>VLOOKUP($A1273,'Medical Examinations'!$A:$J,10,FALSE)</f>
        <v>No</v>
      </c>
      <c r="K1273" t="str">
        <f>VLOOKUP($A1273,'Medical Examinations'!$A:$J,5,FALSE)</f>
        <v>Prediabetes</v>
      </c>
      <c r="L1273">
        <f>VLOOKUP($A1274,'Medical Examinations'!$A:$J,3,FALSE)</f>
        <v>27.36</v>
      </c>
      <c r="M1273">
        <f>VLOOKUP($A1273,'Hospitalisation Details'!$A:$K,6,FALSE)</f>
        <v>8615.2999999999993</v>
      </c>
      <c r="N1273" s="11">
        <f>VLOOKUP($B1273,'Hospitalisation Details'!A1272:J3616,10,0)</f>
        <v>25401</v>
      </c>
      <c r="O1273" t="str">
        <f>VLOOKUP($B1273,'Hospitalisation Details'!A1272:J3616,8,0)</f>
        <v>tier - 1</v>
      </c>
      <c r="P1273" t="str">
        <f>VLOOKUP($B1273,'Hospitalisation Details'!A1272:J3616,7,0)</f>
        <v>tier - 3</v>
      </c>
      <c r="Q1273" t="str">
        <f>VLOOKUP($B1273,'Hospitalisation Details'!A1272:J3616,9,0)</f>
        <v>R1024</v>
      </c>
      <c r="R1273">
        <f>VLOOKUP($B1273,'Hospitalisation Details'!A1272:K3616,11,0)</f>
        <v>53</v>
      </c>
    </row>
    <row r="1274" spans="1:18" x14ac:dyDescent="0.35">
      <c r="A1274" t="s">
        <v>1098</v>
      </c>
      <c r="B1274" t="s">
        <v>1305</v>
      </c>
      <c r="C1274" t="str">
        <f>VLOOKUP($A1274,'Customer Names'!$A:$E,4,FALSE)</f>
        <v>Maxime M</v>
      </c>
      <c r="D1274" t="str">
        <f>VLOOKUP($A1274,'Medical Examinations'!$A:$J,2,FALSE)</f>
        <v>Overweight</v>
      </c>
      <c r="E1274">
        <f>VLOOKUP($A1274,'Medical Examinations'!$A:$J,4,FALSE)</f>
        <v>5.96</v>
      </c>
      <c r="F1274" t="str">
        <f>VLOOKUP($A1274,'Medical Examinations'!$A:$J,6,FALSE)</f>
        <v>No</v>
      </c>
      <c r="G1274" t="str">
        <f>VLOOKUP($A1274,'Medical Examinations'!$A:$J,7,FALSE)</f>
        <v>No</v>
      </c>
      <c r="H1274" t="str">
        <f>VLOOKUP($A1274,'Medical Examinations'!$A:$J,8,FALSE)</f>
        <v>Yes</v>
      </c>
      <c r="I1274">
        <f>VLOOKUP($A1274,'Medical Examinations'!$A:$J,9,FALSE)</f>
        <v>1</v>
      </c>
      <c r="J1274" t="str">
        <f>VLOOKUP($A1274,'Medical Examinations'!$A:$J,10,FALSE)</f>
        <v>No</v>
      </c>
      <c r="K1274" t="str">
        <f>VLOOKUP($A1274,'Medical Examinations'!$A:$J,5,FALSE)</f>
        <v>Prediabetes</v>
      </c>
      <c r="L1274">
        <f>VLOOKUP($A1275,'Medical Examinations'!$A:$J,3,FALSE)</f>
        <v>20.350000000000001</v>
      </c>
      <c r="M1274">
        <f>VLOOKUP($A1274,'Hospitalisation Details'!$A:$K,6,FALSE)</f>
        <v>8606.2199999999993</v>
      </c>
      <c r="N1274" s="11">
        <f>VLOOKUP($B1274,'Hospitalisation Details'!A1273:J3617,10,0)</f>
        <v>24452</v>
      </c>
      <c r="O1274" t="str">
        <f>VLOOKUP($B1274,'Hospitalisation Details'!A1273:J3617,8,0)</f>
        <v>tier - 3</v>
      </c>
      <c r="P1274" t="str">
        <f>VLOOKUP($B1274,'Hospitalisation Details'!A1273:J3617,7,0)</f>
        <v>tier - 3</v>
      </c>
      <c r="Q1274" t="str">
        <f>VLOOKUP($B1274,'Hospitalisation Details'!A1273:J3617,9,0)</f>
        <v>R1011</v>
      </c>
      <c r="R1274">
        <f>VLOOKUP($B1274,'Hospitalisation Details'!A1273:K3617,11,0)</f>
        <v>56</v>
      </c>
    </row>
    <row r="1275" spans="1:18" x14ac:dyDescent="0.35">
      <c r="A1275" t="s">
        <v>1097</v>
      </c>
      <c r="B1275" t="s">
        <v>1306</v>
      </c>
      <c r="C1275" t="str">
        <f>VLOOKUP($A1275,'Customer Names'!$A:$E,4,FALSE)</f>
        <v>Mark D</v>
      </c>
      <c r="D1275" t="str">
        <f>VLOOKUP($A1275,'Medical Examinations'!$A:$J,2,FALSE)</f>
        <v>Normal Weight</v>
      </c>
      <c r="E1275">
        <f>VLOOKUP($A1275,'Medical Examinations'!$A:$J,4,FALSE)</f>
        <v>4.16</v>
      </c>
      <c r="F1275" t="str">
        <f>VLOOKUP($A1275,'Medical Examinations'!$A:$J,6,FALSE)</f>
        <v>No</v>
      </c>
      <c r="G1275" t="str">
        <f>VLOOKUP($A1275,'Medical Examinations'!$A:$J,7,FALSE)</f>
        <v>No</v>
      </c>
      <c r="H1275" t="str">
        <f>VLOOKUP($A1275,'Medical Examinations'!$A:$J,8,FALSE)</f>
        <v>No</v>
      </c>
      <c r="I1275">
        <f>VLOOKUP($A1275,'Medical Examinations'!$A:$J,9,FALSE)</f>
        <v>0</v>
      </c>
      <c r="J1275" t="str">
        <f>VLOOKUP($A1275,'Medical Examinations'!$A:$J,10,FALSE)</f>
        <v>No</v>
      </c>
      <c r="K1275" t="str">
        <f>VLOOKUP($A1275,'Medical Examinations'!$A:$J,5,FALSE)</f>
        <v>Normal</v>
      </c>
      <c r="L1275">
        <f>VLOOKUP($A1276,'Medical Examinations'!$A:$J,3,FALSE)</f>
        <v>24.035</v>
      </c>
      <c r="M1275">
        <f>VLOOKUP($A1275,'Hospitalisation Details'!$A:$K,6,FALSE)</f>
        <v>8605.36</v>
      </c>
      <c r="N1275" s="11">
        <f>VLOOKUP($B1275,'Hospitalisation Details'!A1274:J3618,10,0)</f>
        <v>25562</v>
      </c>
      <c r="O1275" t="str">
        <f>VLOOKUP($B1275,'Hospitalisation Details'!A1274:J3618,8,0)</f>
        <v>tier - 3</v>
      </c>
      <c r="P1275" t="str">
        <f>VLOOKUP($B1275,'Hospitalisation Details'!A1274:J3618,7,0)</f>
        <v>tier - 3</v>
      </c>
      <c r="Q1275" t="str">
        <f>VLOOKUP($B1275,'Hospitalisation Details'!A1274:J3618,9,0)</f>
        <v>R1013</v>
      </c>
      <c r="R1275">
        <f>VLOOKUP($B1275,'Hospitalisation Details'!A1274:K3618,11,0)</f>
        <v>53</v>
      </c>
    </row>
    <row r="1276" spans="1:18" x14ac:dyDescent="0.35">
      <c r="A1276" t="s">
        <v>1096</v>
      </c>
      <c r="B1276" t="s">
        <v>1307</v>
      </c>
      <c r="C1276" t="str">
        <f>VLOOKUP($A1276,'Customer Names'!$A:$E,4,FALSE)</f>
        <v>Adam</v>
      </c>
      <c r="D1276" t="str">
        <f>VLOOKUP($A1276,'Medical Examinations'!$A:$J,2,FALSE)</f>
        <v>Normal Weight</v>
      </c>
      <c r="E1276">
        <f>VLOOKUP($A1276,'Medical Examinations'!$A:$J,4,FALSE)</f>
        <v>6.11</v>
      </c>
      <c r="F1276" t="str">
        <f>VLOOKUP($A1276,'Medical Examinations'!$A:$J,6,FALSE)</f>
        <v>No</v>
      </c>
      <c r="G1276" t="str">
        <f>VLOOKUP($A1276,'Medical Examinations'!$A:$J,7,FALSE)</f>
        <v>No</v>
      </c>
      <c r="H1276" t="str">
        <f>VLOOKUP($A1276,'Medical Examinations'!$A:$J,8,FALSE)</f>
        <v>No</v>
      </c>
      <c r="I1276">
        <f>VLOOKUP($A1276,'Medical Examinations'!$A:$J,9,FALSE)</f>
        <v>0</v>
      </c>
      <c r="J1276" t="str">
        <f>VLOOKUP($A1276,'Medical Examinations'!$A:$J,10,FALSE)</f>
        <v>No</v>
      </c>
      <c r="K1276" t="str">
        <f>VLOOKUP($A1276,'Medical Examinations'!$A:$J,5,FALSE)</f>
        <v>Prediabetes</v>
      </c>
      <c r="L1276">
        <f>VLOOKUP($A1277,'Medical Examinations'!$A:$J,3,FALSE)</f>
        <v>23.56</v>
      </c>
      <c r="M1276">
        <f>VLOOKUP($A1276,'Hospitalisation Details'!$A:$K,6,FALSE)</f>
        <v>8604.48</v>
      </c>
      <c r="N1276" s="11">
        <f>VLOOKUP($B1276,'Hospitalisation Details'!A1275:J3619,10,0)</f>
        <v>24414</v>
      </c>
      <c r="O1276" t="str">
        <f>VLOOKUP($B1276,'Hospitalisation Details'!A1275:J3619,8,0)</f>
        <v>tier - 3</v>
      </c>
      <c r="P1276" t="str">
        <f>VLOOKUP($B1276,'Hospitalisation Details'!A1275:J3619,7,0)</f>
        <v>tier - 3</v>
      </c>
      <c r="Q1276" t="str">
        <f>VLOOKUP($B1276,'Hospitalisation Details'!A1275:J3619,9,0)</f>
        <v>R1013</v>
      </c>
      <c r="R1276">
        <f>VLOOKUP($B1276,'Hospitalisation Details'!A1275:K3619,11,0)</f>
        <v>56</v>
      </c>
    </row>
    <row r="1277" spans="1:18" x14ac:dyDescent="0.35">
      <c r="A1277" t="s">
        <v>1095</v>
      </c>
      <c r="B1277" t="s">
        <v>1308</v>
      </c>
      <c r="C1277" t="str">
        <f>VLOOKUP($A1277,'Customer Names'!$A:$E,4,FALSE)</f>
        <v>Justin M</v>
      </c>
      <c r="D1277" t="str">
        <f>VLOOKUP($A1277,'Medical Examinations'!$A:$J,2,FALSE)</f>
        <v>Normal Weight</v>
      </c>
      <c r="E1277">
        <f>VLOOKUP($A1277,'Medical Examinations'!$A:$J,4,FALSE)</f>
        <v>5.97</v>
      </c>
      <c r="F1277" t="str">
        <f>VLOOKUP($A1277,'Medical Examinations'!$A:$J,6,FALSE)</f>
        <v>No</v>
      </c>
      <c r="G1277" t="str">
        <f>VLOOKUP($A1277,'Medical Examinations'!$A:$J,7,FALSE)</f>
        <v>No</v>
      </c>
      <c r="H1277" t="str">
        <f>VLOOKUP($A1277,'Medical Examinations'!$A:$J,8,FALSE)</f>
        <v>No</v>
      </c>
      <c r="I1277">
        <f>VLOOKUP($A1277,'Medical Examinations'!$A:$J,9,FALSE)</f>
        <v>0</v>
      </c>
      <c r="J1277" t="str">
        <f>VLOOKUP($A1277,'Medical Examinations'!$A:$J,10,FALSE)</f>
        <v>No</v>
      </c>
      <c r="K1277" t="str">
        <f>VLOOKUP($A1277,'Medical Examinations'!$A:$J,5,FALSE)</f>
        <v>Prediabetes</v>
      </c>
      <c r="L1277">
        <f>VLOOKUP($A1278,'Medical Examinations'!$A:$J,3,FALSE)</f>
        <v>27.17</v>
      </c>
      <c r="M1277">
        <f>VLOOKUP($A1277,'Hospitalisation Details'!$A:$K,6,FALSE)</f>
        <v>8603.82</v>
      </c>
      <c r="N1277" s="11">
        <f>VLOOKUP($B1277,'Hospitalisation Details'!A1276:J3620,10,0)</f>
        <v>24805</v>
      </c>
      <c r="O1277" t="str">
        <f>VLOOKUP($B1277,'Hospitalisation Details'!A1276:J3620,8,0)</f>
        <v>tier - 1</v>
      </c>
      <c r="P1277" t="str">
        <f>VLOOKUP($B1277,'Hospitalisation Details'!A1276:J3620,7,0)</f>
        <v>tier - 3</v>
      </c>
      <c r="Q1277" t="str">
        <f>VLOOKUP($B1277,'Hospitalisation Details'!A1276:J3620,9,0)</f>
        <v>R1012</v>
      </c>
      <c r="R1277">
        <f>VLOOKUP($B1277,'Hospitalisation Details'!A1276:K3620,11,0)</f>
        <v>55</v>
      </c>
    </row>
    <row r="1278" spans="1:18" x14ac:dyDescent="0.35">
      <c r="A1278" t="s">
        <v>1094</v>
      </c>
      <c r="B1278" t="s">
        <v>1309</v>
      </c>
      <c r="C1278" t="str">
        <f>VLOOKUP($A1278,'Customer Names'!$A:$E,4,FALSE)</f>
        <v>Svetlana V.</v>
      </c>
      <c r="D1278" t="str">
        <f>VLOOKUP($A1278,'Medical Examinations'!$A:$J,2,FALSE)</f>
        <v>Overweight</v>
      </c>
      <c r="E1278">
        <f>VLOOKUP($A1278,'Medical Examinations'!$A:$J,4,FALSE)</f>
        <v>10.81</v>
      </c>
      <c r="F1278" t="str">
        <f>VLOOKUP($A1278,'Medical Examinations'!$A:$J,6,FALSE)</f>
        <v>No</v>
      </c>
      <c r="G1278" t="str">
        <f>VLOOKUP($A1278,'Medical Examinations'!$A:$J,7,FALSE)</f>
        <v>No</v>
      </c>
      <c r="H1278" t="str">
        <f>VLOOKUP($A1278,'Medical Examinations'!$A:$J,8,FALSE)</f>
        <v>No</v>
      </c>
      <c r="I1278">
        <f>VLOOKUP($A1278,'Medical Examinations'!$A:$J,9,FALSE)</f>
        <v>2</v>
      </c>
      <c r="J1278" t="str">
        <f>VLOOKUP($A1278,'Medical Examinations'!$A:$J,10,FALSE)</f>
        <v>No</v>
      </c>
      <c r="K1278" t="str">
        <f>VLOOKUP($A1278,'Medical Examinations'!$A:$J,5,FALSE)</f>
        <v>Diabetes</v>
      </c>
      <c r="L1278">
        <f>VLOOKUP($A1279,'Medical Examinations'!$A:$J,3,FALSE)</f>
        <v>34.32</v>
      </c>
      <c r="M1278">
        <f>VLOOKUP($A1278,'Hospitalisation Details'!$A:$K,6,FALSE)</f>
        <v>8601.33</v>
      </c>
      <c r="N1278" s="11">
        <f>VLOOKUP($B1278,'Hospitalisation Details'!A1277:J3621,10,0)</f>
        <v>26647</v>
      </c>
      <c r="O1278" t="str">
        <f>VLOOKUP($B1278,'Hospitalisation Details'!A1277:J3621,8,0)</f>
        <v>tier - 1</v>
      </c>
      <c r="P1278" t="str">
        <f>VLOOKUP($B1278,'Hospitalisation Details'!A1277:J3621,7,0)</f>
        <v>tier - 3</v>
      </c>
      <c r="Q1278" t="str">
        <f>VLOOKUP($B1278,'Hospitalisation Details'!A1277:J3621,9,0)</f>
        <v>R1012</v>
      </c>
      <c r="R1278">
        <f>VLOOKUP($B1278,'Hospitalisation Details'!A1277:K3621,11,0)</f>
        <v>50</v>
      </c>
    </row>
    <row r="1279" spans="1:18" x14ac:dyDescent="0.35">
      <c r="A1279" t="s">
        <v>1093</v>
      </c>
      <c r="B1279" t="s">
        <v>1310</v>
      </c>
      <c r="C1279" t="str">
        <f>VLOOKUP($A1279,'Customer Names'!$A:$E,4,FALSE)</f>
        <v>Jana L</v>
      </c>
      <c r="D1279" t="str">
        <f>VLOOKUP($A1279,'Medical Examinations'!$A:$J,2,FALSE)</f>
        <v>Obesity</v>
      </c>
      <c r="E1279">
        <f>VLOOKUP($A1279,'Medical Examinations'!$A:$J,4,FALSE)</f>
        <v>5.7</v>
      </c>
      <c r="F1279" t="str">
        <f>VLOOKUP($A1279,'Medical Examinations'!$A:$J,6,FALSE)</f>
        <v>yes</v>
      </c>
      <c r="G1279" t="str">
        <f>VLOOKUP($A1279,'Medical Examinations'!$A:$J,7,FALSE)</f>
        <v>No</v>
      </c>
      <c r="H1279" t="str">
        <f>VLOOKUP($A1279,'Medical Examinations'!$A:$J,8,FALSE)</f>
        <v>Yes</v>
      </c>
      <c r="I1279">
        <f>VLOOKUP($A1279,'Medical Examinations'!$A:$J,9,FALSE)</f>
        <v>1</v>
      </c>
      <c r="J1279" t="str">
        <f>VLOOKUP($A1279,'Medical Examinations'!$A:$J,10,FALSE)</f>
        <v>No</v>
      </c>
      <c r="K1279" t="str">
        <f>VLOOKUP($A1279,'Medical Examinations'!$A:$J,5,FALSE)</f>
        <v>Prediabetes</v>
      </c>
      <c r="L1279">
        <f>VLOOKUP($A1280,'Medical Examinations'!$A:$J,3,FALSE)</f>
        <v>23.87</v>
      </c>
      <c r="M1279">
        <f>VLOOKUP($A1279,'Hospitalisation Details'!$A:$K,6,FALSE)</f>
        <v>8596.83</v>
      </c>
      <c r="N1279" s="11">
        <f>VLOOKUP($B1279,'Hospitalisation Details'!A1278:J3622,10,0)</f>
        <v>24308</v>
      </c>
      <c r="O1279" t="str">
        <f>VLOOKUP($B1279,'Hospitalisation Details'!A1278:J3622,8,0)</f>
        <v>tier - 2</v>
      </c>
      <c r="P1279" t="str">
        <f>VLOOKUP($B1279,'Hospitalisation Details'!A1278:J3622,7,0)</f>
        <v>tier - 3</v>
      </c>
      <c r="Q1279" t="str">
        <f>VLOOKUP($B1279,'Hospitalisation Details'!A1278:J3622,9,0)</f>
        <v>R1011</v>
      </c>
      <c r="R1279">
        <f>VLOOKUP($B1279,'Hospitalisation Details'!A1278:K3622,11,0)</f>
        <v>56</v>
      </c>
    </row>
    <row r="1280" spans="1:18" x14ac:dyDescent="0.35">
      <c r="A1280" t="s">
        <v>1092</v>
      </c>
      <c r="B1280" t="s">
        <v>1311</v>
      </c>
      <c r="C1280" t="str">
        <f>VLOOKUP($A1280,'Customer Names'!$A:$E,4,FALSE)</f>
        <v>Laura</v>
      </c>
      <c r="D1280" t="str">
        <f>VLOOKUP($A1280,'Medical Examinations'!$A:$J,2,FALSE)</f>
        <v>Normal Weight</v>
      </c>
      <c r="E1280">
        <f>VLOOKUP($A1280,'Medical Examinations'!$A:$J,4,FALSE)</f>
        <v>4.7699999999999996</v>
      </c>
      <c r="F1280" t="str">
        <f>VLOOKUP($A1280,'Medical Examinations'!$A:$J,6,FALSE)</f>
        <v>yes</v>
      </c>
      <c r="G1280" t="str">
        <f>VLOOKUP($A1280,'Medical Examinations'!$A:$J,7,FALSE)</f>
        <v>No</v>
      </c>
      <c r="H1280" t="str">
        <f>VLOOKUP($A1280,'Medical Examinations'!$A:$J,8,FALSE)</f>
        <v>Yes</v>
      </c>
      <c r="I1280">
        <f>VLOOKUP($A1280,'Medical Examinations'!$A:$J,9,FALSE)</f>
        <v>1</v>
      </c>
      <c r="J1280" t="str">
        <f>VLOOKUP($A1280,'Medical Examinations'!$A:$J,10,FALSE)</f>
        <v>No</v>
      </c>
      <c r="K1280" t="str">
        <f>VLOOKUP($A1280,'Medical Examinations'!$A:$J,5,FALSE)</f>
        <v>Normal</v>
      </c>
      <c r="L1280">
        <f>VLOOKUP($A1281,'Medical Examinations'!$A:$J,3,FALSE)</f>
        <v>30.15</v>
      </c>
      <c r="M1280">
        <f>VLOOKUP($A1280,'Hospitalisation Details'!$A:$K,6,FALSE)</f>
        <v>8582.2999999999993</v>
      </c>
      <c r="N1280" s="11">
        <f>VLOOKUP($B1280,'Hospitalisation Details'!A1279:J3623,10,0)</f>
        <v>24646</v>
      </c>
      <c r="O1280" t="str">
        <f>VLOOKUP($B1280,'Hospitalisation Details'!A1279:J3623,8,0)</f>
        <v>tier - 2</v>
      </c>
      <c r="P1280" t="str">
        <f>VLOOKUP($B1280,'Hospitalisation Details'!A1279:J3623,7,0)</f>
        <v>tier - 3</v>
      </c>
      <c r="Q1280" t="str">
        <f>VLOOKUP($B1280,'Hospitalisation Details'!A1279:J3623,9,0)</f>
        <v>R1012</v>
      </c>
      <c r="R1280">
        <f>VLOOKUP($B1280,'Hospitalisation Details'!A1279:K3623,11,0)</f>
        <v>55</v>
      </c>
    </row>
    <row r="1281" spans="1:18" x14ac:dyDescent="0.35">
      <c r="A1281" t="s">
        <v>1091</v>
      </c>
      <c r="B1281" t="s">
        <v>1312</v>
      </c>
      <c r="C1281" t="str">
        <f>VLOOKUP($A1281,'Customer Names'!$A:$E,4,FALSE)</f>
        <v>Torrey C III</v>
      </c>
      <c r="D1281" t="str">
        <f>VLOOKUP($A1281,'Medical Examinations'!$A:$J,2,FALSE)</f>
        <v>Obesity</v>
      </c>
      <c r="E1281">
        <f>VLOOKUP($A1281,'Medical Examinations'!$A:$J,4,FALSE)</f>
        <v>4.25</v>
      </c>
      <c r="F1281" t="str">
        <f>VLOOKUP($A1281,'Medical Examinations'!$A:$J,6,FALSE)</f>
        <v>No</v>
      </c>
      <c r="G1281" t="str">
        <f>VLOOKUP($A1281,'Medical Examinations'!$A:$J,7,FALSE)</f>
        <v>No</v>
      </c>
      <c r="H1281" t="str">
        <f>VLOOKUP($A1281,'Medical Examinations'!$A:$J,8,FALSE)</f>
        <v>No</v>
      </c>
      <c r="I1281">
        <f>VLOOKUP($A1281,'Medical Examinations'!$A:$J,9,FALSE)</f>
        <v>1</v>
      </c>
      <c r="J1281" t="str">
        <f>VLOOKUP($A1281,'Medical Examinations'!$A:$J,10,FALSE)</f>
        <v>No</v>
      </c>
      <c r="K1281" t="str">
        <f>VLOOKUP($A1281,'Medical Examinations'!$A:$J,5,FALSE)</f>
        <v>Normal</v>
      </c>
      <c r="L1281">
        <f>VLOOKUP($A1282,'Medical Examinations'!$A:$J,3,FALSE)</f>
        <v>26.36</v>
      </c>
      <c r="M1281">
        <f>VLOOKUP($A1281,'Hospitalisation Details'!$A:$K,6,FALSE)</f>
        <v>8573.2999999999993</v>
      </c>
      <c r="N1281" s="11">
        <f>VLOOKUP($B1281,'Hospitalisation Details'!A1280:J3624,10,0)</f>
        <v>24290</v>
      </c>
      <c r="O1281" t="str">
        <f>VLOOKUP($B1281,'Hospitalisation Details'!A1280:J3624,8,0)</f>
        <v>tier - 3</v>
      </c>
      <c r="P1281" t="str">
        <f>VLOOKUP($B1281,'Hospitalisation Details'!A1280:J3624,7,0)</f>
        <v>tier - 3</v>
      </c>
      <c r="Q1281" t="str">
        <f>VLOOKUP($B1281,'Hospitalisation Details'!A1280:J3624,9,0)</f>
        <v>R1011</v>
      </c>
      <c r="R1281">
        <f>VLOOKUP($B1281,'Hospitalisation Details'!A1280:K3624,11,0)</f>
        <v>56</v>
      </c>
    </row>
    <row r="1282" spans="1:18" x14ac:dyDescent="0.35">
      <c r="A1282" t="s">
        <v>1090</v>
      </c>
      <c r="B1282" t="s">
        <v>1313</v>
      </c>
      <c r="C1282" t="str">
        <f>VLOOKUP($A1282,'Customer Names'!$A:$E,4,FALSE)</f>
        <v>Paul</v>
      </c>
      <c r="D1282" t="str">
        <f>VLOOKUP($A1282,'Medical Examinations'!$A:$J,2,FALSE)</f>
        <v>Overweight</v>
      </c>
      <c r="E1282">
        <f>VLOOKUP($A1282,'Medical Examinations'!$A:$J,4,FALSE)</f>
        <v>5.52</v>
      </c>
      <c r="F1282" t="str">
        <f>VLOOKUP($A1282,'Medical Examinations'!$A:$J,6,FALSE)</f>
        <v>No</v>
      </c>
      <c r="G1282" t="str">
        <f>VLOOKUP($A1282,'Medical Examinations'!$A:$J,7,FALSE)</f>
        <v>No</v>
      </c>
      <c r="H1282" t="str">
        <f>VLOOKUP($A1282,'Medical Examinations'!$A:$J,8,FALSE)</f>
        <v>No</v>
      </c>
      <c r="I1282">
        <f>VLOOKUP($A1282,'Medical Examinations'!$A:$J,9,FALSE)</f>
        <v>0</v>
      </c>
      <c r="J1282" t="str">
        <f>VLOOKUP($A1282,'Medical Examinations'!$A:$J,10,FALSE)</f>
        <v>No</v>
      </c>
      <c r="K1282" t="str">
        <f>VLOOKUP($A1282,'Medical Examinations'!$A:$J,5,FALSE)</f>
        <v>Normal</v>
      </c>
      <c r="L1282">
        <f>VLOOKUP($A1283,'Medical Examinations'!$A:$J,3,FALSE)</f>
        <v>45.32</v>
      </c>
      <c r="M1282">
        <f>VLOOKUP($A1282,'Hospitalisation Details'!$A:$K,6,FALSE)</f>
        <v>8572.0400000000009</v>
      </c>
      <c r="N1282" s="11">
        <f>VLOOKUP($B1282,'Hospitalisation Details'!A1281:J3625,10,0)</f>
        <v>23920</v>
      </c>
      <c r="O1282" t="str">
        <f>VLOOKUP($B1282,'Hospitalisation Details'!A1281:J3625,8,0)</f>
        <v>tier - 3</v>
      </c>
      <c r="P1282" t="str">
        <f>VLOOKUP($B1282,'Hospitalisation Details'!A1281:J3625,7,0)</f>
        <v>tier - 3</v>
      </c>
      <c r="Q1282" t="str">
        <f>VLOOKUP($B1282,'Hospitalisation Details'!A1281:J3625,9,0)</f>
        <v>R1012</v>
      </c>
      <c r="R1282">
        <f>VLOOKUP($B1282,'Hospitalisation Details'!A1281:K3625,11,0)</f>
        <v>57</v>
      </c>
    </row>
    <row r="1283" spans="1:18" x14ac:dyDescent="0.35">
      <c r="A1283" t="s">
        <v>1089</v>
      </c>
      <c r="B1283" t="s">
        <v>1314</v>
      </c>
      <c r="C1283" t="str">
        <f>VLOOKUP($A1283,'Customer Names'!$A:$E,4,FALSE)</f>
        <v>Jennifer D.</v>
      </c>
      <c r="D1283" t="str">
        <f>VLOOKUP($A1283,'Medical Examinations'!$A:$J,2,FALSE)</f>
        <v>Obesity</v>
      </c>
      <c r="E1283">
        <f>VLOOKUP($A1283,'Medical Examinations'!$A:$J,4,FALSE)</f>
        <v>6.53</v>
      </c>
      <c r="F1283" t="str">
        <f>VLOOKUP($A1283,'Medical Examinations'!$A:$J,6,FALSE)</f>
        <v>yes</v>
      </c>
      <c r="G1283" t="str">
        <f>VLOOKUP($A1283,'Medical Examinations'!$A:$J,7,FALSE)</f>
        <v>No</v>
      </c>
      <c r="H1283" t="str">
        <f>VLOOKUP($A1283,'Medical Examinations'!$A:$J,8,FALSE)</f>
        <v>No</v>
      </c>
      <c r="I1283">
        <f>VLOOKUP($A1283,'Medical Examinations'!$A:$J,9,FALSE)</f>
        <v>1</v>
      </c>
      <c r="J1283" t="str">
        <f>VLOOKUP($A1283,'Medical Examinations'!$A:$J,10,FALSE)</f>
        <v>No</v>
      </c>
      <c r="K1283" t="str">
        <f>VLOOKUP($A1283,'Medical Examinations'!$A:$J,5,FALSE)</f>
        <v>Diabetes</v>
      </c>
      <c r="L1283">
        <f>VLOOKUP($A1284,'Medical Examinations'!$A:$J,3,FALSE)</f>
        <v>31.93</v>
      </c>
      <c r="M1283">
        <f>VLOOKUP($A1283,'Hospitalisation Details'!$A:$K,6,FALSE)</f>
        <v>8569.86</v>
      </c>
      <c r="N1283" s="11">
        <f>VLOOKUP($B1283,'Hospitalisation Details'!A1282:J3626,10,0)</f>
        <v>33808</v>
      </c>
      <c r="O1283" t="str">
        <f>VLOOKUP($B1283,'Hospitalisation Details'!A1282:J3626,8,0)</f>
        <v>tier - 3</v>
      </c>
      <c r="P1283" t="str">
        <f>VLOOKUP($B1283,'Hospitalisation Details'!A1282:J3626,7,0)</f>
        <v>tier - 3</v>
      </c>
      <c r="Q1283" t="str">
        <f>VLOOKUP($B1283,'Hospitalisation Details'!A1282:J3626,9,0)</f>
        <v>R1026</v>
      </c>
      <c r="R1283">
        <f>VLOOKUP($B1283,'Hospitalisation Details'!A1282:K3626,11,0)</f>
        <v>30</v>
      </c>
    </row>
    <row r="1284" spans="1:18" x14ac:dyDescent="0.35">
      <c r="A1284" t="s">
        <v>1088</v>
      </c>
      <c r="B1284" t="s">
        <v>1315</v>
      </c>
      <c r="C1284" t="str">
        <f>VLOOKUP($A1284,'Customer Names'!$A:$E,4,FALSE)</f>
        <v>Erik</v>
      </c>
      <c r="D1284" t="str">
        <f>VLOOKUP($A1284,'Medical Examinations'!$A:$J,2,FALSE)</f>
        <v>Obesity</v>
      </c>
      <c r="E1284">
        <f>VLOOKUP($A1284,'Medical Examinations'!$A:$J,4,FALSE)</f>
        <v>4.82</v>
      </c>
      <c r="F1284" t="str">
        <f>VLOOKUP($A1284,'Medical Examinations'!$A:$J,6,FALSE)</f>
        <v>yes</v>
      </c>
      <c r="G1284" t="str">
        <f>VLOOKUP($A1284,'Medical Examinations'!$A:$J,7,FALSE)</f>
        <v>No</v>
      </c>
      <c r="H1284" t="str">
        <f>VLOOKUP($A1284,'Medical Examinations'!$A:$J,8,FALSE)</f>
        <v>No</v>
      </c>
      <c r="I1284">
        <f>VLOOKUP($A1284,'Medical Examinations'!$A:$J,9,FALSE)</f>
        <v>1</v>
      </c>
      <c r="J1284" t="str">
        <f>VLOOKUP($A1284,'Medical Examinations'!$A:$J,10,FALSE)</f>
        <v>No</v>
      </c>
      <c r="K1284" t="str">
        <f>VLOOKUP($A1284,'Medical Examinations'!$A:$J,5,FALSE)</f>
        <v>Normal</v>
      </c>
      <c r="L1284">
        <f>VLOOKUP($A1285,'Medical Examinations'!$A:$J,3,FALSE)</f>
        <v>36</v>
      </c>
      <c r="M1284">
        <f>VLOOKUP($A1284,'Hospitalisation Details'!$A:$K,6,FALSE)</f>
        <v>8567.25</v>
      </c>
      <c r="N1284" s="11">
        <f>VLOOKUP($B1284,'Hospitalisation Details'!A1283:J3627,10,0)</f>
        <v>33060</v>
      </c>
      <c r="O1284" t="str">
        <f>VLOOKUP($B1284,'Hospitalisation Details'!A1283:J3627,8,0)</f>
        <v>tier - 3</v>
      </c>
      <c r="P1284" t="str">
        <f>VLOOKUP($B1284,'Hospitalisation Details'!A1283:J3627,7,0)</f>
        <v>tier - 3</v>
      </c>
      <c r="Q1284" t="str">
        <f>VLOOKUP($B1284,'Hospitalisation Details'!A1283:J3627,9,0)</f>
        <v>R1012</v>
      </c>
      <c r="R1284">
        <f>VLOOKUP($B1284,'Hospitalisation Details'!A1283:K3627,11,0)</f>
        <v>32</v>
      </c>
    </row>
    <row r="1285" spans="1:18" x14ac:dyDescent="0.35">
      <c r="A1285" t="s">
        <v>1087</v>
      </c>
      <c r="B1285" t="s">
        <v>1316</v>
      </c>
      <c r="C1285" t="str">
        <f>VLOOKUP($A1285,'Customer Names'!$A:$E,4,FALSE)</f>
        <v>Lana J</v>
      </c>
      <c r="D1285" t="str">
        <f>VLOOKUP($A1285,'Medical Examinations'!$A:$J,2,FALSE)</f>
        <v>Obesity</v>
      </c>
      <c r="E1285">
        <f>VLOOKUP($A1285,'Medical Examinations'!$A:$J,4,FALSE)</f>
        <v>11.94</v>
      </c>
      <c r="F1285" t="str">
        <f>VLOOKUP($A1285,'Medical Examinations'!$A:$J,6,FALSE)</f>
        <v>yes</v>
      </c>
      <c r="G1285" t="str">
        <f>VLOOKUP($A1285,'Medical Examinations'!$A:$J,7,FALSE)</f>
        <v>No</v>
      </c>
      <c r="H1285" t="str">
        <f>VLOOKUP($A1285,'Medical Examinations'!$A:$J,8,FALSE)</f>
        <v>No</v>
      </c>
      <c r="I1285">
        <f>VLOOKUP($A1285,'Medical Examinations'!$A:$J,9,FALSE)</f>
        <v>1</v>
      </c>
      <c r="J1285" t="str">
        <f>VLOOKUP($A1285,'Medical Examinations'!$A:$J,10,FALSE)</f>
        <v>No</v>
      </c>
      <c r="K1285" t="str">
        <f>VLOOKUP($A1285,'Medical Examinations'!$A:$J,5,FALSE)</f>
        <v>Diabetes</v>
      </c>
      <c r="L1285">
        <f>VLOOKUP($A1286,'Medical Examinations'!$A:$J,3,FALSE)</f>
        <v>32</v>
      </c>
      <c r="M1285">
        <f>VLOOKUP($A1285,'Hospitalisation Details'!$A:$K,6,FALSE)</f>
        <v>8556.91</v>
      </c>
      <c r="N1285" s="11">
        <f>VLOOKUP($B1285,'Hospitalisation Details'!A1284:J3628,10,0)</f>
        <v>23597</v>
      </c>
      <c r="O1285" t="str">
        <f>VLOOKUP($B1285,'Hospitalisation Details'!A1284:J3628,8,0)</f>
        <v>tier - 3</v>
      </c>
      <c r="P1285" t="str">
        <f>VLOOKUP($B1285,'Hospitalisation Details'!A1284:J3628,7,0)</f>
        <v>tier - 3</v>
      </c>
      <c r="Q1285" t="str">
        <f>VLOOKUP($B1285,'Hospitalisation Details'!A1284:J3628,9,0)</f>
        <v>R1013</v>
      </c>
      <c r="R1285">
        <f>VLOOKUP($B1285,'Hospitalisation Details'!A1284:K3628,11,0)</f>
        <v>58</v>
      </c>
    </row>
    <row r="1286" spans="1:18" x14ac:dyDescent="0.35">
      <c r="A1286" t="s">
        <v>1086</v>
      </c>
      <c r="B1286" t="s">
        <v>1317</v>
      </c>
      <c r="C1286" t="str">
        <f>VLOOKUP($A1286,'Customer Names'!$A:$E,4,FALSE)</f>
        <v>Rebecca E</v>
      </c>
      <c r="D1286" t="str">
        <f>VLOOKUP($A1286,'Medical Examinations'!$A:$J,2,FALSE)</f>
        <v>Obesity</v>
      </c>
      <c r="E1286">
        <f>VLOOKUP($A1286,'Medical Examinations'!$A:$J,4,FALSE)</f>
        <v>7.85</v>
      </c>
      <c r="F1286" t="str">
        <f>VLOOKUP($A1286,'Medical Examinations'!$A:$J,6,FALSE)</f>
        <v>yes</v>
      </c>
      <c r="G1286" t="str">
        <f>VLOOKUP($A1286,'Medical Examinations'!$A:$J,7,FALSE)</f>
        <v>No</v>
      </c>
      <c r="H1286" t="str">
        <f>VLOOKUP($A1286,'Medical Examinations'!$A:$J,8,FALSE)</f>
        <v>No</v>
      </c>
      <c r="I1286">
        <f>VLOOKUP($A1286,'Medical Examinations'!$A:$J,9,FALSE)</f>
        <v>1</v>
      </c>
      <c r="J1286" t="str">
        <f>VLOOKUP($A1286,'Medical Examinations'!$A:$J,10,FALSE)</f>
        <v>No</v>
      </c>
      <c r="K1286" t="str">
        <f>VLOOKUP($A1286,'Medical Examinations'!$A:$J,5,FALSE)</f>
        <v>Diabetes</v>
      </c>
      <c r="L1286">
        <f>VLOOKUP($A1287,'Medical Examinations'!$A:$J,3,FALSE)</f>
        <v>29.37</v>
      </c>
      <c r="M1286">
        <f>VLOOKUP($A1286,'Hospitalisation Details'!$A:$K,6,FALSE)</f>
        <v>8551.35</v>
      </c>
      <c r="N1286" s="11">
        <f>VLOOKUP($B1286,'Hospitalisation Details'!A1285:J3629,10,0)</f>
        <v>28086</v>
      </c>
      <c r="O1286" t="str">
        <f>VLOOKUP($B1286,'Hospitalisation Details'!A1285:J3629,8,0)</f>
        <v>tier - 2</v>
      </c>
      <c r="P1286" t="str">
        <f>VLOOKUP($B1286,'Hospitalisation Details'!A1285:J3629,7,0)</f>
        <v>tier - 3</v>
      </c>
      <c r="Q1286" t="str">
        <f>VLOOKUP($B1286,'Hospitalisation Details'!A1285:J3629,9,0)</f>
        <v>R1021</v>
      </c>
      <c r="R1286">
        <f>VLOOKUP($B1286,'Hospitalisation Details'!A1285:K3629,11,0)</f>
        <v>46</v>
      </c>
    </row>
    <row r="1287" spans="1:18" x14ac:dyDescent="0.35">
      <c r="A1287" t="s">
        <v>1085</v>
      </c>
      <c r="B1287" t="s">
        <v>1318</v>
      </c>
      <c r="C1287" t="str">
        <f>VLOOKUP($A1287,'Customer Names'!$A:$E,4,FALSE)</f>
        <v>Katie M.</v>
      </c>
      <c r="D1287" t="str">
        <f>VLOOKUP($A1287,'Medical Examinations'!$A:$J,2,FALSE)</f>
        <v>Overweight</v>
      </c>
      <c r="E1287">
        <f>VLOOKUP($A1287,'Medical Examinations'!$A:$J,4,FALSE)</f>
        <v>8.01</v>
      </c>
      <c r="F1287" t="str">
        <f>VLOOKUP($A1287,'Medical Examinations'!$A:$J,6,FALSE)</f>
        <v>yes</v>
      </c>
      <c r="G1287" t="str">
        <f>VLOOKUP($A1287,'Medical Examinations'!$A:$J,7,FALSE)</f>
        <v>No</v>
      </c>
      <c r="H1287" t="str">
        <f>VLOOKUP($A1287,'Medical Examinations'!$A:$J,8,FALSE)</f>
        <v>No</v>
      </c>
      <c r="I1287">
        <f>VLOOKUP($A1287,'Medical Examinations'!$A:$J,9,FALSE)</f>
        <v>1</v>
      </c>
      <c r="J1287" t="str">
        <f>VLOOKUP($A1287,'Medical Examinations'!$A:$J,10,FALSE)</f>
        <v>No</v>
      </c>
      <c r="K1287" t="str">
        <f>VLOOKUP($A1287,'Medical Examinations'!$A:$J,5,FALSE)</f>
        <v>Diabetes</v>
      </c>
      <c r="L1287">
        <f>VLOOKUP($A1288,'Medical Examinations'!$A:$J,3,FALSE)</f>
        <v>23.6</v>
      </c>
      <c r="M1287">
        <f>VLOOKUP($A1287,'Hospitalisation Details'!$A:$K,6,FALSE)</f>
        <v>8547.69</v>
      </c>
      <c r="N1287" s="11">
        <f>VLOOKUP($B1287,'Hospitalisation Details'!A1286:J3630,10,0)</f>
        <v>22896</v>
      </c>
      <c r="O1287" t="str">
        <f>VLOOKUP($B1287,'Hospitalisation Details'!A1286:J3630,8,0)</f>
        <v>tier - 3</v>
      </c>
      <c r="P1287" t="str">
        <f>VLOOKUP($B1287,'Hospitalisation Details'!A1286:J3630,7,0)</f>
        <v>tier - 3</v>
      </c>
      <c r="Q1287" t="str">
        <f>VLOOKUP($B1287,'Hospitalisation Details'!A1286:J3630,9,0)</f>
        <v>R1013</v>
      </c>
      <c r="R1287">
        <f>VLOOKUP($B1287,'Hospitalisation Details'!A1286:K3630,11,0)</f>
        <v>60</v>
      </c>
    </row>
    <row r="1288" spans="1:18" x14ac:dyDescent="0.35">
      <c r="A1288" t="s">
        <v>1084</v>
      </c>
      <c r="B1288" t="s">
        <v>1319</v>
      </c>
      <c r="C1288" t="str">
        <f>VLOOKUP($A1288,'Customer Names'!$A:$E,4,FALSE)</f>
        <v>Elizabeth A.</v>
      </c>
      <c r="D1288" t="str">
        <f>VLOOKUP($A1288,'Medical Examinations'!$A:$J,2,FALSE)</f>
        <v>Normal Weight</v>
      </c>
      <c r="E1288">
        <f>VLOOKUP($A1288,'Medical Examinations'!$A:$J,4,FALSE)</f>
        <v>7.4</v>
      </c>
      <c r="F1288" t="str">
        <f>VLOOKUP($A1288,'Medical Examinations'!$A:$J,6,FALSE)</f>
        <v>yes</v>
      </c>
      <c r="G1288" t="str">
        <f>VLOOKUP($A1288,'Medical Examinations'!$A:$J,7,FALSE)</f>
        <v>No</v>
      </c>
      <c r="H1288" t="str">
        <f>VLOOKUP($A1288,'Medical Examinations'!$A:$J,8,FALSE)</f>
        <v>No</v>
      </c>
      <c r="I1288">
        <f>VLOOKUP($A1288,'Medical Examinations'!$A:$J,9,FALSE)</f>
        <v>1</v>
      </c>
      <c r="J1288" t="str">
        <f>VLOOKUP($A1288,'Medical Examinations'!$A:$J,10,FALSE)</f>
        <v>No</v>
      </c>
      <c r="K1288" t="str">
        <f>VLOOKUP($A1288,'Medical Examinations'!$A:$J,5,FALSE)</f>
        <v>Diabetes</v>
      </c>
      <c r="L1288">
        <f>VLOOKUP($A1289,'Medical Examinations'!$A:$J,3,FALSE)</f>
        <v>33.155000000000001</v>
      </c>
      <c r="M1288">
        <f>VLOOKUP($A1288,'Hospitalisation Details'!$A:$K,6,FALSE)</f>
        <v>8539.67</v>
      </c>
      <c r="N1288" s="11">
        <f>VLOOKUP($B1288,'Hospitalisation Details'!A1287:J3631,10,0)</f>
        <v>28339</v>
      </c>
      <c r="O1288" t="str">
        <f>VLOOKUP($B1288,'Hospitalisation Details'!A1287:J3631,8,0)</f>
        <v>tier - 2</v>
      </c>
      <c r="P1288" t="str">
        <f>VLOOKUP($B1288,'Hospitalisation Details'!A1287:J3631,7,0)</f>
        <v>tier - 3</v>
      </c>
      <c r="Q1288" t="str">
        <f>VLOOKUP($B1288,'Hospitalisation Details'!A1287:J3631,9,0)</f>
        <v>R1021</v>
      </c>
      <c r="R1288">
        <f>VLOOKUP($B1288,'Hospitalisation Details'!A1287:K3631,11,0)</f>
        <v>45</v>
      </c>
    </row>
    <row r="1289" spans="1:18" x14ac:dyDescent="0.35">
      <c r="A1289" t="s">
        <v>1083</v>
      </c>
      <c r="B1289" t="s">
        <v>1320</v>
      </c>
      <c r="C1289" t="str">
        <f>VLOOKUP($A1289,'Customer Names'!$A:$E,4,FALSE)</f>
        <v>Sarah</v>
      </c>
      <c r="D1289" t="str">
        <f>VLOOKUP($A1289,'Medical Examinations'!$A:$J,2,FALSE)</f>
        <v>Obesity</v>
      </c>
      <c r="E1289">
        <f>VLOOKUP($A1289,'Medical Examinations'!$A:$J,4,FALSE)</f>
        <v>8.3800000000000008</v>
      </c>
      <c r="F1289" t="str">
        <f>VLOOKUP($A1289,'Medical Examinations'!$A:$J,6,FALSE)</f>
        <v>yes</v>
      </c>
      <c r="G1289" t="str">
        <f>VLOOKUP($A1289,'Medical Examinations'!$A:$J,7,FALSE)</f>
        <v>No</v>
      </c>
      <c r="H1289" t="str">
        <f>VLOOKUP($A1289,'Medical Examinations'!$A:$J,8,FALSE)</f>
        <v>No</v>
      </c>
      <c r="I1289">
        <f>VLOOKUP($A1289,'Medical Examinations'!$A:$J,9,FALSE)</f>
        <v>0</v>
      </c>
      <c r="J1289" t="str">
        <f>VLOOKUP($A1289,'Medical Examinations'!$A:$J,10,FALSE)</f>
        <v>No</v>
      </c>
      <c r="K1289" t="str">
        <f>VLOOKUP($A1289,'Medical Examinations'!$A:$J,5,FALSE)</f>
        <v>Diabetes</v>
      </c>
      <c r="L1289">
        <f>VLOOKUP($A1290,'Medical Examinations'!$A:$J,3,FALSE)</f>
        <v>24.32</v>
      </c>
      <c r="M1289">
        <f>VLOOKUP($A1289,'Hospitalisation Details'!$A:$K,6,FALSE)</f>
        <v>8538.2900000000009</v>
      </c>
      <c r="N1289" s="11">
        <f>VLOOKUP($B1289,'Hospitalisation Details'!A1288:J3632,10,0)</f>
        <v>28033</v>
      </c>
      <c r="O1289" t="str">
        <f>VLOOKUP($B1289,'Hospitalisation Details'!A1288:J3632,8,0)</f>
        <v>tier - 1</v>
      </c>
      <c r="P1289" t="str">
        <f>VLOOKUP($B1289,'Hospitalisation Details'!A1288:J3632,7,0)</f>
        <v>tier - 3</v>
      </c>
      <c r="Q1289" t="str">
        <f>VLOOKUP($B1289,'Hospitalisation Details'!A1288:J3632,9,0)</f>
        <v>R1025</v>
      </c>
      <c r="R1289">
        <f>VLOOKUP($B1289,'Hospitalisation Details'!A1288:K3632,11,0)</f>
        <v>46</v>
      </c>
    </row>
    <row r="1290" spans="1:18" x14ac:dyDescent="0.35">
      <c r="A1290" t="s">
        <v>1082</v>
      </c>
      <c r="B1290" t="s">
        <v>1321</v>
      </c>
      <c r="C1290" t="str">
        <f>VLOOKUP($A1290,'Customer Names'!$A:$E,4,FALSE)</f>
        <v>Annie J.</v>
      </c>
      <c r="D1290" t="str">
        <f>VLOOKUP($A1290,'Medical Examinations'!$A:$J,2,FALSE)</f>
        <v>Normal Weight</v>
      </c>
      <c r="E1290">
        <f>VLOOKUP($A1290,'Medical Examinations'!$A:$J,4,FALSE)</f>
        <v>11.56</v>
      </c>
      <c r="F1290" t="str">
        <f>VLOOKUP($A1290,'Medical Examinations'!$A:$J,6,FALSE)</f>
        <v>yes</v>
      </c>
      <c r="G1290" t="str">
        <f>VLOOKUP($A1290,'Medical Examinations'!$A:$J,7,FALSE)</f>
        <v>No</v>
      </c>
      <c r="H1290" t="str">
        <f>VLOOKUP($A1290,'Medical Examinations'!$A:$J,8,FALSE)</f>
        <v>No</v>
      </c>
      <c r="I1290">
        <f>VLOOKUP($A1290,'Medical Examinations'!$A:$J,9,FALSE)</f>
        <v>1</v>
      </c>
      <c r="J1290" t="str">
        <f>VLOOKUP($A1290,'Medical Examinations'!$A:$J,10,FALSE)</f>
        <v>No</v>
      </c>
      <c r="K1290" t="str">
        <f>VLOOKUP($A1290,'Medical Examinations'!$A:$J,5,FALSE)</f>
        <v>Diabetes</v>
      </c>
      <c r="L1290">
        <f>VLOOKUP($A1291,'Medical Examinations'!$A:$J,3,FALSE)</f>
        <v>36.299999999999997</v>
      </c>
      <c r="M1290">
        <f>VLOOKUP($A1290,'Hospitalisation Details'!$A:$K,6,FALSE)</f>
        <v>8534.67</v>
      </c>
      <c r="N1290" s="11">
        <f>VLOOKUP($B1290,'Hospitalisation Details'!A1289:J3633,10,0)</f>
        <v>26596</v>
      </c>
      <c r="O1290" t="str">
        <f>VLOOKUP($B1290,'Hospitalisation Details'!A1289:J3633,8,0)</f>
        <v>tier - 3</v>
      </c>
      <c r="P1290" t="str">
        <f>VLOOKUP($B1290,'Hospitalisation Details'!A1289:J3633,7,0)</f>
        <v>tier - 3</v>
      </c>
      <c r="Q1290" t="str">
        <f>VLOOKUP($B1290,'Hospitalisation Details'!A1289:J3633,9,0)</f>
        <v>R1013</v>
      </c>
      <c r="R1290">
        <f>VLOOKUP($B1290,'Hospitalisation Details'!A1289:K3633,11,0)</f>
        <v>50</v>
      </c>
    </row>
    <row r="1291" spans="1:18" x14ac:dyDescent="0.35">
      <c r="A1291" t="s">
        <v>1081</v>
      </c>
      <c r="B1291" t="s">
        <v>1322</v>
      </c>
      <c r="C1291" t="str">
        <f>VLOOKUP($A1291,'Customer Names'!$A:$E,4,FALSE)</f>
        <v>Annie</v>
      </c>
      <c r="D1291" t="str">
        <f>VLOOKUP($A1291,'Medical Examinations'!$A:$J,2,FALSE)</f>
        <v>Obesity</v>
      </c>
      <c r="E1291">
        <f>VLOOKUP($A1291,'Medical Examinations'!$A:$J,4,FALSE)</f>
        <v>4.6100000000000003</v>
      </c>
      <c r="F1291" t="str">
        <f>VLOOKUP($A1291,'Medical Examinations'!$A:$J,6,FALSE)</f>
        <v>No</v>
      </c>
      <c r="G1291" t="str">
        <f>VLOOKUP($A1291,'Medical Examinations'!$A:$J,7,FALSE)</f>
        <v>No</v>
      </c>
      <c r="H1291" t="str">
        <f>VLOOKUP($A1291,'Medical Examinations'!$A:$J,8,FALSE)</f>
        <v>No</v>
      </c>
      <c r="I1291">
        <f>VLOOKUP($A1291,'Medical Examinations'!$A:$J,9,FALSE)</f>
        <v>0</v>
      </c>
      <c r="J1291" t="str">
        <f>VLOOKUP($A1291,'Medical Examinations'!$A:$J,10,FALSE)</f>
        <v>No</v>
      </c>
      <c r="K1291" t="str">
        <f>VLOOKUP($A1291,'Medical Examinations'!$A:$J,5,FALSE)</f>
        <v>Normal</v>
      </c>
      <c r="L1291">
        <f>VLOOKUP($A1292,'Medical Examinations'!$A:$J,3,FALSE)</f>
        <v>34.4</v>
      </c>
      <c r="M1291">
        <f>VLOOKUP($A1291,'Hospitalisation Details'!$A:$K,6,FALSE)</f>
        <v>8527.5300000000007</v>
      </c>
      <c r="N1291" s="11">
        <f>VLOOKUP($B1291,'Hospitalisation Details'!A1290:J3634,10,0)</f>
        <v>24683</v>
      </c>
      <c r="O1291" t="str">
        <f>VLOOKUP($B1291,'Hospitalisation Details'!A1290:J3634,8,0)</f>
        <v>tier - 2</v>
      </c>
      <c r="P1291" t="str">
        <f>VLOOKUP($B1291,'Hospitalisation Details'!A1290:J3634,7,0)</f>
        <v>tier - 3</v>
      </c>
      <c r="Q1291" t="str">
        <f>VLOOKUP($B1291,'Hospitalisation Details'!A1290:J3634,9,0)</f>
        <v>R1011</v>
      </c>
      <c r="R1291">
        <f>VLOOKUP($B1291,'Hospitalisation Details'!A1290:K3634,11,0)</f>
        <v>55</v>
      </c>
    </row>
    <row r="1292" spans="1:18" x14ac:dyDescent="0.35">
      <c r="A1292" t="s">
        <v>1080</v>
      </c>
      <c r="B1292" t="s">
        <v>1323</v>
      </c>
      <c r="C1292" t="str">
        <f>VLOOKUP($A1292,'Customer Names'!$A:$E,4,FALSE)</f>
        <v>Lindsey</v>
      </c>
      <c r="D1292" t="str">
        <f>VLOOKUP($A1292,'Medical Examinations'!$A:$J,2,FALSE)</f>
        <v>Obesity</v>
      </c>
      <c r="E1292">
        <f>VLOOKUP($A1292,'Medical Examinations'!$A:$J,4,FALSE)</f>
        <v>4.95</v>
      </c>
      <c r="F1292" t="str">
        <f>VLOOKUP($A1292,'Medical Examinations'!$A:$J,6,FALSE)</f>
        <v>No</v>
      </c>
      <c r="G1292" t="str">
        <f>VLOOKUP($A1292,'Medical Examinations'!$A:$J,7,FALSE)</f>
        <v>No</v>
      </c>
      <c r="H1292" t="str">
        <f>VLOOKUP($A1292,'Medical Examinations'!$A:$J,8,FALSE)</f>
        <v>Yes</v>
      </c>
      <c r="I1292">
        <f>VLOOKUP($A1292,'Medical Examinations'!$A:$J,9,FALSE)</f>
        <v>1</v>
      </c>
      <c r="J1292" t="str">
        <f>VLOOKUP($A1292,'Medical Examinations'!$A:$J,10,FALSE)</f>
        <v>No</v>
      </c>
      <c r="K1292" t="str">
        <f>VLOOKUP($A1292,'Medical Examinations'!$A:$J,5,FALSE)</f>
        <v>Normal</v>
      </c>
      <c r="L1292">
        <f>VLOOKUP($A1293,'Medical Examinations'!$A:$J,3,FALSE)</f>
        <v>30.9</v>
      </c>
      <c r="M1292">
        <f>VLOOKUP($A1292,'Hospitalisation Details'!$A:$K,6,FALSE)</f>
        <v>8522</v>
      </c>
      <c r="N1292" s="11">
        <f>VLOOKUP($B1292,'Hospitalisation Details'!A1291:J3635,10,0)</f>
        <v>24750</v>
      </c>
      <c r="O1292" t="str">
        <f>VLOOKUP($B1292,'Hospitalisation Details'!A1291:J3635,8,0)</f>
        <v>tier - 3</v>
      </c>
      <c r="P1292" t="str">
        <f>VLOOKUP($B1292,'Hospitalisation Details'!A1291:J3635,7,0)</f>
        <v>tier - 3</v>
      </c>
      <c r="Q1292" t="str">
        <f>VLOOKUP($B1292,'Hospitalisation Details'!A1291:J3635,9,0)</f>
        <v>R1011</v>
      </c>
      <c r="R1292">
        <f>VLOOKUP($B1292,'Hospitalisation Details'!A1291:K3635,11,0)</f>
        <v>55</v>
      </c>
    </row>
    <row r="1293" spans="1:18" x14ac:dyDescent="0.35">
      <c r="A1293" t="s">
        <v>1079</v>
      </c>
      <c r="B1293" t="s">
        <v>1324</v>
      </c>
      <c r="C1293" t="str">
        <f>VLOOKUP($A1293,'Customer Names'!$A:$E,4,FALSE)</f>
        <v>Laura</v>
      </c>
      <c r="D1293" t="str">
        <f>VLOOKUP($A1293,'Medical Examinations'!$A:$J,2,FALSE)</f>
        <v>Obesity</v>
      </c>
      <c r="E1293">
        <f>VLOOKUP($A1293,'Medical Examinations'!$A:$J,4,FALSE)</f>
        <v>5.04</v>
      </c>
      <c r="F1293" t="str">
        <f>VLOOKUP($A1293,'Medical Examinations'!$A:$J,6,FALSE)</f>
        <v>No</v>
      </c>
      <c r="G1293" t="str">
        <f>VLOOKUP($A1293,'Medical Examinations'!$A:$J,7,FALSE)</f>
        <v>No</v>
      </c>
      <c r="H1293" t="str">
        <f>VLOOKUP($A1293,'Medical Examinations'!$A:$J,8,FALSE)</f>
        <v>No</v>
      </c>
      <c r="I1293">
        <f>VLOOKUP($A1293,'Medical Examinations'!$A:$J,9,FALSE)</f>
        <v>0</v>
      </c>
      <c r="J1293" t="str">
        <f>VLOOKUP($A1293,'Medical Examinations'!$A:$J,10,FALSE)</f>
        <v>No</v>
      </c>
      <c r="K1293" t="str">
        <f>VLOOKUP($A1293,'Medical Examinations'!$A:$J,5,FALSE)</f>
        <v>Normal</v>
      </c>
      <c r="L1293">
        <f>VLOOKUP($A1294,'Medical Examinations'!$A:$J,3,FALSE)</f>
        <v>28.6</v>
      </c>
      <c r="M1293">
        <f>VLOOKUP($A1293,'Hospitalisation Details'!$A:$K,6,FALSE)</f>
        <v>8520.0300000000007</v>
      </c>
      <c r="N1293" s="11">
        <f>VLOOKUP($B1293,'Hospitalisation Details'!A1292:J3636,10,0)</f>
        <v>33780</v>
      </c>
      <c r="O1293" t="str">
        <f>VLOOKUP($B1293,'Hospitalisation Details'!A1292:J3636,8,0)</f>
        <v>tier - 1</v>
      </c>
      <c r="P1293" t="str">
        <f>VLOOKUP($B1293,'Hospitalisation Details'!A1292:J3636,7,0)</f>
        <v>tier - 3</v>
      </c>
      <c r="Q1293" t="str">
        <f>VLOOKUP($B1293,'Hospitalisation Details'!A1292:J3636,9,0)</f>
        <v>R1012</v>
      </c>
      <c r="R1293">
        <f>VLOOKUP($B1293,'Hospitalisation Details'!A1292:K3636,11,0)</f>
        <v>30</v>
      </c>
    </row>
    <row r="1294" spans="1:18" x14ac:dyDescent="0.35">
      <c r="A1294" t="s">
        <v>1078</v>
      </c>
      <c r="B1294" t="s">
        <v>1325</v>
      </c>
      <c r="C1294" t="str">
        <f>VLOOKUP($A1294,'Customer Names'!$A:$E,4,FALSE)</f>
        <v>Amy T</v>
      </c>
      <c r="D1294" t="str">
        <f>VLOOKUP($A1294,'Medical Examinations'!$A:$J,2,FALSE)</f>
        <v>Overweight</v>
      </c>
      <c r="E1294">
        <f>VLOOKUP($A1294,'Medical Examinations'!$A:$J,4,FALSE)</f>
        <v>5.42</v>
      </c>
      <c r="F1294" t="str">
        <f>VLOOKUP($A1294,'Medical Examinations'!$A:$J,6,FALSE)</f>
        <v>No</v>
      </c>
      <c r="G1294" t="str">
        <f>VLOOKUP($A1294,'Medical Examinations'!$A:$J,7,FALSE)</f>
        <v>No</v>
      </c>
      <c r="H1294" t="str">
        <f>VLOOKUP($A1294,'Medical Examinations'!$A:$J,8,FALSE)</f>
        <v>No</v>
      </c>
      <c r="I1294">
        <f>VLOOKUP($A1294,'Medical Examinations'!$A:$J,9,FALSE)</f>
        <v>0</v>
      </c>
      <c r="J1294" t="str">
        <f>VLOOKUP($A1294,'Medical Examinations'!$A:$J,10,FALSE)</f>
        <v>No</v>
      </c>
      <c r="K1294" t="str">
        <f>VLOOKUP($A1294,'Medical Examinations'!$A:$J,5,FALSE)</f>
        <v>Normal</v>
      </c>
      <c r="L1294">
        <f>VLOOKUP($A1295,'Medical Examinations'!$A:$J,3,FALSE)</f>
        <v>27.83</v>
      </c>
      <c r="M1294">
        <f>VLOOKUP($A1294,'Hospitalisation Details'!$A:$K,6,FALSE)</f>
        <v>8516.83</v>
      </c>
      <c r="N1294" s="11">
        <f>VLOOKUP($B1294,'Hospitalisation Details'!A1293:J3637,10,0)</f>
        <v>27372</v>
      </c>
      <c r="O1294" t="str">
        <f>VLOOKUP($B1294,'Hospitalisation Details'!A1293:J3637,8,0)</f>
        <v>tier - 1</v>
      </c>
      <c r="P1294" t="str">
        <f>VLOOKUP($B1294,'Hospitalisation Details'!A1293:J3637,7,0)</f>
        <v>tier - 3</v>
      </c>
      <c r="Q1294" t="str">
        <f>VLOOKUP($B1294,'Hospitalisation Details'!A1293:J3637,9,0)</f>
        <v>R1016</v>
      </c>
      <c r="R1294">
        <f>VLOOKUP($B1294,'Hospitalisation Details'!A1293:K3637,11,0)</f>
        <v>48</v>
      </c>
    </row>
    <row r="1295" spans="1:18" x14ac:dyDescent="0.35">
      <c r="A1295" t="s">
        <v>1077</v>
      </c>
      <c r="B1295" t="s">
        <v>1326</v>
      </c>
      <c r="C1295" t="str">
        <f>VLOOKUP($A1295,'Customer Names'!$A:$E,4,FALSE)</f>
        <v>Katarina D</v>
      </c>
      <c r="D1295" t="str">
        <f>VLOOKUP($A1295,'Medical Examinations'!$A:$J,2,FALSE)</f>
        <v>Overweight</v>
      </c>
      <c r="E1295">
        <f>VLOOKUP($A1295,'Medical Examinations'!$A:$J,4,FALSE)</f>
        <v>5.39</v>
      </c>
      <c r="F1295" t="str">
        <f>VLOOKUP($A1295,'Medical Examinations'!$A:$J,6,FALSE)</f>
        <v>No</v>
      </c>
      <c r="G1295" t="str">
        <f>VLOOKUP($A1295,'Medical Examinations'!$A:$J,7,FALSE)</f>
        <v>No</v>
      </c>
      <c r="H1295" t="str">
        <f>VLOOKUP($A1295,'Medical Examinations'!$A:$J,8,FALSE)</f>
        <v>No</v>
      </c>
      <c r="I1295">
        <f>VLOOKUP($A1295,'Medical Examinations'!$A:$J,9,FALSE)</f>
        <v>0</v>
      </c>
      <c r="J1295" t="str">
        <f>VLOOKUP($A1295,'Medical Examinations'!$A:$J,10,FALSE)</f>
        <v>No</v>
      </c>
      <c r="K1295" t="str">
        <f>VLOOKUP($A1295,'Medical Examinations'!$A:$J,5,FALSE)</f>
        <v>Normal</v>
      </c>
      <c r="L1295">
        <f>VLOOKUP($A1296,'Medical Examinations'!$A:$J,3,FALSE)</f>
        <v>39.64</v>
      </c>
      <c r="M1295">
        <f>VLOOKUP($A1295,'Hospitalisation Details'!$A:$K,6,FALSE)</f>
        <v>8515.76</v>
      </c>
      <c r="N1295" s="11">
        <f>VLOOKUP($B1295,'Hospitalisation Details'!A1294:J3638,10,0)</f>
        <v>31653</v>
      </c>
      <c r="O1295" t="str">
        <f>VLOOKUP($B1295,'Hospitalisation Details'!A1294:J3638,8,0)</f>
        <v>tier - 1</v>
      </c>
      <c r="P1295" t="str">
        <f>VLOOKUP($B1295,'Hospitalisation Details'!A1294:J3638,7,0)</f>
        <v>tier - 3</v>
      </c>
      <c r="Q1295" t="str">
        <f>VLOOKUP($B1295,'Hospitalisation Details'!A1294:J3638,9,0)</f>
        <v>R1026</v>
      </c>
      <c r="R1295">
        <f>VLOOKUP($B1295,'Hospitalisation Details'!A1294:K3638,11,0)</f>
        <v>36</v>
      </c>
    </row>
    <row r="1296" spans="1:18" x14ac:dyDescent="0.35">
      <c r="A1296" t="s">
        <v>1076</v>
      </c>
      <c r="B1296" t="s">
        <v>1327</v>
      </c>
      <c r="C1296" t="str">
        <f>VLOOKUP($A1296,'Customer Names'!$A:$E,4,FALSE)</f>
        <v>B.j.</v>
      </c>
      <c r="D1296" t="str">
        <f>VLOOKUP($A1296,'Medical Examinations'!$A:$J,2,FALSE)</f>
        <v>Obesity</v>
      </c>
      <c r="E1296">
        <f>VLOOKUP($A1296,'Medical Examinations'!$A:$J,4,FALSE)</f>
        <v>6</v>
      </c>
      <c r="F1296" t="str">
        <f>VLOOKUP($A1296,'Medical Examinations'!$A:$J,6,FALSE)</f>
        <v>No</v>
      </c>
      <c r="G1296" t="str">
        <f>VLOOKUP($A1296,'Medical Examinations'!$A:$J,7,FALSE)</f>
        <v>No</v>
      </c>
      <c r="H1296" t="str">
        <f>VLOOKUP($A1296,'Medical Examinations'!$A:$J,8,FALSE)</f>
        <v>Yes</v>
      </c>
      <c r="I1296">
        <f>VLOOKUP($A1296,'Medical Examinations'!$A:$J,9,FALSE)</f>
        <v>1</v>
      </c>
      <c r="J1296" t="str">
        <f>VLOOKUP($A1296,'Medical Examinations'!$A:$J,10,FALSE)</f>
        <v>No</v>
      </c>
      <c r="K1296" t="str">
        <f>VLOOKUP($A1296,'Medical Examinations'!$A:$J,5,FALSE)</f>
        <v>Prediabetes</v>
      </c>
      <c r="L1296">
        <f>VLOOKUP($A1297,'Medical Examinations'!$A:$J,3,FALSE)</f>
        <v>38.479999999999997</v>
      </c>
      <c r="M1296">
        <f>VLOOKUP($A1296,'Hospitalisation Details'!$A:$K,6,FALSE)</f>
        <v>8471.65</v>
      </c>
      <c r="N1296" s="11">
        <f>VLOOKUP($B1296,'Hospitalisation Details'!A1295:J3639,10,0)</f>
        <v>32837</v>
      </c>
      <c r="O1296" t="str">
        <f>VLOOKUP($B1296,'Hospitalisation Details'!A1295:J3639,8,0)</f>
        <v>tier - 2</v>
      </c>
      <c r="P1296" t="str">
        <f>VLOOKUP($B1296,'Hospitalisation Details'!A1295:J3639,7,0)</f>
        <v>tier - 3</v>
      </c>
      <c r="Q1296" t="str">
        <f>VLOOKUP($B1296,'Hospitalisation Details'!A1295:J3639,9,0)</f>
        <v>R1022</v>
      </c>
      <c r="R1296">
        <f>VLOOKUP($B1296,'Hospitalisation Details'!A1295:K3639,11,0)</f>
        <v>33</v>
      </c>
    </row>
    <row r="1297" spans="1:18" x14ac:dyDescent="0.35">
      <c r="A1297" t="s">
        <v>1075</v>
      </c>
      <c r="B1297" t="s">
        <v>1328</v>
      </c>
      <c r="C1297" t="str">
        <f>VLOOKUP($A1297,'Customer Names'!$A:$E,4,FALSE)</f>
        <v>Alison</v>
      </c>
      <c r="D1297" t="str">
        <f>VLOOKUP($A1297,'Medical Examinations'!$A:$J,2,FALSE)</f>
        <v>Obesity</v>
      </c>
      <c r="E1297">
        <f>VLOOKUP($A1297,'Medical Examinations'!$A:$J,4,FALSE)</f>
        <v>6.02</v>
      </c>
      <c r="F1297" t="str">
        <f>VLOOKUP($A1297,'Medical Examinations'!$A:$J,6,FALSE)</f>
        <v>No</v>
      </c>
      <c r="G1297" t="str">
        <f>VLOOKUP($A1297,'Medical Examinations'!$A:$J,7,FALSE)</f>
        <v>No</v>
      </c>
      <c r="H1297" t="str">
        <f>VLOOKUP($A1297,'Medical Examinations'!$A:$J,8,FALSE)</f>
        <v>No</v>
      </c>
      <c r="I1297">
        <f>VLOOKUP($A1297,'Medical Examinations'!$A:$J,9,FALSE)</f>
        <v>1</v>
      </c>
      <c r="J1297" t="str">
        <f>VLOOKUP($A1297,'Medical Examinations'!$A:$J,10,FALSE)</f>
        <v>No</v>
      </c>
      <c r="K1297" t="str">
        <f>VLOOKUP($A1297,'Medical Examinations'!$A:$J,5,FALSE)</f>
        <v>Prediabetes</v>
      </c>
      <c r="L1297">
        <f>VLOOKUP($A1298,'Medical Examinations'!$A:$J,3,FALSE)</f>
        <v>36.200000000000003</v>
      </c>
      <c r="M1297">
        <f>VLOOKUP($A1297,'Hospitalisation Details'!$A:$K,6,FALSE)</f>
        <v>8466.35</v>
      </c>
      <c r="N1297" s="11">
        <f>VLOOKUP($B1297,'Hospitalisation Details'!A1296:J3640,10,0)</f>
        <v>24787</v>
      </c>
      <c r="O1297" t="str">
        <f>VLOOKUP($B1297,'Hospitalisation Details'!A1296:J3640,8,0)</f>
        <v>tier - 2</v>
      </c>
      <c r="P1297" t="str">
        <f>VLOOKUP($B1297,'Hospitalisation Details'!A1296:J3640,7,0)</f>
        <v>tier - 3</v>
      </c>
      <c r="Q1297" t="str">
        <f>VLOOKUP($B1297,'Hospitalisation Details'!A1296:J3640,9,0)</f>
        <v>R1011</v>
      </c>
      <c r="R1297">
        <f>VLOOKUP($B1297,'Hospitalisation Details'!A1296:K3640,11,0)</f>
        <v>55</v>
      </c>
    </row>
    <row r="1298" spans="1:18" x14ac:dyDescent="0.35">
      <c r="A1298" t="s">
        <v>1074</v>
      </c>
      <c r="B1298" t="s">
        <v>1329</v>
      </c>
      <c r="C1298" t="str">
        <f>VLOOKUP($A1298,'Customer Names'!$A:$E,4,FALSE)</f>
        <v>Neil K.</v>
      </c>
      <c r="D1298" t="str">
        <f>VLOOKUP($A1298,'Medical Examinations'!$A:$J,2,FALSE)</f>
        <v>Obesity</v>
      </c>
      <c r="E1298">
        <f>VLOOKUP($A1298,'Medical Examinations'!$A:$J,4,FALSE)</f>
        <v>4.62</v>
      </c>
      <c r="F1298" t="str">
        <f>VLOOKUP($A1298,'Medical Examinations'!$A:$J,6,FALSE)</f>
        <v>No</v>
      </c>
      <c r="G1298" t="str">
        <f>VLOOKUP($A1298,'Medical Examinations'!$A:$J,7,FALSE)</f>
        <v>No</v>
      </c>
      <c r="H1298" t="str">
        <f>VLOOKUP($A1298,'Medical Examinations'!$A:$J,8,FALSE)</f>
        <v>No</v>
      </c>
      <c r="I1298">
        <f>VLOOKUP($A1298,'Medical Examinations'!$A:$J,9,FALSE)</f>
        <v>2</v>
      </c>
      <c r="J1298" t="str">
        <f>VLOOKUP($A1298,'Medical Examinations'!$A:$J,10,FALSE)</f>
        <v>No</v>
      </c>
      <c r="K1298" t="str">
        <f>VLOOKUP($A1298,'Medical Examinations'!$A:$J,5,FALSE)</f>
        <v>Normal</v>
      </c>
      <c r="L1298">
        <f>VLOOKUP($A1299,'Medical Examinations'!$A:$J,3,FALSE)</f>
        <v>27.13</v>
      </c>
      <c r="M1298">
        <f>VLOOKUP($A1298,'Hospitalisation Details'!$A:$K,6,FALSE)</f>
        <v>8457.82</v>
      </c>
      <c r="N1298" s="11">
        <f>VLOOKUP($B1298,'Hospitalisation Details'!A1297:J3641,10,0)</f>
        <v>36518</v>
      </c>
      <c r="O1298" t="str">
        <f>VLOOKUP($B1298,'Hospitalisation Details'!A1297:J3641,8,0)</f>
        <v>tier - 1</v>
      </c>
      <c r="P1298" t="str">
        <f>VLOOKUP($B1298,'Hospitalisation Details'!A1297:J3641,7,0)</f>
        <v>tier - 3</v>
      </c>
      <c r="Q1298" t="str">
        <f>VLOOKUP($B1298,'Hospitalisation Details'!A1297:J3641,9,0)</f>
        <v>R1011</v>
      </c>
      <c r="R1298">
        <f>VLOOKUP($B1298,'Hospitalisation Details'!A1297:K3641,11,0)</f>
        <v>23</v>
      </c>
    </row>
    <row r="1299" spans="1:18" x14ac:dyDescent="0.35">
      <c r="A1299" t="s">
        <v>1073</v>
      </c>
      <c r="B1299" t="s">
        <v>1330</v>
      </c>
      <c r="C1299" t="str">
        <f>VLOOKUP($A1299,'Customer Names'!$A:$E,4,FALSE)</f>
        <v>Anne Hunter</v>
      </c>
      <c r="D1299" t="str">
        <f>VLOOKUP($A1299,'Medical Examinations'!$A:$J,2,FALSE)</f>
        <v>Overweight</v>
      </c>
      <c r="E1299">
        <f>VLOOKUP($A1299,'Medical Examinations'!$A:$J,4,FALSE)</f>
        <v>5.59</v>
      </c>
      <c r="F1299" t="str">
        <f>VLOOKUP($A1299,'Medical Examinations'!$A:$J,6,FALSE)</f>
        <v>No</v>
      </c>
      <c r="G1299" t="str">
        <f>VLOOKUP($A1299,'Medical Examinations'!$A:$J,7,FALSE)</f>
        <v>No</v>
      </c>
      <c r="H1299" t="str">
        <f>VLOOKUP($A1299,'Medical Examinations'!$A:$J,8,FALSE)</f>
        <v>No</v>
      </c>
      <c r="I1299">
        <f>VLOOKUP($A1299,'Medical Examinations'!$A:$J,9,FALSE)</f>
        <v>1</v>
      </c>
      <c r="J1299" t="str">
        <f>VLOOKUP($A1299,'Medical Examinations'!$A:$J,10,FALSE)</f>
        <v>No</v>
      </c>
      <c r="K1299" t="str">
        <f>VLOOKUP($A1299,'Medical Examinations'!$A:$J,5,FALSE)</f>
        <v>Normal</v>
      </c>
      <c r="L1299">
        <f>VLOOKUP($A1300,'Medical Examinations'!$A:$J,3,FALSE)</f>
        <v>20.75</v>
      </c>
      <c r="M1299">
        <f>VLOOKUP($A1299,'Hospitalisation Details'!$A:$K,6,FALSE)</f>
        <v>8450.82</v>
      </c>
      <c r="N1299" s="11">
        <f>VLOOKUP($B1299,'Hospitalisation Details'!A1298:J3642,10,0)</f>
        <v>24768</v>
      </c>
      <c r="O1299" t="str">
        <f>VLOOKUP($B1299,'Hospitalisation Details'!A1298:J3642,8,0)</f>
        <v>tier - 1</v>
      </c>
      <c r="P1299" t="str">
        <f>VLOOKUP($B1299,'Hospitalisation Details'!A1298:J3642,7,0)</f>
        <v>tier - 3</v>
      </c>
      <c r="Q1299" t="str">
        <f>VLOOKUP($B1299,'Hospitalisation Details'!A1298:J3642,9,0)</f>
        <v>R1019</v>
      </c>
      <c r="R1299">
        <f>VLOOKUP($B1299,'Hospitalisation Details'!A1298:K3642,11,0)</f>
        <v>55</v>
      </c>
    </row>
    <row r="1300" spans="1:18" x14ac:dyDescent="0.35">
      <c r="A1300" t="s">
        <v>1072</v>
      </c>
      <c r="B1300" t="s">
        <v>1331</v>
      </c>
      <c r="C1300" t="str">
        <f>VLOOKUP($A1300,'Customer Names'!$A:$E,4,FALSE)</f>
        <v>Sandra</v>
      </c>
      <c r="D1300" t="str">
        <f>VLOOKUP($A1300,'Medical Examinations'!$A:$J,2,FALSE)</f>
        <v>Normal Weight</v>
      </c>
      <c r="E1300">
        <f>VLOOKUP($A1300,'Medical Examinations'!$A:$J,4,FALSE)</f>
        <v>5.18</v>
      </c>
      <c r="F1300" t="str">
        <f>VLOOKUP($A1300,'Medical Examinations'!$A:$J,6,FALSE)</f>
        <v>yes</v>
      </c>
      <c r="G1300" t="str">
        <f>VLOOKUP($A1300,'Medical Examinations'!$A:$J,7,FALSE)</f>
        <v>No</v>
      </c>
      <c r="H1300" t="str">
        <f>VLOOKUP($A1300,'Medical Examinations'!$A:$J,8,FALSE)</f>
        <v>No</v>
      </c>
      <c r="I1300">
        <f>VLOOKUP($A1300,'Medical Examinations'!$A:$J,9,FALSE)</f>
        <v>2</v>
      </c>
      <c r="J1300" t="str">
        <f>VLOOKUP($A1300,'Medical Examinations'!$A:$J,10,FALSE)</f>
        <v>No</v>
      </c>
      <c r="K1300" t="str">
        <f>VLOOKUP($A1300,'Medical Examinations'!$A:$J,5,FALSE)</f>
        <v>Normal</v>
      </c>
      <c r="L1300">
        <f>VLOOKUP($A1301,'Medical Examinations'!$A:$J,3,FALSE)</f>
        <v>26.6</v>
      </c>
      <c r="M1300">
        <f>VLOOKUP($A1300,'Hospitalisation Details'!$A:$K,6,FALSE)</f>
        <v>8448.66</v>
      </c>
      <c r="N1300" s="11">
        <f>VLOOKUP($B1300,'Hospitalisation Details'!A1299:J3643,10,0)</f>
        <v>25869</v>
      </c>
      <c r="O1300" t="str">
        <f>VLOOKUP($B1300,'Hospitalisation Details'!A1299:J3643,8,0)</f>
        <v>tier - 2</v>
      </c>
      <c r="P1300" t="str">
        <f>VLOOKUP($B1300,'Hospitalisation Details'!A1299:J3643,7,0)</f>
        <v>tier - 3</v>
      </c>
      <c r="Q1300" t="str">
        <f>VLOOKUP($B1300,'Hospitalisation Details'!A1299:J3643,9,0)</f>
        <v>R1023</v>
      </c>
      <c r="R1300">
        <f>VLOOKUP($B1300,'Hospitalisation Details'!A1299:K3643,11,0)</f>
        <v>52</v>
      </c>
    </row>
    <row r="1301" spans="1:18" x14ac:dyDescent="0.35">
      <c r="A1301" t="s">
        <v>1071</v>
      </c>
      <c r="B1301" t="s">
        <v>1332</v>
      </c>
      <c r="C1301" t="str">
        <f>VLOOKUP($A1301,'Customer Names'!$A:$E,4,FALSE)</f>
        <v>Robert</v>
      </c>
      <c r="D1301" t="str">
        <f>VLOOKUP($A1301,'Medical Examinations'!$A:$J,2,FALSE)</f>
        <v>Overweight</v>
      </c>
      <c r="E1301">
        <f>VLOOKUP($A1301,'Medical Examinations'!$A:$J,4,FALSE)</f>
        <v>6.29</v>
      </c>
      <c r="F1301" t="str">
        <f>VLOOKUP($A1301,'Medical Examinations'!$A:$J,6,FALSE)</f>
        <v>No</v>
      </c>
      <c r="G1301" t="str">
        <f>VLOOKUP($A1301,'Medical Examinations'!$A:$J,7,FALSE)</f>
        <v>No</v>
      </c>
      <c r="H1301" t="str">
        <f>VLOOKUP($A1301,'Medical Examinations'!$A:$J,8,FALSE)</f>
        <v>No</v>
      </c>
      <c r="I1301">
        <f>VLOOKUP($A1301,'Medical Examinations'!$A:$J,9,FALSE)</f>
        <v>2</v>
      </c>
      <c r="J1301" t="str">
        <f>VLOOKUP($A1301,'Medical Examinations'!$A:$J,10,FALSE)</f>
        <v>No</v>
      </c>
      <c r="K1301" t="str">
        <f>VLOOKUP($A1301,'Medical Examinations'!$A:$J,5,FALSE)</f>
        <v>Prediabetes</v>
      </c>
      <c r="L1301">
        <f>VLOOKUP($A1302,'Medical Examinations'!$A:$J,3,FALSE)</f>
        <v>25.3</v>
      </c>
      <c r="M1301">
        <f>VLOOKUP($A1301,'Hospitalisation Details'!$A:$K,6,FALSE)</f>
        <v>8444.4699999999993</v>
      </c>
      <c r="N1301" s="11">
        <f>VLOOKUP($B1301,'Hospitalisation Details'!A1300:J3644,10,0)</f>
        <v>25920</v>
      </c>
      <c r="O1301" t="str">
        <f>VLOOKUP($B1301,'Hospitalisation Details'!A1300:J3644,8,0)</f>
        <v>tier - 2</v>
      </c>
      <c r="P1301" t="str">
        <f>VLOOKUP($B1301,'Hospitalisation Details'!A1300:J3644,7,0)</f>
        <v>tier - 3</v>
      </c>
      <c r="Q1301" t="str">
        <f>VLOOKUP($B1301,'Hospitalisation Details'!A1300:J3644,9,0)</f>
        <v>R1011</v>
      </c>
      <c r="R1301">
        <f>VLOOKUP($B1301,'Hospitalisation Details'!A1300:K3644,11,0)</f>
        <v>52</v>
      </c>
    </row>
    <row r="1302" spans="1:18" x14ac:dyDescent="0.35">
      <c r="A1302" t="s">
        <v>1070</v>
      </c>
      <c r="B1302" t="s">
        <v>1333</v>
      </c>
      <c r="C1302" t="str">
        <f>VLOOKUP($A1302,'Customer Names'!$A:$E,4,FALSE)</f>
        <v>Rodney</v>
      </c>
      <c r="D1302" t="str">
        <f>VLOOKUP($A1302,'Medical Examinations'!$A:$J,2,FALSE)</f>
        <v>Overweight</v>
      </c>
      <c r="E1302">
        <f>VLOOKUP($A1302,'Medical Examinations'!$A:$J,4,FALSE)</f>
        <v>4.49</v>
      </c>
      <c r="F1302" t="str">
        <f>VLOOKUP($A1302,'Medical Examinations'!$A:$J,6,FALSE)</f>
        <v>No</v>
      </c>
      <c r="G1302" t="str">
        <f>VLOOKUP($A1302,'Medical Examinations'!$A:$J,7,FALSE)</f>
        <v>No</v>
      </c>
      <c r="H1302" t="str">
        <f>VLOOKUP($A1302,'Medical Examinations'!$A:$J,8,FALSE)</f>
        <v>No</v>
      </c>
      <c r="I1302">
        <f>VLOOKUP($A1302,'Medical Examinations'!$A:$J,9,FALSE)</f>
        <v>2</v>
      </c>
      <c r="J1302" t="str">
        <f>VLOOKUP($A1302,'Medical Examinations'!$A:$J,10,FALSE)</f>
        <v>No</v>
      </c>
      <c r="K1302" t="str">
        <f>VLOOKUP($A1302,'Medical Examinations'!$A:$J,5,FALSE)</f>
        <v>Normal</v>
      </c>
      <c r="L1302">
        <f>VLOOKUP($A1303,'Medical Examinations'!$A:$J,3,FALSE)</f>
        <v>18.84</v>
      </c>
      <c r="M1302">
        <f>VLOOKUP($A1302,'Hospitalisation Details'!$A:$K,6,FALSE)</f>
        <v>8442.67</v>
      </c>
      <c r="N1302" s="11">
        <f>VLOOKUP($B1302,'Hospitalisation Details'!A1301:J3645,10,0)</f>
        <v>24747</v>
      </c>
      <c r="O1302" t="str">
        <f>VLOOKUP($B1302,'Hospitalisation Details'!A1301:J3645,8,0)</f>
        <v>tier - 2</v>
      </c>
      <c r="P1302" t="str">
        <f>VLOOKUP($B1302,'Hospitalisation Details'!A1301:J3645,7,0)</f>
        <v>tier - 3</v>
      </c>
      <c r="Q1302" t="str">
        <f>VLOOKUP($B1302,'Hospitalisation Details'!A1301:J3645,9,0)</f>
        <v>R1013</v>
      </c>
      <c r="R1302">
        <f>VLOOKUP($B1302,'Hospitalisation Details'!A1301:K3645,11,0)</f>
        <v>55</v>
      </c>
    </row>
    <row r="1303" spans="1:18" x14ac:dyDescent="0.35">
      <c r="A1303" t="s">
        <v>1069</v>
      </c>
      <c r="B1303" t="s">
        <v>1334</v>
      </c>
      <c r="C1303" t="str">
        <f>VLOOKUP($A1303,'Customer Names'!$A:$E,4,FALSE)</f>
        <v>Carl R</v>
      </c>
      <c r="D1303" t="str">
        <f>VLOOKUP($A1303,'Medical Examinations'!$A:$J,2,FALSE)</f>
        <v>Normal Weight</v>
      </c>
      <c r="E1303">
        <f>VLOOKUP($A1303,'Medical Examinations'!$A:$J,4,FALSE)</f>
        <v>11.82</v>
      </c>
      <c r="F1303" t="str">
        <f>VLOOKUP($A1303,'Medical Examinations'!$A:$J,6,FALSE)</f>
        <v>yes</v>
      </c>
      <c r="G1303" t="str">
        <f>VLOOKUP($A1303,'Medical Examinations'!$A:$J,7,FALSE)</f>
        <v>No</v>
      </c>
      <c r="H1303" t="str">
        <f>VLOOKUP($A1303,'Medical Examinations'!$A:$J,8,FALSE)</f>
        <v>Yes</v>
      </c>
      <c r="I1303">
        <f>VLOOKUP($A1303,'Medical Examinations'!$A:$J,9,FALSE)</f>
        <v>1</v>
      </c>
      <c r="J1303" t="str">
        <f>VLOOKUP($A1303,'Medical Examinations'!$A:$J,10,FALSE)</f>
        <v>No</v>
      </c>
      <c r="K1303" t="str">
        <f>VLOOKUP($A1303,'Medical Examinations'!$A:$J,5,FALSE)</f>
        <v>Diabetes</v>
      </c>
      <c r="L1303">
        <f>VLOOKUP($A1304,'Medical Examinations'!$A:$J,3,FALSE)</f>
        <v>19.57</v>
      </c>
      <c r="M1303">
        <f>VLOOKUP($A1303,'Hospitalisation Details'!$A:$K,6,FALSE)</f>
        <v>8440.0499999999993</v>
      </c>
      <c r="N1303" s="11">
        <f>VLOOKUP($B1303,'Hospitalisation Details'!A1302:J3646,10,0)</f>
        <v>25047</v>
      </c>
      <c r="O1303" t="str">
        <f>VLOOKUP($B1303,'Hospitalisation Details'!A1302:J3646,8,0)</f>
        <v>tier - 3</v>
      </c>
      <c r="P1303" t="str">
        <f>VLOOKUP($B1303,'Hospitalisation Details'!A1302:J3646,7,0)</f>
        <v>tier - 3</v>
      </c>
      <c r="Q1303" t="str">
        <f>VLOOKUP($B1303,'Hospitalisation Details'!A1302:J3646,9,0)</f>
        <v>R1012</v>
      </c>
      <c r="R1303">
        <f>VLOOKUP($B1303,'Hospitalisation Details'!A1302:K3646,11,0)</f>
        <v>54</v>
      </c>
    </row>
    <row r="1304" spans="1:18" x14ac:dyDescent="0.35">
      <c r="A1304" t="s">
        <v>1068</v>
      </c>
      <c r="B1304" t="s">
        <v>1335</v>
      </c>
      <c r="C1304" t="str">
        <f>VLOOKUP($A1304,'Customer Names'!$A:$E,4,FALSE)</f>
        <v>Maximilian</v>
      </c>
      <c r="D1304" t="str">
        <f>VLOOKUP($A1304,'Medical Examinations'!$A:$J,2,FALSE)</f>
        <v>Normal Weight</v>
      </c>
      <c r="E1304">
        <f>VLOOKUP($A1304,'Medical Examinations'!$A:$J,4,FALSE)</f>
        <v>7.41</v>
      </c>
      <c r="F1304" t="str">
        <f>VLOOKUP($A1304,'Medical Examinations'!$A:$J,6,FALSE)</f>
        <v>yes</v>
      </c>
      <c r="G1304" t="str">
        <f>VLOOKUP($A1304,'Medical Examinations'!$A:$J,7,FALSE)</f>
        <v>No</v>
      </c>
      <c r="H1304" t="str">
        <f>VLOOKUP($A1304,'Medical Examinations'!$A:$J,8,FALSE)</f>
        <v>No</v>
      </c>
      <c r="I1304">
        <f>VLOOKUP($A1304,'Medical Examinations'!$A:$J,9,FALSE)</f>
        <v>1</v>
      </c>
      <c r="J1304" t="str">
        <f>VLOOKUP($A1304,'Medical Examinations'!$A:$J,10,FALSE)</f>
        <v>No</v>
      </c>
      <c r="K1304" t="str">
        <f>VLOOKUP($A1304,'Medical Examinations'!$A:$J,5,FALSE)</f>
        <v>Diabetes</v>
      </c>
      <c r="L1304">
        <f>VLOOKUP($A1305,'Medical Examinations'!$A:$J,3,FALSE)</f>
        <v>30.495000000000001</v>
      </c>
      <c r="M1304">
        <f>VLOOKUP($A1304,'Hospitalisation Details'!$A:$K,6,FALSE)</f>
        <v>8428.07</v>
      </c>
      <c r="N1304" s="11">
        <f>VLOOKUP($B1304,'Hospitalisation Details'!A1303:J3647,10,0)</f>
        <v>26287</v>
      </c>
      <c r="O1304" t="str">
        <f>VLOOKUP($B1304,'Hospitalisation Details'!A1303:J3647,8,0)</f>
        <v>tier - 3</v>
      </c>
      <c r="P1304" t="str">
        <f>VLOOKUP($B1304,'Hospitalisation Details'!A1303:J3647,7,0)</f>
        <v>tier - 3</v>
      </c>
      <c r="Q1304" t="str">
        <f>VLOOKUP($B1304,'Hospitalisation Details'!A1303:J3647,9,0)</f>
        <v>R1012</v>
      </c>
      <c r="R1304">
        <f>VLOOKUP($B1304,'Hospitalisation Details'!A1303:K3647,11,0)</f>
        <v>51</v>
      </c>
    </row>
    <row r="1305" spans="1:18" x14ac:dyDescent="0.35">
      <c r="A1305" t="s">
        <v>1067</v>
      </c>
      <c r="B1305" t="s">
        <v>1336</v>
      </c>
      <c r="C1305" t="str">
        <f>VLOOKUP($A1305,'Customer Names'!$A:$E,4,FALSE)</f>
        <v>Erik</v>
      </c>
      <c r="D1305" t="str">
        <f>VLOOKUP($A1305,'Medical Examinations'!$A:$J,2,FALSE)</f>
        <v>Obesity</v>
      </c>
      <c r="E1305">
        <f>VLOOKUP($A1305,'Medical Examinations'!$A:$J,4,FALSE)</f>
        <v>5.97</v>
      </c>
      <c r="F1305" t="str">
        <f>VLOOKUP($A1305,'Medical Examinations'!$A:$J,6,FALSE)</f>
        <v>No</v>
      </c>
      <c r="G1305" t="str">
        <f>VLOOKUP($A1305,'Medical Examinations'!$A:$J,7,FALSE)</f>
        <v>No</v>
      </c>
      <c r="H1305" t="str">
        <f>VLOOKUP($A1305,'Medical Examinations'!$A:$J,8,FALSE)</f>
        <v>No</v>
      </c>
      <c r="I1305">
        <f>VLOOKUP($A1305,'Medical Examinations'!$A:$J,9,FALSE)</f>
        <v>0</v>
      </c>
      <c r="J1305" t="str">
        <f>VLOOKUP($A1305,'Medical Examinations'!$A:$J,10,FALSE)</f>
        <v>No</v>
      </c>
      <c r="K1305" t="str">
        <f>VLOOKUP($A1305,'Medical Examinations'!$A:$J,5,FALSE)</f>
        <v>Prediabetes</v>
      </c>
      <c r="L1305">
        <f>VLOOKUP($A1306,'Medical Examinations'!$A:$J,3,FALSE)</f>
        <v>30.114999999999998</v>
      </c>
      <c r="M1305">
        <f>VLOOKUP($A1305,'Hospitalisation Details'!$A:$K,6,FALSE)</f>
        <v>8413.4599999999991</v>
      </c>
      <c r="N1305" s="11">
        <f>VLOOKUP($B1305,'Hospitalisation Details'!A1304:J3648,10,0)</f>
        <v>34583</v>
      </c>
      <c r="O1305" t="str">
        <f>VLOOKUP($B1305,'Hospitalisation Details'!A1304:J3648,8,0)</f>
        <v>tier - 3</v>
      </c>
      <c r="P1305" t="str">
        <f>VLOOKUP($B1305,'Hospitalisation Details'!A1304:J3648,7,0)</f>
        <v>tier - 3</v>
      </c>
      <c r="Q1305" t="str">
        <f>VLOOKUP($B1305,'Hospitalisation Details'!A1304:J3648,9,0)</f>
        <v>R1012</v>
      </c>
      <c r="R1305">
        <f>VLOOKUP($B1305,'Hospitalisation Details'!A1304:K3648,11,0)</f>
        <v>28</v>
      </c>
    </row>
    <row r="1306" spans="1:18" x14ac:dyDescent="0.35">
      <c r="A1306" t="s">
        <v>1066</v>
      </c>
      <c r="B1306" t="s">
        <v>1337</v>
      </c>
      <c r="C1306" t="str">
        <f>VLOOKUP($A1306,'Customer Names'!$A:$E,4,FALSE)</f>
        <v>Christopher</v>
      </c>
      <c r="D1306" t="str">
        <f>VLOOKUP($A1306,'Medical Examinations'!$A:$J,2,FALSE)</f>
        <v>Obesity</v>
      </c>
      <c r="E1306">
        <f>VLOOKUP($A1306,'Medical Examinations'!$A:$J,4,FALSE)</f>
        <v>5.74</v>
      </c>
      <c r="F1306" t="str">
        <f>VLOOKUP($A1306,'Medical Examinations'!$A:$J,6,FALSE)</f>
        <v>No</v>
      </c>
      <c r="G1306" t="str">
        <f>VLOOKUP($A1306,'Medical Examinations'!$A:$J,7,FALSE)</f>
        <v>No</v>
      </c>
      <c r="H1306" t="str">
        <f>VLOOKUP($A1306,'Medical Examinations'!$A:$J,8,FALSE)</f>
        <v>Yes</v>
      </c>
      <c r="I1306">
        <f>VLOOKUP($A1306,'Medical Examinations'!$A:$J,9,FALSE)</f>
        <v>1</v>
      </c>
      <c r="J1306" t="str">
        <f>VLOOKUP($A1306,'Medical Examinations'!$A:$J,10,FALSE)</f>
        <v>No</v>
      </c>
      <c r="K1306" t="str">
        <f>VLOOKUP($A1306,'Medical Examinations'!$A:$J,5,FALSE)</f>
        <v>Prediabetes</v>
      </c>
      <c r="L1306">
        <f>VLOOKUP($A1307,'Medical Examinations'!$A:$J,3,FALSE)</f>
        <v>24.78</v>
      </c>
      <c r="M1306">
        <f>VLOOKUP($A1306,'Hospitalisation Details'!$A:$K,6,FALSE)</f>
        <v>8410.0499999999993</v>
      </c>
      <c r="N1306" s="11">
        <f>VLOOKUP($B1306,'Hospitalisation Details'!A1305:J3649,10,0)</f>
        <v>25155</v>
      </c>
      <c r="O1306" t="str">
        <f>VLOOKUP($B1306,'Hospitalisation Details'!A1305:J3649,8,0)</f>
        <v>tier - 1</v>
      </c>
      <c r="P1306" t="str">
        <f>VLOOKUP($B1306,'Hospitalisation Details'!A1305:J3649,7,0)</f>
        <v>tier - 3</v>
      </c>
      <c r="Q1306" t="str">
        <f>VLOOKUP($B1306,'Hospitalisation Details'!A1305:J3649,9,0)</f>
        <v>R1024</v>
      </c>
      <c r="R1306">
        <f>VLOOKUP($B1306,'Hospitalisation Details'!A1305:K3649,11,0)</f>
        <v>54</v>
      </c>
    </row>
    <row r="1307" spans="1:18" x14ac:dyDescent="0.35">
      <c r="A1307" t="s">
        <v>1065</v>
      </c>
      <c r="B1307" t="s">
        <v>1338</v>
      </c>
      <c r="C1307" t="str">
        <f>VLOOKUP($A1307,'Customer Names'!$A:$E,4,FALSE)</f>
        <v>Eirik</v>
      </c>
      <c r="D1307" t="str">
        <f>VLOOKUP($A1307,'Medical Examinations'!$A:$J,2,FALSE)</f>
        <v>Normal Weight</v>
      </c>
      <c r="E1307">
        <f>VLOOKUP($A1307,'Medical Examinations'!$A:$J,4,FALSE)</f>
        <v>9.85</v>
      </c>
      <c r="F1307" t="str">
        <f>VLOOKUP($A1307,'Medical Examinations'!$A:$J,6,FALSE)</f>
        <v>No</v>
      </c>
      <c r="G1307" t="str">
        <f>VLOOKUP($A1307,'Medical Examinations'!$A:$J,7,FALSE)</f>
        <v>No</v>
      </c>
      <c r="H1307" t="str">
        <f>VLOOKUP($A1307,'Medical Examinations'!$A:$J,8,FALSE)</f>
        <v>No</v>
      </c>
      <c r="I1307">
        <f>VLOOKUP($A1307,'Medical Examinations'!$A:$J,9,FALSE)</f>
        <v>0</v>
      </c>
      <c r="J1307" t="str">
        <f>VLOOKUP($A1307,'Medical Examinations'!$A:$J,10,FALSE)</f>
        <v>No</v>
      </c>
      <c r="K1307" t="str">
        <f>VLOOKUP($A1307,'Medical Examinations'!$A:$J,5,FALSE)</f>
        <v>Diabetes</v>
      </c>
      <c r="L1307">
        <f>VLOOKUP($A1308,'Medical Examinations'!$A:$J,3,FALSE)</f>
        <v>24.77</v>
      </c>
      <c r="M1307">
        <f>VLOOKUP($A1307,'Hospitalisation Details'!$A:$K,6,FALSE)</f>
        <v>8400.01</v>
      </c>
      <c r="N1307" s="11">
        <f>VLOOKUP($B1307,'Hospitalisation Details'!A1306:J3650,10,0)</f>
        <v>25154</v>
      </c>
      <c r="O1307" t="str">
        <f>VLOOKUP($B1307,'Hospitalisation Details'!A1306:J3650,8,0)</f>
        <v>tier - 3</v>
      </c>
      <c r="P1307" t="str">
        <f>VLOOKUP($B1307,'Hospitalisation Details'!A1306:J3650,7,0)</f>
        <v>tier - 3</v>
      </c>
      <c r="Q1307" t="str">
        <f>VLOOKUP($B1307,'Hospitalisation Details'!A1306:J3650,9,0)</f>
        <v>R1013</v>
      </c>
      <c r="R1307">
        <f>VLOOKUP($B1307,'Hospitalisation Details'!A1306:K3650,11,0)</f>
        <v>54</v>
      </c>
    </row>
    <row r="1308" spans="1:18" x14ac:dyDescent="0.35">
      <c r="A1308" t="s">
        <v>1064</v>
      </c>
      <c r="B1308" t="s">
        <v>1339</v>
      </c>
      <c r="C1308" t="str">
        <f>VLOOKUP($A1308,'Customer Names'!$A:$E,4,FALSE)</f>
        <v>Rik</v>
      </c>
      <c r="D1308" t="str">
        <f>VLOOKUP($A1308,'Medical Examinations'!$A:$J,2,FALSE)</f>
        <v>Normal Weight</v>
      </c>
      <c r="E1308">
        <f>VLOOKUP($A1308,'Medical Examinations'!$A:$J,4,FALSE)</f>
        <v>7.59</v>
      </c>
      <c r="F1308" t="str">
        <f>VLOOKUP($A1308,'Medical Examinations'!$A:$J,6,FALSE)</f>
        <v>No</v>
      </c>
      <c r="G1308" t="str">
        <f>VLOOKUP($A1308,'Medical Examinations'!$A:$J,7,FALSE)</f>
        <v>No</v>
      </c>
      <c r="H1308" t="str">
        <f>VLOOKUP($A1308,'Medical Examinations'!$A:$J,8,FALSE)</f>
        <v>No</v>
      </c>
      <c r="I1308">
        <f>VLOOKUP($A1308,'Medical Examinations'!$A:$J,9,FALSE)</f>
        <v>0</v>
      </c>
      <c r="J1308" t="str">
        <f>VLOOKUP($A1308,'Medical Examinations'!$A:$J,10,FALSE)</f>
        <v>No</v>
      </c>
      <c r="K1308" t="str">
        <f>VLOOKUP($A1308,'Medical Examinations'!$A:$J,5,FALSE)</f>
        <v>Diabetes</v>
      </c>
      <c r="L1308">
        <f>VLOOKUP($A1309,'Medical Examinations'!$A:$J,3,FALSE)</f>
        <v>16.579999999999998</v>
      </c>
      <c r="M1308">
        <f>VLOOKUP($A1308,'Hospitalisation Details'!$A:$K,6,FALSE)</f>
        <v>8396.6200000000008</v>
      </c>
      <c r="N1308" s="11">
        <f>VLOOKUP($B1308,'Hospitalisation Details'!A1307:J3651,10,0)</f>
        <v>25517</v>
      </c>
      <c r="O1308" t="str">
        <f>VLOOKUP($B1308,'Hospitalisation Details'!A1307:J3651,8,0)</f>
        <v>tier - 3</v>
      </c>
      <c r="P1308" t="str">
        <f>VLOOKUP($B1308,'Hospitalisation Details'!A1307:J3651,7,0)</f>
        <v>tier - 3</v>
      </c>
      <c r="Q1308" t="str">
        <f>VLOOKUP($B1308,'Hospitalisation Details'!A1307:J3651,9,0)</f>
        <v>R1012</v>
      </c>
      <c r="R1308">
        <f>VLOOKUP($B1308,'Hospitalisation Details'!A1307:K3651,11,0)</f>
        <v>53</v>
      </c>
    </row>
    <row r="1309" spans="1:18" x14ac:dyDescent="0.35">
      <c r="A1309" t="s">
        <v>1063</v>
      </c>
      <c r="B1309" t="s">
        <v>1340</v>
      </c>
      <c r="C1309" t="str">
        <f>VLOOKUP($A1309,'Customer Names'!$A:$E,4,FALSE)</f>
        <v>Matthew R</v>
      </c>
      <c r="D1309" t="str">
        <f>VLOOKUP($A1309,'Medical Examinations'!$A:$J,2,FALSE)</f>
        <v>Underweight</v>
      </c>
      <c r="E1309">
        <f>VLOOKUP($A1309,'Medical Examinations'!$A:$J,4,FALSE)</f>
        <v>6.98</v>
      </c>
      <c r="F1309" t="str">
        <f>VLOOKUP($A1309,'Medical Examinations'!$A:$J,6,FALSE)</f>
        <v>yes</v>
      </c>
      <c r="G1309" t="str">
        <f>VLOOKUP($A1309,'Medical Examinations'!$A:$J,7,FALSE)</f>
        <v>No</v>
      </c>
      <c r="H1309" t="str">
        <f>VLOOKUP($A1309,'Medical Examinations'!$A:$J,8,FALSE)</f>
        <v>Yes</v>
      </c>
      <c r="I1309">
        <f>VLOOKUP($A1309,'Medical Examinations'!$A:$J,9,FALSE)</f>
        <v>1</v>
      </c>
      <c r="J1309" t="str">
        <f>VLOOKUP($A1309,'Medical Examinations'!$A:$J,10,FALSE)</f>
        <v>No</v>
      </c>
      <c r="K1309" t="str">
        <f>VLOOKUP($A1309,'Medical Examinations'!$A:$J,5,FALSE)</f>
        <v>Diabetes</v>
      </c>
      <c r="L1309">
        <f>VLOOKUP($A1310,'Medical Examinations'!$A:$J,3,FALSE)</f>
        <v>38.17</v>
      </c>
      <c r="M1309">
        <f>VLOOKUP($A1309,'Hospitalisation Details'!$A:$K,6,FALSE)</f>
        <v>8355.5400000000009</v>
      </c>
      <c r="N1309" s="11">
        <f>VLOOKUP($B1309,'Hospitalisation Details'!A1308:J3652,10,0)</f>
        <v>24080</v>
      </c>
      <c r="O1309" t="str">
        <f>VLOOKUP($B1309,'Hospitalisation Details'!A1308:J3652,8,0)</f>
        <v>tier - 3</v>
      </c>
      <c r="P1309" t="str">
        <f>VLOOKUP($B1309,'Hospitalisation Details'!A1308:J3652,7,0)</f>
        <v>tier - 3</v>
      </c>
      <c r="Q1309" t="str">
        <f>VLOOKUP($B1309,'Hospitalisation Details'!A1308:J3652,9,0)</f>
        <v>R1011</v>
      </c>
      <c r="R1309">
        <f>VLOOKUP($B1309,'Hospitalisation Details'!A1308:K3652,11,0)</f>
        <v>57</v>
      </c>
    </row>
    <row r="1310" spans="1:18" x14ac:dyDescent="0.35">
      <c r="A1310" t="s">
        <v>1062</v>
      </c>
      <c r="B1310" t="s">
        <v>1341</v>
      </c>
      <c r="C1310" t="str">
        <f>VLOOKUP($A1310,'Customer Names'!$A:$E,4,FALSE)</f>
        <v>Daniel G</v>
      </c>
      <c r="D1310" t="str">
        <f>VLOOKUP($A1310,'Medical Examinations'!$A:$J,2,FALSE)</f>
        <v>Obesity</v>
      </c>
      <c r="E1310">
        <f>VLOOKUP($A1310,'Medical Examinations'!$A:$J,4,FALSE)</f>
        <v>4.7300000000000004</v>
      </c>
      <c r="F1310" t="str">
        <f>VLOOKUP($A1310,'Medical Examinations'!$A:$J,6,FALSE)</f>
        <v>yes</v>
      </c>
      <c r="G1310" t="str">
        <f>VLOOKUP($A1310,'Medical Examinations'!$A:$J,7,FALSE)</f>
        <v>No</v>
      </c>
      <c r="H1310" t="str">
        <f>VLOOKUP($A1310,'Medical Examinations'!$A:$J,8,FALSE)</f>
        <v>No</v>
      </c>
      <c r="I1310">
        <f>VLOOKUP($A1310,'Medical Examinations'!$A:$J,9,FALSE)</f>
        <v>0</v>
      </c>
      <c r="J1310" t="str">
        <f>VLOOKUP($A1310,'Medical Examinations'!$A:$J,10,FALSE)</f>
        <v>No</v>
      </c>
      <c r="K1310" t="str">
        <f>VLOOKUP($A1310,'Medical Examinations'!$A:$J,5,FALSE)</f>
        <v>Normal</v>
      </c>
      <c r="L1310">
        <f>VLOOKUP($A1311,'Medical Examinations'!$A:$J,3,FALSE)</f>
        <v>39.424999999999997</v>
      </c>
      <c r="M1310">
        <f>VLOOKUP($A1310,'Hospitalisation Details'!$A:$K,6,FALSE)</f>
        <v>8347.16</v>
      </c>
      <c r="N1310" s="11">
        <f>VLOOKUP($B1310,'Hospitalisation Details'!A1309:J3653,10,0)</f>
        <v>25429</v>
      </c>
      <c r="O1310" t="str">
        <f>VLOOKUP($B1310,'Hospitalisation Details'!A1309:J3653,8,0)</f>
        <v>tier - 3</v>
      </c>
      <c r="P1310" t="str">
        <f>VLOOKUP($B1310,'Hospitalisation Details'!A1309:J3653,7,0)</f>
        <v>tier - 3</v>
      </c>
      <c r="Q1310" t="str">
        <f>VLOOKUP($B1310,'Hospitalisation Details'!A1309:J3653,9,0)</f>
        <v>R1012</v>
      </c>
      <c r="R1310">
        <f>VLOOKUP($B1310,'Hospitalisation Details'!A1309:K3653,11,0)</f>
        <v>53</v>
      </c>
    </row>
    <row r="1311" spans="1:18" x14ac:dyDescent="0.35">
      <c r="A1311" t="s">
        <v>1061</v>
      </c>
      <c r="B1311" t="s">
        <v>1342</v>
      </c>
      <c r="C1311" t="str">
        <f>VLOOKUP($A1311,'Customer Names'!$A:$E,4,FALSE)</f>
        <v>Yannick</v>
      </c>
      <c r="D1311" t="str">
        <f>VLOOKUP($A1311,'Medical Examinations'!$A:$J,2,FALSE)</f>
        <v>Obesity</v>
      </c>
      <c r="E1311">
        <f>VLOOKUP($A1311,'Medical Examinations'!$A:$J,4,FALSE)</f>
        <v>4.76</v>
      </c>
      <c r="F1311" t="str">
        <f>VLOOKUP($A1311,'Medical Examinations'!$A:$J,6,FALSE)</f>
        <v>yes</v>
      </c>
      <c r="G1311" t="str">
        <f>VLOOKUP($A1311,'Medical Examinations'!$A:$J,7,FALSE)</f>
        <v>No</v>
      </c>
      <c r="H1311" t="str">
        <f>VLOOKUP($A1311,'Medical Examinations'!$A:$J,8,FALSE)</f>
        <v>No</v>
      </c>
      <c r="I1311">
        <f>VLOOKUP($A1311,'Medical Examinations'!$A:$J,9,FALSE)</f>
        <v>0</v>
      </c>
      <c r="J1311" t="str">
        <f>VLOOKUP($A1311,'Medical Examinations'!$A:$J,10,FALSE)</f>
        <v>No</v>
      </c>
      <c r="K1311" t="str">
        <f>VLOOKUP($A1311,'Medical Examinations'!$A:$J,5,FALSE)</f>
        <v>Normal</v>
      </c>
      <c r="L1311">
        <f>VLOOKUP($A1312,'Medical Examinations'!$A:$J,3,FALSE)</f>
        <v>33.44</v>
      </c>
      <c r="M1311">
        <f>VLOOKUP($A1311,'Hospitalisation Details'!$A:$K,6,FALSE)</f>
        <v>8342.91</v>
      </c>
      <c r="N1311" s="11">
        <f>VLOOKUP($B1311,'Hospitalisation Details'!A1310:J3654,10,0)</f>
        <v>23912</v>
      </c>
      <c r="O1311" t="str">
        <f>VLOOKUP($B1311,'Hospitalisation Details'!A1310:J3654,8,0)</f>
        <v>tier - 2</v>
      </c>
      <c r="P1311" t="str">
        <f>VLOOKUP($B1311,'Hospitalisation Details'!A1310:J3654,7,0)</f>
        <v>tier - 3</v>
      </c>
      <c r="Q1311" t="str">
        <f>VLOOKUP($B1311,'Hospitalisation Details'!A1310:J3654,9,0)</f>
        <v>R1011</v>
      </c>
      <c r="R1311">
        <f>VLOOKUP($B1311,'Hospitalisation Details'!A1310:K3654,11,0)</f>
        <v>57</v>
      </c>
    </row>
    <row r="1312" spans="1:18" x14ac:dyDescent="0.35">
      <c r="A1312" t="s">
        <v>1060</v>
      </c>
      <c r="B1312" t="s">
        <v>1343</v>
      </c>
      <c r="C1312" t="str">
        <f>VLOOKUP($A1312,'Customer Names'!$A:$E,4,FALSE)</f>
        <v>Sean R</v>
      </c>
      <c r="D1312" t="str">
        <f>VLOOKUP($A1312,'Medical Examinations'!$A:$J,2,FALSE)</f>
        <v>Obesity</v>
      </c>
      <c r="E1312">
        <f>VLOOKUP($A1312,'Medical Examinations'!$A:$J,4,FALSE)</f>
        <v>6.24</v>
      </c>
      <c r="F1312" t="str">
        <f>VLOOKUP($A1312,'Medical Examinations'!$A:$J,6,FALSE)</f>
        <v>yes</v>
      </c>
      <c r="G1312" t="str">
        <f>VLOOKUP($A1312,'Medical Examinations'!$A:$J,7,FALSE)</f>
        <v>No</v>
      </c>
      <c r="H1312" t="str">
        <f>VLOOKUP($A1312,'Medical Examinations'!$A:$J,8,FALSE)</f>
        <v>No</v>
      </c>
      <c r="I1312">
        <f>VLOOKUP($A1312,'Medical Examinations'!$A:$J,9,FALSE)</f>
        <v>0</v>
      </c>
      <c r="J1312" t="str">
        <f>VLOOKUP($A1312,'Medical Examinations'!$A:$J,10,FALSE)</f>
        <v>No</v>
      </c>
      <c r="K1312" t="str">
        <f>VLOOKUP($A1312,'Medical Examinations'!$A:$J,5,FALSE)</f>
        <v>Prediabetes</v>
      </c>
      <c r="L1312">
        <f>VLOOKUP($A1313,'Medical Examinations'!$A:$J,3,FALSE)</f>
        <v>33.344999999999999</v>
      </c>
      <c r="M1312">
        <f>VLOOKUP($A1312,'Hospitalisation Details'!$A:$K,6,FALSE)</f>
        <v>8334.59</v>
      </c>
      <c r="N1312" s="11">
        <f>VLOOKUP($B1312,'Hospitalisation Details'!A1311:J3655,10,0)</f>
        <v>24297</v>
      </c>
      <c r="O1312" t="str">
        <f>VLOOKUP($B1312,'Hospitalisation Details'!A1311:J3655,8,0)</f>
        <v>tier - 2</v>
      </c>
      <c r="P1312" t="str">
        <f>VLOOKUP($B1312,'Hospitalisation Details'!A1311:J3655,7,0)</f>
        <v>tier - 3</v>
      </c>
      <c r="Q1312" t="str">
        <f>VLOOKUP($B1312,'Hospitalisation Details'!A1311:J3655,9,0)</f>
        <v>R1012</v>
      </c>
      <c r="R1312">
        <f>VLOOKUP($B1312,'Hospitalisation Details'!A1311:K3655,11,0)</f>
        <v>56</v>
      </c>
    </row>
    <row r="1313" spans="1:18" x14ac:dyDescent="0.35">
      <c r="A1313" t="s">
        <v>1059</v>
      </c>
      <c r="B1313" t="s">
        <v>1344</v>
      </c>
      <c r="C1313" t="str">
        <f>VLOOKUP($A1313,'Customer Names'!$A:$E,4,FALSE)</f>
        <v>Peter</v>
      </c>
      <c r="D1313" t="str">
        <f>VLOOKUP($A1313,'Medical Examinations'!$A:$J,2,FALSE)</f>
        <v>Obesity</v>
      </c>
      <c r="E1313">
        <f>VLOOKUP($A1313,'Medical Examinations'!$A:$J,4,FALSE)</f>
        <v>5.44</v>
      </c>
      <c r="F1313" t="str">
        <f>VLOOKUP($A1313,'Medical Examinations'!$A:$J,6,FALSE)</f>
        <v>yes</v>
      </c>
      <c r="G1313" t="str">
        <f>VLOOKUP($A1313,'Medical Examinations'!$A:$J,7,FALSE)</f>
        <v>No</v>
      </c>
      <c r="H1313" t="str">
        <f>VLOOKUP($A1313,'Medical Examinations'!$A:$J,8,FALSE)</f>
        <v>No</v>
      </c>
      <c r="I1313">
        <f>VLOOKUP($A1313,'Medical Examinations'!$A:$J,9,FALSE)</f>
        <v>0</v>
      </c>
      <c r="J1313" t="str">
        <f>VLOOKUP($A1313,'Medical Examinations'!$A:$J,10,FALSE)</f>
        <v>No</v>
      </c>
      <c r="K1313" t="str">
        <f>VLOOKUP($A1313,'Medical Examinations'!$A:$J,5,FALSE)</f>
        <v>Normal</v>
      </c>
      <c r="L1313">
        <f>VLOOKUP($A1314,'Medical Examinations'!$A:$J,3,FALSE)</f>
        <v>38.79</v>
      </c>
      <c r="M1313">
        <f>VLOOKUP($A1313,'Hospitalisation Details'!$A:$K,6,FALSE)</f>
        <v>8334.4599999999991</v>
      </c>
      <c r="N1313" s="11">
        <f>VLOOKUP($B1313,'Hospitalisation Details'!A1312:J3656,10,0)</f>
        <v>26958</v>
      </c>
      <c r="O1313" t="str">
        <f>VLOOKUP($B1313,'Hospitalisation Details'!A1312:J3656,8,0)</f>
        <v>tier - 1</v>
      </c>
      <c r="P1313" t="str">
        <f>VLOOKUP($B1313,'Hospitalisation Details'!A1312:J3656,7,0)</f>
        <v>tier - 3</v>
      </c>
      <c r="Q1313" t="str">
        <f>VLOOKUP($B1313,'Hospitalisation Details'!A1312:J3656,9,0)</f>
        <v>R1013</v>
      </c>
      <c r="R1313">
        <f>VLOOKUP($B1313,'Hospitalisation Details'!A1312:K3656,11,0)</f>
        <v>49</v>
      </c>
    </row>
    <row r="1314" spans="1:18" x14ac:dyDescent="0.35">
      <c r="A1314" t="s">
        <v>1058</v>
      </c>
      <c r="B1314" t="s">
        <v>1345</v>
      </c>
      <c r="C1314" t="str">
        <f>VLOOKUP($A1314,'Customer Names'!$A:$E,4,FALSE)</f>
        <v>Sara A.</v>
      </c>
      <c r="D1314" t="str">
        <f>VLOOKUP($A1314,'Medical Examinations'!$A:$J,2,FALSE)</f>
        <v>Obesity</v>
      </c>
      <c r="E1314">
        <f>VLOOKUP($A1314,'Medical Examinations'!$A:$J,4,FALSE)</f>
        <v>5.08</v>
      </c>
      <c r="F1314" t="str">
        <f>VLOOKUP($A1314,'Medical Examinations'!$A:$J,6,FALSE)</f>
        <v>No</v>
      </c>
      <c r="G1314" t="str">
        <f>VLOOKUP($A1314,'Medical Examinations'!$A:$J,7,FALSE)</f>
        <v>No</v>
      </c>
      <c r="H1314" t="str">
        <f>VLOOKUP($A1314,'Medical Examinations'!$A:$J,8,FALSE)</f>
        <v>Yes</v>
      </c>
      <c r="I1314">
        <f>VLOOKUP($A1314,'Medical Examinations'!$A:$J,9,FALSE)</f>
        <v>1</v>
      </c>
      <c r="J1314" t="str">
        <f>VLOOKUP($A1314,'Medical Examinations'!$A:$J,10,FALSE)</f>
        <v>No</v>
      </c>
      <c r="K1314" t="str">
        <f>VLOOKUP($A1314,'Medical Examinations'!$A:$J,5,FALSE)</f>
        <v>Normal</v>
      </c>
      <c r="L1314">
        <f>VLOOKUP($A1315,'Medical Examinations'!$A:$J,3,FALSE)</f>
        <v>30.684999999999999</v>
      </c>
      <c r="M1314">
        <f>VLOOKUP($A1314,'Hospitalisation Details'!$A:$K,6,FALSE)</f>
        <v>8314.65</v>
      </c>
      <c r="N1314" s="11">
        <f>VLOOKUP($B1314,'Hospitalisation Details'!A1313:J3657,10,0)</f>
        <v>24094</v>
      </c>
      <c r="O1314" t="str">
        <f>VLOOKUP($B1314,'Hospitalisation Details'!A1313:J3657,8,0)</f>
        <v>tier - 3</v>
      </c>
      <c r="P1314" t="str">
        <f>VLOOKUP($B1314,'Hospitalisation Details'!A1313:J3657,7,0)</f>
        <v>tier - 3</v>
      </c>
      <c r="Q1314" t="str">
        <f>VLOOKUP($B1314,'Hospitalisation Details'!A1313:J3657,9,0)</f>
        <v>R1013</v>
      </c>
      <c r="R1314">
        <f>VLOOKUP($B1314,'Hospitalisation Details'!A1313:K3657,11,0)</f>
        <v>57</v>
      </c>
    </row>
    <row r="1315" spans="1:18" x14ac:dyDescent="0.35">
      <c r="A1315" t="s">
        <v>1057</v>
      </c>
      <c r="B1315" t="s">
        <v>1346</v>
      </c>
      <c r="C1315" t="str">
        <f>VLOOKUP($A1315,'Customer Names'!$A:$E,4,FALSE)</f>
        <v>Erin C.</v>
      </c>
      <c r="D1315" t="str">
        <f>VLOOKUP($A1315,'Medical Examinations'!$A:$J,2,FALSE)</f>
        <v>Obesity</v>
      </c>
      <c r="E1315">
        <f>VLOOKUP($A1315,'Medical Examinations'!$A:$J,4,FALSE)</f>
        <v>4.87</v>
      </c>
      <c r="F1315" t="str">
        <f>VLOOKUP($A1315,'Medical Examinations'!$A:$J,6,FALSE)</f>
        <v>No</v>
      </c>
      <c r="G1315" t="str">
        <f>VLOOKUP($A1315,'Medical Examinations'!$A:$J,7,FALSE)</f>
        <v>No</v>
      </c>
      <c r="H1315" t="str">
        <f>VLOOKUP($A1315,'Medical Examinations'!$A:$J,8,FALSE)</f>
        <v>Yes</v>
      </c>
      <c r="I1315">
        <f>VLOOKUP($A1315,'Medical Examinations'!$A:$J,9,FALSE)</f>
        <v>1</v>
      </c>
      <c r="J1315" t="str">
        <f>VLOOKUP($A1315,'Medical Examinations'!$A:$J,10,FALSE)</f>
        <v>No</v>
      </c>
      <c r="K1315" t="str">
        <f>VLOOKUP($A1315,'Medical Examinations'!$A:$J,5,FALSE)</f>
        <v>Normal</v>
      </c>
      <c r="L1315">
        <f>VLOOKUP($A1316,'Medical Examinations'!$A:$J,3,FALSE)</f>
        <v>22.135000000000002</v>
      </c>
      <c r="M1315">
        <f>VLOOKUP($A1315,'Hospitalisation Details'!$A:$K,6,FALSE)</f>
        <v>8310.84</v>
      </c>
      <c r="N1315" s="11">
        <f>VLOOKUP($B1315,'Hospitalisation Details'!A1314:J3658,10,0)</f>
        <v>36786</v>
      </c>
      <c r="O1315" t="str">
        <f>VLOOKUP($B1315,'Hospitalisation Details'!A1314:J3658,8,0)</f>
        <v>tier - 3</v>
      </c>
      <c r="P1315" t="str">
        <f>VLOOKUP($B1315,'Hospitalisation Details'!A1314:J3658,7,0)</f>
        <v>tier - 3</v>
      </c>
      <c r="Q1315" t="str">
        <f>VLOOKUP($B1315,'Hospitalisation Details'!A1314:J3658,9,0)</f>
        <v>R1012</v>
      </c>
      <c r="R1315">
        <f>VLOOKUP($B1315,'Hospitalisation Details'!A1314:K3658,11,0)</f>
        <v>22</v>
      </c>
    </row>
    <row r="1316" spans="1:18" x14ac:dyDescent="0.35">
      <c r="A1316" t="s">
        <v>1056</v>
      </c>
      <c r="B1316" t="s">
        <v>1347</v>
      </c>
      <c r="C1316" t="str">
        <f>VLOOKUP($A1316,'Customer Names'!$A:$E,4,FALSE)</f>
        <v>Thibaud</v>
      </c>
      <c r="D1316" t="str">
        <f>VLOOKUP($A1316,'Medical Examinations'!$A:$J,2,FALSE)</f>
        <v>Normal Weight</v>
      </c>
      <c r="E1316">
        <f>VLOOKUP($A1316,'Medical Examinations'!$A:$J,4,FALSE)</f>
        <v>8.17</v>
      </c>
      <c r="F1316" t="str">
        <f>VLOOKUP($A1316,'Medical Examinations'!$A:$J,6,FALSE)</f>
        <v>No</v>
      </c>
      <c r="G1316" t="str">
        <f>VLOOKUP($A1316,'Medical Examinations'!$A:$J,7,FALSE)</f>
        <v>No</v>
      </c>
      <c r="H1316" t="str">
        <f>VLOOKUP($A1316,'Medical Examinations'!$A:$J,8,FALSE)</f>
        <v>No</v>
      </c>
      <c r="I1316">
        <f>VLOOKUP($A1316,'Medical Examinations'!$A:$J,9,FALSE)</f>
        <v>0</v>
      </c>
      <c r="J1316" t="str">
        <f>VLOOKUP($A1316,'Medical Examinations'!$A:$J,10,FALSE)</f>
        <v>No</v>
      </c>
      <c r="K1316" t="str">
        <f>VLOOKUP($A1316,'Medical Examinations'!$A:$J,5,FALSE)</f>
        <v>Diabetes</v>
      </c>
      <c r="L1316">
        <f>VLOOKUP($A1317,'Medical Examinations'!$A:$J,3,FALSE)</f>
        <v>33.33</v>
      </c>
      <c r="M1316">
        <f>VLOOKUP($A1316,'Hospitalisation Details'!$A:$K,6,FALSE)</f>
        <v>8302.5400000000009</v>
      </c>
      <c r="N1316" s="11">
        <f>VLOOKUP($B1316,'Hospitalisation Details'!A1315:J3659,10,0)</f>
        <v>25135</v>
      </c>
      <c r="O1316" t="str">
        <f>VLOOKUP($B1316,'Hospitalisation Details'!A1315:J3659,8,0)</f>
        <v>tier - 1</v>
      </c>
      <c r="P1316" t="str">
        <f>VLOOKUP($B1316,'Hospitalisation Details'!A1315:J3659,7,0)</f>
        <v>tier - 3</v>
      </c>
      <c r="Q1316" t="str">
        <f>VLOOKUP($B1316,'Hospitalisation Details'!A1315:J3659,9,0)</f>
        <v>R1013</v>
      </c>
      <c r="R1316">
        <f>VLOOKUP($B1316,'Hospitalisation Details'!A1315:K3659,11,0)</f>
        <v>54</v>
      </c>
    </row>
    <row r="1317" spans="1:18" x14ac:dyDescent="0.35">
      <c r="A1317" t="s">
        <v>1055</v>
      </c>
      <c r="B1317" t="s">
        <v>1348</v>
      </c>
      <c r="C1317" t="str">
        <f>VLOOKUP($A1317,'Customer Names'!$A:$E,4,FALSE)</f>
        <v>Lisa</v>
      </c>
      <c r="D1317" t="str">
        <f>VLOOKUP($A1317,'Medical Examinations'!$A:$J,2,FALSE)</f>
        <v>Obesity</v>
      </c>
      <c r="E1317">
        <f>VLOOKUP($A1317,'Medical Examinations'!$A:$J,4,FALSE)</f>
        <v>7.61</v>
      </c>
      <c r="F1317" t="str">
        <f>VLOOKUP($A1317,'Medical Examinations'!$A:$J,6,FALSE)</f>
        <v>No</v>
      </c>
      <c r="G1317" t="str">
        <f>VLOOKUP($A1317,'Medical Examinations'!$A:$J,7,FALSE)</f>
        <v>No</v>
      </c>
      <c r="H1317" t="str">
        <f>VLOOKUP($A1317,'Medical Examinations'!$A:$J,8,FALSE)</f>
        <v>No</v>
      </c>
      <c r="I1317">
        <f>VLOOKUP($A1317,'Medical Examinations'!$A:$J,9,FALSE)</f>
        <v>0</v>
      </c>
      <c r="J1317" t="str">
        <f>VLOOKUP($A1317,'Medical Examinations'!$A:$J,10,FALSE)</f>
        <v>No</v>
      </c>
      <c r="K1317" t="str">
        <f>VLOOKUP($A1317,'Medical Examinations'!$A:$J,5,FALSE)</f>
        <v>Diabetes</v>
      </c>
      <c r="L1317">
        <f>VLOOKUP($A1318,'Medical Examinations'!$A:$J,3,FALSE)</f>
        <v>31.13</v>
      </c>
      <c r="M1317">
        <f>VLOOKUP($A1317,'Hospitalisation Details'!$A:$K,6,FALSE)</f>
        <v>8283.68</v>
      </c>
      <c r="N1317" s="11">
        <f>VLOOKUP($B1317,'Hospitalisation Details'!A1316:J3660,10,0)</f>
        <v>27378</v>
      </c>
      <c r="O1317" t="str">
        <f>VLOOKUP($B1317,'Hospitalisation Details'!A1316:J3660,8,0)</f>
        <v>tier - 1</v>
      </c>
      <c r="P1317" t="str">
        <f>VLOOKUP($B1317,'Hospitalisation Details'!A1316:J3660,7,0)</f>
        <v>tier - 3</v>
      </c>
      <c r="Q1317" t="str">
        <f>VLOOKUP($B1317,'Hospitalisation Details'!A1316:J3660,9,0)</f>
        <v>R1012</v>
      </c>
      <c r="R1317">
        <f>VLOOKUP($B1317,'Hospitalisation Details'!A1316:K3660,11,0)</f>
        <v>48</v>
      </c>
    </row>
    <row r="1318" spans="1:18" x14ac:dyDescent="0.35">
      <c r="A1318" t="s">
        <v>1054</v>
      </c>
      <c r="B1318" t="s">
        <v>1349</v>
      </c>
      <c r="C1318" t="str">
        <f>VLOOKUP($A1318,'Customer Names'!$A:$E,4,FALSE)</f>
        <v>Gretchen K.</v>
      </c>
      <c r="D1318" t="str">
        <f>VLOOKUP($A1318,'Medical Examinations'!$A:$J,2,FALSE)</f>
        <v>Obesity</v>
      </c>
      <c r="E1318">
        <f>VLOOKUP($A1318,'Medical Examinations'!$A:$J,4,FALSE)</f>
        <v>10.1</v>
      </c>
      <c r="F1318" t="str">
        <f>VLOOKUP($A1318,'Medical Examinations'!$A:$J,6,FALSE)</f>
        <v>No</v>
      </c>
      <c r="G1318" t="str">
        <f>VLOOKUP($A1318,'Medical Examinations'!$A:$J,7,FALSE)</f>
        <v>No</v>
      </c>
      <c r="H1318" t="str">
        <f>VLOOKUP($A1318,'Medical Examinations'!$A:$J,8,FALSE)</f>
        <v>No</v>
      </c>
      <c r="I1318">
        <f>VLOOKUP($A1318,'Medical Examinations'!$A:$J,9,FALSE)</f>
        <v>0</v>
      </c>
      <c r="J1318" t="str">
        <f>VLOOKUP($A1318,'Medical Examinations'!$A:$J,10,FALSE)</f>
        <v>No</v>
      </c>
      <c r="K1318" t="str">
        <f>VLOOKUP($A1318,'Medical Examinations'!$A:$J,5,FALSE)</f>
        <v>Diabetes</v>
      </c>
      <c r="L1318">
        <f>VLOOKUP($A1319,'Medical Examinations'!$A:$J,3,FALSE)</f>
        <v>28.9</v>
      </c>
      <c r="M1318">
        <f>VLOOKUP($A1318,'Hospitalisation Details'!$A:$K,6,FALSE)</f>
        <v>8280.6200000000008</v>
      </c>
      <c r="N1318" s="11">
        <f>VLOOKUP($B1318,'Hospitalisation Details'!A1317:J3661,10,0)</f>
        <v>33415</v>
      </c>
      <c r="O1318" t="str">
        <f>VLOOKUP($B1318,'Hospitalisation Details'!A1317:J3661,8,0)</f>
        <v>tier - 2</v>
      </c>
      <c r="P1318" t="str">
        <f>VLOOKUP($B1318,'Hospitalisation Details'!A1317:J3661,7,0)</f>
        <v>tier - 3</v>
      </c>
      <c r="Q1318" t="str">
        <f>VLOOKUP($B1318,'Hospitalisation Details'!A1317:J3661,9,0)</f>
        <v>R1012</v>
      </c>
      <c r="R1318">
        <f>VLOOKUP($B1318,'Hospitalisation Details'!A1317:K3661,11,0)</f>
        <v>31</v>
      </c>
    </row>
    <row r="1319" spans="1:18" x14ac:dyDescent="0.35">
      <c r="A1319" t="s">
        <v>1053</v>
      </c>
      <c r="B1319" t="s">
        <v>1350</v>
      </c>
      <c r="C1319" t="str">
        <f>VLOOKUP($A1319,'Customer Names'!$A:$E,4,FALSE)</f>
        <v>Martina</v>
      </c>
      <c r="D1319" t="str">
        <f>VLOOKUP($A1319,'Medical Examinations'!$A:$J,2,FALSE)</f>
        <v>Overweight</v>
      </c>
      <c r="E1319">
        <f>VLOOKUP($A1319,'Medical Examinations'!$A:$J,4,FALSE)</f>
        <v>11.24</v>
      </c>
      <c r="F1319" t="str">
        <f>VLOOKUP($A1319,'Medical Examinations'!$A:$J,6,FALSE)</f>
        <v>No</v>
      </c>
      <c r="G1319" t="str">
        <f>VLOOKUP($A1319,'Medical Examinations'!$A:$J,7,FALSE)</f>
        <v>No</v>
      </c>
      <c r="H1319" t="str">
        <f>VLOOKUP($A1319,'Medical Examinations'!$A:$J,8,FALSE)</f>
        <v>No</v>
      </c>
      <c r="I1319">
        <f>VLOOKUP($A1319,'Medical Examinations'!$A:$J,9,FALSE)</f>
        <v>0</v>
      </c>
      <c r="J1319" t="str">
        <f>VLOOKUP($A1319,'Medical Examinations'!$A:$J,10,FALSE)</f>
        <v>No</v>
      </c>
      <c r="K1319" t="str">
        <f>VLOOKUP($A1319,'Medical Examinations'!$A:$J,5,FALSE)</f>
        <v>Diabetes</v>
      </c>
      <c r="L1319">
        <f>VLOOKUP($A1320,'Medical Examinations'!$A:$J,3,FALSE)</f>
        <v>43.31</v>
      </c>
      <c r="M1319">
        <f>VLOOKUP($A1319,'Hospitalisation Details'!$A:$K,6,FALSE)</f>
        <v>8277.52</v>
      </c>
      <c r="N1319" s="11">
        <f>VLOOKUP($B1319,'Hospitalisation Details'!A1318:J3662,10,0)</f>
        <v>35267</v>
      </c>
      <c r="O1319" t="str">
        <f>VLOOKUP($B1319,'Hospitalisation Details'!A1318:J3662,8,0)</f>
        <v>tier - 3</v>
      </c>
      <c r="P1319" t="str">
        <f>VLOOKUP($B1319,'Hospitalisation Details'!A1318:J3662,7,0)</f>
        <v>tier - 3</v>
      </c>
      <c r="Q1319" t="str">
        <f>VLOOKUP($B1319,'Hospitalisation Details'!A1318:J3662,9,0)</f>
        <v>R1012</v>
      </c>
      <c r="R1319">
        <f>VLOOKUP($B1319,'Hospitalisation Details'!A1318:K3662,11,0)</f>
        <v>26</v>
      </c>
    </row>
    <row r="1320" spans="1:18" x14ac:dyDescent="0.35">
      <c r="A1320" t="s">
        <v>1052</v>
      </c>
      <c r="B1320" t="s">
        <v>1351</v>
      </c>
      <c r="C1320" t="str">
        <f>VLOOKUP($A1320,'Customer Names'!$A:$E,4,FALSE)</f>
        <v>Dustin J</v>
      </c>
      <c r="D1320" t="str">
        <f>VLOOKUP($A1320,'Medical Examinations'!$A:$J,2,FALSE)</f>
        <v>Obesity</v>
      </c>
      <c r="E1320">
        <f>VLOOKUP($A1320,'Medical Examinations'!$A:$J,4,FALSE)</f>
        <v>6.1</v>
      </c>
      <c r="F1320" t="str">
        <f>VLOOKUP($A1320,'Medical Examinations'!$A:$J,6,FALSE)</f>
        <v>yes</v>
      </c>
      <c r="G1320" t="str">
        <f>VLOOKUP($A1320,'Medical Examinations'!$A:$J,7,FALSE)</f>
        <v>yes</v>
      </c>
      <c r="H1320" t="str">
        <f>VLOOKUP($A1320,'Medical Examinations'!$A:$J,8,FALSE)</f>
        <v>No</v>
      </c>
      <c r="I1320">
        <f>VLOOKUP($A1320,'Medical Examinations'!$A:$J,9,FALSE)</f>
        <v>1</v>
      </c>
      <c r="J1320" t="str">
        <f>VLOOKUP($A1320,'Medical Examinations'!$A:$J,10,FALSE)</f>
        <v>No</v>
      </c>
      <c r="K1320" t="str">
        <f>VLOOKUP($A1320,'Medical Examinations'!$A:$J,5,FALSE)</f>
        <v>Prediabetes</v>
      </c>
      <c r="L1320">
        <f>VLOOKUP($A1321,'Medical Examinations'!$A:$J,3,FALSE)</f>
        <v>22.8</v>
      </c>
      <c r="M1320">
        <f>VLOOKUP($A1320,'Hospitalisation Details'!$A:$K,6,FALSE)</f>
        <v>8271.4599999999991</v>
      </c>
      <c r="N1320" s="11">
        <f>VLOOKUP($B1320,'Hospitalisation Details'!A1319:J3663,10,0)</f>
        <v>27373</v>
      </c>
      <c r="O1320" t="str">
        <f>VLOOKUP($B1320,'Hospitalisation Details'!A1319:J3663,8,0)</f>
        <v>tier - 3</v>
      </c>
      <c r="P1320" t="str">
        <f>VLOOKUP($B1320,'Hospitalisation Details'!A1319:J3663,7,0)</f>
        <v>tier - 3</v>
      </c>
      <c r="Q1320" t="str">
        <f>VLOOKUP($B1320,'Hospitalisation Details'!A1319:J3663,9,0)</f>
        <v>R1012</v>
      </c>
      <c r="R1320">
        <f>VLOOKUP($B1320,'Hospitalisation Details'!A1319:K3663,11,0)</f>
        <v>48</v>
      </c>
    </row>
    <row r="1321" spans="1:18" x14ac:dyDescent="0.35">
      <c r="A1321" t="s">
        <v>1051</v>
      </c>
      <c r="B1321" t="s">
        <v>1352</v>
      </c>
      <c r="C1321" t="str">
        <f>VLOOKUP($A1321,'Customer Names'!$A:$E,4,FALSE)</f>
        <v>Kelsey</v>
      </c>
      <c r="D1321" t="str">
        <f>VLOOKUP($A1321,'Medical Examinations'!$A:$J,2,FALSE)</f>
        <v>Normal Weight</v>
      </c>
      <c r="E1321">
        <f>VLOOKUP($A1321,'Medical Examinations'!$A:$J,4,FALSE)</f>
        <v>6.98</v>
      </c>
      <c r="F1321" t="str">
        <f>VLOOKUP($A1321,'Medical Examinations'!$A:$J,6,FALSE)</f>
        <v>No</v>
      </c>
      <c r="G1321" t="str">
        <f>VLOOKUP($A1321,'Medical Examinations'!$A:$J,7,FALSE)</f>
        <v>No</v>
      </c>
      <c r="H1321" t="str">
        <f>VLOOKUP($A1321,'Medical Examinations'!$A:$J,8,FALSE)</f>
        <v>No</v>
      </c>
      <c r="I1321">
        <f>VLOOKUP($A1321,'Medical Examinations'!$A:$J,9,FALSE)</f>
        <v>0</v>
      </c>
      <c r="J1321" t="str">
        <f>VLOOKUP($A1321,'Medical Examinations'!$A:$J,10,FALSE)</f>
        <v>No</v>
      </c>
      <c r="K1321" t="str">
        <f>VLOOKUP($A1321,'Medical Examinations'!$A:$J,5,FALSE)</f>
        <v>Diabetes</v>
      </c>
      <c r="L1321">
        <f>VLOOKUP($A1322,'Medical Examinations'!$A:$J,3,FALSE)</f>
        <v>19.09</v>
      </c>
      <c r="M1321">
        <f>VLOOKUP($A1321,'Hospitalisation Details'!$A:$K,6,FALSE)</f>
        <v>8269.0400000000009</v>
      </c>
      <c r="N1321" s="11">
        <f>VLOOKUP($B1321,'Hospitalisation Details'!A1320:J3664,10,0)</f>
        <v>32806</v>
      </c>
      <c r="O1321" t="str">
        <f>VLOOKUP($B1321,'Hospitalisation Details'!A1320:J3664,8,0)</f>
        <v>tier - 1</v>
      </c>
      <c r="P1321" t="str">
        <f>VLOOKUP($B1321,'Hospitalisation Details'!A1320:J3664,7,0)</f>
        <v>tier - 3</v>
      </c>
      <c r="Q1321" t="str">
        <f>VLOOKUP($B1321,'Hospitalisation Details'!A1320:J3664,9,0)</f>
        <v>R1012</v>
      </c>
      <c r="R1321">
        <f>VLOOKUP($B1321,'Hospitalisation Details'!A1320:K3664,11,0)</f>
        <v>33</v>
      </c>
    </row>
    <row r="1322" spans="1:18" x14ac:dyDescent="0.35">
      <c r="A1322" t="s">
        <v>1050</v>
      </c>
      <c r="B1322" t="s">
        <v>1353</v>
      </c>
      <c r="C1322" t="str">
        <f>VLOOKUP($A1322,'Customer Names'!$A:$E,4,FALSE)</f>
        <v>Daniel V.</v>
      </c>
      <c r="D1322" t="str">
        <f>VLOOKUP($A1322,'Medical Examinations'!$A:$J,2,FALSE)</f>
        <v>Normal Weight</v>
      </c>
      <c r="E1322">
        <f>VLOOKUP($A1322,'Medical Examinations'!$A:$J,4,FALSE)</f>
        <v>4</v>
      </c>
      <c r="F1322" t="str">
        <f>VLOOKUP($A1322,'Medical Examinations'!$A:$J,6,FALSE)</f>
        <v>yes</v>
      </c>
      <c r="G1322" t="str">
        <f>VLOOKUP($A1322,'Medical Examinations'!$A:$J,7,FALSE)</f>
        <v>No</v>
      </c>
      <c r="H1322" t="str">
        <f>VLOOKUP($A1322,'Medical Examinations'!$A:$J,8,FALSE)</f>
        <v>No</v>
      </c>
      <c r="I1322">
        <f>VLOOKUP($A1322,'Medical Examinations'!$A:$J,9,FALSE)</f>
        <v>1</v>
      </c>
      <c r="J1322" t="str">
        <f>VLOOKUP($A1322,'Medical Examinations'!$A:$J,10,FALSE)</f>
        <v>No</v>
      </c>
      <c r="K1322" t="str">
        <f>VLOOKUP($A1322,'Medical Examinations'!$A:$J,5,FALSE)</f>
        <v>Normal</v>
      </c>
      <c r="L1322">
        <f>VLOOKUP($A1323,'Medical Examinations'!$A:$J,3,FALSE)</f>
        <v>23.37</v>
      </c>
      <c r="M1322">
        <f>VLOOKUP($A1322,'Hospitalisation Details'!$A:$K,6,FALSE)</f>
        <v>8268</v>
      </c>
      <c r="N1322" s="11">
        <f>VLOOKUP($B1322,'Hospitalisation Details'!A1321:J3665,10,0)</f>
        <v>27271</v>
      </c>
      <c r="O1322" t="str">
        <f>VLOOKUP($B1322,'Hospitalisation Details'!A1321:J3665,8,0)</f>
        <v>tier - 2</v>
      </c>
      <c r="P1322" t="str">
        <f>VLOOKUP($B1322,'Hospitalisation Details'!A1321:J3665,7,0)</f>
        <v>tier - 3</v>
      </c>
      <c r="Q1322" t="str">
        <f>VLOOKUP($B1322,'Hospitalisation Details'!A1321:J3665,9,0)</f>
        <v>R1025</v>
      </c>
      <c r="R1322">
        <f>VLOOKUP($B1322,'Hospitalisation Details'!A1321:K3665,11,0)</f>
        <v>48</v>
      </c>
    </row>
    <row r="1323" spans="1:18" x14ac:dyDescent="0.35">
      <c r="A1323" t="s">
        <v>1049</v>
      </c>
      <c r="B1323" t="s">
        <v>1354</v>
      </c>
      <c r="C1323" t="str">
        <f>VLOOKUP($A1323,'Customer Names'!$A:$E,4,FALSE)</f>
        <v>Saeger</v>
      </c>
      <c r="D1323" t="str">
        <f>VLOOKUP($A1323,'Medical Examinations'!$A:$J,2,FALSE)</f>
        <v>Normal Weight</v>
      </c>
      <c r="E1323">
        <f>VLOOKUP($A1323,'Medical Examinations'!$A:$J,4,FALSE)</f>
        <v>4.2300000000000004</v>
      </c>
      <c r="F1323" t="str">
        <f>VLOOKUP($A1323,'Medical Examinations'!$A:$J,6,FALSE)</f>
        <v>No</v>
      </c>
      <c r="G1323" t="str">
        <f>VLOOKUP($A1323,'Medical Examinations'!$A:$J,7,FALSE)</f>
        <v>No</v>
      </c>
      <c r="H1323" t="str">
        <f>VLOOKUP($A1323,'Medical Examinations'!$A:$J,8,FALSE)</f>
        <v>No</v>
      </c>
      <c r="I1323">
        <f>VLOOKUP($A1323,'Medical Examinations'!$A:$J,9,FALSE)</f>
        <v>0</v>
      </c>
      <c r="J1323" t="str">
        <f>VLOOKUP($A1323,'Medical Examinations'!$A:$J,10,FALSE)</f>
        <v>No</v>
      </c>
      <c r="K1323" t="str">
        <f>VLOOKUP($A1323,'Medical Examinations'!$A:$J,5,FALSE)</f>
        <v>Normal</v>
      </c>
      <c r="L1323">
        <f>VLOOKUP($A1324,'Medical Examinations'!$A:$J,3,FALSE)</f>
        <v>33.44</v>
      </c>
      <c r="M1323">
        <f>VLOOKUP($A1323,'Hospitalisation Details'!$A:$K,6,FALSE)</f>
        <v>8252.2800000000007</v>
      </c>
      <c r="N1323" s="11">
        <f>VLOOKUP($B1323,'Hospitalisation Details'!A1322:J3666,10,0)</f>
        <v>37242</v>
      </c>
      <c r="O1323" t="str">
        <f>VLOOKUP($B1323,'Hospitalisation Details'!A1322:J3666,8,0)</f>
        <v>tier - 1</v>
      </c>
      <c r="P1323" t="str">
        <f>VLOOKUP($B1323,'Hospitalisation Details'!A1322:J3666,7,0)</f>
        <v>tier - 3</v>
      </c>
      <c r="Q1323" t="str">
        <f>VLOOKUP($B1323,'Hospitalisation Details'!A1322:J3666,9,0)</f>
        <v>R1026</v>
      </c>
      <c r="R1323">
        <f>VLOOKUP($B1323,'Hospitalisation Details'!A1322:K3666,11,0)</f>
        <v>21</v>
      </c>
    </row>
    <row r="1324" spans="1:18" x14ac:dyDescent="0.35">
      <c r="A1324" t="s">
        <v>1048</v>
      </c>
      <c r="B1324" t="s">
        <v>1355</v>
      </c>
      <c r="C1324" t="str">
        <f>VLOOKUP($A1324,'Customer Names'!$A:$E,4,FALSE)</f>
        <v>Buzunesh</v>
      </c>
      <c r="D1324" t="str">
        <f>VLOOKUP($A1324,'Medical Examinations'!$A:$J,2,FALSE)</f>
        <v>Obesity</v>
      </c>
      <c r="E1324">
        <f>VLOOKUP($A1324,'Medical Examinations'!$A:$J,4,FALSE)</f>
        <v>4.72</v>
      </c>
      <c r="F1324" t="str">
        <f>VLOOKUP($A1324,'Medical Examinations'!$A:$J,6,FALSE)</f>
        <v>yes</v>
      </c>
      <c r="G1324" t="str">
        <f>VLOOKUP($A1324,'Medical Examinations'!$A:$J,7,FALSE)</f>
        <v>No</v>
      </c>
      <c r="H1324" t="str">
        <f>VLOOKUP($A1324,'Medical Examinations'!$A:$J,8,FALSE)</f>
        <v>No</v>
      </c>
      <c r="I1324">
        <f>VLOOKUP($A1324,'Medical Examinations'!$A:$J,9,FALSE)</f>
        <v>0</v>
      </c>
      <c r="J1324" t="str">
        <f>VLOOKUP($A1324,'Medical Examinations'!$A:$J,10,FALSE)</f>
        <v>No</v>
      </c>
      <c r="K1324" t="str">
        <f>VLOOKUP($A1324,'Medical Examinations'!$A:$J,5,FALSE)</f>
        <v>Normal</v>
      </c>
      <c r="L1324">
        <f>VLOOKUP($A1325,'Medical Examinations'!$A:$J,3,FALSE)</f>
        <v>28.05</v>
      </c>
      <c r="M1324">
        <f>VLOOKUP($A1324,'Hospitalisation Details'!$A:$K,6,FALSE)</f>
        <v>8240.59</v>
      </c>
      <c r="N1324" s="11">
        <f>VLOOKUP($B1324,'Hospitalisation Details'!A1323:J3667,10,0)</f>
        <v>36787</v>
      </c>
      <c r="O1324" t="str">
        <f>VLOOKUP($B1324,'Hospitalisation Details'!A1323:J3667,8,0)</f>
        <v>tier - 1</v>
      </c>
      <c r="P1324" t="str">
        <f>VLOOKUP($B1324,'Hospitalisation Details'!A1323:J3667,7,0)</f>
        <v>tier - 3</v>
      </c>
      <c r="Q1324" t="str">
        <f>VLOOKUP($B1324,'Hospitalisation Details'!A1323:J3667,9,0)</f>
        <v>R1011</v>
      </c>
      <c r="R1324">
        <f>VLOOKUP($B1324,'Hospitalisation Details'!A1323:K3667,11,0)</f>
        <v>22</v>
      </c>
    </row>
    <row r="1325" spans="1:18" x14ac:dyDescent="0.35">
      <c r="A1325" t="s">
        <v>1047</v>
      </c>
      <c r="B1325" t="s">
        <v>1356</v>
      </c>
      <c r="C1325" t="str">
        <f>VLOOKUP($A1325,'Customer Names'!$A:$E,4,FALSE)</f>
        <v>Mirte</v>
      </c>
      <c r="D1325" t="str">
        <f>VLOOKUP($A1325,'Medical Examinations'!$A:$J,2,FALSE)</f>
        <v>Overweight</v>
      </c>
      <c r="E1325">
        <f>VLOOKUP($A1325,'Medical Examinations'!$A:$J,4,FALSE)</f>
        <v>5.63</v>
      </c>
      <c r="F1325" t="str">
        <f>VLOOKUP($A1325,'Medical Examinations'!$A:$J,6,FALSE)</f>
        <v>yes</v>
      </c>
      <c r="G1325" t="str">
        <f>VLOOKUP($A1325,'Medical Examinations'!$A:$J,7,FALSE)</f>
        <v>No</v>
      </c>
      <c r="H1325" t="str">
        <f>VLOOKUP($A1325,'Medical Examinations'!$A:$J,8,FALSE)</f>
        <v>No</v>
      </c>
      <c r="I1325">
        <f>VLOOKUP($A1325,'Medical Examinations'!$A:$J,9,FALSE)</f>
        <v>0</v>
      </c>
      <c r="J1325" t="str">
        <f>VLOOKUP($A1325,'Medical Examinations'!$A:$J,10,FALSE)</f>
        <v>No</v>
      </c>
      <c r="K1325" t="str">
        <f>VLOOKUP($A1325,'Medical Examinations'!$A:$J,5,FALSE)</f>
        <v>Normal</v>
      </c>
      <c r="L1325">
        <f>VLOOKUP($A1326,'Medical Examinations'!$A:$J,3,FALSE)</f>
        <v>27.72</v>
      </c>
      <c r="M1325">
        <f>VLOOKUP($A1325,'Hospitalisation Details'!$A:$K,6,FALSE)</f>
        <v>8233.1</v>
      </c>
      <c r="N1325" s="11">
        <f>VLOOKUP($B1325,'Hospitalisation Details'!A1324:J3668,10,0)</f>
        <v>26246</v>
      </c>
      <c r="O1325" t="str">
        <f>VLOOKUP($B1325,'Hospitalisation Details'!A1324:J3668,8,0)</f>
        <v>tier - 2</v>
      </c>
      <c r="P1325" t="str">
        <f>VLOOKUP($B1325,'Hospitalisation Details'!A1324:J3668,7,0)</f>
        <v>tier - 3</v>
      </c>
      <c r="Q1325" t="str">
        <f>VLOOKUP($B1325,'Hospitalisation Details'!A1324:J3668,9,0)</f>
        <v>R1012</v>
      </c>
      <c r="R1325">
        <f>VLOOKUP($B1325,'Hospitalisation Details'!A1324:K3668,11,0)</f>
        <v>51</v>
      </c>
    </row>
    <row r="1326" spans="1:18" x14ac:dyDescent="0.35">
      <c r="A1326" t="s">
        <v>1046</v>
      </c>
      <c r="B1326" t="s">
        <v>1357</v>
      </c>
      <c r="C1326" t="str">
        <f>VLOOKUP($A1326,'Customer Names'!$A:$E,4,FALSE)</f>
        <v>Megan</v>
      </c>
      <c r="D1326" t="str">
        <f>VLOOKUP($A1326,'Medical Examinations'!$A:$J,2,FALSE)</f>
        <v>Overweight</v>
      </c>
      <c r="E1326">
        <f>VLOOKUP($A1326,'Medical Examinations'!$A:$J,4,FALSE)</f>
        <v>5.83</v>
      </c>
      <c r="F1326" t="str">
        <f>VLOOKUP($A1326,'Medical Examinations'!$A:$J,6,FALSE)</f>
        <v>yes</v>
      </c>
      <c r="G1326" t="str">
        <f>VLOOKUP($A1326,'Medical Examinations'!$A:$J,7,FALSE)</f>
        <v>No</v>
      </c>
      <c r="H1326" t="str">
        <f>VLOOKUP($A1326,'Medical Examinations'!$A:$J,8,FALSE)</f>
        <v>No</v>
      </c>
      <c r="I1326">
        <f>VLOOKUP($A1326,'Medical Examinations'!$A:$J,9,FALSE)</f>
        <v>0</v>
      </c>
      <c r="J1326" t="str">
        <f>VLOOKUP($A1326,'Medical Examinations'!$A:$J,10,FALSE)</f>
        <v>No</v>
      </c>
      <c r="K1326" t="str">
        <f>VLOOKUP($A1326,'Medical Examinations'!$A:$J,5,FALSE)</f>
        <v>Prediabetes</v>
      </c>
      <c r="L1326">
        <f>VLOOKUP($A1327,'Medical Examinations'!$A:$J,3,FALSE)</f>
        <v>29.81</v>
      </c>
      <c r="M1326">
        <f>VLOOKUP($A1326,'Hospitalisation Details'!$A:$K,6,FALSE)</f>
        <v>8232.64</v>
      </c>
      <c r="N1326" s="11">
        <f>VLOOKUP($B1326,'Hospitalisation Details'!A1325:J3669,10,0)</f>
        <v>24418</v>
      </c>
      <c r="O1326" t="str">
        <f>VLOOKUP($B1326,'Hospitalisation Details'!A1325:J3669,8,0)</f>
        <v>tier - 3</v>
      </c>
      <c r="P1326" t="str">
        <f>VLOOKUP($B1326,'Hospitalisation Details'!A1325:J3669,7,0)</f>
        <v>tier - 3</v>
      </c>
      <c r="Q1326" t="str">
        <f>VLOOKUP($B1326,'Hospitalisation Details'!A1325:J3669,9,0)</f>
        <v>R1011</v>
      </c>
      <c r="R1326">
        <f>VLOOKUP($B1326,'Hospitalisation Details'!A1325:K3669,11,0)</f>
        <v>56</v>
      </c>
    </row>
    <row r="1327" spans="1:18" x14ac:dyDescent="0.35">
      <c r="A1327" t="s">
        <v>1045</v>
      </c>
      <c r="B1327" t="s">
        <v>1358</v>
      </c>
      <c r="C1327" t="str">
        <f>VLOOKUP($A1327,'Customer Names'!$A:$E,4,FALSE)</f>
        <v>Kerry A.</v>
      </c>
      <c r="D1327" t="str">
        <f>VLOOKUP($A1327,'Medical Examinations'!$A:$J,2,FALSE)</f>
        <v>Overweight</v>
      </c>
      <c r="E1327">
        <f>VLOOKUP($A1327,'Medical Examinations'!$A:$J,4,FALSE)</f>
        <v>9.23</v>
      </c>
      <c r="F1327" t="str">
        <f>VLOOKUP($A1327,'Medical Examinations'!$A:$J,6,FALSE)</f>
        <v>No</v>
      </c>
      <c r="G1327" t="str">
        <f>VLOOKUP($A1327,'Medical Examinations'!$A:$J,7,FALSE)</f>
        <v>No</v>
      </c>
      <c r="H1327" t="str">
        <f>VLOOKUP($A1327,'Medical Examinations'!$A:$J,8,FALSE)</f>
        <v>No</v>
      </c>
      <c r="I1327">
        <f>VLOOKUP($A1327,'Medical Examinations'!$A:$J,9,FALSE)</f>
        <v>0</v>
      </c>
      <c r="J1327" t="str">
        <f>VLOOKUP($A1327,'Medical Examinations'!$A:$J,10,FALSE)</f>
        <v>No</v>
      </c>
      <c r="K1327" t="str">
        <f>VLOOKUP($A1327,'Medical Examinations'!$A:$J,5,FALSE)</f>
        <v>Diabetes</v>
      </c>
      <c r="L1327">
        <f>VLOOKUP($A1328,'Medical Examinations'!$A:$J,3,FALSE)</f>
        <v>23.98</v>
      </c>
      <c r="M1327">
        <f>VLOOKUP($A1327,'Hospitalisation Details'!$A:$K,6,FALSE)</f>
        <v>8219.2000000000007</v>
      </c>
      <c r="N1327" s="11">
        <f>VLOOKUP($B1327,'Hospitalisation Details'!A1326:J3670,10,0)</f>
        <v>24431</v>
      </c>
      <c r="O1327" t="str">
        <f>VLOOKUP($B1327,'Hospitalisation Details'!A1326:J3670,8,0)</f>
        <v>tier - 3</v>
      </c>
      <c r="P1327" t="str">
        <f>VLOOKUP($B1327,'Hospitalisation Details'!A1326:J3670,7,0)</f>
        <v>tier - 3</v>
      </c>
      <c r="Q1327" t="str">
        <f>VLOOKUP($B1327,'Hospitalisation Details'!A1326:J3670,9,0)</f>
        <v>R1011</v>
      </c>
      <c r="R1327">
        <f>VLOOKUP($B1327,'Hospitalisation Details'!A1326:K3670,11,0)</f>
        <v>56</v>
      </c>
    </row>
    <row r="1328" spans="1:18" x14ac:dyDescent="0.35">
      <c r="A1328" t="s">
        <v>1044</v>
      </c>
      <c r="B1328" t="s">
        <v>1359</v>
      </c>
      <c r="C1328" t="str">
        <f>VLOOKUP($A1328,'Customer Names'!$A:$E,4,FALSE)</f>
        <v>Kristin</v>
      </c>
      <c r="D1328" t="str">
        <f>VLOOKUP($A1328,'Medical Examinations'!$A:$J,2,FALSE)</f>
        <v>Normal Weight</v>
      </c>
      <c r="E1328">
        <f>VLOOKUP($A1328,'Medical Examinations'!$A:$J,4,FALSE)</f>
        <v>9.89</v>
      </c>
      <c r="F1328" t="str">
        <f>VLOOKUP($A1328,'Medical Examinations'!$A:$J,6,FALSE)</f>
        <v>No</v>
      </c>
      <c r="G1328" t="str">
        <f>VLOOKUP($A1328,'Medical Examinations'!$A:$J,7,FALSE)</f>
        <v>No</v>
      </c>
      <c r="H1328" t="str">
        <f>VLOOKUP($A1328,'Medical Examinations'!$A:$J,8,FALSE)</f>
        <v>No</v>
      </c>
      <c r="I1328">
        <f>VLOOKUP($A1328,'Medical Examinations'!$A:$J,9,FALSE)</f>
        <v>0</v>
      </c>
      <c r="J1328" t="str">
        <f>VLOOKUP($A1328,'Medical Examinations'!$A:$J,10,FALSE)</f>
        <v>No</v>
      </c>
      <c r="K1328" t="str">
        <f>VLOOKUP($A1328,'Medical Examinations'!$A:$J,5,FALSE)</f>
        <v>Diabetes</v>
      </c>
      <c r="L1328">
        <f>VLOOKUP($A1329,'Medical Examinations'!$A:$J,3,FALSE)</f>
        <v>17.34</v>
      </c>
      <c r="M1328">
        <f>VLOOKUP($A1328,'Hospitalisation Details'!$A:$K,6,FALSE)</f>
        <v>8211.1</v>
      </c>
      <c r="N1328" s="11">
        <f>VLOOKUP($B1328,'Hospitalisation Details'!A1327:J3671,10,0)</f>
        <v>24719</v>
      </c>
      <c r="O1328" t="str">
        <f>VLOOKUP($B1328,'Hospitalisation Details'!A1327:J3671,8,0)</f>
        <v>tier - 2</v>
      </c>
      <c r="P1328" t="str">
        <f>VLOOKUP($B1328,'Hospitalisation Details'!A1327:J3671,7,0)</f>
        <v>tier - 3</v>
      </c>
      <c r="Q1328" t="str">
        <f>VLOOKUP($B1328,'Hospitalisation Details'!A1327:J3671,9,0)</f>
        <v>R1012</v>
      </c>
      <c r="R1328">
        <f>VLOOKUP($B1328,'Hospitalisation Details'!A1327:K3671,11,0)</f>
        <v>55</v>
      </c>
    </row>
    <row r="1329" spans="1:18" x14ac:dyDescent="0.35">
      <c r="A1329" t="s">
        <v>1043</v>
      </c>
      <c r="B1329" t="s">
        <v>1360</v>
      </c>
      <c r="C1329" t="str">
        <f>VLOOKUP($A1329,'Customer Names'!$A:$E,4,FALSE)</f>
        <v>Christopher R.</v>
      </c>
      <c r="D1329" t="str">
        <f>VLOOKUP($A1329,'Medical Examinations'!$A:$J,2,FALSE)</f>
        <v>Underweight</v>
      </c>
      <c r="E1329">
        <f>VLOOKUP($A1329,'Medical Examinations'!$A:$J,4,FALSE)</f>
        <v>12</v>
      </c>
      <c r="F1329" t="str">
        <f>VLOOKUP($A1329,'Medical Examinations'!$A:$J,6,FALSE)</f>
        <v>No</v>
      </c>
      <c r="G1329" t="str">
        <f>VLOOKUP($A1329,'Medical Examinations'!$A:$J,7,FALSE)</f>
        <v>No</v>
      </c>
      <c r="H1329" t="str">
        <f>VLOOKUP($A1329,'Medical Examinations'!$A:$J,8,FALSE)</f>
        <v>No</v>
      </c>
      <c r="I1329">
        <f>VLOOKUP($A1329,'Medical Examinations'!$A:$J,9,FALSE)</f>
        <v>0</v>
      </c>
      <c r="J1329" t="str">
        <f>VLOOKUP($A1329,'Medical Examinations'!$A:$J,10,FALSE)</f>
        <v>No</v>
      </c>
      <c r="K1329" t="str">
        <f>VLOOKUP($A1329,'Medical Examinations'!$A:$J,5,FALSE)</f>
        <v>Diabetes</v>
      </c>
      <c r="L1329">
        <f>VLOOKUP($A1330,'Medical Examinations'!$A:$J,3,FALSE)</f>
        <v>40.39</v>
      </c>
      <c r="M1329">
        <f>VLOOKUP($A1329,'Hospitalisation Details'!$A:$K,6,FALSE)</f>
        <v>8188.12</v>
      </c>
      <c r="N1329" s="11">
        <f>VLOOKUP($B1329,'Hospitalisation Details'!A1328:J3672,10,0)</f>
        <v>26579</v>
      </c>
      <c r="O1329" t="str">
        <f>VLOOKUP($B1329,'Hospitalisation Details'!A1328:J3672,8,0)</f>
        <v>tier - 2</v>
      </c>
      <c r="P1329" t="str">
        <f>VLOOKUP($B1329,'Hospitalisation Details'!A1328:J3672,7,0)</f>
        <v>tier - 3</v>
      </c>
      <c r="Q1329" t="str">
        <f>VLOOKUP($B1329,'Hospitalisation Details'!A1328:J3672,9,0)</f>
        <v>R1012</v>
      </c>
      <c r="R1329">
        <f>VLOOKUP($B1329,'Hospitalisation Details'!A1328:K3672,11,0)</f>
        <v>50</v>
      </c>
    </row>
    <row r="1330" spans="1:18" x14ac:dyDescent="0.35">
      <c r="A1330" t="s">
        <v>1042</v>
      </c>
      <c r="B1330" t="s">
        <v>1361</v>
      </c>
      <c r="C1330" t="str">
        <f>VLOOKUP($A1330,'Customer Names'!$A:$E,4,FALSE)</f>
        <v>Elizabeth A</v>
      </c>
      <c r="D1330" t="str">
        <f>VLOOKUP($A1330,'Medical Examinations'!$A:$J,2,FALSE)</f>
        <v>Obesity</v>
      </c>
      <c r="E1330">
        <f>VLOOKUP($A1330,'Medical Examinations'!$A:$J,4,FALSE)</f>
        <v>4.24</v>
      </c>
      <c r="F1330" t="str">
        <f>VLOOKUP($A1330,'Medical Examinations'!$A:$J,6,FALSE)</f>
        <v>yes</v>
      </c>
      <c r="G1330" t="str">
        <f>VLOOKUP($A1330,'Medical Examinations'!$A:$J,7,FALSE)</f>
        <v>No</v>
      </c>
      <c r="H1330" t="str">
        <f>VLOOKUP($A1330,'Medical Examinations'!$A:$J,8,FALSE)</f>
        <v>Yes</v>
      </c>
      <c r="I1330">
        <f>VLOOKUP($A1330,'Medical Examinations'!$A:$J,9,FALSE)</f>
        <v>1</v>
      </c>
      <c r="J1330" t="str">
        <f>VLOOKUP($A1330,'Medical Examinations'!$A:$J,10,FALSE)</f>
        <v>No</v>
      </c>
      <c r="K1330" t="str">
        <f>VLOOKUP($A1330,'Medical Examinations'!$A:$J,5,FALSE)</f>
        <v>Normal</v>
      </c>
      <c r="L1330">
        <f>VLOOKUP($A1331,'Medical Examinations'!$A:$J,3,FALSE)</f>
        <v>25.96</v>
      </c>
      <c r="M1330">
        <f>VLOOKUP($A1330,'Hospitalisation Details'!$A:$K,6,FALSE)</f>
        <v>8182.89</v>
      </c>
      <c r="N1330" s="11">
        <f>VLOOKUP($B1330,'Hospitalisation Details'!A1329:J3673,10,0)</f>
        <v>24359</v>
      </c>
      <c r="O1330" t="str">
        <f>VLOOKUP($B1330,'Hospitalisation Details'!A1329:J3673,8,0)</f>
        <v>tier - 1</v>
      </c>
      <c r="P1330" t="str">
        <f>VLOOKUP($B1330,'Hospitalisation Details'!A1329:J3673,7,0)</f>
        <v>tier - 3</v>
      </c>
      <c r="Q1330" t="str">
        <f>VLOOKUP($B1330,'Hospitalisation Details'!A1329:J3673,9,0)</f>
        <v>R1013</v>
      </c>
      <c r="R1330">
        <f>VLOOKUP($B1330,'Hospitalisation Details'!A1329:K3673,11,0)</f>
        <v>56</v>
      </c>
    </row>
    <row r="1331" spans="1:18" x14ac:dyDescent="0.35">
      <c r="A1331" t="s">
        <v>1041</v>
      </c>
      <c r="B1331" t="s">
        <v>1362</v>
      </c>
      <c r="C1331" t="str">
        <f>VLOOKUP($A1331,'Customer Names'!$A:$E,4,FALSE)</f>
        <v>Andrew</v>
      </c>
      <c r="D1331" t="str">
        <f>VLOOKUP($A1331,'Medical Examinations'!$A:$J,2,FALSE)</f>
        <v>Overweight</v>
      </c>
      <c r="E1331">
        <f>VLOOKUP($A1331,'Medical Examinations'!$A:$J,4,FALSE)</f>
        <v>4.68</v>
      </c>
      <c r="F1331" t="str">
        <f>VLOOKUP($A1331,'Medical Examinations'!$A:$J,6,FALSE)</f>
        <v>yes</v>
      </c>
      <c r="G1331" t="str">
        <f>VLOOKUP($A1331,'Medical Examinations'!$A:$J,7,FALSE)</f>
        <v>No</v>
      </c>
      <c r="H1331" t="str">
        <f>VLOOKUP($A1331,'Medical Examinations'!$A:$J,8,FALSE)</f>
        <v>Yes</v>
      </c>
      <c r="I1331">
        <f>VLOOKUP($A1331,'Medical Examinations'!$A:$J,9,FALSE)</f>
        <v>1</v>
      </c>
      <c r="J1331" t="str">
        <f>VLOOKUP($A1331,'Medical Examinations'!$A:$J,10,FALSE)</f>
        <v>No</v>
      </c>
      <c r="K1331" t="str">
        <f>VLOOKUP($A1331,'Medical Examinations'!$A:$J,5,FALSE)</f>
        <v>Normal</v>
      </c>
      <c r="L1331">
        <f>VLOOKUP($A1332,'Medical Examinations'!$A:$J,3,FALSE)</f>
        <v>17.68</v>
      </c>
      <c r="M1331">
        <f>VLOOKUP($A1331,'Hospitalisation Details'!$A:$K,6,FALSE)</f>
        <v>8179.51</v>
      </c>
      <c r="N1331" s="11">
        <f>VLOOKUP($B1331,'Hospitalisation Details'!A1330:J3674,10,0)</f>
        <v>24293</v>
      </c>
      <c r="O1331" t="str">
        <f>VLOOKUP($B1331,'Hospitalisation Details'!A1330:J3674,8,0)</f>
        <v>tier - 1</v>
      </c>
      <c r="P1331" t="str">
        <f>VLOOKUP($B1331,'Hospitalisation Details'!A1330:J3674,7,0)</f>
        <v>tier - 3</v>
      </c>
      <c r="Q1331" t="str">
        <f>VLOOKUP($B1331,'Hospitalisation Details'!A1330:J3674,9,0)</f>
        <v>R1013</v>
      </c>
      <c r="R1331">
        <f>VLOOKUP($B1331,'Hospitalisation Details'!A1330:K3674,11,0)</f>
        <v>56</v>
      </c>
    </row>
    <row r="1332" spans="1:18" x14ac:dyDescent="0.35">
      <c r="A1332" t="s">
        <v>1040</v>
      </c>
      <c r="B1332" t="s">
        <v>1363</v>
      </c>
      <c r="C1332" t="str">
        <f>VLOOKUP($A1332,'Customer Names'!$A:$E,4,FALSE)</f>
        <v>Dawn M.</v>
      </c>
      <c r="D1332" t="str">
        <f>VLOOKUP($A1332,'Medical Examinations'!$A:$J,2,FALSE)</f>
        <v>Underweight</v>
      </c>
      <c r="E1332">
        <f>VLOOKUP($A1332,'Medical Examinations'!$A:$J,4,FALSE)</f>
        <v>8.57</v>
      </c>
      <c r="F1332" t="str">
        <f>VLOOKUP($A1332,'Medical Examinations'!$A:$J,6,FALSE)</f>
        <v>yes</v>
      </c>
      <c r="G1332" t="str">
        <f>VLOOKUP($A1332,'Medical Examinations'!$A:$J,7,FALSE)</f>
        <v>No</v>
      </c>
      <c r="H1332" t="str">
        <f>VLOOKUP($A1332,'Medical Examinations'!$A:$J,8,FALSE)</f>
        <v>Yes</v>
      </c>
      <c r="I1332">
        <f>VLOOKUP($A1332,'Medical Examinations'!$A:$J,9,FALSE)</f>
        <v>1</v>
      </c>
      <c r="J1332" t="str">
        <f>VLOOKUP($A1332,'Medical Examinations'!$A:$J,10,FALSE)</f>
        <v>No</v>
      </c>
      <c r="K1332" t="str">
        <f>VLOOKUP($A1332,'Medical Examinations'!$A:$J,5,FALSE)</f>
        <v>Diabetes</v>
      </c>
      <c r="L1332">
        <f>VLOOKUP($A1333,'Medical Examinations'!$A:$J,3,FALSE)</f>
        <v>30.875</v>
      </c>
      <c r="M1332">
        <f>VLOOKUP($A1332,'Hospitalisation Details'!$A:$K,6,FALSE)</f>
        <v>8177.9</v>
      </c>
      <c r="N1332" s="11">
        <f>VLOOKUP($B1332,'Hospitalisation Details'!A1331:J3675,10,0)</f>
        <v>29453</v>
      </c>
      <c r="O1332" t="str">
        <f>VLOOKUP($B1332,'Hospitalisation Details'!A1331:J3675,8,0)</f>
        <v>tier - 1</v>
      </c>
      <c r="P1332" t="str">
        <f>VLOOKUP($B1332,'Hospitalisation Details'!A1331:J3675,7,0)</f>
        <v>tier - 3</v>
      </c>
      <c r="Q1332" t="str">
        <f>VLOOKUP($B1332,'Hospitalisation Details'!A1331:J3675,9,0)</f>
        <v>R1021</v>
      </c>
      <c r="R1332">
        <f>VLOOKUP($B1332,'Hospitalisation Details'!A1331:K3675,11,0)</f>
        <v>42</v>
      </c>
    </row>
    <row r="1333" spans="1:18" x14ac:dyDescent="0.35">
      <c r="A1333" t="s">
        <v>1039</v>
      </c>
      <c r="B1333" t="s">
        <v>1364</v>
      </c>
      <c r="C1333" t="str">
        <f>VLOOKUP($A1333,'Customer Names'!$A:$E,4,FALSE)</f>
        <v>Jonathan P</v>
      </c>
      <c r="D1333" t="str">
        <f>VLOOKUP($A1333,'Medical Examinations'!$A:$J,2,FALSE)</f>
        <v>Obesity</v>
      </c>
      <c r="E1333">
        <f>VLOOKUP($A1333,'Medical Examinations'!$A:$J,4,FALSE)</f>
        <v>4.0999999999999996</v>
      </c>
      <c r="F1333" t="str">
        <f>VLOOKUP($A1333,'Medical Examinations'!$A:$J,6,FALSE)</f>
        <v>No</v>
      </c>
      <c r="G1333" t="str">
        <f>VLOOKUP($A1333,'Medical Examinations'!$A:$J,7,FALSE)</f>
        <v>No</v>
      </c>
      <c r="H1333" t="str">
        <f>VLOOKUP($A1333,'Medical Examinations'!$A:$J,8,FALSE)</f>
        <v>No</v>
      </c>
      <c r="I1333">
        <f>VLOOKUP($A1333,'Medical Examinations'!$A:$J,9,FALSE)</f>
        <v>0</v>
      </c>
      <c r="J1333" t="str">
        <f>VLOOKUP($A1333,'Medical Examinations'!$A:$J,10,FALSE)</f>
        <v>No</v>
      </c>
      <c r="K1333" t="str">
        <f>VLOOKUP($A1333,'Medical Examinations'!$A:$J,5,FALSE)</f>
        <v>Normal</v>
      </c>
      <c r="L1333">
        <f>VLOOKUP($A1334,'Medical Examinations'!$A:$J,3,FALSE)</f>
        <v>30.81</v>
      </c>
      <c r="M1333">
        <f>VLOOKUP($A1333,'Hospitalisation Details'!$A:$K,6,FALSE)</f>
        <v>8162.72</v>
      </c>
      <c r="N1333" s="11">
        <f>VLOOKUP($B1333,'Hospitalisation Details'!A1332:J3676,10,0)</f>
        <v>25537</v>
      </c>
      <c r="O1333" t="str">
        <f>VLOOKUP($B1333,'Hospitalisation Details'!A1332:J3676,8,0)</f>
        <v>tier - 2</v>
      </c>
      <c r="P1333" t="str">
        <f>VLOOKUP($B1333,'Hospitalisation Details'!A1332:J3676,7,0)</f>
        <v>tier - 3</v>
      </c>
      <c r="Q1333" t="str">
        <f>VLOOKUP($B1333,'Hospitalisation Details'!A1332:J3676,9,0)</f>
        <v>R1011</v>
      </c>
      <c r="R1333">
        <f>VLOOKUP($B1333,'Hospitalisation Details'!A1332:K3676,11,0)</f>
        <v>53</v>
      </c>
    </row>
    <row r="1334" spans="1:18" x14ac:dyDescent="0.35">
      <c r="A1334" t="s">
        <v>1038</v>
      </c>
      <c r="B1334" t="s">
        <v>1365</v>
      </c>
      <c r="C1334" t="str">
        <f>VLOOKUP($A1334,'Customer Names'!$A:$E,4,FALSE)</f>
        <v>Gina</v>
      </c>
      <c r="D1334" t="str">
        <f>VLOOKUP($A1334,'Medical Examinations'!$A:$J,2,FALSE)</f>
        <v>Obesity</v>
      </c>
      <c r="E1334">
        <f>VLOOKUP($A1334,'Medical Examinations'!$A:$J,4,FALSE)</f>
        <v>4.49</v>
      </c>
      <c r="F1334" t="str">
        <f>VLOOKUP($A1334,'Medical Examinations'!$A:$J,6,FALSE)</f>
        <v>No</v>
      </c>
      <c r="G1334" t="str">
        <f>VLOOKUP($A1334,'Medical Examinations'!$A:$J,7,FALSE)</f>
        <v>No</v>
      </c>
      <c r="H1334" t="str">
        <f>VLOOKUP($A1334,'Medical Examinations'!$A:$J,8,FALSE)</f>
        <v>No</v>
      </c>
      <c r="I1334">
        <f>VLOOKUP($A1334,'Medical Examinations'!$A:$J,9,FALSE)</f>
        <v>0</v>
      </c>
      <c r="J1334" t="str">
        <f>VLOOKUP($A1334,'Medical Examinations'!$A:$J,10,FALSE)</f>
        <v>No</v>
      </c>
      <c r="K1334" t="str">
        <f>VLOOKUP($A1334,'Medical Examinations'!$A:$J,5,FALSE)</f>
        <v>Normal</v>
      </c>
      <c r="L1334">
        <f>VLOOKUP($A1335,'Medical Examinations'!$A:$J,3,FALSE)</f>
        <v>36.85</v>
      </c>
      <c r="M1334">
        <f>VLOOKUP($A1334,'Hospitalisation Details'!$A:$K,6,FALSE)</f>
        <v>8157.92</v>
      </c>
      <c r="N1334" s="11">
        <f>VLOOKUP($B1334,'Hospitalisation Details'!A1333:J3677,10,0)</f>
        <v>25379</v>
      </c>
      <c r="O1334" t="str">
        <f>VLOOKUP($B1334,'Hospitalisation Details'!A1333:J3677,8,0)</f>
        <v>tier - 2</v>
      </c>
      <c r="P1334" t="str">
        <f>VLOOKUP($B1334,'Hospitalisation Details'!A1333:J3677,7,0)</f>
        <v>tier - 3</v>
      </c>
      <c r="Q1334" t="str">
        <f>VLOOKUP($B1334,'Hospitalisation Details'!A1333:J3677,9,0)</f>
        <v>R1011</v>
      </c>
      <c r="R1334">
        <f>VLOOKUP($B1334,'Hospitalisation Details'!A1333:K3677,11,0)</f>
        <v>53</v>
      </c>
    </row>
    <row r="1335" spans="1:18" x14ac:dyDescent="0.35">
      <c r="A1335" t="s">
        <v>1037</v>
      </c>
      <c r="B1335" t="s">
        <v>1366</v>
      </c>
      <c r="C1335" t="str">
        <f>VLOOKUP($A1335,'Customer Names'!$A:$E,4,FALSE)</f>
        <v>Dino</v>
      </c>
      <c r="D1335" t="str">
        <f>VLOOKUP($A1335,'Medical Examinations'!$A:$J,2,FALSE)</f>
        <v>Obesity</v>
      </c>
      <c r="E1335">
        <f>VLOOKUP($A1335,'Medical Examinations'!$A:$J,4,FALSE)</f>
        <v>8.8000000000000007</v>
      </c>
      <c r="F1335" t="str">
        <f>VLOOKUP($A1335,'Medical Examinations'!$A:$J,6,FALSE)</f>
        <v>No</v>
      </c>
      <c r="G1335" t="str">
        <f>VLOOKUP($A1335,'Medical Examinations'!$A:$J,7,FALSE)</f>
        <v>No</v>
      </c>
      <c r="H1335" t="str">
        <f>VLOOKUP($A1335,'Medical Examinations'!$A:$J,8,FALSE)</f>
        <v>No</v>
      </c>
      <c r="I1335">
        <f>VLOOKUP($A1335,'Medical Examinations'!$A:$J,9,FALSE)</f>
        <v>2</v>
      </c>
      <c r="J1335" t="str">
        <f>VLOOKUP($A1335,'Medical Examinations'!$A:$J,10,FALSE)</f>
        <v>No</v>
      </c>
      <c r="K1335" t="str">
        <f>VLOOKUP($A1335,'Medical Examinations'!$A:$J,5,FALSE)</f>
        <v>Diabetes</v>
      </c>
      <c r="L1335">
        <f>VLOOKUP($A1336,'Medical Examinations'!$A:$J,3,FALSE)</f>
        <v>35.86</v>
      </c>
      <c r="M1335">
        <f>VLOOKUP($A1335,'Hospitalisation Details'!$A:$K,6,FALSE)</f>
        <v>8125.78</v>
      </c>
      <c r="N1335" s="11">
        <f>VLOOKUP($B1335,'Hospitalisation Details'!A1334:J3678,10,0)</f>
        <v>24325</v>
      </c>
      <c r="O1335" t="str">
        <f>VLOOKUP($B1335,'Hospitalisation Details'!A1334:J3678,8,0)</f>
        <v>tier - 1</v>
      </c>
      <c r="P1335" t="str">
        <f>VLOOKUP($B1335,'Hospitalisation Details'!A1334:J3678,7,0)</f>
        <v>tier - 3</v>
      </c>
      <c r="Q1335" t="str">
        <f>VLOOKUP($B1335,'Hospitalisation Details'!A1334:J3678,9,0)</f>
        <v>R1016</v>
      </c>
      <c r="R1335">
        <f>VLOOKUP($B1335,'Hospitalisation Details'!A1334:K3678,11,0)</f>
        <v>56</v>
      </c>
    </row>
    <row r="1336" spans="1:18" x14ac:dyDescent="0.35">
      <c r="A1336" t="s">
        <v>1036</v>
      </c>
      <c r="B1336" t="s">
        <v>1367</v>
      </c>
      <c r="C1336" t="str">
        <f>VLOOKUP($A1336,'Customer Names'!$A:$E,4,FALSE)</f>
        <v>Jan</v>
      </c>
      <c r="D1336" t="str">
        <f>VLOOKUP($A1336,'Medical Examinations'!$A:$J,2,FALSE)</f>
        <v>Obesity</v>
      </c>
      <c r="E1336">
        <f>VLOOKUP($A1336,'Medical Examinations'!$A:$J,4,FALSE)</f>
        <v>7.93</v>
      </c>
      <c r="F1336" t="str">
        <f>VLOOKUP($A1336,'Medical Examinations'!$A:$J,6,FALSE)</f>
        <v>No</v>
      </c>
      <c r="G1336" t="str">
        <f>VLOOKUP($A1336,'Medical Examinations'!$A:$J,7,FALSE)</f>
        <v>No</v>
      </c>
      <c r="H1336" t="str">
        <f>VLOOKUP($A1336,'Medical Examinations'!$A:$J,8,FALSE)</f>
        <v>No</v>
      </c>
      <c r="I1336">
        <f>VLOOKUP($A1336,'Medical Examinations'!$A:$J,9,FALSE)</f>
        <v>2</v>
      </c>
      <c r="J1336" t="str">
        <f>VLOOKUP($A1336,'Medical Examinations'!$A:$J,10,FALSE)</f>
        <v>No</v>
      </c>
      <c r="K1336" t="str">
        <f>VLOOKUP($A1336,'Medical Examinations'!$A:$J,5,FALSE)</f>
        <v>Diabetes</v>
      </c>
      <c r="L1336">
        <f>VLOOKUP($A1337,'Medical Examinations'!$A:$J,3,FALSE)</f>
        <v>30.3</v>
      </c>
      <c r="M1336">
        <f>VLOOKUP($A1336,'Hospitalisation Details'!$A:$K,6,FALSE)</f>
        <v>8124.41</v>
      </c>
      <c r="N1336" s="11">
        <f>VLOOKUP($B1336,'Hospitalisation Details'!A1335:J3679,10,0)</f>
        <v>26545</v>
      </c>
      <c r="O1336" t="str">
        <f>VLOOKUP($B1336,'Hospitalisation Details'!A1335:J3679,8,0)</f>
        <v>tier - 2</v>
      </c>
      <c r="P1336" t="str">
        <f>VLOOKUP($B1336,'Hospitalisation Details'!A1335:J3679,7,0)</f>
        <v>tier - 3</v>
      </c>
      <c r="Q1336" t="str">
        <f>VLOOKUP($B1336,'Hospitalisation Details'!A1335:J3679,9,0)</f>
        <v>R1021</v>
      </c>
      <c r="R1336">
        <f>VLOOKUP($B1336,'Hospitalisation Details'!A1335:K3679,11,0)</f>
        <v>50</v>
      </c>
    </row>
    <row r="1337" spans="1:18" x14ac:dyDescent="0.35">
      <c r="A1337" t="s">
        <v>1035</v>
      </c>
      <c r="B1337" t="s">
        <v>1368</v>
      </c>
      <c r="C1337" t="str">
        <f>VLOOKUP($A1337,'Customer Names'!$A:$E,4,FALSE)</f>
        <v>Jonathan E.</v>
      </c>
      <c r="D1337" t="str">
        <f>VLOOKUP($A1337,'Medical Examinations'!$A:$J,2,FALSE)</f>
        <v>Obesity</v>
      </c>
      <c r="E1337">
        <f>VLOOKUP($A1337,'Medical Examinations'!$A:$J,4,FALSE)</f>
        <v>9.4499999999999993</v>
      </c>
      <c r="F1337" t="str">
        <f>VLOOKUP($A1337,'Medical Examinations'!$A:$J,6,FALSE)</f>
        <v>No</v>
      </c>
      <c r="G1337" t="str">
        <f>VLOOKUP($A1337,'Medical Examinations'!$A:$J,7,FALSE)</f>
        <v>No</v>
      </c>
      <c r="H1337" t="str">
        <f>VLOOKUP($A1337,'Medical Examinations'!$A:$J,8,FALSE)</f>
        <v>No</v>
      </c>
      <c r="I1337">
        <f>VLOOKUP($A1337,'Medical Examinations'!$A:$J,9,FALSE)</f>
        <v>2</v>
      </c>
      <c r="J1337" t="str">
        <f>VLOOKUP($A1337,'Medical Examinations'!$A:$J,10,FALSE)</f>
        <v>No</v>
      </c>
      <c r="K1337" t="str">
        <f>VLOOKUP($A1337,'Medical Examinations'!$A:$J,5,FALSE)</f>
        <v>Diabetes</v>
      </c>
      <c r="L1337">
        <f>VLOOKUP($A1338,'Medical Examinations'!$A:$J,3,FALSE)</f>
        <v>32.015000000000001</v>
      </c>
      <c r="M1337">
        <f>VLOOKUP($A1337,'Hospitalisation Details'!$A:$K,6,FALSE)</f>
        <v>8116.68</v>
      </c>
      <c r="N1337" s="11">
        <f>VLOOKUP($B1337,'Hospitalisation Details'!A1336:J3680,10,0)</f>
        <v>25733</v>
      </c>
      <c r="O1337" t="str">
        <f>VLOOKUP($B1337,'Hospitalisation Details'!A1336:J3680,8,0)</f>
        <v>tier - 2</v>
      </c>
      <c r="P1337" t="str">
        <f>VLOOKUP($B1337,'Hospitalisation Details'!A1336:J3680,7,0)</f>
        <v>tier - 3</v>
      </c>
      <c r="Q1337" t="str">
        <f>VLOOKUP($B1337,'Hospitalisation Details'!A1336:J3680,9,0)</f>
        <v>R1012</v>
      </c>
      <c r="R1337">
        <f>VLOOKUP($B1337,'Hospitalisation Details'!A1336:K3680,11,0)</f>
        <v>52</v>
      </c>
    </row>
    <row r="1338" spans="1:18" x14ac:dyDescent="0.35">
      <c r="A1338" t="s">
        <v>1034</v>
      </c>
      <c r="B1338" t="s">
        <v>1369</v>
      </c>
      <c r="C1338" t="str">
        <f>VLOOKUP($A1338,'Customer Names'!$A:$E,4,FALSE)</f>
        <v>Mark A</v>
      </c>
      <c r="D1338" t="str">
        <f>VLOOKUP($A1338,'Medical Examinations'!$A:$J,2,FALSE)</f>
        <v>Obesity</v>
      </c>
      <c r="E1338">
        <f>VLOOKUP($A1338,'Medical Examinations'!$A:$J,4,FALSE)</f>
        <v>7.67</v>
      </c>
      <c r="F1338" t="str">
        <f>VLOOKUP($A1338,'Medical Examinations'!$A:$J,6,FALSE)</f>
        <v>No</v>
      </c>
      <c r="G1338" t="str">
        <f>VLOOKUP($A1338,'Medical Examinations'!$A:$J,7,FALSE)</f>
        <v>No</v>
      </c>
      <c r="H1338" t="str">
        <f>VLOOKUP($A1338,'Medical Examinations'!$A:$J,8,FALSE)</f>
        <v>No</v>
      </c>
      <c r="I1338">
        <f>VLOOKUP($A1338,'Medical Examinations'!$A:$J,9,FALSE)</f>
        <v>0</v>
      </c>
      <c r="J1338" t="str">
        <f>VLOOKUP($A1338,'Medical Examinations'!$A:$J,10,FALSE)</f>
        <v>No</v>
      </c>
      <c r="K1338" t="str">
        <f>VLOOKUP($A1338,'Medical Examinations'!$A:$J,5,FALSE)</f>
        <v>Diabetes</v>
      </c>
      <c r="L1338">
        <f>VLOOKUP($A1339,'Medical Examinations'!$A:$J,3,FALSE)</f>
        <v>25.06</v>
      </c>
      <c r="M1338">
        <f>VLOOKUP($A1338,'Hospitalisation Details'!$A:$K,6,FALSE)</f>
        <v>8116.27</v>
      </c>
      <c r="N1338" s="11">
        <f>VLOOKUP($B1338,'Hospitalisation Details'!A1337:J3681,10,0)</f>
        <v>27939</v>
      </c>
      <c r="O1338" t="str">
        <f>VLOOKUP($B1338,'Hospitalisation Details'!A1337:J3681,8,0)</f>
        <v>tier - 2</v>
      </c>
      <c r="P1338" t="str">
        <f>VLOOKUP($B1338,'Hospitalisation Details'!A1337:J3681,7,0)</f>
        <v>tier - 3</v>
      </c>
      <c r="Q1338" t="str">
        <f>VLOOKUP($B1338,'Hospitalisation Details'!A1337:J3681,9,0)</f>
        <v>R1025</v>
      </c>
      <c r="R1338">
        <f>VLOOKUP($B1338,'Hospitalisation Details'!A1337:K3681,11,0)</f>
        <v>46</v>
      </c>
    </row>
    <row r="1339" spans="1:18" x14ac:dyDescent="0.35">
      <c r="A1339" t="s">
        <v>1033</v>
      </c>
      <c r="B1339" t="s">
        <v>1370</v>
      </c>
      <c r="C1339" t="str">
        <f>VLOOKUP($A1339,'Customer Names'!$A:$E,4,FALSE)</f>
        <v>Mary</v>
      </c>
      <c r="D1339" t="str">
        <f>VLOOKUP($A1339,'Medical Examinations'!$A:$J,2,FALSE)</f>
        <v>Overweight</v>
      </c>
      <c r="E1339">
        <f>VLOOKUP($A1339,'Medical Examinations'!$A:$J,4,FALSE)</f>
        <v>10.53</v>
      </c>
      <c r="F1339" t="str">
        <f>VLOOKUP($A1339,'Medical Examinations'!$A:$J,6,FALSE)</f>
        <v>No</v>
      </c>
      <c r="G1339" t="str">
        <f>VLOOKUP($A1339,'Medical Examinations'!$A:$J,7,FALSE)</f>
        <v>No</v>
      </c>
      <c r="H1339" t="str">
        <f>VLOOKUP($A1339,'Medical Examinations'!$A:$J,8,FALSE)</f>
        <v>No</v>
      </c>
      <c r="I1339">
        <f>VLOOKUP($A1339,'Medical Examinations'!$A:$J,9,FALSE)</f>
        <v>2</v>
      </c>
      <c r="J1339" t="str">
        <f>VLOOKUP($A1339,'Medical Examinations'!$A:$J,10,FALSE)</f>
        <v>No</v>
      </c>
      <c r="K1339" t="str">
        <f>VLOOKUP($A1339,'Medical Examinations'!$A:$J,5,FALSE)</f>
        <v>Diabetes</v>
      </c>
      <c r="L1339">
        <f>VLOOKUP($A1340,'Medical Examinations'!$A:$J,3,FALSE)</f>
        <v>18.829999999999998</v>
      </c>
      <c r="M1339">
        <f>VLOOKUP($A1339,'Hospitalisation Details'!$A:$K,6,FALSE)</f>
        <v>8112.59</v>
      </c>
      <c r="N1339" s="11">
        <f>VLOOKUP($B1339,'Hospitalisation Details'!A1338:J3682,10,0)</f>
        <v>25567</v>
      </c>
      <c r="O1339" t="str">
        <f>VLOOKUP($B1339,'Hospitalisation Details'!A1338:J3682,8,0)</f>
        <v>tier - 1</v>
      </c>
      <c r="P1339" t="str">
        <f>VLOOKUP($B1339,'Hospitalisation Details'!A1338:J3682,7,0)</f>
        <v>tier - 3</v>
      </c>
      <c r="Q1339" t="str">
        <f>VLOOKUP($B1339,'Hospitalisation Details'!A1338:J3682,9,0)</f>
        <v>R1016</v>
      </c>
      <c r="R1339">
        <f>VLOOKUP($B1339,'Hospitalisation Details'!A1338:K3682,11,0)</f>
        <v>53</v>
      </c>
    </row>
    <row r="1340" spans="1:18" x14ac:dyDescent="0.35">
      <c r="A1340" t="s">
        <v>1032</v>
      </c>
      <c r="B1340" t="s">
        <v>1371</v>
      </c>
      <c r="C1340" t="str">
        <f>VLOOKUP($A1340,'Customer Names'!$A:$E,4,FALSE)</f>
        <v>Samuel</v>
      </c>
      <c r="D1340" t="str">
        <f>VLOOKUP($A1340,'Medical Examinations'!$A:$J,2,FALSE)</f>
        <v>Normal Weight</v>
      </c>
      <c r="E1340">
        <f>VLOOKUP($A1340,'Medical Examinations'!$A:$J,4,FALSE)</f>
        <v>10.08</v>
      </c>
      <c r="F1340" t="str">
        <f>VLOOKUP($A1340,'Medical Examinations'!$A:$J,6,FALSE)</f>
        <v>yes</v>
      </c>
      <c r="G1340" t="str">
        <f>VLOOKUP($A1340,'Medical Examinations'!$A:$J,7,FALSE)</f>
        <v>No</v>
      </c>
      <c r="H1340" t="str">
        <f>VLOOKUP($A1340,'Medical Examinations'!$A:$J,8,FALSE)</f>
        <v>No</v>
      </c>
      <c r="I1340">
        <f>VLOOKUP($A1340,'Medical Examinations'!$A:$J,9,FALSE)</f>
        <v>0</v>
      </c>
      <c r="J1340" t="str">
        <f>VLOOKUP($A1340,'Medical Examinations'!$A:$J,10,FALSE)</f>
        <v>No</v>
      </c>
      <c r="K1340" t="str">
        <f>VLOOKUP($A1340,'Medical Examinations'!$A:$J,5,FALSE)</f>
        <v>Diabetes</v>
      </c>
      <c r="L1340">
        <f>VLOOKUP($A1341,'Medical Examinations'!$A:$J,3,FALSE)</f>
        <v>47.52</v>
      </c>
      <c r="M1340">
        <f>VLOOKUP($A1340,'Hospitalisation Details'!$A:$K,6,FALSE)</f>
        <v>8091.3</v>
      </c>
      <c r="N1340" s="11">
        <f>VLOOKUP($B1340,'Hospitalisation Details'!A1339:J3683,10,0)</f>
        <v>32859</v>
      </c>
      <c r="O1340" t="str">
        <f>VLOOKUP($B1340,'Hospitalisation Details'!A1339:J3683,8,0)</f>
        <v>tier - 2</v>
      </c>
      <c r="P1340" t="str">
        <f>VLOOKUP($B1340,'Hospitalisation Details'!A1339:J3683,7,0)</f>
        <v>tier - 3</v>
      </c>
      <c r="Q1340" t="str">
        <f>VLOOKUP($B1340,'Hospitalisation Details'!A1339:J3683,9,0)</f>
        <v>R1026</v>
      </c>
      <c r="R1340">
        <f>VLOOKUP($B1340,'Hospitalisation Details'!A1339:K3683,11,0)</f>
        <v>33</v>
      </c>
    </row>
    <row r="1341" spans="1:18" x14ac:dyDescent="0.35">
      <c r="A1341" t="s">
        <v>1031</v>
      </c>
      <c r="B1341" t="s">
        <v>1372</v>
      </c>
      <c r="C1341" t="str">
        <f>VLOOKUP($A1341,'Customer Names'!$A:$E,4,FALSE)</f>
        <v>Stan J</v>
      </c>
      <c r="D1341" t="str">
        <f>VLOOKUP($A1341,'Medical Examinations'!$A:$J,2,FALSE)</f>
        <v>Obesity</v>
      </c>
      <c r="E1341">
        <f>VLOOKUP($A1341,'Medical Examinations'!$A:$J,4,FALSE)</f>
        <v>11.39</v>
      </c>
      <c r="F1341" t="str">
        <f>VLOOKUP($A1341,'Medical Examinations'!$A:$J,6,FALSE)</f>
        <v>yes</v>
      </c>
      <c r="G1341" t="str">
        <f>VLOOKUP($A1341,'Medical Examinations'!$A:$J,7,FALSE)</f>
        <v>No</v>
      </c>
      <c r="H1341" t="str">
        <f>VLOOKUP($A1341,'Medical Examinations'!$A:$J,8,FALSE)</f>
        <v>No</v>
      </c>
      <c r="I1341">
        <f>VLOOKUP($A1341,'Medical Examinations'!$A:$J,9,FALSE)</f>
        <v>1</v>
      </c>
      <c r="J1341" t="str">
        <f>VLOOKUP($A1341,'Medical Examinations'!$A:$J,10,FALSE)</f>
        <v>No</v>
      </c>
      <c r="K1341" t="str">
        <f>VLOOKUP($A1341,'Medical Examinations'!$A:$J,5,FALSE)</f>
        <v>Diabetes</v>
      </c>
      <c r="L1341">
        <f>VLOOKUP($A1342,'Medical Examinations'!$A:$J,3,FALSE)</f>
        <v>37.82</v>
      </c>
      <c r="M1341">
        <f>VLOOKUP($A1341,'Hospitalisation Details'!$A:$K,6,FALSE)</f>
        <v>8083.92</v>
      </c>
      <c r="N1341" s="11">
        <f>VLOOKUP($B1341,'Hospitalisation Details'!A1340:J3684,10,0)</f>
        <v>25435</v>
      </c>
      <c r="O1341" t="str">
        <f>VLOOKUP($B1341,'Hospitalisation Details'!A1340:J3684,8,0)</f>
        <v>tier - 1</v>
      </c>
      <c r="P1341" t="str">
        <f>VLOOKUP($B1341,'Hospitalisation Details'!A1340:J3684,7,0)</f>
        <v>tier - 3</v>
      </c>
      <c r="Q1341" t="str">
        <f>VLOOKUP($B1341,'Hospitalisation Details'!A1340:J3684,9,0)</f>
        <v>R1011</v>
      </c>
      <c r="R1341">
        <f>VLOOKUP($B1341,'Hospitalisation Details'!A1340:K3684,11,0)</f>
        <v>53</v>
      </c>
    </row>
    <row r="1342" spans="1:18" x14ac:dyDescent="0.35">
      <c r="A1342" t="s">
        <v>1030</v>
      </c>
      <c r="B1342" t="s">
        <v>1373</v>
      </c>
      <c r="C1342" t="str">
        <f>VLOOKUP($A1342,'Customer Names'!$A:$E,4,FALSE)</f>
        <v>Jessica L.</v>
      </c>
      <c r="D1342" t="str">
        <f>VLOOKUP($A1342,'Medical Examinations'!$A:$J,2,FALSE)</f>
        <v>Obesity</v>
      </c>
      <c r="E1342">
        <f>VLOOKUP($A1342,'Medical Examinations'!$A:$J,4,FALSE)</f>
        <v>6.36</v>
      </c>
      <c r="F1342" t="str">
        <f>VLOOKUP($A1342,'Medical Examinations'!$A:$J,6,FALSE)</f>
        <v>No</v>
      </c>
      <c r="G1342" t="str">
        <f>VLOOKUP($A1342,'Medical Examinations'!$A:$J,7,FALSE)</f>
        <v>No</v>
      </c>
      <c r="H1342" t="str">
        <f>VLOOKUP($A1342,'Medical Examinations'!$A:$J,8,FALSE)</f>
        <v>No</v>
      </c>
      <c r="I1342">
        <f>VLOOKUP($A1342,'Medical Examinations'!$A:$J,9,FALSE)</f>
        <v>0</v>
      </c>
      <c r="J1342" t="str">
        <f>VLOOKUP($A1342,'Medical Examinations'!$A:$J,10,FALSE)</f>
        <v>No</v>
      </c>
      <c r="K1342" t="str">
        <f>VLOOKUP($A1342,'Medical Examinations'!$A:$J,5,FALSE)</f>
        <v>Prediabetes</v>
      </c>
      <c r="L1342">
        <f>VLOOKUP($A1343,'Medical Examinations'!$A:$J,3,FALSE)</f>
        <v>44.16</v>
      </c>
      <c r="M1342">
        <f>VLOOKUP($A1342,'Hospitalisation Details'!$A:$K,6,FALSE)</f>
        <v>8081.74</v>
      </c>
      <c r="N1342" s="11">
        <f>VLOOKUP($B1342,'Hospitalisation Details'!A1341:J3685,10,0)</f>
        <v>29861</v>
      </c>
      <c r="O1342" t="str">
        <f>VLOOKUP($B1342,'Hospitalisation Details'!A1341:J3685,8,0)</f>
        <v>tier - 1</v>
      </c>
      <c r="P1342" t="str">
        <f>VLOOKUP($B1342,'Hospitalisation Details'!A1341:J3685,7,0)</f>
        <v>tier - 3</v>
      </c>
      <c r="Q1342" t="str">
        <f>VLOOKUP($B1342,'Hospitalisation Details'!A1341:J3685,9,0)</f>
        <v>R1026</v>
      </c>
      <c r="R1342">
        <f>VLOOKUP($B1342,'Hospitalisation Details'!A1341:K3685,11,0)</f>
        <v>41</v>
      </c>
    </row>
    <row r="1343" spans="1:18" x14ac:dyDescent="0.35">
      <c r="A1343" t="s">
        <v>1029</v>
      </c>
      <c r="B1343" t="s">
        <v>1374</v>
      </c>
      <c r="C1343" t="str">
        <f>VLOOKUP($A1343,'Customer Names'!$A:$E,4,FALSE)</f>
        <v>Krysta</v>
      </c>
      <c r="D1343" t="str">
        <f>VLOOKUP($A1343,'Medical Examinations'!$A:$J,2,FALSE)</f>
        <v>Obesity</v>
      </c>
      <c r="E1343">
        <f>VLOOKUP($A1343,'Medical Examinations'!$A:$J,4,FALSE)</f>
        <v>5.31</v>
      </c>
      <c r="F1343" t="str">
        <f>VLOOKUP($A1343,'Medical Examinations'!$A:$J,6,FALSE)</f>
        <v>yes</v>
      </c>
      <c r="G1343" t="str">
        <f>VLOOKUP($A1343,'Medical Examinations'!$A:$J,7,FALSE)</f>
        <v>No</v>
      </c>
      <c r="H1343" t="str">
        <f>VLOOKUP($A1343,'Medical Examinations'!$A:$J,8,FALSE)</f>
        <v>No</v>
      </c>
      <c r="I1343">
        <f>VLOOKUP($A1343,'Medical Examinations'!$A:$J,9,FALSE)</f>
        <v>0</v>
      </c>
      <c r="J1343" t="str">
        <f>VLOOKUP($A1343,'Medical Examinations'!$A:$J,10,FALSE)</f>
        <v>No</v>
      </c>
      <c r="K1343" t="str">
        <f>VLOOKUP($A1343,'Medical Examinations'!$A:$J,5,FALSE)</f>
        <v>Normal</v>
      </c>
      <c r="L1343">
        <f>VLOOKUP($A1344,'Medical Examinations'!$A:$J,3,FALSE)</f>
        <v>37.049999999999997</v>
      </c>
      <c r="M1343">
        <f>VLOOKUP($A1343,'Hospitalisation Details'!$A:$K,6,FALSE)</f>
        <v>8081.26</v>
      </c>
      <c r="N1343" s="11">
        <f>VLOOKUP($B1343,'Hospitalisation Details'!A1342:J3686,10,0)</f>
        <v>25487</v>
      </c>
      <c r="O1343" t="str">
        <f>VLOOKUP($B1343,'Hospitalisation Details'!A1342:J3686,8,0)</f>
        <v>tier - 2</v>
      </c>
      <c r="P1343" t="str">
        <f>VLOOKUP($B1343,'Hospitalisation Details'!A1342:J3686,7,0)</f>
        <v>tier - 3</v>
      </c>
      <c r="Q1343" t="str">
        <f>VLOOKUP($B1343,'Hospitalisation Details'!A1342:J3686,9,0)</f>
        <v>R1011</v>
      </c>
      <c r="R1343">
        <f>VLOOKUP($B1343,'Hospitalisation Details'!A1342:K3686,11,0)</f>
        <v>53</v>
      </c>
    </row>
    <row r="1344" spans="1:18" x14ac:dyDescent="0.35">
      <c r="A1344" t="s">
        <v>1028</v>
      </c>
      <c r="B1344" t="s">
        <v>1375</v>
      </c>
      <c r="C1344" t="str">
        <f>VLOOKUP($A1344,'Customer Names'!$A:$E,4,FALSE)</f>
        <v>Natascia</v>
      </c>
      <c r="D1344" t="str">
        <f>VLOOKUP($A1344,'Medical Examinations'!$A:$J,2,FALSE)</f>
        <v>Obesity</v>
      </c>
      <c r="E1344">
        <f>VLOOKUP($A1344,'Medical Examinations'!$A:$J,4,FALSE)</f>
        <v>4.74</v>
      </c>
      <c r="F1344" t="str">
        <f>VLOOKUP($A1344,'Medical Examinations'!$A:$J,6,FALSE)</f>
        <v>No</v>
      </c>
      <c r="G1344" t="str">
        <f>VLOOKUP($A1344,'Medical Examinations'!$A:$J,7,FALSE)</f>
        <v>No</v>
      </c>
      <c r="H1344" t="str">
        <f>VLOOKUP($A1344,'Medical Examinations'!$A:$J,8,FALSE)</f>
        <v>Yes</v>
      </c>
      <c r="I1344">
        <f>VLOOKUP($A1344,'Medical Examinations'!$A:$J,9,FALSE)</f>
        <v>1</v>
      </c>
      <c r="J1344" t="str">
        <f>VLOOKUP($A1344,'Medical Examinations'!$A:$J,10,FALSE)</f>
        <v>No</v>
      </c>
      <c r="K1344" t="str">
        <f>VLOOKUP($A1344,'Medical Examinations'!$A:$J,5,FALSE)</f>
        <v>Normal</v>
      </c>
      <c r="L1344">
        <f>VLOOKUP($A1345,'Medical Examinations'!$A:$J,3,FALSE)</f>
        <v>18.66</v>
      </c>
      <c r="M1344">
        <f>VLOOKUP($A1344,'Hospitalisation Details'!$A:$K,6,FALSE)</f>
        <v>8077.41</v>
      </c>
      <c r="N1344" s="11">
        <f>VLOOKUP($B1344,'Hospitalisation Details'!A1343:J3687,10,0)</f>
        <v>26293</v>
      </c>
      <c r="O1344" t="str">
        <f>VLOOKUP($B1344,'Hospitalisation Details'!A1343:J3687,8,0)</f>
        <v>tier - 1</v>
      </c>
      <c r="P1344" t="str">
        <f>VLOOKUP($B1344,'Hospitalisation Details'!A1343:J3687,7,0)</f>
        <v>tier - 3</v>
      </c>
      <c r="Q1344" t="str">
        <f>VLOOKUP($B1344,'Hospitalisation Details'!A1343:J3687,9,0)</f>
        <v>R1025</v>
      </c>
      <c r="R1344">
        <f>VLOOKUP($B1344,'Hospitalisation Details'!A1343:K3687,11,0)</f>
        <v>51</v>
      </c>
    </row>
    <row r="1345" spans="1:18" x14ac:dyDescent="0.35">
      <c r="A1345" t="s">
        <v>1027</v>
      </c>
      <c r="B1345" t="s">
        <v>1376</v>
      </c>
      <c r="C1345" t="str">
        <f>VLOOKUP($A1345,'Customer Names'!$A:$E,4,FALSE)</f>
        <v>Jenny</v>
      </c>
      <c r="D1345" t="str">
        <f>VLOOKUP($A1345,'Medical Examinations'!$A:$J,2,FALSE)</f>
        <v>Normal Weight</v>
      </c>
      <c r="E1345">
        <f>VLOOKUP($A1345,'Medical Examinations'!$A:$J,4,FALSE)</f>
        <v>11.35</v>
      </c>
      <c r="F1345" t="str">
        <f>VLOOKUP($A1345,'Medical Examinations'!$A:$J,6,FALSE)</f>
        <v>No</v>
      </c>
      <c r="G1345" t="str">
        <f>VLOOKUP($A1345,'Medical Examinations'!$A:$J,7,FALSE)</f>
        <v>No</v>
      </c>
      <c r="H1345" t="str">
        <f>VLOOKUP($A1345,'Medical Examinations'!$A:$J,8,FALSE)</f>
        <v>No</v>
      </c>
      <c r="I1345">
        <f>VLOOKUP($A1345,'Medical Examinations'!$A:$J,9,FALSE)</f>
        <v>0</v>
      </c>
      <c r="J1345" t="str">
        <f>VLOOKUP($A1345,'Medical Examinations'!$A:$J,10,FALSE)</f>
        <v>No</v>
      </c>
      <c r="K1345" t="str">
        <f>VLOOKUP($A1345,'Medical Examinations'!$A:$J,5,FALSE)</f>
        <v>Diabetes</v>
      </c>
      <c r="L1345">
        <f>VLOOKUP($A1346,'Medical Examinations'!$A:$J,3,FALSE)</f>
        <v>36.200000000000003</v>
      </c>
      <c r="M1345">
        <f>VLOOKUP($A1345,'Hospitalisation Details'!$A:$K,6,FALSE)</f>
        <v>8071.57</v>
      </c>
      <c r="N1345" s="11">
        <f>VLOOKUP($B1345,'Hospitalisation Details'!A1344:J3688,10,0)</f>
        <v>38264</v>
      </c>
      <c r="O1345" t="str">
        <f>VLOOKUP($B1345,'Hospitalisation Details'!A1344:J3688,8,0)</f>
        <v>tier - 2</v>
      </c>
      <c r="P1345" t="str">
        <f>VLOOKUP($B1345,'Hospitalisation Details'!A1344:J3688,7,0)</f>
        <v>tier - 3</v>
      </c>
      <c r="Q1345" t="str">
        <f>VLOOKUP($B1345,'Hospitalisation Details'!A1344:J3688,9,0)</f>
        <v>R1019</v>
      </c>
      <c r="R1345">
        <f>VLOOKUP($B1345,'Hospitalisation Details'!A1344:K3688,11,0)</f>
        <v>18</v>
      </c>
    </row>
    <row r="1346" spans="1:18" x14ac:dyDescent="0.35">
      <c r="A1346" t="s">
        <v>1026</v>
      </c>
      <c r="B1346" t="s">
        <v>1377</v>
      </c>
      <c r="C1346" t="str">
        <f>VLOOKUP($A1346,'Customer Names'!$A:$E,4,FALSE)</f>
        <v>Brian</v>
      </c>
      <c r="D1346" t="str">
        <f>VLOOKUP($A1346,'Medical Examinations'!$A:$J,2,FALSE)</f>
        <v>Obesity</v>
      </c>
      <c r="E1346">
        <f>VLOOKUP($A1346,'Medical Examinations'!$A:$J,4,FALSE)</f>
        <v>6.81</v>
      </c>
      <c r="F1346" t="str">
        <f>VLOOKUP($A1346,'Medical Examinations'!$A:$J,6,FALSE)</f>
        <v>yes</v>
      </c>
      <c r="G1346" t="str">
        <f>VLOOKUP($A1346,'Medical Examinations'!$A:$J,7,FALSE)</f>
        <v>No</v>
      </c>
      <c r="H1346" t="str">
        <f>VLOOKUP($A1346,'Medical Examinations'!$A:$J,8,FALSE)</f>
        <v>No</v>
      </c>
      <c r="I1346">
        <f>VLOOKUP($A1346,'Medical Examinations'!$A:$J,9,FALSE)</f>
        <v>1</v>
      </c>
      <c r="J1346" t="str">
        <f>VLOOKUP($A1346,'Medical Examinations'!$A:$J,10,FALSE)</f>
        <v>No</v>
      </c>
      <c r="K1346" t="str">
        <f>VLOOKUP($A1346,'Medical Examinations'!$A:$J,5,FALSE)</f>
        <v>Diabetes</v>
      </c>
      <c r="L1346">
        <f>VLOOKUP($A1347,'Medical Examinations'!$A:$J,3,FALSE)</f>
        <v>18.87</v>
      </c>
      <c r="M1346">
        <f>VLOOKUP($A1346,'Hospitalisation Details'!$A:$K,6,FALSE)</f>
        <v>8068.19</v>
      </c>
      <c r="N1346" s="11">
        <f>VLOOKUP($B1346,'Hospitalisation Details'!A1345:J3689,10,0)</f>
        <v>24637</v>
      </c>
      <c r="O1346" t="str">
        <f>VLOOKUP($B1346,'Hospitalisation Details'!A1345:J3689,8,0)</f>
        <v>tier - 3</v>
      </c>
      <c r="P1346" t="str">
        <f>VLOOKUP($B1346,'Hospitalisation Details'!A1345:J3689,7,0)</f>
        <v>tier - 3</v>
      </c>
      <c r="Q1346" t="str">
        <f>VLOOKUP($B1346,'Hospitalisation Details'!A1345:J3689,9,0)</f>
        <v>R1024</v>
      </c>
      <c r="R1346">
        <f>VLOOKUP($B1346,'Hospitalisation Details'!A1345:K3689,11,0)</f>
        <v>55</v>
      </c>
    </row>
    <row r="1347" spans="1:18" x14ac:dyDescent="0.35">
      <c r="A1347" t="s">
        <v>1025</v>
      </c>
      <c r="B1347" t="s">
        <v>1378</v>
      </c>
      <c r="C1347" t="str">
        <f>VLOOKUP($A1347,'Customer Names'!$A:$E,4,FALSE)</f>
        <v>Monica</v>
      </c>
      <c r="D1347" t="str">
        <f>VLOOKUP($A1347,'Medical Examinations'!$A:$J,2,FALSE)</f>
        <v>Normal Weight</v>
      </c>
      <c r="E1347">
        <f>VLOOKUP($A1347,'Medical Examinations'!$A:$J,4,FALSE)</f>
        <v>8.06</v>
      </c>
      <c r="F1347" t="str">
        <f>VLOOKUP($A1347,'Medical Examinations'!$A:$J,6,FALSE)</f>
        <v>No</v>
      </c>
      <c r="G1347" t="str">
        <f>VLOOKUP($A1347,'Medical Examinations'!$A:$J,7,FALSE)</f>
        <v>No</v>
      </c>
      <c r="H1347" t="str">
        <f>VLOOKUP($A1347,'Medical Examinations'!$A:$J,8,FALSE)</f>
        <v>No</v>
      </c>
      <c r="I1347">
        <f>VLOOKUP($A1347,'Medical Examinations'!$A:$J,9,FALSE)</f>
        <v>0</v>
      </c>
      <c r="J1347" t="str">
        <f>VLOOKUP($A1347,'Medical Examinations'!$A:$J,10,FALSE)</f>
        <v>No</v>
      </c>
      <c r="K1347" t="str">
        <f>VLOOKUP($A1347,'Medical Examinations'!$A:$J,5,FALSE)</f>
        <v>Diabetes</v>
      </c>
      <c r="L1347">
        <f>VLOOKUP($A1348,'Medical Examinations'!$A:$J,3,FALSE)</f>
        <v>32.299999999999997</v>
      </c>
      <c r="M1347">
        <f>VLOOKUP($A1347,'Hospitalisation Details'!$A:$K,6,FALSE)</f>
        <v>8067.83</v>
      </c>
      <c r="N1347" s="11">
        <f>VLOOKUP($B1347,'Hospitalisation Details'!A1346:J3690,10,0)</f>
        <v>25741</v>
      </c>
      <c r="O1347" t="str">
        <f>VLOOKUP($B1347,'Hospitalisation Details'!A1346:J3690,8,0)</f>
        <v>tier - 1</v>
      </c>
      <c r="P1347" t="str">
        <f>VLOOKUP($B1347,'Hospitalisation Details'!A1346:J3690,7,0)</f>
        <v>tier - 3</v>
      </c>
      <c r="Q1347" t="str">
        <f>VLOOKUP($B1347,'Hospitalisation Details'!A1346:J3690,9,0)</f>
        <v>R1012</v>
      </c>
      <c r="R1347">
        <f>VLOOKUP($B1347,'Hospitalisation Details'!A1346:K3690,11,0)</f>
        <v>52</v>
      </c>
    </row>
    <row r="1348" spans="1:18" x14ac:dyDescent="0.35">
      <c r="A1348" t="s">
        <v>1024</v>
      </c>
      <c r="B1348" t="s">
        <v>1379</v>
      </c>
      <c r="C1348" t="str">
        <f>VLOOKUP($A1348,'Customer Names'!$A:$E,4,FALSE)</f>
        <v>Tyler</v>
      </c>
      <c r="D1348" t="str">
        <f>VLOOKUP($A1348,'Medical Examinations'!$A:$J,2,FALSE)</f>
        <v>Obesity</v>
      </c>
      <c r="E1348">
        <f>VLOOKUP($A1348,'Medical Examinations'!$A:$J,4,FALSE)</f>
        <v>6.74</v>
      </c>
      <c r="F1348" t="str">
        <f>VLOOKUP($A1348,'Medical Examinations'!$A:$J,6,FALSE)</f>
        <v>yes</v>
      </c>
      <c r="G1348" t="str">
        <f>VLOOKUP($A1348,'Medical Examinations'!$A:$J,7,FALSE)</f>
        <v>No</v>
      </c>
      <c r="H1348" t="str">
        <f>VLOOKUP($A1348,'Medical Examinations'!$A:$J,8,FALSE)</f>
        <v>No</v>
      </c>
      <c r="I1348">
        <f>VLOOKUP($A1348,'Medical Examinations'!$A:$J,9,FALSE)</f>
        <v>1</v>
      </c>
      <c r="J1348" t="str">
        <f>VLOOKUP($A1348,'Medical Examinations'!$A:$J,10,FALSE)</f>
        <v>No</v>
      </c>
      <c r="K1348" t="str">
        <f>VLOOKUP($A1348,'Medical Examinations'!$A:$J,5,FALSE)</f>
        <v>Diabetes</v>
      </c>
      <c r="L1348">
        <f>VLOOKUP($A1349,'Medical Examinations'!$A:$J,3,FALSE)</f>
        <v>22.64</v>
      </c>
      <c r="M1348">
        <f>VLOOKUP($A1348,'Hospitalisation Details'!$A:$K,6,FALSE)</f>
        <v>8062.76</v>
      </c>
      <c r="N1348" s="11">
        <f>VLOOKUP($B1348,'Hospitalisation Details'!A1347:J3691,10,0)</f>
        <v>32461</v>
      </c>
      <c r="O1348" t="str">
        <f>VLOOKUP($B1348,'Hospitalisation Details'!A1347:J3691,8,0)</f>
        <v>tier - 1</v>
      </c>
      <c r="P1348" t="str">
        <f>VLOOKUP($B1348,'Hospitalisation Details'!A1347:J3691,7,0)</f>
        <v>tier - 3</v>
      </c>
      <c r="Q1348" t="str">
        <f>VLOOKUP($B1348,'Hospitalisation Details'!A1347:J3691,9,0)</f>
        <v>R1022</v>
      </c>
      <c r="R1348">
        <f>VLOOKUP($B1348,'Hospitalisation Details'!A1347:K3691,11,0)</f>
        <v>34</v>
      </c>
    </row>
    <row r="1349" spans="1:18" x14ac:dyDescent="0.35">
      <c r="A1349" t="s">
        <v>1023</v>
      </c>
      <c r="B1349" t="s">
        <v>1380</v>
      </c>
      <c r="C1349" t="str">
        <f>VLOOKUP($A1349,'Customer Names'!$A:$E,4,FALSE)</f>
        <v>Kelly C</v>
      </c>
      <c r="D1349" t="str">
        <f>VLOOKUP($A1349,'Medical Examinations'!$A:$J,2,FALSE)</f>
        <v>Normal Weight</v>
      </c>
      <c r="E1349">
        <f>VLOOKUP($A1349,'Medical Examinations'!$A:$J,4,FALSE)</f>
        <v>6.54</v>
      </c>
      <c r="F1349" t="str">
        <f>VLOOKUP($A1349,'Medical Examinations'!$A:$J,6,FALSE)</f>
        <v>yes</v>
      </c>
      <c r="G1349" t="str">
        <f>VLOOKUP($A1349,'Medical Examinations'!$A:$J,7,FALSE)</f>
        <v>No</v>
      </c>
      <c r="H1349" t="str">
        <f>VLOOKUP($A1349,'Medical Examinations'!$A:$J,8,FALSE)</f>
        <v>No</v>
      </c>
      <c r="I1349">
        <f>VLOOKUP($A1349,'Medical Examinations'!$A:$J,9,FALSE)</f>
        <v>2</v>
      </c>
      <c r="J1349" t="str">
        <f>VLOOKUP($A1349,'Medical Examinations'!$A:$J,10,FALSE)</f>
        <v>No</v>
      </c>
      <c r="K1349" t="str">
        <f>VLOOKUP($A1349,'Medical Examinations'!$A:$J,5,FALSE)</f>
        <v>Diabetes</v>
      </c>
      <c r="L1349">
        <f>VLOOKUP($A1350,'Medical Examinations'!$A:$J,3,FALSE)</f>
        <v>28.69</v>
      </c>
      <c r="M1349">
        <f>VLOOKUP($A1349,'Hospitalisation Details'!$A:$K,6,FALSE)</f>
        <v>8062.31</v>
      </c>
      <c r="N1349" s="11">
        <f>VLOOKUP($B1349,'Hospitalisation Details'!A1348:J3692,10,0)</f>
        <v>26567</v>
      </c>
      <c r="O1349" t="str">
        <f>VLOOKUP($B1349,'Hospitalisation Details'!A1348:J3692,8,0)</f>
        <v>tier - 2</v>
      </c>
      <c r="P1349" t="str">
        <f>VLOOKUP($B1349,'Hospitalisation Details'!A1348:J3692,7,0)</f>
        <v>tier - 3</v>
      </c>
      <c r="Q1349" t="str">
        <f>VLOOKUP($B1349,'Hospitalisation Details'!A1348:J3692,9,0)</f>
        <v>R1011</v>
      </c>
      <c r="R1349">
        <f>VLOOKUP($B1349,'Hospitalisation Details'!A1348:K3692,11,0)</f>
        <v>50</v>
      </c>
    </row>
    <row r="1350" spans="1:18" x14ac:dyDescent="0.35">
      <c r="A1350" t="s">
        <v>1022</v>
      </c>
      <c r="B1350" t="s">
        <v>1381</v>
      </c>
      <c r="C1350" t="str">
        <f>VLOOKUP($A1350,'Customer Names'!$A:$E,4,FALSE)</f>
        <v>Emily</v>
      </c>
      <c r="D1350" t="str">
        <f>VLOOKUP($A1350,'Medical Examinations'!$A:$J,2,FALSE)</f>
        <v>Overweight</v>
      </c>
      <c r="E1350">
        <f>VLOOKUP($A1350,'Medical Examinations'!$A:$J,4,FALSE)</f>
        <v>5.4</v>
      </c>
      <c r="F1350" t="str">
        <f>VLOOKUP($A1350,'Medical Examinations'!$A:$J,6,FALSE)</f>
        <v>No</v>
      </c>
      <c r="G1350" t="str">
        <f>VLOOKUP($A1350,'Medical Examinations'!$A:$J,7,FALSE)</f>
        <v>No</v>
      </c>
      <c r="H1350" t="str">
        <f>VLOOKUP($A1350,'Medical Examinations'!$A:$J,8,FALSE)</f>
        <v>No</v>
      </c>
      <c r="I1350">
        <f>VLOOKUP($A1350,'Medical Examinations'!$A:$J,9,FALSE)</f>
        <v>0</v>
      </c>
      <c r="J1350" t="str">
        <f>VLOOKUP($A1350,'Medical Examinations'!$A:$J,10,FALSE)</f>
        <v>No</v>
      </c>
      <c r="K1350" t="str">
        <f>VLOOKUP($A1350,'Medical Examinations'!$A:$J,5,FALSE)</f>
        <v>Normal</v>
      </c>
      <c r="L1350">
        <f>VLOOKUP($A1351,'Medical Examinations'!$A:$J,3,FALSE)</f>
        <v>28.16</v>
      </c>
      <c r="M1350">
        <f>VLOOKUP($A1350,'Hospitalisation Details'!$A:$K,6,FALSE)</f>
        <v>8059.68</v>
      </c>
      <c r="N1350" s="11">
        <f>VLOOKUP($B1350,'Hospitalisation Details'!A1349:J3693,10,0)</f>
        <v>25117</v>
      </c>
      <c r="O1350" t="str">
        <f>VLOOKUP($B1350,'Hospitalisation Details'!A1349:J3693,8,0)</f>
        <v>tier - 1</v>
      </c>
      <c r="P1350" t="str">
        <f>VLOOKUP($B1350,'Hospitalisation Details'!A1349:J3693,7,0)</f>
        <v>tier - 3</v>
      </c>
      <c r="Q1350" t="str">
        <f>VLOOKUP($B1350,'Hospitalisation Details'!A1349:J3693,9,0)</f>
        <v>R1012</v>
      </c>
      <c r="R1350">
        <f>VLOOKUP($B1350,'Hospitalisation Details'!A1349:K3693,11,0)</f>
        <v>54</v>
      </c>
    </row>
    <row r="1351" spans="1:18" x14ac:dyDescent="0.35">
      <c r="A1351" t="s">
        <v>1021</v>
      </c>
      <c r="B1351" t="s">
        <v>1382</v>
      </c>
      <c r="C1351" t="str">
        <f>VLOOKUP($A1351,'Customer Names'!$A:$E,4,FALSE)</f>
        <v>James V</v>
      </c>
      <c r="D1351" t="str">
        <f>VLOOKUP($A1351,'Medical Examinations'!$A:$J,2,FALSE)</f>
        <v>Overweight</v>
      </c>
      <c r="E1351">
        <f>VLOOKUP($A1351,'Medical Examinations'!$A:$J,4,FALSE)</f>
        <v>5.58</v>
      </c>
      <c r="F1351" t="str">
        <f>VLOOKUP($A1351,'Medical Examinations'!$A:$J,6,FALSE)</f>
        <v>yes</v>
      </c>
      <c r="G1351" t="str">
        <f>VLOOKUP($A1351,'Medical Examinations'!$A:$J,7,FALSE)</f>
        <v>No</v>
      </c>
      <c r="H1351" t="str">
        <f>VLOOKUP($A1351,'Medical Examinations'!$A:$J,8,FALSE)</f>
        <v>No</v>
      </c>
      <c r="I1351">
        <f>VLOOKUP($A1351,'Medical Examinations'!$A:$J,9,FALSE)</f>
        <v>0</v>
      </c>
      <c r="J1351" t="str">
        <f>VLOOKUP($A1351,'Medical Examinations'!$A:$J,10,FALSE)</f>
        <v>No</v>
      </c>
      <c r="K1351" t="str">
        <f>VLOOKUP($A1351,'Medical Examinations'!$A:$J,5,FALSE)</f>
        <v>Normal</v>
      </c>
      <c r="L1351">
        <f>VLOOKUP($A1352,'Medical Examinations'!$A:$J,3,FALSE)</f>
        <v>45.54</v>
      </c>
      <c r="M1351">
        <f>VLOOKUP($A1351,'Hospitalisation Details'!$A:$K,6,FALSE)</f>
        <v>8059.06</v>
      </c>
      <c r="N1351" s="11">
        <f>VLOOKUP($B1351,'Hospitalisation Details'!A1350:J3694,10,0)</f>
        <v>23337</v>
      </c>
      <c r="O1351" t="str">
        <f>VLOOKUP($B1351,'Hospitalisation Details'!A1350:J3694,8,0)</f>
        <v>tier - 3</v>
      </c>
      <c r="P1351" t="str">
        <f>VLOOKUP($B1351,'Hospitalisation Details'!A1350:J3694,7,0)</f>
        <v>tier - 3</v>
      </c>
      <c r="Q1351" t="str">
        <f>VLOOKUP($B1351,'Hospitalisation Details'!A1350:J3694,9,0)</f>
        <v>R1012</v>
      </c>
      <c r="R1351">
        <f>VLOOKUP($B1351,'Hospitalisation Details'!A1350:K3694,11,0)</f>
        <v>59</v>
      </c>
    </row>
    <row r="1352" spans="1:18" x14ac:dyDescent="0.35">
      <c r="A1352" t="s">
        <v>1020</v>
      </c>
      <c r="B1352" t="s">
        <v>1383</v>
      </c>
      <c r="C1352" t="str">
        <f>VLOOKUP($A1352,'Customer Names'!$A:$E,4,FALSE)</f>
        <v>Angie</v>
      </c>
      <c r="D1352" t="str">
        <f>VLOOKUP($A1352,'Medical Examinations'!$A:$J,2,FALSE)</f>
        <v>Obesity</v>
      </c>
      <c r="E1352">
        <f>VLOOKUP($A1352,'Medical Examinations'!$A:$J,4,FALSE)</f>
        <v>5.84</v>
      </c>
      <c r="F1352" t="str">
        <f>VLOOKUP($A1352,'Medical Examinations'!$A:$J,6,FALSE)</f>
        <v>No</v>
      </c>
      <c r="G1352" t="str">
        <f>VLOOKUP($A1352,'Medical Examinations'!$A:$J,7,FALSE)</f>
        <v>No</v>
      </c>
      <c r="H1352" t="str">
        <f>VLOOKUP($A1352,'Medical Examinations'!$A:$J,8,FALSE)</f>
        <v>Yes</v>
      </c>
      <c r="I1352">
        <f>VLOOKUP($A1352,'Medical Examinations'!$A:$J,9,FALSE)</f>
        <v>1</v>
      </c>
      <c r="J1352" t="str">
        <f>VLOOKUP($A1352,'Medical Examinations'!$A:$J,10,FALSE)</f>
        <v>No</v>
      </c>
      <c r="K1352" t="str">
        <f>VLOOKUP($A1352,'Medical Examinations'!$A:$J,5,FALSE)</f>
        <v>Prediabetes</v>
      </c>
      <c r="L1352">
        <f>VLOOKUP($A1353,'Medical Examinations'!$A:$J,3,FALSE)</f>
        <v>28.7</v>
      </c>
      <c r="M1352">
        <f>VLOOKUP($A1352,'Hospitalisation Details'!$A:$K,6,FALSE)</f>
        <v>8035.64</v>
      </c>
      <c r="N1352" s="11">
        <f>VLOOKUP($B1352,'Hospitalisation Details'!A1351:J3695,10,0)</f>
        <v>35043</v>
      </c>
      <c r="O1352" t="str">
        <f>VLOOKUP($B1352,'Hospitalisation Details'!A1351:J3695,8,0)</f>
        <v>tier - 2</v>
      </c>
      <c r="P1352" t="str">
        <f>VLOOKUP($B1352,'Hospitalisation Details'!A1351:J3695,7,0)</f>
        <v>tier - 3</v>
      </c>
      <c r="Q1352" t="str">
        <f>VLOOKUP($B1352,'Hospitalisation Details'!A1351:J3695,9,0)</f>
        <v>R1026</v>
      </c>
      <c r="R1352">
        <f>VLOOKUP($B1352,'Hospitalisation Details'!A1351:K3695,11,0)</f>
        <v>27</v>
      </c>
    </row>
    <row r="1353" spans="1:18" x14ac:dyDescent="0.35">
      <c r="A1353" t="s">
        <v>1019</v>
      </c>
      <c r="B1353" t="s">
        <v>1384</v>
      </c>
      <c r="C1353" t="str">
        <f>VLOOKUP($A1353,'Customer Names'!$A:$E,4,FALSE)</f>
        <v>Michael J.</v>
      </c>
      <c r="D1353" t="str">
        <f>VLOOKUP($A1353,'Medical Examinations'!$A:$J,2,FALSE)</f>
        <v>Overweight</v>
      </c>
      <c r="E1353">
        <f>VLOOKUP($A1353,'Medical Examinations'!$A:$J,4,FALSE)</f>
        <v>4.2</v>
      </c>
      <c r="F1353" t="str">
        <f>VLOOKUP($A1353,'Medical Examinations'!$A:$J,6,FALSE)</f>
        <v>No</v>
      </c>
      <c r="G1353" t="str">
        <f>VLOOKUP($A1353,'Medical Examinations'!$A:$J,7,FALSE)</f>
        <v>No</v>
      </c>
      <c r="H1353" t="str">
        <f>VLOOKUP($A1353,'Medical Examinations'!$A:$J,8,FALSE)</f>
        <v>No</v>
      </c>
      <c r="I1353">
        <f>VLOOKUP($A1353,'Medical Examinations'!$A:$J,9,FALSE)</f>
        <v>0</v>
      </c>
      <c r="J1353" t="str">
        <f>VLOOKUP($A1353,'Medical Examinations'!$A:$J,10,FALSE)</f>
        <v>No</v>
      </c>
      <c r="K1353" t="str">
        <f>VLOOKUP($A1353,'Medical Examinations'!$A:$J,5,FALSE)</f>
        <v>Normal</v>
      </c>
      <c r="L1353">
        <f>VLOOKUP($A1354,'Medical Examinations'!$A:$J,3,FALSE)</f>
        <v>27.74</v>
      </c>
      <c r="M1353">
        <f>VLOOKUP($A1353,'Hospitalisation Details'!$A:$K,6,FALSE)</f>
        <v>8027.97</v>
      </c>
      <c r="N1353" s="11">
        <f>VLOOKUP($B1353,'Hospitalisation Details'!A1352:J3696,10,0)</f>
        <v>23203</v>
      </c>
      <c r="O1353" t="str">
        <f>VLOOKUP($B1353,'Hospitalisation Details'!A1352:J3696,8,0)</f>
        <v>tier - 1</v>
      </c>
      <c r="P1353" t="str">
        <f>VLOOKUP($B1353,'Hospitalisation Details'!A1352:J3696,7,0)</f>
        <v>tier - 3</v>
      </c>
      <c r="Q1353" t="str">
        <f>VLOOKUP($B1353,'Hospitalisation Details'!A1352:J3696,9,0)</f>
        <v>R1012</v>
      </c>
      <c r="R1353">
        <f>VLOOKUP($B1353,'Hospitalisation Details'!A1352:K3696,11,0)</f>
        <v>59</v>
      </c>
    </row>
    <row r="1354" spans="1:18" x14ac:dyDescent="0.35">
      <c r="A1354" t="s">
        <v>1018</v>
      </c>
      <c r="B1354" t="s">
        <v>1385</v>
      </c>
      <c r="C1354" t="str">
        <f>VLOOKUP($A1354,'Customer Names'!$A:$E,4,FALSE)</f>
        <v>Sabina</v>
      </c>
      <c r="D1354" t="str">
        <f>VLOOKUP($A1354,'Medical Examinations'!$A:$J,2,FALSE)</f>
        <v>Overweight</v>
      </c>
      <c r="E1354">
        <f>VLOOKUP($A1354,'Medical Examinations'!$A:$J,4,FALSE)</f>
        <v>6.06</v>
      </c>
      <c r="F1354" t="str">
        <f>VLOOKUP($A1354,'Medical Examinations'!$A:$J,6,FALSE)</f>
        <v>yes</v>
      </c>
      <c r="G1354" t="str">
        <f>VLOOKUP($A1354,'Medical Examinations'!$A:$J,7,FALSE)</f>
        <v>No</v>
      </c>
      <c r="H1354" t="str">
        <f>VLOOKUP($A1354,'Medical Examinations'!$A:$J,8,FALSE)</f>
        <v>No</v>
      </c>
      <c r="I1354">
        <f>VLOOKUP($A1354,'Medical Examinations'!$A:$J,9,FALSE)</f>
        <v>0</v>
      </c>
      <c r="J1354" t="str">
        <f>VLOOKUP($A1354,'Medical Examinations'!$A:$J,10,FALSE)</f>
        <v>No</v>
      </c>
      <c r="K1354" t="str">
        <f>VLOOKUP($A1354,'Medical Examinations'!$A:$J,5,FALSE)</f>
        <v>Prediabetes</v>
      </c>
      <c r="L1354">
        <f>VLOOKUP($A1355,'Medical Examinations'!$A:$J,3,FALSE)</f>
        <v>36.954999999999998</v>
      </c>
      <c r="M1354">
        <f>VLOOKUP($A1354,'Hospitalisation Details'!$A:$K,6,FALSE)</f>
        <v>8026.67</v>
      </c>
      <c r="N1354" s="11">
        <f>VLOOKUP($B1354,'Hospitalisation Details'!A1353:J3697,10,0)</f>
        <v>37519</v>
      </c>
      <c r="O1354" t="str">
        <f>VLOOKUP($B1354,'Hospitalisation Details'!A1353:J3697,8,0)</f>
        <v>tier - 3</v>
      </c>
      <c r="P1354" t="str">
        <f>VLOOKUP($B1354,'Hospitalisation Details'!A1353:J3697,7,0)</f>
        <v>tier - 3</v>
      </c>
      <c r="Q1354" t="str">
        <f>VLOOKUP($B1354,'Hospitalisation Details'!A1353:J3697,9,0)</f>
        <v>R1012</v>
      </c>
      <c r="R1354">
        <f>VLOOKUP($B1354,'Hospitalisation Details'!A1353:K3697,11,0)</f>
        <v>20</v>
      </c>
    </row>
    <row r="1355" spans="1:18" x14ac:dyDescent="0.35">
      <c r="A1355" t="s">
        <v>1017</v>
      </c>
      <c r="B1355" t="s">
        <v>1386</v>
      </c>
      <c r="C1355" t="str">
        <f>VLOOKUP($A1355,'Customer Names'!$A:$E,4,FALSE)</f>
        <v>Amy C</v>
      </c>
      <c r="D1355" t="str">
        <f>VLOOKUP($A1355,'Medical Examinations'!$A:$J,2,FALSE)</f>
        <v>Obesity</v>
      </c>
      <c r="E1355">
        <f>VLOOKUP($A1355,'Medical Examinations'!$A:$J,4,FALSE)</f>
        <v>7.57</v>
      </c>
      <c r="F1355" t="str">
        <f>VLOOKUP($A1355,'Medical Examinations'!$A:$J,6,FALSE)</f>
        <v>No</v>
      </c>
      <c r="G1355" t="str">
        <f>VLOOKUP($A1355,'Medical Examinations'!$A:$J,7,FALSE)</f>
        <v>No</v>
      </c>
      <c r="H1355" t="str">
        <f>VLOOKUP($A1355,'Medical Examinations'!$A:$J,8,FALSE)</f>
        <v>No</v>
      </c>
      <c r="I1355">
        <f>VLOOKUP($A1355,'Medical Examinations'!$A:$J,9,FALSE)</f>
        <v>0</v>
      </c>
      <c r="J1355" t="str">
        <f>VLOOKUP($A1355,'Medical Examinations'!$A:$J,10,FALSE)</f>
        <v>No</v>
      </c>
      <c r="K1355" t="str">
        <f>VLOOKUP($A1355,'Medical Examinations'!$A:$J,5,FALSE)</f>
        <v>Diabetes</v>
      </c>
      <c r="L1355">
        <f>VLOOKUP($A1356,'Medical Examinations'!$A:$J,3,FALSE)</f>
        <v>30.69</v>
      </c>
      <c r="M1355">
        <f>VLOOKUP($A1355,'Hospitalisation Details'!$A:$K,6,FALSE)</f>
        <v>8023.14</v>
      </c>
      <c r="N1355" s="11">
        <f>VLOOKUP($B1355,'Hospitalisation Details'!A1354:J3698,10,0)</f>
        <v>32739</v>
      </c>
      <c r="O1355" t="str">
        <f>VLOOKUP($B1355,'Hospitalisation Details'!A1354:J3698,8,0)</f>
        <v>tier - 3</v>
      </c>
      <c r="P1355" t="str">
        <f>VLOOKUP($B1355,'Hospitalisation Details'!A1354:J3698,7,0)</f>
        <v>tier - 3</v>
      </c>
      <c r="Q1355" t="str">
        <f>VLOOKUP($B1355,'Hospitalisation Details'!A1354:J3698,9,0)</f>
        <v>R1013</v>
      </c>
      <c r="R1355">
        <f>VLOOKUP($B1355,'Hospitalisation Details'!A1354:K3698,11,0)</f>
        <v>33</v>
      </c>
    </row>
    <row r="1356" spans="1:18" x14ac:dyDescent="0.35">
      <c r="A1356" t="s">
        <v>1016</v>
      </c>
      <c r="B1356" t="s">
        <v>1387</v>
      </c>
      <c r="C1356" t="str">
        <f>VLOOKUP($A1356,'Customer Names'!$A:$E,4,FALSE)</f>
        <v>Victoria U</v>
      </c>
      <c r="D1356" t="str">
        <f>VLOOKUP($A1356,'Medical Examinations'!$A:$J,2,FALSE)</f>
        <v>Obesity</v>
      </c>
      <c r="E1356">
        <f>VLOOKUP($A1356,'Medical Examinations'!$A:$J,4,FALSE)</f>
        <v>6.15</v>
      </c>
      <c r="F1356" t="str">
        <f>VLOOKUP($A1356,'Medical Examinations'!$A:$J,6,FALSE)</f>
        <v>No</v>
      </c>
      <c r="G1356" t="str">
        <f>VLOOKUP($A1356,'Medical Examinations'!$A:$J,7,FALSE)</f>
        <v>No</v>
      </c>
      <c r="H1356" t="str">
        <f>VLOOKUP($A1356,'Medical Examinations'!$A:$J,8,FALSE)</f>
        <v>No</v>
      </c>
      <c r="I1356">
        <f>VLOOKUP($A1356,'Medical Examinations'!$A:$J,9,FALSE)</f>
        <v>0</v>
      </c>
      <c r="J1356" t="str">
        <f>VLOOKUP($A1356,'Medical Examinations'!$A:$J,10,FALSE)</f>
        <v>No</v>
      </c>
      <c r="K1356" t="str">
        <f>VLOOKUP($A1356,'Medical Examinations'!$A:$J,5,FALSE)</f>
        <v>Prediabetes</v>
      </c>
      <c r="L1356">
        <f>VLOOKUP($A1357,'Medical Examinations'!$A:$J,3,FALSE)</f>
        <v>24.984999999999999</v>
      </c>
      <c r="M1356">
        <f>VLOOKUP($A1356,'Hospitalisation Details'!$A:$K,6,FALSE)</f>
        <v>8021.11</v>
      </c>
      <c r="N1356" s="11">
        <f>VLOOKUP($B1356,'Hospitalisation Details'!A1355:J3699,10,0)</f>
        <v>25144</v>
      </c>
      <c r="O1356" t="str">
        <f>VLOOKUP($B1356,'Hospitalisation Details'!A1355:J3699,8,0)</f>
        <v>tier - 2</v>
      </c>
      <c r="P1356" t="str">
        <f>VLOOKUP($B1356,'Hospitalisation Details'!A1355:J3699,7,0)</f>
        <v>tier - 3</v>
      </c>
      <c r="Q1356" t="str">
        <f>VLOOKUP($B1356,'Hospitalisation Details'!A1355:J3699,9,0)</f>
        <v>R1025</v>
      </c>
      <c r="R1356">
        <f>VLOOKUP($B1356,'Hospitalisation Details'!A1355:K3699,11,0)</f>
        <v>54</v>
      </c>
    </row>
    <row r="1357" spans="1:18" x14ac:dyDescent="0.35">
      <c r="A1357" t="s">
        <v>1015</v>
      </c>
      <c r="B1357" t="s">
        <v>1388</v>
      </c>
      <c r="C1357" t="str">
        <f>VLOOKUP($A1357,'Customer Names'!$A:$E,4,FALSE)</f>
        <v>Amelia B</v>
      </c>
      <c r="D1357" t="str">
        <f>VLOOKUP($A1357,'Medical Examinations'!$A:$J,2,FALSE)</f>
        <v>Normal Weight</v>
      </c>
      <c r="E1357">
        <f>VLOOKUP($A1357,'Medical Examinations'!$A:$J,4,FALSE)</f>
        <v>4.5599999999999996</v>
      </c>
      <c r="F1357" t="str">
        <f>VLOOKUP($A1357,'Medical Examinations'!$A:$J,6,FALSE)</f>
        <v>No</v>
      </c>
      <c r="G1357" t="str">
        <f>VLOOKUP($A1357,'Medical Examinations'!$A:$J,7,FALSE)</f>
        <v>No</v>
      </c>
      <c r="H1357" t="str">
        <f>VLOOKUP($A1357,'Medical Examinations'!$A:$J,8,FALSE)</f>
        <v>No</v>
      </c>
      <c r="I1357">
        <f>VLOOKUP($A1357,'Medical Examinations'!$A:$J,9,FALSE)</f>
        <v>0</v>
      </c>
      <c r="J1357" t="str">
        <f>VLOOKUP($A1357,'Medical Examinations'!$A:$J,10,FALSE)</f>
        <v>No</v>
      </c>
      <c r="K1357" t="str">
        <f>VLOOKUP($A1357,'Medical Examinations'!$A:$J,5,FALSE)</f>
        <v>Normal</v>
      </c>
      <c r="L1357">
        <f>VLOOKUP($A1358,'Medical Examinations'!$A:$J,3,FALSE)</f>
        <v>39.42</v>
      </c>
      <c r="M1357">
        <f>VLOOKUP($A1357,'Hospitalisation Details'!$A:$K,6,FALSE)</f>
        <v>8017.06</v>
      </c>
      <c r="N1357" s="11">
        <f>VLOOKUP($B1357,'Hospitalisation Details'!A1356:J3700,10,0)</f>
        <v>23570</v>
      </c>
      <c r="O1357" t="str">
        <f>VLOOKUP($B1357,'Hospitalisation Details'!A1356:J3700,8,0)</f>
        <v>tier - 3</v>
      </c>
      <c r="P1357" t="str">
        <f>VLOOKUP($B1357,'Hospitalisation Details'!A1356:J3700,7,0)</f>
        <v>tier - 3</v>
      </c>
      <c r="Q1357" t="str">
        <f>VLOOKUP($B1357,'Hospitalisation Details'!A1356:J3700,9,0)</f>
        <v>R1011</v>
      </c>
      <c r="R1357">
        <f>VLOOKUP($B1357,'Hospitalisation Details'!A1356:K3700,11,0)</f>
        <v>58</v>
      </c>
    </row>
    <row r="1358" spans="1:18" x14ac:dyDescent="0.35">
      <c r="A1358" t="s">
        <v>1014</v>
      </c>
      <c r="B1358" t="s">
        <v>1389</v>
      </c>
      <c r="C1358" t="str">
        <f>VLOOKUP($A1358,'Customer Names'!$A:$E,4,FALSE)</f>
        <v>Jackie J</v>
      </c>
      <c r="D1358" t="str">
        <f>VLOOKUP($A1358,'Medical Examinations'!$A:$J,2,FALSE)</f>
        <v>Obesity</v>
      </c>
      <c r="E1358">
        <f>VLOOKUP($A1358,'Medical Examinations'!$A:$J,4,FALSE)</f>
        <v>4.72</v>
      </c>
      <c r="F1358" t="str">
        <f>VLOOKUP($A1358,'Medical Examinations'!$A:$J,6,FALSE)</f>
        <v>yes</v>
      </c>
      <c r="G1358" t="str">
        <f>VLOOKUP($A1358,'Medical Examinations'!$A:$J,7,FALSE)</f>
        <v>No</v>
      </c>
      <c r="H1358" t="str">
        <f>VLOOKUP($A1358,'Medical Examinations'!$A:$J,8,FALSE)</f>
        <v>No</v>
      </c>
      <c r="I1358">
        <f>VLOOKUP($A1358,'Medical Examinations'!$A:$J,9,FALSE)</f>
        <v>1</v>
      </c>
      <c r="J1358" t="str">
        <f>VLOOKUP($A1358,'Medical Examinations'!$A:$J,10,FALSE)</f>
        <v>No</v>
      </c>
      <c r="K1358" t="str">
        <f>VLOOKUP($A1358,'Medical Examinations'!$A:$J,5,FALSE)</f>
        <v>Normal</v>
      </c>
      <c r="L1358">
        <f>VLOOKUP($A1359,'Medical Examinations'!$A:$J,3,FALSE)</f>
        <v>16.8</v>
      </c>
      <c r="M1358">
        <f>VLOOKUP($A1358,'Hospitalisation Details'!$A:$K,6,FALSE)</f>
        <v>8014.62</v>
      </c>
      <c r="N1358" s="11">
        <f>VLOOKUP($B1358,'Hospitalisation Details'!A1357:J3701,10,0)</f>
        <v>24075</v>
      </c>
      <c r="O1358" t="str">
        <f>VLOOKUP($B1358,'Hospitalisation Details'!A1357:J3701,8,0)</f>
        <v>tier - 1</v>
      </c>
      <c r="P1358" t="str">
        <f>VLOOKUP($B1358,'Hospitalisation Details'!A1357:J3701,7,0)</f>
        <v>tier - 3</v>
      </c>
      <c r="Q1358" t="str">
        <f>VLOOKUP($B1358,'Hospitalisation Details'!A1357:J3701,9,0)</f>
        <v>R1012</v>
      </c>
      <c r="R1358">
        <f>VLOOKUP($B1358,'Hospitalisation Details'!A1357:K3701,11,0)</f>
        <v>57</v>
      </c>
    </row>
    <row r="1359" spans="1:18" x14ac:dyDescent="0.35">
      <c r="A1359" t="s">
        <v>1013</v>
      </c>
      <c r="B1359" t="s">
        <v>1390</v>
      </c>
      <c r="C1359" t="str">
        <f>VLOOKUP($A1359,'Customer Names'!$A:$E,4,FALSE)</f>
        <v>Justin</v>
      </c>
      <c r="D1359" t="str">
        <f>VLOOKUP($A1359,'Medical Examinations'!$A:$J,2,FALSE)</f>
        <v>Underweight</v>
      </c>
      <c r="E1359">
        <f>VLOOKUP($A1359,'Medical Examinations'!$A:$J,4,FALSE)</f>
        <v>7.98</v>
      </c>
      <c r="F1359" t="str">
        <f>VLOOKUP($A1359,'Medical Examinations'!$A:$J,6,FALSE)</f>
        <v>No</v>
      </c>
      <c r="G1359" t="str">
        <f>VLOOKUP($A1359,'Medical Examinations'!$A:$J,7,FALSE)</f>
        <v>No</v>
      </c>
      <c r="H1359" t="str">
        <f>VLOOKUP($A1359,'Medical Examinations'!$A:$J,8,FALSE)</f>
        <v>No</v>
      </c>
      <c r="I1359">
        <f>VLOOKUP($A1359,'Medical Examinations'!$A:$J,9,FALSE)</f>
        <v>0</v>
      </c>
      <c r="J1359" t="str">
        <f>VLOOKUP($A1359,'Medical Examinations'!$A:$J,10,FALSE)</f>
        <v>No</v>
      </c>
      <c r="K1359" t="str">
        <f>VLOOKUP($A1359,'Medical Examinations'!$A:$J,5,FALSE)</f>
        <v>Diabetes</v>
      </c>
      <c r="L1359">
        <f>VLOOKUP($A1360,'Medical Examinations'!$A:$J,3,FALSE)</f>
        <v>23.274999999999999</v>
      </c>
      <c r="M1359">
        <f>VLOOKUP($A1359,'Hospitalisation Details'!$A:$K,6,FALSE)</f>
        <v>8004.96</v>
      </c>
      <c r="N1359" s="11">
        <f>VLOOKUP($B1359,'Hospitalisation Details'!A1358:J3702,10,0)</f>
        <v>24011</v>
      </c>
      <c r="O1359" t="str">
        <f>VLOOKUP($B1359,'Hospitalisation Details'!A1358:J3702,8,0)</f>
        <v>tier - 3</v>
      </c>
      <c r="P1359" t="str">
        <f>VLOOKUP($B1359,'Hospitalisation Details'!A1358:J3702,7,0)</f>
        <v>tier - 3</v>
      </c>
      <c r="Q1359" t="str">
        <f>VLOOKUP($B1359,'Hospitalisation Details'!A1358:J3702,9,0)</f>
        <v>R1012</v>
      </c>
      <c r="R1359">
        <f>VLOOKUP($B1359,'Hospitalisation Details'!A1358:K3702,11,0)</f>
        <v>57</v>
      </c>
    </row>
    <row r="1360" spans="1:18" x14ac:dyDescent="0.35">
      <c r="A1360" t="s">
        <v>1012</v>
      </c>
      <c r="B1360" t="s">
        <v>1391</v>
      </c>
      <c r="C1360" t="str">
        <f>VLOOKUP($A1360,'Customer Names'!$A:$E,4,FALSE)</f>
        <v>Kerry</v>
      </c>
      <c r="D1360" t="str">
        <f>VLOOKUP($A1360,'Medical Examinations'!$A:$J,2,FALSE)</f>
        <v>Normal Weight</v>
      </c>
      <c r="E1360">
        <f>VLOOKUP($A1360,'Medical Examinations'!$A:$J,4,FALSE)</f>
        <v>6.26</v>
      </c>
      <c r="F1360" t="str">
        <f>VLOOKUP($A1360,'Medical Examinations'!$A:$J,6,FALSE)</f>
        <v>yes</v>
      </c>
      <c r="G1360" t="str">
        <f>VLOOKUP($A1360,'Medical Examinations'!$A:$J,7,FALSE)</f>
        <v>No</v>
      </c>
      <c r="H1360" t="str">
        <f>VLOOKUP($A1360,'Medical Examinations'!$A:$J,8,FALSE)</f>
        <v>Yes</v>
      </c>
      <c r="I1360">
        <f>VLOOKUP($A1360,'Medical Examinations'!$A:$J,9,FALSE)</f>
        <v>1</v>
      </c>
      <c r="J1360" t="str">
        <f>VLOOKUP($A1360,'Medical Examinations'!$A:$J,10,FALSE)</f>
        <v>No</v>
      </c>
      <c r="K1360" t="str">
        <f>VLOOKUP($A1360,'Medical Examinations'!$A:$J,5,FALSE)</f>
        <v>Prediabetes</v>
      </c>
      <c r="L1360">
        <f>VLOOKUP($A1361,'Medical Examinations'!$A:$J,3,FALSE)</f>
        <v>22.8</v>
      </c>
      <c r="M1360">
        <f>VLOOKUP($A1360,'Hospitalisation Details'!$A:$K,6,FALSE)</f>
        <v>7986.48</v>
      </c>
      <c r="N1360" s="11">
        <f>VLOOKUP($B1360,'Hospitalisation Details'!A1359:J3703,10,0)</f>
        <v>23562</v>
      </c>
      <c r="O1360" t="str">
        <f>VLOOKUP($B1360,'Hospitalisation Details'!A1359:J3703,8,0)</f>
        <v>tier - 1</v>
      </c>
      <c r="P1360" t="str">
        <f>VLOOKUP($B1360,'Hospitalisation Details'!A1359:J3703,7,0)</f>
        <v>tier - 3</v>
      </c>
      <c r="Q1360" t="str">
        <f>VLOOKUP($B1360,'Hospitalisation Details'!A1359:J3703,9,0)</f>
        <v>R1011</v>
      </c>
      <c r="R1360">
        <f>VLOOKUP($B1360,'Hospitalisation Details'!A1359:K3703,11,0)</f>
        <v>58</v>
      </c>
    </row>
    <row r="1361" spans="1:18" x14ac:dyDescent="0.35">
      <c r="A1361" t="s">
        <v>1011</v>
      </c>
      <c r="B1361" t="s">
        <v>1392</v>
      </c>
      <c r="C1361" t="str">
        <f>VLOOKUP($A1361,'Customer Names'!$A:$E,4,FALSE)</f>
        <v>Cindy G.</v>
      </c>
      <c r="D1361" t="str">
        <f>VLOOKUP($A1361,'Medical Examinations'!$A:$J,2,FALSE)</f>
        <v>Normal Weight</v>
      </c>
      <c r="E1361">
        <f>VLOOKUP($A1361,'Medical Examinations'!$A:$J,4,FALSE)</f>
        <v>4.29</v>
      </c>
      <c r="F1361" t="str">
        <f>VLOOKUP($A1361,'Medical Examinations'!$A:$J,6,FALSE)</f>
        <v>yes</v>
      </c>
      <c r="G1361" t="str">
        <f>VLOOKUP($A1361,'Medical Examinations'!$A:$J,7,FALSE)</f>
        <v>No</v>
      </c>
      <c r="H1361" t="str">
        <f>VLOOKUP($A1361,'Medical Examinations'!$A:$J,8,FALSE)</f>
        <v>Yes</v>
      </c>
      <c r="I1361">
        <f>VLOOKUP($A1361,'Medical Examinations'!$A:$J,9,FALSE)</f>
        <v>1</v>
      </c>
      <c r="J1361" t="str">
        <f>VLOOKUP($A1361,'Medical Examinations'!$A:$J,10,FALSE)</f>
        <v>No</v>
      </c>
      <c r="K1361" t="str">
        <f>VLOOKUP($A1361,'Medical Examinations'!$A:$J,5,FALSE)</f>
        <v>Normal</v>
      </c>
      <c r="L1361">
        <f>VLOOKUP($A1362,'Medical Examinations'!$A:$J,3,FALSE)</f>
        <v>24.3</v>
      </c>
      <c r="M1361">
        <f>VLOOKUP($A1361,'Hospitalisation Details'!$A:$K,6,FALSE)</f>
        <v>7985.82</v>
      </c>
      <c r="N1361" s="11">
        <f>VLOOKUP($B1361,'Hospitalisation Details'!A1360:J3704,10,0)</f>
        <v>23561</v>
      </c>
      <c r="O1361" t="str">
        <f>VLOOKUP($B1361,'Hospitalisation Details'!A1360:J3704,8,0)</f>
        <v>tier - 1</v>
      </c>
      <c r="P1361" t="str">
        <f>VLOOKUP($B1361,'Hospitalisation Details'!A1360:J3704,7,0)</f>
        <v>tier - 3</v>
      </c>
      <c r="Q1361" t="str">
        <f>VLOOKUP($B1361,'Hospitalisation Details'!A1360:J3704,9,0)</f>
        <v>R1013</v>
      </c>
      <c r="R1361">
        <f>VLOOKUP($B1361,'Hospitalisation Details'!A1360:K3704,11,0)</f>
        <v>58</v>
      </c>
    </row>
    <row r="1362" spans="1:18" x14ac:dyDescent="0.35">
      <c r="A1362" t="s">
        <v>1010</v>
      </c>
      <c r="B1362" t="s">
        <v>1393</v>
      </c>
      <c r="C1362" t="str">
        <f>VLOOKUP($A1362,'Customer Names'!$A:$E,4,FALSE)</f>
        <v>Gennaro</v>
      </c>
      <c r="D1362" t="str">
        <f>VLOOKUP($A1362,'Medical Examinations'!$A:$J,2,FALSE)</f>
        <v>Normal Weight</v>
      </c>
      <c r="E1362">
        <f>VLOOKUP($A1362,'Medical Examinations'!$A:$J,4,FALSE)</f>
        <v>5.43</v>
      </c>
      <c r="F1362" t="str">
        <f>VLOOKUP($A1362,'Medical Examinations'!$A:$J,6,FALSE)</f>
        <v>No</v>
      </c>
      <c r="G1362" t="str">
        <f>VLOOKUP($A1362,'Medical Examinations'!$A:$J,7,FALSE)</f>
        <v>No</v>
      </c>
      <c r="H1362" t="str">
        <f>VLOOKUP($A1362,'Medical Examinations'!$A:$J,8,FALSE)</f>
        <v>No</v>
      </c>
      <c r="I1362">
        <f>VLOOKUP($A1362,'Medical Examinations'!$A:$J,9,FALSE)</f>
        <v>2</v>
      </c>
      <c r="J1362" t="str">
        <f>VLOOKUP($A1362,'Medical Examinations'!$A:$J,10,FALSE)</f>
        <v>No</v>
      </c>
      <c r="K1362" t="str">
        <f>VLOOKUP($A1362,'Medical Examinations'!$A:$J,5,FALSE)</f>
        <v>Normal</v>
      </c>
      <c r="L1362">
        <f>VLOOKUP($A1363,'Medical Examinations'!$A:$J,3,FALSE)</f>
        <v>25.13</v>
      </c>
      <c r="M1362">
        <f>VLOOKUP($A1362,'Hospitalisation Details'!$A:$K,6,FALSE)</f>
        <v>7980.34</v>
      </c>
      <c r="N1362" s="11">
        <f>VLOOKUP($B1362,'Hospitalisation Details'!A1361:J3705,10,0)</f>
        <v>23724</v>
      </c>
      <c r="O1362" t="str">
        <f>VLOOKUP($B1362,'Hospitalisation Details'!A1361:J3705,8,0)</f>
        <v>tier - 2</v>
      </c>
      <c r="P1362" t="str">
        <f>VLOOKUP($B1362,'Hospitalisation Details'!A1361:J3705,7,0)</f>
        <v>tier - 3</v>
      </c>
      <c r="Q1362" t="str">
        <f>VLOOKUP($B1362,'Hospitalisation Details'!A1361:J3705,9,0)</f>
        <v>R1011</v>
      </c>
      <c r="R1362">
        <f>VLOOKUP($B1362,'Hospitalisation Details'!A1361:K3705,11,0)</f>
        <v>58</v>
      </c>
    </row>
    <row r="1363" spans="1:18" x14ac:dyDescent="0.35">
      <c r="A1363" t="s">
        <v>1009</v>
      </c>
      <c r="B1363" t="s">
        <v>1394</v>
      </c>
      <c r="C1363" t="str">
        <f>VLOOKUP($A1363,'Customer Names'!$A:$E,4,FALSE)</f>
        <v>Terry</v>
      </c>
      <c r="D1363" t="str">
        <f>VLOOKUP($A1363,'Medical Examinations'!$A:$J,2,FALSE)</f>
        <v>Overweight</v>
      </c>
      <c r="E1363">
        <f>VLOOKUP($A1363,'Medical Examinations'!$A:$J,4,FALSE)</f>
        <v>8</v>
      </c>
      <c r="F1363" t="str">
        <f>VLOOKUP($A1363,'Medical Examinations'!$A:$J,6,FALSE)</f>
        <v>yes</v>
      </c>
      <c r="G1363" t="str">
        <f>VLOOKUP($A1363,'Medical Examinations'!$A:$J,7,FALSE)</f>
        <v>No</v>
      </c>
      <c r="H1363" t="str">
        <f>VLOOKUP($A1363,'Medical Examinations'!$A:$J,8,FALSE)</f>
        <v>No</v>
      </c>
      <c r="I1363">
        <f>VLOOKUP($A1363,'Medical Examinations'!$A:$J,9,FALSE)</f>
        <v>1</v>
      </c>
      <c r="J1363" t="str">
        <f>VLOOKUP($A1363,'Medical Examinations'!$A:$J,10,FALSE)</f>
        <v>No</v>
      </c>
      <c r="K1363" t="str">
        <f>VLOOKUP($A1363,'Medical Examinations'!$A:$J,5,FALSE)</f>
        <v>Diabetes</v>
      </c>
      <c r="L1363">
        <f>VLOOKUP($A1364,'Medical Examinations'!$A:$J,3,FALSE)</f>
        <v>22.72</v>
      </c>
      <c r="M1363">
        <f>VLOOKUP($A1363,'Hospitalisation Details'!$A:$K,6,FALSE)</f>
        <v>7966.81</v>
      </c>
      <c r="N1363" s="11">
        <f>VLOOKUP($B1363,'Hospitalisation Details'!A1362:J3706,10,0)</f>
        <v>29013</v>
      </c>
      <c r="O1363" t="str">
        <f>VLOOKUP($B1363,'Hospitalisation Details'!A1362:J3706,8,0)</f>
        <v>tier - 1</v>
      </c>
      <c r="P1363" t="str">
        <f>VLOOKUP($B1363,'Hospitalisation Details'!A1362:J3706,7,0)</f>
        <v>tier - 3</v>
      </c>
      <c r="Q1363" t="str">
        <f>VLOOKUP($B1363,'Hospitalisation Details'!A1362:J3706,9,0)</f>
        <v>R1026</v>
      </c>
      <c r="R1363">
        <f>VLOOKUP($B1363,'Hospitalisation Details'!A1362:K3706,11,0)</f>
        <v>44</v>
      </c>
    </row>
    <row r="1364" spans="1:18" x14ac:dyDescent="0.35">
      <c r="A1364" t="s">
        <v>1008</v>
      </c>
      <c r="B1364" t="s">
        <v>1395</v>
      </c>
      <c r="C1364" t="str">
        <f>VLOOKUP($A1364,'Customer Names'!$A:$E,4,FALSE)</f>
        <v>Patrick J</v>
      </c>
      <c r="D1364" t="str">
        <f>VLOOKUP($A1364,'Medical Examinations'!$A:$J,2,FALSE)</f>
        <v>Normal Weight</v>
      </c>
      <c r="E1364">
        <f>VLOOKUP($A1364,'Medical Examinations'!$A:$J,4,FALSE)</f>
        <v>9.9600000000000009</v>
      </c>
      <c r="F1364" t="str">
        <f>VLOOKUP($A1364,'Medical Examinations'!$A:$J,6,FALSE)</f>
        <v>yes</v>
      </c>
      <c r="G1364" t="str">
        <f>VLOOKUP($A1364,'Medical Examinations'!$A:$J,7,FALSE)</f>
        <v>No</v>
      </c>
      <c r="H1364" t="str">
        <f>VLOOKUP($A1364,'Medical Examinations'!$A:$J,8,FALSE)</f>
        <v>No</v>
      </c>
      <c r="I1364">
        <f>VLOOKUP($A1364,'Medical Examinations'!$A:$J,9,FALSE)</f>
        <v>2</v>
      </c>
      <c r="J1364" t="str">
        <f>VLOOKUP($A1364,'Medical Examinations'!$A:$J,10,FALSE)</f>
        <v>No</v>
      </c>
      <c r="K1364" t="str">
        <f>VLOOKUP($A1364,'Medical Examinations'!$A:$J,5,FALSE)</f>
        <v>Diabetes</v>
      </c>
      <c r="L1364">
        <f>VLOOKUP($A1365,'Medical Examinations'!$A:$J,3,FALSE)</f>
        <v>32.6</v>
      </c>
      <c r="M1364">
        <f>VLOOKUP($A1364,'Hospitalisation Details'!$A:$K,6,FALSE)</f>
        <v>7958.13</v>
      </c>
      <c r="N1364" s="11">
        <f>VLOOKUP($B1364,'Hospitalisation Details'!A1363:J3707,10,0)</f>
        <v>26639</v>
      </c>
      <c r="O1364" t="str">
        <f>VLOOKUP($B1364,'Hospitalisation Details'!A1363:J3707,8,0)</f>
        <v>tier - 2</v>
      </c>
      <c r="P1364" t="str">
        <f>VLOOKUP($B1364,'Hospitalisation Details'!A1363:J3707,7,0)</f>
        <v>tier - 3</v>
      </c>
      <c r="Q1364" t="str">
        <f>VLOOKUP($B1364,'Hospitalisation Details'!A1363:J3707,9,0)</f>
        <v>R1025</v>
      </c>
      <c r="R1364">
        <f>VLOOKUP($B1364,'Hospitalisation Details'!A1363:K3707,11,0)</f>
        <v>50</v>
      </c>
    </row>
    <row r="1365" spans="1:18" x14ac:dyDescent="0.35">
      <c r="A1365" t="s">
        <v>1007</v>
      </c>
      <c r="B1365" t="s">
        <v>1396</v>
      </c>
      <c r="C1365" t="str">
        <f>VLOOKUP($A1365,'Customer Names'!$A:$E,4,FALSE)</f>
        <v>Keara</v>
      </c>
      <c r="D1365" t="str">
        <f>VLOOKUP($A1365,'Medical Examinations'!$A:$J,2,FALSE)</f>
        <v>Obesity</v>
      </c>
      <c r="E1365">
        <f>VLOOKUP($A1365,'Medical Examinations'!$A:$J,4,FALSE)</f>
        <v>6.8</v>
      </c>
      <c r="F1365" t="str">
        <f>VLOOKUP($A1365,'Medical Examinations'!$A:$J,6,FALSE)</f>
        <v>yes</v>
      </c>
      <c r="G1365" t="str">
        <f>VLOOKUP($A1365,'Medical Examinations'!$A:$J,7,FALSE)</f>
        <v>No</v>
      </c>
      <c r="H1365" t="str">
        <f>VLOOKUP($A1365,'Medical Examinations'!$A:$J,8,FALSE)</f>
        <v>No</v>
      </c>
      <c r="I1365">
        <f>VLOOKUP($A1365,'Medical Examinations'!$A:$J,9,FALSE)</f>
        <v>0</v>
      </c>
      <c r="J1365" t="str">
        <f>VLOOKUP($A1365,'Medical Examinations'!$A:$J,10,FALSE)</f>
        <v>No</v>
      </c>
      <c r="K1365" t="str">
        <f>VLOOKUP($A1365,'Medical Examinations'!$A:$J,5,FALSE)</f>
        <v>Diabetes</v>
      </c>
      <c r="L1365">
        <f>VLOOKUP($A1366,'Medical Examinations'!$A:$J,3,FALSE)</f>
        <v>17.28</v>
      </c>
      <c r="M1365">
        <f>VLOOKUP($A1365,'Hospitalisation Details'!$A:$K,6,FALSE)</f>
        <v>7954.52</v>
      </c>
      <c r="N1365" s="11">
        <f>VLOOKUP($B1365,'Hospitalisation Details'!A1364:J3708,10,0)</f>
        <v>23541</v>
      </c>
      <c r="O1365" t="str">
        <f>VLOOKUP($B1365,'Hospitalisation Details'!A1364:J3708,8,0)</f>
        <v>tier - 2</v>
      </c>
      <c r="P1365" t="str">
        <f>VLOOKUP($B1365,'Hospitalisation Details'!A1364:J3708,7,0)</f>
        <v>tier - 3</v>
      </c>
      <c r="Q1365" t="str">
        <f>VLOOKUP($B1365,'Hospitalisation Details'!A1364:J3708,9,0)</f>
        <v>R1013</v>
      </c>
      <c r="R1365">
        <f>VLOOKUP($B1365,'Hospitalisation Details'!A1364:K3708,11,0)</f>
        <v>58</v>
      </c>
    </row>
    <row r="1366" spans="1:18" x14ac:dyDescent="0.35">
      <c r="A1366" t="s">
        <v>1006</v>
      </c>
      <c r="B1366" t="s">
        <v>1397</v>
      </c>
      <c r="C1366" t="str">
        <f>VLOOKUP($A1366,'Customer Names'!$A:$E,4,FALSE)</f>
        <v>Nicole</v>
      </c>
      <c r="D1366" t="str">
        <f>VLOOKUP($A1366,'Medical Examinations'!$A:$J,2,FALSE)</f>
        <v>Underweight</v>
      </c>
      <c r="E1366">
        <f>VLOOKUP($A1366,'Medical Examinations'!$A:$J,4,FALSE)</f>
        <v>6.22</v>
      </c>
      <c r="F1366" t="str">
        <f>VLOOKUP($A1366,'Medical Examinations'!$A:$J,6,FALSE)</f>
        <v>yes</v>
      </c>
      <c r="G1366" t="str">
        <f>VLOOKUP($A1366,'Medical Examinations'!$A:$J,7,FALSE)</f>
        <v>No</v>
      </c>
      <c r="H1366" t="str">
        <f>VLOOKUP($A1366,'Medical Examinations'!$A:$J,8,FALSE)</f>
        <v>No</v>
      </c>
      <c r="I1366">
        <f>VLOOKUP($A1366,'Medical Examinations'!$A:$J,9,FALSE)</f>
        <v>2</v>
      </c>
      <c r="J1366" t="str">
        <f>VLOOKUP($A1366,'Medical Examinations'!$A:$J,10,FALSE)</f>
        <v>No</v>
      </c>
      <c r="K1366" t="str">
        <f>VLOOKUP($A1366,'Medical Examinations'!$A:$J,5,FALSE)</f>
        <v>Prediabetes</v>
      </c>
      <c r="L1366">
        <f>VLOOKUP($A1367,'Medical Examinations'!$A:$J,3,FALSE)</f>
        <v>27.92</v>
      </c>
      <c r="M1366">
        <f>VLOOKUP($A1366,'Hospitalisation Details'!$A:$K,6,FALSE)</f>
        <v>7953.72</v>
      </c>
      <c r="N1366" s="11">
        <f>VLOOKUP($B1366,'Hospitalisation Details'!A1365:J3709,10,0)</f>
        <v>35639</v>
      </c>
      <c r="O1366" t="str">
        <f>VLOOKUP($B1366,'Hospitalisation Details'!A1365:J3709,8,0)</f>
        <v>tier - 2</v>
      </c>
      <c r="P1366" t="str">
        <f>VLOOKUP($B1366,'Hospitalisation Details'!A1365:J3709,7,0)</f>
        <v>tier - 3</v>
      </c>
      <c r="Q1366" t="str">
        <f>VLOOKUP($B1366,'Hospitalisation Details'!A1365:J3709,9,0)</f>
        <v>R1026</v>
      </c>
      <c r="R1366">
        <f>VLOOKUP($B1366,'Hospitalisation Details'!A1365:K3709,11,0)</f>
        <v>25</v>
      </c>
    </row>
    <row r="1367" spans="1:18" x14ac:dyDescent="0.35">
      <c r="A1367" t="s">
        <v>1005</v>
      </c>
      <c r="B1367" t="s">
        <v>1398</v>
      </c>
      <c r="C1367" t="str">
        <f>VLOOKUP($A1367,'Customer Names'!$A:$E,4,FALSE)</f>
        <v>Katena</v>
      </c>
      <c r="D1367" t="str">
        <f>VLOOKUP($A1367,'Medical Examinations'!$A:$J,2,FALSE)</f>
        <v>Overweight</v>
      </c>
      <c r="E1367">
        <f>VLOOKUP($A1367,'Medical Examinations'!$A:$J,4,FALSE)</f>
        <v>5.79</v>
      </c>
      <c r="F1367" t="str">
        <f>VLOOKUP($A1367,'Medical Examinations'!$A:$J,6,FALSE)</f>
        <v>No</v>
      </c>
      <c r="G1367" t="str">
        <f>VLOOKUP($A1367,'Medical Examinations'!$A:$J,7,FALSE)</f>
        <v>No</v>
      </c>
      <c r="H1367" t="str">
        <f>VLOOKUP($A1367,'Medical Examinations'!$A:$J,8,FALSE)</f>
        <v>No</v>
      </c>
      <c r="I1367">
        <f>VLOOKUP($A1367,'Medical Examinations'!$A:$J,9,FALSE)</f>
        <v>1</v>
      </c>
      <c r="J1367" t="str">
        <f>VLOOKUP($A1367,'Medical Examinations'!$A:$J,10,FALSE)</f>
        <v>No</v>
      </c>
      <c r="K1367" t="str">
        <f>VLOOKUP($A1367,'Medical Examinations'!$A:$J,5,FALSE)</f>
        <v>Prediabetes</v>
      </c>
      <c r="L1367">
        <f>VLOOKUP($A1368,'Medical Examinations'!$A:$J,3,FALSE)</f>
        <v>38.284999999999997</v>
      </c>
      <c r="M1367">
        <f>VLOOKUP($A1367,'Hospitalisation Details'!$A:$K,6,FALSE)</f>
        <v>7948.22</v>
      </c>
      <c r="N1367" s="11">
        <f>VLOOKUP($B1367,'Hospitalisation Details'!A1366:J3710,10,0)</f>
        <v>24825</v>
      </c>
      <c r="O1367" t="str">
        <f>VLOOKUP($B1367,'Hospitalisation Details'!A1366:J3710,8,0)</f>
        <v>tier - 1</v>
      </c>
      <c r="P1367" t="str">
        <f>VLOOKUP($B1367,'Hospitalisation Details'!A1366:J3710,7,0)</f>
        <v>tier - 3</v>
      </c>
      <c r="Q1367" t="str">
        <f>VLOOKUP($B1367,'Hospitalisation Details'!A1366:J3710,9,0)</f>
        <v>R1018</v>
      </c>
      <c r="R1367">
        <f>VLOOKUP($B1367,'Hospitalisation Details'!A1366:K3710,11,0)</f>
        <v>55</v>
      </c>
    </row>
    <row r="1368" spans="1:18" x14ac:dyDescent="0.35">
      <c r="A1368" t="s">
        <v>1004</v>
      </c>
      <c r="B1368" t="s">
        <v>1399</v>
      </c>
      <c r="C1368" t="str">
        <f>VLOOKUP($A1368,'Customer Names'!$A:$E,4,FALSE)</f>
        <v>Bean K.</v>
      </c>
      <c r="D1368" t="str">
        <f>VLOOKUP($A1368,'Medical Examinations'!$A:$J,2,FALSE)</f>
        <v>Obesity</v>
      </c>
      <c r="E1368">
        <f>VLOOKUP($A1368,'Medical Examinations'!$A:$J,4,FALSE)</f>
        <v>5.41</v>
      </c>
      <c r="F1368" t="str">
        <f>VLOOKUP($A1368,'Medical Examinations'!$A:$J,6,FALSE)</f>
        <v>No</v>
      </c>
      <c r="G1368" t="str">
        <f>VLOOKUP($A1368,'Medical Examinations'!$A:$J,7,FALSE)</f>
        <v>No</v>
      </c>
      <c r="H1368" t="str">
        <f>VLOOKUP($A1368,'Medical Examinations'!$A:$J,8,FALSE)</f>
        <v>No</v>
      </c>
      <c r="I1368">
        <f>VLOOKUP($A1368,'Medical Examinations'!$A:$J,9,FALSE)</f>
        <v>0</v>
      </c>
      <c r="J1368" t="str">
        <f>VLOOKUP($A1368,'Medical Examinations'!$A:$J,10,FALSE)</f>
        <v>No</v>
      </c>
      <c r="K1368" t="str">
        <f>VLOOKUP($A1368,'Medical Examinations'!$A:$J,5,FALSE)</f>
        <v>Normal</v>
      </c>
      <c r="L1368">
        <f>VLOOKUP($A1369,'Medical Examinations'!$A:$J,3,FALSE)</f>
        <v>16.48</v>
      </c>
      <c r="M1368">
        <f>VLOOKUP($A1368,'Hospitalisation Details'!$A:$K,6,FALSE)</f>
        <v>7935.29</v>
      </c>
      <c r="N1368" s="11">
        <f>VLOOKUP($B1368,'Hospitalisation Details'!A1367:J3711,10,0)</f>
        <v>25843</v>
      </c>
      <c r="O1368" t="str">
        <f>VLOOKUP($B1368,'Hospitalisation Details'!A1367:J3711,8,0)</f>
        <v>tier - 3</v>
      </c>
      <c r="P1368" t="str">
        <f>VLOOKUP($B1368,'Hospitalisation Details'!A1367:J3711,7,0)</f>
        <v>tier - 3</v>
      </c>
      <c r="Q1368" t="str">
        <f>VLOOKUP($B1368,'Hospitalisation Details'!A1367:J3711,9,0)</f>
        <v>R1024</v>
      </c>
      <c r="R1368">
        <f>VLOOKUP($B1368,'Hospitalisation Details'!A1367:K3711,11,0)</f>
        <v>52</v>
      </c>
    </row>
    <row r="1369" spans="1:18" x14ac:dyDescent="0.35">
      <c r="A1369" t="s">
        <v>1003</v>
      </c>
      <c r="B1369" t="s">
        <v>1400</v>
      </c>
      <c r="C1369" t="str">
        <f>VLOOKUP($A1369,'Customer Names'!$A:$E,4,FALSE)</f>
        <v>Brian</v>
      </c>
      <c r="D1369" t="str">
        <f>VLOOKUP($A1369,'Medical Examinations'!$A:$J,2,FALSE)</f>
        <v>Underweight</v>
      </c>
      <c r="E1369">
        <f>VLOOKUP($A1369,'Medical Examinations'!$A:$J,4,FALSE)</f>
        <v>11.05</v>
      </c>
      <c r="F1369" t="str">
        <f>VLOOKUP($A1369,'Medical Examinations'!$A:$J,6,FALSE)</f>
        <v>No</v>
      </c>
      <c r="G1369" t="str">
        <f>VLOOKUP($A1369,'Medical Examinations'!$A:$J,7,FALSE)</f>
        <v>No</v>
      </c>
      <c r="H1369" t="str">
        <f>VLOOKUP($A1369,'Medical Examinations'!$A:$J,8,FALSE)</f>
        <v>No</v>
      </c>
      <c r="I1369">
        <f>VLOOKUP($A1369,'Medical Examinations'!$A:$J,9,FALSE)</f>
        <v>0</v>
      </c>
      <c r="J1369" t="str">
        <f>VLOOKUP($A1369,'Medical Examinations'!$A:$J,10,FALSE)</f>
        <v>No</v>
      </c>
      <c r="K1369" t="str">
        <f>VLOOKUP($A1369,'Medical Examinations'!$A:$J,5,FALSE)</f>
        <v>Diabetes</v>
      </c>
      <c r="L1369">
        <f>VLOOKUP($A1370,'Medical Examinations'!$A:$J,3,FALSE)</f>
        <v>38.57</v>
      </c>
      <c r="M1369">
        <f>VLOOKUP($A1369,'Hospitalisation Details'!$A:$K,6,FALSE)</f>
        <v>7896.41</v>
      </c>
      <c r="N1369" s="11">
        <f>VLOOKUP($B1369,'Hospitalisation Details'!A1368:J3712,10,0)</f>
        <v>25848</v>
      </c>
      <c r="O1369" t="str">
        <f>VLOOKUP($B1369,'Hospitalisation Details'!A1368:J3712,8,0)</f>
        <v>tier - 2</v>
      </c>
      <c r="P1369" t="str">
        <f>VLOOKUP($B1369,'Hospitalisation Details'!A1368:J3712,7,0)</f>
        <v>tier - 3</v>
      </c>
      <c r="Q1369" t="str">
        <f>VLOOKUP($B1369,'Hospitalisation Details'!A1368:J3712,9,0)</f>
        <v>R1011</v>
      </c>
      <c r="R1369">
        <f>VLOOKUP($B1369,'Hospitalisation Details'!A1368:K3712,11,0)</f>
        <v>52</v>
      </c>
    </row>
    <row r="1370" spans="1:18" x14ac:dyDescent="0.35">
      <c r="A1370" t="s">
        <v>1002</v>
      </c>
      <c r="B1370" t="s">
        <v>1401</v>
      </c>
      <c r="C1370" t="str">
        <f>VLOOKUP($A1370,'Customer Names'!$A:$E,4,FALSE)</f>
        <v>Jan-Patrick</v>
      </c>
      <c r="D1370" t="str">
        <f>VLOOKUP($A1370,'Medical Examinations'!$A:$J,2,FALSE)</f>
        <v>Obesity</v>
      </c>
      <c r="E1370">
        <f>VLOOKUP($A1370,'Medical Examinations'!$A:$J,4,FALSE)</f>
        <v>6.27</v>
      </c>
      <c r="F1370" t="str">
        <f>VLOOKUP($A1370,'Medical Examinations'!$A:$J,6,FALSE)</f>
        <v>No</v>
      </c>
      <c r="G1370" t="str">
        <f>VLOOKUP($A1370,'Medical Examinations'!$A:$J,7,FALSE)</f>
        <v>No</v>
      </c>
      <c r="H1370" t="str">
        <f>VLOOKUP($A1370,'Medical Examinations'!$A:$J,8,FALSE)</f>
        <v>No</v>
      </c>
      <c r="I1370">
        <f>VLOOKUP($A1370,'Medical Examinations'!$A:$J,9,FALSE)</f>
        <v>0</v>
      </c>
      <c r="J1370" t="str">
        <f>VLOOKUP($A1370,'Medical Examinations'!$A:$J,10,FALSE)</f>
        <v>No</v>
      </c>
      <c r="K1370" t="str">
        <f>VLOOKUP($A1370,'Medical Examinations'!$A:$J,5,FALSE)</f>
        <v>Prediabetes</v>
      </c>
      <c r="L1370">
        <f>VLOOKUP($A1371,'Medical Examinations'!$A:$J,3,FALSE)</f>
        <v>43.85</v>
      </c>
      <c r="M1370">
        <f>VLOOKUP($A1370,'Hospitalisation Details'!$A:$K,6,FALSE)</f>
        <v>7851.85</v>
      </c>
      <c r="N1370" s="11">
        <f>VLOOKUP($B1370,'Hospitalisation Details'!A1369:J3713,10,0)</f>
        <v>30612</v>
      </c>
      <c r="O1370" t="str">
        <f>VLOOKUP($B1370,'Hospitalisation Details'!A1369:J3713,8,0)</f>
        <v>tier - 1</v>
      </c>
      <c r="P1370" t="str">
        <f>VLOOKUP($B1370,'Hospitalisation Details'!A1369:J3713,7,0)</f>
        <v>tier - 3</v>
      </c>
      <c r="Q1370" t="str">
        <f>VLOOKUP($B1370,'Hospitalisation Details'!A1369:J3713,9,0)</f>
        <v>R1021</v>
      </c>
      <c r="R1370">
        <f>VLOOKUP($B1370,'Hospitalisation Details'!A1369:K3713,11,0)</f>
        <v>39</v>
      </c>
    </row>
    <row r="1371" spans="1:18" x14ac:dyDescent="0.35">
      <c r="A1371" t="s">
        <v>1001</v>
      </c>
      <c r="B1371" t="s">
        <v>1402</v>
      </c>
      <c r="C1371" t="str">
        <f>VLOOKUP($A1371,'Customer Names'!$A:$E,4,FALSE)</f>
        <v>Jesse J</v>
      </c>
      <c r="D1371" t="str">
        <f>VLOOKUP($A1371,'Medical Examinations'!$A:$J,2,FALSE)</f>
        <v>Obesity</v>
      </c>
      <c r="E1371">
        <f>VLOOKUP($A1371,'Medical Examinations'!$A:$J,4,FALSE)</f>
        <v>4.7699999999999996</v>
      </c>
      <c r="F1371" t="str">
        <f>VLOOKUP($A1371,'Medical Examinations'!$A:$J,6,FALSE)</f>
        <v>yes</v>
      </c>
      <c r="G1371" t="str">
        <f>VLOOKUP($A1371,'Medical Examinations'!$A:$J,7,FALSE)</f>
        <v>No</v>
      </c>
      <c r="H1371" t="str">
        <f>VLOOKUP($A1371,'Medical Examinations'!$A:$J,8,FALSE)</f>
        <v>No</v>
      </c>
      <c r="I1371">
        <f>VLOOKUP($A1371,'Medical Examinations'!$A:$J,9,FALSE)</f>
        <v>0</v>
      </c>
      <c r="J1371" t="str">
        <f>VLOOKUP($A1371,'Medical Examinations'!$A:$J,10,FALSE)</f>
        <v>No</v>
      </c>
      <c r="K1371" t="str">
        <f>VLOOKUP($A1371,'Medical Examinations'!$A:$J,5,FALSE)</f>
        <v>Normal</v>
      </c>
      <c r="L1371">
        <f>VLOOKUP($A1372,'Medical Examinations'!$A:$J,3,FALSE)</f>
        <v>30.11</v>
      </c>
      <c r="M1371">
        <f>VLOOKUP($A1371,'Hospitalisation Details'!$A:$K,6,FALSE)</f>
        <v>7844.8</v>
      </c>
      <c r="N1371" s="11">
        <f>VLOOKUP($B1371,'Hospitalisation Details'!A1370:J3714,10,0)</f>
        <v>31207</v>
      </c>
      <c r="O1371" t="str">
        <f>VLOOKUP($B1371,'Hospitalisation Details'!A1370:J3714,8,0)</f>
        <v>tier - 1</v>
      </c>
      <c r="P1371" t="str">
        <f>VLOOKUP($B1371,'Hospitalisation Details'!A1370:J3714,7,0)</f>
        <v>tier - 3</v>
      </c>
      <c r="Q1371" t="str">
        <f>VLOOKUP($B1371,'Hospitalisation Details'!A1370:J3714,9,0)</f>
        <v>R1012</v>
      </c>
      <c r="R1371">
        <f>VLOOKUP($B1371,'Hospitalisation Details'!A1370:K3714,11,0)</f>
        <v>37</v>
      </c>
    </row>
    <row r="1372" spans="1:18" x14ac:dyDescent="0.35">
      <c r="A1372" t="s">
        <v>1000</v>
      </c>
      <c r="B1372" t="s">
        <v>1403</v>
      </c>
      <c r="C1372" t="str">
        <f>VLOOKUP($A1372,'Customer Names'!$A:$E,4,FALSE)</f>
        <v>Lindsey M</v>
      </c>
      <c r="D1372" t="str">
        <f>VLOOKUP($A1372,'Medical Examinations'!$A:$J,2,FALSE)</f>
        <v>Obesity</v>
      </c>
      <c r="E1372">
        <f>VLOOKUP($A1372,'Medical Examinations'!$A:$J,4,FALSE)</f>
        <v>4.08</v>
      </c>
      <c r="F1372" t="str">
        <f>VLOOKUP($A1372,'Medical Examinations'!$A:$J,6,FALSE)</f>
        <v>No</v>
      </c>
      <c r="G1372" t="str">
        <f>VLOOKUP($A1372,'Medical Examinations'!$A:$J,7,FALSE)</f>
        <v>No</v>
      </c>
      <c r="H1372" t="str">
        <f>VLOOKUP($A1372,'Medical Examinations'!$A:$J,8,FALSE)</f>
        <v>No</v>
      </c>
      <c r="I1372">
        <f>VLOOKUP($A1372,'Medical Examinations'!$A:$J,9,FALSE)</f>
        <v>0</v>
      </c>
      <c r="J1372" t="str">
        <f>VLOOKUP($A1372,'Medical Examinations'!$A:$J,10,FALSE)</f>
        <v>No</v>
      </c>
      <c r="K1372" t="str">
        <f>VLOOKUP($A1372,'Medical Examinations'!$A:$J,5,FALSE)</f>
        <v>Normal</v>
      </c>
      <c r="L1372">
        <f>VLOOKUP($A1373,'Medical Examinations'!$A:$J,3,FALSE)</f>
        <v>31.59</v>
      </c>
      <c r="M1372">
        <f>VLOOKUP($A1372,'Hospitalisation Details'!$A:$K,6,FALSE)</f>
        <v>7824.37</v>
      </c>
      <c r="N1372" s="11">
        <f>VLOOKUP($B1372,'Hospitalisation Details'!A1371:J3715,10,0)</f>
        <v>29419</v>
      </c>
      <c r="O1372" t="str">
        <f>VLOOKUP($B1372,'Hospitalisation Details'!A1371:J3715,8,0)</f>
        <v>tier - 3</v>
      </c>
      <c r="P1372" t="str">
        <f>VLOOKUP($B1372,'Hospitalisation Details'!A1371:J3715,7,0)</f>
        <v>tier - 3</v>
      </c>
      <c r="Q1372" t="str">
        <f>VLOOKUP($B1372,'Hospitalisation Details'!A1371:J3715,9,0)</f>
        <v>R1021</v>
      </c>
      <c r="R1372">
        <f>VLOOKUP($B1372,'Hospitalisation Details'!A1371:K3715,11,0)</f>
        <v>42</v>
      </c>
    </row>
    <row r="1373" spans="1:18" x14ac:dyDescent="0.35">
      <c r="A1373" t="s">
        <v>999</v>
      </c>
      <c r="B1373" t="s">
        <v>1404</v>
      </c>
      <c r="C1373" t="str">
        <f>VLOOKUP($A1373,'Customer Names'!$A:$E,4,FALSE)</f>
        <v>Marguerite K.</v>
      </c>
      <c r="D1373" t="str">
        <f>VLOOKUP($A1373,'Medical Examinations'!$A:$J,2,FALSE)</f>
        <v>Obesity</v>
      </c>
      <c r="E1373">
        <f>VLOOKUP($A1373,'Medical Examinations'!$A:$J,4,FALSE)</f>
        <v>6.01</v>
      </c>
      <c r="F1373" t="str">
        <f>VLOOKUP($A1373,'Medical Examinations'!$A:$J,6,FALSE)</f>
        <v>No</v>
      </c>
      <c r="G1373" t="str">
        <f>VLOOKUP($A1373,'Medical Examinations'!$A:$J,7,FALSE)</f>
        <v>No</v>
      </c>
      <c r="H1373" t="str">
        <f>VLOOKUP($A1373,'Medical Examinations'!$A:$J,8,FALSE)</f>
        <v>No</v>
      </c>
      <c r="I1373">
        <f>VLOOKUP($A1373,'Medical Examinations'!$A:$J,9,FALSE)</f>
        <v>0</v>
      </c>
      <c r="J1373" t="str">
        <f>VLOOKUP($A1373,'Medical Examinations'!$A:$J,10,FALSE)</f>
        <v>No</v>
      </c>
      <c r="K1373" t="str">
        <f>VLOOKUP($A1373,'Medical Examinations'!$A:$J,5,FALSE)</f>
        <v>Prediabetes</v>
      </c>
      <c r="L1373">
        <f>VLOOKUP($A1374,'Medical Examinations'!$A:$J,3,FALSE)</f>
        <v>40.15</v>
      </c>
      <c r="M1373">
        <f>VLOOKUP($A1373,'Hospitalisation Details'!$A:$K,6,FALSE)</f>
        <v>7812.67</v>
      </c>
      <c r="N1373" s="11">
        <f>VLOOKUP($B1373,'Hospitalisation Details'!A1372:J3716,10,0)</f>
        <v>26188</v>
      </c>
      <c r="O1373" t="str">
        <f>VLOOKUP($B1373,'Hospitalisation Details'!A1372:J3716,8,0)</f>
        <v>tier - 3</v>
      </c>
      <c r="P1373" t="str">
        <f>VLOOKUP($B1373,'Hospitalisation Details'!A1372:J3716,7,0)</f>
        <v>tier - 3</v>
      </c>
      <c r="Q1373" t="str">
        <f>VLOOKUP($B1373,'Hospitalisation Details'!A1372:J3716,9,0)</f>
        <v>R1012</v>
      </c>
      <c r="R1373">
        <f>VLOOKUP($B1373,'Hospitalisation Details'!A1372:K3716,11,0)</f>
        <v>51</v>
      </c>
    </row>
    <row r="1374" spans="1:18" x14ac:dyDescent="0.35">
      <c r="A1374" t="s">
        <v>998</v>
      </c>
      <c r="B1374" t="s">
        <v>1405</v>
      </c>
      <c r="C1374" t="str">
        <f>VLOOKUP($A1374,'Customer Names'!$A:$E,4,FALSE)</f>
        <v>Travis</v>
      </c>
      <c r="D1374" t="str">
        <f>VLOOKUP($A1374,'Medical Examinations'!$A:$J,2,FALSE)</f>
        <v>Obesity</v>
      </c>
      <c r="E1374">
        <f>VLOOKUP($A1374,'Medical Examinations'!$A:$J,4,FALSE)</f>
        <v>11.84</v>
      </c>
      <c r="F1374" t="str">
        <f>VLOOKUP($A1374,'Medical Examinations'!$A:$J,6,FALSE)</f>
        <v>No</v>
      </c>
      <c r="G1374" t="str">
        <f>VLOOKUP($A1374,'Medical Examinations'!$A:$J,7,FALSE)</f>
        <v>No</v>
      </c>
      <c r="H1374" t="str">
        <f>VLOOKUP($A1374,'Medical Examinations'!$A:$J,8,FALSE)</f>
        <v>No</v>
      </c>
      <c r="I1374">
        <f>VLOOKUP($A1374,'Medical Examinations'!$A:$J,9,FALSE)</f>
        <v>0</v>
      </c>
      <c r="J1374" t="str">
        <f>VLOOKUP($A1374,'Medical Examinations'!$A:$J,10,FALSE)</f>
        <v>No</v>
      </c>
      <c r="K1374" t="str">
        <f>VLOOKUP($A1374,'Medical Examinations'!$A:$J,5,FALSE)</f>
        <v>Diabetes</v>
      </c>
      <c r="L1374">
        <f>VLOOKUP($A1375,'Medical Examinations'!$A:$J,3,FALSE)</f>
        <v>40.700000000000003</v>
      </c>
      <c r="M1374">
        <f>VLOOKUP($A1374,'Hospitalisation Details'!$A:$K,6,FALSE)</f>
        <v>7804.16</v>
      </c>
      <c r="N1374" s="11">
        <f>VLOOKUP($B1374,'Hospitalisation Details'!A1373:J3717,10,0)</f>
        <v>24272</v>
      </c>
      <c r="O1374" t="str">
        <f>VLOOKUP($B1374,'Hospitalisation Details'!A1373:J3717,8,0)</f>
        <v>tier - 1</v>
      </c>
      <c r="P1374" t="str">
        <f>VLOOKUP($B1374,'Hospitalisation Details'!A1373:J3717,7,0)</f>
        <v>tier - 3</v>
      </c>
      <c r="Q1374" t="str">
        <f>VLOOKUP($B1374,'Hospitalisation Details'!A1373:J3717,9,0)</f>
        <v>R1012</v>
      </c>
      <c r="R1374">
        <f>VLOOKUP($B1374,'Hospitalisation Details'!A1373:K3717,11,0)</f>
        <v>56</v>
      </c>
    </row>
    <row r="1375" spans="1:18" x14ac:dyDescent="0.35">
      <c r="A1375" t="s">
        <v>997</v>
      </c>
      <c r="B1375" t="s">
        <v>1406</v>
      </c>
      <c r="C1375" t="str">
        <f>VLOOKUP($A1375,'Customer Names'!$A:$E,4,FALSE)</f>
        <v>Ricky</v>
      </c>
      <c r="D1375" t="str">
        <f>VLOOKUP($A1375,'Medical Examinations'!$A:$J,2,FALSE)</f>
        <v>Obesity</v>
      </c>
      <c r="E1375">
        <f>VLOOKUP($A1375,'Medical Examinations'!$A:$J,4,FALSE)</f>
        <v>6.27</v>
      </c>
      <c r="F1375" t="str">
        <f>VLOOKUP($A1375,'Medical Examinations'!$A:$J,6,FALSE)</f>
        <v>yes</v>
      </c>
      <c r="G1375" t="str">
        <f>VLOOKUP($A1375,'Medical Examinations'!$A:$J,7,FALSE)</f>
        <v>No</v>
      </c>
      <c r="H1375" t="str">
        <f>VLOOKUP($A1375,'Medical Examinations'!$A:$J,8,FALSE)</f>
        <v>Yes</v>
      </c>
      <c r="I1375">
        <f>VLOOKUP($A1375,'Medical Examinations'!$A:$J,9,FALSE)</f>
        <v>1</v>
      </c>
      <c r="J1375" t="str">
        <f>VLOOKUP($A1375,'Medical Examinations'!$A:$J,10,FALSE)</f>
        <v>No</v>
      </c>
      <c r="K1375" t="str">
        <f>VLOOKUP($A1375,'Medical Examinations'!$A:$J,5,FALSE)</f>
        <v>Prediabetes</v>
      </c>
      <c r="L1375">
        <f>VLOOKUP($A1376,'Medical Examinations'!$A:$J,3,FALSE)</f>
        <v>40.76</v>
      </c>
      <c r="M1375">
        <f>VLOOKUP($A1375,'Hospitalisation Details'!$A:$K,6,FALSE)</f>
        <v>7803.77</v>
      </c>
      <c r="N1375" s="11">
        <f>VLOOKUP($B1375,'Hospitalisation Details'!A1374:J3718,10,0)</f>
        <v>23916</v>
      </c>
      <c r="O1375" t="str">
        <f>VLOOKUP($B1375,'Hospitalisation Details'!A1374:J3718,8,0)</f>
        <v>tier - 2</v>
      </c>
      <c r="P1375" t="str">
        <f>VLOOKUP($B1375,'Hospitalisation Details'!A1374:J3718,7,0)</f>
        <v>tier - 3</v>
      </c>
      <c r="Q1375" t="str">
        <f>VLOOKUP($B1375,'Hospitalisation Details'!A1374:J3718,9,0)</f>
        <v>R1011</v>
      </c>
      <c r="R1375">
        <f>VLOOKUP($B1375,'Hospitalisation Details'!A1374:K3718,11,0)</f>
        <v>57</v>
      </c>
    </row>
    <row r="1376" spans="1:18" x14ac:dyDescent="0.35">
      <c r="A1376" t="s">
        <v>996</v>
      </c>
      <c r="B1376" t="s">
        <v>1407</v>
      </c>
      <c r="C1376" t="str">
        <f>VLOOKUP($A1376,'Customer Names'!$A:$E,4,FALSE)</f>
        <v>Colleen L.</v>
      </c>
      <c r="D1376" t="str">
        <f>VLOOKUP($A1376,'Medical Examinations'!$A:$J,2,FALSE)</f>
        <v>Obesity</v>
      </c>
      <c r="E1376">
        <f>VLOOKUP($A1376,'Medical Examinations'!$A:$J,4,FALSE)</f>
        <v>5.28</v>
      </c>
      <c r="F1376" t="str">
        <f>VLOOKUP($A1376,'Medical Examinations'!$A:$J,6,FALSE)</f>
        <v>No</v>
      </c>
      <c r="G1376" t="str">
        <f>VLOOKUP($A1376,'Medical Examinations'!$A:$J,7,FALSE)</f>
        <v>No</v>
      </c>
      <c r="H1376" t="str">
        <f>VLOOKUP($A1376,'Medical Examinations'!$A:$J,8,FALSE)</f>
        <v>No</v>
      </c>
      <c r="I1376">
        <f>VLOOKUP($A1376,'Medical Examinations'!$A:$J,9,FALSE)</f>
        <v>0</v>
      </c>
      <c r="J1376" t="str">
        <f>VLOOKUP($A1376,'Medical Examinations'!$A:$J,10,FALSE)</f>
        <v>No</v>
      </c>
      <c r="K1376" t="str">
        <f>VLOOKUP($A1376,'Medical Examinations'!$A:$J,5,FALSE)</f>
        <v>Normal</v>
      </c>
      <c r="L1376">
        <f>VLOOKUP($A1377,'Medical Examinations'!$A:$J,3,FALSE)</f>
        <v>29.7</v>
      </c>
      <c r="M1376">
        <f>VLOOKUP($A1376,'Hospitalisation Details'!$A:$K,6,FALSE)</f>
        <v>7794.68</v>
      </c>
      <c r="N1376" s="11">
        <f>VLOOKUP($B1376,'Hospitalisation Details'!A1375:J3719,10,0)</f>
        <v>24357</v>
      </c>
      <c r="O1376" t="str">
        <f>VLOOKUP($B1376,'Hospitalisation Details'!A1375:J3719,8,0)</f>
        <v>tier - 2</v>
      </c>
      <c r="P1376" t="str">
        <f>VLOOKUP($B1376,'Hospitalisation Details'!A1375:J3719,7,0)</f>
        <v>tier - 3</v>
      </c>
      <c r="Q1376" t="str">
        <f>VLOOKUP($B1376,'Hospitalisation Details'!A1375:J3719,9,0)</f>
        <v>R1025</v>
      </c>
      <c r="R1376">
        <f>VLOOKUP($B1376,'Hospitalisation Details'!A1375:K3719,11,0)</f>
        <v>56</v>
      </c>
    </row>
    <row r="1377" spans="1:18" x14ac:dyDescent="0.35">
      <c r="A1377" t="s">
        <v>995</v>
      </c>
      <c r="B1377" t="s">
        <v>1408</v>
      </c>
      <c r="C1377" t="str">
        <f>VLOOKUP($A1377,'Customer Names'!$A:$E,4,FALSE)</f>
        <v>Charlie A</v>
      </c>
      <c r="D1377" t="str">
        <f>VLOOKUP($A1377,'Medical Examinations'!$A:$J,2,FALSE)</f>
        <v>Overweight</v>
      </c>
      <c r="E1377">
        <f>VLOOKUP($A1377,'Medical Examinations'!$A:$J,4,FALSE)</f>
        <v>7.03</v>
      </c>
      <c r="F1377" t="str">
        <f>VLOOKUP($A1377,'Medical Examinations'!$A:$J,6,FALSE)</f>
        <v>No</v>
      </c>
      <c r="G1377" t="str">
        <f>VLOOKUP($A1377,'Medical Examinations'!$A:$J,7,FALSE)</f>
        <v>No</v>
      </c>
      <c r="H1377" t="str">
        <f>VLOOKUP($A1377,'Medical Examinations'!$A:$J,8,FALSE)</f>
        <v>No</v>
      </c>
      <c r="I1377">
        <f>VLOOKUP($A1377,'Medical Examinations'!$A:$J,9,FALSE)</f>
        <v>0</v>
      </c>
      <c r="J1377" t="str">
        <f>VLOOKUP($A1377,'Medical Examinations'!$A:$J,10,FALSE)</f>
        <v>No</v>
      </c>
      <c r="K1377" t="str">
        <f>VLOOKUP($A1377,'Medical Examinations'!$A:$J,5,FALSE)</f>
        <v>Diabetes</v>
      </c>
      <c r="L1377">
        <f>VLOOKUP($A1378,'Medical Examinations'!$A:$J,3,FALSE)</f>
        <v>40.58</v>
      </c>
      <c r="M1377">
        <f>VLOOKUP($A1377,'Hospitalisation Details'!$A:$K,6,FALSE)</f>
        <v>7789.64</v>
      </c>
      <c r="N1377" s="11">
        <f>VLOOKUP($B1377,'Hospitalisation Details'!A1376:J3720,10,0)</f>
        <v>38240</v>
      </c>
      <c r="O1377" t="str">
        <f>VLOOKUP($B1377,'Hospitalisation Details'!A1376:J3720,8,0)</f>
        <v>tier - 2</v>
      </c>
      <c r="P1377" t="str">
        <f>VLOOKUP($B1377,'Hospitalisation Details'!A1376:J3720,7,0)</f>
        <v>tier - 3</v>
      </c>
      <c r="Q1377" t="str">
        <f>VLOOKUP($B1377,'Hospitalisation Details'!A1376:J3720,9,0)</f>
        <v>R1013</v>
      </c>
      <c r="R1377">
        <f>VLOOKUP($B1377,'Hospitalisation Details'!A1376:K3720,11,0)</f>
        <v>18</v>
      </c>
    </row>
    <row r="1378" spans="1:18" x14ac:dyDescent="0.35">
      <c r="A1378" t="s">
        <v>994</v>
      </c>
      <c r="B1378" t="s">
        <v>1409</v>
      </c>
      <c r="C1378" t="str">
        <f>VLOOKUP($A1378,'Customer Names'!$A:$E,4,FALSE)</f>
        <v>Rick</v>
      </c>
      <c r="D1378" t="str">
        <f>VLOOKUP($A1378,'Medical Examinations'!$A:$J,2,FALSE)</f>
        <v>Obesity</v>
      </c>
      <c r="E1378">
        <f>VLOOKUP($A1378,'Medical Examinations'!$A:$J,4,FALSE)</f>
        <v>5.32</v>
      </c>
      <c r="F1378" t="str">
        <f>VLOOKUP($A1378,'Medical Examinations'!$A:$J,6,FALSE)</f>
        <v>yes</v>
      </c>
      <c r="G1378" t="str">
        <f>VLOOKUP($A1378,'Medical Examinations'!$A:$J,7,FALSE)</f>
        <v>No</v>
      </c>
      <c r="H1378" t="str">
        <f>VLOOKUP($A1378,'Medical Examinations'!$A:$J,8,FALSE)</f>
        <v>Yes</v>
      </c>
      <c r="I1378">
        <f>VLOOKUP($A1378,'Medical Examinations'!$A:$J,9,FALSE)</f>
        <v>1</v>
      </c>
      <c r="J1378" t="str">
        <f>VLOOKUP($A1378,'Medical Examinations'!$A:$J,10,FALSE)</f>
        <v>No</v>
      </c>
      <c r="K1378" t="str">
        <f>VLOOKUP($A1378,'Medical Examinations'!$A:$J,5,FALSE)</f>
        <v>Normal</v>
      </c>
      <c r="L1378">
        <f>VLOOKUP($A1379,'Medical Examinations'!$A:$J,3,FALSE)</f>
        <v>33.06</v>
      </c>
      <c r="M1378">
        <f>VLOOKUP($A1378,'Hospitalisation Details'!$A:$K,6,FALSE)</f>
        <v>7763.06</v>
      </c>
      <c r="N1378" s="11">
        <f>VLOOKUP($B1378,'Hospitalisation Details'!A1377:J3721,10,0)</f>
        <v>25854</v>
      </c>
      <c r="O1378" t="str">
        <f>VLOOKUP($B1378,'Hospitalisation Details'!A1377:J3721,8,0)</f>
        <v>tier - 1</v>
      </c>
      <c r="P1378" t="str">
        <f>VLOOKUP($B1378,'Hospitalisation Details'!A1377:J3721,7,0)</f>
        <v>tier - 3</v>
      </c>
      <c r="Q1378" t="str">
        <f>VLOOKUP($B1378,'Hospitalisation Details'!A1377:J3721,9,0)</f>
        <v>R1014</v>
      </c>
      <c r="R1378">
        <f>VLOOKUP($B1378,'Hospitalisation Details'!A1377:K3721,11,0)</f>
        <v>52</v>
      </c>
    </row>
    <row r="1379" spans="1:18" x14ac:dyDescent="0.35">
      <c r="A1379" t="s">
        <v>993</v>
      </c>
      <c r="B1379" t="s">
        <v>1410</v>
      </c>
      <c r="C1379" t="str">
        <f>VLOOKUP($A1379,'Customer Names'!$A:$E,4,FALSE)</f>
        <v>Lauren C</v>
      </c>
      <c r="D1379" t="str">
        <f>VLOOKUP($A1379,'Medical Examinations'!$A:$J,2,FALSE)</f>
        <v>Obesity</v>
      </c>
      <c r="E1379">
        <f>VLOOKUP($A1379,'Medical Examinations'!$A:$J,4,FALSE)</f>
        <v>9.59</v>
      </c>
      <c r="F1379" t="str">
        <f>VLOOKUP($A1379,'Medical Examinations'!$A:$J,6,FALSE)</f>
        <v>yes</v>
      </c>
      <c r="G1379" t="str">
        <f>VLOOKUP($A1379,'Medical Examinations'!$A:$J,7,FALSE)</f>
        <v>No</v>
      </c>
      <c r="H1379" t="str">
        <f>VLOOKUP($A1379,'Medical Examinations'!$A:$J,8,FALSE)</f>
        <v>No</v>
      </c>
      <c r="I1379">
        <f>VLOOKUP($A1379,'Medical Examinations'!$A:$J,9,FALSE)</f>
        <v>0</v>
      </c>
      <c r="J1379" t="str">
        <f>VLOOKUP($A1379,'Medical Examinations'!$A:$J,10,FALSE)</f>
        <v>No</v>
      </c>
      <c r="K1379" t="str">
        <f>VLOOKUP($A1379,'Medical Examinations'!$A:$J,5,FALSE)</f>
        <v>Diabetes</v>
      </c>
      <c r="L1379">
        <f>VLOOKUP($A1380,'Medical Examinations'!$A:$J,3,FALSE)</f>
        <v>26.62</v>
      </c>
      <c r="M1379">
        <f>VLOOKUP($A1379,'Hospitalisation Details'!$A:$K,6,FALSE)</f>
        <v>7749.16</v>
      </c>
      <c r="N1379" s="11">
        <f>VLOOKUP($B1379,'Hospitalisation Details'!A1378:J3722,10,0)</f>
        <v>30474</v>
      </c>
      <c r="O1379" t="str">
        <f>VLOOKUP($B1379,'Hospitalisation Details'!A1378:J3722,8,0)</f>
        <v>tier - 3</v>
      </c>
      <c r="P1379" t="str">
        <f>VLOOKUP($B1379,'Hospitalisation Details'!A1378:J3722,7,0)</f>
        <v>tier - 3</v>
      </c>
      <c r="Q1379" t="str">
        <f>VLOOKUP($B1379,'Hospitalisation Details'!A1378:J3722,9,0)</f>
        <v>R1026</v>
      </c>
      <c r="R1379">
        <f>VLOOKUP($B1379,'Hospitalisation Details'!A1378:K3722,11,0)</f>
        <v>40</v>
      </c>
    </row>
    <row r="1380" spans="1:18" x14ac:dyDescent="0.35">
      <c r="A1380" t="s">
        <v>992</v>
      </c>
      <c r="B1380" t="s">
        <v>1411</v>
      </c>
      <c r="C1380" t="str">
        <f>VLOOKUP($A1380,'Customer Names'!$A:$E,4,FALSE)</f>
        <v>Daniel</v>
      </c>
      <c r="D1380" t="str">
        <f>VLOOKUP($A1380,'Medical Examinations'!$A:$J,2,FALSE)</f>
        <v>Overweight</v>
      </c>
      <c r="E1380">
        <f>VLOOKUP($A1380,'Medical Examinations'!$A:$J,4,FALSE)</f>
        <v>6.15</v>
      </c>
      <c r="F1380" t="str">
        <f>VLOOKUP($A1380,'Medical Examinations'!$A:$J,6,FALSE)</f>
        <v>yes</v>
      </c>
      <c r="G1380" t="str">
        <f>VLOOKUP($A1380,'Medical Examinations'!$A:$J,7,FALSE)</f>
        <v>No</v>
      </c>
      <c r="H1380" t="str">
        <f>VLOOKUP($A1380,'Medical Examinations'!$A:$J,8,FALSE)</f>
        <v>No</v>
      </c>
      <c r="I1380">
        <f>VLOOKUP($A1380,'Medical Examinations'!$A:$J,9,FALSE)</f>
        <v>0</v>
      </c>
      <c r="J1380" t="str">
        <f>VLOOKUP($A1380,'Medical Examinations'!$A:$J,10,FALSE)</f>
        <v>No</v>
      </c>
      <c r="K1380" t="str">
        <f>VLOOKUP($A1380,'Medical Examinations'!$A:$J,5,FALSE)</f>
        <v>Prediabetes</v>
      </c>
      <c r="L1380">
        <f>VLOOKUP($A1381,'Medical Examinations'!$A:$J,3,FALSE)</f>
        <v>37.1</v>
      </c>
      <c r="M1380">
        <f>VLOOKUP($A1380,'Hospitalisation Details'!$A:$K,6,FALSE)</f>
        <v>7742.11</v>
      </c>
      <c r="N1380" s="11">
        <f>VLOOKUP($B1380,'Hospitalisation Details'!A1379:J3723,10,0)</f>
        <v>25426</v>
      </c>
      <c r="O1380" t="str">
        <f>VLOOKUP($B1380,'Hospitalisation Details'!A1379:J3723,8,0)</f>
        <v>tier - 1</v>
      </c>
      <c r="P1380" t="str">
        <f>VLOOKUP($B1380,'Hospitalisation Details'!A1379:J3723,7,0)</f>
        <v>tier - 3</v>
      </c>
      <c r="Q1380" t="str">
        <f>VLOOKUP($B1380,'Hospitalisation Details'!A1379:J3723,9,0)</f>
        <v>R1012</v>
      </c>
      <c r="R1380">
        <f>VLOOKUP($B1380,'Hospitalisation Details'!A1379:K3723,11,0)</f>
        <v>53</v>
      </c>
    </row>
    <row r="1381" spans="1:18" x14ac:dyDescent="0.35">
      <c r="A1381" t="s">
        <v>991</v>
      </c>
      <c r="B1381" t="s">
        <v>1412</v>
      </c>
      <c r="C1381" t="str">
        <f>VLOOKUP($A1381,'Customer Names'!$A:$E,4,FALSE)</f>
        <v>Jaime</v>
      </c>
      <c r="D1381" t="str">
        <f>VLOOKUP($A1381,'Medical Examinations'!$A:$J,2,FALSE)</f>
        <v>Obesity</v>
      </c>
      <c r="E1381">
        <f>VLOOKUP($A1381,'Medical Examinations'!$A:$J,4,FALSE)</f>
        <v>11.08</v>
      </c>
      <c r="F1381" t="str">
        <f>VLOOKUP($A1381,'Medical Examinations'!$A:$J,6,FALSE)</f>
        <v>No</v>
      </c>
      <c r="G1381" t="str">
        <f>VLOOKUP($A1381,'Medical Examinations'!$A:$J,7,FALSE)</f>
        <v>No</v>
      </c>
      <c r="H1381" t="str">
        <f>VLOOKUP($A1381,'Medical Examinations'!$A:$J,8,FALSE)</f>
        <v>No</v>
      </c>
      <c r="I1381">
        <f>VLOOKUP($A1381,'Medical Examinations'!$A:$J,9,FALSE)</f>
        <v>0</v>
      </c>
      <c r="J1381" t="str">
        <f>VLOOKUP($A1381,'Medical Examinations'!$A:$J,10,FALSE)</f>
        <v>No</v>
      </c>
      <c r="K1381" t="str">
        <f>VLOOKUP($A1381,'Medical Examinations'!$A:$J,5,FALSE)</f>
        <v>Diabetes</v>
      </c>
      <c r="L1381">
        <f>VLOOKUP($A1382,'Medical Examinations'!$A:$J,3,FALSE)</f>
        <v>18.28</v>
      </c>
      <c r="M1381">
        <f>VLOOKUP($A1381,'Hospitalisation Details'!$A:$K,6,FALSE)</f>
        <v>7740.34</v>
      </c>
      <c r="N1381" s="11">
        <f>VLOOKUP($B1381,'Hospitalisation Details'!A1380:J3724,10,0)</f>
        <v>32787</v>
      </c>
      <c r="O1381" t="str">
        <f>VLOOKUP($B1381,'Hospitalisation Details'!A1380:J3724,8,0)</f>
        <v>tier - 3</v>
      </c>
      <c r="P1381" t="str">
        <f>VLOOKUP($B1381,'Hospitalisation Details'!A1380:J3724,7,0)</f>
        <v>tier - 3</v>
      </c>
      <c r="Q1381" t="str">
        <f>VLOOKUP($B1381,'Hospitalisation Details'!A1380:J3724,9,0)</f>
        <v>R1026</v>
      </c>
      <c r="R1381">
        <f>VLOOKUP($B1381,'Hospitalisation Details'!A1380:K3724,11,0)</f>
        <v>33</v>
      </c>
    </row>
    <row r="1382" spans="1:18" x14ac:dyDescent="0.35">
      <c r="A1382" t="s">
        <v>990</v>
      </c>
      <c r="B1382" t="s">
        <v>1413</v>
      </c>
      <c r="C1382" t="str">
        <f>VLOOKUP($A1382,'Customer Names'!$A:$E,4,FALSE)</f>
        <v>Erik R</v>
      </c>
      <c r="D1382" t="str">
        <f>VLOOKUP($A1382,'Medical Examinations'!$A:$J,2,FALSE)</f>
        <v>Underweight</v>
      </c>
      <c r="E1382">
        <f>VLOOKUP($A1382,'Medical Examinations'!$A:$J,4,FALSE)</f>
        <v>7.95</v>
      </c>
      <c r="F1382" t="str">
        <f>VLOOKUP($A1382,'Medical Examinations'!$A:$J,6,FALSE)</f>
        <v>No</v>
      </c>
      <c r="G1382" t="str">
        <f>VLOOKUP($A1382,'Medical Examinations'!$A:$J,7,FALSE)</f>
        <v>No</v>
      </c>
      <c r="H1382" t="str">
        <f>VLOOKUP($A1382,'Medical Examinations'!$A:$J,8,FALSE)</f>
        <v>No</v>
      </c>
      <c r="I1382">
        <f>VLOOKUP($A1382,'Medical Examinations'!$A:$J,9,FALSE)</f>
        <v>0</v>
      </c>
      <c r="J1382" t="str">
        <f>VLOOKUP($A1382,'Medical Examinations'!$A:$J,10,FALSE)</f>
        <v>No</v>
      </c>
      <c r="K1382" t="str">
        <f>VLOOKUP($A1382,'Medical Examinations'!$A:$J,5,FALSE)</f>
        <v>Diabetes</v>
      </c>
      <c r="L1382">
        <f>VLOOKUP($A1383,'Medical Examinations'!$A:$J,3,FALSE)</f>
        <v>35.814999999999998</v>
      </c>
      <c r="M1382">
        <f>VLOOKUP($A1382,'Hospitalisation Details'!$A:$K,6,FALSE)</f>
        <v>7736.39</v>
      </c>
      <c r="N1382" s="11">
        <f>VLOOKUP($B1382,'Hospitalisation Details'!A1381:J3725,10,0)</f>
        <v>25013</v>
      </c>
      <c r="O1382" t="str">
        <f>VLOOKUP($B1382,'Hospitalisation Details'!A1381:J3725,8,0)</f>
        <v>tier - 1</v>
      </c>
      <c r="P1382" t="str">
        <f>VLOOKUP($B1382,'Hospitalisation Details'!A1381:J3725,7,0)</f>
        <v>tier - 3</v>
      </c>
      <c r="Q1382" t="str">
        <f>VLOOKUP($B1382,'Hospitalisation Details'!A1381:J3725,9,0)</f>
        <v>R1024</v>
      </c>
      <c r="R1382">
        <f>VLOOKUP($B1382,'Hospitalisation Details'!A1381:K3725,11,0)</f>
        <v>54</v>
      </c>
    </row>
    <row r="1383" spans="1:18" x14ac:dyDescent="0.35">
      <c r="A1383" t="s">
        <v>989</v>
      </c>
      <c r="B1383" t="s">
        <v>1414</v>
      </c>
      <c r="C1383" t="str">
        <f>VLOOKUP($A1383,'Customer Names'!$A:$E,4,FALSE)</f>
        <v>Katie</v>
      </c>
      <c r="D1383" t="str">
        <f>VLOOKUP($A1383,'Medical Examinations'!$A:$J,2,FALSE)</f>
        <v>Obesity</v>
      </c>
      <c r="E1383">
        <f>VLOOKUP($A1383,'Medical Examinations'!$A:$J,4,FALSE)</f>
        <v>6.23</v>
      </c>
      <c r="F1383" t="str">
        <f>VLOOKUP($A1383,'Medical Examinations'!$A:$J,6,FALSE)</f>
        <v>No</v>
      </c>
      <c r="G1383" t="str">
        <f>VLOOKUP($A1383,'Medical Examinations'!$A:$J,7,FALSE)</f>
        <v>No</v>
      </c>
      <c r="H1383" t="str">
        <f>VLOOKUP($A1383,'Medical Examinations'!$A:$J,8,FALSE)</f>
        <v>No</v>
      </c>
      <c r="I1383">
        <f>VLOOKUP($A1383,'Medical Examinations'!$A:$J,9,FALSE)</f>
        <v>0</v>
      </c>
      <c r="J1383" t="str">
        <f>VLOOKUP($A1383,'Medical Examinations'!$A:$J,10,FALSE)</f>
        <v>No</v>
      </c>
      <c r="K1383" t="str">
        <f>VLOOKUP($A1383,'Medical Examinations'!$A:$J,5,FALSE)</f>
        <v>Prediabetes</v>
      </c>
      <c r="L1383">
        <f>VLOOKUP($A1384,'Medical Examinations'!$A:$J,3,FALSE)</f>
        <v>30.69</v>
      </c>
      <c r="M1383">
        <f>VLOOKUP($A1383,'Hospitalisation Details'!$A:$K,6,FALSE)</f>
        <v>7731.86</v>
      </c>
      <c r="N1383" s="11">
        <f>VLOOKUP($B1383,'Hospitalisation Details'!A1382:J3726,10,0)</f>
        <v>26286</v>
      </c>
      <c r="O1383" t="str">
        <f>VLOOKUP($B1383,'Hospitalisation Details'!A1382:J3726,8,0)</f>
        <v>tier - 1</v>
      </c>
      <c r="P1383" t="str">
        <f>VLOOKUP($B1383,'Hospitalisation Details'!A1382:J3726,7,0)</f>
        <v>tier - 3</v>
      </c>
      <c r="Q1383" t="str">
        <f>VLOOKUP($B1383,'Hospitalisation Details'!A1382:J3726,9,0)</f>
        <v>R1012</v>
      </c>
      <c r="R1383">
        <f>VLOOKUP($B1383,'Hospitalisation Details'!A1382:K3726,11,0)</f>
        <v>51</v>
      </c>
    </row>
    <row r="1384" spans="1:18" x14ac:dyDescent="0.35">
      <c r="A1384" t="s">
        <v>988</v>
      </c>
      <c r="B1384" t="s">
        <v>1415</v>
      </c>
      <c r="C1384" t="str">
        <f>VLOOKUP($A1384,'Customer Names'!$A:$E,4,FALSE)</f>
        <v>Thomas A</v>
      </c>
      <c r="D1384" t="str">
        <f>VLOOKUP($A1384,'Medical Examinations'!$A:$J,2,FALSE)</f>
        <v>Obesity</v>
      </c>
      <c r="E1384">
        <f>VLOOKUP($A1384,'Medical Examinations'!$A:$J,4,FALSE)</f>
        <v>6.5</v>
      </c>
      <c r="F1384" t="str">
        <f>VLOOKUP($A1384,'Medical Examinations'!$A:$J,6,FALSE)</f>
        <v>No</v>
      </c>
      <c r="G1384" t="str">
        <f>VLOOKUP($A1384,'Medical Examinations'!$A:$J,7,FALSE)</f>
        <v>No</v>
      </c>
      <c r="H1384" t="str">
        <f>VLOOKUP($A1384,'Medical Examinations'!$A:$J,8,FALSE)</f>
        <v>No</v>
      </c>
      <c r="I1384">
        <f>VLOOKUP($A1384,'Medical Examinations'!$A:$J,9,FALSE)</f>
        <v>0</v>
      </c>
      <c r="J1384" t="str">
        <f>VLOOKUP($A1384,'Medical Examinations'!$A:$J,10,FALSE)</f>
        <v>No</v>
      </c>
      <c r="K1384" t="str">
        <f>VLOOKUP($A1384,'Medical Examinations'!$A:$J,5,FALSE)</f>
        <v>Diabetes</v>
      </c>
      <c r="L1384">
        <f>VLOOKUP($A1385,'Medical Examinations'!$A:$J,3,FALSE)</f>
        <v>26.125</v>
      </c>
      <c r="M1384">
        <f>VLOOKUP($A1384,'Hospitalisation Details'!$A:$K,6,FALSE)</f>
        <v>7731.43</v>
      </c>
      <c r="N1384" s="11">
        <f>VLOOKUP($B1384,'Hospitalisation Details'!A1383:J3727,10,0)</f>
        <v>32306</v>
      </c>
      <c r="O1384" t="str">
        <f>VLOOKUP($B1384,'Hospitalisation Details'!A1383:J3727,8,0)</f>
        <v>tier - 1</v>
      </c>
      <c r="P1384" t="str">
        <f>VLOOKUP($B1384,'Hospitalisation Details'!A1383:J3727,7,0)</f>
        <v>tier - 3</v>
      </c>
      <c r="Q1384" t="str">
        <f>VLOOKUP($B1384,'Hospitalisation Details'!A1383:J3727,9,0)</f>
        <v>R1026</v>
      </c>
      <c r="R1384">
        <f>VLOOKUP($B1384,'Hospitalisation Details'!A1383:K3727,11,0)</f>
        <v>34</v>
      </c>
    </row>
    <row r="1385" spans="1:18" x14ac:dyDescent="0.35">
      <c r="A1385" t="s">
        <v>987</v>
      </c>
      <c r="B1385" t="s">
        <v>1416</v>
      </c>
      <c r="C1385" t="str">
        <f>VLOOKUP($A1385,'Customer Names'!$A:$E,4,FALSE)</f>
        <v>Jean-Marc</v>
      </c>
      <c r="D1385" t="str">
        <f>VLOOKUP($A1385,'Medical Examinations'!$A:$J,2,FALSE)</f>
        <v>Overweight</v>
      </c>
      <c r="E1385">
        <f>VLOOKUP($A1385,'Medical Examinations'!$A:$J,4,FALSE)</f>
        <v>5.22</v>
      </c>
      <c r="F1385" t="str">
        <f>VLOOKUP($A1385,'Medical Examinations'!$A:$J,6,FALSE)</f>
        <v>No</v>
      </c>
      <c r="G1385" t="str">
        <f>VLOOKUP($A1385,'Medical Examinations'!$A:$J,7,FALSE)</f>
        <v>No</v>
      </c>
      <c r="H1385" t="str">
        <f>VLOOKUP($A1385,'Medical Examinations'!$A:$J,8,FALSE)</f>
        <v>No</v>
      </c>
      <c r="I1385">
        <f>VLOOKUP($A1385,'Medical Examinations'!$A:$J,9,FALSE)</f>
        <v>0</v>
      </c>
      <c r="J1385" t="str">
        <f>VLOOKUP($A1385,'Medical Examinations'!$A:$J,10,FALSE)</f>
        <v>No</v>
      </c>
      <c r="K1385" t="str">
        <f>VLOOKUP($A1385,'Medical Examinations'!$A:$J,5,FALSE)</f>
        <v>Normal</v>
      </c>
      <c r="L1385">
        <f>VLOOKUP($A1386,'Medical Examinations'!$A:$J,3,FALSE)</f>
        <v>34.58</v>
      </c>
      <c r="M1385">
        <f>VLOOKUP($A1385,'Hospitalisation Details'!$A:$K,6,FALSE)</f>
        <v>7729.65</v>
      </c>
      <c r="N1385" s="11">
        <f>VLOOKUP($B1385,'Hospitalisation Details'!A1384:J3728,10,0)</f>
        <v>25772</v>
      </c>
      <c r="O1385" t="str">
        <f>VLOOKUP($B1385,'Hospitalisation Details'!A1384:J3728,8,0)</f>
        <v>tier - 1</v>
      </c>
      <c r="P1385" t="str">
        <f>VLOOKUP($B1385,'Hospitalisation Details'!A1384:J3728,7,0)</f>
        <v>tier - 3</v>
      </c>
      <c r="Q1385" t="str">
        <f>VLOOKUP($B1385,'Hospitalisation Details'!A1384:J3728,9,0)</f>
        <v>R1012</v>
      </c>
      <c r="R1385">
        <f>VLOOKUP($B1385,'Hospitalisation Details'!A1384:K3728,11,0)</f>
        <v>52</v>
      </c>
    </row>
    <row r="1386" spans="1:18" x14ac:dyDescent="0.35">
      <c r="A1386" t="s">
        <v>986</v>
      </c>
      <c r="B1386" t="s">
        <v>1417</v>
      </c>
      <c r="C1386" t="str">
        <f>VLOOKUP($A1386,'Customer Names'!$A:$E,4,FALSE)</f>
        <v>Kerry L</v>
      </c>
      <c r="D1386" t="str">
        <f>VLOOKUP($A1386,'Medical Examinations'!$A:$J,2,FALSE)</f>
        <v>Obesity</v>
      </c>
      <c r="E1386">
        <f>VLOOKUP($A1386,'Medical Examinations'!$A:$J,4,FALSE)</f>
        <v>6.3</v>
      </c>
      <c r="F1386" t="str">
        <f>VLOOKUP($A1386,'Medical Examinations'!$A:$J,6,FALSE)</f>
        <v>No</v>
      </c>
      <c r="G1386" t="str">
        <f>VLOOKUP($A1386,'Medical Examinations'!$A:$J,7,FALSE)</f>
        <v>No</v>
      </c>
      <c r="H1386" t="str">
        <f>VLOOKUP($A1386,'Medical Examinations'!$A:$J,8,FALSE)</f>
        <v>Yes</v>
      </c>
      <c r="I1386">
        <f>VLOOKUP($A1386,'Medical Examinations'!$A:$J,9,FALSE)</f>
        <v>1</v>
      </c>
      <c r="J1386" t="str">
        <f>VLOOKUP($A1386,'Medical Examinations'!$A:$J,10,FALSE)</f>
        <v>No</v>
      </c>
      <c r="K1386" t="str">
        <f>VLOOKUP($A1386,'Medical Examinations'!$A:$J,5,FALSE)</f>
        <v>Prediabetes</v>
      </c>
      <c r="L1386">
        <f>VLOOKUP($A1387,'Medical Examinations'!$A:$J,3,FALSE)</f>
        <v>27.4</v>
      </c>
      <c r="M1386">
        <f>VLOOKUP($A1386,'Hospitalisation Details'!$A:$K,6,FALSE)</f>
        <v>7727.25</v>
      </c>
      <c r="N1386" s="11">
        <f>VLOOKUP($B1386,'Hospitalisation Details'!A1385:J3729,10,0)</f>
        <v>24018</v>
      </c>
      <c r="O1386" t="str">
        <f>VLOOKUP($B1386,'Hospitalisation Details'!A1385:J3729,8,0)</f>
        <v>tier - 1</v>
      </c>
      <c r="P1386" t="str">
        <f>VLOOKUP($B1386,'Hospitalisation Details'!A1385:J3729,7,0)</f>
        <v>tier - 3</v>
      </c>
      <c r="Q1386" t="str">
        <f>VLOOKUP($B1386,'Hospitalisation Details'!A1385:J3729,9,0)</f>
        <v>R1017</v>
      </c>
      <c r="R1386">
        <f>VLOOKUP($B1386,'Hospitalisation Details'!A1385:K3729,11,0)</f>
        <v>57</v>
      </c>
    </row>
    <row r="1387" spans="1:18" x14ac:dyDescent="0.35">
      <c r="A1387" t="s">
        <v>985</v>
      </c>
      <c r="B1387" t="s">
        <v>1418</v>
      </c>
      <c r="C1387" t="str">
        <f>VLOOKUP($A1387,'Customer Names'!$A:$E,4,FALSE)</f>
        <v>Ulrich</v>
      </c>
      <c r="D1387" t="str">
        <f>VLOOKUP($A1387,'Medical Examinations'!$A:$J,2,FALSE)</f>
        <v>Overweight</v>
      </c>
      <c r="E1387">
        <f>VLOOKUP($A1387,'Medical Examinations'!$A:$J,4,FALSE)</f>
        <v>8.84</v>
      </c>
      <c r="F1387" t="str">
        <f>VLOOKUP($A1387,'Medical Examinations'!$A:$J,6,FALSE)</f>
        <v>No</v>
      </c>
      <c r="G1387" t="str">
        <f>VLOOKUP($A1387,'Medical Examinations'!$A:$J,7,FALSE)</f>
        <v>No</v>
      </c>
      <c r="H1387" t="str">
        <f>VLOOKUP($A1387,'Medical Examinations'!$A:$J,8,FALSE)</f>
        <v>No</v>
      </c>
      <c r="I1387">
        <f>VLOOKUP($A1387,'Medical Examinations'!$A:$J,9,FALSE)</f>
        <v>0</v>
      </c>
      <c r="J1387" t="str">
        <f>VLOOKUP($A1387,'Medical Examinations'!$A:$J,10,FALSE)</f>
        <v>No</v>
      </c>
      <c r="K1387" t="str">
        <f>VLOOKUP($A1387,'Medical Examinations'!$A:$J,5,FALSE)</f>
        <v>Diabetes</v>
      </c>
      <c r="L1387">
        <f>VLOOKUP($A1388,'Medical Examinations'!$A:$J,3,FALSE)</f>
        <v>27.53</v>
      </c>
      <c r="M1387">
        <f>VLOOKUP($A1387,'Hospitalisation Details'!$A:$K,6,FALSE)</f>
        <v>7726.85</v>
      </c>
      <c r="N1387" s="11">
        <f>VLOOKUP($B1387,'Hospitalisation Details'!A1386:J3730,10,0)</f>
        <v>25156</v>
      </c>
      <c r="O1387" t="str">
        <f>VLOOKUP($B1387,'Hospitalisation Details'!A1386:J3730,8,0)</f>
        <v>tier - 1</v>
      </c>
      <c r="P1387" t="str">
        <f>VLOOKUP($B1387,'Hospitalisation Details'!A1386:J3730,7,0)</f>
        <v>tier - 3</v>
      </c>
      <c r="Q1387" t="str">
        <f>VLOOKUP($B1387,'Hospitalisation Details'!A1386:J3730,9,0)</f>
        <v>R1011</v>
      </c>
      <c r="R1387">
        <f>VLOOKUP($B1387,'Hospitalisation Details'!A1386:K3730,11,0)</f>
        <v>54</v>
      </c>
    </row>
    <row r="1388" spans="1:18" x14ac:dyDescent="0.35">
      <c r="A1388" t="s">
        <v>984</v>
      </c>
      <c r="B1388" t="s">
        <v>1419</v>
      </c>
      <c r="C1388" t="str">
        <f>VLOOKUP($A1388,'Customer Names'!$A:$E,4,FALSE)</f>
        <v>Justin P</v>
      </c>
      <c r="D1388" t="str">
        <f>VLOOKUP($A1388,'Medical Examinations'!$A:$J,2,FALSE)</f>
        <v>Overweight</v>
      </c>
      <c r="E1388">
        <f>VLOOKUP($A1388,'Medical Examinations'!$A:$J,4,FALSE)</f>
        <v>4.1100000000000003</v>
      </c>
      <c r="F1388" t="str">
        <f>VLOOKUP($A1388,'Medical Examinations'!$A:$J,6,FALSE)</f>
        <v>No</v>
      </c>
      <c r="G1388" t="str">
        <f>VLOOKUP($A1388,'Medical Examinations'!$A:$J,7,FALSE)</f>
        <v>No</v>
      </c>
      <c r="H1388" t="str">
        <f>VLOOKUP($A1388,'Medical Examinations'!$A:$J,8,FALSE)</f>
        <v>No</v>
      </c>
      <c r="I1388">
        <f>VLOOKUP($A1388,'Medical Examinations'!$A:$J,9,FALSE)</f>
        <v>1</v>
      </c>
      <c r="J1388" t="str">
        <f>VLOOKUP($A1388,'Medical Examinations'!$A:$J,10,FALSE)</f>
        <v>No</v>
      </c>
      <c r="K1388" t="str">
        <f>VLOOKUP($A1388,'Medical Examinations'!$A:$J,5,FALSE)</f>
        <v>Normal</v>
      </c>
      <c r="L1388">
        <f>VLOOKUP($A1389,'Medical Examinations'!$A:$J,3,FALSE)</f>
        <v>33</v>
      </c>
      <c r="M1388">
        <f>VLOOKUP($A1388,'Hospitalisation Details'!$A:$K,6,FALSE)</f>
        <v>7684.62</v>
      </c>
      <c r="N1388" s="11">
        <f>VLOOKUP($B1388,'Hospitalisation Details'!A1387:J3731,10,0)</f>
        <v>26268</v>
      </c>
      <c r="O1388" t="str">
        <f>VLOOKUP($B1388,'Hospitalisation Details'!A1387:J3731,8,0)</f>
        <v>tier - 1</v>
      </c>
      <c r="P1388" t="str">
        <f>VLOOKUP($B1388,'Hospitalisation Details'!A1387:J3731,7,0)</f>
        <v>tier - 3</v>
      </c>
      <c r="Q1388" t="str">
        <f>VLOOKUP($B1388,'Hospitalisation Details'!A1387:J3731,9,0)</f>
        <v>R1012</v>
      </c>
      <c r="R1388">
        <f>VLOOKUP($B1388,'Hospitalisation Details'!A1387:K3731,11,0)</f>
        <v>51</v>
      </c>
    </row>
    <row r="1389" spans="1:18" x14ac:dyDescent="0.35">
      <c r="A1389" t="s">
        <v>983</v>
      </c>
      <c r="B1389" t="s">
        <v>1420</v>
      </c>
      <c r="C1389" t="str">
        <f>VLOOKUP($A1389,'Customer Names'!$A:$E,4,FALSE)</f>
        <v>Hannah E.</v>
      </c>
      <c r="D1389" t="str">
        <f>VLOOKUP($A1389,'Medical Examinations'!$A:$J,2,FALSE)</f>
        <v>Obesity</v>
      </c>
      <c r="E1389">
        <f>VLOOKUP($A1389,'Medical Examinations'!$A:$J,4,FALSE)</f>
        <v>4.57</v>
      </c>
      <c r="F1389" t="str">
        <f>VLOOKUP($A1389,'Medical Examinations'!$A:$J,6,FALSE)</f>
        <v>No</v>
      </c>
      <c r="G1389" t="str">
        <f>VLOOKUP($A1389,'Medical Examinations'!$A:$J,7,FALSE)</f>
        <v>No</v>
      </c>
      <c r="H1389" t="str">
        <f>VLOOKUP($A1389,'Medical Examinations'!$A:$J,8,FALSE)</f>
        <v>No</v>
      </c>
      <c r="I1389">
        <f>VLOOKUP($A1389,'Medical Examinations'!$A:$J,9,FALSE)</f>
        <v>0</v>
      </c>
      <c r="J1389" t="str">
        <f>VLOOKUP($A1389,'Medical Examinations'!$A:$J,10,FALSE)</f>
        <v>No</v>
      </c>
      <c r="K1389" t="str">
        <f>VLOOKUP($A1389,'Medical Examinations'!$A:$J,5,FALSE)</f>
        <v>Normal</v>
      </c>
      <c r="L1389">
        <f>VLOOKUP($A1390,'Medical Examinations'!$A:$J,3,FALSE)</f>
        <v>25.78</v>
      </c>
      <c r="M1389">
        <f>VLOOKUP($A1389,'Hospitalisation Details'!$A:$K,6,FALSE)</f>
        <v>7682.67</v>
      </c>
      <c r="N1389" s="11">
        <f>VLOOKUP($B1389,'Hospitalisation Details'!A1388:J3732,10,0)</f>
        <v>26868</v>
      </c>
      <c r="O1389" t="str">
        <f>VLOOKUP($B1389,'Hospitalisation Details'!A1388:J3732,8,0)</f>
        <v>tier - 2</v>
      </c>
      <c r="P1389" t="str">
        <f>VLOOKUP($B1389,'Hospitalisation Details'!A1388:J3732,7,0)</f>
        <v>tier - 3</v>
      </c>
      <c r="Q1389" t="str">
        <f>VLOOKUP($B1389,'Hospitalisation Details'!A1388:J3732,9,0)</f>
        <v>R1011</v>
      </c>
      <c r="R1389">
        <f>VLOOKUP($B1389,'Hospitalisation Details'!A1388:K3732,11,0)</f>
        <v>49</v>
      </c>
    </row>
    <row r="1390" spans="1:18" x14ac:dyDescent="0.35">
      <c r="A1390" t="s">
        <v>982</v>
      </c>
      <c r="B1390" t="s">
        <v>1421</v>
      </c>
      <c r="C1390" t="str">
        <f>VLOOKUP($A1390,'Customer Names'!$A:$E,4,FALSE)</f>
        <v>David</v>
      </c>
      <c r="D1390" t="str">
        <f>VLOOKUP($A1390,'Medical Examinations'!$A:$J,2,FALSE)</f>
        <v>Overweight</v>
      </c>
      <c r="E1390">
        <f>VLOOKUP($A1390,'Medical Examinations'!$A:$J,4,FALSE)</f>
        <v>11.06</v>
      </c>
      <c r="F1390" t="str">
        <f>VLOOKUP($A1390,'Medical Examinations'!$A:$J,6,FALSE)</f>
        <v>yes</v>
      </c>
      <c r="G1390" t="str">
        <f>VLOOKUP($A1390,'Medical Examinations'!$A:$J,7,FALSE)</f>
        <v>No</v>
      </c>
      <c r="H1390" t="str">
        <f>VLOOKUP($A1390,'Medical Examinations'!$A:$J,8,FALSE)</f>
        <v>No</v>
      </c>
      <c r="I1390">
        <f>VLOOKUP($A1390,'Medical Examinations'!$A:$J,9,FALSE)</f>
        <v>0</v>
      </c>
      <c r="J1390" t="str">
        <f>VLOOKUP($A1390,'Medical Examinations'!$A:$J,10,FALSE)</f>
        <v>No</v>
      </c>
      <c r="K1390" t="str">
        <f>VLOOKUP($A1390,'Medical Examinations'!$A:$J,5,FALSE)</f>
        <v>Diabetes</v>
      </c>
      <c r="L1390">
        <f>VLOOKUP($A1391,'Medical Examinations'!$A:$J,3,FALSE)</f>
        <v>22.66</v>
      </c>
      <c r="M1390">
        <f>VLOOKUP($A1390,'Hospitalisation Details'!$A:$K,6,FALSE)</f>
        <v>7681.17</v>
      </c>
      <c r="N1390" s="11">
        <f>VLOOKUP($B1390,'Hospitalisation Details'!A1389:J3733,10,0)</f>
        <v>24042</v>
      </c>
      <c r="O1390" t="str">
        <f>VLOOKUP($B1390,'Hospitalisation Details'!A1389:J3733,8,0)</f>
        <v>tier - 1</v>
      </c>
      <c r="P1390" t="str">
        <f>VLOOKUP($B1390,'Hospitalisation Details'!A1389:J3733,7,0)</f>
        <v>tier - 3</v>
      </c>
      <c r="Q1390" t="str">
        <f>VLOOKUP($B1390,'Hospitalisation Details'!A1389:J3733,9,0)</f>
        <v>R1013</v>
      </c>
      <c r="R1390">
        <f>VLOOKUP($B1390,'Hospitalisation Details'!A1389:K3733,11,0)</f>
        <v>57</v>
      </c>
    </row>
    <row r="1391" spans="1:18" x14ac:dyDescent="0.35">
      <c r="A1391" t="s">
        <v>981</v>
      </c>
      <c r="B1391" t="s">
        <v>1422</v>
      </c>
      <c r="C1391" t="str">
        <f>VLOOKUP($A1391,'Customer Names'!$A:$E,4,FALSE)</f>
        <v>Jim</v>
      </c>
      <c r="D1391" t="str">
        <f>VLOOKUP($A1391,'Medical Examinations'!$A:$J,2,FALSE)</f>
        <v>Normal Weight</v>
      </c>
      <c r="E1391">
        <f>VLOOKUP($A1391,'Medical Examinations'!$A:$J,4,FALSE)</f>
        <v>10.68</v>
      </c>
      <c r="F1391" t="str">
        <f>VLOOKUP($A1391,'Medical Examinations'!$A:$J,6,FALSE)</f>
        <v>No</v>
      </c>
      <c r="G1391" t="str">
        <f>VLOOKUP($A1391,'Medical Examinations'!$A:$J,7,FALSE)</f>
        <v>No</v>
      </c>
      <c r="H1391" t="str">
        <f>VLOOKUP($A1391,'Medical Examinations'!$A:$J,8,FALSE)</f>
        <v>No</v>
      </c>
      <c r="I1391">
        <f>VLOOKUP($A1391,'Medical Examinations'!$A:$J,9,FALSE)</f>
        <v>0</v>
      </c>
      <c r="J1391" t="str">
        <f>VLOOKUP($A1391,'Medical Examinations'!$A:$J,10,FALSE)</f>
        <v>No</v>
      </c>
      <c r="K1391" t="str">
        <f>VLOOKUP($A1391,'Medical Examinations'!$A:$J,5,FALSE)</f>
        <v>Diabetes</v>
      </c>
      <c r="L1391">
        <f>VLOOKUP($A1392,'Medical Examinations'!$A:$J,3,FALSE)</f>
        <v>38.81</v>
      </c>
      <c r="M1391">
        <f>VLOOKUP($A1391,'Hospitalisation Details'!$A:$K,6,FALSE)</f>
        <v>7680.92</v>
      </c>
      <c r="N1391" s="11">
        <f>VLOOKUP($B1391,'Hospitalisation Details'!A1390:J3734,10,0)</f>
        <v>24101</v>
      </c>
      <c r="O1391" t="str">
        <f>VLOOKUP($B1391,'Hospitalisation Details'!A1390:J3734,8,0)</f>
        <v>tier - 3</v>
      </c>
      <c r="P1391" t="str">
        <f>VLOOKUP($B1391,'Hospitalisation Details'!A1390:J3734,7,0)</f>
        <v>tier - 3</v>
      </c>
      <c r="Q1391" t="str">
        <f>VLOOKUP($B1391,'Hospitalisation Details'!A1390:J3734,9,0)</f>
        <v>R1016</v>
      </c>
      <c r="R1391">
        <f>VLOOKUP($B1391,'Hospitalisation Details'!A1390:K3734,11,0)</f>
        <v>57</v>
      </c>
    </row>
    <row r="1392" spans="1:18" x14ac:dyDescent="0.35">
      <c r="A1392" t="s">
        <v>980</v>
      </c>
      <c r="B1392" t="s">
        <v>1423</v>
      </c>
      <c r="C1392" t="str">
        <f>VLOOKUP($A1392,'Customer Names'!$A:$E,4,FALSE)</f>
        <v>Joseph P</v>
      </c>
      <c r="D1392" t="str">
        <f>VLOOKUP($A1392,'Medical Examinations'!$A:$J,2,FALSE)</f>
        <v>Obesity</v>
      </c>
      <c r="E1392">
        <f>VLOOKUP($A1392,'Medical Examinations'!$A:$J,4,FALSE)</f>
        <v>6.14</v>
      </c>
      <c r="F1392" t="str">
        <f>VLOOKUP($A1392,'Medical Examinations'!$A:$J,6,FALSE)</f>
        <v>yes</v>
      </c>
      <c r="G1392" t="str">
        <f>VLOOKUP($A1392,'Medical Examinations'!$A:$J,7,FALSE)</f>
        <v>No</v>
      </c>
      <c r="H1392" t="str">
        <f>VLOOKUP($A1392,'Medical Examinations'!$A:$J,8,FALSE)</f>
        <v>No</v>
      </c>
      <c r="I1392">
        <f>VLOOKUP($A1392,'Medical Examinations'!$A:$J,9,FALSE)</f>
        <v>1</v>
      </c>
      <c r="J1392" t="str">
        <f>VLOOKUP($A1392,'Medical Examinations'!$A:$J,10,FALSE)</f>
        <v>No</v>
      </c>
      <c r="K1392" t="str">
        <f>VLOOKUP($A1392,'Medical Examinations'!$A:$J,5,FALSE)</f>
        <v>Prediabetes</v>
      </c>
      <c r="L1392">
        <f>VLOOKUP($A1393,'Medical Examinations'!$A:$J,3,FALSE)</f>
        <v>38.51</v>
      </c>
      <c r="M1392">
        <f>VLOOKUP($A1392,'Hospitalisation Details'!$A:$K,6,FALSE)</f>
        <v>7676.4</v>
      </c>
      <c r="N1392" s="11">
        <f>VLOOKUP($B1392,'Hospitalisation Details'!A1391:J3735,10,0)</f>
        <v>24052</v>
      </c>
      <c r="O1392" t="str">
        <f>VLOOKUP($B1392,'Hospitalisation Details'!A1391:J3735,8,0)</f>
        <v>tier - 3</v>
      </c>
      <c r="P1392" t="str">
        <f>VLOOKUP($B1392,'Hospitalisation Details'!A1391:J3735,7,0)</f>
        <v>tier - 3</v>
      </c>
      <c r="Q1392" t="str">
        <f>VLOOKUP($B1392,'Hospitalisation Details'!A1391:J3735,9,0)</f>
        <v>R1011</v>
      </c>
      <c r="R1392">
        <f>VLOOKUP($B1392,'Hospitalisation Details'!A1391:K3735,11,0)</f>
        <v>57</v>
      </c>
    </row>
    <row r="1393" spans="1:18" x14ac:dyDescent="0.35">
      <c r="A1393" t="s">
        <v>979</v>
      </c>
      <c r="B1393" t="s">
        <v>1424</v>
      </c>
      <c r="C1393" t="str">
        <f>VLOOKUP($A1393,'Customer Names'!$A:$E,4,FALSE)</f>
        <v>Michael</v>
      </c>
      <c r="D1393" t="str">
        <f>VLOOKUP($A1393,'Medical Examinations'!$A:$J,2,FALSE)</f>
        <v>Obesity</v>
      </c>
      <c r="E1393">
        <f>VLOOKUP($A1393,'Medical Examinations'!$A:$J,4,FALSE)</f>
        <v>5.45</v>
      </c>
      <c r="F1393" t="str">
        <f>VLOOKUP($A1393,'Medical Examinations'!$A:$J,6,FALSE)</f>
        <v>yes</v>
      </c>
      <c r="G1393" t="str">
        <f>VLOOKUP($A1393,'Medical Examinations'!$A:$J,7,FALSE)</f>
        <v>No</v>
      </c>
      <c r="H1393" t="str">
        <f>VLOOKUP($A1393,'Medical Examinations'!$A:$J,8,FALSE)</f>
        <v>No</v>
      </c>
      <c r="I1393">
        <f>VLOOKUP($A1393,'Medical Examinations'!$A:$J,9,FALSE)</f>
        <v>0</v>
      </c>
      <c r="J1393" t="str">
        <f>VLOOKUP($A1393,'Medical Examinations'!$A:$J,10,FALSE)</f>
        <v>No</v>
      </c>
      <c r="K1393" t="str">
        <f>VLOOKUP($A1393,'Medical Examinations'!$A:$J,5,FALSE)</f>
        <v>Normal</v>
      </c>
      <c r="L1393">
        <f>VLOOKUP($A1394,'Medical Examinations'!$A:$J,3,FALSE)</f>
        <v>22.98</v>
      </c>
      <c r="M1393">
        <f>VLOOKUP($A1393,'Hospitalisation Details'!$A:$K,6,FALSE)</f>
        <v>7670.75</v>
      </c>
      <c r="N1393" s="11">
        <f>VLOOKUP($B1393,'Hospitalisation Details'!A1392:J3736,10,0)</f>
        <v>23548</v>
      </c>
      <c r="O1393" t="str">
        <f>VLOOKUP($B1393,'Hospitalisation Details'!A1392:J3736,8,0)</f>
        <v>tier - 1</v>
      </c>
      <c r="P1393" t="str">
        <f>VLOOKUP($B1393,'Hospitalisation Details'!A1392:J3736,7,0)</f>
        <v>tier - 3</v>
      </c>
      <c r="Q1393" t="str">
        <f>VLOOKUP($B1393,'Hospitalisation Details'!A1392:J3736,9,0)</f>
        <v>R1020</v>
      </c>
      <c r="R1393">
        <f>VLOOKUP($B1393,'Hospitalisation Details'!A1392:K3736,11,0)</f>
        <v>58</v>
      </c>
    </row>
    <row r="1394" spans="1:18" x14ac:dyDescent="0.35">
      <c r="A1394" t="s">
        <v>978</v>
      </c>
      <c r="B1394" t="s">
        <v>1425</v>
      </c>
      <c r="C1394" t="str">
        <f>VLOOKUP($A1394,'Customer Names'!$A:$E,4,FALSE)</f>
        <v>Gina M</v>
      </c>
      <c r="D1394" t="str">
        <f>VLOOKUP($A1394,'Medical Examinations'!$A:$J,2,FALSE)</f>
        <v>Normal Weight</v>
      </c>
      <c r="E1394">
        <f>VLOOKUP($A1394,'Medical Examinations'!$A:$J,4,FALSE)</f>
        <v>6.14</v>
      </c>
      <c r="F1394" t="str">
        <f>VLOOKUP($A1394,'Medical Examinations'!$A:$J,6,FALSE)</f>
        <v>yes</v>
      </c>
      <c r="G1394" t="str">
        <f>VLOOKUP($A1394,'Medical Examinations'!$A:$J,7,FALSE)</f>
        <v>No</v>
      </c>
      <c r="H1394" t="str">
        <f>VLOOKUP($A1394,'Medical Examinations'!$A:$J,8,FALSE)</f>
        <v>No</v>
      </c>
      <c r="I1394">
        <f>VLOOKUP($A1394,'Medical Examinations'!$A:$J,9,FALSE)</f>
        <v>0</v>
      </c>
      <c r="J1394" t="str">
        <f>VLOOKUP($A1394,'Medical Examinations'!$A:$J,10,FALSE)</f>
        <v>No</v>
      </c>
      <c r="K1394" t="str">
        <f>VLOOKUP($A1394,'Medical Examinations'!$A:$J,5,FALSE)</f>
        <v>Prediabetes</v>
      </c>
      <c r="L1394">
        <f>VLOOKUP($A1395,'Medical Examinations'!$A:$J,3,FALSE)</f>
        <v>15.65</v>
      </c>
      <c r="M1394">
        <f>VLOOKUP($A1394,'Hospitalisation Details'!$A:$K,6,FALSE)</f>
        <v>7662.47</v>
      </c>
      <c r="N1394" s="11">
        <f>VLOOKUP($B1394,'Hospitalisation Details'!A1393:J3737,10,0)</f>
        <v>31610</v>
      </c>
      <c r="O1394" t="str">
        <f>VLOOKUP($B1394,'Hospitalisation Details'!A1393:J3737,8,0)</f>
        <v>tier - 3</v>
      </c>
      <c r="P1394" t="str">
        <f>VLOOKUP($B1394,'Hospitalisation Details'!A1393:J3737,7,0)</f>
        <v>tier - 3</v>
      </c>
      <c r="Q1394" t="str">
        <f>VLOOKUP($B1394,'Hospitalisation Details'!A1393:J3737,9,0)</f>
        <v>R1022</v>
      </c>
      <c r="R1394">
        <f>VLOOKUP($B1394,'Hospitalisation Details'!A1393:K3737,11,0)</f>
        <v>36</v>
      </c>
    </row>
    <row r="1395" spans="1:18" x14ac:dyDescent="0.35">
      <c r="A1395" t="s">
        <v>977</v>
      </c>
      <c r="B1395" t="s">
        <v>1426</v>
      </c>
      <c r="C1395" t="str">
        <f>VLOOKUP($A1395,'Customer Names'!$A:$E,4,FALSE)</f>
        <v>Shantel C.</v>
      </c>
      <c r="D1395" t="str">
        <f>VLOOKUP($A1395,'Medical Examinations'!$A:$J,2,FALSE)</f>
        <v>Underweight</v>
      </c>
      <c r="E1395">
        <f>VLOOKUP($A1395,'Medical Examinations'!$A:$J,4,FALSE)</f>
        <v>7.85</v>
      </c>
      <c r="F1395" t="str">
        <f>VLOOKUP($A1395,'Medical Examinations'!$A:$J,6,FALSE)</f>
        <v>No</v>
      </c>
      <c r="G1395" t="str">
        <f>VLOOKUP($A1395,'Medical Examinations'!$A:$J,7,FALSE)</f>
        <v>No</v>
      </c>
      <c r="H1395" t="str">
        <f>VLOOKUP($A1395,'Medical Examinations'!$A:$J,8,FALSE)</f>
        <v>No</v>
      </c>
      <c r="I1395">
        <f>VLOOKUP($A1395,'Medical Examinations'!$A:$J,9,FALSE)</f>
        <v>0</v>
      </c>
      <c r="J1395" t="str">
        <f>VLOOKUP($A1395,'Medical Examinations'!$A:$J,10,FALSE)</f>
        <v>No</v>
      </c>
      <c r="K1395" t="str">
        <f>VLOOKUP($A1395,'Medical Examinations'!$A:$J,5,FALSE)</f>
        <v>Diabetes</v>
      </c>
      <c r="L1395">
        <f>VLOOKUP($A1396,'Medical Examinations'!$A:$J,3,FALSE)</f>
        <v>39.97</v>
      </c>
      <c r="M1395">
        <f>VLOOKUP($A1395,'Hospitalisation Details'!$A:$K,6,FALSE)</f>
        <v>7657.69</v>
      </c>
      <c r="N1395" s="11">
        <f>VLOOKUP($B1395,'Hospitalisation Details'!A1394:J3738,10,0)</f>
        <v>24384</v>
      </c>
      <c r="O1395" t="str">
        <f>VLOOKUP($B1395,'Hospitalisation Details'!A1394:J3738,8,0)</f>
        <v>tier - 2</v>
      </c>
      <c r="P1395" t="str">
        <f>VLOOKUP($B1395,'Hospitalisation Details'!A1394:J3738,7,0)</f>
        <v>tier - 3</v>
      </c>
      <c r="Q1395" t="str">
        <f>VLOOKUP($B1395,'Hospitalisation Details'!A1394:J3738,9,0)</f>
        <v>R1024</v>
      </c>
      <c r="R1395">
        <f>VLOOKUP($B1395,'Hospitalisation Details'!A1394:K3738,11,0)</f>
        <v>56</v>
      </c>
    </row>
    <row r="1396" spans="1:18" x14ac:dyDescent="0.35">
      <c r="A1396" t="s">
        <v>976</v>
      </c>
      <c r="B1396" t="s">
        <v>1427</v>
      </c>
      <c r="C1396" t="str">
        <f>VLOOKUP($A1396,'Customer Names'!$A:$E,4,FALSE)</f>
        <v>Brian</v>
      </c>
      <c r="D1396" t="str">
        <f>VLOOKUP($A1396,'Medical Examinations'!$A:$J,2,FALSE)</f>
        <v>Obesity</v>
      </c>
      <c r="E1396">
        <f>VLOOKUP($A1396,'Medical Examinations'!$A:$J,4,FALSE)</f>
        <v>4.09</v>
      </c>
      <c r="F1396" t="str">
        <f>VLOOKUP($A1396,'Medical Examinations'!$A:$J,6,FALSE)</f>
        <v>No</v>
      </c>
      <c r="G1396" t="str">
        <f>VLOOKUP($A1396,'Medical Examinations'!$A:$J,7,FALSE)</f>
        <v>No</v>
      </c>
      <c r="H1396" t="str">
        <f>VLOOKUP($A1396,'Medical Examinations'!$A:$J,8,FALSE)</f>
        <v>No</v>
      </c>
      <c r="I1396">
        <f>VLOOKUP($A1396,'Medical Examinations'!$A:$J,9,FALSE)</f>
        <v>1</v>
      </c>
      <c r="J1396" t="str">
        <f>VLOOKUP($A1396,'Medical Examinations'!$A:$J,10,FALSE)</f>
        <v>No</v>
      </c>
      <c r="K1396" t="str">
        <f>VLOOKUP($A1396,'Medical Examinations'!$A:$J,5,FALSE)</f>
        <v>Normal</v>
      </c>
      <c r="L1396">
        <f>VLOOKUP($A1397,'Medical Examinations'!$A:$J,3,FALSE)</f>
        <v>37.22</v>
      </c>
      <c r="M1396">
        <f>VLOOKUP($A1396,'Hospitalisation Details'!$A:$K,6,FALSE)</f>
        <v>7652.26</v>
      </c>
      <c r="N1396" s="11">
        <f>VLOOKUP($B1396,'Hospitalisation Details'!A1395:J3739,10,0)</f>
        <v>34535</v>
      </c>
      <c r="O1396" t="str">
        <f>VLOOKUP($B1396,'Hospitalisation Details'!A1395:J3739,8,0)</f>
        <v>tier - 2</v>
      </c>
      <c r="P1396" t="str">
        <f>VLOOKUP($B1396,'Hospitalisation Details'!A1395:J3739,7,0)</f>
        <v>tier - 3</v>
      </c>
      <c r="Q1396" t="str">
        <f>VLOOKUP($B1396,'Hospitalisation Details'!A1395:J3739,9,0)</f>
        <v>R1023</v>
      </c>
      <c r="R1396">
        <f>VLOOKUP($B1396,'Hospitalisation Details'!A1395:K3739,11,0)</f>
        <v>28</v>
      </c>
    </row>
    <row r="1397" spans="1:18" x14ac:dyDescent="0.35">
      <c r="A1397" t="s">
        <v>975</v>
      </c>
      <c r="B1397" t="s">
        <v>1428</v>
      </c>
      <c r="C1397" t="str">
        <f>VLOOKUP($A1397,'Customer Names'!$A:$E,4,FALSE)</f>
        <v>Brian</v>
      </c>
      <c r="D1397" t="str">
        <f>VLOOKUP($A1397,'Medical Examinations'!$A:$J,2,FALSE)</f>
        <v>Obesity</v>
      </c>
      <c r="E1397">
        <f>VLOOKUP($A1397,'Medical Examinations'!$A:$J,4,FALSE)</f>
        <v>4.62</v>
      </c>
      <c r="F1397" t="str">
        <f>VLOOKUP($A1397,'Medical Examinations'!$A:$J,6,FALSE)</f>
        <v>No</v>
      </c>
      <c r="G1397" t="str">
        <f>VLOOKUP($A1397,'Medical Examinations'!$A:$J,7,FALSE)</f>
        <v>No</v>
      </c>
      <c r="H1397" t="str">
        <f>VLOOKUP($A1397,'Medical Examinations'!$A:$J,8,FALSE)</f>
        <v>Yes</v>
      </c>
      <c r="I1397">
        <f>VLOOKUP($A1397,'Medical Examinations'!$A:$J,9,FALSE)</f>
        <v>1</v>
      </c>
      <c r="J1397" t="str">
        <f>VLOOKUP($A1397,'Medical Examinations'!$A:$J,10,FALSE)</f>
        <v>No</v>
      </c>
      <c r="K1397" t="str">
        <f>VLOOKUP($A1397,'Medical Examinations'!$A:$J,5,FALSE)</f>
        <v>Normal</v>
      </c>
      <c r="L1397">
        <f>VLOOKUP($A1398,'Medical Examinations'!$A:$J,3,FALSE)</f>
        <v>41.325000000000003</v>
      </c>
      <c r="M1397">
        <f>VLOOKUP($A1397,'Hospitalisation Details'!$A:$K,6,FALSE)</f>
        <v>7650.8</v>
      </c>
      <c r="N1397" s="11">
        <f>VLOOKUP($B1397,'Hospitalisation Details'!A1396:J3740,10,0)</f>
        <v>24294</v>
      </c>
      <c r="O1397" t="str">
        <f>VLOOKUP($B1397,'Hospitalisation Details'!A1396:J3740,8,0)</f>
        <v>tier - 1</v>
      </c>
      <c r="P1397" t="str">
        <f>VLOOKUP($B1397,'Hospitalisation Details'!A1396:J3740,7,0)</f>
        <v>tier - 3</v>
      </c>
      <c r="Q1397" t="str">
        <f>VLOOKUP($B1397,'Hospitalisation Details'!A1396:J3740,9,0)</f>
        <v>R1024</v>
      </c>
      <c r="R1397">
        <f>VLOOKUP($B1397,'Hospitalisation Details'!A1396:K3740,11,0)</f>
        <v>56</v>
      </c>
    </row>
    <row r="1398" spans="1:18" x14ac:dyDescent="0.35">
      <c r="A1398" t="s">
        <v>974</v>
      </c>
      <c r="B1398" t="s">
        <v>1429</v>
      </c>
      <c r="C1398" t="str">
        <f>VLOOKUP($A1398,'Customer Names'!$A:$E,4,FALSE)</f>
        <v>Jessica R</v>
      </c>
      <c r="D1398" t="str">
        <f>VLOOKUP($A1398,'Medical Examinations'!$A:$J,2,FALSE)</f>
        <v>Obesity</v>
      </c>
      <c r="E1398">
        <f>VLOOKUP($A1398,'Medical Examinations'!$A:$J,4,FALSE)</f>
        <v>5.77</v>
      </c>
      <c r="F1398" t="str">
        <f>VLOOKUP($A1398,'Medical Examinations'!$A:$J,6,FALSE)</f>
        <v>No</v>
      </c>
      <c r="G1398" t="str">
        <f>VLOOKUP($A1398,'Medical Examinations'!$A:$J,7,FALSE)</f>
        <v>No</v>
      </c>
      <c r="H1398" t="str">
        <f>VLOOKUP($A1398,'Medical Examinations'!$A:$J,8,FALSE)</f>
        <v>No</v>
      </c>
      <c r="I1398">
        <f>VLOOKUP($A1398,'Medical Examinations'!$A:$J,9,FALSE)</f>
        <v>0</v>
      </c>
      <c r="J1398" t="str">
        <f>VLOOKUP($A1398,'Medical Examinations'!$A:$J,10,FALSE)</f>
        <v>No</v>
      </c>
      <c r="K1398" t="str">
        <f>VLOOKUP($A1398,'Medical Examinations'!$A:$J,5,FALSE)</f>
        <v>Prediabetes</v>
      </c>
      <c r="L1398">
        <f>VLOOKUP($A1399,'Medical Examinations'!$A:$J,3,FALSE)</f>
        <v>40.31</v>
      </c>
      <c r="M1398">
        <f>VLOOKUP($A1398,'Hospitalisation Details'!$A:$K,6,FALSE)</f>
        <v>7650.77</v>
      </c>
      <c r="N1398" s="11">
        <f>VLOOKUP($B1398,'Hospitalisation Details'!A1397:J3741,10,0)</f>
        <v>24342</v>
      </c>
      <c r="O1398" t="str">
        <f>VLOOKUP($B1398,'Hospitalisation Details'!A1397:J3741,8,0)</f>
        <v>tier - 3</v>
      </c>
      <c r="P1398" t="str">
        <f>VLOOKUP($B1398,'Hospitalisation Details'!A1397:J3741,7,0)</f>
        <v>tier - 3</v>
      </c>
      <c r="Q1398" t="str">
        <f>VLOOKUP($B1398,'Hospitalisation Details'!A1397:J3741,9,0)</f>
        <v>R1024</v>
      </c>
      <c r="R1398">
        <f>VLOOKUP($B1398,'Hospitalisation Details'!A1397:K3741,11,0)</f>
        <v>56</v>
      </c>
    </row>
    <row r="1399" spans="1:18" x14ac:dyDescent="0.35">
      <c r="A1399" t="s">
        <v>973</v>
      </c>
      <c r="B1399" t="s">
        <v>1430</v>
      </c>
      <c r="C1399" t="str">
        <f>VLOOKUP($A1399,'Customer Names'!$A:$E,4,FALSE)</f>
        <v>Robyn</v>
      </c>
      <c r="D1399" t="str">
        <f>VLOOKUP($A1399,'Medical Examinations'!$A:$J,2,FALSE)</f>
        <v>Obesity</v>
      </c>
      <c r="E1399">
        <f>VLOOKUP($A1399,'Medical Examinations'!$A:$J,4,FALSE)</f>
        <v>5.84</v>
      </c>
      <c r="F1399" t="str">
        <f>VLOOKUP($A1399,'Medical Examinations'!$A:$J,6,FALSE)</f>
        <v>No</v>
      </c>
      <c r="G1399" t="str">
        <f>VLOOKUP($A1399,'Medical Examinations'!$A:$J,7,FALSE)</f>
        <v>No</v>
      </c>
      <c r="H1399" t="str">
        <f>VLOOKUP($A1399,'Medical Examinations'!$A:$J,8,FALSE)</f>
        <v>No</v>
      </c>
      <c r="I1399">
        <f>VLOOKUP($A1399,'Medical Examinations'!$A:$J,9,FALSE)</f>
        <v>0</v>
      </c>
      <c r="J1399" t="str">
        <f>VLOOKUP($A1399,'Medical Examinations'!$A:$J,10,FALSE)</f>
        <v>No</v>
      </c>
      <c r="K1399" t="str">
        <f>VLOOKUP($A1399,'Medical Examinations'!$A:$J,5,FALSE)</f>
        <v>Prediabetes</v>
      </c>
      <c r="L1399">
        <f>VLOOKUP($A1400,'Medical Examinations'!$A:$J,3,FALSE)</f>
        <v>29.48</v>
      </c>
      <c r="M1399">
        <f>VLOOKUP($A1399,'Hospitalisation Details'!$A:$K,6,FALSE)</f>
        <v>7642.05</v>
      </c>
      <c r="N1399" s="11">
        <f>VLOOKUP($B1399,'Hospitalisation Details'!A1398:J3742,10,0)</f>
        <v>24420</v>
      </c>
      <c r="O1399" t="str">
        <f>VLOOKUP($B1399,'Hospitalisation Details'!A1398:J3742,8,0)</f>
        <v>tier - 1</v>
      </c>
      <c r="P1399" t="str">
        <f>VLOOKUP($B1399,'Hospitalisation Details'!A1398:J3742,7,0)</f>
        <v>tier - 3</v>
      </c>
      <c r="Q1399" t="str">
        <f>VLOOKUP($B1399,'Hospitalisation Details'!A1398:J3742,9,0)</f>
        <v>R1011</v>
      </c>
      <c r="R1399">
        <f>VLOOKUP($B1399,'Hospitalisation Details'!A1398:K3742,11,0)</f>
        <v>56</v>
      </c>
    </row>
    <row r="1400" spans="1:18" x14ac:dyDescent="0.35">
      <c r="A1400" t="s">
        <v>972</v>
      </c>
      <c r="B1400" t="s">
        <v>1431</v>
      </c>
      <c r="C1400" t="str">
        <f>VLOOKUP($A1400,'Customer Names'!$A:$E,4,FALSE)</f>
        <v>Ashley</v>
      </c>
      <c r="D1400" t="str">
        <f>VLOOKUP($A1400,'Medical Examinations'!$A:$J,2,FALSE)</f>
        <v>Overweight</v>
      </c>
      <c r="E1400">
        <f>VLOOKUP($A1400,'Medical Examinations'!$A:$J,4,FALSE)</f>
        <v>4.91</v>
      </c>
      <c r="F1400" t="str">
        <f>VLOOKUP($A1400,'Medical Examinations'!$A:$J,6,FALSE)</f>
        <v>No</v>
      </c>
      <c r="G1400" t="str">
        <f>VLOOKUP($A1400,'Medical Examinations'!$A:$J,7,FALSE)</f>
        <v>No</v>
      </c>
      <c r="H1400" t="str">
        <f>VLOOKUP($A1400,'Medical Examinations'!$A:$J,8,FALSE)</f>
        <v>No</v>
      </c>
      <c r="I1400">
        <f>VLOOKUP($A1400,'Medical Examinations'!$A:$J,9,FALSE)</f>
        <v>0</v>
      </c>
      <c r="J1400" t="str">
        <f>VLOOKUP($A1400,'Medical Examinations'!$A:$J,10,FALSE)</f>
        <v>No</v>
      </c>
      <c r="K1400" t="str">
        <f>VLOOKUP($A1400,'Medical Examinations'!$A:$J,5,FALSE)</f>
        <v>Normal</v>
      </c>
      <c r="L1400">
        <f>VLOOKUP($A1401,'Medical Examinations'!$A:$J,3,FALSE)</f>
        <v>33.155000000000001</v>
      </c>
      <c r="M1400">
        <f>VLOOKUP($A1400,'Hospitalisation Details'!$A:$K,6,FALSE)</f>
        <v>7640.31</v>
      </c>
      <c r="N1400" s="11">
        <f>VLOOKUP($B1400,'Hospitalisation Details'!A1399:J3743,10,0)</f>
        <v>25903</v>
      </c>
      <c r="O1400" t="str">
        <f>VLOOKUP($B1400,'Hospitalisation Details'!A1399:J3743,8,0)</f>
        <v>tier - 1</v>
      </c>
      <c r="P1400" t="str">
        <f>VLOOKUP($B1400,'Hospitalisation Details'!A1399:J3743,7,0)</f>
        <v>tier - 3</v>
      </c>
      <c r="Q1400" t="str">
        <f>VLOOKUP($B1400,'Hospitalisation Details'!A1399:J3743,9,0)</f>
        <v>R1021</v>
      </c>
      <c r="R1400">
        <f>VLOOKUP($B1400,'Hospitalisation Details'!A1399:K3743,11,0)</f>
        <v>52</v>
      </c>
    </row>
    <row r="1401" spans="1:18" x14ac:dyDescent="0.35">
      <c r="A1401" t="s">
        <v>971</v>
      </c>
      <c r="B1401" t="s">
        <v>1432</v>
      </c>
      <c r="C1401" t="str">
        <f>VLOOKUP($A1401,'Customer Names'!$A:$E,4,FALSE)</f>
        <v>Dana</v>
      </c>
      <c r="D1401" t="str">
        <f>VLOOKUP($A1401,'Medical Examinations'!$A:$J,2,FALSE)</f>
        <v>Obesity</v>
      </c>
      <c r="E1401">
        <f>VLOOKUP($A1401,'Medical Examinations'!$A:$J,4,FALSE)</f>
        <v>5.07</v>
      </c>
      <c r="F1401" t="str">
        <f>VLOOKUP($A1401,'Medical Examinations'!$A:$J,6,FALSE)</f>
        <v>No</v>
      </c>
      <c r="G1401" t="str">
        <f>VLOOKUP($A1401,'Medical Examinations'!$A:$J,7,FALSE)</f>
        <v>No</v>
      </c>
      <c r="H1401" t="str">
        <f>VLOOKUP($A1401,'Medical Examinations'!$A:$J,8,FALSE)</f>
        <v>No</v>
      </c>
      <c r="I1401">
        <f>VLOOKUP($A1401,'Medical Examinations'!$A:$J,9,FALSE)</f>
        <v>0</v>
      </c>
      <c r="J1401" t="str">
        <f>VLOOKUP($A1401,'Medical Examinations'!$A:$J,10,FALSE)</f>
        <v>No</v>
      </c>
      <c r="K1401" t="str">
        <f>VLOOKUP($A1401,'Medical Examinations'!$A:$J,5,FALSE)</f>
        <v>Normal</v>
      </c>
      <c r="L1401">
        <f>VLOOKUP($A1402,'Medical Examinations'!$A:$J,3,FALSE)</f>
        <v>42.85</v>
      </c>
      <c r="M1401">
        <f>VLOOKUP($A1401,'Hospitalisation Details'!$A:$K,6,FALSE)</f>
        <v>7639.42</v>
      </c>
      <c r="N1401" s="11">
        <f>VLOOKUP($B1401,'Hospitalisation Details'!A1400:J3744,10,0)</f>
        <v>30245</v>
      </c>
      <c r="O1401" t="str">
        <f>VLOOKUP($B1401,'Hospitalisation Details'!A1400:J3744,8,0)</f>
        <v>tier - 2</v>
      </c>
      <c r="P1401" t="str">
        <f>VLOOKUP($B1401,'Hospitalisation Details'!A1400:J3744,7,0)</f>
        <v>tier - 3</v>
      </c>
      <c r="Q1401" t="str">
        <f>VLOOKUP($B1401,'Hospitalisation Details'!A1400:J3744,9,0)</f>
        <v>R1021</v>
      </c>
      <c r="R1401">
        <f>VLOOKUP($B1401,'Hospitalisation Details'!A1400:K3744,11,0)</f>
        <v>40</v>
      </c>
    </row>
    <row r="1402" spans="1:18" x14ac:dyDescent="0.35">
      <c r="A1402" t="s">
        <v>970</v>
      </c>
      <c r="B1402" t="s">
        <v>1433</v>
      </c>
      <c r="C1402" t="str">
        <f>VLOOKUP($A1402,'Customer Names'!$A:$E,4,FALSE)</f>
        <v>Jessica F.</v>
      </c>
      <c r="D1402" t="str">
        <f>VLOOKUP($A1402,'Medical Examinations'!$A:$J,2,FALSE)</f>
        <v>Obesity</v>
      </c>
      <c r="E1402">
        <f>VLOOKUP($A1402,'Medical Examinations'!$A:$J,4,FALSE)</f>
        <v>5.81</v>
      </c>
      <c r="F1402" t="str">
        <f>VLOOKUP($A1402,'Medical Examinations'!$A:$J,6,FALSE)</f>
        <v>yes</v>
      </c>
      <c r="G1402" t="str">
        <f>VLOOKUP($A1402,'Medical Examinations'!$A:$J,7,FALSE)</f>
        <v>No</v>
      </c>
      <c r="H1402" t="str">
        <f>VLOOKUP($A1402,'Medical Examinations'!$A:$J,8,FALSE)</f>
        <v>No</v>
      </c>
      <c r="I1402">
        <f>VLOOKUP($A1402,'Medical Examinations'!$A:$J,9,FALSE)</f>
        <v>0</v>
      </c>
      <c r="J1402" t="str">
        <f>VLOOKUP($A1402,'Medical Examinations'!$A:$J,10,FALSE)</f>
        <v>No</v>
      </c>
      <c r="K1402" t="str">
        <f>VLOOKUP($A1402,'Medical Examinations'!$A:$J,5,FALSE)</f>
        <v>Prediabetes</v>
      </c>
      <c r="L1402">
        <f>VLOOKUP($A1403,'Medical Examinations'!$A:$J,3,FALSE)</f>
        <v>32.340000000000003</v>
      </c>
      <c r="M1402">
        <f>VLOOKUP($A1402,'Hospitalisation Details'!$A:$K,6,FALSE)</f>
        <v>7636.92</v>
      </c>
      <c r="N1402" s="11">
        <f>VLOOKUP($B1402,'Hospitalisation Details'!A1401:J3745,10,0)</f>
        <v>25488</v>
      </c>
      <c r="O1402" t="str">
        <f>VLOOKUP($B1402,'Hospitalisation Details'!A1401:J3745,8,0)</f>
        <v>tier - 1</v>
      </c>
      <c r="P1402" t="str">
        <f>VLOOKUP($B1402,'Hospitalisation Details'!A1401:J3745,7,0)</f>
        <v>tier - 3</v>
      </c>
      <c r="Q1402" t="str">
        <f>VLOOKUP($B1402,'Hospitalisation Details'!A1401:J3745,9,0)</f>
        <v>R1024</v>
      </c>
      <c r="R1402">
        <f>VLOOKUP($B1402,'Hospitalisation Details'!A1401:K3745,11,0)</f>
        <v>53</v>
      </c>
    </row>
    <row r="1403" spans="1:18" x14ac:dyDescent="0.35">
      <c r="A1403" t="s">
        <v>969</v>
      </c>
      <c r="B1403" t="s">
        <v>1434</v>
      </c>
      <c r="C1403" t="str">
        <f>VLOOKUP($A1403,'Customer Names'!$A:$E,4,FALSE)</f>
        <v>Lindsey</v>
      </c>
      <c r="D1403" t="str">
        <f>VLOOKUP($A1403,'Medical Examinations'!$A:$J,2,FALSE)</f>
        <v>Obesity</v>
      </c>
      <c r="E1403">
        <f>VLOOKUP($A1403,'Medical Examinations'!$A:$J,4,FALSE)</f>
        <v>11.2</v>
      </c>
      <c r="F1403" t="str">
        <f>VLOOKUP($A1403,'Medical Examinations'!$A:$J,6,FALSE)</f>
        <v>No</v>
      </c>
      <c r="G1403" t="str">
        <f>VLOOKUP($A1403,'Medical Examinations'!$A:$J,7,FALSE)</f>
        <v>No</v>
      </c>
      <c r="H1403" t="str">
        <f>VLOOKUP($A1403,'Medical Examinations'!$A:$J,8,FALSE)</f>
        <v>No</v>
      </c>
      <c r="I1403">
        <f>VLOOKUP($A1403,'Medical Examinations'!$A:$J,9,FALSE)</f>
        <v>0</v>
      </c>
      <c r="J1403" t="str">
        <f>VLOOKUP($A1403,'Medical Examinations'!$A:$J,10,FALSE)</f>
        <v>No</v>
      </c>
      <c r="K1403" t="str">
        <f>VLOOKUP($A1403,'Medical Examinations'!$A:$J,5,FALSE)</f>
        <v>Diabetes</v>
      </c>
      <c r="L1403">
        <f>VLOOKUP($A1404,'Medical Examinations'!$A:$J,3,FALSE)</f>
        <v>27.5</v>
      </c>
      <c r="M1403">
        <f>VLOOKUP($A1403,'Hospitalisation Details'!$A:$K,6,FALSE)</f>
        <v>7633.72</v>
      </c>
      <c r="N1403" s="11">
        <f>VLOOKUP($B1403,'Hospitalisation Details'!A1402:J3746,10,0)</f>
        <v>31012</v>
      </c>
      <c r="O1403" t="str">
        <f>VLOOKUP($B1403,'Hospitalisation Details'!A1402:J3746,8,0)</f>
        <v>tier - 3</v>
      </c>
      <c r="P1403" t="str">
        <f>VLOOKUP($B1403,'Hospitalisation Details'!A1402:J3746,7,0)</f>
        <v>tier - 3</v>
      </c>
      <c r="Q1403" t="str">
        <f>VLOOKUP($B1403,'Hospitalisation Details'!A1402:J3746,9,0)</f>
        <v>R1026</v>
      </c>
      <c r="R1403">
        <f>VLOOKUP($B1403,'Hospitalisation Details'!A1402:K3746,11,0)</f>
        <v>38</v>
      </c>
    </row>
    <row r="1404" spans="1:18" x14ac:dyDescent="0.35">
      <c r="A1404" t="s">
        <v>968</v>
      </c>
      <c r="B1404" t="s">
        <v>1435</v>
      </c>
      <c r="C1404" t="str">
        <f>VLOOKUP($A1404,'Customer Names'!$A:$E,4,FALSE)</f>
        <v>Kelly A</v>
      </c>
      <c r="D1404" t="str">
        <f>VLOOKUP($A1404,'Medical Examinations'!$A:$J,2,FALSE)</f>
        <v>Overweight</v>
      </c>
      <c r="E1404">
        <f>VLOOKUP($A1404,'Medical Examinations'!$A:$J,4,FALSE)</f>
        <v>10.75</v>
      </c>
      <c r="F1404" t="str">
        <f>VLOOKUP($A1404,'Medical Examinations'!$A:$J,6,FALSE)</f>
        <v>No</v>
      </c>
      <c r="G1404" t="str">
        <f>VLOOKUP($A1404,'Medical Examinations'!$A:$J,7,FALSE)</f>
        <v>No</v>
      </c>
      <c r="H1404" t="str">
        <f>VLOOKUP($A1404,'Medical Examinations'!$A:$J,8,FALSE)</f>
        <v>No</v>
      </c>
      <c r="I1404">
        <f>VLOOKUP($A1404,'Medical Examinations'!$A:$J,9,FALSE)</f>
        <v>0</v>
      </c>
      <c r="J1404" t="str">
        <f>VLOOKUP($A1404,'Medical Examinations'!$A:$J,10,FALSE)</f>
        <v>No</v>
      </c>
      <c r="K1404" t="str">
        <f>VLOOKUP($A1404,'Medical Examinations'!$A:$J,5,FALSE)</f>
        <v>Diabetes</v>
      </c>
      <c r="L1404">
        <f>VLOOKUP($A1405,'Medical Examinations'!$A:$J,3,FALSE)</f>
        <v>25.8</v>
      </c>
      <c r="M1404">
        <f>VLOOKUP($A1404,'Hospitalisation Details'!$A:$K,6,FALSE)</f>
        <v>7626.99</v>
      </c>
      <c r="N1404" s="11">
        <f>VLOOKUP($B1404,'Hospitalisation Details'!A1403:J3747,10,0)</f>
        <v>23690</v>
      </c>
      <c r="O1404" t="str">
        <f>VLOOKUP($B1404,'Hospitalisation Details'!A1403:J3747,8,0)</f>
        <v>tier - 1</v>
      </c>
      <c r="P1404" t="str">
        <f>VLOOKUP($B1404,'Hospitalisation Details'!A1403:J3747,7,0)</f>
        <v>tier - 3</v>
      </c>
      <c r="Q1404" t="str">
        <f>VLOOKUP($B1404,'Hospitalisation Details'!A1403:J3747,9,0)</f>
        <v>R1012</v>
      </c>
      <c r="R1404">
        <f>VLOOKUP($B1404,'Hospitalisation Details'!A1403:K3747,11,0)</f>
        <v>58</v>
      </c>
    </row>
    <row r="1405" spans="1:18" x14ac:dyDescent="0.35">
      <c r="A1405" t="s">
        <v>967</v>
      </c>
      <c r="B1405" t="s">
        <v>1436</v>
      </c>
      <c r="C1405" t="str">
        <f>VLOOKUP($A1405,'Customer Names'!$A:$E,4,FALSE)</f>
        <v>Brooke E</v>
      </c>
      <c r="D1405" t="str">
        <f>VLOOKUP($A1405,'Medical Examinations'!$A:$J,2,FALSE)</f>
        <v>Overweight</v>
      </c>
      <c r="E1405">
        <f>VLOOKUP($A1405,'Medical Examinations'!$A:$J,4,FALSE)</f>
        <v>7.8</v>
      </c>
      <c r="F1405" t="str">
        <f>VLOOKUP($A1405,'Medical Examinations'!$A:$J,6,FALSE)</f>
        <v>No</v>
      </c>
      <c r="G1405" t="str">
        <f>VLOOKUP($A1405,'Medical Examinations'!$A:$J,7,FALSE)</f>
        <v>No</v>
      </c>
      <c r="H1405" t="str">
        <f>VLOOKUP($A1405,'Medical Examinations'!$A:$J,8,FALSE)</f>
        <v>No</v>
      </c>
      <c r="I1405">
        <f>VLOOKUP($A1405,'Medical Examinations'!$A:$J,9,FALSE)</f>
        <v>0</v>
      </c>
      <c r="J1405" t="str">
        <f>VLOOKUP($A1405,'Medical Examinations'!$A:$J,10,FALSE)</f>
        <v>No</v>
      </c>
      <c r="K1405" t="str">
        <f>VLOOKUP($A1405,'Medical Examinations'!$A:$J,5,FALSE)</f>
        <v>Diabetes</v>
      </c>
      <c r="L1405">
        <f>VLOOKUP($A1406,'Medical Examinations'!$A:$J,3,FALSE)</f>
        <v>25</v>
      </c>
      <c r="M1405">
        <f>VLOOKUP($A1405,'Hospitalisation Details'!$A:$K,6,FALSE)</f>
        <v>7624.63</v>
      </c>
      <c r="N1405" s="11">
        <f>VLOOKUP($B1405,'Hospitalisation Details'!A1404:J3748,10,0)</f>
        <v>32391</v>
      </c>
      <c r="O1405" t="str">
        <f>VLOOKUP($B1405,'Hospitalisation Details'!A1404:J3748,8,0)</f>
        <v>tier - 1</v>
      </c>
      <c r="P1405" t="str">
        <f>VLOOKUP($B1405,'Hospitalisation Details'!A1404:J3748,7,0)</f>
        <v>tier - 3</v>
      </c>
      <c r="Q1405" t="str">
        <f>VLOOKUP($B1405,'Hospitalisation Details'!A1404:J3748,9,0)</f>
        <v>R1011</v>
      </c>
      <c r="R1405">
        <f>VLOOKUP($B1405,'Hospitalisation Details'!A1404:K3748,11,0)</f>
        <v>34</v>
      </c>
    </row>
    <row r="1406" spans="1:18" x14ac:dyDescent="0.35">
      <c r="A1406" t="s">
        <v>966</v>
      </c>
      <c r="B1406" t="s">
        <v>1437</v>
      </c>
      <c r="C1406" t="str">
        <f>VLOOKUP($A1406,'Customer Names'!$A:$E,4,FALSE)</f>
        <v>Katelyn E.</v>
      </c>
      <c r="D1406" t="str">
        <f>VLOOKUP($A1406,'Medical Examinations'!$A:$J,2,FALSE)</f>
        <v>Overweight</v>
      </c>
      <c r="E1406">
        <f>VLOOKUP($A1406,'Medical Examinations'!$A:$J,4,FALSE)</f>
        <v>7.04</v>
      </c>
      <c r="F1406" t="str">
        <f>VLOOKUP($A1406,'Medical Examinations'!$A:$J,6,FALSE)</f>
        <v>No</v>
      </c>
      <c r="G1406" t="str">
        <f>VLOOKUP($A1406,'Medical Examinations'!$A:$J,7,FALSE)</f>
        <v>No</v>
      </c>
      <c r="H1406" t="str">
        <f>VLOOKUP($A1406,'Medical Examinations'!$A:$J,8,FALSE)</f>
        <v>No</v>
      </c>
      <c r="I1406">
        <f>VLOOKUP($A1406,'Medical Examinations'!$A:$J,9,FALSE)</f>
        <v>0</v>
      </c>
      <c r="J1406" t="str">
        <f>VLOOKUP($A1406,'Medical Examinations'!$A:$J,10,FALSE)</f>
        <v>No</v>
      </c>
      <c r="K1406" t="str">
        <f>VLOOKUP($A1406,'Medical Examinations'!$A:$J,5,FALSE)</f>
        <v>Diabetes</v>
      </c>
      <c r="L1406">
        <f>VLOOKUP($A1407,'Medical Examinations'!$A:$J,3,FALSE)</f>
        <v>41.2</v>
      </c>
      <c r="M1406">
        <f>VLOOKUP($A1406,'Hospitalisation Details'!$A:$K,6,FALSE)</f>
        <v>7623.52</v>
      </c>
      <c r="N1406" s="11">
        <f>VLOOKUP($B1406,'Hospitalisation Details'!A1405:J3749,10,0)</f>
        <v>25519</v>
      </c>
      <c r="O1406" t="str">
        <f>VLOOKUP($B1406,'Hospitalisation Details'!A1405:J3749,8,0)</f>
        <v>tier - 1</v>
      </c>
      <c r="P1406" t="str">
        <f>VLOOKUP($B1406,'Hospitalisation Details'!A1405:J3749,7,0)</f>
        <v>tier - 3</v>
      </c>
      <c r="Q1406" t="str">
        <f>VLOOKUP($B1406,'Hospitalisation Details'!A1405:J3749,9,0)</f>
        <v>R1011</v>
      </c>
      <c r="R1406">
        <f>VLOOKUP($B1406,'Hospitalisation Details'!A1405:K3749,11,0)</f>
        <v>53</v>
      </c>
    </row>
    <row r="1407" spans="1:18" x14ac:dyDescent="0.35">
      <c r="A1407" t="s">
        <v>965</v>
      </c>
      <c r="B1407" t="s">
        <v>1438</v>
      </c>
      <c r="C1407" t="str">
        <f>VLOOKUP($A1407,'Customer Names'!$A:$E,4,FALSE)</f>
        <v>Adam</v>
      </c>
      <c r="D1407" t="str">
        <f>VLOOKUP($A1407,'Medical Examinations'!$A:$J,2,FALSE)</f>
        <v>Obesity</v>
      </c>
      <c r="E1407">
        <f>VLOOKUP($A1407,'Medical Examinations'!$A:$J,4,FALSE)</f>
        <v>4.18</v>
      </c>
      <c r="F1407" t="str">
        <f>VLOOKUP($A1407,'Medical Examinations'!$A:$J,6,FALSE)</f>
        <v>yes</v>
      </c>
      <c r="G1407" t="str">
        <f>VLOOKUP($A1407,'Medical Examinations'!$A:$J,7,FALSE)</f>
        <v>No</v>
      </c>
      <c r="H1407" t="str">
        <f>VLOOKUP($A1407,'Medical Examinations'!$A:$J,8,FALSE)</f>
        <v>No</v>
      </c>
      <c r="I1407">
        <f>VLOOKUP($A1407,'Medical Examinations'!$A:$J,9,FALSE)</f>
        <v>0</v>
      </c>
      <c r="J1407" t="str">
        <f>VLOOKUP($A1407,'Medical Examinations'!$A:$J,10,FALSE)</f>
        <v>No</v>
      </c>
      <c r="K1407" t="str">
        <f>VLOOKUP($A1407,'Medical Examinations'!$A:$J,5,FALSE)</f>
        <v>Normal</v>
      </c>
      <c r="L1407">
        <f>VLOOKUP($A1408,'Medical Examinations'!$A:$J,3,FALSE)</f>
        <v>17.78</v>
      </c>
      <c r="M1407">
        <f>VLOOKUP($A1407,'Hospitalisation Details'!$A:$K,6,FALSE)</f>
        <v>7623.13</v>
      </c>
      <c r="N1407" s="11">
        <f>VLOOKUP($B1407,'Hospitalisation Details'!A1406:J3750,10,0)</f>
        <v>23171</v>
      </c>
      <c r="O1407" t="str">
        <f>VLOOKUP($B1407,'Hospitalisation Details'!A1406:J3750,8,0)</f>
        <v>tier - 3</v>
      </c>
      <c r="P1407" t="str">
        <f>VLOOKUP($B1407,'Hospitalisation Details'!A1406:J3750,7,0)</f>
        <v>tier - 3</v>
      </c>
      <c r="Q1407" t="str">
        <f>VLOOKUP($B1407,'Hospitalisation Details'!A1406:J3750,9,0)</f>
        <v>R1013</v>
      </c>
      <c r="R1407">
        <f>VLOOKUP($B1407,'Hospitalisation Details'!A1406:K3750,11,0)</f>
        <v>59</v>
      </c>
    </row>
    <row r="1408" spans="1:18" x14ac:dyDescent="0.35">
      <c r="A1408" t="s">
        <v>964</v>
      </c>
      <c r="B1408" t="s">
        <v>1439</v>
      </c>
      <c r="C1408" t="str">
        <f>VLOOKUP($A1408,'Customer Names'!$A:$E,4,FALSE)</f>
        <v>Dana</v>
      </c>
      <c r="D1408" t="str">
        <f>VLOOKUP($A1408,'Medical Examinations'!$A:$J,2,FALSE)</f>
        <v>Underweight</v>
      </c>
      <c r="E1408">
        <f>VLOOKUP($A1408,'Medical Examinations'!$A:$J,4,FALSE)</f>
        <v>8.19</v>
      </c>
      <c r="F1408" t="str">
        <f>VLOOKUP($A1408,'Medical Examinations'!$A:$J,6,FALSE)</f>
        <v>No</v>
      </c>
      <c r="G1408" t="str">
        <f>VLOOKUP($A1408,'Medical Examinations'!$A:$J,7,FALSE)</f>
        <v>No</v>
      </c>
      <c r="H1408" t="str">
        <f>VLOOKUP($A1408,'Medical Examinations'!$A:$J,8,FALSE)</f>
        <v>No</v>
      </c>
      <c r="I1408">
        <f>VLOOKUP($A1408,'Medical Examinations'!$A:$J,9,FALSE)</f>
        <v>0</v>
      </c>
      <c r="J1408" t="str">
        <f>VLOOKUP($A1408,'Medical Examinations'!$A:$J,10,FALSE)</f>
        <v>No</v>
      </c>
      <c r="K1408" t="str">
        <f>VLOOKUP($A1408,'Medical Examinations'!$A:$J,5,FALSE)</f>
        <v>Diabetes</v>
      </c>
      <c r="L1408">
        <f>VLOOKUP($A1409,'Medical Examinations'!$A:$J,3,FALSE)</f>
        <v>40.119999999999997</v>
      </c>
      <c r="M1408">
        <f>VLOOKUP($A1408,'Hospitalisation Details'!$A:$K,6,FALSE)</f>
        <v>7609.6</v>
      </c>
      <c r="N1408" s="11">
        <f>VLOOKUP($B1408,'Hospitalisation Details'!A1407:J3751,10,0)</f>
        <v>23713</v>
      </c>
      <c r="O1408" t="str">
        <f>VLOOKUP($B1408,'Hospitalisation Details'!A1407:J3751,8,0)</f>
        <v>tier - 1</v>
      </c>
      <c r="P1408" t="str">
        <f>VLOOKUP($B1408,'Hospitalisation Details'!A1407:J3751,7,0)</f>
        <v>tier - 3</v>
      </c>
      <c r="Q1408" t="str">
        <f>VLOOKUP($B1408,'Hospitalisation Details'!A1407:J3751,9,0)</f>
        <v>R1012</v>
      </c>
      <c r="R1408">
        <f>VLOOKUP($B1408,'Hospitalisation Details'!A1407:K3751,11,0)</f>
        <v>58</v>
      </c>
    </row>
    <row r="1409" spans="1:18" x14ac:dyDescent="0.35">
      <c r="A1409" t="s">
        <v>963</v>
      </c>
      <c r="B1409" t="s">
        <v>1440</v>
      </c>
      <c r="C1409" t="str">
        <f>VLOOKUP($A1409,'Customer Names'!$A:$E,4,FALSE)</f>
        <v>Eric W</v>
      </c>
      <c r="D1409" t="str">
        <f>VLOOKUP($A1409,'Medical Examinations'!$A:$J,2,FALSE)</f>
        <v>Obesity</v>
      </c>
      <c r="E1409">
        <f>VLOOKUP($A1409,'Medical Examinations'!$A:$J,4,FALSE)</f>
        <v>6.22</v>
      </c>
      <c r="F1409" t="str">
        <f>VLOOKUP($A1409,'Medical Examinations'!$A:$J,6,FALSE)</f>
        <v>yes</v>
      </c>
      <c r="G1409" t="str">
        <f>VLOOKUP($A1409,'Medical Examinations'!$A:$J,7,FALSE)</f>
        <v>No</v>
      </c>
      <c r="H1409" t="str">
        <f>VLOOKUP($A1409,'Medical Examinations'!$A:$J,8,FALSE)</f>
        <v>Yes</v>
      </c>
      <c r="I1409">
        <f>VLOOKUP($A1409,'Medical Examinations'!$A:$J,9,FALSE)</f>
        <v>1</v>
      </c>
      <c r="J1409" t="str">
        <f>VLOOKUP($A1409,'Medical Examinations'!$A:$J,10,FALSE)</f>
        <v>No</v>
      </c>
      <c r="K1409" t="str">
        <f>VLOOKUP($A1409,'Medical Examinations'!$A:$J,5,FALSE)</f>
        <v>Prediabetes</v>
      </c>
      <c r="L1409">
        <f>VLOOKUP($A1410,'Medical Examinations'!$A:$J,3,FALSE)</f>
        <v>19.350000000000001</v>
      </c>
      <c r="M1409">
        <f>VLOOKUP($A1409,'Hospitalisation Details'!$A:$K,6,FALSE)</f>
        <v>7607.03</v>
      </c>
      <c r="N1409" s="11">
        <f>VLOOKUP($B1409,'Hospitalisation Details'!A1408:J3752,10,0)</f>
        <v>29165</v>
      </c>
      <c r="O1409" t="str">
        <f>VLOOKUP($B1409,'Hospitalisation Details'!A1408:J3752,8,0)</f>
        <v>tier - 1</v>
      </c>
      <c r="P1409" t="str">
        <f>VLOOKUP($B1409,'Hospitalisation Details'!A1408:J3752,7,0)</f>
        <v>tier - 3</v>
      </c>
      <c r="Q1409" t="str">
        <f>VLOOKUP($B1409,'Hospitalisation Details'!A1408:J3752,9,0)</f>
        <v>R1026</v>
      </c>
      <c r="R1409">
        <f>VLOOKUP($B1409,'Hospitalisation Details'!A1408:K3752,11,0)</f>
        <v>43</v>
      </c>
    </row>
    <row r="1410" spans="1:18" x14ac:dyDescent="0.35">
      <c r="A1410" t="s">
        <v>962</v>
      </c>
      <c r="B1410" t="s">
        <v>1441</v>
      </c>
      <c r="C1410" t="str">
        <f>VLOOKUP($A1410,'Customer Names'!$A:$E,4,FALSE)</f>
        <v>Matthew D</v>
      </c>
      <c r="D1410" t="str">
        <f>VLOOKUP($A1410,'Medical Examinations'!$A:$J,2,FALSE)</f>
        <v>Normal Weight</v>
      </c>
      <c r="E1410">
        <f>VLOOKUP($A1410,'Medical Examinations'!$A:$J,4,FALSE)</f>
        <v>8.2200000000000006</v>
      </c>
      <c r="F1410" t="str">
        <f>VLOOKUP($A1410,'Medical Examinations'!$A:$J,6,FALSE)</f>
        <v>yes</v>
      </c>
      <c r="G1410" t="str">
        <f>VLOOKUP($A1410,'Medical Examinations'!$A:$J,7,FALSE)</f>
        <v>No</v>
      </c>
      <c r="H1410" t="str">
        <f>VLOOKUP($A1410,'Medical Examinations'!$A:$J,8,FALSE)</f>
        <v>No</v>
      </c>
      <c r="I1410">
        <f>VLOOKUP($A1410,'Medical Examinations'!$A:$J,9,FALSE)</f>
        <v>0</v>
      </c>
      <c r="J1410" t="str">
        <f>VLOOKUP($A1410,'Medical Examinations'!$A:$J,10,FALSE)</f>
        <v>No</v>
      </c>
      <c r="K1410" t="str">
        <f>VLOOKUP($A1410,'Medical Examinations'!$A:$J,5,FALSE)</f>
        <v>Diabetes</v>
      </c>
      <c r="L1410">
        <f>VLOOKUP($A1411,'Medical Examinations'!$A:$J,3,FALSE)</f>
        <v>36.69</v>
      </c>
      <c r="M1410">
        <f>VLOOKUP($A1410,'Hospitalisation Details'!$A:$K,6,FALSE)</f>
        <v>7585.62</v>
      </c>
      <c r="N1410" s="11">
        <f>VLOOKUP($B1410,'Hospitalisation Details'!A1409:J3753,10,0)</f>
        <v>24313</v>
      </c>
      <c r="O1410" t="str">
        <f>VLOOKUP($B1410,'Hospitalisation Details'!A1409:J3753,8,0)</f>
        <v>tier - 3</v>
      </c>
      <c r="P1410" t="str">
        <f>VLOOKUP($B1410,'Hospitalisation Details'!A1409:J3753,7,0)</f>
        <v>tier - 3</v>
      </c>
      <c r="Q1410" t="str">
        <f>VLOOKUP($B1410,'Hospitalisation Details'!A1409:J3753,9,0)</f>
        <v>R1016</v>
      </c>
      <c r="R1410">
        <f>VLOOKUP($B1410,'Hospitalisation Details'!A1409:K3753,11,0)</f>
        <v>56</v>
      </c>
    </row>
    <row r="1411" spans="1:18" x14ac:dyDescent="0.35">
      <c r="A1411" t="s">
        <v>961</v>
      </c>
      <c r="B1411" t="s">
        <v>1442</v>
      </c>
      <c r="C1411" t="str">
        <f>VLOOKUP($A1411,'Customer Names'!$A:$E,4,FALSE)</f>
        <v>Eoghan</v>
      </c>
      <c r="D1411" t="str">
        <f>VLOOKUP($A1411,'Medical Examinations'!$A:$J,2,FALSE)</f>
        <v>Obesity</v>
      </c>
      <c r="E1411">
        <f>VLOOKUP($A1411,'Medical Examinations'!$A:$J,4,FALSE)</f>
        <v>6.15</v>
      </c>
      <c r="F1411" t="str">
        <f>VLOOKUP($A1411,'Medical Examinations'!$A:$J,6,FALSE)</f>
        <v>No</v>
      </c>
      <c r="G1411" t="str">
        <f>VLOOKUP($A1411,'Medical Examinations'!$A:$J,7,FALSE)</f>
        <v>No</v>
      </c>
      <c r="H1411" t="str">
        <f>VLOOKUP($A1411,'Medical Examinations'!$A:$J,8,FALSE)</f>
        <v>No</v>
      </c>
      <c r="I1411">
        <f>VLOOKUP($A1411,'Medical Examinations'!$A:$J,9,FALSE)</f>
        <v>0</v>
      </c>
      <c r="J1411" t="str">
        <f>VLOOKUP($A1411,'Medical Examinations'!$A:$J,10,FALSE)</f>
        <v>No</v>
      </c>
      <c r="K1411" t="str">
        <f>VLOOKUP($A1411,'Medical Examinations'!$A:$J,5,FALSE)</f>
        <v>Prediabetes</v>
      </c>
      <c r="L1411">
        <f>VLOOKUP($A1412,'Medical Examinations'!$A:$J,3,FALSE)</f>
        <v>28.51</v>
      </c>
      <c r="M1411">
        <f>VLOOKUP($A1411,'Hospitalisation Details'!$A:$K,6,FALSE)</f>
        <v>7567.13</v>
      </c>
      <c r="N1411" s="11">
        <f>VLOOKUP($B1411,'Hospitalisation Details'!A1410:J3754,10,0)</f>
        <v>30275</v>
      </c>
      <c r="O1411" t="str">
        <f>VLOOKUP($B1411,'Hospitalisation Details'!A1410:J3754,8,0)</f>
        <v>tier - 3</v>
      </c>
      <c r="P1411" t="str">
        <f>VLOOKUP($B1411,'Hospitalisation Details'!A1410:J3754,7,0)</f>
        <v>tier - 3</v>
      </c>
      <c r="Q1411" t="str">
        <f>VLOOKUP($B1411,'Hospitalisation Details'!A1410:J3754,9,0)</f>
        <v>R1026</v>
      </c>
      <c r="R1411">
        <f>VLOOKUP($B1411,'Hospitalisation Details'!A1410:K3754,11,0)</f>
        <v>40</v>
      </c>
    </row>
    <row r="1412" spans="1:18" x14ac:dyDescent="0.35">
      <c r="A1412" t="s">
        <v>960</v>
      </c>
      <c r="B1412" t="s">
        <v>1443</v>
      </c>
      <c r="C1412" t="str">
        <f>VLOOKUP($A1412,'Customer Names'!$A:$E,4,FALSE)</f>
        <v>Pamela W</v>
      </c>
      <c r="D1412" t="str">
        <f>VLOOKUP($A1412,'Medical Examinations'!$A:$J,2,FALSE)</f>
        <v>Overweight</v>
      </c>
      <c r="E1412">
        <f>VLOOKUP($A1412,'Medical Examinations'!$A:$J,4,FALSE)</f>
        <v>5.65</v>
      </c>
      <c r="F1412" t="str">
        <f>VLOOKUP($A1412,'Medical Examinations'!$A:$J,6,FALSE)</f>
        <v>yes</v>
      </c>
      <c r="G1412" t="str">
        <f>VLOOKUP($A1412,'Medical Examinations'!$A:$J,7,FALSE)</f>
        <v>No</v>
      </c>
      <c r="H1412" t="str">
        <f>VLOOKUP($A1412,'Medical Examinations'!$A:$J,8,FALSE)</f>
        <v>No</v>
      </c>
      <c r="I1412">
        <f>VLOOKUP($A1412,'Medical Examinations'!$A:$J,9,FALSE)</f>
        <v>1</v>
      </c>
      <c r="J1412" t="str">
        <f>VLOOKUP($A1412,'Medical Examinations'!$A:$J,10,FALSE)</f>
        <v>No</v>
      </c>
      <c r="K1412" t="str">
        <f>VLOOKUP($A1412,'Medical Examinations'!$A:$J,5,FALSE)</f>
        <v>Normal</v>
      </c>
      <c r="L1412">
        <f>VLOOKUP($A1413,'Medical Examinations'!$A:$J,3,FALSE)</f>
        <v>30.21</v>
      </c>
      <c r="M1412">
        <f>VLOOKUP($A1412,'Hospitalisation Details'!$A:$K,6,FALSE)</f>
        <v>7538.52</v>
      </c>
      <c r="N1412" s="11">
        <f>VLOOKUP($B1412,'Hospitalisation Details'!A1411:J3755,10,0)</f>
        <v>24018</v>
      </c>
      <c r="O1412" t="str">
        <f>VLOOKUP($B1412,'Hospitalisation Details'!A1411:J3755,8,0)</f>
        <v>tier - 1</v>
      </c>
      <c r="P1412" t="str">
        <f>VLOOKUP($B1412,'Hospitalisation Details'!A1411:J3755,7,0)</f>
        <v>tier - 3</v>
      </c>
      <c r="Q1412" t="str">
        <f>VLOOKUP($B1412,'Hospitalisation Details'!A1411:J3755,9,0)</f>
        <v>R1012</v>
      </c>
      <c r="R1412">
        <f>VLOOKUP($B1412,'Hospitalisation Details'!A1411:K3755,11,0)</f>
        <v>57</v>
      </c>
    </row>
    <row r="1413" spans="1:18" x14ac:dyDescent="0.35">
      <c r="A1413" t="s">
        <v>959</v>
      </c>
      <c r="B1413" t="s">
        <v>1444</v>
      </c>
      <c r="C1413" t="str">
        <f>VLOOKUP($A1413,'Customer Names'!$A:$E,4,FALSE)</f>
        <v>Lindsey M.</v>
      </c>
      <c r="D1413" t="str">
        <f>VLOOKUP($A1413,'Medical Examinations'!$A:$J,2,FALSE)</f>
        <v>Obesity</v>
      </c>
      <c r="E1413">
        <f>VLOOKUP($A1413,'Medical Examinations'!$A:$J,4,FALSE)</f>
        <v>5.5</v>
      </c>
      <c r="F1413" t="str">
        <f>VLOOKUP($A1413,'Medical Examinations'!$A:$J,6,FALSE)</f>
        <v>No</v>
      </c>
      <c r="G1413" t="str">
        <f>VLOOKUP($A1413,'Medical Examinations'!$A:$J,7,FALSE)</f>
        <v>No</v>
      </c>
      <c r="H1413" t="str">
        <f>VLOOKUP($A1413,'Medical Examinations'!$A:$J,8,FALSE)</f>
        <v>No</v>
      </c>
      <c r="I1413">
        <f>VLOOKUP($A1413,'Medical Examinations'!$A:$J,9,FALSE)</f>
        <v>1</v>
      </c>
      <c r="J1413" t="str">
        <f>VLOOKUP($A1413,'Medical Examinations'!$A:$J,10,FALSE)</f>
        <v>No</v>
      </c>
      <c r="K1413" t="str">
        <f>VLOOKUP($A1413,'Medical Examinations'!$A:$J,5,FALSE)</f>
        <v>Normal</v>
      </c>
      <c r="L1413">
        <f>VLOOKUP($A1414,'Medical Examinations'!$A:$J,3,FALSE)</f>
        <v>24.33</v>
      </c>
      <c r="M1413">
        <f>VLOOKUP($A1413,'Hospitalisation Details'!$A:$K,6,FALSE)</f>
        <v>7537.16</v>
      </c>
      <c r="N1413" s="11">
        <f>VLOOKUP($B1413,'Hospitalisation Details'!A1412:J3756,10,0)</f>
        <v>23555</v>
      </c>
      <c r="O1413" t="str">
        <f>VLOOKUP($B1413,'Hospitalisation Details'!A1412:J3756,8,0)</f>
        <v>tier - 3</v>
      </c>
      <c r="P1413" t="str">
        <f>VLOOKUP($B1413,'Hospitalisation Details'!A1412:J3756,7,0)</f>
        <v>tier - 3</v>
      </c>
      <c r="Q1413" t="str">
        <f>VLOOKUP($B1413,'Hospitalisation Details'!A1412:J3756,9,0)</f>
        <v>R1013</v>
      </c>
      <c r="R1413">
        <f>VLOOKUP($B1413,'Hospitalisation Details'!A1412:K3756,11,0)</f>
        <v>58</v>
      </c>
    </row>
    <row r="1414" spans="1:18" x14ac:dyDescent="0.35">
      <c r="A1414" t="s">
        <v>958</v>
      </c>
      <c r="B1414" t="s">
        <v>1445</v>
      </c>
      <c r="C1414" t="str">
        <f>VLOOKUP($A1414,'Customer Names'!$A:$E,4,FALSE)</f>
        <v>Kassie</v>
      </c>
      <c r="D1414" t="str">
        <f>VLOOKUP($A1414,'Medical Examinations'!$A:$J,2,FALSE)</f>
        <v>Normal Weight</v>
      </c>
      <c r="E1414">
        <f>VLOOKUP($A1414,'Medical Examinations'!$A:$J,4,FALSE)</f>
        <v>8</v>
      </c>
      <c r="F1414" t="str">
        <f>VLOOKUP($A1414,'Medical Examinations'!$A:$J,6,FALSE)</f>
        <v>No</v>
      </c>
      <c r="G1414" t="str">
        <f>VLOOKUP($A1414,'Medical Examinations'!$A:$J,7,FALSE)</f>
        <v>No</v>
      </c>
      <c r="H1414" t="str">
        <f>VLOOKUP($A1414,'Medical Examinations'!$A:$J,8,FALSE)</f>
        <v>No</v>
      </c>
      <c r="I1414">
        <f>VLOOKUP($A1414,'Medical Examinations'!$A:$J,9,FALSE)</f>
        <v>0</v>
      </c>
      <c r="J1414" t="str">
        <f>VLOOKUP($A1414,'Medical Examinations'!$A:$J,10,FALSE)</f>
        <v>No</v>
      </c>
      <c r="K1414" t="str">
        <f>VLOOKUP($A1414,'Medical Examinations'!$A:$J,5,FALSE)</f>
        <v>Diabetes</v>
      </c>
      <c r="L1414">
        <f>VLOOKUP($A1415,'Medical Examinations'!$A:$J,3,FALSE)</f>
        <v>19.855</v>
      </c>
      <c r="M1414">
        <f>VLOOKUP($A1414,'Hospitalisation Details'!$A:$K,6,FALSE)</f>
        <v>7531.7</v>
      </c>
      <c r="N1414" s="11">
        <f>VLOOKUP($B1414,'Hospitalisation Details'!A1413:J3757,10,0)</f>
        <v>23631</v>
      </c>
      <c r="O1414" t="str">
        <f>VLOOKUP($B1414,'Hospitalisation Details'!A1413:J3757,8,0)</f>
        <v>tier - 3</v>
      </c>
      <c r="P1414" t="str">
        <f>VLOOKUP($B1414,'Hospitalisation Details'!A1413:J3757,7,0)</f>
        <v>tier - 3</v>
      </c>
      <c r="Q1414" t="str">
        <f>VLOOKUP($B1414,'Hospitalisation Details'!A1413:J3757,9,0)</f>
        <v>R1011</v>
      </c>
      <c r="R1414">
        <f>VLOOKUP($B1414,'Hospitalisation Details'!A1413:K3757,11,0)</f>
        <v>58</v>
      </c>
    </row>
    <row r="1415" spans="1:18" x14ac:dyDescent="0.35">
      <c r="A1415" t="s">
        <v>957</v>
      </c>
      <c r="B1415" t="s">
        <v>1446</v>
      </c>
      <c r="C1415" t="str">
        <f>VLOOKUP($A1415,'Customer Names'!$A:$E,4,FALSE)</f>
        <v>Matthew</v>
      </c>
      <c r="D1415" t="str">
        <f>VLOOKUP($A1415,'Medical Examinations'!$A:$J,2,FALSE)</f>
        <v>Normal Weight</v>
      </c>
      <c r="E1415">
        <f>VLOOKUP($A1415,'Medical Examinations'!$A:$J,4,FALSE)</f>
        <v>5.71</v>
      </c>
      <c r="F1415" t="str">
        <f>VLOOKUP($A1415,'Medical Examinations'!$A:$J,6,FALSE)</f>
        <v>yes</v>
      </c>
      <c r="G1415" t="str">
        <f>VLOOKUP($A1415,'Medical Examinations'!$A:$J,7,FALSE)</f>
        <v>No</v>
      </c>
      <c r="H1415" t="str">
        <f>VLOOKUP($A1415,'Medical Examinations'!$A:$J,8,FALSE)</f>
        <v>No</v>
      </c>
      <c r="I1415">
        <f>VLOOKUP($A1415,'Medical Examinations'!$A:$J,9,FALSE)</f>
        <v>0</v>
      </c>
      <c r="J1415" t="str">
        <f>VLOOKUP($A1415,'Medical Examinations'!$A:$J,10,FALSE)</f>
        <v>No</v>
      </c>
      <c r="K1415" t="str">
        <f>VLOOKUP($A1415,'Medical Examinations'!$A:$J,5,FALSE)</f>
        <v>Prediabetes</v>
      </c>
      <c r="L1415">
        <f>VLOOKUP($A1416,'Medical Examinations'!$A:$J,3,FALSE)</f>
        <v>25.364999999999998</v>
      </c>
      <c r="M1415">
        <f>VLOOKUP($A1415,'Hospitalisation Details'!$A:$K,6,FALSE)</f>
        <v>7526.71</v>
      </c>
      <c r="N1415" s="11">
        <f>VLOOKUP($B1415,'Hospitalisation Details'!A1414:J3758,10,0)</f>
        <v>24010</v>
      </c>
      <c r="O1415" t="str">
        <f>VLOOKUP($B1415,'Hospitalisation Details'!A1414:J3758,8,0)</f>
        <v>tier - 2</v>
      </c>
      <c r="P1415" t="str">
        <f>VLOOKUP($B1415,'Hospitalisation Details'!A1414:J3758,7,0)</f>
        <v>tier - 3</v>
      </c>
      <c r="Q1415" t="str">
        <f>VLOOKUP($B1415,'Hospitalisation Details'!A1414:J3758,9,0)</f>
        <v>R1012</v>
      </c>
      <c r="R1415">
        <f>VLOOKUP($B1415,'Hospitalisation Details'!A1414:K3758,11,0)</f>
        <v>57</v>
      </c>
    </row>
    <row r="1416" spans="1:18" x14ac:dyDescent="0.35">
      <c r="A1416" t="s">
        <v>956</v>
      </c>
      <c r="B1416" t="s">
        <v>1447</v>
      </c>
      <c r="C1416" t="str">
        <f>VLOOKUP($A1416,'Customer Names'!$A:$E,4,FALSE)</f>
        <v>Ruben Dario</v>
      </c>
      <c r="D1416" t="str">
        <f>VLOOKUP($A1416,'Medical Examinations'!$A:$J,2,FALSE)</f>
        <v>Overweight</v>
      </c>
      <c r="E1416">
        <f>VLOOKUP($A1416,'Medical Examinations'!$A:$J,4,FALSE)</f>
        <v>11.71</v>
      </c>
      <c r="F1416" t="str">
        <f>VLOOKUP($A1416,'Medical Examinations'!$A:$J,6,FALSE)</f>
        <v>No</v>
      </c>
      <c r="G1416" t="str">
        <f>VLOOKUP($A1416,'Medical Examinations'!$A:$J,7,FALSE)</f>
        <v>No</v>
      </c>
      <c r="H1416" t="str">
        <f>VLOOKUP($A1416,'Medical Examinations'!$A:$J,8,FALSE)</f>
        <v>No</v>
      </c>
      <c r="I1416">
        <f>VLOOKUP($A1416,'Medical Examinations'!$A:$J,9,FALSE)</f>
        <v>0</v>
      </c>
      <c r="J1416" t="str">
        <f>VLOOKUP($A1416,'Medical Examinations'!$A:$J,10,FALSE)</f>
        <v>No</v>
      </c>
      <c r="K1416" t="str">
        <f>VLOOKUP($A1416,'Medical Examinations'!$A:$J,5,FALSE)</f>
        <v>Diabetes</v>
      </c>
      <c r="L1416">
        <f>VLOOKUP($A1417,'Medical Examinations'!$A:$J,3,FALSE)</f>
        <v>29.6</v>
      </c>
      <c r="M1416">
        <f>VLOOKUP($A1416,'Hospitalisation Details'!$A:$K,6,FALSE)</f>
        <v>7518.03</v>
      </c>
      <c r="N1416" s="11">
        <f>VLOOKUP($B1416,'Hospitalisation Details'!A1415:J3759,10,0)</f>
        <v>23569</v>
      </c>
      <c r="O1416" t="str">
        <f>VLOOKUP($B1416,'Hospitalisation Details'!A1415:J3759,8,0)</f>
        <v>tier - 2</v>
      </c>
      <c r="P1416" t="str">
        <f>VLOOKUP($B1416,'Hospitalisation Details'!A1415:J3759,7,0)</f>
        <v>tier - 3</v>
      </c>
      <c r="Q1416" t="str">
        <f>VLOOKUP($B1416,'Hospitalisation Details'!A1415:J3759,9,0)</f>
        <v>R1011</v>
      </c>
      <c r="R1416">
        <f>VLOOKUP($B1416,'Hospitalisation Details'!A1415:K3759,11,0)</f>
        <v>58</v>
      </c>
    </row>
    <row r="1417" spans="1:18" x14ac:dyDescent="0.35">
      <c r="A1417" t="s">
        <v>955</v>
      </c>
      <c r="B1417" t="s">
        <v>1448</v>
      </c>
      <c r="C1417" t="str">
        <f>VLOOKUP($A1417,'Customer Names'!$A:$E,4,FALSE)</f>
        <v>Kevin</v>
      </c>
      <c r="D1417" t="str">
        <f>VLOOKUP($A1417,'Medical Examinations'!$A:$J,2,FALSE)</f>
        <v>Overweight</v>
      </c>
      <c r="E1417">
        <f>VLOOKUP($A1417,'Medical Examinations'!$A:$J,4,FALSE)</f>
        <v>6.17</v>
      </c>
      <c r="F1417" t="str">
        <f>VLOOKUP($A1417,'Medical Examinations'!$A:$J,6,FALSE)</f>
        <v>yes</v>
      </c>
      <c r="G1417" t="str">
        <f>VLOOKUP($A1417,'Medical Examinations'!$A:$J,7,FALSE)</f>
        <v>No</v>
      </c>
      <c r="H1417" t="str">
        <f>VLOOKUP($A1417,'Medical Examinations'!$A:$J,8,FALSE)</f>
        <v>Yes</v>
      </c>
      <c r="I1417">
        <f>VLOOKUP($A1417,'Medical Examinations'!$A:$J,9,FALSE)</f>
        <v>1</v>
      </c>
      <c r="J1417" t="str">
        <f>VLOOKUP($A1417,'Medical Examinations'!$A:$J,10,FALSE)</f>
        <v>No</v>
      </c>
      <c r="K1417" t="str">
        <f>VLOOKUP($A1417,'Medical Examinations'!$A:$J,5,FALSE)</f>
        <v>Prediabetes</v>
      </c>
      <c r="L1417">
        <f>VLOOKUP($A1418,'Medical Examinations'!$A:$J,3,FALSE)</f>
        <v>39.43</v>
      </c>
      <c r="M1417">
        <f>VLOOKUP($A1417,'Hospitalisation Details'!$A:$K,6,FALSE)</f>
        <v>7512.27</v>
      </c>
      <c r="N1417" s="11">
        <f>VLOOKUP($B1417,'Hospitalisation Details'!A1416:J3760,10,0)</f>
        <v>24056</v>
      </c>
      <c r="O1417" t="str">
        <f>VLOOKUP($B1417,'Hospitalisation Details'!A1416:J3760,8,0)</f>
        <v>tier - 3</v>
      </c>
      <c r="P1417" t="str">
        <f>VLOOKUP($B1417,'Hospitalisation Details'!A1416:J3760,7,0)</f>
        <v>tier - 3</v>
      </c>
      <c r="Q1417" t="str">
        <f>VLOOKUP($B1417,'Hospitalisation Details'!A1416:J3760,9,0)</f>
        <v>R1012</v>
      </c>
      <c r="R1417">
        <f>VLOOKUP($B1417,'Hospitalisation Details'!A1416:K3760,11,0)</f>
        <v>57</v>
      </c>
    </row>
    <row r="1418" spans="1:18" x14ac:dyDescent="0.35">
      <c r="A1418" t="s">
        <v>954</v>
      </c>
      <c r="B1418" t="s">
        <v>1449</v>
      </c>
      <c r="C1418" t="str">
        <f>VLOOKUP($A1418,'Customer Names'!$A:$E,4,FALSE)</f>
        <v>Lindsay M</v>
      </c>
      <c r="D1418" t="str">
        <f>VLOOKUP($A1418,'Medical Examinations'!$A:$J,2,FALSE)</f>
        <v>Obesity</v>
      </c>
      <c r="E1418">
        <f>VLOOKUP($A1418,'Medical Examinations'!$A:$J,4,FALSE)</f>
        <v>6.1</v>
      </c>
      <c r="F1418" t="str">
        <f>VLOOKUP($A1418,'Medical Examinations'!$A:$J,6,FALSE)</f>
        <v>yes</v>
      </c>
      <c r="G1418" t="str">
        <f>VLOOKUP($A1418,'Medical Examinations'!$A:$J,7,FALSE)</f>
        <v>No</v>
      </c>
      <c r="H1418" t="str">
        <f>VLOOKUP($A1418,'Medical Examinations'!$A:$J,8,FALSE)</f>
        <v>Yes</v>
      </c>
      <c r="I1418">
        <f>VLOOKUP($A1418,'Medical Examinations'!$A:$J,9,FALSE)</f>
        <v>1</v>
      </c>
      <c r="J1418" t="str">
        <f>VLOOKUP($A1418,'Medical Examinations'!$A:$J,10,FALSE)</f>
        <v>No</v>
      </c>
      <c r="K1418" t="str">
        <f>VLOOKUP($A1418,'Medical Examinations'!$A:$J,5,FALSE)</f>
        <v>Prediabetes</v>
      </c>
      <c r="L1418">
        <f>VLOOKUP($A1419,'Medical Examinations'!$A:$J,3,FALSE)</f>
        <v>27.34</v>
      </c>
      <c r="M1418">
        <f>VLOOKUP($A1418,'Hospitalisation Details'!$A:$K,6,FALSE)</f>
        <v>7504.3</v>
      </c>
      <c r="N1418" s="11">
        <f>VLOOKUP($B1418,'Hospitalisation Details'!A1417:J3761,10,0)</f>
        <v>23555</v>
      </c>
      <c r="O1418" t="str">
        <f>VLOOKUP($B1418,'Hospitalisation Details'!A1417:J3761,8,0)</f>
        <v>tier - 2</v>
      </c>
      <c r="P1418" t="str">
        <f>VLOOKUP($B1418,'Hospitalisation Details'!A1417:J3761,7,0)</f>
        <v>tier - 3</v>
      </c>
      <c r="Q1418" t="str">
        <f>VLOOKUP($B1418,'Hospitalisation Details'!A1417:J3761,9,0)</f>
        <v>R1011</v>
      </c>
      <c r="R1418">
        <f>VLOOKUP($B1418,'Hospitalisation Details'!A1417:K3761,11,0)</f>
        <v>58</v>
      </c>
    </row>
    <row r="1419" spans="1:18" x14ac:dyDescent="0.35">
      <c r="A1419" t="s">
        <v>953</v>
      </c>
      <c r="B1419" t="s">
        <v>1450</v>
      </c>
      <c r="C1419" t="str">
        <f>VLOOKUP($A1419,'Customer Names'!$A:$E,4,FALSE)</f>
        <v>Amanda</v>
      </c>
      <c r="D1419" t="str">
        <f>VLOOKUP($A1419,'Medical Examinations'!$A:$J,2,FALSE)</f>
        <v>Overweight</v>
      </c>
      <c r="E1419">
        <f>VLOOKUP($A1419,'Medical Examinations'!$A:$J,4,FALSE)</f>
        <v>5.19</v>
      </c>
      <c r="F1419" t="str">
        <f>VLOOKUP($A1419,'Medical Examinations'!$A:$J,6,FALSE)</f>
        <v>yes</v>
      </c>
      <c r="G1419" t="str">
        <f>VLOOKUP($A1419,'Medical Examinations'!$A:$J,7,FALSE)</f>
        <v>No</v>
      </c>
      <c r="H1419" t="str">
        <f>VLOOKUP($A1419,'Medical Examinations'!$A:$J,8,FALSE)</f>
        <v>No</v>
      </c>
      <c r="I1419">
        <f>VLOOKUP($A1419,'Medical Examinations'!$A:$J,9,FALSE)</f>
        <v>1</v>
      </c>
      <c r="J1419" t="str">
        <f>VLOOKUP($A1419,'Medical Examinations'!$A:$J,10,FALSE)</f>
        <v>No</v>
      </c>
      <c r="K1419" t="str">
        <f>VLOOKUP($A1419,'Medical Examinations'!$A:$J,5,FALSE)</f>
        <v>Normal</v>
      </c>
      <c r="L1419">
        <f>VLOOKUP($A1420,'Medical Examinations'!$A:$J,3,FALSE)</f>
        <v>39.01</v>
      </c>
      <c r="M1419">
        <f>VLOOKUP($A1419,'Hospitalisation Details'!$A:$K,6,FALSE)</f>
        <v>7494.63</v>
      </c>
      <c r="N1419" s="11">
        <f>VLOOKUP($B1419,'Hospitalisation Details'!A1418:J3762,10,0)</f>
        <v>23649</v>
      </c>
      <c r="O1419" t="str">
        <f>VLOOKUP($B1419,'Hospitalisation Details'!A1418:J3762,8,0)</f>
        <v>tier - 2</v>
      </c>
      <c r="P1419" t="str">
        <f>VLOOKUP($B1419,'Hospitalisation Details'!A1418:J3762,7,0)</f>
        <v>tier - 3</v>
      </c>
      <c r="Q1419" t="str">
        <f>VLOOKUP($B1419,'Hospitalisation Details'!A1418:J3762,9,0)</f>
        <v>R1013</v>
      </c>
      <c r="R1419">
        <f>VLOOKUP($B1419,'Hospitalisation Details'!A1418:K3762,11,0)</f>
        <v>58</v>
      </c>
    </row>
    <row r="1420" spans="1:18" x14ac:dyDescent="0.35">
      <c r="A1420" t="s">
        <v>952</v>
      </c>
      <c r="B1420" t="s">
        <v>1451</v>
      </c>
      <c r="C1420" t="str">
        <f>VLOOKUP($A1420,'Customer Names'!$A:$E,4,FALSE)</f>
        <v>James</v>
      </c>
      <c r="D1420" t="str">
        <f>VLOOKUP($A1420,'Medical Examinations'!$A:$J,2,FALSE)</f>
        <v>Obesity</v>
      </c>
      <c r="E1420">
        <f>VLOOKUP($A1420,'Medical Examinations'!$A:$J,4,FALSE)</f>
        <v>5.37</v>
      </c>
      <c r="F1420" t="str">
        <f>VLOOKUP($A1420,'Medical Examinations'!$A:$J,6,FALSE)</f>
        <v>yes</v>
      </c>
      <c r="G1420" t="str">
        <f>VLOOKUP($A1420,'Medical Examinations'!$A:$J,7,FALSE)</f>
        <v>No</v>
      </c>
      <c r="H1420" t="str">
        <f>VLOOKUP($A1420,'Medical Examinations'!$A:$J,8,FALSE)</f>
        <v>No</v>
      </c>
      <c r="I1420">
        <f>VLOOKUP($A1420,'Medical Examinations'!$A:$J,9,FALSE)</f>
        <v>0</v>
      </c>
      <c r="J1420" t="str">
        <f>VLOOKUP($A1420,'Medical Examinations'!$A:$J,10,FALSE)</f>
        <v>No</v>
      </c>
      <c r="K1420" t="str">
        <f>VLOOKUP($A1420,'Medical Examinations'!$A:$J,5,FALSE)</f>
        <v>Normal</v>
      </c>
      <c r="L1420">
        <f>VLOOKUP($A1421,'Medical Examinations'!$A:$J,3,FALSE)</f>
        <v>18.989999999999998</v>
      </c>
      <c r="M1420">
        <f>VLOOKUP($A1420,'Hospitalisation Details'!$A:$K,6,FALSE)</f>
        <v>7487.38</v>
      </c>
      <c r="N1420" s="11">
        <f>VLOOKUP($B1420,'Hospitalisation Details'!A1419:J3763,10,0)</f>
        <v>27217</v>
      </c>
      <c r="O1420" t="str">
        <f>VLOOKUP($B1420,'Hospitalisation Details'!A1419:J3763,8,0)</f>
        <v>tier - 3</v>
      </c>
      <c r="P1420" t="str">
        <f>VLOOKUP($B1420,'Hospitalisation Details'!A1419:J3763,7,0)</f>
        <v>tier - 3</v>
      </c>
      <c r="Q1420" t="str">
        <f>VLOOKUP($B1420,'Hospitalisation Details'!A1419:J3763,9,0)</f>
        <v>R1011</v>
      </c>
      <c r="R1420">
        <f>VLOOKUP($B1420,'Hospitalisation Details'!A1419:K3763,11,0)</f>
        <v>48</v>
      </c>
    </row>
    <row r="1421" spans="1:18" x14ac:dyDescent="0.35">
      <c r="A1421" t="s">
        <v>951</v>
      </c>
      <c r="B1421" t="s">
        <v>1452</v>
      </c>
      <c r="C1421" t="str">
        <f>VLOOKUP($A1421,'Customer Names'!$A:$E,4,FALSE)</f>
        <v>Samuel H.</v>
      </c>
      <c r="D1421" t="str">
        <f>VLOOKUP($A1421,'Medical Examinations'!$A:$J,2,FALSE)</f>
        <v>Normal Weight</v>
      </c>
      <c r="E1421">
        <f>VLOOKUP($A1421,'Medical Examinations'!$A:$J,4,FALSE)</f>
        <v>10.82</v>
      </c>
      <c r="F1421" t="str">
        <f>VLOOKUP($A1421,'Medical Examinations'!$A:$J,6,FALSE)</f>
        <v>yes</v>
      </c>
      <c r="G1421" t="str">
        <f>VLOOKUP($A1421,'Medical Examinations'!$A:$J,7,FALSE)</f>
        <v>No</v>
      </c>
      <c r="H1421" t="str">
        <f>VLOOKUP($A1421,'Medical Examinations'!$A:$J,8,FALSE)</f>
        <v>No</v>
      </c>
      <c r="I1421">
        <f>VLOOKUP($A1421,'Medical Examinations'!$A:$J,9,FALSE)</f>
        <v>0</v>
      </c>
      <c r="J1421" t="str">
        <f>VLOOKUP($A1421,'Medical Examinations'!$A:$J,10,FALSE)</f>
        <v>No</v>
      </c>
      <c r="K1421" t="str">
        <f>VLOOKUP($A1421,'Medical Examinations'!$A:$J,5,FALSE)</f>
        <v>Diabetes</v>
      </c>
      <c r="L1421">
        <f>VLOOKUP($A1422,'Medical Examinations'!$A:$J,3,FALSE)</f>
        <v>42.3</v>
      </c>
      <c r="M1421">
        <f>VLOOKUP($A1421,'Hospitalisation Details'!$A:$K,6,FALSE)</f>
        <v>7463.51</v>
      </c>
      <c r="N1421" s="11">
        <f>VLOOKUP($B1421,'Hospitalisation Details'!A1420:J3764,10,0)</f>
        <v>24708</v>
      </c>
      <c r="O1421" t="str">
        <f>VLOOKUP($B1421,'Hospitalisation Details'!A1420:J3764,8,0)</f>
        <v>tier - 3</v>
      </c>
      <c r="P1421" t="str">
        <f>VLOOKUP($B1421,'Hospitalisation Details'!A1420:J3764,7,0)</f>
        <v>tier - 3</v>
      </c>
      <c r="Q1421" t="str">
        <f>VLOOKUP($B1421,'Hospitalisation Details'!A1420:J3764,9,0)</f>
        <v>R1024</v>
      </c>
      <c r="R1421">
        <f>VLOOKUP($B1421,'Hospitalisation Details'!A1420:K3764,11,0)</f>
        <v>55</v>
      </c>
    </row>
    <row r="1422" spans="1:18" x14ac:dyDescent="0.35">
      <c r="A1422" t="s">
        <v>950</v>
      </c>
      <c r="B1422" t="s">
        <v>1453</v>
      </c>
      <c r="C1422" t="str">
        <f>VLOOKUP($A1422,'Customer Names'!$A:$E,4,FALSE)</f>
        <v>Jenni</v>
      </c>
      <c r="D1422" t="str">
        <f>VLOOKUP($A1422,'Medical Examinations'!$A:$J,2,FALSE)</f>
        <v>Obesity</v>
      </c>
      <c r="E1422">
        <f>VLOOKUP($A1422,'Medical Examinations'!$A:$J,4,FALSE)</f>
        <v>6.06</v>
      </c>
      <c r="F1422" t="str">
        <f>VLOOKUP($A1422,'Medical Examinations'!$A:$J,6,FALSE)</f>
        <v>yes</v>
      </c>
      <c r="G1422" t="str">
        <f>VLOOKUP($A1422,'Medical Examinations'!$A:$J,7,FALSE)</f>
        <v>No</v>
      </c>
      <c r="H1422" t="str">
        <f>VLOOKUP($A1422,'Medical Examinations'!$A:$J,8,FALSE)</f>
        <v>No</v>
      </c>
      <c r="I1422">
        <f>VLOOKUP($A1422,'Medical Examinations'!$A:$J,9,FALSE)</f>
        <v>0</v>
      </c>
      <c r="J1422" t="str">
        <f>VLOOKUP($A1422,'Medical Examinations'!$A:$J,10,FALSE)</f>
        <v>No</v>
      </c>
      <c r="K1422" t="str">
        <f>VLOOKUP($A1422,'Medical Examinations'!$A:$J,5,FALSE)</f>
        <v>Prediabetes</v>
      </c>
      <c r="L1422">
        <f>VLOOKUP($A1423,'Medical Examinations'!$A:$J,3,FALSE)</f>
        <v>39.805</v>
      </c>
      <c r="M1422">
        <f>VLOOKUP($A1422,'Hospitalisation Details'!$A:$K,6,FALSE)</f>
        <v>7450.36</v>
      </c>
      <c r="N1422" s="11">
        <f>VLOOKUP($B1422,'Hospitalisation Details'!A1421:J3765,10,0)</f>
        <v>24667</v>
      </c>
      <c r="O1422" t="str">
        <f>VLOOKUP($B1422,'Hospitalisation Details'!A1421:J3765,8,0)</f>
        <v>tier - 2</v>
      </c>
      <c r="P1422" t="str">
        <f>VLOOKUP($B1422,'Hospitalisation Details'!A1421:J3765,7,0)</f>
        <v>tier - 3</v>
      </c>
      <c r="Q1422" t="str">
        <f>VLOOKUP($B1422,'Hospitalisation Details'!A1421:J3765,9,0)</f>
        <v>R1011</v>
      </c>
      <c r="R1422">
        <f>VLOOKUP($B1422,'Hospitalisation Details'!A1421:K3765,11,0)</f>
        <v>55</v>
      </c>
    </row>
    <row r="1423" spans="1:18" x14ac:dyDescent="0.35">
      <c r="A1423" t="s">
        <v>949</v>
      </c>
      <c r="B1423" t="s">
        <v>1454</v>
      </c>
      <c r="C1423" t="str">
        <f>VLOOKUP($A1423,'Customer Names'!$A:$E,4,FALSE)</f>
        <v>Estuardo F</v>
      </c>
      <c r="D1423" t="str">
        <f>VLOOKUP($A1423,'Medical Examinations'!$A:$J,2,FALSE)</f>
        <v>Obesity</v>
      </c>
      <c r="E1423">
        <f>VLOOKUP($A1423,'Medical Examinations'!$A:$J,4,FALSE)</f>
        <v>5.91</v>
      </c>
      <c r="F1423" t="str">
        <f>VLOOKUP($A1423,'Medical Examinations'!$A:$J,6,FALSE)</f>
        <v>No</v>
      </c>
      <c r="G1423" t="str">
        <f>VLOOKUP($A1423,'Medical Examinations'!$A:$J,7,FALSE)</f>
        <v>No</v>
      </c>
      <c r="H1423" t="str">
        <f>VLOOKUP($A1423,'Medical Examinations'!$A:$J,8,FALSE)</f>
        <v>No</v>
      </c>
      <c r="I1423">
        <f>VLOOKUP($A1423,'Medical Examinations'!$A:$J,9,FALSE)</f>
        <v>0</v>
      </c>
      <c r="J1423" t="str">
        <f>VLOOKUP($A1423,'Medical Examinations'!$A:$J,10,FALSE)</f>
        <v>No</v>
      </c>
      <c r="K1423" t="str">
        <f>VLOOKUP($A1423,'Medical Examinations'!$A:$J,5,FALSE)</f>
        <v>Prediabetes</v>
      </c>
      <c r="L1423">
        <f>VLOOKUP($A1424,'Medical Examinations'!$A:$J,3,FALSE)</f>
        <v>33.700000000000003</v>
      </c>
      <c r="M1423">
        <f>VLOOKUP($A1423,'Hospitalisation Details'!$A:$K,6,FALSE)</f>
        <v>7448.4</v>
      </c>
      <c r="N1423" s="11">
        <f>VLOOKUP($B1423,'Hospitalisation Details'!A1422:J3766,10,0)</f>
        <v>24774</v>
      </c>
      <c r="O1423" t="str">
        <f>VLOOKUP($B1423,'Hospitalisation Details'!A1422:J3766,8,0)</f>
        <v>tier - 1</v>
      </c>
      <c r="P1423" t="str">
        <f>VLOOKUP($B1423,'Hospitalisation Details'!A1422:J3766,7,0)</f>
        <v>tier - 3</v>
      </c>
      <c r="Q1423" t="str">
        <f>VLOOKUP($B1423,'Hospitalisation Details'!A1422:J3766,9,0)</f>
        <v>R1013</v>
      </c>
      <c r="R1423">
        <f>VLOOKUP($B1423,'Hospitalisation Details'!A1422:K3766,11,0)</f>
        <v>55</v>
      </c>
    </row>
    <row r="1424" spans="1:18" x14ac:dyDescent="0.35">
      <c r="A1424" t="s">
        <v>948</v>
      </c>
      <c r="B1424" t="s">
        <v>1455</v>
      </c>
      <c r="C1424" t="str">
        <f>VLOOKUP($A1424,'Customer Names'!$A:$E,4,FALSE)</f>
        <v>Brett</v>
      </c>
      <c r="D1424" t="str">
        <f>VLOOKUP($A1424,'Medical Examinations'!$A:$J,2,FALSE)</f>
        <v>Obesity</v>
      </c>
      <c r="E1424">
        <f>VLOOKUP($A1424,'Medical Examinations'!$A:$J,4,FALSE)</f>
        <v>5.87</v>
      </c>
      <c r="F1424" t="str">
        <f>VLOOKUP($A1424,'Medical Examinations'!$A:$J,6,FALSE)</f>
        <v>No</v>
      </c>
      <c r="G1424" t="str">
        <f>VLOOKUP($A1424,'Medical Examinations'!$A:$J,7,FALSE)</f>
        <v>No</v>
      </c>
      <c r="H1424" t="str">
        <f>VLOOKUP($A1424,'Medical Examinations'!$A:$J,8,FALSE)</f>
        <v>No</v>
      </c>
      <c r="I1424">
        <f>VLOOKUP($A1424,'Medical Examinations'!$A:$J,9,FALSE)</f>
        <v>0</v>
      </c>
      <c r="J1424" t="str">
        <f>VLOOKUP($A1424,'Medical Examinations'!$A:$J,10,FALSE)</f>
        <v>No</v>
      </c>
      <c r="K1424" t="str">
        <f>VLOOKUP($A1424,'Medical Examinations'!$A:$J,5,FALSE)</f>
        <v>Prediabetes</v>
      </c>
      <c r="L1424">
        <f>VLOOKUP($A1425,'Medical Examinations'!$A:$J,3,FALSE)</f>
        <v>36.195</v>
      </c>
      <c r="M1424">
        <f>VLOOKUP($A1424,'Hospitalisation Details'!$A:$K,6,FALSE)</f>
        <v>7445.92</v>
      </c>
      <c r="N1424" s="11">
        <f>VLOOKUP($B1424,'Hospitalisation Details'!A1423:J3767,10,0)</f>
        <v>38140</v>
      </c>
      <c r="O1424" t="str">
        <f>VLOOKUP($B1424,'Hospitalisation Details'!A1423:J3767,8,0)</f>
        <v>tier - 3</v>
      </c>
      <c r="P1424" t="str">
        <f>VLOOKUP($B1424,'Hospitalisation Details'!A1423:J3767,7,0)</f>
        <v>tier - 3</v>
      </c>
      <c r="Q1424" t="str">
        <f>VLOOKUP($B1424,'Hospitalisation Details'!A1423:J3767,9,0)</f>
        <v>R1013</v>
      </c>
      <c r="R1424">
        <f>VLOOKUP($B1424,'Hospitalisation Details'!A1423:K3767,11,0)</f>
        <v>19</v>
      </c>
    </row>
    <row r="1425" spans="1:18" x14ac:dyDescent="0.35">
      <c r="A1425" t="s">
        <v>947</v>
      </c>
      <c r="B1425" t="s">
        <v>1456</v>
      </c>
      <c r="C1425" t="str">
        <f>VLOOKUP($A1425,'Customer Names'!$A:$E,4,FALSE)</f>
        <v>Sharon E.</v>
      </c>
      <c r="D1425" t="str">
        <f>VLOOKUP($A1425,'Medical Examinations'!$A:$J,2,FALSE)</f>
        <v>Obesity</v>
      </c>
      <c r="E1425">
        <f>VLOOKUP($A1425,'Medical Examinations'!$A:$J,4,FALSE)</f>
        <v>6.22</v>
      </c>
      <c r="F1425" t="str">
        <f>VLOOKUP($A1425,'Medical Examinations'!$A:$J,6,FALSE)</f>
        <v>No</v>
      </c>
      <c r="G1425" t="str">
        <f>VLOOKUP($A1425,'Medical Examinations'!$A:$J,7,FALSE)</f>
        <v>No</v>
      </c>
      <c r="H1425" t="str">
        <f>VLOOKUP($A1425,'Medical Examinations'!$A:$J,8,FALSE)</f>
        <v>No</v>
      </c>
      <c r="I1425">
        <f>VLOOKUP($A1425,'Medical Examinations'!$A:$J,9,FALSE)</f>
        <v>0</v>
      </c>
      <c r="J1425" t="str">
        <f>VLOOKUP($A1425,'Medical Examinations'!$A:$J,10,FALSE)</f>
        <v>No</v>
      </c>
      <c r="K1425" t="str">
        <f>VLOOKUP($A1425,'Medical Examinations'!$A:$J,5,FALSE)</f>
        <v>Prediabetes</v>
      </c>
      <c r="L1425">
        <f>VLOOKUP($A1426,'Medical Examinations'!$A:$J,3,FALSE)</f>
        <v>32.6</v>
      </c>
      <c r="M1425">
        <f>VLOOKUP($A1425,'Hospitalisation Details'!$A:$K,6,FALSE)</f>
        <v>7443.64</v>
      </c>
      <c r="N1425" s="11">
        <f>VLOOKUP($B1425,'Hospitalisation Details'!A1424:J3768,10,0)</f>
        <v>23700</v>
      </c>
      <c r="O1425" t="str">
        <f>VLOOKUP($B1425,'Hospitalisation Details'!A1424:J3768,8,0)</f>
        <v>tier - 1</v>
      </c>
      <c r="P1425" t="str">
        <f>VLOOKUP($B1425,'Hospitalisation Details'!A1424:J3768,7,0)</f>
        <v>tier - 3</v>
      </c>
      <c r="Q1425" t="str">
        <f>VLOOKUP($B1425,'Hospitalisation Details'!A1424:J3768,9,0)</f>
        <v>R1021</v>
      </c>
      <c r="R1425">
        <f>VLOOKUP($B1425,'Hospitalisation Details'!A1424:K3768,11,0)</f>
        <v>58</v>
      </c>
    </row>
    <row r="1426" spans="1:18" x14ac:dyDescent="0.35">
      <c r="A1426" t="s">
        <v>946</v>
      </c>
      <c r="B1426" t="s">
        <v>1457</v>
      </c>
      <c r="C1426" t="str">
        <f>VLOOKUP($A1426,'Customer Names'!$A:$E,4,FALSE)</f>
        <v>Jacob W√¶ver</v>
      </c>
      <c r="D1426" t="str">
        <f>VLOOKUP($A1426,'Medical Examinations'!$A:$J,2,FALSE)</f>
        <v>Obesity</v>
      </c>
      <c r="E1426">
        <f>VLOOKUP($A1426,'Medical Examinations'!$A:$J,4,FALSE)</f>
        <v>5.73</v>
      </c>
      <c r="F1426" t="str">
        <f>VLOOKUP($A1426,'Medical Examinations'!$A:$J,6,FALSE)</f>
        <v>No</v>
      </c>
      <c r="G1426" t="str">
        <f>VLOOKUP($A1426,'Medical Examinations'!$A:$J,7,FALSE)</f>
        <v>No</v>
      </c>
      <c r="H1426" t="str">
        <f>VLOOKUP($A1426,'Medical Examinations'!$A:$J,8,FALSE)</f>
        <v>Yes</v>
      </c>
      <c r="I1426">
        <f>VLOOKUP($A1426,'Medical Examinations'!$A:$J,9,FALSE)</f>
        <v>1</v>
      </c>
      <c r="J1426" t="str">
        <f>VLOOKUP($A1426,'Medical Examinations'!$A:$J,10,FALSE)</f>
        <v>No</v>
      </c>
      <c r="K1426" t="str">
        <f>VLOOKUP($A1426,'Medical Examinations'!$A:$J,5,FALSE)</f>
        <v>Prediabetes</v>
      </c>
      <c r="L1426">
        <f>VLOOKUP($A1427,'Medical Examinations'!$A:$J,3,FALSE)</f>
        <v>30.2</v>
      </c>
      <c r="M1426">
        <f>VLOOKUP($A1426,'Hospitalisation Details'!$A:$K,6,FALSE)</f>
        <v>7441.5</v>
      </c>
      <c r="N1426" s="11">
        <f>VLOOKUP($B1426,'Hospitalisation Details'!A1425:J3769,10,0)</f>
        <v>23731</v>
      </c>
      <c r="O1426" t="str">
        <f>VLOOKUP($B1426,'Hospitalisation Details'!A1425:J3769,8,0)</f>
        <v>tier - 1</v>
      </c>
      <c r="P1426" t="str">
        <f>VLOOKUP($B1426,'Hospitalisation Details'!A1425:J3769,7,0)</f>
        <v>tier - 3</v>
      </c>
      <c r="Q1426" t="str">
        <f>VLOOKUP($B1426,'Hospitalisation Details'!A1425:J3769,9,0)</f>
        <v>R1019</v>
      </c>
      <c r="R1426">
        <f>VLOOKUP($B1426,'Hospitalisation Details'!A1425:K3769,11,0)</f>
        <v>58</v>
      </c>
    </row>
    <row r="1427" spans="1:18" x14ac:dyDescent="0.35">
      <c r="A1427" t="s">
        <v>945</v>
      </c>
      <c r="B1427" t="s">
        <v>1458</v>
      </c>
      <c r="C1427" t="str">
        <f>VLOOKUP($A1427,'Customer Names'!$A:$E,4,FALSE)</f>
        <v>Scott</v>
      </c>
      <c r="D1427" t="str">
        <f>VLOOKUP($A1427,'Medical Examinations'!$A:$J,2,FALSE)</f>
        <v>Obesity</v>
      </c>
      <c r="E1427">
        <f>VLOOKUP($A1427,'Medical Examinations'!$A:$J,4,FALSE)</f>
        <v>5.7</v>
      </c>
      <c r="F1427" t="str">
        <f>VLOOKUP($A1427,'Medical Examinations'!$A:$J,6,FALSE)</f>
        <v>No</v>
      </c>
      <c r="G1427" t="str">
        <f>VLOOKUP($A1427,'Medical Examinations'!$A:$J,7,FALSE)</f>
        <v>No</v>
      </c>
      <c r="H1427" t="str">
        <f>VLOOKUP($A1427,'Medical Examinations'!$A:$J,8,FALSE)</f>
        <v>No</v>
      </c>
      <c r="I1427">
        <f>VLOOKUP($A1427,'Medical Examinations'!$A:$J,9,FALSE)</f>
        <v>0</v>
      </c>
      <c r="J1427" t="str">
        <f>VLOOKUP($A1427,'Medical Examinations'!$A:$J,10,FALSE)</f>
        <v>No</v>
      </c>
      <c r="K1427" t="str">
        <f>VLOOKUP($A1427,'Medical Examinations'!$A:$J,5,FALSE)</f>
        <v>Prediabetes</v>
      </c>
      <c r="L1427">
        <f>VLOOKUP($A1428,'Medical Examinations'!$A:$J,3,FALSE)</f>
        <v>27.645</v>
      </c>
      <c r="M1427">
        <f>VLOOKUP($A1427,'Hospitalisation Details'!$A:$K,6,FALSE)</f>
        <v>7441.05</v>
      </c>
      <c r="N1427" s="11">
        <f>VLOOKUP($B1427,'Hospitalisation Details'!A1426:J3770,10,0)</f>
        <v>23591</v>
      </c>
      <c r="O1427" t="str">
        <f>VLOOKUP($B1427,'Hospitalisation Details'!A1426:J3770,8,0)</f>
        <v>tier - 3</v>
      </c>
      <c r="P1427" t="str">
        <f>VLOOKUP($B1427,'Hospitalisation Details'!A1426:J3770,7,0)</f>
        <v>tier - 3</v>
      </c>
      <c r="Q1427" t="str">
        <f>VLOOKUP($B1427,'Hospitalisation Details'!A1426:J3770,9,0)</f>
        <v>R1019</v>
      </c>
      <c r="R1427">
        <f>VLOOKUP($B1427,'Hospitalisation Details'!A1426:K3770,11,0)</f>
        <v>58</v>
      </c>
    </row>
    <row r="1428" spans="1:18" x14ac:dyDescent="0.35">
      <c r="A1428" t="s">
        <v>944</v>
      </c>
      <c r="B1428" t="s">
        <v>1459</v>
      </c>
      <c r="C1428" t="str">
        <f>VLOOKUP($A1428,'Customer Names'!$A:$E,4,FALSE)</f>
        <v>Brooke S.</v>
      </c>
      <c r="D1428" t="str">
        <f>VLOOKUP($A1428,'Medical Examinations'!$A:$J,2,FALSE)</f>
        <v>Overweight</v>
      </c>
      <c r="E1428">
        <f>VLOOKUP($A1428,'Medical Examinations'!$A:$J,4,FALSE)</f>
        <v>9.91</v>
      </c>
      <c r="F1428" t="str">
        <f>VLOOKUP($A1428,'Medical Examinations'!$A:$J,6,FALSE)</f>
        <v>No</v>
      </c>
      <c r="G1428" t="str">
        <f>VLOOKUP($A1428,'Medical Examinations'!$A:$J,7,FALSE)</f>
        <v>No</v>
      </c>
      <c r="H1428" t="str">
        <f>VLOOKUP($A1428,'Medical Examinations'!$A:$J,8,FALSE)</f>
        <v>No</v>
      </c>
      <c r="I1428">
        <f>VLOOKUP($A1428,'Medical Examinations'!$A:$J,9,FALSE)</f>
        <v>0</v>
      </c>
      <c r="J1428" t="str">
        <f>VLOOKUP($A1428,'Medical Examinations'!$A:$J,10,FALSE)</f>
        <v>No</v>
      </c>
      <c r="K1428" t="str">
        <f>VLOOKUP($A1428,'Medical Examinations'!$A:$J,5,FALSE)</f>
        <v>Diabetes</v>
      </c>
      <c r="L1428">
        <f>VLOOKUP($A1429,'Medical Examinations'!$A:$J,3,FALSE)</f>
        <v>26.41</v>
      </c>
      <c r="M1428">
        <f>VLOOKUP($A1428,'Hospitalisation Details'!$A:$K,6,FALSE)</f>
        <v>7421.19</v>
      </c>
      <c r="N1428" s="11">
        <f>VLOOKUP($B1428,'Hospitalisation Details'!A1427:J3771,10,0)</f>
        <v>33530</v>
      </c>
      <c r="O1428" t="str">
        <f>VLOOKUP($B1428,'Hospitalisation Details'!A1427:J3771,8,0)</f>
        <v>tier - 1</v>
      </c>
      <c r="P1428" t="str">
        <f>VLOOKUP($B1428,'Hospitalisation Details'!A1427:J3771,7,0)</f>
        <v>tier - 3</v>
      </c>
      <c r="Q1428" t="str">
        <f>VLOOKUP($B1428,'Hospitalisation Details'!A1427:J3771,9,0)</f>
        <v>R1023</v>
      </c>
      <c r="R1428">
        <f>VLOOKUP($B1428,'Hospitalisation Details'!A1427:K3771,11,0)</f>
        <v>31</v>
      </c>
    </row>
    <row r="1429" spans="1:18" x14ac:dyDescent="0.35">
      <c r="A1429" t="s">
        <v>943</v>
      </c>
      <c r="B1429" t="s">
        <v>1460</v>
      </c>
      <c r="C1429" t="str">
        <f>VLOOKUP($A1429,'Customer Names'!$A:$E,4,FALSE)</f>
        <v>Kaye A.</v>
      </c>
      <c r="D1429" t="str">
        <f>VLOOKUP($A1429,'Medical Examinations'!$A:$J,2,FALSE)</f>
        <v>Overweight</v>
      </c>
      <c r="E1429">
        <f>VLOOKUP($A1429,'Medical Examinations'!$A:$J,4,FALSE)</f>
        <v>11.4</v>
      </c>
      <c r="F1429" t="str">
        <f>VLOOKUP($A1429,'Medical Examinations'!$A:$J,6,FALSE)</f>
        <v>No</v>
      </c>
      <c r="G1429" t="str">
        <f>VLOOKUP($A1429,'Medical Examinations'!$A:$J,7,FALSE)</f>
        <v>No</v>
      </c>
      <c r="H1429" t="str">
        <f>VLOOKUP($A1429,'Medical Examinations'!$A:$J,8,FALSE)</f>
        <v>No</v>
      </c>
      <c r="I1429">
        <f>VLOOKUP($A1429,'Medical Examinations'!$A:$J,9,FALSE)</f>
        <v>0</v>
      </c>
      <c r="J1429" t="str">
        <f>VLOOKUP($A1429,'Medical Examinations'!$A:$J,10,FALSE)</f>
        <v>No</v>
      </c>
      <c r="K1429" t="str">
        <f>VLOOKUP($A1429,'Medical Examinations'!$A:$J,5,FALSE)</f>
        <v>Diabetes</v>
      </c>
      <c r="L1429">
        <f>VLOOKUP($A1430,'Medical Examinations'!$A:$J,3,FALSE)</f>
        <v>34.1</v>
      </c>
      <c r="M1429">
        <f>VLOOKUP($A1429,'Hospitalisation Details'!$A:$K,6,FALSE)</f>
        <v>7419.48</v>
      </c>
      <c r="N1429" s="11">
        <f>VLOOKUP($B1429,'Hospitalisation Details'!A1428:J3772,10,0)</f>
        <v>23736</v>
      </c>
      <c r="O1429" t="str">
        <f>VLOOKUP($B1429,'Hospitalisation Details'!A1428:J3772,8,0)</f>
        <v>tier - 2</v>
      </c>
      <c r="P1429" t="str">
        <f>VLOOKUP($B1429,'Hospitalisation Details'!A1428:J3772,7,0)</f>
        <v>tier - 3</v>
      </c>
      <c r="Q1429" t="str">
        <f>VLOOKUP($B1429,'Hospitalisation Details'!A1428:J3772,9,0)</f>
        <v>R1016</v>
      </c>
      <c r="R1429">
        <f>VLOOKUP($B1429,'Hospitalisation Details'!A1428:K3772,11,0)</f>
        <v>58</v>
      </c>
    </row>
    <row r="1430" spans="1:18" x14ac:dyDescent="0.35">
      <c r="A1430" t="s">
        <v>942</v>
      </c>
      <c r="B1430" t="s">
        <v>1461</v>
      </c>
      <c r="C1430" t="str">
        <f>VLOOKUP($A1430,'Customer Names'!$A:$E,4,FALSE)</f>
        <v>Carolyn</v>
      </c>
      <c r="D1430" t="str">
        <f>VLOOKUP($A1430,'Medical Examinations'!$A:$J,2,FALSE)</f>
        <v>Obesity</v>
      </c>
      <c r="E1430">
        <f>VLOOKUP($A1430,'Medical Examinations'!$A:$J,4,FALSE)</f>
        <v>6.29</v>
      </c>
      <c r="F1430" t="str">
        <f>VLOOKUP($A1430,'Medical Examinations'!$A:$J,6,FALSE)</f>
        <v>yes</v>
      </c>
      <c r="G1430" t="str">
        <f>VLOOKUP($A1430,'Medical Examinations'!$A:$J,7,FALSE)</f>
        <v>No</v>
      </c>
      <c r="H1430" t="str">
        <f>VLOOKUP($A1430,'Medical Examinations'!$A:$J,8,FALSE)</f>
        <v>Yes</v>
      </c>
      <c r="I1430">
        <f>VLOOKUP($A1430,'Medical Examinations'!$A:$J,9,FALSE)</f>
        <v>1</v>
      </c>
      <c r="J1430" t="str">
        <f>VLOOKUP($A1430,'Medical Examinations'!$A:$J,10,FALSE)</f>
        <v>No</v>
      </c>
      <c r="K1430" t="str">
        <f>VLOOKUP($A1430,'Medical Examinations'!$A:$J,5,FALSE)</f>
        <v>Prediabetes</v>
      </c>
      <c r="L1430">
        <f>VLOOKUP($A1431,'Medical Examinations'!$A:$J,3,FALSE)</f>
        <v>17.3</v>
      </c>
      <c r="M1430">
        <f>VLOOKUP($A1430,'Hospitalisation Details'!$A:$K,6,FALSE)</f>
        <v>7418.52</v>
      </c>
      <c r="N1430" s="11">
        <f>VLOOKUP($B1430,'Hospitalisation Details'!A1429:J3773,10,0)</f>
        <v>24047</v>
      </c>
      <c r="O1430" t="str">
        <f>VLOOKUP($B1430,'Hospitalisation Details'!A1429:J3773,8,0)</f>
        <v>tier - 2</v>
      </c>
      <c r="P1430" t="str">
        <f>VLOOKUP($B1430,'Hospitalisation Details'!A1429:J3773,7,0)</f>
        <v>tier - 3</v>
      </c>
      <c r="Q1430" t="str">
        <f>VLOOKUP($B1430,'Hospitalisation Details'!A1429:J3773,9,0)</f>
        <v>R1012</v>
      </c>
      <c r="R1430">
        <f>VLOOKUP($B1430,'Hospitalisation Details'!A1429:K3773,11,0)</f>
        <v>57</v>
      </c>
    </row>
    <row r="1431" spans="1:18" x14ac:dyDescent="0.35">
      <c r="A1431" t="s">
        <v>941</v>
      </c>
      <c r="B1431" t="s">
        <v>1462</v>
      </c>
      <c r="C1431" t="str">
        <f>VLOOKUP($A1431,'Customer Names'!$A:$E,4,FALSE)</f>
        <v>Daniel C.</v>
      </c>
      <c r="D1431" t="str">
        <f>VLOOKUP($A1431,'Medical Examinations'!$A:$J,2,FALSE)</f>
        <v>Underweight</v>
      </c>
      <c r="E1431">
        <f>VLOOKUP($A1431,'Medical Examinations'!$A:$J,4,FALSE)</f>
        <v>9.2799999999999994</v>
      </c>
      <c r="F1431" t="str">
        <f>VLOOKUP($A1431,'Medical Examinations'!$A:$J,6,FALSE)</f>
        <v>No</v>
      </c>
      <c r="G1431" t="str">
        <f>VLOOKUP($A1431,'Medical Examinations'!$A:$J,7,FALSE)</f>
        <v>No</v>
      </c>
      <c r="H1431" t="str">
        <f>VLOOKUP($A1431,'Medical Examinations'!$A:$J,8,FALSE)</f>
        <v>No</v>
      </c>
      <c r="I1431">
        <f>VLOOKUP($A1431,'Medical Examinations'!$A:$J,9,FALSE)</f>
        <v>0</v>
      </c>
      <c r="J1431" t="str">
        <f>VLOOKUP($A1431,'Medical Examinations'!$A:$J,10,FALSE)</f>
        <v>No</v>
      </c>
      <c r="K1431" t="str">
        <f>VLOOKUP($A1431,'Medical Examinations'!$A:$J,5,FALSE)</f>
        <v>Diabetes</v>
      </c>
      <c r="L1431">
        <f>VLOOKUP($A1432,'Medical Examinations'!$A:$J,3,FALSE)</f>
        <v>35.020000000000003</v>
      </c>
      <c r="M1431">
        <f>VLOOKUP($A1431,'Hospitalisation Details'!$A:$K,6,FALSE)</f>
        <v>7403.98</v>
      </c>
      <c r="N1431" s="11">
        <f>VLOOKUP($B1431,'Hospitalisation Details'!A1430:J3774,10,0)</f>
        <v>23649</v>
      </c>
      <c r="O1431" t="str">
        <f>VLOOKUP($B1431,'Hospitalisation Details'!A1430:J3774,8,0)</f>
        <v>tier - 2</v>
      </c>
      <c r="P1431" t="str">
        <f>VLOOKUP($B1431,'Hospitalisation Details'!A1430:J3774,7,0)</f>
        <v>tier - 3</v>
      </c>
      <c r="Q1431" t="str">
        <f>VLOOKUP($B1431,'Hospitalisation Details'!A1430:J3774,9,0)</f>
        <v>R1013</v>
      </c>
      <c r="R1431">
        <f>VLOOKUP($B1431,'Hospitalisation Details'!A1430:K3774,11,0)</f>
        <v>58</v>
      </c>
    </row>
    <row r="1432" spans="1:18" x14ac:dyDescent="0.35">
      <c r="A1432" t="s">
        <v>940</v>
      </c>
      <c r="B1432" t="s">
        <v>1463</v>
      </c>
      <c r="C1432" t="str">
        <f>VLOOKUP($A1432,'Customer Names'!$A:$E,4,FALSE)</f>
        <v>Laurie A</v>
      </c>
      <c r="D1432" t="str">
        <f>VLOOKUP($A1432,'Medical Examinations'!$A:$J,2,FALSE)</f>
        <v>Obesity</v>
      </c>
      <c r="E1432">
        <f>VLOOKUP($A1432,'Medical Examinations'!$A:$J,4,FALSE)</f>
        <v>4.78</v>
      </c>
      <c r="F1432" t="str">
        <f>VLOOKUP($A1432,'Medical Examinations'!$A:$J,6,FALSE)</f>
        <v>No</v>
      </c>
      <c r="G1432" t="str">
        <f>VLOOKUP($A1432,'Medical Examinations'!$A:$J,7,FALSE)</f>
        <v>No</v>
      </c>
      <c r="H1432" t="str">
        <f>VLOOKUP($A1432,'Medical Examinations'!$A:$J,8,FALSE)</f>
        <v>Yes</v>
      </c>
      <c r="I1432">
        <f>VLOOKUP($A1432,'Medical Examinations'!$A:$J,9,FALSE)</f>
        <v>1</v>
      </c>
      <c r="J1432" t="str">
        <f>VLOOKUP($A1432,'Medical Examinations'!$A:$J,10,FALSE)</f>
        <v>No</v>
      </c>
      <c r="K1432" t="str">
        <f>VLOOKUP($A1432,'Medical Examinations'!$A:$J,5,FALSE)</f>
        <v>Normal</v>
      </c>
      <c r="L1432">
        <f>VLOOKUP($A1433,'Medical Examinations'!$A:$J,3,FALSE)</f>
        <v>37.1</v>
      </c>
      <c r="M1432">
        <f>VLOOKUP($A1432,'Hospitalisation Details'!$A:$K,6,FALSE)</f>
        <v>7388.85</v>
      </c>
      <c r="N1432" s="11">
        <f>VLOOKUP($B1432,'Hospitalisation Details'!A1431:J3775,10,0)</f>
        <v>24828</v>
      </c>
      <c r="O1432" t="str">
        <f>VLOOKUP($B1432,'Hospitalisation Details'!A1431:J3775,8,0)</f>
        <v>tier - 3</v>
      </c>
      <c r="P1432" t="str">
        <f>VLOOKUP($B1432,'Hospitalisation Details'!A1431:J3775,7,0)</f>
        <v>tier - 3</v>
      </c>
      <c r="Q1432" t="str">
        <f>VLOOKUP($B1432,'Hospitalisation Details'!A1431:J3775,9,0)</f>
        <v>R1013</v>
      </c>
      <c r="R1432">
        <f>VLOOKUP($B1432,'Hospitalisation Details'!A1431:K3775,11,0)</f>
        <v>55</v>
      </c>
    </row>
    <row r="1433" spans="1:18" x14ac:dyDescent="0.35">
      <c r="A1433" t="s">
        <v>939</v>
      </c>
      <c r="B1433" t="s">
        <v>1464</v>
      </c>
      <c r="C1433" t="str">
        <f>VLOOKUP($A1433,'Customer Names'!$A:$E,4,FALSE)</f>
        <v>Nicole</v>
      </c>
      <c r="D1433" t="str">
        <f>VLOOKUP($A1433,'Medical Examinations'!$A:$J,2,FALSE)</f>
        <v>Obesity</v>
      </c>
      <c r="E1433">
        <f>VLOOKUP($A1433,'Medical Examinations'!$A:$J,4,FALSE)</f>
        <v>8.8699999999999992</v>
      </c>
      <c r="F1433" t="str">
        <f>VLOOKUP($A1433,'Medical Examinations'!$A:$J,6,FALSE)</f>
        <v>yes</v>
      </c>
      <c r="G1433" t="str">
        <f>VLOOKUP($A1433,'Medical Examinations'!$A:$J,7,FALSE)</f>
        <v>No</v>
      </c>
      <c r="H1433" t="str">
        <f>VLOOKUP($A1433,'Medical Examinations'!$A:$J,8,FALSE)</f>
        <v>No</v>
      </c>
      <c r="I1433">
        <f>VLOOKUP($A1433,'Medical Examinations'!$A:$J,9,FALSE)</f>
        <v>0</v>
      </c>
      <c r="J1433" t="str">
        <f>VLOOKUP($A1433,'Medical Examinations'!$A:$J,10,FALSE)</f>
        <v>No</v>
      </c>
      <c r="K1433" t="str">
        <f>VLOOKUP($A1433,'Medical Examinations'!$A:$J,5,FALSE)</f>
        <v>Diabetes</v>
      </c>
      <c r="L1433">
        <f>VLOOKUP($A1434,'Medical Examinations'!$A:$J,3,FALSE)</f>
        <v>16.79</v>
      </c>
      <c r="M1433">
        <f>VLOOKUP($A1433,'Hospitalisation Details'!$A:$K,6,FALSE)</f>
        <v>7371.77</v>
      </c>
      <c r="N1433" s="11">
        <f>VLOOKUP($B1433,'Hospitalisation Details'!A1432:J3776,10,0)</f>
        <v>30501</v>
      </c>
      <c r="O1433" t="str">
        <f>VLOOKUP($B1433,'Hospitalisation Details'!A1432:J3776,8,0)</f>
        <v>tier - 2</v>
      </c>
      <c r="P1433" t="str">
        <f>VLOOKUP($B1433,'Hospitalisation Details'!A1432:J3776,7,0)</f>
        <v>tier - 3</v>
      </c>
      <c r="Q1433" t="str">
        <f>VLOOKUP($B1433,'Hospitalisation Details'!A1432:J3776,9,0)</f>
        <v>R1026</v>
      </c>
      <c r="R1433">
        <f>VLOOKUP($B1433,'Hospitalisation Details'!A1432:K3776,11,0)</f>
        <v>39</v>
      </c>
    </row>
    <row r="1434" spans="1:18" x14ac:dyDescent="0.35">
      <c r="A1434" t="s">
        <v>938</v>
      </c>
      <c r="B1434" t="s">
        <v>1465</v>
      </c>
      <c r="C1434" t="str">
        <f>VLOOKUP($A1434,'Customer Names'!$A:$E,4,FALSE)</f>
        <v>Shelby</v>
      </c>
      <c r="D1434" t="str">
        <f>VLOOKUP($A1434,'Medical Examinations'!$A:$J,2,FALSE)</f>
        <v>Underweight</v>
      </c>
      <c r="E1434">
        <f>VLOOKUP($A1434,'Medical Examinations'!$A:$J,4,FALSE)</f>
        <v>11.4</v>
      </c>
      <c r="F1434" t="str">
        <f>VLOOKUP($A1434,'Medical Examinations'!$A:$J,6,FALSE)</f>
        <v>No</v>
      </c>
      <c r="G1434" t="str">
        <f>VLOOKUP($A1434,'Medical Examinations'!$A:$J,7,FALSE)</f>
        <v>No</v>
      </c>
      <c r="H1434" t="str">
        <f>VLOOKUP($A1434,'Medical Examinations'!$A:$J,8,FALSE)</f>
        <v>No</v>
      </c>
      <c r="I1434">
        <f>VLOOKUP($A1434,'Medical Examinations'!$A:$J,9,FALSE)</f>
        <v>0</v>
      </c>
      <c r="J1434" t="str">
        <f>VLOOKUP($A1434,'Medical Examinations'!$A:$J,10,FALSE)</f>
        <v>No</v>
      </c>
      <c r="K1434" t="str">
        <f>VLOOKUP($A1434,'Medical Examinations'!$A:$J,5,FALSE)</f>
        <v>Diabetes</v>
      </c>
      <c r="L1434">
        <f>VLOOKUP($A1435,'Medical Examinations'!$A:$J,3,FALSE)</f>
        <v>31.635000000000002</v>
      </c>
      <c r="M1434">
        <f>VLOOKUP($A1434,'Hospitalisation Details'!$A:$K,6,FALSE)</f>
        <v>7362.31</v>
      </c>
      <c r="N1434" s="11">
        <f>VLOOKUP($B1434,'Hospitalisation Details'!A1433:J3777,10,0)</f>
        <v>34315</v>
      </c>
      <c r="O1434" t="str">
        <f>VLOOKUP($B1434,'Hospitalisation Details'!A1433:J3777,8,0)</f>
        <v>tier - 2</v>
      </c>
      <c r="P1434" t="str">
        <f>VLOOKUP($B1434,'Hospitalisation Details'!A1433:J3777,7,0)</f>
        <v>tier - 3</v>
      </c>
      <c r="Q1434" t="str">
        <f>VLOOKUP($B1434,'Hospitalisation Details'!A1433:J3777,9,0)</f>
        <v>R1012</v>
      </c>
      <c r="R1434">
        <f>VLOOKUP($B1434,'Hospitalisation Details'!A1433:K3777,11,0)</f>
        <v>29</v>
      </c>
    </row>
    <row r="1435" spans="1:18" x14ac:dyDescent="0.35">
      <c r="A1435" t="s">
        <v>937</v>
      </c>
      <c r="B1435" t="s">
        <v>1466</v>
      </c>
      <c r="C1435" t="str">
        <f>VLOOKUP($A1435,'Customer Names'!$A:$E,4,FALSE)</f>
        <v>Allison</v>
      </c>
      <c r="D1435" t="str">
        <f>VLOOKUP($A1435,'Medical Examinations'!$A:$J,2,FALSE)</f>
        <v>Obesity</v>
      </c>
      <c r="E1435">
        <f>VLOOKUP($A1435,'Medical Examinations'!$A:$J,4,FALSE)</f>
        <v>9.1300000000000008</v>
      </c>
      <c r="F1435" t="str">
        <f>VLOOKUP($A1435,'Medical Examinations'!$A:$J,6,FALSE)</f>
        <v>yes</v>
      </c>
      <c r="G1435" t="str">
        <f>VLOOKUP($A1435,'Medical Examinations'!$A:$J,7,FALSE)</f>
        <v>No</v>
      </c>
      <c r="H1435" t="str">
        <f>VLOOKUP($A1435,'Medical Examinations'!$A:$J,8,FALSE)</f>
        <v>No</v>
      </c>
      <c r="I1435">
        <f>VLOOKUP($A1435,'Medical Examinations'!$A:$J,9,FALSE)</f>
        <v>0</v>
      </c>
      <c r="J1435" t="str">
        <f>VLOOKUP($A1435,'Medical Examinations'!$A:$J,10,FALSE)</f>
        <v>No</v>
      </c>
      <c r="K1435" t="str">
        <f>VLOOKUP($A1435,'Medical Examinations'!$A:$J,5,FALSE)</f>
        <v>Diabetes</v>
      </c>
      <c r="L1435">
        <f>VLOOKUP($A1436,'Medical Examinations'!$A:$J,3,FALSE)</f>
        <v>24.19</v>
      </c>
      <c r="M1435">
        <f>VLOOKUP($A1435,'Hospitalisation Details'!$A:$K,6,FALSE)</f>
        <v>7358.18</v>
      </c>
      <c r="N1435" s="11">
        <f>VLOOKUP($B1435,'Hospitalisation Details'!A1434:J3778,10,0)</f>
        <v>30241</v>
      </c>
      <c r="O1435" t="str">
        <f>VLOOKUP($B1435,'Hospitalisation Details'!A1434:J3778,8,0)</f>
        <v>tier - 3</v>
      </c>
      <c r="P1435" t="str">
        <f>VLOOKUP($B1435,'Hospitalisation Details'!A1434:J3778,7,0)</f>
        <v>tier - 3</v>
      </c>
      <c r="Q1435" t="str">
        <f>VLOOKUP($B1435,'Hospitalisation Details'!A1434:J3778,9,0)</f>
        <v>R1021</v>
      </c>
      <c r="R1435">
        <f>VLOOKUP($B1435,'Hospitalisation Details'!A1434:K3778,11,0)</f>
        <v>40</v>
      </c>
    </row>
    <row r="1436" spans="1:18" x14ac:dyDescent="0.35">
      <c r="A1436" t="s">
        <v>936</v>
      </c>
      <c r="B1436" t="s">
        <v>1467</v>
      </c>
      <c r="C1436" t="str">
        <f>VLOOKUP($A1436,'Customer Names'!$A:$E,4,FALSE)</f>
        <v>Leticia</v>
      </c>
      <c r="D1436" t="str">
        <f>VLOOKUP($A1436,'Medical Examinations'!$A:$J,2,FALSE)</f>
        <v>Normal Weight</v>
      </c>
      <c r="E1436">
        <f>VLOOKUP($A1436,'Medical Examinations'!$A:$J,4,FALSE)</f>
        <v>6.22</v>
      </c>
      <c r="F1436" t="str">
        <f>VLOOKUP($A1436,'Medical Examinations'!$A:$J,6,FALSE)</f>
        <v>yes</v>
      </c>
      <c r="G1436" t="str">
        <f>VLOOKUP($A1436,'Medical Examinations'!$A:$J,7,FALSE)</f>
        <v>No</v>
      </c>
      <c r="H1436" t="str">
        <f>VLOOKUP($A1436,'Medical Examinations'!$A:$J,8,FALSE)</f>
        <v>Yes</v>
      </c>
      <c r="I1436">
        <f>VLOOKUP($A1436,'Medical Examinations'!$A:$J,9,FALSE)</f>
        <v>1</v>
      </c>
      <c r="J1436" t="str">
        <f>VLOOKUP($A1436,'Medical Examinations'!$A:$J,10,FALSE)</f>
        <v>No</v>
      </c>
      <c r="K1436" t="str">
        <f>VLOOKUP($A1436,'Medical Examinations'!$A:$J,5,FALSE)</f>
        <v>Prediabetes</v>
      </c>
      <c r="L1436">
        <f>VLOOKUP($A1437,'Medical Examinations'!$A:$J,3,FALSE)</f>
        <v>35.29</v>
      </c>
      <c r="M1436">
        <f>VLOOKUP($A1436,'Hospitalisation Details'!$A:$K,6,FALSE)</f>
        <v>7357.49</v>
      </c>
      <c r="N1436" s="11">
        <f>VLOOKUP($B1436,'Hospitalisation Details'!A1435:J3779,10,0)</f>
        <v>23902</v>
      </c>
      <c r="O1436" t="str">
        <f>VLOOKUP($B1436,'Hospitalisation Details'!A1435:J3779,8,0)</f>
        <v>tier - 2</v>
      </c>
      <c r="P1436" t="str">
        <f>VLOOKUP($B1436,'Hospitalisation Details'!A1435:J3779,7,0)</f>
        <v>tier - 3</v>
      </c>
      <c r="Q1436" t="str">
        <f>VLOOKUP($B1436,'Hospitalisation Details'!A1435:J3779,9,0)</f>
        <v>R1024</v>
      </c>
      <c r="R1436">
        <f>VLOOKUP($B1436,'Hospitalisation Details'!A1435:K3779,11,0)</f>
        <v>57</v>
      </c>
    </row>
    <row r="1437" spans="1:18" x14ac:dyDescent="0.35">
      <c r="A1437" t="s">
        <v>935</v>
      </c>
      <c r="B1437" t="s">
        <v>1468</v>
      </c>
      <c r="C1437" t="str">
        <f>VLOOKUP($A1437,'Customer Names'!$A:$E,4,FALSE)</f>
        <v>John S.</v>
      </c>
      <c r="D1437" t="str">
        <f>VLOOKUP($A1437,'Medical Examinations'!$A:$J,2,FALSE)</f>
        <v>Obesity</v>
      </c>
      <c r="E1437">
        <f>VLOOKUP($A1437,'Medical Examinations'!$A:$J,4,FALSE)</f>
        <v>5.9</v>
      </c>
      <c r="F1437" t="str">
        <f>VLOOKUP($A1437,'Medical Examinations'!$A:$J,6,FALSE)</f>
        <v>No</v>
      </c>
      <c r="G1437" t="str">
        <f>VLOOKUP($A1437,'Medical Examinations'!$A:$J,7,FALSE)</f>
        <v>No</v>
      </c>
      <c r="H1437" t="str">
        <f>VLOOKUP($A1437,'Medical Examinations'!$A:$J,8,FALSE)</f>
        <v>Yes</v>
      </c>
      <c r="I1437">
        <f>VLOOKUP($A1437,'Medical Examinations'!$A:$J,9,FALSE)</f>
        <v>1</v>
      </c>
      <c r="J1437" t="str">
        <f>VLOOKUP($A1437,'Medical Examinations'!$A:$J,10,FALSE)</f>
        <v>No</v>
      </c>
      <c r="K1437" t="str">
        <f>VLOOKUP($A1437,'Medical Examinations'!$A:$J,5,FALSE)</f>
        <v>Prediabetes</v>
      </c>
      <c r="L1437">
        <f>VLOOKUP($A1438,'Medical Examinations'!$A:$J,3,FALSE)</f>
        <v>35.299999999999997</v>
      </c>
      <c r="M1437">
        <f>VLOOKUP($A1437,'Hospitalisation Details'!$A:$K,6,FALSE)</f>
        <v>7349.12</v>
      </c>
      <c r="N1437" s="11">
        <f>VLOOKUP($B1437,'Hospitalisation Details'!A1436:J3780,10,0)</f>
        <v>24044</v>
      </c>
      <c r="O1437" t="str">
        <f>VLOOKUP($B1437,'Hospitalisation Details'!A1436:J3780,8,0)</f>
        <v>tier - 1</v>
      </c>
      <c r="P1437" t="str">
        <f>VLOOKUP($B1437,'Hospitalisation Details'!A1436:J3780,7,0)</f>
        <v>tier - 3</v>
      </c>
      <c r="Q1437" t="str">
        <f>VLOOKUP($B1437,'Hospitalisation Details'!A1436:J3780,9,0)</f>
        <v>R1011</v>
      </c>
      <c r="R1437">
        <f>VLOOKUP($B1437,'Hospitalisation Details'!A1436:K3780,11,0)</f>
        <v>57</v>
      </c>
    </row>
    <row r="1438" spans="1:18" x14ac:dyDescent="0.35">
      <c r="A1438" t="s">
        <v>934</v>
      </c>
      <c r="B1438" t="s">
        <v>1469</v>
      </c>
      <c r="C1438" t="str">
        <f>VLOOKUP($A1438,'Customer Names'!$A:$E,4,FALSE)</f>
        <v>April</v>
      </c>
      <c r="D1438" t="str">
        <f>VLOOKUP($A1438,'Medical Examinations'!$A:$J,2,FALSE)</f>
        <v>Obesity</v>
      </c>
      <c r="E1438">
        <f>VLOOKUP($A1438,'Medical Examinations'!$A:$J,4,FALSE)</f>
        <v>4.45</v>
      </c>
      <c r="F1438" t="str">
        <f>VLOOKUP($A1438,'Medical Examinations'!$A:$J,6,FALSE)</f>
        <v>No</v>
      </c>
      <c r="G1438" t="str">
        <f>VLOOKUP($A1438,'Medical Examinations'!$A:$J,7,FALSE)</f>
        <v>No</v>
      </c>
      <c r="H1438" t="str">
        <f>VLOOKUP($A1438,'Medical Examinations'!$A:$J,8,FALSE)</f>
        <v>No</v>
      </c>
      <c r="I1438">
        <f>VLOOKUP($A1438,'Medical Examinations'!$A:$J,9,FALSE)</f>
        <v>0</v>
      </c>
      <c r="J1438" t="str">
        <f>VLOOKUP($A1438,'Medical Examinations'!$A:$J,10,FALSE)</f>
        <v>No</v>
      </c>
      <c r="K1438" t="str">
        <f>VLOOKUP($A1438,'Medical Examinations'!$A:$J,5,FALSE)</f>
        <v>Normal</v>
      </c>
      <c r="L1438">
        <f>VLOOKUP($A1439,'Medical Examinations'!$A:$J,3,FALSE)</f>
        <v>35.64</v>
      </c>
      <c r="M1438">
        <f>VLOOKUP($A1438,'Hospitalisation Details'!$A:$K,6,FALSE)</f>
        <v>7348.14</v>
      </c>
      <c r="N1438" s="11">
        <f>VLOOKUP($B1438,'Hospitalisation Details'!A1437:J3781,10,0)</f>
        <v>29144</v>
      </c>
      <c r="O1438" t="str">
        <f>VLOOKUP($B1438,'Hospitalisation Details'!A1437:J3781,8,0)</f>
        <v>tier - 3</v>
      </c>
      <c r="P1438" t="str">
        <f>VLOOKUP($B1438,'Hospitalisation Details'!A1437:J3781,7,0)</f>
        <v>tier - 3</v>
      </c>
      <c r="Q1438" t="str">
        <f>VLOOKUP($B1438,'Hospitalisation Details'!A1437:J3781,9,0)</f>
        <v>R1021</v>
      </c>
      <c r="R1438">
        <f>VLOOKUP($B1438,'Hospitalisation Details'!A1437:K3781,11,0)</f>
        <v>43</v>
      </c>
    </row>
    <row r="1439" spans="1:18" x14ac:dyDescent="0.35">
      <c r="A1439" t="s">
        <v>933</v>
      </c>
      <c r="B1439" t="s">
        <v>1470</v>
      </c>
      <c r="C1439" t="str">
        <f>VLOOKUP($A1439,'Customer Names'!$A:$E,4,FALSE)</f>
        <v>Ashley N.</v>
      </c>
      <c r="D1439" t="str">
        <f>VLOOKUP($A1439,'Medical Examinations'!$A:$J,2,FALSE)</f>
        <v>Obesity</v>
      </c>
      <c r="E1439">
        <f>VLOOKUP($A1439,'Medical Examinations'!$A:$J,4,FALSE)</f>
        <v>6.17</v>
      </c>
      <c r="F1439" t="str">
        <f>VLOOKUP($A1439,'Medical Examinations'!$A:$J,6,FALSE)</f>
        <v>No</v>
      </c>
      <c r="G1439" t="str">
        <f>VLOOKUP($A1439,'Medical Examinations'!$A:$J,7,FALSE)</f>
        <v>No</v>
      </c>
      <c r="H1439" t="str">
        <f>VLOOKUP($A1439,'Medical Examinations'!$A:$J,8,FALSE)</f>
        <v>Yes</v>
      </c>
      <c r="I1439">
        <f>VLOOKUP($A1439,'Medical Examinations'!$A:$J,9,FALSE)</f>
        <v>1</v>
      </c>
      <c r="J1439" t="str">
        <f>VLOOKUP($A1439,'Medical Examinations'!$A:$J,10,FALSE)</f>
        <v>No</v>
      </c>
      <c r="K1439" t="str">
        <f>VLOOKUP($A1439,'Medical Examinations'!$A:$J,5,FALSE)</f>
        <v>Prediabetes</v>
      </c>
      <c r="L1439">
        <f>VLOOKUP($A1440,'Medical Examinations'!$A:$J,3,FALSE)</f>
        <v>33.1</v>
      </c>
      <c r="M1439">
        <f>VLOOKUP($A1439,'Hospitalisation Details'!$A:$K,6,FALSE)</f>
        <v>7345.73</v>
      </c>
      <c r="N1439" s="11">
        <f>VLOOKUP($B1439,'Hospitalisation Details'!A1438:J3782,10,0)</f>
        <v>24435</v>
      </c>
      <c r="O1439" t="str">
        <f>VLOOKUP($B1439,'Hospitalisation Details'!A1438:J3782,8,0)</f>
        <v>tier - 1</v>
      </c>
      <c r="P1439" t="str">
        <f>VLOOKUP($B1439,'Hospitalisation Details'!A1438:J3782,7,0)</f>
        <v>tier - 3</v>
      </c>
      <c r="Q1439" t="str">
        <f>VLOOKUP($B1439,'Hospitalisation Details'!A1438:J3782,9,0)</f>
        <v>R1012</v>
      </c>
      <c r="R1439">
        <f>VLOOKUP($B1439,'Hospitalisation Details'!A1438:K3782,11,0)</f>
        <v>56</v>
      </c>
    </row>
    <row r="1440" spans="1:18" x14ac:dyDescent="0.35">
      <c r="A1440" t="s">
        <v>932</v>
      </c>
      <c r="B1440" t="s">
        <v>1471</v>
      </c>
      <c r="C1440" t="str">
        <f>VLOOKUP($A1440,'Customer Names'!$A:$E,4,FALSE)</f>
        <v>Madeleine</v>
      </c>
      <c r="D1440" t="str">
        <f>VLOOKUP($A1440,'Medical Examinations'!$A:$J,2,FALSE)</f>
        <v>Obesity</v>
      </c>
      <c r="E1440">
        <f>VLOOKUP($A1440,'Medical Examinations'!$A:$J,4,FALSE)</f>
        <v>4.93</v>
      </c>
      <c r="F1440" t="str">
        <f>VLOOKUP($A1440,'Medical Examinations'!$A:$J,6,FALSE)</f>
        <v>No</v>
      </c>
      <c r="G1440" t="str">
        <f>VLOOKUP($A1440,'Medical Examinations'!$A:$J,7,FALSE)</f>
        <v>No</v>
      </c>
      <c r="H1440" t="str">
        <f>VLOOKUP($A1440,'Medical Examinations'!$A:$J,8,FALSE)</f>
        <v>No</v>
      </c>
      <c r="I1440">
        <f>VLOOKUP($A1440,'Medical Examinations'!$A:$J,9,FALSE)</f>
        <v>0</v>
      </c>
      <c r="J1440" t="str">
        <f>VLOOKUP($A1440,'Medical Examinations'!$A:$J,10,FALSE)</f>
        <v>No</v>
      </c>
      <c r="K1440" t="str">
        <f>VLOOKUP($A1440,'Medical Examinations'!$A:$J,5,FALSE)</f>
        <v>Normal</v>
      </c>
      <c r="L1440">
        <f>VLOOKUP($A1441,'Medical Examinations'!$A:$J,3,FALSE)</f>
        <v>26.41</v>
      </c>
      <c r="M1440">
        <f>VLOOKUP($A1440,'Hospitalisation Details'!$A:$K,6,FALSE)</f>
        <v>7345.08</v>
      </c>
      <c r="N1440" s="11">
        <f>VLOOKUP($B1440,'Hospitalisation Details'!A1439:J3783,10,0)</f>
        <v>31662</v>
      </c>
      <c r="O1440" t="str">
        <f>VLOOKUP($B1440,'Hospitalisation Details'!A1439:J3783,8,0)</f>
        <v>tier - 2</v>
      </c>
      <c r="P1440" t="str">
        <f>VLOOKUP($B1440,'Hospitalisation Details'!A1439:J3783,7,0)</f>
        <v>tier - 3</v>
      </c>
      <c r="Q1440" t="str">
        <f>VLOOKUP($B1440,'Hospitalisation Details'!A1439:J3783,9,0)</f>
        <v>R1026</v>
      </c>
      <c r="R1440">
        <f>VLOOKUP($B1440,'Hospitalisation Details'!A1439:K3783,11,0)</f>
        <v>36</v>
      </c>
    </row>
    <row r="1441" spans="1:18" x14ac:dyDescent="0.35">
      <c r="A1441" t="s">
        <v>931</v>
      </c>
      <c r="B1441" t="s">
        <v>1472</v>
      </c>
      <c r="C1441" t="str">
        <f>VLOOKUP($A1441,'Customer Names'!$A:$E,4,FALSE)</f>
        <v>Nelly S</v>
      </c>
      <c r="D1441" t="str">
        <f>VLOOKUP($A1441,'Medical Examinations'!$A:$J,2,FALSE)</f>
        <v>Overweight</v>
      </c>
      <c r="E1441">
        <f>VLOOKUP($A1441,'Medical Examinations'!$A:$J,4,FALSE)</f>
        <v>7.32</v>
      </c>
      <c r="F1441" t="str">
        <f>VLOOKUP($A1441,'Medical Examinations'!$A:$J,6,FALSE)</f>
        <v>yes</v>
      </c>
      <c r="G1441" t="str">
        <f>VLOOKUP($A1441,'Medical Examinations'!$A:$J,7,FALSE)</f>
        <v>No</v>
      </c>
      <c r="H1441" t="str">
        <f>VLOOKUP($A1441,'Medical Examinations'!$A:$J,8,FALSE)</f>
        <v>No</v>
      </c>
      <c r="I1441">
        <f>VLOOKUP($A1441,'Medical Examinations'!$A:$J,9,FALSE)</f>
        <v>1</v>
      </c>
      <c r="J1441" t="str">
        <f>VLOOKUP($A1441,'Medical Examinations'!$A:$J,10,FALSE)</f>
        <v>No</v>
      </c>
      <c r="K1441" t="str">
        <f>VLOOKUP($A1441,'Medical Examinations'!$A:$J,5,FALSE)</f>
        <v>Diabetes</v>
      </c>
      <c r="L1441">
        <f>VLOOKUP($A1442,'Medical Examinations'!$A:$J,3,FALSE)</f>
        <v>29.9</v>
      </c>
      <c r="M1441">
        <f>VLOOKUP($A1441,'Hospitalisation Details'!$A:$K,6,FALSE)</f>
        <v>7339.93</v>
      </c>
      <c r="N1441" s="11">
        <f>VLOOKUP($B1441,'Hospitalisation Details'!A1440:J3784,10,0)</f>
        <v>30927</v>
      </c>
      <c r="O1441" t="str">
        <f>VLOOKUP($B1441,'Hospitalisation Details'!A1440:J3784,8,0)</f>
        <v>tier - 2</v>
      </c>
      <c r="P1441" t="str">
        <f>VLOOKUP($B1441,'Hospitalisation Details'!A1440:J3784,7,0)</f>
        <v>tier - 3</v>
      </c>
      <c r="Q1441" t="str">
        <f>VLOOKUP($B1441,'Hospitalisation Details'!A1440:J3784,9,0)</f>
        <v>R1022</v>
      </c>
      <c r="R1441">
        <f>VLOOKUP($B1441,'Hospitalisation Details'!A1440:K3784,11,0)</f>
        <v>38</v>
      </c>
    </row>
    <row r="1442" spans="1:18" x14ac:dyDescent="0.35">
      <c r="A1442" t="s">
        <v>930</v>
      </c>
      <c r="B1442" t="s">
        <v>1473</v>
      </c>
      <c r="C1442" t="str">
        <f>VLOOKUP($A1442,'Customer Names'!$A:$E,4,FALSE)</f>
        <v>Meredith S</v>
      </c>
      <c r="D1442" t="str">
        <f>VLOOKUP($A1442,'Medical Examinations'!$A:$J,2,FALSE)</f>
        <v>Overweight</v>
      </c>
      <c r="E1442">
        <f>VLOOKUP($A1442,'Medical Examinations'!$A:$J,4,FALSE)</f>
        <v>5.27</v>
      </c>
      <c r="F1442" t="str">
        <f>VLOOKUP($A1442,'Medical Examinations'!$A:$J,6,FALSE)</f>
        <v>No</v>
      </c>
      <c r="G1442" t="str">
        <f>VLOOKUP($A1442,'Medical Examinations'!$A:$J,7,FALSE)</f>
        <v>No</v>
      </c>
      <c r="H1442" t="str">
        <f>VLOOKUP($A1442,'Medical Examinations'!$A:$J,8,FALSE)</f>
        <v>Yes</v>
      </c>
      <c r="I1442">
        <f>VLOOKUP($A1442,'Medical Examinations'!$A:$J,9,FALSE)</f>
        <v>1</v>
      </c>
      <c r="J1442" t="str">
        <f>VLOOKUP($A1442,'Medical Examinations'!$A:$J,10,FALSE)</f>
        <v>No</v>
      </c>
      <c r="K1442" t="str">
        <f>VLOOKUP($A1442,'Medical Examinations'!$A:$J,5,FALSE)</f>
        <v>Normal</v>
      </c>
      <c r="L1442">
        <f>VLOOKUP($A1443,'Medical Examinations'!$A:$J,3,FALSE)</f>
        <v>25.24</v>
      </c>
      <c r="M1442">
        <f>VLOOKUP($A1442,'Hospitalisation Details'!$A:$K,6,FALSE)</f>
        <v>7337.75</v>
      </c>
      <c r="N1442" s="11">
        <f>VLOOKUP($B1442,'Hospitalisation Details'!A1441:J3785,10,0)</f>
        <v>25010</v>
      </c>
      <c r="O1442" t="str">
        <f>VLOOKUP($B1442,'Hospitalisation Details'!A1441:J3785,8,0)</f>
        <v>tier - 3</v>
      </c>
      <c r="P1442" t="str">
        <f>VLOOKUP($B1442,'Hospitalisation Details'!A1441:J3785,7,0)</f>
        <v>tier - 3</v>
      </c>
      <c r="Q1442" t="str">
        <f>VLOOKUP($B1442,'Hospitalisation Details'!A1441:J3785,9,0)</f>
        <v>R1011</v>
      </c>
      <c r="R1442">
        <f>VLOOKUP($B1442,'Hospitalisation Details'!A1441:K3785,11,0)</f>
        <v>54</v>
      </c>
    </row>
    <row r="1443" spans="1:18" x14ac:dyDescent="0.35">
      <c r="A1443" t="s">
        <v>929</v>
      </c>
      <c r="B1443" t="s">
        <v>1474</v>
      </c>
      <c r="C1443" t="str">
        <f>VLOOKUP($A1443,'Customer Names'!$A:$E,4,FALSE)</f>
        <v>Kevin</v>
      </c>
      <c r="D1443" t="str">
        <f>VLOOKUP($A1443,'Medical Examinations'!$A:$J,2,FALSE)</f>
        <v>Overweight</v>
      </c>
      <c r="E1443">
        <f>VLOOKUP($A1443,'Medical Examinations'!$A:$J,4,FALSE)</f>
        <v>5.82</v>
      </c>
      <c r="F1443" t="str">
        <f>VLOOKUP($A1443,'Medical Examinations'!$A:$J,6,FALSE)</f>
        <v>No</v>
      </c>
      <c r="G1443" t="str">
        <f>VLOOKUP($A1443,'Medical Examinations'!$A:$J,7,FALSE)</f>
        <v>No</v>
      </c>
      <c r="H1443" t="str">
        <f>VLOOKUP($A1443,'Medical Examinations'!$A:$J,8,FALSE)</f>
        <v>No</v>
      </c>
      <c r="I1443">
        <f>VLOOKUP($A1443,'Medical Examinations'!$A:$J,9,FALSE)</f>
        <v>1</v>
      </c>
      <c r="J1443" t="str">
        <f>VLOOKUP($A1443,'Medical Examinations'!$A:$J,10,FALSE)</f>
        <v>No</v>
      </c>
      <c r="K1443" t="str">
        <f>VLOOKUP($A1443,'Medical Examinations'!$A:$J,5,FALSE)</f>
        <v>Prediabetes</v>
      </c>
      <c r="L1443">
        <f>VLOOKUP($A1444,'Medical Examinations'!$A:$J,3,FALSE)</f>
        <v>25.08</v>
      </c>
      <c r="M1443">
        <f>VLOOKUP($A1443,'Hospitalisation Details'!$A:$K,6,FALSE)</f>
        <v>7325.47</v>
      </c>
      <c r="N1443" s="11">
        <f>VLOOKUP($B1443,'Hospitalisation Details'!A1442:J3786,10,0)</f>
        <v>25181</v>
      </c>
      <c r="O1443" t="str">
        <f>VLOOKUP($B1443,'Hospitalisation Details'!A1442:J3786,8,0)</f>
        <v>tier - 1</v>
      </c>
      <c r="P1443" t="str">
        <f>VLOOKUP($B1443,'Hospitalisation Details'!A1442:J3786,7,0)</f>
        <v>tier - 3</v>
      </c>
      <c r="Q1443" t="str">
        <f>VLOOKUP($B1443,'Hospitalisation Details'!A1442:J3786,9,0)</f>
        <v>R1024</v>
      </c>
      <c r="R1443">
        <f>VLOOKUP($B1443,'Hospitalisation Details'!A1442:K3786,11,0)</f>
        <v>54</v>
      </c>
    </row>
    <row r="1444" spans="1:18" x14ac:dyDescent="0.35">
      <c r="A1444" t="s">
        <v>928</v>
      </c>
      <c r="B1444" t="s">
        <v>1475</v>
      </c>
      <c r="C1444" t="str">
        <f>VLOOKUP($A1444,'Customer Names'!$A:$E,4,FALSE)</f>
        <v>Lisa</v>
      </c>
      <c r="D1444" t="str">
        <f>VLOOKUP($A1444,'Medical Examinations'!$A:$J,2,FALSE)</f>
        <v>Overweight</v>
      </c>
      <c r="E1444">
        <f>VLOOKUP($A1444,'Medical Examinations'!$A:$J,4,FALSE)</f>
        <v>5.8</v>
      </c>
      <c r="F1444" t="str">
        <f>VLOOKUP($A1444,'Medical Examinations'!$A:$J,6,FALSE)</f>
        <v>No</v>
      </c>
      <c r="G1444" t="str">
        <f>VLOOKUP($A1444,'Medical Examinations'!$A:$J,7,FALSE)</f>
        <v>No</v>
      </c>
      <c r="H1444" t="str">
        <f>VLOOKUP($A1444,'Medical Examinations'!$A:$J,8,FALSE)</f>
        <v>Yes</v>
      </c>
      <c r="I1444">
        <f>VLOOKUP($A1444,'Medical Examinations'!$A:$J,9,FALSE)</f>
        <v>1</v>
      </c>
      <c r="J1444" t="str">
        <f>VLOOKUP($A1444,'Medical Examinations'!$A:$J,10,FALSE)</f>
        <v>No</v>
      </c>
      <c r="K1444" t="str">
        <f>VLOOKUP($A1444,'Medical Examinations'!$A:$J,5,FALSE)</f>
        <v>Prediabetes</v>
      </c>
      <c r="L1444">
        <f>VLOOKUP($A1445,'Medical Examinations'!$A:$J,3,FALSE)</f>
        <v>29.164999999999999</v>
      </c>
      <c r="M1444">
        <f>VLOOKUP($A1444,'Hospitalisation Details'!$A:$K,6,FALSE)</f>
        <v>7325.05</v>
      </c>
      <c r="N1444" s="11">
        <f>VLOOKUP($B1444,'Hospitalisation Details'!A1443:J3787,10,0)</f>
        <v>25136</v>
      </c>
      <c r="O1444" t="str">
        <f>VLOOKUP($B1444,'Hospitalisation Details'!A1443:J3787,8,0)</f>
        <v>tier - 3</v>
      </c>
      <c r="P1444" t="str">
        <f>VLOOKUP($B1444,'Hospitalisation Details'!A1443:J3787,7,0)</f>
        <v>tier - 3</v>
      </c>
      <c r="Q1444" t="str">
        <f>VLOOKUP($B1444,'Hospitalisation Details'!A1443:J3787,9,0)</f>
        <v>R1011</v>
      </c>
      <c r="R1444">
        <f>VLOOKUP($B1444,'Hospitalisation Details'!A1443:K3787,11,0)</f>
        <v>54</v>
      </c>
    </row>
    <row r="1445" spans="1:18" x14ac:dyDescent="0.35">
      <c r="A1445" t="s">
        <v>927</v>
      </c>
      <c r="B1445" t="s">
        <v>1476</v>
      </c>
      <c r="C1445" t="str">
        <f>VLOOKUP($A1445,'Customer Names'!$A:$E,4,FALSE)</f>
        <v>Katherine A</v>
      </c>
      <c r="D1445" t="str">
        <f>VLOOKUP($A1445,'Medical Examinations'!$A:$J,2,FALSE)</f>
        <v>Overweight</v>
      </c>
      <c r="E1445">
        <f>VLOOKUP($A1445,'Medical Examinations'!$A:$J,4,FALSE)</f>
        <v>4.87</v>
      </c>
      <c r="F1445" t="str">
        <f>VLOOKUP($A1445,'Medical Examinations'!$A:$J,6,FALSE)</f>
        <v>No</v>
      </c>
      <c r="G1445" t="str">
        <f>VLOOKUP($A1445,'Medical Examinations'!$A:$J,7,FALSE)</f>
        <v>yes</v>
      </c>
      <c r="H1445" t="str">
        <f>VLOOKUP($A1445,'Medical Examinations'!$A:$J,8,FALSE)</f>
        <v>No</v>
      </c>
      <c r="I1445">
        <f>VLOOKUP($A1445,'Medical Examinations'!$A:$J,9,FALSE)</f>
        <v>1</v>
      </c>
      <c r="J1445" t="str">
        <f>VLOOKUP($A1445,'Medical Examinations'!$A:$J,10,FALSE)</f>
        <v>No</v>
      </c>
      <c r="K1445" t="str">
        <f>VLOOKUP($A1445,'Medical Examinations'!$A:$J,5,FALSE)</f>
        <v>Normal</v>
      </c>
      <c r="L1445">
        <f>VLOOKUP($A1446,'Medical Examinations'!$A:$J,3,FALSE)</f>
        <v>15.05</v>
      </c>
      <c r="M1445">
        <f>VLOOKUP($A1445,'Hospitalisation Details'!$A:$K,6,FALSE)</f>
        <v>7323.73</v>
      </c>
      <c r="N1445" s="11">
        <f>VLOOKUP($B1445,'Hospitalisation Details'!A1444:J3788,10,0)</f>
        <v>23212</v>
      </c>
      <c r="O1445" t="str">
        <f>VLOOKUP($B1445,'Hospitalisation Details'!A1444:J3788,8,0)</f>
        <v>tier - 1</v>
      </c>
      <c r="P1445" t="str">
        <f>VLOOKUP($B1445,'Hospitalisation Details'!A1444:J3788,7,0)</f>
        <v>tier - 3</v>
      </c>
      <c r="Q1445" t="str">
        <f>VLOOKUP($B1445,'Hospitalisation Details'!A1444:J3788,9,0)</f>
        <v>R1012</v>
      </c>
      <c r="R1445">
        <f>VLOOKUP($B1445,'Hospitalisation Details'!A1444:K3788,11,0)</f>
        <v>59</v>
      </c>
    </row>
    <row r="1446" spans="1:18" x14ac:dyDescent="0.35">
      <c r="A1446" t="s">
        <v>926</v>
      </c>
      <c r="B1446" t="s">
        <v>1477</v>
      </c>
      <c r="C1446" t="str">
        <f>VLOOKUP($A1446,'Customer Names'!$A:$E,4,FALSE)</f>
        <v>Steve</v>
      </c>
      <c r="D1446" t="str">
        <f>VLOOKUP($A1446,'Medical Examinations'!$A:$J,2,FALSE)</f>
        <v>Underweight</v>
      </c>
      <c r="E1446">
        <f>VLOOKUP($A1446,'Medical Examinations'!$A:$J,4,FALSE)</f>
        <v>8.1199999999999992</v>
      </c>
      <c r="F1446" t="str">
        <f>VLOOKUP($A1446,'Medical Examinations'!$A:$J,6,FALSE)</f>
        <v>No</v>
      </c>
      <c r="G1446" t="str">
        <f>VLOOKUP($A1446,'Medical Examinations'!$A:$J,7,FALSE)</f>
        <v>No</v>
      </c>
      <c r="H1446" t="str">
        <f>VLOOKUP($A1446,'Medical Examinations'!$A:$J,8,FALSE)</f>
        <v>No</v>
      </c>
      <c r="I1446">
        <f>VLOOKUP($A1446,'Medical Examinations'!$A:$J,9,FALSE)</f>
        <v>0</v>
      </c>
      <c r="J1446" t="str">
        <f>VLOOKUP($A1446,'Medical Examinations'!$A:$J,10,FALSE)</f>
        <v>No</v>
      </c>
      <c r="K1446" t="str">
        <f>VLOOKUP($A1446,'Medical Examinations'!$A:$J,5,FALSE)</f>
        <v>Diabetes</v>
      </c>
      <c r="L1446">
        <f>VLOOKUP($A1447,'Medical Examinations'!$A:$J,3,FALSE)</f>
        <v>19.95</v>
      </c>
      <c r="M1446">
        <f>VLOOKUP($A1446,'Hospitalisation Details'!$A:$K,6,FALSE)</f>
        <v>7322.86</v>
      </c>
      <c r="N1446" s="11">
        <f>VLOOKUP($B1446,'Hospitalisation Details'!A1445:J3789,10,0)</f>
        <v>23166</v>
      </c>
      <c r="O1446" t="str">
        <f>VLOOKUP($B1446,'Hospitalisation Details'!A1445:J3789,8,0)</f>
        <v>tier - 1</v>
      </c>
      <c r="P1446" t="str">
        <f>VLOOKUP($B1446,'Hospitalisation Details'!A1445:J3789,7,0)</f>
        <v>tier - 3</v>
      </c>
      <c r="Q1446" t="str">
        <f>VLOOKUP($B1446,'Hospitalisation Details'!A1445:J3789,9,0)</f>
        <v>R1012</v>
      </c>
      <c r="R1446">
        <f>VLOOKUP($B1446,'Hospitalisation Details'!A1445:K3789,11,0)</f>
        <v>60</v>
      </c>
    </row>
    <row r="1447" spans="1:18" x14ac:dyDescent="0.35">
      <c r="A1447" t="s">
        <v>925</v>
      </c>
      <c r="B1447" t="s">
        <v>1478</v>
      </c>
      <c r="C1447" t="str">
        <f>VLOOKUP($A1447,'Customer Names'!$A:$E,4,FALSE)</f>
        <v>Kate L.</v>
      </c>
      <c r="D1447" t="str">
        <f>VLOOKUP($A1447,'Medical Examinations'!$A:$J,2,FALSE)</f>
        <v>Normal Weight</v>
      </c>
      <c r="E1447">
        <f>VLOOKUP($A1447,'Medical Examinations'!$A:$J,4,FALSE)</f>
        <v>4.3600000000000003</v>
      </c>
      <c r="F1447" t="str">
        <f>VLOOKUP($A1447,'Medical Examinations'!$A:$J,6,FALSE)</f>
        <v>No</v>
      </c>
      <c r="G1447" t="str">
        <f>VLOOKUP($A1447,'Medical Examinations'!$A:$J,7,FALSE)</f>
        <v>No</v>
      </c>
      <c r="H1447" t="str">
        <f>VLOOKUP($A1447,'Medical Examinations'!$A:$J,8,FALSE)</f>
        <v>No</v>
      </c>
      <c r="I1447">
        <f>VLOOKUP($A1447,'Medical Examinations'!$A:$J,9,FALSE)</f>
        <v>2</v>
      </c>
      <c r="J1447" t="str">
        <f>VLOOKUP($A1447,'Medical Examinations'!$A:$J,10,FALSE)</f>
        <v>No</v>
      </c>
      <c r="K1447" t="str">
        <f>VLOOKUP($A1447,'Medical Examinations'!$A:$J,5,FALSE)</f>
        <v>Normal</v>
      </c>
      <c r="L1447">
        <f>VLOOKUP($A1448,'Medical Examinations'!$A:$J,3,FALSE)</f>
        <v>16.66</v>
      </c>
      <c r="M1447">
        <f>VLOOKUP($A1447,'Hospitalisation Details'!$A:$K,6,FALSE)</f>
        <v>7318.22</v>
      </c>
      <c r="N1447" s="11">
        <f>VLOOKUP($B1447,'Hospitalisation Details'!A1446:J3790,10,0)</f>
        <v>33548</v>
      </c>
      <c r="O1447" t="str">
        <f>VLOOKUP($B1447,'Hospitalisation Details'!A1446:J3790,8,0)</f>
        <v>tier - 3</v>
      </c>
      <c r="P1447" t="str">
        <f>VLOOKUP($B1447,'Hospitalisation Details'!A1446:J3790,7,0)</f>
        <v>tier - 3</v>
      </c>
      <c r="Q1447" t="str">
        <f>VLOOKUP($B1447,'Hospitalisation Details'!A1446:J3790,9,0)</f>
        <v>R1026</v>
      </c>
      <c r="R1447">
        <f>VLOOKUP($B1447,'Hospitalisation Details'!A1446:K3790,11,0)</f>
        <v>31</v>
      </c>
    </row>
    <row r="1448" spans="1:18" x14ac:dyDescent="0.35">
      <c r="A1448" t="s">
        <v>924</v>
      </c>
      <c r="B1448" t="s">
        <v>1479</v>
      </c>
      <c r="C1448" t="str">
        <f>VLOOKUP($A1448,'Customer Names'!$A:$E,4,FALSE)</f>
        <v>Beth</v>
      </c>
      <c r="D1448" t="str">
        <f>VLOOKUP($A1448,'Medical Examinations'!$A:$J,2,FALSE)</f>
        <v>Underweight</v>
      </c>
      <c r="E1448">
        <f>VLOOKUP($A1448,'Medical Examinations'!$A:$J,4,FALSE)</f>
        <v>9.16</v>
      </c>
      <c r="F1448" t="str">
        <f>VLOOKUP($A1448,'Medical Examinations'!$A:$J,6,FALSE)</f>
        <v>No</v>
      </c>
      <c r="G1448" t="str">
        <f>VLOOKUP($A1448,'Medical Examinations'!$A:$J,7,FALSE)</f>
        <v>No</v>
      </c>
      <c r="H1448" t="str">
        <f>VLOOKUP($A1448,'Medical Examinations'!$A:$J,8,FALSE)</f>
        <v>No</v>
      </c>
      <c r="I1448">
        <f>VLOOKUP($A1448,'Medical Examinations'!$A:$J,9,FALSE)</f>
        <v>0</v>
      </c>
      <c r="J1448" t="str">
        <f>VLOOKUP($A1448,'Medical Examinations'!$A:$J,10,FALSE)</f>
        <v>No</v>
      </c>
      <c r="K1448" t="str">
        <f>VLOOKUP($A1448,'Medical Examinations'!$A:$J,5,FALSE)</f>
        <v>Diabetes</v>
      </c>
      <c r="L1448">
        <f>VLOOKUP($A1449,'Medical Examinations'!$A:$J,3,FALSE)</f>
        <v>16.62</v>
      </c>
      <c r="M1448">
        <f>VLOOKUP($A1448,'Hospitalisation Details'!$A:$K,6,FALSE)</f>
        <v>7318.21</v>
      </c>
      <c r="N1448" s="11">
        <f>VLOOKUP($B1448,'Hospitalisation Details'!A1447:J3791,10,0)</f>
        <v>27288</v>
      </c>
      <c r="O1448" t="str">
        <f>VLOOKUP($B1448,'Hospitalisation Details'!A1447:J3791,8,0)</f>
        <v>tier - 3</v>
      </c>
      <c r="P1448" t="str">
        <f>VLOOKUP($B1448,'Hospitalisation Details'!A1447:J3791,7,0)</f>
        <v>tier - 3</v>
      </c>
      <c r="Q1448" t="str">
        <f>VLOOKUP($B1448,'Hospitalisation Details'!A1447:J3791,9,0)</f>
        <v>R1012</v>
      </c>
      <c r="R1448">
        <f>VLOOKUP($B1448,'Hospitalisation Details'!A1447:K3791,11,0)</f>
        <v>48</v>
      </c>
    </row>
    <row r="1449" spans="1:18" x14ac:dyDescent="0.35">
      <c r="A1449" t="s">
        <v>923</v>
      </c>
      <c r="B1449" t="s">
        <v>1480</v>
      </c>
      <c r="C1449" t="str">
        <f>VLOOKUP($A1449,'Customer Names'!$A:$E,4,FALSE)</f>
        <v>Katharine</v>
      </c>
      <c r="D1449" t="str">
        <f>VLOOKUP($A1449,'Medical Examinations'!$A:$J,2,FALSE)</f>
        <v>Underweight</v>
      </c>
      <c r="E1449">
        <f>VLOOKUP($A1449,'Medical Examinations'!$A:$J,4,FALSE)</f>
        <v>9.14</v>
      </c>
      <c r="F1449" t="str">
        <f>VLOOKUP($A1449,'Medical Examinations'!$A:$J,6,FALSE)</f>
        <v>No</v>
      </c>
      <c r="G1449" t="str">
        <f>VLOOKUP($A1449,'Medical Examinations'!$A:$J,7,FALSE)</f>
        <v>No</v>
      </c>
      <c r="H1449" t="str">
        <f>VLOOKUP($A1449,'Medical Examinations'!$A:$J,8,FALSE)</f>
        <v>No</v>
      </c>
      <c r="I1449">
        <f>VLOOKUP($A1449,'Medical Examinations'!$A:$J,9,FALSE)</f>
        <v>0</v>
      </c>
      <c r="J1449" t="str">
        <f>VLOOKUP($A1449,'Medical Examinations'!$A:$J,10,FALSE)</f>
        <v>No</v>
      </c>
      <c r="K1449" t="str">
        <f>VLOOKUP($A1449,'Medical Examinations'!$A:$J,5,FALSE)</f>
        <v>Diabetes</v>
      </c>
      <c r="L1449">
        <f>VLOOKUP($A1450,'Medical Examinations'!$A:$J,3,FALSE)</f>
        <v>15.36</v>
      </c>
      <c r="M1449">
        <f>VLOOKUP($A1449,'Hospitalisation Details'!$A:$K,6,FALSE)</f>
        <v>7304.65</v>
      </c>
      <c r="N1449" s="11">
        <f>VLOOKUP($B1449,'Hospitalisation Details'!A1448:J3792,10,0)</f>
        <v>22954</v>
      </c>
      <c r="O1449" t="str">
        <f>VLOOKUP($B1449,'Hospitalisation Details'!A1448:J3792,8,0)</f>
        <v>tier - 2</v>
      </c>
      <c r="P1449" t="str">
        <f>VLOOKUP($B1449,'Hospitalisation Details'!A1448:J3792,7,0)</f>
        <v>tier - 3</v>
      </c>
      <c r="Q1449" t="str">
        <f>VLOOKUP($B1449,'Hospitalisation Details'!A1448:J3792,9,0)</f>
        <v>R1013</v>
      </c>
      <c r="R1449">
        <f>VLOOKUP($B1449,'Hospitalisation Details'!A1448:K3792,11,0)</f>
        <v>60</v>
      </c>
    </row>
    <row r="1450" spans="1:18" x14ac:dyDescent="0.35">
      <c r="A1450" t="s">
        <v>922</v>
      </c>
      <c r="B1450" t="s">
        <v>1481</v>
      </c>
      <c r="C1450" t="str">
        <f>VLOOKUP($A1450,'Customer Names'!$A:$E,4,FALSE)</f>
        <v>Heather L</v>
      </c>
      <c r="D1450" t="str">
        <f>VLOOKUP($A1450,'Medical Examinations'!$A:$J,2,FALSE)</f>
        <v>Underweight</v>
      </c>
      <c r="E1450">
        <f>VLOOKUP($A1450,'Medical Examinations'!$A:$J,4,FALSE)</f>
        <v>5.49</v>
      </c>
      <c r="F1450" t="str">
        <f>VLOOKUP($A1450,'Medical Examinations'!$A:$J,6,FALSE)</f>
        <v>yes</v>
      </c>
      <c r="G1450" t="str">
        <f>VLOOKUP($A1450,'Medical Examinations'!$A:$J,7,FALSE)</f>
        <v>No</v>
      </c>
      <c r="H1450" t="str">
        <f>VLOOKUP($A1450,'Medical Examinations'!$A:$J,8,FALSE)</f>
        <v>No</v>
      </c>
      <c r="I1450">
        <f>VLOOKUP($A1450,'Medical Examinations'!$A:$J,9,FALSE)</f>
        <v>2</v>
      </c>
      <c r="J1450" t="str">
        <f>VLOOKUP($A1450,'Medical Examinations'!$A:$J,10,FALSE)</f>
        <v>No</v>
      </c>
      <c r="K1450" t="str">
        <f>VLOOKUP($A1450,'Medical Examinations'!$A:$J,5,FALSE)</f>
        <v>Normal</v>
      </c>
      <c r="L1450">
        <f>VLOOKUP($A1451,'Medical Examinations'!$A:$J,3,FALSE)</f>
        <v>27.74</v>
      </c>
      <c r="M1450">
        <f>VLOOKUP($A1450,'Hospitalisation Details'!$A:$K,6,FALSE)</f>
        <v>7302.46</v>
      </c>
      <c r="N1450" s="11">
        <f>VLOOKUP($B1450,'Hospitalisation Details'!A1449:J3793,10,0)</f>
        <v>22904</v>
      </c>
      <c r="O1450" t="str">
        <f>VLOOKUP($B1450,'Hospitalisation Details'!A1449:J3793,8,0)</f>
        <v>tier - 3</v>
      </c>
      <c r="P1450" t="str">
        <f>VLOOKUP($B1450,'Hospitalisation Details'!A1449:J3793,7,0)</f>
        <v>tier - 3</v>
      </c>
      <c r="Q1450" t="str">
        <f>VLOOKUP($B1450,'Hospitalisation Details'!A1449:J3793,9,0)</f>
        <v>R1011</v>
      </c>
      <c r="R1450">
        <f>VLOOKUP($B1450,'Hospitalisation Details'!A1449:K3793,11,0)</f>
        <v>60</v>
      </c>
    </row>
    <row r="1451" spans="1:18" x14ac:dyDescent="0.35">
      <c r="A1451" t="s">
        <v>921</v>
      </c>
      <c r="B1451" t="s">
        <v>1482</v>
      </c>
      <c r="C1451" t="str">
        <f>VLOOKUP($A1451,'Customer Names'!$A:$E,4,FALSE)</f>
        <v>Desiree</v>
      </c>
      <c r="D1451" t="str">
        <f>VLOOKUP($A1451,'Medical Examinations'!$A:$J,2,FALSE)</f>
        <v>Overweight</v>
      </c>
      <c r="E1451">
        <f>VLOOKUP($A1451,'Medical Examinations'!$A:$J,4,FALSE)</f>
        <v>5.96</v>
      </c>
      <c r="F1451" t="str">
        <f>VLOOKUP($A1451,'Medical Examinations'!$A:$J,6,FALSE)</f>
        <v>yes</v>
      </c>
      <c r="G1451" t="str">
        <f>VLOOKUP($A1451,'Medical Examinations'!$A:$J,7,FALSE)</f>
        <v>No</v>
      </c>
      <c r="H1451" t="str">
        <f>VLOOKUP($A1451,'Medical Examinations'!$A:$J,8,FALSE)</f>
        <v>No</v>
      </c>
      <c r="I1451">
        <f>VLOOKUP($A1451,'Medical Examinations'!$A:$J,9,FALSE)</f>
        <v>0</v>
      </c>
      <c r="J1451" t="str">
        <f>VLOOKUP($A1451,'Medical Examinations'!$A:$J,10,FALSE)</f>
        <v>No</v>
      </c>
      <c r="K1451" t="str">
        <f>VLOOKUP($A1451,'Medical Examinations'!$A:$J,5,FALSE)</f>
        <v>Prediabetes</v>
      </c>
      <c r="L1451">
        <f>VLOOKUP($A1452,'Medical Examinations'!$A:$J,3,FALSE)</f>
        <v>22.44</v>
      </c>
      <c r="M1451">
        <f>VLOOKUP($A1451,'Hospitalisation Details'!$A:$K,6,FALSE)</f>
        <v>7281.51</v>
      </c>
      <c r="N1451" s="11">
        <f>VLOOKUP($B1451,'Hospitalisation Details'!A1450:J3794,10,0)</f>
        <v>32055</v>
      </c>
      <c r="O1451" t="str">
        <f>VLOOKUP($B1451,'Hospitalisation Details'!A1450:J3794,8,0)</f>
        <v>tier - 3</v>
      </c>
      <c r="P1451" t="str">
        <f>VLOOKUP($B1451,'Hospitalisation Details'!A1450:J3794,7,0)</f>
        <v>tier - 3</v>
      </c>
      <c r="Q1451" t="str">
        <f>VLOOKUP($B1451,'Hospitalisation Details'!A1450:J3794,9,0)</f>
        <v>R1012</v>
      </c>
      <c r="R1451">
        <f>VLOOKUP($B1451,'Hospitalisation Details'!A1450:K3794,11,0)</f>
        <v>35</v>
      </c>
    </row>
    <row r="1452" spans="1:18" x14ac:dyDescent="0.35">
      <c r="A1452" t="s">
        <v>920</v>
      </c>
      <c r="B1452" t="s">
        <v>1483</v>
      </c>
      <c r="C1452" t="str">
        <f>VLOOKUP($A1452,'Customer Names'!$A:$E,4,FALSE)</f>
        <v>Peter B.</v>
      </c>
      <c r="D1452" t="str">
        <f>VLOOKUP($A1452,'Medical Examinations'!$A:$J,2,FALSE)</f>
        <v>Normal Weight</v>
      </c>
      <c r="E1452">
        <f>VLOOKUP($A1452,'Medical Examinations'!$A:$J,4,FALSE)</f>
        <v>4.62</v>
      </c>
      <c r="F1452" t="str">
        <f>VLOOKUP($A1452,'Medical Examinations'!$A:$J,6,FALSE)</f>
        <v>yes</v>
      </c>
      <c r="G1452" t="str">
        <f>VLOOKUP($A1452,'Medical Examinations'!$A:$J,7,FALSE)</f>
        <v>No</v>
      </c>
      <c r="H1452" t="str">
        <f>VLOOKUP($A1452,'Medical Examinations'!$A:$J,8,FALSE)</f>
        <v>No</v>
      </c>
      <c r="I1452">
        <f>VLOOKUP($A1452,'Medical Examinations'!$A:$J,9,FALSE)</f>
        <v>0</v>
      </c>
      <c r="J1452" t="str">
        <f>VLOOKUP($A1452,'Medical Examinations'!$A:$J,10,FALSE)</f>
        <v>No</v>
      </c>
      <c r="K1452" t="str">
        <f>VLOOKUP($A1452,'Medical Examinations'!$A:$J,5,FALSE)</f>
        <v>Normal</v>
      </c>
      <c r="L1452">
        <f>VLOOKUP($A1453,'Medical Examinations'!$A:$J,3,FALSE)</f>
        <v>37.049999999999997</v>
      </c>
      <c r="M1452">
        <f>VLOOKUP($A1452,'Hospitalisation Details'!$A:$K,6,FALSE)</f>
        <v>7273.02</v>
      </c>
      <c r="N1452" s="11">
        <f>VLOOKUP($B1452,'Hospitalisation Details'!A1451:J3795,10,0)</f>
        <v>33479</v>
      </c>
      <c r="O1452" t="str">
        <f>VLOOKUP($B1452,'Hospitalisation Details'!A1451:J3795,8,0)</f>
        <v>tier - 3</v>
      </c>
      <c r="P1452" t="str">
        <f>VLOOKUP($B1452,'Hospitalisation Details'!A1451:J3795,7,0)</f>
        <v>tier - 3</v>
      </c>
      <c r="Q1452" t="str">
        <f>VLOOKUP($B1452,'Hospitalisation Details'!A1451:J3795,9,0)</f>
        <v>R1026</v>
      </c>
      <c r="R1452">
        <f>VLOOKUP($B1452,'Hospitalisation Details'!A1451:K3795,11,0)</f>
        <v>31</v>
      </c>
    </row>
    <row r="1453" spans="1:18" x14ac:dyDescent="0.35">
      <c r="A1453" t="s">
        <v>919</v>
      </c>
      <c r="B1453" t="s">
        <v>1484</v>
      </c>
      <c r="C1453" t="str">
        <f>VLOOKUP($A1453,'Customer Names'!$A:$E,4,FALSE)</f>
        <v>Adam</v>
      </c>
      <c r="D1453" t="str">
        <f>VLOOKUP($A1453,'Medical Examinations'!$A:$J,2,FALSE)</f>
        <v>Obesity</v>
      </c>
      <c r="E1453">
        <f>VLOOKUP($A1453,'Medical Examinations'!$A:$J,4,FALSE)</f>
        <v>9.9600000000000009</v>
      </c>
      <c r="F1453" t="str">
        <f>VLOOKUP($A1453,'Medical Examinations'!$A:$J,6,FALSE)</f>
        <v>yes</v>
      </c>
      <c r="G1453" t="str">
        <f>VLOOKUP($A1453,'Medical Examinations'!$A:$J,7,FALSE)</f>
        <v>No</v>
      </c>
      <c r="H1453" t="str">
        <f>VLOOKUP($A1453,'Medical Examinations'!$A:$J,8,FALSE)</f>
        <v>No</v>
      </c>
      <c r="I1453">
        <f>VLOOKUP($A1453,'Medical Examinations'!$A:$J,9,FALSE)</f>
        <v>0</v>
      </c>
      <c r="J1453" t="str">
        <f>VLOOKUP($A1453,'Medical Examinations'!$A:$J,10,FALSE)</f>
        <v>No</v>
      </c>
      <c r="K1453" t="str">
        <f>VLOOKUP($A1453,'Medical Examinations'!$A:$J,5,FALSE)</f>
        <v>Diabetes</v>
      </c>
      <c r="L1453">
        <f>VLOOKUP($A1454,'Medical Examinations'!$A:$J,3,FALSE)</f>
        <v>22.95</v>
      </c>
      <c r="M1453">
        <f>VLOOKUP($A1453,'Hospitalisation Details'!$A:$K,6,FALSE)</f>
        <v>7265.7</v>
      </c>
      <c r="N1453" s="11">
        <f>VLOOKUP($B1453,'Hospitalisation Details'!A1452:J3796,10,0)</f>
        <v>28351</v>
      </c>
      <c r="O1453" t="str">
        <f>VLOOKUP($B1453,'Hospitalisation Details'!A1452:J3796,8,0)</f>
        <v>tier - 1</v>
      </c>
      <c r="P1453" t="str">
        <f>VLOOKUP($B1453,'Hospitalisation Details'!A1452:J3796,7,0)</f>
        <v>tier - 3</v>
      </c>
      <c r="Q1453" t="str">
        <f>VLOOKUP($B1453,'Hospitalisation Details'!A1452:J3796,9,0)</f>
        <v>R1012</v>
      </c>
      <c r="R1453">
        <f>VLOOKUP($B1453,'Hospitalisation Details'!A1452:K3796,11,0)</f>
        <v>45</v>
      </c>
    </row>
    <row r="1454" spans="1:18" x14ac:dyDescent="0.35">
      <c r="A1454" t="s">
        <v>918</v>
      </c>
      <c r="B1454" t="s">
        <v>1485</v>
      </c>
      <c r="C1454" t="str">
        <f>VLOOKUP($A1454,'Customer Names'!$A:$E,4,FALSE)</f>
        <v>Jeremy J</v>
      </c>
      <c r="D1454" t="str">
        <f>VLOOKUP($A1454,'Medical Examinations'!$A:$J,2,FALSE)</f>
        <v>Normal Weight</v>
      </c>
      <c r="E1454">
        <f>VLOOKUP($A1454,'Medical Examinations'!$A:$J,4,FALSE)</f>
        <v>10.53</v>
      </c>
      <c r="F1454" t="str">
        <f>VLOOKUP($A1454,'Medical Examinations'!$A:$J,6,FALSE)</f>
        <v>No</v>
      </c>
      <c r="G1454" t="str">
        <f>VLOOKUP($A1454,'Medical Examinations'!$A:$J,7,FALSE)</f>
        <v>No</v>
      </c>
      <c r="H1454" t="str">
        <f>VLOOKUP($A1454,'Medical Examinations'!$A:$J,8,FALSE)</f>
        <v>No</v>
      </c>
      <c r="I1454">
        <f>VLOOKUP($A1454,'Medical Examinations'!$A:$J,9,FALSE)</f>
        <v>2</v>
      </c>
      <c r="J1454" t="str">
        <f>VLOOKUP($A1454,'Medical Examinations'!$A:$J,10,FALSE)</f>
        <v>No</v>
      </c>
      <c r="K1454" t="str">
        <f>VLOOKUP($A1454,'Medical Examinations'!$A:$J,5,FALSE)</f>
        <v>Diabetes</v>
      </c>
      <c r="L1454">
        <f>VLOOKUP($A1455,'Medical Examinations'!$A:$J,3,FALSE)</f>
        <v>34.200000000000003</v>
      </c>
      <c r="M1454">
        <f>VLOOKUP($A1454,'Hospitalisation Details'!$A:$K,6,FALSE)</f>
        <v>7265.58</v>
      </c>
      <c r="N1454" s="11">
        <f>VLOOKUP($B1454,'Hospitalisation Details'!A1453:J3797,10,0)</f>
        <v>23578</v>
      </c>
      <c r="O1454" t="str">
        <f>VLOOKUP($B1454,'Hospitalisation Details'!A1453:J3797,8,0)</f>
        <v>tier - 2</v>
      </c>
      <c r="P1454" t="str">
        <f>VLOOKUP($B1454,'Hospitalisation Details'!A1453:J3797,7,0)</f>
        <v>tier - 3</v>
      </c>
      <c r="Q1454" t="str">
        <f>VLOOKUP($B1454,'Hospitalisation Details'!A1453:J3797,9,0)</f>
        <v>R1012</v>
      </c>
      <c r="R1454">
        <f>VLOOKUP($B1454,'Hospitalisation Details'!A1453:K3797,11,0)</f>
        <v>58</v>
      </c>
    </row>
    <row r="1455" spans="1:18" x14ac:dyDescent="0.35">
      <c r="A1455" t="s">
        <v>917</v>
      </c>
      <c r="B1455" t="s">
        <v>1486</v>
      </c>
      <c r="C1455" t="str">
        <f>VLOOKUP($A1455,'Customer Names'!$A:$E,4,FALSE)</f>
        <v>Adam C</v>
      </c>
      <c r="D1455" t="str">
        <f>VLOOKUP($A1455,'Medical Examinations'!$A:$J,2,FALSE)</f>
        <v>Obesity</v>
      </c>
      <c r="E1455">
        <f>VLOOKUP($A1455,'Medical Examinations'!$A:$J,4,FALSE)</f>
        <v>6.69</v>
      </c>
      <c r="F1455" t="str">
        <f>VLOOKUP($A1455,'Medical Examinations'!$A:$J,6,FALSE)</f>
        <v>yes</v>
      </c>
      <c r="G1455" t="str">
        <f>VLOOKUP($A1455,'Medical Examinations'!$A:$J,7,FALSE)</f>
        <v>No</v>
      </c>
      <c r="H1455" t="str">
        <f>VLOOKUP($A1455,'Medical Examinations'!$A:$J,8,FALSE)</f>
        <v>No</v>
      </c>
      <c r="I1455">
        <f>VLOOKUP($A1455,'Medical Examinations'!$A:$J,9,FALSE)</f>
        <v>0</v>
      </c>
      <c r="J1455" t="str">
        <f>VLOOKUP($A1455,'Medical Examinations'!$A:$J,10,FALSE)</f>
        <v>No</v>
      </c>
      <c r="K1455" t="str">
        <f>VLOOKUP($A1455,'Medical Examinations'!$A:$J,5,FALSE)</f>
        <v>Diabetes</v>
      </c>
      <c r="L1455">
        <f>VLOOKUP($A1456,'Medical Examinations'!$A:$J,3,FALSE)</f>
        <v>30.59</v>
      </c>
      <c r="M1455">
        <f>VLOOKUP($A1455,'Hospitalisation Details'!$A:$K,6,FALSE)</f>
        <v>7261.74</v>
      </c>
      <c r="N1455" s="11">
        <f>VLOOKUP($B1455,'Hospitalisation Details'!A1454:J3798,10,0)</f>
        <v>23560</v>
      </c>
      <c r="O1455" t="str">
        <f>VLOOKUP($B1455,'Hospitalisation Details'!A1454:J3798,8,0)</f>
        <v>tier - 1</v>
      </c>
      <c r="P1455" t="str">
        <f>VLOOKUP($B1455,'Hospitalisation Details'!A1454:J3798,7,0)</f>
        <v>tier - 3</v>
      </c>
      <c r="Q1455" t="str">
        <f>VLOOKUP($B1455,'Hospitalisation Details'!A1454:J3798,9,0)</f>
        <v>R1012</v>
      </c>
      <c r="R1455">
        <f>VLOOKUP($B1455,'Hospitalisation Details'!A1454:K3798,11,0)</f>
        <v>58</v>
      </c>
    </row>
    <row r="1456" spans="1:18" x14ac:dyDescent="0.35">
      <c r="A1456" t="s">
        <v>916</v>
      </c>
      <c r="B1456" t="s">
        <v>1487</v>
      </c>
      <c r="C1456" t="str">
        <f>VLOOKUP($A1456,'Customer Names'!$A:$E,4,FALSE)</f>
        <v>Jon</v>
      </c>
      <c r="D1456" t="str">
        <f>VLOOKUP($A1456,'Medical Examinations'!$A:$J,2,FALSE)</f>
        <v>Obesity</v>
      </c>
      <c r="E1456">
        <f>VLOOKUP($A1456,'Medical Examinations'!$A:$J,4,FALSE)</f>
        <v>9.5500000000000007</v>
      </c>
      <c r="F1456" t="str">
        <f>VLOOKUP($A1456,'Medical Examinations'!$A:$J,6,FALSE)</f>
        <v>yes</v>
      </c>
      <c r="G1456" t="str">
        <f>VLOOKUP($A1456,'Medical Examinations'!$A:$J,7,FALSE)</f>
        <v>No</v>
      </c>
      <c r="H1456" t="str">
        <f>VLOOKUP($A1456,'Medical Examinations'!$A:$J,8,FALSE)</f>
        <v>No</v>
      </c>
      <c r="I1456">
        <f>VLOOKUP($A1456,'Medical Examinations'!$A:$J,9,FALSE)</f>
        <v>0</v>
      </c>
      <c r="J1456" t="str">
        <f>VLOOKUP($A1456,'Medical Examinations'!$A:$J,10,FALSE)</f>
        <v>No</v>
      </c>
      <c r="K1456" t="str">
        <f>VLOOKUP($A1456,'Medical Examinations'!$A:$J,5,FALSE)</f>
        <v>Diabetes</v>
      </c>
      <c r="L1456">
        <f>VLOOKUP($A1457,'Medical Examinations'!$A:$J,3,FALSE)</f>
        <v>25.51</v>
      </c>
      <c r="M1456">
        <f>VLOOKUP($A1456,'Hospitalisation Details'!$A:$K,6,FALSE)</f>
        <v>7256.72</v>
      </c>
      <c r="N1456" s="11">
        <f>VLOOKUP($B1456,'Hospitalisation Details'!A1455:J3799,10,0)</f>
        <v>23552</v>
      </c>
      <c r="O1456" t="str">
        <f>VLOOKUP($B1456,'Hospitalisation Details'!A1455:J3799,8,0)</f>
        <v>tier - 3</v>
      </c>
      <c r="P1456" t="str">
        <f>VLOOKUP($B1456,'Hospitalisation Details'!A1455:J3799,7,0)</f>
        <v>tier - 3</v>
      </c>
      <c r="Q1456" t="str">
        <f>VLOOKUP($B1456,'Hospitalisation Details'!A1455:J3799,9,0)</f>
        <v>R1012</v>
      </c>
      <c r="R1456">
        <f>VLOOKUP($B1456,'Hospitalisation Details'!A1455:K3799,11,0)</f>
        <v>58</v>
      </c>
    </row>
    <row r="1457" spans="1:18" x14ac:dyDescent="0.35">
      <c r="A1457" t="s">
        <v>915</v>
      </c>
      <c r="B1457" t="s">
        <v>1488</v>
      </c>
      <c r="C1457" t="str">
        <f>VLOOKUP($A1457,'Customer Names'!$A:$E,4,FALSE)</f>
        <v>Steven J</v>
      </c>
      <c r="D1457" t="str">
        <f>VLOOKUP($A1457,'Medical Examinations'!$A:$J,2,FALSE)</f>
        <v>Overweight</v>
      </c>
      <c r="E1457">
        <f>VLOOKUP($A1457,'Medical Examinations'!$A:$J,4,FALSE)</f>
        <v>6.05</v>
      </c>
      <c r="F1457" t="str">
        <f>VLOOKUP($A1457,'Medical Examinations'!$A:$J,6,FALSE)</f>
        <v>No</v>
      </c>
      <c r="G1457" t="str">
        <f>VLOOKUP($A1457,'Medical Examinations'!$A:$J,7,FALSE)</f>
        <v>No</v>
      </c>
      <c r="H1457" t="str">
        <f>VLOOKUP($A1457,'Medical Examinations'!$A:$J,8,FALSE)</f>
        <v>No</v>
      </c>
      <c r="I1457">
        <f>VLOOKUP($A1457,'Medical Examinations'!$A:$J,9,FALSE)</f>
        <v>0</v>
      </c>
      <c r="J1457" t="str">
        <f>VLOOKUP($A1457,'Medical Examinations'!$A:$J,10,FALSE)</f>
        <v>No</v>
      </c>
      <c r="K1457" t="str">
        <f>VLOOKUP($A1457,'Medical Examinations'!$A:$J,5,FALSE)</f>
        <v>Prediabetes</v>
      </c>
      <c r="L1457">
        <f>VLOOKUP($A1458,'Medical Examinations'!$A:$J,3,FALSE)</f>
        <v>29.04</v>
      </c>
      <c r="M1457">
        <f>VLOOKUP($A1457,'Hospitalisation Details'!$A:$K,6,FALSE)</f>
        <v>7248.71</v>
      </c>
      <c r="N1457" s="11">
        <f>VLOOKUP($B1457,'Hospitalisation Details'!A1456:J3800,10,0)</f>
        <v>23211</v>
      </c>
      <c r="O1457" t="str">
        <f>VLOOKUP($B1457,'Hospitalisation Details'!A1456:J3800,8,0)</f>
        <v>tier - 1</v>
      </c>
      <c r="P1457" t="str">
        <f>VLOOKUP($B1457,'Hospitalisation Details'!A1456:J3800,7,0)</f>
        <v>tier - 3</v>
      </c>
      <c r="Q1457" t="str">
        <f>VLOOKUP($B1457,'Hospitalisation Details'!A1456:J3800,9,0)</f>
        <v>R1011</v>
      </c>
      <c r="R1457">
        <f>VLOOKUP($B1457,'Hospitalisation Details'!A1456:K3800,11,0)</f>
        <v>59</v>
      </c>
    </row>
    <row r="1458" spans="1:18" x14ac:dyDescent="0.35">
      <c r="A1458" t="s">
        <v>914</v>
      </c>
      <c r="B1458" t="s">
        <v>1489</v>
      </c>
      <c r="C1458" t="str">
        <f>VLOOKUP($A1458,'Customer Names'!$A:$E,4,FALSE)</f>
        <v>Jessica P.</v>
      </c>
      <c r="D1458" t="str">
        <f>VLOOKUP($A1458,'Medical Examinations'!$A:$J,2,FALSE)</f>
        <v>Overweight</v>
      </c>
      <c r="E1458">
        <f>VLOOKUP($A1458,'Medical Examinations'!$A:$J,4,FALSE)</f>
        <v>10.56</v>
      </c>
      <c r="F1458" t="str">
        <f>VLOOKUP($A1458,'Medical Examinations'!$A:$J,6,FALSE)</f>
        <v>yes</v>
      </c>
      <c r="G1458" t="str">
        <f>VLOOKUP($A1458,'Medical Examinations'!$A:$J,7,FALSE)</f>
        <v>No</v>
      </c>
      <c r="H1458" t="str">
        <f>VLOOKUP($A1458,'Medical Examinations'!$A:$J,8,FALSE)</f>
        <v>No</v>
      </c>
      <c r="I1458">
        <f>VLOOKUP($A1458,'Medical Examinations'!$A:$J,9,FALSE)</f>
        <v>1</v>
      </c>
      <c r="J1458" t="str">
        <f>VLOOKUP($A1458,'Medical Examinations'!$A:$J,10,FALSE)</f>
        <v>No</v>
      </c>
      <c r="K1458" t="str">
        <f>VLOOKUP($A1458,'Medical Examinations'!$A:$J,5,FALSE)</f>
        <v>Diabetes</v>
      </c>
      <c r="L1458">
        <f>VLOOKUP($A1459,'Medical Examinations'!$A:$J,3,FALSE)</f>
        <v>22.135000000000002</v>
      </c>
      <c r="M1458">
        <f>VLOOKUP($A1458,'Hospitalisation Details'!$A:$K,6,FALSE)</f>
        <v>7243.81</v>
      </c>
      <c r="N1458" s="11">
        <f>VLOOKUP($B1458,'Hospitalisation Details'!A1457:J3801,10,0)</f>
        <v>23665</v>
      </c>
      <c r="O1458" t="str">
        <f>VLOOKUP($B1458,'Hospitalisation Details'!A1457:J3801,8,0)</f>
        <v>tier - 3</v>
      </c>
      <c r="P1458" t="str">
        <f>VLOOKUP($B1458,'Hospitalisation Details'!A1457:J3801,7,0)</f>
        <v>tier - 3</v>
      </c>
      <c r="Q1458" t="str">
        <f>VLOOKUP($B1458,'Hospitalisation Details'!A1457:J3801,9,0)</f>
        <v>R1012</v>
      </c>
      <c r="R1458">
        <f>VLOOKUP($B1458,'Hospitalisation Details'!A1457:K3801,11,0)</f>
        <v>58</v>
      </c>
    </row>
    <row r="1459" spans="1:18" x14ac:dyDescent="0.35">
      <c r="A1459" t="s">
        <v>913</v>
      </c>
      <c r="B1459" t="s">
        <v>1490</v>
      </c>
      <c r="C1459" t="str">
        <f>VLOOKUP($A1459,'Customer Names'!$A:$E,4,FALSE)</f>
        <v>Ashley</v>
      </c>
      <c r="D1459" t="str">
        <f>VLOOKUP($A1459,'Medical Examinations'!$A:$J,2,FALSE)</f>
        <v>Normal Weight</v>
      </c>
      <c r="E1459">
        <f>VLOOKUP($A1459,'Medical Examinations'!$A:$J,4,FALSE)</f>
        <v>10.81</v>
      </c>
      <c r="F1459" t="str">
        <f>VLOOKUP($A1459,'Medical Examinations'!$A:$J,6,FALSE)</f>
        <v>yes</v>
      </c>
      <c r="G1459" t="str">
        <f>VLOOKUP($A1459,'Medical Examinations'!$A:$J,7,FALSE)</f>
        <v>No</v>
      </c>
      <c r="H1459" t="str">
        <f>VLOOKUP($A1459,'Medical Examinations'!$A:$J,8,FALSE)</f>
        <v>No</v>
      </c>
      <c r="I1459">
        <f>VLOOKUP($A1459,'Medical Examinations'!$A:$J,9,FALSE)</f>
        <v>1</v>
      </c>
      <c r="J1459" t="str">
        <f>VLOOKUP($A1459,'Medical Examinations'!$A:$J,10,FALSE)</f>
        <v>No</v>
      </c>
      <c r="K1459" t="str">
        <f>VLOOKUP($A1459,'Medical Examinations'!$A:$J,5,FALSE)</f>
        <v>Diabetes</v>
      </c>
      <c r="L1459">
        <f>VLOOKUP($A1460,'Medical Examinations'!$A:$J,3,FALSE)</f>
        <v>21.375</v>
      </c>
      <c r="M1459">
        <f>VLOOKUP($A1459,'Hospitalisation Details'!$A:$K,6,FALSE)</f>
        <v>7228.22</v>
      </c>
      <c r="N1459" s="11">
        <f>VLOOKUP($B1459,'Hospitalisation Details'!A1458:J3802,10,0)</f>
        <v>24317</v>
      </c>
      <c r="O1459" t="str">
        <f>VLOOKUP($B1459,'Hospitalisation Details'!A1458:J3802,8,0)</f>
        <v>tier - 3</v>
      </c>
      <c r="P1459" t="str">
        <f>VLOOKUP($B1459,'Hospitalisation Details'!A1458:J3802,7,0)</f>
        <v>tier - 3</v>
      </c>
      <c r="Q1459" t="str">
        <f>VLOOKUP($B1459,'Hospitalisation Details'!A1458:J3802,9,0)</f>
        <v>R1012</v>
      </c>
      <c r="R1459">
        <f>VLOOKUP($B1459,'Hospitalisation Details'!A1458:K3802,11,0)</f>
        <v>56</v>
      </c>
    </row>
    <row r="1460" spans="1:18" x14ac:dyDescent="0.35">
      <c r="A1460" t="s">
        <v>912</v>
      </c>
      <c r="B1460" t="s">
        <v>1491</v>
      </c>
      <c r="C1460" t="str">
        <f>VLOOKUP($A1460,'Customer Names'!$A:$E,4,FALSE)</f>
        <v>Arturo H.</v>
      </c>
      <c r="D1460" t="str">
        <f>VLOOKUP($A1460,'Medical Examinations'!$A:$J,2,FALSE)</f>
        <v>Normal Weight</v>
      </c>
      <c r="E1460">
        <f>VLOOKUP($A1460,'Medical Examinations'!$A:$J,4,FALSE)</f>
        <v>4.32</v>
      </c>
      <c r="F1460" t="str">
        <f>VLOOKUP($A1460,'Medical Examinations'!$A:$J,6,FALSE)</f>
        <v>No</v>
      </c>
      <c r="G1460" t="str">
        <f>VLOOKUP($A1460,'Medical Examinations'!$A:$J,7,FALSE)</f>
        <v>No</v>
      </c>
      <c r="H1460" t="str">
        <f>VLOOKUP($A1460,'Medical Examinations'!$A:$J,8,FALSE)</f>
        <v>No</v>
      </c>
      <c r="I1460">
        <f>VLOOKUP($A1460,'Medical Examinations'!$A:$J,9,FALSE)</f>
        <v>0</v>
      </c>
      <c r="J1460" t="str">
        <f>VLOOKUP($A1460,'Medical Examinations'!$A:$J,10,FALSE)</f>
        <v>No</v>
      </c>
      <c r="K1460" t="str">
        <f>VLOOKUP($A1460,'Medical Examinations'!$A:$J,5,FALSE)</f>
        <v>Normal</v>
      </c>
      <c r="L1460">
        <f>VLOOKUP($A1461,'Medical Examinations'!$A:$J,3,FALSE)</f>
        <v>29.19</v>
      </c>
      <c r="M1460">
        <f>VLOOKUP($A1460,'Hospitalisation Details'!$A:$K,6,FALSE)</f>
        <v>7222.79</v>
      </c>
      <c r="N1460" s="11">
        <f>VLOOKUP($B1460,'Hospitalisation Details'!A1459:J3803,10,0)</f>
        <v>23209</v>
      </c>
      <c r="O1460" t="str">
        <f>VLOOKUP($B1460,'Hospitalisation Details'!A1459:J3803,8,0)</f>
        <v>tier - 1</v>
      </c>
      <c r="P1460" t="str">
        <f>VLOOKUP($B1460,'Hospitalisation Details'!A1459:J3803,7,0)</f>
        <v>tier - 3</v>
      </c>
      <c r="Q1460" t="str">
        <f>VLOOKUP($B1460,'Hospitalisation Details'!A1459:J3803,9,0)</f>
        <v>R1013</v>
      </c>
      <c r="R1460">
        <f>VLOOKUP($B1460,'Hospitalisation Details'!A1459:K3803,11,0)</f>
        <v>59</v>
      </c>
    </row>
    <row r="1461" spans="1:18" x14ac:dyDescent="0.35">
      <c r="A1461" t="s">
        <v>911</v>
      </c>
      <c r="B1461" t="s">
        <v>1492</v>
      </c>
      <c r="C1461" t="str">
        <f>VLOOKUP($A1461,'Customer Names'!$A:$E,4,FALSE)</f>
        <v>Ketil</v>
      </c>
      <c r="D1461" t="str">
        <f>VLOOKUP($A1461,'Medical Examinations'!$A:$J,2,FALSE)</f>
        <v>Overweight</v>
      </c>
      <c r="E1461">
        <f>VLOOKUP($A1461,'Medical Examinations'!$A:$J,4,FALSE)</f>
        <v>4.37</v>
      </c>
      <c r="F1461" t="str">
        <f>VLOOKUP($A1461,'Medical Examinations'!$A:$J,6,FALSE)</f>
        <v>No</v>
      </c>
      <c r="G1461" t="str">
        <f>VLOOKUP($A1461,'Medical Examinations'!$A:$J,7,FALSE)</f>
        <v>No</v>
      </c>
      <c r="H1461" t="str">
        <f>VLOOKUP($A1461,'Medical Examinations'!$A:$J,8,FALSE)</f>
        <v>No</v>
      </c>
      <c r="I1461">
        <f>VLOOKUP($A1461,'Medical Examinations'!$A:$J,9,FALSE)</f>
        <v>0</v>
      </c>
      <c r="J1461" t="str">
        <f>VLOOKUP($A1461,'Medical Examinations'!$A:$J,10,FALSE)</f>
        <v>No</v>
      </c>
      <c r="K1461" t="str">
        <f>VLOOKUP($A1461,'Medical Examinations'!$A:$J,5,FALSE)</f>
        <v>Normal</v>
      </c>
      <c r="L1461">
        <f>VLOOKUP($A1462,'Medical Examinations'!$A:$J,3,FALSE)</f>
        <v>31.92</v>
      </c>
      <c r="M1461">
        <f>VLOOKUP($A1461,'Hospitalisation Details'!$A:$K,6,FALSE)</f>
        <v>7220.25</v>
      </c>
      <c r="N1461" s="11">
        <f>VLOOKUP($B1461,'Hospitalisation Details'!A1460:J3804,10,0)</f>
        <v>27203</v>
      </c>
      <c r="O1461" t="str">
        <f>VLOOKUP($B1461,'Hospitalisation Details'!A1460:J3804,8,0)</f>
        <v>tier - 1</v>
      </c>
      <c r="P1461" t="str">
        <f>VLOOKUP($B1461,'Hospitalisation Details'!A1460:J3804,7,0)</f>
        <v>tier - 3</v>
      </c>
      <c r="Q1461" t="str">
        <f>VLOOKUP($B1461,'Hospitalisation Details'!A1460:J3804,9,0)</f>
        <v>R1012</v>
      </c>
      <c r="R1461">
        <f>VLOOKUP($B1461,'Hospitalisation Details'!A1460:K3804,11,0)</f>
        <v>48</v>
      </c>
    </row>
    <row r="1462" spans="1:18" x14ac:dyDescent="0.35">
      <c r="A1462" t="s">
        <v>910</v>
      </c>
      <c r="B1462" t="s">
        <v>1493</v>
      </c>
      <c r="C1462" t="str">
        <f>VLOOKUP($A1462,'Customer Names'!$A:$E,4,FALSE)</f>
        <v>Katie</v>
      </c>
      <c r="D1462" t="str">
        <f>VLOOKUP($A1462,'Medical Examinations'!$A:$J,2,FALSE)</f>
        <v>Obesity</v>
      </c>
      <c r="E1462">
        <f>VLOOKUP($A1462,'Medical Examinations'!$A:$J,4,FALSE)</f>
        <v>4.8099999999999996</v>
      </c>
      <c r="F1462" t="str">
        <f>VLOOKUP($A1462,'Medical Examinations'!$A:$J,6,FALSE)</f>
        <v>yes</v>
      </c>
      <c r="G1462" t="str">
        <f>VLOOKUP($A1462,'Medical Examinations'!$A:$J,7,FALSE)</f>
        <v>No</v>
      </c>
      <c r="H1462" t="str">
        <f>VLOOKUP($A1462,'Medical Examinations'!$A:$J,8,FALSE)</f>
        <v>Yes</v>
      </c>
      <c r="I1462">
        <f>VLOOKUP($A1462,'Medical Examinations'!$A:$J,9,FALSE)</f>
        <v>1</v>
      </c>
      <c r="J1462" t="str">
        <f>VLOOKUP($A1462,'Medical Examinations'!$A:$J,10,FALSE)</f>
        <v>No</v>
      </c>
      <c r="K1462" t="str">
        <f>VLOOKUP($A1462,'Medical Examinations'!$A:$J,5,FALSE)</f>
        <v>Normal</v>
      </c>
      <c r="L1462">
        <f>VLOOKUP($A1463,'Medical Examinations'!$A:$J,3,FALSE)</f>
        <v>26.315000000000001</v>
      </c>
      <c r="M1462">
        <f>VLOOKUP($A1462,'Hospitalisation Details'!$A:$K,6,FALSE)</f>
        <v>7209.49</v>
      </c>
      <c r="N1462" s="11">
        <f>VLOOKUP($B1462,'Hospitalisation Details'!A1461:J3805,10,0)</f>
        <v>32835</v>
      </c>
      <c r="O1462" t="str">
        <f>VLOOKUP($B1462,'Hospitalisation Details'!A1461:J3805,8,0)</f>
        <v>tier - 3</v>
      </c>
      <c r="P1462" t="str">
        <f>VLOOKUP($B1462,'Hospitalisation Details'!A1461:J3805,7,0)</f>
        <v>tier - 3</v>
      </c>
      <c r="Q1462" t="str">
        <f>VLOOKUP($B1462,'Hospitalisation Details'!A1461:J3805,9,0)</f>
        <v>R1026</v>
      </c>
      <c r="R1462">
        <f>VLOOKUP($B1462,'Hospitalisation Details'!A1461:K3805,11,0)</f>
        <v>33</v>
      </c>
    </row>
    <row r="1463" spans="1:18" x14ac:dyDescent="0.35">
      <c r="A1463" t="s">
        <v>909</v>
      </c>
      <c r="B1463" t="s">
        <v>1494</v>
      </c>
      <c r="C1463" t="str">
        <f>VLOOKUP($A1463,'Customer Names'!$A:$E,4,FALSE)</f>
        <v>Christi</v>
      </c>
      <c r="D1463" t="str">
        <f>VLOOKUP($A1463,'Medical Examinations'!$A:$J,2,FALSE)</f>
        <v>Overweight</v>
      </c>
      <c r="E1463">
        <f>VLOOKUP($A1463,'Medical Examinations'!$A:$J,4,FALSE)</f>
        <v>4.5599999999999996</v>
      </c>
      <c r="F1463" t="str">
        <f>VLOOKUP($A1463,'Medical Examinations'!$A:$J,6,FALSE)</f>
        <v>yes</v>
      </c>
      <c r="G1463" t="str">
        <f>VLOOKUP($A1463,'Medical Examinations'!$A:$J,7,FALSE)</f>
        <v>No</v>
      </c>
      <c r="H1463" t="str">
        <f>VLOOKUP($A1463,'Medical Examinations'!$A:$J,8,FALSE)</f>
        <v>Yes</v>
      </c>
      <c r="I1463">
        <f>VLOOKUP($A1463,'Medical Examinations'!$A:$J,9,FALSE)</f>
        <v>1</v>
      </c>
      <c r="J1463" t="str">
        <f>VLOOKUP($A1463,'Medical Examinations'!$A:$J,10,FALSE)</f>
        <v>No</v>
      </c>
      <c r="K1463" t="str">
        <f>VLOOKUP($A1463,'Medical Examinations'!$A:$J,5,FALSE)</f>
        <v>Normal</v>
      </c>
      <c r="L1463">
        <f>VLOOKUP($A1464,'Medical Examinations'!$A:$J,3,FALSE)</f>
        <v>35.299999999999997</v>
      </c>
      <c r="M1463">
        <f>VLOOKUP($A1463,'Hospitalisation Details'!$A:$K,6,FALSE)</f>
        <v>7201.7</v>
      </c>
      <c r="N1463" s="11">
        <f>VLOOKUP($B1463,'Hospitalisation Details'!A1462:J3806,10,0)</f>
        <v>31637</v>
      </c>
      <c r="O1463" t="str">
        <f>VLOOKUP($B1463,'Hospitalisation Details'!A1462:J3806,8,0)</f>
        <v>tier - 2</v>
      </c>
      <c r="P1463" t="str">
        <f>VLOOKUP($B1463,'Hospitalisation Details'!A1462:J3806,7,0)</f>
        <v>tier - 3</v>
      </c>
      <c r="Q1463" t="str">
        <f>VLOOKUP($B1463,'Hospitalisation Details'!A1462:J3806,9,0)</f>
        <v>R1026</v>
      </c>
      <c r="R1463">
        <f>VLOOKUP($B1463,'Hospitalisation Details'!A1462:K3806,11,0)</f>
        <v>36</v>
      </c>
    </row>
    <row r="1464" spans="1:18" x14ac:dyDescent="0.35">
      <c r="A1464" t="s">
        <v>908</v>
      </c>
      <c r="B1464" t="s">
        <v>1495</v>
      </c>
      <c r="C1464" t="str">
        <f>VLOOKUP($A1464,'Customer Names'!$A:$E,4,FALSE)</f>
        <v>Alan</v>
      </c>
      <c r="D1464" t="str">
        <f>VLOOKUP($A1464,'Medical Examinations'!$A:$J,2,FALSE)</f>
        <v>Obesity</v>
      </c>
      <c r="E1464">
        <f>VLOOKUP($A1464,'Medical Examinations'!$A:$J,4,FALSE)</f>
        <v>4.3899999999999997</v>
      </c>
      <c r="F1464" t="str">
        <f>VLOOKUP($A1464,'Medical Examinations'!$A:$J,6,FALSE)</f>
        <v>No</v>
      </c>
      <c r="G1464" t="str">
        <f>VLOOKUP($A1464,'Medical Examinations'!$A:$J,7,FALSE)</f>
        <v>No</v>
      </c>
      <c r="H1464" t="str">
        <f>VLOOKUP($A1464,'Medical Examinations'!$A:$J,8,FALSE)</f>
        <v>No</v>
      </c>
      <c r="I1464">
        <f>VLOOKUP($A1464,'Medical Examinations'!$A:$J,9,FALSE)</f>
        <v>0</v>
      </c>
      <c r="J1464" t="str">
        <f>VLOOKUP($A1464,'Medical Examinations'!$A:$J,10,FALSE)</f>
        <v>No</v>
      </c>
      <c r="K1464" t="str">
        <f>VLOOKUP($A1464,'Medical Examinations'!$A:$J,5,FALSE)</f>
        <v>Normal</v>
      </c>
      <c r="L1464">
        <f>VLOOKUP($A1465,'Medical Examinations'!$A:$J,3,FALSE)</f>
        <v>18.91</v>
      </c>
      <c r="M1464">
        <f>VLOOKUP($A1464,'Hospitalisation Details'!$A:$K,6,FALSE)</f>
        <v>7196.87</v>
      </c>
      <c r="N1464" s="11">
        <f>VLOOKUP($B1464,'Hospitalisation Details'!A1463:J3807,10,0)</f>
        <v>24447</v>
      </c>
      <c r="O1464" t="str">
        <f>VLOOKUP($B1464,'Hospitalisation Details'!A1463:J3807,8,0)</f>
        <v>tier - 3</v>
      </c>
      <c r="P1464" t="str">
        <f>VLOOKUP($B1464,'Hospitalisation Details'!A1463:J3807,7,0)</f>
        <v>tier - 3</v>
      </c>
      <c r="Q1464" t="str">
        <f>VLOOKUP($B1464,'Hospitalisation Details'!A1463:J3807,9,0)</f>
        <v>R1013</v>
      </c>
      <c r="R1464">
        <f>VLOOKUP($B1464,'Hospitalisation Details'!A1463:K3807,11,0)</f>
        <v>56</v>
      </c>
    </row>
    <row r="1465" spans="1:18" x14ac:dyDescent="0.35">
      <c r="A1465" t="s">
        <v>907</v>
      </c>
      <c r="B1465" t="s">
        <v>1496</v>
      </c>
      <c r="C1465" t="str">
        <f>VLOOKUP($A1465,'Customer Names'!$A:$E,4,FALSE)</f>
        <v>Edivaldo B. Sr.</v>
      </c>
      <c r="D1465" t="str">
        <f>VLOOKUP($A1465,'Medical Examinations'!$A:$J,2,FALSE)</f>
        <v>Normal Weight</v>
      </c>
      <c r="E1465">
        <f>VLOOKUP($A1465,'Medical Examinations'!$A:$J,4,FALSE)</f>
        <v>11.44</v>
      </c>
      <c r="F1465" t="str">
        <f>VLOOKUP($A1465,'Medical Examinations'!$A:$J,6,FALSE)</f>
        <v>No</v>
      </c>
      <c r="G1465" t="str">
        <f>VLOOKUP($A1465,'Medical Examinations'!$A:$J,7,FALSE)</f>
        <v>No</v>
      </c>
      <c r="H1465" t="str">
        <f>VLOOKUP($A1465,'Medical Examinations'!$A:$J,8,FALSE)</f>
        <v>No</v>
      </c>
      <c r="I1465">
        <f>VLOOKUP($A1465,'Medical Examinations'!$A:$J,9,FALSE)</f>
        <v>0</v>
      </c>
      <c r="J1465" t="str">
        <f>VLOOKUP($A1465,'Medical Examinations'!$A:$J,10,FALSE)</f>
        <v>No</v>
      </c>
      <c r="K1465" t="str">
        <f>VLOOKUP($A1465,'Medical Examinations'!$A:$J,5,FALSE)</f>
        <v>Diabetes</v>
      </c>
      <c r="L1465">
        <f>VLOOKUP($A1466,'Medical Examinations'!$A:$J,3,FALSE)</f>
        <v>22.41</v>
      </c>
      <c r="M1465">
        <f>VLOOKUP($A1465,'Hospitalisation Details'!$A:$K,6,FALSE)</f>
        <v>7179.52</v>
      </c>
      <c r="N1465" s="11">
        <f>VLOOKUP($B1465,'Hospitalisation Details'!A1464:J3808,10,0)</f>
        <v>24836</v>
      </c>
      <c r="O1465" t="str">
        <f>VLOOKUP($B1465,'Hospitalisation Details'!A1464:J3808,8,0)</f>
        <v>tier - 1</v>
      </c>
      <c r="P1465" t="str">
        <f>VLOOKUP($B1465,'Hospitalisation Details'!A1464:J3808,7,0)</f>
        <v>tier - 3</v>
      </c>
      <c r="Q1465" t="str">
        <f>VLOOKUP($B1465,'Hospitalisation Details'!A1464:J3808,9,0)</f>
        <v>R1012</v>
      </c>
      <c r="R1465">
        <f>VLOOKUP($B1465,'Hospitalisation Details'!A1464:K3808,11,0)</f>
        <v>55</v>
      </c>
    </row>
    <row r="1466" spans="1:18" x14ac:dyDescent="0.35">
      <c r="A1466" t="s">
        <v>906</v>
      </c>
      <c r="B1466" t="s">
        <v>1497</v>
      </c>
      <c r="C1466" t="str">
        <f>VLOOKUP($A1466,'Customer Names'!$A:$E,4,FALSE)</f>
        <v>Eve</v>
      </c>
      <c r="D1466" t="str">
        <f>VLOOKUP($A1466,'Medical Examinations'!$A:$J,2,FALSE)</f>
        <v>Normal Weight</v>
      </c>
      <c r="E1466">
        <f>VLOOKUP($A1466,'Medical Examinations'!$A:$J,4,FALSE)</f>
        <v>11.37</v>
      </c>
      <c r="F1466" t="str">
        <f>VLOOKUP($A1466,'Medical Examinations'!$A:$J,6,FALSE)</f>
        <v>yes</v>
      </c>
      <c r="G1466" t="str">
        <f>VLOOKUP($A1466,'Medical Examinations'!$A:$J,7,FALSE)</f>
        <v>No</v>
      </c>
      <c r="H1466" t="str">
        <f>VLOOKUP($A1466,'Medical Examinations'!$A:$J,8,FALSE)</f>
        <v>No</v>
      </c>
      <c r="I1466">
        <f>VLOOKUP($A1466,'Medical Examinations'!$A:$J,9,FALSE)</f>
        <v>1</v>
      </c>
      <c r="J1466" t="str">
        <f>VLOOKUP($A1466,'Medical Examinations'!$A:$J,10,FALSE)</f>
        <v>No</v>
      </c>
      <c r="K1466" t="str">
        <f>VLOOKUP($A1466,'Medical Examinations'!$A:$J,5,FALSE)</f>
        <v>Diabetes</v>
      </c>
      <c r="L1466">
        <f>VLOOKUP($A1467,'Medical Examinations'!$A:$J,3,FALSE)</f>
        <v>22.704999999999998</v>
      </c>
      <c r="M1466">
        <f>VLOOKUP($A1466,'Hospitalisation Details'!$A:$K,6,FALSE)</f>
        <v>7175.51</v>
      </c>
      <c r="N1466" s="11">
        <f>VLOOKUP($B1466,'Hospitalisation Details'!A1465:J3809,10,0)</f>
        <v>24712</v>
      </c>
      <c r="O1466" t="str">
        <f>VLOOKUP($B1466,'Hospitalisation Details'!A1465:J3809,8,0)</f>
        <v>tier - 2</v>
      </c>
      <c r="P1466" t="str">
        <f>VLOOKUP($B1466,'Hospitalisation Details'!A1465:J3809,7,0)</f>
        <v>tier - 3</v>
      </c>
      <c r="Q1466" t="str">
        <f>VLOOKUP($B1466,'Hospitalisation Details'!A1465:J3809,9,0)</f>
        <v>R1012</v>
      </c>
      <c r="R1466">
        <f>VLOOKUP($B1466,'Hospitalisation Details'!A1465:K3809,11,0)</f>
        <v>55</v>
      </c>
    </row>
    <row r="1467" spans="1:18" x14ac:dyDescent="0.35">
      <c r="A1467" t="s">
        <v>905</v>
      </c>
      <c r="B1467" t="s">
        <v>1498</v>
      </c>
      <c r="C1467" t="str">
        <f>VLOOKUP($A1467,'Customer Names'!$A:$E,4,FALSE)</f>
        <v>Devin</v>
      </c>
      <c r="D1467" t="str">
        <f>VLOOKUP($A1467,'Medical Examinations'!$A:$J,2,FALSE)</f>
        <v>Normal Weight</v>
      </c>
      <c r="E1467">
        <f>VLOOKUP($A1467,'Medical Examinations'!$A:$J,4,FALSE)</f>
        <v>6.14</v>
      </c>
      <c r="F1467" t="str">
        <f>VLOOKUP($A1467,'Medical Examinations'!$A:$J,6,FALSE)</f>
        <v>No</v>
      </c>
      <c r="G1467" t="str">
        <f>VLOOKUP($A1467,'Medical Examinations'!$A:$J,7,FALSE)</f>
        <v>No</v>
      </c>
      <c r="H1467" t="str">
        <f>VLOOKUP($A1467,'Medical Examinations'!$A:$J,8,FALSE)</f>
        <v>No</v>
      </c>
      <c r="I1467">
        <f>VLOOKUP($A1467,'Medical Examinations'!$A:$J,9,FALSE)</f>
        <v>0</v>
      </c>
      <c r="J1467" t="str">
        <f>VLOOKUP($A1467,'Medical Examinations'!$A:$J,10,FALSE)</f>
        <v>No</v>
      </c>
      <c r="K1467" t="str">
        <f>VLOOKUP($A1467,'Medical Examinations'!$A:$J,5,FALSE)</f>
        <v>Prediabetes</v>
      </c>
      <c r="L1467">
        <f>VLOOKUP($A1468,'Medical Examinations'!$A:$J,3,FALSE)</f>
        <v>37.18</v>
      </c>
      <c r="M1467">
        <f>VLOOKUP($A1467,'Hospitalisation Details'!$A:$K,6,FALSE)</f>
        <v>7173.36</v>
      </c>
      <c r="N1467" s="11">
        <f>VLOOKUP($B1467,'Hospitalisation Details'!A1466:J3810,10,0)</f>
        <v>24427</v>
      </c>
      <c r="O1467" t="str">
        <f>VLOOKUP($B1467,'Hospitalisation Details'!A1466:J3810,8,0)</f>
        <v>tier - 1</v>
      </c>
      <c r="P1467" t="str">
        <f>VLOOKUP($B1467,'Hospitalisation Details'!A1466:J3810,7,0)</f>
        <v>tier - 3</v>
      </c>
      <c r="Q1467" t="str">
        <f>VLOOKUP($B1467,'Hospitalisation Details'!A1466:J3810,9,0)</f>
        <v>R1025</v>
      </c>
      <c r="R1467">
        <f>VLOOKUP($B1467,'Hospitalisation Details'!A1466:K3810,11,0)</f>
        <v>56</v>
      </c>
    </row>
    <row r="1468" spans="1:18" x14ac:dyDescent="0.35">
      <c r="A1468" t="s">
        <v>904</v>
      </c>
      <c r="B1468" t="s">
        <v>1499</v>
      </c>
      <c r="C1468" t="str">
        <f>VLOOKUP($A1468,'Customer Names'!$A:$E,4,FALSE)</f>
        <v>Shaun R</v>
      </c>
      <c r="D1468" t="str">
        <f>VLOOKUP($A1468,'Medical Examinations'!$A:$J,2,FALSE)</f>
        <v>Obesity</v>
      </c>
      <c r="E1468">
        <f>VLOOKUP($A1468,'Medical Examinations'!$A:$J,4,FALSE)</f>
        <v>4.8899999999999997</v>
      </c>
      <c r="F1468" t="str">
        <f>VLOOKUP($A1468,'Medical Examinations'!$A:$J,6,FALSE)</f>
        <v>No</v>
      </c>
      <c r="G1468" t="str">
        <f>VLOOKUP($A1468,'Medical Examinations'!$A:$J,7,FALSE)</f>
        <v>No</v>
      </c>
      <c r="H1468" t="str">
        <f>VLOOKUP($A1468,'Medical Examinations'!$A:$J,8,FALSE)</f>
        <v>No</v>
      </c>
      <c r="I1468">
        <f>VLOOKUP($A1468,'Medical Examinations'!$A:$J,9,FALSE)</f>
        <v>0</v>
      </c>
      <c r="J1468" t="str">
        <f>VLOOKUP($A1468,'Medical Examinations'!$A:$J,10,FALSE)</f>
        <v>No</v>
      </c>
      <c r="K1468" t="str">
        <f>VLOOKUP($A1468,'Medical Examinations'!$A:$J,5,FALSE)</f>
        <v>Normal</v>
      </c>
      <c r="L1468">
        <f>VLOOKUP($A1469,'Medical Examinations'!$A:$J,3,FALSE)</f>
        <v>35.97</v>
      </c>
      <c r="M1468">
        <f>VLOOKUP($A1468,'Hospitalisation Details'!$A:$K,6,FALSE)</f>
        <v>7162.01</v>
      </c>
      <c r="N1468" s="11">
        <f>VLOOKUP($B1468,'Hospitalisation Details'!A1467:J3811,10,0)</f>
        <v>33175</v>
      </c>
      <c r="O1468" t="str">
        <f>VLOOKUP($B1468,'Hospitalisation Details'!A1467:J3811,8,0)</f>
        <v>tier - 1</v>
      </c>
      <c r="P1468" t="str">
        <f>VLOOKUP($B1468,'Hospitalisation Details'!A1467:J3811,7,0)</f>
        <v>tier - 3</v>
      </c>
      <c r="Q1468" t="str">
        <f>VLOOKUP($B1468,'Hospitalisation Details'!A1467:J3811,9,0)</f>
        <v>R1011</v>
      </c>
      <c r="R1468">
        <f>VLOOKUP($B1468,'Hospitalisation Details'!A1467:K3811,11,0)</f>
        <v>32</v>
      </c>
    </row>
    <row r="1469" spans="1:18" x14ac:dyDescent="0.35">
      <c r="A1469" t="s">
        <v>903</v>
      </c>
      <c r="B1469" t="s">
        <v>1500</v>
      </c>
      <c r="C1469" t="str">
        <f>VLOOKUP($A1469,'Customer Names'!$A:$E,4,FALSE)</f>
        <v>Adrian</v>
      </c>
      <c r="D1469" t="str">
        <f>VLOOKUP($A1469,'Medical Examinations'!$A:$J,2,FALSE)</f>
        <v>Obesity</v>
      </c>
      <c r="E1469">
        <f>VLOOKUP($A1469,'Medical Examinations'!$A:$J,4,FALSE)</f>
        <v>4.5999999999999996</v>
      </c>
      <c r="F1469" t="str">
        <f>VLOOKUP($A1469,'Medical Examinations'!$A:$J,6,FALSE)</f>
        <v>No</v>
      </c>
      <c r="G1469" t="str">
        <f>VLOOKUP($A1469,'Medical Examinations'!$A:$J,7,FALSE)</f>
        <v>No</v>
      </c>
      <c r="H1469" t="str">
        <f>VLOOKUP($A1469,'Medical Examinations'!$A:$J,8,FALSE)</f>
        <v>No</v>
      </c>
      <c r="I1469">
        <f>VLOOKUP($A1469,'Medical Examinations'!$A:$J,9,FALSE)</f>
        <v>0</v>
      </c>
      <c r="J1469" t="str">
        <f>VLOOKUP($A1469,'Medical Examinations'!$A:$J,10,FALSE)</f>
        <v>No</v>
      </c>
      <c r="K1469" t="str">
        <f>VLOOKUP($A1469,'Medical Examinations'!$A:$J,5,FALSE)</f>
        <v>Normal</v>
      </c>
      <c r="L1469">
        <f>VLOOKUP($A1470,'Medical Examinations'!$A:$J,3,FALSE)</f>
        <v>35.799999999999997</v>
      </c>
      <c r="M1469">
        <f>VLOOKUP($A1469,'Hospitalisation Details'!$A:$K,6,FALSE)</f>
        <v>7160.33</v>
      </c>
      <c r="N1469" s="11">
        <f>VLOOKUP($B1469,'Hospitalisation Details'!A1468:J3812,10,0)</f>
        <v>23312</v>
      </c>
      <c r="O1469" t="str">
        <f>VLOOKUP($B1469,'Hospitalisation Details'!A1468:J3812,8,0)</f>
        <v>tier - 1</v>
      </c>
      <c r="P1469" t="str">
        <f>VLOOKUP($B1469,'Hospitalisation Details'!A1468:J3812,7,0)</f>
        <v>tier - 3</v>
      </c>
      <c r="Q1469" t="str">
        <f>VLOOKUP($B1469,'Hospitalisation Details'!A1468:J3812,9,0)</f>
        <v>R1025</v>
      </c>
      <c r="R1469">
        <f>VLOOKUP($B1469,'Hospitalisation Details'!A1468:K3812,11,0)</f>
        <v>59</v>
      </c>
    </row>
    <row r="1470" spans="1:18" x14ac:dyDescent="0.35">
      <c r="A1470" t="s">
        <v>902</v>
      </c>
      <c r="B1470" t="s">
        <v>1501</v>
      </c>
      <c r="C1470" t="str">
        <f>VLOOKUP($A1470,'Customer Names'!$A:$E,4,FALSE)</f>
        <v>Andrew</v>
      </c>
      <c r="D1470" t="str">
        <f>VLOOKUP($A1470,'Medical Examinations'!$A:$J,2,FALSE)</f>
        <v>Obesity</v>
      </c>
      <c r="E1470">
        <f>VLOOKUP($A1470,'Medical Examinations'!$A:$J,4,FALSE)</f>
        <v>4.42</v>
      </c>
      <c r="F1470" t="str">
        <f>VLOOKUP($A1470,'Medical Examinations'!$A:$J,6,FALSE)</f>
        <v>No</v>
      </c>
      <c r="G1470" t="str">
        <f>VLOOKUP($A1470,'Medical Examinations'!$A:$J,7,FALSE)</f>
        <v>No</v>
      </c>
      <c r="H1470" t="str">
        <f>VLOOKUP($A1470,'Medical Examinations'!$A:$J,8,FALSE)</f>
        <v>No</v>
      </c>
      <c r="I1470">
        <f>VLOOKUP($A1470,'Medical Examinations'!$A:$J,9,FALSE)</f>
        <v>0</v>
      </c>
      <c r="J1470" t="str">
        <f>VLOOKUP($A1470,'Medical Examinations'!$A:$J,10,FALSE)</f>
        <v>No</v>
      </c>
      <c r="K1470" t="str">
        <f>VLOOKUP($A1470,'Medical Examinations'!$A:$J,5,FALSE)</f>
        <v>Normal</v>
      </c>
      <c r="L1470">
        <f>VLOOKUP($A1471,'Medical Examinations'!$A:$J,3,FALSE)</f>
        <v>28.31</v>
      </c>
      <c r="M1470">
        <f>VLOOKUP($A1470,'Hospitalisation Details'!$A:$K,6,FALSE)</f>
        <v>7160.09</v>
      </c>
      <c r="N1470" s="11">
        <f>VLOOKUP($B1470,'Hospitalisation Details'!A1469:J3813,10,0)</f>
        <v>23252</v>
      </c>
      <c r="O1470" t="str">
        <f>VLOOKUP($B1470,'Hospitalisation Details'!A1469:J3813,8,0)</f>
        <v>tier - 3</v>
      </c>
      <c r="P1470" t="str">
        <f>VLOOKUP($B1470,'Hospitalisation Details'!A1469:J3813,7,0)</f>
        <v>tier - 3</v>
      </c>
      <c r="Q1470" t="str">
        <f>VLOOKUP($B1470,'Hospitalisation Details'!A1469:J3813,9,0)</f>
        <v>R1017</v>
      </c>
      <c r="R1470">
        <f>VLOOKUP($B1470,'Hospitalisation Details'!A1469:K3813,11,0)</f>
        <v>59</v>
      </c>
    </row>
    <row r="1471" spans="1:18" x14ac:dyDescent="0.35">
      <c r="A1471" t="s">
        <v>901</v>
      </c>
      <c r="B1471" t="s">
        <v>1502</v>
      </c>
      <c r="C1471" t="str">
        <f>VLOOKUP($A1471,'Customer Names'!$A:$E,4,FALSE)</f>
        <v>Mallory</v>
      </c>
      <c r="D1471" t="str">
        <f>VLOOKUP($A1471,'Medical Examinations'!$A:$J,2,FALSE)</f>
        <v>Overweight</v>
      </c>
      <c r="E1471">
        <f>VLOOKUP($A1471,'Medical Examinations'!$A:$J,4,FALSE)</f>
        <v>7.48</v>
      </c>
      <c r="F1471" t="str">
        <f>VLOOKUP($A1471,'Medical Examinations'!$A:$J,6,FALSE)</f>
        <v>yes</v>
      </c>
      <c r="G1471" t="str">
        <f>VLOOKUP($A1471,'Medical Examinations'!$A:$J,7,FALSE)</f>
        <v>No</v>
      </c>
      <c r="H1471" t="str">
        <f>VLOOKUP($A1471,'Medical Examinations'!$A:$J,8,FALSE)</f>
        <v>No</v>
      </c>
      <c r="I1471">
        <f>VLOOKUP($A1471,'Medical Examinations'!$A:$J,9,FALSE)</f>
        <v>0</v>
      </c>
      <c r="J1471" t="str">
        <f>VLOOKUP($A1471,'Medical Examinations'!$A:$J,10,FALSE)</f>
        <v>No</v>
      </c>
      <c r="K1471" t="str">
        <f>VLOOKUP($A1471,'Medical Examinations'!$A:$J,5,FALSE)</f>
        <v>Diabetes</v>
      </c>
      <c r="L1471">
        <f>VLOOKUP($A1472,'Medical Examinations'!$A:$J,3,FALSE)</f>
        <v>38.06</v>
      </c>
      <c r="M1471">
        <f>VLOOKUP($A1471,'Hospitalisation Details'!$A:$K,6,FALSE)</f>
        <v>7153.55</v>
      </c>
      <c r="N1471" s="11">
        <f>VLOOKUP($B1471,'Hospitalisation Details'!A1470:J3814,10,0)</f>
        <v>23225</v>
      </c>
      <c r="O1471" t="str">
        <f>VLOOKUP($B1471,'Hospitalisation Details'!A1470:J3814,8,0)</f>
        <v>tier - 2</v>
      </c>
      <c r="P1471" t="str">
        <f>VLOOKUP($B1471,'Hospitalisation Details'!A1470:J3814,7,0)</f>
        <v>tier - 3</v>
      </c>
      <c r="Q1471" t="str">
        <f>VLOOKUP($B1471,'Hospitalisation Details'!A1470:J3814,9,0)</f>
        <v>R1011</v>
      </c>
      <c r="R1471">
        <f>VLOOKUP($B1471,'Hospitalisation Details'!A1470:K3814,11,0)</f>
        <v>59</v>
      </c>
    </row>
    <row r="1472" spans="1:18" x14ac:dyDescent="0.35">
      <c r="A1472" t="s">
        <v>900</v>
      </c>
      <c r="B1472" t="s">
        <v>1503</v>
      </c>
      <c r="C1472" t="str">
        <f>VLOOKUP($A1472,'Customer Names'!$A:$E,4,FALSE)</f>
        <v>Shawn E</v>
      </c>
      <c r="D1472" t="str">
        <f>VLOOKUP($A1472,'Medical Examinations'!$A:$J,2,FALSE)</f>
        <v>Obesity</v>
      </c>
      <c r="E1472">
        <f>VLOOKUP($A1472,'Medical Examinations'!$A:$J,4,FALSE)</f>
        <v>10.74</v>
      </c>
      <c r="F1472" t="str">
        <f>VLOOKUP($A1472,'Medical Examinations'!$A:$J,6,FALSE)</f>
        <v>No</v>
      </c>
      <c r="G1472" t="str">
        <f>VLOOKUP($A1472,'Medical Examinations'!$A:$J,7,FALSE)</f>
        <v>No</v>
      </c>
      <c r="H1472" t="str">
        <f>VLOOKUP($A1472,'Medical Examinations'!$A:$J,8,FALSE)</f>
        <v>No</v>
      </c>
      <c r="I1472">
        <f>VLOOKUP($A1472,'Medical Examinations'!$A:$J,9,FALSE)</f>
        <v>0</v>
      </c>
      <c r="J1472" t="str">
        <f>VLOOKUP($A1472,'Medical Examinations'!$A:$J,10,FALSE)</f>
        <v>No</v>
      </c>
      <c r="K1472" t="str">
        <f>VLOOKUP($A1472,'Medical Examinations'!$A:$J,5,FALSE)</f>
        <v>Diabetes</v>
      </c>
      <c r="L1472">
        <f>VLOOKUP($A1473,'Medical Examinations'!$A:$J,3,FALSE)</f>
        <v>28</v>
      </c>
      <c r="M1472">
        <f>VLOOKUP($A1472,'Hospitalisation Details'!$A:$K,6,FALSE)</f>
        <v>7152.67</v>
      </c>
      <c r="N1472" s="11">
        <f>VLOOKUP($B1472,'Hospitalisation Details'!A1471:J3815,10,0)</f>
        <v>23276</v>
      </c>
      <c r="O1472" t="str">
        <f>VLOOKUP($B1472,'Hospitalisation Details'!A1471:J3815,8,0)</f>
        <v>tier - 3</v>
      </c>
      <c r="P1472" t="str">
        <f>VLOOKUP($B1472,'Hospitalisation Details'!A1471:J3815,7,0)</f>
        <v>tier - 3</v>
      </c>
      <c r="Q1472" t="str">
        <f>VLOOKUP($B1472,'Hospitalisation Details'!A1471:J3815,9,0)</f>
        <v>R1011</v>
      </c>
      <c r="R1472">
        <f>VLOOKUP($B1472,'Hospitalisation Details'!A1471:K3815,11,0)</f>
        <v>59</v>
      </c>
    </row>
    <row r="1473" spans="1:18" x14ac:dyDescent="0.35">
      <c r="A1473" t="s">
        <v>899</v>
      </c>
      <c r="B1473" t="s">
        <v>1504</v>
      </c>
      <c r="C1473" t="str">
        <f>VLOOKUP($A1473,'Customer Names'!$A:$E,4,FALSE)</f>
        <v>Sarah E</v>
      </c>
      <c r="D1473" t="str">
        <f>VLOOKUP($A1473,'Medical Examinations'!$A:$J,2,FALSE)</f>
        <v>Overweight</v>
      </c>
      <c r="E1473">
        <f>VLOOKUP($A1473,'Medical Examinations'!$A:$J,4,FALSE)</f>
        <v>5.19</v>
      </c>
      <c r="F1473" t="str">
        <f>VLOOKUP($A1473,'Medical Examinations'!$A:$J,6,FALSE)</f>
        <v>No</v>
      </c>
      <c r="G1473" t="str">
        <f>VLOOKUP($A1473,'Medical Examinations'!$A:$J,7,FALSE)</f>
        <v>No</v>
      </c>
      <c r="H1473" t="str">
        <f>VLOOKUP($A1473,'Medical Examinations'!$A:$J,8,FALSE)</f>
        <v>No</v>
      </c>
      <c r="I1473">
        <f>VLOOKUP($A1473,'Medical Examinations'!$A:$J,9,FALSE)</f>
        <v>1</v>
      </c>
      <c r="J1473" t="str">
        <f>VLOOKUP($A1473,'Medical Examinations'!$A:$J,10,FALSE)</f>
        <v>No</v>
      </c>
      <c r="K1473" t="str">
        <f>VLOOKUP($A1473,'Medical Examinations'!$A:$J,5,FALSE)</f>
        <v>Normal</v>
      </c>
      <c r="L1473">
        <f>VLOOKUP($A1474,'Medical Examinations'!$A:$J,3,FALSE)</f>
        <v>34.32</v>
      </c>
      <c r="M1473">
        <f>VLOOKUP($A1473,'Hospitalisation Details'!$A:$K,6,FALSE)</f>
        <v>7151.09</v>
      </c>
      <c r="N1473" s="11">
        <f>VLOOKUP($B1473,'Hospitalisation Details'!A1472:J3816,10,0)</f>
        <v>24470</v>
      </c>
      <c r="O1473" t="str">
        <f>VLOOKUP($B1473,'Hospitalisation Details'!A1472:J3816,8,0)</f>
        <v>tier - 3</v>
      </c>
      <c r="P1473" t="str">
        <f>VLOOKUP($B1473,'Hospitalisation Details'!A1472:J3816,7,0)</f>
        <v>tier - 3</v>
      </c>
      <c r="Q1473" t="str">
        <f>VLOOKUP($B1473,'Hospitalisation Details'!A1472:J3816,9,0)</f>
        <v>R1011</v>
      </c>
      <c r="R1473">
        <f>VLOOKUP($B1473,'Hospitalisation Details'!A1472:K3816,11,0)</f>
        <v>56</v>
      </c>
    </row>
    <row r="1474" spans="1:18" x14ac:dyDescent="0.35">
      <c r="A1474" t="s">
        <v>898</v>
      </c>
      <c r="B1474" t="s">
        <v>1505</v>
      </c>
      <c r="C1474" t="str">
        <f>VLOOKUP($A1474,'Customer Names'!$A:$E,4,FALSE)</f>
        <v>Josh</v>
      </c>
      <c r="D1474" t="str">
        <f>VLOOKUP($A1474,'Medical Examinations'!$A:$J,2,FALSE)</f>
        <v>Obesity</v>
      </c>
      <c r="E1474">
        <f>VLOOKUP($A1474,'Medical Examinations'!$A:$J,4,FALSE)</f>
        <v>9.17</v>
      </c>
      <c r="F1474" t="str">
        <f>VLOOKUP($A1474,'Medical Examinations'!$A:$J,6,FALSE)</f>
        <v>No</v>
      </c>
      <c r="G1474" t="str">
        <f>VLOOKUP($A1474,'Medical Examinations'!$A:$J,7,FALSE)</f>
        <v>No</v>
      </c>
      <c r="H1474" t="str">
        <f>VLOOKUP($A1474,'Medical Examinations'!$A:$J,8,FALSE)</f>
        <v>No</v>
      </c>
      <c r="I1474">
        <f>VLOOKUP($A1474,'Medical Examinations'!$A:$J,9,FALSE)</f>
        <v>0</v>
      </c>
      <c r="J1474" t="str">
        <f>VLOOKUP($A1474,'Medical Examinations'!$A:$J,10,FALSE)</f>
        <v>No</v>
      </c>
      <c r="K1474" t="str">
        <f>VLOOKUP($A1474,'Medical Examinations'!$A:$J,5,FALSE)</f>
        <v>Diabetes</v>
      </c>
      <c r="L1474">
        <f>VLOOKUP($A1475,'Medical Examinations'!$A:$J,3,FALSE)</f>
        <v>22.3</v>
      </c>
      <c r="M1474">
        <f>VLOOKUP($A1474,'Hospitalisation Details'!$A:$K,6,FALSE)</f>
        <v>7147.47</v>
      </c>
      <c r="N1474" s="11">
        <f>VLOOKUP($B1474,'Hospitalisation Details'!A1473:J3817,10,0)</f>
        <v>22915</v>
      </c>
      <c r="O1474" t="str">
        <f>VLOOKUP($B1474,'Hospitalisation Details'!A1473:J3817,8,0)</f>
        <v>tier - 2</v>
      </c>
      <c r="P1474" t="str">
        <f>VLOOKUP($B1474,'Hospitalisation Details'!A1473:J3817,7,0)</f>
        <v>tier - 3</v>
      </c>
      <c r="Q1474" t="str">
        <f>VLOOKUP($B1474,'Hospitalisation Details'!A1473:J3817,9,0)</f>
        <v>R1024</v>
      </c>
      <c r="R1474">
        <f>VLOOKUP($B1474,'Hospitalisation Details'!A1473:K3817,11,0)</f>
        <v>60</v>
      </c>
    </row>
    <row r="1475" spans="1:18" x14ac:dyDescent="0.35">
      <c r="A1475" t="s">
        <v>897</v>
      </c>
      <c r="B1475" t="s">
        <v>1506</v>
      </c>
      <c r="C1475" t="str">
        <f>VLOOKUP($A1475,'Customer Names'!$A:$E,4,FALSE)</f>
        <v>Johann A</v>
      </c>
      <c r="D1475" t="str">
        <f>VLOOKUP($A1475,'Medical Examinations'!$A:$J,2,FALSE)</f>
        <v>Normal Weight</v>
      </c>
      <c r="E1475">
        <f>VLOOKUP($A1475,'Medical Examinations'!$A:$J,4,FALSE)</f>
        <v>4.95</v>
      </c>
      <c r="F1475" t="str">
        <f>VLOOKUP($A1475,'Medical Examinations'!$A:$J,6,FALSE)</f>
        <v>yes</v>
      </c>
      <c r="G1475" t="str">
        <f>VLOOKUP($A1475,'Medical Examinations'!$A:$J,7,FALSE)</f>
        <v>No</v>
      </c>
      <c r="H1475" t="str">
        <f>VLOOKUP($A1475,'Medical Examinations'!$A:$J,8,FALSE)</f>
        <v>No</v>
      </c>
      <c r="I1475">
        <f>VLOOKUP($A1475,'Medical Examinations'!$A:$J,9,FALSE)</f>
        <v>0</v>
      </c>
      <c r="J1475" t="str">
        <f>VLOOKUP($A1475,'Medical Examinations'!$A:$J,10,FALSE)</f>
        <v>No</v>
      </c>
      <c r="K1475" t="str">
        <f>VLOOKUP($A1475,'Medical Examinations'!$A:$J,5,FALSE)</f>
        <v>Normal</v>
      </c>
      <c r="L1475">
        <f>VLOOKUP($A1476,'Medical Examinations'!$A:$J,3,FALSE)</f>
        <v>27.835000000000001</v>
      </c>
      <c r="M1475">
        <f>VLOOKUP($A1475,'Hospitalisation Details'!$A:$K,6,FALSE)</f>
        <v>7147.11</v>
      </c>
      <c r="N1475" s="11">
        <f>VLOOKUP($B1475,'Hospitalisation Details'!A1474:J3818,10,0)</f>
        <v>32871</v>
      </c>
      <c r="O1475" t="str">
        <f>VLOOKUP($B1475,'Hospitalisation Details'!A1474:J3818,8,0)</f>
        <v>tier - 3</v>
      </c>
      <c r="P1475" t="str">
        <f>VLOOKUP($B1475,'Hospitalisation Details'!A1474:J3818,7,0)</f>
        <v>tier - 3</v>
      </c>
      <c r="Q1475" t="str">
        <f>VLOOKUP($B1475,'Hospitalisation Details'!A1474:J3818,9,0)</f>
        <v>R1016</v>
      </c>
      <c r="R1475">
        <f>VLOOKUP($B1475,'Hospitalisation Details'!A1474:K3818,11,0)</f>
        <v>33</v>
      </c>
    </row>
    <row r="1476" spans="1:18" x14ac:dyDescent="0.35">
      <c r="A1476" t="s">
        <v>896</v>
      </c>
      <c r="B1476" t="s">
        <v>1507</v>
      </c>
      <c r="C1476" t="str">
        <f>VLOOKUP($A1476,'Customer Names'!$A:$E,4,FALSE)</f>
        <v>Robin M.</v>
      </c>
      <c r="D1476" t="str">
        <f>VLOOKUP($A1476,'Medical Examinations'!$A:$J,2,FALSE)</f>
        <v>Overweight</v>
      </c>
      <c r="E1476">
        <f>VLOOKUP($A1476,'Medical Examinations'!$A:$J,4,FALSE)</f>
        <v>6.03</v>
      </c>
      <c r="F1476" t="str">
        <f>VLOOKUP($A1476,'Medical Examinations'!$A:$J,6,FALSE)</f>
        <v>No</v>
      </c>
      <c r="G1476" t="str">
        <f>VLOOKUP($A1476,'Medical Examinations'!$A:$J,7,FALSE)</f>
        <v>No</v>
      </c>
      <c r="H1476" t="str">
        <f>VLOOKUP($A1476,'Medical Examinations'!$A:$J,8,FALSE)</f>
        <v>No</v>
      </c>
      <c r="I1476">
        <f>VLOOKUP($A1476,'Medical Examinations'!$A:$J,9,FALSE)</f>
        <v>1</v>
      </c>
      <c r="J1476" t="str">
        <f>VLOOKUP($A1476,'Medical Examinations'!$A:$J,10,FALSE)</f>
        <v>No</v>
      </c>
      <c r="K1476" t="str">
        <f>VLOOKUP($A1476,'Medical Examinations'!$A:$J,5,FALSE)</f>
        <v>Prediabetes</v>
      </c>
      <c r="L1476">
        <f>VLOOKUP($A1477,'Medical Examinations'!$A:$J,3,FALSE)</f>
        <v>39.229999999999997</v>
      </c>
      <c r="M1476">
        <f>VLOOKUP($A1476,'Hospitalisation Details'!$A:$K,6,FALSE)</f>
        <v>7144.86</v>
      </c>
      <c r="N1476" s="11">
        <f>VLOOKUP($B1476,'Hospitalisation Details'!A1475:J3819,10,0)</f>
        <v>26532</v>
      </c>
      <c r="O1476" t="str">
        <f>VLOOKUP($B1476,'Hospitalisation Details'!A1475:J3819,8,0)</f>
        <v>tier - 2</v>
      </c>
      <c r="P1476" t="str">
        <f>VLOOKUP($B1476,'Hospitalisation Details'!A1475:J3819,7,0)</f>
        <v>tier - 3</v>
      </c>
      <c r="Q1476" t="str">
        <f>VLOOKUP($B1476,'Hospitalisation Details'!A1475:J3819,9,0)</f>
        <v>R1021</v>
      </c>
      <c r="R1476">
        <f>VLOOKUP($B1476,'Hospitalisation Details'!A1475:K3819,11,0)</f>
        <v>50</v>
      </c>
    </row>
    <row r="1477" spans="1:18" x14ac:dyDescent="0.35">
      <c r="A1477" t="s">
        <v>895</v>
      </c>
      <c r="B1477" t="s">
        <v>1508</v>
      </c>
      <c r="C1477" t="str">
        <f>VLOOKUP($A1477,'Customer Names'!$A:$E,4,FALSE)</f>
        <v>Kyle K</v>
      </c>
      <c r="D1477" t="str">
        <f>VLOOKUP($A1477,'Medical Examinations'!$A:$J,2,FALSE)</f>
        <v>Obesity</v>
      </c>
      <c r="E1477">
        <f>VLOOKUP($A1477,'Medical Examinations'!$A:$J,4,FALSE)</f>
        <v>5.36</v>
      </c>
      <c r="F1477" t="str">
        <f>VLOOKUP($A1477,'Medical Examinations'!$A:$J,6,FALSE)</f>
        <v>No</v>
      </c>
      <c r="G1477" t="str">
        <f>VLOOKUP($A1477,'Medical Examinations'!$A:$J,7,FALSE)</f>
        <v>No</v>
      </c>
      <c r="H1477" t="str">
        <f>VLOOKUP($A1477,'Medical Examinations'!$A:$J,8,FALSE)</f>
        <v>No</v>
      </c>
      <c r="I1477">
        <f>VLOOKUP($A1477,'Medical Examinations'!$A:$J,9,FALSE)</f>
        <v>0</v>
      </c>
      <c r="J1477" t="str">
        <f>VLOOKUP($A1477,'Medical Examinations'!$A:$J,10,FALSE)</f>
        <v>No</v>
      </c>
      <c r="K1477" t="str">
        <f>VLOOKUP($A1477,'Medical Examinations'!$A:$J,5,FALSE)</f>
        <v>Normal</v>
      </c>
      <c r="L1477">
        <f>VLOOKUP($A1478,'Medical Examinations'!$A:$J,3,FALSE)</f>
        <v>19.95</v>
      </c>
      <c r="M1477">
        <f>VLOOKUP($A1477,'Hospitalisation Details'!$A:$K,6,FALSE)</f>
        <v>7144.4</v>
      </c>
      <c r="N1477" s="11">
        <f>VLOOKUP($B1477,'Hospitalisation Details'!A1476:J3820,10,0)</f>
        <v>29050</v>
      </c>
      <c r="O1477" t="str">
        <f>VLOOKUP($B1477,'Hospitalisation Details'!A1476:J3820,8,0)</f>
        <v>tier - 1</v>
      </c>
      <c r="P1477" t="str">
        <f>VLOOKUP($B1477,'Hospitalisation Details'!A1476:J3820,7,0)</f>
        <v>tier - 3</v>
      </c>
      <c r="Q1477" t="str">
        <f>VLOOKUP($B1477,'Hospitalisation Details'!A1476:J3820,9,0)</f>
        <v>R1022</v>
      </c>
      <c r="R1477">
        <f>VLOOKUP($B1477,'Hospitalisation Details'!A1476:K3820,11,0)</f>
        <v>43</v>
      </c>
    </row>
    <row r="1478" spans="1:18" x14ac:dyDescent="0.35">
      <c r="A1478" t="s">
        <v>894</v>
      </c>
      <c r="B1478" t="s">
        <v>1509</v>
      </c>
      <c r="C1478" t="str">
        <f>VLOOKUP($A1478,'Customer Names'!$A:$E,4,FALSE)</f>
        <v>Alison</v>
      </c>
      <c r="D1478" t="str">
        <f>VLOOKUP($A1478,'Medical Examinations'!$A:$J,2,FALSE)</f>
        <v>Normal Weight</v>
      </c>
      <c r="E1478">
        <f>VLOOKUP($A1478,'Medical Examinations'!$A:$J,4,FALSE)</f>
        <v>6.11</v>
      </c>
      <c r="F1478" t="str">
        <f>VLOOKUP($A1478,'Medical Examinations'!$A:$J,6,FALSE)</f>
        <v>No</v>
      </c>
      <c r="G1478" t="str">
        <f>VLOOKUP($A1478,'Medical Examinations'!$A:$J,7,FALSE)</f>
        <v>No</v>
      </c>
      <c r="H1478" t="str">
        <f>VLOOKUP($A1478,'Medical Examinations'!$A:$J,8,FALSE)</f>
        <v>No</v>
      </c>
      <c r="I1478">
        <f>VLOOKUP($A1478,'Medical Examinations'!$A:$J,9,FALSE)</f>
        <v>1</v>
      </c>
      <c r="J1478" t="str">
        <f>VLOOKUP($A1478,'Medical Examinations'!$A:$J,10,FALSE)</f>
        <v>No</v>
      </c>
      <c r="K1478" t="str">
        <f>VLOOKUP($A1478,'Medical Examinations'!$A:$J,5,FALSE)</f>
        <v>Prediabetes</v>
      </c>
      <c r="L1478">
        <f>VLOOKUP($A1479,'Medical Examinations'!$A:$J,3,FALSE)</f>
        <v>34.64</v>
      </c>
      <c r="M1478">
        <f>VLOOKUP($A1478,'Hospitalisation Details'!$A:$K,6,FALSE)</f>
        <v>7133.9</v>
      </c>
      <c r="N1478" s="11">
        <f>VLOOKUP($B1478,'Hospitalisation Details'!A1477:J3821,10,0)</f>
        <v>23593</v>
      </c>
      <c r="O1478" t="str">
        <f>VLOOKUP($B1478,'Hospitalisation Details'!A1477:J3821,8,0)</f>
        <v>tier - 3</v>
      </c>
      <c r="P1478" t="str">
        <f>VLOOKUP($B1478,'Hospitalisation Details'!A1477:J3821,7,0)</f>
        <v>tier - 3</v>
      </c>
      <c r="Q1478" t="str">
        <f>VLOOKUP($B1478,'Hospitalisation Details'!A1477:J3821,9,0)</f>
        <v>R1024</v>
      </c>
      <c r="R1478">
        <f>VLOOKUP($B1478,'Hospitalisation Details'!A1477:K3821,11,0)</f>
        <v>58</v>
      </c>
    </row>
    <row r="1479" spans="1:18" x14ac:dyDescent="0.35">
      <c r="A1479" t="s">
        <v>893</v>
      </c>
      <c r="B1479" t="s">
        <v>1510</v>
      </c>
      <c r="C1479" t="str">
        <f>VLOOKUP($A1479,'Customer Names'!$A:$E,4,FALSE)</f>
        <v>Michael A.</v>
      </c>
      <c r="D1479" t="str">
        <f>VLOOKUP($A1479,'Medical Examinations'!$A:$J,2,FALSE)</f>
        <v>Obesity</v>
      </c>
      <c r="E1479">
        <f>VLOOKUP($A1479,'Medical Examinations'!$A:$J,4,FALSE)</f>
        <v>4.88</v>
      </c>
      <c r="F1479" t="str">
        <f>VLOOKUP($A1479,'Medical Examinations'!$A:$J,6,FALSE)</f>
        <v>No</v>
      </c>
      <c r="G1479" t="str">
        <f>VLOOKUP($A1479,'Medical Examinations'!$A:$J,7,FALSE)</f>
        <v>No</v>
      </c>
      <c r="H1479" t="str">
        <f>VLOOKUP($A1479,'Medical Examinations'!$A:$J,8,FALSE)</f>
        <v>Yes</v>
      </c>
      <c r="I1479">
        <f>VLOOKUP($A1479,'Medical Examinations'!$A:$J,9,FALSE)</f>
        <v>1</v>
      </c>
      <c r="J1479" t="str">
        <f>VLOOKUP($A1479,'Medical Examinations'!$A:$J,10,FALSE)</f>
        <v>No</v>
      </c>
      <c r="K1479" t="str">
        <f>VLOOKUP($A1479,'Medical Examinations'!$A:$J,5,FALSE)</f>
        <v>Normal</v>
      </c>
      <c r="L1479">
        <f>VLOOKUP($A1480,'Medical Examinations'!$A:$J,3,FALSE)</f>
        <v>18.75</v>
      </c>
      <c r="M1479">
        <f>VLOOKUP($A1479,'Hospitalisation Details'!$A:$K,6,FALSE)</f>
        <v>7128.64</v>
      </c>
      <c r="N1479" s="11">
        <f>VLOOKUP($B1479,'Hospitalisation Details'!A1478:J3822,10,0)</f>
        <v>34920</v>
      </c>
      <c r="O1479" t="str">
        <f>VLOOKUP($B1479,'Hospitalisation Details'!A1478:J3822,8,0)</f>
        <v>tier - 3</v>
      </c>
      <c r="P1479" t="str">
        <f>VLOOKUP($B1479,'Hospitalisation Details'!A1478:J3822,7,0)</f>
        <v>tier - 3</v>
      </c>
      <c r="Q1479" t="str">
        <f>VLOOKUP($B1479,'Hospitalisation Details'!A1478:J3822,9,0)</f>
        <v>R1012</v>
      </c>
      <c r="R1479">
        <f>VLOOKUP($B1479,'Hospitalisation Details'!A1478:K3822,11,0)</f>
        <v>27</v>
      </c>
    </row>
    <row r="1480" spans="1:18" x14ac:dyDescent="0.35">
      <c r="A1480" t="s">
        <v>892</v>
      </c>
      <c r="B1480" t="s">
        <v>1511</v>
      </c>
      <c r="C1480" t="str">
        <f>VLOOKUP($A1480,'Customer Names'!$A:$E,4,FALSE)</f>
        <v>Byron A</v>
      </c>
      <c r="D1480" t="str">
        <f>VLOOKUP($A1480,'Medical Examinations'!$A:$J,2,FALSE)</f>
        <v>Normal Weight</v>
      </c>
      <c r="E1480">
        <f>VLOOKUP($A1480,'Medical Examinations'!$A:$J,4,FALSE)</f>
        <v>6.72</v>
      </c>
      <c r="F1480" t="str">
        <f>VLOOKUP($A1480,'Medical Examinations'!$A:$J,6,FALSE)</f>
        <v>No</v>
      </c>
      <c r="G1480" t="str">
        <f>VLOOKUP($A1480,'Medical Examinations'!$A:$J,7,FALSE)</f>
        <v>No</v>
      </c>
      <c r="H1480" t="str">
        <f>VLOOKUP($A1480,'Medical Examinations'!$A:$J,8,FALSE)</f>
        <v>No</v>
      </c>
      <c r="I1480">
        <f>VLOOKUP($A1480,'Medical Examinations'!$A:$J,9,FALSE)</f>
        <v>0</v>
      </c>
      <c r="J1480" t="str">
        <f>VLOOKUP($A1480,'Medical Examinations'!$A:$J,10,FALSE)</f>
        <v>No</v>
      </c>
      <c r="K1480" t="str">
        <f>VLOOKUP($A1480,'Medical Examinations'!$A:$J,5,FALSE)</f>
        <v>Diabetes</v>
      </c>
      <c r="L1480">
        <f>VLOOKUP($A1481,'Medical Examinations'!$A:$J,3,FALSE)</f>
        <v>26.48</v>
      </c>
      <c r="M1480">
        <f>VLOOKUP($A1480,'Hospitalisation Details'!$A:$K,6,FALSE)</f>
        <v>7125.25</v>
      </c>
      <c r="N1480" s="11">
        <f>VLOOKUP($B1480,'Hospitalisation Details'!A1479:J3823,10,0)</f>
        <v>25168</v>
      </c>
      <c r="O1480" t="str">
        <f>VLOOKUP($B1480,'Hospitalisation Details'!A1479:J3823,8,0)</f>
        <v>tier - 1</v>
      </c>
      <c r="P1480" t="str">
        <f>VLOOKUP($B1480,'Hospitalisation Details'!A1479:J3823,7,0)</f>
        <v>tier - 3</v>
      </c>
      <c r="Q1480" t="str">
        <f>VLOOKUP($B1480,'Hospitalisation Details'!A1479:J3823,9,0)</f>
        <v>R1012</v>
      </c>
      <c r="R1480">
        <f>VLOOKUP($B1480,'Hospitalisation Details'!A1479:K3823,11,0)</f>
        <v>54</v>
      </c>
    </row>
    <row r="1481" spans="1:18" x14ac:dyDescent="0.35">
      <c r="A1481" t="s">
        <v>891</v>
      </c>
      <c r="B1481" t="s">
        <v>1512</v>
      </c>
      <c r="C1481" t="str">
        <f>VLOOKUP($A1481,'Customer Names'!$A:$E,4,FALSE)</f>
        <v>Carine A</v>
      </c>
      <c r="D1481" t="str">
        <f>VLOOKUP($A1481,'Medical Examinations'!$A:$J,2,FALSE)</f>
        <v>Overweight</v>
      </c>
      <c r="E1481">
        <f>VLOOKUP($A1481,'Medical Examinations'!$A:$J,4,FALSE)</f>
        <v>4.2</v>
      </c>
      <c r="F1481" t="str">
        <f>VLOOKUP($A1481,'Medical Examinations'!$A:$J,6,FALSE)</f>
        <v>No</v>
      </c>
      <c r="G1481" t="str">
        <f>VLOOKUP($A1481,'Medical Examinations'!$A:$J,7,FALSE)</f>
        <v>No</v>
      </c>
      <c r="H1481" t="str">
        <f>VLOOKUP($A1481,'Medical Examinations'!$A:$J,8,FALSE)</f>
        <v>No</v>
      </c>
      <c r="I1481">
        <f>VLOOKUP($A1481,'Medical Examinations'!$A:$J,9,FALSE)</f>
        <v>1</v>
      </c>
      <c r="J1481" t="str">
        <f>VLOOKUP($A1481,'Medical Examinations'!$A:$J,10,FALSE)</f>
        <v>No</v>
      </c>
      <c r="K1481" t="str">
        <f>VLOOKUP($A1481,'Medical Examinations'!$A:$J,5,FALSE)</f>
        <v>Normal</v>
      </c>
      <c r="L1481">
        <f>VLOOKUP($A1482,'Medical Examinations'!$A:$J,3,FALSE)</f>
        <v>34.83</v>
      </c>
      <c r="M1481">
        <f>VLOOKUP($A1481,'Hospitalisation Details'!$A:$K,6,FALSE)</f>
        <v>7106.81</v>
      </c>
      <c r="N1481" s="11">
        <f>VLOOKUP($B1481,'Hospitalisation Details'!A1480:J3824,10,0)</f>
        <v>25154</v>
      </c>
      <c r="O1481" t="str">
        <f>VLOOKUP($B1481,'Hospitalisation Details'!A1480:J3824,8,0)</f>
        <v>tier - 3</v>
      </c>
      <c r="P1481" t="str">
        <f>VLOOKUP($B1481,'Hospitalisation Details'!A1480:J3824,7,0)</f>
        <v>tier - 3</v>
      </c>
      <c r="Q1481" t="str">
        <f>VLOOKUP($B1481,'Hospitalisation Details'!A1480:J3824,9,0)</f>
        <v>R1012</v>
      </c>
      <c r="R1481">
        <f>VLOOKUP($B1481,'Hospitalisation Details'!A1480:K3824,11,0)</f>
        <v>54</v>
      </c>
    </row>
    <row r="1482" spans="1:18" x14ac:dyDescent="0.35">
      <c r="A1482" t="s">
        <v>890</v>
      </c>
      <c r="B1482" t="s">
        <v>1513</v>
      </c>
      <c r="C1482" t="str">
        <f>VLOOKUP($A1482,'Customer Names'!$A:$E,4,FALSE)</f>
        <v>Nathaniel</v>
      </c>
      <c r="D1482" t="str">
        <f>VLOOKUP($A1482,'Medical Examinations'!$A:$J,2,FALSE)</f>
        <v>Obesity</v>
      </c>
      <c r="E1482">
        <f>VLOOKUP($A1482,'Medical Examinations'!$A:$J,4,FALSE)</f>
        <v>5.79</v>
      </c>
      <c r="F1482" t="str">
        <f>VLOOKUP($A1482,'Medical Examinations'!$A:$J,6,FALSE)</f>
        <v>No</v>
      </c>
      <c r="G1482" t="str">
        <f>VLOOKUP($A1482,'Medical Examinations'!$A:$J,7,FALSE)</f>
        <v>No</v>
      </c>
      <c r="H1482" t="str">
        <f>VLOOKUP($A1482,'Medical Examinations'!$A:$J,8,FALSE)</f>
        <v>No</v>
      </c>
      <c r="I1482">
        <f>VLOOKUP($A1482,'Medical Examinations'!$A:$J,9,FALSE)</f>
        <v>1</v>
      </c>
      <c r="J1482" t="str">
        <f>VLOOKUP($A1482,'Medical Examinations'!$A:$J,10,FALSE)</f>
        <v>No</v>
      </c>
      <c r="K1482" t="str">
        <f>VLOOKUP($A1482,'Medical Examinations'!$A:$J,5,FALSE)</f>
        <v>Prediabetes</v>
      </c>
      <c r="L1482">
        <f>VLOOKUP($A1483,'Medical Examinations'!$A:$J,3,FALSE)</f>
        <v>25.46</v>
      </c>
      <c r="M1482">
        <f>VLOOKUP($A1482,'Hospitalisation Details'!$A:$K,6,FALSE)</f>
        <v>7096.98</v>
      </c>
      <c r="N1482" s="11">
        <f>VLOOKUP($B1482,'Hospitalisation Details'!A1481:J3825,10,0)</f>
        <v>24716</v>
      </c>
      <c r="O1482" t="str">
        <f>VLOOKUP($B1482,'Hospitalisation Details'!A1481:J3825,8,0)</f>
        <v>tier - 3</v>
      </c>
      <c r="P1482" t="str">
        <f>VLOOKUP($B1482,'Hospitalisation Details'!A1481:J3825,7,0)</f>
        <v>tier - 3</v>
      </c>
      <c r="Q1482" t="str">
        <f>VLOOKUP($B1482,'Hospitalisation Details'!A1481:J3825,9,0)</f>
        <v>R1013</v>
      </c>
      <c r="R1482">
        <f>VLOOKUP($B1482,'Hospitalisation Details'!A1481:K3825,11,0)</f>
        <v>55</v>
      </c>
    </row>
    <row r="1483" spans="1:18" x14ac:dyDescent="0.35">
      <c r="A1483" t="s">
        <v>889</v>
      </c>
      <c r="B1483" t="s">
        <v>1514</v>
      </c>
      <c r="C1483" t="str">
        <f>VLOOKUP($A1483,'Customer Names'!$A:$E,4,FALSE)</f>
        <v>Lindsay A.</v>
      </c>
      <c r="D1483" t="str">
        <f>VLOOKUP($A1483,'Medical Examinations'!$A:$J,2,FALSE)</f>
        <v>Overweight</v>
      </c>
      <c r="E1483">
        <f>VLOOKUP($A1483,'Medical Examinations'!$A:$J,4,FALSE)</f>
        <v>4.29</v>
      </c>
      <c r="F1483" t="str">
        <f>VLOOKUP($A1483,'Medical Examinations'!$A:$J,6,FALSE)</f>
        <v>No</v>
      </c>
      <c r="G1483" t="str">
        <f>VLOOKUP($A1483,'Medical Examinations'!$A:$J,7,FALSE)</f>
        <v>No</v>
      </c>
      <c r="H1483" t="str">
        <f>VLOOKUP($A1483,'Medical Examinations'!$A:$J,8,FALSE)</f>
        <v>No</v>
      </c>
      <c r="I1483">
        <f>VLOOKUP($A1483,'Medical Examinations'!$A:$J,9,FALSE)</f>
        <v>0</v>
      </c>
      <c r="J1483" t="str">
        <f>VLOOKUP($A1483,'Medical Examinations'!$A:$J,10,FALSE)</f>
        <v>No</v>
      </c>
      <c r="K1483" t="str">
        <f>VLOOKUP($A1483,'Medical Examinations'!$A:$J,5,FALSE)</f>
        <v>Normal</v>
      </c>
      <c r="L1483">
        <f>VLOOKUP($A1484,'Medical Examinations'!$A:$J,3,FALSE)</f>
        <v>23.31</v>
      </c>
      <c r="M1483">
        <f>VLOOKUP($A1483,'Hospitalisation Details'!$A:$K,6,FALSE)</f>
        <v>7077.19</v>
      </c>
      <c r="N1483" s="11">
        <f>VLOOKUP($B1483,'Hospitalisation Details'!A1482:J3826,10,0)</f>
        <v>25175</v>
      </c>
      <c r="O1483" t="str">
        <f>VLOOKUP($B1483,'Hospitalisation Details'!A1482:J3826,8,0)</f>
        <v>tier - 3</v>
      </c>
      <c r="P1483" t="str">
        <f>VLOOKUP($B1483,'Hospitalisation Details'!A1482:J3826,7,0)</f>
        <v>tier - 3</v>
      </c>
      <c r="Q1483" t="str">
        <f>VLOOKUP($B1483,'Hospitalisation Details'!A1482:J3826,9,0)</f>
        <v>R1012</v>
      </c>
      <c r="R1483">
        <f>VLOOKUP($B1483,'Hospitalisation Details'!A1482:K3826,11,0)</f>
        <v>54</v>
      </c>
    </row>
    <row r="1484" spans="1:18" x14ac:dyDescent="0.35">
      <c r="A1484" t="s">
        <v>888</v>
      </c>
      <c r="B1484" t="s">
        <v>1515</v>
      </c>
      <c r="C1484" t="str">
        <f>VLOOKUP($A1484,'Customer Names'!$A:$E,4,FALSE)</f>
        <v>Justin R</v>
      </c>
      <c r="D1484" t="str">
        <f>VLOOKUP($A1484,'Medical Examinations'!$A:$J,2,FALSE)</f>
        <v>Normal Weight</v>
      </c>
      <c r="E1484">
        <f>VLOOKUP($A1484,'Medical Examinations'!$A:$J,4,FALSE)</f>
        <v>8.27</v>
      </c>
      <c r="F1484" t="str">
        <f>VLOOKUP($A1484,'Medical Examinations'!$A:$J,6,FALSE)</f>
        <v>No</v>
      </c>
      <c r="G1484" t="str">
        <f>VLOOKUP($A1484,'Medical Examinations'!$A:$J,7,FALSE)</f>
        <v>No</v>
      </c>
      <c r="H1484" t="str">
        <f>VLOOKUP($A1484,'Medical Examinations'!$A:$J,8,FALSE)</f>
        <v>No</v>
      </c>
      <c r="I1484">
        <f>VLOOKUP($A1484,'Medical Examinations'!$A:$J,9,FALSE)</f>
        <v>0</v>
      </c>
      <c r="J1484" t="str">
        <f>VLOOKUP($A1484,'Medical Examinations'!$A:$J,10,FALSE)</f>
        <v>No</v>
      </c>
      <c r="K1484" t="str">
        <f>VLOOKUP($A1484,'Medical Examinations'!$A:$J,5,FALSE)</f>
        <v>Diabetes</v>
      </c>
      <c r="L1484">
        <f>VLOOKUP($A1485,'Medical Examinations'!$A:$J,3,FALSE)</f>
        <v>29</v>
      </c>
      <c r="M1484">
        <f>VLOOKUP($A1484,'Hospitalisation Details'!$A:$K,6,FALSE)</f>
        <v>7054.41</v>
      </c>
      <c r="N1484" s="11">
        <f>VLOOKUP($B1484,'Hospitalisation Details'!A1483:J3827,10,0)</f>
        <v>24300</v>
      </c>
      <c r="O1484" t="str">
        <f>VLOOKUP($B1484,'Hospitalisation Details'!A1483:J3827,8,0)</f>
        <v>tier - 2</v>
      </c>
      <c r="P1484" t="str">
        <f>VLOOKUP($B1484,'Hospitalisation Details'!A1483:J3827,7,0)</f>
        <v>tier - 3</v>
      </c>
      <c r="Q1484" t="str">
        <f>VLOOKUP($B1484,'Hospitalisation Details'!A1483:J3827,9,0)</f>
        <v>R1012</v>
      </c>
      <c r="R1484">
        <f>VLOOKUP($B1484,'Hospitalisation Details'!A1483:K3827,11,0)</f>
        <v>56</v>
      </c>
    </row>
    <row r="1485" spans="1:18" x14ac:dyDescent="0.35">
      <c r="A1485" t="s">
        <v>887</v>
      </c>
      <c r="B1485" t="s">
        <v>1516</v>
      </c>
      <c r="C1485" t="str">
        <f>VLOOKUP($A1485,'Customer Names'!$A:$E,4,FALSE)</f>
        <v>Casey</v>
      </c>
      <c r="D1485" t="str">
        <f>VLOOKUP($A1485,'Medical Examinations'!$A:$J,2,FALSE)</f>
        <v>Overweight</v>
      </c>
      <c r="E1485">
        <f>VLOOKUP($A1485,'Medical Examinations'!$A:$J,4,FALSE)</f>
        <v>4.5599999999999996</v>
      </c>
      <c r="F1485" t="str">
        <f>VLOOKUP($A1485,'Medical Examinations'!$A:$J,6,FALSE)</f>
        <v>No</v>
      </c>
      <c r="G1485" t="str">
        <f>VLOOKUP($A1485,'Medical Examinations'!$A:$J,7,FALSE)</f>
        <v>No</v>
      </c>
      <c r="H1485" t="str">
        <f>VLOOKUP($A1485,'Medical Examinations'!$A:$J,8,FALSE)</f>
        <v>No</v>
      </c>
      <c r="I1485">
        <f>VLOOKUP($A1485,'Medical Examinations'!$A:$J,9,FALSE)</f>
        <v>0</v>
      </c>
      <c r="J1485" t="str">
        <f>VLOOKUP($A1485,'Medical Examinations'!$A:$J,10,FALSE)</f>
        <v>No</v>
      </c>
      <c r="K1485" t="str">
        <f>VLOOKUP($A1485,'Medical Examinations'!$A:$J,5,FALSE)</f>
        <v>Normal</v>
      </c>
      <c r="L1485">
        <f>VLOOKUP($A1486,'Medical Examinations'!$A:$J,3,FALSE)</f>
        <v>32.869999999999997</v>
      </c>
      <c r="M1485">
        <f>VLOOKUP($A1485,'Hospitalisation Details'!$A:$K,6,FALSE)</f>
        <v>7050.64</v>
      </c>
      <c r="N1485" s="11">
        <f>VLOOKUP($B1485,'Hospitalisation Details'!A1484:J3828,10,0)</f>
        <v>22935</v>
      </c>
      <c r="O1485" t="str">
        <f>VLOOKUP($B1485,'Hospitalisation Details'!A1484:J3828,8,0)</f>
        <v>tier - 3</v>
      </c>
      <c r="P1485" t="str">
        <f>VLOOKUP($B1485,'Hospitalisation Details'!A1484:J3828,7,0)</f>
        <v>tier - 3</v>
      </c>
      <c r="Q1485" t="str">
        <f>VLOOKUP($B1485,'Hospitalisation Details'!A1484:J3828,9,0)</f>
        <v>R1012</v>
      </c>
      <c r="R1485">
        <f>VLOOKUP($B1485,'Hospitalisation Details'!A1484:K3828,11,0)</f>
        <v>60</v>
      </c>
    </row>
    <row r="1486" spans="1:18" x14ac:dyDescent="0.35">
      <c r="A1486" t="s">
        <v>886</v>
      </c>
      <c r="B1486" t="s">
        <v>1517</v>
      </c>
      <c r="C1486" t="str">
        <f>VLOOKUP($A1486,'Customer Names'!$A:$E,4,FALSE)</f>
        <v>Amanda L</v>
      </c>
      <c r="D1486" t="str">
        <f>VLOOKUP($A1486,'Medical Examinations'!$A:$J,2,FALSE)</f>
        <v>Obesity</v>
      </c>
      <c r="E1486">
        <f>VLOOKUP($A1486,'Medical Examinations'!$A:$J,4,FALSE)</f>
        <v>5.33</v>
      </c>
      <c r="F1486" t="str">
        <f>VLOOKUP($A1486,'Medical Examinations'!$A:$J,6,FALSE)</f>
        <v>No</v>
      </c>
      <c r="G1486" t="str">
        <f>VLOOKUP($A1486,'Medical Examinations'!$A:$J,7,FALSE)</f>
        <v>No</v>
      </c>
      <c r="H1486" t="str">
        <f>VLOOKUP($A1486,'Medical Examinations'!$A:$J,8,FALSE)</f>
        <v>No</v>
      </c>
      <c r="I1486">
        <f>VLOOKUP($A1486,'Medical Examinations'!$A:$J,9,FALSE)</f>
        <v>0</v>
      </c>
      <c r="J1486" t="str">
        <f>VLOOKUP($A1486,'Medical Examinations'!$A:$J,10,FALSE)</f>
        <v>No</v>
      </c>
      <c r="K1486" t="str">
        <f>VLOOKUP($A1486,'Medical Examinations'!$A:$J,5,FALSE)</f>
        <v>Normal</v>
      </c>
      <c r="L1486">
        <f>VLOOKUP($A1487,'Medical Examinations'!$A:$J,3,FALSE)</f>
        <v>26.18</v>
      </c>
      <c r="M1486">
        <f>VLOOKUP($A1486,'Hospitalisation Details'!$A:$K,6,FALSE)</f>
        <v>7050.02</v>
      </c>
      <c r="N1486" s="11">
        <f>VLOOKUP($B1486,'Hospitalisation Details'!A1485:J3829,10,0)</f>
        <v>22613</v>
      </c>
      <c r="O1486" t="str">
        <f>VLOOKUP($B1486,'Hospitalisation Details'!A1485:J3829,8,0)</f>
        <v>tier - 3</v>
      </c>
      <c r="P1486" t="str">
        <f>VLOOKUP($B1486,'Hospitalisation Details'!A1485:J3829,7,0)</f>
        <v>tier - 3</v>
      </c>
      <c r="Q1486" t="str">
        <f>VLOOKUP($B1486,'Hospitalisation Details'!A1485:J3829,9,0)</f>
        <v>R1013</v>
      </c>
      <c r="R1486">
        <f>VLOOKUP($B1486,'Hospitalisation Details'!A1485:K3829,11,0)</f>
        <v>61</v>
      </c>
    </row>
    <row r="1487" spans="1:18" x14ac:dyDescent="0.35">
      <c r="A1487" t="s">
        <v>885</v>
      </c>
      <c r="B1487" t="s">
        <v>1518</v>
      </c>
      <c r="C1487" t="str">
        <f>VLOOKUP($A1487,'Customer Names'!$A:$E,4,FALSE)</f>
        <v>Ayako N.</v>
      </c>
      <c r="D1487" t="str">
        <f>VLOOKUP($A1487,'Medical Examinations'!$A:$J,2,FALSE)</f>
        <v>Overweight</v>
      </c>
      <c r="E1487">
        <f>VLOOKUP($A1487,'Medical Examinations'!$A:$J,4,FALSE)</f>
        <v>5.63</v>
      </c>
      <c r="F1487" t="str">
        <f>VLOOKUP($A1487,'Medical Examinations'!$A:$J,6,FALSE)</f>
        <v>No</v>
      </c>
      <c r="G1487" t="str">
        <f>VLOOKUP($A1487,'Medical Examinations'!$A:$J,7,FALSE)</f>
        <v>No</v>
      </c>
      <c r="H1487" t="str">
        <f>VLOOKUP($A1487,'Medical Examinations'!$A:$J,8,FALSE)</f>
        <v>No</v>
      </c>
      <c r="I1487">
        <f>VLOOKUP($A1487,'Medical Examinations'!$A:$J,9,FALSE)</f>
        <v>0</v>
      </c>
      <c r="J1487" t="str">
        <f>VLOOKUP($A1487,'Medical Examinations'!$A:$J,10,FALSE)</f>
        <v>No</v>
      </c>
      <c r="K1487" t="str">
        <f>VLOOKUP($A1487,'Medical Examinations'!$A:$J,5,FALSE)</f>
        <v>Normal</v>
      </c>
      <c r="L1487">
        <f>VLOOKUP($A1488,'Medical Examinations'!$A:$J,3,FALSE)</f>
        <v>25.3</v>
      </c>
      <c r="M1487">
        <f>VLOOKUP($A1487,'Hospitalisation Details'!$A:$K,6,FALSE)</f>
        <v>7046.72</v>
      </c>
      <c r="N1487" s="11">
        <f>VLOOKUP($B1487,'Hospitalisation Details'!A1486:J3830,10,0)</f>
        <v>22613</v>
      </c>
      <c r="O1487" t="str">
        <f>VLOOKUP($B1487,'Hospitalisation Details'!A1486:J3830,8,0)</f>
        <v>tier - 1</v>
      </c>
      <c r="P1487" t="str">
        <f>VLOOKUP($B1487,'Hospitalisation Details'!A1486:J3830,7,0)</f>
        <v>tier - 3</v>
      </c>
      <c r="Q1487" t="str">
        <f>VLOOKUP($B1487,'Hospitalisation Details'!A1486:J3830,9,0)</f>
        <v>R1011</v>
      </c>
      <c r="R1487">
        <f>VLOOKUP($B1487,'Hospitalisation Details'!A1486:K3830,11,0)</f>
        <v>61</v>
      </c>
    </row>
    <row r="1488" spans="1:18" x14ac:dyDescent="0.35">
      <c r="A1488" t="s">
        <v>884</v>
      </c>
      <c r="B1488" t="s">
        <v>1519</v>
      </c>
      <c r="C1488" t="str">
        <f>VLOOKUP($A1488,'Customer Names'!$A:$E,4,FALSE)</f>
        <v>Emilee</v>
      </c>
      <c r="D1488" t="str">
        <f>VLOOKUP($A1488,'Medical Examinations'!$A:$J,2,FALSE)</f>
        <v>Overweight</v>
      </c>
      <c r="E1488">
        <f>VLOOKUP($A1488,'Medical Examinations'!$A:$J,4,FALSE)</f>
        <v>5.12</v>
      </c>
      <c r="F1488" t="str">
        <f>VLOOKUP($A1488,'Medical Examinations'!$A:$J,6,FALSE)</f>
        <v>No</v>
      </c>
      <c r="G1488" t="str">
        <f>VLOOKUP($A1488,'Medical Examinations'!$A:$J,7,FALSE)</f>
        <v>No</v>
      </c>
      <c r="H1488" t="str">
        <f>VLOOKUP($A1488,'Medical Examinations'!$A:$J,8,FALSE)</f>
        <v>No</v>
      </c>
      <c r="I1488">
        <f>VLOOKUP($A1488,'Medical Examinations'!$A:$J,9,FALSE)</f>
        <v>0</v>
      </c>
      <c r="J1488" t="str">
        <f>VLOOKUP($A1488,'Medical Examinations'!$A:$J,10,FALSE)</f>
        <v>No</v>
      </c>
      <c r="K1488" t="str">
        <f>VLOOKUP($A1488,'Medical Examinations'!$A:$J,5,FALSE)</f>
        <v>Normal</v>
      </c>
      <c r="L1488">
        <f>VLOOKUP($A1489,'Medical Examinations'!$A:$J,3,FALSE)</f>
        <v>36.94</v>
      </c>
      <c r="M1488">
        <f>VLOOKUP($A1488,'Hospitalisation Details'!$A:$K,6,FALSE)</f>
        <v>7045.5</v>
      </c>
      <c r="N1488" s="11">
        <f>VLOOKUP($B1488,'Hospitalisation Details'!A1487:J3831,10,0)</f>
        <v>25533</v>
      </c>
      <c r="O1488" t="str">
        <f>VLOOKUP($B1488,'Hospitalisation Details'!A1487:J3831,8,0)</f>
        <v>tier - 1</v>
      </c>
      <c r="P1488" t="str">
        <f>VLOOKUP($B1488,'Hospitalisation Details'!A1487:J3831,7,0)</f>
        <v>tier - 3</v>
      </c>
      <c r="Q1488" t="str">
        <f>VLOOKUP($B1488,'Hospitalisation Details'!A1487:J3831,9,0)</f>
        <v>R1025</v>
      </c>
      <c r="R1488">
        <f>VLOOKUP($B1488,'Hospitalisation Details'!A1487:K3831,11,0)</f>
        <v>53</v>
      </c>
    </row>
    <row r="1489" spans="1:18" x14ac:dyDescent="0.35">
      <c r="A1489" t="s">
        <v>883</v>
      </c>
      <c r="B1489" t="s">
        <v>1520</v>
      </c>
      <c r="C1489" t="str">
        <f>VLOOKUP($A1489,'Customer Names'!$A:$E,4,FALSE)</f>
        <v>Stephen M</v>
      </c>
      <c r="D1489" t="str">
        <f>VLOOKUP($A1489,'Medical Examinations'!$A:$J,2,FALSE)</f>
        <v>Obesity</v>
      </c>
      <c r="E1489">
        <f>VLOOKUP($A1489,'Medical Examinations'!$A:$J,4,FALSE)</f>
        <v>5.15</v>
      </c>
      <c r="F1489" t="str">
        <f>VLOOKUP($A1489,'Medical Examinations'!$A:$J,6,FALSE)</f>
        <v>yes</v>
      </c>
      <c r="G1489" t="str">
        <f>VLOOKUP($A1489,'Medical Examinations'!$A:$J,7,FALSE)</f>
        <v>No</v>
      </c>
      <c r="H1489" t="str">
        <f>VLOOKUP($A1489,'Medical Examinations'!$A:$J,8,FALSE)</f>
        <v>No</v>
      </c>
      <c r="I1489">
        <f>VLOOKUP($A1489,'Medical Examinations'!$A:$J,9,FALSE)</f>
        <v>1</v>
      </c>
      <c r="J1489" t="str">
        <f>VLOOKUP($A1489,'Medical Examinations'!$A:$J,10,FALSE)</f>
        <v>No</v>
      </c>
      <c r="K1489" t="str">
        <f>VLOOKUP($A1489,'Medical Examinations'!$A:$J,5,FALSE)</f>
        <v>Normal</v>
      </c>
      <c r="L1489">
        <f>VLOOKUP($A1490,'Medical Examinations'!$A:$J,3,FALSE)</f>
        <v>22.86</v>
      </c>
      <c r="M1489">
        <f>VLOOKUP($A1489,'Hospitalisation Details'!$A:$K,6,FALSE)</f>
        <v>7042.11</v>
      </c>
      <c r="N1489" s="11">
        <f>VLOOKUP($B1489,'Hospitalisation Details'!A1488:J3832,10,0)</f>
        <v>25737</v>
      </c>
      <c r="O1489" t="str">
        <f>VLOOKUP($B1489,'Hospitalisation Details'!A1488:J3832,8,0)</f>
        <v>tier - 2</v>
      </c>
      <c r="P1489" t="str">
        <f>VLOOKUP($B1489,'Hospitalisation Details'!A1488:J3832,7,0)</f>
        <v>tier - 3</v>
      </c>
      <c r="Q1489" t="str">
        <f>VLOOKUP($B1489,'Hospitalisation Details'!A1488:J3832,9,0)</f>
        <v>R1013</v>
      </c>
      <c r="R1489">
        <f>VLOOKUP($B1489,'Hospitalisation Details'!A1488:K3832,11,0)</f>
        <v>52</v>
      </c>
    </row>
    <row r="1490" spans="1:18" x14ac:dyDescent="0.35">
      <c r="A1490" t="s">
        <v>882</v>
      </c>
      <c r="B1490" t="s">
        <v>1521</v>
      </c>
      <c r="C1490" t="str">
        <f>VLOOKUP($A1490,'Customer Names'!$A:$E,4,FALSE)</f>
        <v>Annemarie A</v>
      </c>
      <c r="D1490" t="str">
        <f>VLOOKUP($A1490,'Medical Examinations'!$A:$J,2,FALSE)</f>
        <v>Normal Weight</v>
      </c>
      <c r="E1490">
        <f>VLOOKUP($A1490,'Medical Examinations'!$A:$J,4,FALSE)</f>
        <v>7.5</v>
      </c>
      <c r="F1490" t="str">
        <f>VLOOKUP($A1490,'Medical Examinations'!$A:$J,6,FALSE)</f>
        <v>No</v>
      </c>
      <c r="G1490" t="str">
        <f>VLOOKUP($A1490,'Medical Examinations'!$A:$J,7,FALSE)</f>
        <v>No</v>
      </c>
      <c r="H1490" t="str">
        <f>VLOOKUP($A1490,'Medical Examinations'!$A:$J,8,FALSE)</f>
        <v>No</v>
      </c>
      <c r="I1490">
        <f>VLOOKUP($A1490,'Medical Examinations'!$A:$J,9,FALSE)</f>
        <v>0</v>
      </c>
      <c r="J1490" t="str">
        <f>VLOOKUP($A1490,'Medical Examinations'!$A:$J,10,FALSE)</f>
        <v>No</v>
      </c>
      <c r="K1490" t="str">
        <f>VLOOKUP($A1490,'Medical Examinations'!$A:$J,5,FALSE)</f>
        <v>Diabetes</v>
      </c>
      <c r="L1490">
        <f>VLOOKUP($A1491,'Medical Examinations'!$A:$J,3,FALSE)</f>
        <v>18.760000000000002</v>
      </c>
      <c r="M1490">
        <f>VLOOKUP($A1490,'Hospitalisation Details'!$A:$K,6,FALSE)</f>
        <v>7033.08</v>
      </c>
      <c r="N1490" s="11">
        <f>VLOOKUP($B1490,'Hospitalisation Details'!A1489:J3833,10,0)</f>
        <v>32366</v>
      </c>
      <c r="O1490" t="str">
        <f>VLOOKUP($B1490,'Hospitalisation Details'!A1489:J3833,8,0)</f>
        <v>tier - 1</v>
      </c>
      <c r="P1490" t="str">
        <f>VLOOKUP($B1490,'Hospitalisation Details'!A1489:J3833,7,0)</f>
        <v>tier - 3</v>
      </c>
      <c r="Q1490" t="str">
        <f>VLOOKUP($B1490,'Hospitalisation Details'!A1489:J3833,9,0)</f>
        <v>R1023</v>
      </c>
      <c r="R1490">
        <f>VLOOKUP($B1490,'Hospitalisation Details'!A1489:K3833,11,0)</f>
        <v>34</v>
      </c>
    </row>
    <row r="1491" spans="1:18" x14ac:dyDescent="0.35">
      <c r="A1491" t="s">
        <v>881</v>
      </c>
      <c r="B1491" t="s">
        <v>1522</v>
      </c>
      <c r="C1491" t="str">
        <f>VLOOKUP($A1491,'Customer Names'!$A:$E,4,FALSE)</f>
        <v>Ashley R</v>
      </c>
      <c r="D1491" t="str">
        <f>VLOOKUP($A1491,'Medical Examinations'!$A:$J,2,FALSE)</f>
        <v>Normal Weight</v>
      </c>
      <c r="E1491">
        <f>VLOOKUP($A1491,'Medical Examinations'!$A:$J,4,FALSE)</f>
        <v>4.88</v>
      </c>
      <c r="F1491" t="str">
        <f>VLOOKUP($A1491,'Medical Examinations'!$A:$J,6,FALSE)</f>
        <v>yes</v>
      </c>
      <c r="G1491" t="str">
        <f>VLOOKUP($A1491,'Medical Examinations'!$A:$J,7,FALSE)</f>
        <v>No</v>
      </c>
      <c r="H1491" t="str">
        <f>VLOOKUP($A1491,'Medical Examinations'!$A:$J,8,FALSE)</f>
        <v>Yes</v>
      </c>
      <c r="I1491">
        <f>VLOOKUP($A1491,'Medical Examinations'!$A:$J,9,FALSE)</f>
        <v>1</v>
      </c>
      <c r="J1491" t="str">
        <f>VLOOKUP($A1491,'Medical Examinations'!$A:$J,10,FALSE)</f>
        <v>No</v>
      </c>
      <c r="K1491" t="str">
        <f>VLOOKUP($A1491,'Medical Examinations'!$A:$J,5,FALSE)</f>
        <v>Normal</v>
      </c>
      <c r="L1491">
        <f>VLOOKUP($A1492,'Medical Examinations'!$A:$J,3,FALSE)</f>
        <v>24.36</v>
      </c>
      <c r="M1491">
        <f>VLOOKUP($A1491,'Hospitalisation Details'!$A:$K,6,FALSE)</f>
        <v>7003.1</v>
      </c>
      <c r="N1491" s="11">
        <f>VLOOKUP($B1491,'Hospitalisation Details'!A1490:J3834,10,0)</f>
        <v>36117</v>
      </c>
      <c r="O1491" t="str">
        <f>VLOOKUP($B1491,'Hospitalisation Details'!A1490:J3834,8,0)</f>
        <v>tier - 3</v>
      </c>
      <c r="P1491" t="str">
        <f>VLOOKUP($B1491,'Hospitalisation Details'!A1490:J3834,7,0)</f>
        <v>tier - 3</v>
      </c>
      <c r="Q1491" t="str">
        <f>VLOOKUP($B1491,'Hospitalisation Details'!A1490:J3834,9,0)</f>
        <v>R1012</v>
      </c>
      <c r="R1491">
        <f>VLOOKUP($B1491,'Hospitalisation Details'!A1490:K3834,11,0)</f>
        <v>24</v>
      </c>
    </row>
    <row r="1492" spans="1:18" x14ac:dyDescent="0.35">
      <c r="A1492" t="s">
        <v>880</v>
      </c>
      <c r="B1492" t="s">
        <v>1523</v>
      </c>
      <c r="C1492" t="str">
        <f>VLOOKUP($A1492,'Customer Names'!$A:$E,4,FALSE)</f>
        <v>Leslie A</v>
      </c>
      <c r="D1492" t="str">
        <f>VLOOKUP($A1492,'Medical Examinations'!$A:$J,2,FALSE)</f>
        <v>Normal Weight</v>
      </c>
      <c r="E1492">
        <f>VLOOKUP($A1492,'Medical Examinations'!$A:$J,4,FALSE)</f>
        <v>5.57</v>
      </c>
      <c r="F1492" t="str">
        <f>VLOOKUP($A1492,'Medical Examinations'!$A:$J,6,FALSE)</f>
        <v>No</v>
      </c>
      <c r="G1492" t="str">
        <f>VLOOKUP($A1492,'Medical Examinations'!$A:$J,7,FALSE)</f>
        <v>No</v>
      </c>
      <c r="H1492" t="str">
        <f>VLOOKUP($A1492,'Medical Examinations'!$A:$J,8,FALSE)</f>
        <v>No</v>
      </c>
      <c r="I1492">
        <f>VLOOKUP($A1492,'Medical Examinations'!$A:$J,9,FALSE)</f>
        <v>0</v>
      </c>
      <c r="J1492" t="str">
        <f>VLOOKUP($A1492,'Medical Examinations'!$A:$J,10,FALSE)</f>
        <v>No</v>
      </c>
      <c r="K1492" t="str">
        <f>VLOOKUP($A1492,'Medical Examinations'!$A:$J,5,FALSE)</f>
        <v>Normal</v>
      </c>
      <c r="L1492">
        <f>VLOOKUP($A1493,'Medical Examinations'!$A:$J,3,FALSE)</f>
        <v>32.299999999999997</v>
      </c>
      <c r="M1492">
        <f>VLOOKUP($A1492,'Hospitalisation Details'!$A:$K,6,FALSE)</f>
        <v>6989.95</v>
      </c>
      <c r="N1492" s="11">
        <f>VLOOKUP($B1492,'Hospitalisation Details'!A1491:J3835,10,0)</f>
        <v>23242</v>
      </c>
      <c r="O1492" t="str">
        <f>VLOOKUP($B1492,'Hospitalisation Details'!A1491:J3835,8,0)</f>
        <v>tier - 1</v>
      </c>
      <c r="P1492" t="str">
        <f>VLOOKUP($B1492,'Hospitalisation Details'!A1491:J3835,7,0)</f>
        <v>tier - 3</v>
      </c>
      <c r="Q1492" t="str">
        <f>VLOOKUP($B1492,'Hospitalisation Details'!A1491:J3835,9,0)</f>
        <v>R1012</v>
      </c>
      <c r="R1492">
        <f>VLOOKUP($B1492,'Hospitalisation Details'!A1491:K3835,11,0)</f>
        <v>59</v>
      </c>
    </row>
    <row r="1493" spans="1:18" x14ac:dyDescent="0.35">
      <c r="A1493" t="s">
        <v>879</v>
      </c>
      <c r="B1493" t="s">
        <v>1524</v>
      </c>
      <c r="C1493" t="str">
        <f>VLOOKUP($A1493,'Customer Names'!$A:$E,4,FALSE)</f>
        <v>Mauricio J. Sr.</v>
      </c>
      <c r="D1493" t="str">
        <f>VLOOKUP($A1493,'Medical Examinations'!$A:$J,2,FALSE)</f>
        <v>Obesity</v>
      </c>
      <c r="E1493">
        <f>VLOOKUP($A1493,'Medical Examinations'!$A:$J,4,FALSE)</f>
        <v>5.31</v>
      </c>
      <c r="F1493" t="str">
        <f>VLOOKUP($A1493,'Medical Examinations'!$A:$J,6,FALSE)</f>
        <v>No</v>
      </c>
      <c r="G1493" t="str">
        <f>VLOOKUP($A1493,'Medical Examinations'!$A:$J,7,FALSE)</f>
        <v>No</v>
      </c>
      <c r="H1493" t="str">
        <f>VLOOKUP($A1493,'Medical Examinations'!$A:$J,8,FALSE)</f>
        <v>No</v>
      </c>
      <c r="I1493">
        <f>VLOOKUP($A1493,'Medical Examinations'!$A:$J,9,FALSE)</f>
        <v>0</v>
      </c>
      <c r="J1493" t="str">
        <f>VLOOKUP($A1493,'Medical Examinations'!$A:$J,10,FALSE)</f>
        <v>No</v>
      </c>
      <c r="K1493" t="str">
        <f>VLOOKUP($A1493,'Medical Examinations'!$A:$J,5,FALSE)</f>
        <v>Normal</v>
      </c>
      <c r="L1493">
        <f>VLOOKUP($A1494,'Medical Examinations'!$A:$J,3,FALSE)</f>
        <v>22.704999999999998</v>
      </c>
      <c r="M1493">
        <f>VLOOKUP($A1493,'Hospitalisation Details'!$A:$K,6,FALSE)</f>
        <v>6986.7</v>
      </c>
      <c r="N1493" s="11">
        <f>VLOOKUP($B1493,'Hospitalisation Details'!A1492:J3836,10,0)</f>
        <v>25930</v>
      </c>
      <c r="O1493" t="str">
        <f>VLOOKUP($B1493,'Hospitalisation Details'!A1492:J3836,8,0)</f>
        <v>tier - 1</v>
      </c>
      <c r="P1493" t="str">
        <f>VLOOKUP($B1493,'Hospitalisation Details'!A1492:J3836,7,0)</f>
        <v>tier - 3</v>
      </c>
      <c r="Q1493" t="str">
        <f>VLOOKUP($B1493,'Hospitalisation Details'!A1492:J3836,9,0)</f>
        <v>R1012</v>
      </c>
      <c r="R1493">
        <f>VLOOKUP($B1493,'Hospitalisation Details'!A1492:K3836,11,0)</f>
        <v>52</v>
      </c>
    </row>
    <row r="1494" spans="1:18" x14ac:dyDescent="0.35">
      <c r="A1494" t="s">
        <v>878</v>
      </c>
      <c r="B1494" t="s">
        <v>1525</v>
      </c>
      <c r="C1494" t="str">
        <f>VLOOKUP($A1494,'Customer Names'!$A:$E,4,FALSE)</f>
        <v>Kieran</v>
      </c>
      <c r="D1494" t="str">
        <f>VLOOKUP($A1494,'Medical Examinations'!$A:$J,2,FALSE)</f>
        <v>Normal Weight</v>
      </c>
      <c r="E1494">
        <f>VLOOKUP($A1494,'Medical Examinations'!$A:$J,4,FALSE)</f>
        <v>4.57</v>
      </c>
      <c r="F1494" t="str">
        <f>VLOOKUP($A1494,'Medical Examinations'!$A:$J,6,FALSE)</f>
        <v>yes</v>
      </c>
      <c r="G1494" t="str">
        <f>VLOOKUP($A1494,'Medical Examinations'!$A:$J,7,FALSE)</f>
        <v>No</v>
      </c>
      <c r="H1494" t="str">
        <f>VLOOKUP($A1494,'Medical Examinations'!$A:$J,8,FALSE)</f>
        <v>No</v>
      </c>
      <c r="I1494">
        <f>VLOOKUP($A1494,'Medical Examinations'!$A:$J,9,FALSE)</f>
        <v>0</v>
      </c>
      <c r="J1494" t="str">
        <f>VLOOKUP($A1494,'Medical Examinations'!$A:$J,10,FALSE)</f>
        <v>No</v>
      </c>
      <c r="K1494" t="str">
        <f>VLOOKUP($A1494,'Medical Examinations'!$A:$J,5,FALSE)</f>
        <v>Normal</v>
      </c>
      <c r="L1494">
        <f>VLOOKUP($A1495,'Medical Examinations'!$A:$J,3,FALSE)</f>
        <v>21.79</v>
      </c>
      <c r="M1494">
        <f>VLOOKUP($A1494,'Hospitalisation Details'!$A:$K,6,FALSE)</f>
        <v>6985.51</v>
      </c>
      <c r="N1494" s="11">
        <f>VLOOKUP($B1494,'Hospitalisation Details'!A1493:J3837,10,0)</f>
        <v>24019</v>
      </c>
      <c r="O1494" t="str">
        <f>VLOOKUP($B1494,'Hospitalisation Details'!A1493:J3837,8,0)</f>
        <v>tier - 1</v>
      </c>
      <c r="P1494" t="str">
        <f>VLOOKUP($B1494,'Hospitalisation Details'!A1493:J3837,7,0)</f>
        <v>tier - 3</v>
      </c>
      <c r="Q1494" t="str">
        <f>VLOOKUP($B1494,'Hospitalisation Details'!A1493:J3837,9,0)</f>
        <v>R1013</v>
      </c>
      <c r="R1494">
        <f>VLOOKUP($B1494,'Hospitalisation Details'!A1493:K3837,11,0)</f>
        <v>57</v>
      </c>
    </row>
    <row r="1495" spans="1:18" x14ac:dyDescent="0.35">
      <c r="A1495" t="s">
        <v>877</v>
      </c>
      <c r="B1495" t="s">
        <v>1526</v>
      </c>
      <c r="C1495" t="str">
        <f>VLOOKUP($A1495,'Customer Names'!$A:$E,4,FALSE)</f>
        <v>Elizabeth A</v>
      </c>
      <c r="D1495" t="str">
        <f>VLOOKUP($A1495,'Medical Examinations'!$A:$J,2,FALSE)</f>
        <v>Normal Weight</v>
      </c>
      <c r="E1495">
        <f>VLOOKUP($A1495,'Medical Examinations'!$A:$J,4,FALSE)</f>
        <v>8.6999999999999993</v>
      </c>
      <c r="F1495" t="str">
        <f>VLOOKUP($A1495,'Medical Examinations'!$A:$J,6,FALSE)</f>
        <v>yes</v>
      </c>
      <c r="G1495" t="str">
        <f>VLOOKUP($A1495,'Medical Examinations'!$A:$J,7,FALSE)</f>
        <v>No</v>
      </c>
      <c r="H1495" t="str">
        <f>VLOOKUP($A1495,'Medical Examinations'!$A:$J,8,FALSE)</f>
        <v>No</v>
      </c>
      <c r="I1495">
        <f>VLOOKUP($A1495,'Medical Examinations'!$A:$J,9,FALSE)</f>
        <v>1</v>
      </c>
      <c r="J1495" t="str">
        <f>VLOOKUP($A1495,'Medical Examinations'!$A:$J,10,FALSE)</f>
        <v>No</v>
      </c>
      <c r="K1495" t="str">
        <f>VLOOKUP($A1495,'Medical Examinations'!$A:$J,5,FALSE)</f>
        <v>Diabetes</v>
      </c>
      <c r="L1495">
        <f>VLOOKUP($A1496,'Medical Examinations'!$A:$J,3,FALSE)</f>
        <v>24.52</v>
      </c>
      <c r="M1495">
        <f>VLOOKUP($A1495,'Hospitalisation Details'!$A:$K,6,FALSE)</f>
        <v>6965.21</v>
      </c>
      <c r="N1495" s="11">
        <f>VLOOKUP($B1495,'Hospitalisation Details'!A1494:J3838,10,0)</f>
        <v>22972</v>
      </c>
      <c r="O1495" t="str">
        <f>VLOOKUP($B1495,'Hospitalisation Details'!A1494:J3838,8,0)</f>
        <v>tier - 3</v>
      </c>
      <c r="P1495" t="str">
        <f>VLOOKUP($B1495,'Hospitalisation Details'!A1494:J3838,7,0)</f>
        <v>tier - 3</v>
      </c>
      <c r="Q1495" t="str">
        <f>VLOOKUP($B1495,'Hospitalisation Details'!A1494:J3838,9,0)</f>
        <v>R1013</v>
      </c>
      <c r="R1495">
        <f>VLOOKUP($B1495,'Hospitalisation Details'!A1494:K3838,11,0)</f>
        <v>60</v>
      </c>
    </row>
    <row r="1496" spans="1:18" x14ac:dyDescent="0.35">
      <c r="A1496" t="s">
        <v>876</v>
      </c>
      <c r="B1496" t="s">
        <v>1527</v>
      </c>
      <c r="C1496" t="str">
        <f>VLOOKUP($A1496,'Customer Names'!$A:$E,4,FALSE)</f>
        <v>Zeke M.</v>
      </c>
      <c r="D1496" t="str">
        <f>VLOOKUP($A1496,'Medical Examinations'!$A:$J,2,FALSE)</f>
        <v>Normal Weight</v>
      </c>
      <c r="E1496">
        <f>VLOOKUP($A1496,'Medical Examinations'!$A:$J,4,FALSE)</f>
        <v>4.76</v>
      </c>
      <c r="F1496" t="str">
        <f>VLOOKUP($A1496,'Medical Examinations'!$A:$J,6,FALSE)</f>
        <v>No</v>
      </c>
      <c r="G1496" t="str">
        <f>VLOOKUP($A1496,'Medical Examinations'!$A:$J,7,FALSE)</f>
        <v>No</v>
      </c>
      <c r="H1496" t="str">
        <f>VLOOKUP($A1496,'Medical Examinations'!$A:$J,8,FALSE)</f>
        <v>No</v>
      </c>
      <c r="I1496">
        <f>VLOOKUP($A1496,'Medical Examinations'!$A:$J,9,FALSE)</f>
        <v>0</v>
      </c>
      <c r="J1496" t="str">
        <f>VLOOKUP($A1496,'Medical Examinations'!$A:$J,10,FALSE)</f>
        <v>No</v>
      </c>
      <c r="K1496" t="str">
        <f>VLOOKUP($A1496,'Medical Examinations'!$A:$J,5,FALSE)</f>
        <v>Normal</v>
      </c>
      <c r="L1496">
        <f>VLOOKUP($A1497,'Medical Examinations'!$A:$J,3,FALSE)</f>
        <v>39.520000000000003</v>
      </c>
      <c r="M1496">
        <f>VLOOKUP($A1496,'Hospitalisation Details'!$A:$K,6,FALSE)</f>
        <v>6951.12</v>
      </c>
      <c r="N1496" s="11">
        <f>VLOOKUP($B1496,'Hospitalisation Details'!A1495:J3839,10,0)</f>
        <v>22849</v>
      </c>
      <c r="O1496" t="str">
        <f>VLOOKUP($B1496,'Hospitalisation Details'!A1495:J3839,8,0)</f>
        <v>tier - 1</v>
      </c>
      <c r="P1496" t="str">
        <f>VLOOKUP($B1496,'Hospitalisation Details'!A1495:J3839,7,0)</f>
        <v>tier - 3</v>
      </c>
      <c r="Q1496" t="str">
        <f>VLOOKUP($B1496,'Hospitalisation Details'!A1495:J3839,9,0)</f>
        <v>R1011</v>
      </c>
      <c r="R1496">
        <f>VLOOKUP($B1496,'Hospitalisation Details'!A1495:K3839,11,0)</f>
        <v>60</v>
      </c>
    </row>
    <row r="1497" spans="1:18" x14ac:dyDescent="0.35">
      <c r="A1497" t="s">
        <v>875</v>
      </c>
      <c r="B1497" t="s">
        <v>1528</v>
      </c>
      <c r="C1497" t="str">
        <f>VLOOKUP($A1497,'Customer Names'!$A:$E,4,FALSE)</f>
        <v>Chip</v>
      </c>
      <c r="D1497" t="str">
        <f>VLOOKUP($A1497,'Medical Examinations'!$A:$J,2,FALSE)</f>
        <v>Obesity</v>
      </c>
      <c r="E1497">
        <f>VLOOKUP($A1497,'Medical Examinations'!$A:$J,4,FALSE)</f>
        <v>11.81</v>
      </c>
      <c r="F1497" t="str">
        <f>VLOOKUP($A1497,'Medical Examinations'!$A:$J,6,FALSE)</f>
        <v>No</v>
      </c>
      <c r="G1497" t="str">
        <f>VLOOKUP($A1497,'Medical Examinations'!$A:$J,7,FALSE)</f>
        <v>No</v>
      </c>
      <c r="H1497" t="str">
        <f>VLOOKUP($A1497,'Medical Examinations'!$A:$J,8,FALSE)</f>
        <v>No</v>
      </c>
      <c r="I1497">
        <f>VLOOKUP($A1497,'Medical Examinations'!$A:$J,9,FALSE)</f>
        <v>0</v>
      </c>
      <c r="J1497" t="str">
        <f>VLOOKUP($A1497,'Medical Examinations'!$A:$J,10,FALSE)</f>
        <v>No</v>
      </c>
      <c r="K1497" t="str">
        <f>VLOOKUP($A1497,'Medical Examinations'!$A:$J,5,FALSE)</f>
        <v>Diabetes</v>
      </c>
      <c r="L1497">
        <f>VLOOKUP($A1498,'Medical Examinations'!$A:$J,3,FALSE)</f>
        <v>24.49</v>
      </c>
      <c r="M1497">
        <f>VLOOKUP($A1497,'Hospitalisation Details'!$A:$K,6,FALSE)</f>
        <v>6948.7</v>
      </c>
      <c r="N1497" s="11">
        <f>VLOOKUP($B1497,'Hospitalisation Details'!A1496:J3840,10,0)</f>
        <v>26547</v>
      </c>
      <c r="O1497" t="str">
        <f>VLOOKUP($B1497,'Hospitalisation Details'!A1496:J3840,8,0)</f>
        <v>tier - 1</v>
      </c>
      <c r="P1497" t="str">
        <f>VLOOKUP($B1497,'Hospitalisation Details'!A1496:J3840,7,0)</f>
        <v>tier - 3</v>
      </c>
      <c r="Q1497" t="str">
        <f>VLOOKUP($B1497,'Hospitalisation Details'!A1496:J3840,9,0)</f>
        <v>R1011</v>
      </c>
      <c r="R1497">
        <f>VLOOKUP($B1497,'Hospitalisation Details'!A1496:K3840,11,0)</f>
        <v>50</v>
      </c>
    </row>
    <row r="1498" spans="1:18" x14ac:dyDescent="0.35">
      <c r="A1498" t="s">
        <v>874</v>
      </c>
      <c r="B1498" t="s">
        <v>1529</v>
      </c>
      <c r="C1498" t="str">
        <f>VLOOKUP($A1498,'Customer Names'!$A:$E,4,FALSE)</f>
        <v>Miguel Angel Sr.</v>
      </c>
      <c r="D1498" t="str">
        <f>VLOOKUP($A1498,'Medical Examinations'!$A:$J,2,FALSE)</f>
        <v>Normal Weight</v>
      </c>
      <c r="E1498">
        <f>VLOOKUP($A1498,'Medical Examinations'!$A:$J,4,FALSE)</f>
        <v>4.67</v>
      </c>
      <c r="F1498" t="str">
        <f>VLOOKUP($A1498,'Medical Examinations'!$A:$J,6,FALSE)</f>
        <v>No</v>
      </c>
      <c r="G1498" t="str">
        <f>VLOOKUP($A1498,'Medical Examinations'!$A:$J,7,FALSE)</f>
        <v>No</v>
      </c>
      <c r="H1498" t="str">
        <f>VLOOKUP($A1498,'Medical Examinations'!$A:$J,8,FALSE)</f>
        <v>No</v>
      </c>
      <c r="I1498">
        <f>VLOOKUP($A1498,'Medical Examinations'!$A:$J,9,FALSE)</f>
        <v>0</v>
      </c>
      <c r="J1498" t="str">
        <f>VLOOKUP($A1498,'Medical Examinations'!$A:$J,10,FALSE)</f>
        <v>No</v>
      </c>
      <c r="K1498" t="str">
        <f>VLOOKUP($A1498,'Medical Examinations'!$A:$J,5,FALSE)</f>
        <v>Normal</v>
      </c>
      <c r="L1498">
        <f>VLOOKUP($A1499,'Medical Examinations'!$A:$J,3,FALSE)</f>
        <v>26.315000000000001</v>
      </c>
      <c r="M1498">
        <f>VLOOKUP($A1498,'Hospitalisation Details'!$A:$K,6,FALSE)</f>
        <v>6940.94</v>
      </c>
      <c r="N1498" s="11">
        <f>VLOOKUP($B1498,'Hospitalisation Details'!A1497:J3841,10,0)</f>
        <v>24458</v>
      </c>
      <c r="O1498" t="str">
        <f>VLOOKUP($B1498,'Hospitalisation Details'!A1497:J3841,8,0)</f>
        <v>tier - 1</v>
      </c>
      <c r="P1498" t="str">
        <f>VLOOKUP($B1498,'Hospitalisation Details'!A1497:J3841,7,0)</f>
        <v>tier - 3</v>
      </c>
      <c r="Q1498" t="str">
        <f>VLOOKUP($B1498,'Hospitalisation Details'!A1497:J3841,9,0)</f>
        <v>R1012</v>
      </c>
      <c r="R1498">
        <f>VLOOKUP($B1498,'Hospitalisation Details'!A1497:K3841,11,0)</f>
        <v>56</v>
      </c>
    </row>
    <row r="1499" spans="1:18" x14ac:dyDescent="0.35">
      <c r="A1499" t="s">
        <v>873</v>
      </c>
      <c r="B1499" t="s">
        <v>1530</v>
      </c>
      <c r="C1499" t="str">
        <f>VLOOKUP($A1499,'Customer Names'!$A:$E,4,FALSE)</f>
        <v>Brian</v>
      </c>
      <c r="D1499" t="str">
        <f>VLOOKUP($A1499,'Medical Examinations'!$A:$J,2,FALSE)</f>
        <v>Overweight</v>
      </c>
      <c r="E1499">
        <f>VLOOKUP($A1499,'Medical Examinations'!$A:$J,4,FALSE)</f>
        <v>6.02</v>
      </c>
      <c r="F1499" t="str">
        <f>VLOOKUP($A1499,'Medical Examinations'!$A:$J,6,FALSE)</f>
        <v>No</v>
      </c>
      <c r="G1499" t="str">
        <f>VLOOKUP($A1499,'Medical Examinations'!$A:$J,7,FALSE)</f>
        <v>No</v>
      </c>
      <c r="H1499" t="str">
        <f>VLOOKUP($A1499,'Medical Examinations'!$A:$J,8,FALSE)</f>
        <v>No</v>
      </c>
      <c r="I1499">
        <f>VLOOKUP($A1499,'Medical Examinations'!$A:$J,9,FALSE)</f>
        <v>0</v>
      </c>
      <c r="J1499" t="str">
        <f>VLOOKUP($A1499,'Medical Examinations'!$A:$J,10,FALSE)</f>
        <v>No</v>
      </c>
      <c r="K1499" t="str">
        <f>VLOOKUP($A1499,'Medical Examinations'!$A:$J,5,FALSE)</f>
        <v>Prediabetes</v>
      </c>
      <c r="L1499">
        <f>VLOOKUP($A1500,'Medical Examinations'!$A:$J,3,FALSE)</f>
        <v>22.58</v>
      </c>
      <c r="M1499">
        <f>VLOOKUP($A1499,'Hospitalisation Details'!$A:$K,6,FALSE)</f>
        <v>6940.91</v>
      </c>
      <c r="N1499" s="11">
        <f>VLOOKUP($B1499,'Hospitalisation Details'!A1498:J3842,10,0)</f>
        <v>22838</v>
      </c>
      <c r="O1499" t="str">
        <f>VLOOKUP($B1499,'Hospitalisation Details'!A1498:J3842,8,0)</f>
        <v>tier - 2</v>
      </c>
      <c r="P1499" t="str">
        <f>VLOOKUP($B1499,'Hospitalisation Details'!A1498:J3842,7,0)</f>
        <v>tier - 3</v>
      </c>
      <c r="Q1499" t="str">
        <f>VLOOKUP($B1499,'Hospitalisation Details'!A1498:J3842,9,0)</f>
        <v>R1011</v>
      </c>
      <c r="R1499">
        <f>VLOOKUP($B1499,'Hospitalisation Details'!A1498:K3842,11,0)</f>
        <v>60</v>
      </c>
    </row>
    <row r="1500" spans="1:18" x14ac:dyDescent="0.35">
      <c r="A1500" t="s">
        <v>872</v>
      </c>
      <c r="B1500" t="s">
        <v>1531</v>
      </c>
      <c r="C1500" t="str">
        <f>VLOOKUP($A1500,'Customer Names'!$A:$E,4,FALSE)</f>
        <v>Meghan</v>
      </c>
      <c r="D1500" t="str">
        <f>VLOOKUP($A1500,'Medical Examinations'!$A:$J,2,FALSE)</f>
        <v>Normal Weight</v>
      </c>
      <c r="E1500">
        <f>VLOOKUP($A1500,'Medical Examinations'!$A:$J,4,FALSE)</f>
        <v>7.46</v>
      </c>
      <c r="F1500" t="str">
        <f>VLOOKUP($A1500,'Medical Examinations'!$A:$J,6,FALSE)</f>
        <v>No</v>
      </c>
      <c r="G1500" t="str">
        <f>VLOOKUP($A1500,'Medical Examinations'!$A:$J,7,FALSE)</f>
        <v>No</v>
      </c>
      <c r="H1500" t="str">
        <f>VLOOKUP($A1500,'Medical Examinations'!$A:$J,8,FALSE)</f>
        <v>No</v>
      </c>
      <c r="I1500">
        <f>VLOOKUP($A1500,'Medical Examinations'!$A:$J,9,FALSE)</f>
        <v>0</v>
      </c>
      <c r="J1500" t="str">
        <f>VLOOKUP($A1500,'Medical Examinations'!$A:$J,10,FALSE)</f>
        <v>No</v>
      </c>
      <c r="K1500" t="str">
        <f>VLOOKUP($A1500,'Medical Examinations'!$A:$J,5,FALSE)</f>
        <v>Diabetes</v>
      </c>
      <c r="L1500">
        <f>VLOOKUP($A1501,'Medical Examinations'!$A:$J,3,FALSE)</f>
        <v>19.475000000000001</v>
      </c>
      <c r="M1500">
        <f>VLOOKUP($A1500,'Hospitalisation Details'!$A:$K,6,FALSE)</f>
        <v>6938.11</v>
      </c>
      <c r="N1500" s="11">
        <f>VLOOKUP($B1500,'Hospitalisation Details'!A1499:J3843,10,0)</f>
        <v>23999</v>
      </c>
      <c r="O1500" t="str">
        <f>VLOOKUP($B1500,'Hospitalisation Details'!A1499:J3843,8,0)</f>
        <v>tier - 2</v>
      </c>
      <c r="P1500" t="str">
        <f>VLOOKUP($B1500,'Hospitalisation Details'!A1499:J3843,7,0)</f>
        <v>tier - 3</v>
      </c>
      <c r="Q1500" t="str">
        <f>VLOOKUP($B1500,'Hospitalisation Details'!A1499:J3843,9,0)</f>
        <v>R1011</v>
      </c>
      <c r="R1500">
        <f>VLOOKUP($B1500,'Hospitalisation Details'!A1499:K3843,11,0)</f>
        <v>57</v>
      </c>
    </row>
    <row r="1501" spans="1:18" x14ac:dyDescent="0.35">
      <c r="A1501" t="s">
        <v>871</v>
      </c>
      <c r="B1501" t="s">
        <v>1532</v>
      </c>
      <c r="C1501" t="str">
        <f>VLOOKUP($A1501,'Customer Names'!$A:$E,4,FALSE)</f>
        <v>Meredith L.</v>
      </c>
      <c r="D1501" t="str">
        <f>VLOOKUP($A1501,'Medical Examinations'!$A:$J,2,FALSE)</f>
        <v>Normal Weight</v>
      </c>
      <c r="E1501">
        <f>VLOOKUP($A1501,'Medical Examinations'!$A:$J,4,FALSE)</f>
        <v>4.74</v>
      </c>
      <c r="F1501" t="str">
        <f>VLOOKUP($A1501,'Medical Examinations'!$A:$J,6,FALSE)</f>
        <v>No</v>
      </c>
      <c r="G1501" t="str">
        <f>VLOOKUP($A1501,'Medical Examinations'!$A:$J,7,FALSE)</f>
        <v>No</v>
      </c>
      <c r="H1501" t="str">
        <f>VLOOKUP($A1501,'Medical Examinations'!$A:$J,8,FALSE)</f>
        <v>No</v>
      </c>
      <c r="I1501">
        <f>VLOOKUP($A1501,'Medical Examinations'!$A:$J,9,FALSE)</f>
        <v>1</v>
      </c>
      <c r="J1501" t="str">
        <f>VLOOKUP($A1501,'Medical Examinations'!$A:$J,10,FALSE)</f>
        <v>No</v>
      </c>
      <c r="K1501" t="str">
        <f>VLOOKUP($A1501,'Medical Examinations'!$A:$J,5,FALSE)</f>
        <v>Normal</v>
      </c>
      <c r="L1501">
        <f>VLOOKUP($A1502,'Medical Examinations'!$A:$J,3,FALSE)</f>
        <v>26.33</v>
      </c>
      <c r="M1501">
        <f>VLOOKUP($A1501,'Hospitalisation Details'!$A:$K,6,FALSE)</f>
        <v>6933.24</v>
      </c>
      <c r="N1501" s="11">
        <f>VLOOKUP($B1501,'Hospitalisation Details'!A1500:J3844,10,0)</f>
        <v>22885</v>
      </c>
      <c r="O1501" t="str">
        <f>VLOOKUP($B1501,'Hospitalisation Details'!A1500:J3844,8,0)</f>
        <v>tier - 2</v>
      </c>
      <c r="P1501" t="str">
        <f>VLOOKUP($B1501,'Hospitalisation Details'!A1500:J3844,7,0)</f>
        <v>tier - 3</v>
      </c>
      <c r="Q1501" t="str">
        <f>VLOOKUP($B1501,'Hospitalisation Details'!A1500:J3844,9,0)</f>
        <v>R1013</v>
      </c>
      <c r="R1501">
        <f>VLOOKUP($B1501,'Hospitalisation Details'!A1500:K3844,11,0)</f>
        <v>60</v>
      </c>
    </row>
    <row r="1502" spans="1:18" x14ac:dyDescent="0.35">
      <c r="A1502" t="s">
        <v>870</v>
      </c>
      <c r="B1502" t="s">
        <v>1533</v>
      </c>
      <c r="C1502" t="str">
        <f>VLOOKUP($A1502,'Customer Names'!$A:$E,4,FALSE)</f>
        <v>Millicent M</v>
      </c>
      <c r="D1502" t="str">
        <f>VLOOKUP($A1502,'Medical Examinations'!$A:$J,2,FALSE)</f>
        <v>Overweight</v>
      </c>
      <c r="E1502">
        <f>VLOOKUP($A1502,'Medical Examinations'!$A:$J,4,FALSE)</f>
        <v>4.79</v>
      </c>
      <c r="F1502" t="str">
        <f>VLOOKUP($A1502,'Medical Examinations'!$A:$J,6,FALSE)</f>
        <v>No</v>
      </c>
      <c r="G1502" t="str">
        <f>VLOOKUP($A1502,'Medical Examinations'!$A:$J,7,FALSE)</f>
        <v>No</v>
      </c>
      <c r="H1502" t="str">
        <f>VLOOKUP($A1502,'Medical Examinations'!$A:$J,8,FALSE)</f>
        <v>No</v>
      </c>
      <c r="I1502">
        <f>VLOOKUP($A1502,'Medical Examinations'!$A:$J,9,FALSE)</f>
        <v>0</v>
      </c>
      <c r="J1502" t="str">
        <f>VLOOKUP($A1502,'Medical Examinations'!$A:$J,10,FALSE)</f>
        <v>No</v>
      </c>
      <c r="K1502" t="str">
        <f>VLOOKUP($A1502,'Medical Examinations'!$A:$J,5,FALSE)</f>
        <v>Normal</v>
      </c>
      <c r="L1502">
        <f>VLOOKUP($A1503,'Medical Examinations'!$A:$J,3,FALSE)</f>
        <v>17.29</v>
      </c>
      <c r="M1502">
        <f>VLOOKUP($A1502,'Hospitalisation Details'!$A:$K,6,FALSE)</f>
        <v>6895.19</v>
      </c>
      <c r="N1502" s="11">
        <f>VLOOKUP($B1502,'Hospitalisation Details'!A1501:J3845,10,0)</f>
        <v>27296</v>
      </c>
      <c r="O1502" t="str">
        <f>VLOOKUP($B1502,'Hospitalisation Details'!A1501:J3845,8,0)</f>
        <v>tier - 3</v>
      </c>
      <c r="P1502" t="str">
        <f>VLOOKUP($B1502,'Hospitalisation Details'!A1501:J3845,7,0)</f>
        <v>tier - 3</v>
      </c>
      <c r="Q1502" t="str">
        <f>VLOOKUP($B1502,'Hospitalisation Details'!A1501:J3845,9,0)</f>
        <v>R1021</v>
      </c>
      <c r="R1502">
        <f>VLOOKUP($B1502,'Hospitalisation Details'!A1501:K3845,11,0)</f>
        <v>48</v>
      </c>
    </row>
    <row r="1503" spans="1:18" x14ac:dyDescent="0.35">
      <c r="A1503" t="s">
        <v>869</v>
      </c>
      <c r="B1503" t="s">
        <v>1534</v>
      </c>
      <c r="C1503" t="str">
        <f>VLOOKUP($A1503,'Customer Names'!$A:$E,4,FALSE)</f>
        <v>Kathleen</v>
      </c>
      <c r="D1503" t="str">
        <f>VLOOKUP($A1503,'Medical Examinations'!$A:$J,2,FALSE)</f>
        <v>Underweight</v>
      </c>
      <c r="E1503">
        <f>VLOOKUP($A1503,'Medical Examinations'!$A:$J,4,FALSE)</f>
        <v>5.35</v>
      </c>
      <c r="F1503" t="str">
        <f>VLOOKUP($A1503,'Medical Examinations'!$A:$J,6,FALSE)</f>
        <v>yes</v>
      </c>
      <c r="G1503" t="str">
        <f>VLOOKUP($A1503,'Medical Examinations'!$A:$J,7,FALSE)</f>
        <v>No</v>
      </c>
      <c r="H1503" t="str">
        <f>VLOOKUP($A1503,'Medical Examinations'!$A:$J,8,FALSE)</f>
        <v>No</v>
      </c>
      <c r="I1503">
        <f>VLOOKUP($A1503,'Medical Examinations'!$A:$J,9,FALSE)</f>
        <v>0</v>
      </c>
      <c r="J1503" t="str">
        <f>VLOOKUP($A1503,'Medical Examinations'!$A:$J,10,FALSE)</f>
        <v>No</v>
      </c>
      <c r="K1503" t="str">
        <f>VLOOKUP($A1503,'Medical Examinations'!$A:$J,5,FALSE)</f>
        <v>Normal</v>
      </c>
      <c r="L1503">
        <f>VLOOKUP($A1504,'Medical Examinations'!$A:$J,3,FALSE)</f>
        <v>42.88</v>
      </c>
      <c r="M1503">
        <f>VLOOKUP($A1503,'Hospitalisation Details'!$A:$K,6,FALSE)</f>
        <v>6877.98</v>
      </c>
      <c r="N1503" s="11">
        <f>VLOOKUP($B1503,'Hospitalisation Details'!A1502:J3846,10,0)</f>
        <v>33792</v>
      </c>
      <c r="O1503" t="str">
        <f>VLOOKUP($B1503,'Hospitalisation Details'!A1502:J3846,8,0)</f>
        <v>tier - 2</v>
      </c>
      <c r="P1503" t="str">
        <f>VLOOKUP($B1503,'Hospitalisation Details'!A1502:J3846,7,0)</f>
        <v>tier - 3</v>
      </c>
      <c r="Q1503" t="str">
        <f>VLOOKUP($B1503,'Hospitalisation Details'!A1502:J3846,9,0)</f>
        <v>R1011</v>
      </c>
      <c r="R1503">
        <f>VLOOKUP($B1503,'Hospitalisation Details'!A1502:K3846,11,0)</f>
        <v>30</v>
      </c>
    </row>
    <row r="1504" spans="1:18" x14ac:dyDescent="0.35">
      <c r="A1504" t="s">
        <v>868</v>
      </c>
      <c r="B1504" t="s">
        <v>1535</v>
      </c>
      <c r="C1504" t="str">
        <f>VLOOKUP($A1504,'Customer Names'!$A:$E,4,FALSE)</f>
        <v>Kimberly K</v>
      </c>
      <c r="D1504" t="str">
        <f>VLOOKUP($A1504,'Medical Examinations'!$A:$J,2,FALSE)</f>
        <v>Obesity</v>
      </c>
      <c r="E1504">
        <f>VLOOKUP($A1504,'Medical Examinations'!$A:$J,4,FALSE)</f>
        <v>4.87</v>
      </c>
      <c r="F1504" t="str">
        <f>VLOOKUP($A1504,'Medical Examinations'!$A:$J,6,FALSE)</f>
        <v>No</v>
      </c>
      <c r="G1504" t="str">
        <f>VLOOKUP($A1504,'Medical Examinations'!$A:$J,7,FALSE)</f>
        <v>yes</v>
      </c>
      <c r="H1504" t="str">
        <f>VLOOKUP($A1504,'Medical Examinations'!$A:$J,8,FALSE)</f>
        <v>No</v>
      </c>
      <c r="I1504">
        <f>VLOOKUP($A1504,'Medical Examinations'!$A:$J,9,FALSE)</f>
        <v>1</v>
      </c>
      <c r="J1504" t="str">
        <f>VLOOKUP($A1504,'Medical Examinations'!$A:$J,10,FALSE)</f>
        <v>No</v>
      </c>
      <c r="K1504" t="str">
        <f>VLOOKUP($A1504,'Medical Examinations'!$A:$J,5,FALSE)</f>
        <v>Normal</v>
      </c>
      <c r="L1504">
        <f>VLOOKUP($A1505,'Medical Examinations'!$A:$J,3,FALSE)</f>
        <v>32.200000000000003</v>
      </c>
      <c r="M1504">
        <f>VLOOKUP($A1504,'Hospitalisation Details'!$A:$K,6,FALSE)</f>
        <v>6876.53</v>
      </c>
      <c r="N1504" s="11">
        <f>VLOOKUP($B1504,'Hospitalisation Details'!A1503:J3847,10,0)</f>
        <v>23709</v>
      </c>
      <c r="O1504" t="str">
        <f>VLOOKUP($B1504,'Hospitalisation Details'!A1503:J3847,8,0)</f>
        <v>tier - 3</v>
      </c>
      <c r="P1504" t="str">
        <f>VLOOKUP($B1504,'Hospitalisation Details'!A1503:J3847,7,0)</f>
        <v>tier - 3</v>
      </c>
      <c r="Q1504" t="str">
        <f>VLOOKUP($B1504,'Hospitalisation Details'!A1503:J3847,9,0)</f>
        <v>R1011</v>
      </c>
      <c r="R1504">
        <f>VLOOKUP($B1504,'Hospitalisation Details'!A1503:K3847,11,0)</f>
        <v>58</v>
      </c>
    </row>
    <row r="1505" spans="1:18" x14ac:dyDescent="0.35">
      <c r="A1505" t="s">
        <v>867</v>
      </c>
      <c r="B1505" t="s">
        <v>1536</v>
      </c>
      <c r="C1505" t="str">
        <f>VLOOKUP($A1505,'Customer Names'!$A:$E,4,FALSE)</f>
        <v>Justin C</v>
      </c>
      <c r="D1505" t="str">
        <f>VLOOKUP($A1505,'Medical Examinations'!$A:$J,2,FALSE)</f>
        <v>Obesity</v>
      </c>
      <c r="E1505">
        <f>VLOOKUP($A1505,'Medical Examinations'!$A:$J,4,FALSE)</f>
        <v>10.09</v>
      </c>
      <c r="F1505" t="str">
        <f>VLOOKUP($A1505,'Medical Examinations'!$A:$J,6,FALSE)</f>
        <v>yes</v>
      </c>
      <c r="G1505" t="str">
        <f>VLOOKUP($A1505,'Medical Examinations'!$A:$J,7,FALSE)</f>
        <v>No</v>
      </c>
      <c r="H1505" t="str">
        <f>VLOOKUP($A1505,'Medical Examinations'!$A:$J,8,FALSE)</f>
        <v>No</v>
      </c>
      <c r="I1505">
        <f>VLOOKUP($A1505,'Medical Examinations'!$A:$J,9,FALSE)</f>
        <v>0</v>
      </c>
      <c r="J1505" t="str">
        <f>VLOOKUP($A1505,'Medical Examinations'!$A:$J,10,FALSE)</f>
        <v>No</v>
      </c>
      <c r="K1505" t="str">
        <f>VLOOKUP($A1505,'Medical Examinations'!$A:$J,5,FALSE)</f>
        <v>Diabetes</v>
      </c>
      <c r="L1505">
        <f>VLOOKUP($A1506,'Medical Examinations'!$A:$J,3,FALSE)</f>
        <v>18.75</v>
      </c>
      <c r="M1505">
        <f>VLOOKUP($A1505,'Hospitalisation Details'!$A:$K,6,FALSE)</f>
        <v>6875.96</v>
      </c>
      <c r="N1505" s="11">
        <f>VLOOKUP($B1505,'Hospitalisation Details'!A1504:J3848,10,0)</f>
        <v>25757</v>
      </c>
      <c r="O1505" t="str">
        <f>VLOOKUP($B1505,'Hospitalisation Details'!A1504:J3848,8,0)</f>
        <v>tier - 1</v>
      </c>
      <c r="P1505" t="str">
        <f>VLOOKUP($B1505,'Hospitalisation Details'!A1504:J3848,7,0)</f>
        <v>tier - 3</v>
      </c>
      <c r="Q1505" t="str">
        <f>VLOOKUP($B1505,'Hospitalisation Details'!A1504:J3848,9,0)</f>
        <v>R1011</v>
      </c>
      <c r="R1505">
        <f>VLOOKUP($B1505,'Hospitalisation Details'!A1504:K3848,11,0)</f>
        <v>52</v>
      </c>
    </row>
    <row r="1506" spans="1:18" x14ac:dyDescent="0.35">
      <c r="A1506" t="s">
        <v>866</v>
      </c>
      <c r="B1506" t="s">
        <v>1537</v>
      </c>
      <c r="C1506" t="str">
        <f>VLOOKUP($A1506,'Customer Names'!$A:$E,4,FALSE)</f>
        <v>Tristan P.</v>
      </c>
      <c r="D1506" t="str">
        <f>VLOOKUP($A1506,'Medical Examinations'!$A:$J,2,FALSE)</f>
        <v>Normal Weight</v>
      </c>
      <c r="E1506">
        <f>VLOOKUP($A1506,'Medical Examinations'!$A:$J,4,FALSE)</f>
        <v>5.47</v>
      </c>
      <c r="F1506" t="str">
        <f>VLOOKUP($A1506,'Medical Examinations'!$A:$J,6,FALSE)</f>
        <v>yes</v>
      </c>
      <c r="G1506" t="str">
        <f>VLOOKUP($A1506,'Medical Examinations'!$A:$J,7,FALSE)</f>
        <v>No</v>
      </c>
      <c r="H1506" t="str">
        <f>VLOOKUP($A1506,'Medical Examinations'!$A:$J,8,FALSE)</f>
        <v>Yes</v>
      </c>
      <c r="I1506">
        <f>VLOOKUP($A1506,'Medical Examinations'!$A:$J,9,FALSE)</f>
        <v>1</v>
      </c>
      <c r="J1506" t="str">
        <f>VLOOKUP($A1506,'Medical Examinations'!$A:$J,10,FALSE)</f>
        <v>No</v>
      </c>
      <c r="K1506" t="str">
        <f>VLOOKUP($A1506,'Medical Examinations'!$A:$J,5,FALSE)</f>
        <v>Normal</v>
      </c>
      <c r="L1506">
        <f>VLOOKUP($A1507,'Medical Examinations'!$A:$J,3,FALSE)</f>
        <v>22.36</v>
      </c>
      <c r="M1506">
        <f>VLOOKUP($A1506,'Hospitalisation Details'!$A:$K,6,FALSE)</f>
        <v>6868.39</v>
      </c>
      <c r="N1506" s="11">
        <f>VLOOKUP($B1506,'Hospitalisation Details'!A1505:J3849,10,0)</f>
        <v>32341</v>
      </c>
      <c r="O1506" t="str">
        <f>VLOOKUP($B1506,'Hospitalisation Details'!A1505:J3849,8,0)</f>
        <v>tier - 1</v>
      </c>
      <c r="P1506" t="str">
        <f>VLOOKUP($B1506,'Hospitalisation Details'!A1505:J3849,7,0)</f>
        <v>tier - 3</v>
      </c>
      <c r="Q1506" t="str">
        <f>VLOOKUP($B1506,'Hospitalisation Details'!A1505:J3849,9,0)</f>
        <v>R1026</v>
      </c>
      <c r="R1506">
        <f>VLOOKUP($B1506,'Hospitalisation Details'!A1505:K3849,11,0)</f>
        <v>34</v>
      </c>
    </row>
    <row r="1507" spans="1:18" x14ac:dyDescent="0.35">
      <c r="A1507" t="s">
        <v>865</v>
      </c>
      <c r="B1507" t="s">
        <v>1538</v>
      </c>
      <c r="C1507" t="str">
        <f>VLOOKUP($A1507,'Customer Names'!$A:$E,4,FALSE)</f>
        <v>Traci A</v>
      </c>
      <c r="D1507" t="str">
        <f>VLOOKUP($A1507,'Medical Examinations'!$A:$J,2,FALSE)</f>
        <v>Normal Weight</v>
      </c>
      <c r="E1507">
        <f>VLOOKUP($A1507,'Medical Examinations'!$A:$J,4,FALSE)</f>
        <v>8.6</v>
      </c>
      <c r="F1507" t="str">
        <f>VLOOKUP($A1507,'Medical Examinations'!$A:$J,6,FALSE)</f>
        <v>No</v>
      </c>
      <c r="G1507" t="str">
        <f>VLOOKUP($A1507,'Medical Examinations'!$A:$J,7,FALSE)</f>
        <v>No</v>
      </c>
      <c r="H1507" t="str">
        <f>VLOOKUP($A1507,'Medical Examinations'!$A:$J,8,FALSE)</f>
        <v>No</v>
      </c>
      <c r="I1507">
        <f>VLOOKUP($A1507,'Medical Examinations'!$A:$J,9,FALSE)</f>
        <v>0</v>
      </c>
      <c r="J1507" t="str">
        <f>VLOOKUP($A1507,'Medical Examinations'!$A:$J,10,FALSE)</f>
        <v>No</v>
      </c>
      <c r="K1507" t="str">
        <f>VLOOKUP($A1507,'Medical Examinations'!$A:$J,5,FALSE)</f>
        <v>Diabetes</v>
      </c>
      <c r="L1507">
        <f>VLOOKUP($A1508,'Medical Examinations'!$A:$J,3,FALSE)</f>
        <v>23.94</v>
      </c>
      <c r="M1507">
        <f>VLOOKUP($A1507,'Hospitalisation Details'!$A:$K,6,FALSE)</f>
        <v>6863.49</v>
      </c>
      <c r="N1507" s="11">
        <f>VLOOKUP($B1507,'Hospitalisation Details'!A1506:J3850,10,0)</f>
        <v>22891</v>
      </c>
      <c r="O1507" t="str">
        <f>VLOOKUP($B1507,'Hospitalisation Details'!A1506:J3850,8,0)</f>
        <v>tier - 3</v>
      </c>
      <c r="P1507" t="str">
        <f>VLOOKUP($B1507,'Hospitalisation Details'!A1506:J3850,7,0)</f>
        <v>tier - 3</v>
      </c>
      <c r="Q1507" t="str">
        <f>VLOOKUP($B1507,'Hospitalisation Details'!A1506:J3850,9,0)</f>
        <v>R1016</v>
      </c>
      <c r="R1507">
        <f>VLOOKUP($B1507,'Hospitalisation Details'!A1506:K3850,11,0)</f>
        <v>60</v>
      </c>
    </row>
    <row r="1508" spans="1:18" x14ac:dyDescent="0.35">
      <c r="A1508" t="s">
        <v>864</v>
      </c>
      <c r="B1508" t="s">
        <v>1539</v>
      </c>
      <c r="C1508" t="str">
        <f>VLOOKUP($A1508,'Customer Names'!$A:$E,4,FALSE)</f>
        <v>Justin P</v>
      </c>
      <c r="D1508" t="str">
        <f>VLOOKUP($A1508,'Medical Examinations'!$A:$J,2,FALSE)</f>
        <v>Normal Weight</v>
      </c>
      <c r="E1508">
        <f>VLOOKUP($A1508,'Medical Examinations'!$A:$J,4,FALSE)</f>
        <v>10.74</v>
      </c>
      <c r="F1508" t="str">
        <f>VLOOKUP($A1508,'Medical Examinations'!$A:$J,6,FALSE)</f>
        <v>yes</v>
      </c>
      <c r="G1508" t="str">
        <f>VLOOKUP($A1508,'Medical Examinations'!$A:$J,7,FALSE)</f>
        <v>No</v>
      </c>
      <c r="H1508" t="str">
        <f>VLOOKUP($A1508,'Medical Examinations'!$A:$J,8,FALSE)</f>
        <v>No</v>
      </c>
      <c r="I1508">
        <f>VLOOKUP($A1508,'Medical Examinations'!$A:$J,9,FALSE)</f>
        <v>0</v>
      </c>
      <c r="J1508" t="str">
        <f>VLOOKUP($A1508,'Medical Examinations'!$A:$J,10,FALSE)</f>
        <v>No</v>
      </c>
      <c r="K1508" t="str">
        <f>VLOOKUP($A1508,'Medical Examinations'!$A:$J,5,FALSE)</f>
        <v>Diabetes</v>
      </c>
      <c r="L1508">
        <f>VLOOKUP($A1509,'Medical Examinations'!$A:$J,3,FALSE)</f>
        <v>30.1</v>
      </c>
      <c r="M1508">
        <f>VLOOKUP($A1508,'Hospitalisation Details'!$A:$K,6,FALSE)</f>
        <v>6858.48</v>
      </c>
      <c r="N1508" s="11">
        <f>VLOOKUP($B1508,'Hospitalisation Details'!A1507:J3851,10,0)</f>
        <v>22920</v>
      </c>
      <c r="O1508" t="str">
        <f>VLOOKUP($B1508,'Hospitalisation Details'!A1507:J3851,8,0)</f>
        <v>tier - 1</v>
      </c>
      <c r="P1508" t="str">
        <f>VLOOKUP($B1508,'Hospitalisation Details'!A1507:J3851,7,0)</f>
        <v>tier - 3</v>
      </c>
      <c r="Q1508" t="str">
        <f>VLOOKUP($B1508,'Hospitalisation Details'!A1507:J3851,9,0)</f>
        <v>R1017</v>
      </c>
      <c r="R1508">
        <f>VLOOKUP($B1508,'Hospitalisation Details'!A1507:K3851,11,0)</f>
        <v>60</v>
      </c>
    </row>
    <row r="1509" spans="1:18" x14ac:dyDescent="0.35">
      <c r="A1509" t="s">
        <v>863</v>
      </c>
      <c r="B1509" t="s">
        <v>1540</v>
      </c>
      <c r="C1509" t="str">
        <f>VLOOKUP($A1509,'Customer Names'!$A:$E,4,FALSE)</f>
        <v>Logan M</v>
      </c>
      <c r="D1509" t="str">
        <f>VLOOKUP($A1509,'Medical Examinations'!$A:$J,2,FALSE)</f>
        <v>Obesity</v>
      </c>
      <c r="E1509">
        <f>VLOOKUP($A1509,'Medical Examinations'!$A:$J,4,FALSE)</f>
        <v>4.3899999999999997</v>
      </c>
      <c r="F1509" t="str">
        <f>VLOOKUP($A1509,'Medical Examinations'!$A:$J,6,FALSE)</f>
        <v>No</v>
      </c>
      <c r="G1509" t="str">
        <f>VLOOKUP($A1509,'Medical Examinations'!$A:$J,7,FALSE)</f>
        <v>No</v>
      </c>
      <c r="H1509" t="str">
        <f>VLOOKUP($A1509,'Medical Examinations'!$A:$J,8,FALSE)</f>
        <v>Yes</v>
      </c>
      <c r="I1509">
        <f>VLOOKUP($A1509,'Medical Examinations'!$A:$J,9,FALSE)</f>
        <v>1</v>
      </c>
      <c r="J1509" t="str">
        <f>VLOOKUP($A1509,'Medical Examinations'!$A:$J,10,FALSE)</f>
        <v>No</v>
      </c>
      <c r="K1509" t="str">
        <f>VLOOKUP($A1509,'Medical Examinations'!$A:$J,5,FALSE)</f>
        <v>Normal</v>
      </c>
      <c r="L1509">
        <f>VLOOKUP($A1510,'Medical Examinations'!$A:$J,3,FALSE)</f>
        <v>21.93</v>
      </c>
      <c r="M1509">
        <f>VLOOKUP($A1509,'Hospitalisation Details'!$A:$K,6,FALSE)</f>
        <v>6849.03</v>
      </c>
      <c r="N1509" s="11">
        <f>VLOOKUP($B1509,'Hospitalisation Details'!A1508:J3852,10,0)</f>
        <v>27662</v>
      </c>
      <c r="O1509" t="str">
        <f>VLOOKUP($B1509,'Hospitalisation Details'!A1508:J3852,8,0)</f>
        <v>tier - 3</v>
      </c>
      <c r="P1509" t="str">
        <f>VLOOKUP($B1509,'Hospitalisation Details'!A1508:J3852,7,0)</f>
        <v>tier - 3</v>
      </c>
      <c r="Q1509" t="str">
        <f>VLOOKUP($B1509,'Hospitalisation Details'!A1508:J3852,9,0)</f>
        <v>R1021</v>
      </c>
      <c r="R1509">
        <f>VLOOKUP($B1509,'Hospitalisation Details'!A1508:K3852,11,0)</f>
        <v>47</v>
      </c>
    </row>
    <row r="1510" spans="1:18" x14ac:dyDescent="0.35">
      <c r="A1510" t="s">
        <v>862</v>
      </c>
      <c r="B1510" t="s">
        <v>1541</v>
      </c>
      <c r="C1510" t="str">
        <f>VLOOKUP($A1510,'Customer Names'!$A:$E,4,FALSE)</f>
        <v>Sebastien</v>
      </c>
      <c r="D1510" t="str">
        <f>VLOOKUP($A1510,'Medical Examinations'!$A:$J,2,FALSE)</f>
        <v>Normal Weight</v>
      </c>
      <c r="E1510">
        <f>VLOOKUP($A1510,'Medical Examinations'!$A:$J,4,FALSE)</f>
        <v>6.3</v>
      </c>
      <c r="F1510" t="str">
        <f>VLOOKUP($A1510,'Medical Examinations'!$A:$J,6,FALSE)</f>
        <v>No</v>
      </c>
      <c r="G1510" t="str">
        <f>VLOOKUP($A1510,'Medical Examinations'!$A:$J,7,FALSE)</f>
        <v>No</v>
      </c>
      <c r="H1510" t="str">
        <f>VLOOKUP($A1510,'Medical Examinations'!$A:$J,8,FALSE)</f>
        <v>No</v>
      </c>
      <c r="I1510">
        <f>VLOOKUP($A1510,'Medical Examinations'!$A:$J,9,FALSE)</f>
        <v>0</v>
      </c>
      <c r="J1510" t="str">
        <f>VLOOKUP($A1510,'Medical Examinations'!$A:$J,10,FALSE)</f>
        <v>No</v>
      </c>
      <c r="K1510" t="str">
        <f>VLOOKUP($A1510,'Medical Examinations'!$A:$J,5,FALSE)</f>
        <v>Prediabetes</v>
      </c>
      <c r="L1510">
        <f>VLOOKUP($A1511,'Medical Examinations'!$A:$J,3,FALSE)</f>
        <v>39.75</v>
      </c>
      <c r="M1510">
        <f>VLOOKUP($A1510,'Hospitalisation Details'!$A:$K,6,FALSE)</f>
        <v>6843.17</v>
      </c>
      <c r="N1510" s="11">
        <f>VLOOKUP($B1510,'Hospitalisation Details'!A1509:J3853,10,0)</f>
        <v>26579</v>
      </c>
      <c r="O1510" t="str">
        <f>VLOOKUP($B1510,'Hospitalisation Details'!A1509:J3853,8,0)</f>
        <v>tier - 3</v>
      </c>
      <c r="P1510" t="str">
        <f>VLOOKUP($B1510,'Hospitalisation Details'!A1509:J3853,7,0)</f>
        <v>tier - 3</v>
      </c>
      <c r="Q1510" t="str">
        <f>VLOOKUP($B1510,'Hospitalisation Details'!A1509:J3853,9,0)</f>
        <v>R1026</v>
      </c>
      <c r="R1510">
        <f>VLOOKUP($B1510,'Hospitalisation Details'!A1509:K3853,11,0)</f>
        <v>50</v>
      </c>
    </row>
    <row r="1511" spans="1:18" x14ac:dyDescent="0.35">
      <c r="A1511" t="s">
        <v>861</v>
      </c>
      <c r="B1511" t="s">
        <v>1542</v>
      </c>
      <c r="C1511" t="str">
        <f>VLOOKUP($A1511,'Customer Names'!$A:$E,4,FALSE)</f>
        <v>Tiffany A</v>
      </c>
      <c r="D1511" t="str">
        <f>VLOOKUP($A1511,'Medical Examinations'!$A:$J,2,FALSE)</f>
        <v>Obesity</v>
      </c>
      <c r="E1511">
        <f>VLOOKUP($A1511,'Medical Examinations'!$A:$J,4,FALSE)</f>
        <v>5.41</v>
      </c>
      <c r="F1511" t="str">
        <f>VLOOKUP($A1511,'Medical Examinations'!$A:$J,6,FALSE)</f>
        <v>No</v>
      </c>
      <c r="G1511" t="str">
        <f>VLOOKUP($A1511,'Medical Examinations'!$A:$J,7,FALSE)</f>
        <v>yes</v>
      </c>
      <c r="H1511" t="str">
        <f>VLOOKUP($A1511,'Medical Examinations'!$A:$J,8,FALSE)</f>
        <v>No</v>
      </c>
      <c r="I1511">
        <f>VLOOKUP($A1511,'Medical Examinations'!$A:$J,9,FALSE)</f>
        <v>1</v>
      </c>
      <c r="J1511" t="str">
        <f>VLOOKUP($A1511,'Medical Examinations'!$A:$J,10,FALSE)</f>
        <v>No</v>
      </c>
      <c r="K1511" t="str">
        <f>VLOOKUP($A1511,'Medical Examinations'!$A:$J,5,FALSE)</f>
        <v>Normal</v>
      </c>
      <c r="L1511">
        <f>VLOOKUP($A1512,'Medical Examinations'!$A:$J,3,FALSE)</f>
        <v>26.03</v>
      </c>
      <c r="M1511">
        <f>VLOOKUP($A1511,'Hospitalisation Details'!$A:$K,6,FALSE)</f>
        <v>6842.28</v>
      </c>
      <c r="N1511" s="11">
        <f>VLOOKUP($B1511,'Hospitalisation Details'!A1510:J3854,10,0)</f>
        <v>23350</v>
      </c>
      <c r="O1511" t="str">
        <f>VLOOKUP($B1511,'Hospitalisation Details'!A1510:J3854,8,0)</f>
        <v>tier - 3</v>
      </c>
      <c r="P1511" t="str">
        <f>VLOOKUP($B1511,'Hospitalisation Details'!A1510:J3854,7,0)</f>
        <v>tier - 3</v>
      </c>
      <c r="Q1511" t="str">
        <f>VLOOKUP($B1511,'Hospitalisation Details'!A1510:J3854,9,0)</f>
        <v>R1025</v>
      </c>
      <c r="R1511">
        <f>VLOOKUP($B1511,'Hospitalisation Details'!A1510:K3854,11,0)</f>
        <v>59</v>
      </c>
    </row>
    <row r="1512" spans="1:18" x14ac:dyDescent="0.35">
      <c r="A1512" t="s">
        <v>860</v>
      </c>
      <c r="B1512" t="s">
        <v>1543</v>
      </c>
      <c r="C1512" t="str">
        <f>VLOOKUP($A1512,'Customer Names'!$A:$E,4,FALSE)</f>
        <v>Matthew</v>
      </c>
      <c r="D1512" t="str">
        <f>VLOOKUP($A1512,'Medical Examinations'!$A:$J,2,FALSE)</f>
        <v>Overweight</v>
      </c>
      <c r="E1512">
        <f>VLOOKUP($A1512,'Medical Examinations'!$A:$J,4,FALSE)</f>
        <v>4.47</v>
      </c>
      <c r="F1512" t="str">
        <f>VLOOKUP($A1512,'Medical Examinations'!$A:$J,6,FALSE)</f>
        <v>No</v>
      </c>
      <c r="G1512" t="str">
        <f>VLOOKUP($A1512,'Medical Examinations'!$A:$J,7,FALSE)</f>
        <v>No</v>
      </c>
      <c r="H1512" t="str">
        <f>VLOOKUP($A1512,'Medical Examinations'!$A:$J,8,FALSE)</f>
        <v>Yes</v>
      </c>
      <c r="I1512">
        <f>VLOOKUP($A1512,'Medical Examinations'!$A:$J,9,FALSE)</f>
        <v>1</v>
      </c>
      <c r="J1512" t="str">
        <f>VLOOKUP($A1512,'Medical Examinations'!$A:$J,10,FALSE)</f>
        <v>No</v>
      </c>
      <c r="K1512" t="str">
        <f>VLOOKUP($A1512,'Medical Examinations'!$A:$J,5,FALSE)</f>
        <v>Normal</v>
      </c>
      <c r="L1512">
        <f>VLOOKUP($A1513,'Medical Examinations'!$A:$J,3,FALSE)</f>
        <v>34.51</v>
      </c>
      <c r="M1512">
        <f>VLOOKUP($A1512,'Hospitalisation Details'!$A:$K,6,FALSE)</f>
        <v>6837.37</v>
      </c>
      <c r="N1512" s="11">
        <f>VLOOKUP($B1512,'Hospitalisation Details'!A1511:J3855,10,0)</f>
        <v>30618</v>
      </c>
      <c r="O1512" t="str">
        <f>VLOOKUP($B1512,'Hospitalisation Details'!A1511:J3855,8,0)</f>
        <v>tier - 1</v>
      </c>
      <c r="P1512" t="str">
        <f>VLOOKUP($B1512,'Hospitalisation Details'!A1511:J3855,7,0)</f>
        <v>tier - 3</v>
      </c>
      <c r="Q1512" t="str">
        <f>VLOOKUP($B1512,'Hospitalisation Details'!A1511:J3855,9,0)</f>
        <v>R1026</v>
      </c>
      <c r="R1512">
        <f>VLOOKUP($B1512,'Hospitalisation Details'!A1511:K3855,11,0)</f>
        <v>39</v>
      </c>
    </row>
    <row r="1513" spans="1:18" x14ac:dyDescent="0.35">
      <c r="A1513" t="s">
        <v>859</v>
      </c>
      <c r="B1513" t="s">
        <v>1544</v>
      </c>
      <c r="C1513" t="str">
        <f>VLOOKUP($A1513,'Customer Names'!$A:$E,4,FALSE)</f>
        <v>Luke</v>
      </c>
      <c r="D1513" t="str">
        <f>VLOOKUP($A1513,'Medical Examinations'!$A:$J,2,FALSE)</f>
        <v>Obesity</v>
      </c>
      <c r="E1513">
        <f>VLOOKUP($A1513,'Medical Examinations'!$A:$J,4,FALSE)</f>
        <v>6.26</v>
      </c>
      <c r="F1513" t="str">
        <f>VLOOKUP($A1513,'Medical Examinations'!$A:$J,6,FALSE)</f>
        <v>No</v>
      </c>
      <c r="G1513" t="str">
        <f>VLOOKUP($A1513,'Medical Examinations'!$A:$J,7,FALSE)</f>
        <v>No</v>
      </c>
      <c r="H1513" t="str">
        <f>VLOOKUP($A1513,'Medical Examinations'!$A:$J,8,FALSE)</f>
        <v>No</v>
      </c>
      <c r="I1513">
        <f>VLOOKUP($A1513,'Medical Examinations'!$A:$J,9,FALSE)</f>
        <v>0</v>
      </c>
      <c r="J1513" t="str">
        <f>VLOOKUP($A1513,'Medical Examinations'!$A:$J,10,FALSE)</f>
        <v>No</v>
      </c>
      <c r="K1513" t="str">
        <f>VLOOKUP($A1513,'Medical Examinations'!$A:$J,5,FALSE)</f>
        <v>Prediabetes</v>
      </c>
      <c r="L1513">
        <f>VLOOKUP($A1514,'Medical Examinations'!$A:$J,3,FALSE)</f>
        <v>19.32</v>
      </c>
      <c r="M1513">
        <f>VLOOKUP($A1513,'Hospitalisation Details'!$A:$K,6,FALSE)</f>
        <v>6827.69</v>
      </c>
      <c r="N1513" s="11">
        <f>VLOOKUP($B1513,'Hospitalisation Details'!A1512:J3856,10,0)</f>
        <v>28695</v>
      </c>
      <c r="O1513" t="str">
        <f>VLOOKUP($B1513,'Hospitalisation Details'!A1512:J3856,8,0)</f>
        <v>tier - 1</v>
      </c>
      <c r="P1513" t="str">
        <f>VLOOKUP($B1513,'Hospitalisation Details'!A1512:J3856,7,0)</f>
        <v>tier - 3</v>
      </c>
      <c r="Q1513" t="str">
        <f>VLOOKUP($B1513,'Hospitalisation Details'!A1512:J3856,9,0)</f>
        <v>R1024</v>
      </c>
      <c r="R1513">
        <f>VLOOKUP($B1513,'Hospitalisation Details'!A1512:K3856,11,0)</f>
        <v>44</v>
      </c>
    </row>
    <row r="1514" spans="1:18" x14ac:dyDescent="0.35">
      <c r="A1514" t="s">
        <v>858</v>
      </c>
      <c r="B1514" t="s">
        <v>1545</v>
      </c>
      <c r="C1514" t="str">
        <f>VLOOKUP($A1514,'Customer Names'!$A:$E,4,FALSE)</f>
        <v>Leigh</v>
      </c>
      <c r="D1514" t="str">
        <f>VLOOKUP($A1514,'Medical Examinations'!$A:$J,2,FALSE)</f>
        <v>Normal Weight</v>
      </c>
      <c r="E1514">
        <f>VLOOKUP($A1514,'Medical Examinations'!$A:$J,4,FALSE)</f>
        <v>11.58</v>
      </c>
      <c r="F1514" t="str">
        <f>VLOOKUP($A1514,'Medical Examinations'!$A:$J,6,FALSE)</f>
        <v>yes</v>
      </c>
      <c r="G1514" t="str">
        <f>VLOOKUP($A1514,'Medical Examinations'!$A:$J,7,FALSE)</f>
        <v>No</v>
      </c>
      <c r="H1514" t="str">
        <f>VLOOKUP($A1514,'Medical Examinations'!$A:$J,8,FALSE)</f>
        <v>No</v>
      </c>
      <c r="I1514">
        <f>VLOOKUP($A1514,'Medical Examinations'!$A:$J,9,FALSE)</f>
        <v>1</v>
      </c>
      <c r="J1514" t="str">
        <f>VLOOKUP($A1514,'Medical Examinations'!$A:$J,10,FALSE)</f>
        <v>No</v>
      </c>
      <c r="K1514" t="str">
        <f>VLOOKUP($A1514,'Medical Examinations'!$A:$J,5,FALSE)</f>
        <v>Diabetes</v>
      </c>
      <c r="L1514">
        <f>VLOOKUP($A1515,'Medical Examinations'!$A:$J,3,FALSE)</f>
        <v>28.5</v>
      </c>
      <c r="M1514">
        <f>VLOOKUP($A1514,'Hospitalisation Details'!$A:$K,6,FALSE)</f>
        <v>6809.46</v>
      </c>
      <c r="N1514" s="11">
        <f>VLOOKUP($B1514,'Hospitalisation Details'!A1513:J3857,10,0)</f>
        <v>23212</v>
      </c>
      <c r="O1514" t="str">
        <f>VLOOKUP($B1514,'Hospitalisation Details'!A1513:J3857,8,0)</f>
        <v>tier - 3</v>
      </c>
      <c r="P1514" t="str">
        <f>VLOOKUP($B1514,'Hospitalisation Details'!A1513:J3857,7,0)</f>
        <v>tier - 3</v>
      </c>
      <c r="Q1514" t="str">
        <f>VLOOKUP($B1514,'Hospitalisation Details'!A1513:J3857,9,0)</f>
        <v>R1024</v>
      </c>
      <c r="R1514">
        <f>VLOOKUP($B1514,'Hospitalisation Details'!A1513:K3857,11,0)</f>
        <v>59</v>
      </c>
    </row>
    <row r="1515" spans="1:18" x14ac:dyDescent="0.35">
      <c r="A1515" t="s">
        <v>857</v>
      </c>
      <c r="B1515" t="s">
        <v>1546</v>
      </c>
      <c r="C1515" t="str">
        <f>VLOOKUP($A1515,'Customer Names'!$A:$E,4,FALSE)</f>
        <v>Yosuke</v>
      </c>
      <c r="D1515" t="str">
        <f>VLOOKUP($A1515,'Medical Examinations'!$A:$J,2,FALSE)</f>
        <v>Overweight</v>
      </c>
      <c r="E1515">
        <f>VLOOKUP($A1515,'Medical Examinations'!$A:$J,4,FALSE)</f>
        <v>4.3600000000000003</v>
      </c>
      <c r="F1515" t="str">
        <f>VLOOKUP($A1515,'Medical Examinations'!$A:$J,6,FALSE)</f>
        <v>No</v>
      </c>
      <c r="G1515" t="str">
        <f>VLOOKUP($A1515,'Medical Examinations'!$A:$J,7,FALSE)</f>
        <v>No</v>
      </c>
      <c r="H1515" t="str">
        <f>VLOOKUP($A1515,'Medical Examinations'!$A:$J,8,FALSE)</f>
        <v>No</v>
      </c>
      <c r="I1515">
        <f>VLOOKUP($A1515,'Medical Examinations'!$A:$J,9,FALSE)</f>
        <v>0</v>
      </c>
      <c r="J1515" t="str">
        <f>VLOOKUP($A1515,'Medical Examinations'!$A:$J,10,FALSE)</f>
        <v>No</v>
      </c>
      <c r="K1515" t="str">
        <f>VLOOKUP($A1515,'Medical Examinations'!$A:$J,5,FALSE)</f>
        <v>Normal</v>
      </c>
      <c r="L1515">
        <f>VLOOKUP($A1516,'Medical Examinations'!$A:$J,3,FALSE)</f>
        <v>30.875</v>
      </c>
      <c r="M1515">
        <f>VLOOKUP($A1515,'Hospitalisation Details'!$A:$K,6,FALSE)</f>
        <v>6799.46</v>
      </c>
      <c r="N1515" s="11">
        <f>VLOOKUP($B1515,'Hospitalisation Details'!A1514:J3858,10,0)</f>
        <v>24740</v>
      </c>
      <c r="O1515" t="str">
        <f>VLOOKUP($B1515,'Hospitalisation Details'!A1514:J3858,8,0)</f>
        <v>tier - 3</v>
      </c>
      <c r="P1515" t="str">
        <f>VLOOKUP($B1515,'Hospitalisation Details'!A1514:J3858,7,0)</f>
        <v>tier - 3</v>
      </c>
      <c r="Q1515" t="str">
        <f>VLOOKUP($B1515,'Hospitalisation Details'!A1514:J3858,9,0)</f>
        <v>R1021</v>
      </c>
      <c r="R1515">
        <f>VLOOKUP($B1515,'Hospitalisation Details'!A1514:K3858,11,0)</f>
        <v>55</v>
      </c>
    </row>
    <row r="1516" spans="1:18" x14ac:dyDescent="0.35">
      <c r="A1516" t="s">
        <v>856</v>
      </c>
      <c r="B1516" t="s">
        <v>1547</v>
      </c>
      <c r="C1516" t="str">
        <f>VLOOKUP($A1516,'Customer Names'!$A:$E,4,FALSE)</f>
        <v>Matthew</v>
      </c>
      <c r="D1516" t="str">
        <f>VLOOKUP($A1516,'Medical Examinations'!$A:$J,2,FALSE)</f>
        <v>Obesity</v>
      </c>
      <c r="E1516">
        <f>VLOOKUP($A1516,'Medical Examinations'!$A:$J,4,FALSE)</f>
        <v>4.1399999999999997</v>
      </c>
      <c r="F1516" t="str">
        <f>VLOOKUP($A1516,'Medical Examinations'!$A:$J,6,FALSE)</f>
        <v>yes</v>
      </c>
      <c r="G1516" t="str">
        <f>VLOOKUP($A1516,'Medical Examinations'!$A:$J,7,FALSE)</f>
        <v>No</v>
      </c>
      <c r="H1516" t="str">
        <f>VLOOKUP($A1516,'Medical Examinations'!$A:$J,8,FALSE)</f>
        <v>No</v>
      </c>
      <c r="I1516">
        <f>VLOOKUP($A1516,'Medical Examinations'!$A:$J,9,FALSE)</f>
        <v>0</v>
      </c>
      <c r="J1516" t="str">
        <f>VLOOKUP($A1516,'Medical Examinations'!$A:$J,10,FALSE)</f>
        <v>No</v>
      </c>
      <c r="K1516" t="str">
        <f>VLOOKUP($A1516,'Medical Examinations'!$A:$J,5,FALSE)</f>
        <v>Normal</v>
      </c>
      <c r="L1516">
        <f>VLOOKUP($A1517,'Medical Examinations'!$A:$J,3,FALSE)</f>
        <v>24.02</v>
      </c>
      <c r="M1516">
        <f>VLOOKUP($A1516,'Hospitalisation Details'!$A:$K,6,FALSE)</f>
        <v>6796.86</v>
      </c>
      <c r="N1516" s="11">
        <f>VLOOKUP($B1516,'Hospitalisation Details'!A1515:J3859,10,0)</f>
        <v>38300</v>
      </c>
      <c r="O1516" t="str">
        <f>VLOOKUP($B1516,'Hospitalisation Details'!A1515:J3859,8,0)</f>
        <v>tier - 3</v>
      </c>
      <c r="P1516" t="str">
        <f>VLOOKUP($B1516,'Hospitalisation Details'!A1515:J3859,7,0)</f>
        <v>tier - 3</v>
      </c>
      <c r="Q1516" t="str">
        <f>VLOOKUP($B1516,'Hospitalisation Details'!A1515:J3859,9,0)</f>
        <v>R1016</v>
      </c>
      <c r="R1516">
        <f>VLOOKUP($B1516,'Hospitalisation Details'!A1515:K3859,11,0)</f>
        <v>18</v>
      </c>
    </row>
    <row r="1517" spans="1:18" x14ac:dyDescent="0.35">
      <c r="A1517" t="s">
        <v>855</v>
      </c>
      <c r="B1517" t="s">
        <v>1548</v>
      </c>
      <c r="C1517" t="str">
        <f>VLOOKUP($A1517,'Customer Names'!$A:$E,4,FALSE)</f>
        <v>Jacob</v>
      </c>
      <c r="D1517" t="str">
        <f>VLOOKUP($A1517,'Medical Examinations'!$A:$J,2,FALSE)</f>
        <v>Normal Weight</v>
      </c>
      <c r="E1517">
        <f>VLOOKUP($A1517,'Medical Examinations'!$A:$J,4,FALSE)</f>
        <v>4.38</v>
      </c>
      <c r="F1517" t="str">
        <f>VLOOKUP($A1517,'Medical Examinations'!$A:$J,6,FALSE)</f>
        <v>No</v>
      </c>
      <c r="G1517" t="str">
        <f>VLOOKUP($A1517,'Medical Examinations'!$A:$J,7,FALSE)</f>
        <v>No</v>
      </c>
      <c r="H1517" t="str">
        <f>VLOOKUP($A1517,'Medical Examinations'!$A:$J,8,FALSE)</f>
        <v>No</v>
      </c>
      <c r="I1517">
        <f>VLOOKUP($A1517,'Medical Examinations'!$A:$J,9,FALSE)</f>
        <v>0</v>
      </c>
      <c r="J1517" t="str">
        <f>VLOOKUP($A1517,'Medical Examinations'!$A:$J,10,FALSE)</f>
        <v>No</v>
      </c>
      <c r="K1517" t="str">
        <f>VLOOKUP($A1517,'Medical Examinations'!$A:$J,5,FALSE)</f>
        <v>Normal</v>
      </c>
      <c r="L1517">
        <f>VLOOKUP($A1518,'Medical Examinations'!$A:$J,3,FALSE)</f>
        <v>36.08</v>
      </c>
      <c r="M1517">
        <f>VLOOKUP($A1517,'Hospitalisation Details'!$A:$K,6,FALSE)</f>
        <v>6781.52</v>
      </c>
      <c r="N1517" s="11">
        <f>VLOOKUP($B1517,'Hospitalisation Details'!A1516:J3860,10,0)</f>
        <v>34239</v>
      </c>
      <c r="O1517" t="str">
        <f>VLOOKUP($B1517,'Hospitalisation Details'!A1516:J3860,8,0)</f>
        <v>tier - 2</v>
      </c>
      <c r="P1517" t="str">
        <f>VLOOKUP($B1517,'Hospitalisation Details'!A1516:J3860,7,0)</f>
        <v>tier - 3</v>
      </c>
      <c r="Q1517" t="str">
        <f>VLOOKUP($B1517,'Hospitalisation Details'!A1516:J3860,9,0)</f>
        <v>R1012</v>
      </c>
      <c r="R1517">
        <f>VLOOKUP($B1517,'Hospitalisation Details'!A1516:K3860,11,0)</f>
        <v>29</v>
      </c>
    </row>
    <row r="1518" spans="1:18" x14ac:dyDescent="0.35">
      <c r="A1518" t="s">
        <v>854</v>
      </c>
      <c r="B1518" t="s">
        <v>1549</v>
      </c>
      <c r="C1518" t="str">
        <f>VLOOKUP($A1518,'Customer Names'!$A:$E,4,FALSE)</f>
        <v>Jodi</v>
      </c>
      <c r="D1518" t="str">
        <f>VLOOKUP($A1518,'Medical Examinations'!$A:$J,2,FALSE)</f>
        <v>Obesity</v>
      </c>
      <c r="E1518">
        <f>VLOOKUP($A1518,'Medical Examinations'!$A:$J,4,FALSE)</f>
        <v>11.61</v>
      </c>
      <c r="F1518" t="str">
        <f>VLOOKUP($A1518,'Medical Examinations'!$A:$J,6,FALSE)</f>
        <v>yes</v>
      </c>
      <c r="G1518" t="str">
        <f>VLOOKUP($A1518,'Medical Examinations'!$A:$J,7,FALSE)</f>
        <v>No</v>
      </c>
      <c r="H1518" t="str">
        <f>VLOOKUP($A1518,'Medical Examinations'!$A:$J,8,FALSE)</f>
        <v>No</v>
      </c>
      <c r="I1518">
        <f>VLOOKUP($A1518,'Medical Examinations'!$A:$J,9,FALSE)</f>
        <v>0</v>
      </c>
      <c r="J1518" t="str">
        <f>VLOOKUP($A1518,'Medical Examinations'!$A:$J,10,FALSE)</f>
        <v>No</v>
      </c>
      <c r="K1518" t="str">
        <f>VLOOKUP($A1518,'Medical Examinations'!$A:$J,5,FALSE)</f>
        <v>Diabetes</v>
      </c>
      <c r="L1518">
        <f>VLOOKUP($A1519,'Medical Examinations'!$A:$J,3,FALSE)</f>
        <v>32.200000000000003</v>
      </c>
      <c r="M1518">
        <f>VLOOKUP($A1518,'Hospitalisation Details'!$A:$K,6,FALSE)</f>
        <v>6781.35</v>
      </c>
      <c r="N1518" s="11">
        <f>VLOOKUP($B1518,'Hospitalisation Details'!A1517:J3861,10,0)</f>
        <v>26929</v>
      </c>
      <c r="O1518" t="str">
        <f>VLOOKUP($B1518,'Hospitalisation Details'!A1517:J3861,8,0)</f>
        <v>tier - 1</v>
      </c>
      <c r="P1518" t="str">
        <f>VLOOKUP($B1518,'Hospitalisation Details'!A1517:J3861,7,0)</f>
        <v>tier - 3</v>
      </c>
      <c r="Q1518" t="str">
        <f>VLOOKUP($B1518,'Hospitalisation Details'!A1517:J3861,9,0)</f>
        <v>R1012</v>
      </c>
      <c r="R1518">
        <f>VLOOKUP($B1518,'Hospitalisation Details'!A1517:K3861,11,0)</f>
        <v>49</v>
      </c>
    </row>
    <row r="1519" spans="1:18" x14ac:dyDescent="0.35">
      <c r="A1519" t="s">
        <v>853</v>
      </c>
      <c r="B1519" t="s">
        <v>1550</v>
      </c>
      <c r="C1519" t="str">
        <f>VLOOKUP($A1519,'Customer Names'!$A:$E,4,FALSE)</f>
        <v>Lauren</v>
      </c>
      <c r="D1519" t="str">
        <f>VLOOKUP($A1519,'Medical Examinations'!$A:$J,2,FALSE)</f>
        <v>Obesity</v>
      </c>
      <c r="E1519">
        <f>VLOOKUP($A1519,'Medical Examinations'!$A:$J,4,FALSE)</f>
        <v>10.59</v>
      </c>
      <c r="F1519" t="str">
        <f>VLOOKUP($A1519,'Medical Examinations'!$A:$J,6,FALSE)</f>
        <v>yes</v>
      </c>
      <c r="G1519" t="str">
        <f>VLOOKUP($A1519,'Medical Examinations'!$A:$J,7,FALSE)</f>
        <v>No</v>
      </c>
      <c r="H1519" t="str">
        <f>VLOOKUP($A1519,'Medical Examinations'!$A:$J,8,FALSE)</f>
        <v>No</v>
      </c>
      <c r="I1519">
        <f>VLOOKUP($A1519,'Medical Examinations'!$A:$J,9,FALSE)</f>
        <v>0</v>
      </c>
      <c r="J1519" t="str">
        <f>VLOOKUP($A1519,'Medical Examinations'!$A:$J,10,FALSE)</f>
        <v>No</v>
      </c>
      <c r="K1519" t="str">
        <f>VLOOKUP($A1519,'Medical Examinations'!$A:$J,5,FALSE)</f>
        <v>Diabetes</v>
      </c>
      <c r="L1519">
        <f>VLOOKUP($A1520,'Medical Examinations'!$A:$J,3,FALSE)</f>
        <v>28.05</v>
      </c>
      <c r="M1519">
        <f>VLOOKUP($A1519,'Hospitalisation Details'!$A:$K,6,FALSE)</f>
        <v>6775.96</v>
      </c>
      <c r="N1519" s="11">
        <f>VLOOKUP($B1519,'Hospitalisation Details'!A1518:J3862,10,0)</f>
        <v>23281</v>
      </c>
      <c r="O1519" t="str">
        <f>VLOOKUP($B1519,'Hospitalisation Details'!A1518:J3862,8,0)</f>
        <v>tier - 3</v>
      </c>
      <c r="P1519" t="str">
        <f>VLOOKUP($B1519,'Hospitalisation Details'!A1518:J3862,7,0)</f>
        <v>tier - 3</v>
      </c>
      <c r="Q1519" t="str">
        <f>VLOOKUP($B1519,'Hospitalisation Details'!A1518:J3862,9,0)</f>
        <v>R1021</v>
      </c>
      <c r="R1519">
        <f>VLOOKUP($B1519,'Hospitalisation Details'!A1518:K3862,11,0)</f>
        <v>59</v>
      </c>
    </row>
    <row r="1520" spans="1:18" x14ac:dyDescent="0.35">
      <c r="A1520" t="s">
        <v>852</v>
      </c>
      <c r="B1520" t="s">
        <v>1551</v>
      </c>
      <c r="C1520" t="str">
        <f>VLOOKUP($A1520,'Customer Names'!$A:$E,4,FALSE)</f>
        <v>Misti C</v>
      </c>
      <c r="D1520" t="str">
        <f>VLOOKUP($A1520,'Medical Examinations'!$A:$J,2,FALSE)</f>
        <v>Overweight</v>
      </c>
      <c r="E1520">
        <f>VLOOKUP($A1520,'Medical Examinations'!$A:$J,4,FALSE)</f>
        <v>11.85</v>
      </c>
      <c r="F1520" t="str">
        <f>VLOOKUP($A1520,'Medical Examinations'!$A:$J,6,FALSE)</f>
        <v>yes</v>
      </c>
      <c r="G1520" t="str">
        <f>VLOOKUP($A1520,'Medical Examinations'!$A:$J,7,FALSE)</f>
        <v>No</v>
      </c>
      <c r="H1520" t="str">
        <f>VLOOKUP($A1520,'Medical Examinations'!$A:$J,8,FALSE)</f>
        <v>No</v>
      </c>
      <c r="I1520">
        <f>VLOOKUP($A1520,'Medical Examinations'!$A:$J,9,FALSE)</f>
        <v>0</v>
      </c>
      <c r="J1520" t="str">
        <f>VLOOKUP($A1520,'Medical Examinations'!$A:$J,10,FALSE)</f>
        <v>No</v>
      </c>
      <c r="K1520" t="str">
        <f>VLOOKUP($A1520,'Medical Examinations'!$A:$J,5,FALSE)</f>
        <v>Diabetes</v>
      </c>
      <c r="L1520">
        <f>VLOOKUP($A1521,'Medical Examinations'!$A:$J,3,FALSE)</f>
        <v>19</v>
      </c>
      <c r="M1520">
        <f>VLOOKUP($A1520,'Hospitalisation Details'!$A:$K,6,FALSE)</f>
        <v>6770.19</v>
      </c>
      <c r="N1520" s="11">
        <f>VLOOKUP($B1520,'Hospitalisation Details'!A1519:J3863,10,0)</f>
        <v>30900</v>
      </c>
      <c r="O1520" t="str">
        <f>VLOOKUP($B1520,'Hospitalisation Details'!A1519:J3863,8,0)</f>
        <v>tier - 3</v>
      </c>
      <c r="P1520" t="str">
        <f>VLOOKUP($B1520,'Hospitalisation Details'!A1519:J3863,7,0)</f>
        <v>tier - 3</v>
      </c>
      <c r="Q1520" t="str">
        <f>VLOOKUP($B1520,'Hospitalisation Details'!A1519:J3863,9,0)</f>
        <v>R1012</v>
      </c>
      <c r="R1520">
        <f>VLOOKUP($B1520,'Hospitalisation Details'!A1519:K3863,11,0)</f>
        <v>38</v>
      </c>
    </row>
    <row r="1521" spans="1:18" x14ac:dyDescent="0.35">
      <c r="A1521" t="s">
        <v>851</v>
      </c>
      <c r="B1521" t="s">
        <v>1552</v>
      </c>
      <c r="C1521" t="str">
        <f>VLOOKUP($A1521,'Customer Names'!$A:$E,4,FALSE)</f>
        <v>Angela J</v>
      </c>
      <c r="D1521" t="str">
        <f>VLOOKUP($A1521,'Medical Examinations'!$A:$J,2,FALSE)</f>
        <v>Normal Weight</v>
      </c>
      <c r="E1521">
        <f>VLOOKUP($A1521,'Medical Examinations'!$A:$J,4,FALSE)</f>
        <v>5.46</v>
      </c>
      <c r="F1521" t="str">
        <f>VLOOKUP($A1521,'Medical Examinations'!$A:$J,6,FALSE)</f>
        <v>yes</v>
      </c>
      <c r="G1521" t="str">
        <f>VLOOKUP($A1521,'Medical Examinations'!$A:$J,7,FALSE)</f>
        <v>No</v>
      </c>
      <c r="H1521" t="str">
        <f>VLOOKUP($A1521,'Medical Examinations'!$A:$J,8,FALSE)</f>
        <v>No</v>
      </c>
      <c r="I1521">
        <f>VLOOKUP($A1521,'Medical Examinations'!$A:$J,9,FALSE)</f>
        <v>1</v>
      </c>
      <c r="J1521" t="str">
        <f>VLOOKUP($A1521,'Medical Examinations'!$A:$J,10,FALSE)</f>
        <v>No</v>
      </c>
      <c r="K1521" t="str">
        <f>VLOOKUP($A1521,'Medical Examinations'!$A:$J,5,FALSE)</f>
        <v>Normal</v>
      </c>
      <c r="L1521">
        <f>VLOOKUP($A1522,'Medical Examinations'!$A:$J,3,FALSE)</f>
        <v>16.13</v>
      </c>
      <c r="M1521">
        <f>VLOOKUP($A1521,'Hospitalisation Details'!$A:$K,6,FALSE)</f>
        <v>6753.04</v>
      </c>
      <c r="N1521" s="11">
        <f>VLOOKUP($B1521,'Hospitalisation Details'!A1520:J3864,10,0)</f>
        <v>38177</v>
      </c>
      <c r="O1521" t="str">
        <f>VLOOKUP($B1521,'Hospitalisation Details'!A1520:J3864,8,0)</f>
        <v>tier - 1</v>
      </c>
      <c r="P1521" t="str">
        <f>VLOOKUP($B1521,'Hospitalisation Details'!A1520:J3864,7,0)</f>
        <v>tier - 3</v>
      </c>
      <c r="Q1521" t="str">
        <f>VLOOKUP($B1521,'Hospitalisation Details'!A1520:J3864,9,0)</f>
        <v>R1019</v>
      </c>
      <c r="R1521">
        <f>VLOOKUP($B1521,'Hospitalisation Details'!A1520:K3864,11,0)</f>
        <v>18</v>
      </c>
    </row>
    <row r="1522" spans="1:18" x14ac:dyDescent="0.35">
      <c r="A1522" t="s">
        <v>850</v>
      </c>
      <c r="B1522" t="s">
        <v>1553</v>
      </c>
      <c r="C1522" t="str">
        <f>VLOOKUP($A1522,'Customer Names'!$A:$E,4,FALSE)</f>
        <v>Jonathan D.</v>
      </c>
      <c r="D1522" t="str">
        <f>VLOOKUP($A1522,'Medical Examinations'!$A:$J,2,FALSE)</f>
        <v>Underweight</v>
      </c>
      <c r="E1522">
        <f>VLOOKUP($A1522,'Medical Examinations'!$A:$J,4,FALSE)</f>
        <v>4.54</v>
      </c>
      <c r="F1522" t="str">
        <f>VLOOKUP($A1522,'Medical Examinations'!$A:$J,6,FALSE)</f>
        <v>yes</v>
      </c>
      <c r="G1522" t="str">
        <f>VLOOKUP($A1522,'Medical Examinations'!$A:$J,7,FALSE)</f>
        <v>No</v>
      </c>
      <c r="H1522" t="str">
        <f>VLOOKUP($A1522,'Medical Examinations'!$A:$J,8,FALSE)</f>
        <v>No</v>
      </c>
      <c r="I1522">
        <f>VLOOKUP($A1522,'Medical Examinations'!$A:$J,9,FALSE)</f>
        <v>2</v>
      </c>
      <c r="J1522" t="str">
        <f>VLOOKUP($A1522,'Medical Examinations'!$A:$J,10,FALSE)</f>
        <v>No</v>
      </c>
      <c r="K1522" t="str">
        <f>VLOOKUP($A1522,'Medical Examinations'!$A:$J,5,FALSE)</f>
        <v>Normal</v>
      </c>
      <c r="L1522">
        <f>VLOOKUP($A1523,'Medical Examinations'!$A:$J,3,FALSE)</f>
        <v>18.77</v>
      </c>
      <c r="M1522">
        <f>VLOOKUP($A1522,'Hospitalisation Details'!$A:$K,6,FALSE)</f>
        <v>6750.27</v>
      </c>
      <c r="N1522" s="11">
        <f>VLOOKUP($B1522,'Hospitalisation Details'!A1521:J3865,10,0)</f>
        <v>23239</v>
      </c>
      <c r="O1522" t="str">
        <f>VLOOKUP($B1522,'Hospitalisation Details'!A1521:J3865,8,0)</f>
        <v>tier - 2</v>
      </c>
      <c r="P1522" t="str">
        <f>VLOOKUP($B1522,'Hospitalisation Details'!A1521:J3865,7,0)</f>
        <v>tier - 3</v>
      </c>
      <c r="Q1522" t="str">
        <f>VLOOKUP($B1522,'Hospitalisation Details'!A1521:J3865,9,0)</f>
        <v>R1016</v>
      </c>
      <c r="R1522">
        <f>VLOOKUP($B1522,'Hospitalisation Details'!A1521:K3865,11,0)</f>
        <v>59</v>
      </c>
    </row>
    <row r="1523" spans="1:18" x14ac:dyDescent="0.35">
      <c r="A1523" t="s">
        <v>849</v>
      </c>
      <c r="B1523" t="s">
        <v>1554</v>
      </c>
      <c r="C1523" t="str">
        <f>VLOOKUP($A1523,'Customer Names'!$A:$E,4,FALSE)</f>
        <v>Victoria</v>
      </c>
      <c r="D1523" t="str">
        <f>VLOOKUP($A1523,'Medical Examinations'!$A:$J,2,FALSE)</f>
        <v>Normal Weight</v>
      </c>
      <c r="E1523">
        <f>VLOOKUP($A1523,'Medical Examinations'!$A:$J,4,FALSE)</f>
        <v>11.98</v>
      </c>
      <c r="F1523" t="str">
        <f>VLOOKUP($A1523,'Medical Examinations'!$A:$J,6,FALSE)</f>
        <v>yes</v>
      </c>
      <c r="G1523" t="str">
        <f>VLOOKUP($A1523,'Medical Examinations'!$A:$J,7,FALSE)</f>
        <v>No</v>
      </c>
      <c r="H1523" t="str">
        <f>VLOOKUP($A1523,'Medical Examinations'!$A:$J,8,FALSE)</f>
        <v>No</v>
      </c>
      <c r="I1523">
        <f>VLOOKUP($A1523,'Medical Examinations'!$A:$J,9,FALSE)</f>
        <v>2</v>
      </c>
      <c r="J1523" t="str">
        <f>VLOOKUP($A1523,'Medical Examinations'!$A:$J,10,FALSE)</f>
        <v>No</v>
      </c>
      <c r="K1523" t="str">
        <f>VLOOKUP($A1523,'Medical Examinations'!$A:$J,5,FALSE)</f>
        <v>Diabetes</v>
      </c>
      <c r="L1523">
        <f>VLOOKUP($A1524,'Medical Examinations'!$A:$J,3,FALSE)</f>
        <v>28.88</v>
      </c>
      <c r="M1523">
        <f>VLOOKUP($A1523,'Hospitalisation Details'!$A:$K,6,FALSE)</f>
        <v>6749.63</v>
      </c>
      <c r="N1523" s="11">
        <f>VLOOKUP($B1523,'Hospitalisation Details'!A1522:J3866,10,0)</f>
        <v>23255</v>
      </c>
      <c r="O1523" t="str">
        <f>VLOOKUP($B1523,'Hospitalisation Details'!A1522:J3866,8,0)</f>
        <v>tier - 2</v>
      </c>
      <c r="P1523" t="str">
        <f>VLOOKUP($B1523,'Hospitalisation Details'!A1522:J3866,7,0)</f>
        <v>tier - 3</v>
      </c>
      <c r="Q1523" t="str">
        <f>VLOOKUP($B1523,'Hospitalisation Details'!A1522:J3866,9,0)</f>
        <v>R1013</v>
      </c>
      <c r="R1523">
        <f>VLOOKUP($B1523,'Hospitalisation Details'!A1522:K3866,11,0)</f>
        <v>59</v>
      </c>
    </row>
    <row r="1524" spans="1:18" x14ac:dyDescent="0.35">
      <c r="A1524" t="s">
        <v>848</v>
      </c>
      <c r="B1524" t="s">
        <v>1555</v>
      </c>
      <c r="C1524" t="str">
        <f>VLOOKUP($A1524,'Customer Names'!$A:$E,4,FALSE)</f>
        <v>Adrian R.</v>
      </c>
      <c r="D1524" t="str">
        <f>VLOOKUP($A1524,'Medical Examinations'!$A:$J,2,FALSE)</f>
        <v>Overweight</v>
      </c>
      <c r="E1524">
        <f>VLOOKUP($A1524,'Medical Examinations'!$A:$J,4,FALSE)</f>
        <v>6.59</v>
      </c>
      <c r="F1524" t="str">
        <f>VLOOKUP($A1524,'Medical Examinations'!$A:$J,6,FALSE)</f>
        <v>yes</v>
      </c>
      <c r="G1524" t="str">
        <f>VLOOKUP($A1524,'Medical Examinations'!$A:$J,7,FALSE)</f>
        <v>No</v>
      </c>
      <c r="H1524" t="str">
        <f>VLOOKUP($A1524,'Medical Examinations'!$A:$J,8,FALSE)</f>
        <v>No</v>
      </c>
      <c r="I1524">
        <f>VLOOKUP($A1524,'Medical Examinations'!$A:$J,9,FALSE)</f>
        <v>1</v>
      </c>
      <c r="J1524" t="str">
        <f>VLOOKUP($A1524,'Medical Examinations'!$A:$J,10,FALSE)</f>
        <v>No</v>
      </c>
      <c r="K1524" t="str">
        <f>VLOOKUP($A1524,'Medical Examinations'!$A:$J,5,FALSE)</f>
        <v>Diabetes</v>
      </c>
      <c r="L1524">
        <f>VLOOKUP($A1525,'Medical Examinations'!$A:$J,3,FALSE)</f>
        <v>27.55</v>
      </c>
      <c r="M1524">
        <f>VLOOKUP($A1524,'Hospitalisation Details'!$A:$K,6,FALSE)</f>
        <v>6748.59</v>
      </c>
      <c r="N1524" s="11">
        <f>VLOOKUP($B1524,'Hospitalisation Details'!A1523:J3867,10,0)</f>
        <v>23237</v>
      </c>
      <c r="O1524" t="str">
        <f>VLOOKUP($B1524,'Hospitalisation Details'!A1523:J3867,8,0)</f>
        <v>tier - 2</v>
      </c>
      <c r="P1524" t="str">
        <f>VLOOKUP($B1524,'Hospitalisation Details'!A1523:J3867,7,0)</f>
        <v>tier - 3</v>
      </c>
      <c r="Q1524" t="str">
        <f>VLOOKUP($B1524,'Hospitalisation Details'!A1523:J3867,9,0)</f>
        <v>R1013</v>
      </c>
      <c r="R1524">
        <f>VLOOKUP($B1524,'Hospitalisation Details'!A1523:K3867,11,0)</f>
        <v>59</v>
      </c>
    </row>
    <row r="1525" spans="1:18" x14ac:dyDescent="0.35">
      <c r="A1525" t="s">
        <v>847</v>
      </c>
      <c r="B1525" t="s">
        <v>1556</v>
      </c>
      <c r="C1525" t="str">
        <f>VLOOKUP($A1525,'Customer Names'!$A:$E,4,FALSE)</f>
        <v>Andrew</v>
      </c>
      <c r="D1525" t="str">
        <f>VLOOKUP($A1525,'Medical Examinations'!$A:$J,2,FALSE)</f>
        <v>Overweight</v>
      </c>
      <c r="E1525">
        <f>VLOOKUP($A1525,'Medical Examinations'!$A:$J,4,FALSE)</f>
        <v>10.83</v>
      </c>
      <c r="F1525" t="str">
        <f>VLOOKUP($A1525,'Medical Examinations'!$A:$J,6,FALSE)</f>
        <v>yes</v>
      </c>
      <c r="G1525" t="str">
        <f>VLOOKUP($A1525,'Medical Examinations'!$A:$J,7,FALSE)</f>
        <v>No</v>
      </c>
      <c r="H1525" t="str">
        <f>VLOOKUP($A1525,'Medical Examinations'!$A:$J,8,FALSE)</f>
        <v>No</v>
      </c>
      <c r="I1525">
        <f>VLOOKUP($A1525,'Medical Examinations'!$A:$J,9,FALSE)</f>
        <v>1</v>
      </c>
      <c r="J1525" t="str">
        <f>VLOOKUP($A1525,'Medical Examinations'!$A:$J,10,FALSE)</f>
        <v>No</v>
      </c>
      <c r="K1525" t="str">
        <f>VLOOKUP($A1525,'Medical Examinations'!$A:$J,5,FALSE)</f>
        <v>Diabetes</v>
      </c>
      <c r="L1525">
        <f>VLOOKUP($A1526,'Medical Examinations'!$A:$J,3,FALSE)</f>
        <v>15.6</v>
      </c>
      <c r="M1525">
        <f>VLOOKUP($A1525,'Hospitalisation Details'!$A:$K,6,FALSE)</f>
        <v>6746.74</v>
      </c>
      <c r="N1525" s="11">
        <f>VLOOKUP($B1525,'Hospitalisation Details'!A1524:J3868,10,0)</f>
        <v>24463</v>
      </c>
      <c r="O1525" t="str">
        <f>VLOOKUP($B1525,'Hospitalisation Details'!A1524:J3868,8,0)</f>
        <v>tier - 3</v>
      </c>
      <c r="P1525" t="str">
        <f>VLOOKUP($B1525,'Hospitalisation Details'!A1524:J3868,7,0)</f>
        <v>tier - 3</v>
      </c>
      <c r="Q1525" t="str">
        <f>VLOOKUP($B1525,'Hospitalisation Details'!A1524:J3868,9,0)</f>
        <v>R1013</v>
      </c>
      <c r="R1525">
        <f>VLOOKUP($B1525,'Hospitalisation Details'!A1524:K3868,11,0)</f>
        <v>56</v>
      </c>
    </row>
    <row r="1526" spans="1:18" x14ac:dyDescent="0.35">
      <c r="A1526" t="s">
        <v>846</v>
      </c>
      <c r="B1526" t="s">
        <v>1557</v>
      </c>
      <c r="C1526" t="str">
        <f>VLOOKUP($A1526,'Customer Names'!$A:$E,4,FALSE)</f>
        <v>Jason A.</v>
      </c>
      <c r="D1526" t="str">
        <f>VLOOKUP($A1526,'Medical Examinations'!$A:$J,2,FALSE)</f>
        <v>Underweight</v>
      </c>
      <c r="E1526">
        <f>VLOOKUP($A1526,'Medical Examinations'!$A:$J,4,FALSE)</f>
        <v>8.6</v>
      </c>
      <c r="F1526" t="str">
        <f>VLOOKUP($A1526,'Medical Examinations'!$A:$J,6,FALSE)</f>
        <v>No</v>
      </c>
      <c r="G1526" t="str">
        <f>VLOOKUP($A1526,'Medical Examinations'!$A:$J,7,FALSE)</f>
        <v>No</v>
      </c>
      <c r="H1526" t="str">
        <f>VLOOKUP($A1526,'Medical Examinations'!$A:$J,8,FALSE)</f>
        <v>No</v>
      </c>
      <c r="I1526">
        <f>VLOOKUP($A1526,'Medical Examinations'!$A:$J,9,FALSE)</f>
        <v>0</v>
      </c>
      <c r="J1526" t="str">
        <f>VLOOKUP($A1526,'Medical Examinations'!$A:$J,10,FALSE)</f>
        <v>No</v>
      </c>
      <c r="K1526" t="str">
        <f>VLOOKUP($A1526,'Medical Examinations'!$A:$J,5,FALSE)</f>
        <v>Diabetes</v>
      </c>
      <c r="L1526">
        <f>VLOOKUP($A1527,'Medical Examinations'!$A:$J,3,FALSE)</f>
        <v>21.99</v>
      </c>
      <c r="M1526">
        <f>VLOOKUP($A1526,'Hospitalisation Details'!$A:$K,6,FALSE)</f>
        <v>6738.84</v>
      </c>
      <c r="N1526" s="11">
        <f>VLOOKUP($B1526,'Hospitalisation Details'!A1525:J3869,10,0)</f>
        <v>22513</v>
      </c>
      <c r="O1526" t="str">
        <f>VLOOKUP($B1526,'Hospitalisation Details'!A1525:J3869,8,0)</f>
        <v>tier - 1</v>
      </c>
      <c r="P1526" t="str">
        <f>VLOOKUP($B1526,'Hospitalisation Details'!A1525:J3869,7,0)</f>
        <v>tier - 3</v>
      </c>
      <c r="Q1526" t="str">
        <f>VLOOKUP($B1526,'Hospitalisation Details'!A1525:J3869,9,0)</f>
        <v>R1012</v>
      </c>
      <c r="R1526">
        <f>VLOOKUP($B1526,'Hospitalisation Details'!A1525:K3869,11,0)</f>
        <v>61</v>
      </c>
    </row>
    <row r="1527" spans="1:18" x14ac:dyDescent="0.35">
      <c r="A1527" t="s">
        <v>845</v>
      </c>
      <c r="B1527" t="s">
        <v>1558</v>
      </c>
      <c r="C1527" t="str">
        <f>VLOOKUP($A1527,'Customer Names'!$A:$E,4,FALSE)</f>
        <v>Rachel</v>
      </c>
      <c r="D1527" t="str">
        <f>VLOOKUP($A1527,'Medical Examinations'!$A:$J,2,FALSE)</f>
        <v>Normal Weight</v>
      </c>
      <c r="E1527">
        <f>VLOOKUP($A1527,'Medical Examinations'!$A:$J,4,FALSE)</f>
        <v>11.17</v>
      </c>
      <c r="F1527" t="str">
        <f>VLOOKUP($A1527,'Medical Examinations'!$A:$J,6,FALSE)</f>
        <v>No</v>
      </c>
      <c r="G1527" t="str">
        <f>VLOOKUP($A1527,'Medical Examinations'!$A:$J,7,FALSE)</f>
        <v>No</v>
      </c>
      <c r="H1527" t="str">
        <f>VLOOKUP($A1527,'Medical Examinations'!$A:$J,8,FALSE)</f>
        <v>No</v>
      </c>
      <c r="I1527">
        <f>VLOOKUP($A1527,'Medical Examinations'!$A:$J,9,FALSE)</f>
        <v>0</v>
      </c>
      <c r="J1527" t="str">
        <f>VLOOKUP($A1527,'Medical Examinations'!$A:$J,10,FALSE)</f>
        <v>No</v>
      </c>
      <c r="K1527" t="str">
        <f>VLOOKUP($A1527,'Medical Examinations'!$A:$J,5,FALSE)</f>
        <v>Diabetes</v>
      </c>
      <c r="L1527">
        <f>VLOOKUP($A1528,'Medical Examinations'!$A:$J,3,FALSE)</f>
        <v>34.85</v>
      </c>
      <c r="M1527">
        <f>VLOOKUP($A1527,'Hospitalisation Details'!$A:$K,6,FALSE)</f>
        <v>6737.98</v>
      </c>
      <c r="N1527" s="11">
        <f>VLOOKUP($B1527,'Hospitalisation Details'!A1526:J3870,10,0)</f>
        <v>22224</v>
      </c>
      <c r="O1527" t="str">
        <f>VLOOKUP($B1527,'Hospitalisation Details'!A1526:J3870,8,0)</f>
        <v>tier - 1</v>
      </c>
      <c r="P1527" t="str">
        <f>VLOOKUP($B1527,'Hospitalisation Details'!A1526:J3870,7,0)</f>
        <v>tier - 3</v>
      </c>
      <c r="Q1527" t="str">
        <f>VLOOKUP($B1527,'Hospitalisation Details'!A1526:J3870,9,0)</f>
        <v>R1011</v>
      </c>
      <c r="R1527">
        <f>VLOOKUP($B1527,'Hospitalisation Details'!A1526:K3870,11,0)</f>
        <v>62</v>
      </c>
    </row>
    <row r="1528" spans="1:18" x14ac:dyDescent="0.35">
      <c r="A1528" t="s">
        <v>844</v>
      </c>
      <c r="B1528" t="s">
        <v>1559</v>
      </c>
      <c r="C1528" t="str">
        <f>VLOOKUP($A1528,'Customer Names'!$A:$E,4,FALSE)</f>
        <v>Susan</v>
      </c>
      <c r="D1528" t="str">
        <f>VLOOKUP($A1528,'Medical Examinations'!$A:$J,2,FALSE)</f>
        <v>Obesity</v>
      </c>
      <c r="E1528">
        <f>VLOOKUP($A1528,'Medical Examinations'!$A:$J,4,FALSE)</f>
        <v>5.75</v>
      </c>
      <c r="F1528" t="str">
        <f>VLOOKUP($A1528,'Medical Examinations'!$A:$J,6,FALSE)</f>
        <v>No</v>
      </c>
      <c r="G1528" t="str">
        <f>VLOOKUP($A1528,'Medical Examinations'!$A:$J,7,FALSE)</f>
        <v>No</v>
      </c>
      <c r="H1528" t="str">
        <f>VLOOKUP($A1528,'Medical Examinations'!$A:$J,8,FALSE)</f>
        <v>No</v>
      </c>
      <c r="I1528">
        <f>VLOOKUP($A1528,'Medical Examinations'!$A:$J,9,FALSE)</f>
        <v>0</v>
      </c>
      <c r="J1528" t="str">
        <f>VLOOKUP($A1528,'Medical Examinations'!$A:$J,10,FALSE)</f>
        <v>No</v>
      </c>
      <c r="K1528" t="str">
        <f>VLOOKUP($A1528,'Medical Examinations'!$A:$J,5,FALSE)</f>
        <v>Prediabetes</v>
      </c>
      <c r="L1528">
        <f>VLOOKUP($A1529,'Medical Examinations'!$A:$J,3,FALSE)</f>
        <v>24.51</v>
      </c>
      <c r="M1528">
        <f>VLOOKUP($A1528,'Hospitalisation Details'!$A:$K,6,FALSE)</f>
        <v>6721.37</v>
      </c>
      <c r="N1528" s="11">
        <f>VLOOKUP($B1528,'Hospitalisation Details'!A1527:J3871,10,0)</f>
        <v>22089</v>
      </c>
      <c r="O1528" t="str">
        <f>VLOOKUP($B1528,'Hospitalisation Details'!A1527:J3871,8,0)</f>
        <v>tier - 1</v>
      </c>
      <c r="P1528" t="str">
        <f>VLOOKUP($B1528,'Hospitalisation Details'!A1527:J3871,7,0)</f>
        <v>tier - 3</v>
      </c>
      <c r="Q1528" t="str">
        <f>VLOOKUP($B1528,'Hospitalisation Details'!A1527:J3871,9,0)</f>
        <v>R1011</v>
      </c>
      <c r="R1528">
        <f>VLOOKUP($B1528,'Hospitalisation Details'!A1527:K3871,11,0)</f>
        <v>62</v>
      </c>
    </row>
    <row r="1529" spans="1:18" x14ac:dyDescent="0.35">
      <c r="A1529" t="s">
        <v>843</v>
      </c>
      <c r="B1529" t="s">
        <v>1560</v>
      </c>
      <c r="C1529" t="str">
        <f>VLOOKUP($A1529,'Customer Names'!$A:$E,4,FALSE)</f>
        <v>Cameron M.</v>
      </c>
      <c r="D1529" t="str">
        <f>VLOOKUP($A1529,'Medical Examinations'!$A:$J,2,FALSE)</f>
        <v>Normal Weight</v>
      </c>
      <c r="E1529">
        <f>VLOOKUP($A1529,'Medical Examinations'!$A:$J,4,FALSE)</f>
        <v>4.83</v>
      </c>
      <c r="F1529" t="str">
        <f>VLOOKUP($A1529,'Medical Examinations'!$A:$J,6,FALSE)</f>
        <v>yes</v>
      </c>
      <c r="G1529" t="str">
        <f>VLOOKUP($A1529,'Medical Examinations'!$A:$J,7,FALSE)</f>
        <v>No</v>
      </c>
      <c r="H1529" t="str">
        <f>VLOOKUP($A1529,'Medical Examinations'!$A:$J,8,FALSE)</f>
        <v>Yes</v>
      </c>
      <c r="I1529">
        <f>VLOOKUP($A1529,'Medical Examinations'!$A:$J,9,FALSE)</f>
        <v>1</v>
      </c>
      <c r="J1529" t="str">
        <f>VLOOKUP($A1529,'Medical Examinations'!$A:$J,10,FALSE)</f>
        <v>No</v>
      </c>
      <c r="K1529" t="str">
        <f>VLOOKUP($A1529,'Medical Examinations'!$A:$J,5,FALSE)</f>
        <v>Normal</v>
      </c>
      <c r="L1529">
        <f>VLOOKUP($A1530,'Medical Examinations'!$A:$J,3,FALSE)</f>
        <v>19.399999999999999</v>
      </c>
      <c r="M1529">
        <f>VLOOKUP($A1529,'Hospitalisation Details'!$A:$K,6,FALSE)</f>
        <v>6710.19</v>
      </c>
      <c r="N1529" s="11">
        <f>VLOOKUP($B1529,'Hospitalisation Details'!A1528:J3872,10,0)</f>
        <v>22182</v>
      </c>
      <c r="O1529" t="str">
        <f>VLOOKUP($B1529,'Hospitalisation Details'!A1528:J3872,8,0)</f>
        <v>tier - 3</v>
      </c>
      <c r="P1529" t="str">
        <f>VLOOKUP($B1529,'Hospitalisation Details'!A1528:J3872,7,0)</f>
        <v>tier - 3</v>
      </c>
      <c r="Q1529" t="str">
        <f>VLOOKUP($B1529,'Hospitalisation Details'!A1528:J3872,9,0)</f>
        <v>R1013</v>
      </c>
      <c r="R1529">
        <f>VLOOKUP($B1529,'Hospitalisation Details'!A1528:K3872,11,0)</f>
        <v>62</v>
      </c>
    </row>
    <row r="1530" spans="1:18" x14ac:dyDescent="0.35">
      <c r="A1530" t="s">
        <v>842</v>
      </c>
      <c r="B1530" t="s">
        <v>1561</v>
      </c>
      <c r="C1530" t="str">
        <f>VLOOKUP($A1530,'Customer Names'!$A:$E,4,FALSE)</f>
        <v>Claudia A.</v>
      </c>
      <c r="D1530" t="str">
        <f>VLOOKUP($A1530,'Medical Examinations'!$A:$J,2,FALSE)</f>
        <v>Normal Weight</v>
      </c>
      <c r="E1530">
        <f>VLOOKUP($A1530,'Medical Examinations'!$A:$J,4,FALSE)</f>
        <v>11.93</v>
      </c>
      <c r="F1530" t="str">
        <f>VLOOKUP($A1530,'Medical Examinations'!$A:$J,6,FALSE)</f>
        <v>No</v>
      </c>
      <c r="G1530" t="str">
        <f>VLOOKUP($A1530,'Medical Examinations'!$A:$J,7,FALSE)</f>
        <v>No</v>
      </c>
      <c r="H1530" t="str">
        <f>VLOOKUP($A1530,'Medical Examinations'!$A:$J,8,FALSE)</f>
        <v>No</v>
      </c>
      <c r="I1530">
        <f>VLOOKUP($A1530,'Medical Examinations'!$A:$J,9,FALSE)</f>
        <v>0</v>
      </c>
      <c r="J1530" t="str">
        <f>VLOOKUP($A1530,'Medical Examinations'!$A:$J,10,FALSE)</f>
        <v>No</v>
      </c>
      <c r="K1530" t="str">
        <f>VLOOKUP($A1530,'Medical Examinations'!$A:$J,5,FALSE)</f>
        <v>Diabetes</v>
      </c>
      <c r="L1530">
        <f>VLOOKUP($A1531,'Medical Examinations'!$A:$J,3,FALSE)</f>
        <v>15.1</v>
      </c>
      <c r="M1530">
        <f>VLOOKUP($A1530,'Hospitalisation Details'!$A:$K,6,FALSE)</f>
        <v>6706.47</v>
      </c>
      <c r="N1530" s="11">
        <f>VLOOKUP($B1530,'Hospitalisation Details'!A1529:J3873,10,0)</f>
        <v>22248</v>
      </c>
      <c r="O1530" t="str">
        <f>VLOOKUP($B1530,'Hospitalisation Details'!A1529:J3873,8,0)</f>
        <v>tier - 1</v>
      </c>
      <c r="P1530" t="str">
        <f>VLOOKUP($B1530,'Hospitalisation Details'!A1529:J3873,7,0)</f>
        <v>tier - 3</v>
      </c>
      <c r="Q1530" t="str">
        <f>VLOOKUP($B1530,'Hospitalisation Details'!A1529:J3873,9,0)</f>
        <v>R1013</v>
      </c>
      <c r="R1530">
        <f>VLOOKUP($B1530,'Hospitalisation Details'!A1529:K3873,11,0)</f>
        <v>62</v>
      </c>
    </row>
    <row r="1531" spans="1:18" x14ac:dyDescent="0.35">
      <c r="A1531" t="s">
        <v>841</v>
      </c>
      <c r="B1531" t="s">
        <v>1562</v>
      </c>
      <c r="C1531" t="str">
        <f>VLOOKUP($A1531,'Customer Names'!$A:$E,4,FALSE)</f>
        <v>Kate</v>
      </c>
      <c r="D1531" t="str">
        <f>VLOOKUP($A1531,'Medical Examinations'!$A:$J,2,FALSE)</f>
        <v>Underweight</v>
      </c>
      <c r="E1531">
        <f>VLOOKUP($A1531,'Medical Examinations'!$A:$J,4,FALSE)</f>
        <v>8.41</v>
      </c>
      <c r="F1531" t="str">
        <f>VLOOKUP($A1531,'Medical Examinations'!$A:$J,6,FALSE)</f>
        <v>No</v>
      </c>
      <c r="G1531" t="str">
        <f>VLOOKUP($A1531,'Medical Examinations'!$A:$J,7,FALSE)</f>
        <v>No</v>
      </c>
      <c r="H1531" t="str">
        <f>VLOOKUP($A1531,'Medical Examinations'!$A:$J,8,FALSE)</f>
        <v>No</v>
      </c>
      <c r="I1531">
        <f>VLOOKUP($A1531,'Medical Examinations'!$A:$J,9,FALSE)</f>
        <v>0</v>
      </c>
      <c r="J1531" t="str">
        <f>VLOOKUP($A1531,'Medical Examinations'!$A:$J,10,FALSE)</f>
        <v>No</v>
      </c>
      <c r="K1531" t="str">
        <f>VLOOKUP($A1531,'Medical Examinations'!$A:$J,5,FALSE)</f>
        <v>Diabetes</v>
      </c>
      <c r="L1531">
        <f>VLOOKUP($A1532,'Medical Examinations'!$A:$J,3,FALSE)</f>
        <v>23.37</v>
      </c>
      <c r="M1531">
        <f>VLOOKUP($A1531,'Hospitalisation Details'!$A:$K,6,FALSE)</f>
        <v>6700.56</v>
      </c>
      <c r="N1531" s="11">
        <f>VLOOKUP($B1531,'Hospitalisation Details'!A1530:J3874,10,0)</f>
        <v>29186</v>
      </c>
      <c r="O1531" t="str">
        <f>VLOOKUP($B1531,'Hospitalisation Details'!A1530:J3874,8,0)</f>
        <v>tier - 2</v>
      </c>
      <c r="P1531" t="str">
        <f>VLOOKUP($B1531,'Hospitalisation Details'!A1530:J3874,7,0)</f>
        <v>tier - 3</v>
      </c>
      <c r="Q1531" t="str">
        <f>VLOOKUP($B1531,'Hospitalisation Details'!A1530:J3874,9,0)</f>
        <v>R1026</v>
      </c>
      <c r="R1531">
        <f>VLOOKUP($B1531,'Hospitalisation Details'!A1530:K3874,11,0)</f>
        <v>43</v>
      </c>
    </row>
    <row r="1532" spans="1:18" x14ac:dyDescent="0.35">
      <c r="A1532" t="s">
        <v>840</v>
      </c>
      <c r="B1532" t="s">
        <v>1563</v>
      </c>
      <c r="C1532" t="str">
        <f>VLOOKUP($A1532,'Customer Names'!$A:$E,4,FALSE)</f>
        <v>Nicole M.</v>
      </c>
      <c r="D1532" t="str">
        <f>VLOOKUP($A1532,'Medical Examinations'!$A:$J,2,FALSE)</f>
        <v>Normal Weight</v>
      </c>
      <c r="E1532">
        <f>VLOOKUP($A1532,'Medical Examinations'!$A:$J,4,FALSE)</f>
        <v>5.59</v>
      </c>
      <c r="F1532" t="str">
        <f>VLOOKUP($A1532,'Medical Examinations'!$A:$J,6,FALSE)</f>
        <v>yes</v>
      </c>
      <c r="G1532" t="str">
        <f>VLOOKUP($A1532,'Medical Examinations'!$A:$J,7,FALSE)</f>
        <v>No</v>
      </c>
      <c r="H1532" t="str">
        <f>VLOOKUP($A1532,'Medical Examinations'!$A:$J,8,FALSE)</f>
        <v>No</v>
      </c>
      <c r="I1532">
        <f>VLOOKUP($A1532,'Medical Examinations'!$A:$J,9,FALSE)</f>
        <v>0</v>
      </c>
      <c r="J1532" t="str">
        <f>VLOOKUP($A1532,'Medical Examinations'!$A:$J,10,FALSE)</f>
        <v>No</v>
      </c>
      <c r="K1532" t="str">
        <f>VLOOKUP($A1532,'Medical Examinations'!$A:$J,5,FALSE)</f>
        <v>Normal</v>
      </c>
      <c r="L1532">
        <f>VLOOKUP($A1533,'Medical Examinations'!$A:$J,3,FALSE)</f>
        <v>42.4</v>
      </c>
      <c r="M1532">
        <f>VLOOKUP($A1532,'Hospitalisation Details'!$A:$K,6,FALSE)</f>
        <v>6686.43</v>
      </c>
      <c r="N1532" s="11">
        <f>VLOOKUP($B1532,'Hospitalisation Details'!A1531:J3875,10,0)</f>
        <v>29889</v>
      </c>
      <c r="O1532" t="str">
        <f>VLOOKUP($B1532,'Hospitalisation Details'!A1531:J3875,8,0)</f>
        <v>tier - 1</v>
      </c>
      <c r="P1532" t="str">
        <f>VLOOKUP($B1532,'Hospitalisation Details'!A1531:J3875,7,0)</f>
        <v>tier - 3</v>
      </c>
      <c r="Q1532" t="str">
        <f>VLOOKUP($B1532,'Hospitalisation Details'!A1531:J3875,9,0)</f>
        <v>R1012</v>
      </c>
      <c r="R1532">
        <f>VLOOKUP($B1532,'Hospitalisation Details'!A1531:K3875,11,0)</f>
        <v>41</v>
      </c>
    </row>
    <row r="1533" spans="1:18" x14ac:dyDescent="0.35">
      <c r="A1533" t="s">
        <v>839</v>
      </c>
      <c r="B1533" t="s">
        <v>1564</v>
      </c>
      <c r="C1533" t="str">
        <f>VLOOKUP($A1533,'Customer Names'!$A:$E,4,FALSE)</f>
        <v>Jack</v>
      </c>
      <c r="D1533" t="str">
        <f>VLOOKUP($A1533,'Medical Examinations'!$A:$J,2,FALSE)</f>
        <v>Obesity</v>
      </c>
      <c r="E1533">
        <f>VLOOKUP($A1533,'Medical Examinations'!$A:$J,4,FALSE)</f>
        <v>4.0599999999999996</v>
      </c>
      <c r="F1533" t="str">
        <f>VLOOKUP($A1533,'Medical Examinations'!$A:$J,6,FALSE)</f>
        <v>No</v>
      </c>
      <c r="G1533" t="str">
        <f>VLOOKUP($A1533,'Medical Examinations'!$A:$J,7,FALSE)</f>
        <v>No</v>
      </c>
      <c r="H1533" t="str">
        <f>VLOOKUP($A1533,'Medical Examinations'!$A:$J,8,FALSE)</f>
        <v>No</v>
      </c>
      <c r="I1533">
        <f>VLOOKUP($A1533,'Medical Examinations'!$A:$J,9,FALSE)</f>
        <v>0</v>
      </c>
      <c r="J1533" t="str">
        <f>VLOOKUP($A1533,'Medical Examinations'!$A:$J,10,FALSE)</f>
        <v>No</v>
      </c>
      <c r="K1533" t="str">
        <f>VLOOKUP($A1533,'Medical Examinations'!$A:$J,5,FALSE)</f>
        <v>Normal</v>
      </c>
      <c r="L1533">
        <f>VLOOKUP($A1534,'Medical Examinations'!$A:$J,3,FALSE)</f>
        <v>28.405000000000001</v>
      </c>
      <c r="M1533">
        <f>VLOOKUP($A1533,'Hospitalisation Details'!$A:$K,6,FALSE)</f>
        <v>6666.24</v>
      </c>
      <c r="N1533" s="11">
        <f>VLOOKUP($B1533,'Hospitalisation Details'!A1532:J3876,10,0)</f>
        <v>22821</v>
      </c>
      <c r="O1533" t="str">
        <f>VLOOKUP($B1533,'Hospitalisation Details'!A1532:J3876,8,0)</f>
        <v>tier - 1</v>
      </c>
      <c r="P1533" t="str">
        <f>VLOOKUP($B1533,'Hospitalisation Details'!A1532:J3876,7,0)</f>
        <v>tier - 3</v>
      </c>
      <c r="Q1533" t="str">
        <f>VLOOKUP($B1533,'Hospitalisation Details'!A1532:J3876,9,0)</f>
        <v>R1012</v>
      </c>
      <c r="R1533">
        <f>VLOOKUP($B1533,'Hospitalisation Details'!A1532:K3876,11,0)</f>
        <v>60</v>
      </c>
    </row>
    <row r="1534" spans="1:18" x14ac:dyDescent="0.35">
      <c r="A1534" t="s">
        <v>838</v>
      </c>
      <c r="B1534" t="s">
        <v>1565</v>
      </c>
      <c r="C1534" t="str">
        <f>VLOOKUP($A1534,'Customer Names'!$A:$E,4,FALSE)</f>
        <v>Gregory</v>
      </c>
      <c r="D1534" t="str">
        <f>VLOOKUP($A1534,'Medical Examinations'!$A:$J,2,FALSE)</f>
        <v>Overweight</v>
      </c>
      <c r="E1534">
        <f>VLOOKUP($A1534,'Medical Examinations'!$A:$J,4,FALSE)</f>
        <v>7.02</v>
      </c>
      <c r="F1534" t="str">
        <f>VLOOKUP($A1534,'Medical Examinations'!$A:$J,6,FALSE)</f>
        <v>yes</v>
      </c>
      <c r="G1534" t="str">
        <f>VLOOKUP($A1534,'Medical Examinations'!$A:$J,7,FALSE)</f>
        <v>No</v>
      </c>
      <c r="H1534" t="str">
        <f>VLOOKUP($A1534,'Medical Examinations'!$A:$J,8,FALSE)</f>
        <v>No</v>
      </c>
      <c r="I1534">
        <f>VLOOKUP($A1534,'Medical Examinations'!$A:$J,9,FALSE)</f>
        <v>0</v>
      </c>
      <c r="J1534" t="str">
        <f>VLOOKUP($A1534,'Medical Examinations'!$A:$J,10,FALSE)</f>
        <v>No</v>
      </c>
      <c r="K1534" t="str">
        <f>VLOOKUP($A1534,'Medical Examinations'!$A:$J,5,FALSE)</f>
        <v>Diabetes</v>
      </c>
      <c r="L1534">
        <f>VLOOKUP($A1535,'Medical Examinations'!$A:$J,3,FALSE)</f>
        <v>23.4</v>
      </c>
      <c r="M1534">
        <f>VLOOKUP($A1534,'Hospitalisation Details'!$A:$K,6,FALSE)</f>
        <v>6664.69</v>
      </c>
      <c r="N1534" s="11">
        <f>VLOOKUP($B1534,'Hospitalisation Details'!A1533:J3877,10,0)</f>
        <v>25550</v>
      </c>
      <c r="O1534" t="str">
        <f>VLOOKUP($B1534,'Hospitalisation Details'!A1533:J3877,8,0)</f>
        <v>tier - 3</v>
      </c>
      <c r="P1534" t="str">
        <f>VLOOKUP($B1534,'Hospitalisation Details'!A1533:J3877,7,0)</f>
        <v>tier - 3</v>
      </c>
      <c r="Q1534" t="str">
        <f>VLOOKUP($B1534,'Hospitalisation Details'!A1533:J3877,9,0)</f>
        <v>R1012</v>
      </c>
      <c r="R1534">
        <f>VLOOKUP($B1534,'Hospitalisation Details'!A1533:K3877,11,0)</f>
        <v>53</v>
      </c>
    </row>
    <row r="1535" spans="1:18" x14ac:dyDescent="0.35">
      <c r="A1535" t="s">
        <v>837</v>
      </c>
      <c r="B1535" t="s">
        <v>1566</v>
      </c>
      <c r="C1535" t="str">
        <f>VLOOKUP($A1535,'Customer Names'!$A:$E,4,FALSE)</f>
        <v>Rebecca</v>
      </c>
      <c r="D1535" t="str">
        <f>VLOOKUP($A1535,'Medical Examinations'!$A:$J,2,FALSE)</f>
        <v>Normal Weight</v>
      </c>
      <c r="E1535">
        <f>VLOOKUP($A1535,'Medical Examinations'!$A:$J,4,FALSE)</f>
        <v>4.47</v>
      </c>
      <c r="F1535" t="str">
        <f>VLOOKUP($A1535,'Medical Examinations'!$A:$J,6,FALSE)</f>
        <v>No</v>
      </c>
      <c r="G1535" t="str">
        <f>VLOOKUP($A1535,'Medical Examinations'!$A:$J,7,FALSE)</f>
        <v>No</v>
      </c>
      <c r="H1535" t="str">
        <f>VLOOKUP($A1535,'Medical Examinations'!$A:$J,8,FALSE)</f>
        <v>No</v>
      </c>
      <c r="I1535">
        <f>VLOOKUP($A1535,'Medical Examinations'!$A:$J,9,FALSE)</f>
        <v>0</v>
      </c>
      <c r="J1535" t="str">
        <f>VLOOKUP($A1535,'Medical Examinations'!$A:$J,10,FALSE)</f>
        <v>No</v>
      </c>
      <c r="K1535" t="str">
        <f>VLOOKUP($A1535,'Medical Examinations'!$A:$J,5,FALSE)</f>
        <v>Normal</v>
      </c>
      <c r="L1535">
        <f>VLOOKUP($A1536,'Medical Examinations'!$A:$J,3,FALSE)</f>
        <v>33.44</v>
      </c>
      <c r="M1535">
        <f>VLOOKUP($A1535,'Hospitalisation Details'!$A:$K,6,FALSE)</f>
        <v>6664.32</v>
      </c>
      <c r="N1535" s="11">
        <f>VLOOKUP($B1535,'Hospitalisation Details'!A1534:J3878,10,0)</f>
        <v>26569</v>
      </c>
      <c r="O1535" t="str">
        <f>VLOOKUP($B1535,'Hospitalisation Details'!A1534:J3878,8,0)</f>
        <v>tier - 2</v>
      </c>
      <c r="P1535" t="str">
        <f>VLOOKUP($B1535,'Hospitalisation Details'!A1534:J3878,7,0)</f>
        <v>tier - 3</v>
      </c>
      <c r="Q1535" t="str">
        <f>VLOOKUP($B1535,'Hospitalisation Details'!A1534:J3878,9,0)</f>
        <v>R1012</v>
      </c>
      <c r="R1535">
        <f>VLOOKUP($B1535,'Hospitalisation Details'!A1534:K3878,11,0)</f>
        <v>50</v>
      </c>
    </row>
    <row r="1536" spans="1:18" x14ac:dyDescent="0.35">
      <c r="A1536" t="s">
        <v>836</v>
      </c>
      <c r="B1536" t="s">
        <v>1567</v>
      </c>
      <c r="C1536" t="str">
        <f>VLOOKUP($A1536,'Customer Names'!$A:$E,4,FALSE)</f>
        <v>Adam</v>
      </c>
      <c r="D1536" t="str">
        <f>VLOOKUP($A1536,'Medical Examinations'!$A:$J,2,FALSE)</f>
        <v>Obesity</v>
      </c>
      <c r="E1536">
        <f>VLOOKUP($A1536,'Medical Examinations'!$A:$J,4,FALSE)</f>
        <v>4.54</v>
      </c>
      <c r="F1536" t="str">
        <f>VLOOKUP($A1536,'Medical Examinations'!$A:$J,6,FALSE)</f>
        <v>No</v>
      </c>
      <c r="G1536" t="str">
        <f>VLOOKUP($A1536,'Medical Examinations'!$A:$J,7,FALSE)</f>
        <v>No</v>
      </c>
      <c r="H1536" t="str">
        <f>VLOOKUP($A1536,'Medical Examinations'!$A:$J,8,FALSE)</f>
        <v>No</v>
      </c>
      <c r="I1536">
        <f>VLOOKUP($A1536,'Medical Examinations'!$A:$J,9,FALSE)</f>
        <v>0</v>
      </c>
      <c r="J1536" t="str">
        <f>VLOOKUP($A1536,'Medical Examinations'!$A:$J,10,FALSE)</f>
        <v>No</v>
      </c>
      <c r="K1536" t="str">
        <f>VLOOKUP($A1536,'Medical Examinations'!$A:$J,5,FALSE)</f>
        <v>Normal</v>
      </c>
      <c r="L1536">
        <f>VLOOKUP($A1537,'Medical Examinations'!$A:$J,3,FALSE)</f>
        <v>21.12</v>
      </c>
      <c r="M1536">
        <f>VLOOKUP($A1536,'Hospitalisation Details'!$A:$K,6,FALSE)</f>
        <v>6653.79</v>
      </c>
      <c r="N1536" s="11">
        <f>VLOOKUP($B1536,'Hospitalisation Details'!A1535:J3879,10,0)</f>
        <v>22847</v>
      </c>
      <c r="O1536" t="str">
        <f>VLOOKUP($B1536,'Hospitalisation Details'!A1535:J3879,8,0)</f>
        <v>tier - 1</v>
      </c>
      <c r="P1536" t="str">
        <f>VLOOKUP($B1536,'Hospitalisation Details'!A1535:J3879,7,0)</f>
        <v>tier - 3</v>
      </c>
      <c r="Q1536" t="str">
        <f>VLOOKUP($B1536,'Hospitalisation Details'!A1535:J3879,9,0)</f>
        <v>R1012</v>
      </c>
      <c r="R1536">
        <f>VLOOKUP($B1536,'Hospitalisation Details'!A1535:K3879,11,0)</f>
        <v>60</v>
      </c>
    </row>
    <row r="1537" spans="1:18" x14ac:dyDescent="0.35">
      <c r="A1537" t="s">
        <v>835</v>
      </c>
      <c r="B1537" t="s">
        <v>1568</v>
      </c>
      <c r="C1537" t="str">
        <f>VLOOKUP($A1537,'Customer Names'!$A:$E,4,FALSE)</f>
        <v>Ryan</v>
      </c>
      <c r="D1537" t="str">
        <f>VLOOKUP($A1537,'Medical Examinations'!$A:$J,2,FALSE)</f>
        <v>Normal Weight</v>
      </c>
      <c r="E1537">
        <f>VLOOKUP($A1537,'Medical Examinations'!$A:$J,4,FALSE)</f>
        <v>4.99</v>
      </c>
      <c r="F1537" t="str">
        <f>VLOOKUP($A1537,'Medical Examinations'!$A:$J,6,FALSE)</f>
        <v>No</v>
      </c>
      <c r="G1537" t="str">
        <f>VLOOKUP($A1537,'Medical Examinations'!$A:$J,7,FALSE)</f>
        <v>No</v>
      </c>
      <c r="H1537" t="str">
        <f>VLOOKUP($A1537,'Medical Examinations'!$A:$J,8,FALSE)</f>
        <v>No</v>
      </c>
      <c r="I1537">
        <f>VLOOKUP($A1537,'Medical Examinations'!$A:$J,9,FALSE)</f>
        <v>1</v>
      </c>
      <c r="J1537" t="str">
        <f>VLOOKUP($A1537,'Medical Examinations'!$A:$J,10,FALSE)</f>
        <v>No</v>
      </c>
      <c r="K1537" t="str">
        <f>VLOOKUP($A1537,'Medical Examinations'!$A:$J,5,FALSE)</f>
        <v>Normal</v>
      </c>
      <c r="L1537">
        <f>VLOOKUP($A1538,'Medical Examinations'!$A:$J,3,FALSE)</f>
        <v>18.48</v>
      </c>
      <c r="M1537">
        <f>VLOOKUP($A1537,'Hospitalisation Details'!$A:$K,6,FALSE)</f>
        <v>6652.53</v>
      </c>
      <c r="N1537" s="11">
        <f>VLOOKUP($B1537,'Hospitalisation Details'!A1536:J3880,10,0)</f>
        <v>23643</v>
      </c>
      <c r="O1537" t="str">
        <f>VLOOKUP($B1537,'Hospitalisation Details'!A1536:J3880,8,0)</f>
        <v>tier - 1</v>
      </c>
      <c r="P1537" t="str">
        <f>VLOOKUP($B1537,'Hospitalisation Details'!A1536:J3880,7,0)</f>
        <v>tier - 3</v>
      </c>
      <c r="Q1537" t="str">
        <f>VLOOKUP($B1537,'Hospitalisation Details'!A1536:J3880,9,0)</f>
        <v>R1024</v>
      </c>
      <c r="R1537">
        <f>VLOOKUP($B1537,'Hospitalisation Details'!A1536:K3880,11,0)</f>
        <v>58</v>
      </c>
    </row>
    <row r="1538" spans="1:18" x14ac:dyDescent="0.35">
      <c r="A1538" t="s">
        <v>834</v>
      </c>
      <c r="B1538" t="s">
        <v>1569</v>
      </c>
      <c r="C1538" t="str">
        <f>VLOOKUP($A1538,'Customer Names'!$A:$E,4,FALSE)</f>
        <v>Jackie K.</v>
      </c>
      <c r="D1538" t="str">
        <f>VLOOKUP($A1538,'Medical Examinations'!$A:$J,2,FALSE)</f>
        <v>Underweight</v>
      </c>
      <c r="E1538">
        <f>VLOOKUP($A1538,'Medical Examinations'!$A:$J,4,FALSE)</f>
        <v>10.84</v>
      </c>
      <c r="F1538" t="str">
        <f>VLOOKUP($A1538,'Medical Examinations'!$A:$J,6,FALSE)</f>
        <v>yes</v>
      </c>
      <c r="G1538" t="str">
        <f>VLOOKUP($A1538,'Medical Examinations'!$A:$J,7,FALSE)</f>
        <v>No</v>
      </c>
      <c r="H1538" t="str">
        <f>VLOOKUP($A1538,'Medical Examinations'!$A:$J,8,FALSE)</f>
        <v>No</v>
      </c>
      <c r="I1538">
        <f>VLOOKUP($A1538,'Medical Examinations'!$A:$J,9,FALSE)</f>
        <v>2</v>
      </c>
      <c r="J1538" t="str">
        <f>VLOOKUP($A1538,'Medical Examinations'!$A:$J,10,FALSE)</f>
        <v>No</v>
      </c>
      <c r="K1538" t="str">
        <f>VLOOKUP($A1538,'Medical Examinations'!$A:$J,5,FALSE)</f>
        <v>Diabetes</v>
      </c>
      <c r="L1538">
        <f>VLOOKUP($A1539,'Medical Examinations'!$A:$J,3,FALSE)</f>
        <v>16.815000000000001</v>
      </c>
      <c r="M1538">
        <f>VLOOKUP($A1538,'Hospitalisation Details'!$A:$K,6,FALSE)</f>
        <v>6651.26</v>
      </c>
      <c r="N1538" s="11">
        <f>VLOOKUP($B1538,'Hospitalisation Details'!A1537:J3881,10,0)</f>
        <v>24050</v>
      </c>
      <c r="O1538" t="str">
        <f>VLOOKUP($B1538,'Hospitalisation Details'!A1537:J3881,8,0)</f>
        <v>tier - 2</v>
      </c>
      <c r="P1538" t="str">
        <f>VLOOKUP($B1538,'Hospitalisation Details'!A1537:J3881,7,0)</f>
        <v>tier - 3</v>
      </c>
      <c r="Q1538" t="str">
        <f>VLOOKUP($B1538,'Hospitalisation Details'!A1537:J3881,9,0)</f>
        <v>R1025</v>
      </c>
      <c r="R1538">
        <f>VLOOKUP($B1538,'Hospitalisation Details'!A1537:K3881,11,0)</f>
        <v>57</v>
      </c>
    </row>
    <row r="1539" spans="1:18" x14ac:dyDescent="0.35">
      <c r="A1539" t="s">
        <v>833</v>
      </c>
      <c r="B1539" t="s">
        <v>1570</v>
      </c>
      <c r="C1539" t="str">
        <f>VLOOKUP($A1539,'Customer Names'!$A:$E,4,FALSE)</f>
        <v>Chris</v>
      </c>
      <c r="D1539" t="str">
        <f>VLOOKUP($A1539,'Medical Examinations'!$A:$J,2,FALSE)</f>
        <v>Underweight</v>
      </c>
      <c r="E1539">
        <f>VLOOKUP($A1539,'Medical Examinations'!$A:$J,4,FALSE)</f>
        <v>5.63</v>
      </c>
      <c r="F1539" t="str">
        <f>VLOOKUP($A1539,'Medical Examinations'!$A:$J,6,FALSE)</f>
        <v>No</v>
      </c>
      <c r="G1539" t="str">
        <f>VLOOKUP($A1539,'Medical Examinations'!$A:$J,7,FALSE)</f>
        <v>No</v>
      </c>
      <c r="H1539" t="str">
        <f>VLOOKUP($A1539,'Medical Examinations'!$A:$J,8,FALSE)</f>
        <v>No</v>
      </c>
      <c r="I1539">
        <f>VLOOKUP($A1539,'Medical Examinations'!$A:$J,9,FALSE)</f>
        <v>1</v>
      </c>
      <c r="J1539" t="str">
        <f>VLOOKUP($A1539,'Medical Examinations'!$A:$J,10,FALSE)</f>
        <v>No</v>
      </c>
      <c r="K1539" t="str">
        <f>VLOOKUP($A1539,'Medical Examinations'!$A:$J,5,FALSE)</f>
        <v>Normal</v>
      </c>
      <c r="L1539">
        <f>VLOOKUP($A1540,'Medical Examinations'!$A:$J,3,FALSE)</f>
        <v>26.72</v>
      </c>
      <c r="M1539">
        <f>VLOOKUP($A1539,'Hospitalisation Details'!$A:$K,6,FALSE)</f>
        <v>6640.54</v>
      </c>
      <c r="N1539" s="11">
        <f>VLOOKUP($B1539,'Hospitalisation Details'!A1538:J3882,10,0)</f>
        <v>22594</v>
      </c>
      <c r="O1539" t="str">
        <f>VLOOKUP($B1539,'Hospitalisation Details'!A1538:J3882,8,0)</f>
        <v>tier - 1</v>
      </c>
      <c r="P1539" t="str">
        <f>VLOOKUP($B1539,'Hospitalisation Details'!A1538:J3882,7,0)</f>
        <v>tier - 3</v>
      </c>
      <c r="Q1539" t="str">
        <f>VLOOKUP($B1539,'Hospitalisation Details'!A1538:J3882,9,0)</f>
        <v>R1011</v>
      </c>
      <c r="R1539">
        <f>VLOOKUP($B1539,'Hospitalisation Details'!A1538:K3882,11,0)</f>
        <v>61</v>
      </c>
    </row>
    <row r="1540" spans="1:18" x14ac:dyDescent="0.35">
      <c r="A1540" t="s">
        <v>832</v>
      </c>
      <c r="B1540" t="s">
        <v>1571</v>
      </c>
      <c r="C1540" t="str">
        <f>VLOOKUP($A1540,'Customer Names'!$A:$E,4,FALSE)</f>
        <v>Tyler C</v>
      </c>
      <c r="D1540" t="str">
        <f>VLOOKUP($A1540,'Medical Examinations'!$A:$J,2,FALSE)</f>
        <v>Overweight</v>
      </c>
      <c r="E1540">
        <f>VLOOKUP($A1540,'Medical Examinations'!$A:$J,4,FALSE)</f>
        <v>4.1399999999999997</v>
      </c>
      <c r="F1540" t="str">
        <f>VLOOKUP($A1540,'Medical Examinations'!$A:$J,6,FALSE)</f>
        <v>No</v>
      </c>
      <c r="G1540" t="str">
        <f>VLOOKUP($A1540,'Medical Examinations'!$A:$J,7,FALSE)</f>
        <v>No</v>
      </c>
      <c r="H1540" t="str">
        <f>VLOOKUP($A1540,'Medical Examinations'!$A:$J,8,FALSE)</f>
        <v>No</v>
      </c>
      <c r="I1540">
        <f>VLOOKUP($A1540,'Medical Examinations'!$A:$J,9,FALSE)</f>
        <v>0</v>
      </c>
      <c r="J1540" t="str">
        <f>VLOOKUP($A1540,'Medical Examinations'!$A:$J,10,FALSE)</f>
        <v>No</v>
      </c>
      <c r="K1540" t="str">
        <f>VLOOKUP($A1540,'Medical Examinations'!$A:$J,5,FALSE)</f>
        <v>Normal</v>
      </c>
      <c r="L1540">
        <f>VLOOKUP($A1541,'Medical Examinations'!$A:$J,3,FALSE)</f>
        <v>41.42</v>
      </c>
      <c r="M1540">
        <f>VLOOKUP($A1540,'Hospitalisation Details'!$A:$K,6,FALSE)</f>
        <v>6639.3</v>
      </c>
      <c r="N1540" s="11">
        <f>VLOOKUP($B1540,'Hospitalisation Details'!A1539:J3883,10,0)</f>
        <v>25469</v>
      </c>
      <c r="O1540" t="str">
        <f>VLOOKUP($B1540,'Hospitalisation Details'!A1539:J3883,8,0)</f>
        <v>tier - 1</v>
      </c>
      <c r="P1540" t="str">
        <f>VLOOKUP($B1540,'Hospitalisation Details'!A1539:J3883,7,0)</f>
        <v>tier - 3</v>
      </c>
      <c r="Q1540" t="str">
        <f>VLOOKUP($B1540,'Hospitalisation Details'!A1539:J3883,9,0)</f>
        <v>R1012</v>
      </c>
      <c r="R1540">
        <f>VLOOKUP($B1540,'Hospitalisation Details'!A1539:K3883,11,0)</f>
        <v>53</v>
      </c>
    </row>
    <row r="1541" spans="1:18" x14ac:dyDescent="0.35">
      <c r="A1541" t="s">
        <v>831</v>
      </c>
      <c r="B1541" t="s">
        <v>1572</v>
      </c>
      <c r="C1541" t="str">
        <f>VLOOKUP($A1541,'Customer Names'!$A:$E,4,FALSE)</f>
        <v>Yoshie</v>
      </c>
      <c r="D1541" t="str">
        <f>VLOOKUP($A1541,'Medical Examinations'!$A:$J,2,FALSE)</f>
        <v>Obesity</v>
      </c>
      <c r="E1541">
        <f>VLOOKUP($A1541,'Medical Examinations'!$A:$J,4,FALSE)</f>
        <v>5.17</v>
      </c>
      <c r="F1541" t="str">
        <f>VLOOKUP($A1541,'Medical Examinations'!$A:$J,6,FALSE)</f>
        <v>No</v>
      </c>
      <c r="G1541" t="str">
        <f>VLOOKUP($A1541,'Medical Examinations'!$A:$J,7,FALSE)</f>
        <v>No</v>
      </c>
      <c r="H1541" t="str">
        <f>VLOOKUP($A1541,'Medical Examinations'!$A:$J,8,FALSE)</f>
        <v>Yes</v>
      </c>
      <c r="I1541">
        <f>VLOOKUP($A1541,'Medical Examinations'!$A:$J,9,FALSE)</f>
        <v>1</v>
      </c>
      <c r="J1541" t="str">
        <f>VLOOKUP($A1541,'Medical Examinations'!$A:$J,10,FALSE)</f>
        <v>No</v>
      </c>
      <c r="K1541" t="str">
        <f>VLOOKUP($A1541,'Medical Examinations'!$A:$J,5,FALSE)</f>
        <v>Normal</v>
      </c>
      <c r="L1541">
        <f>VLOOKUP($A1542,'Medical Examinations'!$A:$J,3,FALSE)</f>
        <v>20.69</v>
      </c>
      <c r="M1541">
        <f>VLOOKUP($A1541,'Hospitalisation Details'!$A:$K,6,FALSE)</f>
        <v>6638.16</v>
      </c>
      <c r="N1541" s="11">
        <f>VLOOKUP($B1541,'Hospitalisation Details'!A1540:J3884,10,0)</f>
        <v>24690</v>
      </c>
      <c r="O1541" t="str">
        <f>VLOOKUP($B1541,'Hospitalisation Details'!A1540:J3884,8,0)</f>
        <v>tier - 3</v>
      </c>
      <c r="P1541" t="str">
        <f>VLOOKUP($B1541,'Hospitalisation Details'!A1540:J3884,7,0)</f>
        <v>tier - 3</v>
      </c>
      <c r="Q1541" t="str">
        <f>VLOOKUP($B1541,'Hospitalisation Details'!A1540:J3884,9,0)</f>
        <v>R1024</v>
      </c>
      <c r="R1541">
        <f>VLOOKUP($B1541,'Hospitalisation Details'!A1540:K3884,11,0)</f>
        <v>55</v>
      </c>
    </row>
    <row r="1542" spans="1:18" x14ac:dyDescent="0.35">
      <c r="A1542" t="s">
        <v>830</v>
      </c>
      <c r="B1542" t="s">
        <v>1573</v>
      </c>
      <c r="C1542" t="str">
        <f>VLOOKUP($A1542,'Customer Names'!$A:$E,4,FALSE)</f>
        <v>Lauren A</v>
      </c>
      <c r="D1542" t="str">
        <f>VLOOKUP($A1542,'Medical Examinations'!$A:$J,2,FALSE)</f>
        <v>Normal Weight</v>
      </c>
      <c r="E1542">
        <f>VLOOKUP($A1542,'Medical Examinations'!$A:$J,4,FALSE)</f>
        <v>6.93</v>
      </c>
      <c r="F1542" t="str">
        <f>VLOOKUP($A1542,'Medical Examinations'!$A:$J,6,FALSE)</f>
        <v>No</v>
      </c>
      <c r="G1542" t="str">
        <f>VLOOKUP($A1542,'Medical Examinations'!$A:$J,7,FALSE)</f>
        <v>No</v>
      </c>
      <c r="H1542" t="str">
        <f>VLOOKUP($A1542,'Medical Examinations'!$A:$J,8,FALSE)</f>
        <v>No</v>
      </c>
      <c r="I1542">
        <f>VLOOKUP($A1542,'Medical Examinations'!$A:$J,9,FALSE)</f>
        <v>2</v>
      </c>
      <c r="J1542" t="str">
        <f>VLOOKUP($A1542,'Medical Examinations'!$A:$J,10,FALSE)</f>
        <v>No</v>
      </c>
      <c r="K1542" t="str">
        <f>VLOOKUP($A1542,'Medical Examinations'!$A:$J,5,FALSE)</f>
        <v>Diabetes</v>
      </c>
      <c r="L1542">
        <f>VLOOKUP($A1543,'Medical Examinations'!$A:$J,3,FALSE)</f>
        <v>41.23</v>
      </c>
      <c r="M1542">
        <f>VLOOKUP($A1542,'Hospitalisation Details'!$A:$K,6,FALSE)</f>
        <v>6630.31</v>
      </c>
      <c r="N1542" s="11">
        <f>VLOOKUP($B1542,'Hospitalisation Details'!A1541:J3885,10,0)</f>
        <v>31346</v>
      </c>
      <c r="O1542" t="str">
        <f>VLOOKUP($B1542,'Hospitalisation Details'!A1541:J3885,8,0)</f>
        <v>tier - 1</v>
      </c>
      <c r="P1542" t="str">
        <f>VLOOKUP($B1542,'Hospitalisation Details'!A1541:J3885,7,0)</f>
        <v>tier - 3</v>
      </c>
      <c r="Q1542" t="str">
        <f>VLOOKUP($B1542,'Hospitalisation Details'!A1541:J3885,9,0)</f>
        <v>R1026</v>
      </c>
      <c r="R1542">
        <f>VLOOKUP($B1542,'Hospitalisation Details'!A1541:K3885,11,0)</f>
        <v>37</v>
      </c>
    </row>
    <row r="1543" spans="1:18" x14ac:dyDescent="0.35">
      <c r="A1543" t="s">
        <v>829</v>
      </c>
      <c r="B1543" t="s">
        <v>1574</v>
      </c>
      <c r="C1543" t="str">
        <f>VLOOKUP($A1543,'Customer Names'!$A:$E,4,FALSE)</f>
        <v>Mason D.</v>
      </c>
      <c r="D1543" t="str">
        <f>VLOOKUP($A1543,'Medical Examinations'!$A:$J,2,FALSE)</f>
        <v>Obesity</v>
      </c>
      <c r="E1543">
        <f>VLOOKUP($A1543,'Medical Examinations'!$A:$J,4,FALSE)</f>
        <v>4.24</v>
      </c>
      <c r="F1543" t="str">
        <f>VLOOKUP($A1543,'Medical Examinations'!$A:$J,6,FALSE)</f>
        <v>No</v>
      </c>
      <c r="G1543" t="str">
        <f>VLOOKUP($A1543,'Medical Examinations'!$A:$J,7,FALSE)</f>
        <v>No</v>
      </c>
      <c r="H1543" t="str">
        <f>VLOOKUP($A1543,'Medical Examinations'!$A:$J,8,FALSE)</f>
        <v>No</v>
      </c>
      <c r="I1543">
        <f>VLOOKUP($A1543,'Medical Examinations'!$A:$J,9,FALSE)</f>
        <v>0</v>
      </c>
      <c r="J1543" t="str">
        <f>VLOOKUP($A1543,'Medical Examinations'!$A:$J,10,FALSE)</f>
        <v>No</v>
      </c>
      <c r="K1543" t="str">
        <f>VLOOKUP($A1543,'Medical Examinations'!$A:$J,5,FALSE)</f>
        <v>Normal</v>
      </c>
      <c r="L1543">
        <f>VLOOKUP($A1544,'Medical Examinations'!$A:$J,3,FALSE)</f>
        <v>29.9</v>
      </c>
      <c r="M1543">
        <f>VLOOKUP($A1543,'Hospitalisation Details'!$A:$K,6,FALSE)</f>
        <v>6610.11</v>
      </c>
      <c r="N1543" s="11">
        <f>VLOOKUP($B1543,'Hospitalisation Details'!A1542:J3886,10,0)</f>
        <v>22591</v>
      </c>
      <c r="O1543" t="str">
        <f>VLOOKUP($B1543,'Hospitalisation Details'!A1542:J3886,8,0)</f>
        <v>tier - 2</v>
      </c>
      <c r="P1543" t="str">
        <f>VLOOKUP($B1543,'Hospitalisation Details'!A1542:J3886,7,0)</f>
        <v>tier - 3</v>
      </c>
      <c r="Q1543" t="str">
        <f>VLOOKUP($B1543,'Hospitalisation Details'!A1542:J3886,9,0)</f>
        <v>R1011</v>
      </c>
      <c r="R1543">
        <f>VLOOKUP($B1543,'Hospitalisation Details'!A1542:K3886,11,0)</f>
        <v>61</v>
      </c>
    </row>
    <row r="1544" spans="1:18" x14ac:dyDescent="0.35">
      <c r="A1544" t="s">
        <v>828</v>
      </c>
      <c r="B1544" t="s">
        <v>1575</v>
      </c>
      <c r="C1544" t="str">
        <f>VLOOKUP($A1544,'Customer Names'!$A:$E,4,FALSE)</f>
        <v>Ryan</v>
      </c>
      <c r="D1544" t="str">
        <f>VLOOKUP($A1544,'Medical Examinations'!$A:$J,2,FALSE)</f>
        <v>Overweight</v>
      </c>
      <c r="E1544">
        <f>VLOOKUP($A1544,'Medical Examinations'!$A:$J,4,FALSE)</f>
        <v>5.91</v>
      </c>
      <c r="F1544" t="str">
        <f>VLOOKUP($A1544,'Medical Examinations'!$A:$J,6,FALSE)</f>
        <v>No</v>
      </c>
      <c r="G1544" t="str">
        <f>VLOOKUP($A1544,'Medical Examinations'!$A:$J,7,FALSE)</f>
        <v>No</v>
      </c>
      <c r="H1544" t="str">
        <f>VLOOKUP($A1544,'Medical Examinations'!$A:$J,8,FALSE)</f>
        <v>No</v>
      </c>
      <c r="I1544">
        <f>VLOOKUP($A1544,'Medical Examinations'!$A:$J,9,FALSE)</f>
        <v>0</v>
      </c>
      <c r="J1544" t="str">
        <f>VLOOKUP($A1544,'Medical Examinations'!$A:$J,10,FALSE)</f>
        <v>No</v>
      </c>
      <c r="K1544" t="str">
        <f>VLOOKUP($A1544,'Medical Examinations'!$A:$J,5,FALSE)</f>
        <v>Prediabetes</v>
      </c>
      <c r="L1544">
        <f>VLOOKUP($A1545,'Medical Examinations'!$A:$J,3,FALSE)</f>
        <v>34.104999999999997</v>
      </c>
      <c r="M1544">
        <f>VLOOKUP($A1544,'Hospitalisation Details'!$A:$K,6,FALSE)</f>
        <v>6600.36</v>
      </c>
      <c r="N1544" s="11">
        <f>VLOOKUP($B1544,'Hospitalisation Details'!A1543:J3887,10,0)</f>
        <v>28688</v>
      </c>
      <c r="O1544" t="str">
        <f>VLOOKUP($B1544,'Hospitalisation Details'!A1543:J3887,8,0)</f>
        <v>tier - 2</v>
      </c>
      <c r="P1544" t="str">
        <f>VLOOKUP($B1544,'Hospitalisation Details'!A1543:J3887,7,0)</f>
        <v>tier - 3</v>
      </c>
      <c r="Q1544" t="str">
        <f>VLOOKUP($B1544,'Hospitalisation Details'!A1543:J3887,9,0)</f>
        <v>R1026</v>
      </c>
      <c r="R1544">
        <f>VLOOKUP($B1544,'Hospitalisation Details'!A1543:K3887,11,0)</f>
        <v>44</v>
      </c>
    </row>
    <row r="1545" spans="1:18" x14ac:dyDescent="0.35">
      <c r="A1545" t="s">
        <v>827</v>
      </c>
      <c r="B1545" t="s">
        <v>1576</v>
      </c>
      <c r="C1545" t="str">
        <f>VLOOKUP($A1545,'Customer Names'!$A:$E,4,FALSE)</f>
        <v>Arturo</v>
      </c>
      <c r="D1545" t="str">
        <f>VLOOKUP($A1545,'Medical Examinations'!$A:$J,2,FALSE)</f>
        <v>Obesity</v>
      </c>
      <c r="E1545">
        <f>VLOOKUP($A1545,'Medical Examinations'!$A:$J,4,FALSE)</f>
        <v>5.93</v>
      </c>
      <c r="F1545" t="str">
        <f>VLOOKUP($A1545,'Medical Examinations'!$A:$J,6,FALSE)</f>
        <v>No</v>
      </c>
      <c r="G1545" t="str">
        <f>VLOOKUP($A1545,'Medical Examinations'!$A:$J,7,FALSE)</f>
        <v>No</v>
      </c>
      <c r="H1545" t="str">
        <f>VLOOKUP($A1545,'Medical Examinations'!$A:$J,8,FALSE)</f>
        <v>No</v>
      </c>
      <c r="I1545">
        <f>VLOOKUP($A1545,'Medical Examinations'!$A:$J,9,FALSE)</f>
        <v>0</v>
      </c>
      <c r="J1545" t="str">
        <f>VLOOKUP($A1545,'Medical Examinations'!$A:$J,10,FALSE)</f>
        <v>No</v>
      </c>
      <c r="K1545" t="str">
        <f>VLOOKUP($A1545,'Medical Examinations'!$A:$J,5,FALSE)</f>
        <v>Prediabetes</v>
      </c>
      <c r="L1545">
        <f>VLOOKUP($A1546,'Medical Examinations'!$A:$J,3,FALSE)</f>
        <v>24.97</v>
      </c>
      <c r="M1545">
        <f>VLOOKUP($A1545,'Hospitalisation Details'!$A:$K,6,FALSE)</f>
        <v>6600.21</v>
      </c>
      <c r="N1545" s="11">
        <f>VLOOKUP($B1545,'Hospitalisation Details'!A1544:J3888,10,0)</f>
        <v>26236</v>
      </c>
      <c r="O1545" t="str">
        <f>VLOOKUP($B1545,'Hospitalisation Details'!A1544:J3888,8,0)</f>
        <v>tier - 2</v>
      </c>
      <c r="P1545" t="str">
        <f>VLOOKUP($B1545,'Hospitalisation Details'!A1544:J3888,7,0)</f>
        <v>tier - 3</v>
      </c>
      <c r="Q1545" t="str">
        <f>VLOOKUP($B1545,'Hospitalisation Details'!A1544:J3888,9,0)</f>
        <v>R1011</v>
      </c>
      <c r="R1545">
        <f>VLOOKUP($B1545,'Hospitalisation Details'!A1544:K3888,11,0)</f>
        <v>51</v>
      </c>
    </row>
    <row r="1546" spans="1:18" x14ac:dyDescent="0.35">
      <c r="A1546" t="s">
        <v>826</v>
      </c>
      <c r="B1546" t="s">
        <v>1577</v>
      </c>
      <c r="C1546" t="str">
        <f>VLOOKUP($A1546,'Customer Names'!$A:$E,4,FALSE)</f>
        <v>Jake</v>
      </c>
      <c r="D1546" t="str">
        <f>VLOOKUP($A1546,'Medical Examinations'!$A:$J,2,FALSE)</f>
        <v>Normal Weight</v>
      </c>
      <c r="E1546">
        <f>VLOOKUP($A1546,'Medical Examinations'!$A:$J,4,FALSE)</f>
        <v>5.66</v>
      </c>
      <c r="F1546" t="str">
        <f>VLOOKUP($A1546,'Medical Examinations'!$A:$J,6,FALSE)</f>
        <v>No</v>
      </c>
      <c r="G1546" t="str">
        <f>VLOOKUP($A1546,'Medical Examinations'!$A:$J,7,FALSE)</f>
        <v>No</v>
      </c>
      <c r="H1546" t="str">
        <f>VLOOKUP($A1546,'Medical Examinations'!$A:$J,8,FALSE)</f>
        <v>No</v>
      </c>
      <c r="I1546">
        <f>VLOOKUP($A1546,'Medical Examinations'!$A:$J,9,FALSE)</f>
        <v>0</v>
      </c>
      <c r="J1546" t="str">
        <f>VLOOKUP($A1546,'Medical Examinations'!$A:$J,10,FALSE)</f>
        <v>No</v>
      </c>
      <c r="K1546" t="str">
        <f>VLOOKUP($A1546,'Medical Examinations'!$A:$J,5,FALSE)</f>
        <v>Normal</v>
      </c>
      <c r="L1546">
        <f>VLOOKUP($A1547,'Medical Examinations'!$A:$J,3,FALSE)</f>
        <v>34.799999999999997</v>
      </c>
      <c r="M1546">
        <f>VLOOKUP($A1546,'Hospitalisation Details'!$A:$K,6,FALSE)</f>
        <v>6593.51</v>
      </c>
      <c r="N1546" s="11">
        <f>VLOOKUP($B1546,'Hospitalisation Details'!A1545:J3889,10,0)</f>
        <v>22860</v>
      </c>
      <c r="O1546" t="str">
        <f>VLOOKUP($B1546,'Hospitalisation Details'!A1545:J3889,8,0)</f>
        <v>tier - 3</v>
      </c>
      <c r="P1546" t="str">
        <f>VLOOKUP($B1546,'Hospitalisation Details'!A1545:J3889,7,0)</f>
        <v>tier - 3</v>
      </c>
      <c r="Q1546" t="str">
        <f>VLOOKUP($B1546,'Hospitalisation Details'!A1545:J3889,9,0)</f>
        <v>R1012</v>
      </c>
      <c r="R1546">
        <f>VLOOKUP($B1546,'Hospitalisation Details'!A1545:K3889,11,0)</f>
        <v>60</v>
      </c>
    </row>
    <row r="1547" spans="1:18" x14ac:dyDescent="0.35">
      <c r="A1547" t="s">
        <v>825</v>
      </c>
      <c r="B1547" t="s">
        <v>1578</v>
      </c>
      <c r="C1547" t="str">
        <f>VLOOKUP($A1547,'Customer Names'!$A:$E,4,FALSE)</f>
        <v>Sarah E</v>
      </c>
      <c r="D1547" t="str">
        <f>VLOOKUP($A1547,'Medical Examinations'!$A:$J,2,FALSE)</f>
        <v>Obesity</v>
      </c>
      <c r="E1547">
        <f>VLOOKUP($A1547,'Medical Examinations'!$A:$J,4,FALSE)</f>
        <v>4.1900000000000004</v>
      </c>
      <c r="F1547" t="str">
        <f>VLOOKUP($A1547,'Medical Examinations'!$A:$J,6,FALSE)</f>
        <v>No</v>
      </c>
      <c r="G1547" t="str">
        <f>VLOOKUP($A1547,'Medical Examinations'!$A:$J,7,FALSE)</f>
        <v>No</v>
      </c>
      <c r="H1547" t="str">
        <f>VLOOKUP($A1547,'Medical Examinations'!$A:$J,8,FALSE)</f>
        <v>No</v>
      </c>
      <c r="I1547">
        <f>VLOOKUP($A1547,'Medical Examinations'!$A:$J,9,FALSE)</f>
        <v>1</v>
      </c>
      <c r="J1547" t="str">
        <f>VLOOKUP($A1547,'Medical Examinations'!$A:$J,10,FALSE)</f>
        <v>No</v>
      </c>
      <c r="K1547" t="str">
        <f>VLOOKUP($A1547,'Medical Examinations'!$A:$J,5,FALSE)</f>
        <v>Normal</v>
      </c>
      <c r="L1547">
        <f>VLOOKUP($A1548,'Medical Examinations'!$A:$J,3,FALSE)</f>
        <v>32.965000000000003</v>
      </c>
      <c r="M1547">
        <f>VLOOKUP($A1547,'Hospitalisation Details'!$A:$K,6,FALSE)</f>
        <v>6571.54</v>
      </c>
      <c r="N1547" s="11">
        <f>VLOOKUP($B1547,'Hospitalisation Details'!A1546:J3890,10,0)</f>
        <v>33828</v>
      </c>
      <c r="O1547" t="str">
        <f>VLOOKUP($B1547,'Hospitalisation Details'!A1546:J3890,8,0)</f>
        <v>tier - 2</v>
      </c>
      <c r="P1547" t="str">
        <f>VLOOKUP($B1547,'Hospitalisation Details'!A1546:J3890,7,0)</f>
        <v>tier - 3</v>
      </c>
      <c r="Q1547" t="str">
        <f>VLOOKUP($B1547,'Hospitalisation Details'!A1546:J3890,9,0)</f>
        <v>R1026</v>
      </c>
      <c r="R1547">
        <f>VLOOKUP($B1547,'Hospitalisation Details'!A1546:K3890,11,0)</f>
        <v>30</v>
      </c>
    </row>
    <row r="1548" spans="1:18" x14ac:dyDescent="0.35">
      <c r="A1548" t="s">
        <v>824</v>
      </c>
      <c r="B1548" t="s">
        <v>1579</v>
      </c>
      <c r="C1548" t="str">
        <f>VLOOKUP($A1548,'Customer Names'!$A:$E,4,FALSE)</f>
        <v>Alison L.</v>
      </c>
      <c r="D1548" t="str">
        <f>VLOOKUP($A1548,'Medical Examinations'!$A:$J,2,FALSE)</f>
        <v>Obesity</v>
      </c>
      <c r="E1548">
        <f>VLOOKUP($A1548,'Medical Examinations'!$A:$J,4,FALSE)</f>
        <v>9.2100000000000009</v>
      </c>
      <c r="F1548" t="str">
        <f>VLOOKUP($A1548,'Medical Examinations'!$A:$J,6,FALSE)</f>
        <v>yes</v>
      </c>
      <c r="G1548" t="str">
        <f>VLOOKUP($A1548,'Medical Examinations'!$A:$J,7,FALSE)</f>
        <v>No</v>
      </c>
      <c r="H1548" t="str">
        <f>VLOOKUP($A1548,'Medical Examinations'!$A:$J,8,FALSE)</f>
        <v>No</v>
      </c>
      <c r="I1548">
        <f>VLOOKUP($A1548,'Medical Examinations'!$A:$J,9,FALSE)</f>
        <v>0</v>
      </c>
      <c r="J1548" t="str">
        <f>VLOOKUP($A1548,'Medical Examinations'!$A:$J,10,FALSE)</f>
        <v>No</v>
      </c>
      <c r="K1548" t="str">
        <f>VLOOKUP($A1548,'Medical Examinations'!$A:$J,5,FALSE)</f>
        <v>Diabetes</v>
      </c>
      <c r="L1548">
        <f>VLOOKUP($A1549,'Medical Examinations'!$A:$J,3,FALSE)</f>
        <v>27.265000000000001</v>
      </c>
      <c r="M1548">
        <f>VLOOKUP($A1548,'Hospitalisation Details'!$A:$K,6,FALSE)</f>
        <v>6571.02</v>
      </c>
      <c r="N1548" s="11">
        <f>VLOOKUP($B1548,'Hospitalisation Details'!A1547:J3891,10,0)</f>
        <v>23268</v>
      </c>
      <c r="O1548" t="str">
        <f>VLOOKUP($B1548,'Hospitalisation Details'!A1547:J3891,8,0)</f>
        <v>tier - 1</v>
      </c>
      <c r="P1548" t="str">
        <f>VLOOKUP($B1548,'Hospitalisation Details'!A1547:J3891,7,0)</f>
        <v>tier - 3</v>
      </c>
      <c r="Q1548" t="str">
        <f>VLOOKUP($B1548,'Hospitalisation Details'!A1547:J3891,9,0)</f>
        <v>R1012</v>
      </c>
      <c r="R1548">
        <f>VLOOKUP($B1548,'Hospitalisation Details'!A1547:K3891,11,0)</f>
        <v>59</v>
      </c>
    </row>
    <row r="1549" spans="1:18" x14ac:dyDescent="0.35">
      <c r="A1549" t="s">
        <v>823</v>
      </c>
      <c r="B1549" t="s">
        <v>1580</v>
      </c>
      <c r="C1549" t="str">
        <f>VLOOKUP($A1549,'Customer Names'!$A:$E,4,FALSE)</f>
        <v>Karen A.</v>
      </c>
      <c r="D1549" t="str">
        <f>VLOOKUP($A1549,'Medical Examinations'!$A:$J,2,FALSE)</f>
        <v>Overweight</v>
      </c>
      <c r="E1549">
        <f>VLOOKUP($A1549,'Medical Examinations'!$A:$J,4,FALSE)</f>
        <v>5.51</v>
      </c>
      <c r="F1549" t="str">
        <f>VLOOKUP($A1549,'Medical Examinations'!$A:$J,6,FALSE)</f>
        <v>No</v>
      </c>
      <c r="G1549" t="str">
        <f>VLOOKUP($A1549,'Medical Examinations'!$A:$J,7,FALSE)</f>
        <v>No</v>
      </c>
      <c r="H1549" t="str">
        <f>VLOOKUP($A1549,'Medical Examinations'!$A:$J,8,FALSE)</f>
        <v>No</v>
      </c>
      <c r="I1549">
        <f>VLOOKUP($A1549,'Medical Examinations'!$A:$J,9,FALSE)</f>
        <v>1</v>
      </c>
      <c r="J1549" t="str">
        <f>VLOOKUP($A1549,'Medical Examinations'!$A:$J,10,FALSE)</f>
        <v>No</v>
      </c>
      <c r="K1549" t="str">
        <f>VLOOKUP($A1549,'Medical Examinations'!$A:$J,5,FALSE)</f>
        <v>Normal</v>
      </c>
      <c r="L1549">
        <f>VLOOKUP($A1550,'Medical Examinations'!$A:$J,3,FALSE)</f>
        <v>17.059999999999999</v>
      </c>
      <c r="M1549">
        <f>VLOOKUP($A1549,'Hospitalisation Details'!$A:$K,6,FALSE)</f>
        <v>6555.07</v>
      </c>
      <c r="N1549" s="11">
        <f>VLOOKUP($B1549,'Hospitalisation Details'!A1548:J3892,10,0)</f>
        <v>36388</v>
      </c>
      <c r="O1549" t="str">
        <f>VLOOKUP($B1549,'Hospitalisation Details'!A1548:J3892,8,0)</f>
        <v>tier - 3</v>
      </c>
      <c r="P1549" t="str">
        <f>VLOOKUP($B1549,'Hospitalisation Details'!A1548:J3892,7,0)</f>
        <v>tier - 3</v>
      </c>
      <c r="Q1549" t="str">
        <f>VLOOKUP($B1549,'Hospitalisation Details'!A1548:J3892,9,0)</f>
        <v>R1011</v>
      </c>
      <c r="R1549">
        <f>VLOOKUP($B1549,'Hospitalisation Details'!A1548:K3892,11,0)</f>
        <v>23</v>
      </c>
    </row>
    <row r="1550" spans="1:18" x14ac:dyDescent="0.35">
      <c r="A1550" t="s">
        <v>822</v>
      </c>
      <c r="B1550" t="s">
        <v>1581</v>
      </c>
      <c r="C1550" t="str">
        <f>VLOOKUP($A1550,'Customer Names'!$A:$E,4,FALSE)</f>
        <v>Thomas R. Jr.</v>
      </c>
      <c r="D1550" t="str">
        <f>VLOOKUP($A1550,'Medical Examinations'!$A:$J,2,FALSE)</f>
        <v>Underweight</v>
      </c>
      <c r="E1550">
        <f>VLOOKUP($A1550,'Medical Examinations'!$A:$J,4,FALSE)</f>
        <v>8.5</v>
      </c>
      <c r="F1550" t="str">
        <f>VLOOKUP($A1550,'Medical Examinations'!$A:$J,6,FALSE)</f>
        <v>No</v>
      </c>
      <c r="G1550" t="str">
        <f>VLOOKUP($A1550,'Medical Examinations'!$A:$J,7,FALSE)</f>
        <v>No</v>
      </c>
      <c r="H1550" t="str">
        <f>VLOOKUP($A1550,'Medical Examinations'!$A:$J,8,FALSE)</f>
        <v>No</v>
      </c>
      <c r="I1550">
        <f>VLOOKUP($A1550,'Medical Examinations'!$A:$J,9,FALSE)</f>
        <v>0</v>
      </c>
      <c r="J1550" t="str">
        <f>VLOOKUP($A1550,'Medical Examinations'!$A:$J,10,FALSE)</f>
        <v>No</v>
      </c>
      <c r="K1550" t="str">
        <f>VLOOKUP($A1550,'Medical Examinations'!$A:$J,5,FALSE)</f>
        <v>Diabetes</v>
      </c>
      <c r="L1550">
        <f>VLOOKUP($A1551,'Medical Examinations'!$A:$J,3,FALSE)</f>
        <v>36.29</v>
      </c>
      <c r="M1550">
        <f>VLOOKUP($A1550,'Hospitalisation Details'!$A:$K,6,FALSE)</f>
        <v>6552.01</v>
      </c>
      <c r="N1550" s="11">
        <f>VLOOKUP($B1550,'Hospitalisation Details'!A1549:J3893,10,0)</f>
        <v>22531</v>
      </c>
      <c r="O1550" t="str">
        <f>VLOOKUP($B1550,'Hospitalisation Details'!A1549:J3893,8,0)</f>
        <v>tier - 2</v>
      </c>
      <c r="P1550" t="str">
        <f>VLOOKUP($B1550,'Hospitalisation Details'!A1549:J3893,7,0)</f>
        <v>tier - 3</v>
      </c>
      <c r="Q1550" t="str">
        <f>VLOOKUP($B1550,'Hospitalisation Details'!A1549:J3893,9,0)</f>
        <v>R1017</v>
      </c>
      <c r="R1550">
        <f>VLOOKUP($B1550,'Hospitalisation Details'!A1549:K3893,11,0)</f>
        <v>61</v>
      </c>
    </row>
    <row r="1551" spans="1:18" x14ac:dyDescent="0.35">
      <c r="A1551" t="s">
        <v>821</v>
      </c>
      <c r="B1551" t="s">
        <v>1582</v>
      </c>
      <c r="C1551" t="str">
        <f>VLOOKUP($A1551,'Customer Names'!$A:$E,4,FALSE)</f>
        <v>Stephanie W.</v>
      </c>
      <c r="D1551" t="str">
        <f>VLOOKUP($A1551,'Medical Examinations'!$A:$J,2,FALSE)</f>
        <v>Obesity</v>
      </c>
      <c r="E1551">
        <f>VLOOKUP($A1551,'Medical Examinations'!$A:$J,4,FALSE)</f>
        <v>6.23</v>
      </c>
      <c r="F1551" t="str">
        <f>VLOOKUP($A1551,'Medical Examinations'!$A:$J,6,FALSE)</f>
        <v>No</v>
      </c>
      <c r="G1551" t="str">
        <f>VLOOKUP($A1551,'Medical Examinations'!$A:$J,7,FALSE)</f>
        <v>No</v>
      </c>
      <c r="H1551" t="str">
        <f>VLOOKUP($A1551,'Medical Examinations'!$A:$J,8,FALSE)</f>
        <v>No</v>
      </c>
      <c r="I1551">
        <f>VLOOKUP($A1551,'Medical Examinations'!$A:$J,9,FALSE)</f>
        <v>0</v>
      </c>
      <c r="J1551" t="str">
        <f>VLOOKUP($A1551,'Medical Examinations'!$A:$J,10,FALSE)</f>
        <v>No</v>
      </c>
      <c r="K1551" t="str">
        <f>VLOOKUP($A1551,'Medical Examinations'!$A:$J,5,FALSE)</f>
        <v>Prediabetes</v>
      </c>
      <c r="L1551">
        <f>VLOOKUP($A1552,'Medical Examinations'!$A:$J,3,FALSE)</f>
        <v>28.594999999999999</v>
      </c>
      <c r="M1551">
        <f>VLOOKUP($A1551,'Hospitalisation Details'!$A:$K,6,FALSE)</f>
        <v>6551.75</v>
      </c>
      <c r="N1551" s="11">
        <f>VLOOKUP($B1551,'Hospitalisation Details'!A1550:J3894,10,0)</f>
        <v>22621</v>
      </c>
      <c r="O1551" t="str">
        <f>VLOOKUP($B1551,'Hospitalisation Details'!A1550:J3894,8,0)</f>
        <v>tier - 2</v>
      </c>
      <c r="P1551" t="str">
        <f>VLOOKUP($B1551,'Hospitalisation Details'!A1550:J3894,7,0)</f>
        <v>tier - 3</v>
      </c>
      <c r="Q1551" t="str">
        <f>VLOOKUP($B1551,'Hospitalisation Details'!A1550:J3894,9,0)</f>
        <v>R1020</v>
      </c>
      <c r="R1551">
        <f>VLOOKUP($B1551,'Hospitalisation Details'!A1550:K3894,11,0)</f>
        <v>61</v>
      </c>
    </row>
    <row r="1552" spans="1:18" x14ac:dyDescent="0.35">
      <c r="A1552" t="s">
        <v>820</v>
      </c>
      <c r="B1552" t="s">
        <v>1583</v>
      </c>
      <c r="C1552" t="str">
        <f>VLOOKUP($A1552,'Customer Names'!$A:$E,4,FALSE)</f>
        <v>Ezra</v>
      </c>
      <c r="D1552" t="str">
        <f>VLOOKUP($A1552,'Medical Examinations'!$A:$J,2,FALSE)</f>
        <v>Overweight</v>
      </c>
      <c r="E1552">
        <f>VLOOKUP($A1552,'Medical Examinations'!$A:$J,4,FALSE)</f>
        <v>8.5299999999999994</v>
      </c>
      <c r="F1552" t="str">
        <f>VLOOKUP($A1552,'Medical Examinations'!$A:$J,6,FALSE)</f>
        <v>yes</v>
      </c>
      <c r="G1552" t="str">
        <f>VLOOKUP($A1552,'Medical Examinations'!$A:$J,7,FALSE)</f>
        <v>No</v>
      </c>
      <c r="H1552" t="str">
        <f>VLOOKUP($A1552,'Medical Examinations'!$A:$J,8,FALSE)</f>
        <v>No</v>
      </c>
      <c r="I1552">
        <f>VLOOKUP($A1552,'Medical Examinations'!$A:$J,9,FALSE)</f>
        <v>1</v>
      </c>
      <c r="J1552" t="str">
        <f>VLOOKUP($A1552,'Medical Examinations'!$A:$J,10,FALSE)</f>
        <v>No</v>
      </c>
      <c r="K1552" t="str">
        <f>VLOOKUP($A1552,'Medical Examinations'!$A:$J,5,FALSE)</f>
        <v>Diabetes</v>
      </c>
      <c r="L1552">
        <f>VLOOKUP($A1553,'Medical Examinations'!$A:$J,3,FALSE)</f>
        <v>17.8</v>
      </c>
      <c r="M1552">
        <f>VLOOKUP($A1552,'Hospitalisation Details'!$A:$K,6,FALSE)</f>
        <v>6548.2</v>
      </c>
      <c r="N1552" s="11">
        <f>VLOOKUP($B1552,'Hospitalisation Details'!A1551:J3895,10,0)</f>
        <v>22621</v>
      </c>
      <c r="O1552" t="str">
        <f>VLOOKUP($B1552,'Hospitalisation Details'!A1551:J3895,8,0)</f>
        <v>tier - 2</v>
      </c>
      <c r="P1552" t="str">
        <f>VLOOKUP($B1552,'Hospitalisation Details'!A1551:J3895,7,0)</f>
        <v>tier - 3</v>
      </c>
      <c r="Q1552" t="str">
        <f>VLOOKUP($B1552,'Hospitalisation Details'!A1551:J3895,9,0)</f>
        <v>R1016</v>
      </c>
      <c r="R1552">
        <f>VLOOKUP($B1552,'Hospitalisation Details'!A1551:K3895,11,0)</f>
        <v>61</v>
      </c>
    </row>
    <row r="1553" spans="1:18" x14ac:dyDescent="0.35">
      <c r="A1553" t="s">
        <v>819</v>
      </c>
      <c r="B1553" t="s">
        <v>1584</v>
      </c>
      <c r="C1553" t="str">
        <f>VLOOKUP($A1553,'Customer Names'!$A:$E,4,FALSE)</f>
        <v>Jim</v>
      </c>
      <c r="D1553" t="str">
        <f>VLOOKUP($A1553,'Medical Examinations'!$A:$J,2,FALSE)</f>
        <v>Underweight</v>
      </c>
      <c r="E1553">
        <f>VLOOKUP($A1553,'Medical Examinations'!$A:$J,4,FALSE)</f>
        <v>5.75</v>
      </c>
      <c r="F1553" t="str">
        <f>VLOOKUP($A1553,'Medical Examinations'!$A:$J,6,FALSE)</f>
        <v>yes</v>
      </c>
      <c r="G1553" t="str">
        <f>VLOOKUP($A1553,'Medical Examinations'!$A:$J,7,FALSE)</f>
        <v>No</v>
      </c>
      <c r="H1553" t="str">
        <f>VLOOKUP($A1553,'Medical Examinations'!$A:$J,8,FALSE)</f>
        <v>Yes</v>
      </c>
      <c r="I1553">
        <f>VLOOKUP($A1553,'Medical Examinations'!$A:$J,9,FALSE)</f>
        <v>1</v>
      </c>
      <c r="J1553" t="str">
        <f>VLOOKUP($A1553,'Medical Examinations'!$A:$J,10,FALSE)</f>
        <v>No</v>
      </c>
      <c r="K1553" t="str">
        <f>VLOOKUP($A1553,'Medical Examinations'!$A:$J,5,FALSE)</f>
        <v>Prediabetes</v>
      </c>
      <c r="L1553">
        <f>VLOOKUP($A1554,'Medical Examinations'!$A:$J,3,FALSE)</f>
        <v>21.4</v>
      </c>
      <c r="M1553">
        <f>VLOOKUP($A1553,'Hospitalisation Details'!$A:$K,6,FALSE)</f>
        <v>6546.16</v>
      </c>
      <c r="N1553" s="11">
        <f>VLOOKUP($B1553,'Hospitalisation Details'!A1552:J3896,10,0)</f>
        <v>22863</v>
      </c>
      <c r="O1553" t="str">
        <f>VLOOKUP($B1553,'Hospitalisation Details'!A1552:J3896,8,0)</f>
        <v>tier - 1</v>
      </c>
      <c r="P1553" t="str">
        <f>VLOOKUP($B1553,'Hospitalisation Details'!A1552:J3896,7,0)</f>
        <v>tier - 3</v>
      </c>
      <c r="Q1553" t="str">
        <f>VLOOKUP($B1553,'Hospitalisation Details'!A1552:J3896,9,0)</f>
        <v>R1024</v>
      </c>
      <c r="R1553">
        <f>VLOOKUP($B1553,'Hospitalisation Details'!A1552:K3896,11,0)</f>
        <v>60</v>
      </c>
    </row>
    <row r="1554" spans="1:18" x14ac:dyDescent="0.35">
      <c r="A1554" t="s">
        <v>818</v>
      </c>
      <c r="B1554" t="s">
        <v>1585</v>
      </c>
      <c r="C1554" t="str">
        <f>VLOOKUP($A1554,'Customer Names'!$A:$E,4,FALSE)</f>
        <v>Ari L.</v>
      </c>
      <c r="D1554" t="str">
        <f>VLOOKUP($A1554,'Medical Examinations'!$A:$J,2,FALSE)</f>
        <v>Normal Weight</v>
      </c>
      <c r="E1554">
        <f>VLOOKUP($A1554,'Medical Examinations'!$A:$J,4,FALSE)</f>
        <v>5.6</v>
      </c>
      <c r="F1554" t="str">
        <f>VLOOKUP($A1554,'Medical Examinations'!$A:$J,6,FALSE)</f>
        <v>No</v>
      </c>
      <c r="G1554" t="str">
        <f>VLOOKUP($A1554,'Medical Examinations'!$A:$J,7,FALSE)</f>
        <v>No</v>
      </c>
      <c r="H1554" t="str">
        <f>VLOOKUP($A1554,'Medical Examinations'!$A:$J,8,FALSE)</f>
        <v>No</v>
      </c>
      <c r="I1554">
        <f>VLOOKUP($A1554,'Medical Examinations'!$A:$J,9,FALSE)</f>
        <v>0</v>
      </c>
      <c r="J1554" t="str">
        <f>VLOOKUP($A1554,'Medical Examinations'!$A:$J,10,FALSE)</f>
        <v>No</v>
      </c>
      <c r="K1554" t="str">
        <f>VLOOKUP($A1554,'Medical Examinations'!$A:$J,5,FALSE)</f>
        <v>Normal</v>
      </c>
      <c r="L1554">
        <f>VLOOKUP($A1555,'Medical Examinations'!$A:$J,3,FALSE)</f>
        <v>23.01</v>
      </c>
      <c r="M1554">
        <f>VLOOKUP($A1554,'Hospitalisation Details'!$A:$K,6,FALSE)</f>
        <v>6536.68</v>
      </c>
      <c r="N1554" s="11">
        <f>VLOOKUP($B1554,'Hospitalisation Details'!A1553:J3897,10,0)</f>
        <v>30239</v>
      </c>
      <c r="O1554" t="str">
        <f>VLOOKUP($B1554,'Hospitalisation Details'!A1553:J3897,8,0)</f>
        <v>tier - 2</v>
      </c>
      <c r="P1554" t="str">
        <f>VLOOKUP($B1554,'Hospitalisation Details'!A1553:J3897,7,0)</f>
        <v>tier - 3</v>
      </c>
      <c r="Q1554" t="str">
        <f>VLOOKUP($B1554,'Hospitalisation Details'!A1553:J3897,9,0)</f>
        <v>R1012</v>
      </c>
      <c r="R1554">
        <f>VLOOKUP($B1554,'Hospitalisation Details'!A1553:K3897,11,0)</f>
        <v>40</v>
      </c>
    </row>
    <row r="1555" spans="1:18" x14ac:dyDescent="0.35">
      <c r="A1555" t="s">
        <v>817</v>
      </c>
      <c r="B1555" t="s">
        <v>1586</v>
      </c>
      <c r="C1555" t="str">
        <f>VLOOKUP($A1555,'Customer Names'!$A:$E,4,FALSE)</f>
        <v>Fanny</v>
      </c>
      <c r="D1555" t="str">
        <f>VLOOKUP($A1555,'Medical Examinations'!$A:$J,2,FALSE)</f>
        <v>Normal Weight</v>
      </c>
      <c r="E1555">
        <f>VLOOKUP($A1555,'Medical Examinations'!$A:$J,4,FALSE)</f>
        <v>4.68</v>
      </c>
      <c r="F1555" t="str">
        <f>VLOOKUP($A1555,'Medical Examinations'!$A:$J,6,FALSE)</f>
        <v>No</v>
      </c>
      <c r="G1555" t="str">
        <f>VLOOKUP($A1555,'Medical Examinations'!$A:$J,7,FALSE)</f>
        <v>No</v>
      </c>
      <c r="H1555" t="str">
        <f>VLOOKUP($A1555,'Medical Examinations'!$A:$J,8,FALSE)</f>
        <v>No</v>
      </c>
      <c r="I1555">
        <f>VLOOKUP($A1555,'Medical Examinations'!$A:$J,9,FALSE)</f>
        <v>0</v>
      </c>
      <c r="J1555" t="str">
        <f>VLOOKUP($A1555,'Medical Examinations'!$A:$J,10,FALSE)</f>
        <v>No</v>
      </c>
      <c r="K1555" t="str">
        <f>VLOOKUP($A1555,'Medical Examinations'!$A:$J,5,FALSE)</f>
        <v>Normal</v>
      </c>
      <c r="L1555">
        <f>VLOOKUP($A1556,'Medical Examinations'!$A:$J,3,FALSE)</f>
        <v>19.86</v>
      </c>
      <c r="M1555">
        <f>VLOOKUP($A1555,'Hospitalisation Details'!$A:$K,6,FALSE)</f>
        <v>6532.04</v>
      </c>
      <c r="N1555" s="11">
        <f>VLOOKUP($B1555,'Hospitalisation Details'!A1554:J3898,10,0)</f>
        <v>22987</v>
      </c>
      <c r="O1555" t="str">
        <f>VLOOKUP($B1555,'Hospitalisation Details'!A1554:J3898,8,0)</f>
        <v>tier - 1</v>
      </c>
      <c r="P1555" t="str">
        <f>VLOOKUP($B1555,'Hospitalisation Details'!A1554:J3898,7,0)</f>
        <v>tier - 3</v>
      </c>
      <c r="Q1555" t="str">
        <f>VLOOKUP($B1555,'Hospitalisation Details'!A1554:J3898,9,0)</f>
        <v>R1024</v>
      </c>
      <c r="R1555">
        <f>VLOOKUP($B1555,'Hospitalisation Details'!A1554:K3898,11,0)</f>
        <v>60</v>
      </c>
    </row>
    <row r="1556" spans="1:18" x14ac:dyDescent="0.35">
      <c r="A1556" t="s">
        <v>816</v>
      </c>
      <c r="B1556" t="s">
        <v>1587</v>
      </c>
      <c r="C1556" t="str">
        <f>VLOOKUP($A1556,'Customer Names'!$A:$E,4,FALSE)</f>
        <v>Heather</v>
      </c>
      <c r="D1556" t="str">
        <f>VLOOKUP($A1556,'Medical Examinations'!$A:$J,2,FALSE)</f>
        <v>Normal Weight</v>
      </c>
      <c r="E1556">
        <f>VLOOKUP($A1556,'Medical Examinations'!$A:$J,4,FALSE)</f>
        <v>5.62</v>
      </c>
      <c r="F1556" t="str">
        <f>VLOOKUP($A1556,'Medical Examinations'!$A:$J,6,FALSE)</f>
        <v>yes</v>
      </c>
      <c r="G1556" t="str">
        <f>VLOOKUP($A1556,'Medical Examinations'!$A:$J,7,FALSE)</f>
        <v>No</v>
      </c>
      <c r="H1556" t="str">
        <f>VLOOKUP($A1556,'Medical Examinations'!$A:$J,8,FALSE)</f>
        <v>No</v>
      </c>
      <c r="I1556">
        <f>VLOOKUP($A1556,'Medical Examinations'!$A:$J,9,FALSE)</f>
        <v>0</v>
      </c>
      <c r="J1556" t="str">
        <f>VLOOKUP($A1556,'Medical Examinations'!$A:$J,10,FALSE)</f>
        <v>No</v>
      </c>
      <c r="K1556" t="str">
        <f>VLOOKUP($A1556,'Medical Examinations'!$A:$J,5,FALSE)</f>
        <v>Normal</v>
      </c>
      <c r="L1556">
        <f>VLOOKUP($A1557,'Medical Examinations'!$A:$J,3,FALSE)</f>
        <v>33.58</v>
      </c>
      <c r="M1556">
        <f>VLOOKUP($A1556,'Hospitalisation Details'!$A:$K,6,FALSE)</f>
        <v>6529.21</v>
      </c>
      <c r="N1556" s="11">
        <f>VLOOKUP($B1556,'Hospitalisation Details'!A1555:J3899,10,0)</f>
        <v>24059</v>
      </c>
      <c r="O1556" t="str">
        <f>VLOOKUP($B1556,'Hospitalisation Details'!A1555:J3899,8,0)</f>
        <v>tier - 3</v>
      </c>
      <c r="P1556" t="str">
        <f>VLOOKUP($B1556,'Hospitalisation Details'!A1555:J3899,7,0)</f>
        <v>tier - 3</v>
      </c>
      <c r="Q1556" t="str">
        <f>VLOOKUP($B1556,'Hospitalisation Details'!A1555:J3899,9,0)</f>
        <v>R1024</v>
      </c>
      <c r="R1556">
        <f>VLOOKUP($B1556,'Hospitalisation Details'!A1555:K3899,11,0)</f>
        <v>57</v>
      </c>
    </row>
    <row r="1557" spans="1:18" x14ac:dyDescent="0.35">
      <c r="A1557" t="s">
        <v>815</v>
      </c>
      <c r="B1557" t="s">
        <v>1588</v>
      </c>
      <c r="C1557" t="str">
        <f>VLOOKUP($A1557,'Customer Names'!$A:$E,4,FALSE)</f>
        <v>Peter W. Sr.</v>
      </c>
      <c r="D1557" t="str">
        <f>VLOOKUP($A1557,'Medical Examinations'!$A:$J,2,FALSE)</f>
        <v>Obesity</v>
      </c>
      <c r="E1557">
        <f>VLOOKUP($A1557,'Medical Examinations'!$A:$J,4,FALSE)</f>
        <v>5.08</v>
      </c>
      <c r="F1557" t="str">
        <f>VLOOKUP($A1557,'Medical Examinations'!$A:$J,6,FALSE)</f>
        <v>No</v>
      </c>
      <c r="G1557" t="str">
        <f>VLOOKUP($A1557,'Medical Examinations'!$A:$J,7,FALSE)</f>
        <v>No</v>
      </c>
      <c r="H1557" t="str">
        <f>VLOOKUP($A1557,'Medical Examinations'!$A:$J,8,FALSE)</f>
        <v>No</v>
      </c>
      <c r="I1557">
        <f>VLOOKUP($A1557,'Medical Examinations'!$A:$J,9,FALSE)</f>
        <v>0</v>
      </c>
      <c r="J1557" t="str">
        <f>VLOOKUP($A1557,'Medical Examinations'!$A:$J,10,FALSE)</f>
        <v>No</v>
      </c>
      <c r="K1557" t="str">
        <f>VLOOKUP($A1557,'Medical Examinations'!$A:$J,5,FALSE)</f>
        <v>Normal</v>
      </c>
      <c r="L1557">
        <f>VLOOKUP($A1558,'Medical Examinations'!$A:$J,3,FALSE)</f>
        <v>29.81</v>
      </c>
      <c r="M1557">
        <f>VLOOKUP($A1557,'Hospitalisation Details'!$A:$K,6,FALSE)</f>
        <v>6512.24</v>
      </c>
      <c r="N1557" s="11">
        <f>VLOOKUP($B1557,'Hospitalisation Details'!A1556:J3900,10,0)</f>
        <v>22974</v>
      </c>
      <c r="O1557" t="str">
        <f>VLOOKUP($B1557,'Hospitalisation Details'!A1556:J3900,8,0)</f>
        <v>tier - 2</v>
      </c>
      <c r="P1557" t="str">
        <f>VLOOKUP($B1557,'Hospitalisation Details'!A1556:J3900,7,0)</f>
        <v>tier - 3</v>
      </c>
      <c r="Q1557" t="str">
        <f>VLOOKUP($B1557,'Hospitalisation Details'!A1556:J3900,9,0)</f>
        <v>R1011</v>
      </c>
      <c r="R1557">
        <f>VLOOKUP($B1557,'Hospitalisation Details'!A1556:K3900,11,0)</f>
        <v>60</v>
      </c>
    </row>
    <row r="1558" spans="1:18" x14ac:dyDescent="0.35">
      <c r="A1558" t="s">
        <v>814</v>
      </c>
      <c r="B1558" t="s">
        <v>1589</v>
      </c>
      <c r="C1558" t="str">
        <f>VLOOKUP($A1558,'Customer Names'!$A:$E,4,FALSE)</f>
        <v>Catherine A</v>
      </c>
      <c r="D1558" t="str">
        <f>VLOOKUP($A1558,'Medical Examinations'!$A:$J,2,FALSE)</f>
        <v>Overweight</v>
      </c>
      <c r="E1558">
        <f>VLOOKUP($A1558,'Medical Examinations'!$A:$J,4,FALSE)</f>
        <v>5.28</v>
      </c>
      <c r="F1558" t="str">
        <f>VLOOKUP($A1558,'Medical Examinations'!$A:$J,6,FALSE)</f>
        <v>No</v>
      </c>
      <c r="G1558" t="str">
        <f>VLOOKUP($A1558,'Medical Examinations'!$A:$J,7,FALSE)</f>
        <v>No</v>
      </c>
      <c r="H1558" t="str">
        <f>VLOOKUP($A1558,'Medical Examinations'!$A:$J,8,FALSE)</f>
        <v>No</v>
      </c>
      <c r="I1558">
        <f>VLOOKUP($A1558,'Medical Examinations'!$A:$J,9,FALSE)</f>
        <v>0</v>
      </c>
      <c r="J1558" t="str">
        <f>VLOOKUP($A1558,'Medical Examinations'!$A:$J,10,FALSE)</f>
        <v>No</v>
      </c>
      <c r="K1558" t="str">
        <f>VLOOKUP($A1558,'Medical Examinations'!$A:$J,5,FALSE)</f>
        <v>Normal</v>
      </c>
      <c r="L1558">
        <f>VLOOKUP($A1559,'Medical Examinations'!$A:$J,3,FALSE)</f>
        <v>27.4</v>
      </c>
      <c r="M1558">
        <f>VLOOKUP($A1558,'Hospitalisation Details'!$A:$K,6,FALSE)</f>
        <v>6500.24</v>
      </c>
      <c r="N1558" s="11">
        <f>VLOOKUP($B1558,'Hospitalisation Details'!A1557:J3901,10,0)</f>
        <v>22930</v>
      </c>
      <c r="O1558" t="str">
        <f>VLOOKUP($B1558,'Hospitalisation Details'!A1557:J3901,8,0)</f>
        <v>tier - 3</v>
      </c>
      <c r="P1558" t="str">
        <f>VLOOKUP($B1558,'Hospitalisation Details'!A1557:J3901,7,0)</f>
        <v>tier - 3</v>
      </c>
      <c r="Q1558" t="str">
        <f>VLOOKUP($B1558,'Hospitalisation Details'!A1557:J3901,9,0)</f>
        <v>R1023</v>
      </c>
      <c r="R1558">
        <f>VLOOKUP($B1558,'Hospitalisation Details'!A1557:K3901,11,0)</f>
        <v>60</v>
      </c>
    </row>
    <row r="1559" spans="1:18" x14ac:dyDescent="0.35">
      <c r="A1559" t="s">
        <v>813</v>
      </c>
      <c r="B1559" t="s">
        <v>1590</v>
      </c>
      <c r="C1559" t="str">
        <f>VLOOKUP($A1559,'Customer Names'!$A:$E,4,FALSE)</f>
        <v>Kelly A</v>
      </c>
      <c r="D1559" t="str">
        <f>VLOOKUP($A1559,'Medical Examinations'!$A:$J,2,FALSE)</f>
        <v>Overweight</v>
      </c>
      <c r="E1559">
        <f>VLOOKUP($A1559,'Medical Examinations'!$A:$J,4,FALSE)</f>
        <v>4.6100000000000003</v>
      </c>
      <c r="F1559" t="str">
        <f>VLOOKUP($A1559,'Medical Examinations'!$A:$J,6,FALSE)</f>
        <v>No</v>
      </c>
      <c r="G1559" t="str">
        <f>VLOOKUP($A1559,'Medical Examinations'!$A:$J,7,FALSE)</f>
        <v>No</v>
      </c>
      <c r="H1559" t="str">
        <f>VLOOKUP($A1559,'Medical Examinations'!$A:$J,8,FALSE)</f>
        <v>No</v>
      </c>
      <c r="I1559">
        <f>VLOOKUP($A1559,'Medical Examinations'!$A:$J,9,FALSE)</f>
        <v>0</v>
      </c>
      <c r="J1559" t="str">
        <f>VLOOKUP($A1559,'Medical Examinations'!$A:$J,10,FALSE)</f>
        <v>No</v>
      </c>
      <c r="K1559" t="str">
        <f>VLOOKUP($A1559,'Medical Examinations'!$A:$J,5,FALSE)</f>
        <v>Normal</v>
      </c>
      <c r="L1559">
        <f>VLOOKUP($A1560,'Medical Examinations'!$A:$J,3,FALSE)</f>
        <v>17.98</v>
      </c>
      <c r="M1559">
        <f>VLOOKUP($A1559,'Hospitalisation Details'!$A:$K,6,FALSE)</f>
        <v>6496.89</v>
      </c>
      <c r="N1559" s="11">
        <f>VLOOKUP($B1559,'Hospitalisation Details'!A1558:J3902,10,0)</f>
        <v>34516</v>
      </c>
      <c r="O1559" t="str">
        <f>VLOOKUP($B1559,'Hospitalisation Details'!A1558:J3902,8,0)</f>
        <v>tier - 3</v>
      </c>
      <c r="P1559" t="str">
        <f>VLOOKUP($B1559,'Hospitalisation Details'!A1558:J3902,7,0)</f>
        <v>tier - 3</v>
      </c>
      <c r="Q1559" t="str">
        <f>VLOOKUP($B1559,'Hospitalisation Details'!A1558:J3902,9,0)</f>
        <v>R1012</v>
      </c>
      <c r="R1559">
        <f>VLOOKUP($B1559,'Hospitalisation Details'!A1558:K3902,11,0)</f>
        <v>28</v>
      </c>
    </row>
    <row r="1560" spans="1:18" x14ac:dyDescent="0.35">
      <c r="A1560" t="s">
        <v>812</v>
      </c>
      <c r="B1560" t="s">
        <v>1591</v>
      </c>
      <c r="C1560" t="str">
        <f>VLOOKUP($A1560,'Customer Names'!$A:$E,4,FALSE)</f>
        <v>Janel N.</v>
      </c>
      <c r="D1560" t="str">
        <f>VLOOKUP($A1560,'Medical Examinations'!$A:$J,2,FALSE)</f>
        <v>Underweight</v>
      </c>
      <c r="E1560">
        <f>VLOOKUP($A1560,'Medical Examinations'!$A:$J,4,FALSE)</f>
        <v>6.57</v>
      </c>
      <c r="F1560" t="str">
        <f>VLOOKUP($A1560,'Medical Examinations'!$A:$J,6,FALSE)</f>
        <v>yes</v>
      </c>
      <c r="G1560" t="str">
        <f>VLOOKUP($A1560,'Medical Examinations'!$A:$J,7,FALSE)</f>
        <v>No</v>
      </c>
      <c r="H1560" t="str">
        <f>VLOOKUP($A1560,'Medical Examinations'!$A:$J,8,FALSE)</f>
        <v>No</v>
      </c>
      <c r="I1560">
        <f>VLOOKUP($A1560,'Medical Examinations'!$A:$J,9,FALSE)</f>
        <v>2</v>
      </c>
      <c r="J1560" t="str">
        <f>VLOOKUP($A1560,'Medical Examinations'!$A:$J,10,FALSE)</f>
        <v>No</v>
      </c>
      <c r="K1560" t="str">
        <f>VLOOKUP($A1560,'Medical Examinations'!$A:$J,5,FALSE)</f>
        <v>Diabetes</v>
      </c>
      <c r="L1560">
        <f>VLOOKUP($A1561,'Medical Examinations'!$A:$J,3,FALSE)</f>
        <v>37.9</v>
      </c>
      <c r="M1560">
        <f>VLOOKUP($A1560,'Hospitalisation Details'!$A:$K,6,FALSE)</f>
        <v>6481.67</v>
      </c>
      <c r="N1560" s="11">
        <f>VLOOKUP($B1560,'Hospitalisation Details'!A1559:J3903,10,0)</f>
        <v>27995</v>
      </c>
      <c r="O1560" t="str">
        <f>VLOOKUP($B1560,'Hospitalisation Details'!A1559:J3903,8,0)</f>
        <v>tier - 2</v>
      </c>
      <c r="P1560" t="str">
        <f>VLOOKUP($B1560,'Hospitalisation Details'!A1559:J3903,7,0)</f>
        <v>tier - 3</v>
      </c>
      <c r="Q1560" t="str">
        <f>VLOOKUP($B1560,'Hospitalisation Details'!A1559:J3903,9,0)</f>
        <v>R1012</v>
      </c>
      <c r="R1560">
        <f>VLOOKUP($B1560,'Hospitalisation Details'!A1559:K3903,11,0)</f>
        <v>46</v>
      </c>
    </row>
    <row r="1561" spans="1:18" x14ac:dyDescent="0.35">
      <c r="A1561" t="s">
        <v>811</v>
      </c>
      <c r="B1561" t="s">
        <v>1592</v>
      </c>
      <c r="C1561" t="str">
        <f>VLOOKUP($A1561,'Customer Names'!$A:$E,4,FALSE)</f>
        <v>Yann Kai</v>
      </c>
      <c r="D1561" t="str">
        <f>VLOOKUP($A1561,'Medical Examinations'!$A:$J,2,FALSE)</f>
        <v>Obesity</v>
      </c>
      <c r="E1561">
        <f>VLOOKUP($A1561,'Medical Examinations'!$A:$J,4,FALSE)</f>
        <v>5.83</v>
      </c>
      <c r="F1561" t="str">
        <f>VLOOKUP($A1561,'Medical Examinations'!$A:$J,6,FALSE)</f>
        <v>No</v>
      </c>
      <c r="G1561" t="str">
        <f>VLOOKUP($A1561,'Medical Examinations'!$A:$J,7,FALSE)</f>
        <v>No</v>
      </c>
      <c r="H1561" t="str">
        <f>VLOOKUP($A1561,'Medical Examinations'!$A:$J,8,FALSE)</f>
        <v>No</v>
      </c>
      <c r="I1561">
        <f>VLOOKUP($A1561,'Medical Examinations'!$A:$J,9,FALSE)</f>
        <v>0</v>
      </c>
      <c r="J1561" t="str">
        <f>VLOOKUP($A1561,'Medical Examinations'!$A:$J,10,FALSE)</f>
        <v>No</v>
      </c>
      <c r="K1561" t="str">
        <f>VLOOKUP($A1561,'Medical Examinations'!$A:$J,5,FALSE)</f>
        <v>Prediabetes</v>
      </c>
      <c r="L1561">
        <f>VLOOKUP($A1562,'Medical Examinations'!$A:$J,3,FALSE)</f>
        <v>25.27</v>
      </c>
      <c r="M1561">
        <f>VLOOKUP($A1561,'Hospitalisation Details'!$A:$K,6,FALSE)</f>
        <v>6474.01</v>
      </c>
      <c r="N1561" s="11">
        <f>VLOOKUP($B1561,'Hospitalisation Details'!A1560:J3904,10,0)</f>
        <v>22231</v>
      </c>
      <c r="O1561" t="str">
        <f>VLOOKUP($B1561,'Hospitalisation Details'!A1560:J3904,8,0)</f>
        <v>tier - 1</v>
      </c>
      <c r="P1561" t="str">
        <f>VLOOKUP($B1561,'Hospitalisation Details'!A1560:J3904,7,0)</f>
        <v>tier - 3</v>
      </c>
      <c r="Q1561" t="str">
        <f>VLOOKUP($B1561,'Hospitalisation Details'!A1560:J3904,9,0)</f>
        <v>R1012</v>
      </c>
      <c r="R1561">
        <f>VLOOKUP($B1561,'Hospitalisation Details'!A1560:K3904,11,0)</f>
        <v>62</v>
      </c>
    </row>
    <row r="1562" spans="1:18" x14ac:dyDescent="0.35">
      <c r="A1562" t="s">
        <v>810</v>
      </c>
      <c r="B1562" t="s">
        <v>1593</v>
      </c>
      <c r="C1562" t="str">
        <f>VLOOKUP($A1562,'Customer Names'!$A:$E,4,FALSE)</f>
        <v>Zachary R.</v>
      </c>
      <c r="D1562" t="str">
        <f>VLOOKUP($A1562,'Medical Examinations'!$A:$J,2,FALSE)</f>
        <v>Overweight</v>
      </c>
      <c r="E1562">
        <f>VLOOKUP($A1562,'Medical Examinations'!$A:$J,4,FALSE)</f>
        <v>6.98</v>
      </c>
      <c r="F1562" t="str">
        <f>VLOOKUP($A1562,'Medical Examinations'!$A:$J,6,FALSE)</f>
        <v>yes</v>
      </c>
      <c r="G1562" t="str">
        <f>VLOOKUP($A1562,'Medical Examinations'!$A:$J,7,FALSE)</f>
        <v>No</v>
      </c>
      <c r="H1562" t="str">
        <f>VLOOKUP($A1562,'Medical Examinations'!$A:$J,8,FALSE)</f>
        <v>No</v>
      </c>
      <c r="I1562">
        <f>VLOOKUP($A1562,'Medical Examinations'!$A:$J,9,FALSE)</f>
        <v>0</v>
      </c>
      <c r="J1562" t="str">
        <f>VLOOKUP($A1562,'Medical Examinations'!$A:$J,10,FALSE)</f>
        <v>No</v>
      </c>
      <c r="K1562" t="str">
        <f>VLOOKUP($A1562,'Medical Examinations'!$A:$J,5,FALSE)</f>
        <v>Diabetes</v>
      </c>
      <c r="L1562">
        <f>VLOOKUP($A1563,'Medical Examinations'!$A:$J,3,FALSE)</f>
        <v>29.26</v>
      </c>
      <c r="M1562">
        <f>VLOOKUP($A1562,'Hospitalisation Details'!$A:$K,6,FALSE)</f>
        <v>6473.15</v>
      </c>
      <c r="N1562" s="11">
        <f>VLOOKUP($B1562,'Hospitalisation Details'!A1561:J3905,10,0)</f>
        <v>33148</v>
      </c>
      <c r="O1562" t="str">
        <f>VLOOKUP($B1562,'Hospitalisation Details'!A1561:J3905,8,0)</f>
        <v>tier - 1</v>
      </c>
      <c r="P1562" t="str">
        <f>VLOOKUP($B1562,'Hospitalisation Details'!A1561:J3905,7,0)</f>
        <v>tier - 3</v>
      </c>
      <c r="Q1562" t="str">
        <f>VLOOKUP($B1562,'Hospitalisation Details'!A1561:J3905,9,0)</f>
        <v>R1012</v>
      </c>
      <c r="R1562">
        <f>VLOOKUP($B1562,'Hospitalisation Details'!A1561:K3905,11,0)</f>
        <v>32</v>
      </c>
    </row>
    <row r="1563" spans="1:18" x14ac:dyDescent="0.35">
      <c r="A1563" t="s">
        <v>809</v>
      </c>
      <c r="B1563" t="s">
        <v>1594</v>
      </c>
      <c r="C1563" t="str">
        <f>VLOOKUP($A1563,'Customer Names'!$A:$E,4,FALSE)</f>
        <v>Alejandro Sr.</v>
      </c>
      <c r="D1563" t="str">
        <f>VLOOKUP($A1563,'Medical Examinations'!$A:$J,2,FALSE)</f>
        <v>Overweight</v>
      </c>
      <c r="E1563">
        <f>VLOOKUP($A1563,'Medical Examinations'!$A:$J,4,FALSE)</f>
        <v>4.03</v>
      </c>
      <c r="F1563" t="str">
        <f>VLOOKUP($A1563,'Medical Examinations'!$A:$J,6,FALSE)</f>
        <v>No</v>
      </c>
      <c r="G1563" t="str">
        <f>VLOOKUP($A1563,'Medical Examinations'!$A:$J,7,FALSE)</f>
        <v>No</v>
      </c>
      <c r="H1563" t="str">
        <f>VLOOKUP($A1563,'Medical Examinations'!$A:$J,8,FALSE)</f>
        <v>No</v>
      </c>
      <c r="I1563">
        <f>VLOOKUP($A1563,'Medical Examinations'!$A:$J,9,FALSE)</f>
        <v>1</v>
      </c>
      <c r="J1563" t="str">
        <f>VLOOKUP($A1563,'Medical Examinations'!$A:$J,10,FALSE)</f>
        <v>No</v>
      </c>
      <c r="K1563" t="str">
        <f>VLOOKUP($A1563,'Medical Examinations'!$A:$J,5,FALSE)</f>
        <v>Normal</v>
      </c>
      <c r="L1563">
        <f>VLOOKUP($A1564,'Medical Examinations'!$A:$J,3,FALSE)</f>
        <v>27.835000000000001</v>
      </c>
      <c r="M1563">
        <f>VLOOKUP($A1563,'Hospitalisation Details'!$A:$K,6,FALSE)</f>
        <v>6457.84</v>
      </c>
      <c r="N1563" s="11">
        <f>VLOOKUP($B1563,'Hospitalisation Details'!A1562:J3906,10,0)</f>
        <v>23644</v>
      </c>
      <c r="O1563" t="str">
        <f>VLOOKUP($B1563,'Hospitalisation Details'!A1562:J3906,8,0)</f>
        <v>tier - 2</v>
      </c>
      <c r="P1563" t="str">
        <f>VLOOKUP($B1563,'Hospitalisation Details'!A1562:J3906,7,0)</f>
        <v>tier - 3</v>
      </c>
      <c r="Q1563" t="str">
        <f>VLOOKUP($B1563,'Hospitalisation Details'!A1562:J3906,9,0)</f>
        <v>R1025</v>
      </c>
      <c r="R1563">
        <f>VLOOKUP($B1563,'Hospitalisation Details'!A1562:K3906,11,0)</f>
        <v>58</v>
      </c>
    </row>
    <row r="1564" spans="1:18" x14ac:dyDescent="0.35">
      <c r="A1564" t="s">
        <v>808</v>
      </c>
      <c r="B1564" t="s">
        <v>1595</v>
      </c>
      <c r="C1564" t="str">
        <f>VLOOKUP($A1564,'Customer Names'!$A:$E,4,FALSE)</f>
        <v>Nicholas R.</v>
      </c>
      <c r="D1564" t="str">
        <f>VLOOKUP($A1564,'Medical Examinations'!$A:$J,2,FALSE)</f>
        <v>Overweight</v>
      </c>
      <c r="E1564">
        <f>VLOOKUP($A1564,'Medical Examinations'!$A:$J,4,FALSE)</f>
        <v>4.5599999999999996</v>
      </c>
      <c r="F1564" t="str">
        <f>VLOOKUP($A1564,'Medical Examinations'!$A:$J,6,FALSE)</f>
        <v>No</v>
      </c>
      <c r="G1564" t="str">
        <f>VLOOKUP($A1564,'Medical Examinations'!$A:$J,7,FALSE)</f>
        <v>No</v>
      </c>
      <c r="H1564" t="str">
        <f>VLOOKUP($A1564,'Medical Examinations'!$A:$J,8,FALSE)</f>
        <v>No</v>
      </c>
      <c r="I1564">
        <f>VLOOKUP($A1564,'Medical Examinations'!$A:$J,9,FALSE)</f>
        <v>1</v>
      </c>
      <c r="J1564" t="str">
        <f>VLOOKUP($A1564,'Medical Examinations'!$A:$J,10,FALSE)</f>
        <v>No</v>
      </c>
      <c r="K1564" t="str">
        <f>VLOOKUP($A1564,'Medical Examinations'!$A:$J,5,FALSE)</f>
        <v>Normal</v>
      </c>
      <c r="L1564">
        <f>VLOOKUP($A1565,'Medical Examinations'!$A:$J,3,FALSE)</f>
        <v>46.53</v>
      </c>
      <c r="M1564">
        <f>VLOOKUP($A1564,'Hospitalisation Details'!$A:$K,6,FALSE)</f>
        <v>6455.86</v>
      </c>
      <c r="N1564" s="11">
        <f>VLOOKUP($B1564,'Hospitalisation Details'!A1563:J3907,10,0)</f>
        <v>29128</v>
      </c>
      <c r="O1564" t="str">
        <f>VLOOKUP($B1564,'Hospitalisation Details'!A1563:J3907,8,0)</f>
        <v>tier - 3</v>
      </c>
      <c r="P1564" t="str">
        <f>VLOOKUP($B1564,'Hospitalisation Details'!A1563:J3907,7,0)</f>
        <v>tier - 3</v>
      </c>
      <c r="Q1564" t="str">
        <f>VLOOKUP($B1564,'Hospitalisation Details'!A1563:J3907,9,0)</f>
        <v>R1026</v>
      </c>
      <c r="R1564">
        <f>VLOOKUP($B1564,'Hospitalisation Details'!A1563:K3907,11,0)</f>
        <v>43</v>
      </c>
    </row>
    <row r="1565" spans="1:18" x14ac:dyDescent="0.35">
      <c r="A1565" t="s">
        <v>807</v>
      </c>
      <c r="B1565" t="s">
        <v>1596</v>
      </c>
      <c r="C1565" t="str">
        <f>VLOOKUP($A1565,'Customer Names'!$A:$E,4,FALSE)</f>
        <v>Paul</v>
      </c>
      <c r="D1565" t="str">
        <f>VLOOKUP($A1565,'Medical Examinations'!$A:$J,2,FALSE)</f>
        <v>Obesity</v>
      </c>
      <c r="E1565">
        <f>VLOOKUP($A1565,'Medical Examinations'!$A:$J,4,FALSE)</f>
        <v>5.38</v>
      </c>
      <c r="F1565" t="str">
        <f>VLOOKUP($A1565,'Medical Examinations'!$A:$J,6,FALSE)</f>
        <v>yes</v>
      </c>
      <c r="G1565" t="str">
        <f>VLOOKUP($A1565,'Medical Examinations'!$A:$J,7,FALSE)</f>
        <v>No</v>
      </c>
      <c r="H1565" t="str">
        <f>VLOOKUP($A1565,'Medical Examinations'!$A:$J,8,FALSE)</f>
        <v>No</v>
      </c>
      <c r="I1565">
        <f>VLOOKUP($A1565,'Medical Examinations'!$A:$J,9,FALSE)</f>
        <v>0</v>
      </c>
      <c r="J1565" t="str">
        <f>VLOOKUP($A1565,'Medical Examinations'!$A:$J,10,FALSE)</f>
        <v>No</v>
      </c>
      <c r="K1565" t="str">
        <f>VLOOKUP($A1565,'Medical Examinations'!$A:$J,5,FALSE)</f>
        <v>Normal</v>
      </c>
      <c r="L1565">
        <f>VLOOKUP($A1566,'Medical Examinations'!$A:$J,3,FALSE)</f>
        <v>20.58</v>
      </c>
      <c r="M1565">
        <f>VLOOKUP($A1565,'Hospitalisation Details'!$A:$K,6,FALSE)</f>
        <v>6435.62</v>
      </c>
      <c r="N1565" s="11">
        <f>VLOOKUP($B1565,'Hospitalisation Details'!A1564:J3908,10,0)</f>
        <v>30839</v>
      </c>
      <c r="O1565" t="str">
        <f>VLOOKUP($B1565,'Hospitalisation Details'!A1564:J3908,8,0)</f>
        <v>tier - 2</v>
      </c>
      <c r="P1565" t="str">
        <f>VLOOKUP($B1565,'Hospitalisation Details'!A1564:J3908,7,0)</f>
        <v>tier - 3</v>
      </c>
      <c r="Q1565" t="str">
        <f>VLOOKUP($B1565,'Hospitalisation Details'!A1564:J3908,9,0)</f>
        <v>R1023</v>
      </c>
      <c r="R1565">
        <f>VLOOKUP($B1565,'Hospitalisation Details'!A1564:K3908,11,0)</f>
        <v>39</v>
      </c>
    </row>
    <row r="1566" spans="1:18" x14ac:dyDescent="0.35">
      <c r="A1566" t="s">
        <v>806</v>
      </c>
      <c r="B1566" t="s">
        <v>1597</v>
      </c>
      <c r="C1566" t="str">
        <f>VLOOKUP($A1566,'Customer Names'!$A:$E,4,FALSE)</f>
        <v>Michael D</v>
      </c>
      <c r="D1566" t="str">
        <f>VLOOKUP($A1566,'Medical Examinations'!$A:$J,2,FALSE)</f>
        <v>Normal Weight</v>
      </c>
      <c r="E1566">
        <f>VLOOKUP($A1566,'Medical Examinations'!$A:$J,4,FALSE)</f>
        <v>11.04</v>
      </c>
      <c r="F1566" t="str">
        <f>VLOOKUP($A1566,'Medical Examinations'!$A:$J,6,FALSE)</f>
        <v>yes</v>
      </c>
      <c r="G1566" t="str">
        <f>VLOOKUP($A1566,'Medical Examinations'!$A:$J,7,FALSE)</f>
        <v>No</v>
      </c>
      <c r="H1566" t="str">
        <f>VLOOKUP($A1566,'Medical Examinations'!$A:$J,8,FALSE)</f>
        <v>No</v>
      </c>
      <c r="I1566">
        <f>VLOOKUP($A1566,'Medical Examinations'!$A:$J,9,FALSE)</f>
        <v>1</v>
      </c>
      <c r="J1566" t="str">
        <f>VLOOKUP($A1566,'Medical Examinations'!$A:$J,10,FALSE)</f>
        <v>No</v>
      </c>
      <c r="K1566" t="str">
        <f>VLOOKUP($A1566,'Medical Examinations'!$A:$J,5,FALSE)</f>
        <v>Diabetes</v>
      </c>
      <c r="L1566">
        <f>VLOOKUP($A1567,'Medical Examinations'!$A:$J,3,FALSE)</f>
        <v>19.53</v>
      </c>
      <c r="M1566">
        <f>VLOOKUP($A1566,'Hospitalisation Details'!$A:$K,6,FALSE)</f>
        <v>6423.48</v>
      </c>
      <c r="N1566" s="11">
        <f>VLOOKUP($B1566,'Hospitalisation Details'!A1565:J3909,10,0)</f>
        <v>21893</v>
      </c>
      <c r="O1566" t="str">
        <f>VLOOKUP($B1566,'Hospitalisation Details'!A1565:J3909,8,0)</f>
        <v>tier - 3</v>
      </c>
      <c r="P1566" t="str">
        <f>VLOOKUP($B1566,'Hospitalisation Details'!A1565:J3909,7,0)</f>
        <v>tier - 3</v>
      </c>
      <c r="Q1566" t="str">
        <f>VLOOKUP($B1566,'Hospitalisation Details'!A1565:J3909,9,0)</f>
        <v>R1011</v>
      </c>
      <c r="R1566">
        <f>VLOOKUP($B1566,'Hospitalisation Details'!A1565:K3909,11,0)</f>
        <v>63</v>
      </c>
    </row>
    <row r="1567" spans="1:18" x14ac:dyDescent="0.35">
      <c r="A1567" t="s">
        <v>805</v>
      </c>
      <c r="B1567" t="s">
        <v>1598</v>
      </c>
      <c r="C1567" t="str">
        <f>VLOOKUP($A1567,'Customer Names'!$A:$E,4,FALSE)</f>
        <v>Marina</v>
      </c>
      <c r="D1567" t="str">
        <f>VLOOKUP($A1567,'Medical Examinations'!$A:$J,2,FALSE)</f>
        <v>Normal Weight</v>
      </c>
      <c r="E1567">
        <f>VLOOKUP($A1567,'Medical Examinations'!$A:$J,4,FALSE)</f>
        <v>6.09</v>
      </c>
      <c r="F1567" t="str">
        <f>VLOOKUP($A1567,'Medical Examinations'!$A:$J,6,FALSE)</f>
        <v>yes</v>
      </c>
      <c r="G1567" t="str">
        <f>VLOOKUP($A1567,'Medical Examinations'!$A:$J,7,FALSE)</f>
        <v>No</v>
      </c>
      <c r="H1567" t="str">
        <f>VLOOKUP($A1567,'Medical Examinations'!$A:$J,8,FALSE)</f>
        <v>No</v>
      </c>
      <c r="I1567">
        <f>VLOOKUP($A1567,'Medical Examinations'!$A:$J,9,FALSE)</f>
        <v>0</v>
      </c>
      <c r="J1567" t="str">
        <f>VLOOKUP($A1567,'Medical Examinations'!$A:$J,10,FALSE)</f>
        <v>No</v>
      </c>
      <c r="K1567" t="str">
        <f>VLOOKUP($A1567,'Medical Examinations'!$A:$J,5,FALSE)</f>
        <v>Prediabetes</v>
      </c>
      <c r="L1567">
        <f>VLOOKUP($A1568,'Medical Examinations'!$A:$J,3,FALSE)</f>
        <v>27.7</v>
      </c>
      <c r="M1567">
        <f>VLOOKUP($A1567,'Hospitalisation Details'!$A:$K,6,FALSE)</f>
        <v>6417.28</v>
      </c>
      <c r="N1567" s="11">
        <f>VLOOKUP($B1567,'Hospitalisation Details'!A1566:J3910,10,0)</f>
        <v>21879</v>
      </c>
      <c r="O1567" t="str">
        <f>VLOOKUP($B1567,'Hospitalisation Details'!A1566:J3910,8,0)</f>
        <v>tier - 1</v>
      </c>
      <c r="P1567" t="str">
        <f>VLOOKUP($B1567,'Hospitalisation Details'!A1566:J3910,7,0)</f>
        <v>tier - 3</v>
      </c>
      <c r="Q1567" t="str">
        <f>VLOOKUP($B1567,'Hospitalisation Details'!A1566:J3910,9,0)</f>
        <v>R1011</v>
      </c>
      <c r="R1567">
        <f>VLOOKUP($B1567,'Hospitalisation Details'!A1566:K3910,11,0)</f>
        <v>63</v>
      </c>
    </row>
    <row r="1568" spans="1:18" x14ac:dyDescent="0.35">
      <c r="A1568" t="s">
        <v>804</v>
      </c>
      <c r="B1568" t="s">
        <v>1599</v>
      </c>
      <c r="C1568" t="str">
        <f>VLOOKUP($A1568,'Customer Names'!$A:$E,4,FALSE)</f>
        <v>Caroline</v>
      </c>
      <c r="D1568" t="str">
        <f>VLOOKUP($A1568,'Medical Examinations'!$A:$J,2,FALSE)</f>
        <v>Overweight</v>
      </c>
      <c r="E1568">
        <f>VLOOKUP($A1568,'Medical Examinations'!$A:$J,4,FALSE)</f>
        <v>4.71</v>
      </c>
      <c r="F1568" t="str">
        <f>VLOOKUP($A1568,'Medical Examinations'!$A:$J,6,FALSE)</f>
        <v>No</v>
      </c>
      <c r="G1568" t="str">
        <f>VLOOKUP($A1568,'Medical Examinations'!$A:$J,7,FALSE)</f>
        <v>No</v>
      </c>
      <c r="H1568" t="str">
        <f>VLOOKUP($A1568,'Medical Examinations'!$A:$J,8,FALSE)</f>
        <v>No</v>
      </c>
      <c r="I1568">
        <f>VLOOKUP($A1568,'Medical Examinations'!$A:$J,9,FALSE)</f>
        <v>1</v>
      </c>
      <c r="J1568" t="str">
        <f>VLOOKUP($A1568,'Medical Examinations'!$A:$J,10,FALSE)</f>
        <v>No</v>
      </c>
      <c r="K1568" t="str">
        <f>VLOOKUP($A1568,'Medical Examinations'!$A:$J,5,FALSE)</f>
        <v>Normal</v>
      </c>
      <c r="L1568">
        <f>VLOOKUP($A1569,'Medical Examinations'!$A:$J,3,FALSE)</f>
        <v>18.920000000000002</v>
      </c>
      <c r="M1568">
        <f>VLOOKUP($A1568,'Hospitalisation Details'!$A:$K,6,FALSE)</f>
        <v>6414.18</v>
      </c>
      <c r="N1568" s="11">
        <f>VLOOKUP($B1568,'Hospitalisation Details'!A1567:J3911,10,0)</f>
        <v>21904</v>
      </c>
      <c r="O1568" t="str">
        <f>VLOOKUP($B1568,'Hospitalisation Details'!A1567:J3911,8,0)</f>
        <v>tier - 3</v>
      </c>
      <c r="P1568" t="str">
        <f>VLOOKUP($B1568,'Hospitalisation Details'!A1567:J3911,7,0)</f>
        <v>tier - 3</v>
      </c>
      <c r="Q1568" t="str">
        <f>VLOOKUP($B1568,'Hospitalisation Details'!A1567:J3911,9,0)</f>
        <v>R1013</v>
      </c>
      <c r="R1568">
        <f>VLOOKUP($B1568,'Hospitalisation Details'!A1567:K3911,11,0)</f>
        <v>63</v>
      </c>
    </row>
    <row r="1569" spans="1:18" x14ac:dyDescent="0.35">
      <c r="A1569" t="s">
        <v>803</v>
      </c>
      <c r="B1569" t="s">
        <v>1600</v>
      </c>
      <c r="C1569" t="str">
        <f>VLOOKUP($A1569,'Customer Names'!$A:$E,4,FALSE)</f>
        <v>Ross P</v>
      </c>
      <c r="D1569" t="str">
        <f>VLOOKUP($A1569,'Medical Examinations'!$A:$J,2,FALSE)</f>
        <v>Normal Weight</v>
      </c>
      <c r="E1569">
        <f>VLOOKUP($A1569,'Medical Examinations'!$A:$J,4,FALSE)</f>
        <v>8.18</v>
      </c>
      <c r="F1569" t="str">
        <f>VLOOKUP($A1569,'Medical Examinations'!$A:$J,6,FALSE)</f>
        <v>No</v>
      </c>
      <c r="G1569" t="str">
        <f>VLOOKUP($A1569,'Medical Examinations'!$A:$J,7,FALSE)</f>
        <v>No</v>
      </c>
      <c r="H1569" t="str">
        <f>VLOOKUP($A1569,'Medical Examinations'!$A:$J,8,FALSE)</f>
        <v>No</v>
      </c>
      <c r="I1569">
        <f>VLOOKUP($A1569,'Medical Examinations'!$A:$J,9,FALSE)</f>
        <v>0</v>
      </c>
      <c r="J1569" t="str">
        <f>VLOOKUP($A1569,'Medical Examinations'!$A:$J,10,FALSE)</f>
        <v>No</v>
      </c>
      <c r="K1569" t="str">
        <f>VLOOKUP($A1569,'Medical Examinations'!$A:$J,5,FALSE)</f>
        <v>Diabetes</v>
      </c>
      <c r="L1569">
        <f>VLOOKUP($A1570,'Medical Examinations'!$A:$J,3,FALSE)</f>
        <v>17.760000000000002</v>
      </c>
      <c r="M1569">
        <f>VLOOKUP($A1569,'Hospitalisation Details'!$A:$K,6,FALSE)</f>
        <v>6412.34</v>
      </c>
      <c r="N1569" s="11">
        <f>VLOOKUP($B1569,'Hospitalisation Details'!A1568:J3912,10,0)</f>
        <v>33957</v>
      </c>
      <c r="O1569" t="str">
        <f>VLOOKUP($B1569,'Hospitalisation Details'!A1568:J3912,8,0)</f>
        <v>tier - 3</v>
      </c>
      <c r="P1569" t="str">
        <f>VLOOKUP($B1569,'Hospitalisation Details'!A1568:J3912,7,0)</f>
        <v>tier - 3</v>
      </c>
      <c r="Q1569" t="str">
        <f>VLOOKUP($B1569,'Hospitalisation Details'!A1568:J3912,9,0)</f>
        <v>R1023</v>
      </c>
      <c r="R1569">
        <f>VLOOKUP($B1569,'Hospitalisation Details'!A1568:K3912,11,0)</f>
        <v>30</v>
      </c>
    </row>
    <row r="1570" spans="1:18" x14ac:dyDescent="0.35">
      <c r="A1570" t="s">
        <v>802</v>
      </c>
      <c r="B1570" t="s">
        <v>1601</v>
      </c>
      <c r="C1570" t="str">
        <f>VLOOKUP($A1570,'Customer Names'!$A:$E,4,FALSE)</f>
        <v>Aoife</v>
      </c>
      <c r="D1570" t="str">
        <f>VLOOKUP($A1570,'Medical Examinations'!$A:$J,2,FALSE)</f>
        <v>Underweight</v>
      </c>
      <c r="E1570">
        <f>VLOOKUP($A1570,'Medical Examinations'!$A:$J,4,FALSE)</f>
        <v>11.18</v>
      </c>
      <c r="F1570" t="str">
        <f>VLOOKUP($A1570,'Medical Examinations'!$A:$J,6,FALSE)</f>
        <v>yes</v>
      </c>
      <c r="G1570" t="str">
        <f>VLOOKUP($A1570,'Medical Examinations'!$A:$J,7,FALSE)</f>
        <v>No</v>
      </c>
      <c r="H1570" t="str">
        <f>VLOOKUP($A1570,'Medical Examinations'!$A:$J,8,FALSE)</f>
        <v>No</v>
      </c>
      <c r="I1570">
        <f>VLOOKUP($A1570,'Medical Examinations'!$A:$J,9,FALSE)</f>
        <v>2</v>
      </c>
      <c r="J1570" t="str">
        <f>VLOOKUP($A1570,'Medical Examinations'!$A:$J,10,FALSE)</f>
        <v>No</v>
      </c>
      <c r="K1570" t="str">
        <f>VLOOKUP($A1570,'Medical Examinations'!$A:$J,5,FALSE)</f>
        <v>Diabetes</v>
      </c>
      <c r="L1570">
        <f>VLOOKUP($A1571,'Medical Examinations'!$A:$J,3,FALSE)</f>
        <v>29.83</v>
      </c>
      <c r="M1570">
        <f>VLOOKUP($A1570,'Hospitalisation Details'!$A:$K,6,FALSE)</f>
        <v>6407.05</v>
      </c>
      <c r="N1570" s="11">
        <f>VLOOKUP($B1570,'Hospitalisation Details'!A1569:J3913,10,0)</f>
        <v>22484</v>
      </c>
      <c r="O1570" t="str">
        <f>VLOOKUP($B1570,'Hospitalisation Details'!A1569:J3913,8,0)</f>
        <v>tier - 2</v>
      </c>
      <c r="P1570" t="str">
        <f>VLOOKUP($B1570,'Hospitalisation Details'!A1569:J3913,7,0)</f>
        <v>tier - 3</v>
      </c>
      <c r="Q1570" t="str">
        <f>VLOOKUP($B1570,'Hospitalisation Details'!A1569:J3913,9,0)</f>
        <v>R1012</v>
      </c>
      <c r="R1570">
        <f>VLOOKUP($B1570,'Hospitalisation Details'!A1569:K3913,11,0)</f>
        <v>61</v>
      </c>
    </row>
    <row r="1571" spans="1:18" x14ac:dyDescent="0.35">
      <c r="A1571" t="s">
        <v>801</v>
      </c>
      <c r="B1571" t="s">
        <v>1602</v>
      </c>
      <c r="C1571" t="str">
        <f>VLOOKUP($A1571,'Customer Names'!$A:$E,4,FALSE)</f>
        <v>Wesley</v>
      </c>
      <c r="D1571" t="str">
        <f>VLOOKUP($A1571,'Medical Examinations'!$A:$J,2,FALSE)</f>
        <v>Overweight</v>
      </c>
      <c r="E1571">
        <f>VLOOKUP($A1571,'Medical Examinations'!$A:$J,4,FALSE)</f>
        <v>5.03</v>
      </c>
      <c r="F1571" t="str">
        <f>VLOOKUP($A1571,'Medical Examinations'!$A:$J,6,FALSE)</f>
        <v>yes</v>
      </c>
      <c r="G1571" t="str">
        <f>VLOOKUP($A1571,'Medical Examinations'!$A:$J,7,FALSE)</f>
        <v>No</v>
      </c>
      <c r="H1571" t="str">
        <f>VLOOKUP($A1571,'Medical Examinations'!$A:$J,8,FALSE)</f>
        <v>No</v>
      </c>
      <c r="I1571">
        <f>VLOOKUP($A1571,'Medical Examinations'!$A:$J,9,FALSE)</f>
        <v>0</v>
      </c>
      <c r="J1571" t="str">
        <f>VLOOKUP($A1571,'Medical Examinations'!$A:$J,10,FALSE)</f>
        <v>No</v>
      </c>
      <c r="K1571" t="str">
        <f>VLOOKUP($A1571,'Medical Examinations'!$A:$J,5,FALSE)</f>
        <v>Normal</v>
      </c>
      <c r="L1571">
        <f>VLOOKUP($A1572,'Medical Examinations'!$A:$J,3,FALSE)</f>
        <v>23.465</v>
      </c>
      <c r="M1571">
        <f>VLOOKUP($A1571,'Hospitalisation Details'!$A:$K,6,FALSE)</f>
        <v>6406.41</v>
      </c>
      <c r="N1571" s="11">
        <f>VLOOKUP($B1571,'Hospitalisation Details'!A1570:J3914,10,0)</f>
        <v>34502</v>
      </c>
      <c r="O1571" t="str">
        <f>VLOOKUP($B1571,'Hospitalisation Details'!A1570:J3914,8,0)</f>
        <v>tier - 3</v>
      </c>
      <c r="P1571" t="str">
        <f>VLOOKUP($B1571,'Hospitalisation Details'!A1570:J3914,7,0)</f>
        <v>tier - 3</v>
      </c>
      <c r="Q1571" t="str">
        <f>VLOOKUP($B1571,'Hospitalisation Details'!A1570:J3914,9,0)</f>
        <v>R1012</v>
      </c>
      <c r="R1571">
        <f>VLOOKUP($B1571,'Hospitalisation Details'!A1570:K3914,11,0)</f>
        <v>28</v>
      </c>
    </row>
    <row r="1572" spans="1:18" x14ac:dyDescent="0.35">
      <c r="A1572" t="s">
        <v>800</v>
      </c>
      <c r="B1572" t="s">
        <v>1603</v>
      </c>
      <c r="C1572" t="str">
        <f>VLOOKUP($A1572,'Customer Names'!$A:$E,4,FALSE)</f>
        <v>Rebecca J</v>
      </c>
      <c r="D1572" t="str">
        <f>VLOOKUP($A1572,'Medical Examinations'!$A:$J,2,FALSE)</f>
        <v>Normal Weight</v>
      </c>
      <c r="E1572">
        <f>VLOOKUP($A1572,'Medical Examinations'!$A:$J,4,FALSE)</f>
        <v>5.56</v>
      </c>
      <c r="F1572" t="str">
        <f>VLOOKUP($A1572,'Medical Examinations'!$A:$J,6,FALSE)</f>
        <v>No</v>
      </c>
      <c r="G1572" t="str">
        <f>VLOOKUP($A1572,'Medical Examinations'!$A:$J,7,FALSE)</f>
        <v>No</v>
      </c>
      <c r="H1572" t="str">
        <f>VLOOKUP($A1572,'Medical Examinations'!$A:$J,8,FALSE)</f>
        <v>No</v>
      </c>
      <c r="I1572">
        <f>VLOOKUP($A1572,'Medical Examinations'!$A:$J,9,FALSE)</f>
        <v>1</v>
      </c>
      <c r="J1572" t="str">
        <f>VLOOKUP($A1572,'Medical Examinations'!$A:$J,10,FALSE)</f>
        <v>No</v>
      </c>
      <c r="K1572" t="str">
        <f>VLOOKUP($A1572,'Medical Examinations'!$A:$J,5,FALSE)</f>
        <v>Normal</v>
      </c>
      <c r="L1572">
        <f>VLOOKUP($A1573,'Medical Examinations'!$A:$J,3,FALSE)</f>
        <v>29.355</v>
      </c>
      <c r="M1572">
        <f>VLOOKUP($A1572,'Hospitalisation Details'!$A:$K,6,FALSE)</f>
        <v>6402.29</v>
      </c>
      <c r="N1572" s="11">
        <f>VLOOKUP($B1572,'Hospitalisation Details'!A1571:J3915,10,0)</f>
        <v>22588</v>
      </c>
      <c r="O1572" t="str">
        <f>VLOOKUP($B1572,'Hospitalisation Details'!A1571:J3915,8,0)</f>
        <v>tier - 3</v>
      </c>
      <c r="P1572" t="str">
        <f>VLOOKUP($B1572,'Hospitalisation Details'!A1571:J3915,7,0)</f>
        <v>tier - 3</v>
      </c>
      <c r="Q1572" t="str">
        <f>VLOOKUP($B1572,'Hospitalisation Details'!A1571:J3915,9,0)</f>
        <v>R1012</v>
      </c>
      <c r="R1572">
        <f>VLOOKUP($B1572,'Hospitalisation Details'!A1571:K3915,11,0)</f>
        <v>61</v>
      </c>
    </row>
    <row r="1573" spans="1:18" x14ac:dyDescent="0.35">
      <c r="A1573" t="s">
        <v>799</v>
      </c>
      <c r="B1573" t="s">
        <v>1604</v>
      </c>
      <c r="C1573" t="str">
        <f>VLOOKUP($A1573,'Customer Names'!$A:$E,4,FALSE)</f>
        <v>Barry P.</v>
      </c>
      <c r="D1573" t="str">
        <f>VLOOKUP($A1573,'Medical Examinations'!$A:$J,2,FALSE)</f>
        <v>Overweight</v>
      </c>
      <c r="E1573">
        <f>VLOOKUP($A1573,'Medical Examinations'!$A:$J,4,FALSE)</f>
        <v>4.33</v>
      </c>
      <c r="F1573" t="str">
        <f>VLOOKUP($A1573,'Medical Examinations'!$A:$J,6,FALSE)</f>
        <v>No</v>
      </c>
      <c r="G1573" t="str">
        <f>VLOOKUP($A1573,'Medical Examinations'!$A:$J,7,FALSE)</f>
        <v>No</v>
      </c>
      <c r="H1573" t="str">
        <f>VLOOKUP($A1573,'Medical Examinations'!$A:$J,8,FALSE)</f>
        <v>No</v>
      </c>
      <c r="I1573">
        <f>VLOOKUP($A1573,'Medical Examinations'!$A:$J,9,FALSE)</f>
        <v>0</v>
      </c>
      <c r="J1573" t="str">
        <f>VLOOKUP($A1573,'Medical Examinations'!$A:$J,10,FALSE)</f>
        <v>No</v>
      </c>
      <c r="K1573" t="str">
        <f>VLOOKUP($A1573,'Medical Examinations'!$A:$J,5,FALSE)</f>
        <v>Normal</v>
      </c>
      <c r="L1573">
        <f>VLOOKUP($A1574,'Medical Examinations'!$A:$J,3,FALSE)</f>
        <v>35.49</v>
      </c>
      <c r="M1573">
        <f>VLOOKUP($A1573,'Hospitalisation Details'!$A:$K,6,FALSE)</f>
        <v>6393.6</v>
      </c>
      <c r="N1573" s="11">
        <f>VLOOKUP($B1573,'Hospitalisation Details'!A1572:J3916,10,0)</f>
        <v>24425</v>
      </c>
      <c r="O1573" t="str">
        <f>VLOOKUP($B1573,'Hospitalisation Details'!A1572:J3916,8,0)</f>
        <v>tier - 3</v>
      </c>
      <c r="P1573" t="str">
        <f>VLOOKUP($B1573,'Hospitalisation Details'!A1572:J3916,7,0)</f>
        <v>tier - 3</v>
      </c>
      <c r="Q1573" t="str">
        <f>VLOOKUP($B1573,'Hospitalisation Details'!A1572:J3916,9,0)</f>
        <v>R1024</v>
      </c>
      <c r="R1573">
        <f>VLOOKUP($B1573,'Hospitalisation Details'!A1572:K3916,11,0)</f>
        <v>56</v>
      </c>
    </row>
    <row r="1574" spans="1:18" x14ac:dyDescent="0.35">
      <c r="A1574" t="s">
        <v>798</v>
      </c>
      <c r="B1574" t="s">
        <v>1605</v>
      </c>
      <c r="C1574" t="str">
        <f>VLOOKUP($A1574,'Customer Names'!$A:$E,4,FALSE)</f>
        <v>Maciej</v>
      </c>
      <c r="D1574" t="str">
        <f>VLOOKUP($A1574,'Medical Examinations'!$A:$J,2,FALSE)</f>
        <v>Obesity</v>
      </c>
      <c r="E1574">
        <f>VLOOKUP($A1574,'Medical Examinations'!$A:$J,4,FALSE)</f>
        <v>5.21</v>
      </c>
      <c r="F1574" t="str">
        <f>VLOOKUP($A1574,'Medical Examinations'!$A:$J,6,FALSE)</f>
        <v>yes</v>
      </c>
      <c r="G1574" t="str">
        <f>VLOOKUP($A1574,'Medical Examinations'!$A:$J,7,FALSE)</f>
        <v>No</v>
      </c>
      <c r="H1574" t="str">
        <f>VLOOKUP($A1574,'Medical Examinations'!$A:$J,8,FALSE)</f>
        <v>Yes</v>
      </c>
      <c r="I1574">
        <f>VLOOKUP($A1574,'Medical Examinations'!$A:$J,9,FALSE)</f>
        <v>1</v>
      </c>
      <c r="J1574" t="str">
        <f>VLOOKUP($A1574,'Medical Examinations'!$A:$J,10,FALSE)</f>
        <v>No</v>
      </c>
      <c r="K1574" t="str">
        <f>VLOOKUP($A1574,'Medical Examinations'!$A:$J,5,FALSE)</f>
        <v>Normal</v>
      </c>
      <c r="L1574">
        <f>VLOOKUP($A1575,'Medical Examinations'!$A:$J,3,FALSE)</f>
        <v>26.315000000000001</v>
      </c>
      <c r="M1574">
        <f>VLOOKUP($A1574,'Hospitalisation Details'!$A:$K,6,FALSE)</f>
        <v>6389.53</v>
      </c>
      <c r="N1574" s="11">
        <f>VLOOKUP($B1574,'Hospitalisation Details'!A1573:J3917,10,0)</f>
        <v>27574</v>
      </c>
      <c r="O1574" t="str">
        <f>VLOOKUP($B1574,'Hospitalisation Details'!A1573:J3917,8,0)</f>
        <v>tier - 2</v>
      </c>
      <c r="P1574" t="str">
        <f>VLOOKUP($B1574,'Hospitalisation Details'!A1573:J3917,7,0)</f>
        <v>tier - 3</v>
      </c>
      <c r="Q1574" t="str">
        <f>VLOOKUP($B1574,'Hospitalisation Details'!A1573:J3917,9,0)</f>
        <v>R1012</v>
      </c>
      <c r="R1574">
        <f>VLOOKUP($B1574,'Hospitalisation Details'!A1573:K3917,11,0)</f>
        <v>47</v>
      </c>
    </row>
    <row r="1575" spans="1:18" x14ac:dyDescent="0.35">
      <c r="A1575" t="s">
        <v>797</v>
      </c>
      <c r="B1575" t="s">
        <v>1606</v>
      </c>
      <c r="C1575" t="str">
        <f>VLOOKUP($A1575,'Customer Names'!$A:$E,4,FALSE)</f>
        <v>Jerry D.</v>
      </c>
      <c r="D1575" t="str">
        <f>VLOOKUP($A1575,'Medical Examinations'!$A:$J,2,FALSE)</f>
        <v>Overweight</v>
      </c>
      <c r="E1575">
        <f>VLOOKUP($A1575,'Medical Examinations'!$A:$J,4,FALSE)</f>
        <v>5.89</v>
      </c>
      <c r="F1575" t="str">
        <f>VLOOKUP($A1575,'Medical Examinations'!$A:$J,6,FALSE)</f>
        <v>No</v>
      </c>
      <c r="G1575" t="str">
        <f>VLOOKUP($A1575,'Medical Examinations'!$A:$J,7,FALSE)</f>
        <v>No</v>
      </c>
      <c r="H1575" t="str">
        <f>VLOOKUP($A1575,'Medical Examinations'!$A:$J,8,FALSE)</f>
        <v>No</v>
      </c>
      <c r="I1575">
        <f>VLOOKUP($A1575,'Medical Examinations'!$A:$J,9,FALSE)</f>
        <v>0</v>
      </c>
      <c r="J1575" t="str">
        <f>VLOOKUP($A1575,'Medical Examinations'!$A:$J,10,FALSE)</f>
        <v>No</v>
      </c>
      <c r="K1575" t="str">
        <f>VLOOKUP($A1575,'Medical Examinations'!$A:$J,5,FALSE)</f>
        <v>Prediabetes</v>
      </c>
      <c r="L1575">
        <f>VLOOKUP($A1576,'Medical Examinations'!$A:$J,3,FALSE)</f>
        <v>19.79</v>
      </c>
      <c r="M1575">
        <f>VLOOKUP($A1575,'Hospitalisation Details'!$A:$K,6,FALSE)</f>
        <v>6389.38</v>
      </c>
      <c r="N1575" s="11">
        <f>VLOOKUP($B1575,'Hospitalisation Details'!A1574:J3918,10,0)</f>
        <v>22141</v>
      </c>
      <c r="O1575" t="str">
        <f>VLOOKUP($B1575,'Hospitalisation Details'!A1574:J3918,8,0)</f>
        <v>tier - 1</v>
      </c>
      <c r="P1575" t="str">
        <f>VLOOKUP($B1575,'Hospitalisation Details'!A1574:J3918,7,0)</f>
        <v>tier - 3</v>
      </c>
      <c r="Q1575" t="str">
        <f>VLOOKUP($B1575,'Hospitalisation Details'!A1574:J3918,9,0)</f>
        <v>R1011</v>
      </c>
      <c r="R1575">
        <f>VLOOKUP($B1575,'Hospitalisation Details'!A1574:K3918,11,0)</f>
        <v>62</v>
      </c>
    </row>
    <row r="1576" spans="1:18" x14ac:dyDescent="0.35">
      <c r="A1576" t="s">
        <v>796</v>
      </c>
      <c r="B1576" t="s">
        <v>1607</v>
      </c>
      <c r="C1576" t="str">
        <f>VLOOKUP($A1576,'Customer Names'!$A:$E,4,FALSE)</f>
        <v>Eric A.</v>
      </c>
      <c r="D1576" t="str">
        <f>VLOOKUP($A1576,'Medical Examinations'!$A:$J,2,FALSE)</f>
        <v>Normal Weight</v>
      </c>
      <c r="E1576">
        <f>VLOOKUP($A1576,'Medical Examinations'!$A:$J,4,FALSE)</f>
        <v>4.8099999999999996</v>
      </c>
      <c r="F1576" t="str">
        <f>VLOOKUP($A1576,'Medical Examinations'!$A:$J,6,FALSE)</f>
        <v>yes</v>
      </c>
      <c r="G1576" t="str">
        <f>VLOOKUP($A1576,'Medical Examinations'!$A:$J,7,FALSE)</f>
        <v>No</v>
      </c>
      <c r="H1576" t="str">
        <f>VLOOKUP($A1576,'Medical Examinations'!$A:$J,8,FALSE)</f>
        <v>No</v>
      </c>
      <c r="I1576">
        <f>VLOOKUP($A1576,'Medical Examinations'!$A:$J,9,FALSE)</f>
        <v>0</v>
      </c>
      <c r="J1576" t="str">
        <f>VLOOKUP($A1576,'Medical Examinations'!$A:$J,10,FALSE)</f>
        <v>No</v>
      </c>
      <c r="K1576" t="str">
        <f>VLOOKUP($A1576,'Medical Examinations'!$A:$J,5,FALSE)</f>
        <v>Normal</v>
      </c>
      <c r="L1576">
        <f>VLOOKUP($A1577,'Medical Examinations'!$A:$J,3,FALSE)</f>
        <v>40.564999999999998</v>
      </c>
      <c r="M1576">
        <f>VLOOKUP($A1576,'Hospitalisation Details'!$A:$K,6,FALSE)</f>
        <v>6374.16</v>
      </c>
      <c r="N1576" s="11">
        <f>VLOOKUP($B1576,'Hospitalisation Details'!A1575:J3919,10,0)</f>
        <v>22108</v>
      </c>
      <c r="O1576" t="str">
        <f>VLOOKUP($B1576,'Hospitalisation Details'!A1575:J3919,8,0)</f>
        <v>tier - 1</v>
      </c>
      <c r="P1576" t="str">
        <f>VLOOKUP($B1576,'Hospitalisation Details'!A1575:J3919,7,0)</f>
        <v>tier - 3</v>
      </c>
      <c r="Q1576" t="str">
        <f>VLOOKUP($B1576,'Hospitalisation Details'!A1575:J3919,9,0)</f>
        <v>R1013</v>
      </c>
      <c r="R1576">
        <f>VLOOKUP($B1576,'Hospitalisation Details'!A1575:K3919,11,0)</f>
        <v>62</v>
      </c>
    </row>
    <row r="1577" spans="1:18" x14ac:dyDescent="0.35">
      <c r="A1577" t="s">
        <v>795</v>
      </c>
      <c r="B1577" t="s">
        <v>1608</v>
      </c>
      <c r="C1577" t="str">
        <f>VLOOKUP($A1577,'Customer Names'!$A:$E,4,FALSE)</f>
        <v>Cathi</v>
      </c>
      <c r="D1577" t="str">
        <f>VLOOKUP($A1577,'Medical Examinations'!$A:$J,2,FALSE)</f>
        <v>Obesity</v>
      </c>
      <c r="E1577">
        <f>VLOOKUP($A1577,'Medical Examinations'!$A:$J,4,FALSE)</f>
        <v>5.66</v>
      </c>
      <c r="F1577" t="str">
        <f>VLOOKUP($A1577,'Medical Examinations'!$A:$J,6,FALSE)</f>
        <v>No</v>
      </c>
      <c r="G1577" t="str">
        <f>VLOOKUP($A1577,'Medical Examinations'!$A:$J,7,FALSE)</f>
        <v>No</v>
      </c>
      <c r="H1577" t="str">
        <f>VLOOKUP($A1577,'Medical Examinations'!$A:$J,8,FALSE)</f>
        <v>No</v>
      </c>
      <c r="I1577">
        <f>VLOOKUP($A1577,'Medical Examinations'!$A:$J,9,FALSE)</f>
        <v>1</v>
      </c>
      <c r="J1577" t="str">
        <f>VLOOKUP($A1577,'Medical Examinations'!$A:$J,10,FALSE)</f>
        <v>No</v>
      </c>
      <c r="K1577" t="str">
        <f>VLOOKUP($A1577,'Medical Examinations'!$A:$J,5,FALSE)</f>
        <v>Normal</v>
      </c>
      <c r="L1577">
        <f>VLOOKUP($A1578,'Medical Examinations'!$A:$J,3,FALSE)</f>
        <v>18.03</v>
      </c>
      <c r="M1577">
        <f>VLOOKUP($A1577,'Hospitalisation Details'!$A:$K,6,FALSE)</f>
        <v>6373.56</v>
      </c>
      <c r="N1577" s="11">
        <f>VLOOKUP($B1577,'Hospitalisation Details'!A1576:J3920,10,0)</f>
        <v>22266</v>
      </c>
      <c r="O1577" t="str">
        <f>VLOOKUP($B1577,'Hospitalisation Details'!A1576:J3920,8,0)</f>
        <v>tier - 2</v>
      </c>
      <c r="P1577" t="str">
        <f>VLOOKUP($B1577,'Hospitalisation Details'!A1576:J3920,7,0)</f>
        <v>tier - 3</v>
      </c>
      <c r="Q1577" t="str">
        <f>VLOOKUP($B1577,'Hospitalisation Details'!A1576:J3920,9,0)</f>
        <v>R1011</v>
      </c>
      <c r="R1577">
        <f>VLOOKUP($B1577,'Hospitalisation Details'!A1576:K3920,11,0)</f>
        <v>62</v>
      </c>
    </row>
    <row r="1578" spans="1:18" x14ac:dyDescent="0.35">
      <c r="A1578" t="s">
        <v>794</v>
      </c>
      <c r="B1578" t="s">
        <v>1609</v>
      </c>
      <c r="C1578" t="str">
        <f>VLOOKUP($A1578,'Customer Names'!$A:$E,4,FALSE)</f>
        <v>Alex M</v>
      </c>
      <c r="D1578" t="str">
        <f>VLOOKUP($A1578,'Medical Examinations'!$A:$J,2,FALSE)</f>
        <v>Underweight</v>
      </c>
      <c r="E1578">
        <f>VLOOKUP($A1578,'Medical Examinations'!$A:$J,4,FALSE)</f>
        <v>10.66</v>
      </c>
      <c r="F1578" t="str">
        <f>VLOOKUP($A1578,'Medical Examinations'!$A:$J,6,FALSE)</f>
        <v>yes</v>
      </c>
      <c r="G1578" t="str">
        <f>VLOOKUP($A1578,'Medical Examinations'!$A:$J,7,FALSE)</f>
        <v>No</v>
      </c>
      <c r="H1578" t="str">
        <f>VLOOKUP($A1578,'Medical Examinations'!$A:$J,8,FALSE)</f>
        <v>No</v>
      </c>
      <c r="I1578">
        <f>VLOOKUP($A1578,'Medical Examinations'!$A:$J,9,FALSE)</f>
        <v>2</v>
      </c>
      <c r="J1578" t="str">
        <f>VLOOKUP($A1578,'Medical Examinations'!$A:$J,10,FALSE)</f>
        <v>No</v>
      </c>
      <c r="K1578" t="str">
        <f>VLOOKUP($A1578,'Medical Examinations'!$A:$J,5,FALSE)</f>
        <v>Diabetes</v>
      </c>
      <c r="L1578">
        <f>VLOOKUP($A1579,'Medical Examinations'!$A:$J,3,FALSE)</f>
        <v>34.65</v>
      </c>
      <c r="M1578">
        <f>VLOOKUP($A1578,'Hospitalisation Details'!$A:$K,6,FALSE)</f>
        <v>6367.31</v>
      </c>
      <c r="N1578" s="11">
        <f>VLOOKUP($B1578,'Hospitalisation Details'!A1577:J3921,10,0)</f>
        <v>31278</v>
      </c>
      <c r="O1578" t="str">
        <f>VLOOKUP($B1578,'Hospitalisation Details'!A1577:J3921,8,0)</f>
        <v>tier - 1</v>
      </c>
      <c r="P1578" t="str">
        <f>VLOOKUP($B1578,'Hospitalisation Details'!A1577:J3921,7,0)</f>
        <v>tier - 3</v>
      </c>
      <c r="Q1578" t="str">
        <f>VLOOKUP($B1578,'Hospitalisation Details'!A1577:J3921,9,0)</f>
        <v>R1012</v>
      </c>
      <c r="R1578">
        <f>VLOOKUP($B1578,'Hospitalisation Details'!A1577:K3921,11,0)</f>
        <v>37</v>
      </c>
    </row>
    <row r="1579" spans="1:18" x14ac:dyDescent="0.35">
      <c r="A1579" t="s">
        <v>793</v>
      </c>
      <c r="B1579" t="s">
        <v>1610</v>
      </c>
      <c r="C1579" t="str">
        <f>VLOOKUP($A1579,'Customer Names'!$A:$E,4,FALSE)</f>
        <v>Liang</v>
      </c>
      <c r="D1579" t="str">
        <f>VLOOKUP($A1579,'Medical Examinations'!$A:$J,2,FALSE)</f>
        <v>Obesity</v>
      </c>
      <c r="E1579">
        <f>VLOOKUP($A1579,'Medical Examinations'!$A:$J,4,FALSE)</f>
        <v>5.98</v>
      </c>
      <c r="F1579" t="str">
        <f>VLOOKUP($A1579,'Medical Examinations'!$A:$J,6,FALSE)</f>
        <v>yes</v>
      </c>
      <c r="G1579" t="str">
        <f>VLOOKUP($A1579,'Medical Examinations'!$A:$J,7,FALSE)</f>
        <v>No</v>
      </c>
      <c r="H1579" t="str">
        <f>VLOOKUP($A1579,'Medical Examinations'!$A:$J,8,FALSE)</f>
        <v>No</v>
      </c>
      <c r="I1579">
        <f>VLOOKUP($A1579,'Medical Examinations'!$A:$J,9,FALSE)</f>
        <v>0</v>
      </c>
      <c r="J1579" t="str">
        <f>VLOOKUP($A1579,'Medical Examinations'!$A:$J,10,FALSE)</f>
        <v>No</v>
      </c>
      <c r="K1579" t="str">
        <f>VLOOKUP($A1579,'Medical Examinations'!$A:$J,5,FALSE)</f>
        <v>Prediabetes</v>
      </c>
      <c r="L1579">
        <f>VLOOKUP($A1580,'Medical Examinations'!$A:$J,3,FALSE)</f>
        <v>42.94</v>
      </c>
      <c r="M1579">
        <f>VLOOKUP($A1579,'Hospitalisation Details'!$A:$K,6,FALSE)</f>
        <v>6361.47</v>
      </c>
      <c r="N1579" s="11">
        <f>VLOOKUP($B1579,'Hospitalisation Details'!A1578:J3922,10,0)</f>
        <v>22125</v>
      </c>
      <c r="O1579" t="str">
        <f>VLOOKUP($B1579,'Hospitalisation Details'!A1578:J3922,8,0)</f>
        <v>tier - 2</v>
      </c>
      <c r="P1579" t="str">
        <f>VLOOKUP($B1579,'Hospitalisation Details'!A1578:J3922,7,0)</f>
        <v>tier - 3</v>
      </c>
      <c r="Q1579" t="str">
        <f>VLOOKUP($B1579,'Hospitalisation Details'!A1578:J3922,9,0)</f>
        <v>R1013</v>
      </c>
      <c r="R1579">
        <f>VLOOKUP($B1579,'Hospitalisation Details'!A1578:K3922,11,0)</f>
        <v>62</v>
      </c>
    </row>
    <row r="1580" spans="1:18" x14ac:dyDescent="0.35">
      <c r="A1580" t="s">
        <v>792</v>
      </c>
      <c r="B1580" t="s">
        <v>1611</v>
      </c>
      <c r="C1580" t="str">
        <f>VLOOKUP($A1580,'Customer Names'!$A:$E,4,FALSE)</f>
        <v>Lexy</v>
      </c>
      <c r="D1580" t="str">
        <f>VLOOKUP($A1580,'Medical Examinations'!$A:$J,2,FALSE)</f>
        <v>Obesity</v>
      </c>
      <c r="E1580">
        <f>VLOOKUP($A1580,'Medical Examinations'!$A:$J,4,FALSE)</f>
        <v>4.34</v>
      </c>
      <c r="F1580" t="str">
        <f>VLOOKUP($A1580,'Medical Examinations'!$A:$J,6,FALSE)</f>
        <v>No</v>
      </c>
      <c r="G1580" t="str">
        <f>VLOOKUP($A1580,'Medical Examinations'!$A:$J,7,FALSE)</f>
        <v>No</v>
      </c>
      <c r="H1580" t="str">
        <f>VLOOKUP($A1580,'Medical Examinations'!$A:$J,8,FALSE)</f>
        <v>No</v>
      </c>
      <c r="I1580">
        <f>VLOOKUP($A1580,'Medical Examinations'!$A:$J,9,FALSE)</f>
        <v>0</v>
      </c>
      <c r="J1580" t="str">
        <f>VLOOKUP($A1580,'Medical Examinations'!$A:$J,10,FALSE)</f>
        <v>No</v>
      </c>
      <c r="K1580" t="str">
        <f>VLOOKUP($A1580,'Medical Examinations'!$A:$J,5,FALSE)</f>
        <v>Normal</v>
      </c>
      <c r="L1580">
        <f>VLOOKUP($A1581,'Medical Examinations'!$A:$J,3,FALSE)</f>
        <v>31.254999999999999</v>
      </c>
      <c r="M1580">
        <f>VLOOKUP($A1580,'Hospitalisation Details'!$A:$K,6,FALSE)</f>
        <v>6360.99</v>
      </c>
      <c r="N1580" s="11">
        <f>VLOOKUP($B1580,'Hospitalisation Details'!A1579:J3923,10,0)</f>
        <v>22121</v>
      </c>
      <c r="O1580" t="str">
        <f>VLOOKUP($B1580,'Hospitalisation Details'!A1579:J3923,8,0)</f>
        <v>tier - 3</v>
      </c>
      <c r="P1580" t="str">
        <f>VLOOKUP($B1580,'Hospitalisation Details'!A1579:J3923,7,0)</f>
        <v>tier - 3</v>
      </c>
      <c r="Q1580" t="str">
        <f>VLOOKUP($B1580,'Hospitalisation Details'!A1579:J3923,9,0)</f>
        <v>R1011</v>
      </c>
      <c r="R1580">
        <f>VLOOKUP($B1580,'Hospitalisation Details'!A1579:K3923,11,0)</f>
        <v>62</v>
      </c>
    </row>
    <row r="1581" spans="1:18" x14ac:dyDescent="0.35">
      <c r="A1581" t="s">
        <v>791</v>
      </c>
      <c r="B1581" t="s">
        <v>1612</v>
      </c>
      <c r="C1581" t="str">
        <f>VLOOKUP($A1581,'Customer Names'!$A:$E,4,FALSE)</f>
        <v>Michael</v>
      </c>
      <c r="D1581" t="str">
        <f>VLOOKUP($A1581,'Medical Examinations'!$A:$J,2,FALSE)</f>
        <v>Obesity</v>
      </c>
      <c r="E1581">
        <f>VLOOKUP($A1581,'Medical Examinations'!$A:$J,4,FALSE)</f>
        <v>5.17</v>
      </c>
      <c r="F1581" t="str">
        <f>VLOOKUP($A1581,'Medical Examinations'!$A:$J,6,FALSE)</f>
        <v>No</v>
      </c>
      <c r="G1581" t="str">
        <f>VLOOKUP($A1581,'Medical Examinations'!$A:$J,7,FALSE)</f>
        <v>No</v>
      </c>
      <c r="H1581" t="str">
        <f>VLOOKUP($A1581,'Medical Examinations'!$A:$J,8,FALSE)</f>
        <v>No</v>
      </c>
      <c r="I1581">
        <f>VLOOKUP($A1581,'Medical Examinations'!$A:$J,9,FALSE)</f>
        <v>0</v>
      </c>
      <c r="J1581" t="str">
        <f>VLOOKUP($A1581,'Medical Examinations'!$A:$J,10,FALSE)</f>
        <v>No</v>
      </c>
      <c r="K1581" t="str">
        <f>VLOOKUP($A1581,'Medical Examinations'!$A:$J,5,FALSE)</f>
        <v>Normal</v>
      </c>
      <c r="L1581">
        <f>VLOOKUP($A1582,'Medical Examinations'!$A:$J,3,FALSE)</f>
        <v>45.43</v>
      </c>
      <c r="M1581">
        <f>VLOOKUP($A1581,'Hospitalisation Details'!$A:$K,6,FALSE)</f>
        <v>6358.78</v>
      </c>
      <c r="N1581" s="11">
        <f>VLOOKUP($B1581,'Hospitalisation Details'!A1580:J3924,10,0)</f>
        <v>27613</v>
      </c>
      <c r="O1581" t="str">
        <f>VLOOKUP($B1581,'Hospitalisation Details'!A1580:J3924,8,0)</f>
        <v>tier - 2</v>
      </c>
      <c r="P1581" t="str">
        <f>VLOOKUP($B1581,'Hospitalisation Details'!A1580:J3924,7,0)</f>
        <v>tier - 3</v>
      </c>
      <c r="Q1581" t="str">
        <f>VLOOKUP($B1581,'Hospitalisation Details'!A1580:J3924,9,0)</f>
        <v>R1012</v>
      </c>
      <c r="R1581">
        <f>VLOOKUP($B1581,'Hospitalisation Details'!A1580:K3924,11,0)</f>
        <v>47</v>
      </c>
    </row>
    <row r="1582" spans="1:18" x14ac:dyDescent="0.35">
      <c r="A1582" t="s">
        <v>790</v>
      </c>
      <c r="B1582" t="s">
        <v>1613</v>
      </c>
      <c r="C1582" t="str">
        <f>VLOOKUP($A1582,'Customer Names'!$A:$E,4,FALSE)</f>
        <v>Samuel L</v>
      </c>
      <c r="D1582" t="str">
        <f>VLOOKUP($A1582,'Medical Examinations'!$A:$J,2,FALSE)</f>
        <v>Obesity</v>
      </c>
      <c r="E1582">
        <f>VLOOKUP($A1582,'Medical Examinations'!$A:$J,4,FALSE)</f>
        <v>4.2300000000000004</v>
      </c>
      <c r="F1582" t="str">
        <f>VLOOKUP($A1582,'Medical Examinations'!$A:$J,6,FALSE)</f>
        <v>yes</v>
      </c>
      <c r="G1582" t="str">
        <f>VLOOKUP($A1582,'Medical Examinations'!$A:$J,7,FALSE)</f>
        <v>No</v>
      </c>
      <c r="H1582" t="str">
        <f>VLOOKUP($A1582,'Medical Examinations'!$A:$J,8,FALSE)</f>
        <v>Yes</v>
      </c>
      <c r="I1582">
        <f>VLOOKUP($A1582,'Medical Examinations'!$A:$J,9,FALSE)</f>
        <v>1</v>
      </c>
      <c r="J1582" t="str">
        <f>VLOOKUP($A1582,'Medical Examinations'!$A:$J,10,FALSE)</f>
        <v>No</v>
      </c>
      <c r="K1582" t="str">
        <f>VLOOKUP($A1582,'Medical Examinations'!$A:$J,5,FALSE)</f>
        <v>Normal</v>
      </c>
      <c r="L1582">
        <f>VLOOKUP($A1583,'Medical Examinations'!$A:$J,3,FALSE)</f>
        <v>32.340000000000003</v>
      </c>
      <c r="M1582">
        <f>VLOOKUP($A1582,'Hospitalisation Details'!$A:$K,6,FALSE)</f>
        <v>6356.27</v>
      </c>
      <c r="N1582" s="11">
        <f>VLOOKUP($B1582,'Hospitalisation Details'!A1581:J3925,10,0)</f>
        <v>33115</v>
      </c>
      <c r="O1582" t="str">
        <f>VLOOKUP($B1582,'Hospitalisation Details'!A1581:J3925,8,0)</f>
        <v>tier - 2</v>
      </c>
      <c r="P1582" t="str">
        <f>VLOOKUP($B1582,'Hospitalisation Details'!A1581:J3925,7,0)</f>
        <v>tier - 3</v>
      </c>
      <c r="Q1582" t="str">
        <f>VLOOKUP($B1582,'Hospitalisation Details'!A1581:J3925,9,0)</f>
        <v>R1023</v>
      </c>
      <c r="R1582">
        <f>VLOOKUP($B1582,'Hospitalisation Details'!A1581:K3925,11,0)</f>
        <v>32</v>
      </c>
    </row>
    <row r="1583" spans="1:18" x14ac:dyDescent="0.35">
      <c r="A1583" t="s">
        <v>789</v>
      </c>
      <c r="B1583" t="s">
        <v>1614</v>
      </c>
      <c r="C1583" t="str">
        <f>VLOOKUP($A1583,'Customer Names'!$A:$E,4,FALSE)</f>
        <v>Spencer A.</v>
      </c>
      <c r="D1583" t="str">
        <f>VLOOKUP($A1583,'Medical Examinations'!$A:$J,2,FALSE)</f>
        <v>Obesity</v>
      </c>
      <c r="E1583">
        <f>VLOOKUP($A1583,'Medical Examinations'!$A:$J,4,FALSE)</f>
        <v>4.88</v>
      </c>
      <c r="F1583" t="str">
        <f>VLOOKUP($A1583,'Medical Examinations'!$A:$J,6,FALSE)</f>
        <v>yes</v>
      </c>
      <c r="G1583" t="str">
        <f>VLOOKUP($A1583,'Medical Examinations'!$A:$J,7,FALSE)</f>
        <v>No</v>
      </c>
      <c r="H1583" t="str">
        <f>VLOOKUP($A1583,'Medical Examinations'!$A:$J,8,FALSE)</f>
        <v>Yes</v>
      </c>
      <c r="I1583">
        <f>VLOOKUP($A1583,'Medical Examinations'!$A:$J,9,FALSE)</f>
        <v>1</v>
      </c>
      <c r="J1583" t="str">
        <f>VLOOKUP($A1583,'Medical Examinations'!$A:$J,10,FALSE)</f>
        <v>No</v>
      </c>
      <c r="K1583" t="str">
        <f>VLOOKUP($A1583,'Medical Examinations'!$A:$J,5,FALSE)</f>
        <v>Normal</v>
      </c>
      <c r="L1583">
        <f>VLOOKUP($A1584,'Medical Examinations'!$A:$J,3,FALSE)</f>
        <v>25.46</v>
      </c>
      <c r="M1583">
        <f>VLOOKUP($A1583,'Hospitalisation Details'!$A:$K,6,FALSE)</f>
        <v>6338.08</v>
      </c>
      <c r="N1583" s="11">
        <f>VLOOKUP($B1583,'Hospitalisation Details'!A1582:J3926,10,0)</f>
        <v>23298</v>
      </c>
      <c r="O1583" t="str">
        <f>VLOOKUP($B1583,'Hospitalisation Details'!A1582:J3926,8,0)</f>
        <v>tier - 1</v>
      </c>
      <c r="P1583" t="str">
        <f>VLOOKUP($B1583,'Hospitalisation Details'!A1582:J3926,7,0)</f>
        <v>tier - 3</v>
      </c>
      <c r="Q1583" t="str">
        <f>VLOOKUP($B1583,'Hospitalisation Details'!A1582:J3926,9,0)</f>
        <v>R1012</v>
      </c>
      <c r="R1583">
        <f>VLOOKUP($B1583,'Hospitalisation Details'!A1582:K3926,11,0)</f>
        <v>59</v>
      </c>
    </row>
    <row r="1584" spans="1:18" x14ac:dyDescent="0.35">
      <c r="A1584" t="s">
        <v>788</v>
      </c>
      <c r="B1584" t="s">
        <v>1615</v>
      </c>
      <c r="C1584" t="str">
        <f>VLOOKUP($A1584,'Customer Names'!$A:$E,4,FALSE)</f>
        <v>Rochelle</v>
      </c>
      <c r="D1584" t="str">
        <f>VLOOKUP($A1584,'Medical Examinations'!$A:$J,2,FALSE)</f>
        <v>Overweight</v>
      </c>
      <c r="E1584">
        <f>VLOOKUP($A1584,'Medical Examinations'!$A:$J,4,FALSE)</f>
        <v>9.7100000000000009</v>
      </c>
      <c r="F1584" t="str">
        <f>VLOOKUP($A1584,'Medical Examinations'!$A:$J,6,FALSE)</f>
        <v>yes</v>
      </c>
      <c r="G1584" t="str">
        <f>VLOOKUP($A1584,'Medical Examinations'!$A:$J,7,FALSE)</f>
        <v>No</v>
      </c>
      <c r="H1584" t="str">
        <f>VLOOKUP($A1584,'Medical Examinations'!$A:$J,8,FALSE)</f>
        <v>No</v>
      </c>
      <c r="I1584">
        <f>VLOOKUP($A1584,'Medical Examinations'!$A:$J,9,FALSE)</f>
        <v>1</v>
      </c>
      <c r="J1584" t="str">
        <f>VLOOKUP($A1584,'Medical Examinations'!$A:$J,10,FALSE)</f>
        <v>No</v>
      </c>
      <c r="K1584" t="str">
        <f>VLOOKUP($A1584,'Medical Examinations'!$A:$J,5,FALSE)</f>
        <v>Diabetes</v>
      </c>
      <c r="L1584">
        <f>VLOOKUP($A1585,'Medical Examinations'!$A:$J,3,FALSE)</f>
        <v>37.145000000000003</v>
      </c>
      <c r="M1584">
        <f>VLOOKUP($A1584,'Hospitalisation Details'!$A:$K,6,FALSE)</f>
        <v>6335.64</v>
      </c>
      <c r="N1584" s="11">
        <f>VLOOKUP($B1584,'Hospitalisation Details'!A1583:J3927,10,0)</f>
        <v>22108</v>
      </c>
      <c r="O1584" t="str">
        <f>VLOOKUP($B1584,'Hospitalisation Details'!A1583:J3927,8,0)</f>
        <v>tier - 3</v>
      </c>
      <c r="P1584" t="str">
        <f>VLOOKUP($B1584,'Hospitalisation Details'!A1583:J3927,7,0)</f>
        <v>tier - 3</v>
      </c>
      <c r="Q1584" t="str">
        <f>VLOOKUP($B1584,'Hospitalisation Details'!A1583:J3927,9,0)</f>
        <v>R1017</v>
      </c>
      <c r="R1584">
        <f>VLOOKUP($B1584,'Hospitalisation Details'!A1583:K3927,11,0)</f>
        <v>62</v>
      </c>
    </row>
    <row r="1585" spans="1:18" x14ac:dyDescent="0.35">
      <c r="A1585" t="s">
        <v>787</v>
      </c>
      <c r="B1585" t="s">
        <v>1616</v>
      </c>
      <c r="C1585" t="str">
        <f>VLOOKUP($A1585,'Customer Names'!$A:$E,4,FALSE)</f>
        <v>Paula</v>
      </c>
      <c r="D1585" t="str">
        <f>VLOOKUP($A1585,'Medical Examinations'!$A:$J,2,FALSE)</f>
        <v>Obesity</v>
      </c>
      <c r="E1585">
        <f>VLOOKUP($A1585,'Medical Examinations'!$A:$J,4,FALSE)</f>
        <v>5.32</v>
      </c>
      <c r="F1585" t="str">
        <f>VLOOKUP($A1585,'Medical Examinations'!$A:$J,6,FALSE)</f>
        <v>No</v>
      </c>
      <c r="G1585" t="str">
        <f>VLOOKUP($A1585,'Medical Examinations'!$A:$J,7,FALSE)</f>
        <v>No</v>
      </c>
      <c r="H1585" t="str">
        <f>VLOOKUP($A1585,'Medical Examinations'!$A:$J,8,FALSE)</f>
        <v>No</v>
      </c>
      <c r="I1585">
        <f>VLOOKUP($A1585,'Medical Examinations'!$A:$J,9,FALSE)</f>
        <v>0</v>
      </c>
      <c r="J1585" t="str">
        <f>VLOOKUP($A1585,'Medical Examinations'!$A:$J,10,FALSE)</f>
        <v>No</v>
      </c>
      <c r="K1585" t="str">
        <f>VLOOKUP($A1585,'Medical Examinations'!$A:$J,5,FALSE)</f>
        <v>Normal</v>
      </c>
      <c r="L1585">
        <f>VLOOKUP($A1586,'Medical Examinations'!$A:$J,3,FALSE)</f>
        <v>30.8</v>
      </c>
      <c r="M1585">
        <f>VLOOKUP($A1585,'Hospitalisation Details'!$A:$K,6,FALSE)</f>
        <v>6334.34</v>
      </c>
      <c r="N1585" s="11">
        <f>VLOOKUP($B1585,'Hospitalisation Details'!A1584:J3928,10,0)</f>
        <v>25034</v>
      </c>
      <c r="O1585" t="str">
        <f>VLOOKUP($B1585,'Hospitalisation Details'!A1584:J3928,8,0)</f>
        <v>tier - 3</v>
      </c>
      <c r="P1585" t="str">
        <f>VLOOKUP($B1585,'Hospitalisation Details'!A1584:J3928,7,0)</f>
        <v>tier - 3</v>
      </c>
      <c r="Q1585" t="str">
        <f>VLOOKUP($B1585,'Hospitalisation Details'!A1584:J3928,9,0)</f>
        <v>R1026</v>
      </c>
      <c r="R1585">
        <f>VLOOKUP($B1585,'Hospitalisation Details'!A1584:K3928,11,0)</f>
        <v>54</v>
      </c>
    </row>
    <row r="1586" spans="1:18" x14ac:dyDescent="0.35">
      <c r="A1586" t="s">
        <v>786</v>
      </c>
      <c r="B1586" t="s">
        <v>1617</v>
      </c>
      <c r="C1586" t="str">
        <f>VLOOKUP($A1586,'Customer Names'!$A:$E,4,FALSE)</f>
        <v>Madeline E.</v>
      </c>
      <c r="D1586" t="str">
        <f>VLOOKUP($A1586,'Medical Examinations'!$A:$J,2,FALSE)</f>
        <v>Obesity</v>
      </c>
      <c r="E1586">
        <f>VLOOKUP($A1586,'Medical Examinations'!$A:$J,4,FALSE)</f>
        <v>5.83</v>
      </c>
      <c r="F1586" t="str">
        <f>VLOOKUP($A1586,'Medical Examinations'!$A:$J,6,FALSE)</f>
        <v>yes</v>
      </c>
      <c r="G1586" t="str">
        <f>VLOOKUP($A1586,'Medical Examinations'!$A:$J,7,FALSE)</f>
        <v>No</v>
      </c>
      <c r="H1586" t="str">
        <f>VLOOKUP($A1586,'Medical Examinations'!$A:$J,8,FALSE)</f>
        <v>No</v>
      </c>
      <c r="I1586">
        <f>VLOOKUP($A1586,'Medical Examinations'!$A:$J,9,FALSE)</f>
        <v>0</v>
      </c>
      <c r="J1586" t="str">
        <f>VLOOKUP($A1586,'Medical Examinations'!$A:$J,10,FALSE)</f>
        <v>No</v>
      </c>
      <c r="K1586" t="str">
        <f>VLOOKUP($A1586,'Medical Examinations'!$A:$J,5,FALSE)</f>
        <v>Prediabetes</v>
      </c>
      <c r="L1586">
        <f>VLOOKUP($A1587,'Medical Examinations'!$A:$J,3,FALSE)</f>
        <v>29.5</v>
      </c>
      <c r="M1586">
        <f>VLOOKUP($A1586,'Hospitalisation Details'!$A:$K,6,FALSE)</f>
        <v>6313.76</v>
      </c>
      <c r="N1586" s="11">
        <f>VLOOKUP($B1586,'Hospitalisation Details'!A1585:J3929,10,0)</f>
        <v>33830</v>
      </c>
      <c r="O1586" t="str">
        <f>VLOOKUP($B1586,'Hospitalisation Details'!A1585:J3929,8,0)</f>
        <v>tier - 1</v>
      </c>
      <c r="P1586" t="str">
        <f>VLOOKUP($B1586,'Hospitalisation Details'!A1585:J3929,7,0)</f>
        <v>tier - 3</v>
      </c>
      <c r="Q1586" t="str">
        <f>VLOOKUP($B1586,'Hospitalisation Details'!A1585:J3929,9,0)</f>
        <v>R1012</v>
      </c>
      <c r="R1586">
        <f>VLOOKUP($B1586,'Hospitalisation Details'!A1585:K3929,11,0)</f>
        <v>30</v>
      </c>
    </row>
    <row r="1587" spans="1:18" x14ac:dyDescent="0.35">
      <c r="A1587" t="s">
        <v>785</v>
      </c>
      <c r="B1587" t="s">
        <v>1618</v>
      </c>
      <c r="C1587" t="str">
        <f>VLOOKUP($A1587,'Customer Names'!$A:$E,4,FALSE)</f>
        <v>Maria Isabel</v>
      </c>
      <c r="D1587" t="str">
        <f>VLOOKUP($A1587,'Medical Examinations'!$A:$J,2,FALSE)</f>
        <v>Overweight</v>
      </c>
      <c r="E1587">
        <f>VLOOKUP($A1587,'Medical Examinations'!$A:$J,4,FALSE)</f>
        <v>5.54</v>
      </c>
      <c r="F1587" t="str">
        <f>VLOOKUP($A1587,'Medical Examinations'!$A:$J,6,FALSE)</f>
        <v>yes</v>
      </c>
      <c r="G1587" t="str">
        <f>VLOOKUP($A1587,'Medical Examinations'!$A:$J,7,FALSE)</f>
        <v>No</v>
      </c>
      <c r="H1587" t="str">
        <f>VLOOKUP($A1587,'Medical Examinations'!$A:$J,8,FALSE)</f>
        <v>No</v>
      </c>
      <c r="I1587">
        <f>VLOOKUP($A1587,'Medical Examinations'!$A:$J,9,FALSE)</f>
        <v>0</v>
      </c>
      <c r="J1587" t="str">
        <f>VLOOKUP($A1587,'Medical Examinations'!$A:$J,10,FALSE)</f>
        <v>No</v>
      </c>
      <c r="K1587" t="str">
        <f>VLOOKUP($A1587,'Medical Examinations'!$A:$J,5,FALSE)</f>
        <v>Normal</v>
      </c>
      <c r="L1587">
        <f>VLOOKUP($A1588,'Medical Examinations'!$A:$J,3,FALSE)</f>
        <v>43.39</v>
      </c>
      <c r="M1587">
        <f>VLOOKUP($A1587,'Hospitalisation Details'!$A:$K,6,FALSE)</f>
        <v>6311.95</v>
      </c>
      <c r="N1587" s="11">
        <f>VLOOKUP($B1587,'Hospitalisation Details'!A1586:J3930,10,0)</f>
        <v>23630</v>
      </c>
      <c r="O1587" t="str">
        <f>VLOOKUP($B1587,'Hospitalisation Details'!A1586:J3930,8,0)</f>
        <v>tier - 1</v>
      </c>
      <c r="P1587" t="str">
        <f>VLOOKUP($B1587,'Hospitalisation Details'!A1586:J3930,7,0)</f>
        <v>tier - 3</v>
      </c>
      <c r="Q1587" t="str">
        <f>VLOOKUP($B1587,'Hospitalisation Details'!A1586:J3930,9,0)</f>
        <v>R1024</v>
      </c>
      <c r="R1587">
        <f>VLOOKUP($B1587,'Hospitalisation Details'!A1586:K3930,11,0)</f>
        <v>58</v>
      </c>
    </row>
    <row r="1588" spans="1:18" x14ac:dyDescent="0.35">
      <c r="A1588" t="s">
        <v>784</v>
      </c>
      <c r="B1588" t="s">
        <v>1619</v>
      </c>
      <c r="C1588" t="str">
        <f>VLOOKUP($A1588,'Customer Names'!$A:$E,4,FALSE)</f>
        <v>Arthur M.</v>
      </c>
      <c r="D1588" t="str">
        <f>VLOOKUP($A1588,'Medical Examinations'!$A:$J,2,FALSE)</f>
        <v>Obesity</v>
      </c>
      <c r="E1588">
        <f>VLOOKUP($A1588,'Medical Examinations'!$A:$J,4,FALSE)</f>
        <v>5.85</v>
      </c>
      <c r="F1588" t="str">
        <f>VLOOKUP($A1588,'Medical Examinations'!$A:$J,6,FALSE)</f>
        <v>No</v>
      </c>
      <c r="G1588" t="str">
        <f>VLOOKUP($A1588,'Medical Examinations'!$A:$J,7,FALSE)</f>
        <v>yes</v>
      </c>
      <c r="H1588" t="str">
        <f>VLOOKUP($A1588,'Medical Examinations'!$A:$J,8,FALSE)</f>
        <v>No</v>
      </c>
      <c r="I1588">
        <f>VLOOKUP($A1588,'Medical Examinations'!$A:$J,9,FALSE)</f>
        <v>1</v>
      </c>
      <c r="J1588" t="str">
        <f>VLOOKUP($A1588,'Medical Examinations'!$A:$J,10,FALSE)</f>
        <v>No</v>
      </c>
      <c r="K1588" t="str">
        <f>VLOOKUP($A1588,'Medical Examinations'!$A:$J,5,FALSE)</f>
        <v>Prediabetes</v>
      </c>
      <c r="L1588">
        <f>VLOOKUP($A1589,'Medical Examinations'!$A:$J,3,FALSE)</f>
        <v>15.08</v>
      </c>
      <c r="M1588">
        <f>VLOOKUP($A1588,'Hospitalisation Details'!$A:$K,6,FALSE)</f>
        <v>6311.11</v>
      </c>
      <c r="N1588" s="11">
        <f>VLOOKUP($B1588,'Hospitalisation Details'!A1587:J3931,10,0)</f>
        <v>22603</v>
      </c>
      <c r="O1588" t="str">
        <f>VLOOKUP($B1588,'Hospitalisation Details'!A1587:J3931,8,0)</f>
        <v>tier - 3</v>
      </c>
      <c r="P1588" t="str">
        <f>VLOOKUP($B1588,'Hospitalisation Details'!A1587:J3931,7,0)</f>
        <v>tier - 3</v>
      </c>
      <c r="Q1588" t="str">
        <f>VLOOKUP($B1588,'Hospitalisation Details'!A1587:J3931,9,0)</f>
        <v>R1024</v>
      </c>
      <c r="R1588">
        <f>VLOOKUP($B1588,'Hospitalisation Details'!A1587:K3931,11,0)</f>
        <v>61</v>
      </c>
    </row>
    <row r="1589" spans="1:18" x14ac:dyDescent="0.35">
      <c r="A1589" t="s">
        <v>783</v>
      </c>
      <c r="B1589" t="s">
        <v>1620</v>
      </c>
      <c r="C1589" t="str">
        <f>VLOOKUP($A1589,'Customer Names'!$A:$E,4,FALSE)</f>
        <v>Joseph R.</v>
      </c>
      <c r="D1589" t="str">
        <f>VLOOKUP($A1589,'Medical Examinations'!$A:$J,2,FALSE)</f>
        <v>Underweight</v>
      </c>
      <c r="E1589">
        <f>VLOOKUP($A1589,'Medical Examinations'!$A:$J,4,FALSE)</f>
        <v>4.8499999999999996</v>
      </c>
      <c r="F1589" t="str">
        <f>VLOOKUP($A1589,'Medical Examinations'!$A:$J,6,FALSE)</f>
        <v>yes</v>
      </c>
      <c r="G1589" t="str">
        <f>VLOOKUP($A1589,'Medical Examinations'!$A:$J,7,FALSE)</f>
        <v>No</v>
      </c>
      <c r="H1589" t="str">
        <f>VLOOKUP($A1589,'Medical Examinations'!$A:$J,8,FALSE)</f>
        <v>Yes</v>
      </c>
      <c r="I1589">
        <f>VLOOKUP($A1589,'Medical Examinations'!$A:$J,9,FALSE)</f>
        <v>1</v>
      </c>
      <c r="J1589" t="str">
        <f>VLOOKUP($A1589,'Medical Examinations'!$A:$J,10,FALSE)</f>
        <v>No</v>
      </c>
      <c r="K1589" t="str">
        <f>VLOOKUP($A1589,'Medical Examinations'!$A:$J,5,FALSE)</f>
        <v>Normal</v>
      </c>
      <c r="L1589">
        <f>VLOOKUP($A1590,'Medical Examinations'!$A:$J,3,FALSE)</f>
        <v>20.48</v>
      </c>
      <c r="M1589">
        <f>VLOOKUP($A1589,'Hospitalisation Details'!$A:$K,6,FALSE)</f>
        <v>6305.61</v>
      </c>
      <c r="N1589" s="11">
        <f>VLOOKUP($B1589,'Hospitalisation Details'!A1588:J3932,10,0)</f>
        <v>25410</v>
      </c>
      <c r="O1589" t="str">
        <f>VLOOKUP($B1589,'Hospitalisation Details'!A1588:J3932,8,0)</f>
        <v>tier - 3</v>
      </c>
      <c r="P1589" t="str">
        <f>VLOOKUP($B1589,'Hospitalisation Details'!A1588:J3932,7,0)</f>
        <v>tier - 3</v>
      </c>
      <c r="Q1589" t="str">
        <f>VLOOKUP($B1589,'Hospitalisation Details'!A1588:J3932,9,0)</f>
        <v>R1012</v>
      </c>
      <c r="R1589">
        <f>VLOOKUP($B1589,'Hospitalisation Details'!A1588:K3932,11,0)</f>
        <v>53</v>
      </c>
    </row>
    <row r="1590" spans="1:18" x14ac:dyDescent="0.35">
      <c r="A1590" t="s">
        <v>782</v>
      </c>
      <c r="B1590" t="s">
        <v>1621</v>
      </c>
      <c r="C1590" t="str">
        <f>VLOOKUP($A1590,'Customer Names'!$A:$E,4,FALSE)</f>
        <v>Sachiko</v>
      </c>
      <c r="D1590" t="str">
        <f>VLOOKUP($A1590,'Medical Examinations'!$A:$J,2,FALSE)</f>
        <v>Normal Weight</v>
      </c>
      <c r="E1590">
        <f>VLOOKUP($A1590,'Medical Examinations'!$A:$J,4,FALSE)</f>
        <v>11.09</v>
      </c>
      <c r="F1590" t="str">
        <f>VLOOKUP($A1590,'Medical Examinations'!$A:$J,6,FALSE)</f>
        <v>No</v>
      </c>
      <c r="G1590" t="str">
        <f>VLOOKUP($A1590,'Medical Examinations'!$A:$J,7,FALSE)</f>
        <v>No</v>
      </c>
      <c r="H1590" t="str">
        <f>VLOOKUP($A1590,'Medical Examinations'!$A:$J,8,FALSE)</f>
        <v>No</v>
      </c>
      <c r="I1590">
        <f>VLOOKUP($A1590,'Medical Examinations'!$A:$J,9,FALSE)</f>
        <v>0</v>
      </c>
      <c r="J1590" t="str">
        <f>VLOOKUP($A1590,'Medical Examinations'!$A:$J,10,FALSE)</f>
        <v>No</v>
      </c>
      <c r="K1590" t="str">
        <f>VLOOKUP($A1590,'Medical Examinations'!$A:$J,5,FALSE)</f>
        <v>Diabetes</v>
      </c>
      <c r="L1590">
        <f>VLOOKUP($A1591,'Medical Examinations'!$A:$J,3,FALSE)</f>
        <v>34.450000000000003</v>
      </c>
      <c r="M1590">
        <f>VLOOKUP($A1590,'Hospitalisation Details'!$A:$K,6,FALSE)</f>
        <v>6302.23</v>
      </c>
      <c r="N1590" s="11">
        <f>VLOOKUP($B1590,'Hospitalisation Details'!A1589:J3933,10,0)</f>
        <v>22639</v>
      </c>
      <c r="O1590" t="str">
        <f>VLOOKUP($B1590,'Hospitalisation Details'!A1589:J3933,8,0)</f>
        <v>tier - 3</v>
      </c>
      <c r="P1590" t="str">
        <f>VLOOKUP($B1590,'Hospitalisation Details'!A1589:J3933,7,0)</f>
        <v>tier - 3</v>
      </c>
      <c r="Q1590" t="str">
        <f>VLOOKUP($B1590,'Hospitalisation Details'!A1589:J3933,9,0)</f>
        <v>R1024</v>
      </c>
      <c r="R1590">
        <f>VLOOKUP($B1590,'Hospitalisation Details'!A1589:K3933,11,0)</f>
        <v>61</v>
      </c>
    </row>
    <row r="1591" spans="1:18" x14ac:dyDescent="0.35">
      <c r="A1591" t="s">
        <v>781</v>
      </c>
      <c r="B1591" t="s">
        <v>1622</v>
      </c>
      <c r="C1591" t="str">
        <f>VLOOKUP($A1591,'Customer Names'!$A:$E,4,FALSE)</f>
        <v>Christopher</v>
      </c>
      <c r="D1591" t="str">
        <f>VLOOKUP($A1591,'Medical Examinations'!$A:$J,2,FALSE)</f>
        <v>Obesity</v>
      </c>
      <c r="E1591">
        <f>VLOOKUP($A1591,'Medical Examinations'!$A:$J,4,FALSE)</f>
        <v>5.58</v>
      </c>
      <c r="F1591" t="str">
        <f>VLOOKUP($A1591,'Medical Examinations'!$A:$J,6,FALSE)</f>
        <v>yes</v>
      </c>
      <c r="G1591" t="str">
        <f>VLOOKUP($A1591,'Medical Examinations'!$A:$J,7,FALSE)</f>
        <v>No</v>
      </c>
      <c r="H1591" t="str">
        <f>VLOOKUP($A1591,'Medical Examinations'!$A:$J,8,FALSE)</f>
        <v>No</v>
      </c>
      <c r="I1591">
        <f>VLOOKUP($A1591,'Medical Examinations'!$A:$J,9,FALSE)</f>
        <v>0</v>
      </c>
      <c r="J1591" t="str">
        <f>VLOOKUP($A1591,'Medical Examinations'!$A:$J,10,FALSE)</f>
        <v>No</v>
      </c>
      <c r="K1591" t="str">
        <f>VLOOKUP($A1591,'Medical Examinations'!$A:$J,5,FALSE)</f>
        <v>Normal</v>
      </c>
      <c r="L1591">
        <f>VLOOKUP($A1592,'Medical Examinations'!$A:$J,3,FALSE)</f>
        <v>34.21</v>
      </c>
      <c r="M1591">
        <f>VLOOKUP($A1591,'Hospitalisation Details'!$A:$K,6,FALSE)</f>
        <v>6293.63</v>
      </c>
      <c r="N1591" s="11">
        <f>VLOOKUP($B1591,'Hospitalisation Details'!A1590:J3934,10,0)</f>
        <v>30883</v>
      </c>
      <c r="O1591" t="str">
        <f>VLOOKUP($B1591,'Hospitalisation Details'!A1590:J3934,8,0)</f>
        <v>tier - 3</v>
      </c>
      <c r="P1591" t="str">
        <f>VLOOKUP($B1591,'Hospitalisation Details'!A1590:J3934,7,0)</f>
        <v>tier - 3</v>
      </c>
      <c r="Q1591" t="str">
        <f>VLOOKUP($B1591,'Hospitalisation Details'!A1590:J3934,9,0)</f>
        <v>R1023</v>
      </c>
      <c r="R1591">
        <f>VLOOKUP($B1591,'Hospitalisation Details'!A1590:K3934,11,0)</f>
        <v>38</v>
      </c>
    </row>
    <row r="1592" spans="1:18" x14ac:dyDescent="0.35">
      <c r="A1592" t="s">
        <v>780</v>
      </c>
      <c r="B1592" t="s">
        <v>1623</v>
      </c>
      <c r="C1592" t="str">
        <f>VLOOKUP($A1592,'Customer Names'!$A:$E,4,FALSE)</f>
        <v>Joseph</v>
      </c>
      <c r="D1592" t="str">
        <f>VLOOKUP($A1592,'Medical Examinations'!$A:$J,2,FALSE)</f>
        <v>Obesity</v>
      </c>
      <c r="E1592">
        <f>VLOOKUP($A1592,'Medical Examinations'!$A:$J,4,FALSE)</f>
        <v>9.7200000000000006</v>
      </c>
      <c r="F1592" t="str">
        <f>VLOOKUP($A1592,'Medical Examinations'!$A:$J,6,FALSE)</f>
        <v>yes</v>
      </c>
      <c r="G1592" t="str">
        <f>VLOOKUP($A1592,'Medical Examinations'!$A:$J,7,FALSE)</f>
        <v>No</v>
      </c>
      <c r="H1592" t="str">
        <f>VLOOKUP($A1592,'Medical Examinations'!$A:$J,8,FALSE)</f>
        <v>No</v>
      </c>
      <c r="I1592">
        <f>VLOOKUP($A1592,'Medical Examinations'!$A:$J,9,FALSE)</f>
        <v>0</v>
      </c>
      <c r="J1592" t="str">
        <f>VLOOKUP($A1592,'Medical Examinations'!$A:$J,10,FALSE)</f>
        <v>No</v>
      </c>
      <c r="K1592" t="str">
        <f>VLOOKUP($A1592,'Medical Examinations'!$A:$J,5,FALSE)</f>
        <v>Diabetes</v>
      </c>
      <c r="L1592">
        <f>VLOOKUP($A1593,'Medical Examinations'!$A:$J,3,FALSE)</f>
        <v>28.8</v>
      </c>
      <c r="M1592">
        <f>VLOOKUP($A1592,'Hospitalisation Details'!$A:$K,6,FALSE)</f>
        <v>6289.75</v>
      </c>
      <c r="N1592" s="11">
        <f>VLOOKUP($B1592,'Hospitalisation Details'!A1591:J3935,10,0)</f>
        <v>23227</v>
      </c>
      <c r="O1592" t="str">
        <f>VLOOKUP($B1592,'Hospitalisation Details'!A1591:J3935,8,0)</f>
        <v>tier - 2</v>
      </c>
      <c r="P1592" t="str">
        <f>VLOOKUP($B1592,'Hospitalisation Details'!A1591:J3935,7,0)</f>
        <v>tier - 3</v>
      </c>
      <c r="Q1592" t="str">
        <f>VLOOKUP($B1592,'Hospitalisation Details'!A1591:J3935,9,0)</f>
        <v>R1021</v>
      </c>
      <c r="R1592">
        <f>VLOOKUP($B1592,'Hospitalisation Details'!A1591:K3935,11,0)</f>
        <v>59</v>
      </c>
    </row>
    <row r="1593" spans="1:18" x14ac:dyDescent="0.35">
      <c r="A1593" t="s">
        <v>779</v>
      </c>
      <c r="B1593" t="s">
        <v>1624</v>
      </c>
      <c r="C1593" t="str">
        <f>VLOOKUP($A1593,'Customer Names'!$A:$E,4,FALSE)</f>
        <v>Lawrence</v>
      </c>
      <c r="D1593" t="str">
        <f>VLOOKUP($A1593,'Medical Examinations'!$A:$J,2,FALSE)</f>
        <v>Overweight</v>
      </c>
      <c r="E1593">
        <f>VLOOKUP($A1593,'Medical Examinations'!$A:$J,4,FALSE)</f>
        <v>11.41</v>
      </c>
      <c r="F1593" t="str">
        <f>VLOOKUP($A1593,'Medical Examinations'!$A:$J,6,FALSE)</f>
        <v>yes</v>
      </c>
      <c r="G1593" t="str">
        <f>VLOOKUP($A1593,'Medical Examinations'!$A:$J,7,FALSE)</f>
        <v>No</v>
      </c>
      <c r="H1593" t="str">
        <f>VLOOKUP($A1593,'Medical Examinations'!$A:$J,8,FALSE)</f>
        <v>No</v>
      </c>
      <c r="I1593">
        <f>VLOOKUP($A1593,'Medical Examinations'!$A:$J,9,FALSE)</f>
        <v>0</v>
      </c>
      <c r="J1593" t="str">
        <f>VLOOKUP($A1593,'Medical Examinations'!$A:$J,10,FALSE)</f>
        <v>No</v>
      </c>
      <c r="K1593" t="str">
        <f>VLOOKUP($A1593,'Medical Examinations'!$A:$J,5,FALSE)</f>
        <v>Diabetes</v>
      </c>
      <c r="L1593">
        <f>VLOOKUP($A1594,'Medical Examinations'!$A:$J,3,FALSE)</f>
        <v>31.74</v>
      </c>
      <c r="M1593">
        <f>VLOOKUP($A1593,'Hospitalisation Details'!$A:$K,6,FALSE)</f>
        <v>6282.24</v>
      </c>
      <c r="N1593" s="11">
        <f>VLOOKUP($B1593,'Hospitalisation Details'!A1592:J3936,10,0)</f>
        <v>31304</v>
      </c>
      <c r="O1593" t="str">
        <f>VLOOKUP($B1593,'Hospitalisation Details'!A1592:J3936,8,0)</f>
        <v>tier - 1</v>
      </c>
      <c r="P1593" t="str">
        <f>VLOOKUP($B1593,'Hospitalisation Details'!A1592:J3936,7,0)</f>
        <v>tier - 3</v>
      </c>
      <c r="Q1593" t="str">
        <f>VLOOKUP($B1593,'Hospitalisation Details'!A1592:J3936,9,0)</f>
        <v>R1026</v>
      </c>
      <c r="R1593">
        <f>VLOOKUP($B1593,'Hospitalisation Details'!A1592:K3936,11,0)</f>
        <v>37</v>
      </c>
    </row>
    <row r="1594" spans="1:18" x14ac:dyDescent="0.35">
      <c r="A1594" t="s">
        <v>778</v>
      </c>
      <c r="B1594" t="s">
        <v>1625</v>
      </c>
      <c r="C1594" t="str">
        <f>VLOOKUP($A1594,'Customer Names'!$A:$E,4,FALSE)</f>
        <v>Katie</v>
      </c>
      <c r="D1594" t="str">
        <f>VLOOKUP($A1594,'Medical Examinations'!$A:$J,2,FALSE)</f>
        <v>Obesity</v>
      </c>
      <c r="E1594">
        <f>VLOOKUP($A1594,'Medical Examinations'!$A:$J,4,FALSE)</f>
        <v>4.46</v>
      </c>
      <c r="F1594" t="str">
        <f>VLOOKUP($A1594,'Medical Examinations'!$A:$J,6,FALSE)</f>
        <v>No</v>
      </c>
      <c r="G1594" t="str">
        <f>VLOOKUP($A1594,'Medical Examinations'!$A:$J,7,FALSE)</f>
        <v>No</v>
      </c>
      <c r="H1594" t="str">
        <f>VLOOKUP($A1594,'Medical Examinations'!$A:$J,8,FALSE)</f>
        <v>Yes</v>
      </c>
      <c r="I1594">
        <f>VLOOKUP($A1594,'Medical Examinations'!$A:$J,9,FALSE)</f>
        <v>1</v>
      </c>
      <c r="J1594" t="str">
        <f>VLOOKUP($A1594,'Medical Examinations'!$A:$J,10,FALSE)</f>
        <v>No</v>
      </c>
      <c r="K1594" t="str">
        <f>VLOOKUP($A1594,'Medical Examinations'!$A:$J,5,FALSE)</f>
        <v>Normal</v>
      </c>
      <c r="L1594">
        <f>VLOOKUP($A1595,'Medical Examinations'!$A:$J,3,FALSE)</f>
        <v>21.78</v>
      </c>
      <c r="N1594" s="11">
        <f>VLOOKUP($B1594,'Hospitalisation Details'!A1593:J3937,10,0)</f>
        <v>31740</v>
      </c>
      <c r="O1594" t="str">
        <f>VLOOKUP($B1594,'Hospitalisation Details'!A1593:J3937,8,0)</f>
        <v>tier - 2</v>
      </c>
      <c r="P1594" t="str">
        <f>VLOOKUP($B1594,'Hospitalisation Details'!A1593:J3937,7,0)</f>
        <v>tier - 3</v>
      </c>
      <c r="Q1594" t="str">
        <f>VLOOKUP($B1594,'Hospitalisation Details'!A1593:J3937,9,0)</f>
        <v>R1023</v>
      </c>
      <c r="R1594">
        <f>VLOOKUP($B1594,'Hospitalisation Details'!A1593:K3937,11,0)</f>
        <v>36</v>
      </c>
    </row>
    <row r="1595" spans="1:18" x14ac:dyDescent="0.35">
      <c r="A1595" t="s">
        <v>777</v>
      </c>
      <c r="B1595" t="s">
        <v>1626</v>
      </c>
      <c r="C1595" t="str">
        <f>VLOOKUP($A1595,'Customer Names'!$A:$E,4,FALSE)</f>
        <v>Ruben</v>
      </c>
      <c r="D1595" t="str">
        <f>VLOOKUP($A1595,'Medical Examinations'!$A:$J,2,FALSE)</f>
        <v>Normal Weight</v>
      </c>
      <c r="E1595">
        <f>VLOOKUP($A1595,'Medical Examinations'!$A:$J,4,FALSE)</f>
        <v>9.31</v>
      </c>
      <c r="F1595" t="str">
        <f>VLOOKUP($A1595,'Medical Examinations'!$A:$J,6,FALSE)</f>
        <v>yes</v>
      </c>
      <c r="G1595" t="str">
        <f>VLOOKUP($A1595,'Medical Examinations'!$A:$J,7,FALSE)</f>
        <v>No</v>
      </c>
      <c r="H1595" t="str">
        <f>VLOOKUP($A1595,'Medical Examinations'!$A:$J,8,FALSE)</f>
        <v>No</v>
      </c>
      <c r="I1595">
        <f>VLOOKUP($A1595,'Medical Examinations'!$A:$J,9,FALSE)</f>
        <v>0</v>
      </c>
      <c r="J1595" t="str">
        <f>VLOOKUP($A1595,'Medical Examinations'!$A:$J,10,FALSE)</f>
        <v>No</v>
      </c>
      <c r="K1595" t="str">
        <f>VLOOKUP($A1595,'Medical Examinations'!$A:$J,5,FALSE)</f>
        <v>Diabetes</v>
      </c>
      <c r="L1595">
        <f>VLOOKUP($A1596,'Medical Examinations'!$A:$J,3,FALSE)</f>
        <v>23.75</v>
      </c>
      <c r="N1595" s="11">
        <f>VLOOKUP($B1595,'Hospitalisation Details'!A1594:J3938,10,0)</f>
        <v>29800</v>
      </c>
      <c r="O1595" t="str">
        <f>VLOOKUP($B1595,'Hospitalisation Details'!A1594:J3938,8,0)</f>
        <v>tier - 2</v>
      </c>
      <c r="P1595" t="str">
        <f>VLOOKUP($B1595,'Hospitalisation Details'!A1594:J3938,7,0)</f>
        <v>tier - 3</v>
      </c>
      <c r="Q1595" t="str">
        <f>VLOOKUP($B1595,'Hospitalisation Details'!A1594:J3938,9,0)</f>
        <v>R1024</v>
      </c>
      <c r="R1595">
        <f>VLOOKUP($B1595,'Hospitalisation Details'!A1594:K3938,11,0)</f>
        <v>41</v>
      </c>
    </row>
    <row r="1596" spans="1:18" x14ac:dyDescent="0.35">
      <c r="A1596" t="s">
        <v>776</v>
      </c>
      <c r="B1596" t="s">
        <v>1627</v>
      </c>
      <c r="C1596" t="str">
        <f>VLOOKUP($A1596,'Customer Names'!$A:$E,4,FALSE)</f>
        <v>Sarah</v>
      </c>
      <c r="D1596" t="str">
        <f>VLOOKUP($A1596,'Medical Examinations'!$A:$J,2,FALSE)</f>
        <v>Normal Weight</v>
      </c>
      <c r="E1596">
        <f>VLOOKUP($A1596,'Medical Examinations'!$A:$J,4,FALSE)</f>
        <v>5.03</v>
      </c>
      <c r="F1596" t="str">
        <f>VLOOKUP($A1596,'Medical Examinations'!$A:$J,6,FALSE)</f>
        <v>No</v>
      </c>
      <c r="G1596" t="str">
        <f>VLOOKUP($A1596,'Medical Examinations'!$A:$J,7,FALSE)</f>
        <v>No</v>
      </c>
      <c r="H1596" t="str">
        <f>VLOOKUP($A1596,'Medical Examinations'!$A:$J,8,FALSE)</f>
        <v>No</v>
      </c>
      <c r="I1596">
        <f>VLOOKUP($A1596,'Medical Examinations'!$A:$J,9,FALSE)</f>
        <v>1</v>
      </c>
      <c r="J1596" t="str">
        <f>VLOOKUP($A1596,'Medical Examinations'!$A:$J,10,FALSE)</f>
        <v>No</v>
      </c>
      <c r="K1596" t="str">
        <f>VLOOKUP($A1596,'Medical Examinations'!$A:$J,5,FALSE)</f>
        <v>Normal</v>
      </c>
      <c r="L1596">
        <f>VLOOKUP($A1597,'Medical Examinations'!$A:$J,3,FALSE)</f>
        <v>33.21</v>
      </c>
      <c r="N1596" s="11">
        <f>VLOOKUP($B1596,'Hospitalisation Details'!A1595:J3939,10,0)</f>
        <v>31288</v>
      </c>
      <c r="O1596" t="str">
        <f>VLOOKUP($B1596,'Hospitalisation Details'!A1595:J3939,8,0)</f>
        <v>tier - 3</v>
      </c>
      <c r="P1596" t="str">
        <f>VLOOKUP($B1596,'Hospitalisation Details'!A1595:J3939,7,0)</f>
        <v>tier - 3</v>
      </c>
      <c r="Q1596" t="str">
        <f>VLOOKUP($B1596,'Hospitalisation Details'!A1595:J3939,9,0)</f>
        <v>R1026</v>
      </c>
      <c r="R1596">
        <f>VLOOKUP($B1596,'Hospitalisation Details'!A1595:K3939,11,0)</f>
        <v>37</v>
      </c>
    </row>
    <row r="1597" spans="1:18" x14ac:dyDescent="0.35">
      <c r="A1597" t="s">
        <v>775</v>
      </c>
      <c r="B1597" t="s">
        <v>1628</v>
      </c>
      <c r="C1597" t="str">
        <f>VLOOKUP($A1597,'Customer Names'!$A:$E,4,FALSE)</f>
        <v>Angela R.</v>
      </c>
      <c r="D1597" t="str">
        <f>VLOOKUP($A1597,'Medical Examinations'!$A:$J,2,FALSE)</f>
        <v>Obesity</v>
      </c>
      <c r="E1597">
        <f>VLOOKUP($A1597,'Medical Examinations'!$A:$J,4,FALSE)</f>
        <v>5.07</v>
      </c>
      <c r="F1597" t="str">
        <f>VLOOKUP($A1597,'Medical Examinations'!$A:$J,6,FALSE)</f>
        <v>yes</v>
      </c>
      <c r="G1597" t="str">
        <f>VLOOKUP($A1597,'Medical Examinations'!$A:$J,7,FALSE)</f>
        <v>No</v>
      </c>
      <c r="H1597" t="str">
        <f>VLOOKUP($A1597,'Medical Examinations'!$A:$J,8,FALSE)</f>
        <v>No</v>
      </c>
      <c r="I1597">
        <f>VLOOKUP($A1597,'Medical Examinations'!$A:$J,9,FALSE)</f>
        <v>1</v>
      </c>
      <c r="J1597" t="str">
        <f>VLOOKUP($A1597,'Medical Examinations'!$A:$J,10,FALSE)</f>
        <v>No</v>
      </c>
      <c r="K1597" t="str">
        <f>VLOOKUP($A1597,'Medical Examinations'!$A:$J,5,FALSE)</f>
        <v>Normal</v>
      </c>
      <c r="L1597">
        <f>VLOOKUP($A1598,'Medical Examinations'!$A:$J,3,FALSE)</f>
        <v>17.7</v>
      </c>
      <c r="N1597" s="11">
        <f>VLOOKUP($B1597,'Hospitalisation Details'!A1596:J3940,10,0)</f>
        <v>25499</v>
      </c>
      <c r="O1597" t="str">
        <f>VLOOKUP($B1597,'Hospitalisation Details'!A1596:J3940,8,0)</f>
        <v>tier - 2</v>
      </c>
      <c r="P1597" t="str">
        <f>VLOOKUP($B1597,'Hospitalisation Details'!A1596:J3940,7,0)</f>
        <v>tier - 3</v>
      </c>
      <c r="Q1597" t="str">
        <f>VLOOKUP($B1597,'Hospitalisation Details'!A1596:J3940,9,0)</f>
        <v>R1026</v>
      </c>
      <c r="R1597">
        <f>VLOOKUP($B1597,'Hospitalisation Details'!A1596:K3940,11,0)</f>
        <v>53</v>
      </c>
    </row>
    <row r="1598" spans="1:18" x14ac:dyDescent="0.35">
      <c r="A1598" t="s">
        <v>774</v>
      </c>
      <c r="B1598" t="s">
        <v>1629</v>
      </c>
      <c r="C1598" t="str">
        <f>VLOOKUP($A1598,'Customer Names'!$A:$E,4,FALSE)</f>
        <v>Chatham</v>
      </c>
      <c r="D1598" t="str">
        <f>VLOOKUP($A1598,'Medical Examinations'!$A:$J,2,FALSE)</f>
        <v>Underweight</v>
      </c>
      <c r="E1598">
        <f>VLOOKUP($A1598,'Medical Examinations'!$A:$J,4,FALSE)</f>
        <v>10.42</v>
      </c>
      <c r="F1598" t="str">
        <f>VLOOKUP($A1598,'Medical Examinations'!$A:$J,6,FALSE)</f>
        <v>yes</v>
      </c>
      <c r="G1598" t="str">
        <f>VLOOKUP($A1598,'Medical Examinations'!$A:$J,7,FALSE)</f>
        <v>No</v>
      </c>
      <c r="H1598" t="str">
        <f>VLOOKUP($A1598,'Medical Examinations'!$A:$J,8,FALSE)</f>
        <v>No</v>
      </c>
      <c r="I1598">
        <f>VLOOKUP($A1598,'Medical Examinations'!$A:$J,9,FALSE)</f>
        <v>2</v>
      </c>
      <c r="J1598" t="str">
        <f>VLOOKUP($A1598,'Medical Examinations'!$A:$J,10,FALSE)</f>
        <v>No</v>
      </c>
      <c r="K1598" t="str">
        <f>VLOOKUP($A1598,'Medical Examinations'!$A:$J,5,FALSE)</f>
        <v>Diabetes</v>
      </c>
      <c r="L1598">
        <f>VLOOKUP($A1599,'Medical Examinations'!$A:$J,3,FALSE)</f>
        <v>17.2</v>
      </c>
      <c r="N1598" s="11">
        <f>VLOOKUP($B1598,'Hospitalisation Details'!A1597:J3941,10,0)</f>
        <v>38184</v>
      </c>
      <c r="O1598" t="str">
        <f>VLOOKUP($B1598,'Hospitalisation Details'!A1597:J3941,8,0)</f>
        <v>tier - 2</v>
      </c>
      <c r="P1598" t="str">
        <f>VLOOKUP($B1598,'Hospitalisation Details'!A1597:J3941,7,0)</f>
        <v>tier - 3</v>
      </c>
      <c r="Q1598" t="str">
        <f>VLOOKUP($B1598,'Hospitalisation Details'!A1597:J3941,9,0)</f>
        <v>R1018</v>
      </c>
      <c r="R1598">
        <f>VLOOKUP($B1598,'Hospitalisation Details'!A1597:K3941,11,0)</f>
        <v>18</v>
      </c>
    </row>
    <row r="1599" spans="1:18" x14ac:dyDescent="0.35">
      <c r="A1599" t="s">
        <v>773</v>
      </c>
      <c r="B1599" t="s">
        <v>1630</v>
      </c>
      <c r="C1599" t="str">
        <f>VLOOKUP($A1599,'Customer Names'!$A:$E,4,FALSE)</f>
        <v>Derek</v>
      </c>
      <c r="D1599" t="str">
        <f>VLOOKUP($A1599,'Medical Examinations'!$A:$J,2,FALSE)</f>
        <v>Underweight</v>
      </c>
      <c r="E1599">
        <f>VLOOKUP($A1599,'Medical Examinations'!$A:$J,4,FALSE)</f>
        <v>6.45</v>
      </c>
      <c r="F1599" t="str">
        <f>VLOOKUP($A1599,'Medical Examinations'!$A:$J,6,FALSE)</f>
        <v>No</v>
      </c>
      <c r="G1599" t="str">
        <f>VLOOKUP($A1599,'Medical Examinations'!$A:$J,7,FALSE)</f>
        <v>No</v>
      </c>
      <c r="H1599" t="str">
        <f>VLOOKUP($A1599,'Medical Examinations'!$A:$J,8,FALSE)</f>
        <v>No</v>
      </c>
      <c r="I1599">
        <f>VLOOKUP($A1599,'Medical Examinations'!$A:$J,9,FALSE)</f>
        <v>2</v>
      </c>
      <c r="J1599" t="str">
        <f>VLOOKUP($A1599,'Medical Examinations'!$A:$J,10,FALSE)</f>
        <v>No</v>
      </c>
      <c r="K1599" t="str">
        <f>VLOOKUP($A1599,'Medical Examinations'!$A:$J,5,FALSE)</f>
        <v>Prediabetes</v>
      </c>
      <c r="L1599">
        <f>VLOOKUP($A1600,'Medical Examinations'!$A:$J,3,FALSE)</f>
        <v>19.21</v>
      </c>
      <c r="N1599" s="11">
        <f>VLOOKUP($B1599,'Hospitalisation Details'!A1598:J3942,10,0)</f>
        <v>21768</v>
      </c>
      <c r="O1599" t="str">
        <f>VLOOKUP($B1599,'Hospitalisation Details'!A1598:J3942,8,0)</f>
        <v>tier - 1</v>
      </c>
      <c r="P1599" t="str">
        <f>VLOOKUP($B1599,'Hospitalisation Details'!A1598:J3942,7,0)</f>
        <v>tier - 3</v>
      </c>
      <c r="Q1599" t="str">
        <f>VLOOKUP($B1599,'Hospitalisation Details'!A1598:J3942,9,0)</f>
        <v>R1012</v>
      </c>
      <c r="R1599">
        <f>VLOOKUP($B1599,'Hospitalisation Details'!A1598:K3942,11,0)</f>
        <v>63</v>
      </c>
    </row>
    <row r="1600" spans="1:18" x14ac:dyDescent="0.35">
      <c r="A1600" t="s">
        <v>772</v>
      </c>
      <c r="B1600" t="s">
        <v>1631</v>
      </c>
      <c r="C1600" t="str">
        <f>VLOOKUP($A1600,'Customer Names'!$A:$E,4,FALSE)</f>
        <v>Kalvin J.</v>
      </c>
      <c r="D1600" t="str">
        <f>VLOOKUP($A1600,'Medical Examinations'!$A:$J,2,FALSE)</f>
        <v>Normal Weight</v>
      </c>
      <c r="E1600">
        <f>VLOOKUP($A1600,'Medical Examinations'!$A:$J,4,FALSE)</f>
        <v>5.52</v>
      </c>
      <c r="F1600" t="str">
        <f>VLOOKUP($A1600,'Medical Examinations'!$A:$J,6,FALSE)</f>
        <v>No</v>
      </c>
      <c r="G1600" t="str">
        <f>VLOOKUP($A1600,'Medical Examinations'!$A:$J,7,FALSE)</f>
        <v>No</v>
      </c>
      <c r="H1600" t="str">
        <f>VLOOKUP($A1600,'Medical Examinations'!$A:$J,8,FALSE)</f>
        <v>No</v>
      </c>
      <c r="I1600">
        <f>VLOOKUP($A1600,'Medical Examinations'!$A:$J,9,FALSE)</f>
        <v>2</v>
      </c>
      <c r="J1600" t="str">
        <f>VLOOKUP($A1600,'Medical Examinations'!$A:$J,10,FALSE)</f>
        <v>No</v>
      </c>
      <c r="K1600" t="str">
        <f>VLOOKUP($A1600,'Medical Examinations'!$A:$J,5,FALSE)</f>
        <v>Normal</v>
      </c>
      <c r="L1600">
        <f>VLOOKUP($A1601,'Medical Examinations'!$A:$J,3,FALSE)</f>
        <v>23.2</v>
      </c>
      <c r="N1600" s="11">
        <f>VLOOKUP($B1600,'Hospitalisation Details'!A1599:J3943,10,0)</f>
        <v>24421</v>
      </c>
      <c r="O1600" t="str">
        <f>VLOOKUP($B1600,'Hospitalisation Details'!A1599:J3943,8,0)</f>
        <v>tier - 3</v>
      </c>
      <c r="P1600" t="str">
        <f>VLOOKUP($B1600,'Hospitalisation Details'!A1599:J3943,7,0)</f>
        <v>tier - 3</v>
      </c>
      <c r="Q1600" t="str">
        <f>VLOOKUP($B1600,'Hospitalisation Details'!A1599:J3943,9,0)</f>
        <v>R1026</v>
      </c>
      <c r="R1600">
        <f>VLOOKUP($B1600,'Hospitalisation Details'!A1599:K3943,11,0)</f>
        <v>56</v>
      </c>
    </row>
    <row r="1601" spans="1:18" x14ac:dyDescent="0.35">
      <c r="A1601" t="s">
        <v>771</v>
      </c>
      <c r="B1601" t="s">
        <v>1632</v>
      </c>
      <c r="C1601" t="str">
        <f>VLOOKUP($A1601,'Customer Names'!$A:$E,4,FALSE)</f>
        <v>Dave</v>
      </c>
      <c r="D1601" t="str">
        <f>VLOOKUP($A1601,'Medical Examinations'!$A:$J,2,FALSE)</f>
        <v>Normal Weight</v>
      </c>
      <c r="E1601">
        <f>VLOOKUP($A1601,'Medical Examinations'!$A:$J,4,FALSE)</f>
        <v>4.41</v>
      </c>
      <c r="F1601" t="str">
        <f>VLOOKUP($A1601,'Medical Examinations'!$A:$J,6,FALSE)</f>
        <v>No</v>
      </c>
      <c r="G1601" t="str">
        <f>VLOOKUP($A1601,'Medical Examinations'!$A:$J,7,FALSE)</f>
        <v>No</v>
      </c>
      <c r="H1601" t="str">
        <f>VLOOKUP($A1601,'Medical Examinations'!$A:$J,8,FALSE)</f>
        <v>Yes</v>
      </c>
      <c r="I1601">
        <f>VLOOKUP($A1601,'Medical Examinations'!$A:$J,9,FALSE)</f>
        <v>1</v>
      </c>
      <c r="J1601" t="str">
        <f>VLOOKUP($A1601,'Medical Examinations'!$A:$J,10,FALSE)</f>
        <v>No</v>
      </c>
      <c r="K1601" t="str">
        <f>VLOOKUP($A1601,'Medical Examinations'!$A:$J,5,FALSE)</f>
        <v>Normal</v>
      </c>
      <c r="L1601">
        <f>VLOOKUP($A1602,'Medical Examinations'!$A:$J,3,FALSE)</f>
        <v>32.5</v>
      </c>
      <c r="N1601" s="11">
        <f>VLOOKUP($B1601,'Hospitalisation Details'!A1600:J3944,10,0)</f>
        <v>31754</v>
      </c>
      <c r="O1601" t="str">
        <f>VLOOKUP($B1601,'Hospitalisation Details'!A1600:J3944,8,0)</f>
        <v>tier - 2</v>
      </c>
      <c r="P1601" t="str">
        <f>VLOOKUP($B1601,'Hospitalisation Details'!A1600:J3944,7,0)</f>
        <v>tier - 3</v>
      </c>
      <c r="Q1601" t="str">
        <f>VLOOKUP($B1601,'Hospitalisation Details'!A1600:J3944,9,0)</f>
        <v>R1012</v>
      </c>
      <c r="R1601">
        <f>VLOOKUP($B1601,'Hospitalisation Details'!A1600:K3944,11,0)</f>
        <v>36</v>
      </c>
    </row>
    <row r="1602" spans="1:18" x14ac:dyDescent="0.35">
      <c r="A1602" t="s">
        <v>770</v>
      </c>
      <c r="B1602" t="s">
        <v>1633</v>
      </c>
      <c r="C1602" t="str">
        <f>VLOOKUP($A1602,'Customer Names'!$A:$E,4,FALSE)</f>
        <v>Barbara G.</v>
      </c>
      <c r="D1602" t="str">
        <f>VLOOKUP($A1602,'Medical Examinations'!$A:$J,2,FALSE)</f>
        <v>Obesity</v>
      </c>
      <c r="E1602">
        <f>VLOOKUP($A1602,'Medical Examinations'!$A:$J,4,FALSE)</f>
        <v>4.6900000000000004</v>
      </c>
      <c r="F1602" t="str">
        <f>VLOOKUP($A1602,'Medical Examinations'!$A:$J,6,FALSE)</f>
        <v>yes</v>
      </c>
      <c r="G1602" t="str">
        <f>VLOOKUP($A1602,'Medical Examinations'!$A:$J,7,FALSE)</f>
        <v>No</v>
      </c>
      <c r="H1602" t="str">
        <f>VLOOKUP($A1602,'Medical Examinations'!$A:$J,8,FALSE)</f>
        <v>Yes</v>
      </c>
      <c r="I1602">
        <f>VLOOKUP($A1602,'Medical Examinations'!$A:$J,9,FALSE)</f>
        <v>1</v>
      </c>
      <c r="J1602" t="str">
        <f>VLOOKUP($A1602,'Medical Examinations'!$A:$J,10,FALSE)</f>
        <v>No</v>
      </c>
      <c r="K1602" t="str">
        <f>VLOOKUP($A1602,'Medical Examinations'!$A:$J,5,FALSE)</f>
        <v>Normal</v>
      </c>
      <c r="L1602">
        <f>VLOOKUP($A1603,'Medical Examinations'!$A:$J,3,FALSE)</f>
        <v>20.9</v>
      </c>
      <c r="N1602" s="11">
        <f>VLOOKUP($B1602,'Hospitalisation Details'!A1601:J3945,10,0)</f>
        <v>21514</v>
      </c>
      <c r="O1602" t="str">
        <f>VLOOKUP($B1602,'Hospitalisation Details'!A1601:J3945,8,0)</f>
        <v>tier - 3</v>
      </c>
      <c r="P1602" t="str">
        <f>VLOOKUP($B1602,'Hospitalisation Details'!A1601:J3945,7,0)</f>
        <v>tier - 3</v>
      </c>
      <c r="Q1602" t="str">
        <f>VLOOKUP($B1602,'Hospitalisation Details'!A1601:J3945,9,0)</f>
        <v>R1011</v>
      </c>
      <c r="R1602">
        <f>VLOOKUP($B1602,'Hospitalisation Details'!A1601:K3945,11,0)</f>
        <v>64</v>
      </c>
    </row>
    <row r="1603" spans="1:18" x14ac:dyDescent="0.35">
      <c r="A1603" t="s">
        <v>769</v>
      </c>
      <c r="B1603" t="s">
        <v>1634</v>
      </c>
      <c r="C1603" t="str">
        <f>VLOOKUP($A1603,'Customer Names'!$A:$E,4,FALSE)</f>
        <v>Skylar</v>
      </c>
      <c r="D1603" t="str">
        <f>VLOOKUP($A1603,'Medical Examinations'!$A:$J,2,FALSE)</f>
        <v>Normal Weight</v>
      </c>
      <c r="E1603">
        <f>VLOOKUP($A1603,'Medical Examinations'!$A:$J,4,FALSE)</f>
        <v>6.94</v>
      </c>
      <c r="F1603" t="str">
        <f>VLOOKUP($A1603,'Medical Examinations'!$A:$J,6,FALSE)</f>
        <v>No</v>
      </c>
      <c r="G1603" t="str">
        <f>VLOOKUP($A1603,'Medical Examinations'!$A:$J,7,FALSE)</f>
        <v>No</v>
      </c>
      <c r="H1603" t="str">
        <f>VLOOKUP($A1603,'Medical Examinations'!$A:$J,8,FALSE)</f>
        <v>No</v>
      </c>
      <c r="I1603">
        <f>VLOOKUP($A1603,'Medical Examinations'!$A:$J,9,FALSE)</f>
        <v>0</v>
      </c>
      <c r="J1603" t="str">
        <f>VLOOKUP($A1603,'Medical Examinations'!$A:$J,10,FALSE)</f>
        <v>No</v>
      </c>
      <c r="K1603" t="str">
        <f>VLOOKUP($A1603,'Medical Examinations'!$A:$J,5,FALSE)</f>
        <v>Diabetes</v>
      </c>
      <c r="L1603">
        <f>VLOOKUP($A1604,'Medical Examinations'!$A:$J,3,FALSE)</f>
        <v>19.11</v>
      </c>
      <c r="N1603" s="11">
        <f>VLOOKUP($B1603,'Hospitalisation Details'!A1602:J3946,10,0)</f>
        <v>21529</v>
      </c>
      <c r="O1603" t="str">
        <f>VLOOKUP($B1603,'Hospitalisation Details'!A1602:J3946,8,0)</f>
        <v>tier - 1</v>
      </c>
      <c r="P1603" t="str">
        <f>VLOOKUP($B1603,'Hospitalisation Details'!A1602:J3946,7,0)</f>
        <v>tier - 3</v>
      </c>
      <c r="Q1603" t="str">
        <f>VLOOKUP($B1603,'Hospitalisation Details'!A1602:J3946,9,0)</f>
        <v>R1013</v>
      </c>
      <c r="R1603">
        <f>VLOOKUP($B1603,'Hospitalisation Details'!A1602:K3946,11,0)</f>
        <v>64</v>
      </c>
    </row>
    <row r="1604" spans="1:18" x14ac:dyDescent="0.35">
      <c r="A1604" t="s">
        <v>768</v>
      </c>
      <c r="B1604" t="s">
        <v>1635</v>
      </c>
      <c r="C1604" t="str">
        <f>VLOOKUP($A1604,'Customer Names'!$A:$E,4,FALSE)</f>
        <v>Nick</v>
      </c>
      <c r="D1604" t="str">
        <f>VLOOKUP($A1604,'Medical Examinations'!$A:$J,2,FALSE)</f>
        <v>Normal Weight</v>
      </c>
      <c r="E1604">
        <f>VLOOKUP($A1604,'Medical Examinations'!$A:$J,4,FALSE)</f>
        <v>4.3499999999999996</v>
      </c>
      <c r="F1604" t="str">
        <f>VLOOKUP($A1604,'Medical Examinations'!$A:$J,6,FALSE)</f>
        <v>No</v>
      </c>
      <c r="G1604" t="str">
        <f>VLOOKUP($A1604,'Medical Examinations'!$A:$J,7,FALSE)</f>
        <v>No</v>
      </c>
      <c r="H1604" t="str">
        <f>VLOOKUP($A1604,'Medical Examinations'!$A:$J,8,FALSE)</f>
        <v>No</v>
      </c>
      <c r="I1604">
        <f>VLOOKUP($A1604,'Medical Examinations'!$A:$J,9,FALSE)</f>
        <v>2</v>
      </c>
      <c r="J1604" t="str">
        <f>VLOOKUP($A1604,'Medical Examinations'!$A:$J,10,FALSE)</f>
        <v>No</v>
      </c>
      <c r="K1604" t="str">
        <f>VLOOKUP($A1604,'Medical Examinations'!$A:$J,5,FALSE)</f>
        <v>Normal</v>
      </c>
      <c r="L1604">
        <f>VLOOKUP($A1605,'Medical Examinations'!$A:$J,3,FALSE)</f>
        <v>31.17</v>
      </c>
      <c r="N1604" s="11">
        <f>VLOOKUP($B1604,'Hospitalisation Details'!A1603:J3947,10,0)</f>
        <v>37779</v>
      </c>
      <c r="O1604" t="str">
        <f>VLOOKUP($B1604,'Hospitalisation Details'!A1603:J3947,8,0)</f>
        <v>tier - 1</v>
      </c>
      <c r="P1604" t="str">
        <f>VLOOKUP($B1604,'Hospitalisation Details'!A1603:J3947,7,0)</f>
        <v>tier - 2</v>
      </c>
      <c r="Q1604" t="str">
        <f>VLOOKUP($B1604,'Hospitalisation Details'!A1603:J3947,9,0)</f>
        <v>R1011</v>
      </c>
      <c r="R1604">
        <f>VLOOKUP($B1604,'Hospitalisation Details'!A1603:K3947,11,0)</f>
        <v>20</v>
      </c>
    </row>
    <row r="1605" spans="1:18" x14ac:dyDescent="0.35">
      <c r="A1605" t="s">
        <v>767</v>
      </c>
      <c r="B1605" t="s">
        <v>1636</v>
      </c>
      <c r="C1605" t="str">
        <f>VLOOKUP($A1605,'Customer Names'!$A:$E,4,FALSE)</f>
        <v>Sunny S</v>
      </c>
      <c r="D1605" t="str">
        <f>VLOOKUP($A1605,'Medical Examinations'!$A:$J,2,FALSE)</f>
        <v>Obesity</v>
      </c>
      <c r="E1605">
        <f>VLOOKUP($A1605,'Medical Examinations'!$A:$J,4,FALSE)</f>
        <v>5.28</v>
      </c>
      <c r="F1605" t="str">
        <f>VLOOKUP($A1605,'Medical Examinations'!$A:$J,6,FALSE)</f>
        <v>No</v>
      </c>
      <c r="G1605" t="str">
        <f>VLOOKUP($A1605,'Medical Examinations'!$A:$J,7,FALSE)</f>
        <v>No</v>
      </c>
      <c r="H1605" t="str">
        <f>VLOOKUP($A1605,'Medical Examinations'!$A:$J,8,FALSE)</f>
        <v>No</v>
      </c>
      <c r="I1605">
        <f>VLOOKUP($A1605,'Medical Examinations'!$A:$J,9,FALSE)</f>
        <v>1</v>
      </c>
      <c r="J1605" t="str">
        <f>VLOOKUP($A1605,'Medical Examinations'!$A:$J,10,FALSE)</f>
        <v>No</v>
      </c>
      <c r="K1605" t="str">
        <f>VLOOKUP($A1605,'Medical Examinations'!$A:$J,5,FALSE)</f>
        <v>Normal</v>
      </c>
      <c r="L1605">
        <f>VLOOKUP($A1606,'Medical Examinations'!$A:$J,3,FALSE)</f>
        <v>36.08</v>
      </c>
      <c r="N1605" s="11">
        <f>VLOOKUP($B1605,'Hospitalisation Details'!A1604:J3948,10,0)</f>
        <v>22118</v>
      </c>
      <c r="O1605" t="str">
        <f>VLOOKUP($B1605,'Hospitalisation Details'!A1604:J3948,8,0)</f>
        <v>tier - 2</v>
      </c>
      <c r="P1605" t="str">
        <f>VLOOKUP($B1605,'Hospitalisation Details'!A1604:J3948,7,0)</f>
        <v>tier - 2</v>
      </c>
      <c r="Q1605" t="str">
        <f>VLOOKUP($B1605,'Hospitalisation Details'!A1604:J3948,9,0)</f>
        <v>R1012</v>
      </c>
      <c r="R1605">
        <f>VLOOKUP($B1605,'Hospitalisation Details'!A1604:K3948,11,0)</f>
        <v>62</v>
      </c>
    </row>
    <row r="1606" spans="1:18" x14ac:dyDescent="0.35">
      <c r="A1606" t="s">
        <v>766</v>
      </c>
      <c r="B1606" t="s">
        <v>1637</v>
      </c>
      <c r="C1606" t="str">
        <f>VLOOKUP($A1606,'Customer Names'!$A:$E,4,FALSE)</f>
        <v>Anne-Marie</v>
      </c>
      <c r="D1606" t="str">
        <f>VLOOKUP($A1606,'Medical Examinations'!$A:$J,2,FALSE)</f>
        <v>Obesity</v>
      </c>
      <c r="E1606">
        <f>VLOOKUP($A1606,'Medical Examinations'!$A:$J,4,FALSE)</f>
        <v>4.29</v>
      </c>
      <c r="F1606" t="str">
        <f>VLOOKUP($A1606,'Medical Examinations'!$A:$J,6,FALSE)</f>
        <v>No</v>
      </c>
      <c r="G1606" t="str">
        <f>VLOOKUP($A1606,'Medical Examinations'!$A:$J,7,FALSE)</f>
        <v>No</v>
      </c>
      <c r="H1606" t="str">
        <f>VLOOKUP($A1606,'Medical Examinations'!$A:$J,8,FALSE)</f>
        <v>No</v>
      </c>
      <c r="I1606">
        <f>VLOOKUP($A1606,'Medical Examinations'!$A:$J,9,FALSE)</f>
        <v>0</v>
      </c>
      <c r="J1606" t="str">
        <f>VLOOKUP($A1606,'Medical Examinations'!$A:$J,10,FALSE)</f>
        <v>No</v>
      </c>
      <c r="K1606" t="str">
        <f>VLOOKUP($A1606,'Medical Examinations'!$A:$J,5,FALSE)</f>
        <v>Normal</v>
      </c>
      <c r="L1606">
        <f>VLOOKUP($A1607,'Medical Examinations'!$A:$J,3,FALSE)</f>
        <v>28.024999999999999</v>
      </c>
      <c r="N1606" s="11">
        <f>VLOOKUP($B1606,'Hospitalisation Details'!A1605:J3949,10,0)</f>
        <v>28843</v>
      </c>
      <c r="O1606" t="str">
        <f>VLOOKUP($B1606,'Hospitalisation Details'!A1605:J3949,8,0)</f>
        <v>tier - 1</v>
      </c>
      <c r="P1606" t="str">
        <f>VLOOKUP($B1606,'Hospitalisation Details'!A1605:J3949,7,0)</f>
        <v>tier - 2</v>
      </c>
      <c r="Q1606" t="str">
        <f>VLOOKUP($B1606,'Hospitalisation Details'!A1605:J3949,9,0)</f>
        <v>R1012</v>
      </c>
      <c r="R1606">
        <f>VLOOKUP($B1606,'Hospitalisation Details'!A1605:K3949,11,0)</f>
        <v>44</v>
      </c>
    </row>
    <row r="1607" spans="1:18" x14ac:dyDescent="0.35">
      <c r="A1607" t="s">
        <v>765</v>
      </c>
      <c r="B1607" t="s">
        <v>1638</v>
      </c>
      <c r="C1607" t="str">
        <f>VLOOKUP($A1607,'Customer Names'!$A:$E,4,FALSE)</f>
        <v>Nicholas</v>
      </c>
      <c r="D1607" t="str">
        <f>VLOOKUP($A1607,'Medical Examinations'!$A:$J,2,FALSE)</f>
        <v>Overweight</v>
      </c>
      <c r="E1607">
        <f>VLOOKUP($A1607,'Medical Examinations'!$A:$J,4,FALSE)</f>
        <v>5.69</v>
      </c>
      <c r="F1607" t="str">
        <f>VLOOKUP($A1607,'Medical Examinations'!$A:$J,6,FALSE)</f>
        <v>yes</v>
      </c>
      <c r="G1607" t="str">
        <f>VLOOKUP($A1607,'Medical Examinations'!$A:$J,7,FALSE)</f>
        <v>No</v>
      </c>
      <c r="H1607" t="str">
        <f>VLOOKUP($A1607,'Medical Examinations'!$A:$J,8,FALSE)</f>
        <v>No</v>
      </c>
      <c r="I1607">
        <f>VLOOKUP($A1607,'Medical Examinations'!$A:$J,9,FALSE)</f>
        <v>0</v>
      </c>
      <c r="J1607" t="str">
        <f>VLOOKUP($A1607,'Medical Examinations'!$A:$J,10,FALSE)</f>
        <v>No</v>
      </c>
      <c r="K1607" t="str">
        <f>VLOOKUP($A1607,'Medical Examinations'!$A:$J,5,FALSE)</f>
        <v>Normal</v>
      </c>
      <c r="L1607">
        <f>VLOOKUP($A1608,'Medical Examinations'!$A:$J,3,FALSE)</f>
        <v>24.32</v>
      </c>
      <c r="N1607" s="11">
        <f>VLOOKUP($B1607,'Hospitalisation Details'!A1606:J3950,10,0)</f>
        <v>21828</v>
      </c>
      <c r="O1607" t="str">
        <f>VLOOKUP($B1607,'Hospitalisation Details'!A1606:J3950,8,0)</f>
        <v>tier - 2</v>
      </c>
      <c r="P1607" t="str">
        <f>VLOOKUP($B1607,'Hospitalisation Details'!A1606:J3950,7,0)</f>
        <v>tier - 2</v>
      </c>
      <c r="Q1607" t="str">
        <f>VLOOKUP($B1607,'Hospitalisation Details'!A1606:J3950,9,0)</f>
        <v>R1011</v>
      </c>
      <c r="R1607">
        <f>VLOOKUP($B1607,'Hospitalisation Details'!A1606:K3950,11,0)</f>
        <v>63</v>
      </c>
    </row>
    <row r="1608" spans="1:18" x14ac:dyDescent="0.35">
      <c r="A1608" t="s">
        <v>764</v>
      </c>
      <c r="B1608" t="s">
        <v>1639</v>
      </c>
      <c r="C1608" t="str">
        <f>VLOOKUP($A1608,'Customer Names'!$A:$E,4,FALSE)</f>
        <v>Scott M.</v>
      </c>
      <c r="D1608" t="str">
        <f>VLOOKUP($A1608,'Medical Examinations'!$A:$J,2,FALSE)</f>
        <v>Normal Weight</v>
      </c>
      <c r="E1608">
        <f>VLOOKUP($A1608,'Medical Examinations'!$A:$J,4,FALSE)</f>
        <v>5.56</v>
      </c>
      <c r="F1608" t="str">
        <f>VLOOKUP($A1608,'Medical Examinations'!$A:$J,6,FALSE)</f>
        <v>yes</v>
      </c>
      <c r="G1608" t="str">
        <f>VLOOKUP($A1608,'Medical Examinations'!$A:$J,7,FALSE)</f>
        <v>No</v>
      </c>
      <c r="H1608" t="str">
        <f>VLOOKUP($A1608,'Medical Examinations'!$A:$J,8,FALSE)</f>
        <v>No</v>
      </c>
      <c r="I1608">
        <f>VLOOKUP($A1608,'Medical Examinations'!$A:$J,9,FALSE)</f>
        <v>0</v>
      </c>
      <c r="J1608" t="str">
        <f>VLOOKUP($A1608,'Medical Examinations'!$A:$J,10,FALSE)</f>
        <v>No</v>
      </c>
      <c r="K1608" t="str">
        <f>VLOOKUP($A1608,'Medical Examinations'!$A:$J,5,FALSE)</f>
        <v>Normal</v>
      </c>
      <c r="L1608">
        <f>VLOOKUP($A1609,'Medical Examinations'!$A:$J,3,FALSE)</f>
        <v>38</v>
      </c>
      <c r="N1608" s="11">
        <f>VLOOKUP($B1608,'Hospitalisation Details'!A1607:J3951,10,0)</f>
        <v>31315</v>
      </c>
      <c r="O1608" t="str">
        <f>VLOOKUP($B1608,'Hospitalisation Details'!A1607:J3951,8,0)</f>
        <v>tier - 2</v>
      </c>
      <c r="P1608" t="str">
        <f>VLOOKUP($B1608,'Hospitalisation Details'!A1607:J3951,7,0)</f>
        <v>tier - 2</v>
      </c>
      <c r="Q1608" t="str">
        <f>VLOOKUP($B1608,'Hospitalisation Details'!A1607:J3951,9,0)</f>
        <v>R1012</v>
      </c>
      <c r="R1608">
        <f>VLOOKUP($B1608,'Hospitalisation Details'!A1607:K3951,11,0)</f>
        <v>37</v>
      </c>
    </row>
    <row r="1609" spans="1:18" x14ac:dyDescent="0.35">
      <c r="A1609" t="s">
        <v>763</v>
      </c>
      <c r="B1609" t="s">
        <v>1640</v>
      </c>
      <c r="C1609" t="str">
        <f>VLOOKUP($A1609,'Customer Names'!$A:$E,4,FALSE)</f>
        <v>Marisa A</v>
      </c>
      <c r="D1609" t="str">
        <f>VLOOKUP($A1609,'Medical Examinations'!$A:$J,2,FALSE)</f>
        <v>Obesity</v>
      </c>
      <c r="E1609">
        <f>VLOOKUP($A1609,'Medical Examinations'!$A:$J,4,FALSE)</f>
        <v>5.41</v>
      </c>
      <c r="F1609" t="str">
        <f>VLOOKUP($A1609,'Medical Examinations'!$A:$J,6,FALSE)</f>
        <v>yes</v>
      </c>
      <c r="G1609" t="str">
        <f>VLOOKUP($A1609,'Medical Examinations'!$A:$J,7,FALSE)</f>
        <v>No</v>
      </c>
      <c r="H1609" t="str">
        <f>VLOOKUP($A1609,'Medical Examinations'!$A:$J,8,FALSE)</f>
        <v>No</v>
      </c>
      <c r="I1609">
        <f>VLOOKUP($A1609,'Medical Examinations'!$A:$J,9,FALSE)</f>
        <v>1</v>
      </c>
      <c r="J1609" t="str">
        <f>VLOOKUP($A1609,'Medical Examinations'!$A:$J,10,FALSE)</f>
        <v>No</v>
      </c>
      <c r="K1609" t="str">
        <f>VLOOKUP($A1609,'Medical Examinations'!$A:$J,5,FALSE)</f>
        <v>Normal</v>
      </c>
      <c r="L1609">
        <f>VLOOKUP($A1610,'Medical Examinations'!$A:$J,3,FALSE)</f>
        <v>31.6</v>
      </c>
      <c r="N1609" s="11">
        <f>VLOOKUP($B1609,'Hospitalisation Details'!A1608:J3952,10,0)</f>
        <v>21913</v>
      </c>
      <c r="O1609" t="str">
        <f>VLOOKUP($B1609,'Hospitalisation Details'!A1608:J3952,8,0)</f>
        <v>tier - 3</v>
      </c>
      <c r="P1609" t="str">
        <f>VLOOKUP($B1609,'Hospitalisation Details'!A1608:J3952,7,0)</f>
        <v>tier - 2</v>
      </c>
      <c r="Q1609" t="str">
        <f>VLOOKUP($B1609,'Hospitalisation Details'!A1608:J3952,9,0)</f>
        <v>R1013</v>
      </c>
      <c r="R1609">
        <f>VLOOKUP($B1609,'Hospitalisation Details'!A1608:K3952,11,0)</f>
        <v>63</v>
      </c>
    </row>
    <row r="1610" spans="1:18" x14ac:dyDescent="0.35">
      <c r="A1610" t="s">
        <v>762</v>
      </c>
      <c r="B1610" t="s">
        <v>1641</v>
      </c>
      <c r="C1610" t="str">
        <f>VLOOKUP($A1610,'Customer Names'!$A:$E,4,FALSE)</f>
        <v>Katie</v>
      </c>
      <c r="D1610" t="str">
        <f>VLOOKUP($A1610,'Medical Examinations'!$A:$J,2,FALSE)</f>
        <v>Obesity</v>
      </c>
      <c r="E1610">
        <f>VLOOKUP($A1610,'Medical Examinations'!$A:$J,4,FALSE)</f>
        <v>10.85</v>
      </c>
      <c r="F1610" t="str">
        <f>VLOOKUP($A1610,'Medical Examinations'!$A:$J,6,FALSE)</f>
        <v>yes</v>
      </c>
      <c r="G1610" t="str">
        <f>VLOOKUP($A1610,'Medical Examinations'!$A:$J,7,FALSE)</f>
        <v>No</v>
      </c>
      <c r="H1610" t="str">
        <f>VLOOKUP($A1610,'Medical Examinations'!$A:$J,8,FALSE)</f>
        <v>No</v>
      </c>
      <c r="I1610">
        <f>VLOOKUP($A1610,'Medical Examinations'!$A:$J,9,FALSE)</f>
        <v>0</v>
      </c>
      <c r="J1610" t="str">
        <f>VLOOKUP($A1610,'Medical Examinations'!$A:$J,10,FALSE)</f>
        <v>No</v>
      </c>
      <c r="K1610" t="str">
        <f>VLOOKUP($A1610,'Medical Examinations'!$A:$J,5,FALSE)</f>
        <v>Diabetes</v>
      </c>
      <c r="L1610">
        <f>VLOOKUP($A1611,'Medical Examinations'!$A:$J,3,FALSE)</f>
        <v>31.02</v>
      </c>
      <c r="N1610" s="11">
        <f>VLOOKUP($B1610,'Hospitalisation Details'!A1609:J3953,10,0)</f>
        <v>21738</v>
      </c>
      <c r="O1610" t="str">
        <f>VLOOKUP($B1610,'Hospitalisation Details'!A1609:J3953,8,0)</f>
        <v>tier - 2</v>
      </c>
      <c r="P1610" t="str">
        <f>VLOOKUP($B1610,'Hospitalisation Details'!A1609:J3953,7,0)</f>
        <v>tier - 2</v>
      </c>
      <c r="Q1610" t="str">
        <f>VLOOKUP($B1610,'Hospitalisation Details'!A1609:J3953,9,0)</f>
        <v>R1013</v>
      </c>
      <c r="R1610">
        <f>VLOOKUP($B1610,'Hospitalisation Details'!A1609:K3953,11,0)</f>
        <v>63</v>
      </c>
    </row>
    <row r="1611" spans="1:18" x14ac:dyDescent="0.35">
      <c r="A1611" t="s">
        <v>761</v>
      </c>
      <c r="B1611" t="s">
        <v>1642</v>
      </c>
      <c r="C1611" t="str">
        <f>VLOOKUP($A1611,'Customer Names'!$A:$E,4,FALSE)</f>
        <v>Amy L</v>
      </c>
      <c r="D1611" t="str">
        <f>VLOOKUP($A1611,'Medical Examinations'!$A:$J,2,FALSE)</f>
        <v>Obesity</v>
      </c>
      <c r="E1611">
        <f>VLOOKUP($A1611,'Medical Examinations'!$A:$J,4,FALSE)</f>
        <v>11.63</v>
      </c>
      <c r="F1611" t="str">
        <f>VLOOKUP($A1611,'Medical Examinations'!$A:$J,6,FALSE)</f>
        <v>yes</v>
      </c>
      <c r="G1611" t="str">
        <f>VLOOKUP($A1611,'Medical Examinations'!$A:$J,7,FALSE)</f>
        <v>No</v>
      </c>
      <c r="H1611" t="str">
        <f>VLOOKUP($A1611,'Medical Examinations'!$A:$J,8,FALSE)</f>
        <v>No</v>
      </c>
      <c r="I1611">
        <f>VLOOKUP($A1611,'Medical Examinations'!$A:$J,9,FALSE)</f>
        <v>0</v>
      </c>
      <c r="J1611" t="str">
        <f>VLOOKUP($A1611,'Medical Examinations'!$A:$J,10,FALSE)</f>
        <v>No</v>
      </c>
      <c r="K1611" t="str">
        <f>VLOOKUP($A1611,'Medical Examinations'!$A:$J,5,FALSE)</f>
        <v>Diabetes</v>
      </c>
      <c r="L1611">
        <f>VLOOKUP($A1612,'Medical Examinations'!$A:$J,3,FALSE)</f>
        <v>29.26</v>
      </c>
      <c r="N1611" s="11">
        <f>VLOOKUP($B1611,'Hospitalisation Details'!A1610:J3954,10,0)</f>
        <v>22854</v>
      </c>
      <c r="O1611" t="str">
        <f>VLOOKUP($B1611,'Hospitalisation Details'!A1610:J3954,8,0)</f>
        <v>tier - 2</v>
      </c>
      <c r="P1611" t="str">
        <f>VLOOKUP($B1611,'Hospitalisation Details'!A1610:J3954,7,0)</f>
        <v>tier - 2</v>
      </c>
      <c r="Q1611" t="str">
        <f>VLOOKUP($B1611,'Hospitalisation Details'!A1610:J3954,9,0)</f>
        <v>R1013</v>
      </c>
      <c r="R1611">
        <f>VLOOKUP($B1611,'Hospitalisation Details'!A1610:K3954,11,0)</f>
        <v>60</v>
      </c>
    </row>
    <row r="1612" spans="1:18" x14ac:dyDescent="0.35">
      <c r="A1612" t="s">
        <v>760</v>
      </c>
      <c r="B1612" t="s">
        <v>1643</v>
      </c>
      <c r="C1612" t="str">
        <f>VLOOKUP($A1612,'Customer Names'!$A:$E,4,FALSE)</f>
        <v>Jenna M</v>
      </c>
      <c r="D1612" t="str">
        <f>VLOOKUP($A1612,'Medical Examinations'!$A:$J,2,FALSE)</f>
        <v>Overweight</v>
      </c>
      <c r="E1612">
        <f>VLOOKUP($A1612,'Medical Examinations'!$A:$J,4,FALSE)</f>
        <v>5.68</v>
      </c>
      <c r="F1612" t="str">
        <f>VLOOKUP($A1612,'Medical Examinations'!$A:$J,6,FALSE)</f>
        <v>yes</v>
      </c>
      <c r="G1612" t="str">
        <f>VLOOKUP($A1612,'Medical Examinations'!$A:$J,7,FALSE)</f>
        <v>No</v>
      </c>
      <c r="H1612" t="str">
        <f>VLOOKUP($A1612,'Medical Examinations'!$A:$J,8,FALSE)</f>
        <v>No</v>
      </c>
      <c r="I1612">
        <f>VLOOKUP($A1612,'Medical Examinations'!$A:$J,9,FALSE)</f>
        <v>1</v>
      </c>
      <c r="J1612" t="str">
        <f>VLOOKUP($A1612,'Medical Examinations'!$A:$J,10,FALSE)</f>
        <v>No</v>
      </c>
      <c r="K1612" t="str">
        <f>VLOOKUP($A1612,'Medical Examinations'!$A:$J,5,FALSE)</f>
        <v>Normal</v>
      </c>
      <c r="L1612">
        <f>VLOOKUP($A1613,'Medical Examinations'!$A:$J,3,FALSE)</f>
        <v>15.09</v>
      </c>
      <c r="N1612" s="11">
        <f>VLOOKUP($B1612,'Hospitalisation Details'!A1611:J3955,10,0)</f>
        <v>22085</v>
      </c>
      <c r="O1612" t="str">
        <f>VLOOKUP($B1612,'Hospitalisation Details'!A1611:J3955,8,0)</f>
        <v>tier - 1</v>
      </c>
      <c r="P1612" t="str">
        <f>VLOOKUP($B1612,'Hospitalisation Details'!A1611:J3955,7,0)</f>
        <v>tier - 2</v>
      </c>
      <c r="Q1612" t="str">
        <f>VLOOKUP($B1612,'Hospitalisation Details'!A1611:J3955,9,0)</f>
        <v>R1012</v>
      </c>
      <c r="R1612">
        <f>VLOOKUP($B1612,'Hospitalisation Details'!A1611:K3955,11,0)</f>
        <v>62</v>
      </c>
    </row>
    <row r="1613" spans="1:18" x14ac:dyDescent="0.35">
      <c r="A1613" t="s">
        <v>759</v>
      </c>
      <c r="B1613" t="s">
        <v>1644</v>
      </c>
      <c r="C1613" t="str">
        <f>VLOOKUP($A1613,'Customer Names'!$A:$E,4,FALSE)</f>
        <v>Elizabeth M.</v>
      </c>
      <c r="D1613" t="str">
        <f>VLOOKUP($A1613,'Medical Examinations'!$A:$J,2,FALSE)</f>
        <v>Underweight</v>
      </c>
      <c r="E1613">
        <f>VLOOKUP($A1613,'Medical Examinations'!$A:$J,4,FALSE)</f>
        <v>7.59</v>
      </c>
      <c r="F1613" t="str">
        <f>VLOOKUP($A1613,'Medical Examinations'!$A:$J,6,FALSE)</f>
        <v>yes</v>
      </c>
      <c r="G1613" t="str">
        <f>VLOOKUP($A1613,'Medical Examinations'!$A:$J,7,FALSE)</f>
        <v>No</v>
      </c>
      <c r="H1613" t="str">
        <f>VLOOKUP($A1613,'Medical Examinations'!$A:$J,8,FALSE)</f>
        <v>No</v>
      </c>
      <c r="I1613">
        <f>VLOOKUP($A1613,'Medical Examinations'!$A:$J,9,FALSE)</f>
        <v>2</v>
      </c>
      <c r="J1613" t="str">
        <f>VLOOKUP($A1613,'Medical Examinations'!$A:$J,10,FALSE)</f>
        <v>No</v>
      </c>
      <c r="K1613" t="str">
        <f>VLOOKUP($A1613,'Medical Examinations'!$A:$J,5,FALSE)</f>
        <v>Diabetes</v>
      </c>
      <c r="L1613">
        <f>VLOOKUP($A1614,'Medical Examinations'!$A:$J,3,FALSE)</f>
        <v>22.63</v>
      </c>
      <c r="N1613" s="11">
        <f>VLOOKUP($B1613,'Hospitalisation Details'!A1612:J3956,10,0)</f>
        <v>21791</v>
      </c>
      <c r="O1613" t="str">
        <f>VLOOKUP($B1613,'Hospitalisation Details'!A1612:J3956,8,0)</f>
        <v>tier - 2</v>
      </c>
      <c r="P1613" t="str">
        <f>VLOOKUP($B1613,'Hospitalisation Details'!A1612:J3956,7,0)</f>
        <v>tier - 2</v>
      </c>
      <c r="Q1613" t="str">
        <f>VLOOKUP($B1613,'Hospitalisation Details'!A1612:J3956,9,0)</f>
        <v>R1019</v>
      </c>
      <c r="R1613">
        <f>VLOOKUP($B1613,'Hospitalisation Details'!A1612:K3956,11,0)</f>
        <v>63</v>
      </c>
    </row>
    <row r="1614" spans="1:18" x14ac:dyDescent="0.35">
      <c r="A1614" t="s">
        <v>758</v>
      </c>
      <c r="B1614" t="s">
        <v>1645</v>
      </c>
      <c r="C1614" t="str">
        <f>VLOOKUP($A1614,'Customer Names'!$A:$E,4,FALSE)</f>
        <v>Lyazid</v>
      </c>
      <c r="D1614" t="str">
        <f>VLOOKUP($A1614,'Medical Examinations'!$A:$J,2,FALSE)</f>
        <v>Normal Weight</v>
      </c>
      <c r="E1614">
        <f>VLOOKUP($A1614,'Medical Examinations'!$A:$J,4,FALSE)</f>
        <v>5.09</v>
      </c>
      <c r="F1614" t="str">
        <f>VLOOKUP($A1614,'Medical Examinations'!$A:$J,6,FALSE)</f>
        <v>yes</v>
      </c>
      <c r="G1614" t="str">
        <f>VLOOKUP($A1614,'Medical Examinations'!$A:$J,7,FALSE)</f>
        <v>No</v>
      </c>
      <c r="H1614" t="str">
        <f>VLOOKUP($A1614,'Medical Examinations'!$A:$J,8,FALSE)</f>
        <v>No</v>
      </c>
      <c r="I1614">
        <f>VLOOKUP($A1614,'Medical Examinations'!$A:$J,9,FALSE)</f>
        <v>0</v>
      </c>
      <c r="J1614" t="str">
        <f>VLOOKUP($A1614,'Medical Examinations'!$A:$J,10,FALSE)</f>
        <v>No</v>
      </c>
      <c r="K1614" t="str">
        <f>VLOOKUP($A1614,'Medical Examinations'!$A:$J,5,FALSE)</f>
        <v>Normal</v>
      </c>
      <c r="L1614">
        <f>VLOOKUP($A1615,'Medical Examinations'!$A:$J,3,FALSE)</f>
        <v>23.46</v>
      </c>
      <c r="N1614" s="11">
        <f>VLOOKUP($B1614,'Hospitalisation Details'!A1613:J3957,10,0)</f>
        <v>33067</v>
      </c>
      <c r="O1614" t="str">
        <f>VLOOKUP($B1614,'Hospitalisation Details'!A1613:J3957,8,0)</f>
        <v>tier - 1</v>
      </c>
      <c r="P1614" t="str">
        <f>VLOOKUP($B1614,'Hospitalisation Details'!A1613:J3957,7,0)</f>
        <v>tier - 2</v>
      </c>
      <c r="Q1614" t="str">
        <f>VLOOKUP($B1614,'Hospitalisation Details'!A1613:J3957,9,0)</f>
        <v>R1023</v>
      </c>
      <c r="R1614">
        <f>VLOOKUP($B1614,'Hospitalisation Details'!A1613:K3957,11,0)</f>
        <v>32</v>
      </c>
    </row>
    <row r="1615" spans="1:18" x14ac:dyDescent="0.35">
      <c r="A1615" t="s">
        <v>757</v>
      </c>
      <c r="B1615" t="s">
        <v>1646</v>
      </c>
      <c r="C1615" t="str">
        <f>VLOOKUP($A1615,'Customer Names'!$A:$E,4,FALSE)</f>
        <v>Lindsey A.</v>
      </c>
      <c r="D1615" t="str">
        <f>VLOOKUP($A1615,'Medical Examinations'!$A:$J,2,FALSE)</f>
        <v>Normal Weight</v>
      </c>
      <c r="E1615">
        <f>VLOOKUP($A1615,'Medical Examinations'!$A:$J,4,FALSE)</f>
        <v>4.21</v>
      </c>
      <c r="F1615" t="str">
        <f>VLOOKUP($A1615,'Medical Examinations'!$A:$J,6,FALSE)</f>
        <v>No</v>
      </c>
      <c r="G1615" t="str">
        <f>VLOOKUP($A1615,'Medical Examinations'!$A:$J,7,FALSE)</f>
        <v>No</v>
      </c>
      <c r="H1615" t="str">
        <f>VLOOKUP($A1615,'Medical Examinations'!$A:$J,8,FALSE)</f>
        <v>No</v>
      </c>
      <c r="I1615">
        <f>VLOOKUP($A1615,'Medical Examinations'!$A:$J,9,FALSE)</f>
        <v>1</v>
      </c>
      <c r="J1615" t="str">
        <f>VLOOKUP($A1615,'Medical Examinations'!$A:$J,10,FALSE)</f>
        <v>No</v>
      </c>
      <c r="K1615" t="str">
        <f>VLOOKUP($A1615,'Medical Examinations'!$A:$J,5,FALSE)</f>
        <v>Normal</v>
      </c>
      <c r="L1615">
        <f>VLOOKUP($A1616,'Medical Examinations'!$A:$J,3,FALSE)</f>
        <v>22.56</v>
      </c>
      <c r="N1615" s="11">
        <f>VLOOKUP($B1615,'Hospitalisation Details'!A1614:J3958,10,0)</f>
        <v>21799</v>
      </c>
      <c r="O1615" t="str">
        <f>VLOOKUP($B1615,'Hospitalisation Details'!A1614:J3958,8,0)</f>
        <v>tier - 1</v>
      </c>
      <c r="P1615" t="str">
        <f>VLOOKUP($B1615,'Hospitalisation Details'!A1614:J3958,7,0)</f>
        <v>tier - 2</v>
      </c>
      <c r="Q1615" t="str">
        <f>VLOOKUP($B1615,'Hospitalisation Details'!A1614:J3958,9,0)</f>
        <v>R1016</v>
      </c>
      <c r="R1615">
        <f>VLOOKUP($B1615,'Hospitalisation Details'!A1614:K3958,11,0)</f>
        <v>63</v>
      </c>
    </row>
    <row r="1616" spans="1:18" x14ac:dyDescent="0.35">
      <c r="A1616" t="s">
        <v>756</v>
      </c>
      <c r="B1616" t="s">
        <v>1647</v>
      </c>
      <c r="C1616" t="str">
        <f>VLOOKUP($A1616,'Customer Names'!$A:$E,4,FALSE)</f>
        <v>Chris</v>
      </c>
      <c r="D1616" t="str">
        <f>VLOOKUP($A1616,'Medical Examinations'!$A:$J,2,FALSE)</f>
        <v>Normal Weight</v>
      </c>
      <c r="E1616">
        <f>VLOOKUP($A1616,'Medical Examinations'!$A:$J,4,FALSE)</f>
        <v>4.34</v>
      </c>
      <c r="F1616" t="str">
        <f>VLOOKUP($A1616,'Medical Examinations'!$A:$J,6,FALSE)</f>
        <v>yes</v>
      </c>
      <c r="G1616" t="str">
        <f>VLOOKUP($A1616,'Medical Examinations'!$A:$J,7,FALSE)</f>
        <v>No</v>
      </c>
      <c r="H1616" t="str">
        <f>VLOOKUP($A1616,'Medical Examinations'!$A:$J,8,FALSE)</f>
        <v>No</v>
      </c>
      <c r="I1616">
        <f>VLOOKUP($A1616,'Medical Examinations'!$A:$J,9,FALSE)</f>
        <v>0</v>
      </c>
      <c r="J1616" t="str">
        <f>VLOOKUP($A1616,'Medical Examinations'!$A:$J,10,FALSE)</f>
        <v>No</v>
      </c>
      <c r="K1616" t="str">
        <f>VLOOKUP($A1616,'Medical Examinations'!$A:$J,5,FALSE)</f>
        <v>Normal</v>
      </c>
      <c r="L1616">
        <f>VLOOKUP($A1617,'Medical Examinations'!$A:$J,3,FALSE)</f>
        <v>19.28</v>
      </c>
      <c r="N1616" s="11">
        <f>VLOOKUP($B1616,'Hospitalisation Details'!A1615:J3959,10,0)</f>
        <v>23368</v>
      </c>
      <c r="O1616" t="str">
        <f>VLOOKUP($B1616,'Hospitalisation Details'!A1615:J3959,8,0)</f>
        <v>tier - 1</v>
      </c>
      <c r="P1616" t="str">
        <f>VLOOKUP($B1616,'Hospitalisation Details'!A1615:J3959,7,0)</f>
        <v>tier - 2</v>
      </c>
      <c r="Q1616" t="str">
        <f>VLOOKUP($B1616,'Hospitalisation Details'!A1615:J3959,9,0)</f>
        <v>R1013</v>
      </c>
      <c r="R1616">
        <f>VLOOKUP($B1616,'Hospitalisation Details'!A1615:K3959,11,0)</f>
        <v>59</v>
      </c>
    </row>
    <row r="1617" spans="1:18" x14ac:dyDescent="0.35">
      <c r="A1617" t="s">
        <v>755</v>
      </c>
      <c r="B1617" t="s">
        <v>1648</v>
      </c>
      <c r="C1617" t="str">
        <f>VLOOKUP($A1617,'Customer Names'!$A:$E,4,FALSE)</f>
        <v>Jennifer A</v>
      </c>
      <c r="D1617" t="str">
        <f>VLOOKUP($A1617,'Medical Examinations'!$A:$J,2,FALSE)</f>
        <v>Normal Weight</v>
      </c>
      <c r="E1617">
        <f>VLOOKUP($A1617,'Medical Examinations'!$A:$J,4,FALSE)</f>
        <v>11.85</v>
      </c>
      <c r="F1617" t="str">
        <f>VLOOKUP($A1617,'Medical Examinations'!$A:$J,6,FALSE)</f>
        <v>No</v>
      </c>
      <c r="G1617" t="str">
        <f>VLOOKUP($A1617,'Medical Examinations'!$A:$J,7,FALSE)</f>
        <v>No</v>
      </c>
      <c r="H1617" t="str">
        <f>VLOOKUP($A1617,'Medical Examinations'!$A:$J,8,FALSE)</f>
        <v>No</v>
      </c>
      <c r="I1617">
        <f>VLOOKUP($A1617,'Medical Examinations'!$A:$J,9,FALSE)</f>
        <v>2</v>
      </c>
      <c r="J1617" t="str">
        <f>VLOOKUP($A1617,'Medical Examinations'!$A:$J,10,FALSE)</f>
        <v>No</v>
      </c>
      <c r="K1617" t="str">
        <f>VLOOKUP($A1617,'Medical Examinations'!$A:$J,5,FALSE)</f>
        <v>Diabetes</v>
      </c>
      <c r="L1617">
        <f>VLOOKUP($A1618,'Medical Examinations'!$A:$J,3,FALSE)</f>
        <v>15.37</v>
      </c>
      <c r="N1617" s="11">
        <f>VLOOKUP($B1617,'Hospitalisation Details'!A1616:J3960,10,0)</f>
        <v>23198</v>
      </c>
      <c r="O1617" t="str">
        <f>VLOOKUP($B1617,'Hospitalisation Details'!A1616:J3960,8,0)</f>
        <v>tier - 2</v>
      </c>
      <c r="P1617" t="str">
        <f>VLOOKUP($B1617,'Hospitalisation Details'!A1616:J3960,7,0)</f>
        <v>tier - 2</v>
      </c>
      <c r="Q1617" t="str">
        <f>VLOOKUP($B1617,'Hospitalisation Details'!A1616:J3960,9,0)</f>
        <v>R1013</v>
      </c>
      <c r="R1617">
        <f>VLOOKUP($B1617,'Hospitalisation Details'!A1616:K3960,11,0)</f>
        <v>59</v>
      </c>
    </row>
    <row r="1618" spans="1:18" x14ac:dyDescent="0.35">
      <c r="A1618" t="s">
        <v>754</v>
      </c>
      <c r="B1618" t="s">
        <v>1649</v>
      </c>
      <c r="C1618" t="str">
        <f>VLOOKUP($A1618,'Customer Names'!$A:$E,4,FALSE)</f>
        <v>Leif S.</v>
      </c>
      <c r="D1618" t="str">
        <f>VLOOKUP($A1618,'Medical Examinations'!$A:$J,2,FALSE)</f>
        <v>Underweight</v>
      </c>
      <c r="E1618">
        <f>VLOOKUP($A1618,'Medical Examinations'!$A:$J,4,FALSE)</f>
        <v>9.61</v>
      </c>
      <c r="F1618" t="str">
        <f>VLOOKUP($A1618,'Medical Examinations'!$A:$J,6,FALSE)</f>
        <v>yes</v>
      </c>
      <c r="G1618" t="str">
        <f>VLOOKUP($A1618,'Medical Examinations'!$A:$J,7,FALSE)</f>
        <v>No</v>
      </c>
      <c r="H1618" t="str">
        <f>VLOOKUP($A1618,'Medical Examinations'!$A:$J,8,FALSE)</f>
        <v>No</v>
      </c>
      <c r="I1618">
        <f>VLOOKUP($A1618,'Medical Examinations'!$A:$J,9,FALSE)</f>
        <v>2</v>
      </c>
      <c r="J1618" t="str">
        <f>VLOOKUP($A1618,'Medical Examinations'!$A:$J,10,FALSE)</f>
        <v>No</v>
      </c>
      <c r="K1618" t="str">
        <f>VLOOKUP($A1618,'Medical Examinations'!$A:$J,5,FALSE)</f>
        <v>Diabetes</v>
      </c>
      <c r="L1618">
        <f>VLOOKUP($A1619,'Medical Examinations'!$A:$J,3,FALSE)</f>
        <v>18.71</v>
      </c>
      <c r="N1618" s="11">
        <f>VLOOKUP($B1618,'Hospitalisation Details'!A1617:J3961,10,0)</f>
        <v>23200</v>
      </c>
      <c r="O1618" t="str">
        <f>VLOOKUP($B1618,'Hospitalisation Details'!A1617:J3961,8,0)</f>
        <v>tier - 3</v>
      </c>
      <c r="P1618" t="str">
        <f>VLOOKUP($B1618,'Hospitalisation Details'!A1617:J3961,7,0)</f>
        <v>tier - 2</v>
      </c>
      <c r="Q1618" t="str">
        <f>VLOOKUP($B1618,'Hospitalisation Details'!A1617:J3961,9,0)</f>
        <v>R1011</v>
      </c>
      <c r="R1618">
        <f>VLOOKUP($B1618,'Hospitalisation Details'!A1617:K3961,11,0)</f>
        <v>59</v>
      </c>
    </row>
    <row r="1619" spans="1:18" x14ac:dyDescent="0.35">
      <c r="A1619" t="s">
        <v>753</v>
      </c>
      <c r="B1619" t="s">
        <v>1650</v>
      </c>
      <c r="C1619" t="str">
        <f>VLOOKUP($A1619,'Customer Names'!$A:$E,4,FALSE)</f>
        <v>Stephanie A</v>
      </c>
      <c r="D1619" t="str">
        <f>VLOOKUP($A1619,'Medical Examinations'!$A:$J,2,FALSE)</f>
        <v>Normal Weight</v>
      </c>
      <c r="E1619">
        <f>VLOOKUP($A1619,'Medical Examinations'!$A:$J,4,FALSE)</f>
        <v>5.29</v>
      </c>
      <c r="F1619" t="str">
        <f>VLOOKUP($A1619,'Medical Examinations'!$A:$J,6,FALSE)</f>
        <v>yes</v>
      </c>
      <c r="G1619" t="str">
        <f>VLOOKUP($A1619,'Medical Examinations'!$A:$J,7,FALSE)</f>
        <v>No</v>
      </c>
      <c r="H1619" t="str">
        <f>VLOOKUP($A1619,'Medical Examinations'!$A:$J,8,FALSE)</f>
        <v>No</v>
      </c>
      <c r="I1619">
        <f>VLOOKUP($A1619,'Medical Examinations'!$A:$J,9,FALSE)</f>
        <v>0</v>
      </c>
      <c r="J1619" t="str">
        <f>VLOOKUP($A1619,'Medical Examinations'!$A:$J,10,FALSE)</f>
        <v>No</v>
      </c>
      <c r="K1619" t="str">
        <f>VLOOKUP($A1619,'Medical Examinations'!$A:$J,5,FALSE)</f>
        <v>Normal</v>
      </c>
      <c r="L1619">
        <f>VLOOKUP($A1620,'Medical Examinations'!$A:$J,3,FALSE)</f>
        <v>20.61</v>
      </c>
      <c r="N1619" s="11">
        <f>VLOOKUP($B1619,'Hospitalisation Details'!A1618:J3962,10,0)</f>
        <v>22228</v>
      </c>
      <c r="O1619" t="str">
        <f>VLOOKUP($B1619,'Hospitalisation Details'!A1618:J3962,8,0)</f>
        <v>tier - 3</v>
      </c>
      <c r="P1619" t="str">
        <f>VLOOKUP($B1619,'Hospitalisation Details'!A1618:J3962,7,0)</f>
        <v>tier - 2</v>
      </c>
      <c r="Q1619" t="str">
        <f>VLOOKUP($B1619,'Hospitalisation Details'!A1618:J3962,9,0)</f>
        <v>R1024</v>
      </c>
      <c r="R1619">
        <f>VLOOKUP($B1619,'Hospitalisation Details'!A1618:K3962,11,0)</f>
        <v>62</v>
      </c>
    </row>
    <row r="1620" spans="1:18" x14ac:dyDescent="0.35">
      <c r="A1620" t="s">
        <v>752</v>
      </c>
      <c r="B1620" t="s">
        <v>1651</v>
      </c>
      <c r="C1620" t="str">
        <f>VLOOKUP($A1620,'Customer Names'!$A:$E,4,FALSE)</f>
        <v>Bo</v>
      </c>
      <c r="D1620" t="str">
        <f>VLOOKUP($A1620,'Medical Examinations'!$A:$J,2,FALSE)</f>
        <v>Normal Weight</v>
      </c>
      <c r="E1620">
        <f>VLOOKUP($A1620,'Medical Examinations'!$A:$J,4,FALSE)</f>
        <v>6.89</v>
      </c>
      <c r="F1620" t="str">
        <f>VLOOKUP($A1620,'Medical Examinations'!$A:$J,6,FALSE)</f>
        <v>No</v>
      </c>
      <c r="G1620" t="str">
        <f>VLOOKUP($A1620,'Medical Examinations'!$A:$J,7,FALSE)</f>
        <v>No</v>
      </c>
      <c r="H1620" t="str">
        <f>VLOOKUP($A1620,'Medical Examinations'!$A:$J,8,FALSE)</f>
        <v>No</v>
      </c>
      <c r="I1620">
        <f>VLOOKUP($A1620,'Medical Examinations'!$A:$J,9,FALSE)</f>
        <v>0</v>
      </c>
      <c r="J1620" t="str">
        <f>VLOOKUP($A1620,'Medical Examinations'!$A:$J,10,FALSE)</f>
        <v>No</v>
      </c>
      <c r="K1620" t="str">
        <f>VLOOKUP($A1620,'Medical Examinations'!$A:$J,5,FALSE)</f>
        <v>Diabetes</v>
      </c>
      <c r="L1620">
        <f>VLOOKUP($A1621,'Medical Examinations'!$A:$J,3,FALSE)</f>
        <v>15.99</v>
      </c>
      <c r="N1620" s="11">
        <f>VLOOKUP($B1620,'Hospitalisation Details'!A1619:J3963,10,0)</f>
        <v>33493</v>
      </c>
      <c r="O1620" t="str">
        <f>VLOOKUP($B1620,'Hospitalisation Details'!A1619:J3963,8,0)</f>
        <v>tier - 3</v>
      </c>
      <c r="P1620" t="str">
        <f>VLOOKUP($B1620,'Hospitalisation Details'!A1619:J3963,7,0)</f>
        <v>tier - 2</v>
      </c>
      <c r="Q1620" t="str">
        <f>VLOOKUP($B1620,'Hospitalisation Details'!A1619:J3963,9,0)</f>
        <v>R1012</v>
      </c>
      <c r="R1620">
        <f>VLOOKUP($B1620,'Hospitalisation Details'!A1619:K3963,11,0)</f>
        <v>31</v>
      </c>
    </row>
    <row r="1621" spans="1:18" x14ac:dyDescent="0.35">
      <c r="A1621" t="s">
        <v>751</v>
      </c>
      <c r="B1621" t="s">
        <v>1652</v>
      </c>
      <c r="C1621" t="str">
        <f>VLOOKUP($A1621,'Customer Names'!$A:$E,4,FALSE)</f>
        <v>Leah</v>
      </c>
      <c r="D1621" t="str">
        <f>VLOOKUP($A1621,'Medical Examinations'!$A:$J,2,FALSE)</f>
        <v>Underweight</v>
      </c>
      <c r="E1621">
        <f>VLOOKUP($A1621,'Medical Examinations'!$A:$J,4,FALSE)</f>
        <v>4.57</v>
      </c>
      <c r="F1621" t="str">
        <f>VLOOKUP($A1621,'Medical Examinations'!$A:$J,6,FALSE)</f>
        <v>yes</v>
      </c>
      <c r="G1621" t="str">
        <f>VLOOKUP($A1621,'Medical Examinations'!$A:$J,7,FALSE)</f>
        <v>No</v>
      </c>
      <c r="H1621" t="str">
        <f>VLOOKUP($A1621,'Medical Examinations'!$A:$J,8,FALSE)</f>
        <v>Yes</v>
      </c>
      <c r="I1621">
        <f>VLOOKUP($A1621,'Medical Examinations'!$A:$J,9,FALSE)</f>
        <v>1</v>
      </c>
      <c r="J1621" t="str">
        <f>VLOOKUP($A1621,'Medical Examinations'!$A:$J,10,FALSE)</f>
        <v>No</v>
      </c>
      <c r="K1621" t="str">
        <f>VLOOKUP($A1621,'Medical Examinations'!$A:$J,5,FALSE)</f>
        <v>Normal</v>
      </c>
      <c r="L1621">
        <f>VLOOKUP($A1622,'Medical Examinations'!$A:$J,3,FALSE)</f>
        <v>33.155000000000001</v>
      </c>
      <c r="N1621" s="11">
        <f>VLOOKUP($B1621,'Hospitalisation Details'!A1620:J3964,10,0)</f>
        <v>28029</v>
      </c>
      <c r="O1621" t="str">
        <f>VLOOKUP($B1621,'Hospitalisation Details'!A1620:J3964,8,0)</f>
        <v>tier - 3</v>
      </c>
      <c r="P1621" t="str">
        <f>VLOOKUP($B1621,'Hospitalisation Details'!A1620:J3964,7,0)</f>
        <v>tier - 2</v>
      </c>
      <c r="Q1621" t="str">
        <f>VLOOKUP($B1621,'Hospitalisation Details'!A1620:J3964,9,0)</f>
        <v>R1023</v>
      </c>
      <c r="R1621">
        <f>VLOOKUP($B1621,'Hospitalisation Details'!A1620:K3964,11,0)</f>
        <v>46</v>
      </c>
    </row>
    <row r="1622" spans="1:18" x14ac:dyDescent="0.35">
      <c r="A1622" t="s">
        <v>750</v>
      </c>
      <c r="B1622" t="s">
        <v>1653</v>
      </c>
      <c r="C1622" t="str">
        <f>VLOOKUP($A1622,'Customer Names'!$A:$E,4,FALSE)</f>
        <v>Kara Lynne</v>
      </c>
      <c r="D1622" t="str">
        <f>VLOOKUP($A1622,'Medical Examinations'!$A:$J,2,FALSE)</f>
        <v>Obesity</v>
      </c>
      <c r="E1622">
        <f>VLOOKUP($A1622,'Medical Examinations'!$A:$J,4,FALSE)</f>
        <v>4.32</v>
      </c>
      <c r="F1622" t="str">
        <f>VLOOKUP($A1622,'Medical Examinations'!$A:$J,6,FALSE)</f>
        <v>No</v>
      </c>
      <c r="G1622" t="str">
        <f>VLOOKUP($A1622,'Medical Examinations'!$A:$J,7,FALSE)</f>
        <v>No</v>
      </c>
      <c r="H1622" t="str">
        <f>VLOOKUP($A1622,'Medical Examinations'!$A:$J,8,FALSE)</f>
        <v>No</v>
      </c>
      <c r="I1622">
        <f>VLOOKUP($A1622,'Medical Examinations'!$A:$J,9,FALSE)</f>
        <v>0</v>
      </c>
      <c r="J1622" t="str">
        <f>VLOOKUP($A1622,'Medical Examinations'!$A:$J,10,FALSE)</f>
        <v>No</v>
      </c>
      <c r="K1622" t="str">
        <f>VLOOKUP($A1622,'Medical Examinations'!$A:$J,5,FALSE)</f>
        <v>Normal</v>
      </c>
      <c r="L1622">
        <f>VLOOKUP($A1623,'Medical Examinations'!$A:$J,3,FALSE)</f>
        <v>26.22</v>
      </c>
      <c r="N1622" s="11">
        <f>VLOOKUP($B1622,'Hospitalisation Details'!A1621:J3965,10,0)</f>
        <v>22446</v>
      </c>
      <c r="O1622" t="str">
        <f>VLOOKUP($B1622,'Hospitalisation Details'!A1621:J3965,8,0)</f>
        <v>tier - 1</v>
      </c>
      <c r="P1622" t="str">
        <f>VLOOKUP($B1622,'Hospitalisation Details'!A1621:J3965,7,0)</f>
        <v>tier - 2</v>
      </c>
      <c r="Q1622" t="str">
        <f>VLOOKUP($B1622,'Hospitalisation Details'!A1621:J3965,9,0)</f>
        <v>R1012</v>
      </c>
      <c r="R1622">
        <f>VLOOKUP($B1622,'Hospitalisation Details'!A1621:K3965,11,0)</f>
        <v>61</v>
      </c>
    </row>
    <row r="1623" spans="1:18" x14ac:dyDescent="0.35">
      <c r="A1623" t="s">
        <v>749</v>
      </c>
      <c r="B1623" t="s">
        <v>1654</v>
      </c>
      <c r="C1623" t="str">
        <f>VLOOKUP($A1623,'Customer Names'!$A:$E,4,FALSE)</f>
        <v>Jeffrey</v>
      </c>
      <c r="D1623" t="str">
        <f>VLOOKUP($A1623,'Medical Examinations'!$A:$J,2,FALSE)</f>
        <v>Overweight</v>
      </c>
      <c r="E1623">
        <f>VLOOKUP($A1623,'Medical Examinations'!$A:$J,4,FALSE)</f>
        <v>5.57</v>
      </c>
      <c r="F1623" t="str">
        <f>VLOOKUP($A1623,'Medical Examinations'!$A:$J,6,FALSE)</f>
        <v>yes</v>
      </c>
      <c r="G1623" t="str">
        <f>VLOOKUP($A1623,'Medical Examinations'!$A:$J,7,FALSE)</f>
        <v>No</v>
      </c>
      <c r="H1623" t="str">
        <f>VLOOKUP($A1623,'Medical Examinations'!$A:$J,8,FALSE)</f>
        <v>Yes</v>
      </c>
      <c r="I1623">
        <f>VLOOKUP($A1623,'Medical Examinations'!$A:$J,9,FALSE)</f>
        <v>1</v>
      </c>
      <c r="J1623" t="str">
        <f>VLOOKUP($A1623,'Medical Examinations'!$A:$J,10,FALSE)</f>
        <v>No</v>
      </c>
      <c r="K1623" t="str">
        <f>VLOOKUP($A1623,'Medical Examinations'!$A:$J,5,FALSE)</f>
        <v>Normal</v>
      </c>
      <c r="L1623">
        <f>VLOOKUP($A1624,'Medical Examinations'!$A:$J,3,FALSE)</f>
        <v>21.85</v>
      </c>
      <c r="N1623" s="11">
        <f>VLOOKUP($B1623,'Hospitalisation Details'!A1622:J3966,10,0)</f>
        <v>38174</v>
      </c>
      <c r="O1623" t="str">
        <f>VLOOKUP($B1623,'Hospitalisation Details'!A1622:J3966,8,0)</f>
        <v>tier - 3</v>
      </c>
      <c r="P1623" t="str">
        <f>VLOOKUP($B1623,'Hospitalisation Details'!A1622:J3966,7,0)</f>
        <v>tier - 2</v>
      </c>
      <c r="Q1623" t="str">
        <f>VLOOKUP($B1623,'Hospitalisation Details'!A1622:J3966,9,0)</f>
        <v>R1013</v>
      </c>
      <c r="R1623">
        <f>VLOOKUP($B1623,'Hospitalisation Details'!A1622:K3966,11,0)</f>
        <v>18</v>
      </c>
    </row>
    <row r="1624" spans="1:18" x14ac:dyDescent="0.35">
      <c r="A1624" t="s">
        <v>748</v>
      </c>
      <c r="B1624" t="s">
        <v>1655</v>
      </c>
      <c r="C1624" t="str">
        <f>VLOOKUP($A1624,'Customer Names'!$A:$E,4,FALSE)</f>
        <v>Justin</v>
      </c>
      <c r="D1624" t="str">
        <f>VLOOKUP($A1624,'Medical Examinations'!$A:$J,2,FALSE)</f>
        <v>Normal Weight</v>
      </c>
      <c r="E1624">
        <f>VLOOKUP($A1624,'Medical Examinations'!$A:$J,4,FALSE)</f>
        <v>5.26</v>
      </c>
      <c r="F1624" t="str">
        <f>VLOOKUP($A1624,'Medical Examinations'!$A:$J,6,FALSE)</f>
        <v>yes</v>
      </c>
      <c r="G1624" t="str">
        <f>VLOOKUP($A1624,'Medical Examinations'!$A:$J,7,FALSE)</f>
        <v>No</v>
      </c>
      <c r="H1624" t="str">
        <f>VLOOKUP($A1624,'Medical Examinations'!$A:$J,8,FALSE)</f>
        <v>Yes</v>
      </c>
      <c r="I1624">
        <f>VLOOKUP($A1624,'Medical Examinations'!$A:$J,9,FALSE)</f>
        <v>1</v>
      </c>
      <c r="J1624" t="str">
        <f>VLOOKUP($A1624,'Medical Examinations'!$A:$J,10,FALSE)</f>
        <v>No</v>
      </c>
      <c r="K1624" t="str">
        <f>VLOOKUP($A1624,'Medical Examinations'!$A:$J,5,FALSE)</f>
        <v>Normal</v>
      </c>
      <c r="L1624">
        <f>VLOOKUP($A1625,'Medical Examinations'!$A:$J,3,FALSE)</f>
        <v>30.495000000000001</v>
      </c>
      <c r="N1624" s="11">
        <f>VLOOKUP($B1624,'Hospitalisation Details'!A1623:J3967,10,0)</f>
        <v>30870</v>
      </c>
      <c r="O1624" t="str">
        <f>VLOOKUP($B1624,'Hospitalisation Details'!A1623:J3967,8,0)</f>
        <v>tier - 1</v>
      </c>
      <c r="P1624" t="str">
        <f>VLOOKUP($B1624,'Hospitalisation Details'!A1623:J3967,7,0)</f>
        <v>tier - 2</v>
      </c>
      <c r="Q1624" t="str">
        <f>VLOOKUP($B1624,'Hospitalisation Details'!A1623:J3967,9,0)</f>
        <v>R1012</v>
      </c>
      <c r="R1624">
        <f>VLOOKUP($B1624,'Hospitalisation Details'!A1623:K3967,11,0)</f>
        <v>38</v>
      </c>
    </row>
    <row r="1625" spans="1:18" x14ac:dyDescent="0.35">
      <c r="A1625" t="s">
        <v>747</v>
      </c>
      <c r="B1625" t="s">
        <v>1656</v>
      </c>
      <c r="C1625" t="str">
        <f>VLOOKUP($A1625,'Customer Names'!$A:$E,4,FALSE)</f>
        <v>Emily</v>
      </c>
      <c r="D1625" t="str">
        <f>VLOOKUP($A1625,'Medical Examinations'!$A:$J,2,FALSE)</f>
        <v>Obesity</v>
      </c>
      <c r="E1625">
        <f>VLOOKUP($A1625,'Medical Examinations'!$A:$J,4,FALSE)</f>
        <v>6.25</v>
      </c>
      <c r="F1625" t="str">
        <f>VLOOKUP($A1625,'Medical Examinations'!$A:$J,6,FALSE)</f>
        <v>No</v>
      </c>
      <c r="G1625" t="str">
        <f>VLOOKUP($A1625,'Medical Examinations'!$A:$J,7,FALSE)</f>
        <v>No</v>
      </c>
      <c r="H1625" t="str">
        <f>VLOOKUP($A1625,'Medical Examinations'!$A:$J,8,FALSE)</f>
        <v>No</v>
      </c>
      <c r="I1625">
        <f>VLOOKUP($A1625,'Medical Examinations'!$A:$J,9,FALSE)</f>
        <v>0</v>
      </c>
      <c r="J1625" t="str">
        <f>VLOOKUP($A1625,'Medical Examinations'!$A:$J,10,FALSE)</f>
        <v>No</v>
      </c>
      <c r="K1625" t="str">
        <f>VLOOKUP($A1625,'Medical Examinations'!$A:$J,5,FALSE)</f>
        <v>Prediabetes</v>
      </c>
      <c r="L1625">
        <f>VLOOKUP($A1626,'Medical Examinations'!$A:$J,3,FALSE)</f>
        <v>34.104999999999997</v>
      </c>
      <c r="N1625" s="11">
        <f>VLOOKUP($B1625,'Hospitalisation Details'!A1624:J3968,10,0)</f>
        <v>25197</v>
      </c>
      <c r="O1625" t="str">
        <f>VLOOKUP($B1625,'Hospitalisation Details'!A1624:J3968,8,0)</f>
        <v>tier - 1</v>
      </c>
      <c r="P1625" t="str">
        <f>VLOOKUP($B1625,'Hospitalisation Details'!A1624:J3968,7,0)</f>
        <v>tier - 2</v>
      </c>
      <c r="Q1625" t="str">
        <f>VLOOKUP($B1625,'Hospitalisation Details'!A1624:J3968,9,0)</f>
        <v>R1026</v>
      </c>
      <c r="R1625">
        <f>VLOOKUP($B1625,'Hospitalisation Details'!A1624:K3968,11,0)</f>
        <v>54</v>
      </c>
    </row>
    <row r="1626" spans="1:18" x14ac:dyDescent="0.35">
      <c r="A1626" t="s">
        <v>746</v>
      </c>
      <c r="B1626" t="s">
        <v>1657</v>
      </c>
      <c r="C1626" t="str">
        <f>VLOOKUP($A1626,'Customer Names'!$A:$E,4,FALSE)</f>
        <v>Rebecca</v>
      </c>
      <c r="D1626" t="str">
        <f>VLOOKUP($A1626,'Medical Examinations'!$A:$J,2,FALSE)</f>
        <v>Obesity</v>
      </c>
      <c r="E1626">
        <f>VLOOKUP($A1626,'Medical Examinations'!$A:$J,4,FALSE)</f>
        <v>5.67</v>
      </c>
      <c r="F1626" t="str">
        <f>VLOOKUP($A1626,'Medical Examinations'!$A:$J,6,FALSE)</f>
        <v>yes</v>
      </c>
      <c r="G1626" t="str">
        <f>VLOOKUP($A1626,'Medical Examinations'!$A:$J,7,FALSE)</f>
        <v>No</v>
      </c>
      <c r="H1626" t="str">
        <f>VLOOKUP($A1626,'Medical Examinations'!$A:$J,8,FALSE)</f>
        <v>No</v>
      </c>
      <c r="I1626">
        <f>VLOOKUP($A1626,'Medical Examinations'!$A:$J,9,FALSE)</f>
        <v>0</v>
      </c>
      <c r="J1626" t="str">
        <f>VLOOKUP($A1626,'Medical Examinations'!$A:$J,10,FALSE)</f>
        <v>No</v>
      </c>
      <c r="K1626" t="str">
        <f>VLOOKUP($A1626,'Medical Examinations'!$A:$J,5,FALSE)</f>
        <v>Normal</v>
      </c>
      <c r="L1626">
        <f>VLOOKUP($A1627,'Medical Examinations'!$A:$J,3,FALSE)</f>
        <v>32.770000000000003</v>
      </c>
      <c r="N1626" s="11">
        <f>VLOOKUP($B1626,'Hospitalisation Details'!A1625:J3969,10,0)</f>
        <v>30637</v>
      </c>
      <c r="O1626" t="str">
        <f>VLOOKUP($B1626,'Hospitalisation Details'!A1625:J3969,8,0)</f>
        <v>tier - 1</v>
      </c>
      <c r="P1626" t="str">
        <f>VLOOKUP($B1626,'Hospitalisation Details'!A1625:J3969,7,0)</f>
        <v>tier - 2</v>
      </c>
      <c r="Q1626" t="str">
        <f>VLOOKUP($B1626,'Hospitalisation Details'!A1625:J3969,9,0)</f>
        <v>R1026</v>
      </c>
      <c r="R1626">
        <f>VLOOKUP($B1626,'Hospitalisation Details'!A1625:K3969,11,0)</f>
        <v>39</v>
      </c>
    </row>
    <row r="1627" spans="1:18" x14ac:dyDescent="0.35">
      <c r="A1627" t="s">
        <v>745</v>
      </c>
      <c r="B1627" t="s">
        <v>1658</v>
      </c>
      <c r="C1627" t="str">
        <f>VLOOKUP($A1627,'Customer Names'!$A:$E,4,FALSE)</f>
        <v>Allie</v>
      </c>
      <c r="D1627" t="str">
        <f>VLOOKUP($A1627,'Medical Examinations'!$A:$J,2,FALSE)</f>
        <v>Obesity</v>
      </c>
      <c r="E1627">
        <f>VLOOKUP($A1627,'Medical Examinations'!$A:$J,4,FALSE)</f>
        <v>4.42</v>
      </c>
      <c r="F1627" t="str">
        <f>VLOOKUP($A1627,'Medical Examinations'!$A:$J,6,FALSE)</f>
        <v>yes</v>
      </c>
      <c r="G1627" t="str">
        <f>VLOOKUP($A1627,'Medical Examinations'!$A:$J,7,FALSE)</f>
        <v>No</v>
      </c>
      <c r="H1627" t="str">
        <f>VLOOKUP($A1627,'Medical Examinations'!$A:$J,8,FALSE)</f>
        <v>No</v>
      </c>
      <c r="I1627">
        <f>VLOOKUP($A1627,'Medical Examinations'!$A:$J,9,FALSE)</f>
        <v>1</v>
      </c>
      <c r="J1627" t="str">
        <f>VLOOKUP($A1627,'Medical Examinations'!$A:$J,10,FALSE)</f>
        <v>No</v>
      </c>
      <c r="K1627" t="str">
        <f>VLOOKUP($A1627,'Medical Examinations'!$A:$J,5,FALSE)</f>
        <v>Normal</v>
      </c>
      <c r="L1627">
        <f>VLOOKUP($A1628,'Medical Examinations'!$A:$J,3,FALSE)</f>
        <v>16.850000000000001</v>
      </c>
      <c r="N1627" s="11">
        <f>VLOOKUP($B1627,'Hospitalisation Details'!A1626:J3970,10,0)</f>
        <v>21449</v>
      </c>
      <c r="O1627" t="str">
        <f>VLOOKUP($B1627,'Hospitalisation Details'!A1626:J3970,8,0)</f>
        <v>tier - 2</v>
      </c>
      <c r="P1627" t="str">
        <f>VLOOKUP($B1627,'Hospitalisation Details'!A1626:J3970,7,0)</f>
        <v>tier - 2</v>
      </c>
      <c r="Q1627" t="str">
        <f>VLOOKUP($B1627,'Hospitalisation Details'!A1626:J3970,9,0)</f>
        <v>R1012</v>
      </c>
      <c r="R1627">
        <f>VLOOKUP($B1627,'Hospitalisation Details'!A1626:K3970,11,0)</f>
        <v>64</v>
      </c>
    </row>
    <row r="1628" spans="1:18" x14ac:dyDescent="0.35">
      <c r="A1628" t="s">
        <v>744</v>
      </c>
      <c r="B1628" t="s">
        <v>1659</v>
      </c>
      <c r="C1628" t="str">
        <f>VLOOKUP($A1628,'Customer Names'!$A:$E,4,FALSE)</f>
        <v>Trasi</v>
      </c>
      <c r="D1628" t="str">
        <f>VLOOKUP($A1628,'Medical Examinations'!$A:$J,2,FALSE)</f>
        <v>Underweight</v>
      </c>
      <c r="E1628">
        <f>VLOOKUP($A1628,'Medical Examinations'!$A:$J,4,FALSE)</f>
        <v>11.75</v>
      </c>
      <c r="F1628" t="str">
        <f>VLOOKUP($A1628,'Medical Examinations'!$A:$J,6,FALSE)</f>
        <v>yes</v>
      </c>
      <c r="G1628" t="str">
        <f>VLOOKUP($A1628,'Medical Examinations'!$A:$J,7,FALSE)</f>
        <v>No</v>
      </c>
      <c r="H1628" t="str">
        <f>VLOOKUP($A1628,'Medical Examinations'!$A:$J,8,FALSE)</f>
        <v>No</v>
      </c>
      <c r="I1628">
        <f>VLOOKUP($A1628,'Medical Examinations'!$A:$J,9,FALSE)</f>
        <v>2</v>
      </c>
      <c r="J1628" t="str">
        <f>VLOOKUP($A1628,'Medical Examinations'!$A:$J,10,FALSE)</f>
        <v>No</v>
      </c>
      <c r="K1628" t="str">
        <f>VLOOKUP($A1628,'Medical Examinations'!$A:$J,5,FALSE)</f>
        <v>Diabetes</v>
      </c>
      <c r="L1628">
        <f>VLOOKUP($A1629,'Medical Examinations'!$A:$J,3,FALSE)</f>
        <v>34.700000000000003</v>
      </c>
      <c r="N1628" s="11">
        <f>VLOOKUP($B1628,'Hospitalisation Details'!A1627:J3971,10,0)</f>
        <v>22549</v>
      </c>
      <c r="O1628" t="str">
        <f>VLOOKUP($B1628,'Hospitalisation Details'!A1627:J3971,8,0)</f>
        <v>tier - 1</v>
      </c>
      <c r="P1628" t="str">
        <f>VLOOKUP($B1628,'Hospitalisation Details'!A1627:J3971,7,0)</f>
        <v>tier - 2</v>
      </c>
      <c r="Q1628" t="str">
        <f>VLOOKUP($B1628,'Hospitalisation Details'!A1627:J3971,9,0)</f>
        <v>R1011</v>
      </c>
      <c r="R1628">
        <f>VLOOKUP($B1628,'Hospitalisation Details'!A1627:K3971,11,0)</f>
        <v>61</v>
      </c>
    </row>
    <row r="1629" spans="1:18" x14ac:dyDescent="0.35">
      <c r="A1629" t="s">
        <v>743</v>
      </c>
      <c r="B1629" t="s">
        <v>1660</v>
      </c>
      <c r="C1629" t="str">
        <f>VLOOKUP($A1629,'Customer Names'!$A:$E,4,FALSE)</f>
        <v>Kevin</v>
      </c>
      <c r="D1629" t="str">
        <f>VLOOKUP($A1629,'Medical Examinations'!$A:$J,2,FALSE)</f>
        <v>Obesity</v>
      </c>
      <c r="E1629">
        <f>VLOOKUP($A1629,'Medical Examinations'!$A:$J,4,FALSE)</f>
        <v>6.06</v>
      </c>
      <c r="F1629" t="str">
        <f>VLOOKUP($A1629,'Medical Examinations'!$A:$J,6,FALSE)</f>
        <v>No</v>
      </c>
      <c r="G1629" t="str">
        <f>VLOOKUP($A1629,'Medical Examinations'!$A:$J,7,FALSE)</f>
        <v>No</v>
      </c>
      <c r="H1629" t="str">
        <f>VLOOKUP($A1629,'Medical Examinations'!$A:$J,8,FALSE)</f>
        <v>No</v>
      </c>
      <c r="I1629">
        <f>VLOOKUP($A1629,'Medical Examinations'!$A:$J,9,FALSE)</f>
        <v>1</v>
      </c>
      <c r="J1629" t="str">
        <f>VLOOKUP($A1629,'Medical Examinations'!$A:$J,10,FALSE)</f>
        <v>No</v>
      </c>
      <c r="K1629" t="str">
        <f>VLOOKUP($A1629,'Medical Examinations'!$A:$J,5,FALSE)</f>
        <v>Prediabetes</v>
      </c>
      <c r="L1629">
        <f>VLOOKUP($A1630,'Medical Examinations'!$A:$J,3,FALSE)</f>
        <v>37.049999999999997</v>
      </c>
      <c r="N1629" s="11">
        <f>VLOOKUP($B1629,'Hospitalisation Details'!A1628:J3972,10,0)</f>
        <v>21833</v>
      </c>
      <c r="O1629" t="str">
        <f>VLOOKUP($B1629,'Hospitalisation Details'!A1628:J3972,8,0)</f>
        <v>tier - 1</v>
      </c>
      <c r="P1629" t="str">
        <f>VLOOKUP($B1629,'Hospitalisation Details'!A1628:J3972,7,0)</f>
        <v>tier - 2</v>
      </c>
      <c r="Q1629" t="str">
        <f>VLOOKUP($B1629,'Hospitalisation Details'!A1628:J3972,9,0)</f>
        <v>R1012</v>
      </c>
      <c r="R1629">
        <f>VLOOKUP($B1629,'Hospitalisation Details'!A1628:K3972,11,0)</f>
        <v>63</v>
      </c>
    </row>
    <row r="1630" spans="1:18" x14ac:dyDescent="0.35">
      <c r="A1630" t="s">
        <v>742</v>
      </c>
      <c r="B1630" t="s">
        <v>1661</v>
      </c>
      <c r="C1630" t="str">
        <f>VLOOKUP($A1630,'Customer Names'!$A:$E,4,FALSE)</f>
        <v>Fernando</v>
      </c>
      <c r="D1630" t="str">
        <f>VLOOKUP($A1630,'Medical Examinations'!$A:$J,2,FALSE)</f>
        <v>Obesity</v>
      </c>
      <c r="E1630">
        <f>VLOOKUP($A1630,'Medical Examinations'!$A:$J,4,FALSE)</f>
        <v>5.48</v>
      </c>
      <c r="F1630" t="str">
        <f>VLOOKUP($A1630,'Medical Examinations'!$A:$J,6,FALSE)</f>
        <v>No</v>
      </c>
      <c r="G1630" t="str">
        <f>VLOOKUP($A1630,'Medical Examinations'!$A:$J,7,FALSE)</f>
        <v>No</v>
      </c>
      <c r="H1630" t="str">
        <f>VLOOKUP($A1630,'Medical Examinations'!$A:$J,8,FALSE)</f>
        <v>No</v>
      </c>
      <c r="I1630">
        <f>VLOOKUP($A1630,'Medical Examinations'!$A:$J,9,FALSE)</f>
        <v>1</v>
      </c>
      <c r="J1630" t="str">
        <f>VLOOKUP($A1630,'Medical Examinations'!$A:$J,10,FALSE)</f>
        <v>No</v>
      </c>
      <c r="K1630" t="str">
        <f>VLOOKUP($A1630,'Medical Examinations'!$A:$J,5,FALSE)</f>
        <v>Normal</v>
      </c>
      <c r="L1630">
        <f>VLOOKUP($A1631,'Medical Examinations'!$A:$J,3,FALSE)</f>
        <v>18.78</v>
      </c>
      <c r="N1630" s="11">
        <f>VLOOKUP($B1630,'Hospitalisation Details'!A1629:J3973,10,0)</f>
        <v>21862</v>
      </c>
      <c r="O1630" t="str">
        <f>VLOOKUP($B1630,'Hospitalisation Details'!A1629:J3973,8,0)</f>
        <v>tier - 3</v>
      </c>
      <c r="P1630" t="str">
        <f>VLOOKUP($B1630,'Hospitalisation Details'!A1629:J3973,7,0)</f>
        <v>tier - 2</v>
      </c>
      <c r="Q1630" t="str">
        <f>VLOOKUP($B1630,'Hospitalisation Details'!A1629:J3973,9,0)</f>
        <v>R1012</v>
      </c>
      <c r="R1630">
        <f>VLOOKUP($B1630,'Hospitalisation Details'!A1629:K3973,11,0)</f>
        <v>63</v>
      </c>
    </row>
    <row r="1631" spans="1:18" x14ac:dyDescent="0.35">
      <c r="A1631" t="s">
        <v>741</v>
      </c>
      <c r="B1631" t="s">
        <v>1662</v>
      </c>
      <c r="C1631" t="str">
        <f>VLOOKUP($A1631,'Customer Names'!$A:$E,4,FALSE)</f>
        <v>Ieva</v>
      </c>
      <c r="D1631" t="str">
        <f>VLOOKUP($A1631,'Medical Examinations'!$A:$J,2,FALSE)</f>
        <v>Normal Weight</v>
      </c>
      <c r="E1631">
        <f>VLOOKUP($A1631,'Medical Examinations'!$A:$J,4,FALSE)</f>
        <v>4.45</v>
      </c>
      <c r="F1631" t="str">
        <f>VLOOKUP($A1631,'Medical Examinations'!$A:$J,6,FALSE)</f>
        <v>No</v>
      </c>
      <c r="G1631" t="str">
        <f>VLOOKUP($A1631,'Medical Examinations'!$A:$J,7,FALSE)</f>
        <v>No</v>
      </c>
      <c r="H1631" t="str">
        <f>VLOOKUP($A1631,'Medical Examinations'!$A:$J,8,FALSE)</f>
        <v>Yes</v>
      </c>
      <c r="I1631">
        <f>VLOOKUP($A1631,'Medical Examinations'!$A:$J,9,FALSE)</f>
        <v>1</v>
      </c>
      <c r="J1631" t="str">
        <f>VLOOKUP($A1631,'Medical Examinations'!$A:$J,10,FALSE)</f>
        <v>No</v>
      </c>
      <c r="K1631" t="str">
        <f>VLOOKUP($A1631,'Medical Examinations'!$A:$J,5,FALSE)</f>
        <v>Normal</v>
      </c>
      <c r="L1631">
        <f>VLOOKUP($A1632,'Medical Examinations'!$A:$J,3,FALSE)</f>
        <v>28.024999999999999</v>
      </c>
      <c r="N1631" s="11">
        <f>VLOOKUP($B1631,'Hospitalisation Details'!A1630:J3974,10,0)</f>
        <v>27389</v>
      </c>
      <c r="O1631" t="str">
        <f>VLOOKUP($B1631,'Hospitalisation Details'!A1630:J3974,8,0)</f>
        <v>tier - 2</v>
      </c>
      <c r="P1631" t="str">
        <f>VLOOKUP($B1631,'Hospitalisation Details'!A1630:J3974,7,0)</f>
        <v>tier - 2</v>
      </c>
      <c r="Q1631" t="str">
        <f>VLOOKUP($B1631,'Hospitalisation Details'!A1630:J3974,9,0)</f>
        <v>R1026</v>
      </c>
      <c r="R1631">
        <f>VLOOKUP($B1631,'Hospitalisation Details'!A1630:K3974,11,0)</f>
        <v>48</v>
      </c>
    </row>
    <row r="1632" spans="1:18" x14ac:dyDescent="0.35">
      <c r="A1632" t="s">
        <v>740</v>
      </c>
      <c r="B1632" t="s">
        <v>1663</v>
      </c>
      <c r="C1632" t="str">
        <f>VLOOKUP($A1632,'Customer Names'!$A:$E,4,FALSE)</f>
        <v>Chris</v>
      </c>
      <c r="D1632" t="str">
        <f>VLOOKUP($A1632,'Medical Examinations'!$A:$J,2,FALSE)</f>
        <v>Overweight</v>
      </c>
      <c r="E1632">
        <f>VLOOKUP($A1632,'Medical Examinations'!$A:$J,4,FALSE)</f>
        <v>5</v>
      </c>
      <c r="F1632" t="str">
        <f>VLOOKUP($A1632,'Medical Examinations'!$A:$J,6,FALSE)</f>
        <v>No</v>
      </c>
      <c r="G1632" t="str">
        <f>VLOOKUP($A1632,'Medical Examinations'!$A:$J,7,FALSE)</f>
        <v>No</v>
      </c>
      <c r="H1632" t="str">
        <f>VLOOKUP($A1632,'Medical Examinations'!$A:$J,8,FALSE)</f>
        <v>No</v>
      </c>
      <c r="I1632">
        <f>VLOOKUP($A1632,'Medical Examinations'!$A:$J,9,FALSE)</f>
        <v>1</v>
      </c>
      <c r="J1632" t="str">
        <f>VLOOKUP($A1632,'Medical Examinations'!$A:$J,10,FALSE)</f>
        <v>No</v>
      </c>
      <c r="K1632" t="str">
        <f>VLOOKUP($A1632,'Medical Examinations'!$A:$J,5,FALSE)</f>
        <v>Normal</v>
      </c>
      <c r="L1632">
        <f>VLOOKUP($A1633,'Medical Examinations'!$A:$J,3,FALSE)</f>
        <v>35.090000000000003</v>
      </c>
      <c r="N1632" s="11">
        <f>VLOOKUP($B1632,'Hospitalisation Details'!A1631:J3975,10,0)</f>
        <v>26493</v>
      </c>
      <c r="O1632" t="str">
        <f>VLOOKUP($B1632,'Hospitalisation Details'!A1631:J3975,8,0)</f>
        <v>tier - 2</v>
      </c>
      <c r="P1632" t="str">
        <f>VLOOKUP($B1632,'Hospitalisation Details'!A1631:J3975,7,0)</f>
        <v>tier - 2</v>
      </c>
      <c r="Q1632" t="str">
        <f>VLOOKUP($B1632,'Hospitalisation Details'!A1631:J3975,9,0)</f>
        <v>R1026</v>
      </c>
      <c r="R1632">
        <f>VLOOKUP($B1632,'Hospitalisation Details'!A1631:K3975,11,0)</f>
        <v>50</v>
      </c>
    </row>
    <row r="1633" spans="1:18" x14ac:dyDescent="0.35">
      <c r="A1633" t="s">
        <v>739</v>
      </c>
      <c r="B1633" t="s">
        <v>1664</v>
      </c>
      <c r="C1633" t="str">
        <f>VLOOKUP($A1633,'Customer Names'!$A:$E,4,FALSE)</f>
        <v>Drew L.</v>
      </c>
      <c r="D1633" t="str">
        <f>VLOOKUP($A1633,'Medical Examinations'!$A:$J,2,FALSE)</f>
        <v>Obesity</v>
      </c>
      <c r="E1633">
        <f>VLOOKUP($A1633,'Medical Examinations'!$A:$J,4,FALSE)</f>
        <v>5.84</v>
      </c>
      <c r="F1633" t="str">
        <f>VLOOKUP($A1633,'Medical Examinations'!$A:$J,6,FALSE)</f>
        <v>No</v>
      </c>
      <c r="G1633" t="str">
        <f>VLOOKUP($A1633,'Medical Examinations'!$A:$J,7,FALSE)</f>
        <v>No</v>
      </c>
      <c r="H1633" t="str">
        <f>VLOOKUP($A1633,'Medical Examinations'!$A:$J,8,FALSE)</f>
        <v>No</v>
      </c>
      <c r="I1633">
        <f>VLOOKUP($A1633,'Medical Examinations'!$A:$J,9,FALSE)</f>
        <v>0</v>
      </c>
      <c r="J1633" t="str">
        <f>VLOOKUP($A1633,'Medical Examinations'!$A:$J,10,FALSE)</f>
        <v>No</v>
      </c>
      <c r="K1633" t="str">
        <f>VLOOKUP($A1633,'Medical Examinations'!$A:$J,5,FALSE)</f>
        <v>Prediabetes</v>
      </c>
      <c r="L1633">
        <f>VLOOKUP($A1634,'Medical Examinations'!$A:$J,3,FALSE)</f>
        <v>34.42</v>
      </c>
      <c r="N1633" s="11">
        <f>VLOOKUP($B1633,'Hospitalisation Details'!A1632:J3976,10,0)</f>
        <v>38236</v>
      </c>
      <c r="O1633" t="str">
        <f>VLOOKUP($B1633,'Hospitalisation Details'!A1632:J3976,8,0)</f>
        <v>tier - 2</v>
      </c>
      <c r="P1633" t="str">
        <f>VLOOKUP($B1633,'Hospitalisation Details'!A1632:J3976,7,0)</f>
        <v>tier - 2</v>
      </c>
      <c r="Q1633" t="str">
        <f>VLOOKUP($B1633,'Hospitalisation Details'!A1632:J3976,9,0)</f>
        <v>R1024</v>
      </c>
      <c r="R1633">
        <f>VLOOKUP($B1633,'Hospitalisation Details'!A1632:K3976,11,0)</f>
        <v>18</v>
      </c>
    </row>
    <row r="1634" spans="1:18" x14ac:dyDescent="0.35">
      <c r="A1634" t="s">
        <v>738</v>
      </c>
      <c r="B1634" t="s">
        <v>1665</v>
      </c>
      <c r="C1634" t="str">
        <f>VLOOKUP($A1634,'Customer Names'!$A:$E,4,FALSE)</f>
        <v>Christina</v>
      </c>
      <c r="D1634" t="str">
        <f>VLOOKUP($A1634,'Medical Examinations'!$A:$J,2,FALSE)</f>
        <v>Obesity</v>
      </c>
      <c r="E1634">
        <f>VLOOKUP($A1634,'Medical Examinations'!$A:$J,4,FALSE)</f>
        <v>5.21</v>
      </c>
      <c r="F1634" t="str">
        <f>VLOOKUP($A1634,'Medical Examinations'!$A:$J,6,FALSE)</f>
        <v>yes</v>
      </c>
      <c r="G1634" t="str">
        <f>VLOOKUP($A1634,'Medical Examinations'!$A:$J,7,FALSE)</f>
        <v>No</v>
      </c>
      <c r="H1634" t="str">
        <f>VLOOKUP($A1634,'Medical Examinations'!$A:$J,8,FALSE)</f>
        <v>No</v>
      </c>
      <c r="I1634">
        <f>VLOOKUP($A1634,'Medical Examinations'!$A:$J,9,FALSE)</f>
        <v>0</v>
      </c>
      <c r="J1634" t="str">
        <f>VLOOKUP($A1634,'Medical Examinations'!$A:$J,10,FALSE)</f>
        <v>No</v>
      </c>
      <c r="K1634" t="str">
        <f>VLOOKUP($A1634,'Medical Examinations'!$A:$J,5,FALSE)</f>
        <v>Normal</v>
      </c>
      <c r="L1634">
        <f>VLOOKUP($A1635,'Medical Examinations'!$A:$J,3,FALSE)</f>
        <v>29.4</v>
      </c>
      <c r="N1634" s="11">
        <f>VLOOKUP($B1634,'Hospitalisation Details'!A1633:J3977,10,0)</f>
        <v>25187</v>
      </c>
      <c r="O1634" t="str">
        <f>VLOOKUP($B1634,'Hospitalisation Details'!A1633:J3977,8,0)</f>
        <v>tier - 3</v>
      </c>
      <c r="P1634" t="str">
        <f>VLOOKUP($B1634,'Hospitalisation Details'!A1633:J3977,7,0)</f>
        <v>tier - 2</v>
      </c>
      <c r="Q1634" t="str">
        <f>VLOOKUP($B1634,'Hospitalisation Details'!A1633:J3977,9,0)</f>
        <v>R1012</v>
      </c>
      <c r="R1634">
        <f>VLOOKUP($B1634,'Hospitalisation Details'!A1633:K3977,11,0)</f>
        <v>54</v>
      </c>
    </row>
    <row r="1635" spans="1:18" x14ac:dyDescent="0.35">
      <c r="A1635" t="s">
        <v>737</v>
      </c>
      <c r="B1635" t="s">
        <v>1666</v>
      </c>
      <c r="C1635" t="str">
        <f>VLOOKUP($A1635,'Customer Names'!$A:$E,4,FALSE)</f>
        <v>Alexander G</v>
      </c>
      <c r="D1635" t="str">
        <f>VLOOKUP($A1635,'Medical Examinations'!$A:$J,2,FALSE)</f>
        <v>Overweight</v>
      </c>
      <c r="E1635">
        <f>VLOOKUP($A1635,'Medical Examinations'!$A:$J,4,FALSE)</f>
        <v>4.26</v>
      </c>
      <c r="F1635" t="str">
        <f>VLOOKUP($A1635,'Medical Examinations'!$A:$J,6,FALSE)</f>
        <v>No</v>
      </c>
      <c r="G1635" t="str">
        <f>VLOOKUP($A1635,'Medical Examinations'!$A:$J,7,FALSE)</f>
        <v>No</v>
      </c>
      <c r="H1635" t="str">
        <f>VLOOKUP($A1635,'Medical Examinations'!$A:$J,8,FALSE)</f>
        <v>No</v>
      </c>
      <c r="I1635">
        <f>VLOOKUP($A1635,'Medical Examinations'!$A:$J,9,FALSE)</f>
        <v>0</v>
      </c>
      <c r="J1635" t="str">
        <f>VLOOKUP($A1635,'Medical Examinations'!$A:$J,10,FALSE)</f>
        <v>No</v>
      </c>
      <c r="K1635" t="str">
        <f>VLOOKUP($A1635,'Medical Examinations'!$A:$J,5,FALSE)</f>
        <v>Normal</v>
      </c>
      <c r="L1635">
        <f>VLOOKUP($A1636,'Medical Examinations'!$A:$J,3,FALSE)</f>
        <v>21.31</v>
      </c>
      <c r="N1635" s="11">
        <f>VLOOKUP($B1635,'Hospitalisation Details'!A1634:J3978,10,0)</f>
        <v>21473</v>
      </c>
      <c r="O1635" t="str">
        <f>VLOOKUP($B1635,'Hospitalisation Details'!A1634:J3978,8,0)</f>
        <v>tier - 3</v>
      </c>
      <c r="P1635" t="str">
        <f>VLOOKUP($B1635,'Hospitalisation Details'!A1634:J3978,7,0)</f>
        <v>tier - 2</v>
      </c>
      <c r="Q1635" t="str">
        <f>VLOOKUP($B1635,'Hospitalisation Details'!A1634:J3978,9,0)</f>
        <v>R1013</v>
      </c>
      <c r="R1635">
        <f>VLOOKUP($B1635,'Hospitalisation Details'!A1634:K3978,11,0)</f>
        <v>64</v>
      </c>
    </row>
    <row r="1636" spans="1:18" x14ac:dyDescent="0.35">
      <c r="A1636" t="s">
        <v>736</v>
      </c>
      <c r="B1636" t="s">
        <v>1667</v>
      </c>
      <c r="C1636" t="str">
        <f>VLOOKUP($A1636,'Customer Names'!$A:$E,4,FALSE)</f>
        <v>Meaghan</v>
      </c>
      <c r="D1636" t="str">
        <f>VLOOKUP($A1636,'Medical Examinations'!$A:$J,2,FALSE)</f>
        <v>Normal Weight</v>
      </c>
      <c r="E1636">
        <f>VLOOKUP($A1636,'Medical Examinations'!$A:$J,4,FALSE)</f>
        <v>4.17</v>
      </c>
      <c r="F1636" t="str">
        <f>VLOOKUP($A1636,'Medical Examinations'!$A:$J,6,FALSE)</f>
        <v>No</v>
      </c>
      <c r="G1636" t="str">
        <f>VLOOKUP($A1636,'Medical Examinations'!$A:$J,7,FALSE)</f>
        <v>No</v>
      </c>
      <c r="H1636" t="str">
        <f>VLOOKUP($A1636,'Medical Examinations'!$A:$J,8,FALSE)</f>
        <v>No</v>
      </c>
      <c r="I1636">
        <f>VLOOKUP($A1636,'Medical Examinations'!$A:$J,9,FALSE)</f>
        <v>0</v>
      </c>
      <c r="J1636" t="str">
        <f>VLOOKUP($A1636,'Medical Examinations'!$A:$J,10,FALSE)</f>
        <v>No</v>
      </c>
      <c r="K1636" t="str">
        <f>VLOOKUP($A1636,'Medical Examinations'!$A:$J,5,FALSE)</f>
        <v>Normal</v>
      </c>
      <c r="L1636">
        <f>VLOOKUP($A1637,'Medical Examinations'!$A:$J,3,FALSE)</f>
        <v>19.559999999999999</v>
      </c>
      <c r="N1636" s="11">
        <f>VLOOKUP($B1636,'Hospitalisation Details'!A1635:J3979,10,0)</f>
        <v>21376</v>
      </c>
      <c r="O1636" t="str">
        <f>VLOOKUP($B1636,'Hospitalisation Details'!A1635:J3979,8,0)</f>
        <v>tier - 2</v>
      </c>
      <c r="P1636" t="str">
        <f>VLOOKUP($B1636,'Hospitalisation Details'!A1635:J3979,7,0)</f>
        <v>tier - 2</v>
      </c>
      <c r="Q1636" t="str">
        <f>VLOOKUP($B1636,'Hospitalisation Details'!A1635:J3979,9,0)</f>
        <v>R1011</v>
      </c>
      <c r="R1636">
        <f>VLOOKUP($B1636,'Hospitalisation Details'!A1635:K3979,11,0)</f>
        <v>64</v>
      </c>
    </row>
    <row r="1637" spans="1:18" x14ac:dyDescent="0.35">
      <c r="A1637" t="s">
        <v>735</v>
      </c>
      <c r="B1637" t="s">
        <v>1668</v>
      </c>
      <c r="C1637" t="str">
        <f>VLOOKUP($A1637,'Customer Names'!$A:$E,4,FALSE)</f>
        <v>Kristin</v>
      </c>
      <c r="D1637" t="str">
        <f>VLOOKUP($A1637,'Medical Examinations'!$A:$J,2,FALSE)</f>
        <v>Normal Weight</v>
      </c>
      <c r="E1637">
        <f>VLOOKUP($A1637,'Medical Examinations'!$A:$J,4,FALSE)</f>
        <v>11.96</v>
      </c>
      <c r="F1637" t="str">
        <f>VLOOKUP($A1637,'Medical Examinations'!$A:$J,6,FALSE)</f>
        <v>No</v>
      </c>
      <c r="G1637" t="str">
        <f>VLOOKUP($A1637,'Medical Examinations'!$A:$J,7,FALSE)</f>
        <v>No</v>
      </c>
      <c r="H1637" t="str">
        <f>VLOOKUP($A1637,'Medical Examinations'!$A:$J,8,FALSE)</f>
        <v>No</v>
      </c>
      <c r="I1637">
        <f>VLOOKUP($A1637,'Medical Examinations'!$A:$J,9,FALSE)</f>
        <v>0</v>
      </c>
      <c r="J1637" t="str">
        <f>VLOOKUP($A1637,'Medical Examinations'!$A:$J,10,FALSE)</f>
        <v>No</v>
      </c>
      <c r="K1637" t="str">
        <f>VLOOKUP($A1637,'Medical Examinations'!$A:$J,5,FALSE)</f>
        <v>Diabetes</v>
      </c>
      <c r="L1637">
        <f>VLOOKUP($A1638,'Medical Examinations'!$A:$J,3,FALSE)</f>
        <v>37.335000000000001</v>
      </c>
      <c r="N1637" s="11">
        <f>VLOOKUP($B1637,'Hospitalisation Details'!A1636:J3980,10,0)</f>
        <v>25472</v>
      </c>
      <c r="O1637" t="str">
        <f>VLOOKUP($B1637,'Hospitalisation Details'!A1636:J3980,8,0)</f>
        <v>tier - 3</v>
      </c>
      <c r="P1637" t="str">
        <f>VLOOKUP($B1637,'Hospitalisation Details'!A1636:J3980,7,0)</f>
        <v>tier - 2</v>
      </c>
      <c r="Q1637" t="str">
        <f>VLOOKUP($B1637,'Hospitalisation Details'!A1636:J3980,9,0)</f>
        <v>R1022</v>
      </c>
      <c r="R1637">
        <f>VLOOKUP($B1637,'Hospitalisation Details'!A1636:K3980,11,0)</f>
        <v>53</v>
      </c>
    </row>
    <row r="1638" spans="1:18" x14ac:dyDescent="0.35">
      <c r="A1638" t="s">
        <v>734</v>
      </c>
      <c r="B1638" t="s">
        <v>1669</v>
      </c>
      <c r="C1638" t="str">
        <f>VLOOKUP($A1638,'Customer Names'!$A:$E,4,FALSE)</f>
        <v>Andrea K.</v>
      </c>
      <c r="D1638" t="str">
        <f>VLOOKUP($A1638,'Medical Examinations'!$A:$J,2,FALSE)</f>
        <v>Obesity</v>
      </c>
      <c r="E1638">
        <f>VLOOKUP($A1638,'Medical Examinations'!$A:$J,4,FALSE)</f>
        <v>6.26</v>
      </c>
      <c r="F1638" t="str">
        <f>VLOOKUP($A1638,'Medical Examinations'!$A:$J,6,FALSE)</f>
        <v>yes</v>
      </c>
      <c r="G1638" t="str">
        <f>VLOOKUP($A1638,'Medical Examinations'!$A:$J,7,FALSE)</f>
        <v>No</v>
      </c>
      <c r="H1638" t="str">
        <f>VLOOKUP($A1638,'Medical Examinations'!$A:$J,8,FALSE)</f>
        <v>No</v>
      </c>
      <c r="I1638">
        <f>VLOOKUP($A1638,'Medical Examinations'!$A:$J,9,FALSE)</f>
        <v>1</v>
      </c>
      <c r="J1638" t="str">
        <f>VLOOKUP($A1638,'Medical Examinations'!$A:$J,10,FALSE)</f>
        <v>No</v>
      </c>
      <c r="K1638" t="str">
        <f>VLOOKUP($A1638,'Medical Examinations'!$A:$J,5,FALSE)</f>
        <v>Prediabetes</v>
      </c>
      <c r="L1638">
        <f>VLOOKUP($A1639,'Medical Examinations'!$A:$J,3,FALSE)</f>
        <v>19.53</v>
      </c>
      <c r="N1638" s="11">
        <f>VLOOKUP($B1638,'Hospitalisation Details'!A1637:J3981,10,0)</f>
        <v>21908</v>
      </c>
      <c r="O1638" t="str">
        <f>VLOOKUP($B1638,'Hospitalisation Details'!A1637:J3981,8,0)</f>
        <v>tier - 2</v>
      </c>
      <c r="P1638" t="str">
        <f>VLOOKUP($B1638,'Hospitalisation Details'!A1637:J3981,7,0)</f>
        <v>tier - 2</v>
      </c>
      <c r="Q1638" t="str">
        <f>VLOOKUP($B1638,'Hospitalisation Details'!A1637:J3981,9,0)</f>
        <v>R1012</v>
      </c>
      <c r="R1638">
        <f>VLOOKUP($B1638,'Hospitalisation Details'!A1637:K3981,11,0)</f>
        <v>63</v>
      </c>
    </row>
    <row r="1639" spans="1:18" x14ac:dyDescent="0.35">
      <c r="A1639" t="s">
        <v>733</v>
      </c>
      <c r="B1639" t="s">
        <v>1670</v>
      </c>
      <c r="C1639" t="str">
        <f>VLOOKUP($A1639,'Customer Names'!$A:$E,4,FALSE)</f>
        <v>Kris</v>
      </c>
      <c r="D1639" t="str">
        <f>VLOOKUP($A1639,'Medical Examinations'!$A:$J,2,FALSE)</f>
        <v>Normal Weight</v>
      </c>
      <c r="E1639">
        <f>VLOOKUP($A1639,'Medical Examinations'!$A:$J,4,FALSE)</f>
        <v>11.68</v>
      </c>
      <c r="F1639" t="str">
        <f>VLOOKUP($A1639,'Medical Examinations'!$A:$J,6,FALSE)</f>
        <v>No</v>
      </c>
      <c r="G1639" t="str">
        <f>VLOOKUP($A1639,'Medical Examinations'!$A:$J,7,FALSE)</f>
        <v>No</v>
      </c>
      <c r="H1639" t="str">
        <f>VLOOKUP($A1639,'Medical Examinations'!$A:$J,8,FALSE)</f>
        <v>No</v>
      </c>
      <c r="I1639">
        <f>VLOOKUP($A1639,'Medical Examinations'!$A:$J,9,FALSE)</f>
        <v>0</v>
      </c>
      <c r="J1639" t="str">
        <f>VLOOKUP($A1639,'Medical Examinations'!$A:$J,10,FALSE)</f>
        <v>No</v>
      </c>
      <c r="K1639" t="str">
        <f>VLOOKUP($A1639,'Medical Examinations'!$A:$J,5,FALSE)</f>
        <v>Diabetes</v>
      </c>
      <c r="L1639">
        <f>VLOOKUP($A1640,'Medical Examinations'!$A:$J,3,FALSE)</f>
        <v>34.1</v>
      </c>
      <c r="N1639" s="11">
        <f>VLOOKUP($B1639,'Hospitalisation Details'!A1638:J3982,10,0)</f>
        <v>24755</v>
      </c>
      <c r="O1639" t="str">
        <f>VLOOKUP($B1639,'Hospitalisation Details'!A1638:J3982,8,0)</f>
        <v>tier - 1</v>
      </c>
      <c r="P1639" t="str">
        <f>VLOOKUP($B1639,'Hospitalisation Details'!A1638:J3982,7,0)</f>
        <v>tier - 2</v>
      </c>
      <c r="Q1639" t="str">
        <f>VLOOKUP($B1639,'Hospitalisation Details'!A1638:J3982,9,0)</f>
        <v>R1026</v>
      </c>
      <c r="R1639">
        <f>VLOOKUP($B1639,'Hospitalisation Details'!A1638:K3982,11,0)</f>
        <v>55</v>
      </c>
    </row>
    <row r="1640" spans="1:18" x14ac:dyDescent="0.35">
      <c r="A1640" t="s">
        <v>732</v>
      </c>
      <c r="B1640" t="s">
        <v>1671</v>
      </c>
      <c r="C1640" t="str">
        <f>VLOOKUP($A1640,'Customer Names'!$A:$E,4,FALSE)</f>
        <v>Alden W</v>
      </c>
      <c r="D1640" t="str">
        <f>VLOOKUP($A1640,'Medical Examinations'!$A:$J,2,FALSE)</f>
        <v>Obesity</v>
      </c>
      <c r="E1640">
        <f>VLOOKUP($A1640,'Medical Examinations'!$A:$J,4,FALSE)</f>
        <v>5.16</v>
      </c>
      <c r="F1640" t="str">
        <f>VLOOKUP($A1640,'Medical Examinations'!$A:$J,6,FALSE)</f>
        <v>No</v>
      </c>
      <c r="G1640" t="str">
        <f>VLOOKUP($A1640,'Medical Examinations'!$A:$J,7,FALSE)</f>
        <v>No</v>
      </c>
      <c r="H1640" t="str">
        <f>VLOOKUP($A1640,'Medical Examinations'!$A:$J,8,FALSE)</f>
        <v>No</v>
      </c>
      <c r="I1640">
        <f>VLOOKUP($A1640,'Medical Examinations'!$A:$J,9,FALSE)</f>
        <v>0</v>
      </c>
      <c r="J1640" t="str">
        <f>VLOOKUP($A1640,'Medical Examinations'!$A:$J,10,FALSE)</f>
        <v>No</v>
      </c>
      <c r="K1640" t="str">
        <f>VLOOKUP($A1640,'Medical Examinations'!$A:$J,5,FALSE)</f>
        <v>Normal</v>
      </c>
      <c r="L1640">
        <f>VLOOKUP($A1641,'Medical Examinations'!$A:$J,3,FALSE)</f>
        <v>16.5</v>
      </c>
      <c r="N1640" s="11">
        <f>VLOOKUP($B1640,'Hospitalisation Details'!A1639:J3983,10,0)</f>
        <v>32463</v>
      </c>
      <c r="O1640" t="str">
        <f>VLOOKUP($B1640,'Hospitalisation Details'!A1639:J3983,8,0)</f>
        <v>tier - 2</v>
      </c>
      <c r="P1640" t="str">
        <f>VLOOKUP($B1640,'Hospitalisation Details'!A1639:J3983,7,0)</f>
        <v>tier - 2</v>
      </c>
      <c r="Q1640" t="str">
        <f>VLOOKUP($B1640,'Hospitalisation Details'!A1639:J3983,9,0)</f>
        <v>R1011</v>
      </c>
      <c r="R1640">
        <f>VLOOKUP($B1640,'Hospitalisation Details'!A1639:K3983,11,0)</f>
        <v>34</v>
      </c>
    </row>
    <row r="1641" spans="1:18" x14ac:dyDescent="0.35">
      <c r="A1641" t="s">
        <v>731</v>
      </c>
      <c r="B1641" t="s">
        <v>1672</v>
      </c>
      <c r="C1641" t="str">
        <f>VLOOKUP($A1641,'Customer Names'!$A:$E,4,FALSE)</f>
        <v>Suzanne M</v>
      </c>
      <c r="D1641" t="str">
        <f>VLOOKUP($A1641,'Medical Examinations'!$A:$J,2,FALSE)</f>
        <v>Underweight</v>
      </c>
      <c r="E1641">
        <f>VLOOKUP($A1641,'Medical Examinations'!$A:$J,4,FALSE)</f>
        <v>6.9</v>
      </c>
      <c r="F1641" t="str">
        <f>VLOOKUP($A1641,'Medical Examinations'!$A:$J,6,FALSE)</f>
        <v>yes</v>
      </c>
      <c r="G1641" t="str">
        <f>VLOOKUP($A1641,'Medical Examinations'!$A:$J,7,FALSE)</f>
        <v>No</v>
      </c>
      <c r="H1641" t="str">
        <f>VLOOKUP($A1641,'Medical Examinations'!$A:$J,8,FALSE)</f>
        <v>No</v>
      </c>
      <c r="I1641">
        <f>VLOOKUP($A1641,'Medical Examinations'!$A:$J,9,FALSE)</f>
        <v>2</v>
      </c>
      <c r="J1641" t="str">
        <f>VLOOKUP($A1641,'Medical Examinations'!$A:$J,10,FALSE)</f>
        <v>No</v>
      </c>
      <c r="K1641" t="str">
        <f>VLOOKUP($A1641,'Medical Examinations'!$A:$J,5,FALSE)</f>
        <v>Diabetes</v>
      </c>
      <c r="L1641">
        <f>VLOOKUP($A1642,'Medical Examinations'!$A:$J,3,FALSE)</f>
        <v>30.69</v>
      </c>
      <c r="N1641" s="11">
        <f>VLOOKUP($B1641,'Hospitalisation Details'!A1640:J3984,10,0)</f>
        <v>23208</v>
      </c>
      <c r="O1641" t="str">
        <f>VLOOKUP($B1641,'Hospitalisation Details'!A1640:J3984,8,0)</f>
        <v>tier - 2</v>
      </c>
      <c r="P1641" t="str">
        <f>VLOOKUP($B1641,'Hospitalisation Details'!A1640:J3984,7,0)</f>
        <v>tier - 2</v>
      </c>
      <c r="Q1641" t="str">
        <f>VLOOKUP($B1641,'Hospitalisation Details'!A1640:J3984,9,0)</f>
        <v>R1012</v>
      </c>
      <c r="R1641">
        <f>VLOOKUP($B1641,'Hospitalisation Details'!A1640:K3984,11,0)</f>
        <v>59</v>
      </c>
    </row>
    <row r="1642" spans="1:18" x14ac:dyDescent="0.35">
      <c r="A1642" t="s">
        <v>730</v>
      </c>
      <c r="B1642" t="s">
        <v>1673</v>
      </c>
      <c r="C1642" t="str">
        <f>VLOOKUP($A1642,'Customer Names'!$A:$E,4,FALSE)</f>
        <v>Heidi Z.</v>
      </c>
      <c r="D1642" t="str">
        <f>VLOOKUP($A1642,'Medical Examinations'!$A:$J,2,FALSE)</f>
        <v>Obesity</v>
      </c>
      <c r="E1642">
        <f>VLOOKUP($A1642,'Medical Examinations'!$A:$J,4,FALSE)</f>
        <v>4.83</v>
      </c>
      <c r="F1642" t="str">
        <f>VLOOKUP($A1642,'Medical Examinations'!$A:$J,6,FALSE)</f>
        <v>No</v>
      </c>
      <c r="G1642" t="str">
        <f>VLOOKUP($A1642,'Medical Examinations'!$A:$J,7,FALSE)</f>
        <v>No</v>
      </c>
      <c r="H1642" t="str">
        <f>VLOOKUP($A1642,'Medical Examinations'!$A:$J,8,FALSE)</f>
        <v>No</v>
      </c>
      <c r="I1642">
        <f>VLOOKUP($A1642,'Medical Examinations'!$A:$J,9,FALSE)</f>
        <v>1</v>
      </c>
      <c r="J1642" t="str">
        <f>VLOOKUP($A1642,'Medical Examinations'!$A:$J,10,FALSE)</f>
        <v>No</v>
      </c>
      <c r="K1642" t="str">
        <f>VLOOKUP($A1642,'Medical Examinations'!$A:$J,5,FALSE)</f>
        <v>Normal</v>
      </c>
      <c r="L1642">
        <f>VLOOKUP($A1643,'Medical Examinations'!$A:$J,3,FALSE)</f>
        <v>28.93</v>
      </c>
      <c r="N1642" s="11">
        <f>VLOOKUP($B1642,'Hospitalisation Details'!A1641:J3985,10,0)</f>
        <v>23915</v>
      </c>
      <c r="O1642" t="str">
        <f>VLOOKUP($B1642,'Hospitalisation Details'!A1641:J3985,8,0)</f>
        <v>tier - 3</v>
      </c>
      <c r="P1642" t="str">
        <f>VLOOKUP($B1642,'Hospitalisation Details'!A1641:J3985,7,0)</f>
        <v>tier - 2</v>
      </c>
      <c r="Q1642" t="str">
        <f>VLOOKUP($B1642,'Hospitalisation Details'!A1641:J3985,9,0)</f>
        <v>R1024</v>
      </c>
      <c r="R1642">
        <f>VLOOKUP($B1642,'Hospitalisation Details'!A1641:K3985,11,0)</f>
        <v>57</v>
      </c>
    </row>
    <row r="1643" spans="1:18" x14ac:dyDescent="0.35">
      <c r="A1643" t="s">
        <v>729</v>
      </c>
      <c r="B1643" t="s">
        <v>1674</v>
      </c>
      <c r="C1643" t="str">
        <f>VLOOKUP($A1643,'Customer Names'!$A:$E,4,FALSE)</f>
        <v>Carolyn</v>
      </c>
      <c r="D1643" t="str">
        <f>VLOOKUP($A1643,'Medical Examinations'!$A:$J,2,FALSE)</f>
        <v>Overweight</v>
      </c>
      <c r="E1643">
        <f>VLOOKUP($A1643,'Medical Examinations'!$A:$J,4,FALSE)</f>
        <v>4.87</v>
      </c>
      <c r="F1643" t="str">
        <f>VLOOKUP($A1643,'Medical Examinations'!$A:$J,6,FALSE)</f>
        <v>No</v>
      </c>
      <c r="G1643" t="str">
        <f>VLOOKUP($A1643,'Medical Examinations'!$A:$J,7,FALSE)</f>
        <v>No</v>
      </c>
      <c r="H1643" t="str">
        <f>VLOOKUP($A1643,'Medical Examinations'!$A:$J,8,FALSE)</f>
        <v>No</v>
      </c>
      <c r="I1643">
        <f>VLOOKUP($A1643,'Medical Examinations'!$A:$J,9,FALSE)</f>
        <v>1</v>
      </c>
      <c r="J1643" t="str">
        <f>VLOOKUP($A1643,'Medical Examinations'!$A:$J,10,FALSE)</f>
        <v>No</v>
      </c>
      <c r="K1643" t="str">
        <f>VLOOKUP($A1643,'Medical Examinations'!$A:$J,5,FALSE)</f>
        <v>Normal</v>
      </c>
      <c r="L1643">
        <f>VLOOKUP($A1644,'Medical Examinations'!$A:$J,3,FALSE)</f>
        <v>38.9</v>
      </c>
      <c r="N1643" s="11">
        <f>VLOOKUP($B1643,'Hospitalisation Details'!A1642:J3986,10,0)</f>
        <v>21442</v>
      </c>
      <c r="O1643" t="str">
        <f>VLOOKUP($B1643,'Hospitalisation Details'!A1642:J3986,8,0)</f>
        <v>tier - 1</v>
      </c>
      <c r="P1643" t="str">
        <f>VLOOKUP($B1643,'Hospitalisation Details'!A1642:J3986,7,0)</f>
        <v>tier - 2</v>
      </c>
      <c r="Q1643" t="str">
        <f>VLOOKUP($B1643,'Hospitalisation Details'!A1642:J3986,9,0)</f>
        <v>R1018</v>
      </c>
      <c r="R1643">
        <f>VLOOKUP($B1643,'Hospitalisation Details'!A1642:K3986,11,0)</f>
        <v>64</v>
      </c>
    </row>
    <row r="1644" spans="1:18" x14ac:dyDescent="0.35">
      <c r="A1644" t="s">
        <v>728</v>
      </c>
      <c r="B1644" t="s">
        <v>1675</v>
      </c>
      <c r="C1644" t="str">
        <f>VLOOKUP($A1644,'Customer Names'!$A:$E,4,FALSE)</f>
        <v>Sabine</v>
      </c>
      <c r="D1644" t="str">
        <f>VLOOKUP($A1644,'Medical Examinations'!$A:$J,2,FALSE)</f>
        <v>Obesity</v>
      </c>
      <c r="E1644">
        <f>VLOOKUP($A1644,'Medical Examinations'!$A:$J,4,FALSE)</f>
        <v>4.28</v>
      </c>
      <c r="F1644" t="str">
        <f>VLOOKUP($A1644,'Medical Examinations'!$A:$J,6,FALSE)</f>
        <v>No</v>
      </c>
      <c r="G1644" t="str">
        <f>VLOOKUP($A1644,'Medical Examinations'!$A:$J,7,FALSE)</f>
        <v>No</v>
      </c>
      <c r="H1644" t="str">
        <f>VLOOKUP($A1644,'Medical Examinations'!$A:$J,8,FALSE)</f>
        <v>No</v>
      </c>
      <c r="I1644">
        <f>VLOOKUP($A1644,'Medical Examinations'!$A:$J,9,FALSE)</f>
        <v>0</v>
      </c>
      <c r="J1644" t="str">
        <f>VLOOKUP($A1644,'Medical Examinations'!$A:$J,10,FALSE)</f>
        <v>No</v>
      </c>
      <c r="K1644" t="str">
        <f>VLOOKUP($A1644,'Medical Examinations'!$A:$J,5,FALSE)</f>
        <v>Normal</v>
      </c>
      <c r="L1644">
        <f>VLOOKUP($A1645,'Medical Examinations'!$A:$J,3,FALSE)</f>
        <v>26.9</v>
      </c>
      <c r="N1644" s="11">
        <f>VLOOKUP($B1644,'Hospitalisation Details'!A1643:J3987,10,0)</f>
        <v>21395</v>
      </c>
      <c r="O1644" t="str">
        <f>VLOOKUP($B1644,'Hospitalisation Details'!A1643:J3987,8,0)</f>
        <v>tier - 2</v>
      </c>
      <c r="P1644" t="str">
        <f>VLOOKUP($B1644,'Hospitalisation Details'!A1643:J3987,7,0)</f>
        <v>tier - 2</v>
      </c>
      <c r="Q1644" t="str">
        <f>VLOOKUP($B1644,'Hospitalisation Details'!A1643:J3987,9,0)</f>
        <v>R1016</v>
      </c>
      <c r="R1644">
        <f>VLOOKUP($B1644,'Hospitalisation Details'!A1643:K3987,11,0)</f>
        <v>64</v>
      </c>
    </row>
    <row r="1645" spans="1:18" x14ac:dyDescent="0.35">
      <c r="A1645" t="s">
        <v>727</v>
      </c>
      <c r="B1645" t="s">
        <v>1676</v>
      </c>
      <c r="C1645" t="str">
        <f>VLOOKUP($A1645,'Customer Names'!$A:$E,4,FALSE)</f>
        <v>Bobby</v>
      </c>
      <c r="D1645" t="str">
        <f>VLOOKUP($A1645,'Medical Examinations'!$A:$J,2,FALSE)</f>
        <v>Overweight</v>
      </c>
      <c r="E1645">
        <f>VLOOKUP($A1645,'Medical Examinations'!$A:$J,4,FALSE)</f>
        <v>4.07</v>
      </c>
      <c r="F1645" t="str">
        <f>VLOOKUP($A1645,'Medical Examinations'!$A:$J,6,FALSE)</f>
        <v>No</v>
      </c>
      <c r="G1645" t="str">
        <f>VLOOKUP($A1645,'Medical Examinations'!$A:$J,7,FALSE)</f>
        <v>No</v>
      </c>
      <c r="H1645" t="str">
        <f>VLOOKUP($A1645,'Medical Examinations'!$A:$J,8,FALSE)</f>
        <v>No</v>
      </c>
      <c r="I1645">
        <f>VLOOKUP($A1645,'Medical Examinations'!$A:$J,9,FALSE)</f>
        <v>0</v>
      </c>
      <c r="J1645" t="str">
        <f>VLOOKUP($A1645,'Medical Examinations'!$A:$J,10,FALSE)</f>
        <v>No</v>
      </c>
      <c r="K1645" t="str">
        <f>VLOOKUP($A1645,'Medical Examinations'!$A:$J,5,FALSE)</f>
        <v>Normal</v>
      </c>
      <c r="L1645">
        <f>VLOOKUP($A1646,'Medical Examinations'!$A:$J,3,FALSE)</f>
        <v>24.86</v>
      </c>
      <c r="N1645" s="11">
        <f>VLOOKUP($B1645,'Hospitalisation Details'!A1644:J3988,10,0)</f>
        <v>21448</v>
      </c>
      <c r="O1645" t="str">
        <f>VLOOKUP($B1645,'Hospitalisation Details'!A1644:J3988,8,0)</f>
        <v>tier - 3</v>
      </c>
      <c r="P1645" t="str">
        <f>VLOOKUP($B1645,'Hospitalisation Details'!A1644:J3988,7,0)</f>
        <v>tier - 2</v>
      </c>
      <c r="Q1645" t="str">
        <f>VLOOKUP($B1645,'Hospitalisation Details'!A1644:J3988,9,0)</f>
        <v>R1013</v>
      </c>
      <c r="R1645">
        <f>VLOOKUP($B1645,'Hospitalisation Details'!A1644:K3988,11,0)</f>
        <v>64</v>
      </c>
    </row>
    <row r="1646" spans="1:18" x14ac:dyDescent="0.35">
      <c r="A1646" t="s">
        <v>726</v>
      </c>
      <c r="B1646" t="s">
        <v>1677</v>
      </c>
      <c r="C1646" t="str">
        <f>VLOOKUP($A1646,'Customer Names'!$A:$E,4,FALSE)</f>
        <v>Fan</v>
      </c>
      <c r="D1646" t="str">
        <f>VLOOKUP($A1646,'Medical Examinations'!$A:$J,2,FALSE)</f>
        <v>Normal Weight</v>
      </c>
      <c r="E1646">
        <f>VLOOKUP($A1646,'Medical Examinations'!$A:$J,4,FALSE)</f>
        <v>6.23</v>
      </c>
      <c r="F1646" t="str">
        <f>VLOOKUP($A1646,'Medical Examinations'!$A:$J,6,FALSE)</f>
        <v>No</v>
      </c>
      <c r="G1646" t="str">
        <f>VLOOKUP($A1646,'Medical Examinations'!$A:$J,7,FALSE)</f>
        <v>No</v>
      </c>
      <c r="H1646" t="str">
        <f>VLOOKUP($A1646,'Medical Examinations'!$A:$J,8,FALSE)</f>
        <v>No</v>
      </c>
      <c r="I1646">
        <f>VLOOKUP($A1646,'Medical Examinations'!$A:$J,9,FALSE)</f>
        <v>0</v>
      </c>
      <c r="J1646" t="str">
        <f>VLOOKUP($A1646,'Medical Examinations'!$A:$J,10,FALSE)</f>
        <v>No</v>
      </c>
      <c r="K1646" t="str">
        <f>VLOOKUP($A1646,'Medical Examinations'!$A:$J,5,FALSE)</f>
        <v>Prediabetes</v>
      </c>
      <c r="L1646">
        <f>VLOOKUP($A1647,'Medical Examinations'!$A:$J,3,FALSE)</f>
        <v>39.14</v>
      </c>
      <c r="N1646" s="11">
        <f>VLOOKUP($B1646,'Hospitalisation Details'!A1645:J3989,10,0)</f>
        <v>36382</v>
      </c>
      <c r="O1646" t="str">
        <f>VLOOKUP($B1646,'Hospitalisation Details'!A1645:J3989,8,0)</f>
        <v>tier - 1</v>
      </c>
      <c r="P1646" t="str">
        <f>VLOOKUP($B1646,'Hospitalisation Details'!A1645:J3989,7,0)</f>
        <v>tier - 2</v>
      </c>
      <c r="Q1646" t="str">
        <f>VLOOKUP($B1646,'Hospitalisation Details'!A1645:J3989,9,0)</f>
        <v>R1012</v>
      </c>
      <c r="R1646">
        <f>VLOOKUP($B1646,'Hospitalisation Details'!A1645:K3989,11,0)</f>
        <v>23</v>
      </c>
    </row>
    <row r="1647" spans="1:18" x14ac:dyDescent="0.35">
      <c r="A1647" t="s">
        <v>725</v>
      </c>
      <c r="B1647" t="s">
        <v>1678</v>
      </c>
      <c r="C1647" t="str">
        <f>VLOOKUP($A1647,'Customer Names'!$A:$E,4,FALSE)</f>
        <v>Rachel M</v>
      </c>
      <c r="D1647" t="str">
        <f>VLOOKUP($A1647,'Medical Examinations'!$A:$J,2,FALSE)</f>
        <v>Obesity</v>
      </c>
      <c r="E1647">
        <f>VLOOKUP($A1647,'Medical Examinations'!$A:$J,4,FALSE)</f>
        <v>6.24</v>
      </c>
      <c r="F1647" t="str">
        <f>VLOOKUP($A1647,'Medical Examinations'!$A:$J,6,FALSE)</f>
        <v>No</v>
      </c>
      <c r="G1647" t="str">
        <f>VLOOKUP($A1647,'Medical Examinations'!$A:$J,7,FALSE)</f>
        <v>yes</v>
      </c>
      <c r="H1647" t="str">
        <f>VLOOKUP($A1647,'Medical Examinations'!$A:$J,8,FALSE)</f>
        <v>No</v>
      </c>
      <c r="I1647">
        <f>VLOOKUP($A1647,'Medical Examinations'!$A:$J,9,FALSE)</f>
        <v>1</v>
      </c>
      <c r="J1647" t="str">
        <f>VLOOKUP($A1647,'Medical Examinations'!$A:$J,10,FALSE)</f>
        <v>No</v>
      </c>
      <c r="K1647" t="str">
        <f>VLOOKUP($A1647,'Medical Examinations'!$A:$J,5,FALSE)</f>
        <v>Prediabetes</v>
      </c>
      <c r="L1647">
        <f>VLOOKUP($A1648,'Medical Examinations'!$A:$J,3,FALSE)</f>
        <v>39.799999999999997</v>
      </c>
      <c r="N1647" s="11">
        <f>VLOOKUP($B1647,'Hospitalisation Details'!A1646:J3990,10,0)</f>
        <v>24699</v>
      </c>
      <c r="O1647" t="str">
        <f>VLOOKUP($B1647,'Hospitalisation Details'!A1646:J3990,8,0)</f>
        <v>tier - 2</v>
      </c>
      <c r="P1647" t="str">
        <f>VLOOKUP($B1647,'Hospitalisation Details'!A1646:J3990,7,0)</f>
        <v>tier - 2</v>
      </c>
      <c r="Q1647" t="str">
        <f>VLOOKUP($B1647,'Hospitalisation Details'!A1646:J3990,9,0)</f>
        <v>R1026</v>
      </c>
      <c r="R1647">
        <f>VLOOKUP($B1647,'Hospitalisation Details'!A1646:K3990,11,0)</f>
        <v>55</v>
      </c>
    </row>
    <row r="1648" spans="1:18" x14ac:dyDescent="0.35">
      <c r="A1648" t="s">
        <v>724</v>
      </c>
      <c r="B1648" t="s">
        <v>1679</v>
      </c>
      <c r="C1648" t="str">
        <f>VLOOKUP($A1648,'Customer Names'!$A:$E,4,FALSE)</f>
        <v>Greg</v>
      </c>
      <c r="D1648" t="str">
        <f>VLOOKUP($A1648,'Medical Examinations'!$A:$J,2,FALSE)</f>
        <v>Obesity</v>
      </c>
      <c r="E1648">
        <f>VLOOKUP($A1648,'Medical Examinations'!$A:$J,4,FALSE)</f>
        <v>6.17</v>
      </c>
      <c r="F1648" t="str">
        <f>VLOOKUP($A1648,'Medical Examinations'!$A:$J,6,FALSE)</f>
        <v>No</v>
      </c>
      <c r="G1648" t="str">
        <f>VLOOKUP($A1648,'Medical Examinations'!$A:$J,7,FALSE)</f>
        <v>No</v>
      </c>
      <c r="H1648" t="str">
        <f>VLOOKUP($A1648,'Medical Examinations'!$A:$J,8,FALSE)</f>
        <v>Yes</v>
      </c>
      <c r="I1648">
        <f>VLOOKUP($A1648,'Medical Examinations'!$A:$J,9,FALSE)</f>
        <v>1</v>
      </c>
      <c r="J1648" t="str">
        <f>VLOOKUP($A1648,'Medical Examinations'!$A:$J,10,FALSE)</f>
        <v>No</v>
      </c>
      <c r="K1648" t="str">
        <f>VLOOKUP($A1648,'Medical Examinations'!$A:$J,5,FALSE)</f>
        <v>Prediabetes</v>
      </c>
      <c r="L1648">
        <f>VLOOKUP($A1649,'Medical Examinations'!$A:$J,3,FALSE)</f>
        <v>34.32</v>
      </c>
      <c r="N1648" s="11">
        <f>VLOOKUP($B1648,'Hospitalisation Details'!A1647:J3991,10,0)</f>
        <v>24780</v>
      </c>
      <c r="O1648" t="str">
        <f>VLOOKUP($B1648,'Hospitalisation Details'!A1647:J3991,8,0)</f>
        <v>tier - 2</v>
      </c>
      <c r="P1648" t="str">
        <f>VLOOKUP($B1648,'Hospitalisation Details'!A1647:J3991,7,0)</f>
        <v>tier - 2</v>
      </c>
      <c r="Q1648" t="str">
        <f>VLOOKUP($B1648,'Hospitalisation Details'!A1647:J3991,9,0)</f>
        <v>R1021</v>
      </c>
      <c r="R1648">
        <f>VLOOKUP($B1648,'Hospitalisation Details'!A1647:K3991,11,0)</f>
        <v>55</v>
      </c>
    </row>
    <row r="1649" spans="1:18" x14ac:dyDescent="0.35">
      <c r="A1649" t="s">
        <v>723</v>
      </c>
      <c r="B1649" t="s">
        <v>1680</v>
      </c>
      <c r="C1649" t="str">
        <f>VLOOKUP($A1649,'Customer Names'!$A:$E,4,FALSE)</f>
        <v>Dan</v>
      </c>
      <c r="D1649" t="str">
        <f>VLOOKUP($A1649,'Medical Examinations'!$A:$J,2,FALSE)</f>
        <v>Obesity</v>
      </c>
      <c r="E1649">
        <f>VLOOKUP($A1649,'Medical Examinations'!$A:$J,4,FALSE)</f>
        <v>5.16</v>
      </c>
      <c r="F1649" t="str">
        <f>VLOOKUP($A1649,'Medical Examinations'!$A:$J,6,FALSE)</f>
        <v>No</v>
      </c>
      <c r="G1649" t="str">
        <f>VLOOKUP($A1649,'Medical Examinations'!$A:$J,7,FALSE)</f>
        <v>No</v>
      </c>
      <c r="H1649" t="str">
        <f>VLOOKUP($A1649,'Medical Examinations'!$A:$J,8,FALSE)</f>
        <v>No</v>
      </c>
      <c r="I1649">
        <f>VLOOKUP($A1649,'Medical Examinations'!$A:$J,9,FALSE)</f>
        <v>1</v>
      </c>
      <c r="J1649" t="str">
        <f>VLOOKUP($A1649,'Medical Examinations'!$A:$J,10,FALSE)</f>
        <v>No</v>
      </c>
      <c r="K1649" t="str">
        <f>VLOOKUP($A1649,'Medical Examinations'!$A:$J,5,FALSE)</f>
        <v>Normal</v>
      </c>
      <c r="L1649">
        <f>VLOOKUP($A1650,'Medical Examinations'!$A:$J,3,FALSE)</f>
        <v>32.51</v>
      </c>
      <c r="N1649" s="11">
        <f>VLOOKUP($B1649,'Hospitalisation Details'!A1648:J3992,10,0)</f>
        <v>21730</v>
      </c>
      <c r="O1649" t="str">
        <f>VLOOKUP($B1649,'Hospitalisation Details'!A1648:J3992,8,0)</f>
        <v>tier - 1</v>
      </c>
      <c r="P1649" t="str">
        <f>VLOOKUP($B1649,'Hospitalisation Details'!A1648:J3992,7,0)</f>
        <v>tier - 2</v>
      </c>
      <c r="Q1649" t="str">
        <f>VLOOKUP($B1649,'Hospitalisation Details'!A1648:J3992,9,0)</f>
        <v>R1024</v>
      </c>
      <c r="R1649">
        <f>VLOOKUP($B1649,'Hospitalisation Details'!A1648:K3992,11,0)</f>
        <v>63</v>
      </c>
    </row>
    <row r="1650" spans="1:18" x14ac:dyDescent="0.35">
      <c r="A1650" t="s">
        <v>722</v>
      </c>
      <c r="B1650" t="s">
        <v>1681</v>
      </c>
      <c r="C1650" t="str">
        <f>VLOOKUP($A1650,'Customer Names'!$A:$E,4,FALSE)</f>
        <v>Jennifer A</v>
      </c>
      <c r="D1650" t="str">
        <f>VLOOKUP($A1650,'Medical Examinations'!$A:$J,2,FALSE)</f>
        <v>Obesity</v>
      </c>
      <c r="E1650">
        <f>VLOOKUP($A1650,'Medical Examinations'!$A:$J,4,FALSE)</f>
        <v>4.3</v>
      </c>
      <c r="F1650" t="str">
        <f>VLOOKUP($A1650,'Medical Examinations'!$A:$J,6,FALSE)</f>
        <v>No</v>
      </c>
      <c r="G1650" t="str">
        <f>VLOOKUP($A1650,'Medical Examinations'!$A:$J,7,FALSE)</f>
        <v>No</v>
      </c>
      <c r="H1650" t="str">
        <f>VLOOKUP($A1650,'Medical Examinations'!$A:$J,8,FALSE)</f>
        <v>No</v>
      </c>
      <c r="I1650">
        <f>VLOOKUP($A1650,'Medical Examinations'!$A:$J,9,FALSE)</f>
        <v>0</v>
      </c>
      <c r="J1650" t="str">
        <f>VLOOKUP($A1650,'Medical Examinations'!$A:$J,10,FALSE)</f>
        <v>No</v>
      </c>
      <c r="K1650" t="str">
        <f>VLOOKUP($A1650,'Medical Examinations'!$A:$J,5,FALSE)</f>
        <v>Normal</v>
      </c>
      <c r="L1650">
        <f>VLOOKUP($A1651,'Medical Examinations'!$A:$J,3,FALSE)</f>
        <v>30.71</v>
      </c>
      <c r="N1650" s="11">
        <f>VLOOKUP($B1650,'Hospitalisation Details'!A1649:J3993,10,0)</f>
        <v>21765</v>
      </c>
      <c r="O1650" t="str">
        <f>VLOOKUP($B1650,'Hospitalisation Details'!A1649:J3993,8,0)</f>
        <v>tier - 3</v>
      </c>
      <c r="P1650" t="str">
        <f>VLOOKUP($B1650,'Hospitalisation Details'!A1649:J3993,7,0)</f>
        <v>tier - 2</v>
      </c>
      <c r="Q1650" t="str">
        <f>VLOOKUP($B1650,'Hospitalisation Details'!A1649:J3993,9,0)</f>
        <v>R1023</v>
      </c>
      <c r="R1650">
        <f>VLOOKUP($B1650,'Hospitalisation Details'!A1649:K3993,11,0)</f>
        <v>63</v>
      </c>
    </row>
    <row r="1651" spans="1:18" x14ac:dyDescent="0.35">
      <c r="A1651" t="s">
        <v>721</v>
      </c>
      <c r="B1651" t="s">
        <v>1682</v>
      </c>
      <c r="C1651" t="str">
        <f>VLOOKUP($A1651,'Customer Names'!$A:$E,4,FALSE)</f>
        <v>Jessica</v>
      </c>
      <c r="D1651" t="str">
        <f>VLOOKUP($A1651,'Medical Examinations'!$A:$J,2,FALSE)</f>
        <v>Obesity</v>
      </c>
      <c r="E1651">
        <f>VLOOKUP($A1651,'Medical Examinations'!$A:$J,4,FALSE)</f>
        <v>6.14</v>
      </c>
      <c r="F1651" t="str">
        <f>VLOOKUP($A1651,'Medical Examinations'!$A:$J,6,FALSE)</f>
        <v>No</v>
      </c>
      <c r="G1651" t="str">
        <f>VLOOKUP($A1651,'Medical Examinations'!$A:$J,7,FALSE)</f>
        <v>No</v>
      </c>
      <c r="H1651" t="str">
        <f>VLOOKUP($A1651,'Medical Examinations'!$A:$J,8,FALSE)</f>
        <v>Yes</v>
      </c>
      <c r="I1651">
        <f>VLOOKUP($A1651,'Medical Examinations'!$A:$J,9,FALSE)</f>
        <v>1</v>
      </c>
      <c r="J1651" t="str">
        <f>VLOOKUP($A1651,'Medical Examinations'!$A:$J,10,FALSE)</f>
        <v>No</v>
      </c>
      <c r="K1651" t="str">
        <f>VLOOKUP($A1651,'Medical Examinations'!$A:$J,5,FALSE)</f>
        <v>Prediabetes</v>
      </c>
      <c r="L1651">
        <f>VLOOKUP($A1652,'Medical Examinations'!$A:$J,3,FALSE)</f>
        <v>28.9</v>
      </c>
      <c r="N1651" s="11">
        <f>VLOOKUP($B1651,'Hospitalisation Details'!A1650:J3994,10,0)</f>
        <v>35379</v>
      </c>
      <c r="O1651" t="str">
        <f>VLOOKUP($B1651,'Hospitalisation Details'!A1650:J3994,8,0)</f>
        <v>tier - 3</v>
      </c>
      <c r="P1651" t="str">
        <f>VLOOKUP($B1651,'Hospitalisation Details'!A1650:J3994,7,0)</f>
        <v>tier - 2</v>
      </c>
      <c r="Q1651" t="str">
        <f>VLOOKUP($B1651,'Hospitalisation Details'!A1650:J3994,9,0)</f>
        <v>R1024</v>
      </c>
      <c r="R1651">
        <f>VLOOKUP($B1651,'Hospitalisation Details'!A1650:K3994,11,0)</f>
        <v>26</v>
      </c>
    </row>
    <row r="1652" spans="1:18" x14ac:dyDescent="0.35">
      <c r="A1652" t="s">
        <v>720</v>
      </c>
      <c r="B1652" t="s">
        <v>1683</v>
      </c>
      <c r="C1652" t="str">
        <f>VLOOKUP($A1652,'Customer Names'!$A:$E,4,FALSE)</f>
        <v>Chaiwat</v>
      </c>
      <c r="D1652" t="str">
        <f>VLOOKUP($A1652,'Medical Examinations'!$A:$J,2,FALSE)</f>
        <v>Overweight</v>
      </c>
      <c r="E1652">
        <f>VLOOKUP($A1652,'Medical Examinations'!$A:$J,4,FALSE)</f>
        <v>5.36</v>
      </c>
      <c r="F1652" t="str">
        <f>VLOOKUP($A1652,'Medical Examinations'!$A:$J,6,FALSE)</f>
        <v>No</v>
      </c>
      <c r="G1652" t="str">
        <f>VLOOKUP($A1652,'Medical Examinations'!$A:$J,7,FALSE)</f>
        <v>No</v>
      </c>
      <c r="H1652" t="str">
        <f>VLOOKUP($A1652,'Medical Examinations'!$A:$J,8,FALSE)</f>
        <v>No</v>
      </c>
      <c r="I1652">
        <f>VLOOKUP($A1652,'Medical Examinations'!$A:$J,9,FALSE)</f>
        <v>1</v>
      </c>
      <c r="J1652" t="str">
        <f>VLOOKUP($A1652,'Medical Examinations'!$A:$J,10,FALSE)</f>
        <v>No</v>
      </c>
      <c r="K1652" t="str">
        <f>VLOOKUP($A1652,'Medical Examinations'!$A:$J,5,FALSE)</f>
        <v>Normal</v>
      </c>
      <c r="L1652">
        <f>VLOOKUP($A1653,'Medical Examinations'!$A:$J,3,FALSE)</f>
        <v>36.19</v>
      </c>
      <c r="N1652" s="11">
        <f>VLOOKUP($B1652,'Hospitalisation Details'!A1651:J3995,10,0)</f>
        <v>28091</v>
      </c>
      <c r="O1652" t="str">
        <f>VLOOKUP($B1652,'Hospitalisation Details'!A1651:J3995,8,0)</f>
        <v>tier - 3</v>
      </c>
      <c r="P1652" t="str">
        <f>VLOOKUP($B1652,'Hospitalisation Details'!A1651:J3995,7,0)</f>
        <v>tier - 2</v>
      </c>
      <c r="Q1652" t="str">
        <f>VLOOKUP($B1652,'Hospitalisation Details'!A1651:J3995,9,0)</f>
        <v>R1012</v>
      </c>
      <c r="R1652">
        <f>VLOOKUP($B1652,'Hospitalisation Details'!A1651:K3995,11,0)</f>
        <v>46</v>
      </c>
    </row>
    <row r="1653" spans="1:18" x14ac:dyDescent="0.35">
      <c r="A1653" t="s">
        <v>719</v>
      </c>
      <c r="B1653" t="s">
        <v>1684</v>
      </c>
      <c r="C1653" t="str">
        <f>VLOOKUP($A1653,'Customer Names'!$A:$E,4,FALSE)</f>
        <v>Kerri</v>
      </c>
      <c r="D1653" t="str">
        <f>VLOOKUP($A1653,'Medical Examinations'!$A:$J,2,FALSE)</f>
        <v>Obesity</v>
      </c>
      <c r="E1653">
        <f>VLOOKUP($A1653,'Medical Examinations'!$A:$J,4,FALSE)</f>
        <v>4.3</v>
      </c>
      <c r="F1653" t="str">
        <f>VLOOKUP($A1653,'Medical Examinations'!$A:$J,6,FALSE)</f>
        <v>No</v>
      </c>
      <c r="G1653" t="str">
        <f>VLOOKUP($A1653,'Medical Examinations'!$A:$J,7,FALSE)</f>
        <v>No</v>
      </c>
      <c r="H1653" t="str">
        <f>VLOOKUP($A1653,'Medical Examinations'!$A:$J,8,FALSE)</f>
        <v>No</v>
      </c>
      <c r="I1653">
        <f>VLOOKUP($A1653,'Medical Examinations'!$A:$J,9,FALSE)</f>
        <v>0</v>
      </c>
      <c r="J1653" t="str">
        <f>VLOOKUP($A1653,'Medical Examinations'!$A:$J,10,FALSE)</f>
        <v>No</v>
      </c>
      <c r="K1653" t="str">
        <f>VLOOKUP($A1653,'Medical Examinations'!$A:$J,5,FALSE)</f>
        <v>Normal</v>
      </c>
      <c r="L1653">
        <f>VLOOKUP($A1654,'Medical Examinations'!$A:$J,3,FALSE)</f>
        <v>29.6</v>
      </c>
      <c r="N1653" s="11">
        <f>VLOOKUP($B1653,'Hospitalisation Details'!A1652:J3996,10,0)</f>
        <v>21874</v>
      </c>
      <c r="O1653" t="str">
        <f>VLOOKUP($B1653,'Hospitalisation Details'!A1652:J3996,8,0)</f>
        <v>tier - 2</v>
      </c>
      <c r="P1653" t="str">
        <f>VLOOKUP($B1653,'Hospitalisation Details'!A1652:J3996,7,0)</f>
        <v>tier - 2</v>
      </c>
      <c r="Q1653" t="str">
        <f>VLOOKUP($B1653,'Hospitalisation Details'!A1652:J3996,9,0)</f>
        <v>R1013</v>
      </c>
      <c r="R1653">
        <f>VLOOKUP($B1653,'Hospitalisation Details'!A1652:K3996,11,0)</f>
        <v>63</v>
      </c>
    </row>
    <row r="1654" spans="1:18" x14ac:dyDescent="0.35">
      <c r="A1654" t="s">
        <v>718</v>
      </c>
      <c r="B1654" t="s">
        <v>1685</v>
      </c>
      <c r="C1654" t="str">
        <f>VLOOKUP($A1654,'Customer Names'!$A:$E,4,FALSE)</f>
        <v>Lisa</v>
      </c>
      <c r="D1654" t="str">
        <f>VLOOKUP($A1654,'Medical Examinations'!$A:$J,2,FALSE)</f>
        <v>Overweight</v>
      </c>
      <c r="E1654">
        <f>VLOOKUP($A1654,'Medical Examinations'!$A:$J,4,FALSE)</f>
        <v>4.09</v>
      </c>
      <c r="F1654" t="str">
        <f>VLOOKUP($A1654,'Medical Examinations'!$A:$J,6,FALSE)</f>
        <v>No</v>
      </c>
      <c r="G1654" t="str">
        <f>VLOOKUP($A1654,'Medical Examinations'!$A:$J,7,FALSE)</f>
        <v>No</v>
      </c>
      <c r="H1654" t="str">
        <f>VLOOKUP($A1654,'Medical Examinations'!$A:$J,8,FALSE)</f>
        <v>No</v>
      </c>
      <c r="I1654">
        <f>VLOOKUP($A1654,'Medical Examinations'!$A:$J,9,FALSE)</f>
        <v>0</v>
      </c>
      <c r="J1654" t="str">
        <f>VLOOKUP($A1654,'Medical Examinations'!$A:$J,10,FALSE)</f>
        <v>No</v>
      </c>
      <c r="K1654" t="str">
        <f>VLOOKUP($A1654,'Medical Examinations'!$A:$J,5,FALSE)</f>
        <v>Normal</v>
      </c>
      <c r="L1654">
        <f>VLOOKUP($A1655,'Medical Examinations'!$A:$J,3,FALSE)</f>
        <v>30.95</v>
      </c>
      <c r="N1654" s="11">
        <f>VLOOKUP($B1654,'Hospitalisation Details'!A1653:J3997,10,0)</f>
        <v>29148</v>
      </c>
      <c r="O1654" t="str">
        <f>VLOOKUP($B1654,'Hospitalisation Details'!A1653:J3997,8,0)</f>
        <v>tier - 2</v>
      </c>
      <c r="P1654" t="str">
        <f>VLOOKUP($B1654,'Hospitalisation Details'!A1653:J3997,7,0)</f>
        <v>tier - 2</v>
      </c>
      <c r="Q1654" t="str">
        <f>VLOOKUP($B1654,'Hospitalisation Details'!A1653:J3997,9,0)</f>
        <v>R1013</v>
      </c>
      <c r="R1654">
        <f>VLOOKUP($B1654,'Hospitalisation Details'!A1653:K3997,11,0)</f>
        <v>43</v>
      </c>
    </row>
    <row r="1655" spans="1:18" x14ac:dyDescent="0.35">
      <c r="A1655" t="s">
        <v>717</v>
      </c>
      <c r="B1655" t="s">
        <v>1686</v>
      </c>
      <c r="C1655" t="str">
        <f>VLOOKUP($A1655,'Customer Names'!$A:$E,4,FALSE)</f>
        <v>Nicholas G</v>
      </c>
      <c r="D1655" t="str">
        <f>VLOOKUP($A1655,'Medical Examinations'!$A:$J,2,FALSE)</f>
        <v>Obesity</v>
      </c>
      <c r="E1655">
        <f>VLOOKUP($A1655,'Medical Examinations'!$A:$J,4,FALSE)</f>
        <v>6.27</v>
      </c>
      <c r="F1655" t="str">
        <f>VLOOKUP($A1655,'Medical Examinations'!$A:$J,6,FALSE)</f>
        <v>No</v>
      </c>
      <c r="G1655" t="str">
        <f>VLOOKUP($A1655,'Medical Examinations'!$A:$J,7,FALSE)</f>
        <v>No</v>
      </c>
      <c r="H1655" t="str">
        <f>VLOOKUP($A1655,'Medical Examinations'!$A:$J,8,FALSE)</f>
        <v>Yes</v>
      </c>
      <c r="I1655">
        <f>VLOOKUP($A1655,'Medical Examinations'!$A:$J,9,FALSE)</f>
        <v>1</v>
      </c>
      <c r="J1655" t="str">
        <f>VLOOKUP($A1655,'Medical Examinations'!$A:$J,10,FALSE)</f>
        <v>No</v>
      </c>
      <c r="K1655" t="str">
        <f>VLOOKUP($A1655,'Medical Examinations'!$A:$J,5,FALSE)</f>
        <v>Prediabetes</v>
      </c>
      <c r="L1655">
        <f>VLOOKUP($A1656,'Medical Examinations'!$A:$J,3,FALSE)</f>
        <v>19.95</v>
      </c>
      <c r="N1655" s="11">
        <f>VLOOKUP($B1655,'Hospitalisation Details'!A1654:J3998,10,0)</f>
        <v>32711</v>
      </c>
      <c r="O1655" t="str">
        <f>VLOOKUP($B1655,'Hospitalisation Details'!A1654:J3998,8,0)</f>
        <v>tier - 3</v>
      </c>
      <c r="P1655" t="str">
        <f>VLOOKUP($B1655,'Hospitalisation Details'!A1654:J3998,7,0)</f>
        <v>tier - 2</v>
      </c>
      <c r="Q1655" t="str">
        <f>VLOOKUP($B1655,'Hospitalisation Details'!A1654:J3998,9,0)</f>
        <v>R1012</v>
      </c>
      <c r="R1655">
        <f>VLOOKUP($B1655,'Hospitalisation Details'!A1654:K3998,11,0)</f>
        <v>33</v>
      </c>
    </row>
    <row r="1656" spans="1:18" x14ac:dyDescent="0.35">
      <c r="A1656" t="s">
        <v>716</v>
      </c>
      <c r="B1656" t="s">
        <v>1687</v>
      </c>
      <c r="C1656" t="str">
        <f>VLOOKUP($A1656,'Customer Names'!$A:$E,4,FALSE)</f>
        <v>Vasilis S</v>
      </c>
      <c r="D1656" t="str">
        <f>VLOOKUP($A1656,'Medical Examinations'!$A:$J,2,FALSE)</f>
        <v>Normal Weight</v>
      </c>
      <c r="E1656">
        <f>VLOOKUP($A1656,'Medical Examinations'!$A:$J,4,FALSE)</f>
        <v>5.39</v>
      </c>
      <c r="F1656" t="str">
        <f>VLOOKUP($A1656,'Medical Examinations'!$A:$J,6,FALSE)</f>
        <v>No</v>
      </c>
      <c r="G1656" t="str">
        <f>VLOOKUP($A1656,'Medical Examinations'!$A:$J,7,FALSE)</f>
        <v>No</v>
      </c>
      <c r="H1656" t="str">
        <f>VLOOKUP($A1656,'Medical Examinations'!$A:$J,8,FALSE)</f>
        <v>No</v>
      </c>
      <c r="I1656">
        <f>VLOOKUP($A1656,'Medical Examinations'!$A:$J,9,FALSE)</f>
        <v>1</v>
      </c>
      <c r="J1656" t="str">
        <f>VLOOKUP($A1656,'Medical Examinations'!$A:$J,10,FALSE)</f>
        <v>No</v>
      </c>
      <c r="K1656" t="str">
        <f>VLOOKUP($A1656,'Medical Examinations'!$A:$J,5,FALSE)</f>
        <v>Normal</v>
      </c>
      <c r="L1656">
        <f>VLOOKUP($A1657,'Medical Examinations'!$A:$J,3,FALSE)</f>
        <v>23.65</v>
      </c>
      <c r="N1656" s="11">
        <f>VLOOKUP($B1656,'Hospitalisation Details'!A1655:J3999,10,0)</f>
        <v>32703</v>
      </c>
      <c r="O1656" t="str">
        <f>VLOOKUP($B1656,'Hospitalisation Details'!A1655:J3999,8,0)</f>
        <v>tier - 3</v>
      </c>
      <c r="P1656" t="str">
        <f>VLOOKUP($B1656,'Hospitalisation Details'!A1655:J3999,7,0)</f>
        <v>tier - 2</v>
      </c>
      <c r="Q1656" t="str">
        <f>VLOOKUP($B1656,'Hospitalisation Details'!A1655:J3999,9,0)</f>
        <v>R1011</v>
      </c>
      <c r="R1656">
        <f>VLOOKUP($B1656,'Hospitalisation Details'!A1655:K3999,11,0)</f>
        <v>33</v>
      </c>
    </row>
    <row r="1657" spans="1:18" x14ac:dyDescent="0.35">
      <c r="A1657" t="s">
        <v>715</v>
      </c>
      <c r="B1657" t="s">
        <v>1688</v>
      </c>
      <c r="C1657" t="str">
        <f>VLOOKUP($A1657,'Customer Names'!$A:$E,4,FALSE)</f>
        <v>Michael P</v>
      </c>
      <c r="D1657" t="str">
        <f>VLOOKUP($A1657,'Medical Examinations'!$A:$J,2,FALSE)</f>
        <v>Normal Weight</v>
      </c>
      <c r="E1657">
        <f>VLOOKUP($A1657,'Medical Examinations'!$A:$J,4,FALSE)</f>
        <v>5.75</v>
      </c>
      <c r="F1657" t="str">
        <f>VLOOKUP($A1657,'Medical Examinations'!$A:$J,6,FALSE)</f>
        <v>yes</v>
      </c>
      <c r="G1657" t="str">
        <f>VLOOKUP($A1657,'Medical Examinations'!$A:$J,7,FALSE)</f>
        <v>No</v>
      </c>
      <c r="H1657" t="str">
        <f>VLOOKUP($A1657,'Medical Examinations'!$A:$J,8,FALSE)</f>
        <v>No</v>
      </c>
      <c r="I1657">
        <f>VLOOKUP($A1657,'Medical Examinations'!$A:$J,9,FALSE)</f>
        <v>0</v>
      </c>
      <c r="J1657" t="str">
        <f>VLOOKUP($A1657,'Medical Examinations'!$A:$J,10,FALSE)</f>
        <v>No</v>
      </c>
      <c r="K1657" t="str">
        <f>VLOOKUP($A1657,'Medical Examinations'!$A:$J,5,FALSE)</f>
        <v>Prediabetes</v>
      </c>
      <c r="L1657">
        <f>VLOOKUP($A1658,'Medical Examinations'!$A:$J,3,FALSE)</f>
        <v>43.34</v>
      </c>
      <c r="N1657" s="11">
        <f>VLOOKUP($B1657,'Hospitalisation Details'!A1656:J4000,10,0)</f>
        <v>36050</v>
      </c>
      <c r="O1657" t="str">
        <f>VLOOKUP($B1657,'Hospitalisation Details'!A1656:J4000,8,0)</f>
        <v>tier - 1</v>
      </c>
      <c r="P1657" t="str">
        <f>VLOOKUP($B1657,'Hospitalisation Details'!A1656:J4000,7,0)</f>
        <v>tier - 2</v>
      </c>
      <c r="Q1657" t="str">
        <f>VLOOKUP($B1657,'Hospitalisation Details'!A1656:J4000,9,0)</f>
        <v>R1024</v>
      </c>
      <c r="R1657">
        <f>VLOOKUP($B1657,'Hospitalisation Details'!A1656:K4000,11,0)</f>
        <v>24</v>
      </c>
    </row>
    <row r="1658" spans="1:18" x14ac:dyDescent="0.35">
      <c r="A1658" t="s">
        <v>714</v>
      </c>
      <c r="B1658" t="s">
        <v>1689</v>
      </c>
      <c r="C1658" t="str">
        <f>VLOOKUP($A1658,'Customer Names'!$A:$E,4,FALSE)</f>
        <v>Colleen C.</v>
      </c>
      <c r="D1658" t="str">
        <f>VLOOKUP($A1658,'Medical Examinations'!$A:$J,2,FALSE)</f>
        <v>Obesity</v>
      </c>
      <c r="E1658">
        <f>VLOOKUP($A1658,'Medical Examinations'!$A:$J,4,FALSE)</f>
        <v>4.91</v>
      </c>
      <c r="F1658" t="str">
        <f>VLOOKUP($A1658,'Medical Examinations'!$A:$J,6,FALSE)</f>
        <v>No</v>
      </c>
      <c r="G1658" t="str">
        <f>VLOOKUP($A1658,'Medical Examinations'!$A:$J,7,FALSE)</f>
        <v>No</v>
      </c>
      <c r="H1658" t="str">
        <f>VLOOKUP($A1658,'Medical Examinations'!$A:$J,8,FALSE)</f>
        <v>No</v>
      </c>
      <c r="I1658">
        <f>VLOOKUP($A1658,'Medical Examinations'!$A:$J,9,FALSE)</f>
        <v>1</v>
      </c>
      <c r="J1658" t="str">
        <f>VLOOKUP($A1658,'Medical Examinations'!$A:$J,10,FALSE)</f>
        <v>No</v>
      </c>
      <c r="K1658" t="str">
        <f>VLOOKUP($A1658,'Medical Examinations'!$A:$J,5,FALSE)</f>
        <v>Normal</v>
      </c>
      <c r="L1658">
        <f>VLOOKUP($A1659,'Medical Examinations'!$A:$J,3,FALSE)</f>
        <v>31.98</v>
      </c>
      <c r="N1658" s="11">
        <f>VLOOKUP($B1658,'Hospitalisation Details'!A1657:J4001,10,0)</f>
        <v>22983</v>
      </c>
      <c r="O1658" t="str">
        <f>VLOOKUP($B1658,'Hospitalisation Details'!A1657:J4001,8,0)</f>
        <v>tier - 1</v>
      </c>
      <c r="P1658" t="str">
        <f>VLOOKUP($B1658,'Hospitalisation Details'!A1657:J4001,7,0)</f>
        <v>tier - 2</v>
      </c>
      <c r="Q1658" t="str">
        <f>VLOOKUP($B1658,'Hospitalisation Details'!A1657:J4001,9,0)</f>
        <v>R1025</v>
      </c>
      <c r="R1658">
        <f>VLOOKUP($B1658,'Hospitalisation Details'!A1657:K4001,11,0)</f>
        <v>60</v>
      </c>
    </row>
    <row r="1659" spans="1:18" x14ac:dyDescent="0.35">
      <c r="A1659" t="s">
        <v>713</v>
      </c>
      <c r="B1659" t="s">
        <v>1690</v>
      </c>
      <c r="C1659" t="str">
        <f>VLOOKUP($A1659,'Customer Names'!$A:$E,4,FALSE)</f>
        <v>Annika</v>
      </c>
      <c r="D1659" t="str">
        <f>VLOOKUP($A1659,'Medical Examinations'!$A:$J,2,FALSE)</f>
        <v>Obesity</v>
      </c>
      <c r="E1659">
        <f>VLOOKUP($A1659,'Medical Examinations'!$A:$J,4,FALSE)</f>
        <v>4.46</v>
      </c>
      <c r="F1659" t="str">
        <f>VLOOKUP($A1659,'Medical Examinations'!$A:$J,6,FALSE)</f>
        <v>yes</v>
      </c>
      <c r="G1659" t="str">
        <f>VLOOKUP($A1659,'Medical Examinations'!$A:$J,7,FALSE)</f>
        <v>No</v>
      </c>
      <c r="H1659" t="str">
        <f>VLOOKUP($A1659,'Medical Examinations'!$A:$J,8,FALSE)</f>
        <v>No</v>
      </c>
      <c r="I1659">
        <f>VLOOKUP($A1659,'Medical Examinations'!$A:$J,9,FALSE)</f>
        <v>1</v>
      </c>
      <c r="J1659" t="str">
        <f>VLOOKUP($A1659,'Medical Examinations'!$A:$J,10,FALSE)</f>
        <v>No</v>
      </c>
      <c r="K1659" t="str">
        <f>VLOOKUP($A1659,'Medical Examinations'!$A:$J,5,FALSE)</f>
        <v>Normal</v>
      </c>
      <c r="L1659">
        <f>VLOOKUP($A1660,'Medical Examinations'!$A:$J,3,FALSE)</f>
        <v>35.86</v>
      </c>
      <c r="N1659" s="11">
        <f>VLOOKUP($B1659,'Hospitalisation Details'!A1658:J4002,10,0)</f>
        <v>23298</v>
      </c>
      <c r="O1659" t="str">
        <f>VLOOKUP($B1659,'Hospitalisation Details'!A1658:J4002,8,0)</f>
        <v>tier - 1</v>
      </c>
      <c r="P1659" t="str">
        <f>VLOOKUP($B1659,'Hospitalisation Details'!A1658:J4002,7,0)</f>
        <v>tier - 2</v>
      </c>
      <c r="Q1659" t="str">
        <f>VLOOKUP($B1659,'Hospitalisation Details'!A1658:J4002,9,0)</f>
        <v>R1024</v>
      </c>
      <c r="R1659">
        <f>VLOOKUP($B1659,'Hospitalisation Details'!A1658:K4002,11,0)</f>
        <v>59</v>
      </c>
    </row>
    <row r="1660" spans="1:18" x14ac:dyDescent="0.35">
      <c r="A1660" t="s">
        <v>712</v>
      </c>
      <c r="B1660" t="s">
        <v>1691</v>
      </c>
      <c r="C1660" t="str">
        <f>VLOOKUP($A1660,'Customer Names'!$A:$E,4,FALSE)</f>
        <v>Kelly</v>
      </c>
      <c r="D1660" t="str">
        <f>VLOOKUP($A1660,'Medical Examinations'!$A:$J,2,FALSE)</f>
        <v>Obesity</v>
      </c>
      <c r="E1660">
        <f>VLOOKUP($A1660,'Medical Examinations'!$A:$J,4,FALSE)</f>
        <v>6.22</v>
      </c>
      <c r="F1660" t="str">
        <f>VLOOKUP($A1660,'Medical Examinations'!$A:$J,6,FALSE)</f>
        <v>No</v>
      </c>
      <c r="G1660" t="str">
        <f>VLOOKUP($A1660,'Medical Examinations'!$A:$J,7,FALSE)</f>
        <v>No</v>
      </c>
      <c r="H1660" t="str">
        <f>VLOOKUP($A1660,'Medical Examinations'!$A:$J,8,FALSE)</f>
        <v>No</v>
      </c>
      <c r="I1660">
        <f>VLOOKUP($A1660,'Medical Examinations'!$A:$J,9,FALSE)</f>
        <v>1</v>
      </c>
      <c r="J1660" t="str">
        <f>VLOOKUP($A1660,'Medical Examinations'!$A:$J,10,FALSE)</f>
        <v>No</v>
      </c>
      <c r="K1660" t="str">
        <f>VLOOKUP($A1660,'Medical Examinations'!$A:$J,5,FALSE)</f>
        <v>Prediabetes</v>
      </c>
      <c r="L1660">
        <f>VLOOKUP($A1661,'Medical Examinations'!$A:$J,3,FALSE)</f>
        <v>15.2</v>
      </c>
      <c r="N1660" s="11">
        <f>VLOOKUP($B1660,'Hospitalisation Details'!A1659:J4003,10,0)</f>
        <v>24671</v>
      </c>
      <c r="O1660" t="str">
        <f>VLOOKUP($B1660,'Hospitalisation Details'!A1659:J4003,8,0)</f>
        <v>tier - 3</v>
      </c>
      <c r="P1660" t="str">
        <f>VLOOKUP($B1660,'Hospitalisation Details'!A1659:J4003,7,0)</f>
        <v>tier - 2</v>
      </c>
      <c r="Q1660" t="str">
        <f>VLOOKUP($B1660,'Hospitalisation Details'!A1659:J4003,9,0)</f>
        <v>R1022</v>
      </c>
      <c r="R1660">
        <f>VLOOKUP($B1660,'Hospitalisation Details'!A1659:K4003,11,0)</f>
        <v>55</v>
      </c>
    </row>
    <row r="1661" spans="1:18" x14ac:dyDescent="0.35">
      <c r="A1661" t="s">
        <v>711</v>
      </c>
      <c r="B1661" t="s">
        <v>1692</v>
      </c>
      <c r="C1661" t="str">
        <f>VLOOKUP($A1661,'Customer Names'!$A:$E,4,FALSE)</f>
        <v>Nicholas C.</v>
      </c>
      <c r="D1661" t="str">
        <f>VLOOKUP($A1661,'Medical Examinations'!$A:$J,2,FALSE)</f>
        <v>Underweight</v>
      </c>
      <c r="E1661">
        <f>VLOOKUP($A1661,'Medical Examinations'!$A:$J,4,FALSE)</f>
        <v>8.82</v>
      </c>
      <c r="F1661" t="str">
        <f>VLOOKUP($A1661,'Medical Examinations'!$A:$J,6,FALSE)</f>
        <v>No</v>
      </c>
      <c r="G1661" t="str">
        <f>VLOOKUP($A1661,'Medical Examinations'!$A:$J,7,FALSE)</f>
        <v>No</v>
      </c>
      <c r="H1661" t="str">
        <f>VLOOKUP($A1661,'Medical Examinations'!$A:$J,8,FALSE)</f>
        <v>No</v>
      </c>
      <c r="I1661">
        <f>VLOOKUP($A1661,'Medical Examinations'!$A:$J,9,FALSE)</f>
        <v>0</v>
      </c>
      <c r="J1661" t="str">
        <f>VLOOKUP($A1661,'Medical Examinations'!$A:$J,10,FALSE)</f>
        <v>No</v>
      </c>
      <c r="K1661" t="str">
        <f>VLOOKUP($A1661,'Medical Examinations'!$A:$J,5,FALSE)</f>
        <v>Diabetes</v>
      </c>
      <c r="L1661">
        <f>VLOOKUP($A1662,'Medical Examinations'!$A:$J,3,FALSE)</f>
        <v>37.200000000000003</v>
      </c>
      <c r="N1661" s="11">
        <f>VLOOKUP($B1661,'Hospitalisation Details'!A1660:J4004,10,0)</f>
        <v>24054</v>
      </c>
      <c r="O1661" t="str">
        <f>VLOOKUP($B1661,'Hospitalisation Details'!A1660:J4004,8,0)</f>
        <v>tier - 3</v>
      </c>
      <c r="P1661" t="str">
        <f>VLOOKUP($B1661,'Hospitalisation Details'!A1660:J4004,7,0)</f>
        <v>tier - 2</v>
      </c>
      <c r="Q1661" t="str">
        <f>VLOOKUP($B1661,'Hospitalisation Details'!A1660:J4004,9,0)</f>
        <v>R1021</v>
      </c>
      <c r="R1661">
        <f>VLOOKUP($B1661,'Hospitalisation Details'!A1660:K4004,11,0)</f>
        <v>57</v>
      </c>
    </row>
    <row r="1662" spans="1:18" x14ac:dyDescent="0.35">
      <c r="A1662" t="s">
        <v>710</v>
      </c>
      <c r="B1662" t="s">
        <v>1693</v>
      </c>
      <c r="C1662" t="str">
        <f>VLOOKUP($A1662,'Customer Names'!$A:$E,4,FALSE)</f>
        <v>Kelly K</v>
      </c>
      <c r="D1662" t="str">
        <f>VLOOKUP($A1662,'Medical Examinations'!$A:$J,2,FALSE)</f>
        <v>Obesity</v>
      </c>
      <c r="E1662">
        <f>VLOOKUP($A1662,'Medical Examinations'!$A:$J,4,FALSE)</f>
        <v>10.14</v>
      </c>
      <c r="F1662" t="str">
        <f>VLOOKUP($A1662,'Medical Examinations'!$A:$J,6,FALSE)</f>
        <v>No</v>
      </c>
      <c r="G1662" t="str">
        <f>VLOOKUP($A1662,'Medical Examinations'!$A:$J,7,FALSE)</f>
        <v>No</v>
      </c>
      <c r="H1662" t="str">
        <f>VLOOKUP($A1662,'Medical Examinations'!$A:$J,8,FALSE)</f>
        <v>No</v>
      </c>
      <c r="I1662">
        <f>VLOOKUP($A1662,'Medical Examinations'!$A:$J,9,FALSE)</f>
        <v>0</v>
      </c>
      <c r="J1662" t="str">
        <f>VLOOKUP($A1662,'Medical Examinations'!$A:$J,10,FALSE)</f>
        <v>No</v>
      </c>
      <c r="K1662" t="str">
        <f>VLOOKUP($A1662,'Medical Examinations'!$A:$J,5,FALSE)</f>
        <v>Diabetes</v>
      </c>
      <c r="L1662">
        <f>VLOOKUP($A1663,'Medical Examinations'!$A:$J,3,FALSE)</f>
        <v>17.91</v>
      </c>
      <c r="N1662" s="11">
        <f>VLOOKUP($B1662,'Hospitalisation Details'!A1661:J4005,10,0)</f>
        <v>33471</v>
      </c>
      <c r="O1662" t="str">
        <f>VLOOKUP($B1662,'Hospitalisation Details'!A1661:J4005,8,0)</f>
        <v>tier - 3</v>
      </c>
      <c r="P1662" t="str">
        <f>VLOOKUP($B1662,'Hospitalisation Details'!A1661:J4005,7,0)</f>
        <v>tier - 2</v>
      </c>
      <c r="Q1662" t="str">
        <f>VLOOKUP($B1662,'Hospitalisation Details'!A1661:J4005,9,0)</f>
        <v>R1011</v>
      </c>
      <c r="R1662">
        <f>VLOOKUP($B1662,'Hospitalisation Details'!A1661:K4005,11,0)</f>
        <v>31</v>
      </c>
    </row>
    <row r="1663" spans="1:18" x14ac:dyDescent="0.35">
      <c r="A1663" t="s">
        <v>709</v>
      </c>
      <c r="B1663" t="s">
        <v>1694</v>
      </c>
      <c r="C1663" t="str">
        <f>VLOOKUP($A1663,'Customer Names'!$A:$E,4,FALSE)</f>
        <v>Andrew</v>
      </c>
      <c r="D1663" t="str">
        <f>VLOOKUP($A1663,'Medical Examinations'!$A:$J,2,FALSE)</f>
        <v>Underweight</v>
      </c>
      <c r="E1663">
        <f>VLOOKUP($A1663,'Medical Examinations'!$A:$J,4,FALSE)</f>
        <v>4.66</v>
      </c>
      <c r="F1663" t="str">
        <f>VLOOKUP($A1663,'Medical Examinations'!$A:$J,6,FALSE)</f>
        <v>No</v>
      </c>
      <c r="G1663" t="str">
        <f>VLOOKUP($A1663,'Medical Examinations'!$A:$J,7,FALSE)</f>
        <v>No</v>
      </c>
      <c r="H1663" t="str">
        <f>VLOOKUP($A1663,'Medical Examinations'!$A:$J,8,FALSE)</f>
        <v>No</v>
      </c>
      <c r="I1663">
        <f>VLOOKUP($A1663,'Medical Examinations'!$A:$J,9,FALSE)</f>
        <v>2</v>
      </c>
      <c r="J1663" t="str">
        <f>VLOOKUP($A1663,'Medical Examinations'!$A:$J,10,FALSE)</f>
        <v>No</v>
      </c>
      <c r="K1663" t="str">
        <f>VLOOKUP($A1663,'Medical Examinations'!$A:$J,5,FALSE)</f>
        <v>Normal</v>
      </c>
      <c r="L1663">
        <f>VLOOKUP($A1664,'Medical Examinations'!$A:$J,3,FALSE)</f>
        <v>20.76</v>
      </c>
      <c r="N1663" s="11">
        <f>VLOOKUP($B1663,'Hospitalisation Details'!A1662:J4006,10,0)</f>
        <v>24716</v>
      </c>
      <c r="O1663" t="str">
        <f>VLOOKUP($B1663,'Hospitalisation Details'!A1662:J4006,8,0)</f>
        <v>tier - 3</v>
      </c>
      <c r="P1663" t="str">
        <f>VLOOKUP($B1663,'Hospitalisation Details'!A1662:J4006,7,0)</f>
        <v>tier - 2</v>
      </c>
      <c r="Q1663" t="str">
        <f>VLOOKUP($B1663,'Hospitalisation Details'!A1662:J4006,9,0)</f>
        <v>R1026</v>
      </c>
      <c r="R1663">
        <f>VLOOKUP($B1663,'Hospitalisation Details'!A1662:K4006,11,0)</f>
        <v>55</v>
      </c>
    </row>
    <row r="1664" spans="1:18" x14ac:dyDescent="0.35">
      <c r="A1664" t="s">
        <v>708</v>
      </c>
      <c r="B1664" t="s">
        <v>1695</v>
      </c>
      <c r="C1664" t="str">
        <f>VLOOKUP($A1664,'Customer Names'!$A:$E,4,FALSE)</f>
        <v>Hannah</v>
      </c>
      <c r="D1664" t="str">
        <f>VLOOKUP($A1664,'Medical Examinations'!$A:$J,2,FALSE)</f>
        <v>Normal Weight</v>
      </c>
      <c r="E1664">
        <f>VLOOKUP($A1664,'Medical Examinations'!$A:$J,4,FALSE)</f>
        <v>6.26</v>
      </c>
      <c r="F1664" t="str">
        <f>VLOOKUP($A1664,'Medical Examinations'!$A:$J,6,FALSE)</f>
        <v>No</v>
      </c>
      <c r="G1664" t="str">
        <f>VLOOKUP($A1664,'Medical Examinations'!$A:$J,7,FALSE)</f>
        <v>No</v>
      </c>
      <c r="H1664" t="str">
        <f>VLOOKUP($A1664,'Medical Examinations'!$A:$J,8,FALSE)</f>
        <v>No</v>
      </c>
      <c r="I1664">
        <f>VLOOKUP($A1664,'Medical Examinations'!$A:$J,9,FALSE)</f>
        <v>0</v>
      </c>
      <c r="J1664" t="str">
        <f>VLOOKUP($A1664,'Medical Examinations'!$A:$J,10,FALSE)</f>
        <v>No</v>
      </c>
      <c r="K1664" t="str">
        <f>VLOOKUP($A1664,'Medical Examinations'!$A:$J,5,FALSE)</f>
        <v>Prediabetes</v>
      </c>
      <c r="L1664">
        <f>VLOOKUP($A1665,'Medical Examinations'!$A:$J,3,FALSE)</f>
        <v>38.99</v>
      </c>
      <c r="N1664" s="11">
        <f>VLOOKUP($B1664,'Hospitalisation Details'!A1663:J4007,10,0)</f>
        <v>29903</v>
      </c>
      <c r="O1664" t="str">
        <f>VLOOKUP($B1664,'Hospitalisation Details'!A1663:J4007,8,0)</f>
        <v>tier - 1</v>
      </c>
      <c r="P1664" t="str">
        <f>VLOOKUP($B1664,'Hospitalisation Details'!A1663:J4007,7,0)</f>
        <v>tier - 2</v>
      </c>
      <c r="Q1664" t="str">
        <f>VLOOKUP($B1664,'Hospitalisation Details'!A1663:J4007,9,0)</f>
        <v>R1012</v>
      </c>
      <c r="R1664">
        <f>VLOOKUP($B1664,'Hospitalisation Details'!A1663:K4007,11,0)</f>
        <v>41</v>
      </c>
    </row>
    <row r="1665" spans="1:18" x14ac:dyDescent="0.35">
      <c r="A1665" t="s">
        <v>707</v>
      </c>
      <c r="B1665" t="s">
        <v>1696</v>
      </c>
      <c r="C1665" t="str">
        <f>VLOOKUP($A1665,'Customer Names'!$A:$E,4,FALSE)</f>
        <v>Patricio Sr.</v>
      </c>
      <c r="D1665" t="str">
        <f>VLOOKUP($A1665,'Medical Examinations'!$A:$J,2,FALSE)</f>
        <v>Obesity</v>
      </c>
      <c r="E1665">
        <f>VLOOKUP($A1665,'Medical Examinations'!$A:$J,4,FALSE)</f>
        <v>5.21</v>
      </c>
      <c r="F1665" t="str">
        <f>VLOOKUP($A1665,'Medical Examinations'!$A:$J,6,FALSE)</f>
        <v>No</v>
      </c>
      <c r="G1665" t="str">
        <f>VLOOKUP($A1665,'Medical Examinations'!$A:$J,7,FALSE)</f>
        <v>yes</v>
      </c>
      <c r="H1665" t="str">
        <f>VLOOKUP($A1665,'Medical Examinations'!$A:$J,8,FALSE)</f>
        <v>No</v>
      </c>
      <c r="I1665">
        <f>VLOOKUP($A1665,'Medical Examinations'!$A:$J,9,FALSE)</f>
        <v>1</v>
      </c>
      <c r="J1665" t="str">
        <f>VLOOKUP($A1665,'Medical Examinations'!$A:$J,10,FALSE)</f>
        <v>No</v>
      </c>
      <c r="K1665" t="str">
        <f>VLOOKUP($A1665,'Medical Examinations'!$A:$J,5,FALSE)</f>
        <v>Normal</v>
      </c>
      <c r="L1665">
        <f>VLOOKUP($A1666,'Medical Examinations'!$A:$J,3,FALSE)</f>
        <v>42.655000000000001</v>
      </c>
      <c r="N1665" s="11">
        <f>VLOOKUP($B1665,'Hospitalisation Details'!A1664:J4008,10,0)</f>
        <v>25496</v>
      </c>
      <c r="O1665" t="str">
        <f>VLOOKUP($B1665,'Hospitalisation Details'!A1664:J4008,8,0)</f>
        <v>tier - 1</v>
      </c>
      <c r="P1665" t="str">
        <f>VLOOKUP($B1665,'Hospitalisation Details'!A1664:J4008,7,0)</f>
        <v>tier - 2</v>
      </c>
      <c r="Q1665" t="str">
        <f>VLOOKUP($B1665,'Hospitalisation Details'!A1664:J4008,9,0)</f>
        <v>R1012</v>
      </c>
      <c r="R1665">
        <f>VLOOKUP($B1665,'Hospitalisation Details'!A1664:K4008,11,0)</f>
        <v>53</v>
      </c>
    </row>
    <row r="1666" spans="1:18" x14ac:dyDescent="0.35">
      <c r="A1666" t="s">
        <v>706</v>
      </c>
      <c r="B1666" t="s">
        <v>1697</v>
      </c>
      <c r="C1666" t="str">
        <f>VLOOKUP($A1666,'Customer Names'!$A:$E,4,FALSE)</f>
        <v>Robert B</v>
      </c>
      <c r="D1666" t="str">
        <f>VLOOKUP($A1666,'Medical Examinations'!$A:$J,2,FALSE)</f>
        <v>Obesity</v>
      </c>
      <c r="E1666">
        <f>VLOOKUP($A1666,'Medical Examinations'!$A:$J,4,FALSE)</f>
        <v>5.94</v>
      </c>
      <c r="F1666" t="str">
        <f>VLOOKUP($A1666,'Medical Examinations'!$A:$J,6,FALSE)</f>
        <v>yes</v>
      </c>
      <c r="G1666" t="str">
        <f>VLOOKUP($A1666,'Medical Examinations'!$A:$J,7,FALSE)</f>
        <v>No</v>
      </c>
      <c r="H1666" t="str">
        <f>VLOOKUP($A1666,'Medical Examinations'!$A:$J,8,FALSE)</f>
        <v>Yes</v>
      </c>
      <c r="I1666">
        <f>VLOOKUP($A1666,'Medical Examinations'!$A:$J,9,FALSE)</f>
        <v>1</v>
      </c>
      <c r="J1666" t="str">
        <f>VLOOKUP($A1666,'Medical Examinations'!$A:$J,10,FALSE)</f>
        <v>No</v>
      </c>
      <c r="K1666" t="str">
        <f>VLOOKUP($A1666,'Medical Examinations'!$A:$J,5,FALSE)</f>
        <v>Prediabetes</v>
      </c>
      <c r="L1666">
        <f>VLOOKUP($A1667,'Medical Examinations'!$A:$J,3,FALSE)</f>
        <v>30.57</v>
      </c>
      <c r="N1666" s="11">
        <f>VLOOKUP($B1666,'Hospitalisation Details'!A1665:J4009,10,0)</f>
        <v>21389</v>
      </c>
      <c r="O1666" t="str">
        <f>VLOOKUP($B1666,'Hospitalisation Details'!A1665:J4009,8,0)</f>
        <v>tier - 1</v>
      </c>
      <c r="P1666" t="str">
        <f>VLOOKUP($B1666,'Hospitalisation Details'!A1665:J4009,7,0)</f>
        <v>tier - 2</v>
      </c>
      <c r="Q1666" t="str">
        <f>VLOOKUP($B1666,'Hospitalisation Details'!A1665:J4009,9,0)</f>
        <v>R1012</v>
      </c>
      <c r="R1666">
        <f>VLOOKUP($B1666,'Hospitalisation Details'!A1665:K4009,11,0)</f>
        <v>64</v>
      </c>
    </row>
    <row r="1667" spans="1:18" x14ac:dyDescent="0.35">
      <c r="A1667" t="s">
        <v>705</v>
      </c>
      <c r="B1667" t="s">
        <v>1698</v>
      </c>
      <c r="C1667" t="str">
        <f>VLOOKUP($A1667,'Customer Names'!$A:$E,4,FALSE)</f>
        <v>Benjamin M</v>
      </c>
      <c r="D1667" t="str">
        <f>VLOOKUP($A1667,'Medical Examinations'!$A:$J,2,FALSE)</f>
        <v>Obesity</v>
      </c>
      <c r="E1667">
        <f>VLOOKUP($A1667,'Medical Examinations'!$A:$J,4,FALSE)</f>
        <v>5.34</v>
      </c>
      <c r="F1667" t="str">
        <f>VLOOKUP($A1667,'Medical Examinations'!$A:$J,6,FALSE)</f>
        <v>No</v>
      </c>
      <c r="G1667" t="str">
        <f>VLOOKUP($A1667,'Medical Examinations'!$A:$J,7,FALSE)</f>
        <v>No</v>
      </c>
      <c r="H1667" t="str">
        <f>VLOOKUP($A1667,'Medical Examinations'!$A:$J,8,FALSE)</f>
        <v>Yes</v>
      </c>
      <c r="I1667">
        <f>VLOOKUP($A1667,'Medical Examinations'!$A:$J,9,FALSE)</f>
        <v>1</v>
      </c>
      <c r="J1667" t="str">
        <f>VLOOKUP($A1667,'Medical Examinations'!$A:$J,10,FALSE)</f>
        <v>No</v>
      </c>
      <c r="K1667" t="str">
        <f>VLOOKUP($A1667,'Medical Examinations'!$A:$J,5,FALSE)</f>
        <v>Normal</v>
      </c>
      <c r="L1667">
        <f>VLOOKUP($A1668,'Medical Examinations'!$A:$J,3,FALSE)</f>
        <v>17.7</v>
      </c>
      <c r="N1667" s="11">
        <f>VLOOKUP($B1667,'Hospitalisation Details'!A1666:J4010,10,0)</f>
        <v>30198</v>
      </c>
      <c r="O1667" t="str">
        <f>VLOOKUP($B1667,'Hospitalisation Details'!A1666:J4010,8,0)</f>
        <v>tier - 2</v>
      </c>
      <c r="P1667" t="str">
        <f>VLOOKUP($B1667,'Hospitalisation Details'!A1666:J4010,7,0)</f>
        <v>tier - 2</v>
      </c>
      <c r="Q1667" t="str">
        <f>VLOOKUP($B1667,'Hospitalisation Details'!A1666:J4010,9,0)</f>
        <v>R1011</v>
      </c>
      <c r="R1667">
        <f>VLOOKUP($B1667,'Hospitalisation Details'!A1666:K4010,11,0)</f>
        <v>40</v>
      </c>
    </row>
    <row r="1668" spans="1:18" x14ac:dyDescent="0.35">
      <c r="A1668" t="s">
        <v>704</v>
      </c>
      <c r="B1668" t="s">
        <v>1699</v>
      </c>
      <c r="C1668" t="str">
        <f>VLOOKUP($A1668,'Customer Names'!$A:$E,4,FALSE)</f>
        <v>Robert</v>
      </c>
      <c r="D1668" t="str">
        <f>VLOOKUP($A1668,'Medical Examinations'!$A:$J,2,FALSE)</f>
        <v>Underweight</v>
      </c>
      <c r="E1668">
        <f>VLOOKUP($A1668,'Medical Examinations'!$A:$J,4,FALSE)</f>
        <v>6.38</v>
      </c>
      <c r="F1668" t="str">
        <f>VLOOKUP($A1668,'Medical Examinations'!$A:$J,6,FALSE)</f>
        <v>No</v>
      </c>
      <c r="G1668" t="str">
        <f>VLOOKUP($A1668,'Medical Examinations'!$A:$J,7,FALSE)</f>
        <v>No</v>
      </c>
      <c r="H1668" t="str">
        <f>VLOOKUP($A1668,'Medical Examinations'!$A:$J,8,FALSE)</f>
        <v>No</v>
      </c>
      <c r="I1668">
        <f>VLOOKUP($A1668,'Medical Examinations'!$A:$J,9,FALSE)</f>
        <v>2</v>
      </c>
      <c r="J1668" t="str">
        <f>VLOOKUP($A1668,'Medical Examinations'!$A:$J,10,FALSE)</f>
        <v>No</v>
      </c>
      <c r="K1668" t="str">
        <f>VLOOKUP($A1668,'Medical Examinations'!$A:$J,5,FALSE)</f>
        <v>Prediabetes</v>
      </c>
      <c r="L1668">
        <f>VLOOKUP($A1669,'Medical Examinations'!$A:$J,3,FALSE)</f>
        <v>34.770000000000003</v>
      </c>
      <c r="N1668" s="11">
        <f>VLOOKUP($B1668,'Hospitalisation Details'!A1667:J4011,10,0)</f>
        <v>37523</v>
      </c>
      <c r="O1668" t="str">
        <f>VLOOKUP($B1668,'Hospitalisation Details'!A1667:J4011,8,0)</f>
        <v>tier - 2</v>
      </c>
      <c r="P1668" t="str">
        <f>VLOOKUP($B1668,'Hospitalisation Details'!A1667:J4011,7,0)</f>
        <v>tier - 2</v>
      </c>
      <c r="Q1668" t="str">
        <f>VLOOKUP($B1668,'Hospitalisation Details'!A1667:J4011,9,0)</f>
        <v>R1012</v>
      </c>
      <c r="R1668">
        <f>VLOOKUP($B1668,'Hospitalisation Details'!A1667:K4011,11,0)</f>
        <v>20</v>
      </c>
    </row>
    <row r="1669" spans="1:18" x14ac:dyDescent="0.35">
      <c r="A1669" t="s">
        <v>703</v>
      </c>
      <c r="B1669" t="s">
        <v>1700</v>
      </c>
      <c r="C1669" t="str">
        <f>VLOOKUP($A1669,'Customer Names'!$A:$E,4,FALSE)</f>
        <v>Eric R.</v>
      </c>
      <c r="D1669" t="str">
        <f>VLOOKUP($A1669,'Medical Examinations'!$A:$J,2,FALSE)</f>
        <v>Obesity</v>
      </c>
      <c r="E1669">
        <f>VLOOKUP($A1669,'Medical Examinations'!$A:$J,4,FALSE)</f>
        <v>4.47</v>
      </c>
      <c r="F1669" t="str">
        <f>VLOOKUP($A1669,'Medical Examinations'!$A:$J,6,FALSE)</f>
        <v>No</v>
      </c>
      <c r="G1669" t="str">
        <f>VLOOKUP($A1669,'Medical Examinations'!$A:$J,7,FALSE)</f>
        <v>No</v>
      </c>
      <c r="H1669" t="str">
        <f>VLOOKUP($A1669,'Medical Examinations'!$A:$J,8,FALSE)</f>
        <v>No</v>
      </c>
      <c r="I1669">
        <f>VLOOKUP($A1669,'Medical Examinations'!$A:$J,9,FALSE)</f>
        <v>1</v>
      </c>
      <c r="J1669" t="str">
        <f>VLOOKUP($A1669,'Medical Examinations'!$A:$J,10,FALSE)</f>
        <v>No</v>
      </c>
      <c r="K1669" t="str">
        <f>VLOOKUP($A1669,'Medical Examinations'!$A:$J,5,FALSE)</f>
        <v>Normal</v>
      </c>
      <c r="L1669">
        <f>VLOOKUP($A1670,'Medical Examinations'!$A:$J,3,FALSE)</f>
        <v>16.88</v>
      </c>
      <c r="N1669" s="11">
        <f>VLOOKUP($B1669,'Hospitalisation Details'!A1668:J4012,10,0)</f>
        <v>22856</v>
      </c>
      <c r="O1669" t="str">
        <f>VLOOKUP($B1669,'Hospitalisation Details'!A1668:J4012,8,0)</f>
        <v>tier - 3</v>
      </c>
      <c r="P1669" t="str">
        <f>VLOOKUP($B1669,'Hospitalisation Details'!A1668:J4012,7,0)</f>
        <v>tier - 2</v>
      </c>
      <c r="Q1669" t="str">
        <f>VLOOKUP($B1669,'Hospitalisation Details'!A1668:J4012,9,0)</f>
        <v>R1021</v>
      </c>
      <c r="R1669">
        <f>VLOOKUP($B1669,'Hospitalisation Details'!A1668:K4012,11,0)</f>
        <v>60</v>
      </c>
    </row>
    <row r="1670" spans="1:18" x14ac:dyDescent="0.35">
      <c r="A1670" t="s">
        <v>702</v>
      </c>
      <c r="B1670" t="s">
        <v>1701</v>
      </c>
      <c r="C1670" t="str">
        <f>VLOOKUP($A1670,'Customer Names'!$A:$E,4,FALSE)</f>
        <v>Matthew</v>
      </c>
      <c r="D1670" t="str">
        <f>VLOOKUP($A1670,'Medical Examinations'!$A:$J,2,FALSE)</f>
        <v>Underweight</v>
      </c>
      <c r="E1670">
        <f>VLOOKUP($A1670,'Medical Examinations'!$A:$J,4,FALSE)</f>
        <v>9.9600000000000009</v>
      </c>
      <c r="F1670" t="str">
        <f>VLOOKUP($A1670,'Medical Examinations'!$A:$J,6,FALSE)</f>
        <v>No</v>
      </c>
      <c r="G1670" t="str">
        <f>VLOOKUP($A1670,'Medical Examinations'!$A:$J,7,FALSE)</f>
        <v>No</v>
      </c>
      <c r="H1670" t="str">
        <f>VLOOKUP($A1670,'Medical Examinations'!$A:$J,8,FALSE)</f>
        <v>No</v>
      </c>
      <c r="I1670">
        <f>VLOOKUP($A1670,'Medical Examinations'!$A:$J,9,FALSE)</f>
        <v>0</v>
      </c>
      <c r="J1670" t="str">
        <f>VLOOKUP($A1670,'Medical Examinations'!$A:$J,10,FALSE)</f>
        <v>No</v>
      </c>
      <c r="K1670" t="str">
        <f>VLOOKUP($A1670,'Medical Examinations'!$A:$J,5,FALSE)</f>
        <v>Diabetes</v>
      </c>
      <c r="L1670">
        <f>VLOOKUP($A1671,'Medical Examinations'!$A:$J,3,FALSE)</f>
        <v>40.26</v>
      </c>
      <c r="N1670" s="11">
        <f>VLOOKUP($B1670,'Hospitalisation Details'!A1669:J4013,10,0)</f>
        <v>23950</v>
      </c>
      <c r="O1670" t="str">
        <f>VLOOKUP($B1670,'Hospitalisation Details'!A1669:J4013,8,0)</f>
        <v>tier - 2</v>
      </c>
      <c r="P1670" t="str">
        <f>VLOOKUP($B1670,'Hospitalisation Details'!A1669:J4013,7,0)</f>
        <v>tier - 2</v>
      </c>
      <c r="Q1670" t="str">
        <f>VLOOKUP($B1670,'Hospitalisation Details'!A1669:J4013,9,0)</f>
        <v>R1026</v>
      </c>
      <c r="R1670">
        <f>VLOOKUP($B1670,'Hospitalisation Details'!A1669:K4013,11,0)</f>
        <v>57</v>
      </c>
    </row>
    <row r="1671" spans="1:18" x14ac:dyDescent="0.35">
      <c r="A1671" t="s">
        <v>701</v>
      </c>
      <c r="B1671" t="s">
        <v>1702</v>
      </c>
      <c r="C1671" t="str">
        <f>VLOOKUP($A1671,'Customer Names'!$A:$E,4,FALSE)</f>
        <v>Bob R</v>
      </c>
      <c r="D1671" t="str">
        <f>VLOOKUP($A1671,'Medical Examinations'!$A:$J,2,FALSE)</f>
        <v>Obesity</v>
      </c>
      <c r="E1671">
        <f>VLOOKUP($A1671,'Medical Examinations'!$A:$J,4,FALSE)</f>
        <v>9.92</v>
      </c>
      <c r="F1671" t="str">
        <f>VLOOKUP($A1671,'Medical Examinations'!$A:$J,6,FALSE)</f>
        <v>yes</v>
      </c>
      <c r="G1671" t="str">
        <f>VLOOKUP($A1671,'Medical Examinations'!$A:$J,7,FALSE)</f>
        <v>No</v>
      </c>
      <c r="H1671" t="str">
        <f>VLOOKUP($A1671,'Medical Examinations'!$A:$J,8,FALSE)</f>
        <v>No</v>
      </c>
      <c r="I1671">
        <f>VLOOKUP($A1671,'Medical Examinations'!$A:$J,9,FALSE)</f>
        <v>0</v>
      </c>
      <c r="J1671" t="str">
        <f>VLOOKUP($A1671,'Medical Examinations'!$A:$J,10,FALSE)</f>
        <v>No</v>
      </c>
      <c r="K1671" t="str">
        <f>VLOOKUP($A1671,'Medical Examinations'!$A:$J,5,FALSE)</f>
        <v>Diabetes</v>
      </c>
      <c r="L1671">
        <f>VLOOKUP($A1672,'Medical Examinations'!$A:$J,3,FALSE)</f>
        <v>25.6</v>
      </c>
      <c r="N1671" s="11">
        <f>VLOOKUP($B1671,'Hospitalisation Details'!A1670:J4014,10,0)</f>
        <v>27738</v>
      </c>
      <c r="O1671" t="str">
        <f>VLOOKUP($B1671,'Hospitalisation Details'!A1670:J4014,8,0)</f>
        <v>tier - 3</v>
      </c>
      <c r="P1671" t="str">
        <f>VLOOKUP($B1671,'Hospitalisation Details'!A1670:J4014,7,0)</f>
        <v>tier - 2</v>
      </c>
      <c r="Q1671" t="str">
        <f>VLOOKUP($B1671,'Hospitalisation Details'!A1670:J4014,9,0)</f>
        <v>R1023</v>
      </c>
      <c r="R1671">
        <f>VLOOKUP($B1671,'Hospitalisation Details'!A1670:K4014,11,0)</f>
        <v>47</v>
      </c>
    </row>
    <row r="1672" spans="1:18" x14ac:dyDescent="0.35">
      <c r="A1672" t="s">
        <v>700</v>
      </c>
      <c r="B1672" t="s">
        <v>1703</v>
      </c>
      <c r="C1672" t="str">
        <f>VLOOKUP($A1672,'Customer Names'!$A:$E,4,FALSE)</f>
        <v>Stephanie J.</v>
      </c>
      <c r="D1672" t="str">
        <f>VLOOKUP($A1672,'Medical Examinations'!$A:$J,2,FALSE)</f>
        <v>Overweight</v>
      </c>
      <c r="E1672">
        <f>VLOOKUP($A1672,'Medical Examinations'!$A:$J,4,FALSE)</f>
        <v>6.03</v>
      </c>
      <c r="F1672" t="str">
        <f>VLOOKUP($A1672,'Medical Examinations'!$A:$J,6,FALSE)</f>
        <v>No</v>
      </c>
      <c r="G1672" t="str">
        <f>VLOOKUP($A1672,'Medical Examinations'!$A:$J,7,FALSE)</f>
        <v>No</v>
      </c>
      <c r="H1672" t="str">
        <f>VLOOKUP($A1672,'Medical Examinations'!$A:$J,8,FALSE)</f>
        <v>Yes</v>
      </c>
      <c r="I1672">
        <f>VLOOKUP($A1672,'Medical Examinations'!$A:$J,9,FALSE)</f>
        <v>1</v>
      </c>
      <c r="J1672" t="str">
        <f>VLOOKUP($A1672,'Medical Examinations'!$A:$J,10,FALSE)</f>
        <v>No</v>
      </c>
      <c r="K1672" t="str">
        <f>VLOOKUP($A1672,'Medical Examinations'!$A:$J,5,FALSE)</f>
        <v>Prediabetes</v>
      </c>
      <c r="L1672">
        <f>VLOOKUP($A1673,'Medical Examinations'!$A:$J,3,FALSE)</f>
        <v>33.549999999999997</v>
      </c>
      <c r="N1672" s="11">
        <f>VLOOKUP($B1672,'Hospitalisation Details'!A1671:J4015,10,0)</f>
        <v>29146</v>
      </c>
      <c r="O1672" t="str">
        <f>VLOOKUP($B1672,'Hospitalisation Details'!A1671:J4015,8,0)</f>
        <v>tier - 3</v>
      </c>
      <c r="P1672" t="str">
        <f>VLOOKUP($B1672,'Hospitalisation Details'!A1671:J4015,7,0)</f>
        <v>tier - 2</v>
      </c>
      <c r="Q1672" t="str">
        <f>VLOOKUP($B1672,'Hospitalisation Details'!A1671:J4015,9,0)</f>
        <v>R1026</v>
      </c>
      <c r="R1672">
        <f>VLOOKUP($B1672,'Hospitalisation Details'!A1671:K4015,11,0)</f>
        <v>43</v>
      </c>
    </row>
    <row r="1673" spans="1:18" x14ac:dyDescent="0.35">
      <c r="A1673" t="s">
        <v>699</v>
      </c>
      <c r="B1673" t="s">
        <v>1704</v>
      </c>
      <c r="C1673" t="str">
        <f>VLOOKUP($A1673,'Customer Names'!$A:$E,4,FALSE)</f>
        <v>Jake</v>
      </c>
      <c r="D1673" t="str">
        <f>VLOOKUP($A1673,'Medical Examinations'!$A:$J,2,FALSE)</f>
        <v>Obesity</v>
      </c>
      <c r="E1673">
        <f>VLOOKUP($A1673,'Medical Examinations'!$A:$J,4,FALSE)</f>
        <v>10.9</v>
      </c>
      <c r="F1673" t="str">
        <f>VLOOKUP($A1673,'Medical Examinations'!$A:$J,6,FALSE)</f>
        <v>yes</v>
      </c>
      <c r="G1673" t="str">
        <f>VLOOKUP($A1673,'Medical Examinations'!$A:$J,7,FALSE)</f>
        <v>No</v>
      </c>
      <c r="H1673" t="str">
        <f>VLOOKUP($A1673,'Medical Examinations'!$A:$J,8,FALSE)</f>
        <v>No</v>
      </c>
      <c r="I1673">
        <f>VLOOKUP($A1673,'Medical Examinations'!$A:$J,9,FALSE)</f>
        <v>0</v>
      </c>
      <c r="J1673" t="str">
        <f>VLOOKUP($A1673,'Medical Examinations'!$A:$J,10,FALSE)</f>
        <v>No</v>
      </c>
      <c r="K1673" t="str">
        <f>VLOOKUP($A1673,'Medical Examinations'!$A:$J,5,FALSE)</f>
        <v>Diabetes</v>
      </c>
      <c r="L1673">
        <f>VLOOKUP($A1674,'Medical Examinations'!$A:$J,3,FALSE)</f>
        <v>16.690000000000001</v>
      </c>
      <c r="N1673" s="11">
        <f>VLOOKUP($B1673,'Hospitalisation Details'!A1672:J4016,10,0)</f>
        <v>29742</v>
      </c>
      <c r="O1673" t="str">
        <f>VLOOKUP($B1673,'Hospitalisation Details'!A1672:J4016,8,0)</f>
        <v>tier - 3</v>
      </c>
      <c r="P1673" t="str">
        <f>VLOOKUP($B1673,'Hospitalisation Details'!A1672:J4016,7,0)</f>
        <v>tier - 2</v>
      </c>
      <c r="Q1673" t="str">
        <f>VLOOKUP($B1673,'Hospitalisation Details'!A1672:J4016,9,0)</f>
        <v>R1026</v>
      </c>
      <c r="R1673">
        <f>VLOOKUP($B1673,'Hospitalisation Details'!A1672:K4016,11,0)</f>
        <v>42</v>
      </c>
    </row>
    <row r="1674" spans="1:18" x14ac:dyDescent="0.35">
      <c r="A1674" t="s">
        <v>698</v>
      </c>
      <c r="B1674" t="s">
        <v>1705</v>
      </c>
      <c r="C1674" t="str">
        <f>VLOOKUP($A1674,'Customer Names'!$A:$E,4,FALSE)</f>
        <v>Alison L.</v>
      </c>
      <c r="D1674" t="str">
        <f>VLOOKUP($A1674,'Medical Examinations'!$A:$J,2,FALSE)</f>
        <v>Underweight</v>
      </c>
      <c r="E1674">
        <f>VLOOKUP($A1674,'Medical Examinations'!$A:$J,4,FALSE)</f>
        <v>10.66</v>
      </c>
      <c r="F1674" t="str">
        <f>VLOOKUP($A1674,'Medical Examinations'!$A:$J,6,FALSE)</f>
        <v>No</v>
      </c>
      <c r="G1674" t="str">
        <f>VLOOKUP($A1674,'Medical Examinations'!$A:$J,7,FALSE)</f>
        <v>No</v>
      </c>
      <c r="H1674" t="str">
        <f>VLOOKUP($A1674,'Medical Examinations'!$A:$J,8,FALSE)</f>
        <v>No</v>
      </c>
      <c r="I1674">
        <f>VLOOKUP($A1674,'Medical Examinations'!$A:$J,9,FALSE)</f>
        <v>0</v>
      </c>
      <c r="J1674" t="str">
        <f>VLOOKUP($A1674,'Medical Examinations'!$A:$J,10,FALSE)</f>
        <v>No</v>
      </c>
      <c r="K1674" t="str">
        <f>VLOOKUP($A1674,'Medical Examinations'!$A:$J,5,FALSE)</f>
        <v>Diabetes</v>
      </c>
      <c r="L1674">
        <f>VLOOKUP($A1675,'Medical Examinations'!$A:$J,3,FALSE)</f>
        <v>19.95</v>
      </c>
      <c r="N1674" s="11">
        <f>VLOOKUP($B1674,'Hospitalisation Details'!A1673:J4017,10,0)</f>
        <v>25883</v>
      </c>
      <c r="O1674" t="str">
        <f>VLOOKUP($B1674,'Hospitalisation Details'!A1673:J4017,8,0)</f>
        <v>tier - 2</v>
      </c>
      <c r="P1674" t="str">
        <f>VLOOKUP($B1674,'Hospitalisation Details'!A1673:J4017,7,0)</f>
        <v>tier - 2</v>
      </c>
      <c r="Q1674" t="str">
        <f>VLOOKUP($B1674,'Hospitalisation Details'!A1673:J4017,9,0)</f>
        <v>R1023</v>
      </c>
      <c r="R1674">
        <f>VLOOKUP($B1674,'Hospitalisation Details'!A1673:K4017,11,0)</f>
        <v>52</v>
      </c>
    </row>
    <row r="1675" spans="1:18" x14ac:dyDescent="0.35">
      <c r="A1675" t="s">
        <v>697</v>
      </c>
      <c r="B1675" t="s">
        <v>1706</v>
      </c>
      <c r="C1675" t="str">
        <f>VLOOKUP($A1675,'Customer Names'!$A:$E,4,FALSE)</f>
        <v>Lindsay M</v>
      </c>
      <c r="D1675" t="str">
        <f>VLOOKUP($A1675,'Medical Examinations'!$A:$J,2,FALSE)</f>
        <v>Normal Weight</v>
      </c>
      <c r="E1675">
        <f>VLOOKUP($A1675,'Medical Examinations'!$A:$J,4,FALSE)</f>
        <v>4.05</v>
      </c>
      <c r="F1675" t="str">
        <f>VLOOKUP($A1675,'Medical Examinations'!$A:$J,6,FALSE)</f>
        <v>No</v>
      </c>
      <c r="G1675" t="str">
        <f>VLOOKUP($A1675,'Medical Examinations'!$A:$J,7,FALSE)</f>
        <v>No</v>
      </c>
      <c r="H1675" t="str">
        <f>VLOOKUP($A1675,'Medical Examinations'!$A:$J,8,FALSE)</f>
        <v>No</v>
      </c>
      <c r="I1675">
        <f>VLOOKUP($A1675,'Medical Examinations'!$A:$J,9,FALSE)</f>
        <v>1</v>
      </c>
      <c r="J1675" t="str">
        <f>VLOOKUP($A1675,'Medical Examinations'!$A:$J,10,FALSE)</f>
        <v>No</v>
      </c>
      <c r="K1675" t="str">
        <f>VLOOKUP($A1675,'Medical Examinations'!$A:$J,5,FALSE)</f>
        <v>Normal</v>
      </c>
      <c r="L1675">
        <f>VLOOKUP($A1676,'Medical Examinations'!$A:$J,3,FALSE)</f>
        <v>17.55</v>
      </c>
      <c r="N1675" s="11">
        <f>VLOOKUP($B1675,'Hospitalisation Details'!A1674:J4018,10,0)</f>
        <v>21475</v>
      </c>
      <c r="O1675" t="str">
        <f>VLOOKUP($B1675,'Hospitalisation Details'!A1674:J4018,8,0)</f>
        <v>tier - 2</v>
      </c>
      <c r="P1675" t="str">
        <f>VLOOKUP($B1675,'Hospitalisation Details'!A1674:J4018,7,0)</f>
        <v>tier - 2</v>
      </c>
      <c r="Q1675" t="str">
        <f>VLOOKUP($B1675,'Hospitalisation Details'!A1674:J4018,9,0)</f>
        <v>R1024</v>
      </c>
      <c r="R1675">
        <f>VLOOKUP($B1675,'Hospitalisation Details'!A1674:K4018,11,0)</f>
        <v>64</v>
      </c>
    </row>
    <row r="1676" spans="1:18" x14ac:dyDescent="0.35">
      <c r="A1676" t="s">
        <v>696</v>
      </c>
      <c r="B1676" t="s">
        <v>1707</v>
      </c>
      <c r="C1676" t="str">
        <f>VLOOKUP($A1676,'Customer Names'!$A:$E,4,FALSE)</f>
        <v>Guillaume</v>
      </c>
      <c r="D1676" t="str">
        <f>VLOOKUP($A1676,'Medical Examinations'!$A:$J,2,FALSE)</f>
        <v>Underweight</v>
      </c>
      <c r="E1676">
        <f>VLOOKUP($A1676,'Medical Examinations'!$A:$J,4,FALSE)</f>
        <v>4.2300000000000004</v>
      </c>
      <c r="F1676" t="str">
        <f>VLOOKUP($A1676,'Medical Examinations'!$A:$J,6,FALSE)</f>
        <v>No</v>
      </c>
      <c r="G1676" t="str">
        <f>VLOOKUP($A1676,'Medical Examinations'!$A:$J,7,FALSE)</f>
        <v>No</v>
      </c>
      <c r="H1676" t="str">
        <f>VLOOKUP($A1676,'Medical Examinations'!$A:$J,8,FALSE)</f>
        <v>No</v>
      </c>
      <c r="I1676">
        <f>VLOOKUP($A1676,'Medical Examinations'!$A:$J,9,FALSE)</f>
        <v>2</v>
      </c>
      <c r="J1676" t="str">
        <f>VLOOKUP($A1676,'Medical Examinations'!$A:$J,10,FALSE)</f>
        <v>No</v>
      </c>
      <c r="K1676" t="str">
        <f>VLOOKUP($A1676,'Medical Examinations'!$A:$J,5,FALSE)</f>
        <v>Normal</v>
      </c>
      <c r="L1676">
        <f>VLOOKUP($A1677,'Medical Examinations'!$A:$J,3,FALSE)</f>
        <v>22.01</v>
      </c>
      <c r="N1676" s="11">
        <f>VLOOKUP($B1676,'Hospitalisation Details'!A1675:J4019,10,0)</f>
        <v>29771</v>
      </c>
      <c r="O1676" t="str">
        <f>VLOOKUP($B1676,'Hospitalisation Details'!A1675:J4019,8,0)</f>
        <v>tier - 1</v>
      </c>
      <c r="P1676" t="str">
        <f>VLOOKUP($B1676,'Hospitalisation Details'!A1675:J4019,7,0)</f>
        <v>tier - 2</v>
      </c>
      <c r="Q1676" t="str">
        <f>VLOOKUP($B1676,'Hospitalisation Details'!A1675:J4019,9,0)</f>
        <v>R1011</v>
      </c>
      <c r="R1676">
        <f>VLOOKUP($B1676,'Hospitalisation Details'!A1675:K4019,11,0)</f>
        <v>41</v>
      </c>
    </row>
    <row r="1677" spans="1:18" x14ac:dyDescent="0.35">
      <c r="A1677" t="s">
        <v>695</v>
      </c>
      <c r="B1677" t="s">
        <v>1708</v>
      </c>
      <c r="C1677" t="str">
        <f>VLOOKUP($A1677,'Customer Names'!$A:$E,4,FALSE)</f>
        <v>Kaylee</v>
      </c>
      <c r="D1677" t="str">
        <f>VLOOKUP($A1677,'Medical Examinations'!$A:$J,2,FALSE)</f>
        <v>Normal Weight</v>
      </c>
      <c r="E1677">
        <f>VLOOKUP($A1677,'Medical Examinations'!$A:$J,4,FALSE)</f>
        <v>5.01</v>
      </c>
      <c r="F1677" t="str">
        <f>VLOOKUP($A1677,'Medical Examinations'!$A:$J,6,FALSE)</f>
        <v>No</v>
      </c>
      <c r="G1677" t="str">
        <f>VLOOKUP($A1677,'Medical Examinations'!$A:$J,7,FALSE)</f>
        <v>No</v>
      </c>
      <c r="H1677" t="str">
        <f>VLOOKUP($A1677,'Medical Examinations'!$A:$J,8,FALSE)</f>
        <v>No</v>
      </c>
      <c r="I1677">
        <f>VLOOKUP($A1677,'Medical Examinations'!$A:$J,9,FALSE)</f>
        <v>1</v>
      </c>
      <c r="J1677" t="str">
        <f>VLOOKUP($A1677,'Medical Examinations'!$A:$J,10,FALSE)</f>
        <v>No</v>
      </c>
      <c r="K1677" t="str">
        <f>VLOOKUP($A1677,'Medical Examinations'!$A:$J,5,FALSE)</f>
        <v>Normal</v>
      </c>
      <c r="L1677">
        <f>VLOOKUP($A1678,'Medical Examinations'!$A:$J,3,FALSE)</f>
        <v>41.8</v>
      </c>
      <c r="N1677" s="11">
        <f>VLOOKUP($B1677,'Hospitalisation Details'!A1676:J4020,10,0)</f>
        <v>25150</v>
      </c>
      <c r="O1677" t="str">
        <f>VLOOKUP($B1677,'Hospitalisation Details'!A1676:J4020,8,0)</f>
        <v>tier - 2</v>
      </c>
      <c r="P1677" t="str">
        <f>VLOOKUP($B1677,'Hospitalisation Details'!A1676:J4020,7,0)</f>
        <v>tier - 2</v>
      </c>
      <c r="Q1677" t="str">
        <f>VLOOKUP($B1677,'Hospitalisation Details'!A1676:J4020,9,0)</f>
        <v>R1012</v>
      </c>
      <c r="R1677">
        <f>VLOOKUP($B1677,'Hospitalisation Details'!A1676:K4020,11,0)</f>
        <v>54</v>
      </c>
    </row>
    <row r="1678" spans="1:18" x14ac:dyDescent="0.35">
      <c r="A1678" t="s">
        <v>694</v>
      </c>
      <c r="B1678" t="s">
        <v>1709</v>
      </c>
      <c r="C1678" t="str">
        <f>VLOOKUP($A1678,'Customer Names'!$A:$E,4,FALSE)</f>
        <v>Theresa</v>
      </c>
      <c r="D1678" t="str">
        <f>VLOOKUP($A1678,'Medical Examinations'!$A:$J,2,FALSE)</f>
        <v>Obesity</v>
      </c>
      <c r="E1678">
        <f>VLOOKUP($A1678,'Medical Examinations'!$A:$J,4,FALSE)</f>
        <v>5.82</v>
      </c>
      <c r="F1678" t="str">
        <f>VLOOKUP($A1678,'Medical Examinations'!$A:$J,6,FALSE)</f>
        <v>yes</v>
      </c>
      <c r="G1678" t="str">
        <f>VLOOKUP($A1678,'Medical Examinations'!$A:$J,7,FALSE)</f>
        <v>No</v>
      </c>
      <c r="H1678" t="str">
        <f>VLOOKUP($A1678,'Medical Examinations'!$A:$J,8,FALSE)</f>
        <v>Yes</v>
      </c>
      <c r="I1678">
        <f>VLOOKUP($A1678,'Medical Examinations'!$A:$J,9,FALSE)</f>
        <v>1</v>
      </c>
      <c r="J1678" t="str">
        <f>VLOOKUP($A1678,'Medical Examinations'!$A:$J,10,FALSE)</f>
        <v>No</v>
      </c>
      <c r="K1678" t="str">
        <f>VLOOKUP($A1678,'Medical Examinations'!$A:$J,5,FALSE)</f>
        <v>Prediabetes</v>
      </c>
      <c r="L1678">
        <f>VLOOKUP($A1679,'Medical Examinations'!$A:$J,3,FALSE)</f>
        <v>19.170000000000002</v>
      </c>
      <c r="N1678" s="11">
        <f>VLOOKUP($B1678,'Hospitalisation Details'!A1677:J4021,10,0)</f>
        <v>22979</v>
      </c>
      <c r="O1678" t="str">
        <f>VLOOKUP($B1678,'Hospitalisation Details'!A1677:J4021,8,0)</f>
        <v>tier - 1</v>
      </c>
      <c r="P1678" t="str">
        <f>VLOOKUP($B1678,'Hospitalisation Details'!A1677:J4021,7,0)</f>
        <v>tier - 2</v>
      </c>
      <c r="Q1678" t="str">
        <f>VLOOKUP($B1678,'Hospitalisation Details'!A1677:J4021,9,0)</f>
        <v>R1021</v>
      </c>
      <c r="R1678">
        <f>VLOOKUP($B1678,'Hospitalisation Details'!A1677:K4021,11,0)</f>
        <v>60</v>
      </c>
    </row>
    <row r="1679" spans="1:18" x14ac:dyDescent="0.35">
      <c r="A1679" t="s">
        <v>693</v>
      </c>
      <c r="B1679" t="s">
        <v>1710</v>
      </c>
      <c r="C1679" t="str">
        <f>VLOOKUP($A1679,'Customer Names'!$A:$E,4,FALSE)</f>
        <v>Travis G.</v>
      </c>
      <c r="D1679" t="str">
        <f>VLOOKUP($A1679,'Medical Examinations'!$A:$J,2,FALSE)</f>
        <v>Normal Weight</v>
      </c>
      <c r="E1679">
        <f>VLOOKUP($A1679,'Medical Examinations'!$A:$J,4,FALSE)</f>
        <v>7.94</v>
      </c>
      <c r="F1679" t="str">
        <f>VLOOKUP($A1679,'Medical Examinations'!$A:$J,6,FALSE)</f>
        <v>No</v>
      </c>
      <c r="G1679" t="str">
        <f>VLOOKUP($A1679,'Medical Examinations'!$A:$J,7,FALSE)</f>
        <v>No</v>
      </c>
      <c r="H1679" t="str">
        <f>VLOOKUP($A1679,'Medical Examinations'!$A:$J,8,FALSE)</f>
        <v>No</v>
      </c>
      <c r="I1679">
        <f>VLOOKUP($A1679,'Medical Examinations'!$A:$J,9,FALSE)</f>
        <v>0</v>
      </c>
      <c r="J1679" t="str">
        <f>VLOOKUP($A1679,'Medical Examinations'!$A:$J,10,FALSE)</f>
        <v>No</v>
      </c>
      <c r="K1679" t="str">
        <f>VLOOKUP($A1679,'Medical Examinations'!$A:$J,5,FALSE)</f>
        <v>Diabetes</v>
      </c>
      <c r="L1679">
        <f>VLOOKUP($A1680,'Medical Examinations'!$A:$J,3,FALSE)</f>
        <v>32.799999999999997</v>
      </c>
      <c r="N1679" s="11">
        <f>VLOOKUP($B1679,'Hospitalisation Details'!A1678:J4022,10,0)</f>
        <v>21395</v>
      </c>
      <c r="O1679" t="str">
        <f>VLOOKUP($B1679,'Hospitalisation Details'!A1678:J4022,8,0)</f>
        <v>tier - 3</v>
      </c>
      <c r="P1679" t="str">
        <f>VLOOKUP($B1679,'Hospitalisation Details'!A1678:J4022,7,0)</f>
        <v>tier - 2</v>
      </c>
      <c r="Q1679" t="str">
        <f>VLOOKUP($B1679,'Hospitalisation Details'!A1678:J4022,9,0)</f>
        <v>R1011</v>
      </c>
      <c r="R1679">
        <f>VLOOKUP($B1679,'Hospitalisation Details'!A1678:K4022,11,0)</f>
        <v>64</v>
      </c>
    </row>
    <row r="1680" spans="1:18" x14ac:dyDescent="0.35">
      <c r="A1680" t="s">
        <v>692</v>
      </c>
      <c r="B1680" t="s">
        <v>1711</v>
      </c>
      <c r="C1680" t="str">
        <f>VLOOKUP($A1680,'Customer Names'!$A:$E,4,FALSE)</f>
        <v>Emma L.</v>
      </c>
      <c r="D1680" t="str">
        <f>VLOOKUP($A1680,'Medical Examinations'!$A:$J,2,FALSE)</f>
        <v>Obesity</v>
      </c>
      <c r="E1680">
        <f>VLOOKUP($A1680,'Medical Examinations'!$A:$J,4,FALSE)</f>
        <v>6.16</v>
      </c>
      <c r="F1680" t="str">
        <f>VLOOKUP($A1680,'Medical Examinations'!$A:$J,6,FALSE)</f>
        <v>yes</v>
      </c>
      <c r="G1680" t="str">
        <f>VLOOKUP($A1680,'Medical Examinations'!$A:$J,7,FALSE)</f>
        <v>No</v>
      </c>
      <c r="H1680" t="str">
        <f>VLOOKUP($A1680,'Medical Examinations'!$A:$J,8,FALSE)</f>
        <v>Yes</v>
      </c>
      <c r="I1680">
        <f>VLOOKUP($A1680,'Medical Examinations'!$A:$J,9,FALSE)</f>
        <v>1</v>
      </c>
      <c r="J1680" t="str">
        <f>VLOOKUP($A1680,'Medical Examinations'!$A:$J,10,FALSE)</f>
        <v>No</v>
      </c>
      <c r="K1680" t="str">
        <f>VLOOKUP($A1680,'Medical Examinations'!$A:$J,5,FALSE)</f>
        <v>Prediabetes</v>
      </c>
      <c r="L1680">
        <f>VLOOKUP($A1681,'Medical Examinations'!$A:$J,3,FALSE)</f>
        <v>35.814999999999998</v>
      </c>
      <c r="N1680" s="11">
        <f>VLOOKUP($B1680,'Hospitalisation Details'!A1679:J4023,10,0)</f>
        <v>34913</v>
      </c>
      <c r="O1680" t="str">
        <f>VLOOKUP($B1680,'Hospitalisation Details'!A1679:J4023,8,0)</f>
        <v>tier - 2</v>
      </c>
      <c r="P1680" t="str">
        <f>VLOOKUP($B1680,'Hospitalisation Details'!A1679:J4023,7,0)</f>
        <v>tier - 2</v>
      </c>
      <c r="Q1680" t="str">
        <f>VLOOKUP($B1680,'Hospitalisation Details'!A1679:J4023,9,0)</f>
        <v>R1024</v>
      </c>
      <c r="R1680">
        <f>VLOOKUP($B1680,'Hospitalisation Details'!A1679:K4023,11,0)</f>
        <v>27</v>
      </c>
    </row>
    <row r="1681" spans="1:18" x14ac:dyDescent="0.35">
      <c r="A1681" t="s">
        <v>691</v>
      </c>
      <c r="B1681" t="s">
        <v>1712</v>
      </c>
      <c r="C1681" t="str">
        <f>VLOOKUP($A1681,'Customer Names'!$A:$E,4,FALSE)</f>
        <v>Linda</v>
      </c>
      <c r="D1681" t="str">
        <f>VLOOKUP($A1681,'Medical Examinations'!$A:$J,2,FALSE)</f>
        <v>Obesity</v>
      </c>
      <c r="E1681">
        <f>VLOOKUP($A1681,'Medical Examinations'!$A:$J,4,FALSE)</f>
        <v>4.1500000000000004</v>
      </c>
      <c r="F1681" t="str">
        <f>VLOOKUP($A1681,'Medical Examinations'!$A:$J,6,FALSE)</f>
        <v>No</v>
      </c>
      <c r="G1681" t="str">
        <f>VLOOKUP($A1681,'Medical Examinations'!$A:$J,7,FALSE)</f>
        <v>No</v>
      </c>
      <c r="H1681" t="str">
        <f>VLOOKUP($A1681,'Medical Examinations'!$A:$J,8,FALSE)</f>
        <v>No</v>
      </c>
      <c r="I1681">
        <f>VLOOKUP($A1681,'Medical Examinations'!$A:$J,9,FALSE)</f>
        <v>1</v>
      </c>
      <c r="J1681" t="str">
        <f>VLOOKUP($A1681,'Medical Examinations'!$A:$J,10,FALSE)</f>
        <v>No</v>
      </c>
      <c r="K1681" t="str">
        <f>VLOOKUP($A1681,'Medical Examinations'!$A:$J,5,FALSE)</f>
        <v>Normal</v>
      </c>
      <c r="L1681">
        <f>VLOOKUP($A1682,'Medical Examinations'!$A:$J,3,FALSE)</f>
        <v>24.3</v>
      </c>
      <c r="N1681" s="11">
        <f>VLOOKUP($B1681,'Hospitalisation Details'!A1680:J4024,10,0)</f>
        <v>22136</v>
      </c>
      <c r="O1681" t="str">
        <f>VLOOKUP($B1681,'Hospitalisation Details'!A1680:J4024,8,0)</f>
        <v>tier - 2</v>
      </c>
      <c r="P1681" t="str">
        <f>VLOOKUP($B1681,'Hospitalisation Details'!A1680:J4024,7,0)</f>
        <v>tier - 2</v>
      </c>
      <c r="Q1681" t="str">
        <f>VLOOKUP($B1681,'Hospitalisation Details'!A1680:J4024,9,0)</f>
        <v>R1012</v>
      </c>
      <c r="R1681">
        <f>VLOOKUP($B1681,'Hospitalisation Details'!A1680:K4024,11,0)</f>
        <v>62</v>
      </c>
    </row>
    <row r="1682" spans="1:18" x14ac:dyDescent="0.35">
      <c r="A1682" t="s">
        <v>690</v>
      </c>
      <c r="B1682" t="s">
        <v>1713</v>
      </c>
      <c r="C1682" t="str">
        <f>VLOOKUP($A1682,'Customer Names'!$A:$E,4,FALSE)</f>
        <v>Owen R</v>
      </c>
      <c r="D1682" t="str">
        <f>VLOOKUP($A1682,'Medical Examinations'!$A:$J,2,FALSE)</f>
        <v>Normal Weight</v>
      </c>
      <c r="E1682">
        <f>VLOOKUP($A1682,'Medical Examinations'!$A:$J,4,FALSE)</f>
        <v>6.23</v>
      </c>
      <c r="F1682" t="str">
        <f>VLOOKUP($A1682,'Medical Examinations'!$A:$J,6,FALSE)</f>
        <v>No</v>
      </c>
      <c r="G1682" t="str">
        <f>VLOOKUP($A1682,'Medical Examinations'!$A:$J,7,FALSE)</f>
        <v>No</v>
      </c>
      <c r="H1682" t="str">
        <f>VLOOKUP($A1682,'Medical Examinations'!$A:$J,8,FALSE)</f>
        <v>No</v>
      </c>
      <c r="I1682">
        <f>VLOOKUP($A1682,'Medical Examinations'!$A:$J,9,FALSE)</f>
        <v>0</v>
      </c>
      <c r="J1682" t="str">
        <f>VLOOKUP($A1682,'Medical Examinations'!$A:$J,10,FALSE)</f>
        <v>No</v>
      </c>
      <c r="K1682" t="str">
        <f>VLOOKUP($A1682,'Medical Examinations'!$A:$J,5,FALSE)</f>
        <v>Prediabetes</v>
      </c>
      <c r="L1682">
        <f>VLOOKUP($A1683,'Medical Examinations'!$A:$J,3,FALSE)</f>
        <v>19.059999999999999</v>
      </c>
      <c r="N1682" s="11">
        <f>VLOOKUP($B1682,'Hospitalisation Details'!A1681:J4025,10,0)</f>
        <v>29184</v>
      </c>
      <c r="O1682" t="str">
        <f>VLOOKUP($B1682,'Hospitalisation Details'!A1681:J4025,8,0)</f>
        <v>tier - 1</v>
      </c>
      <c r="P1682" t="str">
        <f>VLOOKUP($B1682,'Hospitalisation Details'!A1681:J4025,7,0)</f>
        <v>tier - 2</v>
      </c>
      <c r="Q1682" t="str">
        <f>VLOOKUP($B1682,'Hospitalisation Details'!A1681:J4025,9,0)</f>
        <v>R1011</v>
      </c>
      <c r="R1682">
        <f>VLOOKUP($B1682,'Hospitalisation Details'!A1681:K4025,11,0)</f>
        <v>43</v>
      </c>
    </row>
    <row r="1683" spans="1:18" x14ac:dyDescent="0.35">
      <c r="A1683" t="s">
        <v>689</v>
      </c>
      <c r="B1683" t="s">
        <v>1714</v>
      </c>
      <c r="C1683" t="str">
        <f>VLOOKUP($A1683,'Customer Names'!$A:$E,4,FALSE)</f>
        <v>Jacob</v>
      </c>
      <c r="D1683" t="str">
        <f>VLOOKUP($A1683,'Medical Examinations'!$A:$J,2,FALSE)</f>
        <v>Normal Weight</v>
      </c>
      <c r="E1683">
        <f>VLOOKUP($A1683,'Medical Examinations'!$A:$J,4,FALSE)</f>
        <v>7.41</v>
      </c>
      <c r="F1683" t="str">
        <f>VLOOKUP($A1683,'Medical Examinations'!$A:$J,6,FALSE)</f>
        <v>No</v>
      </c>
      <c r="G1683" t="str">
        <f>VLOOKUP($A1683,'Medical Examinations'!$A:$J,7,FALSE)</f>
        <v>No</v>
      </c>
      <c r="H1683" t="str">
        <f>VLOOKUP($A1683,'Medical Examinations'!$A:$J,8,FALSE)</f>
        <v>No</v>
      </c>
      <c r="I1683">
        <f>VLOOKUP($A1683,'Medical Examinations'!$A:$J,9,FALSE)</f>
        <v>0</v>
      </c>
      <c r="J1683" t="str">
        <f>VLOOKUP($A1683,'Medical Examinations'!$A:$J,10,FALSE)</f>
        <v>No</v>
      </c>
      <c r="K1683" t="str">
        <f>VLOOKUP($A1683,'Medical Examinations'!$A:$J,5,FALSE)</f>
        <v>Diabetes</v>
      </c>
      <c r="L1683">
        <f>VLOOKUP($A1684,'Medical Examinations'!$A:$J,3,FALSE)</f>
        <v>33.25</v>
      </c>
      <c r="N1683" s="11">
        <f>VLOOKUP($B1683,'Hospitalisation Details'!A1682:J4026,10,0)</f>
        <v>25822</v>
      </c>
      <c r="O1683" t="str">
        <f>VLOOKUP($B1683,'Hospitalisation Details'!A1682:J4026,8,0)</f>
        <v>tier - 3</v>
      </c>
      <c r="P1683" t="str">
        <f>VLOOKUP($B1683,'Hospitalisation Details'!A1682:J4026,7,0)</f>
        <v>tier - 2</v>
      </c>
      <c r="Q1683" t="str">
        <f>VLOOKUP($B1683,'Hospitalisation Details'!A1682:J4026,9,0)</f>
        <v>R1011</v>
      </c>
      <c r="R1683">
        <f>VLOOKUP($B1683,'Hospitalisation Details'!A1682:K4026,11,0)</f>
        <v>52</v>
      </c>
    </row>
    <row r="1684" spans="1:18" x14ac:dyDescent="0.35">
      <c r="A1684" t="s">
        <v>688</v>
      </c>
      <c r="B1684" t="s">
        <v>1715</v>
      </c>
      <c r="C1684" t="str">
        <f>VLOOKUP($A1684,'Customer Names'!$A:$E,4,FALSE)</f>
        <v>Jacqueline</v>
      </c>
      <c r="D1684" t="str">
        <f>VLOOKUP($A1684,'Medical Examinations'!$A:$J,2,FALSE)</f>
        <v>Obesity</v>
      </c>
      <c r="E1684">
        <f>VLOOKUP($A1684,'Medical Examinations'!$A:$J,4,FALSE)</f>
        <v>5.62</v>
      </c>
      <c r="F1684" t="str">
        <f>VLOOKUP($A1684,'Medical Examinations'!$A:$J,6,FALSE)</f>
        <v>yes</v>
      </c>
      <c r="G1684" t="str">
        <f>VLOOKUP($A1684,'Medical Examinations'!$A:$J,7,FALSE)</f>
        <v>No</v>
      </c>
      <c r="H1684" t="str">
        <f>VLOOKUP($A1684,'Medical Examinations'!$A:$J,8,FALSE)</f>
        <v>No</v>
      </c>
      <c r="I1684">
        <f>VLOOKUP($A1684,'Medical Examinations'!$A:$J,9,FALSE)</f>
        <v>1</v>
      </c>
      <c r="J1684" t="str">
        <f>VLOOKUP($A1684,'Medical Examinations'!$A:$J,10,FALSE)</f>
        <v>No</v>
      </c>
      <c r="K1684" t="str">
        <f>VLOOKUP($A1684,'Medical Examinations'!$A:$J,5,FALSE)</f>
        <v>Normal</v>
      </c>
      <c r="L1684">
        <f>VLOOKUP($A1685,'Medical Examinations'!$A:$J,3,FALSE)</f>
        <v>21.37</v>
      </c>
      <c r="N1684" s="11">
        <f>VLOOKUP($B1684,'Hospitalisation Details'!A1683:J4027,10,0)</f>
        <v>26160</v>
      </c>
      <c r="O1684" t="str">
        <f>VLOOKUP($B1684,'Hospitalisation Details'!A1683:J4027,8,0)</f>
        <v>tier - 3</v>
      </c>
      <c r="P1684" t="str">
        <f>VLOOKUP($B1684,'Hospitalisation Details'!A1683:J4027,7,0)</f>
        <v>tier - 2</v>
      </c>
      <c r="Q1684" t="str">
        <f>VLOOKUP($B1684,'Hospitalisation Details'!A1683:J4027,9,0)</f>
        <v>R1023</v>
      </c>
      <c r="R1684">
        <f>VLOOKUP($B1684,'Hospitalisation Details'!A1683:K4027,11,0)</f>
        <v>51</v>
      </c>
    </row>
    <row r="1685" spans="1:18" x14ac:dyDescent="0.35">
      <c r="A1685" t="s">
        <v>687</v>
      </c>
      <c r="B1685" t="s">
        <v>1716</v>
      </c>
      <c r="C1685" t="str">
        <f>VLOOKUP($A1685,'Customer Names'!$A:$E,4,FALSE)</f>
        <v>Yefeng</v>
      </c>
      <c r="D1685" t="str">
        <f>VLOOKUP($A1685,'Medical Examinations'!$A:$J,2,FALSE)</f>
        <v>Normal Weight</v>
      </c>
      <c r="E1685">
        <f>VLOOKUP($A1685,'Medical Examinations'!$A:$J,4,FALSE)</f>
        <v>4.54</v>
      </c>
      <c r="F1685" t="str">
        <f>VLOOKUP($A1685,'Medical Examinations'!$A:$J,6,FALSE)</f>
        <v>yes</v>
      </c>
      <c r="G1685" t="str">
        <f>VLOOKUP($A1685,'Medical Examinations'!$A:$J,7,FALSE)</f>
        <v>No</v>
      </c>
      <c r="H1685" t="str">
        <f>VLOOKUP($A1685,'Medical Examinations'!$A:$J,8,FALSE)</f>
        <v>Yes</v>
      </c>
      <c r="I1685">
        <f>VLOOKUP($A1685,'Medical Examinations'!$A:$J,9,FALSE)</f>
        <v>1</v>
      </c>
      <c r="J1685" t="str">
        <f>VLOOKUP($A1685,'Medical Examinations'!$A:$J,10,FALSE)</f>
        <v>No</v>
      </c>
      <c r="K1685" t="str">
        <f>VLOOKUP($A1685,'Medical Examinations'!$A:$J,5,FALSE)</f>
        <v>Normal</v>
      </c>
      <c r="L1685">
        <f>VLOOKUP($A1686,'Medical Examinations'!$A:$J,3,FALSE)</f>
        <v>34.43</v>
      </c>
      <c r="N1685" s="11">
        <f>VLOOKUP($B1685,'Hospitalisation Details'!A1684:J4028,10,0)</f>
        <v>25001</v>
      </c>
      <c r="O1685" t="str">
        <f>VLOOKUP($B1685,'Hospitalisation Details'!A1684:J4028,8,0)</f>
        <v>tier - 2</v>
      </c>
      <c r="P1685" t="str">
        <f>VLOOKUP($B1685,'Hospitalisation Details'!A1684:J4028,7,0)</f>
        <v>tier - 2</v>
      </c>
      <c r="Q1685" t="str">
        <f>VLOOKUP($B1685,'Hospitalisation Details'!A1684:J4028,9,0)</f>
        <v>R1022</v>
      </c>
      <c r="R1685">
        <f>VLOOKUP($B1685,'Hospitalisation Details'!A1684:K4028,11,0)</f>
        <v>54</v>
      </c>
    </row>
    <row r="1686" spans="1:18" x14ac:dyDescent="0.35">
      <c r="A1686" t="s">
        <v>686</v>
      </c>
      <c r="B1686" t="s">
        <v>1717</v>
      </c>
      <c r="C1686" t="str">
        <f>VLOOKUP($A1686,'Customer Names'!$A:$E,4,FALSE)</f>
        <v>Thomas J</v>
      </c>
      <c r="D1686" t="str">
        <f>VLOOKUP($A1686,'Medical Examinations'!$A:$J,2,FALSE)</f>
        <v>Obesity</v>
      </c>
      <c r="E1686">
        <f>VLOOKUP($A1686,'Medical Examinations'!$A:$J,4,FALSE)</f>
        <v>8.6199999999999992</v>
      </c>
      <c r="F1686" t="str">
        <f>VLOOKUP($A1686,'Medical Examinations'!$A:$J,6,FALSE)</f>
        <v>yes</v>
      </c>
      <c r="G1686" t="str">
        <f>VLOOKUP($A1686,'Medical Examinations'!$A:$J,7,FALSE)</f>
        <v>No</v>
      </c>
      <c r="H1686" t="str">
        <f>VLOOKUP($A1686,'Medical Examinations'!$A:$J,8,FALSE)</f>
        <v>No</v>
      </c>
      <c r="I1686">
        <f>VLOOKUP($A1686,'Medical Examinations'!$A:$J,9,FALSE)</f>
        <v>1</v>
      </c>
      <c r="J1686" t="str">
        <f>VLOOKUP($A1686,'Medical Examinations'!$A:$J,10,FALSE)</f>
        <v>No</v>
      </c>
      <c r="K1686" t="str">
        <f>VLOOKUP($A1686,'Medical Examinations'!$A:$J,5,FALSE)</f>
        <v>Diabetes</v>
      </c>
      <c r="L1686">
        <f>VLOOKUP($A1687,'Medical Examinations'!$A:$J,3,FALSE)</f>
        <v>20.86</v>
      </c>
      <c r="N1686" s="11">
        <f>VLOOKUP($B1686,'Hospitalisation Details'!A1685:J4029,10,0)</f>
        <v>27693</v>
      </c>
      <c r="O1686" t="str">
        <f>VLOOKUP($B1686,'Hospitalisation Details'!A1685:J4029,8,0)</f>
        <v>tier - 1</v>
      </c>
      <c r="P1686" t="str">
        <f>VLOOKUP($B1686,'Hospitalisation Details'!A1685:J4029,7,0)</f>
        <v>tier - 2</v>
      </c>
      <c r="Q1686" t="str">
        <f>VLOOKUP($B1686,'Hospitalisation Details'!A1685:J4029,9,0)</f>
        <v>R1023</v>
      </c>
      <c r="R1686">
        <f>VLOOKUP($B1686,'Hospitalisation Details'!A1685:K4029,11,0)</f>
        <v>47</v>
      </c>
    </row>
    <row r="1687" spans="1:18" x14ac:dyDescent="0.35">
      <c r="A1687" t="s">
        <v>685</v>
      </c>
      <c r="B1687" t="s">
        <v>1718</v>
      </c>
      <c r="C1687" t="str">
        <f>VLOOKUP($A1687,'Customer Names'!$A:$E,4,FALSE)</f>
        <v>Ken</v>
      </c>
      <c r="D1687" t="str">
        <f>VLOOKUP($A1687,'Medical Examinations'!$A:$J,2,FALSE)</f>
        <v>Normal Weight</v>
      </c>
      <c r="E1687">
        <f>VLOOKUP($A1687,'Medical Examinations'!$A:$J,4,FALSE)</f>
        <v>4.3600000000000003</v>
      </c>
      <c r="F1687" t="str">
        <f>VLOOKUP($A1687,'Medical Examinations'!$A:$J,6,FALSE)</f>
        <v>yes</v>
      </c>
      <c r="G1687" t="str">
        <f>VLOOKUP($A1687,'Medical Examinations'!$A:$J,7,FALSE)</f>
        <v>No</v>
      </c>
      <c r="H1687" t="str">
        <f>VLOOKUP($A1687,'Medical Examinations'!$A:$J,8,FALSE)</f>
        <v>No</v>
      </c>
      <c r="I1687">
        <f>VLOOKUP($A1687,'Medical Examinations'!$A:$J,9,FALSE)</f>
        <v>0</v>
      </c>
      <c r="J1687" t="str">
        <f>VLOOKUP($A1687,'Medical Examinations'!$A:$J,10,FALSE)</f>
        <v>No</v>
      </c>
      <c r="K1687" t="str">
        <f>VLOOKUP($A1687,'Medical Examinations'!$A:$J,5,FALSE)</f>
        <v>Normal</v>
      </c>
      <c r="L1687">
        <f>VLOOKUP($A1688,'Medical Examinations'!$A:$J,3,FALSE)</f>
        <v>18.34</v>
      </c>
      <c r="N1687" s="11">
        <f>VLOOKUP($B1687,'Hospitalisation Details'!A1686:J4030,10,0)</f>
        <v>26610</v>
      </c>
      <c r="O1687" t="str">
        <f>VLOOKUP($B1687,'Hospitalisation Details'!A1686:J4030,8,0)</f>
        <v>tier - 1</v>
      </c>
      <c r="P1687" t="str">
        <f>VLOOKUP($B1687,'Hospitalisation Details'!A1686:J4030,7,0)</f>
        <v>tier - 2</v>
      </c>
      <c r="Q1687" t="str">
        <f>VLOOKUP($B1687,'Hospitalisation Details'!A1686:J4030,9,0)</f>
        <v>R1012</v>
      </c>
      <c r="R1687">
        <f>VLOOKUP($B1687,'Hospitalisation Details'!A1686:K4030,11,0)</f>
        <v>50</v>
      </c>
    </row>
    <row r="1688" spans="1:18" x14ac:dyDescent="0.35">
      <c r="A1688" t="s">
        <v>684</v>
      </c>
      <c r="B1688" t="s">
        <v>1719</v>
      </c>
      <c r="C1688" t="str">
        <f>VLOOKUP($A1688,'Customer Names'!$A:$E,4,FALSE)</f>
        <v>Annie E</v>
      </c>
      <c r="D1688" t="str">
        <f>VLOOKUP($A1688,'Medical Examinations'!$A:$J,2,FALSE)</f>
        <v>Underweight</v>
      </c>
      <c r="E1688">
        <f>VLOOKUP($A1688,'Medical Examinations'!$A:$J,4,FALSE)</f>
        <v>10.01</v>
      </c>
      <c r="F1688" t="str">
        <f>VLOOKUP($A1688,'Medical Examinations'!$A:$J,6,FALSE)</f>
        <v>No</v>
      </c>
      <c r="G1688" t="str">
        <f>VLOOKUP($A1688,'Medical Examinations'!$A:$J,7,FALSE)</f>
        <v>No</v>
      </c>
      <c r="H1688" t="str">
        <f>VLOOKUP($A1688,'Medical Examinations'!$A:$J,8,FALSE)</f>
        <v>No</v>
      </c>
      <c r="I1688">
        <f>VLOOKUP($A1688,'Medical Examinations'!$A:$J,9,FALSE)</f>
        <v>0</v>
      </c>
      <c r="J1688" t="str">
        <f>VLOOKUP($A1688,'Medical Examinations'!$A:$J,10,FALSE)</f>
        <v>No</v>
      </c>
      <c r="K1688" t="str">
        <f>VLOOKUP($A1688,'Medical Examinations'!$A:$J,5,FALSE)</f>
        <v>Diabetes</v>
      </c>
      <c r="L1688">
        <f>VLOOKUP($A1689,'Medical Examinations'!$A:$J,3,FALSE)</f>
        <v>34.15</v>
      </c>
      <c r="N1688" s="11">
        <f>VLOOKUP($B1688,'Hospitalisation Details'!A1687:J4031,10,0)</f>
        <v>28738</v>
      </c>
      <c r="O1688" t="str">
        <f>VLOOKUP($B1688,'Hospitalisation Details'!A1687:J4031,8,0)</f>
        <v>tier - 1</v>
      </c>
      <c r="P1688" t="str">
        <f>VLOOKUP($B1688,'Hospitalisation Details'!A1687:J4031,7,0)</f>
        <v>tier - 2</v>
      </c>
      <c r="Q1688" t="str">
        <f>VLOOKUP($B1688,'Hospitalisation Details'!A1687:J4031,9,0)</f>
        <v>R1011</v>
      </c>
      <c r="R1688">
        <f>VLOOKUP($B1688,'Hospitalisation Details'!A1687:K4031,11,0)</f>
        <v>44</v>
      </c>
    </row>
    <row r="1689" spans="1:18" x14ac:dyDescent="0.35">
      <c r="A1689" t="s">
        <v>683</v>
      </c>
      <c r="B1689" t="s">
        <v>1720</v>
      </c>
      <c r="C1689" t="str">
        <f>VLOOKUP($A1689,'Customer Names'!$A:$E,4,FALSE)</f>
        <v>Noel K.</v>
      </c>
      <c r="D1689" t="str">
        <f>VLOOKUP($A1689,'Medical Examinations'!$A:$J,2,FALSE)</f>
        <v>Obesity</v>
      </c>
      <c r="E1689">
        <f>VLOOKUP($A1689,'Medical Examinations'!$A:$J,4,FALSE)</f>
        <v>5.42</v>
      </c>
      <c r="F1689" t="str">
        <f>VLOOKUP($A1689,'Medical Examinations'!$A:$J,6,FALSE)</f>
        <v>No</v>
      </c>
      <c r="G1689" t="str">
        <f>VLOOKUP($A1689,'Medical Examinations'!$A:$J,7,FALSE)</f>
        <v>No</v>
      </c>
      <c r="H1689" t="str">
        <f>VLOOKUP($A1689,'Medical Examinations'!$A:$J,8,FALSE)</f>
        <v>No</v>
      </c>
      <c r="I1689">
        <f>VLOOKUP($A1689,'Medical Examinations'!$A:$J,9,FALSE)</f>
        <v>0</v>
      </c>
      <c r="J1689" t="str">
        <f>VLOOKUP($A1689,'Medical Examinations'!$A:$J,10,FALSE)</f>
        <v>No</v>
      </c>
      <c r="K1689" t="str">
        <f>VLOOKUP($A1689,'Medical Examinations'!$A:$J,5,FALSE)</f>
        <v>Normal</v>
      </c>
      <c r="L1689">
        <f>VLOOKUP($A1690,'Medical Examinations'!$A:$J,3,FALSE)</f>
        <v>18.350000000000001</v>
      </c>
      <c r="N1689" s="11">
        <f>VLOOKUP($B1689,'Hospitalisation Details'!A1688:J4032,10,0)</f>
        <v>26262</v>
      </c>
      <c r="O1689" t="str">
        <f>VLOOKUP($B1689,'Hospitalisation Details'!A1688:J4032,8,0)</f>
        <v>tier - 1</v>
      </c>
      <c r="P1689" t="str">
        <f>VLOOKUP($B1689,'Hospitalisation Details'!A1688:J4032,7,0)</f>
        <v>tier - 2</v>
      </c>
      <c r="Q1689" t="str">
        <f>VLOOKUP($B1689,'Hospitalisation Details'!A1688:J4032,9,0)</f>
        <v>R1023</v>
      </c>
      <c r="R1689">
        <f>VLOOKUP($B1689,'Hospitalisation Details'!A1688:K4032,11,0)</f>
        <v>51</v>
      </c>
    </row>
    <row r="1690" spans="1:18" x14ac:dyDescent="0.35">
      <c r="A1690" t="s">
        <v>682</v>
      </c>
      <c r="B1690" t="s">
        <v>1721</v>
      </c>
      <c r="C1690" t="str">
        <f>VLOOKUP($A1690,'Customer Names'!$A:$E,4,FALSE)</f>
        <v>Mark S</v>
      </c>
      <c r="D1690" t="str">
        <f>VLOOKUP($A1690,'Medical Examinations'!$A:$J,2,FALSE)</f>
        <v>Underweight</v>
      </c>
      <c r="E1690">
        <f>VLOOKUP($A1690,'Medical Examinations'!$A:$J,4,FALSE)</f>
        <v>5.12</v>
      </c>
      <c r="F1690" t="str">
        <f>VLOOKUP($A1690,'Medical Examinations'!$A:$J,6,FALSE)</f>
        <v>No</v>
      </c>
      <c r="G1690" t="str">
        <f>VLOOKUP($A1690,'Medical Examinations'!$A:$J,7,FALSE)</f>
        <v>No</v>
      </c>
      <c r="H1690" t="str">
        <f>VLOOKUP($A1690,'Medical Examinations'!$A:$J,8,FALSE)</f>
        <v>No</v>
      </c>
      <c r="I1690">
        <f>VLOOKUP($A1690,'Medical Examinations'!$A:$J,9,FALSE)</f>
        <v>0</v>
      </c>
      <c r="J1690" t="str">
        <f>VLOOKUP($A1690,'Medical Examinations'!$A:$J,10,FALSE)</f>
        <v>No</v>
      </c>
      <c r="K1690" t="str">
        <f>VLOOKUP($A1690,'Medical Examinations'!$A:$J,5,FALSE)</f>
        <v>Normal</v>
      </c>
      <c r="L1690">
        <f>VLOOKUP($A1691,'Medical Examinations'!$A:$J,3,FALSE)</f>
        <v>22.13</v>
      </c>
      <c r="N1690" s="11">
        <f>VLOOKUP($B1690,'Hospitalisation Details'!A1689:J4033,10,0)</f>
        <v>22944</v>
      </c>
      <c r="O1690" t="str">
        <f>VLOOKUP($B1690,'Hospitalisation Details'!A1689:J4033,8,0)</f>
        <v>tier - 2</v>
      </c>
      <c r="P1690" t="str">
        <f>VLOOKUP($B1690,'Hospitalisation Details'!A1689:J4033,7,0)</f>
        <v>tier - 2</v>
      </c>
      <c r="Q1690" t="str">
        <f>VLOOKUP($B1690,'Hospitalisation Details'!A1689:J4033,9,0)</f>
        <v>R1012</v>
      </c>
      <c r="R1690">
        <f>VLOOKUP($B1690,'Hospitalisation Details'!A1689:K4033,11,0)</f>
        <v>60</v>
      </c>
    </row>
    <row r="1691" spans="1:18" x14ac:dyDescent="0.35">
      <c r="A1691" t="s">
        <v>681</v>
      </c>
      <c r="B1691" t="s">
        <v>1722</v>
      </c>
      <c r="C1691" t="str">
        <f>VLOOKUP($A1691,'Customer Names'!$A:$E,4,FALSE)</f>
        <v>Federica</v>
      </c>
      <c r="D1691" t="str">
        <f>VLOOKUP($A1691,'Medical Examinations'!$A:$J,2,FALSE)</f>
        <v>Normal Weight</v>
      </c>
      <c r="E1691">
        <f>VLOOKUP($A1691,'Medical Examinations'!$A:$J,4,FALSE)</f>
        <v>9.1999999999999993</v>
      </c>
      <c r="F1691" t="str">
        <f>VLOOKUP($A1691,'Medical Examinations'!$A:$J,6,FALSE)</f>
        <v>yes</v>
      </c>
      <c r="G1691" t="str">
        <f>VLOOKUP($A1691,'Medical Examinations'!$A:$J,7,FALSE)</f>
        <v>No</v>
      </c>
      <c r="H1691" t="str">
        <f>VLOOKUP($A1691,'Medical Examinations'!$A:$J,8,FALSE)</f>
        <v>No</v>
      </c>
      <c r="I1691">
        <f>VLOOKUP($A1691,'Medical Examinations'!$A:$J,9,FALSE)</f>
        <v>0</v>
      </c>
      <c r="J1691" t="str">
        <f>VLOOKUP($A1691,'Medical Examinations'!$A:$J,10,FALSE)</f>
        <v>No</v>
      </c>
      <c r="K1691" t="str">
        <f>VLOOKUP($A1691,'Medical Examinations'!$A:$J,5,FALSE)</f>
        <v>Diabetes</v>
      </c>
      <c r="L1691">
        <f>VLOOKUP($A1692,'Medical Examinations'!$A:$J,3,FALSE)</f>
        <v>22.51</v>
      </c>
      <c r="N1691" s="11">
        <f>VLOOKUP($B1691,'Hospitalisation Details'!A1690:J4034,10,0)</f>
        <v>21705</v>
      </c>
      <c r="O1691" t="str">
        <f>VLOOKUP($B1691,'Hospitalisation Details'!A1690:J4034,8,0)</f>
        <v>tier - 1</v>
      </c>
      <c r="P1691" t="str">
        <f>VLOOKUP($B1691,'Hospitalisation Details'!A1690:J4034,7,0)</f>
        <v>tier - 2</v>
      </c>
      <c r="Q1691" t="str">
        <f>VLOOKUP($B1691,'Hospitalisation Details'!A1690:J4034,9,0)</f>
        <v>R1013</v>
      </c>
      <c r="R1691">
        <f>VLOOKUP($B1691,'Hospitalisation Details'!A1690:K4034,11,0)</f>
        <v>64</v>
      </c>
    </row>
    <row r="1692" spans="1:18" x14ac:dyDescent="0.35">
      <c r="A1692" t="s">
        <v>680</v>
      </c>
      <c r="B1692" t="s">
        <v>1723</v>
      </c>
      <c r="C1692" t="str">
        <f>VLOOKUP($A1692,'Customer Names'!$A:$E,4,FALSE)</f>
        <v>Pamela L</v>
      </c>
      <c r="D1692" t="str">
        <f>VLOOKUP($A1692,'Medical Examinations'!$A:$J,2,FALSE)</f>
        <v>Normal Weight</v>
      </c>
      <c r="E1692">
        <f>VLOOKUP($A1692,'Medical Examinations'!$A:$J,4,FALSE)</f>
        <v>6.08</v>
      </c>
      <c r="F1692" t="str">
        <f>VLOOKUP($A1692,'Medical Examinations'!$A:$J,6,FALSE)</f>
        <v>yes</v>
      </c>
      <c r="G1692" t="str">
        <f>VLOOKUP($A1692,'Medical Examinations'!$A:$J,7,FALSE)</f>
        <v>No</v>
      </c>
      <c r="H1692" t="str">
        <f>VLOOKUP($A1692,'Medical Examinations'!$A:$J,8,FALSE)</f>
        <v>No</v>
      </c>
      <c r="I1692">
        <f>VLOOKUP($A1692,'Medical Examinations'!$A:$J,9,FALSE)</f>
        <v>1</v>
      </c>
      <c r="J1692" t="str">
        <f>VLOOKUP($A1692,'Medical Examinations'!$A:$J,10,FALSE)</f>
        <v>No</v>
      </c>
      <c r="K1692" t="str">
        <f>VLOOKUP($A1692,'Medical Examinations'!$A:$J,5,FALSE)</f>
        <v>Prediabetes</v>
      </c>
      <c r="L1692">
        <f>VLOOKUP($A1693,'Medical Examinations'!$A:$J,3,FALSE)</f>
        <v>31</v>
      </c>
      <c r="N1692" s="11">
        <f>VLOOKUP($B1692,'Hospitalisation Details'!A1691:J4035,10,0)</f>
        <v>21887</v>
      </c>
      <c r="O1692" t="str">
        <f>VLOOKUP($B1692,'Hospitalisation Details'!A1691:J4035,8,0)</f>
        <v>tier - 3</v>
      </c>
      <c r="P1692" t="str">
        <f>VLOOKUP($B1692,'Hospitalisation Details'!A1691:J4035,7,0)</f>
        <v>tier - 2</v>
      </c>
      <c r="Q1692" t="str">
        <f>VLOOKUP($B1692,'Hospitalisation Details'!A1691:J4035,9,0)</f>
        <v>R1011</v>
      </c>
      <c r="R1692">
        <f>VLOOKUP($B1692,'Hospitalisation Details'!A1691:K4035,11,0)</f>
        <v>63</v>
      </c>
    </row>
    <row r="1693" spans="1:18" x14ac:dyDescent="0.35">
      <c r="A1693" t="s">
        <v>679</v>
      </c>
      <c r="B1693" t="s">
        <v>1724</v>
      </c>
      <c r="C1693" t="str">
        <f>VLOOKUP($A1693,'Customer Names'!$A:$E,4,FALSE)</f>
        <v>Andrew W.</v>
      </c>
      <c r="D1693" t="str">
        <f>VLOOKUP($A1693,'Medical Examinations'!$A:$J,2,FALSE)</f>
        <v>Obesity</v>
      </c>
      <c r="E1693">
        <f>VLOOKUP($A1693,'Medical Examinations'!$A:$J,4,FALSE)</f>
        <v>4.7699999999999996</v>
      </c>
      <c r="F1693" t="str">
        <f>VLOOKUP($A1693,'Medical Examinations'!$A:$J,6,FALSE)</f>
        <v>No</v>
      </c>
      <c r="G1693" t="str">
        <f>VLOOKUP($A1693,'Medical Examinations'!$A:$J,7,FALSE)</f>
        <v>No</v>
      </c>
      <c r="H1693" t="str">
        <f>VLOOKUP($A1693,'Medical Examinations'!$A:$J,8,FALSE)</f>
        <v>No</v>
      </c>
      <c r="I1693">
        <f>VLOOKUP($A1693,'Medical Examinations'!$A:$J,9,FALSE)</f>
        <v>1</v>
      </c>
      <c r="J1693" t="str">
        <f>VLOOKUP($A1693,'Medical Examinations'!$A:$J,10,FALSE)</f>
        <v>No</v>
      </c>
      <c r="K1693" t="str">
        <f>VLOOKUP($A1693,'Medical Examinations'!$A:$J,5,FALSE)</f>
        <v>Normal</v>
      </c>
      <c r="L1693">
        <f>VLOOKUP($A1694,'Medical Examinations'!$A:$J,3,FALSE)</f>
        <v>28.27</v>
      </c>
      <c r="N1693" s="11">
        <f>VLOOKUP($B1693,'Hospitalisation Details'!A1692:J4036,10,0)</f>
        <v>22814</v>
      </c>
      <c r="O1693" t="str">
        <f>VLOOKUP($B1693,'Hospitalisation Details'!A1692:J4036,8,0)</f>
        <v>tier - 1</v>
      </c>
      <c r="P1693" t="str">
        <f>VLOOKUP($B1693,'Hospitalisation Details'!A1692:J4036,7,0)</f>
        <v>tier - 2</v>
      </c>
      <c r="Q1693" t="str">
        <f>VLOOKUP($B1693,'Hospitalisation Details'!A1692:J4036,9,0)</f>
        <v>R1012</v>
      </c>
      <c r="R1693">
        <f>VLOOKUP($B1693,'Hospitalisation Details'!A1692:K4036,11,0)</f>
        <v>60</v>
      </c>
    </row>
    <row r="1694" spans="1:18" x14ac:dyDescent="0.35">
      <c r="A1694" t="s">
        <v>678</v>
      </c>
      <c r="B1694" t="s">
        <v>1725</v>
      </c>
      <c r="C1694" t="str">
        <f>VLOOKUP($A1694,'Customer Names'!$A:$E,4,FALSE)</f>
        <v>Randall</v>
      </c>
      <c r="D1694" t="str">
        <f>VLOOKUP($A1694,'Medical Examinations'!$A:$J,2,FALSE)</f>
        <v>Overweight</v>
      </c>
      <c r="E1694">
        <f>VLOOKUP($A1694,'Medical Examinations'!$A:$J,4,FALSE)</f>
        <v>4.62</v>
      </c>
      <c r="F1694" t="str">
        <f>VLOOKUP($A1694,'Medical Examinations'!$A:$J,6,FALSE)</f>
        <v>No</v>
      </c>
      <c r="G1694" t="str">
        <f>VLOOKUP($A1694,'Medical Examinations'!$A:$J,7,FALSE)</f>
        <v>No</v>
      </c>
      <c r="H1694" t="str">
        <f>VLOOKUP($A1694,'Medical Examinations'!$A:$J,8,FALSE)</f>
        <v>No</v>
      </c>
      <c r="I1694">
        <f>VLOOKUP($A1694,'Medical Examinations'!$A:$J,9,FALSE)</f>
        <v>1</v>
      </c>
      <c r="J1694" t="str">
        <f>VLOOKUP($A1694,'Medical Examinations'!$A:$J,10,FALSE)</f>
        <v>No</v>
      </c>
      <c r="K1694" t="str">
        <f>VLOOKUP($A1694,'Medical Examinations'!$A:$J,5,FALSE)</f>
        <v>Normal</v>
      </c>
      <c r="L1694">
        <f>VLOOKUP($A1695,'Medical Examinations'!$A:$J,3,FALSE)</f>
        <v>29.92</v>
      </c>
      <c r="N1694" s="11">
        <f>VLOOKUP($B1694,'Hospitalisation Details'!A1693:J4037,10,0)</f>
        <v>28817</v>
      </c>
      <c r="O1694" t="str">
        <f>VLOOKUP($B1694,'Hospitalisation Details'!A1693:J4037,8,0)</f>
        <v>tier - 1</v>
      </c>
      <c r="P1694" t="str">
        <f>VLOOKUP($B1694,'Hospitalisation Details'!A1693:J4037,7,0)</f>
        <v>tier - 2</v>
      </c>
      <c r="Q1694" t="str">
        <f>VLOOKUP($B1694,'Hospitalisation Details'!A1693:J4037,9,0)</f>
        <v>R1012</v>
      </c>
      <c r="R1694">
        <f>VLOOKUP($B1694,'Hospitalisation Details'!A1693:K4037,11,0)</f>
        <v>44</v>
      </c>
    </row>
    <row r="1695" spans="1:18" x14ac:dyDescent="0.35">
      <c r="A1695" t="s">
        <v>677</v>
      </c>
      <c r="B1695" t="s">
        <v>1726</v>
      </c>
      <c r="C1695" t="str">
        <f>VLOOKUP($A1695,'Customer Names'!$A:$E,4,FALSE)</f>
        <v>Tracy L</v>
      </c>
      <c r="D1695" t="str">
        <f>VLOOKUP($A1695,'Medical Examinations'!$A:$J,2,FALSE)</f>
        <v>Overweight</v>
      </c>
      <c r="E1695">
        <f>VLOOKUP($A1695,'Medical Examinations'!$A:$J,4,FALSE)</f>
        <v>9.07</v>
      </c>
      <c r="F1695" t="str">
        <f>VLOOKUP($A1695,'Medical Examinations'!$A:$J,6,FALSE)</f>
        <v>yes</v>
      </c>
      <c r="G1695" t="str">
        <f>VLOOKUP($A1695,'Medical Examinations'!$A:$J,7,FALSE)</f>
        <v>No</v>
      </c>
      <c r="H1695" t="str">
        <f>VLOOKUP($A1695,'Medical Examinations'!$A:$J,8,FALSE)</f>
        <v>No</v>
      </c>
      <c r="I1695">
        <f>VLOOKUP($A1695,'Medical Examinations'!$A:$J,9,FALSE)</f>
        <v>1</v>
      </c>
      <c r="J1695" t="str">
        <f>VLOOKUP($A1695,'Medical Examinations'!$A:$J,10,FALSE)</f>
        <v>No</v>
      </c>
      <c r="K1695" t="str">
        <f>VLOOKUP($A1695,'Medical Examinations'!$A:$J,5,FALSE)</f>
        <v>Diabetes</v>
      </c>
      <c r="L1695">
        <f>VLOOKUP($A1696,'Medical Examinations'!$A:$J,3,FALSE)</f>
        <v>25.9</v>
      </c>
      <c r="N1695" s="11">
        <f>VLOOKUP($B1695,'Hospitalisation Details'!A1694:J4038,10,0)</f>
        <v>22122</v>
      </c>
      <c r="O1695" t="str">
        <f>VLOOKUP($B1695,'Hospitalisation Details'!A1694:J4038,8,0)</f>
        <v>tier - 2</v>
      </c>
      <c r="P1695" t="str">
        <f>VLOOKUP($B1695,'Hospitalisation Details'!A1694:J4038,7,0)</f>
        <v>tier - 2</v>
      </c>
      <c r="Q1695" t="str">
        <f>VLOOKUP($B1695,'Hospitalisation Details'!A1694:J4038,9,0)</f>
        <v>R1024</v>
      </c>
      <c r="R1695">
        <f>VLOOKUP($B1695,'Hospitalisation Details'!A1694:K4038,11,0)</f>
        <v>62</v>
      </c>
    </row>
    <row r="1696" spans="1:18" x14ac:dyDescent="0.35">
      <c r="A1696" t="s">
        <v>676</v>
      </c>
      <c r="B1696" t="s">
        <v>1727</v>
      </c>
      <c r="C1696" t="str">
        <f>VLOOKUP($A1696,'Customer Names'!$A:$E,4,FALSE)</f>
        <v>Azelie</v>
      </c>
      <c r="D1696" t="str">
        <f>VLOOKUP($A1696,'Medical Examinations'!$A:$J,2,FALSE)</f>
        <v>Overweight</v>
      </c>
      <c r="E1696">
        <f>VLOOKUP($A1696,'Medical Examinations'!$A:$J,4,FALSE)</f>
        <v>9.1199999999999992</v>
      </c>
      <c r="F1696" t="str">
        <f>VLOOKUP($A1696,'Medical Examinations'!$A:$J,6,FALSE)</f>
        <v>yes</v>
      </c>
      <c r="G1696" t="str">
        <f>VLOOKUP($A1696,'Medical Examinations'!$A:$J,7,FALSE)</f>
        <v>No</v>
      </c>
      <c r="H1696" t="str">
        <f>VLOOKUP($A1696,'Medical Examinations'!$A:$J,8,FALSE)</f>
        <v>No</v>
      </c>
      <c r="I1696">
        <f>VLOOKUP($A1696,'Medical Examinations'!$A:$J,9,FALSE)</f>
        <v>1</v>
      </c>
      <c r="J1696" t="str">
        <f>VLOOKUP($A1696,'Medical Examinations'!$A:$J,10,FALSE)</f>
        <v>No</v>
      </c>
      <c r="K1696" t="str">
        <f>VLOOKUP($A1696,'Medical Examinations'!$A:$J,5,FALSE)</f>
        <v>Diabetes</v>
      </c>
      <c r="L1696">
        <f>VLOOKUP($A1697,'Medical Examinations'!$A:$J,3,FALSE)</f>
        <v>27.74</v>
      </c>
      <c r="N1696" s="11">
        <f>VLOOKUP($B1696,'Hospitalisation Details'!A1695:J4039,10,0)</f>
        <v>25462</v>
      </c>
      <c r="O1696" t="str">
        <f>VLOOKUP($B1696,'Hospitalisation Details'!A1695:J4039,8,0)</f>
        <v>tier - 2</v>
      </c>
      <c r="P1696" t="str">
        <f>VLOOKUP($B1696,'Hospitalisation Details'!A1695:J4039,7,0)</f>
        <v>tier - 2</v>
      </c>
      <c r="Q1696" t="str">
        <f>VLOOKUP($B1696,'Hospitalisation Details'!A1695:J4039,9,0)</f>
        <v>R1023</v>
      </c>
      <c r="R1696">
        <f>VLOOKUP($B1696,'Hospitalisation Details'!A1695:K4039,11,0)</f>
        <v>53</v>
      </c>
    </row>
    <row r="1697" spans="1:18" x14ac:dyDescent="0.35">
      <c r="A1697" t="s">
        <v>675</v>
      </c>
      <c r="B1697" t="s">
        <v>1728</v>
      </c>
      <c r="C1697" t="str">
        <f>VLOOKUP($A1697,'Customer Names'!$A:$E,4,FALSE)</f>
        <v>Monica M.</v>
      </c>
      <c r="D1697" t="str">
        <f>VLOOKUP($A1697,'Medical Examinations'!$A:$J,2,FALSE)</f>
        <v>Overweight</v>
      </c>
      <c r="E1697">
        <f>VLOOKUP($A1697,'Medical Examinations'!$A:$J,4,FALSE)</f>
        <v>7.32</v>
      </c>
      <c r="F1697" t="str">
        <f>VLOOKUP($A1697,'Medical Examinations'!$A:$J,6,FALSE)</f>
        <v>yes</v>
      </c>
      <c r="G1697" t="str">
        <f>VLOOKUP($A1697,'Medical Examinations'!$A:$J,7,FALSE)</f>
        <v>No</v>
      </c>
      <c r="H1697" t="str">
        <f>VLOOKUP($A1697,'Medical Examinations'!$A:$J,8,FALSE)</f>
        <v>No</v>
      </c>
      <c r="I1697">
        <f>VLOOKUP($A1697,'Medical Examinations'!$A:$J,9,FALSE)</f>
        <v>1</v>
      </c>
      <c r="J1697" t="str">
        <f>VLOOKUP($A1697,'Medical Examinations'!$A:$J,10,FALSE)</f>
        <v>No</v>
      </c>
      <c r="K1697" t="str">
        <f>VLOOKUP($A1697,'Medical Examinations'!$A:$J,5,FALSE)</f>
        <v>Diabetes</v>
      </c>
      <c r="L1697">
        <f>VLOOKUP($A1698,'Medical Examinations'!$A:$J,3,FALSE)</f>
        <v>17.260000000000002</v>
      </c>
      <c r="N1697" s="11">
        <f>VLOOKUP($B1697,'Hospitalisation Details'!A1696:J4040,10,0)</f>
        <v>23358</v>
      </c>
      <c r="O1697" t="str">
        <f>VLOOKUP($B1697,'Hospitalisation Details'!A1696:J4040,8,0)</f>
        <v>tier - 3</v>
      </c>
      <c r="P1697" t="str">
        <f>VLOOKUP($B1697,'Hospitalisation Details'!A1696:J4040,7,0)</f>
        <v>tier - 2</v>
      </c>
      <c r="Q1697" t="str">
        <f>VLOOKUP($B1697,'Hospitalisation Details'!A1696:J4040,9,0)</f>
        <v>R1021</v>
      </c>
      <c r="R1697">
        <f>VLOOKUP($B1697,'Hospitalisation Details'!A1696:K4040,11,0)</f>
        <v>59</v>
      </c>
    </row>
    <row r="1698" spans="1:18" x14ac:dyDescent="0.35">
      <c r="A1698" t="s">
        <v>674</v>
      </c>
      <c r="B1698" t="s">
        <v>1729</v>
      </c>
      <c r="C1698" t="str">
        <f>VLOOKUP($A1698,'Customer Names'!$A:$E,4,FALSE)</f>
        <v>Katarina K.</v>
      </c>
      <c r="D1698" t="str">
        <f>VLOOKUP($A1698,'Medical Examinations'!$A:$J,2,FALSE)</f>
        <v>Underweight</v>
      </c>
      <c r="E1698">
        <f>VLOOKUP($A1698,'Medical Examinations'!$A:$J,4,FALSE)</f>
        <v>11.73</v>
      </c>
      <c r="F1698" t="str">
        <f>VLOOKUP($A1698,'Medical Examinations'!$A:$J,6,FALSE)</f>
        <v>No</v>
      </c>
      <c r="G1698" t="str">
        <f>VLOOKUP($A1698,'Medical Examinations'!$A:$J,7,FALSE)</f>
        <v>No</v>
      </c>
      <c r="H1698" t="str">
        <f>VLOOKUP($A1698,'Medical Examinations'!$A:$J,8,FALSE)</f>
        <v>No</v>
      </c>
      <c r="I1698">
        <f>VLOOKUP($A1698,'Medical Examinations'!$A:$J,9,FALSE)</f>
        <v>2</v>
      </c>
      <c r="J1698" t="str">
        <f>VLOOKUP($A1698,'Medical Examinations'!$A:$J,10,FALSE)</f>
        <v>No</v>
      </c>
      <c r="K1698" t="str">
        <f>VLOOKUP($A1698,'Medical Examinations'!$A:$J,5,FALSE)</f>
        <v>Diabetes</v>
      </c>
      <c r="L1698">
        <f>VLOOKUP($A1699,'Medical Examinations'!$A:$J,3,FALSE)</f>
        <v>19.855</v>
      </c>
      <c r="N1698" s="11">
        <f>VLOOKUP($B1698,'Hospitalisation Details'!A1697:J4041,10,0)</f>
        <v>37086</v>
      </c>
      <c r="O1698" t="str">
        <f>VLOOKUP($B1698,'Hospitalisation Details'!A1697:J4041,8,0)</f>
        <v>tier - 3</v>
      </c>
      <c r="P1698" t="str">
        <f>VLOOKUP($B1698,'Hospitalisation Details'!A1697:J4041,7,0)</f>
        <v>tier - 2</v>
      </c>
      <c r="Q1698" t="str">
        <f>VLOOKUP($B1698,'Hospitalisation Details'!A1697:J4041,9,0)</f>
        <v>R1024</v>
      </c>
      <c r="R1698">
        <f>VLOOKUP($B1698,'Hospitalisation Details'!A1697:K4041,11,0)</f>
        <v>21</v>
      </c>
    </row>
    <row r="1699" spans="1:18" x14ac:dyDescent="0.35">
      <c r="A1699" t="s">
        <v>673</v>
      </c>
      <c r="B1699" t="s">
        <v>1730</v>
      </c>
      <c r="C1699" t="str">
        <f>VLOOKUP($A1699,'Customer Names'!$A:$E,4,FALSE)</f>
        <v>Jamie L.</v>
      </c>
      <c r="D1699" t="str">
        <f>VLOOKUP($A1699,'Medical Examinations'!$A:$J,2,FALSE)</f>
        <v>Normal Weight</v>
      </c>
      <c r="E1699">
        <f>VLOOKUP($A1699,'Medical Examinations'!$A:$J,4,FALSE)</f>
        <v>6.64</v>
      </c>
      <c r="F1699" t="str">
        <f>VLOOKUP($A1699,'Medical Examinations'!$A:$J,6,FALSE)</f>
        <v>yes</v>
      </c>
      <c r="G1699" t="str">
        <f>VLOOKUP($A1699,'Medical Examinations'!$A:$J,7,FALSE)</f>
        <v>No</v>
      </c>
      <c r="H1699" t="str">
        <f>VLOOKUP($A1699,'Medical Examinations'!$A:$J,8,FALSE)</f>
        <v>No</v>
      </c>
      <c r="I1699">
        <f>VLOOKUP($A1699,'Medical Examinations'!$A:$J,9,FALSE)</f>
        <v>1</v>
      </c>
      <c r="J1699" t="str">
        <f>VLOOKUP($A1699,'Medical Examinations'!$A:$J,10,FALSE)</f>
        <v>No</v>
      </c>
      <c r="K1699" t="str">
        <f>VLOOKUP($A1699,'Medical Examinations'!$A:$J,5,FALSE)</f>
        <v>Diabetes</v>
      </c>
      <c r="L1699">
        <f>VLOOKUP($A1700,'Medical Examinations'!$A:$J,3,FALSE)</f>
        <v>41.69</v>
      </c>
      <c r="N1699" s="11">
        <f>VLOOKUP($B1699,'Hospitalisation Details'!A1698:J4042,10,0)</f>
        <v>32494</v>
      </c>
      <c r="O1699" t="str">
        <f>VLOOKUP($B1699,'Hospitalisation Details'!A1698:J4042,8,0)</f>
        <v>tier - 3</v>
      </c>
      <c r="P1699" t="str">
        <f>VLOOKUP($B1699,'Hospitalisation Details'!A1698:J4042,7,0)</f>
        <v>tier - 2</v>
      </c>
      <c r="Q1699" t="str">
        <f>VLOOKUP($B1699,'Hospitalisation Details'!A1698:J4042,9,0)</f>
        <v>R1023</v>
      </c>
      <c r="R1699">
        <f>VLOOKUP($B1699,'Hospitalisation Details'!A1698:K4042,11,0)</f>
        <v>34</v>
      </c>
    </row>
    <row r="1700" spans="1:18" x14ac:dyDescent="0.35">
      <c r="A1700" t="s">
        <v>672</v>
      </c>
      <c r="B1700" t="s">
        <v>1731</v>
      </c>
      <c r="C1700" t="str">
        <f>VLOOKUP($A1700,'Customer Names'!$A:$E,4,FALSE)</f>
        <v>Brian</v>
      </c>
      <c r="D1700" t="str">
        <f>VLOOKUP($A1700,'Medical Examinations'!$A:$J,2,FALSE)</f>
        <v>Obesity</v>
      </c>
      <c r="E1700">
        <f>VLOOKUP($A1700,'Medical Examinations'!$A:$J,4,FALSE)</f>
        <v>5.78</v>
      </c>
      <c r="F1700" t="str">
        <f>VLOOKUP($A1700,'Medical Examinations'!$A:$J,6,FALSE)</f>
        <v>No</v>
      </c>
      <c r="G1700" t="str">
        <f>VLOOKUP($A1700,'Medical Examinations'!$A:$J,7,FALSE)</f>
        <v>No</v>
      </c>
      <c r="H1700" t="str">
        <f>VLOOKUP($A1700,'Medical Examinations'!$A:$J,8,FALSE)</f>
        <v>No</v>
      </c>
      <c r="I1700">
        <f>VLOOKUP($A1700,'Medical Examinations'!$A:$J,9,FALSE)</f>
        <v>0</v>
      </c>
      <c r="J1700" t="str">
        <f>VLOOKUP($A1700,'Medical Examinations'!$A:$J,10,FALSE)</f>
        <v>No</v>
      </c>
      <c r="K1700" t="str">
        <f>VLOOKUP($A1700,'Medical Examinations'!$A:$J,5,FALSE)</f>
        <v>Prediabetes</v>
      </c>
      <c r="L1700">
        <f>VLOOKUP($A1701,'Medical Examinations'!$A:$J,3,FALSE)</f>
        <v>16.12</v>
      </c>
      <c r="N1700" s="11">
        <f>VLOOKUP($B1700,'Hospitalisation Details'!A1699:J4043,10,0)</f>
        <v>25037</v>
      </c>
      <c r="O1700" t="str">
        <f>VLOOKUP($B1700,'Hospitalisation Details'!A1699:J4043,8,0)</f>
        <v>tier - 1</v>
      </c>
      <c r="P1700" t="str">
        <f>VLOOKUP($B1700,'Hospitalisation Details'!A1699:J4043,7,0)</f>
        <v>tier - 2</v>
      </c>
      <c r="Q1700" t="str">
        <f>VLOOKUP($B1700,'Hospitalisation Details'!A1699:J4043,9,0)</f>
        <v>R1026</v>
      </c>
      <c r="R1700">
        <f>VLOOKUP($B1700,'Hospitalisation Details'!A1699:K4043,11,0)</f>
        <v>54</v>
      </c>
    </row>
    <row r="1701" spans="1:18" x14ac:dyDescent="0.35">
      <c r="A1701" t="s">
        <v>671</v>
      </c>
      <c r="B1701" t="s">
        <v>1732</v>
      </c>
      <c r="C1701" t="str">
        <f>VLOOKUP($A1701,'Customer Names'!$A:$E,4,FALSE)</f>
        <v>Stacey L.</v>
      </c>
      <c r="D1701" t="str">
        <f>VLOOKUP($A1701,'Medical Examinations'!$A:$J,2,FALSE)</f>
        <v>Underweight</v>
      </c>
      <c r="E1701">
        <f>VLOOKUP($A1701,'Medical Examinations'!$A:$J,4,FALSE)</f>
        <v>10.45</v>
      </c>
      <c r="F1701" t="str">
        <f>VLOOKUP($A1701,'Medical Examinations'!$A:$J,6,FALSE)</f>
        <v>No</v>
      </c>
      <c r="G1701" t="str">
        <f>VLOOKUP($A1701,'Medical Examinations'!$A:$J,7,FALSE)</f>
        <v>No</v>
      </c>
      <c r="H1701" t="str">
        <f>VLOOKUP($A1701,'Medical Examinations'!$A:$J,8,FALSE)</f>
        <v>No</v>
      </c>
      <c r="I1701">
        <f>VLOOKUP($A1701,'Medical Examinations'!$A:$J,9,FALSE)</f>
        <v>0</v>
      </c>
      <c r="J1701" t="str">
        <f>VLOOKUP($A1701,'Medical Examinations'!$A:$J,10,FALSE)</f>
        <v>No</v>
      </c>
      <c r="K1701" t="str">
        <f>VLOOKUP($A1701,'Medical Examinations'!$A:$J,5,FALSE)</f>
        <v>Diabetes</v>
      </c>
      <c r="L1701">
        <f>VLOOKUP($A1702,'Medical Examinations'!$A:$J,3,FALSE)</f>
        <v>37.43</v>
      </c>
      <c r="N1701" s="11">
        <f>VLOOKUP($B1701,'Hospitalisation Details'!A1700:J4044,10,0)</f>
        <v>22895</v>
      </c>
      <c r="O1701" t="str">
        <f>VLOOKUP($B1701,'Hospitalisation Details'!A1700:J4044,8,0)</f>
        <v>tier - 2</v>
      </c>
      <c r="P1701" t="str">
        <f>VLOOKUP($B1701,'Hospitalisation Details'!A1700:J4044,7,0)</f>
        <v>tier - 2</v>
      </c>
      <c r="Q1701" t="str">
        <f>VLOOKUP($B1701,'Hospitalisation Details'!A1700:J4044,9,0)</f>
        <v>R1011</v>
      </c>
      <c r="R1701">
        <f>VLOOKUP($B1701,'Hospitalisation Details'!A1700:K4044,11,0)</f>
        <v>60</v>
      </c>
    </row>
    <row r="1702" spans="1:18" x14ac:dyDescent="0.35">
      <c r="A1702" t="s">
        <v>670</v>
      </c>
      <c r="B1702" t="s">
        <v>1733</v>
      </c>
      <c r="C1702" t="str">
        <f>VLOOKUP($A1702,'Customer Names'!$A:$E,4,FALSE)</f>
        <v>Stephen</v>
      </c>
      <c r="D1702" t="str">
        <f>VLOOKUP($A1702,'Medical Examinations'!$A:$J,2,FALSE)</f>
        <v>Obesity</v>
      </c>
      <c r="E1702">
        <f>VLOOKUP($A1702,'Medical Examinations'!$A:$J,4,FALSE)</f>
        <v>4.5199999999999996</v>
      </c>
      <c r="F1702" t="str">
        <f>VLOOKUP($A1702,'Medical Examinations'!$A:$J,6,FALSE)</f>
        <v>No</v>
      </c>
      <c r="G1702" t="str">
        <f>VLOOKUP($A1702,'Medical Examinations'!$A:$J,7,FALSE)</f>
        <v>No</v>
      </c>
      <c r="H1702" t="str">
        <f>VLOOKUP($A1702,'Medical Examinations'!$A:$J,8,FALSE)</f>
        <v>No</v>
      </c>
      <c r="I1702">
        <f>VLOOKUP($A1702,'Medical Examinations'!$A:$J,9,FALSE)</f>
        <v>1</v>
      </c>
      <c r="J1702" t="str">
        <f>VLOOKUP($A1702,'Medical Examinations'!$A:$J,10,FALSE)</f>
        <v>No</v>
      </c>
      <c r="K1702" t="str">
        <f>VLOOKUP($A1702,'Medical Examinations'!$A:$J,5,FALSE)</f>
        <v>Normal</v>
      </c>
      <c r="L1702">
        <f>VLOOKUP($A1703,'Medical Examinations'!$A:$J,3,FALSE)</f>
        <v>31.065000000000001</v>
      </c>
      <c r="N1702" s="11">
        <f>VLOOKUP($B1702,'Hospitalisation Details'!A1701:J4045,10,0)</f>
        <v>23624</v>
      </c>
      <c r="O1702" t="str">
        <f>VLOOKUP($B1702,'Hospitalisation Details'!A1701:J4045,8,0)</f>
        <v>tier - 2</v>
      </c>
      <c r="P1702" t="str">
        <f>VLOOKUP($B1702,'Hospitalisation Details'!A1701:J4045,7,0)</f>
        <v>tier - 2</v>
      </c>
      <c r="Q1702" t="str">
        <f>VLOOKUP($B1702,'Hospitalisation Details'!A1701:J4045,9,0)</f>
        <v>R1012</v>
      </c>
      <c r="R1702">
        <f>VLOOKUP($B1702,'Hospitalisation Details'!A1701:K4045,11,0)</f>
        <v>58</v>
      </c>
    </row>
    <row r="1703" spans="1:18" x14ac:dyDescent="0.35">
      <c r="A1703" t="s">
        <v>669</v>
      </c>
      <c r="B1703" t="s">
        <v>1734</v>
      </c>
      <c r="C1703" t="str">
        <f>VLOOKUP($A1703,'Customer Names'!$A:$E,4,FALSE)</f>
        <v>Joshua</v>
      </c>
      <c r="D1703" t="str">
        <f>VLOOKUP($A1703,'Medical Examinations'!$A:$J,2,FALSE)</f>
        <v>Obesity</v>
      </c>
      <c r="E1703">
        <f>VLOOKUP($A1703,'Medical Examinations'!$A:$J,4,FALSE)</f>
        <v>5.71</v>
      </c>
      <c r="F1703" t="str">
        <f>VLOOKUP($A1703,'Medical Examinations'!$A:$J,6,FALSE)</f>
        <v>No</v>
      </c>
      <c r="G1703" t="str">
        <f>VLOOKUP($A1703,'Medical Examinations'!$A:$J,7,FALSE)</f>
        <v>No</v>
      </c>
      <c r="H1703" t="str">
        <f>VLOOKUP($A1703,'Medical Examinations'!$A:$J,8,FALSE)</f>
        <v>No</v>
      </c>
      <c r="I1703">
        <f>VLOOKUP($A1703,'Medical Examinations'!$A:$J,9,FALSE)</f>
        <v>0</v>
      </c>
      <c r="J1703" t="str">
        <f>VLOOKUP($A1703,'Medical Examinations'!$A:$J,10,FALSE)</f>
        <v>No</v>
      </c>
      <c r="K1703" t="str">
        <f>VLOOKUP($A1703,'Medical Examinations'!$A:$J,5,FALSE)</f>
        <v>Prediabetes</v>
      </c>
      <c r="L1703">
        <f>VLOOKUP($A1704,'Medical Examinations'!$A:$J,3,FALSE)</f>
        <v>25.08</v>
      </c>
      <c r="N1703" s="11">
        <f>VLOOKUP($B1703,'Hospitalisation Details'!A1702:J4046,10,0)</f>
        <v>33171</v>
      </c>
      <c r="O1703" t="str">
        <f>VLOOKUP($B1703,'Hospitalisation Details'!A1702:J4046,8,0)</f>
        <v>tier - 1</v>
      </c>
      <c r="P1703" t="str">
        <f>VLOOKUP($B1703,'Hospitalisation Details'!A1702:J4046,7,0)</f>
        <v>tier - 2</v>
      </c>
      <c r="Q1703" t="str">
        <f>VLOOKUP($B1703,'Hospitalisation Details'!A1702:J4046,9,0)</f>
        <v>R1012</v>
      </c>
      <c r="R1703">
        <f>VLOOKUP($B1703,'Hospitalisation Details'!A1702:K4046,11,0)</f>
        <v>32</v>
      </c>
    </row>
    <row r="1704" spans="1:18" x14ac:dyDescent="0.35">
      <c r="A1704" t="s">
        <v>668</v>
      </c>
      <c r="B1704" t="s">
        <v>1735</v>
      </c>
      <c r="C1704" t="str">
        <f>VLOOKUP($A1704,'Customer Names'!$A:$E,4,FALSE)</f>
        <v>Josh</v>
      </c>
      <c r="D1704" t="str">
        <f>VLOOKUP($A1704,'Medical Examinations'!$A:$J,2,FALSE)</f>
        <v>Overweight</v>
      </c>
      <c r="E1704">
        <f>VLOOKUP($A1704,'Medical Examinations'!$A:$J,4,FALSE)</f>
        <v>4.7699999999999996</v>
      </c>
      <c r="F1704" t="str">
        <f>VLOOKUP($A1704,'Medical Examinations'!$A:$J,6,FALSE)</f>
        <v>No</v>
      </c>
      <c r="G1704" t="str">
        <f>VLOOKUP($A1704,'Medical Examinations'!$A:$J,7,FALSE)</f>
        <v>No</v>
      </c>
      <c r="H1704" t="str">
        <f>VLOOKUP($A1704,'Medical Examinations'!$A:$J,8,FALSE)</f>
        <v>No</v>
      </c>
      <c r="I1704">
        <f>VLOOKUP($A1704,'Medical Examinations'!$A:$J,9,FALSE)</f>
        <v>0</v>
      </c>
      <c r="J1704" t="str">
        <f>VLOOKUP($A1704,'Medical Examinations'!$A:$J,10,FALSE)</f>
        <v>No</v>
      </c>
      <c r="K1704" t="str">
        <f>VLOOKUP($A1704,'Medical Examinations'!$A:$J,5,FALSE)</f>
        <v>Normal</v>
      </c>
      <c r="L1704">
        <f>VLOOKUP($A1705,'Medical Examinations'!$A:$J,3,FALSE)</f>
        <v>15.2</v>
      </c>
      <c r="N1704" s="11">
        <f>VLOOKUP($B1704,'Hospitalisation Details'!A1703:J4047,10,0)</f>
        <v>27961</v>
      </c>
      <c r="O1704" t="str">
        <f>VLOOKUP($B1704,'Hospitalisation Details'!A1703:J4047,8,0)</f>
        <v>tier - 1</v>
      </c>
      <c r="P1704" t="str">
        <f>VLOOKUP($B1704,'Hospitalisation Details'!A1703:J4047,7,0)</f>
        <v>tier - 2</v>
      </c>
      <c r="Q1704" t="str">
        <f>VLOOKUP($B1704,'Hospitalisation Details'!A1703:J4047,9,0)</f>
        <v>R1026</v>
      </c>
      <c r="R1704">
        <f>VLOOKUP($B1704,'Hospitalisation Details'!A1703:K4047,11,0)</f>
        <v>46</v>
      </c>
    </row>
    <row r="1705" spans="1:18" x14ac:dyDescent="0.35">
      <c r="A1705" t="s">
        <v>667</v>
      </c>
      <c r="B1705" t="s">
        <v>1736</v>
      </c>
      <c r="C1705" t="str">
        <f>VLOOKUP($A1705,'Customer Names'!$A:$E,4,FALSE)</f>
        <v>Heather</v>
      </c>
      <c r="D1705" t="str">
        <f>VLOOKUP($A1705,'Medical Examinations'!$A:$J,2,FALSE)</f>
        <v>Underweight</v>
      </c>
      <c r="E1705">
        <f>VLOOKUP($A1705,'Medical Examinations'!$A:$J,4,FALSE)</f>
        <v>7.81</v>
      </c>
      <c r="F1705" t="str">
        <f>VLOOKUP($A1705,'Medical Examinations'!$A:$J,6,FALSE)</f>
        <v>yes</v>
      </c>
      <c r="G1705" t="str">
        <f>VLOOKUP($A1705,'Medical Examinations'!$A:$J,7,FALSE)</f>
        <v>No</v>
      </c>
      <c r="H1705" t="str">
        <f>VLOOKUP($A1705,'Medical Examinations'!$A:$J,8,FALSE)</f>
        <v>No</v>
      </c>
      <c r="I1705">
        <f>VLOOKUP($A1705,'Medical Examinations'!$A:$J,9,FALSE)</f>
        <v>1</v>
      </c>
      <c r="J1705" t="str">
        <f>VLOOKUP($A1705,'Medical Examinations'!$A:$J,10,FALSE)</f>
        <v>No</v>
      </c>
      <c r="K1705" t="str">
        <f>VLOOKUP($A1705,'Medical Examinations'!$A:$J,5,FALSE)</f>
        <v>Diabetes</v>
      </c>
      <c r="L1705">
        <f>VLOOKUP($A1706,'Medical Examinations'!$A:$J,3,FALSE)</f>
        <v>22.34</v>
      </c>
      <c r="N1705" s="11">
        <f>VLOOKUP($B1705,'Hospitalisation Details'!A1704:J4048,10,0)</f>
        <v>38185</v>
      </c>
      <c r="O1705" t="str">
        <f>VLOOKUP($B1705,'Hospitalisation Details'!A1704:J4048,8,0)</f>
        <v>tier - 3</v>
      </c>
      <c r="P1705" t="str">
        <f>VLOOKUP($B1705,'Hospitalisation Details'!A1704:J4048,7,0)</f>
        <v>tier - 2</v>
      </c>
      <c r="Q1705" t="str">
        <f>VLOOKUP($B1705,'Hospitalisation Details'!A1704:J4048,9,0)</f>
        <v>R1015</v>
      </c>
      <c r="R1705">
        <f>VLOOKUP($B1705,'Hospitalisation Details'!A1704:K4048,11,0)</f>
        <v>18</v>
      </c>
    </row>
    <row r="1706" spans="1:18" x14ac:dyDescent="0.35">
      <c r="A1706" t="s">
        <v>666</v>
      </c>
      <c r="B1706" t="s">
        <v>1737</v>
      </c>
      <c r="C1706" t="str">
        <f>VLOOKUP($A1706,'Customer Names'!$A:$E,4,FALSE)</f>
        <v>James C.</v>
      </c>
      <c r="D1706" t="str">
        <f>VLOOKUP($A1706,'Medical Examinations'!$A:$J,2,FALSE)</f>
        <v>Normal Weight</v>
      </c>
      <c r="E1706">
        <f>VLOOKUP($A1706,'Medical Examinations'!$A:$J,4,FALSE)</f>
        <v>5.19</v>
      </c>
      <c r="F1706" t="str">
        <f>VLOOKUP($A1706,'Medical Examinations'!$A:$J,6,FALSE)</f>
        <v>yes</v>
      </c>
      <c r="G1706" t="str">
        <f>VLOOKUP($A1706,'Medical Examinations'!$A:$J,7,FALSE)</f>
        <v>No</v>
      </c>
      <c r="H1706" t="str">
        <f>VLOOKUP($A1706,'Medical Examinations'!$A:$J,8,FALSE)</f>
        <v>No</v>
      </c>
      <c r="I1706">
        <f>VLOOKUP($A1706,'Medical Examinations'!$A:$J,9,FALSE)</f>
        <v>0</v>
      </c>
      <c r="J1706" t="str">
        <f>VLOOKUP($A1706,'Medical Examinations'!$A:$J,10,FALSE)</f>
        <v>No</v>
      </c>
      <c r="K1706" t="str">
        <f>VLOOKUP($A1706,'Medical Examinations'!$A:$J,5,FALSE)</f>
        <v>Normal</v>
      </c>
      <c r="L1706">
        <f>VLOOKUP($A1707,'Medical Examinations'!$A:$J,3,FALSE)</f>
        <v>40.15</v>
      </c>
      <c r="N1706" s="11">
        <f>VLOOKUP($B1706,'Hospitalisation Details'!A1705:J4049,10,0)</f>
        <v>27208</v>
      </c>
      <c r="O1706" t="str">
        <f>VLOOKUP($B1706,'Hospitalisation Details'!A1705:J4049,8,0)</f>
        <v>tier - 2</v>
      </c>
      <c r="P1706" t="str">
        <f>VLOOKUP($B1706,'Hospitalisation Details'!A1705:J4049,7,0)</f>
        <v>tier - 2</v>
      </c>
      <c r="Q1706" t="str">
        <f>VLOOKUP($B1706,'Hospitalisation Details'!A1705:J4049,9,0)</f>
        <v>R1026</v>
      </c>
      <c r="R1706">
        <f>VLOOKUP($B1706,'Hospitalisation Details'!A1705:K4049,11,0)</f>
        <v>48</v>
      </c>
    </row>
    <row r="1707" spans="1:18" x14ac:dyDescent="0.35">
      <c r="A1707" t="s">
        <v>665</v>
      </c>
      <c r="B1707" t="s">
        <v>1738</v>
      </c>
      <c r="C1707" t="str">
        <f>VLOOKUP($A1707,'Customer Names'!$A:$E,4,FALSE)</f>
        <v>Kim</v>
      </c>
      <c r="D1707" t="str">
        <f>VLOOKUP($A1707,'Medical Examinations'!$A:$J,2,FALSE)</f>
        <v>Obesity</v>
      </c>
      <c r="E1707">
        <f>VLOOKUP($A1707,'Medical Examinations'!$A:$J,4,FALSE)</f>
        <v>5.93</v>
      </c>
      <c r="F1707" t="str">
        <f>VLOOKUP($A1707,'Medical Examinations'!$A:$J,6,FALSE)</f>
        <v>No</v>
      </c>
      <c r="G1707" t="str">
        <f>VLOOKUP($A1707,'Medical Examinations'!$A:$J,7,FALSE)</f>
        <v>No</v>
      </c>
      <c r="H1707" t="str">
        <f>VLOOKUP($A1707,'Medical Examinations'!$A:$J,8,FALSE)</f>
        <v>No</v>
      </c>
      <c r="I1707">
        <f>VLOOKUP($A1707,'Medical Examinations'!$A:$J,9,FALSE)</f>
        <v>1</v>
      </c>
      <c r="J1707" t="str">
        <f>VLOOKUP($A1707,'Medical Examinations'!$A:$J,10,FALSE)</f>
        <v>No</v>
      </c>
      <c r="K1707" t="str">
        <f>VLOOKUP($A1707,'Medical Examinations'!$A:$J,5,FALSE)</f>
        <v>Prediabetes</v>
      </c>
      <c r="L1707">
        <f>VLOOKUP($A1708,'Medical Examinations'!$A:$J,3,FALSE)</f>
        <v>37.729999999999997</v>
      </c>
      <c r="N1707" s="11">
        <f>VLOOKUP($B1707,'Hospitalisation Details'!A1706:J4050,10,0)</f>
        <v>21825</v>
      </c>
      <c r="O1707" t="str">
        <f>VLOOKUP($B1707,'Hospitalisation Details'!A1706:J4050,8,0)</f>
        <v>tier - 3</v>
      </c>
      <c r="P1707" t="str">
        <f>VLOOKUP($B1707,'Hospitalisation Details'!A1706:J4050,7,0)</f>
        <v>tier - 2</v>
      </c>
      <c r="Q1707" t="str">
        <f>VLOOKUP($B1707,'Hospitalisation Details'!A1706:J4050,9,0)</f>
        <v>R1012</v>
      </c>
      <c r="R1707">
        <f>VLOOKUP($B1707,'Hospitalisation Details'!A1706:K4050,11,0)</f>
        <v>63</v>
      </c>
    </row>
    <row r="1708" spans="1:18" x14ac:dyDescent="0.35">
      <c r="A1708" t="s">
        <v>664</v>
      </c>
      <c r="B1708" t="s">
        <v>1739</v>
      </c>
      <c r="C1708" t="str">
        <f>VLOOKUP($A1708,'Customer Names'!$A:$E,4,FALSE)</f>
        <v>Marie E.</v>
      </c>
      <c r="D1708" t="str">
        <f>VLOOKUP($A1708,'Medical Examinations'!$A:$J,2,FALSE)</f>
        <v>Obesity</v>
      </c>
      <c r="E1708">
        <f>VLOOKUP($A1708,'Medical Examinations'!$A:$J,4,FALSE)</f>
        <v>6.29</v>
      </c>
      <c r="F1708" t="str">
        <f>VLOOKUP($A1708,'Medical Examinations'!$A:$J,6,FALSE)</f>
        <v>No</v>
      </c>
      <c r="G1708" t="str">
        <f>VLOOKUP($A1708,'Medical Examinations'!$A:$J,7,FALSE)</f>
        <v>No</v>
      </c>
      <c r="H1708" t="str">
        <f>VLOOKUP($A1708,'Medical Examinations'!$A:$J,8,FALSE)</f>
        <v>No</v>
      </c>
      <c r="I1708">
        <f>VLOOKUP($A1708,'Medical Examinations'!$A:$J,9,FALSE)</f>
        <v>1</v>
      </c>
      <c r="J1708" t="str">
        <f>VLOOKUP($A1708,'Medical Examinations'!$A:$J,10,FALSE)</f>
        <v>No</v>
      </c>
      <c r="K1708" t="str">
        <f>VLOOKUP($A1708,'Medical Examinations'!$A:$J,5,FALSE)</f>
        <v>Prediabetes</v>
      </c>
      <c r="L1708">
        <f>VLOOKUP($A1709,'Medical Examinations'!$A:$J,3,FALSE)</f>
        <v>25.35</v>
      </c>
      <c r="N1708" s="11">
        <f>VLOOKUP($B1708,'Hospitalisation Details'!A1707:J4051,10,0)</f>
        <v>27240</v>
      </c>
      <c r="O1708" t="str">
        <f>VLOOKUP($B1708,'Hospitalisation Details'!A1707:J4051,8,0)</f>
        <v>tier - 2</v>
      </c>
      <c r="P1708" t="str">
        <f>VLOOKUP($B1708,'Hospitalisation Details'!A1707:J4051,7,0)</f>
        <v>tier - 2</v>
      </c>
      <c r="Q1708" t="str">
        <f>VLOOKUP($B1708,'Hospitalisation Details'!A1707:J4051,9,0)</f>
        <v>R1012</v>
      </c>
      <c r="R1708">
        <f>VLOOKUP($B1708,'Hospitalisation Details'!A1707:K4051,11,0)</f>
        <v>48</v>
      </c>
    </row>
    <row r="1709" spans="1:18" x14ac:dyDescent="0.35">
      <c r="A1709" t="s">
        <v>663</v>
      </c>
      <c r="B1709" t="s">
        <v>1740</v>
      </c>
      <c r="C1709" t="str">
        <f>VLOOKUP($A1709,'Customer Names'!$A:$E,4,FALSE)</f>
        <v>Dariusz</v>
      </c>
      <c r="D1709" t="str">
        <f>VLOOKUP($A1709,'Medical Examinations'!$A:$J,2,FALSE)</f>
        <v>Overweight</v>
      </c>
      <c r="E1709">
        <f>VLOOKUP($A1709,'Medical Examinations'!$A:$J,4,FALSE)</f>
        <v>4.9000000000000004</v>
      </c>
      <c r="F1709" t="str">
        <f>VLOOKUP($A1709,'Medical Examinations'!$A:$J,6,FALSE)</f>
        <v>No</v>
      </c>
      <c r="G1709" t="str">
        <f>VLOOKUP($A1709,'Medical Examinations'!$A:$J,7,FALSE)</f>
        <v>No</v>
      </c>
      <c r="H1709" t="str">
        <f>VLOOKUP($A1709,'Medical Examinations'!$A:$J,8,FALSE)</f>
        <v>No</v>
      </c>
      <c r="I1709">
        <f>VLOOKUP($A1709,'Medical Examinations'!$A:$J,9,FALSE)</f>
        <v>0</v>
      </c>
      <c r="J1709" t="str">
        <f>VLOOKUP($A1709,'Medical Examinations'!$A:$J,10,FALSE)</f>
        <v>No</v>
      </c>
      <c r="K1709" t="str">
        <f>VLOOKUP($A1709,'Medical Examinations'!$A:$J,5,FALSE)</f>
        <v>Normal</v>
      </c>
      <c r="L1709">
        <f>VLOOKUP($A1710,'Medical Examinations'!$A:$J,3,FALSE)</f>
        <v>26.41</v>
      </c>
      <c r="N1709" s="11">
        <f>VLOOKUP($B1709,'Hospitalisation Details'!A1708:J4052,10,0)</f>
        <v>24043</v>
      </c>
      <c r="O1709" t="str">
        <f>VLOOKUP($B1709,'Hospitalisation Details'!A1708:J4052,8,0)</f>
        <v>tier - 2</v>
      </c>
      <c r="P1709" t="str">
        <f>VLOOKUP($B1709,'Hospitalisation Details'!A1708:J4052,7,0)</f>
        <v>tier - 2</v>
      </c>
      <c r="Q1709" t="str">
        <f>VLOOKUP($B1709,'Hospitalisation Details'!A1708:J4052,9,0)</f>
        <v>R1026</v>
      </c>
      <c r="R1709">
        <f>VLOOKUP($B1709,'Hospitalisation Details'!A1708:K4052,11,0)</f>
        <v>57</v>
      </c>
    </row>
    <row r="1710" spans="1:18" x14ac:dyDescent="0.35">
      <c r="A1710" t="s">
        <v>662</v>
      </c>
      <c r="B1710" t="s">
        <v>1741</v>
      </c>
      <c r="C1710" t="str">
        <f>VLOOKUP($A1710,'Customer Names'!$A:$E,4,FALSE)</f>
        <v>Jessica E.</v>
      </c>
      <c r="D1710" t="str">
        <f>VLOOKUP($A1710,'Medical Examinations'!$A:$J,2,FALSE)</f>
        <v>Overweight</v>
      </c>
      <c r="E1710">
        <f>VLOOKUP($A1710,'Medical Examinations'!$A:$J,4,FALSE)</f>
        <v>5.07</v>
      </c>
      <c r="F1710" t="str">
        <f>VLOOKUP($A1710,'Medical Examinations'!$A:$J,6,FALSE)</f>
        <v>yes</v>
      </c>
      <c r="G1710" t="str">
        <f>VLOOKUP($A1710,'Medical Examinations'!$A:$J,7,FALSE)</f>
        <v>No</v>
      </c>
      <c r="H1710" t="str">
        <f>VLOOKUP($A1710,'Medical Examinations'!$A:$J,8,FALSE)</f>
        <v>No</v>
      </c>
      <c r="I1710">
        <f>VLOOKUP($A1710,'Medical Examinations'!$A:$J,9,FALSE)</f>
        <v>1</v>
      </c>
      <c r="J1710" t="str">
        <f>VLOOKUP($A1710,'Medical Examinations'!$A:$J,10,FALSE)</f>
        <v>No</v>
      </c>
      <c r="K1710" t="str">
        <f>VLOOKUP($A1710,'Medical Examinations'!$A:$J,5,FALSE)</f>
        <v>Normal</v>
      </c>
      <c r="L1710">
        <f>VLOOKUP($A1711,'Medical Examinations'!$A:$J,3,FALSE)</f>
        <v>27.6</v>
      </c>
      <c r="N1710" s="11">
        <f>VLOOKUP($B1710,'Hospitalisation Details'!A1709:J4053,10,0)</f>
        <v>22073</v>
      </c>
      <c r="O1710" t="str">
        <f>VLOOKUP($B1710,'Hospitalisation Details'!A1709:J4053,8,0)</f>
        <v>tier - 2</v>
      </c>
      <c r="P1710" t="str">
        <f>VLOOKUP($B1710,'Hospitalisation Details'!A1709:J4053,7,0)</f>
        <v>tier - 2</v>
      </c>
      <c r="Q1710" t="str">
        <f>VLOOKUP($B1710,'Hospitalisation Details'!A1709:J4053,9,0)</f>
        <v>R1012</v>
      </c>
      <c r="R1710">
        <f>VLOOKUP($B1710,'Hospitalisation Details'!A1709:K4053,11,0)</f>
        <v>63</v>
      </c>
    </row>
    <row r="1711" spans="1:18" x14ac:dyDescent="0.35">
      <c r="A1711" t="s">
        <v>661</v>
      </c>
      <c r="B1711" t="s">
        <v>1742</v>
      </c>
      <c r="C1711" t="str">
        <f>VLOOKUP($A1711,'Customer Names'!$A:$E,4,FALSE)</f>
        <v>Kristen</v>
      </c>
      <c r="D1711" t="str">
        <f>VLOOKUP($A1711,'Medical Examinations'!$A:$J,2,FALSE)</f>
        <v>Overweight</v>
      </c>
      <c r="E1711">
        <f>VLOOKUP($A1711,'Medical Examinations'!$A:$J,4,FALSE)</f>
        <v>5.33</v>
      </c>
      <c r="F1711" t="str">
        <f>VLOOKUP($A1711,'Medical Examinations'!$A:$J,6,FALSE)</f>
        <v>No</v>
      </c>
      <c r="G1711" t="str">
        <f>VLOOKUP($A1711,'Medical Examinations'!$A:$J,7,FALSE)</f>
        <v>No</v>
      </c>
      <c r="H1711" t="str">
        <f>VLOOKUP($A1711,'Medical Examinations'!$A:$J,8,FALSE)</f>
        <v>No</v>
      </c>
      <c r="I1711">
        <f>VLOOKUP($A1711,'Medical Examinations'!$A:$J,9,FALSE)</f>
        <v>1</v>
      </c>
      <c r="J1711" t="str">
        <f>VLOOKUP($A1711,'Medical Examinations'!$A:$J,10,FALSE)</f>
        <v>No</v>
      </c>
      <c r="K1711" t="str">
        <f>VLOOKUP($A1711,'Medical Examinations'!$A:$J,5,FALSE)</f>
        <v>Normal</v>
      </c>
      <c r="L1711">
        <f>VLOOKUP($A1712,'Medical Examinations'!$A:$J,3,FALSE)</f>
        <v>33.82</v>
      </c>
      <c r="N1711" s="11">
        <f>VLOOKUP($B1711,'Hospitalisation Details'!A1710:J4054,10,0)</f>
        <v>32499</v>
      </c>
      <c r="O1711" t="str">
        <f>VLOOKUP($B1711,'Hospitalisation Details'!A1710:J4054,8,0)</f>
        <v>tier - 2</v>
      </c>
      <c r="P1711" t="str">
        <f>VLOOKUP($B1711,'Hospitalisation Details'!A1710:J4054,7,0)</f>
        <v>tier - 2</v>
      </c>
      <c r="Q1711" t="str">
        <f>VLOOKUP($B1711,'Hospitalisation Details'!A1710:J4054,9,0)</f>
        <v>R1011</v>
      </c>
      <c r="R1711">
        <f>VLOOKUP($B1711,'Hospitalisation Details'!A1710:K4054,11,0)</f>
        <v>34</v>
      </c>
    </row>
    <row r="1712" spans="1:18" x14ac:dyDescent="0.35">
      <c r="A1712" t="s">
        <v>660</v>
      </c>
      <c r="B1712" t="s">
        <v>1743</v>
      </c>
      <c r="C1712" t="str">
        <f>VLOOKUP($A1712,'Customer Names'!$A:$E,4,FALSE)</f>
        <v>Jose Guadalupe P. Sr.</v>
      </c>
      <c r="D1712" t="str">
        <f>VLOOKUP($A1712,'Medical Examinations'!$A:$J,2,FALSE)</f>
        <v>Obesity</v>
      </c>
      <c r="E1712">
        <f>VLOOKUP($A1712,'Medical Examinations'!$A:$J,4,FALSE)</f>
        <v>8.93</v>
      </c>
      <c r="F1712" t="str">
        <f>VLOOKUP($A1712,'Medical Examinations'!$A:$J,6,FALSE)</f>
        <v>yes</v>
      </c>
      <c r="G1712" t="str">
        <f>VLOOKUP($A1712,'Medical Examinations'!$A:$J,7,FALSE)</f>
        <v>No</v>
      </c>
      <c r="H1712" t="str">
        <f>VLOOKUP($A1712,'Medical Examinations'!$A:$J,8,FALSE)</f>
        <v>No</v>
      </c>
      <c r="I1712">
        <f>VLOOKUP($A1712,'Medical Examinations'!$A:$J,9,FALSE)</f>
        <v>1</v>
      </c>
      <c r="J1712" t="str">
        <f>VLOOKUP($A1712,'Medical Examinations'!$A:$J,10,FALSE)</f>
        <v>No</v>
      </c>
      <c r="K1712" t="str">
        <f>VLOOKUP($A1712,'Medical Examinations'!$A:$J,5,FALSE)</f>
        <v>Diabetes</v>
      </c>
      <c r="L1712">
        <f>VLOOKUP($A1713,'Medical Examinations'!$A:$J,3,FALSE)</f>
        <v>32.9</v>
      </c>
      <c r="N1712" s="11">
        <f>VLOOKUP($B1712,'Hospitalisation Details'!A1711:J4055,10,0)</f>
        <v>26841</v>
      </c>
      <c r="O1712" t="str">
        <f>VLOOKUP($B1712,'Hospitalisation Details'!A1711:J4055,8,0)</f>
        <v>tier - 2</v>
      </c>
      <c r="P1712" t="str">
        <f>VLOOKUP($B1712,'Hospitalisation Details'!A1711:J4055,7,0)</f>
        <v>tier - 2</v>
      </c>
      <c r="Q1712" t="str">
        <f>VLOOKUP($B1712,'Hospitalisation Details'!A1711:J4055,9,0)</f>
        <v>R1026</v>
      </c>
      <c r="R1712">
        <f>VLOOKUP($B1712,'Hospitalisation Details'!A1711:K4055,11,0)</f>
        <v>49</v>
      </c>
    </row>
    <row r="1713" spans="1:18" x14ac:dyDescent="0.35">
      <c r="A1713" t="s">
        <v>659</v>
      </c>
      <c r="B1713" t="s">
        <v>1744</v>
      </c>
      <c r="C1713" t="str">
        <f>VLOOKUP($A1713,'Customer Names'!$A:$E,4,FALSE)</f>
        <v>Cynthia</v>
      </c>
      <c r="D1713" t="str">
        <f>VLOOKUP($A1713,'Medical Examinations'!$A:$J,2,FALSE)</f>
        <v>Obesity</v>
      </c>
      <c r="E1713">
        <f>VLOOKUP($A1713,'Medical Examinations'!$A:$J,4,FALSE)</f>
        <v>4.3499999999999996</v>
      </c>
      <c r="F1713" t="str">
        <f>VLOOKUP($A1713,'Medical Examinations'!$A:$J,6,FALSE)</f>
        <v>No</v>
      </c>
      <c r="G1713" t="str">
        <f>VLOOKUP($A1713,'Medical Examinations'!$A:$J,7,FALSE)</f>
        <v>No</v>
      </c>
      <c r="H1713" t="str">
        <f>VLOOKUP($A1713,'Medical Examinations'!$A:$J,8,FALSE)</f>
        <v>No</v>
      </c>
      <c r="I1713">
        <f>VLOOKUP($A1713,'Medical Examinations'!$A:$J,9,FALSE)</f>
        <v>0</v>
      </c>
      <c r="J1713" t="str">
        <f>VLOOKUP($A1713,'Medical Examinations'!$A:$J,10,FALSE)</f>
        <v>No</v>
      </c>
      <c r="K1713" t="str">
        <f>VLOOKUP($A1713,'Medical Examinations'!$A:$J,5,FALSE)</f>
        <v>Normal</v>
      </c>
      <c r="L1713">
        <f>VLOOKUP($A1714,'Medical Examinations'!$A:$J,3,FALSE)</f>
        <v>30.875</v>
      </c>
      <c r="N1713" s="11">
        <f>VLOOKUP($B1713,'Hospitalisation Details'!A1712:J4056,10,0)</f>
        <v>28023</v>
      </c>
      <c r="O1713" t="str">
        <f>VLOOKUP($B1713,'Hospitalisation Details'!A1712:J4056,8,0)</f>
        <v>tier - 2</v>
      </c>
      <c r="P1713" t="str">
        <f>VLOOKUP($B1713,'Hospitalisation Details'!A1712:J4056,7,0)</f>
        <v>tier - 2</v>
      </c>
      <c r="Q1713" t="str">
        <f>VLOOKUP($B1713,'Hospitalisation Details'!A1712:J4056,9,0)</f>
        <v>R1012</v>
      </c>
      <c r="R1713">
        <f>VLOOKUP($B1713,'Hospitalisation Details'!A1712:K4056,11,0)</f>
        <v>46</v>
      </c>
    </row>
    <row r="1714" spans="1:18" x14ac:dyDescent="0.35">
      <c r="A1714" t="s">
        <v>658</v>
      </c>
      <c r="B1714" t="s">
        <v>1745</v>
      </c>
      <c r="C1714" t="str">
        <f>VLOOKUP($A1714,'Customer Names'!$A:$E,4,FALSE)</f>
        <v>Tyler</v>
      </c>
      <c r="D1714" t="str">
        <f>VLOOKUP($A1714,'Medical Examinations'!$A:$J,2,FALSE)</f>
        <v>Obesity</v>
      </c>
      <c r="E1714">
        <f>VLOOKUP($A1714,'Medical Examinations'!$A:$J,4,FALSE)</f>
        <v>9.5399999999999991</v>
      </c>
      <c r="F1714" t="str">
        <f>VLOOKUP($A1714,'Medical Examinations'!$A:$J,6,FALSE)</f>
        <v>yes</v>
      </c>
      <c r="G1714" t="str">
        <f>VLOOKUP($A1714,'Medical Examinations'!$A:$J,7,FALSE)</f>
        <v>No</v>
      </c>
      <c r="H1714" t="str">
        <f>VLOOKUP($A1714,'Medical Examinations'!$A:$J,8,FALSE)</f>
        <v>No</v>
      </c>
      <c r="I1714">
        <f>VLOOKUP($A1714,'Medical Examinations'!$A:$J,9,FALSE)</f>
        <v>1</v>
      </c>
      <c r="J1714" t="str">
        <f>VLOOKUP($A1714,'Medical Examinations'!$A:$J,10,FALSE)</f>
        <v>No</v>
      </c>
      <c r="K1714" t="str">
        <f>VLOOKUP($A1714,'Medical Examinations'!$A:$J,5,FALSE)</f>
        <v>Diabetes</v>
      </c>
      <c r="L1714">
        <f>VLOOKUP($A1715,'Medical Examinations'!$A:$J,3,FALSE)</f>
        <v>32.64</v>
      </c>
      <c r="N1714" s="11">
        <f>VLOOKUP($B1714,'Hospitalisation Details'!A1713:J4057,10,0)</f>
        <v>27270</v>
      </c>
      <c r="O1714" t="str">
        <f>VLOOKUP($B1714,'Hospitalisation Details'!A1713:J4057,8,0)</f>
        <v>tier - 1</v>
      </c>
      <c r="P1714" t="str">
        <f>VLOOKUP($B1714,'Hospitalisation Details'!A1713:J4057,7,0)</f>
        <v>tier - 2</v>
      </c>
      <c r="Q1714" t="str">
        <f>VLOOKUP($B1714,'Hospitalisation Details'!A1713:J4057,9,0)</f>
        <v>R1012</v>
      </c>
      <c r="R1714">
        <f>VLOOKUP($B1714,'Hospitalisation Details'!A1713:K4057,11,0)</f>
        <v>48</v>
      </c>
    </row>
    <row r="1715" spans="1:18" x14ac:dyDescent="0.35">
      <c r="A1715" t="s">
        <v>657</v>
      </c>
      <c r="B1715" t="s">
        <v>1746</v>
      </c>
      <c r="C1715" t="str">
        <f>VLOOKUP($A1715,'Customer Names'!$A:$E,4,FALSE)</f>
        <v>Holly J</v>
      </c>
      <c r="D1715" t="str">
        <f>VLOOKUP($A1715,'Medical Examinations'!$A:$J,2,FALSE)</f>
        <v>Obesity</v>
      </c>
      <c r="E1715">
        <f>VLOOKUP($A1715,'Medical Examinations'!$A:$J,4,FALSE)</f>
        <v>5.91</v>
      </c>
      <c r="F1715" t="str">
        <f>VLOOKUP($A1715,'Medical Examinations'!$A:$J,6,FALSE)</f>
        <v>No</v>
      </c>
      <c r="G1715" t="str">
        <f>VLOOKUP($A1715,'Medical Examinations'!$A:$J,7,FALSE)</f>
        <v>No</v>
      </c>
      <c r="H1715" t="str">
        <f>VLOOKUP($A1715,'Medical Examinations'!$A:$J,8,FALSE)</f>
        <v>No</v>
      </c>
      <c r="I1715">
        <f>VLOOKUP($A1715,'Medical Examinations'!$A:$J,9,FALSE)</f>
        <v>0</v>
      </c>
      <c r="J1715" t="str">
        <f>VLOOKUP($A1715,'Medical Examinations'!$A:$J,10,FALSE)</f>
        <v>No</v>
      </c>
      <c r="K1715" t="str">
        <f>VLOOKUP($A1715,'Medical Examinations'!$A:$J,5,FALSE)</f>
        <v>Prediabetes</v>
      </c>
      <c r="L1715">
        <f>VLOOKUP($A1716,'Medical Examinations'!$A:$J,3,FALSE)</f>
        <v>22.135000000000002</v>
      </c>
      <c r="N1715" s="11">
        <f>VLOOKUP($B1715,'Hospitalisation Details'!A1714:J4058,10,0)</f>
        <v>35712</v>
      </c>
      <c r="O1715" t="str">
        <f>VLOOKUP($B1715,'Hospitalisation Details'!A1714:J4058,8,0)</f>
        <v>tier - 2</v>
      </c>
      <c r="P1715" t="str">
        <f>VLOOKUP($B1715,'Hospitalisation Details'!A1714:J4058,7,0)</f>
        <v>tier - 2</v>
      </c>
      <c r="Q1715" t="str">
        <f>VLOOKUP($B1715,'Hospitalisation Details'!A1714:J4058,9,0)</f>
        <v>R1012</v>
      </c>
      <c r="R1715">
        <f>VLOOKUP($B1715,'Hospitalisation Details'!A1714:K4058,11,0)</f>
        <v>25</v>
      </c>
    </row>
    <row r="1716" spans="1:18" x14ac:dyDescent="0.35">
      <c r="A1716" t="s">
        <v>656</v>
      </c>
      <c r="B1716" t="s">
        <v>1747</v>
      </c>
      <c r="C1716" t="str">
        <f>VLOOKUP($A1716,'Customer Names'!$A:$E,4,FALSE)</f>
        <v>Kristen</v>
      </c>
      <c r="D1716" t="str">
        <f>VLOOKUP($A1716,'Medical Examinations'!$A:$J,2,FALSE)</f>
        <v>Normal Weight</v>
      </c>
      <c r="E1716">
        <f>VLOOKUP($A1716,'Medical Examinations'!$A:$J,4,FALSE)</f>
        <v>5.0999999999999996</v>
      </c>
      <c r="F1716" t="str">
        <f>VLOOKUP($A1716,'Medical Examinations'!$A:$J,6,FALSE)</f>
        <v>No</v>
      </c>
      <c r="G1716" t="str">
        <f>VLOOKUP($A1716,'Medical Examinations'!$A:$J,7,FALSE)</f>
        <v>No</v>
      </c>
      <c r="H1716" t="str">
        <f>VLOOKUP($A1716,'Medical Examinations'!$A:$J,8,FALSE)</f>
        <v>No</v>
      </c>
      <c r="I1716">
        <f>VLOOKUP($A1716,'Medical Examinations'!$A:$J,9,FALSE)</f>
        <v>0</v>
      </c>
      <c r="J1716" t="str">
        <f>VLOOKUP($A1716,'Medical Examinations'!$A:$J,10,FALSE)</f>
        <v>No</v>
      </c>
      <c r="K1716" t="str">
        <f>VLOOKUP($A1716,'Medical Examinations'!$A:$J,5,FALSE)</f>
        <v>Normal</v>
      </c>
      <c r="L1716">
        <f>VLOOKUP($A1717,'Medical Examinations'!$A:$J,3,FALSE)</f>
        <v>16.53</v>
      </c>
      <c r="N1716" s="11">
        <f>VLOOKUP($B1716,'Hospitalisation Details'!A1715:J4059,10,0)</f>
        <v>30859</v>
      </c>
      <c r="O1716" t="str">
        <f>VLOOKUP($B1716,'Hospitalisation Details'!A1715:J4059,8,0)</f>
        <v>tier - 3</v>
      </c>
      <c r="P1716" t="str">
        <f>VLOOKUP($B1716,'Hospitalisation Details'!A1715:J4059,7,0)</f>
        <v>tier - 2</v>
      </c>
      <c r="Q1716" t="str">
        <f>VLOOKUP($B1716,'Hospitalisation Details'!A1715:J4059,9,0)</f>
        <v>R1011</v>
      </c>
      <c r="R1716">
        <f>VLOOKUP($B1716,'Hospitalisation Details'!A1715:K4059,11,0)</f>
        <v>38</v>
      </c>
    </row>
    <row r="1717" spans="1:18" x14ac:dyDescent="0.35">
      <c r="A1717" t="s">
        <v>655</v>
      </c>
      <c r="B1717" t="s">
        <v>1748</v>
      </c>
      <c r="C1717" t="str">
        <f>VLOOKUP($A1717,'Customer Names'!$A:$E,4,FALSE)</f>
        <v>Thomas</v>
      </c>
      <c r="D1717" t="str">
        <f>VLOOKUP($A1717,'Medical Examinations'!$A:$J,2,FALSE)</f>
        <v>Underweight</v>
      </c>
      <c r="E1717">
        <f>VLOOKUP($A1717,'Medical Examinations'!$A:$J,4,FALSE)</f>
        <v>5.08</v>
      </c>
      <c r="F1717" t="str">
        <f>VLOOKUP($A1717,'Medical Examinations'!$A:$J,6,FALSE)</f>
        <v>No</v>
      </c>
      <c r="G1717" t="str">
        <f>VLOOKUP($A1717,'Medical Examinations'!$A:$J,7,FALSE)</f>
        <v>No</v>
      </c>
      <c r="H1717" t="str">
        <f>VLOOKUP($A1717,'Medical Examinations'!$A:$J,8,FALSE)</f>
        <v>No</v>
      </c>
      <c r="I1717">
        <f>VLOOKUP($A1717,'Medical Examinations'!$A:$J,9,FALSE)</f>
        <v>2</v>
      </c>
      <c r="J1717" t="str">
        <f>VLOOKUP($A1717,'Medical Examinations'!$A:$J,10,FALSE)</f>
        <v>No</v>
      </c>
      <c r="K1717" t="str">
        <f>VLOOKUP($A1717,'Medical Examinations'!$A:$J,5,FALSE)</f>
        <v>Normal</v>
      </c>
      <c r="L1717">
        <f>VLOOKUP($A1718,'Medical Examinations'!$A:$J,3,FALSE)</f>
        <v>32.774999999999999</v>
      </c>
      <c r="N1717" s="11">
        <f>VLOOKUP($B1717,'Hospitalisation Details'!A1716:J4060,10,0)</f>
        <v>30266</v>
      </c>
      <c r="O1717" t="str">
        <f>VLOOKUP($B1717,'Hospitalisation Details'!A1716:J4060,8,0)</f>
        <v>tier - 3</v>
      </c>
      <c r="P1717" t="str">
        <f>VLOOKUP($B1717,'Hospitalisation Details'!A1716:J4060,7,0)</f>
        <v>tier - 2</v>
      </c>
      <c r="Q1717" t="str">
        <f>VLOOKUP($B1717,'Hospitalisation Details'!A1716:J4060,9,0)</f>
        <v>R1011</v>
      </c>
      <c r="R1717">
        <f>VLOOKUP($B1717,'Hospitalisation Details'!A1716:K4060,11,0)</f>
        <v>40</v>
      </c>
    </row>
    <row r="1718" spans="1:18" x14ac:dyDescent="0.35">
      <c r="A1718" t="s">
        <v>654</v>
      </c>
      <c r="B1718" t="s">
        <v>1749</v>
      </c>
      <c r="C1718" t="str">
        <f>VLOOKUP($A1718,'Customer Names'!$A:$E,4,FALSE)</f>
        <v>Tricity M</v>
      </c>
      <c r="D1718" t="str">
        <f>VLOOKUP($A1718,'Medical Examinations'!$A:$J,2,FALSE)</f>
        <v>Obesity</v>
      </c>
      <c r="E1718">
        <f>VLOOKUP($A1718,'Medical Examinations'!$A:$J,4,FALSE)</f>
        <v>4.75</v>
      </c>
      <c r="F1718" t="str">
        <f>VLOOKUP($A1718,'Medical Examinations'!$A:$J,6,FALSE)</f>
        <v>No</v>
      </c>
      <c r="G1718" t="str">
        <f>VLOOKUP($A1718,'Medical Examinations'!$A:$J,7,FALSE)</f>
        <v>No</v>
      </c>
      <c r="H1718" t="str">
        <f>VLOOKUP($A1718,'Medical Examinations'!$A:$J,8,FALSE)</f>
        <v>No</v>
      </c>
      <c r="I1718">
        <f>VLOOKUP($A1718,'Medical Examinations'!$A:$J,9,FALSE)</f>
        <v>0</v>
      </c>
      <c r="J1718" t="str">
        <f>VLOOKUP($A1718,'Medical Examinations'!$A:$J,10,FALSE)</f>
        <v>No</v>
      </c>
      <c r="K1718" t="str">
        <f>VLOOKUP($A1718,'Medical Examinations'!$A:$J,5,FALSE)</f>
        <v>Normal</v>
      </c>
      <c r="L1718">
        <f>VLOOKUP($A1719,'Medical Examinations'!$A:$J,3,FALSE)</f>
        <v>30.9</v>
      </c>
      <c r="N1718" s="11">
        <f>VLOOKUP($B1718,'Hospitalisation Details'!A1717:J4061,10,0)</f>
        <v>23005</v>
      </c>
      <c r="O1718" t="str">
        <f>VLOOKUP($B1718,'Hospitalisation Details'!A1717:J4061,8,0)</f>
        <v>tier - 1</v>
      </c>
      <c r="P1718" t="str">
        <f>VLOOKUP($B1718,'Hospitalisation Details'!A1717:J4061,7,0)</f>
        <v>tier - 2</v>
      </c>
      <c r="Q1718" t="str">
        <f>VLOOKUP($B1718,'Hospitalisation Details'!A1717:J4061,9,0)</f>
        <v>R1022</v>
      </c>
      <c r="R1718">
        <f>VLOOKUP($B1718,'Hospitalisation Details'!A1717:K4061,11,0)</f>
        <v>60</v>
      </c>
    </row>
    <row r="1719" spans="1:18" x14ac:dyDescent="0.35">
      <c r="A1719" t="s">
        <v>653</v>
      </c>
      <c r="B1719" t="s">
        <v>1750</v>
      </c>
      <c r="C1719" t="str">
        <f>VLOOKUP($A1719,'Customer Names'!$A:$E,4,FALSE)</f>
        <v>Sarah A</v>
      </c>
      <c r="D1719" t="str">
        <f>VLOOKUP($A1719,'Medical Examinations'!$A:$J,2,FALSE)</f>
        <v>Obesity</v>
      </c>
      <c r="E1719">
        <f>VLOOKUP($A1719,'Medical Examinations'!$A:$J,4,FALSE)</f>
        <v>6.05</v>
      </c>
      <c r="F1719" t="str">
        <f>VLOOKUP($A1719,'Medical Examinations'!$A:$J,6,FALSE)</f>
        <v>No</v>
      </c>
      <c r="G1719" t="str">
        <f>VLOOKUP($A1719,'Medical Examinations'!$A:$J,7,FALSE)</f>
        <v>No</v>
      </c>
      <c r="H1719" t="str">
        <f>VLOOKUP($A1719,'Medical Examinations'!$A:$J,8,FALSE)</f>
        <v>No</v>
      </c>
      <c r="I1719">
        <f>VLOOKUP($A1719,'Medical Examinations'!$A:$J,9,FALSE)</f>
        <v>1</v>
      </c>
      <c r="J1719" t="str">
        <f>VLOOKUP($A1719,'Medical Examinations'!$A:$J,10,FALSE)</f>
        <v>No</v>
      </c>
      <c r="K1719" t="str">
        <f>VLOOKUP($A1719,'Medical Examinations'!$A:$J,5,FALSE)</f>
        <v>Prediabetes</v>
      </c>
      <c r="L1719">
        <f>VLOOKUP($A1720,'Medical Examinations'!$A:$J,3,FALSE)</f>
        <v>15.58</v>
      </c>
      <c r="N1719" s="11">
        <f>VLOOKUP($B1719,'Hospitalisation Details'!A1718:J4062,10,0)</f>
        <v>29506</v>
      </c>
      <c r="O1719" t="str">
        <f>VLOOKUP($B1719,'Hospitalisation Details'!A1718:J4062,8,0)</f>
        <v>tier - 3</v>
      </c>
      <c r="P1719" t="str">
        <f>VLOOKUP($B1719,'Hospitalisation Details'!A1718:J4062,7,0)</f>
        <v>tier - 2</v>
      </c>
      <c r="Q1719" t="str">
        <f>VLOOKUP($B1719,'Hospitalisation Details'!A1718:J4062,9,0)</f>
        <v>R1026</v>
      </c>
      <c r="R1719">
        <f>VLOOKUP($B1719,'Hospitalisation Details'!A1718:K4062,11,0)</f>
        <v>42</v>
      </c>
    </row>
    <row r="1720" spans="1:18" x14ac:dyDescent="0.35">
      <c r="A1720" t="s">
        <v>652</v>
      </c>
      <c r="B1720" t="s">
        <v>1751</v>
      </c>
      <c r="C1720" t="str">
        <f>VLOOKUP($A1720,'Customer Names'!$A:$E,4,FALSE)</f>
        <v>Lisa M.</v>
      </c>
      <c r="D1720" t="str">
        <f>VLOOKUP($A1720,'Medical Examinations'!$A:$J,2,FALSE)</f>
        <v>Underweight</v>
      </c>
      <c r="E1720">
        <f>VLOOKUP($A1720,'Medical Examinations'!$A:$J,4,FALSE)</f>
        <v>11.56</v>
      </c>
      <c r="F1720" t="str">
        <f>VLOOKUP($A1720,'Medical Examinations'!$A:$J,6,FALSE)</f>
        <v>No</v>
      </c>
      <c r="G1720" t="str">
        <f>VLOOKUP($A1720,'Medical Examinations'!$A:$J,7,FALSE)</f>
        <v>No</v>
      </c>
      <c r="H1720" t="str">
        <f>VLOOKUP($A1720,'Medical Examinations'!$A:$J,8,FALSE)</f>
        <v>No</v>
      </c>
      <c r="I1720">
        <f>VLOOKUP($A1720,'Medical Examinations'!$A:$J,9,FALSE)</f>
        <v>0</v>
      </c>
      <c r="J1720" t="str">
        <f>VLOOKUP($A1720,'Medical Examinations'!$A:$J,10,FALSE)</f>
        <v>No</v>
      </c>
      <c r="K1720" t="str">
        <f>VLOOKUP($A1720,'Medical Examinations'!$A:$J,5,FALSE)</f>
        <v>Diabetes</v>
      </c>
      <c r="L1720">
        <f>VLOOKUP($A1721,'Medical Examinations'!$A:$J,3,FALSE)</f>
        <v>26.315000000000001</v>
      </c>
      <c r="N1720" s="11">
        <f>VLOOKUP($B1720,'Hospitalisation Details'!A1719:J4063,10,0)</f>
        <v>30156</v>
      </c>
      <c r="O1720" t="str">
        <f>VLOOKUP($B1720,'Hospitalisation Details'!A1719:J4063,8,0)</f>
        <v>tier - 1</v>
      </c>
      <c r="P1720" t="str">
        <f>VLOOKUP($B1720,'Hospitalisation Details'!A1719:J4063,7,0)</f>
        <v>tier - 2</v>
      </c>
      <c r="Q1720" t="str">
        <f>VLOOKUP($B1720,'Hospitalisation Details'!A1719:J4063,9,0)</f>
        <v>R1012</v>
      </c>
      <c r="R1720">
        <f>VLOOKUP($B1720,'Hospitalisation Details'!A1719:K4063,11,0)</f>
        <v>40</v>
      </c>
    </row>
    <row r="1721" spans="1:18" x14ac:dyDescent="0.35">
      <c r="A1721" t="s">
        <v>651</v>
      </c>
      <c r="B1721" t="s">
        <v>1752</v>
      </c>
      <c r="C1721" t="str">
        <f>VLOOKUP($A1721,'Customer Names'!$A:$E,4,FALSE)</f>
        <v>Tracy A.</v>
      </c>
      <c r="D1721" t="str">
        <f>VLOOKUP($A1721,'Medical Examinations'!$A:$J,2,FALSE)</f>
        <v>Overweight</v>
      </c>
      <c r="E1721">
        <f>VLOOKUP($A1721,'Medical Examinations'!$A:$J,4,FALSE)</f>
        <v>5.76</v>
      </c>
      <c r="F1721" t="str">
        <f>VLOOKUP($A1721,'Medical Examinations'!$A:$J,6,FALSE)</f>
        <v>No</v>
      </c>
      <c r="G1721" t="str">
        <f>VLOOKUP($A1721,'Medical Examinations'!$A:$J,7,FALSE)</f>
        <v>No</v>
      </c>
      <c r="H1721" t="str">
        <f>VLOOKUP($A1721,'Medical Examinations'!$A:$J,8,FALSE)</f>
        <v>No</v>
      </c>
      <c r="I1721">
        <f>VLOOKUP($A1721,'Medical Examinations'!$A:$J,9,FALSE)</f>
        <v>0</v>
      </c>
      <c r="J1721" t="str">
        <f>VLOOKUP($A1721,'Medical Examinations'!$A:$J,10,FALSE)</f>
        <v>No</v>
      </c>
      <c r="K1721" t="str">
        <f>VLOOKUP($A1721,'Medical Examinations'!$A:$J,5,FALSE)</f>
        <v>Prediabetes</v>
      </c>
      <c r="L1721">
        <f>VLOOKUP($A1722,'Medical Examinations'!$A:$J,3,FALSE)</f>
        <v>35.61</v>
      </c>
      <c r="N1721" s="11">
        <f>VLOOKUP($B1721,'Hospitalisation Details'!A1720:J4064,10,0)</f>
        <v>29483</v>
      </c>
      <c r="O1721" t="str">
        <f>VLOOKUP($B1721,'Hospitalisation Details'!A1720:J4064,8,0)</f>
        <v>tier - 2</v>
      </c>
      <c r="P1721" t="str">
        <f>VLOOKUP($B1721,'Hospitalisation Details'!A1720:J4064,7,0)</f>
        <v>tier - 2</v>
      </c>
      <c r="Q1721" t="str">
        <f>VLOOKUP($B1721,'Hospitalisation Details'!A1720:J4064,9,0)</f>
        <v>R1012</v>
      </c>
      <c r="R1721">
        <f>VLOOKUP($B1721,'Hospitalisation Details'!A1720:K4064,11,0)</f>
        <v>42</v>
      </c>
    </row>
    <row r="1722" spans="1:18" x14ac:dyDescent="0.35">
      <c r="A1722" t="s">
        <v>650</v>
      </c>
      <c r="B1722" t="s">
        <v>1753</v>
      </c>
      <c r="C1722" t="str">
        <f>VLOOKUP($A1722,'Customer Names'!$A:$E,4,FALSE)</f>
        <v>Patrick</v>
      </c>
      <c r="D1722" t="str">
        <f>VLOOKUP($A1722,'Medical Examinations'!$A:$J,2,FALSE)</f>
        <v>Obesity</v>
      </c>
      <c r="E1722">
        <f>VLOOKUP($A1722,'Medical Examinations'!$A:$J,4,FALSE)</f>
        <v>5.65</v>
      </c>
      <c r="F1722" t="str">
        <f>VLOOKUP($A1722,'Medical Examinations'!$A:$J,6,FALSE)</f>
        <v>No</v>
      </c>
      <c r="G1722" t="str">
        <f>VLOOKUP($A1722,'Medical Examinations'!$A:$J,7,FALSE)</f>
        <v>yes</v>
      </c>
      <c r="H1722" t="str">
        <f>VLOOKUP($A1722,'Medical Examinations'!$A:$J,8,FALSE)</f>
        <v>No</v>
      </c>
      <c r="I1722">
        <f>VLOOKUP($A1722,'Medical Examinations'!$A:$J,9,FALSE)</f>
        <v>1</v>
      </c>
      <c r="J1722" t="str">
        <f>VLOOKUP($A1722,'Medical Examinations'!$A:$J,10,FALSE)</f>
        <v>No</v>
      </c>
      <c r="K1722" t="str">
        <f>VLOOKUP($A1722,'Medical Examinations'!$A:$J,5,FALSE)</f>
        <v>Normal</v>
      </c>
      <c r="L1722">
        <f>VLOOKUP($A1723,'Medical Examinations'!$A:$J,3,FALSE)</f>
        <v>37.56</v>
      </c>
      <c r="N1722" s="11">
        <f>VLOOKUP($B1722,'Hospitalisation Details'!A1721:J4065,10,0)</f>
        <v>32482</v>
      </c>
      <c r="O1722" t="str">
        <f>VLOOKUP($B1722,'Hospitalisation Details'!A1721:J4065,8,0)</f>
        <v>tier - 3</v>
      </c>
      <c r="P1722" t="str">
        <f>VLOOKUP($B1722,'Hospitalisation Details'!A1721:J4065,7,0)</f>
        <v>tier - 2</v>
      </c>
      <c r="Q1722" t="str">
        <f>VLOOKUP($B1722,'Hospitalisation Details'!A1721:J4065,9,0)</f>
        <v>R1012</v>
      </c>
      <c r="R1722">
        <f>VLOOKUP($B1722,'Hospitalisation Details'!A1721:K4065,11,0)</f>
        <v>34</v>
      </c>
    </row>
    <row r="1723" spans="1:18" x14ac:dyDescent="0.35">
      <c r="A1723" t="s">
        <v>649</v>
      </c>
      <c r="B1723" t="s">
        <v>1754</v>
      </c>
      <c r="C1723" t="str">
        <f>VLOOKUP($A1723,'Customer Names'!$A:$E,4,FALSE)</f>
        <v>Trent</v>
      </c>
      <c r="D1723" t="str">
        <f>VLOOKUP($A1723,'Medical Examinations'!$A:$J,2,FALSE)</f>
        <v>Obesity</v>
      </c>
      <c r="E1723">
        <f>VLOOKUP($A1723,'Medical Examinations'!$A:$J,4,FALSE)</f>
        <v>5.88</v>
      </c>
      <c r="F1723" t="str">
        <f>VLOOKUP($A1723,'Medical Examinations'!$A:$J,6,FALSE)</f>
        <v>No</v>
      </c>
      <c r="G1723" t="str">
        <f>VLOOKUP($A1723,'Medical Examinations'!$A:$J,7,FALSE)</f>
        <v>yes</v>
      </c>
      <c r="H1723" t="str">
        <f>VLOOKUP($A1723,'Medical Examinations'!$A:$J,8,FALSE)</f>
        <v>No</v>
      </c>
      <c r="I1723">
        <f>VLOOKUP($A1723,'Medical Examinations'!$A:$J,9,FALSE)</f>
        <v>1</v>
      </c>
      <c r="J1723" t="str">
        <f>VLOOKUP($A1723,'Medical Examinations'!$A:$J,10,FALSE)</f>
        <v>No</v>
      </c>
      <c r="K1723" t="str">
        <f>VLOOKUP($A1723,'Medical Examinations'!$A:$J,5,FALSE)</f>
        <v>Prediabetes</v>
      </c>
      <c r="L1723">
        <f>VLOOKUP($A1724,'Medical Examinations'!$A:$J,3,FALSE)</f>
        <v>15.49</v>
      </c>
      <c r="N1723" s="11">
        <f>VLOOKUP($B1723,'Hospitalisation Details'!A1722:J4066,10,0)</f>
        <v>28749</v>
      </c>
      <c r="O1723" t="str">
        <f>VLOOKUP($B1723,'Hospitalisation Details'!A1722:J4066,8,0)</f>
        <v>tier - 2</v>
      </c>
      <c r="P1723" t="str">
        <f>VLOOKUP($B1723,'Hospitalisation Details'!A1722:J4066,7,0)</f>
        <v>tier - 2</v>
      </c>
      <c r="Q1723" t="str">
        <f>VLOOKUP($B1723,'Hospitalisation Details'!A1722:J4066,9,0)</f>
        <v>R1026</v>
      </c>
      <c r="R1723">
        <f>VLOOKUP($B1723,'Hospitalisation Details'!A1722:K4066,11,0)</f>
        <v>44</v>
      </c>
    </row>
    <row r="1724" spans="1:18" x14ac:dyDescent="0.35">
      <c r="A1724" t="s">
        <v>648</v>
      </c>
      <c r="B1724" t="s">
        <v>1755</v>
      </c>
      <c r="C1724" t="str">
        <f>VLOOKUP($A1724,'Customer Names'!$A:$E,4,FALSE)</f>
        <v>Julie</v>
      </c>
      <c r="D1724" t="str">
        <f>VLOOKUP($A1724,'Medical Examinations'!$A:$J,2,FALSE)</f>
        <v>Underweight</v>
      </c>
      <c r="E1724">
        <f>VLOOKUP($A1724,'Medical Examinations'!$A:$J,4,FALSE)</f>
        <v>9.6</v>
      </c>
      <c r="F1724" t="str">
        <f>VLOOKUP($A1724,'Medical Examinations'!$A:$J,6,FALSE)</f>
        <v>No</v>
      </c>
      <c r="G1724" t="str">
        <f>VLOOKUP($A1724,'Medical Examinations'!$A:$J,7,FALSE)</f>
        <v>No</v>
      </c>
      <c r="H1724" t="str">
        <f>VLOOKUP($A1724,'Medical Examinations'!$A:$J,8,FALSE)</f>
        <v>No</v>
      </c>
      <c r="I1724">
        <f>VLOOKUP($A1724,'Medical Examinations'!$A:$J,9,FALSE)</f>
        <v>0</v>
      </c>
      <c r="J1724" t="str">
        <f>VLOOKUP($A1724,'Medical Examinations'!$A:$J,10,FALSE)</f>
        <v>No</v>
      </c>
      <c r="K1724" t="str">
        <f>VLOOKUP($A1724,'Medical Examinations'!$A:$J,5,FALSE)</f>
        <v>Diabetes</v>
      </c>
      <c r="L1724">
        <f>VLOOKUP($A1725,'Medical Examinations'!$A:$J,3,FALSE)</f>
        <v>23.48</v>
      </c>
      <c r="N1724" s="11">
        <f>VLOOKUP($B1724,'Hospitalisation Details'!A1723:J4067,10,0)</f>
        <v>21480</v>
      </c>
      <c r="O1724" t="str">
        <f>VLOOKUP($B1724,'Hospitalisation Details'!A1723:J4067,8,0)</f>
        <v>tier - 2</v>
      </c>
      <c r="P1724" t="str">
        <f>VLOOKUP($B1724,'Hospitalisation Details'!A1723:J4067,7,0)</f>
        <v>tier - 2</v>
      </c>
      <c r="Q1724" t="str">
        <f>VLOOKUP($B1724,'Hospitalisation Details'!A1723:J4067,9,0)</f>
        <v>R1024</v>
      </c>
      <c r="R1724">
        <f>VLOOKUP($B1724,'Hospitalisation Details'!A1723:K4067,11,0)</f>
        <v>64</v>
      </c>
    </row>
    <row r="1725" spans="1:18" x14ac:dyDescent="0.35">
      <c r="A1725" t="s">
        <v>647</v>
      </c>
      <c r="B1725" t="s">
        <v>1756</v>
      </c>
      <c r="C1725" t="str">
        <f>VLOOKUP($A1725,'Customer Names'!$A:$E,4,FALSE)</f>
        <v>Sawomir</v>
      </c>
      <c r="D1725" t="str">
        <f>VLOOKUP($A1725,'Medical Examinations'!$A:$J,2,FALSE)</f>
        <v>Normal Weight</v>
      </c>
      <c r="E1725">
        <f>VLOOKUP($A1725,'Medical Examinations'!$A:$J,4,FALSE)</f>
        <v>6.24</v>
      </c>
      <c r="F1725" t="str">
        <f>VLOOKUP($A1725,'Medical Examinations'!$A:$J,6,FALSE)</f>
        <v>No</v>
      </c>
      <c r="G1725" t="str">
        <f>VLOOKUP($A1725,'Medical Examinations'!$A:$J,7,FALSE)</f>
        <v>No</v>
      </c>
      <c r="H1725" t="str">
        <f>VLOOKUP($A1725,'Medical Examinations'!$A:$J,8,FALSE)</f>
        <v>No</v>
      </c>
      <c r="I1725">
        <f>VLOOKUP($A1725,'Medical Examinations'!$A:$J,9,FALSE)</f>
        <v>1</v>
      </c>
      <c r="J1725" t="str">
        <f>VLOOKUP($A1725,'Medical Examinations'!$A:$J,10,FALSE)</f>
        <v>No</v>
      </c>
      <c r="K1725" t="str">
        <f>VLOOKUP($A1725,'Medical Examinations'!$A:$J,5,FALSE)</f>
        <v>Prediabetes</v>
      </c>
      <c r="L1725">
        <f>VLOOKUP($A1726,'Medical Examinations'!$A:$J,3,FALSE)</f>
        <v>30.02</v>
      </c>
      <c r="N1725" s="11">
        <f>VLOOKUP($B1725,'Hospitalisation Details'!A1724:J4068,10,0)</f>
        <v>21357</v>
      </c>
      <c r="O1725" t="str">
        <f>VLOOKUP($B1725,'Hospitalisation Details'!A1724:J4068,8,0)</f>
        <v>tier - 2</v>
      </c>
      <c r="P1725" t="str">
        <f>VLOOKUP($B1725,'Hospitalisation Details'!A1724:J4068,7,0)</f>
        <v>tier - 2</v>
      </c>
      <c r="Q1725" t="str">
        <f>VLOOKUP($B1725,'Hospitalisation Details'!A1724:J4068,9,0)</f>
        <v>R1013</v>
      </c>
      <c r="R1725">
        <f>VLOOKUP($B1725,'Hospitalisation Details'!A1724:K4068,11,0)</f>
        <v>64</v>
      </c>
    </row>
    <row r="1726" spans="1:18" x14ac:dyDescent="0.35">
      <c r="A1726" t="s">
        <v>646</v>
      </c>
      <c r="B1726" t="s">
        <v>1757</v>
      </c>
      <c r="C1726" t="str">
        <f>VLOOKUP($A1726,'Customer Names'!$A:$E,4,FALSE)</f>
        <v>Micah</v>
      </c>
      <c r="D1726" t="str">
        <f>VLOOKUP($A1726,'Medical Examinations'!$A:$J,2,FALSE)</f>
        <v>Obesity</v>
      </c>
      <c r="E1726">
        <f>VLOOKUP($A1726,'Medical Examinations'!$A:$J,4,FALSE)</f>
        <v>7.63</v>
      </c>
      <c r="F1726" t="str">
        <f>VLOOKUP($A1726,'Medical Examinations'!$A:$J,6,FALSE)</f>
        <v>yes</v>
      </c>
      <c r="G1726" t="str">
        <f>VLOOKUP($A1726,'Medical Examinations'!$A:$J,7,FALSE)</f>
        <v>No</v>
      </c>
      <c r="H1726" t="str">
        <f>VLOOKUP($A1726,'Medical Examinations'!$A:$J,8,FALSE)</f>
        <v>No</v>
      </c>
      <c r="I1726">
        <f>VLOOKUP($A1726,'Medical Examinations'!$A:$J,9,FALSE)</f>
        <v>1</v>
      </c>
      <c r="J1726" t="str">
        <f>VLOOKUP($A1726,'Medical Examinations'!$A:$J,10,FALSE)</f>
        <v>No</v>
      </c>
      <c r="K1726" t="str">
        <f>VLOOKUP($A1726,'Medical Examinations'!$A:$J,5,FALSE)</f>
        <v>Diabetes</v>
      </c>
      <c r="L1726">
        <f>VLOOKUP($A1727,'Medical Examinations'!$A:$J,3,FALSE)</f>
        <v>26.885000000000002</v>
      </c>
      <c r="N1726" s="11">
        <f>VLOOKUP($B1726,'Hospitalisation Details'!A1725:J4069,10,0)</f>
        <v>31286</v>
      </c>
      <c r="O1726" t="str">
        <f>VLOOKUP($B1726,'Hospitalisation Details'!A1725:J4069,8,0)</f>
        <v>tier - 3</v>
      </c>
      <c r="P1726" t="str">
        <f>VLOOKUP($B1726,'Hospitalisation Details'!A1725:J4069,7,0)</f>
        <v>tier - 2</v>
      </c>
      <c r="Q1726" t="str">
        <f>VLOOKUP($B1726,'Hospitalisation Details'!A1725:J4069,9,0)</f>
        <v>R1012</v>
      </c>
      <c r="R1726">
        <f>VLOOKUP($B1726,'Hospitalisation Details'!A1725:K4069,11,0)</f>
        <v>37</v>
      </c>
    </row>
    <row r="1727" spans="1:18" x14ac:dyDescent="0.35">
      <c r="A1727" t="s">
        <v>645</v>
      </c>
      <c r="B1727" t="s">
        <v>1758</v>
      </c>
      <c r="C1727" t="str">
        <f>VLOOKUP($A1727,'Customer Names'!$A:$E,4,FALSE)</f>
        <v>Kelly H.</v>
      </c>
      <c r="D1727" t="str">
        <f>VLOOKUP($A1727,'Medical Examinations'!$A:$J,2,FALSE)</f>
        <v>Overweight</v>
      </c>
      <c r="E1727">
        <f>VLOOKUP($A1727,'Medical Examinations'!$A:$J,4,FALSE)</f>
        <v>8.66</v>
      </c>
      <c r="F1727" t="str">
        <f>VLOOKUP($A1727,'Medical Examinations'!$A:$J,6,FALSE)</f>
        <v>yes</v>
      </c>
      <c r="G1727" t="str">
        <f>VLOOKUP($A1727,'Medical Examinations'!$A:$J,7,FALSE)</f>
        <v>No</v>
      </c>
      <c r="H1727" t="str">
        <f>VLOOKUP($A1727,'Medical Examinations'!$A:$J,8,FALSE)</f>
        <v>No</v>
      </c>
      <c r="I1727">
        <f>VLOOKUP($A1727,'Medical Examinations'!$A:$J,9,FALSE)</f>
        <v>1</v>
      </c>
      <c r="J1727" t="str">
        <f>VLOOKUP($A1727,'Medical Examinations'!$A:$J,10,FALSE)</f>
        <v>No</v>
      </c>
      <c r="K1727" t="str">
        <f>VLOOKUP($A1727,'Medical Examinations'!$A:$J,5,FALSE)</f>
        <v>Diabetes</v>
      </c>
      <c r="L1727">
        <f>VLOOKUP($A1728,'Medical Examinations'!$A:$J,3,FALSE)</f>
        <v>25.84</v>
      </c>
      <c r="N1727" s="11">
        <f>VLOOKUP($B1727,'Hospitalisation Details'!A1726:J4070,10,0)</f>
        <v>34189</v>
      </c>
      <c r="O1727" t="str">
        <f>VLOOKUP($B1727,'Hospitalisation Details'!A1726:J4070,8,0)</f>
        <v>tier - 1</v>
      </c>
      <c r="P1727" t="str">
        <f>VLOOKUP($B1727,'Hospitalisation Details'!A1726:J4070,7,0)</f>
        <v>tier - 2</v>
      </c>
      <c r="Q1727" t="str">
        <f>VLOOKUP($B1727,'Hospitalisation Details'!A1726:J4070,9,0)</f>
        <v>R1024</v>
      </c>
      <c r="R1727">
        <f>VLOOKUP($B1727,'Hospitalisation Details'!A1726:K4070,11,0)</f>
        <v>29</v>
      </c>
    </row>
    <row r="1728" spans="1:18" x14ac:dyDescent="0.35">
      <c r="A1728" t="s">
        <v>644</v>
      </c>
      <c r="B1728" t="s">
        <v>1759</v>
      </c>
      <c r="C1728" t="str">
        <f>VLOOKUP($A1728,'Customer Names'!$A:$E,4,FALSE)</f>
        <v>Lindsay M.</v>
      </c>
      <c r="D1728" t="str">
        <f>VLOOKUP($A1728,'Medical Examinations'!$A:$J,2,FALSE)</f>
        <v>Overweight</v>
      </c>
      <c r="E1728">
        <f>VLOOKUP($A1728,'Medical Examinations'!$A:$J,4,FALSE)</f>
        <v>8.5500000000000007</v>
      </c>
      <c r="F1728" t="str">
        <f>VLOOKUP($A1728,'Medical Examinations'!$A:$J,6,FALSE)</f>
        <v>yes</v>
      </c>
      <c r="G1728" t="str">
        <f>VLOOKUP($A1728,'Medical Examinations'!$A:$J,7,FALSE)</f>
        <v>No</v>
      </c>
      <c r="H1728" t="str">
        <f>VLOOKUP($A1728,'Medical Examinations'!$A:$J,8,FALSE)</f>
        <v>No</v>
      </c>
      <c r="I1728">
        <f>VLOOKUP($A1728,'Medical Examinations'!$A:$J,9,FALSE)</f>
        <v>1</v>
      </c>
      <c r="J1728" t="str">
        <f>VLOOKUP($A1728,'Medical Examinations'!$A:$J,10,FALSE)</f>
        <v>No</v>
      </c>
      <c r="K1728" t="str">
        <f>VLOOKUP($A1728,'Medical Examinations'!$A:$J,5,FALSE)</f>
        <v>Diabetes</v>
      </c>
      <c r="L1728">
        <f>VLOOKUP($A1729,'Medical Examinations'!$A:$J,3,FALSE)</f>
        <v>27.454999999999998</v>
      </c>
      <c r="N1728" s="11">
        <f>VLOOKUP($B1728,'Hospitalisation Details'!A1727:J4071,10,0)</f>
        <v>32056</v>
      </c>
      <c r="O1728" t="str">
        <f>VLOOKUP($B1728,'Hospitalisation Details'!A1727:J4071,8,0)</f>
        <v>tier - 1</v>
      </c>
      <c r="P1728" t="str">
        <f>VLOOKUP($B1728,'Hospitalisation Details'!A1727:J4071,7,0)</f>
        <v>tier - 2</v>
      </c>
      <c r="Q1728" t="str">
        <f>VLOOKUP($B1728,'Hospitalisation Details'!A1727:J4071,9,0)</f>
        <v>R1011</v>
      </c>
      <c r="R1728">
        <f>VLOOKUP($B1728,'Hospitalisation Details'!A1727:K4071,11,0)</f>
        <v>35</v>
      </c>
    </row>
    <row r="1729" spans="1:18" x14ac:dyDescent="0.35">
      <c r="A1729" t="s">
        <v>643</v>
      </c>
      <c r="B1729" t="s">
        <v>1760</v>
      </c>
      <c r="C1729" t="str">
        <f>VLOOKUP($A1729,'Customer Names'!$A:$E,4,FALSE)</f>
        <v>Austen G</v>
      </c>
      <c r="D1729" t="str">
        <f>VLOOKUP($A1729,'Medical Examinations'!$A:$J,2,FALSE)</f>
        <v>Overweight</v>
      </c>
      <c r="E1729">
        <f>VLOOKUP($A1729,'Medical Examinations'!$A:$J,4,FALSE)</f>
        <v>4.54</v>
      </c>
      <c r="F1729" t="str">
        <f>VLOOKUP($A1729,'Medical Examinations'!$A:$J,6,FALSE)</f>
        <v>No</v>
      </c>
      <c r="G1729" t="str">
        <f>VLOOKUP($A1729,'Medical Examinations'!$A:$J,7,FALSE)</f>
        <v>No</v>
      </c>
      <c r="H1729" t="str">
        <f>VLOOKUP($A1729,'Medical Examinations'!$A:$J,8,FALSE)</f>
        <v>No</v>
      </c>
      <c r="I1729">
        <f>VLOOKUP($A1729,'Medical Examinations'!$A:$J,9,FALSE)</f>
        <v>0</v>
      </c>
      <c r="J1729" t="str">
        <f>VLOOKUP($A1729,'Medical Examinations'!$A:$J,10,FALSE)</f>
        <v>No</v>
      </c>
      <c r="K1729" t="str">
        <f>VLOOKUP($A1729,'Medical Examinations'!$A:$J,5,FALSE)</f>
        <v>Normal</v>
      </c>
      <c r="L1729">
        <f>VLOOKUP($A1730,'Medical Examinations'!$A:$J,3,FALSE)</f>
        <v>24.605</v>
      </c>
      <c r="N1729" s="11">
        <f>VLOOKUP($B1729,'Hospitalisation Details'!A1728:J4072,10,0)</f>
        <v>34315</v>
      </c>
      <c r="O1729" t="str">
        <f>VLOOKUP($B1729,'Hospitalisation Details'!A1728:J4072,8,0)</f>
        <v>tier - 3</v>
      </c>
      <c r="P1729" t="str">
        <f>VLOOKUP($B1729,'Hospitalisation Details'!A1728:J4072,7,0)</f>
        <v>tier - 2</v>
      </c>
      <c r="Q1729" t="str">
        <f>VLOOKUP($B1729,'Hospitalisation Details'!A1728:J4072,9,0)</f>
        <v>R1017</v>
      </c>
      <c r="R1729">
        <f>VLOOKUP($B1729,'Hospitalisation Details'!A1728:K4072,11,0)</f>
        <v>29</v>
      </c>
    </row>
    <row r="1730" spans="1:18" x14ac:dyDescent="0.35">
      <c r="A1730" t="s">
        <v>642</v>
      </c>
      <c r="B1730" t="s">
        <v>1761</v>
      </c>
      <c r="C1730" t="str">
        <f>VLOOKUP($A1730,'Customer Names'!$A:$E,4,FALSE)</f>
        <v>Tory J.</v>
      </c>
      <c r="D1730" t="str">
        <f>VLOOKUP($A1730,'Medical Examinations'!$A:$J,2,FALSE)</f>
        <v>Normal Weight</v>
      </c>
      <c r="E1730">
        <f>VLOOKUP($A1730,'Medical Examinations'!$A:$J,4,FALSE)</f>
        <v>5.7</v>
      </c>
      <c r="F1730" t="str">
        <f>VLOOKUP($A1730,'Medical Examinations'!$A:$J,6,FALSE)</f>
        <v>No</v>
      </c>
      <c r="G1730" t="str">
        <f>VLOOKUP($A1730,'Medical Examinations'!$A:$J,7,FALSE)</f>
        <v>No</v>
      </c>
      <c r="H1730" t="str">
        <f>VLOOKUP($A1730,'Medical Examinations'!$A:$J,8,FALSE)</f>
        <v>No</v>
      </c>
      <c r="I1730">
        <f>VLOOKUP($A1730,'Medical Examinations'!$A:$J,9,FALSE)</f>
        <v>0</v>
      </c>
      <c r="J1730" t="str">
        <f>VLOOKUP($A1730,'Medical Examinations'!$A:$J,10,FALSE)</f>
        <v>No</v>
      </c>
      <c r="K1730" t="str">
        <f>VLOOKUP($A1730,'Medical Examinations'!$A:$J,5,FALSE)</f>
        <v>Prediabetes</v>
      </c>
      <c r="L1730">
        <f>VLOOKUP($A1731,'Medical Examinations'!$A:$J,3,FALSE)</f>
        <v>30.8</v>
      </c>
      <c r="N1730" s="11">
        <f>VLOOKUP($B1730,'Hospitalisation Details'!A1729:J4073,10,0)</f>
        <v>30138</v>
      </c>
      <c r="O1730" t="str">
        <f>VLOOKUP($B1730,'Hospitalisation Details'!A1729:J4073,8,0)</f>
        <v>tier - 1</v>
      </c>
      <c r="P1730" t="str">
        <f>VLOOKUP($B1730,'Hospitalisation Details'!A1729:J4073,7,0)</f>
        <v>tier - 2</v>
      </c>
      <c r="Q1730" t="str">
        <f>VLOOKUP($B1730,'Hospitalisation Details'!A1729:J4073,9,0)</f>
        <v>R1026</v>
      </c>
      <c r="R1730">
        <f>VLOOKUP($B1730,'Hospitalisation Details'!A1729:K4073,11,0)</f>
        <v>40</v>
      </c>
    </row>
    <row r="1731" spans="1:18" x14ac:dyDescent="0.35">
      <c r="A1731" t="s">
        <v>641</v>
      </c>
      <c r="B1731" t="s">
        <v>1762</v>
      </c>
      <c r="C1731" t="str">
        <f>VLOOKUP($A1731,'Customer Names'!$A:$E,4,FALSE)</f>
        <v>Robert J.</v>
      </c>
      <c r="D1731" t="str">
        <f>VLOOKUP($A1731,'Medical Examinations'!$A:$J,2,FALSE)</f>
        <v>Obesity</v>
      </c>
      <c r="E1731">
        <f>VLOOKUP($A1731,'Medical Examinations'!$A:$J,4,FALSE)</f>
        <v>5.07</v>
      </c>
      <c r="F1731" t="str">
        <f>VLOOKUP($A1731,'Medical Examinations'!$A:$J,6,FALSE)</f>
        <v>No</v>
      </c>
      <c r="G1731" t="str">
        <f>VLOOKUP($A1731,'Medical Examinations'!$A:$J,7,FALSE)</f>
        <v>No</v>
      </c>
      <c r="H1731" t="str">
        <f>VLOOKUP($A1731,'Medical Examinations'!$A:$J,8,FALSE)</f>
        <v>No</v>
      </c>
      <c r="I1731">
        <f>VLOOKUP($A1731,'Medical Examinations'!$A:$J,9,FALSE)</f>
        <v>0</v>
      </c>
      <c r="J1731" t="str">
        <f>VLOOKUP($A1731,'Medical Examinations'!$A:$J,10,FALSE)</f>
        <v>No</v>
      </c>
      <c r="K1731" t="str">
        <f>VLOOKUP($A1731,'Medical Examinations'!$A:$J,5,FALSE)</f>
        <v>Normal</v>
      </c>
      <c r="L1731">
        <f>VLOOKUP($A1732,'Medical Examinations'!$A:$J,3,FALSE)</f>
        <v>34.799999999999997</v>
      </c>
      <c r="N1731" s="11">
        <f>VLOOKUP($B1731,'Hospitalisation Details'!A1730:J4074,10,0)</f>
        <v>27283</v>
      </c>
      <c r="O1731" t="str">
        <f>VLOOKUP($B1731,'Hospitalisation Details'!A1730:J4074,8,0)</f>
        <v>tier - 3</v>
      </c>
      <c r="P1731" t="str">
        <f>VLOOKUP($B1731,'Hospitalisation Details'!A1730:J4074,7,0)</f>
        <v>tier - 2</v>
      </c>
      <c r="Q1731" t="str">
        <f>VLOOKUP($B1731,'Hospitalisation Details'!A1730:J4074,9,0)</f>
        <v>R1012</v>
      </c>
      <c r="R1731">
        <f>VLOOKUP($B1731,'Hospitalisation Details'!A1730:K4074,11,0)</f>
        <v>48</v>
      </c>
    </row>
    <row r="1732" spans="1:18" x14ac:dyDescent="0.35">
      <c r="A1732" t="s">
        <v>640</v>
      </c>
      <c r="B1732" t="s">
        <v>1763</v>
      </c>
      <c r="C1732" t="str">
        <f>VLOOKUP($A1732,'Customer Names'!$A:$E,4,FALSE)</f>
        <v>Steph</v>
      </c>
      <c r="D1732" t="str">
        <f>VLOOKUP($A1732,'Medical Examinations'!$A:$J,2,FALSE)</f>
        <v>Obesity</v>
      </c>
      <c r="E1732">
        <f>VLOOKUP($A1732,'Medical Examinations'!$A:$J,4,FALSE)</f>
        <v>4.38</v>
      </c>
      <c r="F1732" t="str">
        <f>VLOOKUP($A1732,'Medical Examinations'!$A:$J,6,FALSE)</f>
        <v>No</v>
      </c>
      <c r="G1732" t="str">
        <f>VLOOKUP($A1732,'Medical Examinations'!$A:$J,7,FALSE)</f>
        <v>No</v>
      </c>
      <c r="H1732" t="str">
        <f>VLOOKUP($A1732,'Medical Examinations'!$A:$J,8,FALSE)</f>
        <v>No</v>
      </c>
      <c r="I1732">
        <f>VLOOKUP($A1732,'Medical Examinations'!$A:$J,9,FALSE)</f>
        <v>1</v>
      </c>
      <c r="J1732" t="str">
        <f>VLOOKUP($A1732,'Medical Examinations'!$A:$J,10,FALSE)</f>
        <v>No</v>
      </c>
      <c r="K1732" t="str">
        <f>VLOOKUP($A1732,'Medical Examinations'!$A:$J,5,FALSE)</f>
        <v>Normal</v>
      </c>
      <c r="L1732">
        <f>VLOOKUP($A1733,'Medical Examinations'!$A:$J,3,FALSE)</f>
        <v>34.21</v>
      </c>
      <c r="N1732" s="11">
        <f>VLOOKUP($B1732,'Hospitalisation Details'!A1731:J4075,10,0)</f>
        <v>32361</v>
      </c>
      <c r="O1732" t="str">
        <f>VLOOKUP($B1732,'Hospitalisation Details'!A1731:J4075,8,0)</f>
        <v>tier - 2</v>
      </c>
      <c r="P1732" t="str">
        <f>VLOOKUP($B1732,'Hospitalisation Details'!A1731:J4075,7,0)</f>
        <v>tier - 2</v>
      </c>
      <c r="Q1732" t="str">
        <f>VLOOKUP($B1732,'Hospitalisation Details'!A1731:J4075,9,0)</f>
        <v>R1012</v>
      </c>
      <c r="R1732">
        <f>VLOOKUP($B1732,'Hospitalisation Details'!A1731:K4075,11,0)</f>
        <v>34</v>
      </c>
    </row>
    <row r="1733" spans="1:18" x14ac:dyDescent="0.35">
      <c r="A1733" t="s">
        <v>639</v>
      </c>
      <c r="B1733" t="s">
        <v>1764</v>
      </c>
      <c r="C1733" t="str">
        <f>VLOOKUP($A1733,'Customer Names'!$A:$E,4,FALSE)</f>
        <v>Kate</v>
      </c>
      <c r="D1733" t="str">
        <f>VLOOKUP($A1733,'Medical Examinations'!$A:$J,2,FALSE)</f>
        <v>Obesity</v>
      </c>
      <c r="E1733">
        <f>VLOOKUP($A1733,'Medical Examinations'!$A:$J,4,FALSE)</f>
        <v>4.54</v>
      </c>
      <c r="F1733" t="str">
        <f>VLOOKUP($A1733,'Medical Examinations'!$A:$J,6,FALSE)</f>
        <v>No</v>
      </c>
      <c r="G1733" t="str">
        <f>VLOOKUP($A1733,'Medical Examinations'!$A:$J,7,FALSE)</f>
        <v>No</v>
      </c>
      <c r="H1733" t="str">
        <f>VLOOKUP($A1733,'Medical Examinations'!$A:$J,8,FALSE)</f>
        <v>No</v>
      </c>
      <c r="I1733">
        <f>VLOOKUP($A1733,'Medical Examinations'!$A:$J,9,FALSE)</f>
        <v>1</v>
      </c>
      <c r="J1733" t="str">
        <f>VLOOKUP($A1733,'Medical Examinations'!$A:$J,10,FALSE)</f>
        <v>No</v>
      </c>
      <c r="K1733" t="str">
        <f>VLOOKUP($A1733,'Medical Examinations'!$A:$J,5,FALSE)</f>
        <v>Normal</v>
      </c>
      <c r="L1733">
        <f>VLOOKUP($A1734,'Medical Examinations'!$A:$J,3,FALSE)</f>
        <v>31</v>
      </c>
      <c r="N1733" s="11">
        <f>VLOOKUP($B1733,'Hospitalisation Details'!A1732:J4076,10,0)</f>
        <v>32376</v>
      </c>
      <c r="O1733" t="str">
        <f>VLOOKUP($B1733,'Hospitalisation Details'!A1732:J4076,8,0)</f>
        <v>tier - 1</v>
      </c>
      <c r="P1733" t="str">
        <f>VLOOKUP($B1733,'Hospitalisation Details'!A1732:J4076,7,0)</f>
        <v>tier - 2</v>
      </c>
      <c r="Q1733" t="str">
        <f>VLOOKUP($B1733,'Hospitalisation Details'!A1732:J4076,9,0)</f>
        <v>R1012</v>
      </c>
      <c r="R1733">
        <f>VLOOKUP($B1733,'Hospitalisation Details'!A1732:K4076,11,0)</f>
        <v>34</v>
      </c>
    </row>
    <row r="1734" spans="1:18" x14ac:dyDescent="0.35">
      <c r="A1734" t="s">
        <v>638</v>
      </c>
      <c r="B1734" t="s">
        <v>1765</v>
      </c>
      <c r="C1734" t="str">
        <f>VLOOKUP($A1734,'Customer Names'!$A:$E,4,FALSE)</f>
        <v>Kristina</v>
      </c>
      <c r="D1734" t="str">
        <f>VLOOKUP($A1734,'Medical Examinations'!$A:$J,2,FALSE)</f>
        <v>Obesity</v>
      </c>
      <c r="E1734">
        <f>VLOOKUP($A1734,'Medical Examinations'!$A:$J,4,FALSE)</f>
        <v>5.38</v>
      </c>
      <c r="F1734" t="str">
        <f>VLOOKUP($A1734,'Medical Examinations'!$A:$J,6,FALSE)</f>
        <v>No</v>
      </c>
      <c r="G1734" t="str">
        <f>VLOOKUP($A1734,'Medical Examinations'!$A:$J,7,FALSE)</f>
        <v>No</v>
      </c>
      <c r="H1734" t="str">
        <f>VLOOKUP($A1734,'Medical Examinations'!$A:$J,8,FALSE)</f>
        <v>No</v>
      </c>
      <c r="I1734">
        <f>VLOOKUP($A1734,'Medical Examinations'!$A:$J,9,FALSE)</f>
        <v>1</v>
      </c>
      <c r="J1734" t="str">
        <f>VLOOKUP($A1734,'Medical Examinations'!$A:$J,10,FALSE)</f>
        <v>No</v>
      </c>
      <c r="K1734" t="str">
        <f>VLOOKUP($A1734,'Medical Examinations'!$A:$J,5,FALSE)</f>
        <v>Normal</v>
      </c>
      <c r="L1734">
        <f>VLOOKUP($A1735,'Medical Examinations'!$A:$J,3,FALSE)</f>
        <v>26.125</v>
      </c>
      <c r="N1734" s="11">
        <f>VLOOKUP($B1734,'Hospitalisation Details'!A1733:J4077,10,0)</f>
        <v>37507</v>
      </c>
      <c r="O1734" t="str">
        <f>VLOOKUP($B1734,'Hospitalisation Details'!A1733:J4077,8,0)</f>
        <v>tier - 1</v>
      </c>
      <c r="P1734" t="str">
        <f>VLOOKUP($B1734,'Hospitalisation Details'!A1733:J4077,7,0)</f>
        <v>tier - 2</v>
      </c>
      <c r="Q1734" t="str">
        <f>VLOOKUP($B1734,'Hospitalisation Details'!A1733:J4077,9,0)</f>
        <v>R1011</v>
      </c>
      <c r="R1734">
        <f>VLOOKUP($B1734,'Hospitalisation Details'!A1733:K4077,11,0)</f>
        <v>20</v>
      </c>
    </row>
    <row r="1735" spans="1:18" x14ac:dyDescent="0.35">
      <c r="A1735" t="s">
        <v>637</v>
      </c>
      <c r="B1735" t="s">
        <v>1766</v>
      </c>
      <c r="C1735" t="str">
        <f>VLOOKUP($A1735,'Customer Names'!$A:$E,4,FALSE)</f>
        <v>Flo</v>
      </c>
      <c r="D1735" t="str">
        <f>VLOOKUP($A1735,'Medical Examinations'!$A:$J,2,FALSE)</f>
        <v>Overweight</v>
      </c>
      <c r="E1735">
        <f>VLOOKUP($A1735,'Medical Examinations'!$A:$J,4,FALSE)</f>
        <v>5.55</v>
      </c>
      <c r="F1735" t="str">
        <f>VLOOKUP($A1735,'Medical Examinations'!$A:$J,6,FALSE)</f>
        <v>No</v>
      </c>
      <c r="G1735" t="str">
        <f>VLOOKUP($A1735,'Medical Examinations'!$A:$J,7,FALSE)</f>
        <v>No</v>
      </c>
      <c r="H1735" t="str">
        <f>VLOOKUP($A1735,'Medical Examinations'!$A:$J,8,FALSE)</f>
        <v>No</v>
      </c>
      <c r="I1735">
        <f>VLOOKUP($A1735,'Medical Examinations'!$A:$J,9,FALSE)</f>
        <v>1</v>
      </c>
      <c r="J1735" t="str">
        <f>VLOOKUP($A1735,'Medical Examinations'!$A:$J,10,FALSE)</f>
        <v>No</v>
      </c>
      <c r="K1735" t="str">
        <f>VLOOKUP($A1735,'Medical Examinations'!$A:$J,5,FALSE)</f>
        <v>Normal</v>
      </c>
      <c r="L1735">
        <f>VLOOKUP($A1736,'Medical Examinations'!$A:$J,3,FALSE)</f>
        <v>30.13</v>
      </c>
      <c r="N1735" s="11">
        <f>VLOOKUP($B1735,'Hospitalisation Details'!A1734:J4078,10,0)</f>
        <v>26510</v>
      </c>
      <c r="O1735" t="str">
        <f>VLOOKUP($B1735,'Hospitalisation Details'!A1734:J4078,8,0)</f>
        <v>tier - 2</v>
      </c>
      <c r="P1735" t="str">
        <f>VLOOKUP($B1735,'Hospitalisation Details'!A1734:J4078,7,0)</f>
        <v>tier - 2</v>
      </c>
      <c r="Q1735" t="str">
        <f>VLOOKUP($B1735,'Hospitalisation Details'!A1734:J4078,9,0)</f>
        <v>R1023</v>
      </c>
      <c r="R1735">
        <f>VLOOKUP($B1735,'Hospitalisation Details'!A1734:K4078,11,0)</f>
        <v>50</v>
      </c>
    </row>
    <row r="1736" spans="1:18" x14ac:dyDescent="0.35">
      <c r="A1736" t="s">
        <v>636</v>
      </c>
      <c r="B1736" t="s">
        <v>1767</v>
      </c>
      <c r="C1736" t="str">
        <f>VLOOKUP($A1736,'Customer Names'!$A:$E,4,FALSE)</f>
        <v>Sarah P.</v>
      </c>
      <c r="D1736" t="str">
        <f>VLOOKUP($A1736,'Medical Examinations'!$A:$J,2,FALSE)</f>
        <v>Obesity</v>
      </c>
      <c r="E1736">
        <f>VLOOKUP($A1736,'Medical Examinations'!$A:$J,4,FALSE)</f>
        <v>4.03</v>
      </c>
      <c r="F1736" t="str">
        <f>VLOOKUP($A1736,'Medical Examinations'!$A:$J,6,FALSE)</f>
        <v>yes</v>
      </c>
      <c r="G1736" t="str">
        <f>VLOOKUP($A1736,'Medical Examinations'!$A:$J,7,FALSE)</f>
        <v>No</v>
      </c>
      <c r="H1736" t="str">
        <f>VLOOKUP($A1736,'Medical Examinations'!$A:$J,8,FALSE)</f>
        <v>No</v>
      </c>
      <c r="I1736">
        <f>VLOOKUP($A1736,'Medical Examinations'!$A:$J,9,FALSE)</f>
        <v>1</v>
      </c>
      <c r="J1736" t="str">
        <f>VLOOKUP($A1736,'Medical Examinations'!$A:$J,10,FALSE)</f>
        <v>No</v>
      </c>
      <c r="K1736" t="str">
        <f>VLOOKUP($A1736,'Medical Examinations'!$A:$J,5,FALSE)</f>
        <v>Normal</v>
      </c>
      <c r="L1736">
        <f>VLOOKUP($A1737,'Medical Examinations'!$A:$J,3,FALSE)</f>
        <v>34.19</v>
      </c>
      <c r="N1736" s="11">
        <f>VLOOKUP($B1736,'Hospitalisation Details'!A1735:J4079,10,0)</f>
        <v>37857</v>
      </c>
      <c r="O1736" t="str">
        <f>VLOOKUP($B1736,'Hospitalisation Details'!A1735:J4079,8,0)</f>
        <v>tier - 3</v>
      </c>
      <c r="P1736" t="str">
        <f>VLOOKUP($B1736,'Hospitalisation Details'!A1735:J4079,7,0)</f>
        <v>tier - 2</v>
      </c>
      <c r="Q1736" t="str">
        <f>VLOOKUP($B1736,'Hospitalisation Details'!A1735:J4079,9,0)</f>
        <v>R1011</v>
      </c>
      <c r="R1736">
        <f>VLOOKUP($B1736,'Hospitalisation Details'!A1735:K4079,11,0)</f>
        <v>19</v>
      </c>
    </row>
    <row r="1737" spans="1:18" x14ac:dyDescent="0.35">
      <c r="A1737" t="s">
        <v>635</v>
      </c>
      <c r="B1737" t="s">
        <v>1768</v>
      </c>
      <c r="C1737" t="str">
        <f>VLOOKUP($A1737,'Customer Names'!$A:$E,4,FALSE)</f>
        <v>Anabel</v>
      </c>
      <c r="D1737" t="str">
        <f>VLOOKUP($A1737,'Medical Examinations'!$A:$J,2,FALSE)</f>
        <v>Obesity</v>
      </c>
      <c r="E1737">
        <f>VLOOKUP($A1737,'Medical Examinations'!$A:$J,4,FALSE)</f>
        <v>4.1900000000000004</v>
      </c>
      <c r="F1737" t="str">
        <f>VLOOKUP($A1737,'Medical Examinations'!$A:$J,6,FALSE)</f>
        <v>No</v>
      </c>
      <c r="G1737" t="str">
        <f>VLOOKUP($A1737,'Medical Examinations'!$A:$J,7,FALSE)</f>
        <v>No</v>
      </c>
      <c r="H1737" t="str">
        <f>VLOOKUP($A1737,'Medical Examinations'!$A:$J,8,FALSE)</f>
        <v>No</v>
      </c>
      <c r="I1737">
        <f>VLOOKUP($A1737,'Medical Examinations'!$A:$J,9,FALSE)</f>
        <v>0</v>
      </c>
      <c r="J1737" t="str">
        <f>VLOOKUP($A1737,'Medical Examinations'!$A:$J,10,FALSE)</f>
        <v>No</v>
      </c>
      <c r="K1737" t="str">
        <f>VLOOKUP($A1737,'Medical Examinations'!$A:$J,5,FALSE)</f>
        <v>Normal</v>
      </c>
      <c r="L1737">
        <f>VLOOKUP($A1738,'Medical Examinations'!$A:$J,3,FALSE)</f>
        <v>22.515000000000001</v>
      </c>
      <c r="N1737" s="11">
        <f>VLOOKUP($B1737,'Hospitalisation Details'!A1736:J4080,10,0)</f>
        <v>25423</v>
      </c>
      <c r="O1737" t="str">
        <f>VLOOKUP($B1737,'Hospitalisation Details'!A1736:J4080,8,0)</f>
        <v>tier - 3</v>
      </c>
      <c r="P1737" t="str">
        <f>VLOOKUP($B1737,'Hospitalisation Details'!A1736:J4080,7,0)</f>
        <v>tier - 2</v>
      </c>
      <c r="Q1737" t="str">
        <f>VLOOKUP($B1737,'Hospitalisation Details'!A1736:J4080,9,0)</f>
        <v>R1026</v>
      </c>
      <c r="R1737">
        <f>VLOOKUP($B1737,'Hospitalisation Details'!A1736:K4080,11,0)</f>
        <v>53</v>
      </c>
    </row>
    <row r="1738" spans="1:18" x14ac:dyDescent="0.35">
      <c r="A1738" t="s">
        <v>634</v>
      </c>
      <c r="B1738" t="s">
        <v>1769</v>
      </c>
      <c r="C1738" t="str">
        <f>VLOOKUP($A1738,'Customer Names'!$A:$E,4,FALSE)</f>
        <v>Ian</v>
      </c>
      <c r="D1738" t="str">
        <f>VLOOKUP($A1738,'Medical Examinations'!$A:$J,2,FALSE)</f>
        <v>Normal Weight</v>
      </c>
      <c r="E1738">
        <f>VLOOKUP($A1738,'Medical Examinations'!$A:$J,4,FALSE)</f>
        <v>4.37</v>
      </c>
      <c r="F1738" t="str">
        <f>VLOOKUP($A1738,'Medical Examinations'!$A:$J,6,FALSE)</f>
        <v>No</v>
      </c>
      <c r="G1738" t="str">
        <f>VLOOKUP($A1738,'Medical Examinations'!$A:$J,7,FALSE)</f>
        <v>No</v>
      </c>
      <c r="H1738" t="str">
        <f>VLOOKUP($A1738,'Medical Examinations'!$A:$J,8,FALSE)</f>
        <v>Yes</v>
      </c>
      <c r="I1738">
        <f>VLOOKUP($A1738,'Medical Examinations'!$A:$J,9,FALSE)</f>
        <v>1</v>
      </c>
      <c r="J1738" t="str">
        <f>VLOOKUP($A1738,'Medical Examinations'!$A:$J,10,FALSE)</f>
        <v>No</v>
      </c>
      <c r="K1738" t="str">
        <f>VLOOKUP($A1738,'Medical Examinations'!$A:$J,5,FALSE)</f>
        <v>Normal</v>
      </c>
      <c r="L1738">
        <f>VLOOKUP($A1739,'Medical Examinations'!$A:$J,3,FALSE)</f>
        <v>18.239999999999998</v>
      </c>
      <c r="N1738" s="11">
        <f>VLOOKUP($B1738,'Hospitalisation Details'!A1737:J4081,10,0)</f>
        <v>24081</v>
      </c>
      <c r="O1738" t="str">
        <f>VLOOKUP($B1738,'Hospitalisation Details'!A1737:J4081,8,0)</f>
        <v>tier - 3</v>
      </c>
      <c r="P1738" t="str">
        <f>VLOOKUP($B1738,'Hospitalisation Details'!A1737:J4081,7,0)</f>
        <v>tier - 2</v>
      </c>
      <c r="Q1738" t="str">
        <f>VLOOKUP($B1738,'Hospitalisation Details'!A1737:J4081,9,0)</f>
        <v>R1026</v>
      </c>
      <c r="R1738">
        <f>VLOOKUP($B1738,'Hospitalisation Details'!A1737:K4081,11,0)</f>
        <v>57</v>
      </c>
    </row>
    <row r="1739" spans="1:18" x14ac:dyDescent="0.35">
      <c r="A1739" t="s">
        <v>633</v>
      </c>
      <c r="B1739" t="s">
        <v>1770</v>
      </c>
      <c r="C1739" t="str">
        <f>VLOOKUP($A1739,'Customer Names'!$A:$E,4,FALSE)</f>
        <v>Alex</v>
      </c>
      <c r="D1739" t="str">
        <f>VLOOKUP($A1739,'Medical Examinations'!$A:$J,2,FALSE)</f>
        <v>Underweight</v>
      </c>
      <c r="E1739">
        <f>VLOOKUP($A1739,'Medical Examinations'!$A:$J,4,FALSE)</f>
        <v>5.31</v>
      </c>
      <c r="F1739" t="str">
        <f>VLOOKUP($A1739,'Medical Examinations'!$A:$J,6,FALSE)</f>
        <v>yes</v>
      </c>
      <c r="G1739" t="str">
        <f>VLOOKUP($A1739,'Medical Examinations'!$A:$J,7,FALSE)</f>
        <v>No</v>
      </c>
      <c r="H1739" t="str">
        <f>VLOOKUP($A1739,'Medical Examinations'!$A:$J,8,FALSE)</f>
        <v>Yes</v>
      </c>
      <c r="I1739">
        <f>VLOOKUP($A1739,'Medical Examinations'!$A:$J,9,FALSE)</f>
        <v>1</v>
      </c>
      <c r="J1739" t="str">
        <f>VLOOKUP($A1739,'Medical Examinations'!$A:$J,10,FALSE)</f>
        <v>No</v>
      </c>
      <c r="K1739" t="str">
        <f>VLOOKUP($A1739,'Medical Examinations'!$A:$J,5,FALSE)</f>
        <v>Normal</v>
      </c>
      <c r="L1739">
        <f>VLOOKUP($A1740,'Medical Examinations'!$A:$J,3,FALSE)</f>
        <v>37.28</v>
      </c>
      <c r="N1739" s="11">
        <f>VLOOKUP($B1739,'Hospitalisation Details'!A1738:J4082,10,0)</f>
        <v>34970</v>
      </c>
      <c r="O1739" t="str">
        <f>VLOOKUP($B1739,'Hospitalisation Details'!A1738:J4082,8,0)</f>
        <v>tier - 3</v>
      </c>
      <c r="P1739" t="str">
        <f>VLOOKUP($B1739,'Hospitalisation Details'!A1738:J4082,7,0)</f>
        <v>tier - 2</v>
      </c>
      <c r="Q1739" t="str">
        <f>VLOOKUP($B1739,'Hospitalisation Details'!A1738:J4082,9,0)</f>
        <v>R1012</v>
      </c>
      <c r="R1739">
        <f>VLOOKUP($B1739,'Hospitalisation Details'!A1738:K4082,11,0)</f>
        <v>27</v>
      </c>
    </row>
    <row r="1740" spans="1:18" x14ac:dyDescent="0.35">
      <c r="A1740" t="s">
        <v>631</v>
      </c>
      <c r="B1740" t="s">
        <v>1771</v>
      </c>
      <c r="C1740" t="str">
        <f>VLOOKUP($A1740,'Customer Names'!$A:$E,4,FALSE)</f>
        <v>Richard J</v>
      </c>
      <c r="D1740" t="str">
        <f>VLOOKUP($A1740,'Medical Examinations'!$A:$J,2,FALSE)</f>
        <v>Obesity</v>
      </c>
      <c r="E1740">
        <f>VLOOKUP($A1740,'Medical Examinations'!$A:$J,4,FALSE)</f>
        <v>4.66</v>
      </c>
      <c r="F1740" t="str">
        <f>VLOOKUP($A1740,'Medical Examinations'!$A:$J,6,FALSE)</f>
        <v>No</v>
      </c>
      <c r="G1740" t="str">
        <f>VLOOKUP($A1740,'Medical Examinations'!$A:$J,7,FALSE)</f>
        <v>yes</v>
      </c>
      <c r="H1740" t="str">
        <f>VLOOKUP($A1740,'Medical Examinations'!$A:$J,8,FALSE)</f>
        <v>No</v>
      </c>
      <c r="I1740">
        <f>VLOOKUP($A1740,'Medical Examinations'!$A:$J,9,FALSE)</f>
        <v>1</v>
      </c>
      <c r="J1740" t="str">
        <f>VLOOKUP($A1740,'Medical Examinations'!$A:$J,10,FALSE)</f>
        <v>No</v>
      </c>
      <c r="K1740" t="str">
        <f>VLOOKUP($A1740,'Medical Examinations'!$A:$J,5,FALSE)</f>
        <v>Normal</v>
      </c>
      <c r="L1740">
        <f>VLOOKUP($A1741,'Medical Examinations'!$A:$J,3,FALSE)</f>
        <v>18.2</v>
      </c>
      <c r="N1740" s="11">
        <f>VLOOKUP($B1740,'Hospitalisation Details'!A1739:J4083,10,0)</f>
        <v>37975</v>
      </c>
      <c r="O1740" t="str">
        <f>VLOOKUP($B1740,'Hospitalisation Details'!A1739:J4083,8,0)</f>
        <v>tier - 1</v>
      </c>
      <c r="P1740" t="str">
        <f>VLOOKUP($B1740,'Hospitalisation Details'!A1739:J4083,7,0)</f>
        <v>tier - 2</v>
      </c>
      <c r="Q1740" t="str">
        <f>VLOOKUP($B1740,'Hospitalisation Details'!A1739:J4083,9,0)</f>
        <v>R1012</v>
      </c>
      <c r="R1740">
        <f>VLOOKUP($B1740,'Hospitalisation Details'!A1739:K4083,11,0)</f>
        <v>19</v>
      </c>
    </row>
    <row r="1741" spans="1:18" x14ac:dyDescent="0.35">
      <c r="A1741" t="s">
        <v>630</v>
      </c>
      <c r="B1741" t="s">
        <v>1772</v>
      </c>
      <c r="C1741" t="str">
        <f>VLOOKUP($A1741,'Customer Names'!$A:$E,4,FALSE)</f>
        <v>Jacqueline N.</v>
      </c>
      <c r="D1741" t="str">
        <f>VLOOKUP($A1741,'Medical Examinations'!$A:$J,2,FALSE)</f>
        <v>Underweight</v>
      </c>
      <c r="E1741">
        <f>VLOOKUP($A1741,'Medical Examinations'!$A:$J,4,FALSE)</f>
        <v>6.19</v>
      </c>
      <c r="F1741" t="str">
        <f>VLOOKUP($A1741,'Medical Examinations'!$A:$J,6,FALSE)</f>
        <v>No</v>
      </c>
      <c r="G1741" t="str">
        <f>VLOOKUP($A1741,'Medical Examinations'!$A:$J,7,FALSE)</f>
        <v>No</v>
      </c>
      <c r="H1741" t="str">
        <f>VLOOKUP($A1741,'Medical Examinations'!$A:$J,8,FALSE)</f>
        <v>Yes</v>
      </c>
      <c r="I1741">
        <f>VLOOKUP($A1741,'Medical Examinations'!$A:$J,9,FALSE)</f>
        <v>1</v>
      </c>
      <c r="J1741" t="str">
        <f>VLOOKUP($A1741,'Medical Examinations'!$A:$J,10,FALSE)</f>
        <v>No</v>
      </c>
      <c r="K1741" t="str">
        <f>VLOOKUP($A1741,'Medical Examinations'!$A:$J,5,FALSE)</f>
        <v>Prediabetes</v>
      </c>
      <c r="L1741">
        <f>VLOOKUP($A1742,'Medical Examinations'!$A:$J,3,FALSE)</f>
        <v>20.53</v>
      </c>
      <c r="N1741" s="11">
        <f>VLOOKUP($B1741,'Hospitalisation Details'!A1740:J4084,10,0)</f>
        <v>21468</v>
      </c>
      <c r="O1741" t="str">
        <f>VLOOKUP($B1741,'Hospitalisation Details'!A1740:J4084,8,0)</f>
        <v>tier - 2</v>
      </c>
      <c r="P1741" t="str">
        <f>VLOOKUP($B1741,'Hospitalisation Details'!A1740:J4084,7,0)</f>
        <v>tier - 2</v>
      </c>
      <c r="Q1741" t="str">
        <f>VLOOKUP($B1741,'Hospitalisation Details'!A1740:J4084,9,0)</f>
        <v>R1012</v>
      </c>
      <c r="R1741">
        <f>VLOOKUP($B1741,'Hospitalisation Details'!A1740:K4084,11,0)</f>
        <v>64</v>
      </c>
    </row>
    <row r="1742" spans="1:18" x14ac:dyDescent="0.35">
      <c r="A1742" t="s">
        <v>629</v>
      </c>
      <c r="B1742" t="s">
        <v>1773</v>
      </c>
      <c r="C1742" t="str">
        <f>VLOOKUP($A1742,'Customer Names'!$A:$E,4,FALSE)</f>
        <v>Cindy</v>
      </c>
      <c r="D1742" t="str">
        <f>VLOOKUP($A1742,'Medical Examinations'!$A:$J,2,FALSE)</f>
        <v>Normal Weight</v>
      </c>
      <c r="E1742">
        <f>VLOOKUP($A1742,'Medical Examinations'!$A:$J,4,FALSE)</f>
        <v>4.8600000000000003</v>
      </c>
      <c r="F1742" t="str">
        <f>VLOOKUP($A1742,'Medical Examinations'!$A:$J,6,FALSE)</f>
        <v>No</v>
      </c>
      <c r="G1742" t="str">
        <f>VLOOKUP($A1742,'Medical Examinations'!$A:$J,7,FALSE)</f>
        <v>No</v>
      </c>
      <c r="H1742" t="str">
        <f>VLOOKUP($A1742,'Medical Examinations'!$A:$J,8,FALSE)</f>
        <v>No</v>
      </c>
      <c r="I1742">
        <f>VLOOKUP($A1742,'Medical Examinations'!$A:$J,9,FALSE)</f>
        <v>1</v>
      </c>
      <c r="J1742" t="str">
        <f>VLOOKUP($A1742,'Medical Examinations'!$A:$J,10,FALSE)</f>
        <v>No</v>
      </c>
      <c r="K1742" t="str">
        <f>VLOOKUP($A1742,'Medical Examinations'!$A:$J,5,FALSE)</f>
        <v>Normal</v>
      </c>
      <c r="L1742">
        <f>VLOOKUP($A1743,'Medical Examinations'!$A:$J,3,FALSE)</f>
        <v>23.79</v>
      </c>
      <c r="N1742" s="11">
        <f>VLOOKUP($B1742,'Hospitalisation Details'!A1741:J4085,10,0)</f>
        <v>35056</v>
      </c>
      <c r="O1742" t="str">
        <f>VLOOKUP($B1742,'Hospitalisation Details'!A1741:J4085,8,0)</f>
        <v>tier - 1</v>
      </c>
      <c r="P1742" t="str">
        <f>VLOOKUP($B1742,'Hospitalisation Details'!A1741:J4085,7,0)</f>
        <v>tier - 2</v>
      </c>
      <c r="Q1742" t="str">
        <f>VLOOKUP($B1742,'Hospitalisation Details'!A1741:J4085,9,0)</f>
        <v>R1013</v>
      </c>
      <c r="R1742">
        <f>VLOOKUP($B1742,'Hospitalisation Details'!A1741:K4085,11,0)</f>
        <v>27</v>
      </c>
    </row>
    <row r="1743" spans="1:18" x14ac:dyDescent="0.35">
      <c r="A1743" t="s">
        <v>628</v>
      </c>
      <c r="B1743" t="s">
        <v>1774</v>
      </c>
      <c r="C1743" t="str">
        <f>VLOOKUP($A1743,'Customer Names'!$A:$E,4,FALSE)</f>
        <v>Marcia</v>
      </c>
      <c r="D1743" t="str">
        <f>VLOOKUP($A1743,'Medical Examinations'!$A:$J,2,FALSE)</f>
        <v>Normal Weight</v>
      </c>
      <c r="E1743">
        <f>VLOOKUP($A1743,'Medical Examinations'!$A:$J,4,FALSE)</f>
        <v>4.74</v>
      </c>
      <c r="F1743" t="str">
        <f>VLOOKUP($A1743,'Medical Examinations'!$A:$J,6,FALSE)</f>
        <v>No</v>
      </c>
      <c r="G1743" t="str">
        <f>VLOOKUP($A1743,'Medical Examinations'!$A:$J,7,FALSE)</f>
        <v>No</v>
      </c>
      <c r="H1743" t="str">
        <f>VLOOKUP($A1743,'Medical Examinations'!$A:$J,8,FALSE)</f>
        <v>No</v>
      </c>
      <c r="I1743">
        <f>VLOOKUP($A1743,'Medical Examinations'!$A:$J,9,FALSE)</f>
        <v>0</v>
      </c>
      <c r="J1743" t="str">
        <f>VLOOKUP($A1743,'Medical Examinations'!$A:$J,10,FALSE)</f>
        <v>No</v>
      </c>
      <c r="K1743" t="str">
        <f>VLOOKUP($A1743,'Medical Examinations'!$A:$J,5,FALSE)</f>
        <v>Normal</v>
      </c>
      <c r="L1743">
        <f>VLOOKUP($A1744,'Medical Examinations'!$A:$J,3,FALSE)</f>
        <v>29.8</v>
      </c>
      <c r="N1743" s="11">
        <f>VLOOKUP($B1743,'Hospitalisation Details'!A1742:J4086,10,0)</f>
        <v>37067</v>
      </c>
      <c r="O1743" t="str">
        <f>VLOOKUP($B1743,'Hospitalisation Details'!A1742:J4086,8,0)</f>
        <v>tier - 1</v>
      </c>
      <c r="P1743" t="str">
        <f>VLOOKUP($B1743,'Hospitalisation Details'!A1742:J4086,7,0)</f>
        <v>tier - 2</v>
      </c>
      <c r="Q1743" t="str">
        <f>VLOOKUP($B1743,'Hospitalisation Details'!A1742:J4086,9,0)</f>
        <v>R1013</v>
      </c>
      <c r="R1743">
        <f>VLOOKUP($B1743,'Hospitalisation Details'!A1742:K4086,11,0)</f>
        <v>21</v>
      </c>
    </row>
    <row r="1744" spans="1:18" x14ac:dyDescent="0.35">
      <c r="A1744" t="s">
        <v>627</v>
      </c>
      <c r="B1744" t="s">
        <v>1775</v>
      </c>
      <c r="C1744" t="str">
        <f>VLOOKUP($A1744,'Customer Names'!$A:$E,4,FALSE)</f>
        <v>Samantha R.</v>
      </c>
      <c r="D1744" t="str">
        <f>VLOOKUP($A1744,'Medical Examinations'!$A:$J,2,FALSE)</f>
        <v>Overweight</v>
      </c>
      <c r="E1744">
        <f>VLOOKUP($A1744,'Medical Examinations'!$A:$J,4,FALSE)</f>
        <v>6.03</v>
      </c>
      <c r="F1744" t="str">
        <f>VLOOKUP($A1744,'Medical Examinations'!$A:$J,6,FALSE)</f>
        <v>No</v>
      </c>
      <c r="G1744" t="str">
        <f>VLOOKUP($A1744,'Medical Examinations'!$A:$J,7,FALSE)</f>
        <v>No</v>
      </c>
      <c r="H1744" t="str">
        <f>VLOOKUP($A1744,'Medical Examinations'!$A:$J,8,FALSE)</f>
        <v>No</v>
      </c>
      <c r="I1744">
        <f>VLOOKUP($A1744,'Medical Examinations'!$A:$J,9,FALSE)</f>
        <v>0</v>
      </c>
      <c r="J1744" t="str">
        <f>VLOOKUP($A1744,'Medical Examinations'!$A:$J,10,FALSE)</f>
        <v>No</v>
      </c>
      <c r="K1744" t="str">
        <f>VLOOKUP($A1744,'Medical Examinations'!$A:$J,5,FALSE)</f>
        <v>Prediabetes</v>
      </c>
      <c r="L1744">
        <f>VLOOKUP($A1745,'Medical Examinations'!$A:$J,3,FALSE)</f>
        <v>31.54</v>
      </c>
      <c r="N1744" s="11">
        <f>VLOOKUP($B1744,'Hospitalisation Details'!A1743:J4087,10,0)</f>
        <v>23187</v>
      </c>
      <c r="O1744" t="str">
        <f>VLOOKUP($B1744,'Hospitalisation Details'!A1743:J4087,8,0)</f>
        <v>tier - 2</v>
      </c>
      <c r="P1744" t="str">
        <f>VLOOKUP($B1744,'Hospitalisation Details'!A1743:J4087,7,0)</f>
        <v>tier - 2</v>
      </c>
      <c r="Q1744" t="str">
        <f>VLOOKUP($B1744,'Hospitalisation Details'!A1743:J4087,9,0)</f>
        <v>R1023</v>
      </c>
      <c r="R1744">
        <f>VLOOKUP($B1744,'Hospitalisation Details'!A1743:K4087,11,0)</f>
        <v>59</v>
      </c>
    </row>
    <row r="1745" spans="1:18" x14ac:dyDescent="0.35">
      <c r="A1745" t="s">
        <v>626</v>
      </c>
      <c r="B1745" t="s">
        <v>1776</v>
      </c>
      <c r="C1745" t="str">
        <f>VLOOKUP($A1745,'Customer Names'!$A:$E,4,FALSE)</f>
        <v>Katie</v>
      </c>
      <c r="D1745" t="str">
        <f>VLOOKUP($A1745,'Medical Examinations'!$A:$J,2,FALSE)</f>
        <v>Obesity</v>
      </c>
      <c r="E1745">
        <f>VLOOKUP($A1745,'Medical Examinations'!$A:$J,4,FALSE)</f>
        <v>4.71</v>
      </c>
      <c r="F1745" t="str">
        <f>VLOOKUP($A1745,'Medical Examinations'!$A:$J,6,FALSE)</f>
        <v>No</v>
      </c>
      <c r="G1745" t="str">
        <f>VLOOKUP($A1745,'Medical Examinations'!$A:$J,7,FALSE)</f>
        <v>No</v>
      </c>
      <c r="H1745" t="str">
        <f>VLOOKUP($A1745,'Medical Examinations'!$A:$J,8,FALSE)</f>
        <v>No</v>
      </c>
      <c r="I1745">
        <f>VLOOKUP($A1745,'Medical Examinations'!$A:$J,9,FALSE)</f>
        <v>0</v>
      </c>
      <c r="J1745" t="str">
        <f>VLOOKUP($A1745,'Medical Examinations'!$A:$J,10,FALSE)</f>
        <v>No</v>
      </c>
      <c r="K1745" t="str">
        <f>VLOOKUP($A1745,'Medical Examinations'!$A:$J,5,FALSE)</f>
        <v>Normal</v>
      </c>
      <c r="L1745">
        <f>VLOOKUP($A1746,'Medical Examinations'!$A:$J,3,FALSE)</f>
        <v>20.82</v>
      </c>
      <c r="N1745" s="11">
        <f>VLOOKUP($B1745,'Hospitalisation Details'!A1744:J4088,10,0)</f>
        <v>25759</v>
      </c>
      <c r="O1745" t="str">
        <f>VLOOKUP($B1745,'Hospitalisation Details'!A1744:J4088,8,0)</f>
        <v>tier - 2</v>
      </c>
      <c r="P1745" t="str">
        <f>VLOOKUP($B1745,'Hospitalisation Details'!A1744:J4088,7,0)</f>
        <v>tier - 2</v>
      </c>
      <c r="Q1745" t="str">
        <f>VLOOKUP($B1745,'Hospitalisation Details'!A1744:J4088,9,0)</f>
        <v>R1011</v>
      </c>
      <c r="R1745">
        <f>VLOOKUP($B1745,'Hospitalisation Details'!A1744:K4088,11,0)</f>
        <v>52</v>
      </c>
    </row>
    <row r="1746" spans="1:18" x14ac:dyDescent="0.35">
      <c r="A1746" t="s">
        <v>625</v>
      </c>
      <c r="B1746" t="s">
        <v>1777</v>
      </c>
      <c r="C1746" t="str">
        <f>VLOOKUP($A1746,'Customer Names'!$A:$E,4,FALSE)</f>
        <v>John P</v>
      </c>
      <c r="D1746" t="str">
        <f>VLOOKUP($A1746,'Medical Examinations'!$A:$J,2,FALSE)</f>
        <v>Normal Weight</v>
      </c>
      <c r="E1746">
        <f>VLOOKUP($A1746,'Medical Examinations'!$A:$J,4,FALSE)</f>
        <v>5.55</v>
      </c>
      <c r="F1746" t="str">
        <f>VLOOKUP($A1746,'Medical Examinations'!$A:$J,6,FALSE)</f>
        <v>No</v>
      </c>
      <c r="G1746" t="str">
        <f>VLOOKUP($A1746,'Medical Examinations'!$A:$J,7,FALSE)</f>
        <v>No</v>
      </c>
      <c r="H1746" t="str">
        <f>VLOOKUP($A1746,'Medical Examinations'!$A:$J,8,FALSE)</f>
        <v>No</v>
      </c>
      <c r="I1746">
        <f>VLOOKUP($A1746,'Medical Examinations'!$A:$J,9,FALSE)</f>
        <v>1</v>
      </c>
      <c r="J1746" t="str">
        <f>VLOOKUP($A1746,'Medical Examinations'!$A:$J,10,FALSE)</f>
        <v>No</v>
      </c>
      <c r="K1746" t="str">
        <f>VLOOKUP($A1746,'Medical Examinations'!$A:$J,5,FALSE)</f>
        <v>Normal</v>
      </c>
      <c r="L1746">
        <f>VLOOKUP($A1747,'Medical Examinations'!$A:$J,3,FALSE)</f>
        <v>38.83</v>
      </c>
      <c r="N1746" s="11">
        <f>VLOOKUP($B1746,'Hospitalisation Details'!A1745:J4089,10,0)</f>
        <v>27599</v>
      </c>
      <c r="O1746" t="str">
        <f>VLOOKUP($B1746,'Hospitalisation Details'!A1745:J4089,8,0)</f>
        <v>tier - 1</v>
      </c>
      <c r="P1746" t="str">
        <f>VLOOKUP($B1746,'Hospitalisation Details'!A1745:J4089,7,0)</f>
        <v>tier - 2</v>
      </c>
      <c r="Q1746" t="str">
        <f>VLOOKUP($B1746,'Hospitalisation Details'!A1745:J4089,9,0)</f>
        <v>R1026</v>
      </c>
      <c r="R1746">
        <f>VLOOKUP($B1746,'Hospitalisation Details'!A1745:K4089,11,0)</f>
        <v>47</v>
      </c>
    </row>
    <row r="1747" spans="1:18" x14ac:dyDescent="0.35">
      <c r="A1747" t="s">
        <v>624</v>
      </c>
      <c r="B1747" t="s">
        <v>1778</v>
      </c>
      <c r="C1747" t="str">
        <f>VLOOKUP($A1747,'Customer Names'!$A:$E,4,FALSE)</f>
        <v>Rachel</v>
      </c>
      <c r="D1747" t="str">
        <f>VLOOKUP($A1747,'Medical Examinations'!$A:$J,2,FALSE)</f>
        <v>Obesity</v>
      </c>
      <c r="E1747">
        <f>VLOOKUP($A1747,'Medical Examinations'!$A:$J,4,FALSE)</f>
        <v>4.78</v>
      </c>
      <c r="F1747" t="str">
        <f>VLOOKUP($A1747,'Medical Examinations'!$A:$J,6,FALSE)</f>
        <v>No</v>
      </c>
      <c r="G1747" t="str">
        <f>VLOOKUP($A1747,'Medical Examinations'!$A:$J,7,FALSE)</f>
        <v>No</v>
      </c>
      <c r="H1747" t="str">
        <f>VLOOKUP($A1747,'Medical Examinations'!$A:$J,8,FALSE)</f>
        <v>Yes</v>
      </c>
      <c r="I1747">
        <f>VLOOKUP($A1747,'Medical Examinations'!$A:$J,9,FALSE)</f>
        <v>1</v>
      </c>
      <c r="J1747" t="str">
        <f>VLOOKUP($A1747,'Medical Examinations'!$A:$J,10,FALSE)</f>
        <v>No</v>
      </c>
      <c r="K1747" t="str">
        <f>VLOOKUP($A1747,'Medical Examinations'!$A:$J,5,FALSE)</f>
        <v>Normal</v>
      </c>
      <c r="L1747">
        <f>VLOOKUP($A1748,'Medical Examinations'!$A:$J,3,FALSE)</f>
        <v>23.44</v>
      </c>
      <c r="N1747" s="11">
        <f>VLOOKUP($B1747,'Hospitalisation Details'!A1746:J4090,10,0)</f>
        <v>28393</v>
      </c>
      <c r="O1747" t="str">
        <f>VLOOKUP($B1747,'Hospitalisation Details'!A1746:J4090,8,0)</f>
        <v>tier - 1</v>
      </c>
      <c r="P1747" t="str">
        <f>VLOOKUP($B1747,'Hospitalisation Details'!A1746:J4090,7,0)</f>
        <v>tier - 2</v>
      </c>
      <c r="Q1747" t="str">
        <f>VLOOKUP($B1747,'Hospitalisation Details'!A1746:J4090,9,0)</f>
        <v>R1012</v>
      </c>
      <c r="R1747">
        <f>VLOOKUP($B1747,'Hospitalisation Details'!A1746:K4090,11,0)</f>
        <v>45</v>
      </c>
    </row>
    <row r="1748" spans="1:18" x14ac:dyDescent="0.35">
      <c r="A1748" t="s">
        <v>623</v>
      </c>
      <c r="B1748" t="s">
        <v>1779</v>
      </c>
      <c r="C1748" t="str">
        <f>VLOOKUP($A1748,'Customer Names'!$A:$E,4,FALSE)</f>
        <v>Isabelle</v>
      </c>
      <c r="D1748" t="str">
        <f>VLOOKUP($A1748,'Medical Examinations'!$A:$J,2,FALSE)</f>
        <v>Normal Weight</v>
      </c>
      <c r="E1748">
        <f>VLOOKUP($A1748,'Medical Examinations'!$A:$J,4,FALSE)</f>
        <v>4.6500000000000004</v>
      </c>
      <c r="F1748" t="str">
        <f>VLOOKUP($A1748,'Medical Examinations'!$A:$J,6,FALSE)</f>
        <v>yes</v>
      </c>
      <c r="G1748" t="str">
        <f>VLOOKUP($A1748,'Medical Examinations'!$A:$J,7,FALSE)</f>
        <v>No</v>
      </c>
      <c r="H1748" t="str">
        <f>VLOOKUP($A1748,'Medical Examinations'!$A:$J,8,FALSE)</f>
        <v>No</v>
      </c>
      <c r="I1748">
        <f>VLOOKUP($A1748,'Medical Examinations'!$A:$J,9,FALSE)</f>
        <v>1</v>
      </c>
      <c r="J1748" t="str">
        <f>VLOOKUP($A1748,'Medical Examinations'!$A:$J,10,FALSE)</f>
        <v>No</v>
      </c>
      <c r="K1748" t="str">
        <f>VLOOKUP($A1748,'Medical Examinations'!$A:$J,5,FALSE)</f>
        <v>Normal</v>
      </c>
      <c r="L1748">
        <f>VLOOKUP($A1749,'Medical Examinations'!$A:$J,3,FALSE)</f>
        <v>24.13</v>
      </c>
      <c r="N1748" s="11">
        <f>VLOOKUP($B1748,'Hospitalisation Details'!A1747:J4091,10,0)</f>
        <v>34278</v>
      </c>
      <c r="O1748" t="str">
        <f>VLOOKUP($B1748,'Hospitalisation Details'!A1747:J4091,8,0)</f>
        <v>tier - 1</v>
      </c>
      <c r="P1748" t="str">
        <f>VLOOKUP($B1748,'Hospitalisation Details'!A1747:J4091,7,0)</f>
        <v>tier - 2</v>
      </c>
      <c r="Q1748" t="str">
        <f>VLOOKUP($B1748,'Hospitalisation Details'!A1747:J4091,9,0)</f>
        <v>R1024</v>
      </c>
      <c r="R1748">
        <f>VLOOKUP($B1748,'Hospitalisation Details'!A1747:K4091,11,0)</f>
        <v>29</v>
      </c>
    </row>
    <row r="1749" spans="1:18" x14ac:dyDescent="0.35">
      <c r="A1749" t="s">
        <v>622</v>
      </c>
      <c r="B1749" t="s">
        <v>1780</v>
      </c>
      <c r="C1749" t="str">
        <f>VLOOKUP($A1749,'Customer Names'!$A:$E,4,FALSE)</f>
        <v>Neil</v>
      </c>
      <c r="D1749" t="str">
        <f>VLOOKUP($A1749,'Medical Examinations'!$A:$J,2,FALSE)</f>
        <v>Normal Weight</v>
      </c>
      <c r="E1749">
        <f>VLOOKUP($A1749,'Medical Examinations'!$A:$J,4,FALSE)</f>
        <v>5.2</v>
      </c>
      <c r="F1749" t="str">
        <f>VLOOKUP($A1749,'Medical Examinations'!$A:$J,6,FALSE)</f>
        <v>No</v>
      </c>
      <c r="G1749" t="str">
        <f>VLOOKUP($A1749,'Medical Examinations'!$A:$J,7,FALSE)</f>
        <v>No</v>
      </c>
      <c r="H1749" t="str">
        <f>VLOOKUP($A1749,'Medical Examinations'!$A:$J,8,FALSE)</f>
        <v>No</v>
      </c>
      <c r="I1749">
        <f>VLOOKUP($A1749,'Medical Examinations'!$A:$J,9,FALSE)</f>
        <v>1</v>
      </c>
      <c r="J1749" t="str">
        <f>VLOOKUP($A1749,'Medical Examinations'!$A:$J,10,FALSE)</f>
        <v>No</v>
      </c>
      <c r="K1749" t="str">
        <f>VLOOKUP($A1749,'Medical Examinations'!$A:$J,5,FALSE)</f>
        <v>Normal</v>
      </c>
      <c r="L1749">
        <f>VLOOKUP($A1750,'Medical Examinations'!$A:$J,3,FALSE)</f>
        <v>42.13</v>
      </c>
      <c r="N1749" s="11">
        <f>VLOOKUP($B1749,'Hospitalisation Details'!A1748:J4092,10,0)</f>
        <v>27269</v>
      </c>
      <c r="O1749" t="str">
        <f>VLOOKUP($B1749,'Hospitalisation Details'!A1748:J4092,8,0)</f>
        <v>tier - 1</v>
      </c>
      <c r="P1749" t="str">
        <f>VLOOKUP($B1749,'Hospitalisation Details'!A1748:J4092,7,0)</f>
        <v>tier - 2</v>
      </c>
      <c r="Q1749" t="str">
        <f>VLOOKUP($B1749,'Hospitalisation Details'!A1748:J4092,9,0)</f>
        <v>R1012</v>
      </c>
      <c r="R1749">
        <f>VLOOKUP($B1749,'Hospitalisation Details'!A1748:K4092,11,0)</f>
        <v>48</v>
      </c>
    </row>
    <row r="1750" spans="1:18" x14ac:dyDescent="0.35">
      <c r="A1750" t="s">
        <v>621</v>
      </c>
      <c r="B1750" t="s">
        <v>1781</v>
      </c>
      <c r="C1750" t="str">
        <f>VLOOKUP($A1750,'Customer Names'!$A:$E,4,FALSE)</f>
        <v>Tom</v>
      </c>
      <c r="D1750" t="str">
        <f>VLOOKUP($A1750,'Medical Examinations'!$A:$J,2,FALSE)</f>
        <v>Obesity</v>
      </c>
      <c r="E1750">
        <f>VLOOKUP($A1750,'Medical Examinations'!$A:$J,4,FALSE)</f>
        <v>4.54</v>
      </c>
      <c r="F1750" t="str">
        <f>VLOOKUP($A1750,'Medical Examinations'!$A:$J,6,FALSE)</f>
        <v>yes</v>
      </c>
      <c r="G1750" t="str">
        <f>VLOOKUP($A1750,'Medical Examinations'!$A:$J,7,FALSE)</f>
        <v>No</v>
      </c>
      <c r="H1750" t="str">
        <f>VLOOKUP($A1750,'Medical Examinations'!$A:$J,8,FALSE)</f>
        <v>No</v>
      </c>
      <c r="I1750">
        <f>VLOOKUP($A1750,'Medical Examinations'!$A:$J,9,FALSE)</f>
        <v>1</v>
      </c>
      <c r="J1750" t="str">
        <f>VLOOKUP($A1750,'Medical Examinations'!$A:$J,10,FALSE)</f>
        <v>No</v>
      </c>
      <c r="K1750" t="str">
        <f>VLOOKUP($A1750,'Medical Examinations'!$A:$J,5,FALSE)</f>
        <v>Normal</v>
      </c>
      <c r="L1750">
        <f>VLOOKUP($A1751,'Medical Examinations'!$A:$J,3,FALSE)</f>
        <v>17.86</v>
      </c>
      <c r="N1750" s="11">
        <f>VLOOKUP($B1750,'Hospitalisation Details'!A1749:J4093,10,0)</f>
        <v>32774</v>
      </c>
      <c r="O1750" t="str">
        <f>VLOOKUP($B1750,'Hospitalisation Details'!A1749:J4093,8,0)</f>
        <v>tier - 2</v>
      </c>
      <c r="P1750" t="str">
        <f>VLOOKUP($B1750,'Hospitalisation Details'!A1749:J4093,7,0)</f>
        <v>tier - 2</v>
      </c>
      <c r="Q1750" t="str">
        <f>VLOOKUP($B1750,'Hospitalisation Details'!A1749:J4093,9,0)</f>
        <v>R1024</v>
      </c>
      <c r="R1750">
        <f>VLOOKUP($B1750,'Hospitalisation Details'!A1749:K4093,11,0)</f>
        <v>33</v>
      </c>
    </row>
    <row r="1751" spans="1:18" x14ac:dyDescent="0.35">
      <c r="A1751" t="s">
        <v>620</v>
      </c>
      <c r="B1751" t="s">
        <v>1782</v>
      </c>
      <c r="C1751" t="str">
        <f>VLOOKUP($A1751,'Customer Names'!$A:$E,4,FALSE)</f>
        <v>Nathan</v>
      </c>
      <c r="D1751" t="str">
        <f>VLOOKUP($A1751,'Medical Examinations'!$A:$J,2,FALSE)</f>
        <v>Underweight</v>
      </c>
      <c r="E1751">
        <f>VLOOKUP($A1751,'Medical Examinations'!$A:$J,4,FALSE)</f>
        <v>4.1100000000000003</v>
      </c>
      <c r="F1751" t="str">
        <f>VLOOKUP($A1751,'Medical Examinations'!$A:$J,6,FALSE)</f>
        <v>No</v>
      </c>
      <c r="G1751" t="str">
        <f>VLOOKUP($A1751,'Medical Examinations'!$A:$J,7,FALSE)</f>
        <v>No</v>
      </c>
      <c r="H1751" t="str">
        <f>VLOOKUP($A1751,'Medical Examinations'!$A:$J,8,FALSE)</f>
        <v>No</v>
      </c>
      <c r="I1751">
        <f>VLOOKUP($A1751,'Medical Examinations'!$A:$J,9,FALSE)</f>
        <v>1</v>
      </c>
      <c r="J1751" t="str">
        <f>VLOOKUP($A1751,'Medical Examinations'!$A:$J,10,FALSE)</f>
        <v>No</v>
      </c>
      <c r="K1751" t="str">
        <f>VLOOKUP($A1751,'Medical Examinations'!$A:$J,5,FALSE)</f>
        <v>Normal</v>
      </c>
      <c r="L1751">
        <f>VLOOKUP($A1752,'Medical Examinations'!$A:$J,3,FALSE)</f>
        <v>32.78</v>
      </c>
      <c r="N1751" s="11">
        <f>VLOOKUP($B1751,'Hospitalisation Details'!A1750:J4094,10,0)</f>
        <v>22856</v>
      </c>
      <c r="O1751" t="str">
        <f>VLOOKUP($B1751,'Hospitalisation Details'!A1750:J4094,8,0)</f>
        <v>tier - 2</v>
      </c>
      <c r="P1751" t="str">
        <f>VLOOKUP($B1751,'Hospitalisation Details'!A1750:J4094,7,0)</f>
        <v>tier - 2</v>
      </c>
      <c r="Q1751" t="str">
        <f>VLOOKUP($B1751,'Hospitalisation Details'!A1750:J4094,9,0)</f>
        <v>R1026</v>
      </c>
      <c r="R1751">
        <f>VLOOKUP($B1751,'Hospitalisation Details'!A1750:K4094,11,0)</f>
        <v>60</v>
      </c>
    </row>
    <row r="1752" spans="1:18" x14ac:dyDescent="0.35">
      <c r="A1752" t="s">
        <v>619</v>
      </c>
      <c r="B1752" t="s">
        <v>1783</v>
      </c>
      <c r="C1752" t="str">
        <f>VLOOKUP($A1752,'Customer Names'!$A:$E,4,FALSE)</f>
        <v>Kelli N</v>
      </c>
      <c r="D1752" t="str">
        <f>VLOOKUP($A1752,'Medical Examinations'!$A:$J,2,FALSE)</f>
        <v>Obesity</v>
      </c>
      <c r="E1752">
        <f>VLOOKUP($A1752,'Medical Examinations'!$A:$J,4,FALSE)</f>
        <v>4.63</v>
      </c>
      <c r="F1752" t="str">
        <f>VLOOKUP($A1752,'Medical Examinations'!$A:$J,6,FALSE)</f>
        <v>No</v>
      </c>
      <c r="G1752" t="str">
        <f>VLOOKUP($A1752,'Medical Examinations'!$A:$J,7,FALSE)</f>
        <v>No</v>
      </c>
      <c r="H1752" t="str">
        <f>VLOOKUP($A1752,'Medical Examinations'!$A:$J,8,FALSE)</f>
        <v>No</v>
      </c>
      <c r="I1752">
        <f>VLOOKUP($A1752,'Medical Examinations'!$A:$J,9,FALSE)</f>
        <v>0</v>
      </c>
      <c r="J1752" t="str">
        <f>VLOOKUP($A1752,'Medical Examinations'!$A:$J,10,FALSE)</f>
        <v>No</v>
      </c>
      <c r="K1752" t="str">
        <f>VLOOKUP($A1752,'Medical Examinations'!$A:$J,5,FALSE)</f>
        <v>Normal</v>
      </c>
      <c r="L1752">
        <f>VLOOKUP($A1753,'Medical Examinations'!$A:$J,3,FALSE)</f>
        <v>23.9</v>
      </c>
      <c r="N1752" s="11">
        <f>VLOOKUP($B1752,'Hospitalisation Details'!A1751:J4095,10,0)</f>
        <v>34991</v>
      </c>
      <c r="O1752" t="str">
        <f>VLOOKUP($B1752,'Hospitalisation Details'!A1751:J4095,8,0)</f>
        <v>tier - 3</v>
      </c>
      <c r="P1752" t="str">
        <f>VLOOKUP($B1752,'Hospitalisation Details'!A1751:J4095,7,0)</f>
        <v>tier - 2</v>
      </c>
      <c r="Q1752" t="str">
        <f>VLOOKUP($B1752,'Hospitalisation Details'!A1751:J4095,9,0)</f>
        <v>R1024</v>
      </c>
      <c r="R1752">
        <f>VLOOKUP($B1752,'Hospitalisation Details'!A1751:K4095,11,0)</f>
        <v>27</v>
      </c>
    </row>
    <row r="1753" spans="1:18" x14ac:dyDescent="0.35">
      <c r="A1753" t="s">
        <v>618</v>
      </c>
      <c r="B1753" t="s">
        <v>1784</v>
      </c>
      <c r="C1753" t="str">
        <f>VLOOKUP($A1753,'Customer Names'!$A:$E,4,FALSE)</f>
        <v>Scott M.</v>
      </c>
      <c r="D1753" t="str">
        <f>VLOOKUP($A1753,'Medical Examinations'!$A:$J,2,FALSE)</f>
        <v>Normal Weight</v>
      </c>
      <c r="E1753">
        <f>VLOOKUP($A1753,'Medical Examinations'!$A:$J,4,FALSE)</f>
        <v>6.06</v>
      </c>
      <c r="F1753" t="str">
        <f>VLOOKUP($A1753,'Medical Examinations'!$A:$J,6,FALSE)</f>
        <v>yes</v>
      </c>
      <c r="G1753" t="str">
        <f>VLOOKUP($A1753,'Medical Examinations'!$A:$J,7,FALSE)</f>
        <v>No</v>
      </c>
      <c r="H1753" t="str">
        <f>VLOOKUP($A1753,'Medical Examinations'!$A:$J,8,FALSE)</f>
        <v>Yes</v>
      </c>
      <c r="I1753">
        <f>VLOOKUP($A1753,'Medical Examinations'!$A:$J,9,FALSE)</f>
        <v>1</v>
      </c>
      <c r="J1753" t="str">
        <f>VLOOKUP($A1753,'Medical Examinations'!$A:$J,10,FALSE)</f>
        <v>No</v>
      </c>
      <c r="K1753" t="str">
        <f>VLOOKUP($A1753,'Medical Examinations'!$A:$J,5,FALSE)</f>
        <v>Prediabetes</v>
      </c>
      <c r="L1753">
        <f>VLOOKUP($A1754,'Medical Examinations'!$A:$J,3,FALSE)</f>
        <v>15.47</v>
      </c>
      <c r="N1753" s="11">
        <f>VLOOKUP($B1753,'Hospitalisation Details'!A1752:J4096,10,0)</f>
        <v>27249</v>
      </c>
      <c r="O1753" t="str">
        <f>VLOOKUP($B1753,'Hospitalisation Details'!A1752:J4096,8,0)</f>
        <v>tier - 3</v>
      </c>
      <c r="P1753" t="str">
        <f>VLOOKUP($B1753,'Hospitalisation Details'!A1752:J4096,7,0)</f>
        <v>tier - 2</v>
      </c>
      <c r="Q1753" t="str">
        <f>VLOOKUP($B1753,'Hospitalisation Details'!A1752:J4096,9,0)</f>
        <v>R1011</v>
      </c>
      <c r="R1753">
        <f>VLOOKUP($B1753,'Hospitalisation Details'!A1752:K4096,11,0)</f>
        <v>48</v>
      </c>
    </row>
    <row r="1754" spans="1:18" x14ac:dyDescent="0.35">
      <c r="A1754" t="s">
        <v>617</v>
      </c>
      <c r="B1754" t="s">
        <v>1785</v>
      </c>
      <c r="C1754" t="str">
        <f>VLOOKUP($A1754,'Customer Names'!$A:$E,4,FALSE)</f>
        <v>Grant A</v>
      </c>
      <c r="D1754" t="str">
        <f>VLOOKUP($A1754,'Medical Examinations'!$A:$J,2,FALSE)</f>
        <v>Underweight</v>
      </c>
      <c r="E1754">
        <f>VLOOKUP($A1754,'Medical Examinations'!$A:$J,4,FALSE)</f>
        <v>8.43</v>
      </c>
      <c r="F1754" t="str">
        <f>VLOOKUP($A1754,'Medical Examinations'!$A:$J,6,FALSE)</f>
        <v>No</v>
      </c>
      <c r="G1754" t="str">
        <f>VLOOKUP($A1754,'Medical Examinations'!$A:$J,7,FALSE)</f>
        <v>No</v>
      </c>
      <c r="H1754" t="str">
        <f>VLOOKUP($A1754,'Medical Examinations'!$A:$J,8,FALSE)</f>
        <v>No</v>
      </c>
      <c r="I1754">
        <f>VLOOKUP($A1754,'Medical Examinations'!$A:$J,9,FALSE)</f>
        <v>0</v>
      </c>
      <c r="J1754" t="str">
        <f>VLOOKUP($A1754,'Medical Examinations'!$A:$J,10,FALSE)</f>
        <v>No</v>
      </c>
      <c r="K1754" t="str">
        <f>VLOOKUP($A1754,'Medical Examinations'!$A:$J,5,FALSE)</f>
        <v>Diabetes</v>
      </c>
      <c r="L1754">
        <f>VLOOKUP($A1755,'Medical Examinations'!$A:$J,3,FALSE)</f>
        <v>28.54</v>
      </c>
      <c r="N1754" s="11">
        <f>VLOOKUP($B1754,'Hospitalisation Details'!A1753:J4097,10,0)</f>
        <v>37874</v>
      </c>
      <c r="O1754" t="str">
        <f>VLOOKUP($B1754,'Hospitalisation Details'!A1753:J4097,8,0)</f>
        <v>tier - 2</v>
      </c>
      <c r="P1754" t="str">
        <f>VLOOKUP($B1754,'Hospitalisation Details'!A1753:J4097,7,0)</f>
        <v>tier - 2</v>
      </c>
      <c r="Q1754" t="str">
        <f>VLOOKUP($B1754,'Hospitalisation Details'!A1753:J4097,9,0)</f>
        <v>R1011</v>
      </c>
      <c r="R1754">
        <f>VLOOKUP($B1754,'Hospitalisation Details'!A1753:K4097,11,0)</f>
        <v>19</v>
      </c>
    </row>
    <row r="1755" spans="1:18" x14ac:dyDescent="0.35">
      <c r="A1755" t="s">
        <v>616</v>
      </c>
      <c r="B1755" t="s">
        <v>1786</v>
      </c>
      <c r="C1755" t="str">
        <f>VLOOKUP($A1755,'Customer Names'!$A:$E,4,FALSE)</f>
        <v>Jonathan C</v>
      </c>
      <c r="D1755" t="str">
        <f>VLOOKUP($A1755,'Medical Examinations'!$A:$J,2,FALSE)</f>
        <v>Overweight</v>
      </c>
      <c r="E1755">
        <f>VLOOKUP($A1755,'Medical Examinations'!$A:$J,4,FALSE)</f>
        <v>5.51</v>
      </c>
      <c r="F1755" t="str">
        <f>VLOOKUP($A1755,'Medical Examinations'!$A:$J,6,FALSE)</f>
        <v>No</v>
      </c>
      <c r="G1755" t="str">
        <f>VLOOKUP($A1755,'Medical Examinations'!$A:$J,7,FALSE)</f>
        <v>No</v>
      </c>
      <c r="H1755" t="str">
        <f>VLOOKUP($A1755,'Medical Examinations'!$A:$J,8,FALSE)</f>
        <v>Yes</v>
      </c>
      <c r="I1755">
        <f>VLOOKUP($A1755,'Medical Examinations'!$A:$J,9,FALSE)</f>
        <v>1</v>
      </c>
      <c r="J1755" t="str">
        <f>VLOOKUP($A1755,'Medical Examinations'!$A:$J,10,FALSE)</f>
        <v>No</v>
      </c>
      <c r="K1755" t="str">
        <f>VLOOKUP($A1755,'Medical Examinations'!$A:$J,5,FALSE)</f>
        <v>Normal</v>
      </c>
      <c r="L1755">
        <f>VLOOKUP($A1756,'Medical Examinations'!$A:$J,3,FALSE)</f>
        <v>18.54</v>
      </c>
      <c r="N1755" s="11">
        <f>VLOOKUP($B1755,'Hospitalisation Details'!A1754:J4098,10,0)</f>
        <v>25132</v>
      </c>
      <c r="O1755" t="str">
        <f>VLOOKUP($B1755,'Hospitalisation Details'!A1754:J4098,8,0)</f>
        <v>tier - 3</v>
      </c>
      <c r="P1755" t="str">
        <f>VLOOKUP($B1755,'Hospitalisation Details'!A1754:J4098,7,0)</f>
        <v>tier - 2</v>
      </c>
      <c r="Q1755" t="str">
        <f>VLOOKUP($B1755,'Hospitalisation Details'!A1754:J4098,9,0)</f>
        <v>R1012</v>
      </c>
      <c r="R1755">
        <f>VLOOKUP($B1755,'Hospitalisation Details'!A1754:K4098,11,0)</f>
        <v>54</v>
      </c>
    </row>
    <row r="1756" spans="1:18" x14ac:dyDescent="0.35">
      <c r="A1756" t="s">
        <v>615</v>
      </c>
      <c r="B1756" t="s">
        <v>1787</v>
      </c>
      <c r="C1756" t="str">
        <f>VLOOKUP($A1756,'Customer Names'!$A:$E,4,FALSE)</f>
        <v>Rachael M.</v>
      </c>
      <c r="D1756" t="str">
        <f>VLOOKUP($A1756,'Medical Examinations'!$A:$J,2,FALSE)</f>
        <v>Normal Weight</v>
      </c>
      <c r="E1756">
        <f>VLOOKUP($A1756,'Medical Examinations'!$A:$J,4,FALSE)</f>
        <v>4.95</v>
      </c>
      <c r="F1756" t="str">
        <f>VLOOKUP($A1756,'Medical Examinations'!$A:$J,6,FALSE)</f>
        <v>No</v>
      </c>
      <c r="G1756" t="str">
        <f>VLOOKUP($A1756,'Medical Examinations'!$A:$J,7,FALSE)</f>
        <v>No</v>
      </c>
      <c r="H1756" t="str">
        <f>VLOOKUP($A1756,'Medical Examinations'!$A:$J,8,FALSE)</f>
        <v>No</v>
      </c>
      <c r="I1756">
        <f>VLOOKUP($A1756,'Medical Examinations'!$A:$J,9,FALSE)</f>
        <v>0</v>
      </c>
      <c r="J1756" t="str">
        <f>VLOOKUP($A1756,'Medical Examinations'!$A:$J,10,FALSE)</f>
        <v>No</v>
      </c>
      <c r="K1756" t="str">
        <f>VLOOKUP($A1756,'Medical Examinations'!$A:$J,5,FALSE)</f>
        <v>Normal</v>
      </c>
      <c r="L1756">
        <f>VLOOKUP($A1757,'Medical Examinations'!$A:$J,3,FALSE)</f>
        <v>32.18</v>
      </c>
      <c r="N1756" s="11">
        <f>VLOOKUP($B1756,'Hospitalisation Details'!A1755:J4099,10,0)</f>
        <v>28362</v>
      </c>
      <c r="O1756" t="str">
        <f>VLOOKUP($B1756,'Hospitalisation Details'!A1755:J4099,8,0)</f>
        <v>tier - 3</v>
      </c>
      <c r="P1756" t="str">
        <f>VLOOKUP($B1756,'Hospitalisation Details'!A1755:J4099,7,0)</f>
        <v>tier - 2</v>
      </c>
      <c r="Q1756" t="str">
        <f>VLOOKUP($B1756,'Hospitalisation Details'!A1755:J4099,9,0)</f>
        <v>R1023</v>
      </c>
      <c r="R1756">
        <f>VLOOKUP($B1756,'Hospitalisation Details'!A1755:K4099,11,0)</f>
        <v>45</v>
      </c>
    </row>
    <row r="1757" spans="1:18" x14ac:dyDescent="0.35">
      <c r="A1757" t="s">
        <v>614</v>
      </c>
      <c r="B1757" t="s">
        <v>1788</v>
      </c>
      <c r="C1757" t="str">
        <f>VLOOKUP($A1757,'Customer Names'!$A:$E,4,FALSE)</f>
        <v>Pilar</v>
      </c>
      <c r="D1757" t="str">
        <f>VLOOKUP($A1757,'Medical Examinations'!$A:$J,2,FALSE)</f>
        <v>Obesity</v>
      </c>
      <c r="E1757">
        <f>VLOOKUP($A1757,'Medical Examinations'!$A:$J,4,FALSE)</f>
        <v>6.44</v>
      </c>
      <c r="F1757" t="str">
        <f>VLOOKUP($A1757,'Medical Examinations'!$A:$J,6,FALSE)</f>
        <v>yes</v>
      </c>
      <c r="G1757" t="str">
        <f>VLOOKUP($A1757,'Medical Examinations'!$A:$J,7,FALSE)</f>
        <v>No</v>
      </c>
      <c r="H1757" t="str">
        <f>VLOOKUP($A1757,'Medical Examinations'!$A:$J,8,FALSE)</f>
        <v>Yes</v>
      </c>
      <c r="I1757">
        <f>VLOOKUP($A1757,'Medical Examinations'!$A:$J,9,FALSE)</f>
        <v>1</v>
      </c>
      <c r="J1757" t="str">
        <f>VLOOKUP($A1757,'Medical Examinations'!$A:$J,10,FALSE)</f>
        <v>No</v>
      </c>
      <c r="K1757" t="str">
        <f>VLOOKUP($A1757,'Medical Examinations'!$A:$J,5,FALSE)</f>
        <v>Prediabetes</v>
      </c>
      <c r="L1757">
        <f>VLOOKUP($A1758,'Medical Examinations'!$A:$J,3,FALSE)</f>
        <v>37.380000000000003</v>
      </c>
      <c r="N1757" s="11">
        <f>VLOOKUP($B1757,'Hospitalisation Details'!A1756:J4100,10,0)</f>
        <v>29418</v>
      </c>
      <c r="O1757" t="str">
        <f>VLOOKUP($B1757,'Hospitalisation Details'!A1756:J4100,8,0)</f>
        <v>tier - 3</v>
      </c>
      <c r="P1757" t="str">
        <f>VLOOKUP($B1757,'Hospitalisation Details'!A1756:J4100,7,0)</f>
        <v>tier - 2</v>
      </c>
      <c r="Q1757" t="str">
        <f>VLOOKUP($B1757,'Hospitalisation Details'!A1756:J4100,9,0)</f>
        <v>R1012</v>
      </c>
      <c r="R1757">
        <f>VLOOKUP($B1757,'Hospitalisation Details'!A1756:K4100,11,0)</f>
        <v>42</v>
      </c>
    </row>
    <row r="1758" spans="1:18" x14ac:dyDescent="0.35">
      <c r="A1758" t="s">
        <v>613</v>
      </c>
      <c r="B1758" t="s">
        <v>1789</v>
      </c>
      <c r="C1758" t="str">
        <f>VLOOKUP($A1758,'Customer Names'!$A:$E,4,FALSE)</f>
        <v>Kyle M</v>
      </c>
      <c r="D1758" t="str">
        <f>VLOOKUP($A1758,'Medical Examinations'!$A:$J,2,FALSE)</f>
        <v>Obesity</v>
      </c>
      <c r="E1758">
        <f>VLOOKUP($A1758,'Medical Examinations'!$A:$J,4,FALSE)</f>
        <v>6.05</v>
      </c>
      <c r="F1758" t="str">
        <f>VLOOKUP($A1758,'Medical Examinations'!$A:$J,6,FALSE)</f>
        <v>yes</v>
      </c>
      <c r="G1758" t="str">
        <f>VLOOKUP($A1758,'Medical Examinations'!$A:$J,7,FALSE)</f>
        <v>No</v>
      </c>
      <c r="H1758" t="str">
        <f>VLOOKUP($A1758,'Medical Examinations'!$A:$J,8,FALSE)</f>
        <v>No</v>
      </c>
      <c r="I1758">
        <f>VLOOKUP($A1758,'Medical Examinations'!$A:$J,9,FALSE)</f>
        <v>0</v>
      </c>
      <c r="J1758" t="str">
        <f>VLOOKUP($A1758,'Medical Examinations'!$A:$J,10,FALSE)</f>
        <v>No</v>
      </c>
      <c r="K1758" t="str">
        <f>VLOOKUP($A1758,'Medical Examinations'!$A:$J,5,FALSE)</f>
        <v>Prediabetes</v>
      </c>
      <c r="L1758">
        <f>VLOOKUP($A1759,'Medical Examinations'!$A:$J,3,FALSE)</f>
        <v>31.12</v>
      </c>
      <c r="N1758" s="11">
        <f>VLOOKUP($B1758,'Hospitalisation Details'!A1757:J4101,10,0)</f>
        <v>26167</v>
      </c>
      <c r="O1758" t="str">
        <f>VLOOKUP($B1758,'Hospitalisation Details'!A1757:J4101,8,0)</f>
        <v>tier - 2</v>
      </c>
      <c r="P1758" t="str">
        <f>VLOOKUP($B1758,'Hospitalisation Details'!A1757:J4101,7,0)</f>
        <v>tier - 2</v>
      </c>
      <c r="Q1758" t="str">
        <f>VLOOKUP($B1758,'Hospitalisation Details'!A1757:J4101,9,0)</f>
        <v>R1023</v>
      </c>
      <c r="R1758">
        <f>VLOOKUP($B1758,'Hospitalisation Details'!A1757:K4101,11,0)</f>
        <v>51</v>
      </c>
    </row>
    <row r="1759" spans="1:18" x14ac:dyDescent="0.35">
      <c r="A1759" t="s">
        <v>612</v>
      </c>
      <c r="B1759" t="s">
        <v>1790</v>
      </c>
      <c r="C1759" t="str">
        <f>VLOOKUP($A1759,'Customer Names'!$A:$E,4,FALSE)</f>
        <v>Christie</v>
      </c>
      <c r="D1759" t="str">
        <f>VLOOKUP($A1759,'Medical Examinations'!$A:$J,2,FALSE)</f>
        <v>Obesity</v>
      </c>
      <c r="E1759">
        <f>VLOOKUP($A1759,'Medical Examinations'!$A:$J,4,FALSE)</f>
        <v>4.76</v>
      </c>
      <c r="F1759" t="str">
        <f>VLOOKUP($A1759,'Medical Examinations'!$A:$J,6,FALSE)</f>
        <v>yes</v>
      </c>
      <c r="G1759" t="str">
        <f>VLOOKUP($A1759,'Medical Examinations'!$A:$J,7,FALSE)</f>
        <v>No</v>
      </c>
      <c r="H1759" t="str">
        <f>VLOOKUP($A1759,'Medical Examinations'!$A:$J,8,FALSE)</f>
        <v>Yes</v>
      </c>
      <c r="I1759">
        <f>VLOOKUP($A1759,'Medical Examinations'!$A:$J,9,FALSE)</f>
        <v>1</v>
      </c>
      <c r="J1759" t="str">
        <f>VLOOKUP($A1759,'Medical Examinations'!$A:$J,10,FALSE)</f>
        <v>No</v>
      </c>
      <c r="K1759" t="str">
        <f>VLOOKUP($A1759,'Medical Examinations'!$A:$J,5,FALSE)</f>
        <v>Normal</v>
      </c>
      <c r="L1759">
        <f>VLOOKUP($A1760,'Medical Examinations'!$A:$J,3,FALSE)</f>
        <v>22.01</v>
      </c>
      <c r="N1759" s="11">
        <f>VLOOKUP($B1759,'Hospitalisation Details'!A1758:J4102,10,0)</f>
        <v>35226</v>
      </c>
      <c r="O1759" t="str">
        <f>VLOOKUP($B1759,'Hospitalisation Details'!A1758:J4102,8,0)</f>
        <v>tier - 3</v>
      </c>
      <c r="P1759" t="str">
        <f>VLOOKUP($B1759,'Hospitalisation Details'!A1758:J4102,7,0)</f>
        <v>tier - 2</v>
      </c>
      <c r="Q1759" t="str">
        <f>VLOOKUP($B1759,'Hospitalisation Details'!A1758:J4102,9,0)</f>
        <v>R1013</v>
      </c>
      <c r="R1759">
        <f>VLOOKUP($B1759,'Hospitalisation Details'!A1758:K4102,11,0)</f>
        <v>26</v>
      </c>
    </row>
    <row r="1760" spans="1:18" x14ac:dyDescent="0.35">
      <c r="A1760" t="s">
        <v>611</v>
      </c>
      <c r="B1760" t="s">
        <v>1791</v>
      </c>
      <c r="C1760" t="str">
        <f>VLOOKUP($A1760,'Customer Names'!$A:$E,4,FALSE)</f>
        <v>David A.</v>
      </c>
      <c r="D1760" t="str">
        <f>VLOOKUP($A1760,'Medical Examinations'!$A:$J,2,FALSE)</f>
        <v>Normal Weight</v>
      </c>
      <c r="E1760">
        <f>VLOOKUP($A1760,'Medical Examinations'!$A:$J,4,FALSE)</f>
        <v>6.72</v>
      </c>
      <c r="F1760" t="str">
        <f>VLOOKUP($A1760,'Medical Examinations'!$A:$J,6,FALSE)</f>
        <v>yes</v>
      </c>
      <c r="G1760" t="str">
        <f>VLOOKUP($A1760,'Medical Examinations'!$A:$J,7,FALSE)</f>
        <v>No</v>
      </c>
      <c r="H1760" t="str">
        <f>VLOOKUP($A1760,'Medical Examinations'!$A:$J,8,FALSE)</f>
        <v>No</v>
      </c>
      <c r="I1760">
        <f>VLOOKUP($A1760,'Medical Examinations'!$A:$J,9,FALSE)</f>
        <v>1</v>
      </c>
      <c r="J1760" t="str">
        <f>VLOOKUP($A1760,'Medical Examinations'!$A:$J,10,FALSE)</f>
        <v>No</v>
      </c>
      <c r="K1760" t="str">
        <f>VLOOKUP($A1760,'Medical Examinations'!$A:$J,5,FALSE)</f>
        <v>Diabetes</v>
      </c>
      <c r="L1760">
        <f>VLOOKUP($A1761,'Medical Examinations'!$A:$J,3,FALSE)</f>
        <v>27.645</v>
      </c>
      <c r="N1760" s="11">
        <f>VLOOKUP($B1760,'Hospitalisation Details'!A1759:J4103,10,0)</f>
        <v>37981</v>
      </c>
      <c r="O1760" t="str">
        <f>VLOOKUP($B1760,'Hospitalisation Details'!A1759:J4103,8,0)</f>
        <v>tier - 2</v>
      </c>
      <c r="P1760" t="str">
        <f>VLOOKUP($B1760,'Hospitalisation Details'!A1759:J4103,7,0)</f>
        <v>tier - 2</v>
      </c>
      <c r="Q1760" t="str">
        <f>VLOOKUP($B1760,'Hospitalisation Details'!A1759:J4103,9,0)</f>
        <v>R1011</v>
      </c>
      <c r="R1760">
        <f>VLOOKUP($B1760,'Hospitalisation Details'!A1759:K4103,11,0)</f>
        <v>19</v>
      </c>
    </row>
    <row r="1761" spans="1:18" x14ac:dyDescent="0.35">
      <c r="A1761" t="s">
        <v>610</v>
      </c>
      <c r="B1761" t="s">
        <v>1792</v>
      </c>
      <c r="C1761" t="str">
        <f>VLOOKUP($A1761,'Customer Names'!$A:$E,4,FALSE)</f>
        <v>Masahiro</v>
      </c>
      <c r="D1761" t="str">
        <f>VLOOKUP($A1761,'Medical Examinations'!$A:$J,2,FALSE)</f>
        <v>Overweight</v>
      </c>
      <c r="E1761">
        <f>VLOOKUP($A1761,'Medical Examinations'!$A:$J,4,FALSE)</f>
        <v>5.7</v>
      </c>
      <c r="F1761" t="str">
        <f>VLOOKUP($A1761,'Medical Examinations'!$A:$J,6,FALSE)</f>
        <v>No</v>
      </c>
      <c r="G1761" t="str">
        <f>VLOOKUP($A1761,'Medical Examinations'!$A:$J,7,FALSE)</f>
        <v>No</v>
      </c>
      <c r="H1761" t="str">
        <f>VLOOKUP($A1761,'Medical Examinations'!$A:$J,8,FALSE)</f>
        <v>No</v>
      </c>
      <c r="I1761">
        <f>VLOOKUP($A1761,'Medical Examinations'!$A:$J,9,FALSE)</f>
        <v>0</v>
      </c>
      <c r="J1761" t="str">
        <f>VLOOKUP($A1761,'Medical Examinations'!$A:$J,10,FALSE)</f>
        <v>No</v>
      </c>
      <c r="K1761" t="str">
        <f>VLOOKUP($A1761,'Medical Examinations'!$A:$J,5,FALSE)</f>
        <v>Prediabetes</v>
      </c>
      <c r="L1761">
        <f>VLOOKUP($A1762,'Medical Examinations'!$A:$J,3,FALSE)</f>
        <v>29.64</v>
      </c>
      <c r="N1761" s="11">
        <f>VLOOKUP($B1761,'Hospitalisation Details'!A1760:J4104,10,0)</f>
        <v>37435</v>
      </c>
      <c r="O1761" t="str">
        <f>VLOOKUP($B1761,'Hospitalisation Details'!A1760:J4104,8,0)</f>
        <v>tier - 3</v>
      </c>
      <c r="P1761" t="str">
        <f>VLOOKUP($B1761,'Hospitalisation Details'!A1760:J4104,7,0)</f>
        <v>tier - 2</v>
      </c>
      <c r="Q1761" t="str">
        <f>VLOOKUP($B1761,'Hospitalisation Details'!A1760:J4104,9,0)</f>
        <v>R1013</v>
      </c>
      <c r="R1761">
        <f>VLOOKUP($B1761,'Hospitalisation Details'!A1760:K4104,11,0)</f>
        <v>20</v>
      </c>
    </row>
    <row r="1762" spans="1:18" x14ac:dyDescent="0.35">
      <c r="A1762" t="s">
        <v>609</v>
      </c>
      <c r="B1762" t="s">
        <v>1793</v>
      </c>
      <c r="C1762" t="str">
        <f>VLOOKUP($A1762,'Customer Names'!$A:$E,4,FALSE)</f>
        <v>Logan B.</v>
      </c>
      <c r="D1762" t="str">
        <f>VLOOKUP($A1762,'Medical Examinations'!$A:$J,2,FALSE)</f>
        <v>Overweight</v>
      </c>
      <c r="E1762">
        <f>VLOOKUP($A1762,'Medical Examinations'!$A:$J,4,FALSE)</f>
        <v>5.31</v>
      </c>
      <c r="F1762" t="str">
        <f>VLOOKUP($A1762,'Medical Examinations'!$A:$J,6,FALSE)</f>
        <v>yes</v>
      </c>
      <c r="G1762" t="str">
        <f>VLOOKUP($A1762,'Medical Examinations'!$A:$J,7,FALSE)</f>
        <v>No</v>
      </c>
      <c r="H1762" t="str">
        <f>VLOOKUP($A1762,'Medical Examinations'!$A:$J,8,FALSE)</f>
        <v>No</v>
      </c>
      <c r="I1762">
        <f>VLOOKUP($A1762,'Medical Examinations'!$A:$J,9,FALSE)</f>
        <v>0</v>
      </c>
      <c r="J1762" t="str">
        <f>VLOOKUP($A1762,'Medical Examinations'!$A:$J,10,FALSE)</f>
        <v>No</v>
      </c>
      <c r="K1762" t="str">
        <f>VLOOKUP($A1762,'Medical Examinations'!$A:$J,5,FALSE)</f>
        <v>Normal</v>
      </c>
      <c r="L1762">
        <f>VLOOKUP($A1763,'Medical Examinations'!$A:$J,3,FALSE)</f>
        <v>33.700000000000003</v>
      </c>
      <c r="N1762" s="11">
        <f>VLOOKUP($B1762,'Hospitalisation Details'!A1761:J4105,10,0)</f>
        <v>35949</v>
      </c>
      <c r="O1762" t="str">
        <f>VLOOKUP($B1762,'Hospitalisation Details'!A1761:J4105,8,0)</f>
        <v>tier - 3</v>
      </c>
      <c r="P1762" t="str">
        <f>VLOOKUP($B1762,'Hospitalisation Details'!A1761:J4105,7,0)</f>
        <v>tier - 2</v>
      </c>
      <c r="Q1762" t="str">
        <f>VLOOKUP($B1762,'Hospitalisation Details'!A1761:J4105,9,0)</f>
        <v>R1016</v>
      </c>
      <c r="R1762">
        <f>VLOOKUP($B1762,'Hospitalisation Details'!A1761:K4105,11,0)</f>
        <v>25</v>
      </c>
    </row>
    <row r="1763" spans="1:18" x14ac:dyDescent="0.35">
      <c r="A1763" t="s">
        <v>608</v>
      </c>
      <c r="B1763" t="s">
        <v>1794</v>
      </c>
      <c r="C1763" t="str">
        <f>VLOOKUP($A1763,'Customer Names'!$A:$E,4,FALSE)</f>
        <v>Stephanie L.</v>
      </c>
      <c r="D1763" t="str">
        <f>VLOOKUP($A1763,'Medical Examinations'!$A:$J,2,FALSE)</f>
        <v>Obesity</v>
      </c>
      <c r="E1763">
        <f>VLOOKUP($A1763,'Medical Examinations'!$A:$J,4,FALSE)</f>
        <v>4.32</v>
      </c>
      <c r="F1763" t="str">
        <f>VLOOKUP($A1763,'Medical Examinations'!$A:$J,6,FALSE)</f>
        <v>yes</v>
      </c>
      <c r="G1763" t="str">
        <f>VLOOKUP($A1763,'Medical Examinations'!$A:$J,7,FALSE)</f>
        <v>No</v>
      </c>
      <c r="H1763" t="str">
        <f>VLOOKUP($A1763,'Medical Examinations'!$A:$J,8,FALSE)</f>
        <v>No</v>
      </c>
      <c r="I1763">
        <f>VLOOKUP($A1763,'Medical Examinations'!$A:$J,9,FALSE)</f>
        <v>1</v>
      </c>
      <c r="J1763" t="str">
        <f>VLOOKUP($A1763,'Medical Examinations'!$A:$J,10,FALSE)</f>
        <v>No</v>
      </c>
      <c r="K1763" t="str">
        <f>VLOOKUP($A1763,'Medical Examinations'!$A:$J,5,FALSE)</f>
        <v>Normal</v>
      </c>
      <c r="L1763">
        <f>VLOOKUP($A1764,'Medical Examinations'!$A:$J,3,FALSE)</f>
        <v>27.5</v>
      </c>
      <c r="N1763" s="11">
        <f>VLOOKUP($B1763,'Hospitalisation Details'!A1762:J4106,10,0)</f>
        <v>24001</v>
      </c>
      <c r="O1763" t="str">
        <f>VLOOKUP($B1763,'Hospitalisation Details'!A1762:J4106,8,0)</f>
        <v>tier - 2</v>
      </c>
      <c r="P1763" t="str">
        <f>VLOOKUP($B1763,'Hospitalisation Details'!A1762:J4106,7,0)</f>
        <v>tier - 2</v>
      </c>
      <c r="Q1763" t="str">
        <f>VLOOKUP($B1763,'Hospitalisation Details'!A1762:J4106,9,0)</f>
        <v>R1026</v>
      </c>
      <c r="R1763">
        <f>VLOOKUP($B1763,'Hospitalisation Details'!A1762:K4106,11,0)</f>
        <v>57</v>
      </c>
    </row>
    <row r="1764" spans="1:18" x14ac:dyDescent="0.35">
      <c r="A1764" t="s">
        <v>607</v>
      </c>
      <c r="B1764" t="s">
        <v>1795</v>
      </c>
      <c r="C1764" t="str">
        <f>VLOOKUP($A1764,'Customer Names'!$A:$E,4,FALSE)</f>
        <v>Angela H</v>
      </c>
      <c r="D1764" t="str">
        <f>VLOOKUP($A1764,'Medical Examinations'!$A:$J,2,FALSE)</f>
        <v>Overweight</v>
      </c>
      <c r="E1764">
        <f>VLOOKUP($A1764,'Medical Examinations'!$A:$J,4,FALSE)</f>
        <v>4.2300000000000004</v>
      </c>
      <c r="F1764" t="str">
        <f>VLOOKUP($A1764,'Medical Examinations'!$A:$J,6,FALSE)</f>
        <v>yes</v>
      </c>
      <c r="G1764" t="str">
        <f>VLOOKUP($A1764,'Medical Examinations'!$A:$J,7,FALSE)</f>
        <v>No</v>
      </c>
      <c r="H1764" t="str">
        <f>VLOOKUP($A1764,'Medical Examinations'!$A:$J,8,FALSE)</f>
        <v>No</v>
      </c>
      <c r="I1764">
        <f>VLOOKUP($A1764,'Medical Examinations'!$A:$J,9,FALSE)</f>
        <v>1</v>
      </c>
      <c r="J1764" t="str">
        <f>VLOOKUP($A1764,'Medical Examinations'!$A:$J,10,FALSE)</f>
        <v>No</v>
      </c>
      <c r="K1764" t="str">
        <f>VLOOKUP($A1764,'Medical Examinations'!$A:$J,5,FALSE)</f>
        <v>Normal</v>
      </c>
      <c r="L1764">
        <f>VLOOKUP($A1765,'Medical Examinations'!$A:$J,3,FALSE)</f>
        <v>16.12</v>
      </c>
      <c r="N1764" s="11">
        <f>VLOOKUP($B1764,'Hospitalisation Details'!A1763:J4107,10,0)</f>
        <v>23535</v>
      </c>
      <c r="O1764" t="str">
        <f>VLOOKUP($B1764,'Hospitalisation Details'!A1763:J4107,8,0)</f>
        <v>tier - 2</v>
      </c>
      <c r="P1764" t="str">
        <f>VLOOKUP($B1764,'Hospitalisation Details'!A1763:J4107,7,0)</f>
        <v>tier - 2</v>
      </c>
      <c r="Q1764" t="str">
        <f>VLOOKUP($B1764,'Hospitalisation Details'!A1763:J4107,9,0)</f>
        <v>R1012</v>
      </c>
      <c r="R1764">
        <f>VLOOKUP($B1764,'Hospitalisation Details'!A1763:K4107,11,0)</f>
        <v>59</v>
      </c>
    </row>
    <row r="1765" spans="1:18" x14ac:dyDescent="0.35">
      <c r="A1765" t="s">
        <v>606</v>
      </c>
      <c r="B1765" t="s">
        <v>1796</v>
      </c>
      <c r="C1765" t="str">
        <f>VLOOKUP($A1765,'Customer Names'!$A:$E,4,FALSE)</f>
        <v>Britt K</v>
      </c>
      <c r="D1765" t="str">
        <f>VLOOKUP($A1765,'Medical Examinations'!$A:$J,2,FALSE)</f>
        <v>Underweight</v>
      </c>
      <c r="E1765">
        <f>VLOOKUP($A1765,'Medical Examinations'!$A:$J,4,FALSE)</f>
        <v>6.09</v>
      </c>
      <c r="F1765" t="str">
        <f>VLOOKUP($A1765,'Medical Examinations'!$A:$J,6,FALSE)</f>
        <v>No</v>
      </c>
      <c r="G1765" t="str">
        <f>VLOOKUP($A1765,'Medical Examinations'!$A:$J,7,FALSE)</f>
        <v>No</v>
      </c>
      <c r="H1765" t="str">
        <f>VLOOKUP($A1765,'Medical Examinations'!$A:$J,8,FALSE)</f>
        <v>No</v>
      </c>
      <c r="I1765">
        <f>VLOOKUP($A1765,'Medical Examinations'!$A:$J,9,FALSE)</f>
        <v>0</v>
      </c>
      <c r="J1765" t="str">
        <f>VLOOKUP($A1765,'Medical Examinations'!$A:$J,10,FALSE)</f>
        <v>No</v>
      </c>
      <c r="K1765" t="str">
        <f>VLOOKUP($A1765,'Medical Examinations'!$A:$J,5,FALSE)</f>
        <v>Prediabetes</v>
      </c>
      <c r="L1765">
        <f>VLOOKUP($A1766,'Medical Examinations'!$A:$J,3,FALSE)</f>
        <v>26.73</v>
      </c>
      <c r="N1765" s="11">
        <f>VLOOKUP($B1765,'Hospitalisation Details'!A1764:J4108,10,0)</f>
        <v>38217</v>
      </c>
      <c r="O1765" t="str">
        <f>VLOOKUP($B1765,'Hospitalisation Details'!A1764:J4108,8,0)</f>
        <v>tier - 2</v>
      </c>
      <c r="P1765" t="str">
        <f>VLOOKUP($B1765,'Hospitalisation Details'!A1764:J4108,7,0)</f>
        <v>tier - 2</v>
      </c>
      <c r="Q1765" t="str">
        <f>VLOOKUP($B1765,'Hospitalisation Details'!A1764:J4108,9,0)</f>
        <v>R1019</v>
      </c>
      <c r="R1765">
        <f>VLOOKUP($B1765,'Hospitalisation Details'!A1764:K4108,11,0)</f>
        <v>18</v>
      </c>
    </row>
    <row r="1766" spans="1:18" x14ac:dyDescent="0.35">
      <c r="A1766" t="s">
        <v>605</v>
      </c>
      <c r="B1766" t="s">
        <v>1797</v>
      </c>
      <c r="C1766" t="str">
        <f>VLOOKUP($A1766,'Customer Names'!$A:$E,4,FALSE)</f>
        <v>Joyce R.</v>
      </c>
      <c r="D1766" t="str">
        <f>VLOOKUP($A1766,'Medical Examinations'!$A:$J,2,FALSE)</f>
        <v>Overweight</v>
      </c>
      <c r="E1766">
        <f>VLOOKUP($A1766,'Medical Examinations'!$A:$J,4,FALSE)</f>
        <v>4.74</v>
      </c>
      <c r="F1766" t="str">
        <f>VLOOKUP($A1766,'Medical Examinations'!$A:$J,6,FALSE)</f>
        <v>yes</v>
      </c>
      <c r="G1766" t="str">
        <f>VLOOKUP($A1766,'Medical Examinations'!$A:$J,7,FALSE)</f>
        <v>No</v>
      </c>
      <c r="H1766" t="str">
        <f>VLOOKUP($A1766,'Medical Examinations'!$A:$J,8,FALSE)</f>
        <v>No</v>
      </c>
      <c r="I1766">
        <f>VLOOKUP($A1766,'Medical Examinations'!$A:$J,9,FALSE)</f>
        <v>1</v>
      </c>
      <c r="J1766" t="str">
        <f>VLOOKUP($A1766,'Medical Examinations'!$A:$J,10,FALSE)</f>
        <v>No</v>
      </c>
      <c r="K1766" t="str">
        <f>VLOOKUP($A1766,'Medical Examinations'!$A:$J,5,FALSE)</f>
        <v>Normal</v>
      </c>
      <c r="L1766">
        <f>VLOOKUP($A1767,'Medical Examinations'!$A:$J,3,FALSE)</f>
        <v>37.25</v>
      </c>
      <c r="N1766" s="11">
        <f>VLOOKUP($B1766,'Hospitalisation Details'!A1765:J4109,10,0)</f>
        <v>30246</v>
      </c>
      <c r="O1766" t="str">
        <f>VLOOKUP($B1766,'Hospitalisation Details'!A1765:J4109,8,0)</f>
        <v>tier - 1</v>
      </c>
      <c r="P1766" t="str">
        <f>VLOOKUP($B1766,'Hospitalisation Details'!A1765:J4109,7,0)</f>
        <v>tier - 2</v>
      </c>
      <c r="Q1766" t="str">
        <f>VLOOKUP($B1766,'Hospitalisation Details'!A1765:J4109,9,0)</f>
        <v>R1013</v>
      </c>
      <c r="R1766">
        <f>VLOOKUP($B1766,'Hospitalisation Details'!A1765:K4109,11,0)</f>
        <v>40</v>
      </c>
    </row>
    <row r="1767" spans="1:18" x14ac:dyDescent="0.35">
      <c r="A1767" t="s">
        <v>604</v>
      </c>
      <c r="B1767" t="s">
        <v>1798</v>
      </c>
      <c r="C1767" t="str">
        <f>VLOOKUP($A1767,'Customer Names'!$A:$E,4,FALSE)</f>
        <v>Ben</v>
      </c>
      <c r="D1767" t="str">
        <f>VLOOKUP($A1767,'Medical Examinations'!$A:$J,2,FALSE)</f>
        <v>Obesity</v>
      </c>
      <c r="E1767">
        <f>VLOOKUP($A1767,'Medical Examinations'!$A:$J,4,FALSE)</f>
        <v>6.23</v>
      </c>
      <c r="F1767" t="str">
        <f>VLOOKUP($A1767,'Medical Examinations'!$A:$J,6,FALSE)</f>
        <v>yes</v>
      </c>
      <c r="G1767" t="str">
        <f>VLOOKUP($A1767,'Medical Examinations'!$A:$J,7,FALSE)</f>
        <v>No</v>
      </c>
      <c r="H1767" t="str">
        <f>VLOOKUP($A1767,'Medical Examinations'!$A:$J,8,FALSE)</f>
        <v>No</v>
      </c>
      <c r="I1767">
        <f>VLOOKUP($A1767,'Medical Examinations'!$A:$J,9,FALSE)</f>
        <v>0</v>
      </c>
      <c r="J1767" t="str">
        <f>VLOOKUP($A1767,'Medical Examinations'!$A:$J,10,FALSE)</f>
        <v>No</v>
      </c>
      <c r="K1767" t="str">
        <f>VLOOKUP($A1767,'Medical Examinations'!$A:$J,5,FALSE)</f>
        <v>Prediabetes</v>
      </c>
      <c r="L1767">
        <f>VLOOKUP($A1768,'Medical Examinations'!$A:$J,3,FALSE)</f>
        <v>23.56</v>
      </c>
      <c r="N1767" s="11">
        <f>VLOOKUP($B1767,'Hospitalisation Details'!A1766:J4110,10,0)</f>
        <v>27631</v>
      </c>
      <c r="O1767" t="str">
        <f>VLOOKUP($B1767,'Hospitalisation Details'!A1766:J4110,8,0)</f>
        <v>tier - 3</v>
      </c>
      <c r="P1767" t="str">
        <f>VLOOKUP($B1767,'Hospitalisation Details'!A1766:J4110,7,0)</f>
        <v>tier - 2</v>
      </c>
      <c r="Q1767" t="str">
        <f>VLOOKUP($B1767,'Hospitalisation Details'!A1766:J4110,9,0)</f>
        <v>R1026</v>
      </c>
      <c r="R1767">
        <f>VLOOKUP($B1767,'Hospitalisation Details'!A1766:K4110,11,0)</f>
        <v>47</v>
      </c>
    </row>
    <row r="1768" spans="1:18" x14ac:dyDescent="0.35">
      <c r="A1768" t="s">
        <v>603</v>
      </c>
      <c r="B1768" t="s">
        <v>1799</v>
      </c>
      <c r="C1768" t="str">
        <f>VLOOKUP($A1768,'Customer Names'!$A:$E,4,FALSE)</f>
        <v>Sarah M.</v>
      </c>
      <c r="D1768" t="str">
        <f>VLOOKUP($A1768,'Medical Examinations'!$A:$J,2,FALSE)</f>
        <v>Normal Weight</v>
      </c>
      <c r="E1768">
        <f>VLOOKUP($A1768,'Medical Examinations'!$A:$J,4,FALSE)</f>
        <v>5.45</v>
      </c>
      <c r="F1768" t="str">
        <f>VLOOKUP($A1768,'Medical Examinations'!$A:$J,6,FALSE)</f>
        <v>yes</v>
      </c>
      <c r="G1768" t="str">
        <f>VLOOKUP($A1768,'Medical Examinations'!$A:$J,7,FALSE)</f>
        <v>No</v>
      </c>
      <c r="H1768" t="str">
        <f>VLOOKUP($A1768,'Medical Examinations'!$A:$J,8,FALSE)</f>
        <v>No</v>
      </c>
      <c r="I1768">
        <f>VLOOKUP($A1768,'Medical Examinations'!$A:$J,9,FALSE)</f>
        <v>1</v>
      </c>
      <c r="J1768" t="str">
        <f>VLOOKUP($A1768,'Medical Examinations'!$A:$J,10,FALSE)</f>
        <v>No</v>
      </c>
      <c r="K1768" t="str">
        <f>VLOOKUP($A1768,'Medical Examinations'!$A:$J,5,FALSE)</f>
        <v>Normal</v>
      </c>
      <c r="L1768">
        <f>VLOOKUP($A1769,'Medical Examinations'!$A:$J,3,FALSE)</f>
        <v>15.84</v>
      </c>
      <c r="N1768" s="11">
        <f>VLOOKUP($B1768,'Hospitalisation Details'!A1767:J4111,10,0)</f>
        <v>23204</v>
      </c>
      <c r="O1768" t="str">
        <f>VLOOKUP($B1768,'Hospitalisation Details'!A1767:J4111,8,0)</f>
        <v>tier - 3</v>
      </c>
      <c r="P1768" t="str">
        <f>VLOOKUP($B1768,'Hospitalisation Details'!A1767:J4111,7,0)</f>
        <v>tier - 2</v>
      </c>
      <c r="Q1768" t="str">
        <f>VLOOKUP($B1768,'Hospitalisation Details'!A1767:J4111,9,0)</f>
        <v>R1023</v>
      </c>
      <c r="R1768">
        <f>VLOOKUP($B1768,'Hospitalisation Details'!A1767:K4111,11,0)</f>
        <v>59</v>
      </c>
    </row>
    <row r="1769" spans="1:18" x14ac:dyDescent="0.35">
      <c r="A1769" t="s">
        <v>602</v>
      </c>
      <c r="B1769" t="s">
        <v>1800</v>
      </c>
      <c r="C1769" t="str">
        <f>VLOOKUP($A1769,'Customer Names'!$A:$E,4,FALSE)</f>
        <v>Sarah</v>
      </c>
      <c r="D1769" t="str">
        <f>VLOOKUP($A1769,'Medical Examinations'!$A:$J,2,FALSE)</f>
        <v>Underweight</v>
      </c>
      <c r="E1769">
        <f>VLOOKUP($A1769,'Medical Examinations'!$A:$J,4,FALSE)</f>
        <v>10.34</v>
      </c>
      <c r="F1769" t="str">
        <f>VLOOKUP($A1769,'Medical Examinations'!$A:$J,6,FALSE)</f>
        <v>No</v>
      </c>
      <c r="G1769" t="str">
        <f>VLOOKUP($A1769,'Medical Examinations'!$A:$J,7,FALSE)</f>
        <v>No</v>
      </c>
      <c r="H1769" t="str">
        <f>VLOOKUP($A1769,'Medical Examinations'!$A:$J,8,FALSE)</f>
        <v>No</v>
      </c>
      <c r="I1769">
        <f>VLOOKUP($A1769,'Medical Examinations'!$A:$J,9,FALSE)</f>
        <v>2</v>
      </c>
      <c r="J1769" t="str">
        <f>VLOOKUP($A1769,'Medical Examinations'!$A:$J,10,FALSE)</f>
        <v>No</v>
      </c>
      <c r="K1769" t="str">
        <f>VLOOKUP($A1769,'Medical Examinations'!$A:$J,5,FALSE)</f>
        <v>Diabetes</v>
      </c>
      <c r="L1769">
        <f>VLOOKUP($A1770,'Medical Examinations'!$A:$J,3,FALSE)</f>
        <v>36.630000000000003</v>
      </c>
      <c r="N1769" s="11">
        <f>VLOOKUP($B1769,'Hospitalisation Details'!A1768:J4112,10,0)</f>
        <v>37926</v>
      </c>
      <c r="O1769" t="str">
        <f>VLOOKUP($B1769,'Hospitalisation Details'!A1768:J4112,8,0)</f>
        <v>tier - 3</v>
      </c>
      <c r="P1769" t="str">
        <f>VLOOKUP($B1769,'Hospitalisation Details'!A1768:J4112,7,0)</f>
        <v>tier - 2</v>
      </c>
      <c r="Q1769" t="str">
        <f>VLOOKUP($B1769,'Hospitalisation Details'!A1768:J4112,9,0)</f>
        <v>R1012</v>
      </c>
      <c r="R1769">
        <f>VLOOKUP($B1769,'Hospitalisation Details'!A1768:K4112,11,0)</f>
        <v>19</v>
      </c>
    </row>
    <row r="1770" spans="1:18" x14ac:dyDescent="0.35">
      <c r="A1770" t="s">
        <v>601</v>
      </c>
      <c r="B1770" t="s">
        <v>1801</v>
      </c>
      <c r="C1770" t="str">
        <f>VLOOKUP($A1770,'Customer Names'!$A:$E,4,FALSE)</f>
        <v>Katie</v>
      </c>
      <c r="D1770" t="str">
        <f>VLOOKUP($A1770,'Medical Examinations'!$A:$J,2,FALSE)</f>
        <v>Obesity</v>
      </c>
      <c r="E1770">
        <f>VLOOKUP($A1770,'Medical Examinations'!$A:$J,4,FALSE)</f>
        <v>5.15</v>
      </c>
      <c r="F1770" t="str">
        <f>VLOOKUP($A1770,'Medical Examinations'!$A:$J,6,FALSE)</f>
        <v>No</v>
      </c>
      <c r="G1770" t="str">
        <f>VLOOKUP($A1770,'Medical Examinations'!$A:$J,7,FALSE)</f>
        <v>No</v>
      </c>
      <c r="H1770" t="str">
        <f>VLOOKUP($A1770,'Medical Examinations'!$A:$J,8,FALSE)</f>
        <v>No</v>
      </c>
      <c r="I1770">
        <f>VLOOKUP($A1770,'Medical Examinations'!$A:$J,9,FALSE)</f>
        <v>0</v>
      </c>
      <c r="J1770" t="str">
        <f>VLOOKUP($A1770,'Medical Examinations'!$A:$J,10,FALSE)</f>
        <v>No</v>
      </c>
      <c r="K1770" t="str">
        <f>VLOOKUP($A1770,'Medical Examinations'!$A:$J,5,FALSE)</f>
        <v>Normal</v>
      </c>
      <c r="L1770">
        <f>VLOOKUP($A1771,'Medical Examinations'!$A:$J,3,FALSE)</f>
        <v>16.47</v>
      </c>
      <c r="N1770" s="11">
        <f>VLOOKUP($B1770,'Hospitalisation Details'!A1769:J4113,10,0)</f>
        <v>33895</v>
      </c>
      <c r="O1770" t="str">
        <f>VLOOKUP($B1770,'Hospitalisation Details'!A1769:J4113,8,0)</f>
        <v>tier - 1</v>
      </c>
      <c r="P1770" t="str">
        <f>VLOOKUP($B1770,'Hospitalisation Details'!A1769:J4113,7,0)</f>
        <v>tier - 2</v>
      </c>
      <c r="Q1770" t="str">
        <f>VLOOKUP($B1770,'Hospitalisation Details'!A1769:J4113,9,0)</f>
        <v>R1012</v>
      </c>
      <c r="R1770">
        <f>VLOOKUP($B1770,'Hospitalisation Details'!A1769:K4113,11,0)</f>
        <v>30</v>
      </c>
    </row>
    <row r="1771" spans="1:18" x14ac:dyDescent="0.35">
      <c r="A1771" t="s">
        <v>600</v>
      </c>
      <c r="B1771" t="s">
        <v>1802</v>
      </c>
      <c r="C1771" t="str">
        <f>VLOOKUP($A1771,'Customer Names'!$A:$E,4,FALSE)</f>
        <v>Michaela L</v>
      </c>
      <c r="D1771" t="str">
        <f>VLOOKUP($A1771,'Medical Examinations'!$A:$J,2,FALSE)</f>
        <v>Underweight</v>
      </c>
      <c r="E1771">
        <f>VLOOKUP($A1771,'Medical Examinations'!$A:$J,4,FALSE)</f>
        <v>11.72</v>
      </c>
      <c r="F1771" t="str">
        <f>VLOOKUP($A1771,'Medical Examinations'!$A:$J,6,FALSE)</f>
        <v>No</v>
      </c>
      <c r="G1771" t="str">
        <f>VLOOKUP($A1771,'Medical Examinations'!$A:$J,7,FALSE)</f>
        <v>No</v>
      </c>
      <c r="H1771" t="str">
        <f>VLOOKUP($A1771,'Medical Examinations'!$A:$J,8,FALSE)</f>
        <v>No</v>
      </c>
      <c r="I1771">
        <f>VLOOKUP($A1771,'Medical Examinations'!$A:$J,9,FALSE)</f>
        <v>0</v>
      </c>
      <c r="J1771" t="str">
        <f>VLOOKUP($A1771,'Medical Examinations'!$A:$J,10,FALSE)</f>
        <v>No</v>
      </c>
      <c r="K1771" t="str">
        <f>VLOOKUP($A1771,'Medical Examinations'!$A:$J,5,FALSE)</f>
        <v>Diabetes</v>
      </c>
      <c r="L1771">
        <f>VLOOKUP($A1772,'Medical Examinations'!$A:$J,3,FALSE)</f>
        <v>25.8</v>
      </c>
      <c r="N1771" s="11">
        <f>VLOOKUP($B1771,'Hospitalisation Details'!A1770:J4114,10,0)</f>
        <v>37927</v>
      </c>
      <c r="O1771" t="str">
        <f>VLOOKUP($B1771,'Hospitalisation Details'!A1770:J4114,8,0)</f>
        <v>tier - 1</v>
      </c>
      <c r="P1771" t="str">
        <f>VLOOKUP($B1771,'Hospitalisation Details'!A1770:J4114,7,0)</f>
        <v>tier - 2</v>
      </c>
      <c r="Q1771" t="str">
        <f>VLOOKUP($B1771,'Hospitalisation Details'!A1770:J4114,9,0)</f>
        <v>R1012</v>
      </c>
      <c r="R1771">
        <f>VLOOKUP($B1771,'Hospitalisation Details'!A1770:K4114,11,0)</f>
        <v>19</v>
      </c>
    </row>
    <row r="1772" spans="1:18" x14ac:dyDescent="0.35">
      <c r="A1772" t="s">
        <v>599</v>
      </c>
      <c r="B1772" t="s">
        <v>1803</v>
      </c>
      <c r="C1772" t="str">
        <f>VLOOKUP($A1772,'Customer Names'!$A:$E,4,FALSE)</f>
        <v>Shalaleh</v>
      </c>
      <c r="D1772" t="str">
        <f>VLOOKUP($A1772,'Medical Examinations'!$A:$J,2,FALSE)</f>
        <v>Overweight</v>
      </c>
      <c r="E1772">
        <f>VLOOKUP($A1772,'Medical Examinations'!$A:$J,4,FALSE)</f>
        <v>5.29</v>
      </c>
      <c r="F1772" t="str">
        <f>VLOOKUP($A1772,'Medical Examinations'!$A:$J,6,FALSE)</f>
        <v>No</v>
      </c>
      <c r="G1772" t="str">
        <f>VLOOKUP($A1772,'Medical Examinations'!$A:$J,7,FALSE)</f>
        <v>No</v>
      </c>
      <c r="H1772" t="str">
        <f>VLOOKUP($A1772,'Medical Examinations'!$A:$J,8,FALSE)</f>
        <v>No</v>
      </c>
      <c r="I1772">
        <f>VLOOKUP($A1772,'Medical Examinations'!$A:$J,9,FALSE)</f>
        <v>0</v>
      </c>
      <c r="J1772" t="str">
        <f>VLOOKUP($A1772,'Medical Examinations'!$A:$J,10,FALSE)</f>
        <v>No</v>
      </c>
      <c r="K1772" t="str">
        <f>VLOOKUP($A1772,'Medical Examinations'!$A:$J,5,FALSE)</f>
        <v>Normal</v>
      </c>
      <c r="L1772">
        <f>VLOOKUP($A1773,'Medical Examinations'!$A:$J,3,FALSE)</f>
        <v>23.6</v>
      </c>
      <c r="N1772" s="11">
        <f>VLOOKUP($B1772,'Hospitalisation Details'!A1771:J4115,10,0)</f>
        <v>26092</v>
      </c>
      <c r="O1772" t="str">
        <f>VLOOKUP($B1772,'Hospitalisation Details'!A1771:J4115,8,0)</f>
        <v>tier - 1</v>
      </c>
      <c r="P1772" t="str">
        <f>VLOOKUP($B1772,'Hospitalisation Details'!A1771:J4115,7,0)</f>
        <v>tier - 1</v>
      </c>
      <c r="Q1772" t="str">
        <f>VLOOKUP($B1772,'Hospitalisation Details'!A1771:J4115,9,0)</f>
        <v>R1012</v>
      </c>
      <c r="R1772">
        <f>VLOOKUP($B1772,'Hospitalisation Details'!A1771:K4115,11,0)</f>
        <v>52</v>
      </c>
    </row>
    <row r="1773" spans="1:18" x14ac:dyDescent="0.35">
      <c r="A1773" t="s">
        <v>598</v>
      </c>
      <c r="B1773" t="s">
        <v>1804</v>
      </c>
      <c r="C1773" t="str">
        <f>VLOOKUP($A1773,'Customer Names'!$A:$E,4,FALSE)</f>
        <v>Karen</v>
      </c>
      <c r="D1773" t="str">
        <f>VLOOKUP($A1773,'Medical Examinations'!$A:$J,2,FALSE)</f>
        <v>Normal Weight</v>
      </c>
      <c r="E1773">
        <f>VLOOKUP($A1773,'Medical Examinations'!$A:$J,4,FALSE)</f>
        <v>4.33</v>
      </c>
      <c r="F1773" t="str">
        <f>VLOOKUP($A1773,'Medical Examinations'!$A:$J,6,FALSE)</f>
        <v>No</v>
      </c>
      <c r="G1773" t="str">
        <f>VLOOKUP($A1773,'Medical Examinations'!$A:$J,7,FALSE)</f>
        <v>No</v>
      </c>
      <c r="H1773" t="str">
        <f>VLOOKUP($A1773,'Medical Examinations'!$A:$J,8,FALSE)</f>
        <v>No</v>
      </c>
      <c r="I1773">
        <f>VLOOKUP($A1773,'Medical Examinations'!$A:$J,9,FALSE)</f>
        <v>0</v>
      </c>
      <c r="J1773" t="str">
        <f>VLOOKUP($A1773,'Medical Examinations'!$A:$J,10,FALSE)</f>
        <v>No</v>
      </c>
      <c r="K1773" t="str">
        <f>VLOOKUP($A1773,'Medical Examinations'!$A:$J,5,FALSE)</f>
        <v>Normal</v>
      </c>
      <c r="L1773">
        <f>VLOOKUP($A1774,'Medical Examinations'!$A:$J,3,FALSE)</f>
        <v>32.11</v>
      </c>
      <c r="N1773" s="11">
        <f>VLOOKUP($B1773,'Hospitalisation Details'!A1772:J4116,10,0)</f>
        <v>33236</v>
      </c>
      <c r="O1773" t="str">
        <f>VLOOKUP($B1773,'Hospitalisation Details'!A1772:J4116,8,0)</f>
        <v>tier - 2</v>
      </c>
      <c r="P1773" t="str">
        <f>VLOOKUP($B1773,'Hospitalisation Details'!A1772:J4116,7,0)</f>
        <v>tier - 1</v>
      </c>
      <c r="Q1773" t="str">
        <f>VLOOKUP($B1773,'Hospitalisation Details'!A1772:J4116,9,0)</f>
        <v>R1011</v>
      </c>
      <c r="R1773">
        <f>VLOOKUP($B1773,'Hospitalisation Details'!A1772:K4116,11,0)</f>
        <v>32</v>
      </c>
    </row>
    <row r="1774" spans="1:18" x14ac:dyDescent="0.35">
      <c r="A1774" t="s">
        <v>597</v>
      </c>
      <c r="B1774" t="s">
        <v>1805</v>
      </c>
      <c r="C1774" t="str">
        <f>VLOOKUP($A1774,'Customer Names'!$A:$E,4,FALSE)</f>
        <v>Zuzana</v>
      </c>
      <c r="D1774" t="str">
        <f>VLOOKUP($A1774,'Medical Examinations'!$A:$J,2,FALSE)</f>
        <v>Obesity</v>
      </c>
      <c r="E1774">
        <f>VLOOKUP($A1774,'Medical Examinations'!$A:$J,4,FALSE)</f>
        <v>6.24</v>
      </c>
      <c r="F1774" t="str">
        <f>VLOOKUP($A1774,'Medical Examinations'!$A:$J,6,FALSE)</f>
        <v>No</v>
      </c>
      <c r="G1774" t="str">
        <f>VLOOKUP($A1774,'Medical Examinations'!$A:$J,7,FALSE)</f>
        <v>No</v>
      </c>
      <c r="H1774" t="str">
        <f>VLOOKUP($A1774,'Medical Examinations'!$A:$J,8,FALSE)</f>
        <v>Yes</v>
      </c>
      <c r="I1774">
        <f>VLOOKUP($A1774,'Medical Examinations'!$A:$J,9,FALSE)</f>
        <v>1</v>
      </c>
      <c r="J1774" t="str">
        <f>VLOOKUP($A1774,'Medical Examinations'!$A:$J,10,FALSE)</f>
        <v>No</v>
      </c>
      <c r="K1774" t="str">
        <f>VLOOKUP($A1774,'Medical Examinations'!$A:$J,5,FALSE)</f>
        <v>Prediabetes</v>
      </c>
      <c r="L1774">
        <f>VLOOKUP($A1775,'Medical Examinations'!$A:$J,3,FALSE)</f>
        <v>30.114999999999998</v>
      </c>
      <c r="N1774" s="11">
        <f>VLOOKUP($B1774,'Hospitalisation Details'!A1773:J4117,10,0)</f>
        <v>23909</v>
      </c>
      <c r="O1774" t="str">
        <f>VLOOKUP($B1774,'Hospitalisation Details'!A1773:J4117,8,0)</f>
        <v>tier - 2</v>
      </c>
      <c r="P1774" t="str">
        <f>VLOOKUP($B1774,'Hospitalisation Details'!A1773:J4117,7,0)</f>
        <v>tier - 1</v>
      </c>
      <c r="Q1774" t="str">
        <f>VLOOKUP($B1774,'Hospitalisation Details'!A1773:J4117,9,0)</f>
        <v>R1023</v>
      </c>
      <c r="R1774">
        <f>VLOOKUP($B1774,'Hospitalisation Details'!A1773:K4117,11,0)</f>
        <v>57</v>
      </c>
    </row>
    <row r="1775" spans="1:18" x14ac:dyDescent="0.35">
      <c r="A1775" t="s">
        <v>596</v>
      </c>
      <c r="B1775" t="s">
        <v>1806</v>
      </c>
      <c r="C1775" t="str">
        <f>VLOOKUP($A1775,'Customer Names'!$A:$E,4,FALSE)</f>
        <v>Daniel J.</v>
      </c>
      <c r="D1775" t="str">
        <f>VLOOKUP($A1775,'Medical Examinations'!$A:$J,2,FALSE)</f>
        <v>Obesity</v>
      </c>
      <c r="E1775">
        <f>VLOOKUP($A1775,'Medical Examinations'!$A:$J,4,FALSE)</f>
        <v>11.61</v>
      </c>
      <c r="F1775" t="str">
        <f>VLOOKUP($A1775,'Medical Examinations'!$A:$J,6,FALSE)</f>
        <v>No</v>
      </c>
      <c r="G1775" t="str">
        <f>VLOOKUP($A1775,'Medical Examinations'!$A:$J,7,FALSE)</f>
        <v>No</v>
      </c>
      <c r="H1775" t="str">
        <f>VLOOKUP($A1775,'Medical Examinations'!$A:$J,8,FALSE)</f>
        <v>No</v>
      </c>
      <c r="I1775">
        <f>VLOOKUP($A1775,'Medical Examinations'!$A:$J,9,FALSE)</f>
        <v>0</v>
      </c>
      <c r="J1775" t="str">
        <f>VLOOKUP($A1775,'Medical Examinations'!$A:$J,10,FALSE)</f>
        <v>No</v>
      </c>
      <c r="K1775" t="str">
        <f>VLOOKUP($A1775,'Medical Examinations'!$A:$J,5,FALSE)</f>
        <v>Diabetes</v>
      </c>
      <c r="L1775">
        <f>VLOOKUP($A1776,'Medical Examinations'!$A:$J,3,FALSE)</f>
        <v>20.28</v>
      </c>
      <c r="N1775" s="11">
        <f>VLOOKUP($B1775,'Hospitalisation Details'!A1774:J4118,10,0)</f>
        <v>25031</v>
      </c>
      <c r="O1775" t="str">
        <f>VLOOKUP($B1775,'Hospitalisation Details'!A1774:J4118,8,0)</f>
        <v>tier - 1</v>
      </c>
      <c r="P1775" t="str">
        <f>VLOOKUP($B1775,'Hospitalisation Details'!A1774:J4118,7,0)</f>
        <v>tier - 1</v>
      </c>
      <c r="Q1775" t="str">
        <f>VLOOKUP($B1775,'Hospitalisation Details'!A1774:J4118,9,0)</f>
        <v>R1026</v>
      </c>
      <c r="R1775">
        <f>VLOOKUP($B1775,'Hospitalisation Details'!A1774:K4118,11,0)</f>
        <v>54</v>
      </c>
    </row>
    <row r="1776" spans="1:18" x14ac:dyDescent="0.35">
      <c r="A1776" t="s">
        <v>595</v>
      </c>
      <c r="B1776" t="s">
        <v>1807</v>
      </c>
      <c r="C1776" t="str">
        <f>VLOOKUP($A1776,'Customer Names'!$A:$E,4,FALSE)</f>
        <v>Alexandra</v>
      </c>
      <c r="D1776" t="str">
        <f>VLOOKUP($A1776,'Medical Examinations'!$A:$J,2,FALSE)</f>
        <v>Normal Weight</v>
      </c>
      <c r="E1776">
        <f>VLOOKUP($A1776,'Medical Examinations'!$A:$J,4,FALSE)</f>
        <v>11.07</v>
      </c>
      <c r="F1776" t="str">
        <f>VLOOKUP($A1776,'Medical Examinations'!$A:$J,6,FALSE)</f>
        <v>yes</v>
      </c>
      <c r="G1776" t="str">
        <f>VLOOKUP($A1776,'Medical Examinations'!$A:$J,7,FALSE)</f>
        <v>No</v>
      </c>
      <c r="H1776" t="str">
        <f>VLOOKUP($A1776,'Medical Examinations'!$A:$J,8,FALSE)</f>
        <v>No</v>
      </c>
      <c r="I1776">
        <f>VLOOKUP($A1776,'Medical Examinations'!$A:$J,9,FALSE)</f>
        <v>0</v>
      </c>
      <c r="J1776" t="str">
        <f>VLOOKUP($A1776,'Medical Examinations'!$A:$J,10,FALSE)</f>
        <v>No</v>
      </c>
      <c r="K1776" t="str">
        <f>VLOOKUP($A1776,'Medical Examinations'!$A:$J,5,FALSE)</f>
        <v>Diabetes</v>
      </c>
      <c r="L1776">
        <f>VLOOKUP($A1777,'Medical Examinations'!$A:$J,3,FALSE)</f>
        <v>20.234999999999999</v>
      </c>
      <c r="N1776" s="11">
        <f>VLOOKUP($B1776,'Hospitalisation Details'!A1775:J4119,10,0)</f>
        <v>23331</v>
      </c>
      <c r="O1776" t="str">
        <f>VLOOKUP($B1776,'Hospitalisation Details'!A1775:J4119,8,0)</f>
        <v>tier - 2</v>
      </c>
      <c r="P1776" t="str">
        <f>VLOOKUP($B1776,'Hospitalisation Details'!A1775:J4119,7,0)</f>
        <v>tier - 1</v>
      </c>
      <c r="Q1776" t="str">
        <f>VLOOKUP($B1776,'Hospitalisation Details'!A1775:J4119,9,0)</f>
        <v>R1012</v>
      </c>
      <c r="R1776">
        <f>VLOOKUP($B1776,'Hospitalisation Details'!A1775:K4119,11,0)</f>
        <v>59</v>
      </c>
    </row>
    <row r="1777" spans="1:18" x14ac:dyDescent="0.35">
      <c r="A1777" t="s">
        <v>594</v>
      </c>
      <c r="B1777" t="s">
        <v>1808</v>
      </c>
      <c r="C1777" t="str">
        <f>VLOOKUP($A1777,'Customer Names'!$A:$E,4,FALSE)</f>
        <v>Jessica</v>
      </c>
      <c r="D1777" t="str">
        <f>VLOOKUP($A1777,'Medical Examinations'!$A:$J,2,FALSE)</f>
        <v>Normal Weight</v>
      </c>
      <c r="E1777">
        <f>VLOOKUP($A1777,'Medical Examinations'!$A:$J,4,FALSE)</f>
        <v>5.19</v>
      </c>
      <c r="F1777" t="str">
        <f>VLOOKUP($A1777,'Medical Examinations'!$A:$J,6,FALSE)</f>
        <v>No</v>
      </c>
      <c r="G1777" t="str">
        <f>VLOOKUP($A1777,'Medical Examinations'!$A:$J,7,FALSE)</f>
        <v>No</v>
      </c>
      <c r="H1777" t="str">
        <f>VLOOKUP($A1777,'Medical Examinations'!$A:$J,8,FALSE)</f>
        <v>Yes</v>
      </c>
      <c r="I1777">
        <f>VLOOKUP($A1777,'Medical Examinations'!$A:$J,9,FALSE)</f>
        <v>1</v>
      </c>
      <c r="J1777" t="str">
        <f>VLOOKUP($A1777,'Medical Examinations'!$A:$J,10,FALSE)</f>
        <v>No</v>
      </c>
      <c r="K1777" t="str">
        <f>VLOOKUP($A1777,'Medical Examinations'!$A:$J,5,FALSE)</f>
        <v>Normal</v>
      </c>
      <c r="L1777">
        <f>VLOOKUP($A1778,'Medical Examinations'!$A:$J,3,FALSE)</f>
        <v>25.27</v>
      </c>
      <c r="N1777" s="11">
        <f>VLOOKUP($B1777,'Hospitalisation Details'!A1776:J4120,10,0)</f>
        <v>37493</v>
      </c>
      <c r="O1777" t="str">
        <f>VLOOKUP($B1777,'Hospitalisation Details'!A1776:J4120,8,0)</f>
        <v>tier - 1</v>
      </c>
      <c r="P1777" t="str">
        <f>VLOOKUP($B1777,'Hospitalisation Details'!A1776:J4120,7,0)</f>
        <v>tier - 1</v>
      </c>
      <c r="Q1777" t="str">
        <f>VLOOKUP($B1777,'Hospitalisation Details'!A1776:J4120,9,0)</f>
        <v>R1012</v>
      </c>
      <c r="R1777">
        <f>VLOOKUP($B1777,'Hospitalisation Details'!A1776:K4120,11,0)</f>
        <v>20</v>
      </c>
    </row>
    <row r="1778" spans="1:18" x14ac:dyDescent="0.35">
      <c r="A1778" t="s">
        <v>593</v>
      </c>
      <c r="B1778" t="s">
        <v>1809</v>
      </c>
      <c r="C1778" t="str">
        <f>VLOOKUP($A1778,'Customer Names'!$A:$E,4,FALSE)</f>
        <v>Matthew M</v>
      </c>
      <c r="D1778" t="str">
        <f>VLOOKUP($A1778,'Medical Examinations'!$A:$J,2,FALSE)</f>
        <v>Overweight</v>
      </c>
      <c r="E1778">
        <f>VLOOKUP($A1778,'Medical Examinations'!$A:$J,4,FALSE)</f>
        <v>5.7</v>
      </c>
      <c r="F1778" t="str">
        <f>VLOOKUP($A1778,'Medical Examinations'!$A:$J,6,FALSE)</f>
        <v>yes</v>
      </c>
      <c r="G1778" t="str">
        <f>VLOOKUP($A1778,'Medical Examinations'!$A:$J,7,FALSE)</f>
        <v>No</v>
      </c>
      <c r="H1778" t="str">
        <f>VLOOKUP($A1778,'Medical Examinations'!$A:$J,8,FALSE)</f>
        <v>No</v>
      </c>
      <c r="I1778">
        <f>VLOOKUP($A1778,'Medical Examinations'!$A:$J,9,FALSE)</f>
        <v>1</v>
      </c>
      <c r="J1778" t="str">
        <f>VLOOKUP($A1778,'Medical Examinations'!$A:$J,10,FALSE)</f>
        <v>No</v>
      </c>
      <c r="K1778" t="str">
        <f>VLOOKUP($A1778,'Medical Examinations'!$A:$J,5,FALSE)</f>
        <v>Prediabetes</v>
      </c>
      <c r="L1778">
        <f>VLOOKUP($A1779,'Medical Examinations'!$A:$J,3,FALSE)</f>
        <v>24.24</v>
      </c>
      <c r="N1778" s="11">
        <f>VLOOKUP($B1778,'Hospitalisation Details'!A1777:J4121,10,0)</f>
        <v>25775</v>
      </c>
      <c r="O1778" t="str">
        <f>VLOOKUP($B1778,'Hospitalisation Details'!A1777:J4121,8,0)</f>
        <v>tier - 3</v>
      </c>
      <c r="P1778" t="str">
        <f>VLOOKUP($B1778,'Hospitalisation Details'!A1777:J4121,7,0)</f>
        <v>tier - 1</v>
      </c>
      <c r="Q1778" t="str">
        <f>VLOOKUP($B1778,'Hospitalisation Details'!A1777:J4121,9,0)</f>
        <v>R1012</v>
      </c>
      <c r="R1778">
        <f>VLOOKUP($B1778,'Hospitalisation Details'!A1777:K4121,11,0)</f>
        <v>52</v>
      </c>
    </row>
    <row r="1779" spans="1:18" x14ac:dyDescent="0.35">
      <c r="A1779" t="s">
        <v>592</v>
      </c>
      <c r="B1779" t="s">
        <v>1810</v>
      </c>
      <c r="C1779" t="str">
        <f>VLOOKUP($A1779,'Customer Names'!$A:$E,4,FALSE)</f>
        <v>Nadine A.</v>
      </c>
      <c r="D1779" t="str">
        <f>VLOOKUP($A1779,'Medical Examinations'!$A:$J,2,FALSE)</f>
        <v>Normal Weight</v>
      </c>
      <c r="E1779">
        <f>VLOOKUP($A1779,'Medical Examinations'!$A:$J,4,FALSE)</f>
        <v>6.15</v>
      </c>
      <c r="F1779" t="str">
        <f>VLOOKUP($A1779,'Medical Examinations'!$A:$J,6,FALSE)</f>
        <v>No</v>
      </c>
      <c r="G1779" t="str">
        <f>VLOOKUP($A1779,'Medical Examinations'!$A:$J,7,FALSE)</f>
        <v>No</v>
      </c>
      <c r="H1779" t="str">
        <f>VLOOKUP($A1779,'Medical Examinations'!$A:$J,8,FALSE)</f>
        <v>No</v>
      </c>
      <c r="I1779">
        <f>VLOOKUP($A1779,'Medical Examinations'!$A:$J,9,FALSE)</f>
        <v>0</v>
      </c>
      <c r="J1779" t="str">
        <f>VLOOKUP($A1779,'Medical Examinations'!$A:$J,10,FALSE)</f>
        <v>No</v>
      </c>
      <c r="K1779" t="str">
        <f>VLOOKUP($A1779,'Medical Examinations'!$A:$J,5,FALSE)</f>
        <v>Prediabetes</v>
      </c>
      <c r="L1779">
        <f>VLOOKUP($A1780,'Medical Examinations'!$A:$J,3,FALSE)</f>
        <v>35.75</v>
      </c>
      <c r="N1779" s="11">
        <f>VLOOKUP($B1779,'Hospitalisation Details'!A1778:J4122,10,0)</f>
        <v>33171</v>
      </c>
      <c r="O1779" t="str">
        <f>VLOOKUP($B1779,'Hospitalisation Details'!A1778:J4122,8,0)</f>
        <v>tier - 3</v>
      </c>
      <c r="P1779" t="str">
        <f>VLOOKUP($B1779,'Hospitalisation Details'!A1778:J4122,7,0)</f>
        <v>tier - 1</v>
      </c>
      <c r="Q1779" t="str">
        <f>VLOOKUP($B1779,'Hospitalisation Details'!A1778:J4122,9,0)</f>
        <v>R1013</v>
      </c>
      <c r="R1779">
        <f>VLOOKUP($B1779,'Hospitalisation Details'!A1778:K4122,11,0)</f>
        <v>32</v>
      </c>
    </row>
    <row r="1780" spans="1:18" x14ac:dyDescent="0.35">
      <c r="A1780" t="s">
        <v>591</v>
      </c>
      <c r="B1780" t="s">
        <v>1811</v>
      </c>
      <c r="C1780" t="str">
        <f>VLOOKUP($A1780,'Customer Names'!$A:$E,4,FALSE)</f>
        <v>Peter J. Jr.</v>
      </c>
      <c r="D1780" t="str">
        <f>VLOOKUP($A1780,'Medical Examinations'!$A:$J,2,FALSE)</f>
        <v>Obesity</v>
      </c>
      <c r="E1780">
        <f>VLOOKUP($A1780,'Medical Examinations'!$A:$J,4,FALSE)</f>
        <v>5.07</v>
      </c>
      <c r="F1780" t="str">
        <f>VLOOKUP($A1780,'Medical Examinations'!$A:$J,6,FALSE)</f>
        <v>No</v>
      </c>
      <c r="G1780" t="str">
        <f>VLOOKUP($A1780,'Medical Examinations'!$A:$J,7,FALSE)</f>
        <v>No</v>
      </c>
      <c r="H1780" t="str">
        <f>VLOOKUP($A1780,'Medical Examinations'!$A:$J,8,FALSE)</f>
        <v>No</v>
      </c>
      <c r="I1780">
        <f>VLOOKUP($A1780,'Medical Examinations'!$A:$J,9,FALSE)</f>
        <v>0</v>
      </c>
      <c r="J1780" t="str">
        <f>VLOOKUP($A1780,'Medical Examinations'!$A:$J,10,FALSE)</f>
        <v>No</v>
      </c>
      <c r="K1780" t="str">
        <f>VLOOKUP($A1780,'Medical Examinations'!$A:$J,5,FALSE)</f>
        <v>Normal</v>
      </c>
      <c r="L1780">
        <f>VLOOKUP($A1781,'Medical Examinations'!$A:$J,3,FALSE)</f>
        <v>29.92</v>
      </c>
      <c r="N1780" s="11">
        <f>VLOOKUP($B1780,'Hospitalisation Details'!A1779:J4123,10,0)</f>
        <v>34516</v>
      </c>
      <c r="O1780" t="str">
        <f>VLOOKUP($B1780,'Hospitalisation Details'!A1779:J4123,8,0)</f>
        <v>tier - 3</v>
      </c>
      <c r="P1780" t="str">
        <f>VLOOKUP($B1780,'Hospitalisation Details'!A1779:J4123,7,0)</f>
        <v>tier - 1</v>
      </c>
      <c r="Q1780" t="str">
        <f>VLOOKUP($B1780,'Hospitalisation Details'!A1779:J4123,9,0)</f>
        <v>R1013</v>
      </c>
      <c r="R1780">
        <f>VLOOKUP($B1780,'Hospitalisation Details'!A1779:K4123,11,0)</f>
        <v>28</v>
      </c>
    </row>
    <row r="1781" spans="1:18" x14ac:dyDescent="0.35">
      <c r="A1781" t="s">
        <v>590</v>
      </c>
      <c r="B1781" t="s">
        <v>1812</v>
      </c>
      <c r="C1781" t="str">
        <f>VLOOKUP($A1781,'Customer Names'!$A:$E,4,FALSE)</f>
        <v>Colleen M</v>
      </c>
      <c r="D1781" t="str">
        <f>VLOOKUP($A1781,'Medical Examinations'!$A:$J,2,FALSE)</f>
        <v>Overweight</v>
      </c>
      <c r="E1781">
        <f>VLOOKUP($A1781,'Medical Examinations'!$A:$J,4,FALSE)</f>
        <v>10.97</v>
      </c>
      <c r="F1781" t="str">
        <f>VLOOKUP($A1781,'Medical Examinations'!$A:$J,6,FALSE)</f>
        <v>yes</v>
      </c>
      <c r="G1781" t="str">
        <f>VLOOKUP($A1781,'Medical Examinations'!$A:$J,7,FALSE)</f>
        <v>No</v>
      </c>
      <c r="H1781" t="str">
        <f>VLOOKUP($A1781,'Medical Examinations'!$A:$J,8,FALSE)</f>
        <v>No</v>
      </c>
      <c r="I1781">
        <f>VLOOKUP($A1781,'Medical Examinations'!$A:$J,9,FALSE)</f>
        <v>1</v>
      </c>
      <c r="J1781" t="str">
        <f>VLOOKUP($A1781,'Medical Examinations'!$A:$J,10,FALSE)</f>
        <v>No</v>
      </c>
      <c r="K1781" t="str">
        <f>VLOOKUP($A1781,'Medical Examinations'!$A:$J,5,FALSE)</f>
        <v>Diabetes</v>
      </c>
      <c r="L1781">
        <f>VLOOKUP($A1782,'Medical Examinations'!$A:$J,3,FALSE)</f>
        <v>26.2</v>
      </c>
      <c r="N1781" s="11">
        <f>VLOOKUP($B1781,'Hospitalisation Details'!A1780:J4124,10,0)</f>
        <v>37816</v>
      </c>
      <c r="O1781" t="str">
        <f>VLOOKUP($B1781,'Hospitalisation Details'!A1780:J4124,8,0)</f>
        <v>tier - 1</v>
      </c>
      <c r="P1781" t="str">
        <f>VLOOKUP($B1781,'Hospitalisation Details'!A1780:J4124,7,0)</f>
        <v>tier - 1</v>
      </c>
      <c r="Q1781" t="str">
        <f>VLOOKUP($B1781,'Hospitalisation Details'!A1780:J4124,9,0)</f>
        <v>R1012</v>
      </c>
      <c r="R1781">
        <f>VLOOKUP($B1781,'Hospitalisation Details'!A1780:K4124,11,0)</f>
        <v>19</v>
      </c>
    </row>
    <row r="1782" spans="1:18" x14ac:dyDescent="0.35">
      <c r="A1782" t="s">
        <v>589</v>
      </c>
      <c r="B1782" t="s">
        <v>1813</v>
      </c>
      <c r="C1782" t="str">
        <f>VLOOKUP($A1782,'Customer Names'!$A:$E,4,FALSE)</f>
        <v>Julie A.</v>
      </c>
      <c r="D1782" t="str">
        <f>VLOOKUP($A1782,'Medical Examinations'!$A:$J,2,FALSE)</f>
        <v>Overweight</v>
      </c>
      <c r="E1782">
        <f>VLOOKUP($A1782,'Medical Examinations'!$A:$J,4,FALSE)</f>
        <v>10.93</v>
      </c>
      <c r="F1782" t="str">
        <f>VLOOKUP($A1782,'Medical Examinations'!$A:$J,6,FALSE)</f>
        <v>yes</v>
      </c>
      <c r="G1782" t="str">
        <f>VLOOKUP($A1782,'Medical Examinations'!$A:$J,7,FALSE)</f>
        <v>No</v>
      </c>
      <c r="H1782" t="str">
        <f>VLOOKUP($A1782,'Medical Examinations'!$A:$J,8,FALSE)</f>
        <v>No</v>
      </c>
      <c r="I1782">
        <f>VLOOKUP($A1782,'Medical Examinations'!$A:$J,9,FALSE)</f>
        <v>1</v>
      </c>
      <c r="J1782" t="str">
        <f>VLOOKUP($A1782,'Medical Examinations'!$A:$J,10,FALSE)</f>
        <v>No</v>
      </c>
      <c r="K1782" t="str">
        <f>VLOOKUP($A1782,'Medical Examinations'!$A:$J,5,FALSE)</f>
        <v>Diabetes</v>
      </c>
      <c r="L1782">
        <f>VLOOKUP($A1783,'Medical Examinations'!$A:$J,3,FALSE)</f>
        <v>26.695</v>
      </c>
      <c r="N1782" s="11">
        <f>VLOOKUP($B1782,'Hospitalisation Details'!A1781:J4125,10,0)</f>
        <v>24279</v>
      </c>
      <c r="O1782" t="str">
        <f>VLOOKUP($B1782,'Hospitalisation Details'!A1781:J4125,8,0)</f>
        <v>tier - 3</v>
      </c>
      <c r="P1782" t="str">
        <f>VLOOKUP($B1782,'Hospitalisation Details'!A1781:J4125,7,0)</f>
        <v>tier - 1</v>
      </c>
      <c r="Q1782" t="str">
        <f>VLOOKUP($B1782,'Hospitalisation Details'!A1781:J4125,9,0)</f>
        <v>R1012</v>
      </c>
      <c r="R1782">
        <f>VLOOKUP($B1782,'Hospitalisation Details'!A1781:K4125,11,0)</f>
        <v>56</v>
      </c>
    </row>
    <row r="1783" spans="1:18" x14ac:dyDescent="0.35">
      <c r="A1783" t="s">
        <v>588</v>
      </c>
      <c r="B1783" t="s">
        <v>1814</v>
      </c>
      <c r="C1783" t="str">
        <f>VLOOKUP($A1783,'Customer Names'!$A:$E,4,FALSE)</f>
        <v>Douglas W</v>
      </c>
      <c r="D1783" t="str">
        <f>VLOOKUP($A1783,'Medical Examinations'!$A:$J,2,FALSE)</f>
        <v>Overweight</v>
      </c>
      <c r="E1783">
        <f>VLOOKUP($A1783,'Medical Examinations'!$A:$J,4,FALSE)</f>
        <v>4.21</v>
      </c>
      <c r="F1783" t="str">
        <f>VLOOKUP($A1783,'Medical Examinations'!$A:$J,6,FALSE)</f>
        <v>yes</v>
      </c>
      <c r="G1783" t="str">
        <f>VLOOKUP($A1783,'Medical Examinations'!$A:$J,7,FALSE)</f>
        <v>No</v>
      </c>
      <c r="H1783" t="str">
        <f>VLOOKUP($A1783,'Medical Examinations'!$A:$J,8,FALSE)</f>
        <v>Yes</v>
      </c>
      <c r="I1783">
        <f>VLOOKUP($A1783,'Medical Examinations'!$A:$J,9,FALSE)</f>
        <v>1</v>
      </c>
      <c r="J1783" t="str">
        <f>VLOOKUP($A1783,'Medical Examinations'!$A:$J,10,FALSE)</f>
        <v>No</v>
      </c>
      <c r="K1783" t="str">
        <f>VLOOKUP($A1783,'Medical Examinations'!$A:$J,5,FALSE)</f>
        <v>Normal</v>
      </c>
      <c r="L1783">
        <f>VLOOKUP($A1784,'Medical Examinations'!$A:$J,3,FALSE)</f>
        <v>23.16</v>
      </c>
      <c r="N1783" s="11">
        <f>VLOOKUP($B1783,'Hospitalisation Details'!A1782:J4126,10,0)</f>
        <v>29138</v>
      </c>
      <c r="O1783" t="str">
        <f>VLOOKUP($B1783,'Hospitalisation Details'!A1782:J4126,8,0)</f>
        <v>tier - 2</v>
      </c>
      <c r="P1783" t="str">
        <f>VLOOKUP($B1783,'Hospitalisation Details'!A1782:J4126,7,0)</f>
        <v>tier - 1</v>
      </c>
      <c r="Q1783" t="str">
        <f>VLOOKUP($B1783,'Hospitalisation Details'!A1782:J4126,9,0)</f>
        <v>R1012</v>
      </c>
      <c r="R1783">
        <f>VLOOKUP($B1783,'Hospitalisation Details'!A1782:K4126,11,0)</f>
        <v>43</v>
      </c>
    </row>
    <row r="1784" spans="1:18" x14ac:dyDescent="0.35">
      <c r="A1784" t="s">
        <v>587</v>
      </c>
      <c r="B1784" t="s">
        <v>1815</v>
      </c>
      <c r="C1784" t="str">
        <f>VLOOKUP($A1784,'Customer Names'!$A:$E,4,FALSE)</f>
        <v>Catherine</v>
      </c>
      <c r="D1784" t="str">
        <f>VLOOKUP($A1784,'Medical Examinations'!$A:$J,2,FALSE)</f>
        <v>Normal Weight</v>
      </c>
      <c r="E1784">
        <f>VLOOKUP($A1784,'Medical Examinations'!$A:$J,4,FALSE)</f>
        <v>5.5</v>
      </c>
      <c r="F1784" t="str">
        <f>VLOOKUP($A1784,'Medical Examinations'!$A:$J,6,FALSE)</f>
        <v>No</v>
      </c>
      <c r="G1784" t="str">
        <f>VLOOKUP($A1784,'Medical Examinations'!$A:$J,7,FALSE)</f>
        <v>No</v>
      </c>
      <c r="H1784" t="str">
        <f>VLOOKUP($A1784,'Medical Examinations'!$A:$J,8,FALSE)</f>
        <v>No</v>
      </c>
      <c r="I1784">
        <f>VLOOKUP($A1784,'Medical Examinations'!$A:$J,9,FALSE)</f>
        <v>0</v>
      </c>
      <c r="J1784" t="str">
        <f>VLOOKUP($A1784,'Medical Examinations'!$A:$J,10,FALSE)</f>
        <v>No</v>
      </c>
      <c r="K1784" t="str">
        <f>VLOOKUP($A1784,'Medical Examinations'!$A:$J,5,FALSE)</f>
        <v>Normal</v>
      </c>
      <c r="L1784">
        <f>VLOOKUP($A1785,'Medical Examinations'!$A:$J,3,FALSE)</f>
        <v>32.585000000000001</v>
      </c>
      <c r="N1784" s="11">
        <f>VLOOKUP($B1784,'Hospitalisation Details'!A1783:J4127,10,0)</f>
        <v>23353</v>
      </c>
      <c r="O1784" t="str">
        <f>VLOOKUP($B1784,'Hospitalisation Details'!A1783:J4127,8,0)</f>
        <v>tier - 2</v>
      </c>
      <c r="P1784" t="str">
        <f>VLOOKUP($B1784,'Hospitalisation Details'!A1783:J4127,7,0)</f>
        <v>tier - 1</v>
      </c>
      <c r="Q1784" t="str">
        <f>VLOOKUP($B1784,'Hospitalisation Details'!A1783:J4127,9,0)</f>
        <v>R1012</v>
      </c>
      <c r="R1784">
        <f>VLOOKUP($B1784,'Hospitalisation Details'!A1783:K4127,11,0)</f>
        <v>59</v>
      </c>
    </row>
    <row r="1785" spans="1:18" x14ac:dyDescent="0.35">
      <c r="A1785" t="s">
        <v>586</v>
      </c>
      <c r="B1785" t="s">
        <v>1816</v>
      </c>
      <c r="C1785" t="str">
        <f>VLOOKUP($A1785,'Customer Names'!$A:$E,4,FALSE)</f>
        <v>James A</v>
      </c>
      <c r="D1785" t="str">
        <f>VLOOKUP($A1785,'Medical Examinations'!$A:$J,2,FALSE)</f>
        <v>Obesity</v>
      </c>
      <c r="E1785">
        <f>VLOOKUP($A1785,'Medical Examinations'!$A:$J,4,FALSE)</f>
        <v>4.93</v>
      </c>
      <c r="F1785" t="str">
        <f>VLOOKUP($A1785,'Medical Examinations'!$A:$J,6,FALSE)</f>
        <v>yes</v>
      </c>
      <c r="G1785" t="str">
        <f>VLOOKUP($A1785,'Medical Examinations'!$A:$J,7,FALSE)</f>
        <v>No</v>
      </c>
      <c r="H1785" t="str">
        <f>VLOOKUP($A1785,'Medical Examinations'!$A:$J,8,FALSE)</f>
        <v>No</v>
      </c>
      <c r="I1785">
        <f>VLOOKUP($A1785,'Medical Examinations'!$A:$J,9,FALSE)</f>
        <v>1</v>
      </c>
      <c r="J1785" t="str">
        <f>VLOOKUP($A1785,'Medical Examinations'!$A:$J,10,FALSE)</f>
        <v>No</v>
      </c>
      <c r="K1785" t="str">
        <f>VLOOKUP($A1785,'Medical Examinations'!$A:$J,5,FALSE)</f>
        <v>Normal</v>
      </c>
      <c r="L1785">
        <f>VLOOKUP($A1786,'Medical Examinations'!$A:$J,3,FALSE)</f>
        <v>33.97</v>
      </c>
      <c r="N1785" s="11">
        <f>VLOOKUP($B1785,'Hospitalisation Details'!A1784:J4128,10,0)</f>
        <v>28106</v>
      </c>
      <c r="O1785" t="str">
        <f>VLOOKUP($B1785,'Hospitalisation Details'!A1784:J4128,8,0)</f>
        <v>tier - 2</v>
      </c>
      <c r="P1785" t="str">
        <f>VLOOKUP($B1785,'Hospitalisation Details'!A1784:J4128,7,0)</f>
        <v>tier - 1</v>
      </c>
      <c r="Q1785" t="str">
        <f>VLOOKUP($B1785,'Hospitalisation Details'!A1784:J4128,9,0)</f>
        <v>R1012</v>
      </c>
      <c r="R1785">
        <f>VLOOKUP($B1785,'Hospitalisation Details'!A1784:K4128,11,0)</f>
        <v>46</v>
      </c>
    </row>
    <row r="1786" spans="1:18" x14ac:dyDescent="0.35">
      <c r="A1786" t="s">
        <v>585</v>
      </c>
      <c r="B1786" t="s">
        <v>1817</v>
      </c>
      <c r="C1786" t="str">
        <f>VLOOKUP($A1786,'Customer Names'!$A:$E,4,FALSE)</f>
        <v>Youngseong</v>
      </c>
      <c r="D1786" t="str">
        <f>VLOOKUP($A1786,'Medical Examinations'!$A:$J,2,FALSE)</f>
        <v>Obesity</v>
      </c>
      <c r="E1786">
        <f>VLOOKUP($A1786,'Medical Examinations'!$A:$J,4,FALSE)</f>
        <v>5.6</v>
      </c>
      <c r="F1786" t="str">
        <f>VLOOKUP($A1786,'Medical Examinations'!$A:$J,6,FALSE)</f>
        <v>yes</v>
      </c>
      <c r="G1786" t="str">
        <f>VLOOKUP($A1786,'Medical Examinations'!$A:$J,7,FALSE)</f>
        <v>No</v>
      </c>
      <c r="H1786" t="str">
        <f>VLOOKUP($A1786,'Medical Examinations'!$A:$J,8,FALSE)</f>
        <v>No</v>
      </c>
      <c r="I1786">
        <f>VLOOKUP($A1786,'Medical Examinations'!$A:$J,9,FALSE)</f>
        <v>0</v>
      </c>
      <c r="J1786" t="str">
        <f>VLOOKUP($A1786,'Medical Examinations'!$A:$J,10,FALSE)</f>
        <v>No</v>
      </c>
      <c r="K1786" t="str">
        <f>VLOOKUP($A1786,'Medical Examinations'!$A:$J,5,FALSE)</f>
        <v>Normal</v>
      </c>
      <c r="L1786">
        <f>VLOOKUP($A1787,'Medical Examinations'!$A:$J,3,FALSE)</f>
        <v>16.57</v>
      </c>
      <c r="N1786" s="11">
        <f>VLOOKUP($B1786,'Hospitalisation Details'!A1785:J4129,10,0)</f>
        <v>35668</v>
      </c>
      <c r="O1786" t="str">
        <f>VLOOKUP($B1786,'Hospitalisation Details'!A1785:J4129,8,0)</f>
        <v>tier - 2</v>
      </c>
      <c r="P1786" t="str">
        <f>VLOOKUP($B1786,'Hospitalisation Details'!A1785:J4129,7,0)</f>
        <v>tier - 1</v>
      </c>
      <c r="Q1786" t="str">
        <f>VLOOKUP($B1786,'Hospitalisation Details'!A1785:J4129,9,0)</f>
        <v>R1024</v>
      </c>
      <c r="R1786">
        <f>VLOOKUP($B1786,'Hospitalisation Details'!A1785:K4129,11,0)</f>
        <v>25</v>
      </c>
    </row>
    <row r="1787" spans="1:18" x14ac:dyDescent="0.35">
      <c r="A1787" t="s">
        <v>584</v>
      </c>
      <c r="B1787" t="s">
        <v>1818</v>
      </c>
      <c r="C1787" t="str">
        <f>VLOOKUP($A1787,'Customer Names'!$A:$E,4,FALSE)</f>
        <v>John</v>
      </c>
      <c r="D1787" t="str">
        <f>VLOOKUP($A1787,'Medical Examinations'!$A:$J,2,FALSE)</f>
        <v>Underweight</v>
      </c>
      <c r="E1787">
        <f>VLOOKUP($A1787,'Medical Examinations'!$A:$J,4,FALSE)</f>
        <v>9.99</v>
      </c>
      <c r="F1787" t="str">
        <f>VLOOKUP($A1787,'Medical Examinations'!$A:$J,6,FALSE)</f>
        <v>No</v>
      </c>
      <c r="G1787" t="str">
        <f>VLOOKUP($A1787,'Medical Examinations'!$A:$J,7,FALSE)</f>
        <v>No</v>
      </c>
      <c r="H1787" t="str">
        <f>VLOOKUP($A1787,'Medical Examinations'!$A:$J,8,FALSE)</f>
        <v>No</v>
      </c>
      <c r="I1787">
        <f>VLOOKUP($A1787,'Medical Examinations'!$A:$J,9,FALSE)</f>
        <v>0</v>
      </c>
      <c r="J1787" t="str">
        <f>VLOOKUP($A1787,'Medical Examinations'!$A:$J,10,FALSE)</f>
        <v>No</v>
      </c>
      <c r="K1787" t="str">
        <f>VLOOKUP($A1787,'Medical Examinations'!$A:$J,5,FALSE)</f>
        <v>Diabetes</v>
      </c>
      <c r="L1787">
        <f>VLOOKUP($A1788,'Medical Examinations'!$A:$J,3,FALSE)</f>
        <v>17.55</v>
      </c>
      <c r="N1787" s="11">
        <f>VLOOKUP($B1787,'Hospitalisation Details'!A1786:J4130,10,0)</f>
        <v>29171</v>
      </c>
      <c r="O1787" t="str">
        <f>VLOOKUP($B1787,'Hospitalisation Details'!A1786:J4130,8,0)</f>
        <v>tier - 3</v>
      </c>
      <c r="P1787" t="str">
        <f>VLOOKUP($B1787,'Hospitalisation Details'!A1786:J4130,7,0)</f>
        <v>tier - 1</v>
      </c>
      <c r="Q1787" t="str">
        <f>VLOOKUP($B1787,'Hospitalisation Details'!A1786:J4130,9,0)</f>
        <v>R1012</v>
      </c>
      <c r="R1787">
        <f>VLOOKUP($B1787,'Hospitalisation Details'!A1786:K4130,11,0)</f>
        <v>43</v>
      </c>
    </row>
    <row r="1788" spans="1:18" x14ac:dyDescent="0.35">
      <c r="A1788" t="s">
        <v>583</v>
      </c>
      <c r="B1788" t="s">
        <v>1819</v>
      </c>
      <c r="C1788" t="str">
        <f>VLOOKUP($A1788,'Customer Names'!$A:$E,4,FALSE)</f>
        <v>Brandon S.</v>
      </c>
      <c r="D1788" t="str">
        <f>VLOOKUP($A1788,'Medical Examinations'!$A:$J,2,FALSE)</f>
        <v>Underweight</v>
      </c>
      <c r="E1788">
        <f>VLOOKUP($A1788,'Medical Examinations'!$A:$J,4,FALSE)</f>
        <v>5.93</v>
      </c>
      <c r="F1788" t="str">
        <f>VLOOKUP($A1788,'Medical Examinations'!$A:$J,6,FALSE)</f>
        <v>No</v>
      </c>
      <c r="G1788" t="str">
        <f>VLOOKUP($A1788,'Medical Examinations'!$A:$J,7,FALSE)</f>
        <v>No</v>
      </c>
      <c r="H1788" t="str">
        <f>VLOOKUP($A1788,'Medical Examinations'!$A:$J,8,FALSE)</f>
        <v>Yes</v>
      </c>
      <c r="I1788">
        <f>VLOOKUP($A1788,'Medical Examinations'!$A:$J,9,FALSE)</f>
        <v>1</v>
      </c>
      <c r="J1788" t="str">
        <f>VLOOKUP($A1788,'Medical Examinations'!$A:$J,10,FALSE)</f>
        <v>No</v>
      </c>
      <c r="K1788" t="str">
        <f>VLOOKUP($A1788,'Medical Examinations'!$A:$J,5,FALSE)</f>
        <v>Prediabetes</v>
      </c>
      <c r="L1788">
        <f>VLOOKUP($A1789,'Medical Examinations'!$A:$J,3,FALSE)</f>
        <v>29.41</v>
      </c>
      <c r="N1788" s="11">
        <f>VLOOKUP($B1788,'Hospitalisation Details'!A1787:J4131,10,0)</f>
        <v>32846</v>
      </c>
      <c r="O1788" t="str">
        <f>VLOOKUP($B1788,'Hospitalisation Details'!A1787:J4131,8,0)</f>
        <v>tier - 2</v>
      </c>
      <c r="P1788" t="str">
        <f>VLOOKUP($B1788,'Hospitalisation Details'!A1787:J4131,7,0)</f>
        <v>tier - 1</v>
      </c>
      <c r="Q1788" t="str">
        <f>VLOOKUP($B1788,'Hospitalisation Details'!A1787:J4131,9,0)</f>
        <v>R1017</v>
      </c>
      <c r="R1788">
        <f>VLOOKUP($B1788,'Hospitalisation Details'!A1787:K4131,11,0)</f>
        <v>33</v>
      </c>
    </row>
    <row r="1789" spans="1:18" x14ac:dyDescent="0.35">
      <c r="A1789" t="s">
        <v>582</v>
      </c>
      <c r="B1789" t="s">
        <v>1820</v>
      </c>
      <c r="C1789" t="str">
        <f>VLOOKUP($A1789,'Customer Names'!$A:$E,4,FALSE)</f>
        <v>Sean P</v>
      </c>
      <c r="D1789" t="str">
        <f>VLOOKUP($A1789,'Medical Examinations'!$A:$J,2,FALSE)</f>
        <v>Overweight</v>
      </c>
      <c r="E1789">
        <f>VLOOKUP($A1789,'Medical Examinations'!$A:$J,4,FALSE)</f>
        <v>6.29</v>
      </c>
      <c r="F1789" t="str">
        <f>VLOOKUP($A1789,'Medical Examinations'!$A:$J,6,FALSE)</f>
        <v>yes</v>
      </c>
      <c r="G1789" t="str">
        <f>VLOOKUP($A1789,'Medical Examinations'!$A:$J,7,FALSE)</f>
        <v>No</v>
      </c>
      <c r="H1789" t="str">
        <f>VLOOKUP($A1789,'Medical Examinations'!$A:$J,8,FALSE)</f>
        <v>No</v>
      </c>
      <c r="I1789">
        <f>VLOOKUP($A1789,'Medical Examinations'!$A:$J,9,FALSE)</f>
        <v>1</v>
      </c>
      <c r="J1789" t="str">
        <f>VLOOKUP($A1789,'Medical Examinations'!$A:$J,10,FALSE)</f>
        <v>No</v>
      </c>
      <c r="K1789" t="str">
        <f>VLOOKUP($A1789,'Medical Examinations'!$A:$J,5,FALSE)</f>
        <v>Prediabetes</v>
      </c>
      <c r="L1789">
        <f>VLOOKUP($A1790,'Medical Examinations'!$A:$J,3,FALSE)</f>
        <v>17.91</v>
      </c>
      <c r="N1789" s="11">
        <f>VLOOKUP($B1789,'Hospitalisation Details'!A1788:J4132,10,0)</f>
        <v>28415</v>
      </c>
      <c r="O1789" t="str">
        <f>VLOOKUP($B1789,'Hospitalisation Details'!A1788:J4132,8,0)</f>
        <v>tier - 2</v>
      </c>
      <c r="P1789" t="str">
        <f>VLOOKUP($B1789,'Hospitalisation Details'!A1788:J4132,7,0)</f>
        <v>tier - 1</v>
      </c>
      <c r="Q1789" t="str">
        <f>VLOOKUP($B1789,'Hospitalisation Details'!A1788:J4132,9,0)</f>
        <v>R1013</v>
      </c>
      <c r="R1789">
        <f>VLOOKUP($B1789,'Hospitalisation Details'!A1788:K4132,11,0)</f>
        <v>45</v>
      </c>
    </row>
    <row r="1790" spans="1:18" x14ac:dyDescent="0.35">
      <c r="A1790" t="s">
        <v>581</v>
      </c>
      <c r="B1790" t="s">
        <v>1821</v>
      </c>
      <c r="C1790" t="str">
        <f>VLOOKUP($A1790,'Customer Names'!$A:$E,4,FALSE)</f>
        <v>Scott</v>
      </c>
      <c r="D1790" t="str">
        <f>VLOOKUP($A1790,'Medical Examinations'!$A:$J,2,FALSE)</f>
        <v>Underweight</v>
      </c>
      <c r="E1790">
        <f>VLOOKUP($A1790,'Medical Examinations'!$A:$J,4,FALSE)</f>
        <v>5.65</v>
      </c>
      <c r="F1790" t="str">
        <f>VLOOKUP($A1790,'Medical Examinations'!$A:$J,6,FALSE)</f>
        <v>No</v>
      </c>
      <c r="G1790" t="str">
        <f>VLOOKUP($A1790,'Medical Examinations'!$A:$J,7,FALSE)</f>
        <v>No</v>
      </c>
      <c r="H1790" t="str">
        <f>VLOOKUP($A1790,'Medical Examinations'!$A:$J,8,FALSE)</f>
        <v>No</v>
      </c>
      <c r="I1790">
        <f>VLOOKUP($A1790,'Medical Examinations'!$A:$J,9,FALSE)</f>
        <v>1</v>
      </c>
      <c r="J1790" t="str">
        <f>VLOOKUP($A1790,'Medical Examinations'!$A:$J,10,FALSE)</f>
        <v>No</v>
      </c>
      <c r="K1790" t="str">
        <f>VLOOKUP($A1790,'Medical Examinations'!$A:$J,5,FALSE)</f>
        <v>Normal</v>
      </c>
      <c r="L1790">
        <f>VLOOKUP($A1791,'Medical Examinations'!$A:$J,3,FALSE)</f>
        <v>31.57</v>
      </c>
      <c r="N1790" s="11">
        <f>VLOOKUP($B1790,'Hospitalisation Details'!A1789:J4133,10,0)</f>
        <v>37162</v>
      </c>
      <c r="O1790" t="str">
        <f>VLOOKUP($B1790,'Hospitalisation Details'!A1789:J4133,8,0)</f>
        <v>tier - 2</v>
      </c>
      <c r="P1790" t="str">
        <f>VLOOKUP($B1790,'Hospitalisation Details'!A1789:J4133,7,0)</f>
        <v>tier - 1</v>
      </c>
      <c r="Q1790" t="str">
        <f>VLOOKUP($B1790,'Hospitalisation Details'!A1789:J4133,9,0)</f>
        <v>R1011</v>
      </c>
      <c r="R1790">
        <f>VLOOKUP($B1790,'Hospitalisation Details'!A1789:K4133,11,0)</f>
        <v>21</v>
      </c>
    </row>
    <row r="1791" spans="1:18" x14ac:dyDescent="0.35">
      <c r="A1791" t="s">
        <v>580</v>
      </c>
      <c r="B1791" t="s">
        <v>1822</v>
      </c>
      <c r="C1791" t="str">
        <f>VLOOKUP($A1791,'Customer Names'!$A:$E,4,FALSE)</f>
        <v>Janez</v>
      </c>
      <c r="D1791" t="str">
        <f>VLOOKUP($A1791,'Medical Examinations'!$A:$J,2,FALSE)</f>
        <v>Obesity</v>
      </c>
      <c r="E1791">
        <f>VLOOKUP($A1791,'Medical Examinations'!$A:$J,4,FALSE)</f>
        <v>6.15</v>
      </c>
      <c r="F1791" t="str">
        <f>VLOOKUP($A1791,'Medical Examinations'!$A:$J,6,FALSE)</f>
        <v>No</v>
      </c>
      <c r="G1791" t="str">
        <f>VLOOKUP($A1791,'Medical Examinations'!$A:$J,7,FALSE)</f>
        <v>No</v>
      </c>
      <c r="H1791" t="str">
        <f>VLOOKUP($A1791,'Medical Examinations'!$A:$J,8,FALSE)</f>
        <v>No</v>
      </c>
      <c r="I1791">
        <f>VLOOKUP($A1791,'Medical Examinations'!$A:$J,9,FALSE)</f>
        <v>1</v>
      </c>
      <c r="J1791" t="str">
        <f>VLOOKUP($A1791,'Medical Examinations'!$A:$J,10,FALSE)</f>
        <v>No</v>
      </c>
      <c r="K1791" t="str">
        <f>VLOOKUP($A1791,'Medical Examinations'!$A:$J,5,FALSE)</f>
        <v>Prediabetes</v>
      </c>
      <c r="L1791">
        <f>VLOOKUP($A1792,'Medical Examinations'!$A:$J,3,FALSE)</f>
        <v>33.18</v>
      </c>
      <c r="N1791" s="11">
        <f>VLOOKUP($B1791,'Hospitalisation Details'!A1790:J4134,10,0)</f>
        <v>27572</v>
      </c>
      <c r="O1791" t="str">
        <f>VLOOKUP($B1791,'Hospitalisation Details'!A1790:J4134,8,0)</f>
        <v>tier - 3</v>
      </c>
      <c r="P1791" t="str">
        <f>VLOOKUP($B1791,'Hospitalisation Details'!A1790:J4134,7,0)</f>
        <v>tier - 1</v>
      </c>
      <c r="Q1791" t="str">
        <f>VLOOKUP($B1791,'Hospitalisation Details'!A1790:J4134,9,0)</f>
        <v>R1023</v>
      </c>
      <c r="R1791">
        <f>VLOOKUP($B1791,'Hospitalisation Details'!A1790:K4134,11,0)</f>
        <v>47</v>
      </c>
    </row>
    <row r="1792" spans="1:18" x14ac:dyDescent="0.35">
      <c r="A1792" t="s">
        <v>579</v>
      </c>
      <c r="B1792" t="s">
        <v>1823</v>
      </c>
      <c r="C1792" t="str">
        <f>VLOOKUP($A1792,'Customer Names'!$A:$E,4,FALSE)</f>
        <v>John I. Jr.</v>
      </c>
      <c r="D1792" t="str">
        <f>VLOOKUP($A1792,'Medical Examinations'!$A:$J,2,FALSE)</f>
        <v>Obesity</v>
      </c>
      <c r="E1792">
        <f>VLOOKUP($A1792,'Medical Examinations'!$A:$J,4,FALSE)</f>
        <v>5.22</v>
      </c>
      <c r="F1792" t="str">
        <f>VLOOKUP($A1792,'Medical Examinations'!$A:$J,6,FALSE)</f>
        <v>No</v>
      </c>
      <c r="G1792" t="str">
        <f>VLOOKUP($A1792,'Medical Examinations'!$A:$J,7,FALSE)</f>
        <v>yes</v>
      </c>
      <c r="H1792" t="str">
        <f>VLOOKUP($A1792,'Medical Examinations'!$A:$J,8,FALSE)</f>
        <v>No</v>
      </c>
      <c r="I1792">
        <f>VLOOKUP($A1792,'Medical Examinations'!$A:$J,9,FALSE)</f>
        <v>1</v>
      </c>
      <c r="J1792" t="str">
        <f>VLOOKUP($A1792,'Medical Examinations'!$A:$J,10,FALSE)</f>
        <v>No</v>
      </c>
      <c r="K1792" t="str">
        <f>VLOOKUP($A1792,'Medical Examinations'!$A:$J,5,FALSE)</f>
        <v>Normal</v>
      </c>
      <c r="L1792">
        <f>VLOOKUP($A1793,'Medical Examinations'!$A:$J,3,FALSE)</f>
        <v>37</v>
      </c>
      <c r="N1792" s="11">
        <f>VLOOKUP($B1792,'Hospitalisation Details'!A1791:J4135,10,0)</f>
        <v>24032</v>
      </c>
      <c r="O1792" t="str">
        <f>VLOOKUP($B1792,'Hospitalisation Details'!A1791:J4135,8,0)</f>
        <v>tier - 2</v>
      </c>
      <c r="P1792" t="str">
        <f>VLOOKUP($B1792,'Hospitalisation Details'!A1791:J4135,7,0)</f>
        <v>tier - 1</v>
      </c>
      <c r="Q1792" t="str">
        <f>VLOOKUP($B1792,'Hospitalisation Details'!A1791:J4135,9,0)</f>
        <v>R1012</v>
      </c>
      <c r="R1792">
        <f>VLOOKUP($B1792,'Hospitalisation Details'!A1791:K4135,11,0)</f>
        <v>57</v>
      </c>
    </row>
    <row r="1793" spans="1:18" x14ac:dyDescent="0.35">
      <c r="A1793" t="s">
        <v>578</v>
      </c>
      <c r="B1793" t="s">
        <v>1824</v>
      </c>
      <c r="C1793" t="str">
        <f>VLOOKUP($A1793,'Customer Names'!$A:$E,4,FALSE)</f>
        <v>Heather</v>
      </c>
      <c r="D1793" t="str">
        <f>VLOOKUP($A1793,'Medical Examinations'!$A:$J,2,FALSE)</f>
        <v>Obesity</v>
      </c>
      <c r="E1793">
        <f>VLOOKUP($A1793,'Medical Examinations'!$A:$J,4,FALSE)</f>
        <v>11.66</v>
      </c>
      <c r="F1793" t="str">
        <f>VLOOKUP($A1793,'Medical Examinations'!$A:$J,6,FALSE)</f>
        <v>No</v>
      </c>
      <c r="G1793" t="str">
        <f>VLOOKUP($A1793,'Medical Examinations'!$A:$J,7,FALSE)</f>
        <v>No</v>
      </c>
      <c r="H1793" t="str">
        <f>VLOOKUP($A1793,'Medical Examinations'!$A:$J,8,FALSE)</f>
        <v>No</v>
      </c>
      <c r="I1793">
        <f>VLOOKUP($A1793,'Medical Examinations'!$A:$J,9,FALSE)</f>
        <v>0</v>
      </c>
      <c r="J1793" t="str">
        <f>VLOOKUP($A1793,'Medical Examinations'!$A:$J,10,FALSE)</f>
        <v>No</v>
      </c>
      <c r="K1793" t="str">
        <f>VLOOKUP($A1793,'Medical Examinations'!$A:$J,5,FALSE)</f>
        <v>Diabetes</v>
      </c>
      <c r="L1793">
        <f>VLOOKUP($A1794,'Medical Examinations'!$A:$J,3,FALSE)</f>
        <v>18.905000000000001</v>
      </c>
      <c r="N1793" s="11">
        <f>VLOOKUP($B1793,'Hospitalisation Details'!A1792:J4136,10,0)</f>
        <v>36457</v>
      </c>
      <c r="O1793" t="str">
        <f>VLOOKUP($B1793,'Hospitalisation Details'!A1792:J4136,8,0)</f>
        <v>tier - 1</v>
      </c>
      <c r="P1793" t="str">
        <f>VLOOKUP($B1793,'Hospitalisation Details'!A1792:J4136,7,0)</f>
        <v>tier - 1</v>
      </c>
      <c r="Q1793" t="str">
        <f>VLOOKUP($B1793,'Hospitalisation Details'!A1792:J4136,9,0)</f>
        <v>R1012</v>
      </c>
      <c r="R1793">
        <f>VLOOKUP($B1793,'Hospitalisation Details'!A1792:K4136,11,0)</f>
        <v>23</v>
      </c>
    </row>
    <row r="1794" spans="1:18" x14ac:dyDescent="0.35">
      <c r="A1794" t="s">
        <v>577</v>
      </c>
      <c r="B1794" t="s">
        <v>1825</v>
      </c>
      <c r="C1794" t="str">
        <f>VLOOKUP($A1794,'Customer Names'!$A:$E,4,FALSE)</f>
        <v>Michael</v>
      </c>
      <c r="D1794" t="str">
        <f>VLOOKUP($A1794,'Medical Examinations'!$A:$J,2,FALSE)</f>
        <v>Normal Weight</v>
      </c>
      <c r="E1794">
        <f>VLOOKUP($A1794,'Medical Examinations'!$A:$J,4,FALSE)</f>
        <v>4.91</v>
      </c>
      <c r="F1794" t="str">
        <f>VLOOKUP($A1794,'Medical Examinations'!$A:$J,6,FALSE)</f>
        <v>yes</v>
      </c>
      <c r="G1794" t="str">
        <f>VLOOKUP($A1794,'Medical Examinations'!$A:$J,7,FALSE)</f>
        <v>No</v>
      </c>
      <c r="H1794" t="str">
        <f>VLOOKUP($A1794,'Medical Examinations'!$A:$J,8,FALSE)</f>
        <v>No</v>
      </c>
      <c r="I1794">
        <f>VLOOKUP($A1794,'Medical Examinations'!$A:$J,9,FALSE)</f>
        <v>1</v>
      </c>
      <c r="J1794" t="str">
        <f>VLOOKUP($A1794,'Medical Examinations'!$A:$J,10,FALSE)</f>
        <v>No</v>
      </c>
      <c r="K1794" t="str">
        <f>VLOOKUP($A1794,'Medical Examinations'!$A:$J,5,FALSE)</f>
        <v>Normal</v>
      </c>
      <c r="L1794">
        <f>VLOOKUP($A1795,'Medical Examinations'!$A:$J,3,FALSE)</f>
        <v>20.03</v>
      </c>
      <c r="N1794" s="11">
        <f>VLOOKUP($B1794,'Hospitalisation Details'!A1793:J4137,10,0)</f>
        <v>34162</v>
      </c>
      <c r="O1794" t="str">
        <f>VLOOKUP($B1794,'Hospitalisation Details'!A1793:J4137,8,0)</f>
        <v>tier - 1</v>
      </c>
      <c r="P1794" t="str">
        <f>VLOOKUP($B1794,'Hospitalisation Details'!A1793:J4137,7,0)</f>
        <v>tier - 1</v>
      </c>
      <c r="Q1794" t="str">
        <f>VLOOKUP($B1794,'Hospitalisation Details'!A1793:J4137,9,0)</f>
        <v>R1012</v>
      </c>
      <c r="R1794">
        <f>VLOOKUP($B1794,'Hospitalisation Details'!A1793:K4137,11,0)</f>
        <v>29</v>
      </c>
    </row>
    <row r="1795" spans="1:18" x14ac:dyDescent="0.35">
      <c r="A1795" t="s">
        <v>576</v>
      </c>
      <c r="B1795" t="s">
        <v>1826</v>
      </c>
      <c r="C1795" t="str">
        <f>VLOOKUP($A1795,'Customer Names'!$A:$E,4,FALSE)</f>
        <v>Kathleen</v>
      </c>
      <c r="D1795" t="str">
        <f>VLOOKUP($A1795,'Medical Examinations'!$A:$J,2,FALSE)</f>
        <v>Normal Weight</v>
      </c>
      <c r="E1795">
        <f>VLOOKUP($A1795,'Medical Examinations'!$A:$J,4,FALSE)</f>
        <v>9.25</v>
      </c>
      <c r="F1795" t="str">
        <f>VLOOKUP($A1795,'Medical Examinations'!$A:$J,6,FALSE)</f>
        <v>yes</v>
      </c>
      <c r="G1795" t="str">
        <f>VLOOKUP($A1795,'Medical Examinations'!$A:$J,7,FALSE)</f>
        <v>No</v>
      </c>
      <c r="H1795" t="str">
        <f>VLOOKUP($A1795,'Medical Examinations'!$A:$J,8,FALSE)</f>
        <v>No</v>
      </c>
      <c r="I1795">
        <f>VLOOKUP($A1795,'Medical Examinations'!$A:$J,9,FALSE)</f>
        <v>0</v>
      </c>
      <c r="J1795" t="str">
        <f>VLOOKUP($A1795,'Medical Examinations'!$A:$J,10,FALSE)</f>
        <v>No</v>
      </c>
      <c r="K1795" t="str">
        <f>VLOOKUP($A1795,'Medical Examinations'!$A:$J,5,FALSE)</f>
        <v>Diabetes</v>
      </c>
      <c r="L1795">
        <f>VLOOKUP($A1796,'Medical Examinations'!$A:$J,3,FALSE)</f>
        <v>16.7</v>
      </c>
      <c r="N1795" s="11">
        <f>VLOOKUP($B1795,'Hospitalisation Details'!A1794:J4138,10,0)</f>
        <v>23196</v>
      </c>
      <c r="O1795" t="str">
        <f>VLOOKUP($B1795,'Hospitalisation Details'!A1794:J4138,8,0)</f>
        <v>tier - 2</v>
      </c>
      <c r="P1795" t="str">
        <f>VLOOKUP($B1795,'Hospitalisation Details'!A1794:J4138,7,0)</f>
        <v>tier - 1</v>
      </c>
      <c r="Q1795" t="str">
        <f>VLOOKUP($B1795,'Hospitalisation Details'!A1794:J4138,9,0)</f>
        <v>R1026</v>
      </c>
      <c r="R1795">
        <f>VLOOKUP($B1795,'Hospitalisation Details'!A1794:K4138,11,0)</f>
        <v>59</v>
      </c>
    </row>
    <row r="1796" spans="1:18" x14ac:dyDescent="0.35">
      <c r="A1796" t="s">
        <v>575</v>
      </c>
      <c r="B1796" t="s">
        <v>1827</v>
      </c>
      <c r="C1796" t="str">
        <f>VLOOKUP($A1796,'Customer Names'!$A:$E,4,FALSE)</f>
        <v>Ryan M</v>
      </c>
      <c r="D1796" t="str">
        <f>VLOOKUP($A1796,'Medical Examinations'!$A:$J,2,FALSE)</f>
        <v>Underweight</v>
      </c>
      <c r="E1796">
        <f>VLOOKUP($A1796,'Medical Examinations'!$A:$J,4,FALSE)</f>
        <v>11.48</v>
      </c>
      <c r="F1796" t="str">
        <f>VLOOKUP($A1796,'Medical Examinations'!$A:$J,6,FALSE)</f>
        <v>No</v>
      </c>
      <c r="G1796" t="str">
        <f>VLOOKUP($A1796,'Medical Examinations'!$A:$J,7,FALSE)</f>
        <v>No</v>
      </c>
      <c r="H1796" t="str">
        <f>VLOOKUP($A1796,'Medical Examinations'!$A:$J,8,FALSE)</f>
        <v>No</v>
      </c>
      <c r="I1796">
        <f>VLOOKUP($A1796,'Medical Examinations'!$A:$J,9,FALSE)</f>
        <v>0</v>
      </c>
      <c r="J1796" t="str">
        <f>VLOOKUP($A1796,'Medical Examinations'!$A:$J,10,FALSE)</f>
        <v>No</v>
      </c>
      <c r="K1796" t="str">
        <f>VLOOKUP($A1796,'Medical Examinations'!$A:$J,5,FALSE)</f>
        <v>Diabetes</v>
      </c>
      <c r="L1796">
        <f>VLOOKUP($A1797,'Medical Examinations'!$A:$J,3,FALSE)</f>
        <v>39.82</v>
      </c>
      <c r="N1796" s="11">
        <f>VLOOKUP($B1796,'Hospitalisation Details'!A1795:J4139,10,0)</f>
        <v>35596</v>
      </c>
      <c r="O1796" t="str">
        <f>VLOOKUP($B1796,'Hospitalisation Details'!A1795:J4139,8,0)</f>
        <v>tier - 1</v>
      </c>
      <c r="P1796" t="str">
        <f>VLOOKUP($B1796,'Hospitalisation Details'!A1795:J4139,7,0)</f>
        <v>tier - 1</v>
      </c>
      <c r="Q1796" t="str">
        <f>VLOOKUP($B1796,'Hospitalisation Details'!A1795:J4139,9,0)</f>
        <v>R1013</v>
      </c>
      <c r="R1796">
        <f>VLOOKUP($B1796,'Hospitalisation Details'!A1795:K4139,11,0)</f>
        <v>25</v>
      </c>
    </row>
    <row r="1797" spans="1:18" x14ac:dyDescent="0.35">
      <c r="A1797" t="s">
        <v>574</v>
      </c>
      <c r="B1797" t="s">
        <v>1828</v>
      </c>
      <c r="C1797" t="str">
        <f>VLOOKUP($A1797,'Customer Names'!$A:$E,4,FALSE)</f>
        <v>Sara</v>
      </c>
      <c r="D1797" t="str">
        <f>VLOOKUP($A1797,'Medical Examinations'!$A:$J,2,FALSE)</f>
        <v>Obesity</v>
      </c>
      <c r="E1797">
        <f>VLOOKUP($A1797,'Medical Examinations'!$A:$J,4,FALSE)</f>
        <v>6.06</v>
      </c>
      <c r="F1797" t="str">
        <f>VLOOKUP($A1797,'Medical Examinations'!$A:$J,6,FALSE)</f>
        <v>No</v>
      </c>
      <c r="G1797" t="str">
        <f>VLOOKUP($A1797,'Medical Examinations'!$A:$J,7,FALSE)</f>
        <v>No</v>
      </c>
      <c r="H1797" t="str">
        <f>VLOOKUP($A1797,'Medical Examinations'!$A:$J,8,FALSE)</f>
        <v>No</v>
      </c>
      <c r="I1797">
        <f>VLOOKUP($A1797,'Medical Examinations'!$A:$J,9,FALSE)</f>
        <v>0</v>
      </c>
      <c r="J1797" t="str">
        <f>VLOOKUP($A1797,'Medical Examinations'!$A:$J,10,FALSE)</f>
        <v>No</v>
      </c>
      <c r="K1797" t="str">
        <f>VLOOKUP($A1797,'Medical Examinations'!$A:$J,5,FALSE)</f>
        <v>Prediabetes</v>
      </c>
      <c r="L1797">
        <f>VLOOKUP($A1798,'Medical Examinations'!$A:$J,3,FALSE)</f>
        <v>22.04</v>
      </c>
      <c r="N1797" s="11">
        <f>VLOOKUP($B1797,'Hospitalisation Details'!A1796:J4140,10,0)</f>
        <v>38240</v>
      </c>
      <c r="O1797" t="str">
        <f>VLOOKUP($B1797,'Hospitalisation Details'!A1796:J4140,8,0)</f>
        <v>tier - 3</v>
      </c>
      <c r="P1797" t="str">
        <f>VLOOKUP($B1797,'Hospitalisation Details'!A1796:J4140,7,0)</f>
        <v>tier - 1</v>
      </c>
      <c r="Q1797" t="str">
        <f>VLOOKUP($B1797,'Hospitalisation Details'!A1796:J4140,9,0)</f>
        <v>R1013</v>
      </c>
      <c r="R1797">
        <f>VLOOKUP($B1797,'Hospitalisation Details'!A1796:K4140,11,0)</f>
        <v>18</v>
      </c>
    </row>
    <row r="1798" spans="1:18" x14ac:dyDescent="0.35">
      <c r="A1798" t="s">
        <v>573</v>
      </c>
      <c r="B1798" t="s">
        <v>1829</v>
      </c>
      <c r="C1798" t="str">
        <f>VLOOKUP($A1798,'Customer Names'!$A:$E,4,FALSE)</f>
        <v>Deniz</v>
      </c>
      <c r="D1798" t="str">
        <f>VLOOKUP($A1798,'Medical Examinations'!$A:$J,2,FALSE)</f>
        <v>Normal Weight</v>
      </c>
      <c r="E1798">
        <f>VLOOKUP($A1798,'Medical Examinations'!$A:$J,4,FALSE)</f>
        <v>5.86</v>
      </c>
      <c r="F1798" t="str">
        <f>VLOOKUP($A1798,'Medical Examinations'!$A:$J,6,FALSE)</f>
        <v>No</v>
      </c>
      <c r="G1798" t="str">
        <f>VLOOKUP($A1798,'Medical Examinations'!$A:$J,7,FALSE)</f>
        <v>No</v>
      </c>
      <c r="H1798" t="str">
        <f>VLOOKUP($A1798,'Medical Examinations'!$A:$J,8,FALSE)</f>
        <v>No</v>
      </c>
      <c r="I1798">
        <f>VLOOKUP($A1798,'Medical Examinations'!$A:$J,9,FALSE)</f>
        <v>1</v>
      </c>
      <c r="J1798" t="str">
        <f>VLOOKUP($A1798,'Medical Examinations'!$A:$J,10,FALSE)</f>
        <v>No</v>
      </c>
      <c r="K1798" t="str">
        <f>VLOOKUP($A1798,'Medical Examinations'!$A:$J,5,FALSE)</f>
        <v>Prediabetes</v>
      </c>
      <c r="L1798">
        <f>VLOOKUP($A1799,'Medical Examinations'!$A:$J,3,FALSE)</f>
        <v>28.27</v>
      </c>
      <c r="N1798" s="11">
        <f>VLOOKUP($B1798,'Hospitalisation Details'!A1797:J4141,10,0)</f>
        <v>34914</v>
      </c>
      <c r="O1798" t="str">
        <f>VLOOKUP($B1798,'Hospitalisation Details'!A1797:J4141,8,0)</f>
        <v>tier - 1</v>
      </c>
      <c r="P1798" t="str">
        <f>VLOOKUP($B1798,'Hospitalisation Details'!A1797:J4141,7,0)</f>
        <v>tier - 1</v>
      </c>
      <c r="Q1798" t="str">
        <f>VLOOKUP($B1798,'Hospitalisation Details'!A1797:J4141,9,0)</f>
        <v>R1013</v>
      </c>
      <c r="R1798">
        <f>VLOOKUP($B1798,'Hospitalisation Details'!A1797:K4141,11,0)</f>
        <v>27</v>
      </c>
    </row>
    <row r="1799" spans="1:18" x14ac:dyDescent="0.35">
      <c r="A1799" t="s">
        <v>572</v>
      </c>
      <c r="B1799" t="s">
        <v>1830</v>
      </c>
      <c r="C1799" t="str">
        <f>VLOOKUP($A1799,'Customer Names'!$A:$E,4,FALSE)</f>
        <v>Shannon L.</v>
      </c>
      <c r="D1799" t="str">
        <f>VLOOKUP($A1799,'Medical Examinations'!$A:$J,2,FALSE)</f>
        <v>Overweight</v>
      </c>
      <c r="E1799">
        <f>VLOOKUP($A1799,'Medical Examinations'!$A:$J,4,FALSE)</f>
        <v>5.33</v>
      </c>
      <c r="F1799" t="str">
        <f>VLOOKUP($A1799,'Medical Examinations'!$A:$J,6,FALSE)</f>
        <v>No</v>
      </c>
      <c r="G1799" t="str">
        <f>VLOOKUP($A1799,'Medical Examinations'!$A:$J,7,FALSE)</f>
        <v>No</v>
      </c>
      <c r="H1799" t="str">
        <f>VLOOKUP($A1799,'Medical Examinations'!$A:$J,8,FALSE)</f>
        <v>No</v>
      </c>
      <c r="I1799">
        <f>VLOOKUP($A1799,'Medical Examinations'!$A:$J,9,FALSE)</f>
        <v>0</v>
      </c>
      <c r="J1799" t="str">
        <f>VLOOKUP($A1799,'Medical Examinations'!$A:$J,10,FALSE)</f>
        <v>No</v>
      </c>
      <c r="K1799" t="str">
        <f>VLOOKUP($A1799,'Medical Examinations'!$A:$J,5,FALSE)</f>
        <v>Normal</v>
      </c>
      <c r="L1799">
        <f>VLOOKUP($A1800,'Medical Examinations'!$A:$J,3,FALSE)</f>
        <v>18.5</v>
      </c>
      <c r="N1799" s="11">
        <f>VLOOKUP($B1799,'Hospitalisation Details'!A1798:J4142,10,0)</f>
        <v>33963</v>
      </c>
      <c r="O1799" t="str">
        <f>VLOOKUP($B1799,'Hospitalisation Details'!A1798:J4142,8,0)</f>
        <v>tier - 3</v>
      </c>
      <c r="P1799" t="str">
        <f>VLOOKUP($B1799,'Hospitalisation Details'!A1798:J4142,7,0)</f>
        <v>tier - 1</v>
      </c>
      <c r="Q1799" t="str">
        <f>VLOOKUP($B1799,'Hospitalisation Details'!A1798:J4142,9,0)</f>
        <v>R1011</v>
      </c>
      <c r="R1799">
        <f>VLOOKUP($B1799,'Hospitalisation Details'!A1798:K4142,11,0)</f>
        <v>30</v>
      </c>
    </row>
    <row r="1800" spans="1:18" x14ac:dyDescent="0.35">
      <c r="A1800" t="s">
        <v>571</v>
      </c>
      <c r="B1800" t="s">
        <v>1831</v>
      </c>
      <c r="C1800" t="str">
        <f>VLOOKUP($A1800,'Customer Names'!$A:$E,4,FALSE)</f>
        <v>Kaitlin M.</v>
      </c>
      <c r="D1800" t="str">
        <f>VLOOKUP($A1800,'Medical Examinations'!$A:$J,2,FALSE)</f>
        <v>Normal Weight</v>
      </c>
      <c r="E1800">
        <f>VLOOKUP($A1800,'Medical Examinations'!$A:$J,4,FALSE)</f>
        <v>5.33</v>
      </c>
      <c r="F1800" t="str">
        <f>VLOOKUP($A1800,'Medical Examinations'!$A:$J,6,FALSE)</f>
        <v>No</v>
      </c>
      <c r="G1800" t="str">
        <f>VLOOKUP($A1800,'Medical Examinations'!$A:$J,7,FALSE)</f>
        <v>No</v>
      </c>
      <c r="H1800" t="str">
        <f>VLOOKUP($A1800,'Medical Examinations'!$A:$J,8,FALSE)</f>
        <v>No</v>
      </c>
      <c r="I1800">
        <f>VLOOKUP($A1800,'Medical Examinations'!$A:$J,9,FALSE)</f>
        <v>0</v>
      </c>
      <c r="J1800" t="str">
        <f>VLOOKUP($A1800,'Medical Examinations'!$A:$J,10,FALSE)</f>
        <v>No</v>
      </c>
      <c r="K1800" t="str">
        <f>VLOOKUP($A1800,'Medical Examinations'!$A:$J,5,FALSE)</f>
        <v>Normal</v>
      </c>
      <c r="L1800">
        <f>VLOOKUP($A1801,'Medical Examinations'!$A:$J,3,FALSE)</f>
        <v>38.6</v>
      </c>
      <c r="N1800" s="11">
        <f>VLOOKUP($B1800,'Hospitalisation Details'!A1799:J4143,10,0)</f>
        <v>34884</v>
      </c>
      <c r="O1800" t="str">
        <f>VLOOKUP($B1800,'Hospitalisation Details'!A1799:J4143,8,0)</f>
        <v>tier - 3</v>
      </c>
      <c r="P1800" t="str">
        <f>VLOOKUP($B1800,'Hospitalisation Details'!A1799:J4143,7,0)</f>
        <v>tier - 1</v>
      </c>
      <c r="Q1800" t="str">
        <f>VLOOKUP($B1800,'Hospitalisation Details'!A1799:J4143,9,0)</f>
        <v>R1012</v>
      </c>
      <c r="R1800">
        <f>VLOOKUP($B1800,'Hospitalisation Details'!A1799:K4143,11,0)</f>
        <v>27</v>
      </c>
    </row>
    <row r="1801" spans="1:18" x14ac:dyDescent="0.35">
      <c r="A1801" t="s">
        <v>570</v>
      </c>
      <c r="B1801" t="s">
        <v>1832</v>
      </c>
      <c r="C1801" t="str">
        <f>VLOOKUP($A1801,'Customer Names'!$A:$E,4,FALSE)</f>
        <v>Alfredo</v>
      </c>
      <c r="D1801" t="str">
        <f>VLOOKUP($A1801,'Medical Examinations'!$A:$J,2,FALSE)</f>
        <v>Obesity</v>
      </c>
      <c r="E1801">
        <f>VLOOKUP($A1801,'Medical Examinations'!$A:$J,4,FALSE)</f>
        <v>6.02</v>
      </c>
      <c r="F1801" t="str">
        <f>VLOOKUP($A1801,'Medical Examinations'!$A:$J,6,FALSE)</f>
        <v>No</v>
      </c>
      <c r="G1801" t="str">
        <f>VLOOKUP($A1801,'Medical Examinations'!$A:$J,7,FALSE)</f>
        <v>No</v>
      </c>
      <c r="H1801" t="str">
        <f>VLOOKUP($A1801,'Medical Examinations'!$A:$J,8,FALSE)</f>
        <v>No</v>
      </c>
      <c r="I1801">
        <f>VLOOKUP($A1801,'Medical Examinations'!$A:$J,9,FALSE)</f>
        <v>1</v>
      </c>
      <c r="J1801" t="str">
        <f>VLOOKUP($A1801,'Medical Examinations'!$A:$J,10,FALSE)</f>
        <v>No</v>
      </c>
      <c r="K1801" t="str">
        <f>VLOOKUP($A1801,'Medical Examinations'!$A:$J,5,FALSE)</f>
        <v>Prediabetes</v>
      </c>
      <c r="L1801">
        <f>VLOOKUP($A1802,'Medical Examinations'!$A:$J,3,FALSE)</f>
        <v>43.12</v>
      </c>
      <c r="N1801" s="11">
        <f>VLOOKUP($B1801,'Hospitalisation Details'!A1800:J4144,10,0)</f>
        <v>36509</v>
      </c>
      <c r="O1801" t="str">
        <f>VLOOKUP($B1801,'Hospitalisation Details'!A1800:J4144,8,0)</f>
        <v>tier - 2</v>
      </c>
      <c r="P1801" t="str">
        <f>VLOOKUP($B1801,'Hospitalisation Details'!A1800:J4144,7,0)</f>
        <v>tier - 1</v>
      </c>
      <c r="Q1801" t="str">
        <f>VLOOKUP($B1801,'Hospitalisation Details'!A1800:J4144,9,0)</f>
        <v>R1013</v>
      </c>
      <c r="R1801">
        <f>VLOOKUP($B1801,'Hospitalisation Details'!A1800:K4144,11,0)</f>
        <v>23</v>
      </c>
    </row>
    <row r="1802" spans="1:18" x14ac:dyDescent="0.35">
      <c r="A1802" t="s">
        <v>569</v>
      </c>
      <c r="B1802" t="s">
        <v>1833</v>
      </c>
      <c r="C1802" t="str">
        <f>VLOOKUP($A1802,'Customer Names'!$A:$E,4,FALSE)</f>
        <v>Kristen</v>
      </c>
      <c r="D1802" t="str">
        <f>VLOOKUP($A1802,'Medical Examinations'!$A:$J,2,FALSE)</f>
        <v>Obesity</v>
      </c>
      <c r="E1802">
        <f>VLOOKUP($A1802,'Medical Examinations'!$A:$J,4,FALSE)</f>
        <v>6.25</v>
      </c>
      <c r="F1802" t="str">
        <f>VLOOKUP($A1802,'Medical Examinations'!$A:$J,6,FALSE)</f>
        <v>No</v>
      </c>
      <c r="G1802" t="str">
        <f>VLOOKUP($A1802,'Medical Examinations'!$A:$J,7,FALSE)</f>
        <v>No</v>
      </c>
      <c r="H1802" t="str">
        <f>VLOOKUP($A1802,'Medical Examinations'!$A:$J,8,FALSE)</f>
        <v>No</v>
      </c>
      <c r="I1802">
        <f>VLOOKUP($A1802,'Medical Examinations'!$A:$J,9,FALSE)</f>
        <v>1</v>
      </c>
      <c r="J1802" t="str">
        <f>VLOOKUP($A1802,'Medical Examinations'!$A:$J,10,FALSE)</f>
        <v>No</v>
      </c>
      <c r="K1802" t="str">
        <f>VLOOKUP($A1802,'Medical Examinations'!$A:$J,5,FALSE)</f>
        <v>Prediabetes</v>
      </c>
      <c r="L1802">
        <f>VLOOKUP($A1803,'Medical Examinations'!$A:$J,3,FALSE)</f>
        <v>30.5</v>
      </c>
      <c r="N1802" s="11">
        <f>VLOOKUP($B1802,'Hospitalisation Details'!A1801:J4145,10,0)</f>
        <v>23646</v>
      </c>
      <c r="O1802" t="str">
        <f>VLOOKUP($B1802,'Hospitalisation Details'!A1801:J4145,8,0)</f>
        <v>tier - 2</v>
      </c>
      <c r="P1802" t="str">
        <f>VLOOKUP($B1802,'Hospitalisation Details'!A1801:J4145,7,0)</f>
        <v>tier - 1</v>
      </c>
      <c r="Q1802" t="str">
        <f>VLOOKUP($B1802,'Hospitalisation Details'!A1801:J4145,9,0)</f>
        <v>R1012</v>
      </c>
      <c r="R1802">
        <f>VLOOKUP($B1802,'Hospitalisation Details'!A1801:K4145,11,0)</f>
        <v>58</v>
      </c>
    </row>
    <row r="1803" spans="1:18" x14ac:dyDescent="0.35">
      <c r="A1803" t="s">
        <v>568</v>
      </c>
      <c r="B1803" t="s">
        <v>1834</v>
      </c>
      <c r="C1803" t="str">
        <f>VLOOKUP($A1803,'Customer Names'!$A:$E,4,FALSE)</f>
        <v>Daniel</v>
      </c>
      <c r="D1803" t="str">
        <f>VLOOKUP($A1803,'Medical Examinations'!$A:$J,2,FALSE)</f>
        <v>Obesity</v>
      </c>
      <c r="E1803">
        <f>VLOOKUP($A1803,'Medical Examinations'!$A:$J,4,FALSE)</f>
        <v>4.8099999999999996</v>
      </c>
      <c r="F1803" t="str">
        <f>VLOOKUP($A1803,'Medical Examinations'!$A:$J,6,FALSE)</f>
        <v>No</v>
      </c>
      <c r="G1803" t="str">
        <f>VLOOKUP($A1803,'Medical Examinations'!$A:$J,7,FALSE)</f>
        <v>No</v>
      </c>
      <c r="H1803" t="str">
        <f>VLOOKUP($A1803,'Medical Examinations'!$A:$J,8,FALSE)</f>
        <v>No</v>
      </c>
      <c r="I1803">
        <f>VLOOKUP($A1803,'Medical Examinations'!$A:$J,9,FALSE)</f>
        <v>1</v>
      </c>
      <c r="J1803" t="str">
        <f>VLOOKUP($A1803,'Medical Examinations'!$A:$J,10,FALSE)</f>
        <v>No</v>
      </c>
      <c r="K1803" t="str">
        <f>VLOOKUP($A1803,'Medical Examinations'!$A:$J,5,FALSE)</f>
        <v>Normal</v>
      </c>
      <c r="L1803">
        <f>VLOOKUP($A1804,'Medical Examinations'!$A:$J,3,FALSE)</f>
        <v>27.61</v>
      </c>
      <c r="N1803" s="11">
        <f>VLOOKUP($B1803,'Hospitalisation Details'!A1802:J4146,10,0)</f>
        <v>31636</v>
      </c>
      <c r="O1803" t="str">
        <f>VLOOKUP($B1803,'Hospitalisation Details'!A1802:J4146,8,0)</f>
        <v>tier - 3</v>
      </c>
      <c r="P1803" t="str">
        <f>VLOOKUP($B1803,'Hospitalisation Details'!A1802:J4146,7,0)</f>
        <v>tier - 1</v>
      </c>
      <c r="Q1803" t="str">
        <f>VLOOKUP($B1803,'Hospitalisation Details'!A1802:J4146,9,0)</f>
        <v>R1011</v>
      </c>
      <c r="R1803">
        <f>VLOOKUP($B1803,'Hospitalisation Details'!A1802:K4146,11,0)</f>
        <v>36</v>
      </c>
    </row>
    <row r="1804" spans="1:18" x14ac:dyDescent="0.35">
      <c r="A1804" t="s">
        <v>567</v>
      </c>
      <c r="B1804" t="s">
        <v>1835</v>
      </c>
      <c r="C1804" t="str">
        <f>VLOOKUP($A1804,'Customer Names'!$A:$E,4,FALSE)</f>
        <v>Jonathan</v>
      </c>
      <c r="D1804" t="str">
        <f>VLOOKUP($A1804,'Medical Examinations'!$A:$J,2,FALSE)</f>
        <v>Overweight</v>
      </c>
      <c r="E1804">
        <f>VLOOKUP($A1804,'Medical Examinations'!$A:$J,4,FALSE)</f>
        <v>4.5999999999999996</v>
      </c>
      <c r="F1804" t="str">
        <f>VLOOKUP($A1804,'Medical Examinations'!$A:$J,6,FALSE)</f>
        <v>No</v>
      </c>
      <c r="G1804" t="str">
        <f>VLOOKUP($A1804,'Medical Examinations'!$A:$J,7,FALSE)</f>
        <v>No</v>
      </c>
      <c r="H1804" t="str">
        <f>VLOOKUP($A1804,'Medical Examinations'!$A:$J,8,FALSE)</f>
        <v>No</v>
      </c>
      <c r="I1804">
        <f>VLOOKUP($A1804,'Medical Examinations'!$A:$J,9,FALSE)</f>
        <v>1</v>
      </c>
      <c r="J1804" t="str">
        <f>VLOOKUP($A1804,'Medical Examinations'!$A:$J,10,FALSE)</f>
        <v>No</v>
      </c>
      <c r="K1804" t="str">
        <f>VLOOKUP($A1804,'Medical Examinations'!$A:$J,5,FALSE)</f>
        <v>Normal</v>
      </c>
      <c r="L1804">
        <f>VLOOKUP($A1805,'Medical Examinations'!$A:$J,3,FALSE)</f>
        <v>27.1</v>
      </c>
      <c r="N1804" s="11">
        <f>VLOOKUP($B1804,'Hospitalisation Details'!A1803:J4147,10,0)</f>
        <v>36061</v>
      </c>
      <c r="O1804" t="str">
        <f>VLOOKUP($B1804,'Hospitalisation Details'!A1803:J4147,8,0)</f>
        <v>tier - 1</v>
      </c>
      <c r="P1804" t="str">
        <f>VLOOKUP($B1804,'Hospitalisation Details'!A1803:J4147,7,0)</f>
        <v>tier - 1</v>
      </c>
      <c r="Q1804" t="str">
        <f>VLOOKUP($B1804,'Hospitalisation Details'!A1803:J4147,9,0)</f>
        <v>R1019</v>
      </c>
      <c r="R1804">
        <f>VLOOKUP($B1804,'Hospitalisation Details'!A1803:K4147,11,0)</f>
        <v>24</v>
      </c>
    </row>
    <row r="1805" spans="1:18" x14ac:dyDescent="0.35">
      <c r="A1805" t="s">
        <v>566</v>
      </c>
      <c r="B1805" t="s">
        <v>1836</v>
      </c>
      <c r="C1805" t="str">
        <f>VLOOKUP($A1805,'Customer Names'!$A:$E,4,FALSE)</f>
        <v>Troy</v>
      </c>
      <c r="D1805" t="str">
        <f>VLOOKUP($A1805,'Medical Examinations'!$A:$J,2,FALSE)</f>
        <v>Overweight</v>
      </c>
      <c r="E1805">
        <f>VLOOKUP($A1805,'Medical Examinations'!$A:$J,4,FALSE)</f>
        <v>5.08</v>
      </c>
      <c r="F1805" t="str">
        <f>VLOOKUP($A1805,'Medical Examinations'!$A:$J,6,FALSE)</f>
        <v>No</v>
      </c>
      <c r="G1805" t="str">
        <f>VLOOKUP($A1805,'Medical Examinations'!$A:$J,7,FALSE)</f>
        <v>No</v>
      </c>
      <c r="H1805" t="str">
        <f>VLOOKUP($A1805,'Medical Examinations'!$A:$J,8,FALSE)</f>
        <v>No</v>
      </c>
      <c r="I1805">
        <f>VLOOKUP($A1805,'Medical Examinations'!$A:$J,9,FALSE)</f>
        <v>1</v>
      </c>
      <c r="J1805" t="str">
        <f>VLOOKUP($A1805,'Medical Examinations'!$A:$J,10,FALSE)</f>
        <v>No</v>
      </c>
      <c r="K1805" t="str">
        <f>VLOOKUP($A1805,'Medical Examinations'!$A:$J,5,FALSE)</f>
        <v>Normal</v>
      </c>
      <c r="L1805">
        <f>VLOOKUP($A1806,'Medical Examinations'!$A:$J,3,FALSE)</f>
        <v>35.93</v>
      </c>
      <c r="N1805" s="11">
        <f>VLOOKUP($B1805,'Hospitalisation Details'!A1804:J4148,10,0)</f>
        <v>25858</v>
      </c>
      <c r="O1805" t="str">
        <f>VLOOKUP($B1805,'Hospitalisation Details'!A1804:J4148,8,0)</f>
        <v>tier - 3</v>
      </c>
      <c r="P1805" t="str">
        <f>VLOOKUP($B1805,'Hospitalisation Details'!A1804:J4148,7,0)</f>
        <v>tier - 1</v>
      </c>
      <c r="Q1805" t="str">
        <f>VLOOKUP($B1805,'Hospitalisation Details'!A1804:J4148,9,0)</f>
        <v>R1012</v>
      </c>
      <c r="R1805">
        <f>VLOOKUP($B1805,'Hospitalisation Details'!A1804:K4148,11,0)</f>
        <v>52</v>
      </c>
    </row>
    <row r="1806" spans="1:18" x14ac:dyDescent="0.35">
      <c r="A1806" t="s">
        <v>565</v>
      </c>
      <c r="B1806" t="s">
        <v>1837</v>
      </c>
      <c r="C1806" t="str">
        <f>VLOOKUP($A1806,'Customer Names'!$A:$E,4,FALSE)</f>
        <v>Daniel C</v>
      </c>
      <c r="D1806" t="str">
        <f>VLOOKUP($A1806,'Medical Examinations'!$A:$J,2,FALSE)</f>
        <v>Obesity</v>
      </c>
      <c r="E1806">
        <f>VLOOKUP($A1806,'Medical Examinations'!$A:$J,4,FALSE)</f>
        <v>5.43</v>
      </c>
      <c r="F1806" t="str">
        <f>VLOOKUP($A1806,'Medical Examinations'!$A:$J,6,FALSE)</f>
        <v>No</v>
      </c>
      <c r="G1806" t="str">
        <f>VLOOKUP($A1806,'Medical Examinations'!$A:$J,7,FALSE)</f>
        <v>yes</v>
      </c>
      <c r="H1806" t="str">
        <f>VLOOKUP($A1806,'Medical Examinations'!$A:$J,8,FALSE)</f>
        <v>No</v>
      </c>
      <c r="I1806">
        <f>VLOOKUP($A1806,'Medical Examinations'!$A:$J,9,FALSE)</f>
        <v>1</v>
      </c>
      <c r="J1806" t="str">
        <f>VLOOKUP($A1806,'Medical Examinations'!$A:$J,10,FALSE)</f>
        <v>No</v>
      </c>
      <c r="K1806" t="str">
        <f>VLOOKUP($A1806,'Medical Examinations'!$A:$J,5,FALSE)</f>
        <v>Normal</v>
      </c>
      <c r="L1806">
        <f>VLOOKUP($A1807,'Medical Examinations'!$A:$J,3,FALSE)</f>
        <v>32.68</v>
      </c>
      <c r="N1806" s="11">
        <f>VLOOKUP($B1806,'Hospitalisation Details'!A1805:J4149,10,0)</f>
        <v>24714</v>
      </c>
      <c r="O1806" t="str">
        <f>VLOOKUP($B1806,'Hospitalisation Details'!A1805:J4149,8,0)</f>
        <v>tier - 1</v>
      </c>
      <c r="P1806" t="str">
        <f>VLOOKUP($B1806,'Hospitalisation Details'!A1805:J4149,7,0)</f>
        <v>tier - 1</v>
      </c>
      <c r="Q1806" t="str">
        <f>VLOOKUP($B1806,'Hospitalisation Details'!A1805:J4149,9,0)</f>
        <v>R1023</v>
      </c>
      <c r="R1806">
        <f>VLOOKUP($B1806,'Hospitalisation Details'!A1805:K4149,11,0)</f>
        <v>55</v>
      </c>
    </row>
    <row r="1807" spans="1:18" x14ac:dyDescent="0.35">
      <c r="A1807" t="s">
        <v>564</v>
      </c>
      <c r="B1807" t="s">
        <v>1838</v>
      </c>
      <c r="C1807" t="str">
        <f>VLOOKUP($A1807,'Customer Names'!$A:$E,4,FALSE)</f>
        <v>Lauren</v>
      </c>
      <c r="D1807" t="str">
        <f>VLOOKUP($A1807,'Medical Examinations'!$A:$J,2,FALSE)</f>
        <v>Obesity</v>
      </c>
      <c r="E1807">
        <f>VLOOKUP($A1807,'Medical Examinations'!$A:$J,4,FALSE)</f>
        <v>5.44</v>
      </c>
      <c r="F1807" t="str">
        <f>VLOOKUP($A1807,'Medical Examinations'!$A:$J,6,FALSE)</f>
        <v>No</v>
      </c>
      <c r="G1807" t="str">
        <f>VLOOKUP($A1807,'Medical Examinations'!$A:$J,7,FALSE)</f>
        <v>No</v>
      </c>
      <c r="H1807" t="str">
        <f>VLOOKUP($A1807,'Medical Examinations'!$A:$J,8,FALSE)</f>
        <v>No</v>
      </c>
      <c r="I1807">
        <f>VLOOKUP($A1807,'Medical Examinations'!$A:$J,9,FALSE)</f>
        <v>0</v>
      </c>
      <c r="J1807" t="str">
        <f>VLOOKUP($A1807,'Medical Examinations'!$A:$J,10,FALSE)</f>
        <v>No</v>
      </c>
      <c r="K1807" t="str">
        <f>VLOOKUP($A1807,'Medical Examinations'!$A:$J,5,FALSE)</f>
        <v>Normal</v>
      </c>
      <c r="L1807">
        <f>VLOOKUP($A1808,'Medical Examinations'!$A:$J,3,FALSE)</f>
        <v>20.74</v>
      </c>
      <c r="N1807" s="11">
        <f>VLOOKUP($B1807,'Hospitalisation Details'!A1806:J4150,10,0)</f>
        <v>33965</v>
      </c>
      <c r="O1807" t="str">
        <f>VLOOKUP($B1807,'Hospitalisation Details'!A1806:J4150,8,0)</f>
        <v>tier - 2</v>
      </c>
      <c r="P1807" t="str">
        <f>VLOOKUP($B1807,'Hospitalisation Details'!A1806:J4150,7,0)</f>
        <v>tier - 1</v>
      </c>
      <c r="Q1807" t="str">
        <f>VLOOKUP($B1807,'Hospitalisation Details'!A1806:J4150,9,0)</f>
        <v>R1012</v>
      </c>
      <c r="R1807">
        <f>VLOOKUP($B1807,'Hospitalisation Details'!A1806:K4150,11,0)</f>
        <v>30</v>
      </c>
    </row>
    <row r="1808" spans="1:18" x14ac:dyDescent="0.35">
      <c r="A1808" t="s">
        <v>563</v>
      </c>
      <c r="B1808" t="s">
        <v>1839</v>
      </c>
      <c r="C1808" t="str">
        <f>VLOOKUP($A1808,'Customer Names'!$A:$E,4,FALSE)</f>
        <v>Jennefer</v>
      </c>
      <c r="D1808" t="str">
        <f>VLOOKUP($A1808,'Medical Examinations'!$A:$J,2,FALSE)</f>
        <v>Normal Weight</v>
      </c>
      <c r="E1808">
        <f>VLOOKUP($A1808,'Medical Examinations'!$A:$J,4,FALSE)</f>
        <v>11.69</v>
      </c>
      <c r="F1808" t="str">
        <f>VLOOKUP($A1808,'Medical Examinations'!$A:$J,6,FALSE)</f>
        <v>yes</v>
      </c>
      <c r="G1808" t="str">
        <f>VLOOKUP($A1808,'Medical Examinations'!$A:$J,7,FALSE)</f>
        <v>No</v>
      </c>
      <c r="H1808" t="str">
        <f>VLOOKUP($A1808,'Medical Examinations'!$A:$J,8,FALSE)</f>
        <v>No</v>
      </c>
      <c r="I1808">
        <f>VLOOKUP($A1808,'Medical Examinations'!$A:$J,9,FALSE)</f>
        <v>1</v>
      </c>
      <c r="J1808" t="str">
        <f>VLOOKUP($A1808,'Medical Examinations'!$A:$J,10,FALSE)</f>
        <v>No</v>
      </c>
      <c r="K1808" t="str">
        <f>VLOOKUP($A1808,'Medical Examinations'!$A:$J,5,FALSE)</f>
        <v>Diabetes</v>
      </c>
      <c r="L1808">
        <f>VLOOKUP($A1809,'Medical Examinations'!$A:$J,3,FALSE)</f>
        <v>15.57</v>
      </c>
      <c r="N1808" s="11">
        <f>VLOOKUP($B1808,'Hospitalisation Details'!A1807:J4151,10,0)</f>
        <v>29178</v>
      </c>
      <c r="O1808" t="str">
        <f>VLOOKUP($B1808,'Hospitalisation Details'!A1807:J4151,8,0)</f>
        <v>tier - 1</v>
      </c>
      <c r="P1808" t="str">
        <f>VLOOKUP($B1808,'Hospitalisation Details'!A1807:J4151,7,0)</f>
        <v>tier - 1</v>
      </c>
      <c r="Q1808" t="str">
        <f>VLOOKUP($B1808,'Hospitalisation Details'!A1807:J4151,9,0)</f>
        <v>R1013</v>
      </c>
      <c r="R1808">
        <f>VLOOKUP($B1808,'Hospitalisation Details'!A1807:K4151,11,0)</f>
        <v>43</v>
      </c>
    </row>
    <row r="1809" spans="1:18" x14ac:dyDescent="0.35">
      <c r="A1809" t="s">
        <v>562</v>
      </c>
      <c r="B1809" t="s">
        <v>1840</v>
      </c>
      <c r="C1809" t="str">
        <f>VLOOKUP($A1809,'Customer Names'!$A:$E,4,FALSE)</f>
        <v>Tracey L.</v>
      </c>
      <c r="D1809" t="str">
        <f>VLOOKUP($A1809,'Medical Examinations'!$A:$J,2,FALSE)</f>
        <v>Underweight</v>
      </c>
      <c r="E1809">
        <f>VLOOKUP($A1809,'Medical Examinations'!$A:$J,4,FALSE)</f>
        <v>6.07</v>
      </c>
      <c r="F1809" t="str">
        <f>VLOOKUP($A1809,'Medical Examinations'!$A:$J,6,FALSE)</f>
        <v>No</v>
      </c>
      <c r="G1809" t="str">
        <f>VLOOKUP($A1809,'Medical Examinations'!$A:$J,7,FALSE)</f>
        <v>No</v>
      </c>
      <c r="H1809" t="str">
        <f>VLOOKUP($A1809,'Medical Examinations'!$A:$J,8,FALSE)</f>
        <v>No</v>
      </c>
      <c r="I1809">
        <f>VLOOKUP($A1809,'Medical Examinations'!$A:$J,9,FALSE)</f>
        <v>0</v>
      </c>
      <c r="J1809" t="str">
        <f>VLOOKUP($A1809,'Medical Examinations'!$A:$J,10,FALSE)</f>
        <v>No</v>
      </c>
      <c r="K1809" t="str">
        <f>VLOOKUP($A1809,'Medical Examinations'!$A:$J,5,FALSE)</f>
        <v>Prediabetes</v>
      </c>
      <c r="L1809">
        <f>VLOOKUP($A1810,'Medical Examinations'!$A:$J,3,FALSE)</f>
        <v>23.844999999999999</v>
      </c>
      <c r="N1809" s="11">
        <f>VLOOKUP($B1809,'Hospitalisation Details'!A1808:J4152,10,0)</f>
        <v>35031</v>
      </c>
      <c r="O1809" t="str">
        <f>VLOOKUP($B1809,'Hospitalisation Details'!A1808:J4152,8,0)</f>
        <v>tier - 1</v>
      </c>
      <c r="P1809" t="str">
        <f>VLOOKUP($B1809,'Hospitalisation Details'!A1808:J4152,7,0)</f>
        <v>tier - 1</v>
      </c>
      <c r="Q1809" t="str">
        <f>VLOOKUP($B1809,'Hospitalisation Details'!A1808:J4152,9,0)</f>
        <v>R1012</v>
      </c>
      <c r="R1809">
        <f>VLOOKUP($B1809,'Hospitalisation Details'!A1808:K4152,11,0)</f>
        <v>27</v>
      </c>
    </row>
    <row r="1810" spans="1:18" x14ac:dyDescent="0.35">
      <c r="A1810" t="s">
        <v>561</v>
      </c>
      <c r="B1810" t="s">
        <v>1841</v>
      </c>
      <c r="C1810" t="str">
        <f>VLOOKUP($A1810,'Customer Names'!$A:$E,4,FALSE)</f>
        <v>Ashley</v>
      </c>
      <c r="D1810" t="str">
        <f>VLOOKUP($A1810,'Medical Examinations'!$A:$J,2,FALSE)</f>
        <v>Normal Weight</v>
      </c>
      <c r="E1810">
        <f>VLOOKUP($A1810,'Medical Examinations'!$A:$J,4,FALSE)</f>
        <v>4.3600000000000003</v>
      </c>
      <c r="F1810" t="str">
        <f>VLOOKUP($A1810,'Medical Examinations'!$A:$J,6,FALSE)</f>
        <v>No</v>
      </c>
      <c r="G1810" t="str">
        <f>VLOOKUP($A1810,'Medical Examinations'!$A:$J,7,FALSE)</f>
        <v>No</v>
      </c>
      <c r="H1810" t="str">
        <f>VLOOKUP($A1810,'Medical Examinations'!$A:$J,8,FALSE)</f>
        <v>No</v>
      </c>
      <c r="I1810">
        <f>VLOOKUP($A1810,'Medical Examinations'!$A:$J,9,FALSE)</f>
        <v>0</v>
      </c>
      <c r="J1810" t="str">
        <f>VLOOKUP($A1810,'Medical Examinations'!$A:$J,10,FALSE)</f>
        <v>No</v>
      </c>
      <c r="K1810" t="str">
        <f>VLOOKUP($A1810,'Medical Examinations'!$A:$J,5,FALSE)</f>
        <v>Normal</v>
      </c>
      <c r="L1810">
        <f>VLOOKUP($A1811,'Medical Examinations'!$A:$J,3,FALSE)</f>
        <v>22.895</v>
      </c>
      <c r="N1810" s="11">
        <f>VLOOKUP($B1810,'Hospitalisation Details'!A1809:J4153,10,0)</f>
        <v>29143</v>
      </c>
      <c r="O1810" t="str">
        <f>VLOOKUP($B1810,'Hospitalisation Details'!A1809:J4153,8,0)</f>
        <v>tier - 2</v>
      </c>
      <c r="P1810" t="str">
        <f>VLOOKUP($B1810,'Hospitalisation Details'!A1809:J4153,7,0)</f>
        <v>tier - 1</v>
      </c>
      <c r="Q1810" t="str">
        <f>VLOOKUP($B1810,'Hospitalisation Details'!A1809:J4153,9,0)</f>
        <v>R1013</v>
      </c>
      <c r="R1810">
        <f>VLOOKUP($B1810,'Hospitalisation Details'!A1809:K4153,11,0)</f>
        <v>43</v>
      </c>
    </row>
    <row r="1811" spans="1:18" x14ac:dyDescent="0.35">
      <c r="A1811" t="s">
        <v>560</v>
      </c>
      <c r="B1811" t="s">
        <v>1842</v>
      </c>
      <c r="C1811" t="str">
        <f>VLOOKUP($A1811,'Customer Names'!$A:$E,4,FALSE)</f>
        <v>Cindy</v>
      </c>
      <c r="D1811" t="str">
        <f>VLOOKUP($A1811,'Medical Examinations'!$A:$J,2,FALSE)</f>
        <v>Normal Weight</v>
      </c>
      <c r="E1811">
        <f>VLOOKUP($A1811,'Medical Examinations'!$A:$J,4,FALSE)</f>
        <v>5.24</v>
      </c>
      <c r="F1811" t="str">
        <f>VLOOKUP($A1811,'Medical Examinations'!$A:$J,6,FALSE)</f>
        <v>No</v>
      </c>
      <c r="G1811" t="str">
        <f>VLOOKUP($A1811,'Medical Examinations'!$A:$J,7,FALSE)</f>
        <v>No</v>
      </c>
      <c r="H1811" t="str">
        <f>VLOOKUP($A1811,'Medical Examinations'!$A:$J,8,FALSE)</f>
        <v>No</v>
      </c>
      <c r="I1811">
        <f>VLOOKUP($A1811,'Medical Examinations'!$A:$J,9,FALSE)</f>
        <v>1</v>
      </c>
      <c r="J1811" t="str">
        <f>VLOOKUP($A1811,'Medical Examinations'!$A:$J,10,FALSE)</f>
        <v>No</v>
      </c>
      <c r="K1811" t="str">
        <f>VLOOKUP($A1811,'Medical Examinations'!$A:$J,5,FALSE)</f>
        <v>Normal</v>
      </c>
      <c r="L1811">
        <f>VLOOKUP($A1812,'Medical Examinations'!$A:$J,3,FALSE)</f>
        <v>21.945</v>
      </c>
      <c r="N1811" s="11">
        <f>VLOOKUP($B1811,'Hospitalisation Details'!A1810:J4154,10,0)</f>
        <v>22998</v>
      </c>
      <c r="O1811" t="str">
        <f>VLOOKUP($B1811,'Hospitalisation Details'!A1810:J4154,8,0)</f>
        <v>tier - 1</v>
      </c>
      <c r="P1811" t="str">
        <f>VLOOKUP($B1811,'Hospitalisation Details'!A1810:J4154,7,0)</f>
        <v>tier - 1</v>
      </c>
      <c r="Q1811" t="str">
        <f>VLOOKUP($B1811,'Hospitalisation Details'!A1810:J4154,9,0)</f>
        <v>R1023</v>
      </c>
      <c r="R1811">
        <f>VLOOKUP($B1811,'Hospitalisation Details'!A1810:K4154,11,0)</f>
        <v>60</v>
      </c>
    </row>
    <row r="1812" spans="1:18" x14ac:dyDescent="0.35">
      <c r="A1812" t="s">
        <v>559</v>
      </c>
      <c r="B1812" t="s">
        <v>1843</v>
      </c>
      <c r="C1812" t="str">
        <f>VLOOKUP($A1812,'Customer Names'!$A:$E,4,FALSE)</f>
        <v>Esther</v>
      </c>
      <c r="D1812" t="str">
        <f>VLOOKUP($A1812,'Medical Examinations'!$A:$J,2,FALSE)</f>
        <v>Normal Weight</v>
      </c>
      <c r="E1812">
        <f>VLOOKUP($A1812,'Medical Examinations'!$A:$J,4,FALSE)</f>
        <v>5.37</v>
      </c>
      <c r="F1812" t="str">
        <f>VLOOKUP($A1812,'Medical Examinations'!$A:$J,6,FALSE)</f>
        <v>No</v>
      </c>
      <c r="G1812" t="str">
        <f>VLOOKUP($A1812,'Medical Examinations'!$A:$J,7,FALSE)</f>
        <v>No</v>
      </c>
      <c r="H1812" t="str">
        <f>VLOOKUP($A1812,'Medical Examinations'!$A:$J,8,FALSE)</f>
        <v>No</v>
      </c>
      <c r="I1812">
        <f>VLOOKUP($A1812,'Medical Examinations'!$A:$J,9,FALSE)</f>
        <v>1</v>
      </c>
      <c r="J1812" t="str">
        <f>VLOOKUP($A1812,'Medical Examinations'!$A:$J,10,FALSE)</f>
        <v>No</v>
      </c>
      <c r="K1812" t="str">
        <f>VLOOKUP($A1812,'Medical Examinations'!$A:$J,5,FALSE)</f>
        <v>Normal</v>
      </c>
      <c r="L1812">
        <f>VLOOKUP($A1813,'Medical Examinations'!$A:$J,3,FALSE)</f>
        <v>19.47</v>
      </c>
      <c r="N1812" s="11">
        <f>VLOOKUP($B1812,'Hospitalisation Details'!A1811:J4155,10,0)</f>
        <v>37826</v>
      </c>
      <c r="O1812" t="str">
        <f>VLOOKUP($B1812,'Hospitalisation Details'!A1811:J4155,8,0)</f>
        <v>tier - 3</v>
      </c>
      <c r="P1812" t="str">
        <f>VLOOKUP($B1812,'Hospitalisation Details'!A1811:J4155,7,0)</f>
        <v>tier - 1</v>
      </c>
      <c r="Q1812" t="str">
        <f>VLOOKUP($B1812,'Hospitalisation Details'!A1811:J4155,9,0)</f>
        <v>R1012</v>
      </c>
      <c r="R1812">
        <f>VLOOKUP($B1812,'Hospitalisation Details'!A1811:K4155,11,0)</f>
        <v>19</v>
      </c>
    </row>
    <row r="1813" spans="1:18" x14ac:dyDescent="0.35">
      <c r="A1813" t="s">
        <v>558</v>
      </c>
      <c r="B1813" t="s">
        <v>1844</v>
      </c>
      <c r="C1813" t="str">
        <f>VLOOKUP($A1813,'Customer Names'!$A:$E,4,FALSE)</f>
        <v>Jackie</v>
      </c>
      <c r="D1813" t="str">
        <f>VLOOKUP($A1813,'Medical Examinations'!$A:$J,2,FALSE)</f>
        <v>Normal Weight</v>
      </c>
      <c r="E1813">
        <f>VLOOKUP($A1813,'Medical Examinations'!$A:$J,4,FALSE)</f>
        <v>6.6</v>
      </c>
      <c r="F1813" t="str">
        <f>VLOOKUP($A1813,'Medical Examinations'!$A:$J,6,FALSE)</f>
        <v>yes</v>
      </c>
      <c r="G1813" t="str">
        <f>VLOOKUP($A1813,'Medical Examinations'!$A:$J,7,FALSE)</f>
        <v>No</v>
      </c>
      <c r="H1813" t="str">
        <f>VLOOKUP($A1813,'Medical Examinations'!$A:$J,8,FALSE)</f>
        <v>No</v>
      </c>
      <c r="I1813">
        <f>VLOOKUP($A1813,'Medical Examinations'!$A:$J,9,FALSE)</f>
        <v>0</v>
      </c>
      <c r="J1813" t="str">
        <f>VLOOKUP($A1813,'Medical Examinations'!$A:$J,10,FALSE)</f>
        <v>No</v>
      </c>
      <c r="K1813" t="str">
        <f>VLOOKUP($A1813,'Medical Examinations'!$A:$J,5,FALSE)</f>
        <v>Diabetes</v>
      </c>
      <c r="L1813">
        <f>VLOOKUP($A1814,'Medical Examinations'!$A:$J,3,FALSE)</f>
        <v>15.61</v>
      </c>
      <c r="N1813" s="11">
        <f>VLOOKUP($B1813,'Hospitalisation Details'!A1812:J4156,10,0)</f>
        <v>23351</v>
      </c>
      <c r="O1813" t="str">
        <f>VLOOKUP($B1813,'Hospitalisation Details'!A1812:J4156,8,0)</f>
        <v>tier - 1</v>
      </c>
      <c r="P1813" t="str">
        <f>VLOOKUP($B1813,'Hospitalisation Details'!A1812:J4156,7,0)</f>
        <v>tier - 1</v>
      </c>
      <c r="Q1813" t="str">
        <f>VLOOKUP($B1813,'Hospitalisation Details'!A1812:J4156,9,0)</f>
        <v>R1026</v>
      </c>
      <c r="R1813">
        <f>VLOOKUP($B1813,'Hospitalisation Details'!A1812:K4156,11,0)</f>
        <v>59</v>
      </c>
    </row>
    <row r="1814" spans="1:18" x14ac:dyDescent="0.35">
      <c r="A1814" t="s">
        <v>557</v>
      </c>
      <c r="B1814" t="s">
        <v>1845</v>
      </c>
      <c r="C1814" t="str">
        <f>VLOOKUP($A1814,'Customer Names'!$A:$E,4,FALSE)</f>
        <v>Timothy P.</v>
      </c>
      <c r="D1814" t="str">
        <f>VLOOKUP($A1814,'Medical Examinations'!$A:$J,2,FALSE)</f>
        <v>Underweight</v>
      </c>
      <c r="E1814">
        <f>VLOOKUP($A1814,'Medical Examinations'!$A:$J,4,FALSE)</f>
        <v>5.77</v>
      </c>
      <c r="F1814" t="str">
        <f>VLOOKUP($A1814,'Medical Examinations'!$A:$J,6,FALSE)</f>
        <v>No</v>
      </c>
      <c r="G1814" t="str">
        <f>VLOOKUP($A1814,'Medical Examinations'!$A:$J,7,FALSE)</f>
        <v>No</v>
      </c>
      <c r="H1814" t="str">
        <f>VLOOKUP($A1814,'Medical Examinations'!$A:$J,8,FALSE)</f>
        <v>No</v>
      </c>
      <c r="I1814">
        <f>VLOOKUP($A1814,'Medical Examinations'!$A:$J,9,FALSE)</f>
        <v>0</v>
      </c>
      <c r="J1814" t="str">
        <f>VLOOKUP($A1814,'Medical Examinations'!$A:$J,10,FALSE)</f>
        <v>No</v>
      </c>
      <c r="K1814" t="str">
        <f>VLOOKUP($A1814,'Medical Examinations'!$A:$J,5,FALSE)</f>
        <v>Prediabetes</v>
      </c>
      <c r="L1814">
        <f>VLOOKUP($A1815,'Medical Examinations'!$A:$J,3,FALSE)</f>
        <v>28.6</v>
      </c>
      <c r="N1814" s="11">
        <f>VLOOKUP($B1814,'Hospitalisation Details'!A1813:J4157,10,0)</f>
        <v>34969</v>
      </c>
      <c r="O1814" t="str">
        <f>VLOOKUP($B1814,'Hospitalisation Details'!A1813:J4157,8,0)</f>
        <v>tier - 2</v>
      </c>
      <c r="P1814" t="str">
        <f>VLOOKUP($B1814,'Hospitalisation Details'!A1813:J4157,7,0)</f>
        <v>tier - 1</v>
      </c>
      <c r="Q1814" t="str">
        <f>VLOOKUP($B1814,'Hospitalisation Details'!A1813:J4157,9,0)</f>
        <v>R1024</v>
      </c>
      <c r="R1814">
        <f>VLOOKUP($B1814,'Hospitalisation Details'!A1813:K4157,11,0)</f>
        <v>27</v>
      </c>
    </row>
    <row r="1815" spans="1:18" x14ac:dyDescent="0.35">
      <c r="A1815" t="s">
        <v>556</v>
      </c>
      <c r="B1815" t="s">
        <v>1846</v>
      </c>
      <c r="C1815" t="str">
        <f>VLOOKUP($A1815,'Customer Names'!$A:$E,4,FALSE)</f>
        <v>Lauren</v>
      </c>
      <c r="D1815" t="str">
        <f>VLOOKUP($A1815,'Medical Examinations'!$A:$J,2,FALSE)</f>
        <v>Overweight</v>
      </c>
      <c r="E1815">
        <f>VLOOKUP($A1815,'Medical Examinations'!$A:$J,4,FALSE)</f>
        <v>6.08</v>
      </c>
      <c r="F1815" t="str">
        <f>VLOOKUP($A1815,'Medical Examinations'!$A:$J,6,FALSE)</f>
        <v>No</v>
      </c>
      <c r="G1815" t="str">
        <f>VLOOKUP($A1815,'Medical Examinations'!$A:$J,7,FALSE)</f>
        <v>No</v>
      </c>
      <c r="H1815" t="str">
        <f>VLOOKUP($A1815,'Medical Examinations'!$A:$J,8,FALSE)</f>
        <v>Yes</v>
      </c>
      <c r="I1815">
        <f>VLOOKUP($A1815,'Medical Examinations'!$A:$J,9,FALSE)</f>
        <v>1</v>
      </c>
      <c r="J1815" t="str">
        <f>VLOOKUP($A1815,'Medical Examinations'!$A:$J,10,FALSE)</f>
        <v>No</v>
      </c>
      <c r="K1815" t="str">
        <f>VLOOKUP($A1815,'Medical Examinations'!$A:$J,5,FALSE)</f>
        <v>Prediabetes</v>
      </c>
      <c r="L1815">
        <f>VLOOKUP($A1816,'Medical Examinations'!$A:$J,3,FALSE)</f>
        <v>46.53</v>
      </c>
      <c r="N1815" s="11">
        <f>VLOOKUP($B1815,'Hospitalisation Details'!A1814:J4158,10,0)</f>
        <v>25418</v>
      </c>
      <c r="O1815" t="str">
        <f>VLOOKUP($B1815,'Hospitalisation Details'!A1814:J4158,8,0)</f>
        <v>tier - 3</v>
      </c>
      <c r="P1815" t="str">
        <f>VLOOKUP($B1815,'Hospitalisation Details'!A1814:J4158,7,0)</f>
        <v>tier - 1</v>
      </c>
      <c r="Q1815" t="str">
        <f>VLOOKUP($B1815,'Hospitalisation Details'!A1814:J4158,9,0)</f>
        <v>R1012</v>
      </c>
      <c r="R1815">
        <f>VLOOKUP($B1815,'Hospitalisation Details'!A1814:K4158,11,0)</f>
        <v>53</v>
      </c>
    </row>
    <row r="1816" spans="1:18" x14ac:dyDescent="0.35">
      <c r="A1816" t="s">
        <v>555</v>
      </c>
      <c r="B1816" t="s">
        <v>1847</v>
      </c>
      <c r="C1816" t="str">
        <f>VLOOKUP($A1816,'Customer Names'!$A:$E,4,FALSE)</f>
        <v>Benjamin</v>
      </c>
      <c r="D1816" t="str">
        <f>VLOOKUP($A1816,'Medical Examinations'!$A:$J,2,FALSE)</f>
        <v>Obesity</v>
      </c>
      <c r="E1816">
        <f>VLOOKUP($A1816,'Medical Examinations'!$A:$J,4,FALSE)</f>
        <v>4.16</v>
      </c>
      <c r="F1816" t="str">
        <f>VLOOKUP($A1816,'Medical Examinations'!$A:$J,6,FALSE)</f>
        <v>No</v>
      </c>
      <c r="G1816" t="str">
        <f>VLOOKUP($A1816,'Medical Examinations'!$A:$J,7,FALSE)</f>
        <v>No</v>
      </c>
      <c r="H1816" t="str">
        <f>VLOOKUP($A1816,'Medical Examinations'!$A:$J,8,FALSE)</f>
        <v>No</v>
      </c>
      <c r="I1816">
        <f>VLOOKUP($A1816,'Medical Examinations'!$A:$J,9,FALSE)</f>
        <v>0</v>
      </c>
      <c r="J1816" t="str">
        <f>VLOOKUP($A1816,'Medical Examinations'!$A:$J,10,FALSE)</f>
        <v>No</v>
      </c>
      <c r="K1816" t="str">
        <f>VLOOKUP($A1816,'Medical Examinations'!$A:$J,5,FALSE)</f>
        <v>Normal</v>
      </c>
      <c r="L1816">
        <f>VLOOKUP($A1817,'Medical Examinations'!$A:$J,3,FALSE)</f>
        <v>34.99</v>
      </c>
      <c r="N1816" s="11">
        <f>VLOOKUP($B1816,'Hospitalisation Details'!A1815:J4159,10,0)</f>
        <v>23304</v>
      </c>
      <c r="O1816" t="str">
        <f>VLOOKUP($B1816,'Hospitalisation Details'!A1815:J4159,8,0)</f>
        <v>tier - 1</v>
      </c>
      <c r="P1816" t="str">
        <f>VLOOKUP($B1816,'Hospitalisation Details'!A1815:J4159,7,0)</f>
        <v>tier - 1</v>
      </c>
      <c r="Q1816" t="str">
        <f>VLOOKUP($B1816,'Hospitalisation Details'!A1815:J4159,9,0)</f>
        <v>R1026</v>
      </c>
      <c r="R1816">
        <f>VLOOKUP($B1816,'Hospitalisation Details'!A1815:K4159,11,0)</f>
        <v>59</v>
      </c>
    </row>
    <row r="1817" spans="1:18" x14ac:dyDescent="0.35">
      <c r="A1817" t="s">
        <v>554</v>
      </c>
      <c r="B1817" t="s">
        <v>1848</v>
      </c>
      <c r="C1817" t="str">
        <f>VLOOKUP($A1817,'Customer Names'!$A:$E,4,FALSE)</f>
        <v>Hugo M</v>
      </c>
      <c r="D1817" t="str">
        <f>VLOOKUP($A1817,'Medical Examinations'!$A:$J,2,FALSE)</f>
        <v>Obesity</v>
      </c>
      <c r="E1817">
        <f>VLOOKUP($A1817,'Medical Examinations'!$A:$J,4,FALSE)</f>
        <v>5.0999999999999996</v>
      </c>
      <c r="F1817" t="str">
        <f>VLOOKUP($A1817,'Medical Examinations'!$A:$J,6,FALSE)</f>
        <v>No</v>
      </c>
      <c r="G1817" t="str">
        <f>VLOOKUP($A1817,'Medical Examinations'!$A:$J,7,FALSE)</f>
        <v>No</v>
      </c>
      <c r="H1817" t="str">
        <f>VLOOKUP($A1817,'Medical Examinations'!$A:$J,8,FALSE)</f>
        <v>Yes</v>
      </c>
      <c r="I1817">
        <f>VLOOKUP($A1817,'Medical Examinations'!$A:$J,9,FALSE)</f>
        <v>1</v>
      </c>
      <c r="J1817" t="str">
        <f>VLOOKUP($A1817,'Medical Examinations'!$A:$J,10,FALSE)</f>
        <v>No</v>
      </c>
      <c r="K1817" t="str">
        <f>VLOOKUP($A1817,'Medical Examinations'!$A:$J,5,FALSE)</f>
        <v>Normal</v>
      </c>
      <c r="L1817">
        <f>VLOOKUP($A1818,'Medical Examinations'!$A:$J,3,FALSE)</f>
        <v>17.05</v>
      </c>
      <c r="N1817" s="11">
        <f>VLOOKUP($B1817,'Hospitalisation Details'!A1816:J4160,10,0)</f>
        <v>36013</v>
      </c>
      <c r="O1817" t="str">
        <f>VLOOKUP($B1817,'Hospitalisation Details'!A1816:J4160,8,0)</f>
        <v>tier - 3</v>
      </c>
      <c r="P1817" t="str">
        <f>VLOOKUP($B1817,'Hospitalisation Details'!A1816:J4160,7,0)</f>
        <v>tier - 1</v>
      </c>
      <c r="Q1817" t="str">
        <f>VLOOKUP($B1817,'Hospitalisation Details'!A1816:J4160,9,0)</f>
        <v>R1011</v>
      </c>
      <c r="R1817">
        <f>VLOOKUP($B1817,'Hospitalisation Details'!A1816:K4160,11,0)</f>
        <v>24</v>
      </c>
    </row>
    <row r="1818" spans="1:18" x14ac:dyDescent="0.35">
      <c r="A1818" t="s">
        <v>553</v>
      </c>
      <c r="B1818" t="s">
        <v>1849</v>
      </c>
      <c r="C1818" t="str">
        <f>VLOOKUP($A1818,'Customer Names'!$A:$E,4,FALSE)</f>
        <v>Daniel J. Jr.</v>
      </c>
      <c r="D1818" t="str">
        <f>VLOOKUP($A1818,'Medical Examinations'!$A:$J,2,FALSE)</f>
        <v>Underweight</v>
      </c>
      <c r="E1818">
        <f>VLOOKUP($A1818,'Medical Examinations'!$A:$J,4,FALSE)</f>
        <v>5.3</v>
      </c>
      <c r="F1818" t="str">
        <f>VLOOKUP($A1818,'Medical Examinations'!$A:$J,6,FALSE)</f>
        <v>No</v>
      </c>
      <c r="G1818" t="str">
        <f>VLOOKUP($A1818,'Medical Examinations'!$A:$J,7,FALSE)</f>
        <v>No</v>
      </c>
      <c r="H1818" t="str">
        <f>VLOOKUP($A1818,'Medical Examinations'!$A:$J,8,FALSE)</f>
        <v>Yes</v>
      </c>
      <c r="I1818">
        <f>VLOOKUP($A1818,'Medical Examinations'!$A:$J,9,FALSE)</f>
        <v>1</v>
      </c>
      <c r="J1818" t="str">
        <f>VLOOKUP($A1818,'Medical Examinations'!$A:$J,10,FALSE)</f>
        <v>No</v>
      </c>
      <c r="K1818" t="str">
        <f>VLOOKUP($A1818,'Medical Examinations'!$A:$J,5,FALSE)</f>
        <v>Normal</v>
      </c>
      <c r="L1818">
        <f>VLOOKUP($A1819,'Medical Examinations'!$A:$J,3,FALSE)</f>
        <v>37.18</v>
      </c>
      <c r="N1818" s="11">
        <f>VLOOKUP($B1818,'Hospitalisation Details'!A1817:J4161,10,0)</f>
        <v>33938</v>
      </c>
      <c r="O1818" t="str">
        <f>VLOOKUP($B1818,'Hospitalisation Details'!A1817:J4161,8,0)</f>
        <v>tier - 1</v>
      </c>
      <c r="P1818" t="str">
        <f>VLOOKUP($B1818,'Hospitalisation Details'!A1817:J4161,7,0)</f>
        <v>tier - 1</v>
      </c>
      <c r="Q1818" t="str">
        <f>VLOOKUP($B1818,'Hospitalisation Details'!A1817:J4161,9,0)</f>
        <v>R1013</v>
      </c>
      <c r="R1818">
        <f>VLOOKUP($B1818,'Hospitalisation Details'!A1817:K4161,11,0)</f>
        <v>30</v>
      </c>
    </row>
    <row r="1819" spans="1:18" x14ac:dyDescent="0.35">
      <c r="A1819" t="s">
        <v>552</v>
      </c>
      <c r="B1819" t="s">
        <v>1850</v>
      </c>
      <c r="C1819" t="str">
        <f>VLOOKUP($A1819,'Customer Names'!$A:$E,4,FALSE)</f>
        <v>Justin R</v>
      </c>
      <c r="D1819" t="str">
        <f>VLOOKUP($A1819,'Medical Examinations'!$A:$J,2,FALSE)</f>
        <v>Obesity</v>
      </c>
      <c r="E1819">
        <f>VLOOKUP($A1819,'Medical Examinations'!$A:$J,4,FALSE)</f>
        <v>4.9000000000000004</v>
      </c>
      <c r="F1819" t="str">
        <f>VLOOKUP($A1819,'Medical Examinations'!$A:$J,6,FALSE)</f>
        <v>No</v>
      </c>
      <c r="G1819" t="str">
        <f>VLOOKUP($A1819,'Medical Examinations'!$A:$J,7,FALSE)</f>
        <v>No</v>
      </c>
      <c r="H1819" t="str">
        <f>VLOOKUP($A1819,'Medical Examinations'!$A:$J,8,FALSE)</f>
        <v>No</v>
      </c>
      <c r="I1819">
        <f>VLOOKUP($A1819,'Medical Examinations'!$A:$J,9,FALSE)</f>
        <v>0</v>
      </c>
      <c r="J1819" t="str">
        <f>VLOOKUP($A1819,'Medical Examinations'!$A:$J,10,FALSE)</f>
        <v>No</v>
      </c>
      <c r="K1819" t="str">
        <f>VLOOKUP($A1819,'Medical Examinations'!$A:$J,5,FALSE)</f>
        <v>Normal</v>
      </c>
      <c r="L1819">
        <f>VLOOKUP($A1820,'Medical Examinations'!$A:$J,3,FALSE)</f>
        <v>35.200000000000003</v>
      </c>
      <c r="N1819" s="11">
        <f>VLOOKUP($B1819,'Hospitalisation Details'!A1818:J4162,10,0)</f>
        <v>32440</v>
      </c>
      <c r="O1819" t="str">
        <f>VLOOKUP($B1819,'Hospitalisation Details'!A1818:J4162,8,0)</f>
        <v>tier - 3</v>
      </c>
      <c r="P1819" t="str">
        <f>VLOOKUP($B1819,'Hospitalisation Details'!A1818:J4162,7,0)</f>
        <v>tier - 1</v>
      </c>
      <c r="Q1819" t="str">
        <f>VLOOKUP($B1819,'Hospitalisation Details'!A1818:J4162,9,0)</f>
        <v>R1013</v>
      </c>
      <c r="R1819">
        <f>VLOOKUP($B1819,'Hospitalisation Details'!A1818:K4162,11,0)</f>
        <v>34</v>
      </c>
    </row>
    <row r="1820" spans="1:18" x14ac:dyDescent="0.35">
      <c r="A1820" t="s">
        <v>551</v>
      </c>
      <c r="B1820" t="s">
        <v>1851</v>
      </c>
      <c r="C1820" t="str">
        <f>VLOOKUP($A1820,'Customer Names'!$A:$E,4,FALSE)</f>
        <v>Colin</v>
      </c>
      <c r="D1820" t="str">
        <f>VLOOKUP($A1820,'Medical Examinations'!$A:$J,2,FALSE)</f>
        <v>Obesity</v>
      </c>
      <c r="E1820">
        <f>VLOOKUP($A1820,'Medical Examinations'!$A:$J,4,FALSE)</f>
        <v>5.55</v>
      </c>
      <c r="F1820" t="str">
        <f>VLOOKUP($A1820,'Medical Examinations'!$A:$J,6,FALSE)</f>
        <v>No</v>
      </c>
      <c r="G1820" t="str">
        <f>VLOOKUP($A1820,'Medical Examinations'!$A:$J,7,FALSE)</f>
        <v>No</v>
      </c>
      <c r="H1820" t="str">
        <f>VLOOKUP($A1820,'Medical Examinations'!$A:$J,8,FALSE)</f>
        <v>No</v>
      </c>
      <c r="I1820">
        <f>VLOOKUP($A1820,'Medical Examinations'!$A:$J,9,FALSE)</f>
        <v>0</v>
      </c>
      <c r="J1820" t="str">
        <f>VLOOKUP($A1820,'Medical Examinations'!$A:$J,10,FALSE)</f>
        <v>No</v>
      </c>
      <c r="K1820" t="str">
        <f>VLOOKUP($A1820,'Medical Examinations'!$A:$J,5,FALSE)</f>
        <v>Normal</v>
      </c>
      <c r="L1820">
        <f>VLOOKUP($A1821,'Medical Examinations'!$A:$J,3,FALSE)</f>
        <v>37.335000000000001</v>
      </c>
      <c r="N1820" s="11">
        <f>VLOOKUP($B1820,'Hospitalisation Details'!A1819:J4163,10,0)</f>
        <v>30669</v>
      </c>
      <c r="O1820" t="str">
        <f>VLOOKUP($B1820,'Hospitalisation Details'!A1819:J4163,8,0)</f>
        <v>tier - 3</v>
      </c>
      <c r="P1820" t="str">
        <f>VLOOKUP($B1820,'Hospitalisation Details'!A1819:J4163,7,0)</f>
        <v>tier - 1</v>
      </c>
      <c r="Q1820" t="str">
        <f>VLOOKUP($B1820,'Hospitalisation Details'!A1819:J4163,9,0)</f>
        <v>R1011</v>
      </c>
      <c r="R1820">
        <f>VLOOKUP($B1820,'Hospitalisation Details'!A1819:K4163,11,0)</f>
        <v>39</v>
      </c>
    </row>
    <row r="1821" spans="1:18" x14ac:dyDescent="0.35">
      <c r="A1821" t="s">
        <v>550</v>
      </c>
      <c r="B1821" t="s">
        <v>1852</v>
      </c>
      <c r="C1821" t="str">
        <f>VLOOKUP($A1821,'Customer Names'!$A:$E,4,FALSE)</f>
        <v>Rob</v>
      </c>
      <c r="D1821" t="str">
        <f>VLOOKUP($A1821,'Medical Examinations'!$A:$J,2,FALSE)</f>
        <v>Obesity</v>
      </c>
      <c r="E1821">
        <f>VLOOKUP($A1821,'Medical Examinations'!$A:$J,4,FALSE)</f>
        <v>4.95</v>
      </c>
      <c r="F1821" t="str">
        <f>VLOOKUP($A1821,'Medical Examinations'!$A:$J,6,FALSE)</f>
        <v>No</v>
      </c>
      <c r="G1821" t="str">
        <f>VLOOKUP($A1821,'Medical Examinations'!$A:$J,7,FALSE)</f>
        <v>No</v>
      </c>
      <c r="H1821" t="str">
        <f>VLOOKUP($A1821,'Medical Examinations'!$A:$J,8,FALSE)</f>
        <v>No</v>
      </c>
      <c r="I1821">
        <f>VLOOKUP($A1821,'Medical Examinations'!$A:$J,9,FALSE)</f>
        <v>0</v>
      </c>
      <c r="J1821" t="str">
        <f>VLOOKUP($A1821,'Medical Examinations'!$A:$J,10,FALSE)</f>
        <v>No</v>
      </c>
      <c r="K1821" t="str">
        <f>VLOOKUP($A1821,'Medical Examinations'!$A:$J,5,FALSE)</f>
        <v>Normal</v>
      </c>
      <c r="L1821">
        <f>VLOOKUP($A1822,'Medical Examinations'!$A:$J,3,FALSE)</f>
        <v>27.265000000000001</v>
      </c>
      <c r="N1821" s="11">
        <f>VLOOKUP($B1821,'Hospitalisation Details'!A1820:J4164,10,0)</f>
        <v>32664</v>
      </c>
      <c r="O1821" t="str">
        <f>VLOOKUP($B1821,'Hospitalisation Details'!A1820:J4164,8,0)</f>
        <v>tier - 3</v>
      </c>
      <c r="P1821" t="str">
        <f>VLOOKUP($B1821,'Hospitalisation Details'!A1820:J4164,7,0)</f>
        <v>tier - 1</v>
      </c>
      <c r="Q1821" t="str">
        <f>VLOOKUP($B1821,'Hospitalisation Details'!A1820:J4164,9,0)</f>
        <v>R1011</v>
      </c>
      <c r="R1821">
        <f>VLOOKUP($B1821,'Hospitalisation Details'!A1820:K4164,11,0)</f>
        <v>34</v>
      </c>
    </row>
    <row r="1822" spans="1:18" x14ac:dyDescent="0.35">
      <c r="A1822" t="s">
        <v>549</v>
      </c>
      <c r="B1822" t="s">
        <v>1853</v>
      </c>
      <c r="C1822" t="str">
        <f>VLOOKUP($A1822,'Customer Names'!$A:$E,4,FALSE)</f>
        <v>Patrick</v>
      </c>
      <c r="D1822" t="str">
        <f>VLOOKUP($A1822,'Medical Examinations'!$A:$J,2,FALSE)</f>
        <v>Overweight</v>
      </c>
      <c r="E1822">
        <f>VLOOKUP($A1822,'Medical Examinations'!$A:$J,4,FALSE)</f>
        <v>6.46</v>
      </c>
      <c r="F1822" t="str">
        <f>VLOOKUP($A1822,'Medical Examinations'!$A:$J,6,FALSE)</f>
        <v>yes</v>
      </c>
      <c r="G1822" t="str">
        <f>VLOOKUP($A1822,'Medical Examinations'!$A:$J,7,FALSE)</f>
        <v>No</v>
      </c>
      <c r="H1822" t="str">
        <f>VLOOKUP($A1822,'Medical Examinations'!$A:$J,8,FALSE)</f>
        <v>No</v>
      </c>
      <c r="I1822">
        <f>VLOOKUP($A1822,'Medical Examinations'!$A:$J,9,FALSE)</f>
        <v>0</v>
      </c>
      <c r="J1822" t="str">
        <f>VLOOKUP($A1822,'Medical Examinations'!$A:$J,10,FALSE)</f>
        <v>No</v>
      </c>
      <c r="K1822" t="str">
        <f>VLOOKUP($A1822,'Medical Examinations'!$A:$J,5,FALSE)</f>
        <v>Prediabetes</v>
      </c>
      <c r="L1822">
        <f>VLOOKUP($A1823,'Medical Examinations'!$A:$J,3,FALSE)</f>
        <v>30.8</v>
      </c>
      <c r="N1822" s="11">
        <f>VLOOKUP($B1822,'Hospitalisation Details'!A1821:J4165,10,0)</f>
        <v>34240</v>
      </c>
      <c r="O1822" t="str">
        <f>VLOOKUP($B1822,'Hospitalisation Details'!A1821:J4165,8,0)</f>
        <v>tier - 2</v>
      </c>
      <c r="P1822" t="str">
        <f>VLOOKUP($B1822,'Hospitalisation Details'!A1821:J4165,7,0)</f>
        <v>tier - 1</v>
      </c>
      <c r="Q1822" t="str">
        <f>VLOOKUP($B1822,'Hospitalisation Details'!A1821:J4165,9,0)</f>
        <v>R1013</v>
      </c>
      <c r="R1822">
        <f>VLOOKUP($B1822,'Hospitalisation Details'!A1821:K4165,11,0)</f>
        <v>29</v>
      </c>
    </row>
    <row r="1823" spans="1:18" x14ac:dyDescent="0.35">
      <c r="A1823" t="s">
        <v>548</v>
      </c>
      <c r="B1823" t="s">
        <v>1854</v>
      </c>
      <c r="C1823" t="str">
        <f>VLOOKUP($A1823,'Customer Names'!$A:$E,4,FALSE)</f>
        <v>Austin D</v>
      </c>
      <c r="D1823" t="str">
        <f>VLOOKUP($A1823,'Medical Examinations'!$A:$J,2,FALSE)</f>
        <v>Obesity</v>
      </c>
      <c r="E1823">
        <f>VLOOKUP($A1823,'Medical Examinations'!$A:$J,4,FALSE)</f>
        <v>4.9000000000000004</v>
      </c>
      <c r="F1823" t="str">
        <f>VLOOKUP($A1823,'Medical Examinations'!$A:$J,6,FALSE)</f>
        <v>yes</v>
      </c>
      <c r="G1823" t="str">
        <f>VLOOKUP($A1823,'Medical Examinations'!$A:$J,7,FALSE)</f>
        <v>No</v>
      </c>
      <c r="H1823" t="str">
        <f>VLOOKUP($A1823,'Medical Examinations'!$A:$J,8,FALSE)</f>
        <v>No</v>
      </c>
      <c r="I1823">
        <f>VLOOKUP($A1823,'Medical Examinations'!$A:$J,9,FALSE)</f>
        <v>0</v>
      </c>
      <c r="J1823" t="str">
        <f>VLOOKUP($A1823,'Medical Examinations'!$A:$J,10,FALSE)</f>
        <v>No</v>
      </c>
      <c r="K1823" t="str">
        <f>VLOOKUP($A1823,'Medical Examinations'!$A:$J,5,FALSE)</f>
        <v>Normal</v>
      </c>
      <c r="L1823">
        <f>VLOOKUP($A1824,'Medical Examinations'!$A:$J,3,FALSE)</f>
        <v>30.21</v>
      </c>
      <c r="N1823" s="11">
        <f>VLOOKUP($B1823,'Hospitalisation Details'!A1822:J4166,10,0)</f>
        <v>29038</v>
      </c>
      <c r="O1823" t="str">
        <f>VLOOKUP($B1823,'Hospitalisation Details'!A1822:J4166,8,0)</f>
        <v>tier - 1</v>
      </c>
      <c r="P1823" t="str">
        <f>VLOOKUP($B1823,'Hospitalisation Details'!A1822:J4166,7,0)</f>
        <v>tier - 1</v>
      </c>
      <c r="Q1823" t="str">
        <f>VLOOKUP($B1823,'Hospitalisation Details'!A1822:J4166,9,0)</f>
        <v>R1024</v>
      </c>
      <c r="R1823">
        <f>VLOOKUP($B1823,'Hospitalisation Details'!A1822:K4166,11,0)</f>
        <v>43</v>
      </c>
    </row>
    <row r="1824" spans="1:18" x14ac:dyDescent="0.35">
      <c r="A1824" t="s">
        <v>547</v>
      </c>
      <c r="B1824" t="s">
        <v>1855</v>
      </c>
      <c r="C1824" t="str">
        <f>VLOOKUP($A1824,'Customer Names'!$A:$E,4,FALSE)</f>
        <v>Brittany</v>
      </c>
      <c r="D1824" t="str">
        <f>VLOOKUP($A1824,'Medical Examinations'!$A:$J,2,FALSE)</f>
        <v>Obesity</v>
      </c>
      <c r="E1824">
        <f>VLOOKUP($A1824,'Medical Examinations'!$A:$J,4,FALSE)</f>
        <v>5.21</v>
      </c>
      <c r="F1824" t="str">
        <f>VLOOKUP($A1824,'Medical Examinations'!$A:$J,6,FALSE)</f>
        <v>No</v>
      </c>
      <c r="G1824" t="str">
        <f>VLOOKUP($A1824,'Medical Examinations'!$A:$J,7,FALSE)</f>
        <v>No</v>
      </c>
      <c r="H1824" t="str">
        <f>VLOOKUP($A1824,'Medical Examinations'!$A:$J,8,FALSE)</f>
        <v>No</v>
      </c>
      <c r="I1824">
        <f>VLOOKUP($A1824,'Medical Examinations'!$A:$J,9,FALSE)</f>
        <v>1</v>
      </c>
      <c r="J1824" t="str">
        <f>VLOOKUP($A1824,'Medical Examinations'!$A:$J,10,FALSE)</f>
        <v>No</v>
      </c>
      <c r="K1824" t="str">
        <f>VLOOKUP($A1824,'Medical Examinations'!$A:$J,5,FALSE)</f>
        <v>Normal</v>
      </c>
      <c r="L1824">
        <f>VLOOKUP($A1825,'Medical Examinations'!$A:$J,3,FALSE)</f>
        <v>35.340000000000003</v>
      </c>
      <c r="N1824" s="11">
        <f>VLOOKUP($B1824,'Hospitalisation Details'!A1823:J4167,10,0)</f>
        <v>33497</v>
      </c>
      <c r="O1824" t="str">
        <f>VLOOKUP($B1824,'Hospitalisation Details'!A1823:J4167,8,0)</f>
        <v>tier - 3</v>
      </c>
      <c r="P1824" t="str">
        <f>VLOOKUP($B1824,'Hospitalisation Details'!A1823:J4167,7,0)</f>
        <v>tier - 1</v>
      </c>
      <c r="Q1824" t="str">
        <f>VLOOKUP($B1824,'Hospitalisation Details'!A1823:J4167,9,0)</f>
        <v>R1011</v>
      </c>
      <c r="R1824">
        <f>VLOOKUP($B1824,'Hospitalisation Details'!A1823:K4167,11,0)</f>
        <v>31</v>
      </c>
    </row>
    <row r="1825" spans="1:18" x14ac:dyDescent="0.35">
      <c r="A1825" t="s">
        <v>546</v>
      </c>
      <c r="B1825" t="s">
        <v>1856</v>
      </c>
      <c r="C1825" t="str">
        <f>VLOOKUP($A1825,'Customer Names'!$A:$E,4,FALSE)</f>
        <v>Matthew T</v>
      </c>
      <c r="D1825" t="str">
        <f>VLOOKUP($A1825,'Medical Examinations'!$A:$J,2,FALSE)</f>
        <v>Obesity</v>
      </c>
      <c r="E1825">
        <f>VLOOKUP($A1825,'Medical Examinations'!$A:$J,4,FALSE)</f>
        <v>4.13</v>
      </c>
      <c r="F1825" t="str">
        <f>VLOOKUP($A1825,'Medical Examinations'!$A:$J,6,FALSE)</f>
        <v>No</v>
      </c>
      <c r="G1825" t="str">
        <f>VLOOKUP($A1825,'Medical Examinations'!$A:$J,7,FALSE)</f>
        <v>yes</v>
      </c>
      <c r="H1825" t="str">
        <f>VLOOKUP($A1825,'Medical Examinations'!$A:$J,8,FALSE)</f>
        <v>No</v>
      </c>
      <c r="I1825">
        <f>VLOOKUP($A1825,'Medical Examinations'!$A:$J,9,FALSE)</f>
        <v>1</v>
      </c>
      <c r="J1825" t="str">
        <f>VLOOKUP($A1825,'Medical Examinations'!$A:$J,10,FALSE)</f>
        <v>No</v>
      </c>
      <c r="K1825" t="str">
        <f>VLOOKUP($A1825,'Medical Examinations'!$A:$J,5,FALSE)</f>
        <v>Normal</v>
      </c>
      <c r="L1825">
        <f>VLOOKUP($A1826,'Medical Examinations'!$A:$J,3,FALSE)</f>
        <v>26.695</v>
      </c>
      <c r="N1825" s="11">
        <f>VLOOKUP($B1825,'Hospitalisation Details'!A1824:J4168,10,0)</f>
        <v>31409</v>
      </c>
      <c r="O1825" t="str">
        <f>VLOOKUP($B1825,'Hospitalisation Details'!A1824:J4168,8,0)</f>
        <v>tier - 3</v>
      </c>
      <c r="P1825" t="str">
        <f>VLOOKUP($B1825,'Hospitalisation Details'!A1824:J4168,7,0)</f>
        <v>tier - 1</v>
      </c>
      <c r="Q1825" t="str">
        <f>VLOOKUP($B1825,'Hospitalisation Details'!A1824:J4168,9,0)</f>
        <v>R1013</v>
      </c>
      <c r="R1825">
        <f>VLOOKUP($B1825,'Hospitalisation Details'!A1824:K4168,11,0)</f>
        <v>37</v>
      </c>
    </row>
    <row r="1826" spans="1:18" x14ac:dyDescent="0.35">
      <c r="A1826" t="s">
        <v>545</v>
      </c>
      <c r="B1826" t="s">
        <v>1857</v>
      </c>
      <c r="C1826" t="str">
        <f>VLOOKUP($A1826,'Customer Names'!$A:$E,4,FALSE)</f>
        <v>Becky G.</v>
      </c>
      <c r="D1826" t="str">
        <f>VLOOKUP($A1826,'Medical Examinations'!$A:$J,2,FALSE)</f>
        <v>Overweight</v>
      </c>
      <c r="E1826">
        <f>VLOOKUP($A1826,'Medical Examinations'!$A:$J,4,FALSE)</f>
        <v>5.28</v>
      </c>
      <c r="F1826" t="str">
        <f>VLOOKUP($A1826,'Medical Examinations'!$A:$J,6,FALSE)</f>
        <v>No</v>
      </c>
      <c r="G1826" t="str">
        <f>VLOOKUP($A1826,'Medical Examinations'!$A:$J,7,FALSE)</f>
        <v>No</v>
      </c>
      <c r="H1826" t="str">
        <f>VLOOKUP($A1826,'Medical Examinations'!$A:$J,8,FALSE)</f>
        <v>No</v>
      </c>
      <c r="I1826">
        <f>VLOOKUP($A1826,'Medical Examinations'!$A:$J,9,FALSE)</f>
        <v>0</v>
      </c>
      <c r="J1826" t="str">
        <f>VLOOKUP($A1826,'Medical Examinations'!$A:$J,10,FALSE)</f>
        <v>No</v>
      </c>
      <c r="K1826" t="str">
        <f>VLOOKUP($A1826,'Medical Examinations'!$A:$J,5,FALSE)</f>
        <v>Normal</v>
      </c>
      <c r="L1826">
        <f>VLOOKUP($A1827,'Medical Examinations'!$A:$J,3,FALSE)</f>
        <v>29.355</v>
      </c>
      <c r="N1826" s="11">
        <f>VLOOKUP($B1826,'Hospitalisation Details'!A1825:J4169,10,0)</f>
        <v>24682</v>
      </c>
      <c r="O1826" t="str">
        <f>VLOOKUP($B1826,'Hospitalisation Details'!A1825:J4169,8,0)</f>
        <v>tier - 1</v>
      </c>
      <c r="P1826" t="str">
        <f>VLOOKUP($B1826,'Hospitalisation Details'!A1825:J4169,7,0)</f>
        <v>tier - 1</v>
      </c>
      <c r="Q1826" t="str">
        <f>VLOOKUP($B1826,'Hospitalisation Details'!A1825:J4169,9,0)</f>
        <v>R1012</v>
      </c>
      <c r="R1826">
        <f>VLOOKUP($B1826,'Hospitalisation Details'!A1825:K4169,11,0)</f>
        <v>55</v>
      </c>
    </row>
    <row r="1827" spans="1:18" x14ac:dyDescent="0.35">
      <c r="A1827" t="s">
        <v>544</v>
      </c>
      <c r="B1827" t="s">
        <v>1858</v>
      </c>
      <c r="C1827" t="str">
        <f>VLOOKUP($A1827,'Customer Names'!$A:$E,4,FALSE)</f>
        <v>Virginie</v>
      </c>
      <c r="D1827" t="str">
        <f>VLOOKUP($A1827,'Medical Examinations'!$A:$J,2,FALSE)</f>
        <v>Overweight</v>
      </c>
      <c r="E1827">
        <f>VLOOKUP($A1827,'Medical Examinations'!$A:$J,4,FALSE)</f>
        <v>4.68</v>
      </c>
      <c r="F1827" t="str">
        <f>VLOOKUP($A1827,'Medical Examinations'!$A:$J,6,FALSE)</f>
        <v>yes</v>
      </c>
      <c r="G1827" t="str">
        <f>VLOOKUP($A1827,'Medical Examinations'!$A:$J,7,FALSE)</f>
        <v>No</v>
      </c>
      <c r="H1827" t="str">
        <f>VLOOKUP($A1827,'Medical Examinations'!$A:$J,8,FALSE)</f>
        <v>No</v>
      </c>
      <c r="I1827">
        <f>VLOOKUP($A1827,'Medical Examinations'!$A:$J,9,FALSE)</f>
        <v>0</v>
      </c>
      <c r="J1827" t="str">
        <f>VLOOKUP($A1827,'Medical Examinations'!$A:$J,10,FALSE)</f>
        <v>No</v>
      </c>
      <c r="K1827" t="str">
        <f>VLOOKUP($A1827,'Medical Examinations'!$A:$J,5,FALSE)</f>
        <v>Normal</v>
      </c>
      <c r="L1827">
        <f>VLOOKUP($A1828,'Medical Examinations'!$A:$J,3,FALSE)</f>
        <v>29.59</v>
      </c>
      <c r="N1827" s="11">
        <f>VLOOKUP($B1827,'Hospitalisation Details'!A1826:J4170,10,0)</f>
        <v>24426</v>
      </c>
      <c r="O1827" t="str">
        <f>VLOOKUP($B1827,'Hospitalisation Details'!A1826:J4170,8,0)</f>
        <v>tier - 1</v>
      </c>
      <c r="P1827" t="str">
        <f>VLOOKUP($B1827,'Hospitalisation Details'!A1826:J4170,7,0)</f>
        <v>tier - 1</v>
      </c>
      <c r="Q1827" t="str">
        <f>VLOOKUP($B1827,'Hospitalisation Details'!A1826:J4170,9,0)</f>
        <v>R1012</v>
      </c>
      <c r="R1827">
        <f>VLOOKUP($B1827,'Hospitalisation Details'!A1826:K4170,11,0)</f>
        <v>56</v>
      </c>
    </row>
    <row r="1828" spans="1:18" x14ac:dyDescent="0.35">
      <c r="A1828" t="s">
        <v>543</v>
      </c>
      <c r="B1828" t="s">
        <v>1859</v>
      </c>
      <c r="C1828" t="str">
        <f>VLOOKUP($A1828,'Customer Names'!$A:$E,4,FALSE)</f>
        <v>Allison A</v>
      </c>
      <c r="D1828" t="str">
        <f>VLOOKUP($A1828,'Medical Examinations'!$A:$J,2,FALSE)</f>
        <v>Overweight</v>
      </c>
      <c r="E1828">
        <f>VLOOKUP($A1828,'Medical Examinations'!$A:$J,4,FALSE)</f>
        <v>4.0599999999999996</v>
      </c>
      <c r="F1828" t="str">
        <f>VLOOKUP($A1828,'Medical Examinations'!$A:$J,6,FALSE)</f>
        <v>No</v>
      </c>
      <c r="G1828" t="str">
        <f>VLOOKUP($A1828,'Medical Examinations'!$A:$J,7,FALSE)</f>
        <v>No</v>
      </c>
      <c r="H1828" t="str">
        <f>VLOOKUP($A1828,'Medical Examinations'!$A:$J,8,FALSE)</f>
        <v>No</v>
      </c>
      <c r="I1828">
        <f>VLOOKUP($A1828,'Medical Examinations'!$A:$J,9,FALSE)</f>
        <v>0</v>
      </c>
      <c r="J1828" t="str">
        <f>VLOOKUP($A1828,'Medical Examinations'!$A:$J,10,FALSE)</f>
        <v>No</v>
      </c>
      <c r="K1828" t="str">
        <f>VLOOKUP($A1828,'Medical Examinations'!$A:$J,5,FALSE)</f>
        <v>Normal</v>
      </c>
      <c r="L1828">
        <f>VLOOKUP($A1829,'Medical Examinations'!$A:$J,3,FALSE)</f>
        <v>31.35</v>
      </c>
      <c r="N1828" s="11">
        <f>VLOOKUP($B1828,'Hospitalisation Details'!A1827:J4171,10,0)</f>
        <v>33474</v>
      </c>
      <c r="O1828" t="str">
        <f>VLOOKUP($B1828,'Hospitalisation Details'!A1827:J4171,8,0)</f>
        <v>tier - 3</v>
      </c>
      <c r="P1828" t="str">
        <f>VLOOKUP($B1828,'Hospitalisation Details'!A1827:J4171,7,0)</f>
        <v>tier - 1</v>
      </c>
      <c r="Q1828" t="str">
        <f>VLOOKUP($B1828,'Hospitalisation Details'!A1827:J4171,9,0)</f>
        <v>R1013</v>
      </c>
      <c r="R1828">
        <f>VLOOKUP($B1828,'Hospitalisation Details'!A1827:K4171,11,0)</f>
        <v>31</v>
      </c>
    </row>
    <row r="1829" spans="1:18" x14ac:dyDescent="0.35">
      <c r="A1829" t="s">
        <v>542</v>
      </c>
      <c r="B1829" t="s">
        <v>1860</v>
      </c>
      <c r="C1829" t="str">
        <f>VLOOKUP($A1829,'Customer Names'!$A:$E,4,FALSE)</f>
        <v>Julie</v>
      </c>
      <c r="D1829" t="str">
        <f>VLOOKUP($A1829,'Medical Examinations'!$A:$J,2,FALSE)</f>
        <v>Obesity</v>
      </c>
      <c r="E1829">
        <f>VLOOKUP($A1829,'Medical Examinations'!$A:$J,4,FALSE)</f>
        <v>4.2</v>
      </c>
      <c r="F1829" t="str">
        <f>VLOOKUP($A1829,'Medical Examinations'!$A:$J,6,FALSE)</f>
        <v>No</v>
      </c>
      <c r="G1829" t="str">
        <f>VLOOKUP($A1829,'Medical Examinations'!$A:$J,7,FALSE)</f>
        <v>yes</v>
      </c>
      <c r="H1829" t="str">
        <f>VLOOKUP($A1829,'Medical Examinations'!$A:$J,8,FALSE)</f>
        <v>No</v>
      </c>
      <c r="I1829">
        <f>VLOOKUP($A1829,'Medical Examinations'!$A:$J,9,FALSE)</f>
        <v>1</v>
      </c>
      <c r="J1829" t="str">
        <f>VLOOKUP($A1829,'Medical Examinations'!$A:$J,10,FALSE)</f>
        <v>No</v>
      </c>
      <c r="K1829" t="str">
        <f>VLOOKUP($A1829,'Medical Examinations'!$A:$J,5,FALSE)</f>
        <v>Normal</v>
      </c>
      <c r="L1829">
        <f>VLOOKUP($A1830,'Medical Examinations'!$A:$J,3,FALSE)</f>
        <v>20.52</v>
      </c>
      <c r="N1829" s="11">
        <f>VLOOKUP($B1829,'Hospitalisation Details'!A1828:J4172,10,0)</f>
        <v>31958</v>
      </c>
      <c r="O1829" t="str">
        <f>VLOOKUP($B1829,'Hospitalisation Details'!A1828:J4172,8,0)</f>
        <v>tier - 3</v>
      </c>
      <c r="P1829" t="str">
        <f>VLOOKUP($B1829,'Hospitalisation Details'!A1828:J4172,7,0)</f>
        <v>tier - 1</v>
      </c>
      <c r="Q1829" t="str">
        <f>VLOOKUP($B1829,'Hospitalisation Details'!A1828:J4172,9,0)</f>
        <v>R1013</v>
      </c>
      <c r="R1829">
        <f>VLOOKUP($B1829,'Hospitalisation Details'!A1828:K4172,11,0)</f>
        <v>35</v>
      </c>
    </row>
    <row r="1830" spans="1:18" x14ac:dyDescent="0.35">
      <c r="A1830" t="s">
        <v>541</v>
      </c>
      <c r="B1830" t="s">
        <v>1861</v>
      </c>
      <c r="C1830" t="str">
        <f>VLOOKUP($A1830,'Customer Names'!$A:$E,4,FALSE)</f>
        <v>Katherine</v>
      </c>
      <c r="D1830" t="str">
        <f>VLOOKUP($A1830,'Medical Examinations'!$A:$J,2,FALSE)</f>
        <v>Normal Weight</v>
      </c>
      <c r="E1830">
        <f>VLOOKUP($A1830,'Medical Examinations'!$A:$J,4,FALSE)</f>
        <v>4.83</v>
      </c>
      <c r="F1830" t="str">
        <f>VLOOKUP($A1830,'Medical Examinations'!$A:$J,6,FALSE)</f>
        <v>No</v>
      </c>
      <c r="G1830" t="str">
        <f>VLOOKUP($A1830,'Medical Examinations'!$A:$J,7,FALSE)</f>
        <v>No</v>
      </c>
      <c r="H1830" t="str">
        <f>VLOOKUP($A1830,'Medical Examinations'!$A:$J,8,FALSE)</f>
        <v>No</v>
      </c>
      <c r="I1830">
        <f>VLOOKUP($A1830,'Medical Examinations'!$A:$J,9,FALSE)</f>
        <v>0</v>
      </c>
      <c r="J1830" t="str">
        <f>VLOOKUP($A1830,'Medical Examinations'!$A:$J,10,FALSE)</f>
        <v>No</v>
      </c>
      <c r="K1830" t="str">
        <f>VLOOKUP($A1830,'Medical Examinations'!$A:$J,5,FALSE)</f>
        <v>Normal</v>
      </c>
      <c r="L1830">
        <f>VLOOKUP($A1831,'Medical Examinations'!$A:$J,3,FALSE)</f>
        <v>42.9</v>
      </c>
      <c r="N1830" s="11">
        <f>VLOOKUP($B1830,'Hospitalisation Details'!A1829:J4173,10,0)</f>
        <v>34218</v>
      </c>
      <c r="O1830" t="str">
        <f>VLOOKUP($B1830,'Hospitalisation Details'!A1829:J4173,8,0)</f>
        <v>tier - 3</v>
      </c>
      <c r="P1830" t="str">
        <f>VLOOKUP($B1830,'Hospitalisation Details'!A1829:J4173,7,0)</f>
        <v>tier - 1</v>
      </c>
      <c r="Q1830" t="str">
        <f>VLOOKUP($B1830,'Hospitalisation Details'!A1829:J4173,9,0)</f>
        <v>R1012</v>
      </c>
      <c r="R1830">
        <f>VLOOKUP($B1830,'Hospitalisation Details'!A1829:K4173,11,0)</f>
        <v>29</v>
      </c>
    </row>
    <row r="1831" spans="1:18" x14ac:dyDescent="0.35">
      <c r="A1831" t="s">
        <v>540</v>
      </c>
      <c r="B1831" t="s">
        <v>1862</v>
      </c>
      <c r="C1831" t="str">
        <f>VLOOKUP($A1831,'Customer Names'!$A:$E,4,FALSE)</f>
        <v>Caleb</v>
      </c>
      <c r="D1831" t="str">
        <f>VLOOKUP($A1831,'Medical Examinations'!$A:$J,2,FALSE)</f>
        <v>Obesity</v>
      </c>
      <c r="E1831">
        <f>VLOOKUP($A1831,'Medical Examinations'!$A:$J,4,FALSE)</f>
        <v>4.87</v>
      </c>
      <c r="F1831" t="str">
        <f>VLOOKUP($A1831,'Medical Examinations'!$A:$J,6,FALSE)</f>
        <v>yes</v>
      </c>
      <c r="G1831" t="str">
        <f>VLOOKUP($A1831,'Medical Examinations'!$A:$J,7,FALSE)</f>
        <v>No</v>
      </c>
      <c r="H1831" t="str">
        <f>VLOOKUP($A1831,'Medical Examinations'!$A:$J,8,FALSE)</f>
        <v>No</v>
      </c>
      <c r="I1831">
        <f>VLOOKUP($A1831,'Medical Examinations'!$A:$J,9,FALSE)</f>
        <v>1</v>
      </c>
      <c r="J1831" t="str">
        <f>VLOOKUP($A1831,'Medical Examinations'!$A:$J,10,FALSE)</f>
        <v>No</v>
      </c>
      <c r="K1831" t="str">
        <f>VLOOKUP($A1831,'Medical Examinations'!$A:$J,5,FALSE)</f>
        <v>Normal</v>
      </c>
      <c r="L1831">
        <f>VLOOKUP($A1832,'Medical Examinations'!$A:$J,3,FALSE)</f>
        <v>24.6</v>
      </c>
      <c r="N1831" s="11">
        <f>VLOOKUP($B1831,'Hospitalisation Details'!A1830:J4174,10,0)</f>
        <v>30300</v>
      </c>
      <c r="O1831" t="str">
        <f>VLOOKUP($B1831,'Hospitalisation Details'!A1830:J4174,8,0)</f>
        <v>tier - 1</v>
      </c>
      <c r="P1831" t="str">
        <f>VLOOKUP($B1831,'Hospitalisation Details'!A1830:J4174,7,0)</f>
        <v>tier - 1</v>
      </c>
      <c r="Q1831" t="str">
        <f>VLOOKUP($B1831,'Hospitalisation Details'!A1830:J4174,9,0)</f>
        <v>R1013</v>
      </c>
      <c r="R1831">
        <f>VLOOKUP($B1831,'Hospitalisation Details'!A1830:K4174,11,0)</f>
        <v>40</v>
      </c>
    </row>
    <row r="1832" spans="1:18" x14ac:dyDescent="0.35">
      <c r="A1832" t="s">
        <v>539</v>
      </c>
      <c r="B1832" t="s">
        <v>1863</v>
      </c>
      <c r="C1832" t="str">
        <f>VLOOKUP($A1832,'Customer Names'!$A:$E,4,FALSE)</f>
        <v>Jaime</v>
      </c>
      <c r="D1832" t="str">
        <f>VLOOKUP($A1832,'Medical Examinations'!$A:$J,2,FALSE)</f>
        <v>Normal Weight</v>
      </c>
      <c r="E1832">
        <f>VLOOKUP($A1832,'Medical Examinations'!$A:$J,4,FALSE)</f>
        <v>5.86</v>
      </c>
      <c r="F1832" t="str">
        <f>VLOOKUP($A1832,'Medical Examinations'!$A:$J,6,FALSE)</f>
        <v>No</v>
      </c>
      <c r="G1832" t="str">
        <f>VLOOKUP($A1832,'Medical Examinations'!$A:$J,7,FALSE)</f>
        <v>No</v>
      </c>
      <c r="H1832" t="str">
        <f>VLOOKUP($A1832,'Medical Examinations'!$A:$J,8,FALSE)</f>
        <v>Yes</v>
      </c>
      <c r="I1832">
        <f>VLOOKUP($A1832,'Medical Examinations'!$A:$J,9,FALSE)</f>
        <v>1</v>
      </c>
      <c r="J1832" t="str">
        <f>VLOOKUP($A1832,'Medical Examinations'!$A:$J,10,FALSE)</f>
        <v>No</v>
      </c>
      <c r="K1832" t="str">
        <f>VLOOKUP($A1832,'Medical Examinations'!$A:$J,5,FALSE)</f>
        <v>Prediabetes</v>
      </c>
      <c r="L1832">
        <f>VLOOKUP($A1833,'Medical Examinations'!$A:$J,3,FALSE)</f>
        <v>28.405000000000001</v>
      </c>
      <c r="N1832" s="11">
        <f>VLOOKUP($B1832,'Hospitalisation Details'!A1831:J4175,10,0)</f>
        <v>32111</v>
      </c>
      <c r="O1832" t="str">
        <f>VLOOKUP($B1832,'Hospitalisation Details'!A1831:J4175,8,0)</f>
        <v>tier - 3</v>
      </c>
      <c r="P1832" t="str">
        <f>VLOOKUP($B1832,'Hospitalisation Details'!A1831:J4175,7,0)</f>
        <v>tier - 1</v>
      </c>
      <c r="Q1832" t="str">
        <f>VLOOKUP($B1832,'Hospitalisation Details'!A1831:J4175,9,0)</f>
        <v>R1019</v>
      </c>
      <c r="R1832">
        <f>VLOOKUP($B1832,'Hospitalisation Details'!A1831:K4175,11,0)</f>
        <v>35</v>
      </c>
    </row>
    <row r="1833" spans="1:18" x14ac:dyDescent="0.35">
      <c r="A1833" t="s">
        <v>538</v>
      </c>
      <c r="B1833" t="s">
        <v>1864</v>
      </c>
      <c r="C1833" t="str">
        <f>VLOOKUP($A1833,'Customer Names'!$A:$E,4,FALSE)</f>
        <v>Hannah</v>
      </c>
      <c r="D1833" t="str">
        <f>VLOOKUP($A1833,'Medical Examinations'!$A:$J,2,FALSE)</f>
        <v>Overweight</v>
      </c>
      <c r="E1833">
        <f>VLOOKUP($A1833,'Medical Examinations'!$A:$J,4,FALSE)</f>
        <v>4.12</v>
      </c>
      <c r="F1833" t="str">
        <f>VLOOKUP($A1833,'Medical Examinations'!$A:$J,6,FALSE)</f>
        <v>No</v>
      </c>
      <c r="G1833" t="str">
        <f>VLOOKUP($A1833,'Medical Examinations'!$A:$J,7,FALSE)</f>
        <v>No</v>
      </c>
      <c r="H1833" t="str">
        <f>VLOOKUP($A1833,'Medical Examinations'!$A:$J,8,FALSE)</f>
        <v>No</v>
      </c>
      <c r="I1833">
        <f>VLOOKUP($A1833,'Medical Examinations'!$A:$J,9,FALSE)</f>
        <v>1</v>
      </c>
      <c r="J1833" t="str">
        <f>VLOOKUP($A1833,'Medical Examinations'!$A:$J,10,FALSE)</f>
        <v>No</v>
      </c>
      <c r="K1833" t="str">
        <f>VLOOKUP($A1833,'Medical Examinations'!$A:$J,5,FALSE)</f>
        <v>Normal</v>
      </c>
      <c r="L1833">
        <f>VLOOKUP($A1834,'Medical Examinations'!$A:$J,3,FALSE)</f>
        <v>34.674999999999997</v>
      </c>
      <c r="N1833" s="11">
        <f>VLOOKUP($B1833,'Hospitalisation Details'!A1832:J4176,10,0)</f>
        <v>29533</v>
      </c>
      <c r="O1833" t="str">
        <f>VLOOKUP($B1833,'Hospitalisation Details'!A1832:J4176,8,0)</f>
        <v>tier - 1</v>
      </c>
      <c r="P1833" t="str">
        <f>VLOOKUP($B1833,'Hospitalisation Details'!A1832:J4176,7,0)</f>
        <v>tier - 1</v>
      </c>
      <c r="Q1833" t="str">
        <f>VLOOKUP($B1833,'Hospitalisation Details'!A1832:J4176,9,0)</f>
        <v>R1013</v>
      </c>
      <c r="R1833">
        <f>VLOOKUP($B1833,'Hospitalisation Details'!A1832:K4176,11,0)</f>
        <v>42</v>
      </c>
    </row>
    <row r="1834" spans="1:18" x14ac:dyDescent="0.35">
      <c r="A1834" t="s">
        <v>537</v>
      </c>
      <c r="B1834" t="s">
        <v>1865</v>
      </c>
      <c r="C1834" t="str">
        <f>VLOOKUP($A1834,'Customer Names'!$A:$E,4,FALSE)</f>
        <v>Zachariah</v>
      </c>
      <c r="D1834" t="str">
        <f>VLOOKUP($A1834,'Medical Examinations'!$A:$J,2,FALSE)</f>
        <v>Obesity</v>
      </c>
      <c r="E1834">
        <f>VLOOKUP($A1834,'Medical Examinations'!$A:$J,4,FALSE)</f>
        <v>5.71</v>
      </c>
      <c r="F1834" t="str">
        <f>VLOOKUP($A1834,'Medical Examinations'!$A:$J,6,FALSE)</f>
        <v>yes</v>
      </c>
      <c r="G1834" t="str">
        <f>VLOOKUP($A1834,'Medical Examinations'!$A:$J,7,FALSE)</f>
        <v>No</v>
      </c>
      <c r="H1834" t="str">
        <f>VLOOKUP($A1834,'Medical Examinations'!$A:$J,8,FALSE)</f>
        <v>No</v>
      </c>
      <c r="I1834">
        <f>VLOOKUP($A1834,'Medical Examinations'!$A:$J,9,FALSE)</f>
        <v>1</v>
      </c>
      <c r="J1834" t="str">
        <f>VLOOKUP($A1834,'Medical Examinations'!$A:$J,10,FALSE)</f>
        <v>No</v>
      </c>
      <c r="K1834" t="str">
        <f>VLOOKUP($A1834,'Medical Examinations'!$A:$J,5,FALSE)</f>
        <v>Prediabetes</v>
      </c>
      <c r="L1834">
        <f>VLOOKUP($A1835,'Medical Examinations'!$A:$J,3,FALSE)</f>
        <v>18.850000000000001</v>
      </c>
      <c r="N1834" s="11">
        <f>VLOOKUP($B1834,'Hospitalisation Details'!A1833:J4177,10,0)</f>
        <v>33835</v>
      </c>
      <c r="O1834" t="str">
        <f>VLOOKUP($B1834,'Hospitalisation Details'!A1833:J4177,8,0)</f>
        <v>tier - 2</v>
      </c>
      <c r="P1834" t="str">
        <f>VLOOKUP($B1834,'Hospitalisation Details'!A1833:J4177,7,0)</f>
        <v>tier - 1</v>
      </c>
      <c r="Q1834" t="str">
        <f>VLOOKUP($B1834,'Hospitalisation Details'!A1833:J4177,9,0)</f>
        <v>R1013</v>
      </c>
      <c r="R1834">
        <f>VLOOKUP($B1834,'Hospitalisation Details'!A1833:K4177,11,0)</f>
        <v>30</v>
      </c>
    </row>
    <row r="1835" spans="1:18" x14ac:dyDescent="0.35">
      <c r="A1835" t="s">
        <v>536</v>
      </c>
      <c r="B1835" t="s">
        <v>1866</v>
      </c>
      <c r="C1835" t="str">
        <f>VLOOKUP($A1835,'Customer Names'!$A:$E,4,FALSE)</f>
        <v>Patricia A</v>
      </c>
      <c r="D1835" t="str">
        <f>VLOOKUP($A1835,'Medical Examinations'!$A:$J,2,FALSE)</f>
        <v>Normal Weight</v>
      </c>
      <c r="E1835">
        <f>VLOOKUP($A1835,'Medical Examinations'!$A:$J,4,FALSE)</f>
        <v>6.03</v>
      </c>
      <c r="F1835" t="str">
        <f>VLOOKUP($A1835,'Medical Examinations'!$A:$J,6,FALSE)</f>
        <v>No</v>
      </c>
      <c r="G1835" t="str">
        <f>VLOOKUP($A1835,'Medical Examinations'!$A:$J,7,FALSE)</f>
        <v>No</v>
      </c>
      <c r="H1835" t="str">
        <f>VLOOKUP($A1835,'Medical Examinations'!$A:$J,8,FALSE)</f>
        <v>No</v>
      </c>
      <c r="I1835">
        <f>VLOOKUP($A1835,'Medical Examinations'!$A:$J,9,FALSE)</f>
        <v>1</v>
      </c>
      <c r="J1835" t="str">
        <f>VLOOKUP($A1835,'Medical Examinations'!$A:$J,10,FALSE)</f>
        <v>No</v>
      </c>
      <c r="K1835" t="str">
        <f>VLOOKUP($A1835,'Medical Examinations'!$A:$J,5,FALSE)</f>
        <v>Prediabetes</v>
      </c>
      <c r="L1835">
        <f>VLOOKUP($A1836,'Medical Examinations'!$A:$J,3,FALSE)</f>
        <v>34.130000000000003</v>
      </c>
      <c r="N1835" s="11">
        <f>VLOOKUP($B1835,'Hospitalisation Details'!A1834:J4178,10,0)</f>
        <v>31307</v>
      </c>
      <c r="O1835" t="str">
        <f>VLOOKUP($B1835,'Hospitalisation Details'!A1834:J4178,8,0)</f>
        <v>tier - 1</v>
      </c>
      <c r="P1835" t="str">
        <f>VLOOKUP($B1835,'Hospitalisation Details'!A1834:J4178,7,0)</f>
        <v>tier - 1</v>
      </c>
      <c r="Q1835" t="str">
        <f>VLOOKUP($B1835,'Hospitalisation Details'!A1834:J4178,9,0)</f>
        <v>R1013</v>
      </c>
      <c r="R1835">
        <f>VLOOKUP($B1835,'Hospitalisation Details'!A1834:K4178,11,0)</f>
        <v>37</v>
      </c>
    </row>
    <row r="1836" spans="1:18" x14ac:dyDescent="0.35">
      <c r="A1836" t="s">
        <v>534</v>
      </c>
      <c r="B1836" t="s">
        <v>1867</v>
      </c>
      <c r="C1836" t="str">
        <f>VLOOKUP($A1836,'Customer Names'!$A:$E,4,FALSE)</f>
        <v>Elizabeth A.</v>
      </c>
      <c r="D1836" t="str">
        <f>VLOOKUP($A1836,'Medical Examinations'!$A:$J,2,FALSE)</f>
        <v>Obesity</v>
      </c>
      <c r="E1836">
        <f>VLOOKUP($A1836,'Medical Examinations'!$A:$J,4,FALSE)</f>
        <v>5.65</v>
      </c>
      <c r="F1836" t="str">
        <f>VLOOKUP($A1836,'Medical Examinations'!$A:$J,6,FALSE)</f>
        <v>No</v>
      </c>
      <c r="G1836" t="str">
        <f>VLOOKUP($A1836,'Medical Examinations'!$A:$J,7,FALSE)</f>
        <v>No</v>
      </c>
      <c r="H1836" t="str">
        <f>VLOOKUP($A1836,'Medical Examinations'!$A:$J,8,FALSE)</f>
        <v>Yes</v>
      </c>
      <c r="I1836">
        <f>VLOOKUP($A1836,'Medical Examinations'!$A:$J,9,FALSE)</f>
        <v>1</v>
      </c>
      <c r="J1836" t="str">
        <f>VLOOKUP($A1836,'Medical Examinations'!$A:$J,10,FALSE)</f>
        <v>No</v>
      </c>
      <c r="K1836" t="str">
        <f>VLOOKUP($A1836,'Medical Examinations'!$A:$J,5,FALSE)</f>
        <v>Normal</v>
      </c>
      <c r="L1836">
        <f>VLOOKUP($A1837,'Medical Examinations'!$A:$J,3,FALSE)</f>
        <v>17.34</v>
      </c>
      <c r="N1836" s="11">
        <f>VLOOKUP($B1836,'Hospitalisation Details'!A1835:J4179,10,0)</f>
        <v>23206</v>
      </c>
      <c r="O1836" t="str">
        <f>VLOOKUP($B1836,'Hospitalisation Details'!A1835:J4179,8,0)</f>
        <v>tier - 3</v>
      </c>
      <c r="P1836" t="str">
        <f>VLOOKUP($B1836,'Hospitalisation Details'!A1835:J4179,7,0)</f>
        <v>tier - 1</v>
      </c>
      <c r="Q1836" t="str">
        <f>VLOOKUP($B1836,'Hospitalisation Details'!A1835:J4179,9,0)</f>
        <v>R1012</v>
      </c>
      <c r="R1836">
        <f>VLOOKUP($B1836,'Hospitalisation Details'!A1835:K4179,11,0)</f>
        <v>59</v>
      </c>
    </row>
    <row r="1837" spans="1:18" x14ac:dyDescent="0.35">
      <c r="A1837" t="s">
        <v>533</v>
      </c>
      <c r="B1837" t="s">
        <v>1868</v>
      </c>
      <c r="C1837" t="str">
        <f>VLOOKUP($A1837,'Customer Names'!$A:$E,4,FALSE)</f>
        <v>Benjamin</v>
      </c>
      <c r="D1837" t="str">
        <f>VLOOKUP($A1837,'Medical Examinations'!$A:$J,2,FALSE)</f>
        <v>Underweight</v>
      </c>
      <c r="E1837">
        <f>VLOOKUP($A1837,'Medical Examinations'!$A:$J,4,FALSE)</f>
        <v>5.05</v>
      </c>
      <c r="F1837" t="str">
        <f>VLOOKUP($A1837,'Medical Examinations'!$A:$J,6,FALSE)</f>
        <v>No</v>
      </c>
      <c r="G1837" t="str">
        <f>VLOOKUP($A1837,'Medical Examinations'!$A:$J,7,FALSE)</f>
        <v>No</v>
      </c>
      <c r="H1837" t="str">
        <f>VLOOKUP($A1837,'Medical Examinations'!$A:$J,8,FALSE)</f>
        <v>No</v>
      </c>
      <c r="I1837">
        <f>VLOOKUP($A1837,'Medical Examinations'!$A:$J,9,FALSE)</f>
        <v>0</v>
      </c>
      <c r="J1837" t="str">
        <f>VLOOKUP($A1837,'Medical Examinations'!$A:$J,10,FALSE)</f>
        <v>No</v>
      </c>
      <c r="K1837" t="str">
        <f>VLOOKUP($A1837,'Medical Examinations'!$A:$J,5,FALSE)</f>
        <v>Normal</v>
      </c>
      <c r="L1837">
        <f>VLOOKUP($A1838,'Medical Examinations'!$A:$J,3,FALSE)</f>
        <v>17.440000000000001</v>
      </c>
      <c r="N1837" s="11">
        <f>VLOOKUP($B1837,'Hospitalisation Details'!A1836:J4180,10,0)</f>
        <v>28757</v>
      </c>
      <c r="O1837" t="str">
        <f>VLOOKUP($B1837,'Hospitalisation Details'!A1836:J4180,8,0)</f>
        <v>tier - 1</v>
      </c>
      <c r="P1837" t="str">
        <f>VLOOKUP($B1837,'Hospitalisation Details'!A1836:J4180,7,0)</f>
        <v>tier - 1</v>
      </c>
      <c r="Q1837" t="str">
        <f>VLOOKUP($B1837,'Hospitalisation Details'!A1836:J4180,9,0)</f>
        <v>R1024</v>
      </c>
      <c r="R1837">
        <f>VLOOKUP($B1837,'Hospitalisation Details'!A1836:K4180,11,0)</f>
        <v>44</v>
      </c>
    </row>
    <row r="1838" spans="1:18" x14ac:dyDescent="0.35">
      <c r="A1838" t="s">
        <v>532</v>
      </c>
      <c r="B1838" t="s">
        <v>1869</v>
      </c>
      <c r="C1838" t="str">
        <f>VLOOKUP($A1838,'Customer Names'!$A:$E,4,FALSE)</f>
        <v>Breno</v>
      </c>
      <c r="D1838" t="str">
        <f>VLOOKUP($A1838,'Medical Examinations'!$A:$J,2,FALSE)</f>
        <v>Underweight</v>
      </c>
      <c r="E1838">
        <f>VLOOKUP($A1838,'Medical Examinations'!$A:$J,4,FALSE)</f>
        <v>6.26</v>
      </c>
      <c r="F1838" t="str">
        <f>VLOOKUP($A1838,'Medical Examinations'!$A:$J,6,FALSE)</f>
        <v>No</v>
      </c>
      <c r="G1838" t="str">
        <f>VLOOKUP($A1838,'Medical Examinations'!$A:$J,7,FALSE)</f>
        <v>No</v>
      </c>
      <c r="H1838" t="str">
        <f>VLOOKUP($A1838,'Medical Examinations'!$A:$J,8,FALSE)</f>
        <v>No</v>
      </c>
      <c r="I1838">
        <f>VLOOKUP($A1838,'Medical Examinations'!$A:$J,9,FALSE)</f>
        <v>0</v>
      </c>
      <c r="J1838" t="str">
        <f>VLOOKUP($A1838,'Medical Examinations'!$A:$J,10,FALSE)</f>
        <v>No</v>
      </c>
      <c r="K1838" t="str">
        <f>VLOOKUP($A1838,'Medical Examinations'!$A:$J,5,FALSE)</f>
        <v>Prediabetes</v>
      </c>
      <c r="L1838">
        <f>VLOOKUP($A1839,'Medical Examinations'!$A:$J,3,FALSE)</f>
        <v>33.659999999999997</v>
      </c>
      <c r="N1838" s="11">
        <f>VLOOKUP($B1838,'Hospitalisation Details'!A1837:J4181,10,0)</f>
        <v>34573</v>
      </c>
      <c r="O1838" t="str">
        <f>VLOOKUP($B1838,'Hospitalisation Details'!A1837:J4181,8,0)</f>
        <v>tier - 2</v>
      </c>
      <c r="P1838" t="str">
        <f>VLOOKUP($B1838,'Hospitalisation Details'!A1837:J4181,7,0)</f>
        <v>tier - 1</v>
      </c>
      <c r="Q1838" t="str">
        <f>VLOOKUP($B1838,'Hospitalisation Details'!A1837:J4181,9,0)</f>
        <v>R1012</v>
      </c>
      <c r="R1838">
        <f>VLOOKUP($B1838,'Hospitalisation Details'!A1837:K4181,11,0)</f>
        <v>28</v>
      </c>
    </row>
    <row r="1839" spans="1:18" x14ac:dyDescent="0.35">
      <c r="A1839" t="s">
        <v>531</v>
      </c>
      <c r="B1839" t="s">
        <v>1870</v>
      </c>
      <c r="C1839" t="str">
        <f>VLOOKUP($A1839,'Customer Names'!$A:$E,4,FALSE)</f>
        <v>Takaya</v>
      </c>
      <c r="D1839" t="str">
        <f>VLOOKUP($A1839,'Medical Examinations'!$A:$J,2,FALSE)</f>
        <v>Obesity</v>
      </c>
      <c r="E1839">
        <f>VLOOKUP($A1839,'Medical Examinations'!$A:$J,4,FALSE)</f>
        <v>4.08</v>
      </c>
      <c r="F1839" t="str">
        <f>VLOOKUP($A1839,'Medical Examinations'!$A:$J,6,FALSE)</f>
        <v>yes</v>
      </c>
      <c r="G1839" t="str">
        <f>VLOOKUP($A1839,'Medical Examinations'!$A:$J,7,FALSE)</f>
        <v>No</v>
      </c>
      <c r="H1839" t="str">
        <f>VLOOKUP($A1839,'Medical Examinations'!$A:$J,8,FALSE)</f>
        <v>Yes</v>
      </c>
      <c r="I1839">
        <f>VLOOKUP($A1839,'Medical Examinations'!$A:$J,9,FALSE)</f>
        <v>1</v>
      </c>
      <c r="J1839" t="str">
        <f>VLOOKUP($A1839,'Medical Examinations'!$A:$J,10,FALSE)</f>
        <v>No</v>
      </c>
      <c r="K1839" t="str">
        <f>VLOOKUP($A1839,'Medical Examinations'!$A:$J,5,FALSE)</f>
        <v>Normal</v>
      </c>
      <c r="L1839">
        <f>VLOOKUP($A1840,'Medical Examinations'!$A:$J,3,FALSE)</f>
        <v>21.375</v>
      </c>
      <c r="N1839" s="11">
        <f>VLOOKUP($B1839,'Hospitalisation Details'!A1838:J4182,10,0)</f>
        <v>33093</v>
      </c>
      <c r="O1839" t="str">
        <f>VLOOKUP($B1839,'Hospitalisation Details'!A1838:J4182,8,0)</f>
        <v>tier - 2</v>
      </c>
      <c r="P1839" t="str">
        <f>VLOOKUP($B1839,'Hospitalisation Details'!A1838:J4182,7,0)</f>
        <v>tier - 1</v>
      </c>
      <c r="Q1839" t="str">
        <f>VLOOKUP($B1839,'Hospitalisation Details'!A1838:J4182,9,0)</f>
        <v>R1013</v>
      </c>
      <c r="R1839">
        <f>VLOOKUP($B1839,'Hospitalisation Details'!A1838:K4182,11,0)</f>
        <v>32</v>
      </c>
    </row>
    <row r="1840" spans="1:18" x14ac:dyDescent="0.35">
      <c r="A1840" t="s">
        <v>530</v>
      </c>
      <c r="B1840" t="s">
        <v>1871</v>
      </c>
      <c r="C1840" t="str">
        <f>VLOOKUP($A1840,'Customer Names'!$A:$E,4,FALSE)</f>
        <v>Thomas IV</v>
      </c>
      <c r="D1840" t="str">
        <f>VLOOKUP($A1840,'Medical Examinations'!$A:$J,2,FALSE)</f>
        <v>Normal Weight</v>
      </c>
      <c r="E1840">
        <f>VLOOKUP($A1840,'Medical Examinations'!$A:$J,4,FALSE)</f>
        <v>6.19</v>
      </c>
      <c r="F1840" t="str">
        <f>VLOOKUP($A1840,'Medical Examinations'!$A:$J,6,FALSE)</f>
        <v>yes</v>
      </c>
      <c r="G1840" t="str">
        <f>VLOOKUP($A1840,'Medical Examinations'!$A:$J,7,FALSE)</f>
        <v>No</v>
      </c>
      <c r="H1840" t="str">
        <f>VLOOKUP($A1840,'Medical Examinations'!$A:$J,8,FALSE)</f>
        <v>No</v>
      </c>
      <c r="I1840">
        <f>VLOOKUP($A1840,'Medical Examinations'!$A:$J,9,FALSE)</f>
        <v>1</v>
      </c>
      <c r="J1840" t="str">
        <f>VLOOKUP($A1840,'Medical Examinations'!$A:$J,10,FALSE)</f>
        <v>No</v>
      </c>
      <c r="K1840" t="str">
        <f>VLOOKUP($A1840,'Medical Examinations'!$A:$J,5,FALSE)</f>
        <v>Prediabetes</v>
      </c>
      <c r="L1840">
        <f>VLOOKUP($A1841,'Medical Examinations'!$A:$J,3,FALSE)</f>
        <v>27.14</v>
      </c>
      <c r="N1840" s="11">
        <f>VLOOKUP($B1840,'Hospitalisation Details'!A1839:J4183,10,0)</f>
        <v>26464</v>
      </c>
      <c r="O1840" t="str">
        <f>VLOOKUP($B1840,'Hospitalisation Details'!A1839:J4183,8,0)</f>
        <v>tier - 3</v>
      </c>
      <c r="P1840" t="str">
        <f>VLOOKUP($B1840,'Hospitalisation Details'!A1839:J4183,7,0)</f>
        <v>tier - 1</v>
      </c>
      <c r="Q1840" t="str">
        <f>VLOOKUP($B1840,'Hospitalisation Details'!A1839:J4183,9,0)</f>
        <v>R1013</v>
      </c>
      <c r="R1840">
        <f>VLOOKUP($B1840,'Hospitalisation Details'!A1839:K4183,11,0)</f>
        <v>50</v>
      </c>
    </row>
    <row r="1841" spans="1:18" x14ac:dyDescent="0.35">
      <c r="A1841" t="s">
        <v>529</v>
      </c>
      <c r="B1841" t="s">
        <v>1872</v>
      </c>
      <c r="C1841" t="str">
        <f>VLOOKUP($A1841,'Customer Names'!$A:$E,4,FALSE)</f>
        <v>Bradley E</v>
      </c>
      <c r="D1841" t="str">
        <f>VLOOKUP($A1841,'Medical Examinations'!$A:$J,2,FALSE)</f>
        <v>Overweight</v>
      </c>
      <c r="E1841">
        <f>VLOOKUP($A1841,'Medical Examinations'!$A:$J,4,FALSE)</f>
        <v>6.01</v>
      </c>
      <c r="F1841" t="str">
        <f>VLOOKUP($A1841,'Medical Examinations'!$A:$J,6,FALSE)</f>
        <v>No</v>
      </c>
      <c r="G1841" t="str">
        <f>VLOOKUP($A1841,'Medical Examinations'!$A:$J,7,FALSE)</f>
        <v>No</v>
      </c>
      <c r="H1841" t="str">
        <f>VLOOKUP($A1841,'Medical Examinations'!$A:$J,8,FALSE)</f>
        <v>No</v>
      </c>
      <c r="I1841">
        <f>VLOOKUP($A1841,'Medical Examinations'!$A:$J,9,FALSE)</f>
        <v>1</v>
      </c>
      <c r="J1841" t="str">
        <f>VLOOKUP($A1841,'Medical Examinations'!$A:$J,10,FALSE)</f>
        <v>No</v>
      </c>
      <c r="K1841" t="str">
        <f>VLOOKUP($A1841,'Medical Examinations'!$A:$J,5,FALSE)</f>
        <v>Prediabetes</v>
      </c>
      <c r="L1841">
        <f>VLOOKUP($A1842,'Medical Examinations'!$A:$J,3,FALSE)</f>
        <v>35.78</v>
      </c>
      <c r="N1841" s="11">
        <f>VLOOKUP($B1841,'Hospitalisation Details'!A1840:J4184,10,0)</f>
        <v>29158</v>
      </c>
      <c r="O1841" t="str">
        <f>VLOOKUP($B1841,'Hospitalisation Details'!A1840:J4184,8,0)</f>
        <v>tier - 1</v>
      </c>
      <c r="P1841" t="str">
        <f>VLOOKUP($B1841,'Hospitalisation Details'!A1840:J4184,7,0)</f>
        <v>tier - 1</v>
      </c>
      <c r="Q1841" t="str">
        <f>VLOOKUP($B1841,'Hospitalisation Details'!A1840:J4184,9,0)</f>
        <v>R1024</v>
      </c>
      <c r="R1841">
        <f>VLOOKUP($B1841,'Hospitalisation Details'!A1840:K4184,11,0)</f>
        <v>43</v>
      </c>
    </row>
    <row r="1842" spans="1:18" x14ac:dyDescent="0.35">
      <c r="A1842" t="s">
        <v>528</v>
      </c>
      <c r="B1842" t="s">
        <v>1873</v>
      </c>
      <c r="C1842" t="str">
        <f>VLOOKUP($A1842,'Customer Names'!$A:$E,4,FALSE)</f>
        <v>Megan</v>
      </c>
      <c r="D1842" t="str">
        <f>VLOOKUP($A1842,'Medical Examinations'!$A:$J,2,FALSE)</f>
        <v>Obesity</v>
      </c>
      <c r="E1842">
        <f>VLOOKUP($A1842,'Medical Examinations'!$A:$J,4,FALSE)</f>
        <v>6.07</v>
      </c>
      <c r="F1842" t="str">
        <f>VLOOKUP($A1842,'Medical Examinations'!$A:$J,6,FALSE)</f>
        <v>No</v>
      </c>
      <c r="G1842" t="str">
        <f>VLOOKUP($A1842,'Medical Examinations'!$A:$J,7,FALSE)</f>
        <v>yes</v>
      </c>
      <c r="H1842" t="str">
        <f>VLOOKUP($A1842,'Medical Examinations'!$A:$J,8,FALSE)</f>
        <v>No</v>
      </c>
      <c r="I1842">
        <f>VLOOKUP($A1842,'Medical Examinations'!$A:$J,9,FALSE)</f>
        <v>1</v>
      </c>
      <c r="J1842" t="str">
        <f>VLOOKUP($A1842,'Medical Examinations'!$A:$J,10,FALSE)</f>
        <v>No</v>
      </c>
      <c r="K1842" t="str">
        <f>VLOOKUP($A1842,'Medical Examinations'!$A:$J,5,FALSE)</f>
        <v>Prediabetes</v>
      </c>
      <c r="L1842">
        <f>VLOOKUP($A1843,'Medical Examinations'!$A:$J,3,FALSE)</f>
        <v>34.96</v>
      </c>
      <c r="N1842" s="11">
        <f>VLOOKUP($B1842,'Hospitalisation Details'!A1841:J4185,10,0)</f>
        <v>35721</v>
      </c>
      <c r="O1842" t="str">
        <f>VLOOKUP($B1842,'Hospitalisation Details'!A1841:J4185,8,0)</f>
        <v>tier - 3</v>
      </c>
      <c r="P1842" t="str">
        <f>VLOOKUP($B1842,'Hospitalisation Details'!A1841:J4185,7,0)</f>
        <v>tier - 1</v>
      </c>
      <c r="Q1842" t="str">
        <f>VLOOKUP($B1842,'Hospitalisation Details'!A1841:J4185,9,0)</f>
        <v>R1011</v>
      </c>
      <c r="R1842">
        <f>VLOOKUP($B1842,'Hospitalisation Details'!A1841:K4185,11,0)</f>
        <v>25</v>
      </c>
    </row>
    <row r="1843" spans="1:18" x14ac:dyDescent="0.35">
      <c r="A1843" t="s">
        <v>527</v>
      </c>
      <c r="B1843" t="s">
        <v>1874</v>
      </c>
      <c r="C1843" t="str">
        <f>VLOOKUP($A1843,'Customer Names'!$A:$E,4,FALSE)</f>
        <v>Ruby J</v>
      </c>
      <c r="D1843" t="str">
        <f>VLOOKUP($A1843,'Medical Examinations'!$A:$J,2,FALSE)</f>
        <v>Obesity</v>
      </c>
      <c r="E1843">
        <f>VLOOKUP($A1843,'Medical Examinations'!$A:$J,4,FALSE)</f>
        <v>5.63</v>
      </c>
      <c r="F1843" t="str">
        <f>VLOOKUP($A1843,'Medical Examinations'!$A:$J,6,FALSE)</f>
        <v>No</v>
      </c>
      <c r="G1843" t="str">
        <f>VLOOKUP($A1843,'Medical Examinations'!$A:$J,7,FALSE)</f>
        <v>No</v>
      </c>
      <c r="H1843" t="str">
        <f>VLOOKUP($A1843,'Medical Examinations'!$A:$J,8,FALSE)</f>
        <v>No</v>
      </c>
      <c r="I1843">
        <f>VLOOKUP($A1843,'Medical Examinations'!$A:$J,9,FALSE)</f>
        <v>0</v>
      </c>
      <c r="J1843" t="str">
        <f>VLOOKUP($A1843,'Medical Examinations'!$A:$J,10,FALSE)</f>
        <v>No</v>
      </c>
      <c r="K1843" t="str">
        <f>VLOOKUP($A1843,'Medical Examinations'!$A:$J,5,FALSE)</f>
        <v>Normal</v>
      </c>
      <c r="L1843">
        <f>VLOOKUP($A1844,'Medical Examinations'!$A:$J,3,FALSE)</f>
        <v>38.39</v>
      </c>
      <c r="N1843" s="11">
        <f>VLOOKUP($B1843,'Hospitalisation Details'!A1842:J4186,10,0)</f>
        <v>29503</v>
      </c>
      <c r="O1843" t="str">
        <f>VLOOKUP($B1843,'Hospitalisation Details'!A1842:J4186,8,0)</f>
        <v>tier - 2</v>
      </c>
      <c r="P1843" t="str">
        <f>VLOOKUP($B1843,'Hospitalisation Details'!A1842:J4186,7,0)</f>
        <v>tier - 1</v>
      </c>
      <c r="Q1843" t="str">
        <f>VLOOKUP($B1843,'Hospitalisation Details'!A1842:J4186,9,0)</f>
        <v>R1024</v>
      </c>
      <c r="R1843">
        <f>VLOOKUP($B1843,'Hospitalisation Details'!A1842:K4186,11,0)</f>
        <v>42</v>
      </c>
    </row>
    <row r="1844" spans="1:18" x14ac:dyDescent="0.35">
      <c r="A1844" t="s">
        <v>526</v>
      </c>
      <c r="B1844" t="s">
        <v>1875</v>
      </c>
      <c r="C1844" t="str">
        <f>VLOOKUP($A1844,'Customer Names'!$A:$E,4,FALSE)</f>
        <v>Bart</v>
      </c>
      <c r="D1844" t="str">
        <f>VLOOKUP($A1844,'Medical Examinations'!$A:$J,2,FALSE)</f>
        <v>Obesity</v>
      </c>
      <c r="E1844">
        <f>VLOOKUP($A1844,'Medical Examinations'!$A:$J,4,FALSE)</f>
        <v>6.05</v>
      </c>
      <c r="F1844" t="str">
        <f>VLOOKUP($A1844,'Medical Examinations'!$A:$J,6,FALSE)</f>
        <v>No</v>
      </c>
      <c r="G1844" t="str">
        <f>VLOOKUP($A1844,'Medical Examinations'!$A:$J,7,FALSE)</f>
        <v>No</v>
      </c>
      <c r="H1844" t="str">
        <f>VLOOKUP($A1844,'Medical Examinations'!$A:$J,8,FALSE)</f>
        <v>No</v>
      </c>
      <c r="I1844">
        <f>VLOOKUP($A1844,'Medical Examinations'!$A:$J,9,FALSE)</f>
        <v>0</v>
      </c>
      <c r="J1844" t="str">
        <f>VLOOKUP($A1844,'Medical Examinations'!$A:$J,10,FALSE)</f>
        <v>No</v>
      </c>
      <c r="K1844" t="str">
        <f>VLOOKUP($A1844,'Medical Examinations'!$A:$J,5,FALSE)</f>
        <v>Prediabetes</v>
      </c>
      <c r="L1844">
        <f>VLOOKUP($A1845,'Medical Examinations'!$A:$J,3,FALSE)</f>
        <v>33.82</v>
      </c>
      <c r="N1844" s="11">
        <f>VLOOKUP($B1844,'Hospitalisation Details'!A1843:J4187,10,0)</f>
        <v>24329</v>
      </c>
      <c r="O1844" t="str">
        <f>VLOOKUP($B1844,'Hospitalisation Details'!A1843:J4187,8,0)</f>
        <v>tier - 3</v>
      </c>
      <c r="P1844" t="str">
        <f>VLOOKUP($B1844,'Hospitalisation Details'!A1843:J4187,7,0)</f>
        <v>tier - 1</v>
      </c>
      <c r="Q1844" t="str">
        <f>VLOOKUP($B1844,'Hospitalisation Details'!A1843:J4187,9,0)</f>
        <v>R1026</v>
      </c>
      <c r="R1844">
        <f>VLOOKUP($B1844,'Hospitalisation Details'!A1843:K4187,11,0)</f>
        <v>56</v>
      </c>
    </row>
    <row r="1845" spans="1:18" x14ac:dyDescent="0.35">
      <c r="A1845" t="s">
        <v>525</v>
      </c>
      <c r="B1845" t="s">
        <v>1876</v>
      </c>
      <c r="C1845" t="str">
        <f>VLOOKUP($A1845,'Customer Names'!$A:$E,4,FALSE)</f>
        <v>Robert A.</v>
      </c>
      <c r="D1845" t="str">
        <f>VLOOKUP($A1845,'Medical Examinations'!$A:$J,2,FALSE)</f>
        <v>Obesity</v>
      </c>
      <c r="E1845">
        <f>VLOOKUP($A1845,'Medical Examinations'!$A:$J,4,FALSE)</f>
        <v>4.6500000000000004</v>
      </c>
      <c r="F1845" t="str">
        <f>VLOOKUP($A1845,'Medical Examinations'!$A:$J,6,FALSE)</f>
        <v>No</v>
      </c>
      <c r="G1845" t="str">
        <f>VLOOKUP($A1845,'Medical Examinations'!$A:$J,7,FALSE)</f>
        <v>No</v>
      </c>
      <c r="H1845" t="str">
        <f>VLOOKUP($A1845,'Medical Examinations'!$A:$J,8,FALSE)</f>
        <v>No</v>
      </c>
      <c r="I1845">
        <f>VLOOKUP($A1845,'Medical Examinations'!$A:$J,9,FALSE)</f>
        <v>0</v>
      </c>
      <c r="J1845" t="str">
        <f>VLOOKUP($A1845,'Medical Examinations'!$A:$J,10,FALSE)</f>
        <v>No</v>
      </c>
      <c r="K1845" t="str">
        <f>VLOOKUP($A1845,'Medical Examinations'!$A:$J,5,FALSE)</f>
        <v>Normal</v>
      </c>
      <c r="L1845">
        <f>VLOOKUP($A1846,'Medical Examinations'!$A:$J,3,FALSE)</f>
        <v>27.835000000000001</v>
      </c>
      <c r="N1845" s="11">
        <f>VLOOKUP($B1845,'Hospitalisation Details'!A1844:J4188,10,0)</f>
        <v>32349</v>
      </c>
      <c r="O1845" t="str">
        <f>VLOOKUP($B1845,'Hospitalisation Details'!A1844:J4188,8,0)</f>
        <v>tier - 1</v>
      </c>
      <c r="P1845" t="str">
        <f>VLOOKUP($B1845,'Hospitalisation Details'!A1844:J4188,7,0)</f>
        <v>tier - 2</v>
      </c>
      <c r="Q1845" t="str">
        <f>VLOOKUP($B1845,'Hospitalisation Details'!A1844:J4188,9,0)</f>
        <v>R1012</v>
      </c>
      <c r="R1845">
        <f>VLOOKUP($B1845,'Hospitalisation Details'!A1844:K4188,11,0)</f>
        <v>34</v>
      </c>
    </row>
    <row r="1846" spans="1:18" x14ac:dyDescent="0.35">
      <c r="A1846" t="s">
        <v>524</v>
      </c>
      <c r="B1846" t="s">
        <v>1877</v>
      </c>
      <c r="C1846" t="str">
        <f>VLOOKUP($A1846,'Customer Names'!$A:$E,4,FALSE)</f>
        <v>Adam</v>
      </c>
      <c r="D1846" t="str">
        <f>VLOOKUP($A1846,'Medical Examinations'!$A:$J,2,FALSE)</f>
        <v>Overweight</v>
      </c>
      <c r="E1846">
        <f>VLOOKUP($A1846,'Medical Examinations'!$A:$J,4,FALSE)</f>
        <v>5.37</v>
      </c>
      <c r="F1846" t="str">
        <f>VLOOKUP($A1846,'Medical Examinations'!$A:$J,6,FALSE)</f>
        <v>No</v>
      </c>
      <c r="G1846" t="str">
        <f>VLOOKUP($A1846,'Medical Examinations'!$A:$J,7,FALSE)</f>
        <v>No</v>
      </c>
      <c r="H1846" t="str">
        <f>VLOOKUP($A1846,'Medical Examinations'!$A:$J,8,FALSE)</f>
        <v>No</v>
      </c>
      <c r="I1846">
        <f>VLOOKUP($A1846,'Medical Examinations'!$A:$J,9,FALSE)</f>
        <v>0</v>
      </c>
      <c r="J1846" t="str">
        <f>VLOOKUP($A1846,'Medical Examinations'!$A:$J,10,FALSE)</f>
        <v>No</v>
      </c>
      <c r="K1846" t="str">
        <f>VLOOKUP($A1846,'Medical Examinations'!$A:$J,5,FALSE)</f>
        <v>Normal</v>
      </c>
      <c r="L1846">
        <f>VLOOKUP($A1847,'Medical Examinations'!$A:$J,3,FALSE)</f>
        <v>33</v>
      </c>
      <c r="N1846" s="11">
        <f>VLOOKUP($B1846,'Hospitalisation Details'!A1845:J4189,10,0)</f>
        <v>30595</v>
      </c>
      <c r="O1846" t="str">
        <f>VLOOKUP($B1846,'Hospitalisation Details'!A1845:J4189,8,0)</f>
        <v>tier - 1</v>
      </c>
      <c r="P1846" t="str">
        <f>VLOOKUP($B1846,'Hospitalisation Details'!A1845:J4189,7,0)</f>
        <v>tier - 2</v>
      </c>
      <c r="Q1846" t="str">
        <f>VLOOKUP($B1846,'Hospitalisation Details'!A1845:J4189,9,0)</f>
        <v>R1016</v>
      </c>
      <c r="R1846">
        <f>VLOOKUP($B1846,'Hospitalisation Details'!A1845:K4189,11,0)</f>
        <v>39</v>
      </c>
    </row>
    <row r="1847" spans="1:18" x14ac:dyDescent="0.35">
      <c r="A1847" t="s">
        <v>523</v>
      </c>
      <c r="B1847" t="s">
        <v>1878</v>
      </c>
      <c r="C1847" t="str">
        <f>VLOOKUP($A1847,'Customer Names'!$A:$E,4,FALSE)</f>
        <v>Yemane Adhane</v>
      </c>
      <c r="D1847" t="str">
        <f>VLOOKUP($A1847,'Medical Examinations'!$A:$J,2,FALSE)</f>
        <v>Obesity</v>
      </c>
      <c r="E1847">
        <f>VLOOKUP($A1847,'Medical Examinations'!$A:$J,4,FALSE)</f>
        <v>5.39</v>
      </c>
      <c r="F1847" t="str">
        <f>VLOOKUP($A1847,'Medical Examinations'!$A:$J,6,FALSE)</f>
        <v>No</v>
      </c>
      <c r="G1847" t="str">
        <f>VLOOKUP($A1847,'Medical Examinations'!$A:$J,7,FALSE)</f>
        <v>No</v>
      </c>
      <c r="H1847" t="str">
        <f>VLOOKUP($A1847,'Medical Examinations'!$A:$J,8,FALSE)</f>
        <v>No</v>
      </c>
      <c r="I1847">
        <f>VLOOKUP($A1847,'Medical Examinations'!$A:$J,9,FALSE)</f>
        <v>0</v>
      </c>
      <c r="J1847" t="str">
        <f>VLOOKUP($A1847,'Medical Examinations'!$A:$J,10,FALSE)</f>
        <v>No</v>
      </c>
      <c r="K1847" t="str">
        <f>VLOOKUP($A1847,'Medical Examinations'!$A:$J,5,FALSE)</f>
        <v>Normal</v>
      </c>
      <c r="L1847">
        <f>VLOOKUP($A1848,'Medical Examinations'!$A:$J,3,FALSE)</f>
        <v>26.885000000000002</v>
      </c>
      <c r="N1847" s="11">
        <f>VLOOKUP($B1847,'Hospitalisation Details'!A1846:J4190,10,0)</f>
        <v>37446</v>
      </c>
      <c r="O1847" t="str">
        <f>VLOOKUP($B1847,'Hospitalisation Details'!A1846:J4190,8,0)</f>
        <v>tier - 3</v>
      </c>
      <c r="P1847" t="str">
        <f>VLOOKUP($B1847,'Hospitalisation Details'!A1846:J4190,7,0)</f>
        <v>tier - 3</v>
      </c>
      <c r="Q1847" t="str">
        <f>VLOOKUP($B1847,'Hospitalisation Details'!A1846:J4190,9,0)</f>
        <v>R1011</v>
      </c>
      <c r="R1847">
        <f>VLOOKUP($B1847,'Hospitalisation Details'!A1846:K4190,11,0)</f>
        <v>20</v>
      </c>
    </row>
    <row r="1848" spans="1:18" x14ac:dyDescent="0.35">
      <c r="A1848" t="s">
        <v>522</v>
      </c>
      <c r="B1848" t="s">
        <v>1879</v>
      </c>
      <c r="C1848" t="str">
        <f>VLOOKUP($A1848,'Customer Names'!$A:$E,4,FALSE)</f>
        <v>Jesse A.</v>
      </c>
      <c r="D1848" t="str">
        <f>VLOOKUP($A1848,'Medical Examinations'!$A:$J,2,FALSE)</f>
        <v>Overweight</v>
      </c>
      <c r="E1848">
        <f>VLOOKUP($A1848,'Medical Examinations'!$A:$J,4,FALSE)</f>
        <v>5.86</v>
      </c>
      <c r="F1848" t="str">
        <f>VLOOKUP($A1848,'Medical Examinations'!$A:$J,6,FALSE)</f>
        <v>No</v>
      </c>
      <c r="G1848" t="str">
        <f>VLOOKUP($A1848,'Medical Examinations'!$A:$J,7,FALSE)</f>
        <v>No</v>
      </c>
      <c r="H1848" t="str">
        <f>VLOOKUP($A1848,'Medical Examinations'!$A:$J,8,FALSE)</f>
        <v>No</v>
      </c>
      <c r="I1848">
        <f>VLOOKUP($A1848,'Medical Examinations'!$A:$J,9,FALSE)</f>
        <v>0</v>
      </c>
      <c r="J1848" t="str">
        <f>VLOOKUP($A1848,'Medical Examinations'!$A:$J,10,FALSE)</f>
        <v>No</v>
      </c>
      <c r="K1848" t="str">
        <f>VLOOKUP($A1848,'Medical Examinations'!$A:$J,5,FALSE)</f>
        <v>Prediabetes</v>
      </c>
      <c r="L1848">
        <f>VLOOKUP($A1849,'Medical Examinations'!$A:$J,3,FALSE)</f>
        <v>29.26</v>
      </c>
      <c r="N1848" s="11">
        <f>VLOOKUP($B1848,'Hospitalisation Details'!A1847:J4191,10,0)</f>
        <v>34493</v>
      </c>
      <c r="O1848" t="str">
        <f>VLOOKUP($B1848,'Hospitalisation Details'!A1847:J4191,8,0)</f>
        <v>tier - 1</v>
      </c>
      <c r="P1848" t="str">
        <f>VLOOKUP($B1848,'Hospitalisation Details'!A1847:J4191,7,0)</f>
        <v>tier - 2</v>
      </c>
      <c r="Q1848" t="str">
        <f>VLOOKUP($B1848,'Hospitalisation Details'!A1847:J4191,9,0)</f>
        <v>R1011</v>
      </c>
      <c r="R1848">
        <f>VLOOKUP($B1848,'Hospitalisation Details'!A1847:K4191,11,0)</f>
        <v>29</v>
      </c>
    </row>
    <row r="1849" spans="1:18" x14ac:dyDescent="0.35">
      <c r="A1849" t="s">
        <v>521</v>
      </c>
      <c r="B1849" t="s">
        <v>1880</v>
      </c>
      <c r="C1849" t="str">
        <f>VLOOKUP($A1849,'Customer Names'!$A:$E,4,FALSE)</f>
        <v>Bird</v>
      </c>
      <c r="D1849" t="str">
        <f>VLOOKUP($A1849,'Medical Examinations'!$A:$J,2,FALSE)</f>
        <v>Overweight</v>
      </c>
      <c r="E1849">
        <f>VLOOKUP($A1849,'Medical Examinations'!$A:$J,4,FALSE)</f>
        <v>4.4400000000000004</v>
      </c>
      <c r="F1849" t="str">
        <f>VLOOKUP($A1849,'Medical Examinations'!$A:$J,6,FALSE)</f>
        <v>No</v>
      </c>
      <c r="G1849" t="str">
        <f>VLOOKUP($A1849,'Medical Examinations'!$A:$J,7,FALSE)</f>
        <v>No</v>
      </c>
      <c r="H1849" t="str">
        <f>VLOOKUP($A1849,'Medical Examinations'!$A:$J,8,FALSE)</f>
        <v>No</v>
      </c>
      <c r="I1849">
        <f>VLOOKUP($A1849,'Medical Examinations'!$A:$J,9,FALSE)</f>
        <v>0</v>
      </c>
      <c r="J1849" t="str">
        <f>VLOOKUP($A1849,'Medical Examinations'!$A:$J,10,FALSE)</f>
        <v>No</v>
      </c>
      <c r="K1849" t="str">
        <f>VLOOKUP($A1849,'Medical Examinations'!$A:$J,5,FALSE)</f>
        <v>Normal</v>
      </c>
      <c r="L1849">
        <f>VLOOKUP($A1850,'Medical Examinations'!$A:$J,3,FALSE)</f>
        <v>26.98</v>
      </c>
      <c r="N1849" s="11">
        <f>VLOOKUP($B1849,'Hospitalisation Details'!A1848:J4192,10,0)</f>
        <v>32067</v>
      </c>
      <c r="O1849" t="str">
        <f>VLOOKUP($B1849,'Hospitalisation Details'!A1848:J4192,8,0)</f>
        <v>tier - 3</v>
      </c>
      <c r="P1849" t="str">
        <f>VLOOKUP($B1849,'Hospitalisation Details'!A1848:J4192,7,0)</f>
        <v>tier - 2</v>
      </c>
      <c r="Q1849" t="str">
        <f>VLOOKUP($B1849,'Hospitalisation Details'!A1848:J4192,9,0)</f>
        <v>R1012</v>
      </c>
      <c r="R1849">
        <f>VLOOKUP($B1849,'Hospitalisation Details'!A1848:K4192,11,0)</f>
        <v>35</v>
      </c>
    </row>
    <row r="1850" spans="1:18" x14ac:dyDescent="0.35">
      <c r="A1850" t="s">
        <v>520</v>
      </c>
      <c r="B1850" t="s">
        <v>1881</v>
      </c>
      <c r="C1850" t="str">
        <f>VLOOKUP($A1850,'Customer Names'!$A:$E,4,FALSE)</f>
        <v>Patrick M.</v>
      </c>
      <c r="D1850" t="str">
        <f>VLOOKUP($A1850,'Medical Examinations'!$A:$J,2,FALSE)</f>
        <v>Overweight</v>
      </c>
      <c r="E1850">
        <f>VLOOKUP($A1850,'Medical Examinations'!$A:$J,4,FALSE)</f>
        <v>4.41</v>
      </c>
      <c r="F1850" t="str">
        <f>VLOOKUP($A1850,'Medical Examinations'!$A:$J,6,FALSE)</f>
        <v>No</v>
      </c>
      <c r="G1850" t="str">
        <f>VLOOKUP($A1850,'Medical Examinations'!$A:$J,7,FALSE)</f>
        <v>No</v>
      </c>
      <c r="H1850" t="str">
        <f>VLOOKUP($A1850,'Medical Examinations'!$A:$J,8,FALSE)</f>
        <v>No</v>
      </c>
      <c r="I1850">
        <f>VLOOKUP($A1850,'Medical Examinations'!$A:$J,9,FALSE)</f>
        <v>0</v>
      </c>
      <c r="J1850" t="str">
        <f>VLOOKUP($A1850,'Medical Examinations'!$A:$J,10,FALSE)</f>
        <v>No</v>
      </c>
      <c r="K1850" t="str">
        <f>VLOOKUP($A1850,'Medical Examinations'!$A:$J,5,FALSE)</f>
        <v>Normal</v>
      </c>
      <c r="L1850">
        <f>VLOOKUP($A1851,'Medical Examinations'!$A:$J,3,FALSE)</f>
        <v>32.11</v>
      </c>
      <c r="N1850" s="11">
        <f>VLOOKUP($B1850,'Hospitalisation Details'!A1849:J4193,10,0)</f>
        <v>24341</v>
      </c>
      <c r="O1850" t="str">
        <f>VLOOKUP($B1850,'Hospitalisation Details'!A1849:J4193,8,0)</f>
        <v>tier - 3</v>
      </c>
      <c r="P1850" t="str">
        <f>VLOOKUP($B1850,'Hospitalisation Details'!A1849:J4193,7,0)</f>
        <v>tier - 2</v>
      </c>
      <c r="Q1850" t="str">
        <f>VLOOKUP($B1850,'Hospitalisation Details'!A1849:J4193,9,0)</f>
        <v>R1012</v>
      </c>
      <c r="R1850">
        <f>VLOOKUP($B1850,'Hospitalisation Details'!A1849:K4193,11,0)</f>
        <v>56</v>
      </c>
    </row>
    <row r="1851" spans="1:18" x14ac:dyDescent="0.35">
      <c r="A1851" t="s">
        <v>519</v>
      </c>
      <c r="B1851" t="s">
        <v>1882</v>
      </c>
      <c r="C1851" t="str">
        <f>VLOOKUP($A1851,'Customer Names'!$A:$E,4,FALSE)</f>
        <v>Kyle</v>
      </c>
      <c r="D1851" t="str">
        <f>VLOOKUP($A1851,'Medical Examinations'!$A:$J,2,FALSE)</f>
        <v>Obesity</v>
      </c>
      <c r="E1851">
        <f>VLOOKUP($A1851,'Medical Examinations'!$A:$J,4,FALSE)</f>
        <v>5.19</v>
      </c>
      <c r="F1851" t="str">
        <f>VLOOKUP($A1851,'Medical Examinations'!$A:$J,6,FALSE)</f>
        <v>No</v>
      </c>
      <c r="G1851" t="str">
        <f>VLOOKUP($A1851,'Medical Examinations'!$A:$J,7,FALSE)</f>
        <v>No</v>
      </c>
      <c r="H1851" t="str">
        <f>VLOOKUP($A1851,'Medical Examinations'!$A:$J,8,FALSE)</f>
        <v>Yes</v>
      </c>
      <c r="I1851">
        <f>VLOOKUP($A1851,'Medical Examinations'!$A:$J,9,FALSE)</f>
        <v>1</v>
      </c>
      <c r="J1851" t="str">
        <f>VLOOKUP($A1851,'Medical Examinations'!$A:$J,10,FALSE)</f>
        <v>No</v>
      </c>
      <c r="K1851" t="str">
        <f>VLOOKUP($A1851,'Medical Examinations'!$A:$J,5,FALSE)</f>
        <v>Normal</v>
      </c>
      <c r="L1851">
        <f>VLOOKUP($A1852,'Medical Examinations'!$A:$J,3,FALSE)</f>
        <v>31.73</v>
      </c>
      <c r="N1851" s="11">
        <f>VLOOKUP($B1851,'Hospitalisation Details'!A1850:J4194,10,0)</f>
        <v>34219</v>
      </c>
      <c r="O1851" t="str">
        <f>VLOOKUP($B1851,'Hospitalisation Details'!A1850:J4194,8,0)</f>
        <v>tier - 3</v>
      </c>
      <c r="P1851" t="str">
        <f>VLOOKUP($B1851,'Hospitalisation Details'!A1850:J4194,7,0)</f>
        <v>tier - 3</v>
      </c>
      <c r="Q1851" t="str">
        <f>VLOOKUP($B1851,'Hospitalisation Details'!A1850:J4194,9,0)</f>
        <v>R1016</v>
      </c>
      <c r="R1851">
        <f>VLOOKUP($B1851,'Hospitalisation Details'!A1850:K4194,11,0)</f>
        <v>29</v>
      </c>
    </row>
    <row r="1852" spans="1:18" x14ac:dyDescent="0.35">
      <c r="A1852" t="s">
        <v>518</v>
      </c>
      <c r="B1852" t="s">
        <v>1883</v>
      </c>
      <c r="C1852" t="str">
        <f>VLOOKUP($A1852,'Customer Names'!$A:$E,4,FALSE)</f>
        <v>Ryan</v>
      </c>
      <c r="D1852" t="str">
        <f>VLOOKUP($A1852,'Medical Examinations'!$A:$J,2,FALSE)</f>
        <v>Obesity</v>
      </c>
      <c r="E1852">
        <f>VLOOKUP($A1852,'Medical Examinations'!$A:$J,4,FALSE)</f>
        <v>5.16</v>
      </c>
      <c r="F1852" t="str">
        <f>VLOOKUP($A1852,'Medical Examinations'!$A:$J,6,FALSE)</f>
        <v>No</v>
      </c>
      <c r="G1852" t="str">
        <f>VLOOKUP($A1852,'Medical Examinations'!$A:$J,7,FALSE)</f>
        <v>No</v>
      </c>
      <c r="H1852" t="str">
        <f>VLOOKUP($A1852,'Medical Examinations'!$A:$J,8,FALSE)</f>
        <v>Yes</v>
      </c>
      <c r="I1852">
        <f>VLOOKUP($A1852,'Medical Examinations'!$A:$J,9,FALSE)</f>
        <v>1</v>
      </c>
      <c r="J1852" t="str">
        <f>VLOOKUP($A1852,'Medical Examinations'!$A:$J,10,FALSE)</f>
        <v>No</v>
      </c>
      <c r="K1852" t="str">
        <f>VLOOKUP($A1852,'Medical Examinations'!$A:$J,5,FALSE)</f>
        <v>Normal</v>
      </c>
      <c r="L1852">
        <f>VLOOKUP($A1853,'Medical Examinations'!$A:$J,3,FALSE)</f>
        <v>22.515000000000001</v>
      </c>
      <c r="N1852" s="11">
        <f>VLOOKUP($B1852,'Hospitalisation Details'!A1851:J4195,10,0)</f>
        <v>31307</v>
      </c>
      <c r="O1852" t="str">
        <f>VLOOKUP($B1852,'Hospitalisation Details'!A1851:J4195,8,0)</f>
        <v>tier - 1</v>
      </c>
      <c r="P1852" t="str">
        <f>VLOOKUP($B1852,'Hospitalisation Details'!A1851:J4195,7,0)</f>
        <v>tier - 3</v>
      </c>
      <c r="Q1852" t="str">
        <f>VLOOKUP($B1852,'Hospitalisation Details'!A1851:J4195,9,0)</f>
        <v>R1024</v>
      </c>
      <c r="R1852">
        <f>VLOOKUP($B1852,'Hospitalisation Details'!A1851:K4195,11,0)</f>
        <v>37</v>
      </c>
    </row>
    <row r="1853" spans="1:18" x14ac:dyDescent="0.35">
      <c r="A1853" t="s">
        <v>517</v>
      </c>
      <c r="B1853" t="s">
        <v>1884</v>
      </c>
      <c r="C1853" t="str">
        <f>VLOOKUP($A1853,'Customer Names'!$A:$E,4,FALSE)</f>
        <v>Yuri</v>
      </c>
      <c r="D1853" t="str">
        <f>VLOOKUP($A1853,'Medical Examinations'!$A:$J,2,FALSE)</f>
        <v>Normal Weight</v>
      </c>
      <c r="E1853">
        <f>VLOOKUP($A1853,'Medical Examinations'!$A:$J,4,FALSE)</f>
        <v>4.24</v>
      </c>
      <c r="F1853" t="str">
        <f>VLOOKUP($A1853,'Medical Examinations'!$A:$J,6,FALSE)</f>
        <v>No</v>
      </c>
      <c r="G1853" t="str">
        <f>VLOOKUP($A1853,'Medical Examinations'!$A:$J,7,FALSE)</f>
        <v>No</v>
      </c>
      <c r="H1853" t="str">
        <f>VLOOKUP($A1853,'Medical Examinations'!$A:$J,8,FALSE)</f>
        <v>No</v>
      </c>
      <c r="I1853">
        <f>VLOOKUP($A1853,'Medical Examinations'!$A:$J,9,FALSE)</f>
        <v>0</v>
      </c>
      <c r="J1853" t="str">
        <f>VLOOKUP($A1853,'Medical Examinations'!$A:$J,10,FALSE)</f>
        <v>No</v>
      </c>
      <c r="K1853" t="str">
        <f>VLOOKUP($A1853,'Medical Examinations'!$A:$J,5,FALSE)</f>
        <v>Normal</v>
      </c>
      <c r="L1853">
        <f>VLOOKUP($A1854,'Medical Examinations'!$A:$J,3,FALSE)</f>
        <v>25.9</v>
      </c>
      <c r="N1853" s="11">
        <f>VLOOKUP($B1853,'Hospitalisation Details'!A1852:J4196,10,0)</f>
        <v>22829</v>
      </c>
      <c r="O1853" t="str">
        <f>VLOOKUP($B1853,'Hospitalisation Details'!A1852:J4196,8,0)</f>
        <v>tier - 2</v>
      </c>
      <c r="P1853" t="str">
        <f>VLOOKUP($B1853,'Hospitalisation Details'!A1852:J4196,7,0)</f>
        <v>tier - 3</v>
      </c>
      <c r="Q1853" t="str">
        <f>VLOOKUP($B1853,'Hospitalisation Details'!A1852:J4196,9,0)</f>
        <v>R1026</v>
      </c>
      <c r="R1853">
        <f>VLOOKUP($B1853,'Hospitalisation Details'!A1852:K4196,11,0)</f>
        <v>60</v>
      </c>
    </row>
    <row r="1854" spans="1:18" x14ac:dyDescent="0.35">
      <c r="A1854" t="s">
        <v>515</v>
      </c>
      <c r="B1854" t="s">
        <v>1885</v>
      </c>
      <c r="C1854" t="str">
        <f>VLOOKUP($A1854,'Customer Names'!$A:$E,4,FALSE)</f>
        <v>Ryan</v>
      </c>
      <c r="D1854" t="str">
        <f>VLOOKUP($A1854,'Medical Examinations'!$A:$J,2,FALSE)</f>
        <v>Overweight</v>
      </c>
      <c r="E1854">
        <f>VLOOKUP($A1854,'Medical Examinations'!$A:$J,4,FALSE)</f>
        <v>5.45</v>
      </c>
      <c r="F1854" t="str">
        <f>VLOOKUP($A1854,'Medical Examinations'!$A:$J,6,FALSE)</f>
        <v>No</v>
      </c>
      <c r="G1854" t="str">
        <f>VLOOKUP($A1854,'Medical Examinations'!$A:$J,7,FALSE)</f>
        <v>No</v>
      </c>
      <c r="H1854" t="str">
        <f>VLOOKUP($A1854,'Medical Examinations'!$A:$J,8,FALSE)</f>
        <v>No</v>
      </c>
      <c r="I1854">
        <f>VLOOKUP($A1854,'Medical Examinations'!$A:$J,9,FALSE)</f>
        <v>1</v>
      </c>
      <c r="J1854" t="str">
        <f>VLOOKUP($A1854,'Medical Examinations'!$A:$J,10,FALSE)</f>
        <v>No</v>
      </c>
      <c r="K1854" t="str">
        <f>VLOOKUP($A1854,'Medical Examinations'!$A:$J,5,FALSE)</f>
        <v>Normal</v>
      </c>
      <c r="L1854">
        <f>VLOOKUP($A1855,'Medical Examinations'!$A:$J,3,FALSE)</f>
        <v>27.72</v>
      </c>
      <c r="N1854" s="11">
        <f>VLOOKUP($B1854,'Hospitalisation Details'!A1853:J4197,10,0)</f>
        <v>31240</v>
      </c>
      <c r="O1854" t="str">
        <f>VLOOKUP($B1854,'Hospitalisation Details'!A1853:J4197,8,0)</f>
        <v>tier - 2</v>
      </c>
      <c r="P1854" t="str">
        <f>VLOOKUP($B1854,'Hospitalisation Details'!A1853:J4197,7,0)</f>
        <v>tier - 3</v>
      </c>
      <c r="Q1854" t="str">
        <f>VLOOKUP($B1854,'Hospitalisation Details'!A1853:J4197,9,0)</f>
        <v>R1011</v>
      </c>
      <c r="R1854">
        <f>VLOOKUP($B1854,'Hospitalisation Details'!A1853:K4197,11,0)</f>
        <v>37</v>
      </c>
    </row>
    <row r="1855" spans="1:18" x14ac:dyDescent="0.35">
      <c r="A1855" t="s">
        <v>514</v>
      </c>
      <c r="B1855" t="s">
        <v>1886</v>
      </c>
      <c r="C1855" t="str">
        <f>VLOOKUP($A1855,'Customer Names'!$A:$E,4,FALSE)</f>
        <v>Debbie</v>
      </c>
      <c r="D1855" t="str">
        <f>VLOOKUP($A1855,'Medical Examinations'!$A:$J,2,FALSE)</f>
        <v>Overweight</v>
      </c>
      <c r="E1855">
        <f>VLOOKUP($A1855,'Medical Examinations'!$A:$J,4,FALSE)</f>
        <v>5.03</v>
      </c>
      <c r="F1855" t="str">
        <f>VLOOKUP($A1855,'Medical Examinations'!$A:$J,6,FALSE)</f>
        <v>yes</v>
      </c>
      <c r="G1855" t="str">
        <f>VLOOKUP($A1855,'Medical Examinations'!$A:$J,7,FALSE)</f>
        <v>No</v>
      </c>
      <c r="H1855" t="str">
        <f>VLOOKUP($A1855,'Medical Examinations'!$A:$J,8,FALSE)</f>
        <v>No</v>
      </c>
      <c r="I1855">
        <f>VLOOKUP($A1855,'Medical Examinations'!$A:$J,9,FALSE)</f>
        <v>1</v>
      </c>
      <c r="J1855" t="str">
        <f>VLOOKUP($A1855,'Medical Examinations'!$A:$J,10,FALSE)</f>
        <v>No</v>
      </c>
      <c r="K1855" t="str">
        <f>VLOOKUP($A1855,'Medical Examinations'!$A:$J,5,FALSE)</f>
        <v>Normal</v>
      </c>
      <c r="L1855">
        <f>VLOOKUP($A1856,'Medical Examinations'!$A:$J,3,FALSE)</f>
        <v>31.5</v>
      </c>
      <c r="N1855" s="11">
        <f>VLOOKUP($B1855,'Hospitalisation Details'!A1854:J4198,10,0)</f>
        <v>22937</v>
      </c>
      <c r="O1855" t="str">
        <f>VLOOKUP($B1855,'Hospitalisation Details'!A1854:J4198,8,0)</f>
        <v>tier - 1</v>
      </c>
      <c r="P1855" t="str">
        <f>VLOOKUP($B1855,'Hospitalisation Details'!A1854:J4198,7,0)</f>
        <v>tier - 2</v>
      </c>
      <c r="Q1855" t="str">
        <f>VLOOKUP($B1855,'Hospitalisation Details'!A1854:J4198,9,0)</f>
        <v>R1012</v>
      </c>
      <c r="R1855">
        <f>VLOOKUP($B1855,'Hospitalisation Details'!A1854:K4198,11,0)</f>
        <v>60</v>
      </c>
    </row>
    <row r="1856" spans="1:18" x14ac:dyDescent="0.35">
      <c r="A1856" t="s">
        <v>513</v>
      </c>
      <c r="B1856" t="s">
        <v>1887</v>
      </c>
      <c r="C1856" t="str">
        <f>VLOOKUP($A1856,'Customer Names'!$A:$E,4,FALSE)</f>
        <v>Mark D</v>
      </c>
      <c r="D1856" t="str">
        <f>VLOOKUP($A1856,'Medical Examinations'!$A:$J,2,FALSE)</f>
        <v>Obesity</v>
      </c>
      <c r="E1856">
        <f>VLOOKUP($A1856,'Medical Examinations'!$A:$J,4,FALSE)</f>
        <v>9.6199999999999992</v>
      </c>
      <c r="F1856" t="str">
        <f>VLOOKUP($A1856,'Medical Examinations'!$A:$J,6,FALSE)</f>
        <v>yes</v>
      </c>
      <c r="G1856" t="str">
        <f>VLOOKUP($A1856,'Medical Examinations'!$A:$J,7,FALSE)</f>
        <v>No</v>
      </c>
      <c r="H1856" t="str">
        <f>VLOOKUP($A1856,'Medical Examinations'!$A:$J,8,FALSE)</f>
        <v>No</v>
      </c>
      <c r="I1856">
        <f>VLOOKUP($A1856,'Medical Examinations'!$A:$J,9,FALSE)</f>
        <v>1</v>
      </c>
      <c r="J1856" t="str">
        <f>VLOOKUP($A1856,'Medical Examinations'!$A:$J,10,FALSE)</f>
        <v>No</v>
      </c>
      <c r="K1856" t="str">
        <f>VLOOKUP($A1856,'Medical Examinations'!$A:$J,5,FALSE)</f>
        <v>Diabetes</v>
      </c>
      <c r="L1856">
        <f>VLOOKUP($A1857,'Medical Examinations'!$A:$J,3,FALSE)</f>
        <v>29.7</v>
      </c>
      <c r="N1856" s="11">
        <f>VLOOKUP($B1856,'Hospitalisation Details'!A1855:J4199,10,0)</f>
        <v>25489</v>
      </c>
      <c r="O1856" t="str">
        <f>VLOOKUP($B1856,'Hospitalisation Details'!A1855:J4199,8,0)</f>
        <v>tier - 2</v>
      </c>
      <c r="P1856" t="str">
        <f>VLOOKUP($B1856,'Hospitalisation Details'!A1855:J4199,7,0)</f>
        <v>tier - 2</v>
      </c>
      <c r="Q1856" t="str">
        <f>VLOOKUP($B1856,'Hospitalisation Details'!A1855:J4199,9,0)</f>
        <v>R1013</v>
      </c>
      <c r="R1856">
        <f>VLOOKUP($B1856,'Hospitalisation Details'!A1855:K4199,11,0)</f>
        <v>53</v>
      </c>
    </row>
    <row r="1857" spans="1:18" x14ac:dyDescent="0.35">
      <c r="A1857" t="s">
        <v>512</v>
      </c>
      <c r="B1857" t="s">
        <v>1888</v>
      </c>
      <c r="C1857" t="str">
        <f>VLOOKUP($A1857,'Customer Names'!$A:$E,4,FALSE)</f>
        <v>Christopher</v>
      </c>
      <c r="D1857" t="str">
        <f>VLOOKUP($A1857,'Medical Examinations'!$A:$J,2,FALSE)</f>
        <v>Overweight</v>
      </c>
      <c r="E1857">
        <f>VLOOKUP($A1857,'Medical Examinations'!$A:$J,4,FALSE)</f>
        <v>6.77</v>
      </c>
      <c r="F1857" t="str">
        <f>VLOOKUP($A1857,'Medical Examinations'!$A:$J,6,FALSE)</f>
        <v>yes</v>
      </c>
      <c r="G1857" t="str">
        <f>VLOOKUP($A1857,'Medical Examinations'!$A:$J,7,FALSE)</f>
        <v>No</v>
      </c>
      <c r="H1857" t="str">
        <f>VLOOKUP($A1857,'Medical Examinations'!$A:$J,8,FALSE)</f>
        <v>No</v>
      </c>
      <c r="I1857">
        <f>VLOOKUP($A1857,'Medical Examinations'!$A:$J,9,FALSE)</f>
        <v>1</v>
      </c>
      <c r="J1857" t="str">
        <f>VLOOKUP($A1857,'Medical Examinations'!$A:$J,10,FALSE)</f>
        <v>No</v>
      </c>
      <c r="K1857" t="str">
        <f>VLOOKUP($A1857,'Medical Examinations'!$A:$J,5,FALSE)</f>
        <v>Diabetes</v>
      </c>
      <c r="L1857">
        <f>VLOOKUP($A1858,'Medical Examinations'!$A:$J,3,FALSE)</f>
        <v>21.26</v>
      </c>
      <c r="N1857" s="11">
        <f>VLOOKUP($B1857,'Hospitalisation Details'!A1856:J4200,10,0)</f>
        <v>24297</v>
      </c>
      <c r="O1857" t="str">
        <f>VLOOKUP($B1857,'Hospitalisation Details'!A1856:J4200,8,0)</f>
        <v>tier - 2</v>
      </c>
      <c r="P1857" t="str">
        <f>VLOOKUP($B1857,'Hospitalisation Details'!A1856:J4200,7,0)</f>
        <v>tier - 3</v>
      </c>
      <c r="Q1857" t="str">
        <f>VLOOKUP($B1857,'Hospitalisation Details'!A1856:J4200,9,0)</f>
        <v>R1012</v>
      </c>
      <c r="R1857">
        <f>VLOOKUP($B1857,'Hospitalisation Details'!A1856:K4200,11,0)</f>
        <v>56</v>
      </c>
    </row>
    <row r="1858" spans="1:18" x14ac:dyDescent="0.35">
      <c r="A1858" t="s">
        <v>511</v>
      </c>
      <c r="B1858" t="s">
        <v>1889</v>
      </c>
      <c r="C1858" t="str">
        <f>VLOOKUP($A1858,'Customer Names'!$A:$E,4,FALSE)</f>
        <v>Daniell L</v>
      </c>
      <c r="D1858" t="str">
        <f>VLOOKUP($A1858,'Medical Examinations'!$A:$J,2,FALSE)</f>
        <v>Normal Weight</v>
      </c>
      <c r="E1858">
        <f>VLOOKUP($A1858,'Medical Examinations'!$A:$J,4,FALSE)</f>
        <v>5.36</v>
      </c>
      <c r="F1858" t="str">
        <f>VLOOKUP($A1858,'Medical Examinations'!$A:$J,6,FALSE)</f>
        <v>yes</v>
      </c>
      <c r="G1858" t="str">
        <f>VLOOKUP($A1858,'Medical Examinations'!$A:$J,7,FALSE)</f>
        <v>No</v>
      </c>
      <c r="H1858" t="str">
        <f>VLOOKUP($A1858,'Medical Examinations'!$A:$J,8,FALSE)</f>
        <v>No</v>
      </c>
      <c r="I1858">
        <f>VLOOKUP($A1858,'Medical Examinations'!$A:$J,9,FALSE)</f>
        <v>1</v>
      </c>
      <c r="J1858" t="str">
        <f>VLOOKUP($A1858,'Medical Examinations'!$A:$J,10,FALSE)</f>
        <v>No</v>
      </c>
      <c r="K1858" t="str">
        <f>VLOOKUP($A1858,'Medical Examinations'!$A:$J,5,FALSE)</f>
        <v>Normal</v>
      </c>
      <c r="L1858">
        <f>VLOOKUP($A1859,'Medical Examinations'!$A:$J,3,FALSE)</f>
        <v>17.09</v>
      </c>
      <c r="N1858" s="11">
        <f>VLOOKUP($B1858,'Hospitalisation Details'!A1857:J4201,10,0)</f>
        <v>24823</v>
      </c>
      <c r="O1858" t="str">
        <f>VLOOKUP($B1858,'Hospitalisation Details'!A1857:J4201,8,0)</f>
        <v>tier - 3</v>
      </c>
      <c r="P1858" t="str">
        <f>VLOOKUP($B1858,'Hospitalisation Details'!A1857:J4201,7,0)</f>
        <v>tier - 2</v>
      </c>
      <c r="Q1858" t="str">
        <f>VLOOKUP($B1858,'Hospitalisation Details'!A1857:J4201,9,0)</f>
        <v>R1011</v>
      </c>
      <c r="R1858">
        <f>VLOOKUP($B1858,'Hospitalisation Details'!A1857:K4201,11,0)</f>
        <v>55</v>
      </c>
    </row>
    <row r="1859" spans="1:18" x14ac:dyDescent="0.35">
      <c r="A1859" t="s">
        <v>510</v>
      </c>
      <c r="B1859" t="s">
        <v>1890</v>
      </c>
      <c r="C1859" t="str">
        <f>VLOOKUP($A1859,'Customer Names'!$A:$E,4,FALSE)</f>
        <v>Janne</v>
      </c>
      <c r="D1859" t="str">
        <f>VLOOKUP($A1859,'Medical Examinations'!$A:$J,2,FALSE)</f>
        <v>Underweight</v>
      </c>
      <c r="E1859">
        <f>VLOOKUP($A1859,'Medical Examinations'!$A:$J,4,FALSE)</f>
        <v>5.69</v>
      </c>
      <c r="F1859" t="str">
        <f>VLOOKUP($A1859,'Medical Examinations'!$A:$J,6,FALSE)</f>
        <v>No</v>
      </c>
      <c r="G1859" t="str">
        <f>VLOOKUP($A1859,'Medical Examinations'!$A:$J,7,FALSE)</f>
        <v>No</v>
      </c>
      <c r="H1859" t="str">
        <f>VLOOKUP($A1859,'Medical Examinations'!$A:$J,8,FALSE)</f>
        <v>No</v>
      </c>
      <c r="I1859">
        <f>VLOOKUP($A1859,'Medical Examinations'!$A:$J,9,FALSE)</f>
        <v>0</v>
      </c>
      <c r="J1859" t="str">
        <f>VLOOKUP($A1859,'Medical Examinations'!$A:$J,10,FALSE)</f>
        <v>No</v>
      </c>
      <c r="K1859" t="str">
        <f>VLOOKUP($A1859,'Medical Examinations'!$A:$J,5,FALSE)</f>
        <v>Normal</v>
      </c>
      <c r="L1859">
        <f>VLOOKUP($A1860,'Medical Examinations'!$A:$J,3,FALSE)</f>
        <v>24.3</v>
      </c>
      <c r="N1859" s="11">
        <f>VLOOKUP($B1859,'Hospitalisation Details'!A1858:J4202,10,0)</f>
        <v>23955</v>
      </c>
      <c r="O1859" t="str">
        <f>VLOOKUP($B1859,'Hospitalisation Details'!A1858:J4202,8,0)</f>
        <v>tier - 2</v>
      </c>
      <c r="P1859" t="str">
        <f>VLOOKUP($B1859,'Hospitalisation Details'!A1858:J4202,7,0)</f>
        <v>tier - 3</v>
      </c>
      <c r="Q1859" t="str">
        <f>VLOOKUP($B1859,'Hospitalisation Details'!A1858:J4202,9,0)</f>
        <v>R1019</v>
      </c>
      <c r="R1859">
        <f>VLOOKUP($B1859,'Hospitalisation Details'!A1858:K4202,11,0)</f>
        <v>57</v>
      </c>
    </row>
    <row r="1860" spans="1:18" x14ac:dyDescent="0.35">
      <c r="A1860" t="s">
        <v>509</v>
      </c>
      <c r="B1860" t="s">
        <v>1891</v>
      </c>
      <c r="C1860" t="str">
        <f>VLOOKUP($A1860,'Customer Names'!$A:$E,4,FALSE)</f>
        <v>Martina</v>
      </c>
      <c r="D1860" t="str">
        <f>VLOOKUP($A1860,'Medical Examinations'!$A:$J,2,FALSE)</f>
        <v>Normal Weight</v>
      </c>
      <c r="E1860">
        <f>VLOOKUP($A1860,'Medical Examinations'!$A:$J,4,FALSE)</f>
        <v>4.9000000000000004</v>
      </c>
      <c r="F1860" t="str">
        <f>VLOOKUP($A1860,'Medical Examinations'!$A:$J,6,FALSE)</f>
        <v>yes</v>
      </c>
      <c r="G1860" t="str">
        <f>VLOOKUP($A1860,'Medical Examinations'!$A:$J,7,FALSE)</f>
        <v>No</v>
      </c>
      <c r="H1860" t="str">
        <f>VLOOKUP($A1860,'Medical Examinations'!$A:$J,8,FALSE)</f>
        <v>Yes</v>
      </c>
      <c r="I1860">
        <f>VLOOKUP($A1860,'Medical Examinations'!$A:$J,9,FALSE)</f>
        <v>1</v>
      </c>
      <c r="J1860" t="str">
        <f>VLOOKUP($A1860,'Medical Examinations'!$A:$J,10,FALSE)</f>
        <v>No</v>
      </c>
      <c r="K1860" t="str">
        <f>VLOOKUP($A1860,'Medical Examinations'!$A:$J,5,FALSE)</f>
        <v>Normal</v>
      </c>
      <c r="L1860">
        <f>VLOOKUP($A1861,'Medical Examinations'!$A:$J,3,FALSE)</f>
        <v>29.734999999999999</v>
      </c>
      <c r="N1860" s="11">
        <f>VLOOKUP($B1860,'Hospitalisation Details'!A1859:J4203,10,0)</f>
        <v>33861</v>
      </c>
      <c r="O1860" t="str">
        <f>VLOOKUP($B1860,'Hospitalisation Details'!A1859:J4203,8,0)</f>
        <v>tier - 1</v>
      </c>
      <c r="P1860" t="str">
        <f>VLOOKUP($B1860,'Hospitalisation Details'!A1859:J4203,7,0)</f>
        <v>tier - 3</v>
      </c>
      <c r="Q1860" t="str">
        <f>VLOOKUP($B1860,'Hospitalisation Details'!A1859:J4203,9,0)</f>
        <v>R1012</v>
      </c>
      <c r="R1860">
        <f>VLOOKUP($B1860,'Hospitalisation Details'!A1859:K4203,11,0)</f>
        <v>30</v>
      </c>
    </row>
    <row r="1861" spans="1:18" x14ac:dyDescent="0.35">
      <c r="A1861" t="s">
        <v>508</v>
      </c>
      <c r="B1861" t="s">
        <v>1892</v>
      </c>
      <c r="C1861" t="str">
        <f>VLOOKUP($A1861,'Customer Names'!$A:$E,4,FALSE)</f>
        <v>Elizabeth L</v>
      </c>
      <c r="D1861" t="str">
        <f>VLOOKUP($A1861,'Medical Examinations'!$A:$J,2,FALSE)</f>
        <v>Overweight</v>
      </c>
      <c r="E1861">
        <f>VLOOKUP($A1861,'Medical Examinations'!$A:$J,4,FALSE)</f>
        <v>5.78</v>
      </c>
      <c r="F1861" t="str">
        <f>VLOOKUP($A1861,'Medical Examinations'!$A:$J,6,FALSE)</f>
        <v>No</v>
      </c>
      <c r="G1861" t="str">
        <f>VLOOKUP($A1861,'Medical Examinations'!$A:$J,7,FALSE)</f>
        <v>No</v>
      </c>
      <c r="H1861" t="str">
        <f>VLOOKUP($A1861,'Medical Examinations'!$A:$J,8,FALSE)</f>
        <v>No</v>
      </c>
      <c r="I1861">
        <f>VLOOKUP($A1861,'Medical Examinations'!$A:$J,9,FALSE)</f>
        <v>0</v>
      </c>
      <c r="J1861" t="str">
        <f>VLOOKUP($A1861,'Medical Examinations'!$A:$J,10,FALSE)</f>
        <v>No</v>
      </c>
      <c r="K1861" t="str">
        <f>VLOOKUP($A1861,'Medical Examinations'!$A:$J,5,FALSE)</f>
        <v>Prediabetes</v>
      </c>
      <c r="L1861">
        <f>VLOOKUP($A1862,'Medical Examinations'!$A:$J,3,FALSE)</f>
        <v>29.26</v>
      </c>
      <c r="N1861" s="11">
        <f>VLOOKUP($B1861,'Hospitalisation Details'!A1860:J4204,10,0)</f>
        <v>31628</v>
      </c>
      <c r="O1861" t="str">
        <f>VLOOKUP($B1861,'Hospitalisation Details'!A1860:J4204,8,0)</f>
        <v>tier - 3</v>
      </c>
      <c r="P1861" t="str">
        <f>VLOOKUP($B1861,'Hospitalisation Details'!A1860:J4204,7,0)</f>
        <v>tier - 2</v>
      </c>
      <c r="Q1861" t="str">
        <f>VLOOKUP($B1861,'Hospitalisation Details'!A1860:J4204,9,0)</f>
        <v>R1017</v>
      </c>
      <c r="R1861">
        <f>VLOOKUP($B1861,'Hospitalisation Details'!A1860:K4204,11,0)</f>
        <v>36</v>
      </c>
    </row>
    <row r="1862" spans="1:18" x14ac:dyDescent="0.35">
      <c r="A1862" t="s">
        <v>507</v>
      </c>
      <c r="B1862" t="s">
        <v>1893</v>
      </c>
      <c r="C1862" t="str">
        <f>VLOOKUP($A1862,'Customer Names'!$A:$E,4,FALSE)</f>
        <v>Stephanie C.</v>
      </c>
      <c r="D1862" t="str">
        <f>VLOOKUP($A1862,'Medical Examinations'!$A:$J,2,FALSE)</f>
        <v>Overweight</v>
      </c>
      <c r="E1862">
        <f>VLOOKUP($A1862,'Medical Examinations'!$A:$J,4,FALSE)</f>
        <v>4.7</v>
      </c>
      <c r="F1862" t="str">
        <f>VLOOKUP($A1862,'Medical Examinations'!$A:$J,6,FALSE)</f>
        <v>No</v>
      </c>
      <c r="G1862" t="str">
        <f>VLOOKUP($A1862,'Medical Examinations'!$A:$J,7,FALSE)</f>
        <v>No</v>
      </c>
      <c r="H1862" t="str">
        <f>VLOOKUP($A1862,'Medical Examinations'!$A:$J,8,FALSE)</f>
        <v>No</v>
      </c>
      <c r="I1862">
        <f>VLOOKUP($A1862,'Medical Examinations'!$A:$J,9,FALSE)</f>
        <v>0</v>
      </c>
      <c r="J1862" t="str">
        <f>VLOOKUP($A1862,'Medical Examinations'!$A:$J,10,FALSE)</f>
        <v>No</v>
      </c>
      <c r="K1862" t="str">
        <f>VLOOKUP($A1862,'Medical Examinations'!$A:$J,5,FALSE)</f>
        <v>Normal</v>
      </c>
      <c r="L1862">
        <f>VLOOKUP($A1863,'Medical Examinations'!$A:$J,3,FALSE)</f>
        <v>33</v>
      </c>
      <c r="N1862" s="11">
        <f>VLOOKUP($B1862,'Hospitalisation Details'!A1861:J4205,10,0)</f>
        <v>24723</v>
      </c>
      <c r="O1862" t="str">
        <f>VLOOKUP($B1862,'Hospitalisation Details'!A1861:J4205,8,0)</f>
        <v>tier - 3</v>
      </c>
      <c r="P1862" t="str">
        <f>VLOOKUP($B1862,'Hospitalisation Details'!A1861:J4205,7,0)</f>
        <v>tier - 2</v>
      </c>
      <c r="Q1862" t="str">
        <f>VLOOKUP($B1862,'Hospitalisation Details'!A1861:J4205,9,0)</f>
        <v>R1013</v>
      </c>
      <c r="R1862">
        <f>VLOOKUP($B1862,'Hospitalisation Details'!A1861:K4205,11,0)</f>
        <v>55</v>
      </c>
    </row>
    <row r="1863" spans="1:18" x14ac:dyDescent="0.35">
      <c r="A1863" t="s">
        <v>506</v>
      </c>
      <c r="B1863" t="s">
        <v>1894</v>
      </c>
      <c r="C1863" t="str">
        <f>VLOOKUP($A1863,'Customer Names'!$A:$E,4,FALSE)</f>
        <v>Katie</v>
      </c>
      <c r="D1863" t="str">
        <f>VLOOKUP($A1863,'Medical Examinations'!$A:$J,2,FALSE)</f>
        <v>Obesity</v>
      </c>
      <c r="E1863">
        <f>VLOOKUP($A1863,'Medical Examinations'!$A:$J,4,FALSE)</f>
        <v>6.28</v>
      </c>
      <c r="F1863" t="str">
        <f>VLOOKUP($A1863,'Medical Examinations'!$A:$J,6,FALSE)</f>
        <v>No</v>
      </c>
      <c r="G1863" t="str">
        <f>VLOOKUP($A1863,'Medical Examinations'!$A:$J,7,FALSE)</f>
        <v>No</v>
      </c>
      <c r="H1863" t="str">
        <f>VLOOKUP($A1863,'Medical Examinations'!$A:$J,8,FALSE)</f>
        <v>No</v>
      </c>
      <c r="I1863">
        <f>VLOOKUP($A1863,'Medical Examinations'!$A:$J,9,FALSE)</f>
        <v>0</v>
      </c>
      <c r="J1863" t="str">
        <f>VLOOKUP($A1863,'Medical Examinations'!$A:$J,10,FALSE)</f>
        <v>No</v>
      </c>
      <c r="K1863" t="str">
        <f>VLOOKUP($A1863,'Medical Examinations'!$A:$J,5,FALSE)</f>
        <v>Prediabetes</v>
      </c>
      <c r="L1863">
        <f>VLOOKUP($A1864,'Medical Examinations'!$A:$J,3,FALSE)</f>
        <v>31.065000000000001</v>
      </c>
      <c r="N1863" s="11">
        <f>VLOOKUP($B1863,'Hospitalisation Details'!A1862:J4206,10,0)</f>
        <v>27736</v>
      </c>
      <c r="O1863" t="str">
        <f>VLOOKUP($B1863,'Hospitalisation Details'!A1862:J4206,8,0)</f>
        <v>tier - 1</v>
      </c>
      <c r="P1863" t="str">
        <f>VLOOKUP($B1863,'Hospitalisation Details'!A1862:J4206,7,0)</f>
        <v>tier - 2</v>
      </c>
      <c r="Q1863" t="str">
        <f>VLOOKUP($B1863,'Hospitalisation Details'!A1862:J4206,9,0)</f>
        <v>R1024</v>
      </c>
      <c r="R1863">
        <f>VLOOKUP($B1863,'Hospitalisation Details'!A1862:K4206,11,0)</f>
        <v>47</v>
      </c>
    </row>
    <row r="1864" spans="1:18" x14ac:dyDescent="0.35">
      <c r="A1864" t="s">
        <v>505</v>
      </c>
      <c r="B1864" t="s">
        <v>1895</v>
      </c>
      <c r="C1864" t="str">
        <f>VLOOKUP($A1864,'Customer Names'!$A:$E,4,FALSE)</f>
        <v>Callie</v>
      </c>
      <c r="D1864" t="str">
        <f>VLOOKUP($A1864,'Medical Examinations'!$A:$J,2,FALSE)</f>
        <v>Obesity</v>
      </c>
      <c r="E1864">
        <f>VLOOKUP($A1864,'Medical Examinations'!$A:$J,4,FALSE)</f>
        <v>4.2300000000000004</v>
      </c>
      <c r="F1864" t="str">
        <f>VLOOKUP($A1864,'Medical Examinations'!$A:$J,6,FALSE)</f>
        <v>No</v>
      </c>
      <c r="G1864" t="str">
        <f>VLOOKUP($A1864,'Medical Examinations'!$A:$J,7,FALSE)</f>
        <v>No</v>
      </c>
      <c r="H1864" t="str">
        <f>VLOOKUP($A1864,'Medical Examinations'!$A:$J,8,FALSE)</f>
        <v>No</v>
      </c>
      <c r="I1864">
        <f>VLOOKUP($A1864,'Medical Examinations'!$A:$J,9,FALSE)</f>
        <v>0</v>
      </c>
      <c r="J1864" t="str">
        <f>VLOOKUP($A1864,'Medical Examinations'!$A:$J,10,FALSE)</f>
        <v>No</v>
      </c>
      <c r="K1864" t="str">
        <f>VLOOKUP($A1864,'Medical Examinations'!$A:$J,5,FALSE)</f>
        <v>Normal</v>
      </c>
      <c r="L1864">
        <f>VLOOKUP($A1865,'Medical Examinations'!$A:$J,3,FALSE)</f>
        <v>26.51</v>
      </c>
      <c r="N1864" s="11">
        <f>VLOOKUP($B1864,'Hospitalisation Details'!A1863:J4207,10,0)</f>
        <v>23700</v>
      </c>
      <c r="O1864" t="str">
        <f>VLOOKUP($B1864,'Hospitalisation Details'!A1863:J4207,8,0)</f>
        <v>tier - 3</v>
      </c>
      <c r="P1864" t="str">
        <f>VLOOKUP($B1864,'Hospitalisation Details'!A1863:J4207,7,0)</f>
        <v>tier - 2</v>
      </c>
      <c r="Q1864" t="str">
        <f>VLOOKUP($B1864,'Hospitalisation Details'!A1863:J4207,9,0)</f>
        <v>R1012</v>
      </c>
      <c r="R1864">
        <f>VLOOKUP($B1864,'Hospitalisation Details'!A1863:K4207,11,0)</f>
        <v>58</v>
      </c>
    </row>
    <row r="1865" spans="1:18" x14ac:dyDescent="0.35">
      <c r="A1865" t="s">
        <v>504</v>
      </c>
      <c r="B1865" t="s">
        <v>1896</v>
      </c>
      <c r="C1865" t="str">
        <f>VLOOKUP($A1865,'Customer Names'!$A:$E,4,FALSE)</f>
        <v>Inna</v>
      </c>
      <c r="D1865" t="str">
        <f>VLOOKUP($A1865,'Medical Examinations'!$A:$J,2,FALSE)</f>
        <v>Overweight</v>
      </c>
      <c r="E1865">
        <f>VLOOKUP($A1865,'Medical Examinations'!$A:$J,4,FALSE)</f>
        <v>6.17</v>
      </c>
      <c r="F1865" t="str">
        <f>VLOOKUP($A1865,'Medical Examinations'!$A:$J,6,FALSE)</f>
        <v>No</v>
      </c>
      <c r="G1865" t="str">
        <f>VLOOKUP($A1865,'Medical Examinations'!$A:$J,7,FALSE)</f>
        <v>No</v>
      </c>
      <c r="H1865" t="str">
        <f>VLOOKUP($A1865,'Medical Examinations'!$A:$J,8,FALSE)</f>
        <v>No</v>
      </c>
      <c r="I1865">
        <f>VLOOKUP($A1865,'Medical Examinations'!$A:$J,9,FALSE)</f>
        <v>0</v>
      </c>
      <c r="J1865" t="str">
        <f>VLOOKUP($A1865,'Medical Examinations'!$A:$J,10,FALSE)</f>
        <v>No</v>
      </c>
      <c r="K1865" t="str">
        <f>VLOOKUP($A1865,'Medical Examinations'!$A:$J,5,FALSE)</f>
        <v>Prediabetes</v>
      </c>
      <c r="L1865">
        <f>VLOOKUP($A1866,'Medical Examinations'!$A:$J,3,FALSE)</f>
        <v>28.88</v>
      </c>
      <c r="N1865" s="11">
        <f>VLOOKUP($B1865,'Hospitalisation Details'!A1864:J4208,10,0)</f>
        <v>32108</v>
      </c>
      <c r="O1865" t="str">
        <f>VLOOKUP($B1865,'Hospitalisation Details'!A1864:J4208,8,0)</f>
        <v>tier - 2</v>
      </c>
      <c r="P1865" t="str">
        <f>VLOOKUP($B1865,'Hospitalisation Details'!A1864:J4208,7,0)</f>
        <v>tier - 2</v>
      </c>
      <c r="Q1865" t="str">
        <f>VLOOKUP($B1865,'Hospitalisation Details'!A1864:J4208,9,0)</f>
        <v>R1015</v>
      </c>
      <c r="R1865">
        <f>VLOOKUP($B1865,'Hospitalisation Details'!A1864:K4208,11,0)</f>
        <v>35</v>
      </c>
    </row>
    <row r="1866" spans="1:18" x14ac:dyDescent="0.35">
      <c r="A1866" t="s">
        <v>503</v>
      </c>
      <c r="B1866" t="s">
        <v>1897</v>
      </c>
      <c r="C1866" t="str">
        <f>VLOOKUP($A1866,'Customer Names'!$A:$E,4,FALSE)</f>
        <v>Mary K.</v>
      </c>
      <c r="D1866" t="str">
        <f>VLOOKUP($A1866,'Medical Examinations'!$A:$J,2,FALSE)</f>
        <v>Overweight</v>
      </c>
      <c r="E1866">
        <f>VLOOKUP($A1866,'Medical Examinations'!$A:$J,4,FALSE)</f>
        <v>4.96</v>
      </c>
      <c r="F1866" t="str">
        <f>VLOOKUP($A1866,'Medical Examinations'!$A:$J,6,FALSE)</f>
        <v>No</v>
      </c>
      <c r="G1866" t="str">
        <f>VLOOKUP($A1866,'Medical Examinations'!$A:$J,7,FALSE)</f>
        <v>No</v>
      </c>
      <c r="H1866" t="str">
        <f>VLOOKUP($A1866,'Medical Examinations'!$A:$J,8,FALSE)</f>
        <v>No</v>
      </c>
      <c r="I1866">
        <f>VLOOKUP($A1866,'Medical Examinations'!$A:$J,9,FALSE)</f>
        <v>0</v>
      </c>
      <c r="J1866" t="str">
        <f>VLOOKUP($A1866,'Medical Examinations'!$A:$J,10,FALSE)</f>
        <v>No</v>
      </c>
      <c r="K1866" t="str">
        <f>VLOOKUP($A1866,'Medical Examinations'!$A:$J,5,FALSE)</f>
        <v>Normal</v>
      </c>
      <c r="L1866">
        <f>VLOOKUP($A1867,'Medical Examinations'!$A:$J,3,FALSE)</f>
        <v>35.814999999999998</v>
      </c>
      <c r="N1866" s="11">
        <f>VLOOKUP($B1866,'Hospitalisation Details'!A1865:J4209,10,0)</f>
        <v>30499</v>
      </c>
      <c r="O1866" t="str">
        <f>VLOOKUP($B1866,'Hospitalisation Details'!A1865:J4209,8,0)</f>
        <v>tier - 2</v>
      </c>
      <c r="P1866" t="str">
        <f>VLOOKUP($B1866,'Hospitalisation Details'!A1865:J4209,7,0)</f>
        <v>tier - 3</v>
      </c>
      <c r="Q1866" t="str">
        <f>VLOOKUP($B1866,'Hospitalisation Details'!A1865:J4209,9,0)</f>
        <v>R1011</v>
      </c>
      <c r="R1866">
        <f>VLOOKUP($B1866,'Hospitalisation Details'!A1865:K4209,11,0)</f>
        <v>39</v>
      </c>
    </row>
    <row r="1867" spans="1:18" x14ac:dyDescent="0.35">
      <c r="A1867" t="s">
        <v>502</v>
      </c>
      <c r="B1867" t="s">
        <v>1898</v>
      </c>
      <c r="C1867" t="str">
        <f>VLOOKUP($A1867,'Customer Names'!$A:$E,4,FALSE)</f>
        <v>Samuel M.</v>
      </c>
      <c r="D1867" t="str">
        <f>VLOOKUP($A1867,'Medical Examinations'!$A:$J,2,FALSE)</f>
        <v>Obesity</v>
      </c>
      <c r="E1867">
        <f>VLOOKUP($A1867,'Medical Examinations'!$A:$J,4,FALSE)</f>
        <v>5.1100000000000003</v>
      </c>
      <c r="F1867" t="str">
        <f>VLOOKUP($A1867,'Medical Examinations'!$A:$J,6,FALSE)</f>
        <v>yes</v>
      </c>
      <c r="G1867" t="str">
        <f>VLOOKUP($A1867,'Medical Examinations'!$A:$J,7,FALSE)</f>
        <v>No</v>
      </c>
      <c r="H1867" t="str">
        <f>VLOOKUP($A1867,'Medical Examinations'!$A:$J,8,FALSE)</f>
        <v>No</v>
      </c>
      <c r="I1867">
        <f>VLOOKUP($A1867,'Medical Examinations'!$A:$J,9,FALSE)</f>
        <v>1</v>
      </c>
      <c r="J1867" t="str">
        <f>VLOOKUP($A1867,'Medical Examinations'!$A:$J,10,FALSE)</f>
        <v>No</v>
      </c>
      <c r="K1867" t="str">
        <f>VLOOKUP($A1867,'Medical Examinations'!$A:$J,5,FALSE)</f>
        <v>Normal</v>
      </c>
      <c r="L1867">
        <f>VLOOKUP($A1868,'Medical Examinations'!$A:$J,3,FALSE)</f>
        <v>21.28</v>
      </c>
      <c r="N1867" s="11">
        <f>VLOOKUP($B1867,'Hospitalisation Details'!A1866:J4210,10,0)</f>
        <v>28452</v>
      </c>
      <c r="O1867" t="str">
        <f>VLOOKUP($B1867,'Hospitalisation Details'!A1866:J4210,8,0)</f>
        <v>tier - 3</v>
      </c>
      <c r="P1867" t="str">
        <f>VLOOKUP($B1867,'Hospitalisation Details'!A1866:J4210,7,0)</f>
        <v>tier - 3</v>
      </c>
      <c r="Q1867" t="str">
        <f>VLOOKUP($B1867,'Hospitalisation Details'!A1866:J4210,9,0)</f>
        <v>R1012</v>
      </c>
      <c r="R1867">
        <f>VLOOKUP($B1867,'Hospitalisation Details'!A1866:K4210,11,0)</f>
        <v>45</v>
      </c>
    </row>
    <row r="1868" spans="1:18" x14ac:dyDescent="0.35">
      <c r="A1868" t="s">
        <v>501</v>
      </c>
      <c r="B1868" t="s">
        <v>1899</v>
      </c>
      <c r="C1868" t="str">
        <f>VLOOKUP($A1868,'Customer Names'!$A:$E,4,FALSE)</f>
        <v>Kimberly</v>
      </c>
      <c r="D1868" t="str">
        <f>VLOOKUP($A1868,'Medical Examinations'!$A:$J,2,FALSE)</f>
        <v>Normal Weight</v>
      </c>
      <c r="E1868">
        <f>VLOOKUP($A1868,'Medical Examinations'!$A:$J,4,FALSE)</f>
        <v>4.05</v>
      </c>
      <c r="F1868" t="str">
        <f>VLOOKUP($A1868,'Medical Examinations'!$A:$J,6,FALSE)</f>
        <v>No</v>
      </c>
      <c r="G1868" t="str">
        <f>VLOOKUP($A1868,'Medical Examinations'!$A:$J,7,FALSE)</f>
        <v>yes</v>
      </c>
      <c r="H1868" t="str">
        <f>VLOOKUP($A1868,'Medical Examinations'!$A:$J,8,FALSE)</f>
        <v>No</v>
      </c>
      <c r="I1868">
        <f>VLOOKUP($A1868,'Medical Examinations'!$A:$J,9,FALSE)</f>
        <v>1</v>
      </c>
      <c r="J1868" t="str">
        <f>VLOOKUP($A1868,'Medical Examinations'!$A:$J,10,FALSE)</f>
        <v>No</v>
      </c>
      <c r="K1868" t="str">
        <f>VLOOKUP($A1868,'Medical Examinations'!$A:$J,5,FALSE)</f>
        <v>Normal</v>
      </c>
      <c r="L1868">
        <f>VLOOKUP($A1869,'Medical Examinations'!$A:$J,3,FALSE)</f>
        <v>33.81</v>
      </c>
      <c r="N1868" s="11">
        <f>VLOOKUP($B1868,'Hospitalisation Details'!A1867:J4211,10,0)</f>
        <v>25441</v>
      </c>
      <c r="O1868" t="str">
        <f>VLOOKUP($B1868,'Hospitalisation Details'!A1867:J4211,8,0)</f>
        <v>tier - 1</v>
      </c>
      <c r="P1868" t="str">
        <f>VLOOKUP($B1868,'Hospitalisation Details'!A1867:J4211,7,0)</f>
        <v>tier - 3</v>
      </c>
      <c r="Q1868" t="str">
        <f>VLOOKUP($B1868,'Hospitalisation Details'!A1867:J4211,9,0)</f>
        <v>R1013</v>
      </c>
      <c r="R1868">
        <f>VLOOKUP($B1868,'Hospitalisation Details'!A1867:K4211,11,0)</f>
        <v>53</v>
      </c>
    </row>
    <row r="1869" spans="1:18" x14ac:dyDescent="0.35">
      <c r="A1869" t="s">
        <v>500</v>
      </c>
      <c r="B1869" t="s">
        <v>1900</v>
      </c>
      <c r="C1869" t="str">
        <f>VLOOKUP($A1869,'Customer Names'!$A:$E,4,FALSE)</f>
        <v>Tom J.</v>
      </c>
      <c r="D1869" t="str">
        <f>VLOOKUP($A1869,'Medical Examinations'!$A:$J,2,FALSE)</f>
        <v>Obesity</v>
      </c>
      <c r="E1869">
        <f>VLOOKUP($A1869,'Medical Examinations'!$A:$J,4,FALSE)</f>
        <v>6.49</v>
      </c>
      <c r="F1869" t="str">
        <f>VLOOKUP($A1869,'Medical Examinations'!$A:$J,6,FALSE)</f>
        <v>No</v>
      </c>
      <c r="G1869" t="str">
        <f>VLOOKUP($A1869,'Medical Examinations'!$A:$J,7,FALSE)</f>
        <v>No</v>
      </c>
      <c r="H1869" t="str">
        <f>VLOOKUP($A1869,'Medical Examinations'!$A:$J,8,FALSE)</f>
        <v>Yes</v>
      </c>
      <c r="I1869">
        <f>VLOOKUP($A1869,'Medical Examinations'!$A:$J,9,FALSE)</f>
        <v>1</v>
      </c>
      <c r="J1869" t="str">
        <f>VLOOKUP($A1869,'Medical Examinations'!$A:$J,10,FALSE)</f>
        <v>No</v>
      </c>
      <c r="K1869" t="str">
        <f>VLOOKUP($A1869,'Medical Examinations'!$A:$J,5,FALSE)</f>
        <v>Prediabetes</v>
      </c>
      <c r="L1869">
        <f>VLOOKUP($A1870,'Medical Examinations'!$A:$J,3,FALSE)</f>
        <v>44.22</v>
      </c>
      <c r="N1869" s="11">
        <f>VLOOKUP($B1869,'Hospitalisation Details'!A1868:J4212,10,0)</f>
        <v>27316</v>
      </c>
      <c r="O1869" t="str">
        <f>VLOOKUP($B1869,'Hospitalisation Details'!A1868:J4212,8,0)</f>
        <v>tier - 2</v>
      </c>
      <c r="P1869" t="str">
        <f>VLOOKUP($B1869,'Hospitalisation Details'!A1868:J4212,7,0)</f>
        <v>tier - 3</v>
      </c>
      <c r="Q1869" t="str">
        <f>VLOOKUP($B1869,'Hospitalisation Details'!A1868:J4212,9,0)</f>
        <v>R1013</v>
      </c>
      <c r="R1869">
        <f>VLOOKUP($B1869,'Hospitalisation Details'!A1868:K4212,11,0)</f>
        <v>48</v>
      </c>
    </row>
    <row r="1870" spans="1:18" x14ac:dyDescent="0.35">
      <c r="A1870" t="s">
        <v>499</v>
      </c>
      <c r="B1870" t="s">
        <v>1901</v>
      </c>
      <c r="C1870" t="str">
        <f>VLOOKUP($A1870,'Customer Names'!$A:$E,4,FALSE)</f>
        <v>Zachary</v>
      </c>
      <c r="D1870" t="str">
        <f>VLOOKUP($A1870,'Medical Examinations'!$A:$J,2,FALSE)</f>
        <v>Obesity</v>
      </c>
      <c r="E1870">
        <f>VLOOKUP($A1870,'Medical Examinations'!$A:$J,4,FALSE)</f>
        <v>4.1900000000000004</v>
      </c>
      <c r="F1870" t="str">
        <f>VLOOKUP($A1870,'Medical Examinations'!$A:$J,6,FALSE)</f>
        <v>No</v>
      </c>
      <c r="G1870" t="str">
        <f>VLOOKUP($A1870,'Medical Examinations'!$A:$J,7,FALSE)</f>
        <v>No</v>
      </c>
      <c r="H1870" t="str">
        <f>VLOOKUP($A1870,'Medical Examinations'!$A:$J,8,FALSE)</f>
        <v>No</v>
      </c>
      <c r="I1870">
        <f>VLOOKUP($A1870,'Medical Examinations'!$A:$J,9,FALSE)</f>
        <v>1</v>
      </c>
      <c r="J1870" t="str">
        <f>VLOOKUP($A1870,'Medical Examinations'!$A:$J,10,FALSE)</f>
        <v>No</v>
      </c>
      <c r="K1870" t="str">
        <f>VLOOKUP($A1870,'Medical Examinations'!$A:$J,5,FALSE)</f>
        <v>Normal</v>
      </c>
      <c r="L1870">
        <f>VLOOKUP($A1871,'Medical Examinations'!$A:$J,3,FALSE)</f>
        <v>15.46</v>
      </c>
      <c r="N1870" s="11">
        <f>VLOOKUP($B1870,'Hospitalisation Details'!A1869:J4213,10,0)</f>
        <v>27275</v>
      </c>
      <c r="O1870" t="str">
        <f>VLOOKUP($B1870,'Hospitalisation Details'!A1869:J4213,8,0)</f>
        <v>tier - 2</v>
      </c>
      <c r="P1870" t="str">
        <f>VLOOKUP($B1870,'Hospitalisation Details'!A1869:J4213,7,0)</f>
        <v>tier - 3</v>
      </c>
      <c r="Q1870" t="str">
        <f>VLOOKUP($B1870,'Hospitalisation Details'!A1869:J4213,9,0)</f>
        <v>R1011</v>
      </c>
      <c r="R1870">
        <f>VLOOKUP($B1870,'Hospitalisation Details'!A1869:K4213,11,0)</f>
        <v>48</v>
      </c>
    </row>
    <row r="1871" spans="1:18" x14ac:dyDescent="0.35">
      <c r="A1871" t="s">
        <v>498</v>
      </c>
      <c r="B1871" t="s">
        <v>1902</v>
      </c>
      <c r="C1871" t="str">
        <f>VLOOKUP($A1871,'Customer Names'!$A:$E,4,FALSE)</f>
        <v>Dane</v>
      </c>
      <c r="D1871" t="str">
        <f>VLOOKUP($A1871,'Medical Examinations'!$A:$J,2,FALSE)</f>
        <v>Underweight</v>
      </c>
      <c r="E1871">
        <f>VLOOKUP($A1871,'Medical Examinations'!$A:$J,4,FALSE)</f>
        <v>4.99</v>
      </c>
      <c r="F1871" t="str">
        <f>VLOOKUP($A1871,'Medical Examinations'!$A:$J,6,FALSE)</f>
        <v>yes</v>
      </c>
      <c r="G1871" t="str">
        <f>VLOOKUP($A1871,'Medical Examinations'!$A:$J,7,FALSE)</f>
        <v>No</v>
      </c>
      <c r="H1871" t="str">
        <f>VLOOKUP($A1871,'Medical Examinations'!$A:$J,8,FALSE)</f>
        <v>Yes</v>
      </c>
      <c r="I1871">
        <f>VLOOKUP($A1871,'Medical Examinations'!$A:$J,9,FALSE)</f>
        <v>1</v>
      </c>
      <c r="J1871" t="str">
        <f>VLOOKUP($A1871,'Medical Examinations'!$A:$J,10,FALSE)</f>
        <v>No</v>
      </c>
      <c r="K1871" t="str">
        <f>VLOOKUP($A1871,'Medical Examinations'!$A:$J,5,FALSE)</f>
        <v>Normal</v>
      </c>
      <c r="L1871">
        <f>VLOOKUP($A1872,'Medical Examinations'!$A:$J,3,FALSE)</f>
        <v>30.3</v>
      </c>
      <c r="N1871" s="11">
        <f>VLOOKUP($B1871,'Hospitalisation Details'!A1870:J4214,10,0)</f>
        <v>29565</v>
      </c>
      <c r="O1871" t="str">
        <f>VLOOKUP($B1871,'Hospitalisation Details'!A1870:J4214,8,0)</f>
        <v>tier - 3</v>
      </c>
      <c r="P1871" t="str">
        <f>VLOOKUP($B1871,'Hospitalisation Details'!A1870:J4214,7,0)</f>
        <v>tier - 3</v>
      </c>
      <c r="Q1871" t="str">
        <f>VLOOKUP($B1871,'Hospitalisation Details'!A1870:J4214,9,0)</f>
        <v>R1019</v>
      </c>
      <c r="R1871">
        <f>VLOOKUP($B1871,'Hospitalisation Details'!A1870:K4214,11,0)</f>
        <v>42</v>
      </c>
    </row>
    <row r="1872" spans="1:18" x14ac:dyDescent="0.35">
      <c r="A1872" t="s">
        <v>497</v>
      </c>
      <c r="B1872" t="s">
        <v>1903</v>
      </c>
      <c r="C1872" t="str">
        <f>VLOOKUP($A1872,'Customer Names'!$A:$E,4,FALSE)</f>
        <v>Dougie J</v>
      </c>
      <c r="D1872" t="str">
        <f>VLOOKUP($A1872,'Medical Examinations'!$A:$J,2,FALSE)</f>
        <v>Obesity</v>
      </c>
      <c r="E1872">
        <f>VLOOKUP($A1872,'Medical Examinations'!$A:$J,4,FALSE)</f>
        <v>4.7699999999999996</v>
      </c>
      <c r="F1872" t="str">
        <f>VLOOKUP($A1872,'Medical Examinations'!$A:$J,6,FALSE)</f>
        <v>yes</v>
      </c>
      <c r="G1872" t="str">
        <f>VLOOKUP($A1872,'Medical Examinations'!$A:$J,7,FALSE)</f>
        <v>No</v>
      </c>
      <c r="H1872" t="str">
        <f>VLOOKUP($A1872,'Medical Examinations'!$A:$J,8,FALSE)</f>
        <v>No</v>
      </c>
      <c r="I1872">
        <f>VLOOKUP($A1872,'Medical Examinations'!$A:$J,9,FALSE)</f>
        <v>1</v>
      </c>
      <c r="J1872" t="str">
        <f>VLOOKUP($A1872,'Medical Examinations'!$A:$J,10,FALSE)</f>
        <v>No</v>
      </c>
      <c r="K1872" t="str">
        <f>VLOOKUP($A1872,'Medical Examinations'!$A:$J,5,FALSE)</f>
        <v>Normal</v>
      </c>
      <c r="L1872">
        <f>VLOOKUP($A1873,'Medical Examinations'!$A:$J,3,FALSE)</f>
        <v>16.670000000000002</v>
      </c>
      <c r="N1872" s="11">
        <f>VLOOKUP($B1872,'Hospitalisation Details'!A1871:J4215,10,0)</f>
        <v>38203</v>
      </c>
      <c r="O1872" t="str">
        <f>VLOOKUP($B1872,'Hospitalisation Details'!A1871:J4215,8,0)</f>
        <v>tier - 1</v>
      </c>
      <c r="P1872" t="str">
        <f>VLOOKUP($B1872,'Hospitalisation Details'!A1871:J4215,7,0)</f>
        <v>tier - 3</v>
      </c>
      <c r="Q1872" t="str">
        <f>VLOOKUP($B1872,'Hospitalisation Details'!A1871:J4215,9,0)</f>
        <v>R1024</v>
      </c>
      <c r="R1872">
        <f>VLOOKUP($B1872,'Hospitalisation Details'!A1871:K4215,11,0)</f>
        <v>18</v>
      </c>
    </row>
    <row r="1873" spans="1:18" x14ac:dyDescent="0.35">
      <c r="A1873" t="s">
        <v>496</v>
      </c>
      <c r="B1873" t="s">
        <v>1904</v>
      </c>
      <c r="C1873" t="str">
        <f>VLOOKUP($A1873,'Customer Names'!$A:$E,4,FALSE)</f>
        <v>Jeremiah H</v>
      </c>
      <c r="D1873" t="str">
        <f>VLOOKUP($A1873,'Medical Examinations'!$A:$J,2,FALSE)</f>
        <v>Underweight</v>
      </c>
      <c r="E1873">
        <f>VLOOKUP($A1873,'Medical Examinations'!$A:$J,4,FALSE)</f>
        <v>5.46</v>
      </c>
      <c r="F1873" t="str">
        <f>VLOOKUP($A1873,'Medical Examinations'!$A:$J,6,FALSE)</f>
        <v>No</v>
      </c>
      <c r="G1873" t="str">
        <f>VLOOKUP($A1873,'Medical Examinations'!$A:$J,7,FALSE)</f>
        <v>No</v>
      </c>
      <c r="H1873" t="str">
        <f>VLOOKUP($A1873,'Medical Examinations'!$A:$J,8,FALSE)</f>
        <v>No</v>
      </c>
      <c r="I1873">
        <f>VLOOKUP($A1873,'Medical Examinations'!$A:$J,9,FALSE)</f>
        <v>0</v>
      </c>
      <c r="J1873" t="str">
        <f>VLOOKUP($A1873,'Medical Examinations'!$A:$J,10,FALSE)</f>
        <v>No</v>
      </c>
      <c r="K1873" t="str">
        <f>VLOOKUP($A1873,'Medical Examinations'!$A:$J,5,FALSE)</f>
        <v>Normal</v>
      </c>
      <c r="L1873">
        <f>VLOOKUP($A1874,'Medical Examinations'!$A:$J,3,FALSE)</f>
        <v>28.594999999999999</v>
      </c>
      <c r="N1873" s="11">
        <f>VLOOKUP($B1873,'Hospitalisation Details'!A1872:J4216,10,0)</f>
        <v>29468</v>
      </c>
      <c r="O1873" t="str">
        <f>VLOOKUP($B1873,'Hospitalisation Details'!A1872:J4216,8,0)</f>
        <v>tier - 1</v>
      </c>
      <c r="P1873" t="str">
        <f>VLOOKUP($B1873,'Hospitalisation Details'!A1872:J4216,7,0)</f>
        <v>tier - 2</v>
      </c>
      <c r="Q1873" t="str">
        <f>VLOOKUP($B1873,'Hospitalisation Details'!A1872:J4216,9,0)</f>
        <v>R1012</v>
      </c>
      <c r="R1873">
        <f>VLOOKUP($B1873,'Hospitalisation Details'!A1872:K4216,11,0)</f>
        <v>42</v>
      </c>
    </row>
    <row r="1874" spans="1:18" x14ac:dyDescent="0.35">
      <c r="A1874" t="s">
        <v>495</v>
      </c>
      <c r="B1874" t="s">
        <v>1905</v>
      </c>
      <c r="C1874" t="str">
        <f>VLOOKUP($A1874,'Customer Names'!$A:$E,4,FALSE)</f>
        <v>Ashley J.</v>
      </c>
      <c r="D1874" t="str">
        <f>VLOOKUP($A1874,'Medical Examinations'!$A:$J,2,FALSE)</f>
        <v>Overweight</v>
      </c>
      <c r="E1874">
        <f>VLOOKUP($A1874,'Medical Examinations'!$A:$J,4,FALSE)</f>
        <v>5.43</v>
      </c>
      <c r="F1874" t="str">
        <f>VLOOKUP($A1874,'Medical Examinations'!$A:$J,6,FALSE)</f>
        <v>No</v>
      </c>
      <c r="G1874" t="str">
        <f>VLOOKUP($A1874,'Medical Examinations'!$A:$J,7,FALSE)</f>
        <v>No</v>
      </c>
      <c r="H1874" t="str">
        <f>VLOOKUP($A1874,'Medical Examinations'!$A:$J,8,FALSE)</f>
        <v>No</v>
      </c>
      <c r="I1874">
        <f>VLOOKUP($A1874,'Medical Examinations'!$A:$J,9,FALSE)</f>
        <v>0</v>
      </c>
      <c r="J1874" t="str">
        <f>VLOOKUP($A1874,'Medical Examinations'!$A:$J,10,FALSE)</f>
        <v>No</v>
      </c>
      <c r="K1874" t="str">
        <f>VLOOKUP($A1874,'Medical Examinations'!$A:$J,5,FALSE)</f>
        <v>Normal</v>
      </c>
      <c r="L1874">
        <f>VLOOKUP($A1875,'Medical Examinations'!$A:$J,3,FALSE)</f>
        <v>25.934999999999999</v>
      </c>
      <c r="N1874" s="11">
        <f>VLOOKUP($B1874,'Hospitalisation Details'!A1873:J4217,10,0)</f>
        <v>33198</v>
      </c>
      <c r="O1874" t="str">
        <f>VLOOKUP($B1874,'Hospitalisation Details'!A1873:J4217,8,0)</f>
        <v>tier - 2</v>
      </c>
      <c r="P1874" t="str">
        <f>VLOOKUP($B1874,'Hospitalisation Details'!A1873:J4217,7,0)</f>
        <v>tier - 2</v>
      </c>
      <c r="Q1874" t="str">
        <f>VLOOKUP($B1874,'Hospitalisation Details'!A1873:J4217,9,0)</f>
        <v>R1012</v>
      </c>
      <c r="R1874">
        <f>VLOOKUP($B1874,'Hospitalisation Details'!A1873:K4217,11,0)</f>
        <v>32</v>
      </c>
    </row>
    <row r="1875" spans="1:18" x14ac:dyDescent="0.35">
      <c r="A1875" t="s">
        <v>494</v>
      </c>
      <c r="B1875" t="s">
        <v>1906</v>
      </c>
      <c r="C1875" t="str">
        <f>VLOOKUP($A1875,'Customer Names'!$A:$E,4,FALSE)</f>
        <v>Turner J.</v>
      </c>
      <c r="D1875" t="str">
        <f>VLOOKUP($A1875,'Medical Examinations'!$A:$J,2,FALSE)</f>
        <v>Overweight</v>
      </c>
      <c r="E1875">
        <f>VLOOKUP($A1875,'Medical Examinations'!$A:$J,4,FALSE)</f>
        <v>4.29</v>
      </c>
      <c r="F1875" t="str">
        <f>VLOOKUP($A1875,'Medical Examinations'!$A:$J,6,FALSE)</f>
        <v>No</v>
      </c>
      <c r="G1875" t="str">
        <f>VLOOKUP($A1875,'Medical Examinations'!$A:$J,7,FALSE)</f>
        <v>No</v>
      </c>
      <c r="H1875" t="str">
        <f>VLOOKUP($A1875,'Medical Examinations'!$A:$J,8,FALSE)</f>
        <v>No</v>
      </c>
      <c r="I1875">
        <f>VLOOKUP($A1875,'Medical Examinations'!$A:$J,9,FALSE)</f>
        <v>0</v>
      </c>
      <c r="J1875" t="str">
        <f>VLOOKUP($A1875,'Medical Examinations'!$A:$J,10,FALSE)</f>
        <v>No</v>
      </c>
      <c r="K1875" t="str">
        <f>VLOOKUP($A1875,'Medical Examinations'!$A:$J,5,FALSE)</f>
        <v>Normal</v>
      </c>
      <c r="L1875">
        <f>VLOOKUP($A1876,'Medical Examinations'!$A:$J,3,FALSE)</f>
        <v>27.645</v>
      </c>
      <c r="N1875" s="11">
        <f>VLOOKUP($B1875,'Hospitalisation Details'!A1874:J4218,10,0)</f>
        <v>36323</v>
      </c>
      <c r="O1875" t="str">
        <f>VLOOKUP($B1875,'Hospitalisation Details'!A1874:J4218,8,0)</f>
        <v>tier - 3</v>
      </c>
      <c r="P1875" t="str">
        <f>VLOOKUP($B1875,'Hospitalisation Details'!A1874:J4218,7,0)</f>
        <v>tier - 2</v>
      </c>
      <c r="Q1875" t="str">
        <f>VLOOKUP($B1875,'Hospitalisation Details'!A1874:J4218,9,0)</f>
        <v>R1012</v>
      </c>
      <c r="R1875">
        <f>VLOOKUP($B1875,'Hospitalisation Details'!A1874:K4218,11,0)</f>
        <v>23</v>
      </c>
    </row>
    <row r="1876" spans="1:18" x14ac:dyDescent="0.35">
      <c r="A1876" t="s">
        <v>493</v>
      </c>
      <c r="B1876" t="s">
        <v>1907</v>
      </c>
      <c r="C1876" t="str">
        <f>VLOOKUP($A1876,'Customer Names'!$A:$E,4,FALSE)</f>
        <v>Roger</v>
      </c>
      <c r="D1876" t="str">
        <f>VLOOKUP($A1876,'Medical Examinations'!$A:$J,2,FALSE)</f>
        <v>Overweight</v>
      </c>
      <c r="E1876">
        <f>VLOOKUP($A1876,'Medical Examinations'!$A:$J,4,FALSE)</f>
        <v>5.25</v>
      </c>
      <c r="F1876" t="str">
        <f>VLOOKUP($A1876,'Medical Examinations'!$A:$J,6,FALSE)</f>
        <v>No</v>
      </c>
      <c r="G1876" t="str">
        <f>VLOOKUP($A1876,'Medical Examinations'!$A:$J,7,FALSE)</f>
        <v>No</v>
      </c>
      <c r="H1876" t="str">
        <f>VLOOKUP($A1876,'Medical Examinations'!$A:$J,8,FALSE)</f>
        <v>No</v>
      </c>
      <c r="I1876">
        <f>VLOOKUP($A1876,'Medical Examinations'!$A:$J,9,FALSE)</f>
        <v>1</v>
      </c>
      <c r="J1876" t="str">
        <f>VLOOKUP($A1876,'Medical Examinations'!$A:$J,10,FALSE)</f>
        <v>No</v>
      </c>
      <c r="K1876" t="str">
        <f>VLOOKUP($A1876,'Medical Examinations'!$A:$J,5,FALSE)</f>
        <v>Normal</v>
      </c>
      <c r="L1876">
        <f>VLOOKUP($A1877,'Medical Examinations'!$A:$J,3,FALSE)</f>
        <v>30.1</v>
      </c>
      <c r="N1876" s="11">
        <f>VLOOKUP($B1876,'Hospitalisation Details'!A1875:J4219,10,0)</f>
        <v>30675</v>
      </c>
      <c r="O1876" t="str">
        <f>VLOOKUP($B1876,'Hospitalisation Details'!A1875:J4219,8,0)</f>
        <v>tier - 3</v>
      </c>
      <c r="P1876" t="str">
        <f>VLOOKUP($B1876,'Hospitalisation Details'!A1875:J4219,7,0)</f>
        <v>tier - 3</v>
      </c>
      <c r="Q1876" t="str">
        <f>VLOOKUP($B1876,'Hospitalisation Details'!A1875:J4219,9,0)</f>
        <v>R1024</v>
      </c>
      <c r="R1876">
        <f>VLOOKUP($B1876,'Hospitalisation Details'!A1875:K4219,11,0)</f>
        <v>39</v>
      </c>
    </row>
    <row r="1877" spans="1:18" x14ac:dyDescent="0.35">
      <c r="A1877" t="s">
        <v>492</v>
      </c>
      <c r="B1877" t="s">
        <v>1908</v>
      </c>
      <c r="C1877" t="str">
        <f>VLOOKUP($A1877,'Customer Names'!$A:$E,4,FALSE)</f>
        <v>Pamela</v>
      </c>
      <c r="D1877" t="str">
        <f>VLOOKUP($A1877,'Medical Examinations'!$A:$J,2,FALSE)</f>
        <v>Obesity</v>
      </c>
      <c r="E1877">
        <f>VLOOKUP($A1877,'Medical Examinations'!$A:$J,4,FALSE)</f>
        <v>4.04</v>
      </c>
      <c r="F1877" t="str">
        <f>VLOOKUP($A1877,'Medical Examinations'!$A:$J,6,FALSE)</f>
        <v>No</v>
      </c>
      <c r="G1877" t="str">
        <f>VLOOKUP($A1877,'Medical Examinations'!$A:$J,7,FALSE)</f>
        <v>No</v>
      </c>
      <c r="H1877" t="str">
        <f>VLOOKUP($A1877,'Medical Examinations'!$A:$J,8,FALSE)</f>
        <v>No</v>
      </c>
      <c r="I1877">
        <f>VLOOKUP($A1877,'Medical Examinations'!$A:$J,9,FALSE)</f>
        <v>1</v>
      </c>
      <c r="J1877" t="str">
        <f>VLOOKUP($A1877,'Medical Examinations'!$A:$J,10,FALSE)</f>
        <v>No</v>
      </c>
      <c r="K1877" t="str">
        <f>VLOOKUP($A1877,'Medical Examinations'!$A:$J,5,FALSE)</f>
        <v>Normal</v>
      </c>
      <c r="L1877">
        <f>VLOOKUP($A1878,'Medical Examinations'!$A:$J,3,FALSE)</f>
        <v>26.79</v>
      </c>
      <c r="N1877" s="11">
        <f>VLOOKUP($B1877,'Hospitalisation Details'!A1876:J4220,10,0)</f>
        <v>22966</v>
      </c>
      <c r="O1877" t="str">
        <f>VLOOKUP($B1877,'Hospitalisation Details'!A1876:J4220,8,0)</f>
        <v>tier - 2</v>
      </c>
      <c r="P1877" t="str">
        <f>VLOOKUP($B1877,'Hospitalisation Details'!A1876:J4220,7,0)</f>
        <v>tier - 2</v>
      </c>
      <c r="Q1877" t="str">
        <f>VLOOKUP($B1877,'Hospitalisation Details'!A1876:J4220,9,0)</f>
        <v>R1012</v>
      </c>
      <c r="R1877">
        <f>VLOOKUP($B1877,'Hospitalisation Details'!A1876:K4220,11,0)</f>
        <v>60</v>
      </c>
    </row>
    <row r="1878" spans="1:18" x14ac:dyDescent="0.35">
      <c r="A1878" t="s">
        <v>491</v>
      </c>
      <c r="B1878" t="s">
        <v>1909</v>
      </c>
      <c r="C1878" t="str">
        <f>VLOOKUP($A1878,'Customer Names'!$A:$E,4,FALSE)</f>
        <v>Allison M.</v>
      </c>
      <c r="D1878" t="str">
        <f>VLOOKUP($A1878,'Medical Examinations'!$A:$J,2,FALSE)</f>
        <v>Overweight</v>
      </c>
      <c r="E1878">
        <f>VLOOKUP($A1878,'Medical Examinations'!$A:$J,4,FALSE)</f>
        <v>5</v>
      </c>
      <c r="F1878" t="str">
        <f>VLOOKUP($A1878,'Medical Examinations'!$A:$J,6,FALSE)</f>
        <v>yes</v>
      </c>
      <c r="G1878" t="str">
        <f>VLOOKUP($A1878,'Medical Examinations'!$A:$J,7,FALSE)</f>
        <v>No</v>
      </c>
      <c r="H1878" t="str">
        <f>VLOOKUP($A1878,'Medical Examinations'!$A:$J,8,FALSE)</f>
        <v>Yes</v>
      </c>
      <c r="I1878">
        <f>VLOOKUP($A1878,'Medical Examinations'!$A:$J,9,FALSE)</f>
        <v>1</v>
      </c>
      <c r="J1878" t="str">
        <f>VLOOKUP($A1878,'Medical Examinations'!$A:$J,10,FALSE)</f>
        <v>No</v>
      </c>
      <c r="K1878" t="str">
        <f>VLOOKUP($A1878,'Medical Examinations'!$A:$J,5,FALSE)</f>
        <v>Normal</v>
      </c>
      <c r="L1878">
        <f>VLOOKUP($A1879,'Medical Examinations'!$A:$J,3,FALSE)</f>
        <v>27.1</v>
      </c>
      <c r="N1878" s="11">
        <f>VLOOKUP($B1878,'Hospitalisation Details'!A1877:J4221,10,0)</f>
        <v>27959</v>
      </c>
      <c r="O1878" t="str">
        <f>VLOOKUP($B1878,'Hospitalisation Details'!A1877:J4221,8,0)</f>
        <v>tier - 1</v>
      </c>
      <c r="P1878" t="str">
        <f>VLOOKUP($B1878,'Hospitalisation Details'!A1877:J4221,7,0)</f>
        <v>tier - 3</v>
      </c>
      <c r="Q1878" t="str">
        <f>VLOOKUP($B1878,'Hospitalisation Details'!A1877:J4221,9,0)</f>
        <v>R1012</v>
      </c>
      <c r="R1878">
        <f>VLOOKUP($B1878,'Hospitalisation Details'!A1877:K4221,11,0)</f>
        <v>46</v>
      </c>
    </row>
    <row r="1879" spans="1:18" x14ac:dyDescent="0.35">
      <c r="A1879" t="s">
        <v>490</v>
      </c>
      <c r="B1879" t="s">
        <v>1910</v>
      </c>
      <c r="C1879" t="str">
        <f>VLOOKUP($A1879,'Customer Names'!$A:$E,4,FALSE)</f>
        <v>Katherine H.</v>
      </c>
      <c r="D1879" t="str">
        <f>VLOOKUP($A1879,'Medical Examinations'!$A:$J,2,FALSE)</f>
        <v>Overweight</v>
      </c>
      <c r="E1879">
        <f>VLOOKUP($A1879,'Medical Examinations'!$A:$J,4,FALSE)</f>
        <v>4.01</v>
      </c>
      <c r="F1879" t="str">
        <f>VLOOKUP($A1879,'Medical Examinations'!$A:$J,6,FALSE)</f>
        <v>yes</v>
      </c>
      <c r="G1879" t="str">
        <f>VLOOKUP($A1879,'Medical Examinations'!$A:$J,7,FALSE)</f>
        <v>No</v>
      </c>
      <c r="H1879" t="str">
        <f>VLOOKUP($A1879,'Medical Examinations'!$A:$J,8,FALSE)</f>
        <v>No</v>
      </c>
      <c r="I1879">
        <f>VLOOKUP($A1879,'Medical Examinations'!$A:$J,9,FALSE)</f>
        <v>1</v>
      </c>
      <c r="J1879" t="str">
        <f>VLOOKUP($A1879,'Medical Examinations'!$A:$J,10,FALSE)</f>
        <v>No</v>
      </c>
      <c r="K1879" t="str">
        <f>VLOOKUP($A1879,'Medical Examinations'!$A:$J,5,FALSE)</f>
        <v>Normal</v>
      </c>
      <c r="L1879">
        <f>VLOOKUP($A1880,'Medical Examinations'!$A:$J,3,FALSE)</f>
        <v>24.31</v>
      </c>
      <c r="N1879" s="11">
        <f>VLOOKUP($B1879,'Hospitalisation Details'!A1878:J4222,10,0)</f>
        <v>29118</v>
      </c>
      <c r="O1879" t="str">
        <f>VLOOKUP($B1879,'Hospitalisation Details'!A1878:J4222,8,0)</f>
        <v>tier - 1</v>
      </c>
      <c r="P1879" t="str">
        <f>VLOOKUP($B1879,'Hospitalisation Details'!A1878:J4222,7,0)</f>
        <v>tier - 3</v>
      </c>
      <c r="Q1879" t="str">
        <f>VLOOKUP($B1879,'Hospitalisation Details'!A1878:J4222,9,0)</f>
        <v>R1024</v>
      </c>
      <c r="R1879">
        <f>VLOOKUP($B1879,'Hospitalisation Details'!A1878:K4222,11,0)</f>
        <v>43</v>
      </c>
    </row>
    <row r="1880" spans="1:18" x14ac:dyDescent="0.35">
      <c r="A1880" t="s">
        <v>489</v>
      </c>
      <c r="B1880" t="s">
        <v>1911</v>
      </c>
      <c r="C1880" t="str">
        <f>VLOOKUP($A1880,'Customer Names'!$A:$E,4,FALSE)</f>
        <v>Robin</v>
      </c>
      <c r="D1880" t="str">
        <f>VLOOKUP($A1880,'Medical Examinations'!$A:$J,2,FALSE)</f>
        <v>Normal Weight</v>
      </c>
      <c r="E1880">
        <f>VLOOKUP($A1880,'Medical Examinations'!$A:$J,4,FALSE)</f>
        <v>5.4</v>
      </c>
      <c r="F1880" t="str">
        <f>VLOOKUP($A1880,'Medical Examinations'!$A:$J,6,FALSE)</f>
        <v>No</v>
      </c>
      <c r="G1880" t="str">
        <f>VLOOKUP($A1880,'Medical Examinations'!$A:$J,7,FALSE)</f>
        <v>No</v>
      </c>
      <c r="H1880" t="str">
        <f>VLOOKUP($A1880,'Medical Examinations'!$A:$J,8,FALSE)</f>
        <v>No</v>
      </c>
      <c r="I1880">
        <f>VLOOKUP($A1880,'Medical Examinations'!$A:$J,9,FALSE)</f>
        <v>0</v>
      </c>
      <c r="J1880" t="str">
        <f>VLOOKUP($A1880,'Medical Examinations'!$A:$J,10,FALSE)</f>
        <v>No</v>
      </c>
      <c r="K1880" t="str">
        <f>VLOOKUP($A1880,'Medical Examinations'!$A:$J,5,FALSE)</f>
        <v>Normal</v>
      </c>
      <c r="L1880">
        <f>VLOOKUP($A1881,'Medical Examinations'!$A:$J,3,FALSE)</f>
        <v>15.53</v>
      </c>
      <c r="N1880" s="11">
        <f>VLOOKUP($B1880,'Hospitalisation Details'!A1879:J4223,10,0)</f>
        <v>29126</v>
      </c>
      <c r="O1880" t="str">
        <f>VLOOKUP($B1880,'Hospitalisation Details'!A1879:J4223,8,0)</f>
        <v>tier - 2</v>
      </c>
      <c r="P1880" t="str">
        <f>VLOOKUP($B1880,'Hospitalisation Details'!A1879:J4223,7,0)</f>
        <v>tier - 3</v>
      </c>
      <c r="Q1880" t="str">
        <f>VLOOKUP($B1880,'Hospitalisation Details'!A1879:J4223,9,0)</f>
        <v>R1012</v>
      </c>
      <c r="R1880">
        <f>VLOOKUP($B1880,'Hospitalisation Details'!A1879:K4223,11,0)</f>
        <v>43</v>
      </c>
    </row>
    <row r="1881" spans="1:18" x14ac:dyDescent="0.35">
      <c r="A1881" t="s">
        <v>488</v>
      </c>
      <c r="B1881" t="s">
        <v>1912</v>
      </c>
      <c r="C1881" t="str">
        <f>VLOOKUP($A1881,'Customer Names'!$A:$E,4,FALSE)</f>
        <v>Terri</v>
      </c>
      <c r="D1881" t="str">
        <f>VLOOKUP($A1881,'Medical Examinations'!$A:$J,2,FALSE)</f>
        <v>Underweight</v>
      </c>
      <c r="E1881">
        <f>VLOOKUP($A1881,'Medical Examinations'!$A:$J,4,FALSE)</f>
        <v>5.81</v>
      </c>
      <c r="F1881" t="str">
        <f>VLOOKUP($A1881,'Medical Examinations'!$A:$J,6,FALSE)</f>
        <v>No</v>
      </c>
      <c r="G1881" t="str">
        <f>VLOOKUP($A1881,'Medical Examinations'!$A:$J,7,FALSE)</f>
        <v>No</v>
      </c>
      <c r="H1881" t="str">
        <f>VLOOKUP($A1881,'Medical Examinations'!$A:$J,8,FALSE)</f>
        <v>No</v>
      </c>
      <c r="I1881">
        <f>VLOOKUP($A1881,'Medical Examinations'!$A:$J,9,FALSE)</f>
        <v>1</v>
      </c>
      <c r="J1881" t="str">
        <f>VLOOKUP($A1881,'Medical Examinations'!$A:$J,10,FALSE)</f>
        <v>No</v>
      </c>
      <c r="K1881" t="str">
        <f>VLOOKUP($A1881,'Medical Examinations'!$A:$J,5,FALSE)</f>
        <v>Prediabetes</v>
      </c>
      <c r="L1881">
        <f>VLOOKUP($A1882,'Medical Examinations'!$A:$J,3,FALSE)</f>
        <v>30.7</v>
      </c>
      <c r="N1881" s="11">
        <f>VLOOKUP($B1881,'Hospitalisation Details'!A1880:J4224,10,0)</f>
        <v>23250</v>
      </c>
      <c r="O1881" t="str">
        <f>VLOOKUP($B1881,'Hospitalisation Details'!A1880:J4224,8,0)</f>
        <v>tier - 1</v>
      </c>
      <c r="P1881" t="str">
        <f>VLOOKUP($B1881,'Hospitalisation Details'!A1880:J4224,7,0)</f>
        <v>tier - 3</v>
      </c>
      <c r="Q1881" t="str">
        <f>VLOOKUP($B1881,'Hospitalisation Details'!A1880:J4224,9,0)</f>
        <v>R1011</v>
      </c>
      <c r="R1881">
        <f>VLOOKUP($B1881,'Hospitalisation Details'!A1880:K4224,11,0)</f>
        <v>59</v>
      </c>
    </row>
    <row r="1882" spans="1:18" x14ac:dyDescent="0.35">
      <c r="A1882" t="s">
        <v>487</v>
      </c>
      <c r="B1882" t="s">
        <v>1913</v>
      </c>
      <c r="C1882" t="str">
        <f>VLOOKUP($A1882,'Customer Names'!$A:$E,4,FALSE)</f>
        <v>Eddie</v>
      </c>
      <c r="D1882" t="str">
        <f>VLOOKUP($A1882,'Medical Examinations'!$A:$J,2,FALSE)</f>
        <v>Obesity</v>
      </c>
      <c r="E1882">
        <f>VLOOKUP($A1882,'Medical Examinations'!$A:$J,4,FALSE)</f>
        <v>5.82</v>
      </c>
      <c r="F1882" t="str">
        <f>VLOOKUP($A1882,'Medical Examinations'!$A:$J,6,FALSE)</f>
        <v>No</v>
      </c>
      <c r="G1882" t="str">
        <f>VLOOKUP($A1882,'Medical Examinations'!$A:$J,7,FALSE)</f>
        <v>No</v>
      </c>
      <c r="H1882" t="str">
        <f>VLOOKUP($A1882,'Medical Examinations'!$A:$J,8,FALSE)</f>
        <v>No</v>
      </c>
      <c r="I1882">
        <f>VLOOKUP($A1882,'Medical Examinations'!$A:$J,9,FALSE)</f>
        <v>1</v>
      </c>
      <c r="J1882" t="str">
        <f>VLOOKUP($A1882,'Medical Examinations'!$A:$J,10,FALSE)</f>
        <v>No</v>
      </c>
      <c r="K1882" t="str">
        <f>VLOOKUP($A1882,'Medical Examinations'!$A:$J,5,FALSE)</f>
        <v>Prediabetes</v>
      </c>
      <c r="L1882">
        <f>VLOOKUP($A1883,'Medical Examinations'!$A:$J,3,FALSE)</f>
        <v>33.33</v>
      </c>
      <c r="N1882" s="11">
        <f>VLOOKUP($B1882,'Hospitalisation Details'!A1881:J4225,10,0)</f>
        <v>29084</v>
      </c>
      <c r="O1882" t="str">
        <f>VLOOKUP($B1882,'Hospitalisation Details'!A1881:J4225,8,0)</f>
        <v>tier - 1</v>
      </c>
      <c r="P1882" t="str">
        <f>VLOOKUP($B1882,'Hospitalisation Details'!A1881:J4225,7,0)</f>
        <v>tier - 3</v>
      </c>
      <c r="Q1882" t="str">
        <f>VLOOKUP($B1882,'Hospitalisation Details'!A1881:J4225,9,0)</f>
        <v>R1012</v>
      </c>
      <c r="R1882">
        <f>VLOOKUP($B1882,'Hospitalisation Details'!A1881:K4225,11,0)</f>
        <v>43</v>
      </c>
    </row>
    <row r="1883" spans="1:18" x14ac:dyDescent="0.35">
      <c r="A1883" t="s">
        <v>486</v>
      </c>
      <c r="B1883" t="s">
        <v>1914</v>
      </c>
      <c r="C1883" t="str">
        <f>VLOOKUP($A1883,'Customer Names'!$A:$E,4,FALSE)</f>
        <v>Pamela</v>
      </c>
      <c r="D1883" t="str">
        <f>VLOOKUP($A1883,'Medical Examinations'!$A:$J,2,FALSE)</f>
        <v>Obesity</v>
      </c>
      <c r="E1883">
        <f>VLOOKUP($A1883,'Medical Examinations'!$A:$J,4,FALSE)</f>
        <v>4.82</v>
      </c>
      <c r="F1883" t="str">
        <f>VLOOKUP($A1883,'Medical Examinations'!$A:$J,6,FALSE)</f>
        <v>No</v>
      </c>
      <c r="G1883" t="str">
        <f>VLOOKUP($A1883,'Medical Examinations'!$A:$J,7,FALSE)</f>
        <v>No</v>
      </c>
      <c r="H1883" t="str">
        <f>VLOOKUP($A1883,'Medical Examinations'!$A:$J,8,FALSE)</f>
        <v>No</v>
      </c>
      <c r="I1883">
        <f>VLOOKUP($A1883,'Medical Examinations'!$A:$J,9,FALSE)</f>
        <v>1</v>
      </c>
      <c r="J1883" t="str">
        <f>VLOOKUP($A1883,'Medical Examinations'!$A:$J,10,FALSE)</f>
        <v>No</v>
      </c>
      <c r="K1883" t="str">
        <f>VLOOKUP($A1883,'Medical Examinations'!$A:$J,5,FALSE)</f>
        <v>Normal</v>
      </c>
      <c r="L1883">
        <f>VLOOKUP($A1884,'Medical Examinations'!$A:$J,3,FALSE)</f>
        <v>32.4</v>
      </c>
      <c r="N1883" s="11">
        <f>VLOOKUP($B1883,'Hospitalisation Details'!A1882:J4226,10,0)</f>
        <v>37892</v>
      </c>
      <c r="O1883" t="str">
        <f>VLOOKUP($B1883,'Hospitalisation Details'!A1882:J4226,8,0)</f>
        <v>tier - 1</v>
      </c>
      <c r="P1883" t="str">
        <f>VLOOKUP($B1883,'Hospitalisation Details'!A1882:J4226,7,0)</f>
        <v>tier - 2</v>
      </c>
      <c r="Q1883" t="str">
        <f>VLOOKUP($B1883,'Hospitalisation Details'!A1882:J4226,9,0)</f>
        <v>R1011</v>
      </c>
      <c r="R1883">
        <f>VLOOKUP($B1883,'Hospitalisation Details'!A1882:K4226,11,0)</f>
        <v>19</v>
      </c>
    </row>
    <row r="1884" spans="1:18" x14ac:dyDescent="0.35">
      <c r="A1884" t="s">
        <v>485</v>
      </c>
      <c r="B1884" t="s">
        <v>1915</v>
      </c>
      <c r="C1884" t="str">
        <f>VLOOKUP($A1884,'Customer Names'!$A:$E,4,FALSE)</f>
        <v>Joyce</v>
      </c>
      <c r="D1884" t="str">
        <f>VLOOKUP($A1884,'Medical Examinations'!$A:$J,2,FALSE)</f>
        <v>Obesity</v>
      </c>
      <c r="E1884">
        <f>VLOOKUP($A1884,'Medical Examinations'!$A:$J,4,FALSE)</f>
        <v>5.08</v>
      </c>
      <c r="F1884" t="str">
        <f>VLOOKUP($A1884,'Medical Examinations'!$A:$J,6,FALSE)</f>
        <v>No</v>
      </c>
      <c r="G1884" t="str">
        <f>VLOOKUP($A1884,'Medical Examinations'!$A:$J,7,FALSE)</f>
        <v>No</v>
      </c>
      <c r="H1884" t="str">
        <f>VLOOKUP($A1884,'Medical Examinations'!$A:$J,8,FALSE)</f>
        <v>No</v>
      </c>
      <c r="I1884">
        <f>VLOOKUP($A1884,'Medical Examinations'!$A:$J,9,FALSE)</f>
        <v>1</v>
      </c>
      <c r="J1884" t="str">
        <f>VLOOKUP($A1884,'Medical Examinations'!$A:$J,10,FALSE)</f>
        <v>No</v>
      </c>
      <c r="K1884" t="str">
        <f>VLOOKUP($A1884,'Medical Examinations'!$A:$J,5,FALSE)</f>
        <v>Normal</v>
      </c>
      <c r="L1884">
        <f>VLOOKUP($A1885,'Medical Examinations'!$A:$J,3,FALSE)</f>
        <v>27.93</v>
      </c>
      <c r="N1884" s="11">
        <f>VLOOKUP($B1884,'Hospitalisation Details'!A1883:J4227,10,0)</f>
        <v>27747</v>
      </c>
      <c r="O1884" t="str">
        <f>VLOOKUP($B1884,'Hospitalisation Details'!A1883:J4227,8,0)</f>
        <v>tier - 3</v>
      </c>
      <c r="P1884" t="str">
        <f>VLOOKUP($B1884,'Hospitalisation Details'!A1883:J4227,7,0)</f>
        <v>tier - 3</v>
      </c>
      <c r="Q1884" t="str">
        <f>VLOOKUP($B1884,'Hospitalisation Details'!A1883:J4227,9,0)</f>
        <v>R1013</v>
      </c>
      <c r="R1884">
        <f>VLOOKUP($B1884,'Hospitalisation Details'!A1883:K4227,11,0)</f>
        <v>47</v>
      </c>
    </row>
    <row r="1885" spans="1:18" x14ac:dyDescent="0.35">
      <c r="A1885" t="s">
        <v>484</v>
      </c>
      <c r="B1885" t="s">
        <v>1916</v>
      </c>
      <c r="C1885" t="str">
        <f>VLOOKUP($A1885,'Customer Names'!$A:$E,4,FALSE)</f>
        <v>Alison W.</v>
      </c>
      <c r="D1885" t="str">
        <f>VLOOKUP($A1885,'Medical Examinations'!$A:$J,2,FALSE)</f>
        <v>Overweight</v>
      </c>
      <c r="E1885">
        <f>VLOOKUP($A1885,'Medical Examinations'!$A:$J,4,FALSE)</f>
        <v>5.59</v>
      </c>
      <c r="F1885" t="str">
        <f>VLOOKUP($A1885,'Medical Examinations'!$A:$J,6,FALSE)</f>
        <v>No</v>
      </c>
      <c r="G1885" t="str">
        <f>VLOOKUP($A1885,'Medical Examinations'!$A:$J,7,FALSE)</f>
        <v>No</v>
      </c>
      <c r="H1885" t="str">
        <f>VLOOKUP($A1885,'Medical Examinations'!$A:$J,8,FALSE)</f>
        <v>No</v>
      </c>
      <c r="I1885">
        <f>VLOOKUP($A1885,'Medical Examinations'!$A:$J,9,FALSE)</f>
        <v>1</v>
      </c>
      <c r="J1885" t="str">
        <f>VLOOKUP($A1885,'Medical Examinations'!$A:$J,10,FALSE)</f>
        <v>No</v>
      </c>
      <c r="K1885" t="str">
        <f>VLOOKUP($A1885,'Medical Examinations'!$A:$J,5,FALSE)</f>
        <v>Normal</v>
      </c>
      <c r="L1885">
        <f>VLOOKUP($A1886,'Medical Examinations'!$A:$J,3,FALSE)</f>
        <v>21.754999999999999</v>
      </c>
      <c r="N1885" s="11">
        <f>VLOOKUP($B1885,'Hospitalisation Details'!A1884:J4228,10,0)</f>
        <v>32795</v>
      </c>
      <c r="O1885" t="str">
        <f>VLOOKUP($B1885,'Hospitalisation Details'!A1884:J4228,8,0)</f>
        <v>tier - 1</v>
      </c>
      <c r="P1885" t="str">
        <f>VLOOKUP($B1885,'Hospitalisation Details'!A1884:J4228,7,0)</f>
        <v>tier - 3</v>
      </c>
      <c r="Q1885" t="str">
        <f>VLOOKUP($B1885,'Hospitalisation Details'!A1884:J4228,9,0)</f>
        <v>R1012</v>
      </c>
      <c r="R1885">
        <f>VLOOKUP($B1885,'Hospitalisation Details'!A1884:K4228,11,0)</f>
        <v>33</v>
      </c>
    </row>
    <row r="1886" spans="1:18" x14ac:dyDescent="0.35">
      <c r="A1886" t="s">
        <v>483</v>
      </c>
      <c r="B1886" t="s">
        <v>1917</v>
      </c>
      <c r="C1886" t="str">
        <f>VLOOKUP($A1886,'Customer Names'!$A:$E,4,FALSE)</f>
        <v>Tammara C</v>
      </c>
      <c r="D1886" t="str">
        <f>VLOOKUP($A1886,'Medical Examinations'!$A:$J,2,FALSE)</f>
        <v>Normal Weight</v>
      </c>
      <c r="E1886">
        <f>VLOOKUP($A1886,'Medical Examinations'!$A:$J,4,FALSE)</f>
        <v>5.12</v>
      </c>
      <c r="F1886" t="str">
        <f>VLOOKUP($A1886,'Medical Examinations'!$A:$J,6,FALSE)</f>
        <v>No</v>
      </c>
      <c r="G1886" t="str">
        <f>VLOOKUP($A1886,'Medical Examinations'!$A:$J,7,FALSE)</f>
        <v>No</v>
      </c>
      <c r="H1886" t="str">
        <f>VLOOKUP($A1886,'Medical Examinations'!$A:$J,8,FALSE)</f>
        <v>No</v>
      </c>
      <c r="I1886">
        <f>VLOOKUP($A1886,'Medical Examinations'!$A:$J,9,FALSE)</f>
        <v>0</v>
      </c>
      <c r="J1886" t="str">
        <f>VLOOKUP($A1886,'Medical Examinations'!$A:$J,10,FALSE)</f>
        <v>No</v>
      </c>
      <c r="K1886" t="str">
        <f>VLOOKUP($A1886,'Medical Examinations'!$A:$J,5,FALSE)</f>
        <v>Normal</v>
      </c>
      <c r="L1886">
        <f>VLOOKUP($A1887,'Medical Examinations'!$A:$J,3,FALSE)</f>
        <v>25.934999999999999</v>
      </c>
      <c r="N1886" s="11">
        <f>VLOOKUP($B1886,'Hospitalisation Details'!A1885:J4229,10,0)</f>
        <v>37131</v>
      </c>
      <c r="O1886" t="str">
        <f>VLOOKUP($B1886,'Hospitalisation Details'!A1885:J4229,8,0)</f>
        <v>tier - 1</v>
      </c>
      <c r="P1886" t="str">
        <f>VLOOKUP($B1886,'Hospitalisation Details'!A1885:J4229,7,0)</f>
        <v>tier - 3</v>
      </c>
      <c r="Q1886" t="str">
        <f>VLOOKUP($B1886,'Hospitalisation Details'!A1885:J4229,9,0)</f>
        <v>R1011</v>
      </c>
      <c r="R1886">
        <f>VLOOKUP($B1886,'Hospitalisation Details'!A1885:K4229,11,0)</f>
        <v>21</v>
      </c>
    </row>
    <row r="1887" spans="1:18" x14ac:dyDescent="0.35">
      <c r="A1887" t="s">
        <v>482</v>
      </c>
      <c r="B1887" t="s">
        <v>1918</v>
      </c>
      <c r="C1887" t="str">
        <f>VLOOKUP($A1887,'Customer Names'!$A:$E,4,FALSE)</f>
        <v>Dorota</v>
      </c>
      <c r="D1887" t="str">
        <f>VLOOKUP($A1887,'Medical Examinations'!$A:$J,2,FALSE)</f>
        <v>Overweight</v>
      </c>
      <c r="E1887">
        <f>VLOOKUP($A1887,'Medical Examinations'!$A:$J,4,FALSE)</f>
        <v>4.95</v>
      </c>
      <c r="F1887" t="str">
        <f>VLOOKUP($A1887,'Medical Examinations'!$A:$J,6,FALSE)</f>
        <v>No</v>
      </c>
      <c r="G1887" t="str">
        <f>VLOOKUP($A1887,'Medical Examinations'!$A:$J,7,FALSE)</f>
        <v>No</v>
      </c>
      <c r="H1887" t="str">
        <f>VLOOKUP($A1887,'Medical Examinations'!$A:$J,8,FALSE)</f>
        <v>No</v>
      </c>
      <c r="I1887">
        <f>VLOOKUP($A1887,'Medical Examinations'!$A:$J,9,FALSE)</f>
        <v>0</v>
      </c>
      <c r="J1887" t="str">
        <f>VLOOKUP($A1887,'Medical Examinations'!$A:$J,10,FALSE)</f>
        <v>No</v>
      </c>
      <c r="K1887" t="str">
        <f>VLOOKUP($A1887,'Medical Examinations'!$A:$J,5,FALSE)</f>
        <v>Normal</v>
      </c>
      <c r="L1887">
        <f>VLOOKUP($A1888,'Medical Examinations'!$A:$J,3,FALSE)</f>
        <v>31.5</v>
      </c>
      <c r="N1887" s="11">
        <f>VLOOKUP($B1887,'Hospitalisation Details'!A1886:J4230,10,0)</f>
        <v>29476</v>
      </c>
      <c r="O1887" t="str">
        <f>VLOOKUP($B1887,'Hospitalisation Details'!A1886:J4230,8,0)</f>
        <v>tier - 2</v>
      </c>
      <c r="P1887" t="str">
        <f>VLOOKUP($B1887,'Hospitalisation Details'!A1886:J4230,7,0)</f>
        <v>tier - 2</v>
      </c>
      <c r="Q1887" t="str">
        <f>VLOOKUP($B1887,'Hospitalisation Details'!A1886:J4230,9,0)</f>
        <v>R1011</v>
      </c>
      <c r="R1887">
        <f>VLOOKUP($B1887,'Hospitalisation Details'!A1886:K4230,11,0)</f>
        <v>42</v>
      </c>
    </row>
    <row r="1888" spans="1:18" x14ac:dyDescent="0.35">
      <c r="A1888" t="s">
        <v>481</v>
      </c>
      <c r="B1888" t="s">
        <v>1919</v>
      </c>
      <c r="C1888" t="str">
        <f>VLOOKUP($A1888,'Customer Names'!$A:$E,4,FALSE)</f>
        <v>Jose Norberto Sr.</v>
      </c>
      <c r="D1888" t="str">
        <f>VLOOKUP($A1888,'Medical Examinations'!$A:$J,2,FALSE)</f>
        <v>Obesity</v>
      </c>
      <c r="E1888">
        <f>VLOOKUP($A1888,'Medical Examinations'!$A:$J,4,FALSE)</f>
        <v>6.16</v>
      </c>
      <c r="F1888" t="str">
        <f>VLOOKUP($A1888,'Medical Examinations'!$A:$J,6,FALSE)</f>
        <v>No</v>
      </c>
      <c r="G1888" t="str">
        <f>VLOOKUP($A1888,'Medical Examinations'!$A:$J,7,FALSE)</f>
        <v>No</v>
      </c>
      <c r="H1888" t="str">
        <f>VLOOKUP($A1888,'Medical Examinations'!$A:$J,8,FALSE)</f>
        <v>No</v>
      </c>
      <c r="I1888">
        <f>VLOOKUP($A1888,'Medical Examinations'!$A:$J,9,FALSE)</f>
        <v>0</v>
      </c>
      <c r="J1888" t="str">
        <f>VLOOKUP($A1888,'Medical Examinations'!$A:$J,10,FALSE)</f>
        <v>No</v>
      </c>
      <c r="K1888" t="str">
        <f>VLOOKUP($A1888,'Medical Examinations'!$A:$J,5,FALSE)</f>
        <v>Prediabetes</v>
      </c>
      <c r="L1888">
        <f>VLOOKUP($A1889,'Medical Examinations'!$A:$J,3,FALSE)</f>
        <v>30.03</v>
      </c>
      <c r="N1888" s="11">
        <f>VLOOKUP($B1888,'Hospitalisation Details'!A1887:J4231,10,0)</f>
        <v>23978</v>
      </c>
      <c r="O1888" t="str">
        <f>VLOOKUP($B1888,'Hospitalisation Details'!A1887:J4231,8,0)</f>
        <v>tier - 1</v>
      </c>
      <c r="P1888" t="str">
        <f>VLOOKUP($B1888,'Hospitalisation Details'!A1887:J4231,7,0)</f>
        <v>tier - 3</v>
      </c>
      <c r="Q1888" t="str">
        <f>VLOOKUP($B1888,'Hospitalisation Details'!A1887:J4231,9,0)</f>
        <v>R1013</v>
      </c>
      <c r="R1888">
        <f>VLOOKUP($B1888,'Hospitalisation Details'!A1887:K4231,11,0)</f>
        <v>57</v>
      </c>
    </row>
    <row r="1889" spans="1:18" x14ac:dyDescent="0.35">
      <c r="A1889" t="s">
        <v>480</v>
      </c>
      <c r="B1889" t="s">
        <v>1920</v>
      </c>
      <c r="C1889" t="str">
        <f>VLOOKUP($A1889,'Customer Names'!$A:$E,4,FALSE)</f>
        <v>Peter</v>
      </c>
      <c r="D1889" t="str">
        <f>VLOOKUP($A1889,'Medical Examinations'!$A:$J,2,FALSE)</f>
        <v>Obesity</v>
      </c>
      <c r="E1889">
        <f>VLOOKUP($A1889,'Medical Examinations'!$A:$J,4,FALSE)</f>
        <v>6.41</v>
      </c>
      <c r="F1889" t="str">
        <f>VLOOKUP($A1889,'Medical Examinations'!$A:$J,6,FALSE)</f>
        <v>No</v>
      </c>
      <c r="G1889" t="str">
        <f>VLOOKUP($A1889,'Medical Examinations'!$A:$J,7,FALSE)</f>
        <v>No</v>
      </c>
      <c r="H1889" t="str">
        <f>VLOOKUP($A1889,'Medical Examinations'!$A:$J,8,FALSE)</f>
        <v>No</v>
      </c>
      <c r="I1889">
        <f>VLOOKUP($A1889,'Medical Examinations'!$A:$J,9,FALSE)</f>
        <v>0</v>
      </c>
      <c r="J1889" t="str">
        <f>VLOOKUP($A1889,'Medical Examinations'!$A:$J,10,FALSE)</f>
        <v>No</v>
      </c>
      <c r="K1889" t="str">
        <f>VLOOKUP($A1889,'Medical Examinations'!$A:$J,5,FALSE)</f>
        <v>Prediabetes</v>
      </c>
      <c r="L1889">
        <f>VLOOKUP($A1890,'Medical Examinations'!$A:$J,3,FALSE)</f>
        <v>33.479999999999997</v>
      </c>
      <c r="N1889" s="11">
        <f>VLOOKUP($B1889,'Hospitalisation Details'!A1888:J4232,10,0)</f>
        <v>26100</v>
      </c>
      <c r="O1889" t="str">
        <f>VLOOKUP($B1889,'Hospitalisation Details'!A1888:J4232,8,0)</f>
        <v>tier - 3</v>
      </c>
      <c r="P1889" t="str">
        <f>VLOOKUP($B1889,'Hospitalisation Details'!A1888:J4232,7,0)</f>
        <v>tier - 2</v>
      </c>
      <c r="Q1889" t="str">
        <f>VLOOKUP($B1889,'Hospitalisation Details'!A1888:J4232,9,0)</f>
        <v>R1013</v>
      </c>
      <c r="R1889">
        <f>VLOOKUP($B1889,'Hospitalisation Details'!A1888:K4232,11,0)</f>
        <v>51</v>
      </c>
    </row>
    <row r="1890" spans="1:18" x14ac:dyDescent="0.35">
      <c r="A1890" t="s">
        <v>479</v>
      </c>
      <c r="B1890" t="s">
        <v>1921</v>
      </c>
      <c r="C1890" t="str">
        <f>VLOOKUP($A1890,'Customer Names'!$A:$E,4,FALSE)</f>
        <v>Bryant</v>
      </c>
      <c r="D1890" t="str">
        <f>VLOOKUP($A1890,'Medical Examinations'!$A:$J,2,FALSE)</f>
        <v>Obesity</v>
      </c>
      <c r="E1890">
        <f>VLOOKUP($A1890,'Medical Examinations'!$A:$J,4,FALSE)</f>
        <v>8.94</v>
      </c>
      <c r="F1890" t="str">
        <f>VLOOKUP($A1890,'Medical Examinations'!$A:$J,6,FALSE)</f>
        <v>No</v>
      </c>
      <c r="G1890" t="str">
        <f>VLOOKUP($A1890,'Medical Examinations'!$A:$J,7,FALSE)</f>
        <v>No</v>
      </c>
      <c r="H1890" t="str">
        <f>VLOOKUP($A1890,'Medical Examinations'!$A:$J,8,FALSE)</f>
        <v>No</v>
      </c>
      <c r="I1890">
        <f>VLOOKUP($A1890,'Medical Examinations'!$A:$J,9,FALSE)</f>
        <v>0</v>
      </c>
      <c r="J1890" t="str">
        <f>VLOOKUP($A1890,'Medical Examinations'!$A:$J,10,FALSE)</f>
        <v>No</v>
      </c>
      <c r="K1890" t="str">
        <f>VLOOKUP($A1890,'Medical Examinations'!$A:$J,5,FALSE)</f>
        <v>Diabetes</v>
      </c>
      <c r="L1890">
        <f>VLOOKUP($A1891,'Medical Examinations'!$A:$J,3,FALSE)</f>
        <v>16.510000000000002</v>
      </c>
      <c r="N1890" s="11">
        <f>VLOOKUP($B1890,'Hospitalisation Details'!A1889:J4233,10,0)</f>
        <v>30312</v>
      </c>
      <c r="O1890" t="str">
        <f>VLOOKUP($B1890,'Hospitalisation Details'!A1889:J4233,8,0)</f>
        <v>tier - 3</v>
      </c>
      <c r="P1890" t="str">
        <f>VLOOKUP($B1890,'Hospitalisation Details'!A1889:J4233,7,0)</f>
        <v>tier - 2</v>
      </c>
      <c r="Q1890" t="str">
        <f>VLOOKUP($B1890,'Hospitalisation Details'!A1889:J4233,9,0)</f>
        <v>R1024</v>
      </c>
      <c r="R1890">
        <f>VLOOKUP($B1890,'Hospitalisation Details'!A1889:K4233,11,0)</f>
        <v>40</v>
      </c>
    </row>
    <row r="1891" spans="1:18" x14ac:dyDescent="0.35">
      <c r="A1891" t="s">
        <v>478</v>
      </c>
      <c r="B1891" t="s">
        <v>1922</v>
      </c>
      <c r="C1891" t="str">
        <f>VLOOKUP($A1891,'Customer Names'!$A:$E,4,FALSE)</f>
        <v>Christina</v>
      </c>
      <c r="D1891" t="str">
        <f>VLOOKUP($A1891,'Medical Examinations'!$A:$J,2,FALSE)</f>
        <v>Underweight</v>
      </c>
      <c r="E1891">
        <f>VLOOKUP($A1891,'Medical Examinations'!$A:$J,4,FALSE)</f>
        <v>4.42</v>
      </c>
      <c r="F1891" t="str">
        <f>VLOOKUP($A1891,'Medical Examinations'!$A:$J,6,FALSE)</f>
        <v>yes</v>
      </c>
      <c r="G1891" t="str">
        <f>VLOOKUP($A1891,'Medical Examinations'!$A:$J,7,FALSE)</f>
        <v>No</v>
      </c>
      <c r="H1891" t="str">
        <f>VLOOKUP($A1891,'Medical Examinations'!$A:$J,8,FALSE)</f>
        <v>Yes</v>
      </c>
      <c r="I1891">
        <f>VLOOKUP($A1891,'Medical Examinations'!$A:$J,9,FALSE)</f>
        <v>1</v>
      </c>
      <c r="J1891" t="str">
        <f>VLOOKUP($A1891,'Medical Examinations'!$A:$J,10,FALSE)</f>
        <v>No</v>
      </c>
      <c r="K1891" t="str">
        <f>VLOOKUP($A1891,'Medical Examinations'!$A:$J,5,FALSE)</f>
        <v>Normal</v>
      </c>
      <c r="L1891">
        <f>VLOOKUP($A1892,'Medical Examinations'!$A:$J,3,FALSE)</f>
        <v>33.155000000000001</v>
      </c>
      <c r="N1891" s="11">
        <f>VLOOKUP($B1891,'Hospitalisation Details'!A1890:J4234,10,0)</f>
        <v>36398</v>
      </c>
      <c r="O1891" t="str">
        <f>VLOOKUP($B1891,'Hospitalisation Details'!A1890:J4234,8,0)</f>
        <v>tier - 2</v>
      </c>
      <c r="P1891" t="str">
        <f>VLOOKUP($B1891,'Hospitalisation Details'!A1890:J4234,7,0)</f>
        <v>tier - 3</v>
      </c>
      <c r="Q1891" t="str">
        <f>VLOOKUP($B1891,'Hospitalisation Details'!A1890:J4234,9,0)</f>
        <v>R1024</v>
      </c>
      <c r="R1891">
        <f>VLOOKUP($B1891,'Hospitalisation Details'!A1890:K4234,11,0)</f>
        <v>23</v>
      </c>
    </row>
    <row r="1892" spans="1:18" x14ac:dyDescent="0.35">
      <c r="A1892" t="s">
        <v>477</v>
      </c>
      <c r="B1892" t="s">
        <v>1923</v>
      </c>
      <c r="C1892" t="str">
        <f>VLOOKUP($A1892,'Customer Names'!$A:$E,4,FALSE)</f>
        <v>John</v>
      </c>
      <c r="D1892" t="str">
        <f>VLOOKUP($A1892,'Medical Examinations'!$A:$J,2,FALSE)</f>
        <v>Obesity</v>
      </c>
      <c r="E1892">
        <f>VLOOKUP($A1892,'Medical Examinations'!$A:$J,4,FALSE)</f>
        <v>5.3</v>
      </c>
      <c r="F1892" t="str">
        <f>VLOOKUP($A1892,'Medical Examinations'!$A:$J,6,FALSE)</f>
        <v>yes</v>
      </c>
      <c r="G1892" t="str">
        <f>VLOOKUP($A1892,'Medical Examinations'!$A:$J,7,FALSE)</f>
        <v>No</v>
      </c>
      <c r="H1892" t="str">
        <f>VLOOKUP($A1892,'Medical Examinations'!$A:$J,8,FALSE)</f>
        <v>No</v>
      </c>
      <c r="I1892">
        <f>VLOOKUP($A1892,'Medical Examinations'!$A:$J,9,FALSE)</f>
        <v>1</v>
      </c>
      <c r="J1892" t="str">
        <f>VLOOKUP($A1892,'Medical Examinations'!$A:$J,10,FALSE)</f>
        <v>No</v>
      </c>
      <c r="K1892" t="str">
        <f>VLOOKUP($A1892,'Medical Examinations'!$A:$J,5,FALSE)</f>
        <v>Normal</v>
      </c>
      <c r="L1892">
        <f>VLOOKUP($A1893,'Medical Examinations'!$A:$J,3,FALSE)</f>
        <v>37.29</v>
      </c>
      <c r="N1892" s="11">
        <f>VLOOKUP($B1892,'Hospitalisation Details'!A1891:J4235,10,0)</f>
        <v>24337</v>
      </c>
      <c r="O1892" t="str">
        <f>VLOOKUP($B1892,'Hospitalisation Details'!A1891:J4235,8,0)</f>
        <v>tier - 3</v>
      </c>
      <c r="P1892" t="str">
        <f>VLOOKUP($B1892,'Hospitalisation Details'!A1891:J4235,7,0)</f>
        <v>tier - 3</v>
      </c>
      <c r="Q1892" t="str">
        <f>VLOOKUP($B1892,'Hospitalisation Details'!A1891:J4235,9,0)</f>
        <v>R1014</v>
      </c>
      <c r="R1892">
        <f>VLOOKUP($B1892,'Hospitalisation Details'!A1891:K4235,11,0)</f>
        <v>56</v>
      </c>
    </row>
    <row r="1893" spans="1:18" x14ac:dyDescent="0.35">
      <c r="A1893" t="s">
        <v>476</v>
      </c>
      <c r="B1893" t="s">
        <v>1924</v>
      </c>
      <c r="C1893" t="str">
        <f>VLOOKUP($A1893,'Customer Names'!$A:$E,4,FALSE)</f>
        <v>Eduardo</v>
      </c>
      <c r="D1893" t="str">
        <f>VLOOKUP($A1893,'Medical Examinations'!$A:$J,2,FALSE)</f>
        <v>Obesity</v>
      </c>
      <c r="E1893">
        <f>VLOOKUP($A1893,'Medical Examinations'!$A:$J,4,FALSE)</f>
        <v>4.6399999999999997</v>
      </c>
      <c r="F1893" t="str">
        <f>VLOOKUP($A1893,'Medical Examinations'!$A:$J,6,FALSE)</f>
        <v>No</v>
      </c>
      <c r="G1893" t="str">
        <f>VLOOKUP($A1893,'Medical Examinations'!$A:$J,7,FALSE)</f>
        <v>No</v>
      </c>
      <c r="H1893" t="str">
        <f>VLOOKUP($A1893,'Medical Examinations'!$A:$J,8,FALSE)</f>
        <v>Yes</v>
      </c>
      <c r="I1893">
        <f>VLOOKUP($A1893,'Medical Examinations'!$A:$J,9,FALSE)</f>
        <v>1</v>
      </c>
      <c r="J1893" t="str">
        <f>VLOOKUP($A1893,'Medical Examinations'!$A:$J,10,FALSE)</f>
        <v>No</v>
      </c>
      <c r="K1893" t="str">
        <f>VLOOKUP($A1893,'Medical Examinations'!$A:$J,5,FALSE)</f>
        <v>Normal</v>
      </c>
      <c r="L1893">
        <f>VLOOKUP($A1894,'Medical Examinations'!$A:$J,3,FALSE)</f>
        <v>20.23</v>
      </c>
      <c r="N1893" s="11">
        <f>VLOOKUP($B1893,'Hospitalisation Details'!A1892:J4236,10,0)</f>
        <v>30671</v>
      </c>
      <c r="O1893" t="str">
        <f>VLOOKUP($B1893,'Hospitalisation Details'!A1892:J4236,8,0)</f>
        <v>tier - 1</v>
      </c>
      <c r="P1893" t="str">
        <f>VLOOKUP($B1893,'Hospitalisation Details'!A1892:J4236,7,0)</f>
        <v>tier - 3</v>
      </c>
      <c r="Q1893" t="str">
        <f>VLOOKUP($B1893,'Hospitalisation Details'!A1892:J4236,9,0)</f>
        <v>R1019</v>
      </c>
      <c r="R1893">
        <f>VLOOKUP($B1893,'Hospitalisation Details'!A1892:K4236,11,0)</f>
        <v>39</v>
      </c>
    </row>
    <row r="1894" spans="1:18" x14ac:dyDescent="0.35">
      <c r="A1894" t="s">
        <v>475</v>
      </c>
      <c r="B1894" t="s">
        <v>1925</v>
      </c>
      <c r="C1894" t="str">
        <f>VLOOKUP($A1894,'Customer Names'!$A:$E,4,FALSE)</f>
        <v>Laura M.</v>
      </c>
      <c r="D1894" t="str">
        <f>VLOOKUP($A1894,'Medical Examinations'!$A:$J,2,FALSE)</f>
        <v>Normal Weight</v>
      </c>
      <c r="E1894">
        <f>VLOOKUP($A1894,'Medical Examinations'!$A:$J,4,FALSE)</f>
        <v>6.16</v>
      </c>
      <c r="F1894" t="str">
        <f>VLOOKUP($A1894,'Medical Examinations'!$A:$J,6,FALSE)</f>
        <v>yes</v>
      </c>
      <c r="G1894" t="str">
        <f>VLOOKUP($A1894,'Medical Examinations'!$A:$J,7,FALSE)</f>
        <v>No</v>
      </c>
      <c r="H1894" t="str">
        <f>VLOOKUP($A1894,'Medical Examinations'!$A:$J,8,FALSE)</f>
        <v>No</v>
      </c>
      <c r="I1894">
        <f>VLOOKUP($A1894,'Medical Examinations'!$A:$J,9,FALSE)</f>
        <v>1</v>
      </c>
      <c r="J1894" t="str">
        <f>VLOOKUP($A1894,'Medical Examinations'!$A:$J,10,FALSE)</f>
        <v>No</v>
      </c>
      <c r="K1894" t="str">
        <f>VLOOKUP($A1894,'Medical Examinations'!$A:$J,5,FALSE)</f>
        <v>Prediabetes</v>
      </c>
      <c r="L1894">
        <f>VLOOKUP($A1895,'Medical Examinations'!$A:$J,3,FALSE)</f>
        <v>28.975000000000001</v>
      </c>
      <c r="N1894" s="11">
        <f>VLOOKUP($B1894,'Hospitalisation Details'!A1893:J4237,10,0)</f>
        <v>29173</v>
      </c>
      <c r="O1894" t="str">
        <f>VLOOKUP($B1894,'Hospitalisation Details'!A1893:J4237,8,0)</f>
        <v>tier - 2</v>
      </c>
      <c r="P1894" t="str">
        <f>VLOOKUP($B1894,'Hospitalisation Details'!A1893:J4237,7,0)</f>
        <v>tier - 3</v>
      </c>
      <c r="Q1894" t="str">
        <f>VLOOKUP($B1894,'Hospitalisation Details'!A1893:J4237,9,0)</f>
        <v>R1011</v>
      </c>
      <c r="R1894">
        <f>VLOOKUP($B1894,'Hospitalisation Details'!A1893:K4237,11,0)</f>
        <v>43</v>
      </c>
    </row>
    <row r="1895" spans="1:18" x14ac:dyDescent="0.35">
      <c r="A1895" t="s">
        <v>474</v>
      </c>
      <c r="B1895" t="s">
        <v>1926</v>
      </c>
      <c r="C1895" t="str">
        <f>VLOOKUP($A1895,'Customer Names'!$A:$E,4,FALSE)</f>
        <v>Charlie</v>
      </c>
      <c r="D1895" t="str">
        <f>VLOOKUP($A1895,'Medical Examinations'!$A:$J,2,FALSE)</f>
        <v>Overweight</v>
      </c>
      <c r="E1895">
        <f>VLOOKUP($A1895,'Medical Examinations'!$A:$J,4,FALSE)</f>
        <v>4.12</v>
      </c>
      <c r="F1895" t="str">
        <f>VLOOKUP($A1895,'Medical Examinations'!$A:$J,6,FALSE)</f>
        <v>No</v>
      </c>
      <c r="G1895" t="str">
        <f>VLOOKUP($A1895,'Medical Examinations'!$A:$J,7,FALSE)</f>
        <v>No</v>
      </c>
      <c r="H1895" t="str">
        <f>VLOOKUP($A1895,'Medical Examinations'!$A:$J,8,FALSE)</f>
        <v>Yes</v>
      </c>
      <c r="I1895">
        <f>VLOOKUP($A1895,'Medical Examinations'!$A:$J,9,FALSE)</f>
        <v>1</v>
      </c>
      <c r="J1895" t="str">
        <f>VLOOKUP($A1895,'Medical Examinations'!$A:$J,10,FALSE)</f>
        <v>No</v>
      </c>
      <c r="K1895" t="str">
        <f>VLOOKUP($A1895,'Medical Examinations'!$A:$J,5,FALSE)</f>
        <v>Normal</v>
      </c>
      <c r="L1895">
        <f>VLOOKUP($A1896,'Medical Examinations'!$A:$J,3,FALSE)</f>
        <v>16.420000000000002</v>
      </c>
      <c r="N1895" s="11">
        <f>VLOOKUP($B1895,'Hospitalisation Details'!A1894:J4238,10,0)</f>
        <v>37827</v>
      </c>
      <c r="O1895" t="str">
        <f>VLOOKUP($B1895,'Hospitalisation Details'!A1894:J4238,8,0)</f>
        <v>tier - 1</v>
      </c>
      <c r="P1895" t="str">
        <f>VLOOKUP($B1895,'Hospitalisation Details'!A1894:J4238,7,0)</f>
        <v>tier - 2</v>
      </c>
      <c r="Q1895" t="str">
        <f>VLOOKUP($B1895,'Hospitalisation Details'!A1894:J4238,9,0)</f>
        <v>R1012</v>
      </c>
      <c r="R1895">
        <f>VLOOKUP($B1895,'Hospitalisation Details'!A1894:K4238,11,0)</f>
        <v>19</v>
      </c>
    </row>
    <row r="1896" spans="1:18" x14ac:dyDescent="0.35">
      <c r="A1896" t="s">
        <v>473</v>
      </c>
      <c r="B1896" t="s">
        <v>1927</v>
      </c>
      <c r="C1896" t="str">
        <f>VLOOKUP($A1896,'Customer Names'!$A:$E,4,FALSE)</f>
        <v>Melissa D.</v>
      </c>
      <c r="D1896" t="str">
        <f>VLOOKUP($A1896,'Medical Examinations'!$A:$J,2,FALSE)</f>
        <v>Underweight</v>
      </c>
      <c r="E1896">
        <f>VLOOKUP($A1896,'Medical Examinations'!$A:$J,4,FALSE)</f>
        <v>5.77</v>
      </c>
      <c r="F1896" t="str">
        <f>VLOOKUP($A1896,'Medical Examinations'!$A:$J,6,FALSE)</f>
        <v>yes</v>
      </c>
      <c r="G1896" t="str">
        <f>VLOOKUP($A1896,'Medical Examinations'!$A:$J,7,FALSE)</f>
        <v>No</v>
      </c>
      <c r="H1896" t="str">
        <f>VLOOKUP($A1896,'Medical Examinations'!$A:$J,8,FALSE)</f>
        <v>Yes</v>
      </c>
      <c r="I1896">
        <f>VLOOKUP($A1896,'Medical Examinations'!$A:$J,9,FALSE)</f>
        <v>1</v>
      </c>
      <c r="J1896" t="str">
        <f>VLOOKUP($A1896,'Medical Examinations'!$A:$J,10,FALSE)</f>
        <v>No</v>
      </c>
      <c r="K1896" t="str">
        <f>VLOOKUP($A1896,'Medical Examinations'!$A:$J,5,FALSE)</f>
        <v>Prediabetes</v>
      </c>
      <c r="L1896">
        <f>VLOOKUP($A1897,'Medical Examinations'!$A:$J,3,FALSE)</f>
        <v>17.559999999999999</v>
      </c>
      <c r="N1896" s="11">
        <f>VLOOKUP($B1896,'Hospitalisation Details'!A1895:J4239,10,0)</f>
        <v>25881</v>
      </c>
      <c r="O1896" t="str">
        <f>VLOOKUP($B1896,'Hospitalisation Details'!A1895:J4239,8,0)</f>
        <v>tier - 2</v>
      </c>
      <c r="P1896" t="str">
        <f>VLOOKUP($B1896,'Hospitalisation Details'!A1895:J4239,7,0)</f>
        <v>tier - 2</v>
      </c>
      <c r="Q1896" t="str">
        <f>VLOOKUP($B1896,'Hospitalisation Details'!A1895:J4239,9,0)</f>
        <v>R1024</v>
      </c>
      <c r="R1896">
        <f>VLOOKUP($B1896,'Hospitalisation Details'!A1895:K4239,11,0)</f>
        <v>52</v>
      </c>
    </row>
    <row r="1897" spans="1:18" x14ac:dyDescent="0.35">
      <c r="A1897" t="s">
        <v>472</v>
      </c>
      <c r="B1897" t="s">
        <v>1928</v>
      </c>
      <c r="C1897" t="str">
        <f>VLOOKUP($A1897,'Customer Names'!$A:$E,4,FALSE)</f>
        <v>Dan C. Jr.</v>
      </c>
      <c r="D1897" t="str">
        <f>VLOOKUP($A1897,'Medical Examinations'!$A:$J,2,FALSE)</f>
        <v>Underweight</v>
      </c>
      <c r="E1897">
        <f>VLOOKUP($A1897,'Medical Examinations'!$A:$J,4,FALSE)</f>
        <v>6.2</v>
      </c>
      <c r="F1897" t="str">
        <f>VLOOKUP($A1897,'Medical Examinations'!$A:$J,6,FALSE)</f>
        <v>No</v>
      </c>
      <c r="G1897" t="str">
        <f>VLOOKUP($A1897,'Medical Examinations'!$A:$J,7,FALSE)</f>
        <v>No</v>
      </c>
      <c r="H1897" t="str">
        <f>VLOOKUP($A1897,'Medical Examinations'!$A:$J,8,FALSE)</f>
        <v>No</v>
      </c>
      <c r="I1897">
        <f>VLOOKUP($A1897,'Medical Examinations'!$A:$J,9,FALSE)</f>
        <v>1</v>
      </c>
      <c r="J1897" t="str">
        <f>VLOOKUP($A1897,'Medical Examinations'!$A:$J,10,FALSE)</f>
        <v>No</v>
      </c>
      <c r="K1897" t="str">
        <f>VLOOKUP($A1897,'Medical Examinations'!$A:$J,5,FALSE)</f>
        <v>Prediabetes</v>
      </c>
      <c r="L1897">
        <f>VLOOKUP($A1898,'Medical Examinations'!$A:$J,3,FALSE)</f>
        <v>24.13</v>
      </c>
      <c r="N1897" s="11">
        <f>VLOOKUP($B1897,'Hospitalisation Details'!A1896:J4240,10,0)</f>
        <v>27646</v>
      </c>
      <c r="O1897" t="str">
        <f>VLOOKUP($B1897,'Hospitalisation Details'!A1896:J4240,8,0)</f>
        <v>tier - 2</v>
      </c>
      <c r="P1897" t="str">
        <f>VLOOKUP($B1897,'Hospitalisation Details'!A1896:J4240,7,0)</f>
        <v>tier - 2</v>
      </c>
      <c r="Q1897" t="str">
        <f>VLOOKUP($B1897,'Hospitalisation Details'!A1896:J4240,9,0)</f>
        <v>R1013</v>
      </c>
      <c r="R1897">
        <f>VLOOKUP($B1897,'Hospitalisation Details'!A1896:K4240,11,0)</f>
        <v>47</v>
      </c>
    </row>
    <row r="1898" spans="1:18" x14ac:dyDescent="0.35">
      <c r="A1898" t="s">
        <v>471</v>
      </c>
      <c r="B1898" t="s">
        <v>1929</v>
      </c>
      <c r="C1898" t="str">
        <f>VLOOKUP($A1898,'Customer Names'!$A:$E,4,FALSE)</f>
        <v>Matthew</v>
      </c>
      <c r="D1898" t="str">
        <f>VLOOKUP($A1898,'Medical Examinations'!$A:$J,2,FALSE)</f>
        <v>Normal Weight</v>
      </c>
      <c r="E1898">
        <f>VLOOKUP($A1898,'Medical Examinations'!$A:$J,4,FALSE)</f>
        <v>4.3899999999999997</v>
      </c>
      <c r="F1898" t="str">
        <f>VLOOKUP($A1898,'Medical Examinations'!$A:$J,6,FALSE)</f>
        <v>No</v>
      </c>
      <c r="G1898" t="str">
        <f>VLOOKUP($A1898,'Medical Examinations'!$A:$J,7,FALSE)</f>
        <v>No</v>
      </c>
      <c r="H1898" t="str">
        <f>VLOOKUP($A1898,'Medical Examinations'!$A:$J,8,FALSE)</f>
        <v>No</v>
      </c>
      <c r="I1898">
        <f>VLOOKUP($A1898,'Medical Examinations'!$A:$J,9,FALSE)</f>
        <v>1</v>
      </c>
      <c r="J1898" t="str">
        <f>VLOOKUP($A1898,'Medical Examinations'!$A:$J,10,FALSE)</f>
        <v>No</v>
      </c>
      <c r="K1898" t="str">
        <f>VLOOKUP($A1898,'Medical Examinations'!$A:$J,5,FALSE)</f>
        <v>Normal</v>
      </c>
      <c r="L1898">
        <f>VLOOKUP($A1899,'Medical Examinations'!$A:$J,3,FALSE)</f>
        <v>19.95</v>
      </c>
      <c r="N1898" s="11">
        <f>VLOOKUP($B1898,'Hospitalisation Details'!A1897:J4241,10,0)</f>
        <v>37969</v>
      </c>
      <c r="O1898" t="str">
        <f>VLOOKUP($B1898,'Hospitalisation Details'!A1897:J4241,8,0)</f>
        <v>tier - 2</v>
      </c>
      <c r="P1898" t="str">
        <f>VLOOKUP($B1898,'Hospitalisation Details'!A1897:J4241,7,0)</f>
        <v>tier - 2</v>
      </c>
      <c r="Q1898" t="str">
        <f>VLOOKUP($B1898,'Hospitalisation Details'!A1897:J4241,9,0)</f>
        <v>R1011</v>
      </c>
      <c r="R1898">
        <f>VLOOKUP($B1898,'Hospitalisation Details'!A1897:K4241,11,0)</f>
        <v>19</v>
      </c>
    </row>
    <row r="1899" spans="1:18" x14ac:dyDescent="0.35">
      <c r="A1899" t="s">
        <v>470</v>
      </c>
      <c r="B1899" t="s">
        <v>1930</v>
      </c>
      <c r="C1899" t="str">
        <f>VLOOKUP($A1899,'Customer Names'!$A:$E,4,FALSE)</f>
        <v>Wesley C.</v>
      </c>
      <c r="D1899" t="str">
        <f>VLOOKUP($A1899,'Medical Examinations'!$A:$J,2,FALSE)</f>
        <v>Normal Weight</v>
      </c>
      <c r="E1899">
        <f>VLOOKUP($A1899,'Medical Examinations'!$A:$J,4,FALSE)</f>
        <v>5.13</v>
      </c>
      <c r="F1899" t="str">
        <f>VLOOKUP($A1899,'Medical Examinations'!$A:$J,6,FALSE)</f>
        <v>No</v>
      </c>
      <c r="G1899" t="str">
        <f>VLOOKUP($A1899,'Medical Examinations'!$A:$J,7,FALSE)</f>
        <v>yes</v>
      </c>
      <c r="H1899" t="str">
        <f>VLOOKUP($A1899,'Medical Examinations'!$A:$J,8,FALSE)</f>
        <v>No</v>
      </c>
      <c r="I1899">
        <f>VLOOKUP($A1899,'Medical Examinations'!$A:$J,9,FALSE)</f>
        <v>2</v>
      </c>
      <c r="J1899" t="str">
        <f>VLOOKUP($A1899,'Medical Examinations'!$A:$J,10,FALSE)</f>
        <v>No</v>
      </c>
      <c r="K1899" t="str">
        <f>VLOOKUP($A1899,'Medical Examinations'!$A:$J,5,FALSE)</f>
        <v>Normal</v>
      </c>
      <c r="L1899">
        <f>VLOOKUP($A1900,'Medical Examinations'!$A:$J,3,FALSE)</f>
        <v>21.24</v>
      </c>
      <c r="N1899" s="11">
        <f>VLOOKUP($B1899,'Hospitalisation Details'!A1898:J4242,10,0)</f>
        <v>35649</v>
      </c>
      <c r="O1899" t="str">
        <f>VLOOKUP($B1899,'Hospitalisation Details'!A1898:J4242,8,0)</f>
        <v>tier - 3</v>
      </c>
      <c r="P1899" t="str">
        <f>VLOOKUP($B1899,'Hospitalisation Details'!A1898:J4242,7,0)</f>
        <v>tier - 2</v>
      </c>
      <c r="Q1899" t="str">
        <f>VLOOKUP($B1899,'Hospitalisation Details'!A1898:J4242,9,0)</f>
        <v>R1018</v>
      </c>
      <c r="R1899">
        <f>VLOOKUP($B1899,'Hospitalisation Details'!A1898:K4242,11,0)</f>
        <v>25</v>
      </c>
    </row>
    <row r="1900" spans="1:18" x14ac:dyDescent="0.35">
      <c r="A1900" t="s">
        <v>469</v>
      </c>
      <c r="B1900" t="s">
        <v>1931</v>
      </c>
      <c r="C1900" t="str">
        <f>VLOOKUP($A1900,'Customer Names'!$A:$E,4,FALSE)</f>
        <v>Christopher</v>
      </c>
      <c r="D1900" t="str">
        <f>VLOOKUP($A1900,'Medical Examinations'!$A:$J,2,FALSE)</f>
        <v>Normal Weight</v>
      </c>
      <c r="E1900">
        <f>VLOOKUP($A1900,'Medical Examinations'!$A:$J,4,FALSE)</f>
        <v>4.49</v>
      </c>
      <c r="F1900" t="str">
        <f>VLOOKUP($A1900,'Medical Examinations'!$A:$J,6,FALSE)</f>
        <v>No</v>
      </c>
      <c r="G1900" t="str">
        <f>VLOOKUP($A1900,'Medical Examinations'!$A:$J,7,FALSE)</f>
        <v>No</v>
      </c>
      <c r="H1900" t="str">
        <f>VLOOKUP($A1900,'Medical Examinations'!$A:$J,8,FALSE)</f>
        <v>No</v>
      </c>
      <c r="I1900">
        <f>VLOOKUP($A1900,'Medical Examinations'!$A:$J,9,FALSE)</f>
        <v>0</v>
      </c>
      <c r="J1900" t="str">
        <f>VLOOKUP($A1900,'Medical Examinations'!$A:$J,10,FALSE)</f>
        <v>No</v>
      </c>
      <c r="K1900" t="str">
        <f>VLOOKUP($A1900,'Medical Examinations'!$A:$J,5,FALSE)</f>
        <v>Normal</v>
      </c>
      <c r="L1900">
        <f>VLOOKUP($A1901,'Medical Examinations'!$A:$J,3,FALSE)</f>
        <v>44.22</v>
      </c>
      <c r="N1900" s="11">
        <f>VLOOKUP($B1900,'Hospitalisation Details'!A1899:J4243,10,0)</f>
        <v>25521</v>
      </c>
      <c r="O1900" t="str">
        <f>VLOOKUP($B1900,'Hospitalisation Details'!A1899:J4243,8,0)</f>
        <v>tier - 3</v>
      </c>
      <c r="P1900" t="str">
        <f>VLOOKUP($B1900,'Hospitalisation Details'!A1899:J4243,7,0)</f>
        <v>tier - 2</v>
      </c>
      <c r="Q1900" t="str">
        <f>VLOOKUP($B1900,'Hospitalisation Details'!A1899:J4243,9,0)</f>
        <v>R1013</v>
      </c>
      <c r="R1900">
        <f>VLOOKUP($B1900,'Hospitalisation Details'!A1899:K4243,11,0)</f>
        <v>53</v>
      </c>
    </row>
    <row r="1901" spans="1:18" x14ac:dyDescent="0.35">
      <c r="A1901" t="s">
        <v>468</v>
      </c>
      <c r="B1901" t="s">
        <v>1932</v>
      </c>
      <c r="C1901" t="str">
        <f>VLOOKUP($A1901,'Customer Names'!$A:$E,4,FALSE)</f>
        <v>Jessica</v>
      </c>
      <c r="D1901" t="str">
        <f>VLOOKUP($A1901,'Medical Examinations'!$A:$J,2,FALSE)</f>
        <v>Obesity</v>
      </c>
      <c r="E1901">
        <f>VLOOKUP($A1901,'Medical Examinations'!$A:$J,4,FALSE)</f>
        <v>6.35</v>
      </c>
      <c r="F1901" t="str">
        <f>VLOOKUP($A1901,'Medical Examinations'!$A:$J,6,FALSE)</f>
        <v>No</v>
      </c>
      <c r="G1901" t="str">
        <f>VLOOKUP($A1901,'Medical Examinations'!$A:$J,7,FALSE)</f>
        <v>No</v>
      </c>
      <c r="H1901" t="str">
        <f>VLOOKUP($A1901,'Medical Examinations'!$A:$J,8,FALSE)</f>
        <v>No</v>
      </c>
      <c r="I1901">
        <f>VLOOKUP($A1901,'Medical Examinations'!$A:$J,9,FALSE)</f>
        <v>0</v>
      </c>
      <c r="J1901" t="str">
        <f>VLOOKUP($A1901,'Medical Examinations'!$A:$J,10,FALSE)</f>
        <v>No</v>
      </c>
      <c r="K1901" t="str">
        <f>VLOOKUP($A1901,'Medical Examinations'!$A:$J,5,FALSE)</f>
        <v>Prediabetes</v>
      </c>
      <c r="L1901">
        <f>VLOOKUP($A1902,'Medical Examinations'!$A:$J,3,FALSE)</f>
        <v>41.1</v>
      </c>
      <c r="N1901" s="11">
        <f>VLOOKUP($B1901,'Hospitalisation Details'!A1900:J4244,10,0)</f>
        <v>34610</v>
      </c>
      <c r="O1901" t="str">
        <f>VLOOKUP($B1901,'Hospitalisation Details'!A1900:J4244,8,0)</f>
        <v>tier - 3</v>
      </c>
      <c r="P1901" t="str">
        <f>VLOOKUP($B1901,'Hospitalisation Details'!A1900:J4244,7,0)</f>
        <v>tier - 2</v>
      </c>
      <c r="Q1901" t="str">
        <f>VLOOKUP($B1901,'Hospitalisation Details'!A1900:J4244,9,0)</f>
        <v>R1024</v>
      </c>
      <c r="R1901">
        <f>VLOOKUP($B1901,'Hospitalisation Details'!A1900:K4244,11,0)</f>
        <v>28</v>
      </c>
    </row>
    <row r="1902" spans="1:18" x14ac:dyDescent="0.35">
      <c r="A1902" t="s">
        <v>467</v>
      </c>
      <c r="B1902" t="s">
        <v>1933</v>
      </c>
      <c r="C1902" t="str">
        <f>VLOOKUP($A1902,'Customer Names'!$A:$E,4,FALSE)</f>
        <v>Christin</v>
      </c>
      <c r="D1902" t="str">
        <f>VLOOKUP($A1902,'Medical Examinations'!$A:$J,2,FALSE)</f>
        <v>Obesity</v>
      </c>
      <c r="E1902">
        <f>VLOOKUP($A1902,'Medical Examinations'!$A:$J,4,FALSE)</f>
        <v>5.79</v>
      </c>
      <c r="F1902" t="str">
        <f>VLOOKUP($A1902,'Medical Examinations'!$A:$J,6,FALSE)</f>
        <v>No</v>
      </c>
      <c r="G1902" t="str">
        <f>VLOOKUP($A1902,'Medical Examinations'!$A:$J,7,FALSE)</f>
        <v>No</v>
      </c>
      <c r="H1902" t="str">
        <f>VLOOKUP($A1902,'Medical Examinations'!$A:$J,8,FALSE)</f>
        <v>No</v>
      </c>
      <c r="I1902">
        <f>VLOOKUP($A1902,'Medical Examinations'!$A:$J,9,FALSE)</f>
        <v>0</v>
      </c>
      <c r="J1902" t="str">
        <f>VLOOKUP($A1902,'Medical Examinations'!$A:$J,10,FALSE)</f>
        <v>No</v>
      </c>
      <c r="K1902" t="str">
        <f>VLOOKUP($A1902,'Medical Examinations'!$A:$J,5,FALSE)</f>
        <v>Prediabetes</v>
      </c>
      <c r="L1902">
        <f>VLOOKUP($A1903,'Medical Examinations'!$A:$J,3,FALSE)</f>
        <v>34.200000000000003</v>
      </c>
      <c r="N1902" s="11">
        <f>VLOOKUP($B1902,'Hospitalisation Details'!A1901:J4245,10,0)</f>
        <v>26959</v>
      </c>
      <c r="O1902" t="str">
        <f>VLOOKUP($B1902,'Hospitalisation Details'!A1901:J4245,8,0)</f>
        <v>tier - 2</v>
      </c>
      <c r="P1902" t="str">
        <f>VLOOKUP($B1902,'Hospitalisation Details'!A1901:J4245,7,0)</f>
        <v>tier - 2</v>
      </c>
      <c r="Q1902" t="str">
        <f>VLOOKUP($B1902,'Hospitalisation Details'!A1901:J4245,9,0)</f>
        <v>R1011</v>
      </c>
      <c r="R1902">
        <f>VLOOKUP($B1902,'Hospitalisation Details'!A1901:K4245,11,0)</f>
        <v>49</v>
      </c>
    </row>
    <row r="1903" spans="1:18" x14ac:dyDescent="0.35">
      <c r="A1903" t="s">
        <v>466</v>
      </c>
      <c r="B1903" t="s">
        <v>1934</v>
      </c>
      <c r="C1903" t="str">
        <f>VLOOKUP($A1903,'Customer Names'!$A:$E,4,FALSE)</f>
        <v>Sara</v>
      </c>
      <c r="D1903" t="str">
        <f>VLOOKUP($A1903,'Medical Examinations'!$A:$J,2,FALSE)</f>
        <v>Obesity</v>
      </c>
      <c r="E1903">
        <f>VLOOKUP($A1903,'Medical Examinations'!$A:$J,4,FALSE)</f>
        <v>4.78</v>
      </c>
      <c r="F1903" t="str">
        <f>VLOOKUP($A1903,'Medical Examinations'!$A:$J,6,FALSE)</f>
        <v>yes</v>
      </c>
      <c r="G1903" t="str">
        <f>VLOOKUP($A1903,'Medical Examinations'!$A:$J,7,FALSE)</f>
        <v>No</v>
      </c>
      <c r="H1903" t="str">
        <f>VLOOKUP($A1903,'Medical Examinations'!$A:$J,8,FALSE)</f>
        <v>No</v>
      </c>
      <c r="I1903">
        <f>VLOOKUP($A1903,'Medical Examinations'!$A:$J,9,FALSE)</f>
        <v>0</v>
      </c>
      <c r="J1903" t="str">
        <f>VLOOKUP($A1903,'Medical Examinations'!$A:$J,10,FALSE)</f>
        <v>No</v>
      </c>
      <c r="K1903" t="str">
        <f>VLOOKUP($A1903,'Medical Examinations'!$A:$J,5,FALSE)</f>
        <v>Normal</v>
      </c>
      <c r="L1903">
        <f>VLOOKUP($A1904,'Medical Examinations'!$A:$J,3,FALSE)</f>
        <v>29.92</v>
      </c>
      <c r="N1903" s="11">
        <f>VLOOKUP($B1903,'Hospitalisation Details'!A1902:J4246,10,0)</f>
        <v>27711</v>
      </c>
      <c r="O1903" t="str">
        <f>VLOOKUP($B1903,'Hospitalisation Details'!A1902:J4246,8,0)</f>
        <v>tier - 3</v>
      </c>
      <c r="P1903" t="str">
        <f>VLOOKUP($B1903,'Hospitalisation Details'!A1902:J4246,7,0)</f>
        <v>tier - 2</v>
      </c>
      <c r="Q1903" t="str">
        <f>VLOOKUP($B1903,'Hospitalisation Details'!A1902:J4246,9,0)</f>
        <v>R1024</v>
      </c>
      <c r="R1903">
        <f>VLOOKUP($B1903,'Hospitalisation Details'!A1902:K4246,11,0)</f>
        <v>47</v>
      </c>
    </row>
    <row r="1904" spans="1:18" x14ac:dyDescent="0.35">
      <c r="A1904" t="s">
        <v>465</v>
      </c>
      <c r="B1904" t="s">
        <v>1935</v>
      </c>
      <c r="C1904" t="str">
        <f>VLOOKUP($A1904,'Customer Names'!$A:$E,4,FALSE)</f>
        <v>Elizabeth</v>
      </c>
      <c r="D1904" t="str">
        <f>VLOOKUP($A1904,'Medical Examinations'!$A:$J,2,FALSE)</f>
        <v>Overweight</v>
      </c>
      <c r="E1904">
        <f>VLOOKUP($A1904,'Medical Examinations'!$A:$J,4,FALSE)</f>
        <v>6.02</v>
      </c>
      <c r="F1904" t="str">
        <f>VLOOKUP($A1904,'Medical Examinations'!$A:$J,6,FALSE)</f>
        <v>yes</v>
      </c>
      <c r="G1904" t="str">
        <f>VLOOKUP($A1904,'Medical Examinations'!$A:$J,7,FALSE)</f>
        <v>No</v>
      </c>
      <c r="H1904" t="str">
        <f>VLOOKUP($A1904,'Medical Examinations'!$A:$J,8,FALSE)</f>
        <v>No</v>
      </c>
      <c r="I1904">
        <f>VLOOKUP($A1904,'Medical Examinations'!$A:$J,9,FALSE)</f>
        <v>0</v>
      </c>
      <c r="J1904" t="str">
        <f>VLOOKUP($A1904,'Medical Examinations'!$A:$J,10,FALSE)</f>
        <v>No</v>
      </c>
      <c r="K1904" t="str">
        <f>VLOOKUP($A1904,'Medical Examinations'!$A:$J,5,FALSE)</f>
        <v>Prediabetes</v>
      </c>
      <c r="L1904">
        <f>VLOOKUP($A1905,'Medical Examinations'!$A:$J,3,FALSE)</f>
        <v>28.93</v>
      </c>
      <c r="N1904" s="11">
        <f>VLOOKUP($B1904,'Hospitalisation Details'!A1903:J4247,10,0)</f>
        <v>30554</v>
      </c>
      <c r="O1904" t="str">
        <f>VLOOKUP($B1904,'Hospitalisation Details'!A1903:J4247,8,0)</f>
        <v>tier - 2</v>
      </c>
      <c r="P1904" t="str">
        <f>VLOOKUP($B1904,'Hospitalisation Details'!A1903:J4247,7,0)</f>
        <v>tier - 2</v>
      </c>
      <c r="Q1904" t="str">
        <f>VLOOKUP($B1904,'Hospitalisation Details'!A1903:J4247,9,0)</f>
        <v>R1013</v>
      </c>
      <c r="R1904">
        <f>VLOOKUP($B1904,'Hospitalisation Details'!A1903:K4247,11,0)</f>
        <v>39</v>
      </c>
    </row>
    <row r="1905" spans="1:18" x14ac:dyDescent="0.35">
      <c r="A1905" t="s">
        <v>464</v>
      </c>
      <c r="B1905" t="s">
        <v>1936</v>
      </c>
      <c r="C1905" t="str">
        <f>VLOOKUP($A1905,'Customer Names'!$A:$E,4,FALSE)</f>
        <v>Margaret P.</v>
      </c>
      <c r="D1905" t="str">
        <f>VLOOKUP($A1905,'Medical Examinations'!$A:$J,2,FALSE)</f>
        <v>Overweight</v>
      </c>
      <c r="E1905">
        <f>VLOOKUP($A1905,'Medical Examinations'!$A:$J,4,FALSE)</f>
        <v>4.4400000000000004</v>
      </c>
      <c r="F1905" t="str">
        <f>VLOOKUP($A1905,'Medical Examinations'!$A:$J,6,FALSE)</f>
        <v>No</v>
      </c>
      <c r="G1905" t="str">
        <f>VLOOKUP($A1905,'Medical Examinations'!$A:$J,7,FALSE)</f>
        <v>No</v>
      </c>
      <c r="H1905" t="str">
        <f>VLOOKUP($A1905,'Medical Examinations'!$A:$J,8,FALSE)</f>
        <v>No</v>
      </c>
      <c r="I1905">
        <f>VLOOKUP($A1905,'Medical Examinations'!$A:$J,9,FALSE)</f>
        <v>0</v>
      </c>
      <c r="J1905" t="str">
        <f>VLOOKUP($A1905,'Medical Examinations'!$A:$J,10,FALSE)</f>
        <v>No</v>
      </c>
      <c r="K1905" t="str">
        <f>VLOOKUP($A1905,'Medical Examinations'!$A:$J,5,FALSE)</f>
        <v>Normal</v>
      </c>
      <c r="L1905">
        <f>VLOOKUP($A1906,'Medical Examinations'!$A:$J,3,FALSE)</f>
        <v>31.254999999999999</v>
      </c>
      <c r="N1905" s="11">
        <f>VLOOKUP($B1905,'Hospitalisation Details'!A1904:J4248,10,0)</f>
        <v>27182</v>
      </c>
      <c r="O1905" t="str">
        <f>VLOOKUP($B1905,'Hospitalisation Details'!A1904:J4248,8,0)</f>
        <v>tier - 2</v>
      </c>
      <c r="P1905" t="str">
        <f>VLOOKUP($B1905,'Hospitalisation Details'!A1904:J4248,7,0)</f>
        <v>tier - 2</v>
      </c>
      <c r="Q1905" t="str">
        <f>VLOOKUP($B1905,'Hospitalisation Details'!A1904:J4248,9,0)</f>
        <v>R1011</v>
      </c>
      <c r="R1905">
        <f>VLOOKUP($B1905,'Hospitalisation Details'!A1904:K4248,11,0)</f>
        <v>49</v>
      </c>
    </row>
    <row r="1906" spans="1:18" x14ac:dyDescent="0.35">
      <c r="A1906" t="s">
        <v>463</v>
      </c>
      <c r="B1906" t="s">
        <v>1937</v>
      </c>
      <c r="C1906" t="str">
        <f>VLOOKUP($A1906,'Customer Names'!$A:$E,4,FALSE)</f>
        <v>Tiffany K</v>
      </c>
      <c r="D1906" t="str">
        <f>VLOOKUP($A1906,'Medical Examinations'!$A:$J,2,FALSE)</f>
        <v>Obesity</v>
      </c>
      <c r="E1906">
        <f>VLOOKUP($A1906,'Medical Examinations'!$A:$J,4,FALSE)</f>
        <v>5.84</v>
      </c>
      <c r="F1906" t="str">
        <f>VLOOKUP($A1906,'Medical Examinations'!$A:$J,6,FALSE)</f>
        <v>yes</v>
      </c>
      <c r="G1906" t="str">
        <f>VLOOKUP($A1906,'Medical Examinations'!$A:$J,7,FALSE)</f>
        <v>No</v>
      </c>
      <c r="H1906" t="str">
        <f>VLOOKUP($A1906,'Medical Examinations'!$A:$J,8,FALSE)</f>
        <v>No</v>
      </c>
      <c r="I1906">
        <f>VLOOKUP($A1906,'Medical Examinations'!$A:$J,9,FALSE)</f>
        <v>1</v>
      </c>
      <c r="J1906" t="str">
        <f>VLOOKUP($A1906,'Medical Examinations'!$A:$J,10,FALSE)</f>
        <v>No</v>
      </c>
      <c r="K1906" t="str">
        <f>VLOOKUP($A1906,'Medical Examinations'!$A:$J,5,FALSE)</f>
        <v>Prediabetes</v>
      </c>
      <c r="L1906">
        <f>VLOOKUP($A1907,'Medical Examinations'!$A:$J,3,FALSE)</f>
        <v>29.83</v>
      </c>
      <c r="N1906" s="11">
        <f>VLOOKUP($B1906,'Hospitalisation Details'!A1905:J4249,10,0)</f>
        <v>26842</v>
      </c>
      <c r="O1906" t="str">
        <f>VLOOKUP($B1906,'Hospitalisation Details'!A1905:J4249,8,0)</f>
        <v>tier - 3</v>
      </c>
      <c r="P1906" t="str">
        <f>VLOOKUP($B1906,'Hospitalisation Details'!A1905:J4249,7,0)</f>
        <v>tier - 2</v>
      </c>
      <c r="Q1906" t="str">
        <f>VLOOKUP($B1906,'Hospitalisation Details'!A1905:J4249,9,0)</f>
        <v>R1012</v>
      </c>
      <c r="R1906">
        <f>VLOOKUP($B1906,'Hospitalisation Details'!A1905:K4249,11,0)</f>
        <v>49</v>
      </c>
    </row>
    <row r="1907" spans="1:18" x14ac:dyDescent="0.35">
      <c r="A1907" t="s">
        <v>462</v>
      </c>
      <c r="B1907" t="s">
        <v>1938</v>
      </c>
      <c r="C1907" t="str">
        <f>VLOOKUP($A1907,'Customer Names'!$A:$E,4,FALSE)</f>
        <v>David M.</v>
      </c>
      <c r="D1907" t="str">
        <f>VLOOKUP($A1907,'Medical Examinations'!$A:$J,2,FALSE)</f>
        <v>Overweight</v>
      </c>
      <c r="E1907">
        <f>VLOOKUP($A1907,'Medical Examinations'!$A:$J,4,FALSE)</f>
        <v>5.39</v>
      </c>
      <c r="F1907" t="str">
        <f>VLOOKUP($A1907,'Medical Examinations'!$A:$J,6,FALSE)</f>
        <v>No</v>
      </c>
      <c r="G1907" t="str">
        <f>VLOOKUP($A1907,'Medical Examinations'!$A:$J,7,FALSE)</f>
        <v>No</v>
      </c>
      <c r="H1907" t="str">
        <f>VLOOKUP($A1907,'Medical Examinations'!$A:$J,8,FALSE)</f>
        <v>No</v>
      </c>
      <c r="I1907">
        <f>VLOOKUP($A1907,'Medical Examinations'!$A:$J,9,FALSE)</f>
        <v>0</v>
      </c>
      <c r="J1907" t="str">
        <f>VLOOKUP($A1907,'Medical Examinations'!$A:$J,10,FALSE)</f>
        <v>No</v>
      </c>
      <c r="K1907" t="str">
        <f>VLOOKUP($A1907,'Medical Examinations'!$A:$J,5,FALSE)</f>
        <v>Normal</v>
      </c>
      <c r="L1907">
        <f>VLOOKUP($A1908,'Medical Examinations'!$A:$J,3,FALSE)</f>
        <v>29.59</v>
      </c>
      <c r="N1907" s="11">
        <f>VLOOKUP($B1907,'Hospitalisation Details'!A1906:J4250,10,0)</f>
        <v>25788</v>
      </c>
      <c r="O1907" t="str">
        <f>VLOOKUP($B1907,'Hospitalisation Details'!A1906:J4250,8,0)</f>
        <v>tier - 3</v>
      </c>
      <c r="P1907" t="str">
        <f>VLOOKUP($B1907,'Hospitalisation Details'!A1906:J4250,7,0)</f>
        <v>tier - 2</v>
      </c>
      <c r="Q1907" t="str">
        <f>VLOOKUP($B1907,'Hospitalisation Details'!A1906:J4250,9,0)</f>
        <v>R1012</v>
      </c>
      <c r="R1907">
        <f>VLOOKUP($B1907,'Hospitalisation Details'!A1906:K4250,11,0)</f>
        <v>52</v>
      </c>
    </row>
    <row r="1908" spans="1:18" x14ac:dyDescent="0.35">
      <c r="A1908" t="s">
        <v>461</v>
      </c>
      <c r="B1908" t="s">
        <v>1939</v>
      </c>
      <c r="C1908" t="str">
        <f>VLOOKUP($A1908,'Customer Names'!$A:$E,4,FALSE)</f>
        <v>Christine E</v>
      </c>
      <c r="D1908" t="str">
        <f>VLOOKUP($A1908,'Medical Examinations'!$A:$J,2,FALSE)</f>
        <v>Overweight</v>
      </c>
      <c r="E1908">
        <f>VLOOKUP($A1908,'Medical Examinations'!$A:$J,4,FALSE)</f>
        <v>6.16</v>
      </c>
      <c r="F1908" t="str">
        <f>VLOOKUP($A1908,'Medical Examinations'!$A:$J,6,FALSE)</f>
        <v>No</v>
      </c>
      <c r="G1908" t="str">
        <f>VLOOKUP($A1908,'Medical Examinations'!$A:$J,7,FALSE)</f>
        <v>No</v>
      </c>
      <c r="H1908" t="str">
        <f>VLOOKUP($A1908,'Medical Examinations'!$A:$J,8,FALSE)</f>
        <v>Yes</v>
      </c>
      <c r="I1908">
        <f>VLOOKUP($A1908,'Medical Examinations'!$A:$J,9,FALSE)</f>
        <v>1</v>
      </c>
      <c r="J1908" t="str">
        <f>VLOOKUP($A1908,'Medical Examinations'!$A:$J,10,FALSE)</f>
        <v>No</v>
      </c>
      <c r="K1908" t="str">
        <f>VLOOKUP($A1908,'Medical Examinations'!$A:$J,5,FALSE)</f>
        <v>Prediabetes</v>
      </c>
      <c r="L1908">
        <f>VLOOKUP($A1909,'Medical Examinations'!$A:$J,3,FALSE)</f>
        <v>31.16</v>
      </c>
      <c r="N1908" s="11">
        <f>VLOOKUP($B1908,'Hospitalisation Details'!A1907:J4251,10,0)</f>
        <v>26124</v>
      </c>
      <c r="O1908" t="str">
        <f>VLOOKUP($B1908,'Hospitalisation Details'!A1907:J4251,8,0)</f>
        <v>tier - 2</v>
      </c>
      <c r="P1908" t="str">
        <f>VLOOKUP($B1908,'Hospitalisation Details'!A1907:J4251,7,0)</f>
        <v>tier - 2</v>
      </c>
      <c r="Q1908" t="str">
        <f>VLOOKUP($B1908,'Hospitalisation Details'!A1907:J4251,9,0)</f>
        <v>R1012</v>
      </c>
      <c r="R1908">
        <f>VLOOKUP($B1908,'Hospitalisation Details'!A1907:K4251,11,0)</f>
        <v>51</v>
      </c>
    </row>
    <row r="1909" spans="1:18" x14ac:dyDescent="0.35">
      <c r="A1909" t="s">
        <v>460</v>
      </c>
      <c r="B1909" t="s">
        <v>1940</v>
      </c>
      <c r="C1909" t="str">
        <f>VLOOKUP($A1909,'Customer Names'!$A:$E,4,FALSE)</f>
        <v>Donna</v>
      </c>
      <c r="D1909" t="str">
        <f>VLOOKUP($A1909,'Medical Examinations'!$A:$J,2,FALSE)</f>
        <v>Obesity</v>
      </c>
      <c r="E1909">
        <f>VLOOKUP($A1909,'Medical Examinations'!$A:$J,4,FALSE)</f>
        <v>4.49</v>
      </c>
      <c r="F1909" t="str">
        <f>VLOOKUP($A1909,'Medical Examinations'!$A:$J,6,FALSE)</f>
        <v>No</v>
      </c>
      <c r="G1909" t="str">
        <f>VLOOKUP($A1909,'Medical Examinations'!$A:$J,7,FALSE)</f>
        <v>No</v>
      </c>
      <c r="H1909" t="str">
        <f>VLOOKUP($A1909,'Medical Examinations'!$A:$J,8,FALSE)</f>
        <v>Yes</v>
      </c>
      <c r="I1909">
        <f>VLOOKUP($A1909,'Medical Examinations'!$A:$J,9,FALSE)</f>
        <v>1</v>
      </c>
      <c r="J1909" t="str">
        <f>VLOOKUP($A1909,'Medical Examinations'!$A:$J,10,FALSE)</f>
        <v>No</v>
      </c>
      <c r="K1909" t="str">
        <f>VLOOKUP($A1909,'Medical Examinations'!$A:$J,5,FALSE)</f>
        <v>Normal</v>
      </c>
      <c r="L1909">
        <f>VLOOKUP($A1910,'Medical Examinations'!$A:$J,3,FALSE)</f>
        <v>34.21</v>
      </c>
      <c r="N1909" s="11">
        <f>VLOOKUP($B1909,'Hospitalisation Details'!A1908:J4252,10,0)</f>
        <v>37985</v>
      </c>
      <c r="O1909" t="str">
        <f>VLOOKUP($B1909,'Hospitalisation Details'!A1908:J4252,8,0)</f>
        <v>tier - 2</v>
      </c>
      <c r="P1909" t="str">
        <f>VLOOKUP($B1909,'Hospitalisation Details'!A1908:J4252,7,0)</f>
        <v>tier - 2</v>
      </c>
      <c r="Q1909" t="str">
        <f>VLOOKUP($B1909,'Hospitalisation Details'!A1908:J4252,9,0)</f>
        <v>R1012</v>
      </c>
      <c r="R1909">
        <f>VLOOKUP($B1909,'Hospitalisation Details'!A1908:K4252,11,0)</f>
        <v>19</v>
      </c>
    </row>
    <row r="1910" spans="1:18" x14ac:dyDescent="0.35">
      <c r="A1910" t="s">
        <v>459</v>
      </c>
      <c r="B1910" t="s">
        <v>1941</v>
      </c>
      <c r="C1910" t="str">
        <f>VLOOKUP($A1910,'Customer Names'!$A:$E,4,FALSE)</f>
        <v>Rod</v>
      </c>
      <c r="D1910" t="str">
        <f>VLOOKUP($A1910,'Medical Examinations'!$A:$J,2,FALSE)</f>
        <v>Obesity</v>
      </c>
      <c r="E1910">
        <f>VLOOKUP($A1910,'Medical Examinations'!$A:$J,4,FALSE)</f>
        <v>4.4800000000000004</v>
      </c>
      <c r="F1910" t="str">
        <f>VLOOKUP($A1910,'Medical Examinations'!$A:$J,6,FALSE)</f>
        <v>yes</v>
      </c>
      <c r="G1910" t="str">
        <f>VLOOKUP($A1910,'Medical Examinations'!$A:$J,7,FALSE)</f>
        <v>No</v>
      </c>
      <c r="H1910" t="str">
        <f>VLOOKUP($A1910,'Medical Examinations'!$A:$J,8,FALSE)</f>
        <v>No</v>
      </c>
      <c r="I1910">
        <f>VLOOKUP($A1910,'Medical Examinations'!$A:$J,9,FALSE)</f>
        <v>1</v>
      </c>
      <c r="J1910" t="str">
        <f>VLOOKUP($A1910,'Medical Examinations'!$A:$J,10,FALSE)</f>
        <v>No</v>
      </c>
      <c r="K1910" t="str">
        <f>VLOOKUP($A1910,'Medical Examinations'!$A:$J,5,FALSE)</f>
        <v>Normal</v>
      </c>
      <c r="L1910">
        <f>VLOOKUP($A1911,'Medical Examinations'!$A:$J,3,FALSE)</f>
        <v>34.86</v>
      </c>
      <c r="N1910" s="11">
        <f>VLOOKUP($B1910,'Hospitalisation Details'!A1909:J4253,10,0)</f>
        <v>26828</v>
      </c>
      <c r="O1910" t="str">
        <f>VLOOKUP($B1910,'Hospitalisation Details'!A1909:J4253,8,0)</f>
        <v>tier - 2</v>
      </c>
      <c r="P1910" t="str">
        <f>VLOOKUP($B1910,'Hospitalisation Details'!A1909:J4253,7,0)</f>
        <v>tier - 2</v>
      </c>
      <c r="Q1910" t="str">
        <f>VLOOKUP($B1910,'Hospitalisation Details'!A1909:J4253,9,0)</f>
        <v>R1024</v>
      </c>
      <c r="R1910">
        <f>VLOOKUP($B1910,'Hospitalisation Details'!A1909:K4253,11,0)</f>
        <v>49</v>
      </c>
    </row>
    <row r="1911" spans="1:18" x14ac:dyDescent="0.35">
      <c r="A1911" t="s">
        <v>458</v>
      </c>
      <c r="B1911" t="s">
        <v>1942</v>
      </c>
      <c r="C1911" t="str">
        <f>VLOOKUP($A1911,'Customer Names'!$A:$E,4,FALSE)</f>
        <v>Joe</v>
      </c>
      <c r="D1911" t="str">
        <f>VLOOKUP($A1911,'Medical Examinations'!$A:$J,2,FALSE)</f>
        <v>Obesity</v>
      </c>
      <c r="E1911">
        <f>VLOOKUP($A1911,'Medical Examinations'!$A:$J,4,FALSE)</f>
        <v>10.97</v>
      </c>
      <c r="F1911" t="str">
        <f>VLOOKUP($A1911,'Medical Examinations'!$A:$J,6,FALSE)</f>
        <v>No</v>
      </c>
      <c r="G1911" t="str">
        <f>VLOOKUP($A1911,'Medical Examinations'!$A:$J,7,FALSE)</f>
        <v>No</v>
      </c>
      <c r="H1911" t="str">
        <f>VLOOKUP($A1911,'Medical Examinations'!$A:$J,8,FALSE)</f>
        <v>No</v>
      </c>
      <c r="I1911">
        <f>VLOOKUP($A1911,'Medical Examinations'!$A:$J,9,FALSE)</f>
        <v>0</v>
      </c>
      <c r="J1911" t="str">
        <f>VLOOKUP($A1911,'Medical Examinations'!$A:$J,10,FALSE)</f>
        <v>No</v>
      </c>
      <c r="K1911" t="str">
        <f>VLOOKUP($A1911,'Medical Examinations'!$A:$J,5,FALSE)</f>
        <v>Diabetes</v>
      </c>
      <c r="L1911">
        <f>VLOOKUP($A1912,'Medical Examinations'!$A:$J,3,FALSE)</f>
        <v>34.58</v>
      </c>
      <c r="N1911" s="11">
        <f>VLOOKUP($B1911,'Hospitalisation Details'!A1910:J4254,10,0)</f>
        <v>27282</v>
      </c>
      <c r="O1911" t="str">
        <f>VLOOKUP($B1911,'Hospitalisation Details'!A1910:J4254,8,0)</f>
        <v>tier - 1</v>
      </c>
      <c r="P1911" t="str">
        <f>VLOOKUP($B1911,'Hospitalisation Details'!A1910:J4254,7,0)</f>
        <v>tier - 2</v>
      </c>
      <c r="Q1911" t="str">
        <f>VLOOKUP($B1911,'Hospitalisation Details'!A1910:J4254,9,0)</f>
        <v>R1013</v>
      </c>
      <c r="R1911">
        <f>VLOOKUP($B1911,'Hospitalisation Details'!A1910:K4254,11,0)</f>
        <v>48</v>
      </c>
    </row>
    <row r="1912" spans="1:18" x14ac:dyDescent="0.35">
      <c r="A1912" t="s">
        <v>457</v>
      </c>
      <c r="B1912" t="s">
        <v>1943</v>
      </c>
      <c r="C1912" t="str">
        <f>VLOOKUP($A1912,'Customer Names'!$A:$E,4,FALSE)</f>
        <v>Kayleigh</v>
      </c>
      <c r="D1912" t="str">
        <f>VLOOKUP($A1912,'Medical Examinations'!$A:$J,2,FALSE)</f>
        <v>Obesity</v>
      </c>
      <c r="E1912">
        <f>VLOOKUP($A1912,'Medical Examinations'!$A:$J,4,FALSE)</f>
        <v>5.14</v>
      </c>
      <c r="F1912" t="str">
        <f>VLOOKUP($A1912,'Medical Examinations'!$A:$J,6,FALSE)</f>
        <v>No</v>
      </c>
      <c r="G1912" t="str">
        <f>VLOOKUP($A1912,'Medical Examinations'!$A:$J,7,FALSE)</f>
        <v>yes</v>
      </c>
      <c r="H1912" t="str">
        <f>VLOOKUP($A1912,'Medical Examinations'!$A:$J,8,FALSE)</f>
        <v>No</v>
      </c>
      <c r="I1912">
        <f>VLOOKUP($A1912,'Medical Examinations'!$A:$J,9,FALSE)</f>
        <v>2</v>
      </c>
      <c r="J1912" t="str">
        <f>VLOOKUP($A1912,'Medical Examinations'!$A:$J,10,FALSE)</f>
        <v>No</v>
      </c>
      <c r="K1912" t="str">
        <f>VLOOKUP($A1912,'Medical Examinations'!$A:$J,5,FALSE)</f>
        <v>Normal</v>
      </c>
      <c r="L1912">
        <f>VLOOKUP($A1913,'Medical Examinations'!$A:$J,3,FALSE)</f>
        <v>17.940000000000001</v>
      </c>
      <c r="N1912" s="11">
        <f>VLOOKUP($B1912,'Hospitalisation Details'!A1911:J4255,10,0)</f>
        <v>23727</v>
      </c>
      <c r="O1912" t="str">
        <f>VLOOKUP($B1912,'Hospitalisation Details'!A1911:J4255,8,0)</f>
        <v>tier - 1</v>
      </c>
      <c r="P1912" t="str">
        <f>VLOOKUP($B1912,'Hospitalisation Details'!A1911:J4255,7,0)</f>
        <v>tier - 2</v>
      </c>
      <c r="Q1912" t="str">
        <f>VLOOKUP($B1912,'Hospitalisation Details'!A1911:J4255,9,0)</f>
        <v>R1013</v>
      </c>
      <c r="R1912">
        <f>VLOOKUP($B1912,'Hospitalisation Details'!A1911:K4255,11,0)</f>
        <v>58</v>
      </c>
    </row>
    <row r="1913" spans="1:18" x14ac:dyDescent="0.35">
      <c r="A1913" t="s">
        <v>456</v>
      </c>
      <c r="B1913" t="s">
        <v>1944</v>
      </c>
      <c r="C1913" t="str">
        <f>VLOOKUP($A1913,'Customer Names'!$A:$E,4,FALSE)</f>
        <v>Lorcan A.</v>
      </c>
      <c r="D1913" t="str">
        <f>VLOOKUP($A1913,'Medical Examinations'!$A:$J,2,FALSE)</f>
        <v>Underweight</v>
      </c>
      <c r="E1913">
        <f>VLOOKUP($A1913,'Medical Examinations'!$A:$J,4,FALSE)</f>
        <v>5.17</v>
      </c>
      <c r="F1913" t="str">
        <f>VLOOKUP($A1913,'Medical Examinations'!$A:$J,6,FALSE)</f>
        <v>yes</v>
      </c>
      <c r="G1913" t="str">
        <f>VLOOKUP($A1913,'Medical Examinations'!$A:$J,7,FALSE)</f>
        <v>No</v>
      </c>
      <c r="H1913" t="str">
        <f>VLOOKUP($A1913,'Medical Examinations'!$A:$J,8,FALSE)</f>
        <v>No</v>
      </c>
      <c r="I1913">
        <f>VLOOKUP($A1913,'Medical Examinations'!$A:$J,9,FALSE)</f>
        <v>0</v>
      </c>
      <c r="J1913" t="str">
        <f>VLOOKUP($A1913,'Medical Examinations'!$A:$J,10,FALSE)</f>
        <v>No</v>
      </c>
      <c r="K1913" t="str">
        <f>VLOOKUP($A1913,'Medical Examinations'!$A:$J,5,FALSE)</f>
        <v>Normal</v>
      </c>
      <c r="L1913">
        <f>VLOOKUP($A1914,'Medical Examinations'!$A:$J,3,FALSE)</f>
        <v>26.8</v>
      </c>
      <c r="N1913" s="11">
        <f>VLOOKUP($B1913,'Hospitalisation Details'!A1912:J4256,10,0)</f>
        <v>38202</v>
      </c>
      <c r="O1913" t="str">
        <f>VLOOKUP($B1913,'Hospitalisation Details'!A1912:J4256,8,0)</f>
        <v>tier - 1</v>
      </c>
      <c r="P1913" t="str">
        <f>VLOOKUP($B1913,'Hospitalisation Details'!A1912:J4256,7,0)</f>
        <v>tier - 2</v>
      </c>
      <c r="Q1913" t="str">
        <f>VLOOKUP($B1913,'Hospitalisation Details'!A1912:J4256,9,0)</f>
        <v>R1011</v>
      </c>
      <c r="R1913">
        <f>VLOOKUP($B1913,'Hospitalisation Details'!A1912:K4256,11,0)</f>
        <v>18</v>
      </c>
    </row>
    <row r="1914" spans="1:18" x14ac:dyDescent="0.35">
      <c r="A1914" t="s">
        <v>455</v>
      </c>
      <c r="B1914" t="s">
        <v>1945</v>
      </c>
      <c r="C1914" t="str">
        <f>VLOOKUP($A1914,'Customer Names'!$A:$E,4,FALSE)</f>
        <v>Billy</v>
      </c>
      <c r="D1914" t="str">
        <f>VLOOKUP($A1914,'Medical Examinations'!$A:$J,2,FALSE)</f>
        <v>Overweight</v>
      </c>
      <c r="E1914">
        <f>VLOOKUP($A1914,'Medical Examinations'!$A:$J,4,FALSE)</f>
        <v>6.18</v>
      </c>
      <c r="F1914" t="str">
        <f>VLOOKUP($A1914,'Medical Examinations'!$A:$J,6,FALSE)</f>
        <v>yes</v>
      </c>
      <c r="G1914" t="str">
        <f>VLOOKUP($A1914,'Medical Examinations'!$A:$J,7,FALSE)</f>
        <v>No</v>
      </c>
      <c r="H1914" t="str">
        <f>VLOOKUP($A1914,'Medical Examinations'!$A:$J,8,FALSE)</f>
        <v>Yes</v>
      </c>
      <c r="I1914">
        <f>VLOOKUP($A1914,'Medical Examinations'!$A:$J,9,FALSE)</f>
        <v>1</v>
      </c>
      <c r="J1914" t="str">
        <f>VLOOKUP($A1914,'Medical Examinations'!$A:$J,10,FALSE)</f>
        <v>No</v>
      </c>
      <c r="K1914" t="str">
        <f>VLOOKUP($A1914,'Medical Examinations'!$A:$J,5,FALSE)</f>
        <v>Prediabetes</v>
      </c>
      <c r="L1914">
        <f>VLOOKUP($A1915,'Medical Examinations'!$A:$J,3,FALSE)</f>
        <v>17.690000000000001</v>
      </c>
      <c r="N1914" s="11">
        <f>VLOOKUP($B1914,'Hospitalisation Details'!A1913:J4257,10,0)</f>
        <v>36440</v>
      </c>
      <c r="O1914" t="str">
        <f>VLOOKUP($B1914,'Hospitalisation Details'!A1913:J4257,8,0)</f>
        <v>tier - 1</v>
      </c>
      <c r="P1914" t="str">
        <f>VLOOKUP($B1914,'Hospitalisation Details'!A1913:J4257,7,0)</f>
        <v>tier - 2</v>
      </c>
      <c r="Q1914" t="str">
        <f>VLOOKUP($B1914,'Hospitalisation Details'!A1913:J4257,9,0)</f>
        <v>R1011</v>
      </c>
      <c r="R1914">
        <f>VLOOKUP($B1914,'Hospitalisation Details'!A1913:K4257,11,0)</f>
        <v>23</v>
      </c>
    </row>
    <row r="1915" spans="1:18" x14ac:dyDescent="0.35">
      <c r="A1915" t="s">
        <v>454</v>
      </c>
      <c r="B1915" t="s">
        <v>1946</v>
      </c>
      <c r="C1915" t="str">
        <f>VLOOKUP($A1915,'Customer Names'!$A:$E,4,FALSE)</f>
        <v>Paul M.</v>
      </c>
      <c r="D1915" t="str">
        <f>VLOOKUP($A1915,'Medical Examinations'!$A:$J,2,FALSE)</f>
        <v>Underweight</v>
      </c>
      <c r="E1915">
        <f>VLOOKUP($A1915,'Medical Examinations'!$A:$J,4,FALSE)</f>
        <v>9.07</v>
      </c>
      <c r="F1915" t="str">
        <f>VLOOKUP($A1915,'Medical Examinations'!$A:$J,6,FALSE)</f>
        <v>yes</v>
      </c>
      <c r="G1915" t="str">
        <f>VLOOKUP($A1915,'Medical Examinations'!$A:$J,7,FALSE)</f>
        <v>No</v>
      </c>
      <c r="H1915" t="str">
        <f>VLOOKUP($A1915,'Medical Examinations'!$A:$J,8,FALSE)</f>
        <v>No</v>
      </c>
      <c r="I1915">
        <f>VLOOKUP($A1915,'Medical Examinations'!$A:$J,9,FALSE)</f>
        <v>0</v>
      </c>
      <c r="J1915" t="str">
        <f>VLOOKUP($A1915,'Medical Examinations'!$A:$J,10,FALSE)</f>
        <v>No</v>
      </c>
      <c r="K1915" t="str">
        <f>VLOOKUP($A1915,'Medical Examinations'!$A:$J,5,FALSE)</f>
        <v>Diabetes</v>
      </c>
      <c r="L1915">
        <f>VLOOKUP($A1916,'Medical Examinations'!$A:$J,3,FALSE)</f>
        <v>25.77</v>
      </c>
      <c r="N1915" s="11">
        <f>VLOOKUP($B1915,'Hospitalisation Details'!A1914:J4258,10,0)</f>
        <v>25902</v>
      </c>
      <c r="O1915" t="str">
        <f>VLOOKUP($B1915,'Hospitalisation Details'!A1914:J4258,8,0)</f>
        <v>tier - 3</v>
      </c>
      <c r="P1915" t="str">
        <f>VLOOKUP($B1915,'Hospitalisation Details'!A1914:J4258,7,0)</f>
        <v>tier - 2</v>
      </c>
      <c r="Q1915" t="str">
        <f>VLOOKUP($B1915,'Hospitalisation Details'!A1914:J4258,9,0)</f>
        <v>R1012</v>
      </c>
      <c r="R1915">
        <f>VLOOKUP($B1915,'Hospitalisation Details'!A1914:K4258,11,0)</f>
        <v>52</v>
      </c>
    </row>
    <row r="1916" spans="1:18" x14ac:dyDescent="0.35">
      <c r="A1916" t="s">
        <v>453</v>
      </c>
      <c r="B1916" t="s">
        <v>1947</v>
      </c>
      <c r="C1916" t="str">
        <f>VLOOKUP($A1916,'Customer Names'!$A:$E,4,FALSE)</f>
        <v>Brenda M.</v>
      </c>
      <c r="D1916" t="str">
        <f>VLOOKUP($A1916,'Medical Examinations'!$A:$J,2,FALSE)</f>
        <v>Overweight</v>
      </c>
      <c r="E1916">
        <f>VLOOKUP($A1916,'Medical Examinations'!$A:$J,4,FALSE)</f>
        <v>4.43</v>
      </c>
      <c r="F1916" t="str">
        <f>VLOOKUP($A1916,'Medical Examinations'!$A:$J,6,FALSE)</f>
        <v>No</v>
      </c>
      <c r="G1916" t="str">
        <f>VLOOKUP($A1916,'Medical Examinations'!$A:$J,7,FALSE)</f>
        <v>No</v>
      </c>
      <c r="H1916" t="str">
        <f>VLOOKUP($A1916,'Medical Examinations'!$A:$J,8,FALSE)</f>
        <v>Yes</v>
      </c>
      <c r="I1916">
        <f>VLOOKUP($A1916,'Medical Examinations'!$A:$J,9,FALSE)</f>
        <v>1</v>
      </c>
      <c r="J1916" t="str">
        <f>VLOOKUP($A1916,'Medical Examinations'!$A:$J,10,FALSE)</f>
        <v>No</v>
      </c>
      <c r="K1916" t="str">
        <f>VLOOKUP($A1916,'Medical Examinations'!$A:$J,5,FALSE)</f>
        <v>Normal</v>
      </c>
      <c r="L1916">
        <f>VLOOKUP($A1917,'Medical Examinations'!$A:$J,3,FALSE)</f>
        <v>34.46</v>
      </c>
      <c r="N1916" s="11">
        <f>VLOOKUP($B1916,'Hospitalisation Details'!A1915:J4259,10,0)</f>
        <v>25025</v>
      </c>
      <c r="O1916" t="str">
        <f>VLOOKUP($B1916,'Hospitalisation Details'!A1915:J4259,8,0)</f>
        <v>tier - 2</v>
      </c>
      <c r="P1916" t="str">
        <f>VLOOKUP($B1916,'Hospitalisation Details'!A1915:J4259,7,0)</f>
        <v>tier - 2</v>
      </c>
      <c r="Q1916" t="str">
        <f>VLOOKUP($B1916,'Hospitalisation Details'!A1915:J4259,9,0)</f>
        <v>R1012</v>
      </c>
      <c r="R1916">
        <f>VLOOKUP($B1916,'Hospitalisation Details'!A1915:K4259,11,0)</f>
        <v>54</v>
      </c>
    </row>
    <row r="1917" spans="1:18" x14ac:dyDescent="0.35">
      <c r="A1917" t="s">
        <v>452</v>
      </c>
      <c r="B1917" t="s">
        <v>1948</v>
      </c>
      <c r="C1917" t="str">
        <f>VLOOKUP($A1917,'Customer Names'!$A:$E,4,FALSE)</f>
        <v>Jeff H</v>
      </c>
      <c r="D1917" t="str">
        <f>VLOOKUP($A1917,'Medical Examinations'!$A:$J,2,FALSE)</f>
        <v>Obesity</v>
      </c>
      <c r="E1917">
        <f>VLOOKUP($A1917,'Medical Examinations'!$A:$J,4,FALSE)</f>
        <v>4.17</v>
      </c>
      <c r="F1917" t="str">
        <f>VLOOKUP($A1917,'Medical Examinations'!$A:$J,6,FALSE)</f>
        <v>No</v>
      </c>
      <c r="G1917" t="str">
        <f>VLOOKUP($A1917,'Medical Examinations'!$A:$J,7,FALSE)</f>
        <v>yes</v>
      </c>
      <c r="H1917" t="str">
        <f>VLOOKUP($A1917,'Medical Examinations'!$A:$J,8,FALSE)</f>
        <v>No</v>
      </c>
      <c r="I1917">
        <f>VLOOKUP($A1917,'Medical Examinations'!$A:$J,9,FALSE)</f>
        <v>1</v>
      </c>
      <c r="J1917" t="str">
        <f>VLOOKUP($A1917,'Medical Examinations'!$A:$J,10,FALSE)</f>
        <v>No</v>
      </c>
      <c r="K1917" t="str">
        <f>VLOOKUP($A1917,'Medical Examinations'!$A:$J,5,FALSE)</f>
        <v>Normal</v>
      </c>
      <c r="L1917">
        <f>VLOOKUP($A1918,'Medical Examinations'!$A:$J,3,FALSE)</f>
        <v>30.875</v>
      </c>
      <c r="N1917" s="11">
        <f>VLOOKUP($B1917,'Hospitalisation Details'!A1916:J4260,10,0)</f>
        <v>22575</v>
      </c>
      <c r="O1917" t="str">
        <f>VLOOKUP($B1917,'Hospitalisation Details'!A1916:J4260,8,0)</f>
        <v>tier - 2</v>
      </c>
      <c r="P1917" t="str">
        <f>VLOOKUP($B1917,'Hospitalisation Details'!A1916:J4260,7,0)</f>
        <v>tier - 2</v>
      </c>
      <c r="Q1917" t="str">
        <f>VLOOKUP($B1917,'Hospitalisation Details'!A1916:J4260,9,0)</f>
        <v>R1013</v>
      </c>
      <c r="R1917">
        <f>VLOOKUP($B1917,'Hospitalisation Details'!A1916:K4260,11,0)</f>
        <v>61</v>
      </c>
    </row>
    <row r="1918" spans="1:18" x14ac:dyDescent="0.35">
      <c r="A1918" t="s">
        <v>451</v>
      </c>
      <c r="B1918" t="s">
        <v>1949</v>
      </c>
      <c r="C1918" t="str">
        <f>VLOOKUP($A1918,'Customer Names'!$A:$E,4,FALSE)</f>
        <v>Michael</v>
      </c>
      <c r="D1918" t="str">
        <f>VLOOKUP($A1918,'Medical Examinations'!$A:$J,2,FALSE)</f>
        <v>Obesity</v>
      </c>
      <c r="E1918">
        <f>VLOOKUP($A1918,'Medical Examinations'!$A:$J,4,FALSE)</f>
        <v>4.95</v>
      </c>
      <c r="F1918" t="str">
        <f>VLOOKUP($A1918,'Medical Examinations'!$A:$J,6,FALSE)</f>
        <v>yes</v>
      </c>
      <c r="G1918" t="str">
        <f>VLOOKUP($A1918,'Medical Examinations'!$A:$J,7,FALSE)</f>
        <v>No</v>
      </c>
      <c r="H1918" t="str">
        <f>VLOOKUP($A1918,'Medical Examinations'!$A:$J,8,FALSE)</f>
        <v>No</v>
      </c>
      <c r="I1918">
        <f>VLOOKUP($A1918,'Medical Examinations'!$A:$J,9,FALSE)</f>
        <v>0</v>
      </c>
      <c r="J1918" t="str">
        <f>VLOOKUP($A1918,'Medical Examinations'!$A:$J,10,FALSE)</f>
        <v>No</v>
      </c>
      <c r="K1918" t="str">
        <f>VLOOKUP($A1918,'Medical Examinations'!$A:$J,5,FALSE)</f>
        <v>Normal</v>
      </c>
      <c r="L1918">
        <f>VLOOKUP($A1919,'Medical Examinations'!$A:$J,3,FALSE)</f>
        <v>39.49</v>
      </c>
      <c r="N1918" s="11">
        <f>VLOOKUP($B1918,'Hospitalisation Details'!A1917:J4261,10,0)</f>
        <v>26556</v>
      </c>
      <c r="O1918" t="str">
        <f>VLOOKUP($B1918,'Hospitalisation Details'!A1917:J4261,8,0)</f>
        <v>tier - 3</v>
      </c>
      <c r="P1918" t="str">
        <f>VLOOKUP($B1918,'Hospitalisation Details'!A1917:J4261,7,0)</f>
        <v>tier - 2</v>
      </c>
      <c r="Q1918" t="str">
        <f>VLOOKUP($B1918,'Hospitalisation Details'!A1917:J4261,9,0)</f>
        <v>R1011</v>
      </c>
      <c r="R1918">
        <f>VLOOKUP($B1918,'Hospitalisation Details'!A1917:K4261,11,0)</f>
        <v>50</v>
      </c>
    </row>
    <row r="1919" spans="1:18" x14ac:dyDescent="0.35">
      <c r="A1919" t="s">
        <v>450</v>
      </c>
      <c r="B1919" t="s">
        <v>1950</v>
      </c>
      <c r="C1919" t="str">
        <f>VLOOKUP($A1919,'Customer Names'!$A:$E,4,FALSE)</f>
        <v>Jan</v>
      </c>
      <c r="D1919" t="str">
        <f>VLOOKUP($A1919,'Medical Examinations'!$A:$J,2,FALSE)</f>
        <v>Obesity</v>
      </c>
      <c r="E1919">
        <f>VLOOKUP($A1919,'Medical Examinations'!$A:$J,4,FALSE)</f>
        <v>5.13</v>
      </c>
      <c r="F1919" t="str">
        <f>VLOOKUP($A1919,'Medical Examinations'!$A:$J,6,FALSE)</f>
        <v>No</v>
      </c>
      <c r="G1919" t="str">
        <f>VLOOKUP($A1919,'Medical Examinations'!$A:$J,7,FALSE)</f>
        <v>No</v>
      </c>
      <c r="H1919" t="str">
        <f>VLOOKUP($A1919,'Medical Examinations'!$A:$J,8,FALSE)</f>
        <v>No</v>
      </c>
      <c r="I1919">
        <f>VLOOKUP($A1919,'Medical Examinations'!$A:$J,9,FALSE)</f>
        <v>0</v>
      </c>
      <c r="J1919" t="str">
        <f>VLOOKUP($A1919,'Medical Examinations'!$A:$J,10,FALSE)</f>
        <v>No</v>
      </c>
      <c r="K1919" t="str">
        <f>VLOOKUP($A1919,'Medical Examinations'!$A:$J,5,FALSE)</f>
        <v>Normal</v>
      </c>
      <c r="L1919">
        <f>VLOOKUP($A1920,'Medical Examinations'!$A:$J,3,FALSE)</f>
        <v>28.88</v>
      </c>
      <c r="N1919" s="11">
        <f>VLOOKUP($B1919,'Hospitalisation Details'!A1918:J4262,10,0)</f>
        <v>27558</v>
      </c>
      <c r="O1919" t="str">
        <f>VLOOKUP($B1919,'Hospitalisation Details'!A1918:J4262,8,0)</f>
        <v>tier - 2</v>
      </c>
      <c r="P1919" t="str">
        <f>VLOOKUP($B1919,'Hospitalisation Details'!A1918:J4262,7,0)</f>
        <v>tier - 2</v>
      </c>
      <c r="Q1919" t="str">
        <f>VLOOKUP($B1919,'Hospitalisation Details'!A1918:J4262,9,0)</f>
        <v>R1012</v>
      </c>
      <c r="R1919">
        <f>VLOOKUP($B1919,'Hospitalisation Details'!A1918:K4262,11,0)</f>
        <v>47</v>
      </c>
    </row>
    <row r="1920" spans="1:18" x14ac:dyDescent="0.35">
      <c r="A1920" t="s">
        <v>449</v>
      </c>
      <c r="B1920" t="s">
        <v>1951</v>
      </c>
      <c r="C1920" t="str">
        <f>VLOOKUP($A1920,'Customer Names'!$A:$E,4,FALSE)</f>
        <v>Bernard</v>
      </c>
      <c r="D1920" t="str">
        <f>VLOOKUP($A1920,'Medical Examinations'!$A:$J,2,FALSE)</f>
        <v>Overweight</v>
      </c>
      <c r="E1920">
        <f>VLOOKUP($A1920,'Medical Examinations'!$A:$J,4,FALSE)</f>
        <v>4.0999999999999996</v>
      </c>
      <c r="F1920" t="str">
        <f>VLOOKUP($A1920,'Medical Examinations'!$A:$J,6,FALSE)</f>
        <v>No</v>
      </c>
      <c r="G1920" t="str">
        <f>VLOOKUP($A1920,'Medical Examinations'!$A:$J,7,FALSE)</f>
        <v>No</v>
      </c>
      <c r="H1920" t="str">
        <f>VLOOKUP($A1920,'Medical Examinations'!$A:$J,8,FALSE)</f>
        <v>No</v>
      </c>
      <c r="I1920">
        <f>VLOOKUP($A1920,'Medical Examinations'!$A:$J,9,FALSE)</f>
        <v>0</v>
      </c>
      <c r="J1920" t="str">
        <f>VLOOKUP($A1920,'Medical Examinations'!$A:$J,10,FALSE)</f>
        <v>No</v>
      </c>
      <c r="K1920" t="str">
        <f>VLOOKUP($A1920,'Medical Examinations'!$A:$J,5,FALSE)</f>
        <v>Normal</v>
      </c>
      <c r="L1920">
        <f>VLOOKUP($A1921,'Medical Examinations'!$A:$J,3,FALSE)</f>
        <v>20.234999999999999</v>
      </c>
      <c r="N1920" s="11">
        <f>VLOOKUP($B1920,'Hospitalisation Details'!A1919:J4263,10,0)</f>
        <v>28045</v>
      </c>
      <c r="O1920" t="str">
        <f>VLOOKUP($B1920,'Hospitalisation Details'!A1919:J4263,8,0)</f>
        <v>tier - 2</v>
      </c>
      <c r="P1920" t="str">
        <f>VLOOKUP($B1920,'Hospitalisation Details'!A1919:J4263,7,0)</f>
        <v>tier - 2</v>
      </c>
      <c r="Q1920" t="str">
        <f>VLOOKUP($B1920,'Hospitalisation Details'!A1919:J4263,9,0)</f>
        <v>R1011</v>
      </c>
      <c r="R1920">
        <f>VLOOKUP($B1920,'Hospitalisation Details'!A1919:K4263,11,0)</f>
        <v>46</v>
      </c>
    </row>
    <row r="1921" spans="1:18" x14ac:dyDescent="0.35">
      <c r="A1921" t="s">
        <v>448</v>
      </c>
      <c r="B1921" t="s">
        <v>1952</v>
      </c>
      <c r="C1921" t="str">
        <f>VLOOKUP($A1921,'Customer Names'!$A:$E,4,FALSE)</f>
        <v>Craig</v>
      </c>
      <c r="D1921" t="str">
        <f>VLOOKUP($A1921,'Medical Examinations'!$A:$J,2,FALSE)</f>
        <v>Normal Weight</v>
      </c>
      <c r="E1921">
        <f>VLOOKUP($A1921,'Medical Examinations'!$A:$J,4,FALSE)</f>
        <v>5.01</v>
      </c>
      <c r="F1921" t="str">
        <f>VLOOKUP($A1921,'Medical Examinations'!$A:$J,6,FALSE)</f>
        <v>yes</v>
      </c>
      <c r="G1921" t="str">
        <f>VLOOKUP($A1921,'Medical Examinations'!$A:$J,7,FALSE)</f>
        <v>No</v>
      </c>
      <c r="H1921" t="str">
        <f>VLOOKUP($A1921,'Medical Examinations'!$A:$J,8,FALSE)</f>
        <v>No</v>
      </c>
      <c r="I1921">
        <f>VLOOKUP($A1921,'Medical Examinations'!$A:$J,9,FALSE)</f>
        <v>0</v>
      </c>
      <c r="J1921" t="str">
        <f>VLOOKUP($A1921,'Medical Examinations'!$A:$J,10,FALSE)</f>
        <v>No</v>
      </c>
      <c r="K1921" t="str">
        <f>VLOOKUP($A1921,'Medical Examinations'!$A:$J,5,FALSE)</f>
        <v>Normal</v>
      </c>
      <c r="L1921">
        <f>VLOOKUP($A1922,'Medical Examinations'!$A:$J,3,FALSE)</f>
        <v>30.67</v>
      </c>
      <c r="N1921" s="11">
        <f>VLOOKUP($B1921,'Hospitalisation Details'!A1920:J4264,10,0)</f>
        <v>25731</v>
      </c>
      <c r="O1921" t="str">
        <f>VLOOKUP($B1921,'Hospitalisation Details'!A1920:J4264,8,0)</f>
        <v>tier - 3</v>
      </c>
      <c r="P1921" t="str">
        <f>VLOOKUP($B1921,'Hospitalisation Details'!A1920:J4264,7,0)</f>
        <v>tier - 2</v>
      </c>
      <c r="Q1921" t="str">
        <f>VLOOKUP($B1921,'Hospitalisation Details'!A1920:J4264,9,0)</f>
        <v>R1013</v>
      </c>
      <c r="R1921">
        <f>VLOOKUP($B1921,'Hospitalisation Details'!A1920:K4264,11,0)</f>
        <v>52</v>
      </c>
    </row>
    <row r="1922" spans="1:18" x14ac:dyDescent="0.35">
      <c r="A1922" t="s">
        <v>447</v>
      </c>
      <c r="B1922" t="s">
        <v>1953</v>
      </c>
      <c r="C1922" t="str">
        <f>VLOOKUP($A1922,'Customer Names'!$A:$E,4,FALSE)</f>
        <v>Bryn</v>
      </c>
      <c r="D1922" t="str">
        <f>VLOOKUP($A1922,'Medical Examinations'!$A:$J,2,FALSE)</f>
        <v>Obesity</v>
      </c>
      <c r="E1922">
        <f>VLOOKUP($A1922,'Medical Examinations'!$A:$J,4,FALSE)</f>
        <v>5.09</v>
      </c>
      <c r="F1922" t="str">
        <f>VLOOKUP($A1922,'Medical Examinations'!$A:$J,6,FALSE)</f>
        <v>yes</v>
      </c>
      <c r="G1922" t="str">
        <f>VLOOKUP($A1922,'Medical Examinations'!$A:$J,7,FALSE)</f>
        <v>No</v>
      </c>
      <c r="H1922" t="str">
        <f>VLOOKUP($A1922,'Medical Examinations'!$A:$J,8,FALSE)</f>
        <v>No</v>
      </c>
      <c r="I1922">
        <f>VLOOKUP($A1922,'Medical Examinations'!$A:$J,9,FALSE)</f>
        <v>0</v>
      </c>
      <c r="J1922" t="str">
        <f>VLOOKUP($A1922,'Medical Examinations'!$A:$J,10,FALSE)</f>
        <v>No</v>
      </c>
      <c r="K1922" t="str">
        <f>VLOOKUP($A1922,'Medical Examinations'!$A:$J,5,FALSE)</f>
        <v>Normal</v>
      </c>
      <c r="L1922">
        <f>VLOOKUP($A1923,'Medical Examinations'!$A:$J,3,FALSE)</f>
        <v>30.875</v>
      </c>
      <c r="N1922" s="11">
        <f>VLOOKUP($B1922,'Hospitalisation Details'!A1921:J4265,10,0)</f>
        <v>35305</v>
      </c>
      <c r="O1922" t="str">
        <f>VLOOKUP($B1922,'Hospitalisation Details'!A1921:J4265,8,0)</f>
        <v>tier - 1</v>
      </c>
      <c r="P1922" t="str">
        <f>VLOOKUP($B1922,'Hospitalisation Details'!A1921:J4265,7,0)</f>
        <v>tier - 2</v>
      </c>
      <c r="Q1922" t="str">
        <f>VLOOKUP($B1922,'Hospitalisation Details'!A1921:J4265,9,0)</f>
        <v>R1024</v>
      </c>
      <c r="R1922">
        <f>VLOOKUP($B1922,'Hospitalisation Details'!A1921:K4265,11,0)</f>
        <v>26</v>
      </c>
    </row>
    <row r="1923" spans="1:18" x14ac:dyDescent="0.35">
      <c r="A1923" t="s">
        <v>446</v>
      </c>
      <c r="B1923" t="s">
        <v>1954</v>
      </c>
      <c r="C1923" t="str">
        <f>VLOOKUP($A1923,'Customer Names'!$A:$E,4,FALSE)</f>
        <v>Michael</v>
      </c>
      <c r="D1923" t="str">
        <f>VLOOKUP($A1923,'Medical Examinations'!$A:$J,2,FALSE)</f>
        <v>Obesity</v>
      </c>
      <c r="E1923">
        <f>VLOOKUP($A1923,'Medical Examinations'!$A:$J,4,FALSE)</f>
        <v>6.49</v>
      </c>
      <c r="F1923" t="str">
        <f>VLOOKUP($A1923,'Medical Examinations'!$A:$J,6,FALSE)</f>
        <v>No</v>
      </c>
      <c r="G1923" t="str">
        <f>VLOOKUP($A1923,'Medical Examinations'!$A:$J,7,FALSE)</f>
        <v>No</v>
      </c>
      <c r="H1923" t="str">
        <f>VLOOKUP($A1923,'Medical Examinations'!$A:$J,8,FALSE)</f>
        <v>No</v>
      </c>
      <c r="I1923">
        <f>VLOOKUP($A1923,'Medical Examinations'!$A:$J,9,FALSE)</f>
        <v>0</v>
      </c>
      <c r="J1923" t="str">
        <f>VLOOKUP($A1923,'Medical Examinations'!$A:$J,10,FALSE)</f>
        <v>No</v>
      </c>
      <c r="K1923" t="str">
        <f>VLOOKUP($A1923,'Medical Examinations'!$A:$J,5,FALSE)</f>
        <v>Prediabetes</v>
      </c>
      <c r="L1923">
        <f>VLOOKUP($A1924,'Medical Examinations'!$A:$J,3,FALSE)</f>
        <v>23.8</v>
      </c>
      <c r="N1923" s="11">
        <f>VLOOKUP($B1923,'Hospitalisation Details'!A1922:J4266,10,0)</f>
        <v>33888</v>
      </c>
      <c r="O1923" t="str">
        <f>VLOOKUP($B1923,'Hospitalisation Details'!A1922:J4266,8,0)</f>
        <v>tier - 3</v>
      </c>
      <c r="P1923" t="str">
        <f>VLOOKUP($B1923,'Hospitalisation Details'!A1922:J4266,7,0)</f>
        <v>tier - 2</v>
      </c>
      <c r="Q1923" t="str">
        <f>VLOOKUP($B1923,'Hospitalisation Details'!A1922:J4266,9,0)</f>
        <v>R1011</v>
      </c>
      <c r="R1923">
        <f>VLOOKUP($B1923,'Hospitalisation Details'!A1922:K4266,11,0)</f>
        <v>30</v>
      </c>
    </row>
    <row r="1924" spans="1:18" x14ac:dyDescent="0.35">
      <c r="A1924" t="s">
        <v>445</v>
      </c>
      <c r="B1924" t="s">
        <v>1955</v>
      </c>
      <c r="C1924" t="str">
        <f>VLOOKUP($A1924,'Customer Names'!$A:$E,4,FALSE)</f>
        <v>Benjamin</v>
      </c>
      <c r="D1924" t="str">
        <f>VLOOKUP($A1924,'Medical Examinations'!$A:$J,2,FALSE)</f>
        <v>Normal Weight</v>
      </c>
      <c r="E1924">
        <f>VLOOKUP($A1924,'Medical Examinations'!$A:$J,4,FALSE)</f>
        <v>4.08</v>
      </c>
      <c r="F1924" t="str">
        <f>VLOOKUP($A1924,'Medical Examinations'!$A:$J,6,FALSE)</f>
        <v>No</v>
      </c>
      <c r="G1924" t="str">
        <f>VLOOKUP($A1924,'Medical Examinations'!$A:$J,7,FALSE)</f>
        <v>No</v>
      </c>
      <c r="H1924" t="str">
        <f>VLOOKUP($A1924,'Medical Examinations'!$A:$J,8,FALSE)</f>
        <v>No</v>
      </c>
      <c r="I1924">
        <f>VLOOKUP($A1924,'Medical Examinations'!$A:$J,9,FALSE)</f>
        <v>0</v>
      </c>
      <c r="J1924" t="str">
        <f>VLOOKUP($A1924,'Medical Examinations'!$A:$J,10,FALSE)</f>
        <v>No</v>
      </c>
      <c r="K1924" t="str">
        <f>VLOOKUP($A1924,'Medical Examinations'!$A:$J,5,FALSE)</f>
        <v>Normal</v>
      </c>
      <c r="L1924">
        <f>VLOOKUP($A1925,'Medical Examinations'!$A:$J,3,FALSE)</f>
        <v>15.37</v>
      </c>
      <c r="N1924" s="11">
        <f>VLOOKUP($B1924,'Hospitalisation Details'!A1923:J4267,10,0)</f>
        <v>34586</v>
      </c>
      <c r="O1924" t="str">
        <f>VLOOKUP($B1924,'Hospitalisation Details'!A1923:J4267,8,0)</f>
        <v>tier - 2</v>
      </c>
      <c r="P1924" t="str">
        <f>VLOOKUP($B1924,'Hospitalisation Details'!A1923:J4267,7,0)</f>
        <v>tier - 2</v>
      </c>
      <c r="Q1924" t="str">
        <f>VLOOKUP($B1924,'Hospitalisation Details'!A1923:J4267,9,0)</f>
        <v>R1011</v>
      </c>
      <c r="R1924">
        <f>VLOOKUP($B1924,'Hospitalisation Details'!A1923:K4267,11,0)</f>
        <v>28</v>
      </c>
    </row>
    <row r="1925" spans="1:18" x14ac:dyDescent="0.35">
      <c r="A1925" t="s">
        <v>444</v>
      </c>
      <c r="B1925" t="s">
        <v>1956</v>
      </c>
      <c r="C1925" t="str">
        <f>VLOOKUP($A1925,'Customer Names'!$A:$E,4,FALSE)</f>
        <v>Jay</v>
      </c>
      <c r="D1925" t="str">
        <f>VLOOKUP($A1925,'Medical Examinations'!$A:$J,2,FALSE)</f>
        <v>Underweight</v>
      </c>
      <c r="E1925">
        <f>VLOOKUP($A1925,'Medical Examinations'!$A:$J,4,FALSE)</f>
        <v>8.6300000000000008</v>
      </c>
      <c r="F1925" t="str">
        <f>VLOOKUP($A1925,'Medical Examinations'!$A:$J,6,FALSE)</f>
        <v>yes</v>
      </c>
      <c r="G1925" t="str">
        <f>VLOOKUP($A1925,'Medical Examinations'!$A:$J,7,FALSE)</f>
        <v>No</v>
      </c>
      <c r="H1925" t="str">
        <f>VLOOKUP($A1925,'Medical Examinations'!$A:$J,8,FALSE)</f>
        <v>No</v>
      </c>
      <c r="I1925">
        <f>VLOOKUP($A1925,'Medical Examinations'!$A:$J,9,FALSE)</f>
        <v>0</v>
      </c>
      <c r="J1925" t="str">
        <f>VLOOKUP($A1925,'Medical Examinations'!$A:$J,10,FALSE)</f>
        <v>No</v>
      </c>
      <c r="K1925" t="str">
        <f>VLOOKUP($A1925,'Medical Examinations'!$A:$J,5,FALSE)</f>
        <v>Diabetes</v>
      </c>
      <c r="L1925">
        <f>VLOOKUP($A1926,'Medical Examinations'!$A:$J,3,FALSE)</f>
        <v>30.4</v>
      </c>
      <c r="N1925" s="11">
        <f>VLOOKUP($B1925,'Hospitalisation Details'!A1924:J4268,10,0)</f>
        <v>34860</v>
      </c>
      <c r="O1925" t="str">
        <f>VLOOKUP($B1925,'Hospitalisation Details'!A1924:J4268,8,0)</f>
        <v>tier - 3</v>
      </c>
      <c r="P1925" t="str">
        <f>VLOOKUP($B1925,'Hospitalisation Details'!A1924:J4268,7,0)</f>
        <v>tier - 2</v>
      </c>
      <c r="Q1925" t="str">
        <f>VLOOKUP($B1925,'Hospitalisation Details'!A1924:J4268,9,0)</f>
        <v>R1011</v>
      </c>
      <c r="R1925">
        <f>VLOOKUP($B1925,'Hospitalisation Details'!A1924:K4268,11,0)</f>
        <v>27</v>
      </c>
    </row>
    <row r="1926" spans="1:18" x14ac:dyDescent="0.35">
      <c r="A1926" t="s">
        <v>443</v>
      </c>
      <c r="B1926" t="s">
        <v>1957</v>
      </c>
      <c r="C1926" t="str">
        <f>VLOOKUP($A1926,'Customer Names'!$A:$E,4,FALSE)</f>
        <v>William</v>
      </c>
      <c r="D1926" t="str">
        <f>VLOOKUP($A1926,'Medical Examinations'!$A:$J,2,FALSE)</f>
        <v>Obesity</v>
      </c>
      <c r="E1926">
        <f>VLOOKUP($A1926,'Medical Examinations'!$A:$J,4,FALSE)</f>
        <v>5.28</v>
      </c>
      <c r="F1926" t="str">
        <f>VLOOKUP($A1926,'Medical Examinations'!$A:$J,6,FALSE)</f>
        <v>No</v>
      </c>
      <c r="G1926" t="str">
        <f>VLOOKUP($A1926,'Medical Examinations'!$A:$J,7,FALSE)</f>
        <v>No</v>
      </c>
      <c r="H1926" t="str">
        <f>VLOOKUP($A1926,'Medical Examinations'!$A:$J,8,FALSE)</f>
        <v>No</v>
      </c>
      <c r="I1926">
        <f>VLOOKUP($A1926,'Medical Examinations'!$A:$J,9,FALSE)</f>
        <v>0</v>
      </c>
      <c r="J1926" t="str">
        <f>VLOOKUP($A1926,'Medical Examinations'!$A:$J,10,FALSE)</f>
        <v>No</v>
      </c>
      <c r="K1926" t="str">
        <f>VLOOKUP($A1926,'Medical Examinations'!$A:$J,5,FALSE)</f>
        <v>Normal</v>
      </c>
      <c r="L1926">
        <f>VLOOKUP($A1927,'Medical Examinations'!$A:$J,3,FALSE)</f>
        <v>19.48</v>
      </c>
      <c r="N1926" s="11">
        <f>VLOOKUP($B1926,'Hospitalisation Details'!A1925:J4269,10,0)</f>
        <v>25898</v>
      </c>
      <c r="O1926" t="str">
        <f>VLOOKUP($B1926,'Hospitalisation Details'!A1925:J4269,8,0)</f>
        <v>tier - 2</v>
      </c>
      <c r="P1926" t="str">
        <f>VLOOKUP($B1926,'Hospitalisation Details'!A1925:J4269,7,0)</f>
        <v>tier - 2</v>
      </c>
      <c r="Q1926" t="str">
        <f>VLOOKUP($B1926,'Hospitalisation Details'!A1925:J4269,9,0)</f>
        <v>R1016</v>
      </c>
      <c r="R1926">
        <f>VLOOKUP($B1926,'Hospitalisation Details'!A1925:K4269,11,0)</f>
        <v>52</v>
      </c>
    </row>
    <row r="1927" spans="1:18" x14ac:dyDescent="0.35">
      <c r="A1927" t="s">
        <v>442</v>
      </c>
      <c r="B1927" t="s">
        <v>1958</v>
      </c>
      <c r="C1927" t="str">
        <f>VLOOKUP($A1927,'Customer Names'!$A:$E,4,FALSE)</f>
        <v>Shelley</v>
      </c>
      <c r="D1927" t="str">
        <f>VLOOKUP($A1927,'Medical Examinations'!$A:$J,2,FALSE)</f>
        <v>Normal Weight</v>
      </c>
      <c r="E1927">
        <f>VLOOKUP($A1927,'Medical Examinations'!$A:$J,4,FALSE)</f>
        <v>5.63</v>
      </c>
      <c r="F1927" t="str">
        <f>VLOOKUP($A1927,'Medical Examinations'!$A:$J,6,FALSE)</f>
        <v>yes</v>
      </c>
      <c r="G1927" t="str">
        <f>VLOOKUP($A1927,'Medical Examinations'!$A:$J,7,FALSE)</f>
        <v>No</v>
      </c>
      <c r="H1927" t="str">
        <f>VLOOKUP($A1927,'Medical Examinations'!$A:$J,8,FALSE)</f>
        <v>No</v>
      </c>
      <c r="I1927">
        <f>VLOOKUP($A1927,'Medical Examinations'!$A:$J,9,FALSE)</f>
        <v>1</v>
      </c>
      <c r="J1927" t="str">
        <f>VLOOKUP($A1927,'Medical Examinations'!$A:$J,10,FALSE)</f>
        <v>No</v>
      </c>
      <c r="K1927" t="str">
        <f>VLOOKUP($A1927,'Medical Examinations'!$A:$J,5,FALSE)</f>
        <v>Normal</v>
      </c>
      <c r="L1927">
        <f>VLOOKUP($A1928,'Medical Examinations'!$A:$J,3,FALSE)</f>
        <v>16.96</v>
      </c>
      <c r="N1927" s="11">
        <f>VLOOKUP($B1927,'Hospitalisation Details'!A1926:J4270,10,0)</f>
        <v>25407</v>
      </c>
      <c r="O1927" t="str">
        <f>VLOOKUP($B1927,'Hospitalisation Details'!A1926:J4270,8,0)</f>
        <v>tier - 1</v>
      </c>
      <c r="P1927" t="str">
        <f>VLOOKUP($B1927,'Hospitalisation Details'!A1926:J4270,7,0)</f>
        <v>tier - 2</v>
      </c>
      <c r="Q1927" t="str">
        <f>VLOOKUP($B1927,'Hospitalisation Details'!A1926:J4270,9,0)</f>
        <v>R1024</v>
      </c>
      <c r="R1927">
        <f>VLOOKUP($B1927,'Hospitalisation Details'!A1926:K4270,11,0)</f>
        <v>53</v>
      </c>
    </row>
    <row r="1928" spans="1:18" x14ac:dyDescent="0.35">
      <c r="A1928" t="s">
        <v>441</v>
      </c>
      <c r="B1928" t="s">
        <v>1959</v>
      </c>
      <c r="C1928" t="str">
        <f>VLOOKUP($A1928,'Customer Names'!$A:$E,4,FALSE)</f>
        <v>Jekaterina</v>
      </c>
      <c r="D1928" t="str">
        <f>VLOOKUP($A1928,'Medical Examinations'!$A:$J,2,FALSE)</f>
        <v>Underweight</v>
      </c>
      <c r="E1928">
        <f>VLOOKUP($A1928,'Medical Examinations'!$A:$J,4,FALSE)</f>
        <v>11.47</v>
      </c>
      <c r="F1928" t="str">
        <f>VLOOKUP($A1928,'Medical Examinations'!$A:$J,6,FALSE)</f>
        <v>yes</v>
      </c>
      <c r="G1928" t="str">
        <f>VLOOKUP($A1928,'Medical Examinations'!$A:$J,7,FALSE)</f>
        <v>No</v>
      </c>
      <c r="H1928" t="str">
        <f>VLOOKUP($A1928,'Medical Examinations'!$A:$J,8,FALSE)</f>
        <v>No</v>
      </c>
      <c r="I1928">
        <f>VLOOKUP($A1928,'Medical Examinations'!$A:$J,9,FALSE)</f>
        <v>0</v>
      </c>
      <c r="J1928" t="str">
        <f>VLOOKUP($A1928,'Medical Examinations'!$A:$J,10,FALSE)</f>
        <v>No</v>
      </c>
      <c r="K1928" t="str">
        <f>VLOOKUP($A1928,'Medical Examinations'!$A:$J,5,FALSE)</f>
        <v>Diabetes</v>
      </c>
      <c r="L1928">
        <f>VLOOKUP($A1929,'Medical Examinations'!$A:$J,3,FALSE)</f>
        <v>19.05</v>
      </c>
      <c r="N1928" s="11">
        <f>VLOOKUP($B1928,'Hospitalisation Details'!A1927:J4271,10,0)</f>
        <v>31942</v>
      </c>
      <c r="O1928" t="str">
        <f>VLOOKUP($B1928,'Hospitalisation Details'!A1927:J4271,8,0)</f>
        <v>tier - 1</v>
      </c>
      <c r="P1928" t="str">
        <f>VLOOKUP($B1928,'Hospitalisation Details'!A1927:J4271,7,0)</f>
        <v>tier - 2</v>
      </c>
      <c r="Q1928" t="str">
        <f>VLOOKUP($B1928,'Hospitalisation Details'!A1927:J4271,9,0)</f>
        <v>R1024</v>
      </c>
      <c r="R1928">
        <f>VLOOKUP($B1928,'Hospitalisation Details'!A1927:K4271,11,0)</f>
        <v>35</v>
      </c>
    </row>
    <row r="1929" spans="1:18" x14ac:dyDescent="0.35">
      <c r="A1929" t="s">
        <v>440</v>
      </c>
      <c r="B1929" t="s">
        <v>1960</v>
      </c>
      <c r="C1929" t="str">
        <f>VLOOKUP($A1929,'Customer Names'!$A:$E,4,FALSE)</f>
        <v>Daniel</v>
      </c>
      <c r="D1929" t="str">
        <f>VLOOKUP($A1929,'Medical Examinations'!$A:$J,2,FALSE)</f>
        <v>Normal Weight</v>
      </c>
      <c r="E1929">
        <f>VLOOKUP($A1929,'Medical Examinations'!$A:$J,4,FALSE)</f>
        <v>4.92</v>
      </c>
      <c r="F1929" t="str">
        <f>VLOOKUP($A1929,'Medical Examinations'!$A:$J,6,FALSE)</f>
        <v>No</v>
      </c>
      <c r="G1929" t="str">
        <f>VLOOKUP($A1929,'Medical Examinations'!$A:$J,7,FALSE)</f>
        <v>No</v>
      </c>
      <c r="H1929" t="str">
        <f>VLOOKUP($A1929,'Medical Examinations'!$A:$J,8,FALSE)</f>
        <v>No</v>
      </c>
      <c r="I1929">
        <f>VLOOKUP($A1929,'Medical Examinations'!$A:$J,9,FALSE)</f>
        <v>1</v>
      </c>
      <c r="J1929" t="str">
        <f>VLOOKUP($A1929,'Medical Examinations'!$A:$J,10,FALSE)</f>
        <v>No</v>
      </c>
      <c r="K1929" t="str">
        <f>VLOOKUP($A1929,'Medical Examinations'!$A:$J,5,FALSE)</f>
        <v>Normal</v>
      </c>
      <c r="L1929">
        <f>VLOOKUP($A1930,'Medical Examinations'!$A:$J,3,FALSE)</f>
        <v>37.619999999999997</v>
      </c>
      <c r="N1929" s="11">
        <f>VLOOKUP($B1929,'Hospitalisation Details'!A1928:J4272,10,0)</f>
        <v>27712</v>
      </c>
      <c r="O1929" t="str">
        <f>VLOOKUP($B1929,'Hospitalisation Details'!A1928:J4272,8,0)</f>
        <v>tier - 3</v>
      </c>
      <c r="P1929" t="str">
        <f>VLOOKUP($B1929,'Hospitalisation Details'!A1928:J4272,7,0)</f>
        <v>tier - 2</v>
      </c>
      <c r="Q1929" t="str">
        <f>VLOOKUP($B1929,'Hospitalisation Details'!A1928:J4272,9,0)</f>
        <v>R1012</v>
      </c>
      <c r="R1929">
        <f>VLOOKUP($B1929,'Hospitalisation Details'!A1928:K4272,11,0)</f>
        <v>47</v>
      </c>
    </row>
    <row r="1930" spans="1:18" x14ac:dyDescent="0.35">
      <c r="A1930" t="s">
        <v>439</v>
      </c>
      <c r="B1930" t="s">
        <v>1961</v>
      </c>
      <c r="C1930" t="str">
        <f>VLOOKUP($A1930,'Customer Names'!$A:$E,4,FALSE)</f>
        <v>Pauline</v>
      </c>
      <c r="D1930" t="str">
        <f>VLOOKUP($A1930,'Medical Examinations'!$A:$J,2,FALSE)</f>
        <v>Obesity</v>
      </c>
      <c r="E1930">
        <f>VLOOKUP($A1930,'Medical Examinations'!$A:$J,4,FALSE)</f>
        <v>4.18</v>
      </c>
      <c r="F1930" t="str">
        <f>VLOOKUP($A1930,'Medical Examinations'!$A:$J,6,FALSE)</f>
        <v>No</v>
      </c>
      <c r="G1930" t="str">
        <f>VLOOKUP($A1930,'Medical Examinations'!$A:$J,7,FALSE)</f>
        <v>No</v>
      </c>
      <c r="H1930" t="str">
        <f>VLOOKUP($A1930,'Medical Examinations'!$A:$J,8,FALSE)</f>
        <v>No</v>
      </c>
      <c r="I1930">
        <f>VLOOKUP($A1930,'Medical Examinations'!$A:$J,9,FALSE)</f>
        <v>0</v>
      </c>
      <c r="J1930" t="str">
        <f>VLOOKUP($A1930,'Medical Examinations'!$A:$J,10,FALSE)</f>
        <v>No</v>
      </c>
      <c r="K1930" t="str">
        <f>VLOOKUP($A1930,'Medical Examinations'!$A:$J,5,FALSE)</f>
        <v>Normal</v>
      </c>
      <c r="L1930">
        <f>VLOOKUP($A1931,'Medical Examinations'!$A:$J,3,FALSE)</f>
        <v>29.1</v>
      </c>
      <c r="N1930" s="11">
        <f>VLOOKUP($B1930,'Hospitalisation Details'!A1929:J4273,10,0)</f>
        <v>35037</v>
      </c>
      <c r="O1930" t="str">
        <f>VLOOKUP($B1930,'Hospitalisation Details'!A1929:J4273,8,0)</f>
        <v>tier - 2</v>
      </c>
      <c r="P1930" t="str">
        <f>VLOOKUP($B1930,'Hospitalisation Details'!A1929:J4273,7,0)</f>
        <v>tier - 2</v>
      </c>
      <c r="Q1930" t="str">
        <f>VLOOKUP($B1930,'Hospitalisation Details'!A1929:J4273,9,0)</f>
        <v>R1011</v>
      </c>
      <c r="R1930">
        <f>VLOOKUP($B1930,'Hospitalisation Details'!A1929:K4273,11,0)</f>
        <v>27</v>
      </c>
    </row>
    <row r="1931" spans="1:18" x14ac:dyDescent="0.35">
      <c r="A1931" t="s">
        <v>438</v>
      </c>
      <c r="B1931" t="s">
        <v>1962</v>
      </c>
      <c r="C1931" t="str">
        <f>VLOOKUP($A1931,'Customer Names'!$A:$E,4,FALSE)</f>
        <v>Colleen</v>
      </c>
      <c r="D1931" t="str">
        <f>VLOOKUP($A1931,'Medical Examinations'!$A:$J,2,FALSE)</f>
        <v>Overweight</v>
      </c>
      <c r="E1931">
        <f>VLOOKUP($A1931,'Medical Examinations'!$A:$J,4,FALSE)</f>
        <v>4.67</v>
      </c>
      <c r="F1931" t="str">
        <f>VLOOKUP($A1931,'Medical Examinations'!$A:$J,6,FALSE)</f>
        <v>No</v>
      </c>
      <c r="G1931" t="str">
        <f>VLOOKUP($A1931,'Medical Examinations'!$A:$J,7,FALSE)</f>
        <v>No</v>
      </c>
      <c r="H1931" t="str">
        <f>VLOOKUP($A1931,'Medical Examinations'!$A:$J,8,FALSE)</f>
        <v>No</v>
      </c>
      <c r="I1931">
        <f>VLOOKUP($A1931,'Medical Examinations'!$A:$J,9,FALSE)</f>
        <v>0</v>
      </c>
      <c r="J1931" t="str">
        <f>VLOOKUP($A1931,'Medical Examinations'!$A:$J,10,FALSE)</f>
        <v>No</v>
      </c>
      <c r="K1931" t="str">
        <f>VLOOKUP($A1931,'Medical Examinations'!$A:$J,5,FALSE)</f>
        <v>Normal</v>
      </c>
      <c r="L1931">
        <f>VLOOKUP($A1932,'Medical Examinations'!$A:$J,3,FALSE)</f>
        <v>26.62</v>
      </c>
      <c r="N1931" s="11">
        <f>VLOOKUP($B1931,'Hospitalisation Details'!A1930:J4274,10,0)</f>
        <v>35960</v>
      </c>
      <c r="O1931" t="str">
        <f>VLOOKUP($B1931,'Hospitalisation Details'!A1930:J4274,8,0)</f>
        <v>tier - 2</v>
      </c>
      <c r="P1931" t="str">
        <f>VLOOKUP($B1931,'Hospitalisation Details'!A1930:J4274,7,0)</f>
        <v>tier - 2</v>
      </c>
      <c r="Q1931" t="str">
        <f>VLOOKUP($B1931,'Hospitalisation Details'!A1930:J4274,9,0)</f>
        <v>R1013</v>
      </c>
      <c r="R1931">
        <f>VLOOKUP($B1931,'Hospitalisation Details'!A1930:K4274,11,0)</f>
        <v>24</v>
      </c>
    </row>
    <row r="1932" spans="1:18" x14ac:dyDescent="0.35">
      <c r="A1932" t="s">
        <v>437</v>
      </c>
      <c r="B1932" t="s">
        <v>1963</v>
      </c>
      <c r="C1932" t="str">
        <f>VLOOKUP($A1932,'Customer Names'!$A:$E,4,FALSE)</f>
        <v>Aleah K</v>
      </c>
      <c r="D1932" t="str">
        <f>VLOOKUP($A1932,'Medical Examinations'!$A:$J,2,FALSE)</f>
        <v>Overweight</v>
      </c>
      <c r="E1932">
        <f>VLOOKUP($A1932,'Medical Examinations'!$A:$J,4,FALSE)</f>
        <v>6.24</v>
      </c>
      <c r="F1932" t="str">
        <f>VLOOKUP($A1932,'Medical Examinations'!$A:$J,6,FALSE)</f>
        <v>No</v>
      </c>
      <c r="G1932" t="str">
        <f>VLOOKUP($A1932,'Medical Examinations'!$A:$J,7,FALSE)</f>
        <v>No</v>
      </c>
      <c r="H1932" t="str">
        <f>VLOOKUP($A1932,'Medical Examinations'!$A:$J,8,FALSE)</f>
        <v>No</v>
      </c>
      <c r="I1932">
        <f>VLOOKUP($A1932,'Medical Examinations'!$A:$J,9,FALSE)</f>
        <v>0</v>
      </c>
      <c r="J1932" t="str">
        <f>VLOOKUP($A1932,'Medical Examinations'!$A:$J,10,FALSE)</f>
        <v>No</v>
      </c>
      <c r="K1932" t="str">
        <f>VLOOKUP($A1932,'Medical Examinations'!$A:$J,5,FALSE)</f>
        <v>Prediabetes</v>
      </c>
      <c r="L1932">
        <f>VLOOKUP($A1933,'Medical Examinations'!$A:$J,3,FALSE)</f>
        <v>25.74</v>
      </c>
      <c r="N1932" s="11">
        <f>VLOOKUP($B1932,'Hospitalisation Details'!A1931:J4275,10,0)</f>
        <v>36123</v>
      </c>
      <c r="O1932" t="str">
        <f>VLOOKUP($B1932,'Hospitalisation Details'!A1931:J4275,8,0)</f>
        <v>tier - 3</v>
      </c>
      <c r="P1932" t="str">
        <f>VLOOKUP($B1932,'Hospitalisation Details'!A1931:J4275,7,0)</f>
        <v>tier - 2</v>
      </c>
      <c r="Q1932" t="str">
        <f>VLOOKUP($B1932,'Hospitalisation Details'!A1931:J4275,9,0)</f>
        <v>R1011</v>
      </c>
      <c r="R1932">
        <f>VLOOKUP($B1932,'Hospitalisation Details'!A1931:K4275,11,0)</f>
        <v>24</v>
      </c>
    </row>
    <row r="1933" spans="1:18" x14ac:dyDescent="0.35">
      <c r="A1933" t="s">
        <v>436</v>
      </c>
      <c r="B1933" t="s">
        <v>1964</v>
      </c>
      <c r="C1933" t="str">
        <f>VLOOKUP($A1933,'Customer Names'!$A:$E,4,FALSE)</f>
        <v>Mare</v>
      </c>
      <c r="D1933" t="str">
        <f>VLOOKUP($A1933,'Medical Examinations'!$A:$J,2,FALSE)</f>
        <v>Overweight</v>
      </c>
      <c r="E1933">
        <f>VLOOKUP($A1933,'Medical Examinations'!$A:$J,4,FALSE)</f>
        <v>5.99</v>
      </c>
      <c r="F1933" t="str">
        <f>VLOOKUP($A1933,'Medical Examinations'!$A:$J,6,FALSE)</f>
        <v>No</v>
      </c>
      <c r="G1933" t="str">
        <f>VLOOKUP($A1933,'Medical Examinations'!$A:$J,7,FALSE)</f>
        <v>No</v>
      </c>
      <c r="H1933" t="str">
        <f>VLOOKUP($A1933,'Medical Examinations'!$A:$J,8,FALSE)</f>
        <v>No</v>
      </c>
      <c r="I1933">
        <f>VLOOKUP($A1933,'Medical Examinations'!$A:$J,9,FALSE)</f>
        <v>0</v>
      </c>
      <c r="J1933" t="str">
        <f>VLOOKUP($A1933,'Medical Examinations'!$A:$J,10,FALSE)</f>
        <v>No</v>
      </c>
      <c r="K1933" t="str">
        <f>VLOOKUP($A1933,'Medical Examinations'!$A:$J,5,FALSE)</f>
        <v>Prediabetes</v>
      </c>
      <c r="L1933">
        <f>VLOOKUP($A1934,'Medical Examinations'!$A:$J,3,FALSE)</f>
        <v>18.22</v>
      </c>
      <c r="N1933" s="11">
        <f>VLOOKUP($B1933,'Hospitalisation Details'!A1932:J4276,10,0)</f>
        <v>27742</v>
      </c>
      <c r="O1933" t="str">
        <f>VLOOKUP($B1933,'Hospitalisation Details'!A1932:J4276,8,0)</f>
        <v>tier - 1</v>
      </c>
      <c r="P1933" t="str">
        <f>VLOOKUP($B1933,'Hospitalisation Details'!A1932:J4276,7,0)</f>
        <v>tier - 2</v>
      </c>
      <c r="Q1933" t="str">
        <f>VLOOKUP($B1933,'Hospitalisation Details'!A1932:J4276,9,0)</f>
        <v>R1011</v>
      </c>
      <c r="R1933">
        <f>VLOOKUP($B1933,'Hospitalisation Details'!A1932:K4276,11,0)</f>
        <v>47</v>
      </c>
    </row>
    <row r="1934" spans="1:18" x14ac:dyDescent="0.35">
      <c r="A1934" t="s">
        <v>435</v>
      </c>
      <c r="B1934" t="s">
        <v>1965</v>
      </c>
      <c r="C1934" t="str">
        <f>VLOOKUP($A1934,'Customer Names'!$A:$E,4,FALSE)</f>
        <v>Kevin</v>
      </c>
      <c r="D1934" t="str">
        <f>VLOOKUP($A1934,'Medical Examinations'!$A:$J,2,FALSE)</f>
        <v>Underweight</v>
      </c>
      <c r="E1934">
        <f>VLOOKUP($A1934,'Medical Examinations'!$A:$J,4,FALSE)</f>
        <v>10.27</v>
      </c>
      <c r="F1934" t="str">
        <f>VLOOKUP($A1934,'Medical Examinations'!$A:$J,6,FALSE)</f>
        <v>yes</v>
      </c>
      <c r="G1934" t="str">
        <f>VLOOKUP($A1934,'Medical Examinations'!$A:$J,7,FALSE)</f>
        <v>No</v>
      </c>
      <c r="H1934" t="str">
        <f>VLOOKUP($A1934,'Medical Examinations'!$A:$J,8,FALSE)</f>
        <v>No</v>
      </c>
      <c r="I1934">
        <f>VLOOKUP($A1934,'Medical Examinations'!$A:$J,9,FALSE)</f>
        <v>1</v>
      </c>
      <c r="J1934" t="str">
        <f>VLOOKUP($A1934,'Medical Examinations'!$A:$J,10,FALSE)</f>
        <v>No</v>
      </c>
      <c r="K1934" t="str">
        <f>VLOOKUP($A1934,'Medical Examinations'!$A:$J,5,FALSE)</f>
        <v>Diabetes</v>
      </c>
      <c r="L1934">
        <f>VLOOKUP($A1935,'Medical Examinations'!$A:$J,3,FALSE)</f>
        <v>26.03</v>
      </c>
      <c r="N1934" s="11">
        <f>VLOOKUP($B1934,'Hospitalisation Details'!A1933:J4277,10,0)</f>
        <v>26568</v>
      </c>
      <c r="O1934" t="str">
        <f>VLOOKUP($B1934,'Hospitalisation Details'!A1933:J4277,8,0)</f>
        <v>tier - 2</v>
      </c>
      <c r="P1934" t="str">
        <f>VLOOKUP($B1934,'Hospitalisation Details'!A1933:J4277,7,0)</f>
        <v>tier - 2</v>
      </c>
      <c r="Q1934" t="str">
        <f>VLOOKUP($B1934,'Hospitalisation Details'!A1933:J4277,9,0)</f>
        <v>R1017</v>
      </c>
      <c r="R1934">
        <f>VLOOKUP($B1934,'Hospitalisation Details'!A1933:K4277,11,0)</f>
        <v>50</v>
      </c>
    </row>
    <row r="1935" spans="1:18" x14ac:dyDescent="0.35">
      <c r="A1935" t="s">
        <v>434</v>
      </c>
      <c r="B1935" t="s">
        <v>1966</v>
      </c>
      <c r="C1935" t="str">
        <f>VLOOKUP($A1935,'Customer Names'!$A:$E,4,FALSE)</f>
        <v>Jessica</v>
      </c>
      <c r="D1935" t="str">
        <f>VLOOKUP($A1935,'Medical Examinations'!$A:$J,2,FALSE)</f>
        <v>Overweight</v>
      </c>
      <c r="E1935">
        <f>VLOOKUP($A1935,'Medical Examinations'!$A:$J,4,FALSE)</f>
        <v>5.97</v>
      </c>
      <c r="F1935" t="str">
        <f>VLOOKUP($A1935,'Medical Examinations'!$A:$J,6,FALSE)</f>
        <v>No</v>
      </c>
      <c r="G1935" t="str">
        <f>VLOOKUP($A1935,'Medical Examinations'!$A:$J,7,FALSE)</f>
        <v>No</v>
      </c>
      <c r="H1935" t="str">
        <f>VLOOKUP($A1935,'Medical Examinations'!$A:$J,8,FALSE)</f>
        <v>Yes</v>
      </c>
      <c r="I1935">
        <f>VLOOKUP($A1935,'Medical Examinations'!$A:$J,9,FALSE)</f>
        <v>1</v>
      </c>
      <c r="J1935" t="str">
        <f>VLOOKUP($A1935,'Medical Examinations'!$A:$J,10,FALSE)</f>
        <v>No</v>
      </c>
      <c r="K1935" t="str">
        <f>VLOOKUP($A1935,'Medical Examinations'!$A:$J,5,FALSE)</f>
        <v>Prediabetes</v>
      </c>
      <c r="L1935">
        <f>VLOOKUP($A1936,'Medical Examinations'!$A:$J,3,FALSE)</f>
        <v>17.29</v>
      </c>
      <c r="N1935" s="11">
        <f>VLOOKUP($B1935,'Hospitalisation Details'!A1934:J4278,10,0)</f>
        <v>25072</v>
      </c>
      <c r="O1935" t="str">
        <f>VLOOKUP($B1935,'Hospitalisation Details'!A1934:J4278,8,0)</f>
        <v>tier - 2</v>
      </c>
      <c r="P1935" t="str">
        <f>VLOOKUP($B1935,'Hospitalisation Details'!A1934:J4278,7,0)</f>
        <v>tier - 2</v>
      </c>
      <c r="Q1935" t="str">
        <f>VLOOKUP($B1935,'Hospitalisation Details'!A1934:J4278,9,0)</f>
        <v>R1011</v>
      </c>
      <c r="R1935">
        <f>VLOOKUP($B1935,'Hospitalisation Details'!A1934:K4278,11,0)</f>
        <v>54</v>
      </c>
    </row>
    <row r="1936" spans="1:18" x14ac:dyDescent="0.35">
      <c r="A1936" t="s">
        <v>433</v>
      </c>
      <c r="B1936" t="s">
        <v>1967</v>
      </c>
      <c r="C1936" t="str">
        <f>VLOOKUP($A1936,'Customer Names'!$A:$E,4,FALSE)</f>
        <v>Amanda R</v>
      </c>
      <c r="D1936" t="str">
        <f>VLOOKUP($A1936,'Medical Examinations'!$A:$J,2,FALSE)</f>
        <v>Underweight</v>
      </c>
      <c r="E1936">
        <f>VLOOKUP($A1936,'Medical Examinations'!$A:$J,4,FALSE)</f>
        <v>4.9800000000000004</v>
      </c>
      <c r="F1936" t="str">
        <f>VLOOKUP($A1936,'Medical Examinations'!$A:$J,6,FALSE)</f>
        <v>No</v>
      </c>
      <c r="G1936" t="str">
        <f>VLOOKUP($A1936,'Medical Examinations'!$A:$J,7,FALSE)</f>
        <v>No</v>
      </c>
      <c r="H1936" t="str">
        <f>VLOOKUP($A1936,'Medical Examinations'!$A:$J,8,FALSE)</f>
        <v>No</v>
      </c>
      <c r="I1936">
        <f>VLOOKUP($A1936,'Medical Examinations'!$A:$J,9,FALSE)</f>
        <v>0</v>
      </c>
      <c r="J1936" t="str">
        <f>VLOOKUP($A1936,'Medical Examinations'!$A:$J,10,FALSE)</f>
        <v>No</v>
      </c>
      <c r="K1936" t="str">
        <f>VLOOKUP($A1936,'Medical Examinations'!$A:$J,5,FALSE)</f>
        <v>Normal</v>
      </c>
      <c r="L1936">
        <f>VLOOKUP($A1937,'Medical Examinations'!$A:$J,3,FALSE)</f>
        <v>18.170000000000002</v>
      </c>
      <c r="N1936" s="11">
        <f>VLOOKUP($B1936,'Hospitalisation Details'!A1935:J4279,10,0)</f>
        <v>25183</v>
      </c>
      <c r="O1936" t="str">
        <f>VLOOKUP($B1936,'Hospitalisation Details'!A1935:J4279,8,0)</f>
        <v>tier - 3</v>
      </c>
      <c r="P1936" t="str">
        <f>VLOOKUP($B1936,'Hospitalisation Details'!A1935:J4279,7,0)</f>
        <v>tier - 2</v>
      </c>
      <c r="Q1936" t="str">
        <f>VLOOKUP($B1936,'Hospitalisation Details'!A1935:J4279,9,0)</f>
        <v>R1017</v>
      </c>
      <c r="R1936">
        <f>VLOOKUP($B1936,'Hospitalisation Details'!A1935:K4279,11,0)</f>
        <v>54</v>
      </c>
    </row>
    <row r="1937" spans="1:18" x14ac:dyDescent="0.35">
      <c r="A1937" t="s">
        <v>432</v>
      </c>
      <c r="B1937" t="s">
        <v>1968</v>
      </c>
      <c r="C1937" t="str">
        <f>VLOOKUP($A1937,'Customer Names'!$A:$E,4,FALSE)</f>
        <v>Murray W.</v>
      </c>
      <c r="D1937" t="str">
        <f>VLOOKUP($A1937,'Medical Examinations'!$A:$J,2,FALSE)</f>
        <v>Underweight</v>
      </c>
      <c r="E1937">
        <f>VLOOKUP($A1937,'Medical Examinations'!$A:$J,4,FALSE)</f>
        <v>6.91</v>
      </c>
      <c r="F1937" t="str">
        <f>VLOOKUP($A1937,'Medical Examinations'!$A:$J,6,FALSE)</f>
        <v>yes</v>
      </c>
      <c r="G1937" t="str">
        <f>VLOOKUP($A1937,'Medical Examinations'!$A:$J,7,FALSE)</f>
        <v>No</v>
      </c>
      <c r="H1937" t="str">
        <f>VLOOKUP($A1937,'Medical Examinations'!$A:$J,8,FALSE)</f>
        <v>No</v>
      </c>
      <c r="I1937">
        <f>VLOOKUP($A1937,'Medical Examinations'!$A:$J,9,FALSE)</f>
        <v>1</v>
      </c>
      <c r="J1937" t="str">
        <f>VLOOKUP($A1937,'Medical Examinations'!$A:$J,10,FALSE)</f>
        <v>No</v>
      </c>
      <c r="K1937" t="str">
        <f>VLOOKUP($A1937,'Medical Examinations'!$A:$J,5,FALSE)</f>
        <v>Diabetes</v>
      </c>
      <c r="L1937">
        <f>VLOOKUP($A1938,'Medical Examinations'!$A:$J,3,FALSE)</f>
        <v>32.54</v>
      </c>
      <c r="N1937" s="11">
        <f>VLOOKUP($B1937,'Hospitalisation Details'!A1936:J4280,10,0)</f>
        <v>37105</v>
      </c>
      <c r="O1937" t="str">
        <f>VLOOKUP($B1937,'Hospitalisation Details'!A1936:J4280,8,0)</f>
        <v>tier - 1</v>
      </c>
      <c r="P1937" t="str">
        <f>VLOOKUP($B1937,'Hospitalisation Details'!A1936:J4280,7,0)</f>
        <v>tier - 2</v>
      </c>
      <c r="Q1937" t="str">
        <f>VLOOKUP($B1937,'Hospitalisation Details'!A1936:J4280,9,0)</f>
        <v>R1011</v>
      </c>
      <c r="R1937">
        <f>VLOOKUP($B1937,'Hospitalisation Details'!A1936:K4280,11,0)</f>
        <v>21</v>
      </c>
    </row>
    <row r="1938" spans="1:18" x14ac:dyDescent="0.35">
      <c r="A1938" t="s">
        <v>431</v>
      </c>
      <c r="B1938" t="s">
        <v>1969</v>
      </c>
      <c r="C1938" t="str">
        <f>VLOOKUP($A1938,'Customer Names'!$A:$E,4,FALSE)</f>
        <v>Meghan P.</v>
      </c>
      <c r="D1938" t="str">
        <f>VLOOKUP($A1938,'Medical Examinations'!$A:$J,2,FALSE)</f>
        <v>Obesity</v>
      </c>
      <c r="E1938">
        <f>VLOOKUP($A1938,'Medical Examinations'!$A:$J,4,FALSE)</f>
        <v>6.38</v>
      </c>
      <c r="F1938" t="str">
        <f>VLOOKUP($A1938,'Medical Examinations'!$A:$J,6,FALSE)</f>
        <v>No</v>
      </c>
      <c r="G1938" t="str">
        <f>VLOOKUP($A1938,'Medical Examinations'!$A:$J,7,FALSE)</f>
        <v>yes</v>
      </c>
      <c r="H1938" t="str">
        <f>VLOOKUP($A1938,'Medical Examinations'!$A:$J,8,FALSE)</f>
        <v>No</v>
      </c>
      <c r="I1938">
        <f>VLOOKUP($A1938,'Medical Examinations'!$A:$J,9,FALSE)</f>
        <v>1</v>
      </c>
      <c r="J1938" t="str">
        <f>VLOOKUP($A1938,'Medical Examinations'!$A:$J,10,FALSE)</f>
        <v>No</v>
      </c>
      <c r="K1938" t="str">
        <f>VLOOKUP($A1938,'Medical Examinations'!$A:$J,5,FALSE)</f>
        <v>Prediabetes</v>
      </c>
      <c r="L1938">
        <f>VLOOKUP($A1939,'Medical Examinations'!$A:$J,3,FALSE)</f>
        <v>30.25</v>
      </c>
      <c r="N1938" s="11">
        <f>VLOOKUP($B1938,'Hospitalisation Details'!A1937:J4281,10,0)</f>
        <v>26497</v>
      </c>
      <c r="O1938" t="str">
        <f>VLOOKUP($B1938,'Hospitalisation Details'!A1937:J4281,8,0)</f>
        <v>tier - 3</v>
      </c>
      <c r="P1938" t="str">
        <f>VLOOKUP($B1938,'Hospitalisation Details'!A1937:J4281,7,0)</f>
        <v>tier - 2</v>
      </c>
      <c r="Q1938" t="str">
        <f>VLOOKUP($B1938,'Hospitalisation Details'!A1937:J4281,9,0)</f>
        <v>R1024</v>
      </c>
      <c r="R1938">
        <f>VLOOKUP($B1938,'Hospitalisation Details'!A1937:K4281,11,0)</f>
        <v>50</v>
      </c>
    </row>
    <row r="1939" spans="1:18" x14ac:dyDescent="0.35">
      <c r="A1939" t="s">
        <v>430</v>
      </c>
      <c r="B1939" t="s">
        <v>1970</v>
      </c>
      <c r="C1939" t="str">
        <f>VLOOKUP($A1939,'Customer Names'!$A:$E,4,FALSE)</f>
        <v>David</v>
      </c>
      <c r="D1939" t="str">
        <f>VLOOKUP($A1939,'Medical Examinations'!$A:$J,2,FALSE)</f>
        <v>Obesity</v>
      </c>
      <c r="E1939">
        <f>VLOOKUP($A1939,'Medical Examinations'!$A:$J,4,FALSE)</f>
        <v>4.7699999999999996</v>
      </c>
      <c r="F1939" t="str">
        <f>VLOOKUP($A1939,'Medical Examinations'!$A:$J,6,FALSE)</f>
        <v>No</v>
      </c>
      <c r="G1939" t="str">
        <f>VLOOKUP($A1939,'Medical Examinations'!$A:$J,7,FALSE)</f>
        <v>No</v>
      </c>
      <c r="H1939" t="str">
        <f>VLOOKUP($A1939,'Medical Examinations'!$A:$J,8,FALSE)</f>
        <v>No</v>
      </c>
      <c r="I1939">
        <f>VLOOKUP($A1939,'Medical Examinations'!$A:$J,9,FALSE)</f>
        <v>0</v>
      </c>
      <c r="J1939" t="str">
        <f>VLOOKUP($A1939,'Medical Examinations'!$A:$J,10,FALSE)</f>
        <v>No</v>
      </c>
      <c r="K1939" t="str">
        <f>VLOOKUP($A1939,'Medical Examinations'!$A:$J,5,FALSE)</f>
        <v>Normal</v>
      </c>
      <c r="L1939">
        <f>VLOOKUP($A1940,'Medical Examinations'!$A:$J,3,FALSE)</f>
        <v>19.59</v>
      </c>
      <c r="N1939" s="11">
        <f>VLOOKUP($B1939,'Hospitalisation Details'!A1938:J4282,10,0)</f>
        <v>23244</v>
      </c>
      <c r="O1939" t="str">
        <f>VLOOKUP($B1939,'Hospitalisation Details'!A1938:J4282,8,0)</f>
        <v>tier - 3</v>
      </c>
      <c r="P1939" t="str">
        <f>VLOOKUP($B1939,'Hospitalisation Details'!A1938:J4282,7,0)</f>
        <v>tier - 2</v>
      </c>
      <c r="Q1939" t="str">
        <f>VLOOKUP($B1939,'Hospitalisation Details'!A1938:J4282,9,0)</f>
        <v>R1012</v>
      </c>
      <c r="R1939">
        <f>VLOOKUP($B1939,'Hospitalisation Details'!A1938:K4282,11,0)</f>
        <v>59</v>
      </c>
    </row>
    <row r="1940" spans="1:18" x14ac:dyDescent="0.35">
      <c r="A1940" t="s">
        <v>429</v>
      </c>
      <c r="B1940" t="s">
        <v>1971</v>
      </c>
      <c r="C1940" t="str">
        <f>VLOOKUP($A1940,'Customer Names'!$A:$E,4,FALSE)</f>
        <v>Seth</v>
      </c>
      <c r="D1940" t="str">
        <f>VLOOKUP($A1940,'Medical Examinations'!$A:$J,2,FALSE)</f>
        <v>Normal Weight</v>
      </c>
      <c r="E1940">
        <f>VLOOKUP($A1940,'Medical Examinations'!$A:$J,4,FALSE)</f>
        <v>6.04</v>
      </c>
      <c r="F1940" t="str">
        <f>VLOOKUP($A1940,'Medical Examinations'!$A:$J,6,FALSE)</f>
        <v>yes</v>
      </c>
      <c r="G1940" t="str">
        <f>VLOOKUP($A1940,'Medical Examinations'!$A:$J,7,FALSE)</f>
        <v>No</v>
      </c>
      <c r="H1940" t="str">
        <f>VLOOKUP($A1940,'Medical Examinations'!$A:$J,8,FALSE)</f>
        <v>No</v>
      </c>
      <c r="I1940">
        <f>VLOOKUP($A1940,'Medical Examinations'!$A:$J,9,FALSE)</f>
        <v>1</v>
      </c>
      <c r="J1940" t="str">
        <f>VLOOKUP($A1940,'Medical Examinations'!$A:$J,10,FALSE)</f>
        <v>No</v>
      </c>
      <c r="K1940" t="str">
        <f>VLOOKUP($A1940,'Medical Examinations'!$A:$J,5,FALSE)</f>
        <v>Prediabetes</v>
      </c>
      <c r="L1940">
        <f>VLOOKUP($A1941,'Medical Examinations'!$A:$J,3,FALSE)</f>
        <v>45.9</v>
      </c>
      <c r="N1940" s="11">
        <f>VLOOKUP($B1940,'Hospitalisation Details'!A1939:J4283,10,0)</f>
        <v>25905</v>
      </c>
      <c r="O1940" t="str">
        <f>VLOOKUP($B1940,'Hospitalisation Details'!A1939:J4283,8,0)</f>
        <v>tier - 2</v>
      </c>
      <c r="P1940" t="str">
        <f>VLOOKUP($B1940,'Hospitalisation Details'!A1939:J4283,7,0)</f>
        <v>tier - 2</v>
      </c>
      <c r="Q1940" t="str">
        <f>VLOOKUP($B1940,'Hospitalisation Details'!A1939:J4283,9,0)</f>
        <v>R1013</v>
      </c>
      <c r="R1940">
        <f>VLOOKUP($B1940,'Hospitalisation Details'!A1939:K4283,11,0)</f>
        <v>52</v>
      </c>
    </row>
    <row r="1941" spans="1:18" x14ac:dyDescent="0.35">
      <c r="A1941" t="s">
        <v>428</v>
      </c>
      <c r="B1941" t="s">
        <v>1972</v>
      </c>
      <c r="C1941" t="str">
        <f>VLOOKUP($A1941,'Customer Names'!$A:$E,4,FALSE)</f>
        <v>Michael P.</v>
      </c>
      <c r="D1941" t="str">
        <f>VLOOKUP($A1941,'Medical Examinations'!$A:$J,2,FALSE)</f>
        <v>Obesity</v>
      </c>
      <c r="E1941">
        <f>VLOOKUP($A1941,'Medical Examinations'!$A:$J,4,FALSE)</f>
        <v>4.3</v>
      </c>
      <c r="F1941" t="str">
        <f>VLOOKUP($A1941,'Medical Examinations'!$A:$J,6,FALSE)</f>
        <v>yes</v>
      </c>
      <c r="G1941" t="str">
        <f>VLOOKUP($A1941,'Medical Examinations'!$A:$J,7,FALSE)</f>
        <v>No</v>
      </c>
      <c r="H1941" t="str">
        <f>VLOOKUP($A1941,'Medical Examinations'!$A:$J,8,FALSE)</f>
        <v>No</v>
      </c>
      <c r="I1941">
        <f>VLOOKUP($A1941,'Medical Examinations'!$A:$J,9,FALSE)</f>
        <v>1</v>
      </c>
      <c r="J1941" t="str">
        <f>VLOOKUP($A1941,'Medical Examinations'!$A:$J,10,FALSE)</f>
        <v>No</v>
      </c>
      <c r="K1941" t="str">
        <f>VLOOKUP($A1941,'Medical Examinations'!$A:$J,5,FALSE)</f>
        <v>Normal</v>
      </c>
      <c r="L1941">
        <f>VLOOKUP($A1942,'Medical Examinations'!$A:$J,3,FALSE)</f>
        <v>17.059999999999999</v>
      </c>
      <c r="N1941" s="11">
        <f>VLOOKUP($B1941,'Hospitalisation Details'!A1940:J4284,10,0)</f>
        <v>37047</v>
      </c>
      <c r="O1941" t="str">
        <f>VLOOKUP($B1941,'Hospitalisation Details'!A1940:J4284,8,0)</f>
        <v>tier - 2</v>
      </c>
      <c r="P1941" t="str">
        <f>VLOOKUP($B1941,'Hospitalisation Details'!A1940:J4284,7,0)</f>
        <v>tier - 2</v>
      </c>
      <c r="Q1941" t="str">
        <f>VLOOKUP($B1941,'Hospitalisation Details'!A1940:J4284,9,0)</f>
        <v>R1012</v>
      </c>
      <c r="R1941">
        <f>VLOOKUP($B1941,'Hospitalisation Details'!A1940:K4284,11,0)</f>
        <v>22</v>
      </c>
    </row>
    <row r="1942" spans="1:18" x14ac:dyDescent="0.35">
      <c r="A1942" t="s">
        <v>427</v>
      </c>
      <c r="B1942" t="s">
        <v>1973</v>
      </c>
      <c r="C1942" t="str">
        <f>VLOOKUP($A1942,'Customer Names'!$A:$E,4,FALSE)</f>
        <v>Russell M</v>
      </c>
      <c r="D1942" t="str">
        <f>VLOOKUP($A1942,'Medical Examinations'!$A:$J,2,FALSE)</f>
        <v>Underweight</v>
      </c>
      <c r="E1942">
        <f>VLOOKUP($A1942,'Medical Examinations'!$A:$J,4,FALSE)</f>
        <v>8.75</v>
      </c>
      <c r="F1942" t="str">
        <f>VLOOKUP($A1942,'Medical Examinations'!$A:$J,6,FALSE)</f>
        <v>yes</v>
      </c>
      <c r="G1942" t="str">
        <f>VLOOKUP($A1942,'Medical Examinations'!$A:$J,7,FALSE)</f>
        <v>No</v>
      </c>
      <c r="H1942" t="str">
        <f>VLOOKUP($A1942,'Medical Examinations'!$A:$J,8,FALSE)</f>
        <v>No</v>
      </c>
      <c r="I1942">
        <f>VLOOKUP($A1942,'Medical Examinations'!$A:$J,9,FALSE)</f>
        <v>0</v>
      </c>
      <c r="J1942" t="str">
        <f>VLOOKUP($A1942,'Medical Examinations'!$A:$J,10,FALSE)</f>
        <v>No</v>
      </c>
      <c r="K1942" t="str">
        <f>VLOOKUP($A1942,'Medical Examinations'!$A:$J,5,FALSE)</f>
        <v>Diabetes</v>
      </c>
      <c r="L1942">
        <f>VLOOKUP($A1943,'Medical Examinations'!$A:$J,3,FALSE)</f>
        <v>32.07</v>
      </c>
      <c r="N1942" s="11">
        <f>VLOOKUP($B1942,'Hospitalisation Details'!A1941:J4285,10,0)</f>
        <v>36886</v>
      </c>
      <c r="O1942" t="str">
        <f>VLOOKUP($B1942,'Hospitalisation Details'!A1941:J4285,8,0)</f>
        <v>tier - 3</v>
      </c>
      <c r="P1942" t="str">
        <f>VLOOKUP($B1942,'Hospitalisation Details'!A1941:J4285,7,0)</f>
        <v>tier - 2</v>
      </c>
      <c r="Q1942" t="str">
        <f>VLOOKUP($B1942,'Hospitalisation Details'!A1941:J4285,9,0)</f>
        <v>R1011</v>
      </c>
      <c r="R1942">
        <f>VLOOKUP($B1942,'Hospitalisation Details'!A1941:K4285,11,0)</f>
        <v>22</v>
      </c>
    </row>
    <row r="1943" spans="1:18" x14ac:dyDescent="0.35">
      <c r="A1943" t="s">
        <v>426</v>
      </c>
      <c r="B1943" t="s">
        <v>1974</v>
      </c>
      <c r="C1943" t="str">
        <f>VLOOKUP($A1943,'Customer Names'!$A:$E,4,FALSE)</f>
        <v>Martin</v>
      </c>
      <c r="D1943" t="str">
        <f>VLOOKUP($A1943,'Medical Examinations'!$A:$J,2,FALSE)</f>
        <v>Obesity</v>
      </c>
      <c r="E1943">
        <f>VLOOKUP($A1943,'Medical Examinations'!$A:$J,4,FALSE)</f>
        <v>5.25</v>
      </c>
      <c r="F1943" t="str">
        <f>VLOOKUP($A1943,'Medical Examinations'!$A:$J,6,FALSE)</f>
        <v>No</v>
      </c>
      <c r="G1943" t="str">
        <f>VLOOKUP($A1943,'Medical Examinations'!$A:$J,7,FALSE)</f>
        <v>No</v>
      </c>
      <c r="H1943" t="str">
        <f>VLOOKUP($A1943,'Medical Examinations'!$A:$J,8,FALSE)</f>
        <v>Yes</v>
      </c>
      <c r="I1943">
        <f>VLOOKUP($A1943,'Medical Examinations'!$A:$J,9,FALSE)</f>
        <v>1</v>
      </c>
      <c r="J1943" t="str">
        <f>VLOOKUP($A1943,'Medical Examinations'!$A:$J,10,FALSE)</f>
        <v>No</v>
      </c>
      <c r="K1943" t="str">
        <f>VLOOKUP($A1943,'Medical Examinations'!$A:$J,5,FALSE)</f>
        <v>Normal</v>
      </c>
      <c r="L1943">
        <f>VLOOKUP($A1944,'Medical Examinations'!$A:$J,3,FALSE)</f>
        <v>16.5</v>
      </c>
      <c r="N1943" s="11">
        <f>VLOOKUP($B1943,'Hospitalisation Details'!A1942:J4286,10,0)</f>
        <v>24297</v>
      </c>
      <c r="O1943" t="str">
        <f>VLOOKUP($B1943,'Hospitalisation Details'!A1942:J4286,8,0)</f>
        <v>tier - 3</v>
      </c>
      <c r="P1943" t="str">
        <f>VLOOKUP($B1943,'Hospitalisation Details'!A1942:J4286,7,0)</f>
        <v>tier - 2</v>
      </c>
      <c r="Q1943" t="str">
        <f>VLOOKUP($B1943,'Hospitalisation Details'!A1942:J4286,9,0)</f>
        <v>R1012</v>
      </c>
      <c r="R1943">
        <f>VLOOKUP($B1943,'Hospitalisation Details'!A1942:K4286,11,0)</f>
        <v>56</v>
      </c>
    </row>
    <row r="1944" spans="1:18" x14ac:dyDescent="0.35">
      <c r="A1944" t="s">
        <v>425</v>
      </c>
      <c r="B1944" t="s">
        <v>1975</v>
      </c>
      <c r="C1944" t="str">
        <f>VLOOKUP($A1944,'Customer Names'!$A:$E,4,FALSE)</f>
        <v>Michael</v>
      </c>
      <c r="D1944" t="str">
        <f>VLOOKUP($A1944,'Medical Examinations'!$A:$J,2,FALSE)</f>
        <v>Underweight</v>
      </c>
      <c r="E1944">
        <f>VLOOKUP($A1944,'Medical Examinations'!$A:$J,4,FALSE)</f>
        <v>5.03</v>
      </c>
      <c r="F1944" t="str">
        <f>VLOOKUP($A1944,'Medical Examinations'!$A:$J,6,FALSE)</f>
        <v>No</v>
      </c>
      <c r="G1944" t="str">
        <f>VLOOKUP($A1944,'Medical Examinations'!$A:$J,7,FALSE)</f>
        <v>No</v>
      </c>
      <c r="H1944" t="str">
        <f>VLOOKUP($A1944,'Medical Examinations'!$A:$J,8,FALSE)</f>
        <v>No</v>
      </c>
      <c r="I1944">
        <f>VLOOKUP($A1944,'Medical Examinations'!$A:$J,9,FALSE)</f>
        <v>1</v>
      </c>
      <c r="J1944" t="str">
        <f>VLOOKUP($A1944,'Medical Examinations'!$A:$J,10,FALSE)</f>
        <v>No</v>
      </c>
      <c r="K1944" t="str">
        <f>VLOOKUP($A1944,'Medical Examinations'!$A:$J,5,FALSE)</f>
        <v>Normal</v>
      </c>
      <c r="L1944">
        <f>VLOOKUP($A1945,'Medical Examinations'!$A:$J,3,FALSE)</f>
        <v>31.4</v>
      </c>
      <c r="N1944" s="11">
        <f>VLOOKUP($B1944,'Hospitalisation Details'!A1943:J4287,10,0)</f>
        <v>37540</v>
      </c>
      <c r="O1944" t="str">
        <f>VLOOKUP($B1944,'Hospitalisation Details'!A1943:J4287,8,0)</f>
        <v>tier - 1</v>
      </c>
      <c r="P1944" t="str">
        <f>VLOOKUP($B1944,'Hospitalisation Details'!A1943:J4287,7,0)</f>
        <v>tier - 2</v>
      </c>
      <c r="Q1944" t="str">
        <f>VLOOKUP($B1944,'Hospitalisation Details'!A1943:J4287,9,0)</f>
        <v>R1013</v>
      </c>
      <c r="R1944">
        <f>VLOOKUP($B1944,'Hospitalisation Details'!A1943:K4287,11,0)</f>
        <v>20</v>
      </c>
    </row>
    <row r="1945" spans="1:18" x14ac:dyDescent="0.35">
      <c r="A1945" t="s">
        <v>424</v>
      </c>
      <c r="B1945" t="s">
        <v>1976</v>
      </c>
      <c r="C1945" t="str">
        <f>VLOOKUP($A1945,'Customer Names'!$A:$E,4,FALSE)</f>
        <v>Miles</v>
      </c>
      <c r="D1945" t="str">
        <f>VLOOKUP($A1945,'Medical Examinations'!$A:$J,2,FALSE)</f>
        <v>Obesity</v>
      </c>
      <c r="E1945">
        <f>VLOOKUP($A1945,'Medical Examinations'!$A:$J,4,FALSE)</f>
        <v>5.88</v>
      </c>
      <c r="F1945" t="str">
        <f>VLOOKUP($A1945,'Medical Examinations'!$A:$J,6,FALSE)</f>
        <v>No</v>
      </c>
      <c r="G1945" t="str">
        <f>VLOOKUP($A1945,'Medical Examinations'!$A:$J,7,FALSE)</f>
        <v>No</v>
      </c>
      <c r="H1945" t="str">
        <f>VLOOKUP($A1945,'Medical Examinations'!$A:$J,8,FALSE)</f>
        <v>No</v>
      </c>
      <c r="I1945">
        <f>VLOOKUP($A1945,'Medical Examinations'!$A:$J,9,FALSE)</f>
        <v>1</v>
      </c>
      <c r="J1945" t="str">
        <f>VLOOKUP($A1945,'Medical Examinations'!$A:$J,10,FALSE)</f>
        <v>No</v>
      </c>
      <c r="K1945" t="str">
        <f>VLOOKUP($A1945,'Medical Examinations'!$A:$J,5,FALSE)</f>
        <v>Prediabetes</v>
      </c>
      <c r="L1945">
        <f>VLOOKUP($A1946,'Medical Examinations'!$A:$J,3,FALSE)</f>
        <v>20.36</v>
      </c>
      <c r="N1945" s="11">
        <f>VLOOKUP($B1945,'Hospitalisation Details'!A1944:J4288,10,0)</f>
        <v>26852</v>
      </c>
      <c r="O1945" t="str">
        <f>VLOOKUP($B1945,'Hospitalisation Details'!A1944:J4288,8,0)</f>
        <v>tier - 3</v>
      </c>
      <c r="P1945" t="str">
        <f>VLOOKUP($B1945,'Hospitalisation Details'!A1944:J4288,7,0)</f>
        <v>tier - 2</v>
      </c>
      <c r="Q1945" t="str">
        <f>VLOOKUP($B1945,'Hospitalisation Details'!A1944:J4288,9,0)</f>
        <v>R1011</v>
      </c>
      <c r="R1945">
        <f>VLOOKUP($B1945,'Hospitalisation Details'!A1944:K4288,11,0)</f>
        <v>49</v>
      </c>
    </row>
    <row r="1946" spans="1:18" x14ac:dyDescent="0.35">
      <c r="A1946" t="s">
        <v>423</v>
      </c>
      <c r="B1946" t="s">
        <v>1977</v>
      </c>
      <c r="C1946" t="str">
        <f>VLOOKUP($A1946,'Customer Names'!$A:$E,4,FALSE)</f>
        <v>Amanda</v>
      </c>
      <c r="D1946" t="str">
        <f>VLOOKUP($A1946,'Medical Examinations'!$A:$J,2,FALSE)</f>
        <v>Normal Weight</v>
      </c>
      <c r="E1946">
        <f>VLOOKUP($A1946,'Medical Examinations'!$A:$J,4,FALSE)</f>
        <v>4.49</v>
      </c>
      <c r="F1946" t="str">
        <f>VLOOKUP($A1946,'Medical Examinations'!$A:$J,6,FALSE)</f>
        <v>No</v>
      </c>
      <c r="G1946" t="str">
        <f>VLOOKUP($A1946,'Medical Examinations'!$A:$J,7,FALSE)</f>
        <v>No</v>
      </c>
      <c r="H1946" t="str">
        <f>VLOOKUP($A1946,'Medical Examinations'!$A:$J,8,FALSE)</f>
        <v>No</v>
      </c>
      <c r="I1946">
        <f>VLOOKUP($A1946,'Medical Examinations'!$A:$J,9,FALSE)</f>
        <v>0</v>
      </c>
      <c r="J1946" t="str">
        <f>VLOOKUP($A1946,'Medical Examinations'!$A:$J,10,FALSE)</f>
        <v>No</v>
      </c>
      <c r="K1946" t="str">
        <f>VLOOKUP($A1946,'Medical Examinations'!$A:$J,5,FALSE)</f>
        <v>Normal</v>
      </c>
      <c r="L1946">
        <f>VLOOKUP($A1947,'Medical Examinations'!$A:$J,3,FALSE)</f>
        <v>25.46</v>
      </c>
      <c r="N1946" s="11">
        <f>VLOOKUP($B1946,'Hospitalisation Details'!A1945:J4289,10,0)</f>
        <v>27549</v>
      </c>
      <c r="O1946" t="str">
        <f>VLOOKUP($B1946,'Hospitalisation Details'!A1945:J4289,8,0)</f>
        <v>tier - 1</v>
      </c>
      <c r="P1946" t="str">
        <f>VLOOKUP($B1946,'Hospitalisation Details'!A1945:J4289,7,0)</f>
        <v>tier - 2</v>
      </c>
      <c r="Q1946" t="str">
        <f>VLOOKUP($B1946,'Hospitalisation Details'!A1945:J4289,9,0)</f>
        <v>R1011</v>
      </c>
      <c r="R1946">
        <f>VLOOKUP($B1946,'Hospitalisation Details'!A1945:K4289,11,0)</f>
        <v>48</v>
      </c>
    </row>
    <row r="1947" spans="1:18" x14ac:dyDescent="0.35">
      <c r="A1947" t="s">
        <v>422</v>
      </c>
      <c r="B1947" t="s">
        <v>1978</v>
      </c>
      <c r="C1947" t="str">
        <f>VLOOKUP($A1947,'Customer Names'!$A:$E,4,FALSE)</f>
        <v>Roger</v>
      </c>
      <c r="D1947" t="str">
        <f>VLOOKUP($A1947,'Medical Examinations'!$A:$J,2,FALSE)</f>
        <v>Overweight</v>
      </c>
      <c r="E1947">
        <f>VLOOKUP($A1947,'Medical Examinations'!$A:$J,4,FALSE)</f>
        <v>4.1399999999999997</v>
      </c>
      <c r="F1947" t="str">
        <f>VLOOKUP($A1947,'Medical Examinations'!$A:$J,6,FALSE)</f>
        <v>No</v>
      </c>
      <c r="G1947" t="str">
        <f>VLOOKUP($A1947,'Medical Examinations'!$A:$J,7,FALSE)</f>
        <v>No</v>
      </c>
      <c r="H1947" t="str">
        <f>VLOOKUP($A1947,'Medical Examinations'!$A:$J,8,FALSE)</f>
        <v>No</v>
      </c>
      <c r="I1947">
        <f>VLOOKUP($A1947,'Medical Examinations'!$A:$J,9,FALSE)</f>
        <v>1</v>
      </c>
      <c r="J1947" t="str">
        <f>VLOOKUP($A1947,'Medical Examinations'!$A:$J,10,FALSE)</f>
        <v>No</v>
      </c>
      <c r="K1947" t="str">
        <f>VLOOKUP($A1947,'Medical Examinations'!$A:$J,5,FALSE)</f>
        <v>Normal</v>
      </c>
      <c r="L1947">
        <f>VLOOKUP($A1948,'Medical Examinations'!$A:$J,3,FALSE)</f>
        <v>17.09</v>
      </c>
      <c r="N1947" s="11">
        <f>VLOOKUP($B1947,'Hospitalisation Details'!A1946:J4290,10,0)</f>
        <v>38326</v>
      </c>
      <c r="O1947" t="str">
        <f>VLOOKUP($B1947,'Hospitalisation Details'!A1946:J4290,8,0)</f>
        <v>tier - 3</v>
      </c>
      <c r="P1947" t="str">
        <f>VLOOKUP($B1947,'Hospitalisation Details'!A1946:J4290,7,0)</f>
        <v>tier - 2</v>
      </c>
      <c r="Q1947" t="str">
        <f>VLOOKUP($B1947,'Hospitalisation Details'!A1946:J4290,9,0)</f>
        <v>R1011</v>
      </c>
      <c r="R1947">
        <f>VLOOKUP($B1947,'Hospitalisation Details'!A1946:K4290,11,0)</f>
        <v>18</v>
      </c>
    </row>
    <row r="1948" spans="1:18" x14ac:dyDescent="0.35">
      <c r="A1948" t="s">
        <v>421</v>
      </c>
      <c r="B1948" t="s">
        <v>1979</v>
      </c>
      <c r="C1948" t="str">
        <f>VLOOKUP($A1948,'Customer Names'!$A:$E,4,FALSE)</f>
        <v>Brock J</v>
      </c>
      <c r="D1948" t="str">
        <f>VLOOKUP($A1948,'Medical Examinations'!$A:$J,2,FALSE)</f>
        <v>Underweight</v>
      </c>
      <c r="E1948">
        <f>VLOOKUP($A1948,'Medical Examinations'!$A:$J,4,FALSE)</f>
        <v>5.8</v>
      </c>
      <c r="F1948" t="str">
        <f>VLOOKUP($A1948,'Medical Examinations'!$A:$J,6,FALSE)</f>
        <v>yes</v>
      </c>
      <c r="G1948" t="str">
        <f>VLOOKUP($A1948,'Medical Examinations'!$A:$J,7,FALSE)</f>
        <v>No</v>
      </c>
      <c r="H1948" t="str">
        <f>VLOOKUP($A1948,'Medical Examinations'!$A:$J,8,FALSE)</f>
        <v>No</v>
      </c>
      <c r="I1948">
        <f>VLOOKUP($A1948,'Medical Examinations'!$A:$J,9,FALSE)</f>
        <v>0</v>
      </c>
      <c r="J1948" t="str">
        <f>VLOOKUP($A1948,'Medical Examinations'!$A:$J,10,FALSE)</f>
        <v>No</v>
      </c>
      <c r="K1948" t="str">
        <f>VLOOKUP($A1948,'Medical Examinations'!$A:$J,5,FALSE)</f>
        <v>Prediabetes</v>
      </c>
      <c r="L1948">
        <f>VLOOKUP($A1949,'Medical Examinations'!$A:$J,3,FALSE)</f>
        <v>20.83</v>
      </c>
      <c r="N1948" s="11">
        <f>VLOOKUP($B1948,'Hospitalisation Details'!A1947:J4291,10,0)</f>
        <v>27293</v>
      </c>
      <c r="O1948" t="str">
        <f>VLOOKUP($B1948,'Hospitalisation Details'!A1947:J4291,8,0)</f>
        <v>tier - 2</v>
      </c>
      <c r="P1948" t="str">
        <f>VLOOKUP($B1948,'Hospitalisation Details'!A1947:J4291,7,0)</f>
        <v>tier - 2</v>
      </c>
      <c r="Q1948" t="str">
        <f>VLOOKUP($B1948,'Hospitalisation Details'!A1947:J4291,9,0)</f>
        <v>R1024</v>
      </c>
      <c r="R1948">
        <f>VLOOKUP($B1948,'Hospitalisation Details'!A1947:K4291,11,0)</f>
        <v>48</v>
      </c>
    </row>
    <row r="1949" spans="1:18" x14ac:dyDescent="0.35">
      <c r="A1949" t="s">
        <v>420</v>
      </c>
      <c r="B1949" t="s">
        <v>1980</v>
      </c>
      <c r="C1949" t="str">
        <f>VLOOKUP($A1949,'Customer Names'!$A:$E,4,FALSE)</f>
        <v>Stephen F.</v>
      </c>
      <c r="D1949" t="str">
        <f>VLOOKUP($A1949,'Medical Examinations'!$A:$J,2,FALSE)</f>
        <v>Normal Weight</v>
      </c>
      <c r="E1949">
        <f>VLOOKUP($A1949,'Medical Examinations'!$A:$J,4,FALSE)</f>
        <v>5.12</v>
      </c>
      <c r="F1949" t="str">
        <f>VLOOKUP($A1949,'Medical Examinations'!$A:$J,6,FALSE)</f>
        <v>No</v>
      </c>
      <c r="G1949" t="str">
        <f>VLOOKUP($A1949,'Medical Examinations'!$A:$J,7,FALSE)</f>
        <v>No</v>
      </c>
      <c r="H1949" t="str">
        <f>VLOOKUP($A1949,'Medical Examinations'!$A:$J,8,FALSE)</f>
        <v>No</v>
      </c>
      <c r="I1949">
        <f>VLOOKUP($A1949,'Medical Examinations'!$A:$J,9,FALSE)</f>
        <v>0</v>
      </c>
      <c r="J1949" t="str">
        <f>VLOOKUP($A1949,'Medical Examinations'!$A:$J,10,FALSE)</f>
        <v>No</v>
      </c>
      <c r="K1949" t="str">
        <f>VLOOKUP($A1949,'Medical Examinations'!$A:$J,5,FALSE)</f>
        <v>Normal</v>
      </c>
      <c r="L1949">
        <f>VLOOKUP($A1950,'Medical Examinations'!$A:$J,3,FALSE)</f>
        <v>18.920000000000002</v>
      </c>
      <c r="N1949" s="11">
        <f>VLOOKUP($B1949,'Hospitalisation Details'!A1948:J4292,10,0)</f>
        <v>25807</v>
      </c>
      <c r="O1949" t="str">
        <f>VLOOKUP($B1949,'Hospitalisation Details'!A1948:J4292,8,0)</f>
        <v>tier - 3</v>
      </c>
      <c r="P1949" t="str">
        <f>VLOOKUP($B1949,'Hospitalisation Details'!A1948:J4292,7,0)</f>
        <v>tier - 2</v>
      </c>
      <c r="Q1949" t="str">
        <f>VLOOKUP($B1949,'Hospitalisation Details'!A1948:J4292,9,0)</f>
        <v>R1012</v>
      </c>
      <c r="R1949">
        <f>VLOOKUP($B1949,'Hospitalisation Details'!A1948:K4292,11,0)</f>
        <v>52</v>
      </c>
    </row>
    <row r="1950" spans="1:18" x14ac:dyDescent="0.35">
      <c r="A1950" t="s">
        <v>419</v>
      </c>
      <c r="B1950" t="s">
        <v>1981</v>
      </c>
      <c r="C1950" t="str">
        <f>VLOOKUP($A1950,'Customer Names'!$A:$E,4,FALSE)</f>
        <v>Missy</v>
      </c>
      <c r="D1950" t="str">
        <f>VLOOKUP($A1950,'Medical Examinations'!$A:$J,2,FALSE)</f>
        <v>Normal Weight</v>
      </c>
      <c r="E1950">
        <f>VLOOKUP($A1950,'Medical Examinations'!$A:$J,4,FALSE)</f>
        <v>5.98</v>
      </c>
      <c r="F1950" t="str">
        <f>VLOOKUP($A1950,'Medical Examinations'!$A:$J,6,FALSE)</f>
        <v>yes</v>
      </c>
      <c r="G1950" t="str">
        <f>VLOOKUP($A1950,'Medical Examinations'!$A:$J,7,FALSE)</f>
        <v>No</v>
      </c>
      <c r="H1950" t="str">
        <f>VLOOKUP($A1950,'Medical Examinations'!$A:$J,8,FALSE)</f>
        <v>No</v>
      </c>
      <c r="I1950">
        <f>VLOOKUP($A1950,'Medical Examinations'!$A:$J,9,FALSE)</f>
        <v>1</v>
      </c>
      <c r="J1950" t="str">
        <f>VLOOKUP($A1950,'Medical Examinations'!$A:$J,10,FALSE)</f>
        <v>No</v>
      </c>
      <c r="K1950" t="str">
        <f>VLOOKUP($A1950,'Medical Examinations'!$A:$J,5,FALSE)</f>
        <v>Prediabetes</v>
      </c>
      <c r="L1950">
        <f>VLOOKUP($A1951,'Medical Examinations'!$A:$J,3,FALSE)</f>
        <v>37.1</v>
      </c>
      <c r="N1950" s="11">
        <f>VLOOKUP($B1950,'Hospitalisation Details'!A1949:J4293,10,0)</f>
        <v>38235</v>
      </c>
      <c r="O1950" t="str">
        <f>VLOOKUP($B1950,'Hospitalisation Details'!A1949:J4293,8,0)</f>
        <v>tier - 2</v>
      </c>
      <c r="P1950" t="str">
        <f>VLOOKUP($B1950,'Hospitalisation Details'!A1949:J4293,7,0)</f>
        <v>tier - 2</v>
      </c>
      <c r="Q1950" t="str">
        <f>VLOOKUP($B1950,'Hospitalisation Details'!A1949:J4293,9,0)</f>
        <v>R1011</v>
      </c>
      <c r="R1950">
        <f>VLOOKUP($B1950,'Hospitalisation Details'!A1949:K4293,11,0)</f>
        <v>18</v>
      </c>
    </row>
    <row r="1951" spans="1:18" x14ac:dyDescent="0.35">
      <c r="A1951" t="s">
        <v>418</v>
      </c>
      <c r="B1951" t="s">
        <v>1982</v>
      </c>
      <c r="C1951" t="str">
        <f>VLOOKUP($A1951,'Customer Names'!$A:$E,4,FALSE)</f>
        <v>William</v>
      </c>
      <c r="D1951" t="str">
        <f>VLOOKUP($A1951,'Medical Examinations'!$A:$J,2,FALSE)</f>
        <v>Obesity</v>
      </c>
      <c r="E1951">
        <f>VLOOKUP($A1951,'Medical Examinations'!$A:$J,4,FALSE)</f>
        <v>5.46</v>
      </c>
      <c r="F1951" t="str">
        <f>VLOOKUP($A1951,'Medical Examinations'!$A:$J,6,FALSE)</f>
        <v>No</v>
      </c>
      <c r="G1951" t="str">
        <f>VLOOKUP($A1951,'Medical Examinations'!$A:$J,7,FALSE)</f>
        <v>No</v>
      </c>
      <c r="H1951" t="str">
        <f>VLOOKUP($A1951,'Medical Examinations'!$A:$J,8,FALSE)</f>
        <v>No</v>
      </c>
      <c r="I1951">
        <f>VLOOKUP($A1951,'Medical Examinations'!$A:$J,9,FALSE)</f>
        <v>0</v>
      </c>
      <c r="J1951" t="str">
        <f>VLOOKUP($A1951,'Medical Examinations'!$A:$J,10,FALSE)</f>
        <v>No</v>
      </c>
      <c r="K1951" t="str">
        <f>VLOOKUP($A1951,'Medical Examinations'!$A:$J,5,FALSE)</f>
        <v>Normal</v>
      </c>
      <c r="L1951">
        <f>VLOOKUP($A1952,'Medical Examinations'!$A:$J,3,FALSE)</f>
        <v>22.515000000000001</v>
      </c>
      <c r="N1951" s="11">
        <f>VLOOKUP($B1951,'Hospitalisation Details'!A1950:J4294,10,0)</f>
        <v>32346</v>
      </c>
      <c r="O1951" t="str">
        <f>VLOOKUP($B1951,'Hospitalisation Details'!A1950:J4294,8,0)</f>
        <v>tier - 1</v>
      </c>
      <c r="P1951" t="str">
        <f>VLOOKUP($B1951,'Hospitalisation Details'!A1950:J4294,7,0)</f>
        <v>tier - 2</v>
      </c>
      <c r="Q1951" t="str">
        <f>VLOOKUP($B1951,'Hospitalisation Details'!A1950:J4294,9,0)</f>
        <v>R1011</v>
      </c>
      <c r="R1951">
        <f>VLOOKUP($B1951,'Hospitalisation Details'!A1950:K4294,11,0)</f>
        <v>34</v>
      </c>
    </row>
    <row r="1952" spans="1:18" x14ac:dyDescent="0.35">
      <c r="A1952" t="s">
        <v>417</v>
      </c>
      <c r="B1952" t="s">
        <v>1983</v>
      </c>
      <c r="C1952" t="str">
        <f>VLOOKUP($A1952,'Customer Names'!$A:$E,4,FALSE)</f>
        <v>Lauren M</v>
      </c>
      <c r="D1952" t="str">
        <f>VLOOKUP($A1952,'Medical Examinations'!$A:$J,2,FALSE)</f>
        <v>Normal Weight</v>
      </c>
      <c r="E1952">
        <f>VLOOKUP($A1952,'Medical Examinations'!$A:$J,4,FALSE)</f>
        <v>4.91</v>
      </c>
      <c r="F1952" t="str">
        <f>VLOOKUP($A1952,'Medical Examinations'!$A:$J,6,FALSE)</f>
        <v>yes</v>
      </c>
      <c r="G1952" t="str">
        <f>VLOOKUP($A1952,'Medical Examinations'!$A:$J,7,FALSE)</f>
        <v>No</v>
      </c>
      <c r="H1952" t="str">
        <f>VLOOKUP($A1952,'Medical Examinations'!$A:$J,8,FALSE)</f>
        <v>Yes</v>
      </c>
      <c r="I1952">
        <f>VLOOKUP($A1952,'Medical Examinations'!$A:$J,9,FALSE)</f>
        <v>1</v>
      </c>
      <c r="J1952" t="str">
        <f>VLOOKUP($A1952,'Medical Examinations'!$A:$J,10,FALSE)</f>
        <v>No</v>
      </c>
      <c r="K1952" t="str">
        <f>VLOOKUP($A1952,'Medical Examinations'!$A:$J,5,FALSE)</f>
        <v>Normal</v>
      </c>
      <c r="L1952">
        <f>VLOOKUP($A1953,'Medical Examinations'!$A:$J,3,FALSE)</f>
        <v>32.700000000000003</v>
      </c>
      <c r="N1952" s="11">
        <f>VLOOKUP($B1952,'Hospitalisation Details'!A1951:J4295,10,0)</f>
        <v>33472</v>
      </c>
      <c r="O1952" t="str">
        <f>VLOOKUP($B1952,'Hospitalisation Details'!A1951:J4295,8,0)</f>
        <v>tier - 2</v>
      </c>
      <c r="P1952" t="str">
        <f>VLOOKUP($B1952,'Hospitalisation Details'!A1951:J4295,7,0)</f>
        <v>tier - 2</v>
      </c>
      <c r="Q1952" t="str">
        <f>VLOOKUP($B1952,'Hospitalisation Details'!A1951:J4295,9,0)</f>
        <v>R1011</v>
      </c>
      <c r="R1952">
        <f>VLOOKUP($B1952,'Hospitalisation Details'!A1951:K4295,11,0)</f>
        <v>31</v>
      </c>
    </row>
    <row r="1953" spans="1:18" x14ac:dyDescent="0.35">
      <c r="A1953" t="s">
        <v>416</v>
      </c>
      <c r="B1953" t="s">
        <v>1984</v>
      </c>
      <c r="C1953" t="str">
        <f>VLOOKUP($A1953,'Customer Names'!$A:$E,4,FALSE)</f>
        <v>Apolo U.</v>
      </c>
      <c r="D1953" t="str">
        <f>VLOOKUP($A1953,'Medical Examinations'!$A:$J,2,FALSE)</f>
        <v>Obesity</v>
      </c>
      <c r="E1953">
        <f>VLOOKUP($A1953,'Medical Examinations'!$A:$J,4,FALSE)</f>
        <v>4.66</v>
      </c>
      <c r="F1953" t="str">
        <f>VLOOKUP($A1953,'Medical Examinations'!$A:$J,6,FALSE)</f>
        <v>No</v>
      </c>
      <c r="G1953" t="str">
        <f>VLOOKUP($A1953,'Medical Examinations'!$A:$J,7,FALSE)</f>
        <v>No</v>
      </c>
      <c r="H1953" t="str">
        <f>VLOOKUP($A1953,'Medical Examinations'!$A:$J,8,FALSE)</f>
        <v>No</v>
      </c>
      <c r="I1953">
        <f>VLOOKUP($A1953,'Medical Examinations'!$A:$J,9,FALSE)</f>
        <v>0</v>
      </c>
      <c r="J1953" t="str">
        <f>VLOOKUP($A1953,'Medical Examinations'!$A:$J,10,FALSE)</f>
        <v>No</v>
      </c>
      <c r="K1953" t="str">
        <f>VLOOKUP($A1953,'Medical Examinations'!$A:$J,5,FALSE)</f>
        <v>Normal</v>
      </c>
      <c r="L1953">
        <f>VLOOKUP($A1954,'Medical Examinations'!$A:$J,3,FALSE)</f>
        <v>17.75</v>
      </c>
      <c r="N1953" s="11">
        <f>VLOOKUP($B1953,'Hospitalisation Details'!A1952:J4296,10,0)</f>
        <v>21544</v>
      </c>
      <c r="O1953" t="str">
        <f>VLOOKUP($B1953,'Hospitalisation Details'!A1952:J4296,8,0)</f>
        <v>tier - 1</v>
      </c>
      <c r="P1953" t="str">
        <f>VLOOKUP($B1953,'Hospitalisation Details'!A1952:J4296,7,0)</f>
        <v>tier - 2</v>
      </c>
      <c r="Q1953" t="str">
        <f>VLOOKUP($B1953,'Hospitalisation Details'!A1952:J4296,9,0)</f>
        <v>R1013</v>
      </c>
      <c r="R1953">
        <f>VLOOKUP($B1953,'Hospitalisation Details'!A1952:K4296,11,0)</f>
        <v>64</v>
      </c>
    </row>
    <row r="1954" spans="1:18" x14ac:dyDescent="0.35">
      <c r="A1954" t="s">
        <v>415</v>
      </c>
      <c r="B1954" t="s">
        <v>1985</v>
      </c>
      <c r="C1954" t="str">
        <f>VLOOKUP($A1954,'Customer Names'!$A:$E,4,FALSE)</f>
        <v>Alfons</v>
      </c>
      <c r="D1954" t="str">
        <f>VLOOKUP($A1954,'Medical Examinations'!$A:$J,2,FALSE)</f>
        <v>Underweight</v>
      </c>
      <c r="E1954">
        <f>VLOOKUP($A1954,'Medical Examinations'!$A:$J,4,FALSE)</f>
        <v>6.8</v>
      </c>
      <c r="F1954" t="str">
        <f>VLOOKUP($A1954,'Medical Examinations'!$A:$J,6,FALSE)</f>
        <v>yes</v>
      </c>
      <c r="G1954" t="str">
        <f>VLOOKUP($A1954,'Medical Examinations'!$A:$J,7,FALSE)</f>
        <v>No</v>
      </c>
      <c r="H1954" t="str">
        <f>VLOOKUP($A1954,'Medical Examinations'!$A:$J,8,FALSE)</f>
        <v>No</v>
      </c>
      <c r="I1954">
        <f>VLOOKUP($A1954,'Medical Examinations'!$A:$J,9,FALSE)</f>
        <v>1</v>
      </c>
      <c r="J1954" t="str">
        <f>VLOOKUP($A1954,'Medical Examinations'!$A:$J,10,FALSE)</f>
        <v>No</v>
      </c>
      <c r="K1954" t="str">
        <f>VLOOKUP($A1954,'Medical Examinations'!$A:$J,5,FALSE)</f>
        <v>Diabetes</v>
      </c>
      <c r="L1954">
        <f>VLOOKUP($A1955,'Medical Examinations'!$A:$J,3,FALSE)</f>
        <v>33.630000000000003</v>
      </c>
      <c r="N1954" s="11">
        <f>VLOOKUP($B1954,'Hospitalisation Details'!A1953:J4297,10,0)</f>
        <v>37424</v>
      </c>
      <c r="O1954" t="str">
        <f>VLOOKUP($B1954,'Hospitalisation Details'!A1953:J4297,8,0)</f>
        <v>tier - 2</v>
      </c>
      <c r="P1954" t="str">
        <f>VLOOKUP($B1954,'Hospitalisation Details'!A1953:J4297,7,0)</f>
        <v>tier - 2</v>
      </c>
      <c r="Q1954" t="str">
        <f>VLOOKUP($B1954,'Hospitalisation Details'!A1953:J4297,9,0)</f>
        <v>R1011</v>
      </c>
      <c r="R1954">
        <f>VLOOKUP($B1954,'Hospitalisation Details'!A1953:K4297,11,0)</f>
        <v>20</v>
      </c>
    </row>
    <row r="1955" spans="1:18" x14ac:dyDescent="0.35">
      <c r="A1955" t="s">
        <v>414</v>
      </c>
      <c r="B1955" t="s">
        <v>1986</v>
      </c>
      <c r="C1955" t="str">
        <f>VLOOKUP($A1955,'Customer Names'!$A:$E,4,FALSE)</f>
        <v>Amber</v>
      </c>
      <c r="D1955" t="str">
        <f>VLOOKUP($A1955,'Medical Examinations'!$A:$J,2,FALSE)</f>
        <v>Obesity</v>
      </c>
      <c r="E1955">
        <f>VLOOKUP($A1955,'Medical Examinations'!$A:$J,4,FALSE)</f>
        <v>4.47</v>
      </c>
      <c r="F1955" t="str">
        <f>VLOOKUP($A1955,'Medical Examinations'!$A:$J,6,FALSE)</f>
        <v>yes</v>
      </c>
      <c r="G1955" t="str">
        <f>VLOOKUP($A1955,'Medical Examinations'!$A:$J,7,FALSE)</f>
        <v>No</v>
      </c>
      <c r="H1955" t="str">
        <f>VLOOKUP($A1955,'Medical Examinations'!$A:$J,8,FALSE)</f>
        <v>No</v>
      </c>
      <c r="I1955">
        <f>VLOOKUP($A1955,'Medical Examinations'!$A:$J,9,FALSE)</f>
        <v>0</v>
      </c>
      <c r="J1955" t="str">
        <f>VLOOKUP($A1955,'Medical Examinations'!$A:$J,10,FALSE)</f>
        <v>No</v>
      </c>
      <c r="K1955" t="str">
        <f>VLOOKUP($A1955,'Medical Examinations'!$A:$J,5,FALSE)</f>
        <v>Normal</v>
      </c>
      <c r="L1955">
        <f>VLOOKUP($A1956,'Medical Examinations'!$A:$J,3,FALSE)</f>
        <v>34.799999999999997</v>
      </c>
      <c r="N1955" s="11">
        <f>VLOOKUP($B1955,'Hospitalisation Details'!A1954:J4298,10,0)</f>
        <v>36839</v>
      </c>
      <c r="O1955" t="str">
        <f>VLOOKUP($B1955,'Hospitalisation Details'!A1954:J4298,8,0)</f>
        <v>tier - 3</v>
      </c>
      <c r="P1955" t="str">
        <f>VLOOKUP($B1955,'Hospitalisation Details'!A1954:J4298,7,0)</f>
        <v>tier - 2</v>
      </c>
      <c r="Q1955" t="str">
        <f>VLOOKUP($B1955,'Hospitalisation Details'!A1954:J4298,9,0)</f>
        <v>R1011</v>
      </c>
      <c r="R1955">
        <f>VLOOKUP($B1955,'Hospitalisation Details'!A1954:K4298,11,0)</f>
        <v>22</v>
      </c>
    </row>
    <row r="1956" spans="1:18" x14ac:dyDescent="0.35">
      <c r="A1956" t="s">
        <v>413</v>
      </c>
      <c r="B1956" t="s">
        <v>1987</v>
      </c>
      <c r="C1956" t="str">
        <f>VLOOKUP($A1956,'Customer Names'!$A:$E,4,FALSE)</f>
        <v>Leah C.</v>
      </c>
      <c r="D1956" t="str">
        <f>VLOOKUP($A1956,'Medical Examinations'!$A:$J,2,FALSE)</f>
        <v>Obesity</v>
      </c>
      <c r="E1956">
        <f>VLOOKUP($A1956,'Medical Examinations'!$A:$J,4,FALSE)</f>
        <v>4.08</v>
      </c>
      <c r="F1956" t="str">
        <f>VLOOKUP($A1956,'Medical Examinations'!$A:$J,6,FALSE)</f>
        <v>yes</v>
      </c>
      <c r="G1956" t="str">
        <f>VLOOKUP($A1956,'Medical Examinations'!$A:$J,7,FALSE)</f>
        <v>No</v>
      </c>
      <c r="H1956" t="str">
        <f>VLOOKUP($A1956,'Medical Examinations'!$A:$J,8,FALSE)</f>
        <v>No</v>
      </c>
      <c r="I1956">
        <f>VLOOKUP($A1956,'Medical Examinations'!$A:$J,9,FALSE)</f>
        <v>1</v>
      </c>
      <c r="J1956" t="str">
        <f>VLOOKUP($A1956,'Medical Examinations'!$A:$J,10,FALSE)</f>
        <v>No</v>
      </c>
      <c r="K1956" t="str">
        <f>VLOOKUP($A1956,'Medical Examinations'!$A:$J,5,FALSE)</f>
        <v>Normal</v>
      </c>
      <c r="L1956">
        <f>VLOOKUP($A1957,'Medical Examinations'!$A:$J,3,FALSE)</f>
        <v>16.809999999999999</v>
      </c>
      <c r="N1956" s="11">
        <f>VLOOKUP($B1956,'Hospitalisation Details'!A1955:J4299,10,0)</f>
        <v>22106</v>
      </c>
      <c r="O1956" t="str">
        <f>VLOOKUP($B1956,'Hospitalisation Details'!A1955:J4299,8,0)</f>
        <v>tier - 2</v>
      </c>
      <c r="P1956" t="str">
        <f>VLOOKUP($B1956,'Hospitalisation Details'!A1955:J4299,7,0)</f>
        <v>tier - 2</v>
      </c>
      <c r="Q1956" t="str">
        <f>VLOOKUP($B1956,'Hospitalisation Details'!A1955:J4299,9,0)</f>
        <v>R1013</v>
      </c>
      <c r="R1956">
        <f>VLOOKUP($B1956,'Hospitalisation Details'!A1955:K4299,11,0)</f>
        <v>62</v>
      </c>
    </row>
    <row r="1957" spans="1:18" x14ac:dyDescent="0.35">
      <c r="A1957" t="s">
        <v>412</v>
      </c>
      <c r="B1957" t="s">
        <v>1988</v>
      </c>
      <c r="C1957" t="str">
        <f>VLOOKUP($A1957,'Customer Names'!$A:$E,4,FALSE)</f>
        <v>Lilia</v>
      </c>
      <c r="D1957" t="str">
        <f>VLOOKUP($A1957,'Medical Examinations'!$A:$J,2,FALSE)</f>
        <v>Underweight</v>
      </c>
      <c r="E1957">
        <f>VLOOKUP($A1957,'Medical Examinations'!$A:$J,4,FALSE)</f>
        <v>5.51</v>
      </c>
      <c r="F1957" t="str">
        <f>VLOOKUP($A1957,'Medical Examinations'!$A:$J,6,FALSE)</f>
        <v>yes</v>
      </c>
      <c r="G1957" t="str">
        <f>VLOOKUP($A1957,'Medical Examinations'!$A:$J,7,FALSE)</f>
        <v>No</v>
      </c>
      <c r="H1957" t="str">
        <f>VLOOKUP($A1957,'Medical Examinations'!$A:$J,8,FALSE)</f>
        <v>No</v>
      </c>
      <c r="I1957">
        <f>VLOOKUP($A1957,'Medical Examinations'!$A:$J,9,FALSE)</f>
        <v>1</v>
      </c>
      <c r="J1957" t="str">
        <f>VLOOKUP($A1957,'Medical Examinations'!$A:$J,10,FALSE)</f>
        <v>No</v>
      </c>
      <c r="K1957" t="str">
        <f>VLOOKUP($A1957,'Medical Examinations'!$A:$J,5,FALSE)</f>
        <v>Normal</v>
      </c>
      <c r="L1957">
        <f>VLOOKUP($A1958,'Medical Examinations'!$A:$J,3,FALSE)</f>
        <v>16.690000000000001</v>
      </c>
      <c r="N1957" s="11">
        <f>VLOOKUP($B1957,'Hospitalisation Details'!A1956:J4300,10,0)</f>
        <v>21366</v>
      </c>
      <c r="O1957" t="str">
        <f>VLOOKUP($B1957,'Hospitalisation Details'!A1956:J4300,8,0)</f>
        <v>tier - 2</v>
      </c>
      <c r="P1957" t="str">
        <f>VLOOKUP($B1957,'Hospitalisation Details'!A1956:J4300,7,0)</f>
        <v>tier - 2</v>
      </c>
      <c r="Q1957" t="str">
        <f>VLOOKUP($B1957,'Hospitalisation Details'!A1956:J4300,9,0)</f>
        <v>R1013</v>
      </c>
      <c r="R1957">
        <f>VLOOKUP($B1957,'Hospitalisation Details'!A1956:K4300,11,0)</f>
        <v>64</v>
      </c>
    </row>
    <row r="1958" spans="1:18" x14ac:dyDescent="0.35">
      <c r="A1958" t="s">
        <v>411</v>
      </c>
      <c r="B1958" t="s">
        <v>1989</v>
      </c>
      <c r="C1958" t="str">
        <f>VLOOKUP($A1958,'Customer Names'!$A:$E,4,FALSE)</f>
        <v>Danny</v>
      </c>
      <c r="D1958" t="str">
        <f>VLOOKUP($A1958,'Medical Examinations'!$A:$J,2,FALSE)</f>
        <v>Underweight</v>
      </c>
      <c r="E1958">
        <f>VLOOKUP($A1958,'Medical Examinations'!$A:$J,4,FALSE)</f>
        <v>8.4</v>
      </c>
      <c r="F1958" t="str">
        <f>VLOOKUP($A1958,'Medical Examinations'!$A:$J,6,FALSE)</f>
        <v>yes</v>
      </c>
      <c r="G1958" t="str">
        <f>VLOOKUP($A1958,'Medical Examinations'!$A:$J,7,FALSE)</f>
        <v>No</v>
      </c>
      <c r="H1958" t="str">
        <f>VLOOKUP($A1958,'Medical Examinations'!$A:$J,8,FALSE)</f>
        <v>No</v>
      </c>
      <c r="I1958">
        <f>VLOOKUP($A1958,'Medical Examinations'!$A:$J,9,FALSE)</f>
        <v>0</v>
      </c>
      <c r="J1958" t="str">
        <f>VLOOKUP($A1958,'Medical Examinations'!$A:$J,10,FALSE)</f>
        <v>No</v>
      </c>
      <c r="K1958" t="str">
        <f>VLOOKUP($A1958,'Medical Examinations'!$A:$J,5,FALSE)</f>
        <v>Diabetes</v>
      </c>
      <c r="L1958">
        <f>VLOOKUP($A1959,'Medical Examinations'!$A:$J,3,FALSE)</f>
        <v>23.21</v>
      </c>
      <c r="N1958" s="11">
        <f>VLOOKUP($B1958,'Hospitalisation Details'!A1957:J4301,10,0)</f>
        <v>34517</v>
      </c>
      <c r="O1958" t="str">
        <f>VLOOKUP($B1958,'Hospitalisation Details'!A1957:J4301,8,0)</f>
        <v>tier - 2</v>
      </c>
      <c r="P1958" t="str">
        <f>VLOOKUP($B1958,'Hospitalisation Details'!A1957:J4301,7,0)</f>
        <v>tier - 2</v>
      </c>
      <c r="Q1958" t="str">
        <f>VLOOKUP($B1958,'Hospitalisation Details'!A1957:J4301,9,0)</f>
        <v>R1011</v>
      </c>
      <c r="R1958">
        <f>VLOOKUP($B1958,'Hospitalisation Details'!A1957:K4301,11,0)</f>
        <v>28</v>
      </c>
    </row>
    <row r="1959" spans="1:18" x14ac:dyDescent="0.35">
      <c r="A1959" t="s">
        <v>410</v>
      </c>
      <c r="B1959" t="s">
        <v>1990</v>
      </c>
      <c r="C1959" t="str">
        <f>VLOOKUP($A1959,'Customer Names'!$A:$E,4,FALSE)</f>
        <v>Lauren</v>
      </c>
      <c r="D1959" t="str">
        <f>VLOOKUP($A1959,'Medical Examinations'!$A:$J,2,FALSE)</f>
        <v>Normal Weight</v>
      </c>
      <c r="E1959">
        <f>VLOOKUP($A1959,'Medical Examinations'!$A:$J,4,FALSE)</f>
        <v>5.14</v>
      </c>
      <c r="F1959" t="str">
        <f>VLOOKUP($A1959,'Medical Examinations'!$A:$J,6,FALSE)</f>
        <v>yes</v>
      </c>
      <c r="G1959" t="str">
        <f>VLOOKUP($A1959,'Medical Examinations'!$A:$J,7,FALSE)</f>
        <v>No</v>
      </c>
      <c r="H1959" t="str">
        <f>VLOOKUP($A1959,'Medical Examinations'!$A:$J,8,FALSE)</f>
        <v>No</v>
      </c>
      <c r="I1959">
        <f>VLOOKUP($A1959,'Medical Examinations'!$A:$J,9,FALSE)</f>
        <v>1</v>
      </c>
      <c r="J1959" t="str">
        <f>VLOOKUP($A1959,'Medical Examinations'!$A:$J,10,FALSE)</f>
        <v>No</v>
      </c>
      <c r="K1959" t="str">
        <f>VLOOKUP($A1959,'Medical Examinations'!$A:$J,5,FALSE)</f>
        <v>Normal</v>
      </c>
      <c r="L1959">
        <f>VLOOKUP($A1960,'Medical Examinations'!$A:$J,3,FALSE)</f>
        <v>25.175000000000001</v>
      </c>
      <c r="N1959" s="11">
        <f>VLOOKUP($B1959,'Hospitalisation Details'!A1958:J4302,10,0)</f>
        <v>33220</v>
      </c>
      <c r="O1959" t="str">
        <f>VLOOKUP($B1959,'Hospitalisation Details'!A1958:J4302,8,0)</f>
        <v>tier - 3</v>
      </c>
      <c r="P1959" t="str">
        <f>VLOOKUP($B1959,'Hospitalisation Details'!A1958:J4302,7,0)</f>
        <v>tier - 2</v>
      </c>
      <c r="Q1959" t="str">
        <f>VLOOKUP($B1959,'Hospitalisation Details'!A1958:J4302,9,0)</f>
        <v>R1011</v>
      </c>
      <c r="R1959">
        <f>VLOOKUP($B1959,'Hospitalisation Details'!A1958:K4302,11,0)</f>
        <v>32</v>
      </c>
    </row>
    <row r="1960" spans="1:18" x14ac:dyDescent="0.35">
      <c r="A1960" t="s">
        <v>409</v>
      </c>
      <c r="B1960" t="s">
        <v>1991</v>
      </c>
      <c r="C1960" t="str">
        <f>VLOOKUP($A1960,'Customer Names'!$A:$E,4,FALSE)</f>
        <v>Courtney</v>
      </c>
      <c r="D1960" t="str">
        <f>VLOOKUP($A1960,'Medical Examinations'!$A:$J,2,FALSE)</f>
        <v>Overweight</v>
      </c>
      <c r="E1960">
        <f>VLOOKUP($A1960,'Medical Examinations'!$A:$J,4,FALSE)</f>
        <v>5.21</v>
      </c>
      <c r="F1960" t="str">
        <f>VLOOKUP($A1960,'Medical Examinations'!$A:$J,6,FALSE)</f>
        <v>yes</v>
      </c>
      <c r="G1960" t="str">
        <f>VLOOKUP($A1960,'Medical Examinations'!$A:$J,7,FALSE)</f>
        <v>No</v>
      </c>
      <c r="H1960" t="str">
        <f>VLOOKUP($A1960,'Medical Examinations'!$A:$J,8,FALSE)</f>
        <v>No</v>
      </c>
      <c r="I1960">
        <f>VLOOKUP($A1960,'Medical Examinations'!$A:$J,9,FALSE)</f>
        <v>1</v>
      </c>
      <c r="J1960" t="str">
        <f>VLOOKUP($A1960,'Medical Examinations'!$A:$J,10,FALSE)</f>
        <v>No</v>
      </c>
      <c r="K1960" t="str">
        <f>VLOOKUP($A1960,'Medical Examinations'!$A:$J,5,FALSE)</f>
        <v>Normal</v>
      </c>
      <c r="L1960">
        <f>VLOOKUP($A1961,'Medical Examinations'!$A:$J,3,FALSE)</f>
        <v>34.770000000000003</v>
      </c>
      <c r="N1960" s="11">
        <f>VLOOKUP($B1960,'Hospitalisation Details'!A1959:J4303,10,0)</f>
        <v>25843</v>
      </c>
      <c r="O1960" t="str">
        <f>VLOOKUP($B1960,'Hospitalisation Details'!A1959:J4303,8,0)</f>
        <v>tier - 2</v>
      </c>
      <c r="P1960" t="str">
        <f>VLOOKUP($B1960,'Hospitalisation Details'!A1959:J4303,7,0)</f>
        <v>tier - 2</v>
      </c>
      <c r="Q1960" t="str">
        <f>VLOOKUP($B1960,'Hospitalisation Details'!A1959:J4303,9,0)</f>
        <v>R1013</v>
      </c>
      <c r="R1960">
        <f>VLOOKUP($B1960,'Hospitalisation Details'!A1959:K4303,11,0)</f>
        <v>52</v>
      </c>
    </row>
    <row r="1961" spans="1:18" x14ac:dyDescent="0.35">
      <c r="A1961" t="s">
        <v>408</v>
      </c>
      <c r="B1961" t="s">
        <v>1992</v>
      </c>
      <c r="C1961" t="str">
        <f>VLOOKUP($A1961,'Customer Names'!$A:$E,4,FALSE)</f>
        <v>Elizabeth</v>
      </c>
      <c r="D1961" t="str">
        <f>VLOOKUP($A1961,'Medical Examinations'!$A:$J,2,FALSE)</f>
        <v>Obesity</v>
      </c>
      <c r="E1961">
        <f>VLOOKUP($A1961,'Medical Examinations'!$A:$J,4,FALSE)</f>
        <v>6.23</v>
      </c>
      <c r="F1961" t="str">
        <f>VLOOKUP($A1961,'Medical Examinations'!$A:$J,6,FALSE)</f>
        <v>No</v>
      </c>
      <c r="G1961" t="str">
        <f>VLOOKUP($A1961,'Medical Examinations'!$A:$J,7,FALSE)</f>
        <v>No</v>
      </c>
      <c r="H1961" t="str">
        <f>VLOOKUP($A1961,'Medical Examinations'!$A:$J,8,FALSE)</f>
        <v>No</v>
      </c>
      <c r="I1961">
        <f>VLOOKUP($A1961,'Medical Examinations'!$A:$J,9,FALSE)</f>
        <v>0</v>
      </c>
      <c r="J1961" t="str">
        <f>VLOOKUP($A1961,'Medical Examinations'!$A:$J,10,FALSE)</f>
        <v>No</v>
      </c>
      <c r="K1961" t="str">
        <f>VLOOKUP($A1961,'Medical Examinations'!$A:$J,5,FALSE)</f>
        <v>Prediabetes</v>
      </c>
      <c r="L1961">
        <f>VLOOKUP($A1962,'Medical Examinations'!$A:$J,3,FALSE)</f>
        <v>27.7</v>
      </c>
      <c r="N1961" s="11">
        <f>VLOOKUP($B1961,'Hospitalisation Details'!A1960:J4304,10,0)</f>
        <v>24097</v>
      </c>
      <c r="O1961" t="str">
        <f>VLOOKUP($B1961,'Hospitalisation Details'!A1960:J4304,8,0)</f>
        <v>tier - 1</v>
      </c>
      <c r="P1961" t="str">
        <f>VLOOKUP($B1961,'Hospitalisation Details'!A1960:J4304,7,0)</f>
        <v>tier - 2</v>
      </c>
      <c r="Q1961" t="str">
        <f>VLOOKUP($B1961,'Hospitalisation Details'!A1960:J4304,9,0)</f>
        <v>R1017</v>
      </c>
      <c r="R1961">
        <f>VLOOKUP($B1961,'Hospitalisation Details'!A1960:K4304,11,0)</f>
        <v>57</v>
      </c>
    </row>
    <row r="1962" spans="1:18" x14ac:dyDescent="0.35">
      <c r="A1962" t="s">
        <v>407</v>
      </c>
      <c r="B1962" t="s">
        <v>1993</v>
      </c>
      <c r="C1962" t="str">
        <f>VLOOKUP($A1962,'Customer Names'!$A:$E,4,FALSE)</f>
        <v>Satomi</v>
      </c>
      <c r="D1962" t="str">
        <f>VLOOKUP($A1962,'Medical Examinations'!$A:$J,2,FALSE)</f>
        <v>Overweight</v>
      </c>
      <c r="E1962">
        <f>VLOOKUP($A1962,'Medical Examinations'!$A:$J,4,FALSE)</f>
        <v>5.6</v>
      </c>
      <c r="F1962" t="str">
        <f>VLOOKUP($A1962,'Medical Examinations'!$A:$J,6,FALSE)</f>
        <v>No</v>
      </c>
      <c r="G1962" t="str">
        <f>VLOOKUP($A1962,'Medical Examinations'!$A:$J,7,FALSE)</f>
        <v>No</v>
      </c>
      <c r="H1962" t="str">
        <f>VLOOKUP($A1962,'Medical Examinations'!$A:$J,8,FALSE)</f>
        <v>No</v>
      </c>
      <c r="I1962">
        <f>VLOOKUP($A1962,'Medical Examinations'!$A:$J,9,FALSE)</f>
        <v>1</v>
      </c>
      <c r="J1962" t="str">
        <f>VLOOKUP($A1962,'Medical Examinations'!$A:$J,10,FALSE)</f>
        <v>No</v>
      </c>
      <c r="K1962" t="str">
        <f>VLOOKUP($A1962,'Medical Examinations'!$A:$J,5,FALSE)</f>
        <v>Normal</v>
      </c>
      <c r="L1962">
        <f>VLOOKUP($A1963,'Medical Examinations'!$A:$J,3,FALSE)</f>
        <v>19.12</v>
      </c>
      <c r="N1962" s="11">
        <f>VLOOKUP($B1962,'Hospitalisation Details'!A1961:J4305,10,0)</f>
        <v>36496</v>
      </c>
      <c r="O1962" t="str">
        <f>VLOOKUP($B1962,'Hospitalisation Details'!A1961:J4305,8,0)</f>
        <v>tier - 1</v>
      </c>
      <c r="P1962" t="str">
        <f>VLOOKUP($B1962,'Hospitalisation Details'!A1961:J4305,7,0)</f>
        <v>tier - 2</v>
      </c>
      <c r="Q1962" t="str">
        <f>VLOOKUP($B1962,'Hospitalisation Details'!A1961:J4305,9,0)</f>
        <v>R1011</v>
      </c>
      <c r="R1962">
        <f>VLOOKUP($B1962,'Hospitalisation Details'!A1961:K4305,11,0)</f>
        <v>23</v>
      </c>
    </row>
    <row r="1963" spans="1:18" x14ac:dyDescent="0.35">
      <c r="A1963" t="s">
        <v>406</v>
      </c>
      <c r="B1963" t="s">
        <v>1994</v>
      </c>
      <c r="C1963" t="str">
        <f>VLOOKUP($A1963,'Customer Names'!$A:$E,4,FALSE)</f>
        <v>Matthew D</v>
      </c>
      <c r="D1963" t="str">
        <f>VLOOKUP($A1963,'Medical Examinations'!$A:$J,2,FALSE)</f>
        <v>Normal Weight</v>
      </c>
      <c r="E1963">
        <f>VLOOKUP($A1963,'Medical Examinations'!$A:$J,4,FALSE)</f>
        <v>4.72</v>
      </c>
      <c r="F1963" t="str">
        <f>VLOOKUP($A1963,'Medical Examinations'!$A:$J,6,FALSE)</f>
        <v>yes</v>
      </c>
      <c r="G1963" t="str">
        <f>VLOOKUP($A1963,'Medical Examinations'!$A:$J,7,FALSE)</f>
        <v>No</v>
      </c>
      <c r="H1963" t="str">
        <f>VLOOKUP($A1963,'Medical Examinations'!$A:$J,8,FALSE)</f>
        <v>No</v>
      </c>
      <c r="I1963">
        <f>VLOOKUP($A1963,'Medical Examinations'!$A:$J,9,FALSE)</f>
        <v>1</v>
      </c>
      <c r="J1963" t="str">
        <f>VLOOKUP($A1963,'Medical Examinations'!$A:$J,10,FALSE)</f>
        <v>No</v>
      </c>
      <c r="K1963" t="str">
        <f>VLOOKUP($A1963,'Medical Examinations'!$A:$J,5,FALSE)</f>
        <v>Normal</v>
      </c>
      <c r="L1963">
        <f>VLOOKUP($A1964,'Medical Examinations'!$A:$J,3,FALSE)</f>
        <v>32.67</v>
      </c>
      <c r="N1963" s="11">
        <f>VLOOKUP($B1963,'Hospitalisation Details'!A1962:J4306,10,0)</f>
        <v>24995</v>
      </c>
      <c r="O1963" t="str">
        <f>VLOOKUP($B1963,'Hospitalisation Details'!A1962:J4306,8,0)</f>
        <v>tier - 2</v>
      </c>
      <c r="P1963" t="str">
        <f>VLOOKUP($B1963,'Hospitalisation Details'!A1962:J4306,7,0)</f>
        <v>tier - 2</v>
      </c>
      <c r="Q1963" t="str">
        <f>VLOOKUP($B1963,'Hospitalisation Details'!A1962:J4306,9,0)</f>
        <v>R1013</v>
      </c>
      <c r="R1963">
        <f>VLOOKUP($B1963,'Hospitalisation Details'!A1962:K4306,11,0)</f>
        <v>55</v>
      </c>
    </row>
    <row r="1964" spans="1:18" x14ac:dyDescent="0.35">
      <c r="A1964" t="s">
        <v>405</v>
      </c>
      <c r="B1964" t="s">
        <v>1995</v>
      </c>
      <c r="C1964" t="str">
        <f>VLOOKUP($A1964,'Customer Names'!$A:$E,4,FALSE)</f>
        <v>Peter T II</v>
      </c>
      <c r="D1964" t="str">
        <f>VLOOKUP($A1964,'Medical Examinations'!$A:$J,2,FALSE)</f>
        <v>Obesity</v>
      </c>
      <c r="E1964">
        <f>VLOOKUP($A1964,'Medical Examinations'!$A:$J,4,FALSE)</f>
        <v>4.67</v>
      </c>
      <c r="F1964" t="str">
        <f>VLOOKUP($A1964,'Medical Examinations'!$A:$J,6,FALSE)</f>
        <v>No</v>
      </c>
      <c r="G1964" t="str">
        <f>VLOOKUP($A1964,'Medical Examinations'!$A:$J,7,FALSE)</f>
        <v>No</v>
      </c>
      <c r="H1964" t="str">
        <f>VLOOKUP($A1964,'Medical Examinations'!$A:$J,8,FALSE)</f>
        <v>Yes</v>
      </c>
      <c r="I1964">
        <f>VLOOKUP($A1964,'Medical Examinations'!$A:$J,9,FALSE)</f>
        <v>1</v>
      </c>
      <c r="J1964" t="str">
        <f>VLOOKUP($A1964,'Medical Examinations'!$A:$J,10,FALSE)</f>
        <v>No</v>
      </c>
      <c r="K1964" t="str">
        <f>VLOOKUP($A1964,'Medical Examinations'!$A:$J,5,FALSE)</f>
        <v>Normal</v>
      </c>
      <c r="L1964">
        <f>VLOOKUP($A1965,'Medical Examinations'!$A:$J,3,FALSE)</f>
        <v>28.5</v>
      </c>
      <c r="N1964" s="11">
        <f>VLOOKUP($B1964,'Hospitalisation Details'!A1963:J4307,10,0)</f>
        <v>25492</v>
      </c>
      <c r="O1964" t="str">
        <f>VLOOKUP($B1964,'Hospitalisation Details'!A1963:J4307,8,0)</f>
        <v>tier - 2</v>
      </c>
      <c r="P1964" t="str">
        <f>VLOOKUP($B1964,'Hospitalisation Details'!A1963:J4307,7,0)</f>
        <v>tier - 2</v>
      </c>
      <c r="Q1964" t="str">
        <f>VLOOKUP($B1964,'Hospitalisation Details'!A1963:J4307,9,0)</f>
        <v>R1013</v>
      </c>
      <c r="R1964">
        <f>VLOOKUP($B1964,'Hospitalisation Details'!A1963:K4307,11,0)</f>
        <v>53</v>
      </c>
    </row>
    <row r="1965" spans="1:18" x14ac:dyDescent="0.35">
      <c r="A1965" t="s">
        <v>404</v>
      </c>
      <c r="B1965" t="s">
        <v>1996</v>
      </c>
      <c r="C1965" t="str">
        <f>VLOOKUP($A1965,'Customer Names'!$A:$E,4,FALSE)</f>
        <v>Manuel</v>
      </c>
      <c r="D1965" t="str">
        <f>VLOOKUP($A1965,'Medical Examinations'!$A:$J,2,FALSE)</f>
        <v>Overweight</v>
      </c>
      <c r="E1965">
        <f>VLOOKUP($A1965,'Medical Examinations'!$A:$J,4,FALSE)</f>
        <v>6.11</v>
      </c>
      <c r="F1965" t="str">
        <f>VLOOKUP($A1965,'Medical Examinations'!$A:$J,6,FALSE)</f>
        <v>No</v>
      </c>
      <c r="G1965" t="str">
        <f>VLOOKUP($A1965,'Medical Examinations'!$A:$J,7,FALSE)</f>
        <v>No</v>
      </c>
      <c r="H1965" t="str">
        <f>VLOOKUP($A1965,'Medical Examinations'!$A:$J,8,FALSE)</f>
        <v>No</v>
      </c>
      <c r="I1965">
        <f>VLOOKUP($A1965,'Medical Examinations'!$A:$J,9,FALSE)</f>
        <v>1</v>
      </c>
      <c r="J1965" t="str">
        <f>VLOOKUP($A1965,'Medical Examinations'!$A:$J,10,FALSE)</f>
        <v>No</v>
      </c>
      <c r="K1965" t="str">
        <f>VLOOKUP($A1965,'Medical Examinations'!$A:$J,5,FALSE)</f>
        <v>Prediabetes</v>
      </c>
      <c r="L1965">
        <f>VLOOKUP($A1966,'Medical Examinations'!$A:$J,3,FALSE)</f>
        <v>39.270000000000003</v>
      </c>
      <c r="N1965" s="11">
        <f>VLOOKUP($B1965,'Hospitalisation Details'!A1964:J4308,10,0)</f>
        <v>32401</v>
      </c>
      <c r="O1965" t="str">
        <f>VLOOKUP($B1965,'Hospitalisation Details'!A1964:J4308,8,0)</f>
        <v>tier - 3</v>
      </c>
      <c r="P1965" t="str">
        <f>VLOOKUP($B1965,'Hospitalisation Details'!A1964:J4308,7,0)</f>
        <v>tier - 2</v>
      </c>
      <c r="Q1965" t="str">
        <f>VLOOKUP($B1965,'Hospitalisation Details'!A1964:J4308,9,0)</f>
        <v>R1015</v>
      </c>
      <c r="R1965">
        <f>VLOOKUP($B1965,'Hospitalisation Details'!A1964:K4308,11,0)</f>
        <v>34</v>
      </c>
    </row>
    <row r="1966" spans="1:18" x14ac:dyDescent="0.35">
      <c r="A1966" t="s">
        <v>403</v>
      </c>
      <c r="B1966" t="s">
        <v>1997</v>
      </c>
      <c r="C1966" t="str">
        <f>VLOOKUP($A1966,'Customer Names'!$A:$E,4,FALSE)</f>
        <v>Kindsey P.</v>
      </c>
      <c r="D1966" t="str">
        <f>VLOOKUP($A1966,'Medical Examinations'!$A:$J,2,FALSE)</f>
        <v>Obesity</v>
      </c>
      <c r="E1966">
        <f>VLOOKUP($A1966,'Medical Examinations'!$A:$J,4,FALSE)</f>
        <v>6.25</v>
      </c>
      <c r="F1966" t="str">
        <f>VLOOKUP($A1966,'Medical Examinations'!$A:$J,6,FALSE)</f>
        <v>No</v>
      </c>
      <c r="G1966" t="str">
        <f>VLOOKUP($A1966,'Medical Examinations'!$A:$J,7,FALSE)</f>
        <v>No</v>
      </c>
      <c r="H1966" t="str">
        <f>VLOOKUP($A1966,'Medical Examinations'!$A:$J,8,FALSE)</f>
        <v>No</v>
      </c>
      <c r="I1966">
        <f>VLOOKUP($A1966,'Medical Examinations'!$A:$J,9,FALSE)</f>
        <v>0</v>
      </c>
      <c r="J1966" t="str">
        <f>VLOOKUP($A1966,'Medical Examinations'!$A:$J,10,FALSE)</f>
        <v>No</v>
      </c>
      <c r="K1966" t="str">
        <f>VLOOKUP($A1966,'Medical Examinations'!$A:$J,5,FALSE)</f>
        <v>Prediabetes</v>
      </c>
      <c r="L1966">
        <f>VLOOKUP($A1967,'Medical Examinations'!$A:$J,3,FALSE)</f>
        <v>32.49</v>
      </c>
      <c r="N1966" s="11">
        <f>VLOOKUP($B1966,'Hospitalisation Details'!A1965:J4309,10,0)</f>
        <v>31386</v>
      </c>
      <c r="O1966" t="str">
        <f>VLOOKUP($B1966,'Hospitalisation Details'!A1965:J4309,8,0)</f>
        <v>tier - 1</v>
      </c>
      <c r="P1966" t="str">
        <f>VLOOKUP($B1966,'Hospitalisation Details'!A1965:J4309,7,0)</f>
        <v>tier - 2</v>
      </c>
      <c r="Q1966" t="str">
        <f>VLOOKUP($B1966,'Hospitalisation Details'!A1965:J4309,9,0)</f>
        <v>R1011</v>
      </c>
      <c r="R1966">
        <f>VLOOKUP($B1966,'Hospitalisation Details'!A1965:K4309,11,0)</f>
        <v>37</v>
      </c>
    </row>
    <row r="1967" spans="1:18" x14ac:dyDescent="0.35">
      <c r="A1967" t="s">
        <v>402</v>
      </c>
      <c r="B1967" t="s">
        <v>1998</v>
      </c>
      <c r="C1967" t="str">
        <f>VLOOKUP($A1967,'Customer Names'!$A:$E,4,FALSE)</f>
        <v>Thomas G.</v>
      </c>
      <c r="D1967" t="str">
        <f>VLOOKUP($A1967,'Medical Examinations'!$A:$J,2,FALSE)</f>
        <v>Obesity</v>
      </c>
      <c r="E1967">
        <f>VLOOKUP($A1967,'Medical Examinations'!$A:$J,4,FALSE)</f>
        <v>4</v>
      </c>
      <c r="F1967" t="str">
        <f>VLOOKUP($A1967,'Medical Examinations'!$A:$J,6,FALSE)</f>
        <v>yes</v>
      </c>
      <c r="G1967" t="str">
        <f>VLOOKUP($A1967,'Medical Examinations'!$A:$J,7,FALSE)</f>
        <v>No</v>
      </c>
      <c r="H1967" t="str">
        <f>VLOOKUP($A1967,'Medical Examinations'!$A:$J,8,FALSE)</f>
        <v>No</v>
      </c>
      <c r="I1967">
        <f>VLOOKUP($A1967,'Medical Examinations'!$A:$J,9,FALSE)</f>
        <v>0</v>
      </c>
      <c r="J1967" t="str">
        <f>VLOOKUP($A1967,'Medical Examinations'!$A:$J,10,FALSE)</f>
        <v>No</v>
      </c>
      <c r="K1967" t="str">
        <f>VLOOKUP($A1967,'Medical Examinations'!$A:$J,5,FALSE)</f>
        <v>Normal</v>
      </c>
      <c r="L1967">
        <f>VLOOKUP($A1968,'Medical Examinations'!$A:$J,3,FALSE)</f>
        <v>23.7</v>
      </c>
      <c r="N1967" s="11">
        <f>VLOOKUP($B1967,'Hospitalisation Details'!A1966:J4310,10,0)</f>
        <v>29862</v>
      </c>
      <c r="O1967" t="str">
        <f>VLOOKUP($B1967,'Hospitalisation Details'!A1966:J4310,8,0)</f>
        <v>tier - 1</v>
      </c>
      <c r="P1967" t="str">
        <f>VLOOKUP($B1967,'Hospitalisation Details'!A1966:J4310,7,0)</f>
        <v>tier - 2</v>
      </c>
      <c r="Q1967" t="str">
        <f>VLOOKUP($B1967,'Hospitalisation Details'!A1966:J4310,9,0)</f>
        <v>R1011</v>
      </c>
      <c r="R1967">
        <f>VLOOKUP($B1967,'Hospitalisation Details'!A1966:K4310,11,0)</f>
        <v>41</v>
      </c>
    </row>
    <row r="1968" spans="1:18" x14ac:dyDescent="0.35">
      <c r="A1968" t="s">
        <v>401</v>
      </c>
      <c r="B1968" t="s">
        <v>1999</v>
      </c>
      <c r="C1968" t="str">
        <f>VLOOKUP($A1968,'Customer Names'!$A:$E,4,FALSE)</f>
        <v>Kyle S</v>
      </c>
      <c r="D1968" t="str">
        <f>VLOOKUP($A1968,'Medical Examinations'!$A:$J,2,FALSE)</f>
        <v>Normal Weight</v>
      </c>
      <c r="E1968">
        <f>VLOOKUP($A1968,'Medical Examinations'!$A:$J,4,FALSE)</f>
        <v>5.55</v>
      </c>
      <c r="F1968" t="str">
        <f>VLOOKUP($A1968,'Medical Examinations'!$A:$J,6,FALSE)</f>
        <v>yes</v>
      </c>
      <c r="G1968" t="str">
        <f>VLOOKUP($A1968,'Medical Examinations'!$A:$J,7,FALSE)</f>
        <v>No</v>
      </c>
      <c r="H1968" t="str">
        <f>VLOOKUP($A1968,'Medical Examinations'!$A:$J,8,FALSE)</f>
        <v>No</v>
      </c>
      <c r="I1968">
        <f>VLOOKUP($A1968,'Medical Examinations'!$A:$J,9,FALSE)</f>
        <v>0</v>
      </c>
      <c r="J1968" t="str">
        <f>VLOOKUP($A1968,'Medical Examinations'!$A:$J,10,FALSE)</f>
        <v>No</v>
      </c>
      <c r="K1968" t="str">
        <f>VLOOKUP($A1968,'Medical Examinations'!$A:$J,5,FALSE)</f>
        <v>Normal</v>
      </c>
      <c r="L1968">
        <f>VLOOKUP($A1969,'Medical Examinations'!$A:$J,3,FALSE)</f>
        <v>30.4</v>
      </c>
      <c r="N1968" s="11">
        <f>VLOOKUP($B1968,'Hospitalisation Details'!A1967:J4311,10,0)</f>
        <v>24034</v>
      </c>
      <c r="O1968" t="str">
        <f>VLOOKUP($B1968,'Hospitalisation Details'!A1967:J4311,8,0)</f>
        <v>tier - 3</v>
      </c>
      <c r="P1968" t="str">
        <f>VLOOKUP($B1968,'Hospitalisation Details'!A1967:J4311,7,0)</f>
        <v>tier - 2</v>
      </c>
      <c r="Q1968" t="str">
        <f>VLOOKUP($B1968,'Hospitalisation Details'!A1967:J4311,9,0)</f>
        <v>R1013</v>
      </c>
      <c r="R1968">
        <f>VLOOKUP($B1968,'Hospitalisation Details'!A1967:K4311,11,0)</f>
        <v>57</v>
      </c>
    </row>
    <row r="1969" spans="1:18" x14ac:dyDescent="0.35">
      <c r="A1969" t="s">
        <v>400</v>
      </c>
      <c r="B1969" t="s">
        <v>2000</v>
      </c>
      <c r="C1969" t="str">
        <f>VLOOKUP($A1969,'Customer Names'!$A:$E,4,FALSE)</f>
        <v>Alexander J.</v>
      </c>
      <c r="D1969" t="str">
        <f>VLOOKUP($A1969,'Medical Examinations'!$A:$J,2,FALSE)</f>
        <v>Obesity</v>
      </c>
      <c r="E1969">
        <f>VLOOKUP($A1969,'Medical Examinations'!$A:$J,4,FALSE)</f>
        <v>5.95</v>
      </c>
      <c r="F1969" t="str">
        <f>VLOOKUP($A1969,'Medical Examinations'!$A:$J,6,FALSE)</f>
        <v>No</v>
      </c>
      <c r="G1969" t="str">
        <f>VLOOKUP($A1969,'Medical Examinations'!$A:$J,7,FALSE)</f>
        <v>yes</v>
      </c>
      <c r="H1969" t="str">
        <f>VLOOKUP($A1969,'Medical Examinations'!$A:$J,8,FALSE)</f>
        <v>No</v>
      </c>
      <c r="I1969">
        <f>VLOOKUP($A1969,'Medical Examinations'!$A:$J,9,FALSE)</f>
        <v>1</v>
      </c>
      <c r="J1969" t="str">
        <f>VLOOKUP($A1969,'Medical Examinations'!$A:$J,10,FALSE)</f>
        <v>No</v>
      </c>
      <c r="K1969" t="str">
        <f>VLOOKUP($A1969,'Medical Examinations'!$A:$J,5,FALSE)</f>
        <v>Prediabetes</v>
      </c>
      <c r="L1969">
        <f>VLOOKUP($A1970,'Medical Examinations'!$A:$J,3,FALSE)</f>
        <v>38.94</v>
      </c>
      <c r="N1969" s="11">
        <f>VLOOKUP($B1969,'Hospitalisation Details'!A1968:J4312,10,0)</f>
        <v>30885</v>
      </c>
      <c r="O1969" t="str">
        <f>VLOOKUP($B1969,'Hospitalisation Details'!A1968:J4312,8,0)</f>
        <v>tier - 2</v>
      </c>
      <c r="P1969" t="str">
        <f>VLOOKUP($B1969,'Hospitalisation Details'!A1968:J4312,7,0)</f>
        <v>tier - 2</v>
      </c>
      <c r="Q1969" t="str">
        <f>VLOOKUP($B1969,'Hospitalisation Details'!A1968:J4312,9,0)</f>
        <v>R1011</v>
      </c>
      <c r="R1969">
        <f>VLOOKUP($B1969,'Hospitalisation Details'!A1968:K4312,11,0)</f>
        <v>38</v>
      </c>
    </row>
    <row r="1970" spans="1:18" x14ac:dyDescent="0.35">
      <c r="A1970" t="s">
        <v>399</v>
      </c>
      <c r="B1970" t="s">
        <v>2001</v>
      </c>
      <c r="C1970" t="str">
        <f>VLOOKUP($A1970,'Customer Names'!$A:$E,4,FALSE)</f>
        <v>Dustin L</v>
      </c>
      <c r="D1970" t="str">
        <f>VLOOKUP($A1970,'Medical Examinations'!$A:$J,2,FALSE)</f>
        <v>Obesity</v>
      </c>
      <c r="E1970">
        <f>VLOOKUP($A1970,'Medical Examinations'!$A:$J,4,FALSE)</f>
        <v>4.3600000000000003</v>
      </c>
      <c r="F1970" t="str">
        <f>VLOOKUP($A1970,'Medical Examinations'!$A:$J,6,FALSE)</f>
        <v>No</v>
      </c>
      <c r="G1970" t="str">
        <f>VLOOKUP($A1970,'Medical Examinations'!$A:$J,7,FALSE)</f>
        <v>No</v>
      </c>
      <c r="H1970" t="str">
        <f>VLOOKUP($A1970,'Medical Examinations'!$A:$J,8,FALSE)</f>
        <v>Yes</v>
      </c>
      <c r="I1970">
        <f>VLOOKUP($A1970,'Medical Examinations'!$A:$J,9,FALSE)</f>
        <v>1</v>
      </c>
      <c r="J1970" t="str">
        <f>VLOOKUP($A1970,'Medical Examinations'!$A:$J,10,FALSE)</f>
        <v>No</v>
      </c>
      <c r="K1970" t="str">
        <f>VLOOKUP($A1970,'Medical Examinations'!$A:$J,5,FALSE)</f>
        <v>Normal</v>
      </c>
      <c r="L1970">
        <f>VLOOKUP($A1971,'Medical Examinations'!$A:$J,3,FALSE)</f>
        <v>31.02</v>
      </c>
      <c r="N1970" s="11">
        <f>VLOOKUP($B1970,'Hospitalisation Details'!A1969:J4313,10,0)</f>
        <v>31357</v>
      </c>
      <c r="O1970" t="str">
        <f>VLOOKUP($B1970,'Hospitalisation Details'!A1969:J4313,8,0)</f>
        <v>tier - 1</v>
      </c>
      <c r="P1970" t="str">
        <f>VLOOKUP($B1970,'Hospitalisation Details'!A1969:J4313,7,0)</f>
        <v>tier - 2</v>
      </c>
      <c r="Q1970" t="str">
        <f>VLOOKUP($B1970,'Hospitalisation Details'!A1969:J4313,9,0)</f>
        <v>R1011</v>
      </c>
      <c r="R1970">
        <f>VLOOKUP($B1970,'Hospitalisation Details'!A1969:K4313,11,0)</f>
        <v>37</v>
      </c>
    </row>
    <row r="1971" spans="1:18" x14ac:dyDescent="0.35">
      <c r="A1971" t="s">
        <v>398</v>
      </c>
      <c r="B1971" t="s">
        <v>2002</v>
      </c>
      <c r="C1971" t="str">
        <f>VLOOKUP($A1971,'Customer Names'!$A:$E,4,FALSE)</f>
        <v>Chloe</v>
      </c>
      <c r="D1971" t="str">
        <f>VLOOKUP($A1971,'Medical Examinations'!$A:$J,2,FALSE)</f>
        <v>Obesity</v>
      </c>
      <c r="E1971">
        <f>VLOOKUP($A1971,'Medical Examinations'!$A:$J,4,FALSE)</f>
        <v>4.84</v>
      </c>
      <c r="F1971" t="str">
        <f>VLOOKUP($A1971,'Medical Examinations'!$A:$J,6,FALSE)</f>
        <v>No</v>
      </c>
      <c r="G1971" t="str">
        <f>VLOOKUP($A1971,'Medical Examinations'!$A:$J,7,FALSE)</f>
        <v>No</v>
      </c>
      <c r="H1971" t="str">
        <f>VLOOKUP($A1971,'Medical Examinations'!$A:$J,8,FALSE)</f>
        <v>Yes</v>
      </c>
      <c r="I1971">
        <f>VLOOKUP($A1971,'Medical Examinations'!$A:$J,9,FALSE)</f>
        <v>1</v>
      </c>
      <c r="J1971" t="str">
        <f>VLOOKUP($A1971,'Medical Examinations'!$A:$J,10,FALSE)</f>
        <v>No</v>
      </c>
      <c r="K1971" t="str">
        <f>VLOOKUP($A1971,'Medical Examinations'!$A:$J,5,FALSE)</f>
        <v>Normal</v>
      </c>
      <c r="L1971">
        <f>VLOOKUP($A1972,'Medical Examinations'!$A:$J,3,FALSE)</f>
        <v>17.5</v>
      </c>
      <c r="N1971" s="11">
        <f>VLOOKUP($B1971,'Hospitalisation Details'!A1970:J4314,10,0)</f>
        <v>33766</v>
      </c>
      <c r="O1971" t="str">
        <f>VLOOKUP($B1971,'Hospitalisation Details'!A1970:J4314,8,0)</f>
        <v>tier - 3</v>
      </c>
      <c r="P1971" t="str">
        <f>VLOOKUP($B1971,'Hospitalisation Details'!A1970:J4314,7,0)</f>
        <v>tier - 2</v>
      </c>
      <c r="Q1971" t="str">
        <f>VLOOKUP($B1971,'Hospitalisation Details'!A1970:J4314,9,0)</f>
        <v>R1011</v>
      </c>
      <c r="R1971">
        <f>VLOOKUP($B1971,'Hospitalisation Details'!A1970:K4314,11,0)</f>
        <v>30</v>
      </c>
    </row>
    <row r="1972" spans="1:18" x14ac:dyDescent="0.35">
      <c r="A1972" t="s">
        <v>397</v>
      </c>
      <c r="B1972" t="s">
        <v>2003</v>
      </c>
      <c r="C1972" t="str">
        <f>VLOOKUP($A1972,'Customer Names'!$A:$E,4,FALSE)</f>
        <v>Cailtlin</v>
      </c>
      <c r="D1972" t="str">
        <f>VLOOKUP($A1972,'Medical Examinations'!$A:$J,2,FALSE)</f>
        <v>Underweight</v>
      </c>
      <c r="E1972">
        <f>VLOOKUP($A1972,'Medical Examinations'!$A:$J,4,FALSE)</f>
        <v>4.5599999999999996</v>
      </c>
      <c r="F1972" t="str">
        <f>VLOOKUP($A1972,'Medical Examinations'!$A:$J,6,FALSE)</f>
        <v>No</v>
      </c>
      <c r="G1972" t="str">
        <f>VLOOKUP($A1972,'Medical Examinations'!$A:$J,7,FALSE)</f>
        <v>No</v>
      </c>
      <c r="H1972" t="str">
        <f>VLOOKUP($A1972,'Medical Examinations'!$A:$J,8,FALSE)</f>
        <v>No</v>
      </c>
      <c r="I1972">
        <f>VLOOKUP($A1972,'Medical Examinations'!$A:$J,9,FALSE)</f>
        <v>1</v>
      </c>
      <c r="J1972" t="str">
        <f>VLOOKUP($A1972,'Medical Examinations'!$A:$J,10,FALSE)</f>
        <v>No</v>
      </c>
      <c r="K1972" t="str">
        <f>VLOOKUP($A1972,'Medical Examinations'!$A:$J,5,FALSE)</f>
        <v>Normal</v>
      </c>
      <c r="L1972">
        <f>VLOOKUP($A1973,'Medical Examinations'!$A:$J,3,FALSE)</f>
        <v>34.799999999999997</v>
      </c>
      <c r="N1972" s="11">
        <f>VLOOKUP($B1972,'Hospitalisation Details'!A1971:J4315,10,0)</f>
        <v>35682</v>
      </c>
      <c r="O1972" t="str">
        <f>VLOOKUP($B1972,'Hospitalisation Details'!A1971:J4315,8,0)</f>
        <v>tier - 3</v>
      </c>
      <c r="P1972" t="str">
        <f>VLOOKUP($B1972,'Hospitalisation Details'!A1971:J4315,7,0)</f>
        <v>tier - 2</v>
      </c>
      <c r="Q1972" t="str">
        <f>VLOOKUP($B1972,'Hospitalisation Details'!A1971:J4315,9,0)</f>
        <v>R1011</v>
      </c>
      <c r="R1972">
        <f>VLOOKUP($B1972,'Hospitalisation Details'!A1971:K4315,11,0)</f>
        <v>25</v>
      </c>
    </row>
    <row r="1973" spans="1:18" x14ac:dyDescent="0.35">
      <c r="A1973" t="s">
        <v>396</v>
      </c>
      <c r="B1973" t="s">
        <v>2004</v>
      </c>
      <c r="C1973" t="str">
        <f>VLOOKUP($A1973,'Customer Names'!$A:$E,4,FALSE)</f>
        <v>Joshua</v>
      </c>
      <c r="D1973" t="str">
        <f>VLOOKUP($A1973,'Medical Examinations'!$A:$J,2,FALSE)</f>
        <v>Obesity</v>
      </c>
      <c r="E1973">
        <f>VLOOKUP($A1973,'Medical Examinations'!$A:$J,4,FALSE)</f>
        <v>4.42</v>
      </c>
      <c r="F1973" t="str">
        <f>VLOOKUP($A1973,'Medical Examinations'!$A:$J,6,FALSE)</f>
        <v>yes</v>
      </c>
      <c r="G1973" t="str">
        <f>VLOOKUP($A1973,'Medical Examinations'!$A:$J,7,FALSE)</f>
        <v>yes</v>
      </c>
      <c r="H1973" t="str">
        <f>VLOOKUP($A1973,'Medical Examinations'!$A:$J,8,FALSE)</f>
        <v>No</v>
      </c>
      <c r="I1973">
        <f>VLOOKUP($A1973,'Medical Examinations'!$A:$J,9,FALSE)</f>
        <v>2</v>
      </c>
      <c r="J1973" t="str">
        <f>VLOOKUP($A1973,'Medical Examinations'!$A:$J,10,FALSE)</f>
        <v>No</v>
      </c>
      <c r="K1973" t="str">
        <f>VLOOKUP($A1973,'Medical Examinations'!$A:$J,5,FALSE)</f>
        <v>Normal</v>
      </c>
      <c r="L1973">
        <f>VLOOKUP($A1974,'Medical Examinations'!$A:$J,3,FALSE)</f>
        <v>17.3</v>
      </c>
      <c r="N1973" s="11">
        <f>VLOOKUP($B1973,'Hospitalisation Details'!A1972:J4316,10,0)</f>
        <v>35710</v>
      </c>
      <c r="O1973" t="str">
        <f>VLOOKUP($B1973,'Hospitalisation Details'!A1972:J4316,8,0)</f>
        <v>tier - 1</v>
      </c>
      <c r="P1973" t="str">
        <f>VLOOKUP($B1973,'Hospitalisation Details'!A1972:J4316,7,0)</f>
        <v>tier - 1</v>
      </c>
      <c r="Q1973" t="str">
        <f>VLOOKUP($B1973,'Hospitalisation Details'!A1972:J4316,9,0)</f>
        <v>R1011</v>
      </c>
      <c r="R1973">
        <f>VLOOKUP($B1973,'Hospitalisation Details'!A1972:K4316,11,0)</f>
        <v>25</v>
      </c>
    </row>
    <row r="1974" spans="1:18" x14ac:dyDescent="0.35">
      <c r="A1974" t="s">
        <v>395</v>
      </c>
      <c r="B1974" t="s">
        <v>2005</v>
      </c>
      <c r="C1974" t="str">
        <f>VLOOKUP($A1974,'Customer Names'!$A:$E,4,FALSE)</f>
        <v>Chuy</v>
      </c>
      <c r="D1974" t="str">
        <f>VLOOKUP($A1974,'Medical Examinations'!$A:$J,2,FALSE)</f>
        <v>Underweight</v>
      </c>
      <c r="E1974">
        <f>VLOOKUP($A1974,'Medical Examinations'!$A:$J,4,FALSE)</f>
        <v>7.66</v>
      </c>
      <c r="F1974" t="str">
        <f>VLOOKUP($A1974,'Medical Examinations'!$A:$J,6,FALSE)</f>
        <v>yes</v>
      </c>
      <c r="G1974" t="str">
        <f>VLOOKUP($A1974,'Medical Examinations'!$A:$J,7,FALSE)</f>
        <v>No</v>
      </c>
      <c r="H1974" t="str">
        <f>VLOOKUP($A1974,'Medical Examinations'!$A:$J,8,FALSE)</f>
        <v>No</v>
      </c>
      <c r="I1974">
        <f>VLOOKUP($A1974,'Medical Examinations'!$A:$J,9,FALSE)</f>
        <v>1</v>
      </c>
      <c r="J1974" t="str">
        <f>VLOOKUP($A1974,'Medical Examinations'!$A:$J,10,FALSE)</f>
        <v>No</v>
      </c>
      <c r="K1974" t="str">
        <f>VLOOKUP($A1974,'Medical Examinations'!$A:$J,5,FALSE)</f>
        <v>Diabetes</v>
      </c>
      <c r="L1974">
        <f>VLOOKUP($A1975,'Medical Examinations'!$A:$J,3,FALSE)</f>
        <v>32.25</v>
      </c>
      <c r="N1974" s="11">
        <f>VLOOKUP($B1974,'Hospitalisation Details'!A1973:J4317,10,0)</f>
        <v>33788</v>
      </c>
      <c r="O1974" t="str">
        <f>VLOOKUP($B1974,'Hospitalisation Details'!A1973:J4317,8,0)</f>
        <v>tier - 2</v>
      </c>
      <c r="P1974" t="str">
        <f>VLOOKUP($B1974,'Hospitalisation Details'!A1973:J4317,7,0)</f>
        <v>tier - 1</v>
      </c>
      <c r="Q1974" t="str">
        <f>VLOOKUP($B1974,'Hospitalisation Details'!A1973:J4317,9,0)</f>
        <v>R1011</v>
      </c>
      <c r="R1974">
        <f>VLOOKUP($B1974,'Hospitalisation Details'!A1973:K4317,11,0)</f>
        <v>30</v>
      </c>
    </row>
    <row r="1975" spans="1:18" x14ac:dyDescent="0.35">
      <c r="A1975" t="s">
        <v>394</v>
      </c>
      <c r="B1975" t="s">
        <v>2006</v>
      </c>
      <c r="C1975" t="str">
        <f>VLOOKUP($A1975,'Customer Names'!$A:$E,4,FALSE)</f>
        <v>Laurie B</v>
      </c>
      <c r="D1975" t="str">
        <f>VLOOKUP($A1975,'Medical Examinations'!$A:$J,2,FALSE)</f>
        <v>Obesity</v>
      </c>
      <c r="E1975">
        <f>VLOOKUP($A1975,'Medical Examinations'!$A:$J,4,FALSE)</f>
        <v>5.2</v>
      </c>
      <c r="F1975" t="str">
        <f>VLOOKUP($A1975,'Medical Examinations'!$A:$J,6,FALSE)</f>
        <v>yes</v>
      </c>
      <c r="G1975" t="str">
        <f>VLOOKUP($A1975,'Medical Examinations'!$A:$J,7,FALSE)</f>
        <v>No</v>
      </c>
      <c r="H1975" t="str">
        <f>VLOOKUP($A1975,'Medical Examinations'!$A:$J,8,FALSE)</f>
        <v>No</v>
      </c>
      <c r="I1975">
        <f>VLOOKUP($A1975,'Medical Examinations'!$A:$J,9,FALSE)</f>
        <v>0</v>
      </c>
      <c r="J1975" t="str">
        <f>VLOOKUP($A1975,'Medical Examinations'!$A:$J,10,FALSE)</f>
        <v>No</v>
      </c>
      <c r="K1975" t="str">
        <f>VLOOKUP($A1975,'Medical Examinations'!$A:$J,5,FALSE)</f>
        <v>Normal</v>
      </c>
      <c r="L1975">
        <f>VLOOKUP($A1976,'Medical Examinations'!$A:$J,3,FALSE)</f>
        <v>42.4</v>
      </c>
      <c r="N1975" s="11">
        <f>VLOOKUP($B1975,'Hospitalisation Details'!A1974:J4318,10,0)</f>
        <v>37596</v>
      </c>
      <c r="O1975" t="str">
        <f>VLOOKUP($B1975,'Hospitalisation Details'!A1974:J4318,8,0)</f>
        <v>tier - 3</v>
      </c>
      <c r="P1975" t="str">
        <f>VLOOKUP($B1975,'Hospitalisation Details'!A1974:J4318,7,0)</f>
        <v>tier - 1</v>
      </c>
      <c r="Q1975" t="str">
        <f>VLOOKUP($B1975,'Hospitalisation Details'!A1974:J4318,9,0)</f>
        <v>R1013</v>
      </c>
      <c r="R1975">
        <f>VLOOKUP($B1975,'Hospitalisation Details'!A1974:K4318,11,0)</f>
        <v>20</v>
      </c>
    </row>
    <row r="1976" spans="1:18" x14ac:dyDescent="0.35">
      <c r="A1976" t="s">
        <v>393</v>
      </c>
      <c r="B1976" t="s">
        <v>2007</v>
      </c>
      <c r="C1976" t="str">
        <f>VLOOKUP($A1976,'Customer Names'!$A:$E,4,FALSE)</f>
        <v>Rachel B.</v>
      </c>
      <c r="D1976" t="str">
        <f>VLOOKUP($A1976,'Medical Examinations'!$A:$J,2,FALSE)</f>
        <v>Obesity</v>
      </c>
      <c r="E1976">
        <f>VLOOKUP($A1976,'Medical Examinations'!$A:$J,4,FALSE)</f>
        <v>5.53</v>
      </c>
      <c r="F1976" t="str">
        <f>VLOOKUP($A1976,'Medical Examinations'!$A:$J,6,FALSE)</f>
        <v>yes</v>
      </c>
      <c r="G1976" t="str">
        <f>VLOOKUP($A1976,'Medical Examinations'!$A:$J,7,FALSE)</f>
        <v>No</v>
      </c>
      <c r="H1976" t="str">
        <f>VLOOKUP($A1976,'Medical Examinations'!$A:$J,8,FALSE)</f>
        <v>No</v>
      </c>
      <c r="I1976">
        <f>VLOOKUP($A1976,'Medical Examinations'!$A:$J,9,FALSE)</f>
        <v>0</v>
      </c>
      <c r="J1976" t="str">
        <f>VLOOKUP($A1976,'Medical Examinations'!$A:$J,10,FALSE)</f>
        <v>No</v>
      </c>
      <c r="K1976" t="str">
        <f>VLOOKUP($A1976,'Medical Examinations'!$A:$J,5,FALSE)</f>
        <v>Normal</v>
      </c>
      <c r="L1976">
        <f>VLOOKUP($A1977,'Medical Examinations'!$A:$J,3,FALSE)</f>
        <v>38.664999999999999</v>
      </c>
      <c r="N1976" s="11">
        <f>VLOOKUP($B1976,'Hospitalisation Details'!A1975:J4319,10,0)</f>
        <v>22103</v>
      </c>
      <c r="O1976" t="str">
        <f>VLOOKUP($B1976,'Hospitalisation Details'!A1975:J4319,8,0)</f>
        <v>tier - 1</v>
      </c>
      <c r="P1976" t="str">
        <f>VLOOKUP($B1976,'Hospitalisation Details'!A1975:J4319,7,0)</f>
        <v>tier - 1</v>
      </c>
      <c r="Q1976" t="str">
        <f>VLOOKUP($B1976,'Hospitalisation Details'!A1975:J4319,9,0)</f>
        <v>R1013</v>
      </c>
      <c r="R1976">
        <f>VLOOKUP($B1976,'Hospitalisation Details'!A1975:K4319,11,0)</f>
        <v>62</v>
      </c>
    </row>
    <row r="1977" spans="1:18" x14ac:dyDescent="0.35">
      <c r="A1977" t="s">
        <v>392</v>
      </c>
      <c r="B1977" t="s">
        <v>2008</v>
      </c>
      <c r="C1977" t="str">
        <f>VLOOKUP($A1977,'Customer Names'!$A:$E,4,FALSE)</f>
        <v>Liza</v>
      </c>
      <c r="D1977" t="str">
        <f>VLOOKUP($A1977,'Medical Examinations'!$A:$J,2,FALSE)</f>
        <v>Obesity</v>
      </c>
      <c r="E1977">
        <f>VLOOKUP($A1977,'Medical Examinations'!$A:$J,4,FALSE)</f>
        <v>4.8600000000000003</v>
      </c>
      <c r="F1977" t="str">
        <f>VLOOKUP($A1977,'Medical Examinations'!$A:$J,6,FALSE)</f>
        <v>No</v>
      </c>
      <c r="G1977" t="str">
        <f>VLOOKUP($A1977,'Medical Examinations'!$A:$J,7,FALSE)</f>
        <v>yes</v>
      </c>
      <c r="H1977" t="str">
        <f>VLOOKUP($A1977,'Medical Examinations'!$A:$J,8,FALSE)</f>
        <v>No</v>
      </c>
      <c r="I1977">
        <f>VLOOKUP($A1977,'Medical Examinations'!$A:$J,9,FALSE)</f>
        <v>1</v>
      </c>
      <c r="J1977" t="str">
        <f>VLOOKUP($A1977,'Medical Examinations'!$A:$J,10,FALSE)</f>
        <v>No</v>
      </c>
      <c r="K1977" t="str">
        <f>VLOOKUP($A1977,'Medical Examinations'!$A:$J,5,FALSE)</f>
        <v>Normal</v>
      </c>
      <c r="L1977">
        <f>VLOOKUP($A1978,'Medical Examinations'!$A:$J,3,FALSE)</f>
        <v>29.92</v>
      </c>
      <c r="N1977" s="11">
        <f>VLOOKUP($B1977,'Hospitalisation Details'!A1976:J4320,10,0)</f>
        <v>31385</v>
      </c>
      <c r="O1977" t="str">
        <f>VLOOKUP($B1977,'Hospitalisation Details'!A1976:J4320,8,0)</f>
        <v>tier - 1</v>
      </c>
      <c r="P1977" t="str">
        <f>VLOOKUP($B1977,'Hospitalisation Details'!A1976:J4320,7,0)</f>
        <v>tier - 1</v>
      </c>
      <c r="Q1977" t="str">
        <f>VLOOKUP($B1977,'Hospitalisation Details'!A1976:J4320,9,0)</f>
        <v>R1011</v>
      </c>
      <c r="R1977">
        <f>VLOOKUP($B1977,'Hospitalisation Details'!A1976:K4320,11,0)</f>
        <v>37</v>
      </c>
    </row>
    <row r="1978" spans="1:18" x14ac:dyDescent="0.35">
      <c r="A1978" t="s">
        <v>391</v>
      </c>
      <c r="B1978" t="s">
        <v>2009</v>
      </c>
      <c r="C1978" t="str">
        <f>VLOOKUP($A1978,'Customer Names'!$A:$E,4,FALSE)</f>
        <v>Lindsey</v>
      </c>
      <c r="D1978" t="str">
        <f>VLOOKUP($A1978,'Medical Examinations'!$A:$J,2,FALSE)</f>
        <v>Overweight</v>
      </c>
      <c r="E1978">
        <f>VLOOKUP($A1978,'Medical Examinations'!$A:$J,4,FALSE)</f>
        <v>5.49</v>
      </c>
      <c r="F1978" t="str">
        <f>VLOOKUP($A1978,'Medical Examinations'!$A:$J,6,FALSE)</f>
        <v>yes</v>
      </c>
      <c r="G1978" t="str">
        <f>VLOOKUP($A1978,'Medical Examinations'!$A:$J,7,FALSE)</f>
        <v>No</v>
      </c>
      <c r="H1978" t="str">
        <f>VLOOKUP($A1978,'Medical Examinations'!$A:$J,8,FALSE)</f>
        <v>No</v>
      </c>
      <c r="I1978">
        <f>VLOOKUP($A1978,'Medical Examinations'!$A:$J,9,FALSE)</f>
        <v>0</v>
      </c>
      <c r="J1978" t="str">
        <f>VLOOKUP($A1978,'Medical Examinations'!$A:$J,10,FALSE)</f>
        <v>No</v>
      </c>
      <c r="K1978" t="str">
        <f>VLOOKUP($A1978,'Medical Examinations'!$A:$J,5,FALSE)</f>
        <v>Normal</v>
      </c>
      <c r="L1978">
        <f>VLOOKUP($A1979,'Medical Examinations'!$A:$J,3,FALSE)</f>
        <v>29.48</v>
      </c>
      <c r="N1978" s="11">
        <f>VLOOKUP($B1978,'Hospitalisation Details'!A1977:J4321,10,0)</f>
        <v>32833</v>
      </c>
      <c r="O1978" t="str">
        <f>VLOOKUP($B1978,'Hospitalisation Details'!A1977:J4321,8,0)</f>
        <v>tier - 2</v>
      </c>
      <c r="P1978" t="str">
        <f>VLOOKUP($B1978,'Hospitalisation Details'!A1977:J4321,7,0)</f>
        <v>tier - 1</v>
      </c>
      <c r="Q1978" t="str">
        <f>VLOOKUP($B1978,'Hospitalisation Details'!A1977:J4321,9,0)</f>
        <v>R1011</v>
      </c>
      <c r="R1978">
        <f>VLOOKUP($B1978,'Hospitalisation Details'!A1977:K4321,11,0)</f>
        <v>33</v>
      </c>
    </row>
    <row r="1979" spans="1:18" x14ac:dyDescent="0.35">
      <c r="A1979" t="s">
        <v>390</v>
      </c>
      <c r="B1979" t="s">
        <v>2010</v>
      </c>
      <c r="C1979" t="str">
        <f>VLOOKUP($A1979,'Customer Names'!$A:$E,4,FALSE)</f>
        <v>Lindsay E.</v>
      </c>
      <c r="D1979" t="str">
        <f>VLOOKUP($A1979,'Medical Examinations'!$A:$J,2,FALSE)</f>
        <v>Overweight</v>
      </c>
      <c r="E1979">
        <f>VLOOKUP($A1979,'Medical Examinations'!$A:$J,4,FALSE)</f>
        <v>4.09</v>
      </c>
      <c r="F1979" t="str">
        <f>VLOOKUP($A1979,'Medical Examinations'!$A:$J,6,FALSE)</f>
        <v>yes</v>
      </c>
      <c r="G1979" t="str">
        <f>VLOOKUP($A1979,'Medical Examinations'!$A:$J,7,FALSE)</f>
        <v>No</v>
      </c>
      <c r="H1979" t="str">
        <f>VLOOKUP($A1979,'Medical Examinations'!$A:$J,8,FALSE)</f>
        <v>No</v>
      </c>
      <c r="I1979">
        <f>VLOOKUP($A1979,'Medical Examinations'!$A:$J,9,FALSE)</f>
        <v>0</v>
      </c>
      <c r="J1979" t="str">
        <f>VLOOKUP($A1979,'Medical Examinations'!$A:$J,10,FALSE)</f>
        <v>No</v>
      </c>
      <c r="K1979" t="str">
        <f>VLOOKUP($A1979,'Medical Examinations'!$A:$J,5,FALSE)</f>
        <v>Normal</v>
      </c>
      <c r="L1979">
        <f>VLOOKUP($A1980,'Medical Examinations'!$A:$J,3,FALSE)</f>
        <v>28.785</v>
      </c>
      <c r="N1979" s="11">
        <f>VLOOKUP($B1979,'Hospitalisation Details'!A1978:J4322,10,0)</f>
        <v>33393</v>
      </c>
      <c r="O1979" t="str">
        <f>VLOOKUP($B1979,'Hospitalisation Details'!A1978:J4322,8,0)</f>
        <v>tier - 3</v>
      </c>
      <c r="P1979" t="str">
        <f>VLOOKUP($B1979,'Hospitalisation Details'!A1978:J4322,7,0)</f>
        <v>tier - 1</v>
      </c>
      <c r="Q1979" t="str">
        <f>VLOOKUP($B1979,'Hospitalisation Details'!A1978:J4322,9,0)</f>
        <v>R1011</v>
      </c>
      <c r="R1979">
        <f>VLOOKUP($B1979,'Hospitalisation Details'!A1978:K4322,11,0)</f>
        <v>32</v>
      </c>
    </row>
    <row r="1980" spans="1:18" x14ac:dyDescent="0.35">
      <c r="A1980" t="s">
        <v>389</v>
      </c>
      <c r="B1980" t="s">
        <v>2011</v>
      </c>
      <c r="C1980" t="str">
        <f>VLOOKUP($A1980,'Customer Names'!$A:$E,4,FALSE)</f>
        <v>Kathleen M.</v>
      </c>
      <c r="D1980" t="str">
        <f>VLOOKUP($A1980,'Medical Examinations'!$A:$J,2,FALSE)</f>
        <v>Overweight</v>
      </c>
      <c r="E1980">
        <f>VLOOKUP($A1980,'Medical Examinations'!$A:$J,4,FALSE)</f>
        <v>4.3099999999999996</v>
      </c>
      <c r="F1980" t="str">
        <f>VLOOKUP($A1980,'Medical Examinations'!$A:$J,6,FALSE)</f>
        <v>yes</v>
      </c>
      <c r="G1980" t="str">
        <f>VLOOKUP($A1980,'Medical Examinations'!$A:$J,7,FALSE)</f>
        <v>No</v>
      </c>
      <c r="H1980" t="str">
        <f>VLOOKUP($A1980,'Medical Examinations'!$A:$J,8,FALSE)</f>
        <v>No</v>
      </c>
      <c r="I1980">
        <f>VLOOKUP($A1980,'Medical Examinations'!$A:$J,9,FALSE)</f>
        <v>0</v>
      </c>
      <c r="J1980" t="str">
        <f>VLOOKUP($A1980,'Medical Examinations'!$A:$J,10,FALSE)</f>
        <v>No</v>
      </c>
      <c r="K1980" t="str">
        <f>VLOOKUP($A1980,'Medical Examinations'!$A:$J,5,FALSE)</f>
        <v>Normal</v>
      </c>
      <c r="L1980">
        <f>VLOOKUP($A1981,'Medical Examinations'!$A:$J,3,FALSE)</f>
        <v>19.8</v>
      </c>
      <c r="N1980" s="11">
        <f>VLOOKUP($B1980,'Hospitalisation Details'!A1979:J4323,10,0)</f>
        <v>22490</v>
      </c>
      <c r="O1980" t="str">
        <f>VLOOKUP($B1980,'Hospitalisation Details'!A1979:J4323,8,0)</f>
        <v>tier - 3</v>
      </c>
      <c r="P1980" t="str">
        <f>VLOOKUP($B1980,'Hospitalisation Details'!A1979:J4323,7,0)</f>
        <v>tier - 1</v>
      </c>
      <c r="Q1980" t="str">
        <f>VLOOKUP($B1980,'Hospitalisation Details'!A1979:J4323,9,0)</f>
        <v>R1011</v>
      </c>
      <c r="R1980">
        <f>VLOOKUP($B1980,'Hospitalisation Details'!A1979:K4323,11,0)</f>
        <v>61</v>
      </c>
    </row>
    <row r="1981" spans="1:18" x14ac:dyDescent="0.35">
      <c r="A1981" t="s">
        <v>388</v>
      </c>
      <c r="B1981" t="s">
        <v>2012</v>
      </c>
      <c r="C1981" t="str">
        <f>VLOOKUP($A1981,'Customer Names'!$A:$E,4,FALSE)</f>
        <v>Aya</v>
      </c>
      <c r="D1981" t="str">
        <f>VLOOKUP($A1981,'Medical Examinations'!$A:$J,2,FALSE)</f>
        <v>Normal Weight</v>
      </c>
      <c r="E1981">
        <f>VLOOKUP($A1981,'Medical Examinations'!$A:$J,4,FALSE)</f>
        <v>4</v>
      </c>
      <c r="F1981" t="str">
        <f>VLOOKUP($A1981,'Medical Examinations'!$A:$J,6,FALSE)</f>
        <v>yes</v>
      </c>
      <c r="G1981" t="str">
        <f>VLOOKUP($A1981,'Medical Examinations'!$A:$J,7,FALSE)</f>
        <v>No</v>
      </c>
      <c r="H1981" t="str">
        <f>VLOOKUP($A1981,'Medical Examinations'!$A:$J,8,FALSE)</f>
        <v>No</v>
      </c>
      <c r="I1981">
        <f>VLOOKUP($A1981,'Medical Examinations'!$A:$J,9,FALSE)</f>
        <v>0</v>
      </c>
      <c r="J1981" t="str">
        <f>VLOOKUP($A1981,'Medical Examinations'!$A:$J,10,FALSE)</f>
        <v>No</v>
      </c>
      <c r="K1981" t="str">
        <f>VLOOKUP($A1981,'Medical Examinations'!$A:$J,5,FALSE)</f>
        <v>Normal</v>
      </c>
      <c r="L1981">
        <f>VLOOKUP($A1982,'Medical Examinations'!$A:$J,3,FALSE)</f>
        <v>35.53</v>
      </c>
      <c r="N1981" s="11">
        <f>VLOOKUP($B1981,'Hospitalisation Details'!A1980:J4324,10,0)</f>
        <v>36515</v>
      </c>
      <c r="O1981" t="str">
        <f>VLOOKUP($B1981,'Hospitalisation Details'!A1980:J4324,8,0)</f>
        <v>tier - 1</v>
      </c>
      <c r="P1981" t="str">
        <f>VLOOKUP($B1981,'Hospitalisation Details'!A1980:J4324,7,0)</f>
        <v>tier - 1</v>
      </c>
      <c r="Q1981" t="str">
        <f>VLOOKUP($B1981,'Hospitalisation Details'!A1980:J4324,9,0)</f>
        <v>R1011</v>
      </c>
      <c r="R1981">
        <f>VLOOKUP($B1981,'Hospitalisation Details'!A1980:K4324,11,0)</f>
        <v>23</v>
      </c>
    </row>
    <row r="1982" spans="1:18" x14ac:dyDescent="0.35">
      <c r="A1982" t="s">
        <v>387</v>
      </c>
      <c r="B1982" t="s">
        <v>2013</v>
      </c>
      <c r="C1982" t="str">
        <f>VLOOKUP($A1982,'Customer Names'!$A:$E,4,FALSE)</f>
        <v>Carolyn R</v>
      </c>
      <c r="D1982" t="str">
        <f>VLOOKUP($A1982,'Medical Examinations'!$A:$J,2,FALSE)</f>
        <v>Obesity</v>
      </c>
      <c r="E1982">
        <f>VLOOKUP($A1982,'Medical Examinations'!$A:$J,4,FALSE)</f>
        <v>4.68</v>
      </c>
      <c r="F1982" t="str">
        <f>VLOOKUP($A1982,'Medical Examinations'!$A:$J,6,FALSE)</f>
        <v>No</v>
      </c>
      <c r="G1982" t="str">
        <f>VLOOKUP($A1982,'Medical Examinations'!$A:$J,7,FALSE)</f>
        <v>No</v>
      </c>
      <c r="H1982" t="str">
        <f>VLOOKUP($A1982,'Medical Examinations'!$A:$J,8,FALSE)</f>
        <v>Yes</v>
      </c>
      <c r="I1982">
        <f>VLOOKUP($A1982,'Medical Examinations'!$A:$J,9,FALSE)</f>
        <v>1</v>
      </c>
      <c r="J1982" t="str">
        <f>VLOOKUP($A1982,'Medical Examinations'!$A:$J,10,FALSE)</f>
        <v>No</v>
      </c>
      <c r="K1982" t="str">
        <f>VLOOKUP($A1982,'Medical Examinations'!$A:$J,5,FALSE)</f>
        <v>Normal</v>
      </c>
      <c r="L1982">
        <f>VLOOKUP($A1983,'Medical Examinations'!$A:$J,3,FALSE)</f>
        <v>21.47</v>
      </c>
      <c r="N1982" s="11">
        <f>VLOOKUP($B1982,'Hospitalisation Details'!A1981:J4325,10,0)</f>
        <v>31380</v>
      </c>
      <c r="O1982" t="str">
        <f>VLOOKUP($B1982,'Hospitalisation Details'!A1981:J4325,8,0)</f>
        <v>tier - 2</v>
      </c>
      <c r="P1982" t="str">
        <f>VLOOKUP($B1982,'Hospitalisation Details'!A1981:J4325,7,0)</f>
        <v>tier - 1</v>
      </c>
      <c r="Q1982" t="str">
        <f>VLOOKUP($B1982,'Hospitalisation Details'!A1981:J4325,9,0)</f>
        <v>R1011</v>
      </c>
      <c r="R1982">
        <f>VLOOKUP($B1982,'Hospitalisation Details'!A1981:K4325,11,0)</f>
        <v>37</v>
      </c>
    </row>
    <row r="1983" spans="1:18" x14ac:dyDescent="0.35">
      <c r="A1983" t="s">
        <v>386</v>
      </c>
      <c r="B1983" t="s">
        <v>2014</v>
      </c>
      <c r="C1983" t="str">
        <f>VLOOKUP($A1983,'Customer Names'!$A:$E,4,FALSE)</f>
        <v>Bethany</v>
      </c>
      <c r="D1983" t="str">
        <f>VLOOKUP($A1983,'Medical Examinations'!$A:$J,2,FALSE)</f>
        <v>Normal Weight</v>
      </c>
      <c r="E1983">
        <f>VLOOKUP($A1983,'Medical Examinations'!$A:$J,4,FALSE)</f>
        <v>4.0199999999999996</v>
      </c>
      <c r="F1983" t="str">
        <f>VLOOKUP($A1983,'Medical Examinations'!$A:$J,6,FALSE)</f>
        <v>yes</v>
      </c>
      <c r="G1983" t="str">
        <f>VLOOKUP($A1983,'Medical Examinations'!$A:$J,7,FALSE)</f>
        <v>No</v>
      </c>
      <c r="H1983" t="str">
        <f>VLOOKUP($A1983,'Medical Examinations'!$A:$J,8,FALSE)</f>
        <v>No</v>
      </c>
      <c r="I1983">
        <f>VLOOKUP($A1983,'Medical Examinations'!$A:$J,9,FALSE)</f>
        <v>1</v>
      </c>
      <c r="J1983" t="str">
        <f>VLOOKUP($A1983,'Medical Examinations'!$A:$J,10,FALSE)</f>
        <v>No</v>
      </c>
      <c r="K1983" t="str">
        <f>VLOOKUP($A1983,'Medical Examinations'!$A:$J,5,FALSE)</f>
        <v>Normal</v>
      </c>
      <c r="L1983">
        <f>VLOOKUP($A1984,'Medical Examinations'!$A:$J,3,FALSE)</f>
        <v>25.9</v>
      </c>
      <c r="N1983" s="11">
        <f>VLOOKUP($B1983,'Hospitalisation Details'!A1982:J4326,10,0)</f>
        <v>22242</v>
      </c>
      <c r="O1983" t="str">
        <f>VLOOKUP($B1983,'Hospitalisation Details'!A1982:J4326,8,0)</f>
        <v>tier - 2</v>
      </c>
      <c r="P1983" t="str">
        <f>VLOOKUP($B1983,'Hospitalisation Details'!A1982:J4326,7,0)</f>
        <v>tier - 1</v>
      </c>
      <c r="Q1983" t="str">
        <f>VLOOKUP($B1983,'Hospitalisation Details'!A1982:J4326,9,0)</f>
        <v>R1019</v>
      </c>
      <c r="R1983">
        <f>VLOOKUP($B1983,'Hospitalisation Details'!A1982:K4326,11,0)</f>
        <v>62</v>
      </c>
    </row>
    <row r="1984" spans="1:18" x14ac:dyDescent="0.35">
      <c r="A1984" t="s">
        <v>385</v>
      </c>
      <c r="B1984" t="s">
        <v>2015</v>
      </c>
      <c r="C1984" t="str">
        <f>VLOOKUP($A1984,'Customer Names'!$A:$E,4,FALSE)</f>
        <v>Holly A</v>
      </c>
      <c r="D1984" t="str">
        <f>VLOOKUP($A1984,'Medical Examinations'!$A:$J,2,FALSE)</f>
        <v>Overweight</v>
      </c>
      <c r="E1984">
        <f>VLOOKUP($A1984,'Medical Examinations'!$A:$J,4,FALSE)</f>
        <v>5.12</v>
      </c>
      <c r="F1984" t="str">
        <f>VLOOKUP($A1984,'Medical Examinations'!$A:$J,6,FALSE)</f>
        <v>No</v>
      </c>
      <c r="G1984" t="str">
        <f>VLOOKUP($A1984,'Medical Examinations'!$A:$J,7,FALSE)</f>
        <v>No</v>
      </c>
      <c r="H1984" t="str">
        <f>VLOOKUP($A1984,'Medical Examinations'!$A:$J,8,FALSE)</f>
        <v>Yes</v>
      </c>
      <c r="I1984">
        <f>VLOOKUP($A1984,'Medical Examinations'!$A:$J,9,FALSE)</f>
        <v>1</v>
      </c>
      <c r="J1984" t="str">
        <f>VLOOKUP($A1984,'Medical Examinations'!$A:$J,10,FALSE)</f>
        <v>No</v>
      </c>
      <c r="K1984" t="str">
        <f>VLOOKUP($A1984,'Medical Examinations'!$A:$J,5,FALSE)</f>
        <v>Normal</v>
      </c>
      <c r="L1984">
        <f>VLOOKUP($A1985,'Medical Examinations'!$A:$J,3,FALSE)</f>
        <v>20.81</v>
      </c>
      <c r="N1984" s="11">
        <f>VLOOKUP($B1984,'Hospitalisation Details'!A1983:J4327,10,0)</f>
        <v>36409</v>
      </c>
      <c r="O1984" t="str">
        <f>VLOOKUP($B1984,'Hospitalisation Details'!A1983:J4327,8,0)</f>
        <v>tier - 3</v>
      </c>
      <c r="P1984" t="str">
        <f>VLOOKUP($B1984,'Hospitalisation Details'!A1983:J4327,7,0)</f>
        <v>tier - 1</v>
      </c>
      <c r="Q1984" t="str">
        <f>VLOOKUP($B1984,'Hospitalisation Details'!A1983:J4327,9,0)</f>
        <v>R1011</v>
      </c>
      <c r="R1984">
        <f>VLOOKUP($B1984,'Hospitalisation Details'!A1983:K4327,11,0)</f>
        <v>23</v>
      </c>
    </row>
    <row r="1985" spans="1:18" x14ac:dyDescent="0.35">
      <c r="A1985" t="s">
        <v>384</v>
      </c>
      <c r="B1985" t="s">
        <v>2016</v>
      </c>
      <c r="C1985" t="str">
        <f>VLOOKUP($A1985,'Customer Names'!$A:$E,4,FALSE)</f>
        <v>Ping</v>
      </c>
      <c r="D1985" t="str">
        <f>VLOOKUP($A1985,'Medical Examinations'!$A:$J,2,FALSE)</f>
        <v>Normal Weight</v>
      </c>
      <c r="E1985">
        <f>VLOOKUP($A1985,'Medical Examinations'!$A:$J,4,FALSE)</f>
        <v>5.52</v>
      </c>
      <c r="F1985" t="str">
        <f>VLOOKUP($A1985,'Medical Examinations'!$A:$J,6,FALSE)</f>
        <v>No</v>
      </c>
      <c r="G1985" t="str">
        <f>VLOOKUP($A1985,'Medical Examinations'!$A:$J,7,FALSE)</f>
        <v>No</v>
      </c>
      <c r="H1985" t="str">
        <f>VLOOKUP($A1985,'Medical Examinations'!$A:$J,8,FALSE)</f>
        <v>No</v>
      </c>
      <c r="I1985">
        <f>VLOOKUP($A1985,'Medical Examinations'!$A:$J,9,FALSE)</f>
        <v>0</v>
      </c>
      <c r="J1985" t="str">
        <f>VLOOKUP($A1985,'Medical Examinations'!$A:$J,10,FALSE)</f>
        <v>No</v>
      </c>
      <c r="K1985" t="str">
        <f>VLOOKUP($A1985,'Medical Examinations'!$A:$J,5,FALSE)</f>
        <v>Normal</v>
      </c>
      <c r="L1985">
        <f>VLOOKUP($A1986,'Medical Examinations'!$A:$J,3,FALSE)</f>
        <v>25.84</v>
      </c>
      <c r="N1985" s="11">
        <f>VLOOKUP($B1985,'Hospitalisation Details'!A1984:J4328,10,0)</f>
        <v>23340</v>
      </c>
      <c r="O1985" t="str">
        <f>VLOOKUP($B1985,'Hospitalisation Details'!A1984:J4328,8,0)</f>
        <v>tier - 1</v>
      </c>
      <c r="P1985" t="str">
        <f>VLOOKUP($B1985,'Hospitalisation Details'!A1984:J4328,7,0)</f>
        <v>tier - 1</v>
      </c>
      <c r="Q1985" t="str">
        <f>VLOOKUP($B1985,'Hospitalisation Details'!A1984:J4328,9,0)</f>
        <v>R1013</v>
      </c>
      <c r="R1985">
        <f>VLOOKUP($B1985,'Hospitalisation Details'!A1984:K4328,11,0)</f>
        <v>59</v>
      </c>
    </row>
    <row r="1986" spans="1:18" x14ac:dyDescent="0.35">
      <c r="A1986" t="s">
        <v>383</v>
      </c>
      <c r="B1986" t="s">
        <v>2017</v>
      </c>
      <c r="C1986" t="str">
        <f>VLOOKUP($A1986,'Customer Names'!$A:$E,4,FALSE)</f>
        <v>Tim</v>
      </c>
      <c r="D1986" t="str">
        <f>VLOOKUP($A1986,'Medical Examinations'!$A:$J,2,FALSE)</f>
        <v>Overweight</v>
      </c>
      <c r="E1986">
        <f>VLOOKUP($A1986,'Medical Examinations'!$A:$J,4,FALSE)</f>
        <v>5.81</v>
      </c>
      <c r="F1986" t="str">
        <f>VLOOKUP($A1986,'Medical Examinations'!$A:$J,6,FALSE)</f>
        <v>yes</v>
      </c>
      <c r="G1986" t="str">
        <f>VLOOKUP($A1986,'Medical Examinations'!$A:$J,7,FALSE)</f>
        <v>No</v>
      </c>
      <c r="H1986" t="str">
        <f>VLOOKUP($A1986,'Medical Examinations'!$A:$J,8,FALSE)</f>
        <v>Yes</v>
      </c>
      <c r="I1986">
        <f>VLOOKUP($A1986,'Medical Examinations'!$A:$J,9,FALSE)</f>
        <v>1</v>
      </c>
      <c r="J1986" t="str">
        <f>VLOOKUP($A1986,'Medical Examinations'!$A:$J,10,FALSE)</f>
        <v>No</v>
      </c>
      <c r="K1986" t="str">
        <f>VLOOKUP($A1986,'Medical Examinations'!$A:$J,5,FALSE)</f>
        <v>Prediabetes</v>
      </c>
      <c r="L1986">
        <f>VLOOKUP($A1987,'Medical Examinations'!$A:$J,3,FALSE)</f>
        <v>30.95</v>
      </c>
      <c r="N1986" s="11">
        <f>VLOOKUP($B1986,'Hospitalisation Details'!A1985:J4329,10,0)</f>
        <v>33231</v>
      </c>
      <c r="O1986" t="str">
        <f>VLOOKUP($B1986,'Hospitalisation Details'!A1985:J4329,8,0)</f>
        <v>tier - 2</v>
      </c>
      <c r="P1986" t="str">
        <f>VLOOKUP($B1986,'Hospitalisation Details'!A1985:J4329,7,0)</f>
        <v>tier - 1</v>
      </c>
      <c r="Q1986" t="str">
        <f>VLOOKUP($B1986,'Hospitalisation Details'!A1985:J4329,9,0)</f>
        <v>R1011</v>
      </c>
      <c r="R1986">
        <f>VLOOKUP($B1986,'Hospitalisation Details'!A1985:K4329,11,0)</f>
        <v>32</v>
      </c>
    </row>
    <row r="1987" spans="1:18" x14ac:dyDescent="0.35">
      <c r="A1987" t="s">
        <v>382</v>
      </c>
      <c r="B1987" t="s">
        <v>2018</v>
      </c>
      <c r="C1987" t="str">
        <f>VLOOKUP($A1987,'Customer Names'!$A:$E,4,FALSE)</f>
        <v>John</v>
      </c>
      <c r="D1987" t="str">
        <f>VLOOKUP($A1987,'Medical Examinations'!$A:$J,2,FALSE)</f>
        <v>Obesity</v>
      </c>
      <c r="E1987">
        <f>VLOOKUP($A1987,'Medical Examinations'!$A:$J,4,FALSE)</f>
        <v>5.16</v>
      </c>
      <c r="F1987" t="str">
        <f>VLOOKUP($A1987,'Medical Examinations'!$A:$J,6,FALSE)</f>
        <v>No</v>
      </c>
      <c r="G1987" t="str">
        <f>VLOOKUP($A1987,'Medical Examinations'!$A:$J,7,FALSE)</f>
        <v>No</v>
      </c>
      <c r="H1987" t="str">
        <f>VLOOKUP($A1987,'Medical Examinations'!$A:$J,8,FALSE)</f>
        <v>Yes</v>
      </c>
      <c r="I1987">
        <f>VLOOKUP($A1987,'Medical Examinations'!$A:$J,9,FALSE)</f>
        <v>1</v>
      </c>
      <c r="J1987" t="str">
        <f>VLOOKUP($A1987,'Medical Examinations'!$A:$J,10,FALSE)</f>
        <v>No</v>
      </c>
      <c r="K1987" t="str">
        <f>VLOOKUP($A1987,'Medical Examinations'!$A:$J,5,FALSE)</f>
        <v>Normal</v>
      </c>
      <c r="L1987">
        <f>VLOOKUP($A1988,'Medical Examinations'!$A:$J,3,FALSE)</f>
        <v>30.54</v>
      </c>
      <c r="N1987" s="11">
        <f>VLOOKUP($B1987,'Hospitalisation Details'!A1986:J4330,10,0)</f>
        <v>28461</v>
      </c>
      <c r="O1987" t="str">
        <f>VLOOKUP($B1987,'Hospitalisation Details'!A1986:J4330,8,0)</f>
        <v>tier - 2</v>
      </c>
      <c r="P1987" t="str">
        <f>VLOOKUP($B1987,'Hospitalisation Details'!A1986:J4330,7,0)</f>
        <v>tier - 1</v>
      </c>
      <c r="Q1987" t="str">
        <f>VLOOKUP($B1987,'Hospitalisation Details'!A1986:J4330,9,0)</f>
        <v>R1012</v>
      </c>
      <c r="R1987">
        <f>VLOOKUP($B1987,'Hospitalisation Details'!A1986:K4330,11,0)</f>
        <v>45</v>
      </c>
    </row>
    <row r="1988" spans="1:18" x14ac:dyDescent="0.35">
      <c r="A1988" t="s">
        <v>381</v>
      </c>
      <c r="B1988" t="s">
        <v>2019</v>
      </c>
      <c r="C1988" t="str">
        <f>VLOOKUP($A1988,'Customer Names'!$A:$E,4,FALSE)</f>
        <v>Cynthia</v>
      </c>
      <c r="D1988" t="str">
        <f>VLOOKUP($A1988,'Medical Examinations'!$A:$J,2,FALSE)</f>
        <v>Obesity</v>
      </c>
      <c r="E1988">
        <f>VLOOKUP($A1988,'Medical Examinations'!$A:$J,4,FALSE)</f>
        <v>5</v>
      </c>
      <c r="F1988" t="str">
        <f>VLOOKUP($A1988,'Medical Examinations'!$A:$J,6,FALSE)</f>
        <v>No</v>
      </c>
      <c r="G1988" t="str">
        <f>VLOOKUP($A1988,'Medical Examinations'!$A:$J,7,FALSE)</f>
        <v>No</v>
      </c>
      <c r="H1988" t="str">
        <f>VLOOKUP($A1988,'Medical Examinations'!$A:$J,8,FALSE)</f>
        <v>Yes</v>
      </c>
      <c r="I1988">
        <f>VLOOKUP($A1988,'Medical Examinations'!$A:$J,9,FALSE)</f>
        <v>1</v>
      </c>
      <c r="J1988" t="str">
        <f>VLOOKUP($A1988,'Medical Examinations'!$A:$J,10,FALSE)</f>
        <v>No</v>
      </c>
      <c r="K1988" t="str">
        <f>VLOOKUP($A1988,'Medical Examinations'!$A:$J,5,FALSE)</f>
        <v>Normal</v>
      </c>
      <c r="L1988">
        <f>VLOOKUP($A1989,'Medical Examinations'!$A:$J,3,FALSE)</f>
        <v>33.914999999999999</v>
      </c>
      <c r="N1988" s="11">
        <f>VLOOKUP($B1988,'Hospitalisation Details'!A1987:J4331,10,0)</f>
        <v>27288</v>
      </c>
      <c r="O1988" t="str">
        <f>VLOOKUP($B1988,'Hospitalisation Details'!A1987:J4331,8,0)</f>
        <v>tier - 1</v>
      </c>
      <c r="P1988" t="str">
        <f>VLOOKUP($B1988,'Hospitalisation Details'!A1987:J4331,7,0)</f>
        <v>tier - 1</v>
      </c>
      <c r="Q1988" t="str">
        <f>VLOOKUP($B1988,'Hospitalisation Details'!A1987:J4331,9,0)</f>
        <v>R1012</v>
      </c>
      <c r="R1988">
        <f>VLOOKUP($B1988,'Hospitalisation Details'!A1987:K4331,11,0)</f>
        <v>48</v>
      </c>
    </row>
    <row r="1989" spans="1:18" x14ac:dyDescent="0.35">
      <c r="A1989" t="s">
        <v>380</v>
      </c>
      <c r="B1989" t="s">
        <v>2020</v>
      </c>
      <c r="C1989" t="str">
        <f>VLOOKUP($A1989,'Customer Names'!$A:$E,4,FALSE)</f>
        <v>Emmett</v>
      </c>
      <c r="D1989" t="str">
        <f>VLOOKUP($A1989,'Medical Examinations'!$A:$J,2,FALSE)</f>
        <v>Obesity</v>
      </c>
      <c r="E1989">
        <f>VLOOKUP($A1989,'Medical Examinations'!$A:$J,4,FALSE)</f>
        <v>5.84</v>
      </c>
      <c r="F1989" t="str">
        <f>VLOOKUP($A1989,'Medical Examinations'!$A:$J,6,FALSE)</f>
        <v>yes</v>
      </c>
      <c r="G1989" t="str">
        <f>VLOOKUP($A1989,'Medical Examinations'!$A:$J,7,FALSE)</f>
        <v>No</v>
      </c>
      <c r="H1989" t="str">
        <f>VLOOKUP($A1989,'Medical Examinations'!$A:$J,8,FALSE)</f>
        <v>No</v>
      </c>
      <c r="I1989">
        <f>VLOOKUP($A1989,'Medical Examinations'!$A:$J,9,FALSE)</f>
        <v>0</v>
      </c>
      <c r="J1989" t="str">
        <f>VLOOKUP($A1989,'Medical Examinations'!$A:$J,10,FALSE)</f>
        <v>No</v>
      </c>
      <c r="K1989" t="str">
        <f>VLOOKUP($A1989,'Medical Examinations'!$A:$J,5,FALSE)</f>
        <v>Prediabetes</v>
      </c>
      <c r="L1989">
        <f>VLOOKUP($A1990,'Medical Examinations'!$A:$J,3,FALSE)</f>
        <v>33.31</v>
      </c>
      <c r="N1989" s="11">
        <f>VLOOKUP($B1989,'Hospitalisation Details'!A1988:J4332,10,0)</f>
        <v>30296</v>
      </c>
      <c r="O1989" t="str">
        <f>VLOOKUP($B1989,'Hospitalisation Details'!A1988:J4332,8,0)</f>
        <v>tier - 2</v>
      </c>
      <c r="P1989" t="str">
        <f>VLOOKUP($B1989,'Hospitalisation Details'!A1988:J4332,7,0)</f>
        <v>tier - 1</v>
      </c>
      <c r="Q1989" t="str">
        <f>VLOOKUP($B1989,'Hospitalisation Details'!A1988:J4332,9,0)</f>
        <v>R1012</v>
      </c>
      <c r="R1989">
        <f>VLOOKUP($B1989,'Hospitalisation Details'!A1988:K4332,11,0)</f>
        <v>40</v>
      </c>
    </row>
    <row r="1990" spans="1:18" x14ac:dyDescent="0.35">
      <c r="A1990" t="s">
        <v>379</v>
      </c>
      <c r="B1990" t="s">
        <v>2021</v>
      </c>
      <c r="C1990" t="str">
        <f>VLOOKUP($A1990,'Customer Names'!$A:$E,4,FALSE)</f>
        <v>Kate</v>
      </c>
      <c r="D1990" t="str">
        <f>VLOOKUP($A1990,'Medical Examinations'!$A:$J,2,FALSE)</f>
        <v>Obesity</v>
      </c>
      <c r="E1990">
        <f>VLOOKUP($A1990,'Medical Examinations'!$A:$J,4,FALSE)</f>
        <v>4.1900000000000004</v>
      </c>
      <c r="F1990" t="str">
        <f>VLOOKUP($A1990,'Medical Examinations'!$A:$J,6,FALSE)</f>
        <v>No</v>
      </c>
      <c r="G1990" t="str">
        <f>VLOOKUP($A1990,'Medical Examinations'!$A:$J,7,FALSE)</f>
        <v>No</v>
      </c>
      <c r="H1990" t="str">
        <f>VLOOKUP($A1990,'Medical Examinations'!$A:$J,8,FALSE)</f>
        <v>Yes</v>
      </c>
      <c r="I1990">
        <f>VLOOKUP($A1990,'Medical Examinations'!$A:$J,9,FALSE)</f>
        <v>1</v>
      </c>
      <c r="J1990" t="str">
        <f>VLOOKUP($A1990,'Medical Examinations'!$A:$J,10,FALSE)</f>
        <v>No</v>
      </c>
      <c r="K1990" t="str">
        <f>VLOOKUP($A1990,'Medical Examinations'!$A:$J,5,FALSE)</f>
        <v>Normal</v>
      </c>
      <c r="L1990">
        <f>VLOOKUP($A1991,'Medical Examinations'!$A:$J,3,FALSE)</f>
        <v>25.745000000000001</v>
      </c>
      <c r="N1990" s="11">
        <f>VLOOKUP($B1990,'Hospitalisation Details'!A1989:J4333,10,0)</f>
        <v>31317</v>
      </c>
      <c r="O1990" t="str">
        <f>VLOOKUP($B1990,'Hospitalisation Details'!A1989:J4333,8,0)</f>
        <v>tier - 3</v>
      </c>
      <c r="P1990" t="str">
        <f>VLOOKUP($B1990,'Hospitalisation Details'!A1989:J4333,7,0)</f>
        <v>tier - 1</v>
      </c>
      <c r="Q1990" t="str">
        <f>VLOOKUP($B1990,'Hospitalisation Details'!A1989:J4333,9,0)</f>
        <v>R1011</v>
      </c>
      <c r="R1990">
        <f>VLOOKUP($B1990,'Hospitalisation Details'!A1989:K4333,11,0)</f>
        <v>37</v>
      </c>
    </row>
    <row r="1991" spans="1:18" x14ac:dyDescent="0.35">
      <c r="A1991" t="s">
        <v>378</v>
      </c>
      <c r="B1991" t="s">
        <v>2022</v>
      </c>
      <c r="C1991" t="str">
        <f>VLOOKUP($A1991,'Customer Names'!$A:$E,4,FALSE)</f>
        <v>Christopher L.</v>
      </c>
      <c r="D1991" t="str">
        <f>VLOOKUP($A1991,'Medical Examinations'!$A:$J,2,FALSE)</f>
        <v>Overweight</v>
      </c>
      <c r="E1991">
        <f>VLOOKUP($A1991,'Medical Examinations'!$A:$J,4,FALSE)</f>
        <v>4.62</v>
      </c>
      <c r="F1991" t="str">
        <f>VLOOKUP($A1991,'Medical Examinations'!$A:$J,6,FALSE)</f>
        <v>yes</v>
      </c>
      <c r="G1991" t="str">
        <f>VLOOKUP($A1991,'Medical Examinations'!$A:$J,7,FALSE)</f>
        <v>No</v>
      </c>
      <c r="H1991" t="str">
        <f>VLOOKUP($A1991,'Medical Examinations'!$A:$J,8,FALSE)</f>
        <v>No</v>
      </c>
      <c r="I1991">
        <f>VLOOKUP($A1991,'Medical Examinations'!$A:$J,9,FALSE)</f>
        <v>0</v>
      </c>
      <c r="J1991" t="str">
        <f>VLOOKUP($A1991,'Medical Examinations'!$A:$J,10,FALSE)</f>
        <v>No</v>
      </c>
      <c r="K1991" t="str">
        <f>VLOOKUP($A1991,'Medical Examinations'!$A:$J,5,FALSE)</f>
        <v>Normal</v>
      </c>
      <c r="L1991">
        <f>VLOOKUP($A1992,'Medical Examinations'!$A:$J,3,FALSE)</f>
        <v>37.1</v>
      </c>
      <c r="N1991" s="11">
        <f>VLOOKUP($B1991,'Hospitalisation Details'!A1990:J4334,10,0)</f>
        <v>33212</v>
      </c>
      <c r="O1991" t="str">
        <f>VLOOKUP($B1991,'Hospitalisation Details'!A1990:J4334,8,0)</f>
        <v>tier - 3</v>
      </c>
      <c r="P1991" t="str">
        <f>VLOOKUP($B1991,'Hospitalisation Details'!A1990:J4334,7,0)</f>
        <v>tier - 1</v>
      </c>
      <c r="Q1991" t="str">
        <f>VLOOKUP($B1991,'Hospitalisation Details'!A1990:J4334,9,0)</f>
        <v>R1011</v>
      </c>
      <c r="R1991">
        <f>VLOOKUP($B1991,'Hospitalisation Details'!A1990:K4334,11,0)</f>
        <v>32</v>
      </c>
    </row>
    <row r="1992" spans="1:18" x14ac:dyDescent="0.35">
      <c r="A1992" t="s">
        <v>377</v>
      </c>
      <c r="B1992" t="s">
        <v>2023</v>
      </c>
      <c r="C1992" t="str">
        <f>VLOOKUP($A1992,'Customer Names'!$A:$E,4,FALSE)</f>
        <v>Christopher P.</v>
      </c>
      <c r="D1992" t="str">
        <f>VLOOKUP($A1992,'Medical Examinations'!$A:$J,2,FALSE)</f>
        <v>Obesity</v>
      </c>
      <c r="E1992">
        <f>VLOOKUP($A1992,'Medical Examinations'!$A:$J,4,FALSE)</f>
        <v>6.24</v>
      </c>
      <c r="F1992" t="str">
        <f>VLOOKUP($A1992,'Medical Examinations'!$A:$J,6,FALSE)</f>
        <v>No</v>
      </c>
      <c r="G1992" t="str">
        <f>VLOOKUP($A1992,'Medical Examinations'!$A:$J,7,FALSE)</f>
        <v>No</v>
      </c>
      <c r="H1992" t="str">
        <f>VLOOKUP($A1992,'Medical Examinations'!$A:$J,8,FALSE)</f>
        <v>No</v>
      </c>
      <c r="I1992">
        <f>VLOOKUP($A1992,'Medical Examinations'!$A:$J,9,FALSE)</f>
        <v>0</v>
      </c>
      <c r="J1992" t="str">
        <f>VLOOKUP($A1992,'Medical Examinations'!$A:$J,10,FALSE)</f>
        <v>No</v>
      </c>
      <c r="K1992" t="str">
        <f>VLOOKUP($A1992,'Medical Examinations'!$A:$J,5,FALSE)</f>
        <v>Prediabetes</v>
      </c>
      <c r="L1992">
        <f>VLOOKUP($A1993,'Medical Examinations'!$A:$J,3,FALSE)</f>
        <v>35.435000000000002</v>
      </c>
      <c r="N1992" s="11">
        <f>VLOOKUP($B1992,'Hospitalisation Details'!A1991:J4335,10,0)</f>
        <v>22496</v>
      </c>
      <c r="O1992" t="str">
        <f>VLOOKUP($B1992,'Hospitalisation Details'!A1991:J4335,8,0)</f>
        <v>tier - 2</v>
      </c>
      <c r="P1992" t="str">
        <f>VLOOKUP($B1992,'Hospitalisation Details'!A1991:J4335,7,0)</f>
        <v>tier - 1</v>
      </c>
      <c r="Q1992" t="str">
        <f>VLOOKUP($B1992,'Hospitalisation Details'!A1991:J4335,9,0)</f>
        <v>R1012</v>
      </c>
      <c r="R1992">
        <f>VLOOKUP($B1992,'Hospitalisation Details'!A1991:K4335,11,0)</f>
        <v>61</v>
      </c>
    </row>
    <row r="1993" spans="1:18" x14ac:dyDescent="0.35">
      <c r="A1993" t="s">
        <v>376</v>
      </c>
      <c r="B1993" t="s">
        <v>2024</v>
      </c>
      <c r="C1993" t="str">
        <f>VLOOKUP($A1993,'Customer Names'!$A:$E,4,FALSE)</f>
        <v>Christopher W</v>
      </c>
      <c r="D1993" t="str">
        <f>VLOOKUP($A1993,'Medical Examinations'!$A:$J,2,FALSE)</f>
        <v>Obesity</v>
      </c>
      <c r="E1993">
        <f>VLOOKUP($A1993,'Medical Examinations'!$A:$J,4,FALSE)</f>
        <v>5.81</v>
      </c>
      <c r="F1993" t="str">
        <f>VLOOKUP($A1993,'Medical Examinations'!$A:$J,6,FALSE)</f>
        <v>No</v>
      </c>
      <c r="G1993" t="str">
        <f>VLOOKUP($A1993,'Medical Examinations'!$A:$J,7,FALSE)</f>
        <v>No</v>
      </c>
      <c r="H1993" t="str">
        <f>VLOOKUP($A1993,'Medical Examinations'!$A:$J,8,FALSE)</f>
        <v>No</v>
      </c>
      <c r="I1993">
        <f>VLOOKUP($A1993,'Medical Examinations'!$A:$J,9,FALSE)</f>
        <v>0</v>
      </c>
      <c r="J1993" t="str">
        <f>VLOOKUP($A1993,'Medical Examinations'!$A:$J,10,FALSE)</f>
        <v>No</v>
      </c>
      <c r="K1993" t="str">
        <f>VLOOKUP($A1993,'Medical Examinations'!$A:$J,5,FALSE)</f>
        <v>Prediabetes</v>
      </c>
      <c r="L1993">
        <f>VLOOKUP($A1994,'Medical Examinations'!$A:$J,3,FALSE)</f>
        <v>20.399999999999999</v>
      </c>
      <c r="N1993" s="11">
        <f>VLOOKUP($B1993,'Hospitalisation Details'!A1992:J4336,10,0)</f>
        <v>22852</v>
      </c>
      <c r="O1993" t="str">
        <f>VLOOKUP($B1993,'Hospitalisation Details'!A1992:J4336,8,0)</f>
        <v>tier - 1</v>
      </c>
      <c r="P1993" t="str">
        <f>VLOOKUP($B1993,'Hospitalisation Details'!A1992:J4336,7,0)</f>
        <v>tier - 1</v>
      </c>
      <c r="Q1993" t="str">
        <f>VLOOKUP($B1993,'Hospitalisation Details'!A1992:J4336,9,0)</f>
        <v>R1012</v>
      </c>
      <c r="R1993">
        <f>VLOOKUP($B1993,'Hospitalisation Details'!A1992:K4336,11,0)</f>
        <v>60</v>
      </c>
    </row>
    <row r="1994" spans="1:18" x14ac:dyDescent="0.35">
      <c r="A1994" t="s">
        <v>375</v>
      </c>
      <c r="B1994" t="s">
        <v>2025</v>
      </c>
      <c r="C1994" t="str">
        <f>VLOOKUP($A1994,'Customer Names'!$A:$E,4,FALSE)</f>
        <v>Norman H.</v>
      </c>
      <c r="D1994" t="str">
        <f>VLOOKUP($A1994,'Medical Examinations'!$A:$J,2,FALSE)</f>
        <v>Normal Weight</v>
      </c>
      <c r="E1994">
        <f>VLOOKUP($A1994,'Medical Examinations'!$A:$J,4,FALSE)</f>
        <v>4.83</v>
      </c>
      <c r="F1994" t="str">
        <f>VLOOKUP($A1994,'Medical Examinations'!$A:$J,6,FALSE)</f>
        <v>No</v>
      </c>
      <c r="G1994" t="str">
        <f>VLOOKUP($A1994,'Medical Examinations'!$A:$J,7,FALSE)</f>
        <v>No</v>
      </c>
      <c r="H1994" t="str">
        <f>VLOOKUP($A1994,'Medical Examinations'!$A:$J,8,FALSE)</f>
        <v>No</v>
      </c>
      <c r="I1994">
        <f>VLOOKUP($A1994,'Medical Examinations'!$A:$J,9,FALSE)</f>
        <v>0</v>
      </c>
      <c r="J1994" t="str">
        <f>VLOOKUP($A1994,'Medical Examinations'!$A:$J,10,FALSE)</f>
        <v>No</v>
      </c>
      <c r="K1994" t="str">
        <f>VLOOKUP($A1994,'Medical Examinations'!$A:$J,5,FALSE)</f>
        <v>Normal</v>
      </c>
      <c r="L1994">
        <f>VLOOKUP($A1995,'Medical Examinations'!$A:$J,3,FALSE)</f>
        <v>42.13</v>
      </c>
      <c r="N1994" s="11">
        <f>VLOOKUP($B1994,'Hospitalisation Details'!A1993:J4337,10,0)</f>
        <v>21889</v>
      </c>
      <c r="O1994" t="str">
        <f>VLOOKUP($B1994,'Hospitalisation Details'!A1993:J4337,8,0)</f>
        <v>tier - 1</v>
      </c>
      <c r="P1994" t="str">
        <f>VLOOKUP($B1994,'Hospitalisation Details'!A1993:J4337,7,0)</f>
        <v>tier - 1</v>
      </c>
      <c r="Q1994" t="str">
        <f>VLOOKUP($B1994,'Hospitalisation Details'!A1993:J4337,9,0)</f>
        <v>R1012</v>
      </c>
      <c r="R1994">
        <f>VLOOKUP($B1994,'Hospitalisation Details'!A1993:K4337,11,0)</f>
        <v>63</v>
      </c>
    </row>
    <row r="1995" spans="1:18" x14ac:dyDescent="0.35">
      <c r="A1995" t="s">
        <v>374</v>
      </c>
      <c r="B1995" t="s">
        <v>2026</v>
      </c>
      <c r="C1995" t="str">
        <f>VLOOKUP($A1995,'Customer Names'!$A:$E,4,FALSE)</f>
        <v>Susan</v>
      </c>
      <c r="D1995" t="str">
        <f>VLOOKUP($A1995,'Medical Examinations'!$A:$J,2,FALSE)</f>
        <v>Obesity</v>
      </c>
      <c r="E1995">
        <f>VLOOKUP($A1995,'Medical Examinations'!$A:$J,4,FALSE)</f>
        <v>5.72</v>
      </c>
      <c r="F1995" t="str">
        <f>VLOOKUP($A1995,'Medical Examinations'!$A:$J,6,FALSE)</f>
        <v>yes</v>
      </c>
      <c r="G1995" t="str">
        <f>VLOOKUP($A1995,'Medical Examinations'!$A:$J,7,FALSE)</f>
        <v>No</v>
      </c>
      <c r="H1995" t="str">
        <f>VLOOKUP($A1995,'Medical Examinations'!$A:$J,8,FALSE)</f>
        <v>Yes</v>
      </c>
      <c r="I1995">
        <f>VLOOKUP($A1995,'Medical Examinations'!$A:$J,9,FALSE)</f>
        <v>1</v>
      </c>
      <c r="J1995" t="str">
        <f>VLOOKUP($A1995,'Medical Examinations'!$A:$J,10,FALSE)</f>
        <v>No</v>
      </c>
      <c r="K1995" t="str">
        <f>VLOOKUP($A1995,'Medical Examinations'!$A:$J,5,FALSE)</f>
        <v>Prediabetes</v>
      </c>
      <c r="L1995">
        <f>VLOOKUP($A1996,'Medical Examinations'!$A:$J,3,FALSE)</f>
        <v>33.99</v>
      </c>
      <c r="N1995" s="11">
        <f>VLOOKUP($B1995,'Hospitalisation Details'!A1994:J4338,10,0)</f>
        <v>37865</v>
      </c>
      <c r="O1995" t="str">
        <f>VLOOKUP($B1995,'Hospitalisation Details'!A1994:J4338,8,0)</f>
        <v>tier - 3</v>
      </c>
      <c r="P1995" t="str">
        <f>VLOOKUP($B1995,'Hospitalisation Details'!A1994:J4338,7,0)</f>
        <v>tier - 1</v>
      </c>
      <c r="Q1995" t="str">
        <f>VLOOKUP($B1995,'Hospitalisation Details'!A1994:J4338,9,0)</f>
        <v>R1011</v>
      </c>
      <c r="R1995">
        <f>VLOOKUP($B1995,'Hospitalisation Details'!A1994:K4338,11,0)</f>
        <v>19</v>
      </c>
    </row>
    <row r="1996" spans="1:18" x14ac:dyDescent="0.35">
      <c r="A1996" t="s">
        <v>373</v>
      </c>
      <c r="B1996" t="s">
        <v>2027</v>
      </c>
      <c r="C1996" t="str">
        <f>VLOOKUP($A1996,'Customer Names'!$A:$E,4,FALSE)</f>
        <v>Tatyana K</v>
      </c>
      <c r="D1996" t="str">
        <f>VLOOKUP($A1996,'Medical Examinations'!$A:$J,2,FALSE)</f>
        <v>Obesity</v>
      </c>
      <c r="E1996">
        <f>VLOOKUP($A1996,'Medical Examinations'!$A:$J,4,FALSE)</f>
        <v>4.83</v>
      </c>
      <c r="F1996" t="str">
        <f>VLOOKUP($A1996,'Medical Examinations'!$A:$J,6,FALSE)</f>
        <v>yes</v>
      </c>
      <c r="G1996" t="str">
        <f>VLOOKUP($A1996,'Medical Examinations'!$A:$J,7,FALSE)</f>
        <v>No</v>
      </c>
      <c r="H1996" t="str">
        <f>VLOOKUP($A1996,'Medical Examinations'!$A:$J,8,FALSE)</f>
        <v>Yes</v>
      </c>
      <c r="I1996">
        <f>VLOOKUP($A1996,'Medical Examinations'!$A:$J,9,FALSE)</f>
        <v>1</v>
      </c>
      <c r="J1996" t="str">
        <f>VLOOKUP($A1996,'Medical Examinations'!$A:$J,10,FALSE)</f>
        <v>No</v>
      </c>
      <c r="K1996" t="str">
        <f>VLOOKUP($A1996,'Medical Examinations'!$A:$J,5,FALSE)</f>
        <v>Normal</v>
      </c>
      <c r="L1996">
        <f>VLOOKUP($A1997,'Medical Examinations'!$A:$J,3,FALSE)</f>
        <v>28.594999999999999</v>
      </c>
      <c r="N1996" s="11">
        <f>VLOOKUP($B1996,'Hospitalisation Details'!A1995:J4339,10,0)</f>
        <v>33792</v>
      </c>
      <c r="O1996" t="str">
        <f>VLOOKUP($B1996,'Hospitalisation Details'!A1995:J4339,8,0)</f>
        <v>tier - 3</v>
      </c>
      <c r="P1996" t="str">
        <f>VLOOKUP($B1996,'Hospitalisation Details'!A1995:J4339,7,0)</f>
        <v>tier - 1</v>
      </c>
      <c r="Q1996" t="str">
        <f>VLOOKUP($B1996,'Hospitalisation Details'!A1995:J4339,9,0)</f>
        <v>R1011</v>
      </c>
      <c r="R1996">
        <f>VLOOKUP($B1996,'Hospitalisation Details'!A1995:K4339,11,0)</f>
        <v>30</v>
      </c>
    </row>
    <row r="1997" spans="1:18" x14ac:dyDescent="0.35">
      <c r="A1997" t="s">
        <v>372</v>
      </c>
      <c r="B1997" t="s">
        <v>2028</v>
      </c>
      <c r="C1997" t="str">
        <f>VLOOKUP($A1997,'Customer Names'!$A:$E,4,FALSE)</f>
        <v>Chrissy</v>
      </c>
      <c r="D1997" t="str">
        <f>VLOOKUP($A1997,'Medical Examinations'!$A:$J,2,FALSE)</f>
        <v>Overweight</v>
      </c>
      <c r="E1997">
        <f>VLOOKUP($A1997,'Medical Examinations'!$A:$J,4,FALSE)</f>
        <v>4.1399999999999997</v>
      </c>
      <c r="F1997" t="str">
        <f>VLOOKUP($A1997,'Medical Examinations'!$A:$J,6,FALSE)</f>
        <v>yes</v>
      </c>
      <c r="G1997" t="str">
        <f>VLOOKUP($A1997,'Medical Examinations'!$A:$J,7,FALSE)</f>
        <v>No</v>
      </c>
      <c r="H1997" t="str">
        <f>VLOOKUP($A1997,'Medical Examinations'!$A:$J,8,FALSE)</f>
        <v>Yes</v>
      </c>
      <c r="I1997">
        <f>VLOOKUP($A1997,'Medical Examinations'!$A:$J,9,FALSE)</f>
        <v>1</v>
      </c>
      <c r="J1997" t="str">
        <f>VLOOKUP($A1997,'Medical Examinations'!$A:$J,10,FALSE)</f>
        <v>No</v>
      </c>
      <c r="K1997" t="str">
        <f>VLOOKUP($A1997,'Medical Examinations'!$A:$J,5,FALSE)</f>
        <v>Normal</v>
      </c>
      <c r="L1997">
        <f>VLOOKUP($A1998,'Medical Examinations'!$A:$J,3,FALSE)</f>
        <v>20.8</v>
      </c>
      <c r="N1997" s="11">
        <f>VLOOKUP($B1997,'Hospitalisation Details'!A1996:J4340,10,0)</f>
        <v>29416</v>
      </c>
      <c r="O1997" t="str">
        <f>VLOOKUP($B1997,'Hospitalisation Details'!A1996:J4340,8,0)</f>
        <v>tier - 3</v>
      </c>
      <c r="P1997" t="str">
        <f>VLOOKUP($B1997,'Hospitalisation Details'!A1996:J4340,7,0)</f>
        <v>tier - 1</v>
      </c>
      <c r="Q1997" t="str">
        <f>VLOOKUP($B1997,'Hospitalisation Details'!A1996:J4340,9,0)</f>
        <v>R1011</v>
      </c>
      <c r="R1997">
        <f>VLOOKUP($B1997,'Hospitalisation Details'!A1996:K4340,11,0)</f>
        <v>42</v>
      </c>
    </row>
    <row r="1998" spans="1:18" x14ac:dyDescent="0.35">
      <c r="A1998" t="s">
        <v>371</v>
      </c>
      <c r="B1998" t="s">
        <v>2029</v>
      </c>
      <c r="C1998" t="str">
        <f>VLOOKUP($A1998,'Customer Names'!$A:$E,4,FALSE)</f>
        <v>Carrie</v>
      </c>
      <c r="D1998" t="str">
        <f>VLOOKUP($A1998,'Medical Examinations'!$A:$J,2,FALSE)</f>
        <v>Normal Weight</v>
      </c>
      <c r="E1998">
        <f>VLOOKUP($A1998,'Medical Examinations'!$A:$J,4,FALSE)</f>
        <v>4.07</v>
      </c>
      <c r="F1998" t="str">
        <f>VLOOKUP($A1998,'Medical Examinations'!$A:$J,6,FALSE)</f>
        <v>yes</v>
      </c>
      <c r="G1998" t="str">
        <f>VLOOKUP($A1998,'Medical Examinations'!$A:$J,7,FALSE)</f>
        <v>No</v>
      </c>
      <c r="H1998" t="str">
        <f>VLOOKUP($A1998,'Medical Examinations'!$A:$J,8,FALSE)</f>
        <v>Yes</v>
      </c>
      <c r="I1998">
        <f>VLOOKUP($A1998,'Medical Examinations'!$A:$J,9,FALSE)</f>
        <v>1</v>
      </c>
      <c r="J1998" t="str">
        <f>VLOOKUP($A1998,'Medical Examinations'!$A:$J,10,FALSE)</f>
        <v>No</v>
      </c>
      <c r="K1998" t="str">
        <f>VLOOKUP($A1998,'Medical Examinations'!$A:$J,5,FALSE)</f>
        <v>Normal</v>
      </c>
      <c r="L1998">
        <f>VLOOKUP($A1999,'Medical Examinations'!$A:$J,3,FALSE)</f>
        <v>23.465</v>
      </c>
      <c r="N1998" s="11">
        <f>VLOOKUP($B1998,'Hospitalisation Details'!A1997:J4341,10,0)</f>
        <v>28823</v>
      </c>
      <c r="O1998" t="str">
        <f>VLOOKUP($B1998,'Hospitalisation Details'!A1997:J4341,8,0)</f>
        <v>tier - 1</v>
      </c>
      <c r="P1998" t="str">
        <f>VLOOKUP($B1998,'Hospitalisation Details'!A1997:J4341,7,0)</f>
        <v>tier - 1</v>
      </c>
      <c r="Q1998" t="str">
        <f>VLOOKUP($B1998,'Hospitalisation Details'!A1997:J4341,9,0)</f>
        <v>R1011</v>
      </c>
      <c r="R1998">
        <f>VLOOKUP($B1998,'Hospitalisation Details'!A1997:K4341,11,0)</f>
        <v>44</v>
      </c>
    </row>
    <row r="1999" spans="1:18" x14ac:dyDescent="0.35">
      <c r="A1999" t="s">
        <v>370</v>
      </c>
      <c r="B1999" t="s">
        <v>2030</v>
      </c>
      <c r="C1999" t="str">
        <f>VLOOKUP($A1999,'Customer Names'!$A:$E,4,FALSE)</f>
        <v>Halle</v>
      </c>
      <c r="D1999" t="str">
        <f>VLOOKUP($A1999,'Medical Examinations'!$A:$J,2,FALSE)</f>
        <v>Normal Weight</v>
      </c>
      <c r="E1999">
        <f>VLOOKUP($A1999,'Medical Examinations'!$A:$J,4,FALSE)</f>
        <v>6.26</v>
      </c>
      <c r="F1999" t="str">
        <f>VLOOKUP($A1999,'Medical Examinations'!$A:$J,6,FALSE)</f>
        <v>yes</v>
      </c>
      <c r="G1999" t="str">
        <f>VLOOKUP($A1999,'Medical Examinations'!$A:$J,7,FALSE)</f>
        <v>No</v>
      </c>
      <c r="H1999" t="str">
        <f>VLOOKUP($A1999,'Medical Examinations'!$A:$J,8,FALSE)</f>
        <v>Yes</v>
      </c>
      <c r="I1999">
        <f>VLOOKUP($A1999,'Medical Examinations'!$A:$J,9,FALSE)</f>
        <v>1</v>
      </c>
      <c r="J1999" t="str">
        <f>VLOOKUP($A1999,'Medical Examinations'!$A:$J,10,FALSE)</f>
        <v>No</v>
      </c>
      <c r="K1999" t="str">
        <f>VLOOKUP($A1999,'Medical Examinations'!$A:$J,5,FALSE)</f>
        <v>Prediabetes</v>
      </c>
      <c r="L1999">
        <f>VLOOKUP($A2000,'Medical Examinations'!$A:$J,3,FALSE)</f>
        <v>40.185000000000002</v>
      </c>
      <c r="N1999" s="11">
        <f>VLOOKUP($B1999,'Hospitalisation Details'!A1998:J4342,10,0)</f>
        <v>22639</v>
      </c>
      <c r="O1999" t="str">
        <f>VLOOKUP($B1999,'Hospitalisation Details'!A1998:J4342,8,0)</f>
        <v>tier - 3</v>
      </c>
      <c r="P1999" t="str">
        <f>VLOOKUP($B1999,'Hospitalisation Details'!A1998:J4342,7,0)</f>
        <v>tier - 1</v>
      </c>
      <c r="Q1999" t="str">
        <f>VLOOKUP($B1999,'Hospitalisation Details'!A1998:J4342,9,0)</f>
        <v>R1012</v>
      </c>
      <c r="R1999">
        <f>VLOOKUP($B1999,'Hospitalisation Details'!A1998:K4342,11,0)</f>
        <v>61</v>
      </c>
    </row>
    <row r="2000" spans="1:18" x14ac:dyDescent="0.35">
      <c r="A2000" t="s">
        <v>369</v>
      </c>
      <c r="B2000" t="s">
        <v>2031</v>
      </c>
      <c r="C2000" t="str">
        <f>VLOOKUP($A2000,'Customer Names'!$A:$E,4,FALSE)</f>
        <v>Carolyn</v>
      </c>
      <c r="D2000" t="str">
        <f>VLOOKUP($A2000,'Medical Examinations'!$A:$J,2,FALSE)</f>
        <v>Obesity</v>
      </c>
      <c r="E2000">
        <f>VLOOKUP($A2000,'Medical Examinations'!$A:$J,4,FALSE)</f>
        <v>5.88</v>
      </c>
      <c r="F2000" t="str">
        <f>VLOOKUP($A2000,'Medical Examinations'!$A:$J,6,FALSE)</f>
        <v>yes</v>
      </c>
      <c r="G2000" t="str">
        <f>VLOOKUP($A2000,'Medical Examinations'!$A:$J,7,FALSE)</f>
        <v>No</v>
      </c>
      <c r="H2000" t="str">
        <f>VLOOKUP($A2000,'Medical Examinations'!$A:$J,8,FALSE)</f>
        <v>No</v>
      </c>
      <c r="I2000">
        <f>VLOOKUP($A2000,'Medical Examinations'!$A:$J,9,FALSE)</f>
        <v>0</v>
      </c>
      <c r="J2000" t="str">
        <f>VLOOKUP($A2000,'Medical Examinations'!$A:$J,10,FALSE)</f>
        <v>No</v>
      </c>
      <c r="K2000" t="str">
        <f>VLOOKUP($A2000,'Medical Examinations'!$A:$J,5,FALSE)</f>
        <v>Prediabetes</v>
      </c>
      <c r="L2000">
        <f>VLOOKUP($A2001,'Medical Examinations'!$A:$J,3,FALSE)</f>
        <v>21.89</v>
      </c>
      <c r="N2000" s="11">
        <f>VLOOKUP($B2000,'Hospitalisation Details'!A1999:J4343,10,0)</f>
        <v>28072</v>
      </c>
      <c r="O2000" t="str">
        <f>VLOOKUP($B2000,'Hospitalisation Details'!A1999:J4343,8,0)</f>
        <v>tier - 2</v>
      </c>
      <c r="P2000" t="str">
        <f>VLOOKUP($B2000,'Hospitalisation Details'!A1999:J4343,7,0)</f>
        <v>tier - 1</v>
      </c>
      <c r="Q2000" t="str">
        <f>VLOOKUP($B2000,'Hospitalisation Details'!A1999:J4343,9,0)</f>
        <v>R1011</v>
      </c>
      <c r="R2000">
        <f>VLOOKUP($B2000,'Hospitalisation Details'!A1999:K4343,11,0)</f>
        <v>46</v>
      </c>
    </row>
    <row r="2001" spans="1:18" x14ac:dyDescent="0.35">
      <c r="A2001" t="s">
        <v>368</v>
      </c>
      <c r="B2001" t="s">
        <v>2032</v>
      </c>
      <c r="C2001" t="str">
        <f>VLOOKUP($A2001,'Customer Names'!$A:$E,4,FALSE)</f>
        <v>Tara D.</v>
      </c>
      <c r="D2001" t="str">
        <f>VLOOKUP($A2001,'Medical Examinations'!$A:$J,2,FALSE)</f>
        <v>Normal Weight</v>
      </c>
      <c r="E2001">
        <f>VLOOKUP($A2001,'Medical Examinations'!$A:$J,4,FALSE)</f>
        <v>5.72</v>
      </c>
      <c r="F2001" t="str">
        <f>VLOOKUP($A2001,'Medical Examinations'!$A:$J,6,FALSE)</f>
        <v>yes</v>
      </c>
      <c r="G2001" t="str">
        <f>VLOOKUP($A2001,'Medical Examinations'!$A:$J,7,FALSE)</f>
        <v>No</v>
      </c>
      <c r="H2001" t="str">
        <f>VLOOKUP($A2001,'Medical Examinations'!$A:$J,8,FALSE)</f>
        <v>No</v>
      </c>
      <c r="I2001">
        <f>VLOOKUP($A2001,'Medical Examinations'!$A:$J,9,FALSE)</f>
        <v>0</v>
      </c>
      <c r="J2001" t="str">
        <f>VLOOKUP($A2001,'Medical Examinations'!$A:$J,10,FALSE)</f>
        <v>No</v>
      </c>
      <c r="K2001" t="str">
        <f>VLOOKUP($A2001,'Medical Examinations'!$A:$J,5,FALSE)</f>
        <v>Prediabetes</v>
      </c>
      <c r="L2001">
        <f>VLOOKUP($A2002,'Medical Examinations'!$A:$J,3,FALSE)</f>
        <v>29.34</v>
      </c>
      <c r="N2001" s="11">
        <f>VLOOKUP($B2001,'Hospitalisation Details'!A2000:J4344,10,0)</f>
        <v>25393</v>
      </c>
      <c r="O2001" t="str">
        <f>VLOOKUP($B2001,'Hospitalisation Details'!A2000:J4344,8,0)</f>
        <v>tier - 3</v>
      </c>
      <c r="P2001" t="str">
        <f>VLOOKUP($B2001,'Hospitalisation Details'!A2000:J4344,7,0)</f>
        <v>tier - 1</v>
      </c>
      <c r="Q2001" t="str">
        <f>VLOOKUP($B2001,'Hospitalisation Details'!A2000:J4344,9,0)</f>
        <v>R1024</v>
      </c>
      <c r="R2001">
        <f>VLOOKUP($B2001,'Hospitalisation Details'!A2000:K4344,11,0)</f>
        <v>53</v>
      </c>
    </row>
    <row r="2002" spans="1:18" x14ac:dyDescent="0.35">
      <c r="A2002" t="s">
        <v>367</v>
      </c>
      <c r="B2002" t="s">
        <v>2033</v>
      </c>
      <c r="C2002" t="str">
        <f>VLOOKUP($A2002,'Customer Names'!$A:$E,4,FALSE)</f>
        <v>Rasim M</v>
      </c>
      <c r="D2002" t="str">
        <f>VLOOKUP($A2002,'Medical Examinations'!$A:$J,2,FALSE)</f>
        <v>Overweight</v>
      </c>
      <c r="E2002">
        <f>VLOOKUP($A2002,'Medical Examinations'!$A:$J,4,FALSE)</f>
        <v>6.09</v>
      </c>
      <c r="F2002" t="str">
        <f>VLOOKUP($A2002,'Medical Examinations'!$A:$J,6,FALSE)</f>
        <v>yes</v>
      </c>
      <c r="G2002" t="str">
        <f>VLOOKUP($A2002,'Medical Examinations'!$A:$J,7,FALSE)</f>
        <v>yes</v>
      </c>
      <c r="H2002" t="str">
        <f>VLOOKUP($A2002,'Medical Examinations'!$A:$J,8,FALSE)</f>
        <v>No</v>
      </c>
      <c r="I2002">
        <f>VLOOKUP($A2002,'Medical Examinations'!$A:$J,9,FALSE)</f>
        <v>2</v>
      </c>
      <c r="J2002" t="str">
        <f>VLOOKUP($A2002,'Medical Examinations'!$A:$J,10,FALSE)</f>
        <v>No</v>
      </c>
      <c r="K2002" t="str">
        <f>VLOOKUP($A2002,'Medical Examinations'!$A:$J,5,FALSE)</f>
        <v>Prediabetes</v>
      </c>
      <c r="L2002">
        <f>VLOOKUP($A2003,'Medical Examinations'!$A:$J,3,FALSE)</f>
        <v>22.61</v>
      </c>
      <c r="N2002" s="11">
        <f>VLOOKUP($B2002,'Hospitalisation Details'!A2001:J4345,10,0)</f>
        <v>28692</v>
      </c>
      <c r="O2002" t="str">
        <f>VLOOKUP($B2002,'Hospitalisation Details'!A2001:J4345,8,0)</f>
        <v>tier - 3</v>
      </c>
      <c r="P2002" t="str">
        <f>VLOOKUP($B2002,'Hospitalisation Details'!A2001:J4345,7,0)</f>
        <v>tier - 1</v>
      </c>
      <c r="Q2002" t="str">
        <f>VLOOKUP($B2002,'Hospitalisation Details'!A2001:J4345,9,0)</f>
        <v>R1012</v>
      </c>
      <c r="R2002">
        <f>VLOOKUP($B2002,'Hospitalisation Details'!A2001:K4345,11,0)</f>
        <v>44</v>
      </c>
    </row>
    <row r="2003" spans="1:18" x14ac:dyDescent="0.35">
      <c r="A2003" t="s">
        <v>366</v>
      </c>
      <c r="B2003" t="s">
        <v>2034</v>
      </c>
      <c r="C2003" t="str">
        <f>VLOOKUP($A2003,'Customer Names'!$A:$E,4,FALSE)</f>
        <v>Dina</v>
      </c>
      <c r="D2003" t="str">
        <f>VLOOKUP($A2003,'Medical Examinations'!$A:$J,2,FALSE)</f>
        <v>Normal Weight</v>
      </c>
      <c r="E2003">
        <f>VLOOKUP($A2003,'Medical Examinations'!$A:$J,4,FALSE)</f>
        <v>4.25</v>
      </c>
      <c r="F2003" t="str">
        <f>VLOOKUP($A2003,'Medical Examinations'!$A:$J,6,FALSE)</f>
        <v>yes</v>
      </c>
      <c r="G2003" t="str">
        <f>VLOOKUP($A2003,'Medical Examinations'!$A:$J,7,FALSE)</f>
        <v>No</v>
      </c>
      <c r="H2003" t="str">
        <f>VLOOKUP($A2003,'Medical Examinations'!$A:$J,8,FALSE)</f>
        <v>No</v>
      </c>
      <c r="I2003">
        <f>VLOOKUP($A2003,'Medical Examinations'!$A:$J,9,FALSE)</f>
        <v>0</v>
      </c>
      <c r="J2003" t="str">
        <f>VLOOKUP($A2003,'Medical Examinations'!$A:$J,10,FALSE)</f>
        <v>No</v>
      </c>
      <c r="K2003" t="str">
        <f>VLOOKUP($A2003,'Medical Examinations'!$A:$J,5,FALSE)</f>
        <v>Normal</v>
      </c>
      <c r="L2003">
        <f>VLOOKUP($A2004,'Medical Examinations'!$A:$J,3,FALSE)</f>
        <v>22.23</v>
      </c>
      <c r="N2003" s="11">
        <f>VLOOKUP($B2003,'Hospitalisation Details'!A2002:J4346,10,0)</f>
        <v>21341</v>
      </c>
      <c r="O2003" t="str">
        <f>VLOOKUP($B2003,'Hospitalisation Details'!A2002:J4346,8,0)</f>
        <v>tier - 2</v>
      </c>
      <c r="P2003" t="str">
        <f>VLOOKUP($B2003,'Hospitalisation Details'!A2002:J4346,7,0)</f>
        <v>tier - 1</v>
      </c>
      <c r="Q2003" t="str">
        <f>VLOOKUP($B2003,'Hospitalisation Details'!A2002:J4346,9,0)</f>
        <v>R1012</v>
      </c>
      <c r="R2003">
        <f>VLOOKUP($B2003,'Hospitalisation Details'!A2002:K4346,11,0)</f>
        <v>65</v>
      </c>
    </row>
    <row r="2004" spans="1:18" x14ac:dyDescent="0.35">
      <c r="A2004" t="s">
        <v>365</v>
      </c>
      <c r="B2004" t="s">
        <v>2035</v>
      </c>
      <c r="C2004" t="str">
        <f>VLOOKUP($A2004,'Customer Names'!$A:$E,4,FALSE)</f>
        <v>Lisa</v>
      </c>
      <c r="D2004" t="str">
        <f>VLOOKUP($A2004,'Medical Examinations'!$A:$J,2,FALSE)</f>
        <v>Normal Weight</v>
      </c>
      <c r="E2004">
        <f>VLOOKUP($A2004,'Medical Examinations'!$A:$J,4,FALSE)</f>
        <v>6.09</v>
      </c>
      <c r="F2004" t="str">
        <f>VLOOKUP($A2004,'Medical Examinations'!$A:$J,6,FALSE)</f>
        <v>yes</v>
      </c>
      <c r="G2004" t="str">
        <f>VLOOKUP($A2004,'Medical Examinations'!$A:$J,7,FALSE)</f>
        <v>No</v>
      </c>
      <c r="H2004" t="str">
        <f>VLOOKUP($A2004,'Medical Examinations'!$A:$J,8,FALSE)</f>
        <v>No</v>
      </c>
      <c r="I2004">
        <f>VLOOKUP($A2004,'Medical Examinations'!$A:$J,9,FALSE)</f>
        <v>0</v>
      </c>
      <c r="J2004" t="str">
        <f>VLOOKUP($A2004,'Medical Examinations'!$A:$J,10,FALSE)</f>
        <v>No</v>
      </c>
      <c r="K2004" t="str">
        <f>VLOOKUP($A2004,'Medical Examinations'!$A:$J,5,FALSE)</f>
        <v>Prediabetes</v>
      </c>
      <c r="L2004">
        <f>VLOOKUP($A2005,'Medical Examinations'!$A:$J,3,FALSE)</f>
        <v>33.4</v>
      </c>
      <c r="N2004" s="11">
        <f>VLOOKUP($B2004,'Hospitalisation Details'!A2003:J4347,10,0)</f>
        <v>31358</v>
      </c>
      <c r="O2004" t="str">
        <f>VLOOKUP($B2004,'Hospitalisation Details'!A2003:J4347,8,0)</f>
        <v>tier - 1</v>
      </c>
      <c r="P2004" t="str">
        <f>VLOOKUP($B2004,'Hospitalisation Details'!A2003:J4347,7,0)</f>
        <v>tier - 1</v>
      </c>
      <c r="Q2004" t="str">
        <f>VLOOKUP($B2004,'Hospitalisation Details'!A2003:J4347,9,0)</f>
        <v>R1011</v>
      </c>
      <c r="R2004">
        <f>VLOOKUP($B2004,'Hospitalisation Details'!A2003:K4347,11,0)</f>
        <v>37</v>
      </c>
    </row>
    <row r="2005" spans="1:18" x14ac:dyDescent="0.35">
      <c r="A2005" t="s">
        <v>364</v>
      </c>
      <c r="B2005" t="s">
        <v>2036</v>
      </c>
      <c r="C2005" t="str">
        <f>VLOOKUP($A2005,'Customer Names'!$A:$E,4,FALSE)</f>
        <v>Caitrin</v>
      </c>
      <c r="D2005" t="str">
        <f>VLOOKUP($A2005,'Medical Examinations'!$A:$J,2,FALSE)</f>
        <v>Obesity</v>
      </c>
      <c r="E2005">
        <f>VLOOKUP($A2005,'Medical Examinations'!$A:$J,4,FALSE)</f>
        <v>5.51</v>
      </c>
      <c r="F2005" t="str">
        <f>VLOOKUP($A2005,'Medical Examinations'!$A:$J,6,FALSE)</f>
        <v>No</v>
      </c>
      <c r="G2005" t="str">
        <f>VLOOKUP($A2005,'Medical Examinations'!$A:$J,7,FALSE)</f>
        <v>No</v>
      </c>
      <c r="H2005" t="str">
        <f>VLOOKUP($A2005,'Medical Examinations'!$A:$J,8,FALSE)</f>
        <v>No</v>
      </c>
      <c r="I2005">
        <f>VLOOKUP($A2005,'Medical Examinations'!$A:$J,9,FALSE)</f>
        <v>0</v>
      </c>
      <c r="J2005" t="str">
        <f>VLOOKUP($A2005,'Medical Examinations'!$A:$J,10,FALSE)</f>
        <v>No</v>
      </c>
      <c r="K2005" t="str">
        <f>VLOOKUP($A2005,'Medical Examinations'!$A:$J,5,FALSE)</f>
        <v>Normal</v>
      </c>
      <c r="L2005">
        <f>VLOOKUP($A2006,'Medical Examinations'!$A:$J,3,FALSE)</f>
        <v>33.11</v>
      </c>
      <c r="N2005" s="11">
        <f>VLOOKUP($B2005,'Hospitalisation Details'!A2004:J4348,10,0)</f>
        <v>31974</v>
      </c>
      <c r="O2005" t="str">
        <f>VLOOKUP($B2005,'Hospitalisation Details'!A2004:J4348,8,0)</f>
        <v>tier - 1</v>
      </c>
      <c r="P2005" t="str">
        <f>VLOOKUP($B2005,'Hospitalisation Details'!A2004:J4348,7,0)</f>
        <v>tier - 1</v>
      </c>
      <c r="Q2005" t="str">
        <f>VLOOKUP($B2005,'Hospitalisation Details'!A2004:J4348,9,0)</f>
        <v>R1011</v>
      </c>
      <c r="R2005">
        <f>VLOOKUP($B2005,'Hospitalisation Details'!A2004:K4348,11,0)</f>
        <v>35</v>
      </c>
    </row>
    <row r="2006" spans="1:18" x14ac:dyDescent="0.35">
      <c r="A2006" t="s">
        <v>363</v>
      </c>
      <c r="B2006" t="s">
        <v>2037</v>
      </c>
      <c r="C2006" t="str">
        <f>VLOOKUP($A2006,'Customer Names'!$A:$E,4,FALSE)</f>
        <v>Adriana S</v>
      </c>
      <c r="D2006" t="str">
        <f>VLOOKUP($A2006,'Medical Examinations'!$A:$J,2,FALSE)</f>
        <v>Obesity</v>
      </c>
      <c r="E2006">
        <f>VLOOKUP($A2006,'Medical Examinations'!$A:$J,4,FALSE)</f>
        <v>5.63</v>
      </c>
      <c r="F2006" t="str">
        <f>VLOOKUP($A2006,'Medical Examinations'!$A:$J,6,FALSE)</f>
        <v>No</v>
      </c>
      <c r="G2006" t="str">
        <f>VLOOKUP($A2006,'Medical Examinations'!$A:$J,7,FALSE)</f>
        <v>No</v>
      </c>
      <c r="H2006" t="str">
        <f>VLOOKUP($A2006,'Medical Examinations'!$A:$J,8,FALSE)</f>
        <v>No</v>
      </c>
      <c r="I2006">
        <f>VLOOKUP($A2006,'Medical Examinations'!$A:$J,9,FALSE)</f>
        <v>0</v>
      </c>
      <c r="J2006" t="str">
        <f>VLOOKUP($A2006,'Medical Examinations'!$A:$J,10,FALSE)</f>
        <v>No</v>
      </c>
      <c r="K2006" t="str">
        <f>VLOOKUP($A2006,'Medical Examinations'!$A:$J,5,FALSE)</f>
        <v>Normal</v>
      </c>
      <c r="L2006">
        <f>VLOOKUP($A2007,'Medical Examinations'!$A:$J,3,FALSE)</f>
        <v>16.815000000000001</v>
      </c>
      <c r="N2006" s="11">
        <f>VLOOKUP($B2006,'Hospitalisation Details'!A2005:J4349,10,0)</f>
        <v>21843</v>
      </c>
      <c r="O2006" t="str">
        <f>VLOOKUP($B2006,'Hospitalisation Details'!A2005:J4349,8,0)</f>
        <v>tier - 2</v>
      </c>
      <c r="P2006" t="str">
        <f>VLOOKUP($B2006,'Hospitalisation Details'!A2005:J4349,7,0)</f>
        <v>tier - 1</v>
      </c>
      <c r="Q2006" t="str">
        <f>VLOOKUP($B2006,'Hospitalisation Details'!A2005:J4349,9,0)</f>
        <v>R1024</v>
      </c>
      <c r="R2006">
        <f>VLOOKUP($B2006,'Hospitalisation Details'!A2005:K4349,11,0)</f>
        <v>63</v>
      </c>
    </row>
    <row r="2007" spans="1:18" x14ac:dyDescent="0.35">
      <c r="A2007" t="s">
        <v>362</v>
      </c>
      <c r="B2007" t="s">
        <v>2038</v>
      </c>
      <c r="C2007" t="str">
        <f>VLOOKUP($A2007,'Customer Names'!$A:$E,4,FALSE)</f>
        <v>Megan</v>
      </c>
      <c r="D2007" t="str">
        <f>VLOOKUP($A2007,'Medical Examinations'!$A:$J,2,FALSE)</f>
        <v>Underweight</v>
      </c>
      <c r="E2007">
        <f>VLOOKUP($A2007,'Medical Examinations'!$A:$J,4,FALSE)</f>
        <v>5.29</v>
      </c>
      <c r="F2007" t="str">
        <f>VLOOKUP($A2007,'Medical Examinations'!$A:$J,6,FALSE)</f>
        <v>yes</v>
      </c>
      <c r="G2007" t="str">
        <f>VLOOKUP($A2007,'Medical Examinations'!$A:$J,7,FALSE)</f>
        <v>No</v>
      </c>
      <c r="H2007" t="str">
        <f>VLOOKUP($A2007,'Medical Examinations'!$A:$J,8,FALSE)</f>
        <v>No</v>
      </c>
      <c r="I2007">
        <f>VLOOKUP($A2007,'Medical Examinations'!$A:$J,9,FALSE)</f>
        <v>0</v>
      </c>
      <c r="J2007" t="str">
        <f>VLOOKUP($A2007,'Medical Examinations'!$A:$J,10,FALSE)</f>
        <v>No</v>
      </c>
      <c r="K2007" t="str">
        <f>VLOOKUP($A2007,'Medical Examinations'!$A:$J,5,FALSE)</f>
        <v>Normal</v>
      </c>
      <c r="L2007">
        <f>VLOOKUP($A2008,'Medical Examinations'!$A:$J,3,FALSE)</f>
        <v>25.61</v>
      </c>
      <c r="N2007" s="11">
        <f>VLOOKUP($B2007,'Hospitalisation Details'!A2006:J4350,10,0)</f>
        <v>27701</v>
      </c>
      <c r="O2007" t="str">
        <f>VLOOKUP($B2007,'Hospitalisation Details'!A2006:J4350,8,0)</f>
        <v>tier - 1</v>
      </c>
      <c r="P2007" t="str">
        <f>VLOOKUP($B2007,'Hospitalisation Details'!A2006:J4350,7,0)</f>
        <v>tier - 1</v>
      </c>
      <c r="Q2007" t="str">
        <f>VLOOKUP($B2007,'Hospitalisation Details'!A2006:J4350,9,0)</f>
        <v>R1011</v>
      </c>
      <c r="R2007">
        <f>VLOOKUP($B2007,'Hospitalisation Details'!A2006:K4350,11,0)</f>
        <v>47</v>
      </c>
    </row>
    <row r="2008" spans="1:18" x14ac:dyDescent="0.35">
      <c r="A2008" t="s">
        <v>361</v>
      </c>
      <c r="B2008" t="s">
        <v>2039</v>
      </c>
      <c r="C2008" t="str">
        <f>VLOOKUP($A2008,'Customer Names'!$A:$E,4,FALSE)</f>
        <v>Kristen M</v>
      </c>
      <c r="D2008" t="str">
        <f>VLOOKUP($A2008,'Medical Examinations'!$A:$J,2,FALSE)</f>
        <v>Overweight</v>
      </c>
      <c r="E2008">
        <f>VLOOKUP($A2008,'Medical Examinations'!$A:$J,4,FALSE)</f>
        <v>4</v>
      </c>
      <c r="F2008" t="str">
        <f>VLOOKUP($A2008,'Medical Examinations'!$A:$J,6,FALSE)</f>
        <v>No</v>
      </c>
      <c r="G2008" t="str">
        <f>VLOOKUP($A2008,'Medical Examinations'!$A:$J,7,FALSE)</f>
        <v>No</v>
      </c>
      <c r="H2008" t="str">
        <f>VLOOKUP($A2008,'Medical Examinations'!$A:$J,8,FALSE)</f>
        <v>Yes</v>
      </c>
      <c r="I2008">
        <f>VLOOKUP($A2008,'Medical Examinations'!$A:$J,9,FALSE)</f>
        <v>1</v>
      </c>
      <c r="J2008" t="str">
        <f>VLOOKUP($A2008,'Medical Examinations'!$A:$J,10,FALSE)</f>
        <v>No</v>
      </c>
      <c r="K2008" t="str">
        <f>VLOOKUP($A2008,'Medical Examinations'!$A:$J,5,FALSE)</f>
        <v>Normal</v>
      </c>
      <c r="L2008">
        <f>VLOOKUP($A2009,'Medical Examinations'!$A:$J,3,FALSE)</f>
        <v>25.8</v>
      </c>
      <c r="N2008" s="11">
        <f>VLOOKUP($B2008,'Hospitalisation Details'!A2007:J4351,10,0)</f>
        <v>34177</v>
      </c>
      <c r="O2008" t="str">
        <f>VLOOKUP($B2008,'Hospitalisation Details'!A2007:J4351,8,0)</f>
        <v>tier - 1</v>
      </c>
      <c r="P2008" t="str">
        <f>VLOOKUP($B2008,'Hospitalisation Details'!A2007:J4351,7,0)</f>
        <v>tier - 1</v>
      </c>
      <c r="Q2008" t="str">
        <f>VLOOKUP($B2008,'Hospitalisation Details'!A2007:J4351,9,0)</f>
        <v>R1011</v>
      </c>
      <c r="R2008">
        <f>VLOOKUP($B2008,'Hospitalisation Details'!A2007:K4351,11,0)</f>
        <v>29</v>
      </c>
    </row>
    <row r="2009" spans="1:18" x14ac:dyDescent="0.35">
      <c r="A2009" t="s">
        <v>360</v>
      </c>
      <c r="B2009" t="s">
        <v>2040</v>
      </c>
      <c r="C2009" t="str">
        <f>VLOOKUP($A2009,'Customer Names'!$A:$E,4,FALSE)</f>
        <v>Alix</v>
      </c>
      <c r="D2009" t="str">
        <f>VLOOKUP($A2009,'Medical Examinations'!$A:$J,2,FALSE)</f>
        <v>Overweight</v>
      </c>
      <c r="E2009">
        <f>VLOOKUP($A2009,'Medical Examinations'!$A:$J,4,FALSE)</f>
        <v>5.49</v>
      </c>
      <c r="F2009" t="str">
        <f>VLOOKUP($A2009,'Medical Examinations'!$A:$J,6,FALSE)</f>
        <v>No</v>
      </c>
      <c r="G2009" t="str">
        <f>VLOOKUP($A2009,'Medical Examinations'!$A:$J,7,FALSE)</f>
        <v>No</v>
      </c>
      <c r="H2009" t="str">
        <f>VLOOKUP($A2009,'Medical Examinations'!$A:$J,8,FALSE)</f>
        <v>No</v>
      </c>
      <c r="I2009">
        <f>VLOOKUP($A2009,'Medical Examinations'!$A:$J,9,FALSE)</f>
        <v>0</v>
      </c>
      <c r="J2009" t="str">
        <f>VLOOKUP($A2009,'Medical Examinations'!$A:$J,10,FALSE)</f>
        <v>No</v>
      </c>
      <c r="K2009" t="str">
        <f>VLOOKUP($A2009,'Medical Examinations'!$A:$J,5,FALSE)</f>
        <v>Normal</v>
      </c>
      <c r="L2009">
        <f>VLOOKUP($A2010,'Medical Examinations'!$A:$J,3,FALSE)</f>
        <v>27.39</v>
      </c>
      <c r="N2009" s="11">
        <f>VLOOKUP($B2009,'Hospitalisation Details'!A2008:J4352,10,0)</f>
        <v>26899</v>
      </c>
      <c r="O2009" t="str">
        <f>VLOOKUP($B2009,'Hospitalisation Details'!A2008:J4352,8,0)</f>
        <v>tier - 3</v>
      </c>
      <c r="P2009" t="str">
        <f>VLOOKUP($B2009,'Hospitalisation Details'!A2008:J4352,7,0)</f>
        <v>tier - 1</v>
      </c>
      <c r="Q2009" t="str">
        <f>VLOOKUP($B2009,'Hospitalisation Details'!A2008:J4352,9,0)</f>
        <v>R1011</v>
      </c>
      <c r="R2009">
        <f>VLOOKUP($B2009,'Hospitalisation Details'!A2008:K4352,11,0)</f>
        <v>49</v>
      </c>
    </row>
    <row r="2010" spans="1:18" x14ac:dyDescent="0.35">
      <c r="A2010" t="s">
        <v>359</v>
      </c>
      <c r="B2010" t="s">
        <v>2041</v>
      </c>
      <c r="C2010" t="str">
        <f>VLOOKUP($A2010,'Customer Names'!$A:$E,4,FALSE)</f>
        <v>Kakushin</v>
      </c>
      <c r="D2010" t="str">
        <f>VLOOKUP($A2010,'Medical Examinations'!$A:$J,2,FALSE)</f>
        <v>Overweight</v>
      </c>
      <c r="E2010">
        <f>VLOOKUP($A2010,'Medical Examinations'!$A:$J,4,FALSE)</f>
        <v>5.34</v>
      </c>
      <c r="F2010" t="str">
        <f>VLOOKUP($A2010,'Medical Examinations'!$A:$J,6,FALSE)</f>
        <v>No</v>
      </c>
      <c r="G2010" t="str">
        <f>VLOOKUP($A2010,'Medical Examinations'!$A:$J,7,FALSE)</f>
        <v>No</v>
      </c>
      <c r="H2010" t="str">
        <f>VLOOKUP($A2010,'Medical Examinations'!$A:$J,8,FALSE)</f>
        <v>No</v>
      </c>
      <c r="I2010">
        <f>VLOOKUP($A2010,'Medical Examinations'!$A:$J,9,FALSE)</f>
        <v>0</v>
      </c>
      <c r="J2010" t="str">
        <f>VLOOKUP($A2010,'Medical Examinations'!$A:$J,10,FALSE)</f>
        <v>No</v>
      </c>
      <c r="K2010" t="str">
        <f>VLOOKUP($A2010,'Medical Examinations'!$A:$J,5,FALSE)</f>
        <v>Normal</v>
      </c>
      <c r="L2010">
        <f>VLOOKUP($A2011,'Medical Examinations'!$A:$J,3,FALSE)</f>
        <v>17.03</v>
      </c>
      <c r="N2010" s="11">
        <f>VLOOKUP($B2010,'Hospitalisation Details'!A2009:J4353,10,0)</f>
        <v>35966</v>
      </c>
      <c r="O2010" t="str">
        <f>VLOOKUP($B2010,'Hospitalisation Details'!A2009:J4353,8,0)</f>
        <v>tier - 2</v>
      </c>
      <c r="P2010" t="str">
        <f>VLOOKUP($B2010,'Hospitalisation Details'!A2009:J4353,7,0)</f>
        <v>tier - 1</v>
      </c>
      <c r="Q2010" t="str">
        <f>VLOOKUP($B2010,'Hospitalisation Details'!A2009:J4353,9,0)</f>
        <v>R1011</v>
      </c>
      <c r="R2010">
        <f>VLOOKUP($B2010,'Hospitalisation Details'!A2009:K4353,11,0)</f>
        <v>24</v>
      </c>
    </row>
    <row r="2011" spans="1:18" x14ac:dyDescent="0.35">
      <c r="A2011" t="s">
        <v>358</v>
      </c>
      <c r="B2011" t="s">
        <v>2042</v>
      </c>
      <c r="C2011" t="str">
        <f>VLOOKUP($A2011,'Customer Names'!$A:$E,4,FALSE)</f>
        <v>Michael J</v>
      </c>
      <c r="D2011" t="str">
        <f>VLOOKUP($A2011,'Medical Examinations'!$A:$J,2,FALSE)</f>
        <v>Underweight</v>
      </c>
      <c r="E2011">
        <f>VLOOKUP($A2011,'Medical Examinations'!$A:$J,4,FALSE)</f>
        <v>4.12</v>
      </c>
      <c r="F2011" t="str">
        <f>VLOOKUP($A2011,'Medical Examinations'!$A:$J,6,FALSE)</f>
        <v>No</v>
      </c>
      <c r="G2011" t="str">
        <f>VLOOKUP($A2011,'Medical Examinations'!$A:$J,7,FALSE)</f>
        <v>No</v>
      </c>
      <c r="H2011" t="str">
        <f>VLOOKUP($A2011,'Medical Examinations'!$A:$J,8,FALSE)</f>
        <v>No</v>
      </c>
      <c r="I2011">
        <f>VLOOKUP($A2011,'Medical Examinations'!$A:$J,9,FALSE)</f>
        <v>1</v>
      </c>
      <c r="J2011" t="str">
        <f>VLOOKUP($A2011,'Medical Examinations'!$A:$J,10,FALSE)</f>
        <v>No</v>
      </c>
      <c r="K2011" t="str">
        <f>VLOOKUP($A2011,'Medical Examinations'!$A:$J,5,FALSE)</f>
        <v>Normal</v>
      </c>
      <c r="L2011">
        <f>VLOOKUP($A2012,'Medical Examinations'!$A:$J,3,FALSE)</f>
        <v>23.75</v>
      </c>
      <c r="N2011" s="11">
        <f>VLOOKUP($B2011,'Hospitalisation Details'!A2010:J4354,10,0)</f>
        <v>29811</v>
      </c>
      <c r="O2011" t="str">
        <f>VLOOKUP($B2011,'Hospitalisation Details'!A2010:J4354,8,0)</f>
        <v>tier - 2</v>
      </c>
      <c r="P2011" t="str">
        <f>VLOOKUP($B2011,'Hospitalisation Details'!A2010:J4354,7,0)</f>
        <v>tier - 1</v>
      </c>
      <c r="Q2011" t="str">
        <f>VLOOKUP($B2011,'Hospitalisation Details'!A2010:J4354,9,0)</f>
        <v>R1011</v>
      </c>
      <c r="R2011">
        <f>VLOOKUP($B2011,'Hospitalisation Details'!A2010:K4354,11,0)</f>
        <v>41</v>
      </c>
    </row>
    <row r="2012" spans="1:18" x14ac:dyDescent="0.35">
      <c r="A2012" t="s">
        <v>357</v>
      </c>
      <c r="B2012" t="s">
        <v>2043</v>
      </c>
      <c r="C2012" t="str">
        <f>VLOOKUP($A2012,'Customer Names'!$A:$E,4,FALSE)</f>
        <v>Bradley</v>
      </c>
      <c r="D2012" t="str">
        <f>VLOOKUP($A2012,'Medical Examinations'!$A:$J,2,FALSE)</f>
        <v>Normal Weight</v>
      </c>
      <c r="E2012">
        <f>VLOOKUP($A2012,'Medical Examinations'!$A:$J,4,FALSE)</f>
        <v>5.49</v>
      </c>
      <c r="F2012" t="str">
        <f>VLOOKUP($A2012,'Medical Examinations'!$A:$J,6,FALSE)</f>
        <v>yes</v>
      </c>
      <c r="G2012" t="str">
        <f>VLOOKUP($A2012,'Medical Examinations'!$A:$J,7,FALSE)</f>
        <v>No</v>
      </c>
      <c r="H2012" t="str">
        <f>VLOOKUP($A2012,'Medical Examinations'!$A:$J,8,FALSE)</f>
        <v>No</v>
      </c>
      <c r="I2012">
        <f>VLOOKUP($A2012,'Medical Examinations'!$A:$J,9,FALSE)</f>
        <v>0</v>
      </c>
      <c r="J2012" t="str">
        <f>VLOOKUP($A2012,'Medical Examinations'!$A:$J,10,FALSE)</f>
        <v>No</v>
      </c>
      <c r="K2012" t="str">
        <f>VLOOKUP($A2012,'Medical Examinations'!$A:$J,5,FALSE)</f>
        <v>Normal</v>
      </c>
      <c r="L2012">
        <f>VLOOKUP($A2013,'Medical Examinations'!$A:$J,3,FALSE)</f>
        <v>26.03</v>
      </c>
      <c r="N2012" s="11">
        <f>VLOOKUP($B2012,'Hospitalisation Details'!A2011:J4355,10,0)</f>
        <v>30253</v>
      </c>
      <c r="O2012" t="str">
        <f>VLOOKUP($B2012,'Hospitalisation Details'!A2011:J4355,8,0)</f>
        <v>tier - 1</v>
      </c>
      <c r="P2012" t="str">
        <f>VLOOKUP($B2012,'Hospitalisation Details'!A2011:J4355,7,0)</f>
        <v>tier - 1</v>
      </c>
      <c r="Q2012" t="str">
        <f>VLOOKUP($B2012,'Hospitalisation Details'!A2011:J4355,9,0)</f>
        <v>R1012</v>
      </c>
      <c r="R2012">
        <f>VLOOKUP($B2012,'Hospitalisation Details'!A2011:K4355,11,0)</f>
        <v>40</v>
      </c>
    </row>
    <row r="2013" spans="1:18" x14ac:dyDescent="0.35">
      <c r="A2013" t="s">
        <v>355</v>
      </c>
      <c r="B2013" t="s">
        <v>2044</v>
      </c>
      <c r="C2013" t="str">
        <f>VLOOKUP($A2013,'Customer Names'!$A:$E,4,FALSE)</f>
        <v>Matt</v>
      </c>
      <c r="D2013" t="str">
        <f>VLOOKUP($A2013,'Medical Examinations'!$A:$J,2,FALSE)</f>
        <v>Overweight</v>
      </c>
      <c r="E2013">
        <f>VLOOKUP($A2013,'Medical Examinations'!$A:$J,4,FALSE)</f>
        <v>5.1100000000000003</v>
      </c>
      <c r="F2013" t="str">
        <f>VLOOKUP($A2013,'Medical Examinations'!$A:$J,6,FALSE)</f>
        <v>yes</v>
      </c>
      <c r="G2013" t="str">
        <f>VLOOKUP($A2013,'Medical Examinations'!$A:$J,7,FALSE)</f>
        <v>No</v>
      </c>
      <c r="H2013" t="str">
        <f>VLOOKUP($A2013,'Medical Examinations'!$A:$J,8,FALSE)</f>
        <v>No</v>
      </c>
      <c r="I2013">
        <f>VLOOKUP($A2013,'Medical Examinations'!$A:$J,9,FALSE)</f>
        <v>1</v>
      </c>
      <c r="J2013" t="str">
        <f>VLOOKUP($A2013,'Medical Examinations'!$A:$J,10,FALSE)</f>
        <v>No</v>
      </c>
      <c r="K2013" t="str">
        <f>VLOOKUP($A2013,'Medical Examinations'!$A:$J,5,FALSE)</f>
        <v>Normal</v>
      </c>
      <c r="L2013">
        <f>VLOOKUP($A2014,'Medical Examinations'!$A:$J,3,FALSE)</f>
        <v>16.079999999999998</v>
      </c>
      <c r="N2013" s="11">
        <f>VLOOKUP($B2013,'Hospitalisation Details'!A2012:J4356,10,0)</f>
        <v>32872</v>
      </c>
      <c r="O2013" t="str">
        <f>VLOOKUP($B2013,'Hospitalisation Details'!A2012:J4356,8,0)</f>
        <v>tier - 3</v>
      </c>
      <c r="P2013" t="str">
        <f>VLOOKUP($B2013,'Hospitalisation Details'!A2012:J4356,7,0)</f>
        <v>tier - 1</v>
      </c>
      <c r="Q2013" t="str">
        <f>VLOOKUP($B2013,'Hospitalisation Details'!A2012:J4356,9,0)</f>
        <v>R1011</v>
      </c>
      <c r="R2013">
        <f>VLOOKUP($B2013,'Hospitalisation Details'!A2012:K4356,11,0)</f>
        <v>33</v>
      </c>
    </row>
    <row r="2014" spans="1:18" x14ac:dyDescent="0.35">
      <c r="A2014" t="s">
        <v>354</v>
      </c>
      <c r="B2014" t="s">
        <v>2045</v>
      </c>
      <c r="C2014" t="str">
        <f>VLOOKUP($A2014,'Customer Names'!$A:$E,4,FALSE)</f>
        <v>Amanda C.</v>
      </c>
      <c r="D2014" t="str">
        <f>VLOOKUP($A2014,'Medical Examinations'!$A:$J,2,FALSE)</f>
        <v>Underweight</v>
      </c>
      <c r="E2014">
        <f>VLOOKUP($A2014,'Medical Examinations'!$A:$J,4,FALSE)</f>
        <v>5.94</v>
      </c>
      <c r="F2014" t="str">
        <f>VLOOKUP($A2014,'Medical Examinations'!$A:$J,6,FALSE)</f>
        <v>No</v>
      </c>
      <c r="G2014" t="str">
        <f>VLOOKUP($A2014,'Medical Examinations'!$A:$J,7,FALSE)</f>
        <v>No</v>
      </c>
      <c r="H2014" t="str">
        <f>VLOOKUP($A2014,'Medical Examinations'!$A:$J,8,FALSE)</f>
        <v>No</v>
      </c>
      <c r="I2014">
        <f>VLOOKUP($A2014,'Medical Examinations'!$A:$J,9,FALSE)</f>
        <v>0</v>
      </c>
      <c r="J2014" t="str">
        <f>VLOOKUP($A2014,'Medical Examinations'!$A:$J,10,FALSE)</f>
        <v>No</v>
      </c>
      <c r="K2014" t="str">
        <f>VLOOKUP($A2014,'Medical Examinations'!$A:$J,5,FALSE)</f>
        <v>Prediabetes</v>
      </c>
      <c r="L2014">
        <f>VLOOKUP($A2015,'Medical Examinations'!$A:$J,3,FALSE)</f>
        <v>30.875</v>
      </c>
      <c r="N2014" s="11">
        <f>VLOOKUP($B2014,'Hospitalisation Details'!A2013:J4357,10,0)</f>
        <v>27625</v>
      </c>
      <c r="O2014" t="str">
        <f>VLOOKUP($B2014,'Hospitalisation Details'!A2013:J4357,8,0)</f>
        <v>tier - 3</v>
      </c>
      <c r="P2014" t="str">
        <f>VLOOKUP($B2014,'Hospitalisation Details'!A2013:J4357,7,0)</f>
        <v>tier - 1</v>
      </c>
      <c r="Q2014" t="str">
        <f>VLOOKUP($B2014,'Hospitalisation Details'!A2013:J4357,9,0)</f>
        <v>R1011</v>
      </c>
      <c r="R2014">
        <f>VLOOKUP($B2014,'Hospitalisation Details'!A2013:K4357,11,0)</f>
        <v>47</v>
      </c>
    </row>
    <row r="2015" spans="1:18" x14ac:dyDescent="0.35">
      <c r="A2015" t="s">
        <v>353</v>
      </c>
      <c r="B2015" t="s">
        <v>2046</v>
      </c>
      <c r="C2015" t="str">
        <f>VLOOKUP($A2015,'Customer Names'!$A:$E,4,FALSE)</f>
        <v>Valur</v>
      </c>
      <c r="D2015" t="str">
        <f>VLOOKUP($A2015,'Medical Examinations'!$A:$J,2,FALSE)</f>
        <v>Obesity</v>
      </c>
      <c r="E2015">
        <f>VLOOKUP($A2015,'Medical Examinations'!$A:$J,4,FALSE)</f>
        <v>5.54</v>
      </c>
      <c r="F2015" t="str">
        <f>VLOOKUP($A2015,'Medical Examinations'!$A:$J,6,FALSE)</f>
        <v>No</v>
      </c>
      <c r="G2015" t="str">
        <f>VLOOKUP($A2015,'Medical Examinations'!$A:$J,7,FALSE)</f>
        <v>No</v>
      </c>
      <c r="H2015" t="str">
        <f>VLOOKUP($A2015,'Medical Examinations'!$A:$J,8,FALSE)</f>
        <v>No</v>
      </c>
      <c r="I2015">
        <f>VLOOKUP($A2015,'Medical Examinations'!$A:$J,9,FALSE)</f>
        <v>0</v>
      </c>
      <c r="J2015" t="str">
        <f>VLOOKUP($A2015,'Medical Examinations'!$A:$J,10,FALSE)</f>
        <v>No</v>
      </c>
      <c r="K2015" t="str">
        <f>VLOOKUP($A2015,'Medical Examinations'!$A:$J,5,FALSE)</f>
        <v>Normal</v>
      </c>
      <c r="L2015">
        <f>VLOOKUP($A2016,'Medical Examinations'!$A:$J,3,FALSE)</f>
        <v>31.79</v>
      </c>
      <c r="N2015" s="11">
        <f>VLOOKUP($B2015,'Hospitalisation Details'!A2014:J4358,10,0)</f>
        <v>32507</v>
      </c>
      <c r="O2015" t="str">
        <f>VLOOKUP($B2015,'Hospitalisation Details'!A2014:J4358,8,0)</f>
        <v>tier - 1</v>
      </c>
      <c r="P2015" t="str">
        <f>VLOOKUP($B2015,'Hospitalisation Details'!A2014:J4358,7,0)</f>
        <v>tier - 1</v>
      </c>
      <c r="Q2015" t="str">
        <f>VLOOKUP($B2015,'Hospitalisation Details'!A2014:J4358,9,0)</f>
        <v>R1011</v>
      </c>
      <c r="R2015">
        <f>VLOOKUP($B2015,'Hospitalisation Details'!A2014:K4358,11,0)</f>
        <v>34</v>
      </c>
    </row>
    <row r="2016" spans="1:18" x14ac:dyDescent="0.35">
      <c r="A2016" t="s">
        <v>352</v>
      </c>
      <c r="B2016" t="s">
        <v>2047</v>
      </c>
      <c r="C2016" t="str">
        <f>VLOOKUP($A2016,'Customer Names'!$A:$E,4,FALSE)</f>
        <v>Erica J</v>
      </c>
      <c r="D2016" t="str">
        <f>VLOOKUP($A2016,'Medical Examinations'!$A:$J,2,FALSE)</f>
        <v>Obesity</v>
      </c>
      <c r="E2016">
        <f>VLOOKUP($A2016,'Medical Examinations'!$A:$J,4,FALSE)</f>
        <v>7.09</v>
      </c>
      <c r="F2016" t="str">
        <f>VLOOKUP($A2016,'Medical Examinations'!$A:$J,6,FALSE)</f>
        <v>No</v>
      </c>
      <c r="G2016" t="str">
        <f>VLOOKUP($A2016,'Medical Examinations'!$A:$J,7,FALSE)</f>
        <v>No</v>
      </c>
      <c r="H2016" t="str">
        <f>VLOOKUP($A2016,'Medical Examinations'!$A:$J,8,FALSE)</f>
        <v>No</v>
      </c>
      <c r="I2016">
        <f>VLOOKUP($A2016,'Medical Examinations'!$A:$J,9,FALSE)</f>
        <v>0</v>
      </c>
      <c r="J2016" t="str">
        <f>VLOOKUP($A2016,'Medical Examinations'!$A:$J,10,FALSE)</f>
        <v>No</v>
      </c>
      <c r="K2016" t="str">
        <f>VLOOKUP($A2016,'Medical Examinations'!$A:$J,5,FALSE)</f>
        <v>Diabetes</v>
      </c>
      <c r="L2016">
        <f>VLOOKUP($A2017,'Medical Examinations'!$A:$J,3,FALSE)</f>
        <v>28.48</v>
      </c>
      <c r="N2016" s="11">
        <f>VLOOKUP($B2016,'Hospitalisation Details'!A2015:J4359,10,0)</f>
        <v>27923</v>
      </c>
      <c r="O2016" t="str">
        <f>VLOOKUP($B2016,'Hospitalisation Details'!A2015:J4359,8,0)</f>
        <v>tier - 1</v>
      </c>
      <c r="P2016" t="str">
        <f>VLOOKUP($B2016,'Hospitalisation Details'!A2015:J4359,7,0)</f>
        <v>tier - 1</v>
      </c>
      <c r="Q2016" t="str">
        <f>VLOOKUP($B2016,'Hospitalisation Details'!A2015:J4359,9,0)</f>
        <v>R1011</v>
      </c>
      <c r="R2016">
        <f>VLOOKUP($B2016,'Hospitalisation Details'!A2015:K4359,11,0)</f>
        <v>46</v>
      </c>
    </row>
    <row r="2017" spans="1:18" x14ac:dyDescent="0.35">
      <c r="A2017" t="s">
        <v>351</v>
      </c>
      <c r="B2017" t="s">
        <v>2048</v>
      </c>
      <c r="C2017" t="str">
        <f>VLOOKUP($A2017,'Customer Names'!$A:$E,4,FALSE)</f>
        <v>Stephen F.</v>
      </c>
      <c r="D2017" t="str">
        <f>VLOOKUP($A2017,'Medical Examinations'!$A:$J,2,FALSE)</f>
        <v>Overweight</v>
      </c>
      <c r="E2017">
        <f>VLOOKUP($A2017,'Medical Examinations'!$A:$J,4,FALSE)</f>
        <v>6.22</v>
      </c>
      <c r="F2017" t="str">
        <f>VLOOKUP($A2017,'Medical Examinations'!$A:$J,6,FALSE)</f>
        <v>yes</v>
      </c>
      <c r="G2017" t="str">
        <f>VLOOKUP($A2017,'Medical Examinations'!$A:$J,7,FALSE)</f>
        <v>No</v>
      </c>
      <c r="H2017" t="str">
        <f>VLOOKUP($A2017,'Medical Examinations'!$A:$J,8,FALSE)</f>
        <v>Yes</v>
      </c>
      <c r="I2017">
        <f>VLOOKUP($A2017,'Medical Examinations'!$A:$J,9,FALSE)</f>
        <v>1</v>
      </c>
      <c r="J2017" t="str">
        <f>VLOOKUP($A2017,'Medical Examinations'!$A:$J,10,FALSE)</f>
        <v>No</v>
      </c>
      <c r="K2017" t="str">
        <f>VLOOKUP($A2017,'Medical Examinations'!$A:$J,5,FALSE)</f>
        <v>Prediabetes</v>
      </c>
      <c r="L2017">
        <f>VLOOKUP($A2018,'Medical Examinations'!$A:$J,3,FALSE)</f>
        <v>26.6</v>
      </c>
      <c r="N2017" s="11">
        <f>VLOOKUP($B2017,'Hospitalisation Details'!A2016:J4360,10,0)</f>
        <v>33516</v>
      </c>
      <c r="O2017" t="str">
        <f>VLOOKUP($B2017,'Hospitalisation Details'!A2016:J4360,8,0)</f>
        <v>tier - 1</v>
      </c>
      <c r="P2017" t="str">
        <f>VLOOKUP($B2017,'Hospitalisation Details'!A2016:J4360,7,0)</f>
        <v>tier - 1</v>
      </c>
      <c r="Q2017" t="str">
        <f>VLOOKUP($B2017,'Hospitalisation Details'!A2016:J4360,9,0)</f>
        <v>R1011</v>
      </c>
      <c r="R2017">
        <f>VLOOKUP($B2017,'Hospitalisation Details'!A2016:K4360,11,0)</f>
        <v>31</v>
      </c>
    </row>
    <row r="2018" spans="1:18" x14ac:dyDescent="0.35">
      <c r="A2018" t="s">
        <v>350</v>
      </c>
      <c r="B2018" t="s">
        <v>2049</v>
      </c>
      <c r="C2018" t="str">
        <f>VLOOKUP($A2018,'Customer Names'!$A:$E,4,FALSE)</f>
        <v>Lissa</v>
      </c>
      <c r="D2018" t="str">
        <f>VLOOKUP($A2018,'Medical Examinations'!$A:$J,2,FALSE)</f>
        <v>Overweight</v>
      </c>
      <c r="E2018">
        <f>VLOOKUP($A2018,'Medical Examinations'!$A:$J,4,FALSE)</f>
        <v>4.33</v>
      </c>
      <c r="F2018" t="str">
        <f>VLOOKUP($A2018,'Medical Examinations'!$A:$J,6,FALSE)</f>
        <v>No</v>
      </c>
      <c r="G2018" t="str">
        <f>VLOOKUP($A2018,'Medical Examinations'!$A:$J,7,FALSE)</f>
        <v>No</v>
      </c>
      <c r="H2018" t="str">
        <f>VLOOKUP($A2018,'Medical Examinations'!$A:$J,8,FALSE)</f>
        <v>No</v>
      </c>
      <c r="I2018">
        <f>VLOOKUP($A2018,'Medical Examinations'!$A:$J,9,FALSE)</f>
        <v>1</v>
      </c>
      <c r="J2018" t="str">
        <f>VLOOKUP($A2018,'Medical Examinations'!$A:$J,10,FALSE)</f>
        <v>No</v>
      </c>
      <c r="K2018" t="str">
        <f>VLOOKUP($A2018,'Medical Examinations'!$A:$J,5,FALSE)</f>
        <v>Normal</v>
      </c>
      <c r="L2018">
        <f>VLOOKUP($A2019,'Medical Examinations'!$A:$J,3,FALSE)</f>
        <v>25.27</v>
      </c>
      <c r="N2018" s="11">
        <f>VLOOKUP($B2018,'Hospitalisation Details'!A2017:J4361,10,0)</f>
        <v>29802</v>
      </c>
      <c r="O2018" t="str">
        <f>VLOOKUP($B2018,'Hospitalisation Details'!A2017:J4361,8,0)</f>
        <v>tier - 3</v>
      </c>
      <c r="P2018" t="str">
        <f>VLOOKUP($B2018,'Hospitalisation Details'!A2017:J4361,7,0)</f>
        <v>tier - 2</v>
      </c>
      <c r="Q2018" t="str">
        <f>VLOOKUP($B2018,'Hospitalisation Details'!A2017:J4361,9,0)</f>
        <v>R1012</v>
      </c>
      <c r="R2018">
        <f>VLOOKUP($B2018,'Hospitalisation Details'!A2017:K4361,11,0)</f>
        <v>41</v>
      </c>
    </row>
    <row r="2019" spans="1:18" x14ac:dyDescent="0.35">
      <c r="A2019" t="s">
        <v>349</v>
      </c>
      <c r="B2019" t="s">
        <v>2050</v>
      </c>
      <c r="C2019" t="str">
        <f>VLOOKUP($A2019,'Customer Names'!$A:$E,4,FALSE)</f>
        <v>Megan</v>
      </c>
      <c r="D2019" t="str">
        <f>VLOOKUP($A2019,'Medical Examinations'!$A:$J,2,FALSE)</f>
        <v>Overweight</v>
      </c>
      <c r="E2019">
        <f>VLOOKUP($A2019,'Medical Examinations'!$A:$J,4,FALSE)</f>
        <v>5.83</v>
      </c>
      <c r="F2019" t="str">
        <f>VLOOKUP($A2019,'Medical Examinations'!$A:$J,6,FALSE)</f>
        <v>No</v>
      </c>
      <c r="G2019" t="str">
        <f>VLOOKUP($A2019,'Medical Examinations'!$A:$J,7,FALSE)</f>
        <v>No</v>
      </c>
      <c r="H2019" t="str">
        <f>VLOOKUP($A2019,'Medical Examinations'!$A:$J,8,FALSE)</f>
        <v>No</v>
      </c>
      <c r="I2019">
        <f>VLOOKUP($A2019,'Medical Examinations'!$A:$J,9,FALSE)</f>
        <v>1</v>
      </c>
      <c r="J2019" t="str">
        <f>VLOOKUP($A2019,'Medical Examinations'!$A:$J,10,FALSE)</f>
        <v>No</v>
      </c>
      <c r="K2019" t="str">
        <f>VLOOKUP($A2019,'Medical Examinations'!$A:$J,5,FALSE)</f>
        <v>Prediabetes</v>
      </c>
      <c r="L2019">
        <f>VLOOKUP($A2020,'Medical Examinations'!$A:$J,3,FALSE)</f>
        <v>34.484999999999999</v>
      </c>
      <c r="N2019" s="11">
        <f>VLOOKUP($B2019,'Hospitalisation Details'!A2018:J4362,10,0)</f>
        <v>24639</v>
      </c>
      <c r="O2019" t="str">
        <f>VLOOKUP($B2019,'Hospitalisation Details'!A2018:J4362,8,0)</f>
        <v>tier - 1</v>
      </c>
      <c r="P2019" t="str">
        <f>VLOOKUP($B2019,'Hospitalisation Details'!A2018:J4362,7,0)</f>
        <v>tier - 1</v>
      </c>
      <c r="Q2019" t="str">
        <f>VLOOKUP($B2019,'Hospitalisation Details'!A2018:J4362,9,0)</f>
        <v>R1012</v>
      </c>
      <c r="R2019">
        <f>VLOOKUP($B2019,'Hospitalisation Details'!A2018:K4362,11,0)</f>
        <v>55</v>
      </c>
    </row>
    <row r="2020" spans="1:18" x14ac:dyDescent="0.35">
      <c r="A2020" t="s">
        <v>348</v>
      </c>
      <c r="B2020" t="s">
        <v>2051</v>
      </c>
      <c r="C2020" t="str">
        <f>VLOOKUP($A2020,'Customer Names'!$A:$E,4,FALSE)</f>
        <v>Alyson</v>
      </c>
      <c r="D2020" t="str">
        <f>VLOOKUP($A2020,'Medical Examinations'!$A:$J,2,FALSE)</f>
        <v>Obesity</v>
      </c>
      <c r="E2020">
        <f>VLOOKUP($A2020,'Medical Examinations'!$A:$J,4,FALSE)</f>
        <v>4.7</v>
      </c>
      <c r="F2020" t="str">
        <f>VLOOKUP($A2020,'Medical Examinations'!$A:$J,6,FALSE)</f>
        <v>yes</v>
      </c>
      <c r="G2020" t="str">
        <f>VLOOKUP($A2020,'Medical Examinations'!$A:$J,7,FALSE)</f>
        <v>No</v>
      </c>
      <c r="H2020" t="str">
        <f>VLOOKUP($A2020,'Medical Examinations'!$A:$J,8,FALSE)</f>
        <v>Yes</v>
      </c>
      <c r="I2020">
        <f>VLOOKUP($A2020,'Medical Examinations'!$A:$J,9,FALSE)</f>
        <v>1</v>
      </c>
      <c r="J2020" t="str">
        <f>VLOOKUP($A2020,'Medical Examinations'!$A:$J,10,FALSE)</f>
        <v>No</v>
      </c>
      <c r="K2020" t="str">
        <f>VLOOKUP($A2020,'Medical Examinations'!$A:$J,5,FALSE)</f>
        <v>Normal</v>
      </c>
      <c r="L2020">
        <f>VLOOKUP($A2021,'Medical Examinations'!$A:$J,3,FALSE)</f>
        <v>15.57</v>
      </c>
      <c r="N2020" s="11">
        <f>VLOOKUP($B2020,'Hospitalisation Details'!A2019:J4363,10,0)</f>
        <v>29100</v>
      </c>
      <c r="O2020" t="str">
        <f>VLOOKUP($B2020,'Hospitalisation Details'!A2019:J4363,8,0)</f>
        <v>tier - 3</v>
      </c>
      <c r="P2020" t="str">
        <f>VLOOKUP($B2020,'Hospitalisation Details'!A2019:J4363,7,0)</f>
        <v>tier - 2</v>
      </c>
      <c r="Q2020" t="str">
        <f>VLOOKUP($B2020,'Hospitalisation Details'!A2019:J4363,9,0)</f>
        <v>R1011</v>
      </c>
      <c r="R2020">
        <f>VLOOKUP($B2020,'Hospitalisation Details'!A2019:K4363,11,0)</f>
        <v>43</v>
      </c>
    </row>
    <row r="2021" spans="1:18" x14ac:dyDescent="0.35">
      <c r="A2021" t="s">
        <v>347</v>
      </c>
      <c r="B2021" t="s">
        <v>2052</v>
      </c>
      <c r="C2021" t="str">
        <f>VLOOKUP($A2021,'Customer Names'!$A:$E,4,FALSE)</f>
        <v>Chance B</v>
      </c>
      <c r="D2021" t="str">
        <f>VLOOKUP($A2021,'Medical Examinations'!$A:$J,2,FALSE)</f>
        <v>Underweight</v>
      </c>
      <c r="E2021">
        <f>VLOOKUP($A2021,'Medical Examinations'!$A:$J,4,FALSE)</f>
        <v>4.07</v>
      </c>
      <c r="F2021" t="str">
        <f>VLOOKUP($A2021,'Medical Examinations'!$A:$J,6,FALSE)</f>
        <v>yes</v>
      </c>
      <c r="G2021" t="str">
        <f>VLOOKUP($A2021,'Medical Examinations'!$A:$J,7,FALSE)</f>
        <v>No</v>
      </c>
      <c r="H2021" t="str">
        <f>VLOOKUP($A2021,'Medical Examinations'!$A:$J,8,FALSE)</f>
        <v>No</v>
      </c>
      <c r="I2021">
        <f>VLOOKUP($A2021,'Medical Examinations'!$A:$J,9,FALSE)</f>
        <v>1</v>
      </c>
      <c r="J2021" t="str">
        <f>VLOOKUP($A2021,'Medical Examinations'!$A:$J,10,FALSE)</f>
        <v>No</v>
      </c>
      <c r="K2021" t="str">
        <f>VLOOKUP($A2021,'Medical Examinations'!$A:$J,5,FALSE)</f>
        <v>Normal</v>
      </c>
      <c r="L2021">
        <f>VLOOKUP($A2022,'Medical Examinations'!$A:$J,3,FALSE)</f>
        <v>30.36</v>
      </c>
      <c r="N2021" s="11">
        <f>VLOOKUP($B2021,'Hospitalisation Details'!A2020:J4364,10,0)</f>
        <v>26292</v>
      </c>
      <c r="O2021" t="str">
        <f>VLOOKUP($B2021,'Hospitalisation Details'!A2020:J4364,8,0)</f>
        <v>tier - 3</v>
      </c>
      <c r="P2021" t="str">
        <f>VLOOKUP($B2021,'Hospitalisation Details'!A2020:J4364,7,0)</f>
        <v>tier - 2</v>
      </c>
      <c r="Q2021" t="str">
        <f>VLOOKUP($B2021,'Hospitalisation Details'!A2020:J4364,9,0)</f>
        <v>R1011</v>
      </c>
      <c r="R2021">
        <f>VLOOKUP($B2021,'Hospitalisation Details'!A2020:K4364,11,0)</f>
        <v>51</v>
      </c>
    </row>
    <row r="2022" spans="1:18" x14ac:dyDescent="0.35">
      <c r="A2022" t="s">
        <v>346</v>
      </c>
      <c r="B2022" t="s">
        <v>2053</v>
      </c>
      <c r="C2022" t="str">
        <f>VLOOKUP($A2022,'Customer Names'!$A:$E,4,FALSE)</f>
        <v>Sean P</v>
      </c>
      <c r="D2022" t="str">
        <f>VLOOKUP($A2022,'Medical Examinations'!$A:$J,2,FALSE)</f>
        <v>Obesity</v>
      </c>
      <c r="E2022">
        <f>VLOOKUP($A2022,'Medical Examinations'!$A:$J,4,FALSE)</f>
        <v>9.39</v>
      </c>
      <c r="F2022" t="str">
        <f>VLOOKUP($A2022,'Medical Examinations'!$A:$J,6,FALSE)</f>
        <v>No</v>
      </c>
      <c r="G2022" t="str">
        <f>VLOOKUP($A2022,'Medical Examinations'!$A:$J,7,FALSE)</f>
        <v>No</v>
      </c>
      <c r="H2022" t="str">
        <f>VLOOKUP($A2022,'Medical Examinations'!$A:$J,8,FALSE)</f>
        <v>No</v>
      </c>
      <c r="I2022">
        <f>VLOOKUP($A2022,'Medical Examinations'!$A:$J,9,FALSE)</f>
        <v>0</v>
      </c>
      <c r="J2022" t="str">
        <f>VLOOKUP($A2022,'Medical Examinations'!$A:$J,10,FALSE)</f>
        <v>No</v>
      </c>
      <c r="K2022" t="str">
        <f>VLOOKUP($A2022,'Medical Examinations'!$A:$J,5,FALSE)</f>
        <v>Diabetes</v>
      </c>
      <c r="L2022">
        <f>VLOOKUP($A2023,'Medical Examinations'!$A:$J,3,FALSE)</f>
        <v>19.37</v>
      </c>
      <c r="N2022" s="11">
        <f>VLOOKUP($B2022,'Hospitalisation Details'!A2021:J4365,10,0)</f>
        <v>21408</v>
      </c>
      <c r="O2022" t="str">
        <f>VLOOKUP($B2022,'Hospitalisation Details'!A2021:J4365,8,0)</f>
        <v>tier - 3</v>
      </c>
      <c r="P2022" t="str">
        <f>VLOOKUP($B2022,'Hospitalisation Details'!A2021:J4365,7,0)</f>
        <v>tier - 1</v>
      </c>
      <c r="Q2022" t="str">
        <f>VLOOKUP($B2022,'Hospitalisation Details'!A2021:J4365,9,0)</f>
        <v>R1012</v>
      </c>
      <c r="R2022">
        <f>VLOOKUP($B2022,'Hospitalisation Details'!A2021:K4365,11,0)</f>
        <v>64</v>
      </c>
    </row>
    <row r="2023" spans="1:18" x14ac:dyDescent="0.35">
      <c r="A2023" t="s">
        <v>345</v>
      </c>
      <c r="B2023" t="s">
        <v>2054</v>
      </c>
      <c r="C2023" t="str">
        <f>VLOOKUP($A2023,'Customer Names'!$A:$E,4,FALSE)</f>
        <v>Therese</v>
      </c>
      <c r="D2023" t="str">
        <f>VLOOKUP($A2023,'Medical Examinations'!$A:$J,2,FALSE)</f>
        <v>Normal Weight</v>
      </c>
      <c r="E2023">
        <f>VLOOKUP($A2023,'Medical Examinations'!$A:$J,4,FALSE)</f>
        <v>4.18</v>
      </c>
      <c r="F2023" t="str">
        <f>VLOOKUP($A2023,'Medical Examinations'!$A:$J,6,FALSE)</f>
        <v>No</v>
      </c>
      <c r="G2023" t="str">
        <f>VLOOKUP($A2023,'Medical Examinations'!$A:$J,7,FALSE)</f>
        <v>No</v>
      </c>
      <c r="H2023" t="str">
        <f>VLOOKUP($A2023,'Medical Examinations'!$A:$J,8,FALSE)</f>
        <v>No</v>
      </c>
      <c r="I2023">
        <f>VLOOKUP($A2023,'Medical Examinations'!$A:$J,9,FALSE)</f>
        <v>0</v>
      </c>
      <c r="J2023" t="str">
        <f>VLOOKUP($A2023,'Medical Examinations'!$A:$J,10,FALSE)</f>
        <v>No</v>
      </c>
      <c r="K2023" t="str">
        <f>VLOOKUP($A2023,'Medical Examinations'!$A:$J,5,FALSE)</f>
        <v>Normal</v>
      </c>
      <c r="L2023">
        <f>VLOOKUP($A2024,'Medical Examinations'!$A:$J,3,FALSE)</f>
        <v>16.71</v>
      </c>
      <c r="N2023" s="11">
        <f>VLOOKUP($B2023,'Hospitalisation Details'!A2022:J4366,10,0)</f>
        <v>23267</v>
      </c>
      <c r="O2023" t="str">
        <f>VLOOKUP($B2023,'Hospitalisation Details'!A2022:J4366,8,0)</f>
        <v>tier - 1</v>
      </c>
      <c r="P2023" t="str">
        <f>VLOOKUP($B2023,'Hospitalisation Details'!A2022:J4366,7,0)</f>
        <v>tier - 1</v>
      </c>
      <c r="Q2023" t="str">
        <f>VLOOKUP($B2023,'Hospitalisation Details'!A2022:J4366,9,0)</f>
        <v>R1014</v>
      </c>
      <c r="R2023">
        <f>VLOOKUP($B2023,'Hospitalisation Details'!A2022:K4366,11,0)</f>
        <v>59</v>
      </c>
    </row>
    <row r="2024" spans="1:18" x14ac:dyDescent="0.35">
      <c r="A2024" t="s">
        <v>344</v>
      </c>
      <c r="B2024" t="s">
        <v>2055</v>
      </c>
      <c r="C2024" t="str">
        <f>VLOOKUP($A2024,'Customer Names'!$A:$E,4,FALSE)</f>
        <v>Beau</v>
      </c>
      <c r="D2024" t="str">
        <f>VLOOKUP($A2024,'Medical Examinations'!$A:$J,2,FALSE)</f>
        <v>Underweight</v>
      </c>
      <c r="E2024">
        <f>VLOOKUP($A2024,'Medical Examinations'!$A:$J,4,FALSE)</f>
        <v>4.18</v>
      </c>
      <c r="F2024" t="str">
        <f>VLOOKUP($A2024,'Medical Examinations'!$A:$J,6,FALSE)</f>
        <v>No</v>
      </c>
      <c r="G2024" t="str">
        <f>VLOOKUP($A2024,'Medical Examinations'!$A:$J,7,FALSE)</f>
        <v>No</v>
      </c>
      <c r="H2024" t="str">
        <f>VLOOKUP($A2024,'Medical Examinations'!$A:$J,8,FALSE)</f>
        <v>No</v>
      </c>
      <c r="I2024">
        <f>VLOOKUP($A2024,'Medical Examinations'!$A:$J,9,FALSE)</f>
        <v>1</v>
      </c>
      <c r="J2024" t="str">
        <f>VLOOKUP($A2024,'Medical Examinations'!$A:$J,10,FALSE)</f>
        <v>No</v>
      </c>
      <c r="K2024" t="str">
        <f>VLOOKUP($A2024,'Medical Examinations'!$A:$J,5,FALSE)</f>
        <v>Normal</v>
      </c>
      <c r="L2024">
        <f>VLOOKUP($A2025,'Medical Examinations'!$A:$J,3,FALSE)</f>
        <v>24.1</v>
      </c>
      <c r="N2024" s="11">
        <f>VLOOKUP($B2024,'Hospitalisation Details'!A2023:J4367,10,0)</f>
        <v>22904</v>
      </c>
      <c r="O2024" t="str">
        <f>VLOOKUP($B2024,'Hospitalisation Details'!A2023:J4367,8,0)</f>
        <v>tier - 1</v>
      </c>
      <c r="P2024" t="str">
        <f>VLOOKUP($B2024,'Hospitalisation Details'!A2023:J4367,7,0)</f>
        <v>tier - 1</v>
      </c>
      <c r="Q2024" t="str">
        <f>VLOOKUP($B2024,'Hospitalisation Details'!A2023:J4367,9,0)</f>
        <v>R1014</v>
      </c>
      <c r="R2024">
        <f>VLOOKUP($B2024,'Hospitalisation Details'!A2023:K4367,11,0)</f>
        <v>60</v>
      </c>
    </row>
    <row r="2025" spans="1:18" x14ac:dyDescent="0.35">
      <c r="A2025" t="s">
        <v>343</v>
      </c>
      <c r="B2025" t="s">
        <v>2056</v>
      </c>
      <c r="C2025" t="str">
        <f>VLOOKUP($A2025,'Customer Names'!$A:$E,4,FALSE)</f>
        <v>Kelsey M</v>
      </c>
      <c r="D2025" t="str">
        <f>VLOOKUP($A2025,'Medical Examinations'!$A:$J,2,FALSE)</f>
        <v>Normal Weight</v>
      </c>
      <c r="E2025">
        <f>VLOOKUP($A2025,'Medical Examinations'!$A:$J,4,FALSE)</f>
        <v>4.4000000000000004</v>
      </c>
      <c r="F2025" t="str">
        <f>VLOOKUP($A2025,'Medical Examinations'!$A:$J,6,FALSE)</f>
        <v>yes</v>
      </c>
      <c r="G2025" t="str">
        <f>VLOOKUP($A2025,'Medical Examinations'!$A:$J,7,FALSE)</f>
        <v>No</v>
      </c>
      <c r="H2025" t="str">
        <f>VLOOKUP($A2025,'Medical Examinations'!$A:$J,8,FALSE)</f>
        <v>No</v>
      </c>
      <c r="I2025">
        <f>VLOOKUP($A2025,'Medical Examinations'!$A:$J,9,FALSE)</f>
        <v>1</v>
      </c>
      <c r="J2025" t="str">
        <f>VLOOKUP($A2025,'Medical Examinations'!$A:$J,10,FALSE)</f>
        <v>No</v>
      </c>
      <c r="K2025" t="str">
        <f>VLOOKUP($A2025,'Medical Examinations'!$A:$J,5,FALSE)</f>
        <v>Normal</v>
      </c>
      <c r="L2025">
        <f>VLOOKUP($A2026,'Medical Examinations'!$A:$J,3,FALSE)</f>
        <v>29.77</v>
      </c>
      <c r="N2025" s="11">
        <f>VLOOKUP($B2025,'Hospitalisation Details'!A2024:J4368,10,0)</f>
        <v>26504</v>
      </c>
      <c r="O2025" t="str">
        <f>VLOOKUP($B2025,'Hospitalisation Details'!A2024:J4368,8,0)</f>
        <v>tier - 1</v>
      </c>
      <c r="P2025" t="str">
        <f>VLOOKUP($B2025,'Hospitalisation Details'!A2024:J4368,7,0)</f>
        <v>tier - 1</v>
      </c>
      <c r="Q2025" t="str">
        <f>VLOOKUP($B2025,'Hospitalisation Details'!A2024:J4368,9,0)</f>
        <v>R1012</v>
      </c>
      <c r="R2025">
        <f>VLOOKUP($B2025,'Hospitalisation Details'!A2024:K4368,11,0)</f>
        <v>50</v>
      </c>
    </row>
    <row r="2026" spans="1:18" x14ac:dyDescent="0.35">
      <c r="A2026" t="s">
        <v>342</v>
      </c>
      <c r="B2026" t="s">
        <v>2057</v>
      </c>
      <c r="C2026" t="str">
        <f>VLOOKUP($A2026,'Customer Names'!$A:$E,4,FALSE)</f>
        <v>Gretchen</v>
      </c>
      <c r="D2026" t="str">
        <f>VLOOKUP($A2026,'Medical Examinations'!$A:$J,2,FALSE)</f>
        <v>Overweight</v>
      </c>
      <c r="E2026">
        <f>VLOOKUP($A2026,'Medical Examinations'!$A:$J,4,FALSE)</f>
        <v>9.9</v>
      </c>
      <c r="F2026" t="str">
        <f>VLOOKUP($A2026,'Medical Examinations'!$A:$J,6,FALSE)</f>
        <v>No</v>
      </c>
      <c r="G2026" t="str">
        <f>VLOOKUP($A2026,'Medical Examinations'!$A:$J,7,FALSE)</f>
        <v>No</v>
      </c>
      <c r="H2026" t="str">
        <f>VLOOKUP($A2026,'Medical Examinations'!$A:$J,8,FALSE)</f>
        <v>No</v>
      </c>
      <c r="I2026">
        <f>VLOOKUP($A2026,'Medical Examinations'!$A:$J,9,FALSE)</f>
        <v>0</v>
      </c>
      <c r="J2026" t="str">
        <f>VLOOKUP($A2026,'Medical Examinations'!$A:$J,10,FALSE)</f>
        <v>No</v>
      </c>
      <c r="K2026" t="str">
        <f>VLOOKUP($A2026,'Medical Examinations'!$A:$J,5,FALSE)</f>
        <v>Diabetes</v>
      </c>
      <c r="L2026">
        <f>VLOOKUP($A2027,'Medical Examinations'!$A:$J,3,FALSE)</f>
        <v>46.53</v>
      </c>
      <c r="N2026" s="11">
        <f>VLOOKUP($B2026,'Hospitalisation Details'!A2025:J4369,10,0)</f>
        <v>38139</v>
      </c>
      <c r="O2026" t="str">
        <f>VLOOKUP($B2026,'Hospitalisation Details'!A2025:J4369,8,0)</f>
        <v>tier - 2</v>
      </c>
      <c r="P2026" t="str">
        <f>VLOOKUP($B2026,'Hospitalisation Details'!A2025:J4369,7,0)</f>
        <v>tier - 2</v>
      </c>
      <c r="Q2026" t="str">
        <f>VLOOKUP($B2026,'Hospitalisation Details'!A2025:J4369,9,0)</f>
        <v>R1011</v>
      </c>
      <c r="R2026">
        <f>VLOOKUP($B2026,'Hospitalisation Details'!A2025:K4369,11,0)</f>
        <v>19</v>
      </c>
    </row>
    <row r="2027" spans="1:18" x14ac:dyDescent="0.35">
      <c r="A2027" t="s">
        <v>341</v>
      </c>
      <c r="B2027" t="s">
        <v>2058</v>
      </c>
      <c r="C2027" t="str">
        <f>VLOOKUP($A2027,'Customer Names'!$A:$E,4,FALSE)</f>
        <v>Nicholas E.</v>
      </c>
      <c r="D2027" t="str">
        <f>VLOOKUP($A2027,'Medical Examinations'!$A:$J,2,FALSE)</f>
        <v>Obesity</v>
      </c>
      <c r="E2027">
        <f>VLOOKUP($A2027,'Medical Examinations'!$A:$J,4,FALSE)</f>
        <v>4.84</v>
      </c>
      <c r="F2027" t="str">
        <f>VLOOKUP($A2027,'Medical Examinations'!$A:$J,6,FALSE)</f>
        <v>yes</v>
      </c>
      <c r="G2027" t="str">
        <f>VLOOKUP($A2027,'Medical Examinations'!$A:$J,7,FALSE)</f>
        <v>No</v>
      </c>
      <c r="H2027" t="str">
        <f>VLOOKUP($A2027,'Medical Examinations'!$A:$J,8,FALSE)</f>
        <v>No</v>
      </c>
      <c r="I2027">
        <f>VLOOKUP($A2027,'Medical Examinations'!$A:$J,9,FALSE)</f>
        <v>0</v>
      </c>
      <c r="J2027" t="str">
        <f>VLOOKUP($A2027,'Medical Examinations'!$A:$J,10,FALSE)</f>
        <v>No</v>
      </c>
      <c r="K2027" t="str">
        <f>VLOOKUP($A2027,'Medical Examinations'!$A:$J,5,FALSE)</f>
        <v>Normal</v>
      </c>
      <c r="L2027">
        <f>VLOOKUP($A2028,'Medical Examinations'!$A:$J,3,FALSE)</f>
        <v>23.4</v>
      </c>
      <c r="N2027" s="11">
        <f>VLOOKUP($B2027,'Hospitalisation Details'!A2026:J4370,10,0)</f>
        <v>25414</v>
      </c>
      <c r="O2027" t="str">
        <f>VLOOKUP($B2027,'Hospitalisation Details'!A2026:J4370,8,0)</f>
        <v>tier - 2</v>
      </c>
      <c r="P2027" t="str">
        <f>VLOOKUP($B2027,'Hospitalisation Details'!A2026:J4370,7,0)</f>
        <v>tier - 2</v>
      </c>
      <c r="Q2027" t="str">
        <f>VLOOKUP($B2027,'Hospitalisation Details'!A2026:J4370,9,0)</f>
        <v>R1011</v>
      </c>
      <c r="R2027">
        <f>VLOOKUP($B2027,'Hospitalisation Details'!A2026:K4370,11,0)</f>
        <v>53</v>
      </c>
    </row>
    <row r="2028" spans="1:18" x14ac:dyDescent="0.35">
      <c r="A2028" t="s">
        <v>340</v>
      </c>
      <c r="B2028" t="s">
        <v>2059</v>
      </c>
      <c r="C2028" t="str">
        <f>VLOOKUP($A2028,'Customer Names'!$A:$E,4,FALSE)</f>
        <v>Deborah</v>
      </c>
      <c r="D2028" t="str">
        <f>VLOOKUP($A2028,'Medical Examinations'!$A:$J,2,FALSE)</f>
        <v>Normal Weight</v>
      </c>
      <c r="E2028">
        <f>VLOOKUP($A2028,'Medical Examinations'!$A:$J,4,FALSE)</f>
        <v>5.53</v>
      </c>
      <c r="F2028" t="str">
        <f>VLOOKUP($A2028,'Medical Examinations'!$A:$J,6,FALSE)</f>
        <v>No</v>
      </c>
      <c r="G2028" t="str">
        <f>VLOOKUP($A2028,'Medical Examinations'!$A:$J,7,FALSE)</f>
        <v>No</v>
      </c>
      <c r="H2028" t="str">
        <f>VLOOKUP($A2028,'Medical Examinations'!$A:$J,8,FALSE)</f>
        <v>Yes</v>
      </c>
      <c r="I2028">
        <f>VLOOKUP($A2028,'Medical Examinations'!$A:$J,9,FALSE)</f>
        <v>1</v>
      </c>
      <c r="J2028" t="str">
        <f>VLOOKUP($A2028,'Medical Examinations'!$A:$J,10,FALSE)</f>
        <v>No</v>
      </c>
      <c r="K2028" t="str">
        <f>VLOOKUP($A2028,'Medical Examinations'!$A:$J,5,FALSE)</f>
        <v>Normal</v>
      </c>
      <c r="L2028">
        <f>VLOOKUP($A2029,'Medical Examinations'!$A:$J,3,FALSE)</f>
        <v>30</v>
      </c>
      <c r="N2028" s="11">
        <f>VLOOKUP($B2028,'Hospitalisation Details'!A2027:J4371,10,0)</f>
        <v>28006</v>
      </c>
      <c r="O2028" t="str">
        <f>VLOOKUP($B2028,'Hospitalisation Details'!A2027:J4371,8,0)</f>
        <v>tier - 3</v>
      </c>
      <c r="P2028" t="str">
        <f>VLOOKUP($B2028,'Hospitalisation Details'!A2027:J4371,7,0)</f>
        <v>tier - 2</v>
      </c>
      <c r="Q2028" t="str">
        <f>VLOOKUP($B2028,'Hospitalisation Details'!A2027:J4371,9,0)</f>
        <v>R1012</v>
      </c>
      <c r="R2028">
        <f>VLOOKUP($B2028,'Hospitalisation Details'!A2027:K4371,11,0)</f>
        <v>46</v>
      </c>
    </row>
    <row r="2029" spans="1:18" x14ac:dyDescent="0.35">
      <c r="A2029" t="s">
        <v>339</v>
      </c>
      <c r="B2029" t="s">
        <v>2060</v>
      </c>
      <c r="C2029" t="str">
        <f>VLOOKUP($A2029,'Customer Names'!$A:$E,4,FALSE)</f>
        <v>Chuck W. Jr.</v>
      </c>
      <c r="D2029" t="str">
        <f>VLOOKUP($A2029,'Medical Examinations'!$A:$J,2,FALSE)</f>
        <v>Obesity</v>
      </c>
      <c r="E2029">
        <f>VLOOKUP($A2029,'Medical Examinations'!$A:$J,4,FALSE)</f>
        <v>4.33</v>
      </c>
      <c r="F2029" t="str">
        <f>VLOOKUP($A2029,'Medical Examinations'!$A:$J,6,FALSE)</f>
        <v>yes</v>
      </c>
      <c r="G2029" t="str">
        <f>VLOOKUP($A2029,'Medical Examinations'!$A:$J,7,FALSE)</f>
        <v>No</v>
      </c>
      <c r="H2029" t="str">
        <f>VLOOKUP($A2029,'Medical Examinations'!$A:$J,8,FALSE)</f>
        <v>No</v>
      </c>
      <c r="I2029">
        <f>VLOOKUP($A2029,'Medical Examinations'!$A:$J,9,FALSE)</f>
        <v>0</v>
      </c>
      <c r="J2029" t="str">
        <f>VLOOKUP($A2029,'Medical Examinations'!$A:$J,10,FALSE)</f>
        <v>No</v>
      </c>
      <c r="K2029" t="str">
        <f>VLOOKUP($A2029,'Medical Examinations'!$A:$J,5,FALSE)</f>
        <v>Normal</v>
      </c>
      <c r="L2029">
        <f>VLOOKUP($A2030,'Medical Examinations'!$A:$J,3,FALSE)</f>
        <v>29.15</v>
      </c>
      <c r="N2029" s="11">
        <f>VLOOKUP($B2029,'Hospitalisation Details'!A2028:J4372,10,0)</f>
        <v>36096</v>
      </c>
      <c r="O2029" t="str">
        <f>VLOOKUP($B2029,'Hospitalisation Details'!A2028:J4372,8,0)</f>
        <v>tier - 3</v>
      </c>
      <c r="P2029" t="str">
        <f>VLOOKUP($B2029,'Hospitalisation Details'!A2028:J4372,7,0)</f>
        <v>tier - 2</v>
      </c>
      <c r="Q2029" t="str">
        <f>VLOOKUP($B2029,'Hospitalisation Details'!A2028:J4372,9,0)</f>
        <v>R1011</v>
      </c>
      <c r="R2029">
        <f>VLOOKUP($B2029,'Hospitalisation Details'!A2028:K4372,11,0)</f>
        <v>24</v>
      </c>
    </row>
    <row r="2030" spans="1:18" x14ac:dyDescent="0.35">
      <c r="A2030" t="s">
        <v>338</v>
      </c>
      <c r="B2030" t="s">
        <v>2061</v>
      </c>
      <c r="C2030" t="str">
        <f>VLOOKUP($A2030,'Customer Names'!$A:$E,4,FALSE)</f>
        <v>Daniel</v>
      </c>
      <c r="D2030" t="str">
        <f>VLOOKUP($A2030,'Medical Examinations'!$A:$J,2,FALSE)</f>
        <v>Overweight</v>
      </c>
      <c r="E2030">
        <f>VLOOKUP($A2030,'Medical Examinations'!$A:$J,4,FALSE)</f>
        <v>4.91</v>
      </c>
      <c r="F2030" t="str">
        <f>VLOOKUP($A2030,'Medical Examinations'!$A:$J,6,FALSE)</f>
        <v>yes</v>
      </c>
      <c r="G2030" t="str">
        <f>VLOOKUP($A2030,'Medical Examinations'!$A:$J,7,FALSE)</f>
        <v>No</v>
      </c>
      <c r="H2030" t="str">
        <f>VLOOKUP($A2030,'Medical Examinations'!$A:$J,8,FALSE)</f>
        <v>No</v>
      </c>
      <c r="I2030">
        <f>VLOOKUP($A2030,'Medical Examinations'!$A:$J,9,FALSE)</f>
        <v>0</v>
      </c>
      <c r="J2030" t="str">
        <f>VLOOKUP($A2030,'Medical Examinations'!$A:$J,10,FALSE)</f>
        <v>No</v>
      </c>
      <c r="K2030" t="str">
        <f>VLOOKUP($A2030,'Medical Examinations'!$A:$J,5,FALSE)</f>
        <v>Normal</v>
      </c>
      <c r="L2030">
        <f>VLOOKUP($A2031,'Medical Examinations'!$A:$J,3,FALSE)</f>
        <v>34.865000000000002</v>
      </c>
      <c r="N2030" s="11">
        <f>VLOOKUP($B2030,'Hospitalisation Details'!A2029:J4373,10,0)</f>
        <v>30562</v>
      </c>
      <c r="O2030" t="str">
        <f>VLOOKUP($B2030,'Hospitalisation Details'!A2029:J4373,8,0)</f>
        <v>tier - 1</v>
      </c>
      <c r="P2030" t="str">
        <f>VLOOKUP($B2030,'Hospitalisation Details'!A2029:J4373,7,0)</f>
        <v>tier - 2</v>
      </c>
      <c r="Q2030" t="str">
        <f>VLOOKUP($B2030,'Hospitalisation Details'!A2029:J4373,9,0)</f>
        <v>R1012</v>
      </c>
      <c r="R2030">
        <f>VLOOKUP($B2030,'Hospitalisation Details'!A2029:K4373,11,0)</f>
        <v>39</v>
      </c>
    </row>
    <row r="2031" spans="1:18" x14ac:dyDescent="0.35">
      <c r="A2031" t="s">
        <v>337</v>
      </c>
      <c r="B2031" t="s">
        <v>2062</v>
      </c>
      <c r="C2031" t="str">
        <f>VLOOKUP($A2031,'Customer Names'!$A:$E,4,FALSE)</f>
        <v>Amany</v>
      </c>
      <c r="D2031" t="str">
        <f>VLOOKUP($A2031,'Medical Examinations'!$A:$J,2,FALSE)</f>
        <v>Obesity</v>
      </c>
      <c r="E2031">
        <f>VLOOKUP($A2031,'Medical Examinations'!$A:$J,4,FALSE)</f>
        <v>4.8</v>
      </c>
      <c r="F2031" t="str">
        <f>VLOOKUP($A2031,'Medical Examinations'!$A:$J,6,FALSE)</f>
        <v>No</v>
      </c>
      <c r="G2031" t="str">
        <f>VLOOKUP($A2031,'Medical Examinations'!$A:$J,7,FALSE)</f>
        <v>No</v>
      </c>
      <c r="H2031" t="str">
        <f>VLOOKUP($A2031,'Medical Examinations'!$A:$J,8,FALSE)</f>
        <v>No</v>
      </c>
      <c r="I2031">
        <f>VLOOKUP($A2031,'Medical Examinations'!$A:$J,9,FALSE)</f>
        <v>0</v>
      </c>
      <c r="J2031" t="str">
        <f>VLOOKUP($A2031,'Medical Examinations'!$A:$J,10,FALSE)</f>
        <v>No</v>
      </c>
      <c r="K2031" t="str">
        <f>VLOOKUP($A2031,'Medical Examinations'!$A:$J,5,FALSE)</f>
        <v>Normal</v>
      </c>
      <c r="L2031">
        <f>VLOOKUP($A2032,'Medical Examinations'!$A:$J,3,FALSE)</f>
        <v>28.12</v>
      </c>
      <c r="N2031" s="11">
        <f>VLOOKUP($B2031,'Hospitalisation Details'!A2030:J4374,10,0)</f>
        <v>31634</v>
      </c>
      <c r="O2031" t="str">
        <f>VLOOKUP($B2031,'Hospitalisation Details'!A2030:J4374,8,0)</f>
        <v>tier - 1</v>
      </c>
      <c r="P2031" t="str">
        <f>VLOOKUP($B2031,'Hospitalisation Details'!A2030:J4374,7,0)</f>
        <v>tier - 2</v>
      </c>
      <c r="Q2031" t="str">
        <f>VLOOKUP($B2031,'Hospitalisation Details'!A2030:J4374,9,0)</f>
        <v>R1011</v>
      </c>
      <c r="R2031">
        <f>VLOOKUP($B2031,'Hospitalisation Details'!A2030:K4374,11,0)</f>
        <v>36</v>
      </c>
    </row>
    <row r="2032" spans="1:18" x14ac:dyDescent="0.35">
      <c r="A2032" t="s">
        <v>336</v>
      </c>
      <c r="B2032" t="s">
        <v>2063</v>
      </c>
      <c r="C2032" t="str">
        <f>VLOOKUP($A2032,'Customer Names'!$A:$E,4,FALSE)</f>
        <v>Kipling</v>
      </c>
      <c r="D2032" t="str">
        <f>VLOOKUP($A2032,'Medical Examinations'!$A:$J,2,FALSE)</f>
        <v>Overweight</v>
      </c>
      <c r="E2032">
        <f>VLOOKUP($A2032,'Medical Examinations'!$A:$J,4,FALSE)</f>
        <v>5.55</v>
      </c>
      <c r="F2032" t="str">
        <f>VLOOKUP($A2032,'Medical Examinations'!$A:$J,6,FALSE)</f>
        <v>yes</v>
      </c>
      <c r="G2032" t="str">
        <f>VLOOKUP($A2032,'Medical Examinations'!$A:$J,7,FALSE)</f>
        <v>yes</v>
      </c>
      <c r="H2032" t="str">
        <f>VLOOKUP($A2032,'Medical Examinations'!$A:$J,8,FALSE)</f>
        <v>No</v>
      </c>
      <c r="I2032">
        <f>VLOOKUP($A2032,'Medical Examinations'!$A:$J,9,FALSE)</f>
        <v>2</v>
      </c>
      <c r="J2032" t="str">
        <f>VLOOKUP($A2032,'Medical Examinations'!$A:$J,10,FALSE)</f>
        <v>No</v>
      </c>
      <c r="K2032" t="str">
        <f>VLOOKUP($A2032,'Medical Examinations'!$A:$J,5,FALSE)</f>
        <v>Normal</v>
      </c>
      <c r="L2032">
        <f>VLOOKUP($A2033,'Medical Examinations'!$A:$J,3,FALSE)</f>
        <v>29.45</v>
      </c>
      <c r="N2032" s="11">
        <f>VLOOKUP($B2032,'Hospitalisation Details'!A2031:J4375,10,0)</f>
        <v>25883</v>
      </c>
      <c r="O2032" t="str">
        <f>VLOOKUP($B2032,'Hospitalisation Details'!A2031:J4375,8,0)</f>
        <v>tier - 3</v>
      </c>
      <c r="P2032" t="str">
        <f>VLOOKUP($B2032,'Hospitalisation Details'!A2031:J4375,7,0)</f>
        <v>tier - 2</v>
      </c>
      <c r="Q2032" t="str">
        <f>VLOOKUP($B2032,'Hospitalisation Details'!A2031:J4375,9,0)</f>
        <v>R1011</v>
      </c>
      <c r="R2032">
        <f>VLOOKUP($B2032,'Hospitalisation Details'!A2031:K4375,11,0)</f>
        <v>52</v>
      </c>
    </row>
    <row r="2033" spans="1:18" x14ac:dyDescent="0.35">
      <c r="A2033" t="s">
        <v>335</v>
      </c>
      <c r="B2033" t="s">
        <v>2064</v>
      </c>
      <c r="C2033" t="str">
        <f>VLOOKUP($A2033,'Customer Names'!$A:$E,4,FALSE)</f>
        <v>Duncan</v>
      </c>
      <c r="D2033" t="str">
        <f>VLOOKUP($A2033,'Medical Examinations'!$A:$J,2,FALSE)</f>
        <v>Overweight</v>
      </c>
      <c r="E2033">
        <f>VLOOKUP($A2033,'Medical Examinations'!$A:$J,4,FALSE)</f>
        <v>5.24</v>
      </c>
      <c r="F2033" t="str">
        <f>VLOOKUP($A2033,'Medical Examinations'!$A:$J,6,FALSE)</f>
        <v>yes</v>
      </c>
      <c r="G2033" t="str">
        <f>VLOOKUP($A2033,'Medical Examinations'!$A:$J,7,FALSE)</f>
        <v>No</v>
      </c>
      <c r="H2033" t="str">
        <f>VLOOKUP($A2033,'Medical Examinations'!$A:$J,8,FALSE)</f>
        <v>No</v>
      </c>
      <c r="I2033">
        <f>VLOOKUP($A2033,'Medical Examinations'!$A:$J,9,FALSE)</f>
        <v>0</v>
      </c>
      <c r="J2033" t="str">
        <f>VLOOKUP($A2033,'Medical Examinations'!$A:$J,10,FALSE)</f>
        <v>No</v>
      </c>
      <c r="K2033" t="str">
        <f>VLOOKUP($A2033,'Medical Examinations'!$A:$J,5,FALSE)</f>
        <v>Normal</v>
      </c>
      <c r="L2033">
        <f>VLOOKUP($A2034,'Medical Examinations'!$A:$J,3,FALSE)</f>
        <v>27.94</v>
      </c>
      <c r="N2033" s="11">
        <f>VLOOKUP($B2033,'Hospitalisation Details'!A2032:J4376,10,0)</f>
        <v>36424</v>
      </c>
      <c r="O2033" t="str">
        <f>VLOOKUP($B2033,'Hospitalisation Details'!A2032:J4376,8,0)</f>
        <v>tier - 2</v>
      </c>
      <c r="P2033" t="str">
        <f>VLOOKUP($B2033,'Hospitalisation Details'!A2032:J4376,7,0)</f>
        <v>tier - 1</v>
      </c>
      <c r="Q2033" t="str">
        <f>VLOOKUP($B2033,'Hospitalisation Details'!A2032:J4376,9,0)</f>
        <v>R1011</v>
      </c>
      <c r="R2033">
        <f>VLOOKUP($B2033,'Hospitalisation Details'!A2032:K4376,11,0)</f>
        <v>23</v>
      </c>
    </row>
    <row r="2034" spans="1:18" x14ac:dyDescent="0.35">
      <c r="A2034" t="s">
        <v>334</v>
      </c>
      <c r="B2034" t="s">
        <v>2065</v>
      </c>
      <c r="C2034" t="str">
        <f>VLOOKUP($A2034,'Customer Names'!$A:$E,4,FALSE)</f>
        <v>Louis C.</v>
      </c>
      <c r="D2034" t="str">
        <f>VLOOKUP($A2034,'Medical Examinations'!$A:$J,2,FALSE)</f>
        <v>Overweight</v>
      </c>
      <c r="E2034">
        <f>VLOOKUP($A2034,'Medical Examinations'!$A:$J,4,FALSE)</f>
        <v>6.08</v>
      </c>
      <c r="F2034" t="str">
        <f>VLOOKUP($A2034,'Medical Examinations'!$A:$J,6,FALSE)</f>
        <v>No</v>
      </c>
      <c r="G2034" t="str">
        <f>VLOOKUP($A2034,'Medical Examinations'!$A:$J,7,FALSE)</f>
        <v>No</v>
      </c>
      <c r="H2034" t="str">
        <f>VLOOKUP($A2034,'Medical Examinations'!$A:$J,8,FALSE)</f>
        <v>Yes</v>
      </c>
      <c r="I2034">
        <f>VLOOKUP($A2034,'Medical Examinations'!$A:$J,9,FALSE)</f>
        <v>1</v>
      </c>
      <c r="J2034" t="str">
        <f>VLOOKUP($A2034,'Medical Examinations'!$A:$J,10,FALSE)</f>
        <v>No</v>
      </c>
      <c r="K2034" t="str">
        <f>VLOOKUP($A2034,'Medical Examinations'!$A:$J,5,FALSE)</f>
        <v>Prediabetes</v>
      </c>
      <c r="L2034">
        <f>VLOOKUP($A2035,'Medical Examinations'!$A:$J,3,FALSE)</f>
        <v>27.2</v>
      </c>
      <c r="N2034" s="11">
        <f>VLOOKUP($B2034,'Hospitalisation Details'!A2033:J4377,10,0)</f>
        <v>30671</v>
      </c>
      <c r="O2034" t="str">
        <f>VLOOKUP($B2034,'Hospitalisation Details'!A2033:J4377,8,0)</f>
        <v>tier - 3</v>
      </c>
      <c r="P2034" t="str">
        <f>VLOOKUP($B2034,'Hospitalisation Details'!A2033:J4377,7,0)</f>
        <v>tier - 2</v>
      </c>
      <c r="Q2034" t="str">
        <f>VLOOKUP($B2034,'Hospitalisation Details'!A2033:J4377,9,0)</f>
        <v>R1011</v>
      </c>
      <c r="R2034">
        <f>VLOOKUP($B2034,'Hospitalisation Details'!A2033:K4377,11,0)</f>
        <v>39</v>
      </c>
    </row>
    <row r="2035" spans="1:18" x14ac:dyDescent="0.35">
      <c r="A2035" t="s">
        <v>333</v>
      </c>
      <c r="B2035" t="s">
        <v>2066</v>
      </c>
      <c r="C2035" t="str">
        <f>VLOOKUP($A2035,'Customer Names'!$A:$E,4,FALSE)</f>
        <v>Daniel J</v>
      </c>
      <c r="D2035" t="str">
        <f>VLOOKUP($A2035,'Medical Examinations'!$A:$J,2,FALSE)</f>
        <v>Overweight</v>
      </c>
      <c r="E2035">
        <f>VLOOKUP($A2035,'Medical Examinations'!$A:$J,4,FALSE)</f>
        <v>5.83</v>
      </c>
      <c r="F2035" t="str">
        <f>VLOOKUP($A2035,'Medical Examinations'!$A:$J,6,FALSE)</f>
        <v>No</v>
      </c>
      <c r="G2035" t="str">
        <f>VLOOKUP($A2035,'Medical Examinations'!$A:$J,7,FALSE)</f>
        <v>No</v>
      </c>
      <c r="H2035" t="str">
        <f>VLOOKUP($A2035,'Medical Examinations'!$A:$J,8,FALSE)</f>
        <v>Yes</v>
      </c>
      <c r="I2035">
        <f>VLOOKUP($A2035,'Medical Examinations'!$A:$J,9,FALSE)</f>
        <v>1</v>
      </c>
      <c r="J2035" t="str">
        <f>VLOOKUP($A2035,'Medical Examinations'!$A:$J,10,FALSE)</f>
        <v>No</v>
      </c>
      <c r="K2035" t="str">
        <f>VLOOKUP($A2035,'Medical Examinations'!$A:$J,5,FALSE)</f>
        <v>Prediabetes</v>
      </c>
      <c r="L2035">
        <f>VLOOKUP($A2036,'Medical Examinations'!$A:$J,3,FALSE)</f>
        <v>33.344999999999999</v>
      </c>
      <c r="N2035" s="11">
        <f>VLOOKUP($B2035,'Hospitalisation Details'!A2034:J4378,10,0)</f>
        <v>32391</v>
      </c>
      <c r="O2035" t="str">
        <f>VLOOKUP($B2035,'Hospitalisation Details'!A2034:J4378,8,0)</f>
        <v>tier - 1</v>
      </c>
      <c r="P2035" t="str">
        <f>VLOOKUP($B2035,'Hospitalisation Details'!A2034:J4378,7,0)</f>
        <v>tier - 2</v>
      </c>
      <c r="Q2035" t="str">
        <f>VLOOKUP($B2035,'Hospitalisation Details'!A2034:J4378,9,0)</f>
        <v>R1011</v>
      </c>
      <c r="R2035">
        <f>VLOOKUP($B2035,'Hospitalisation Details'!A2034:K4378,11,0)</f>
        <v>34</v>
      </c>
    </row>
    <row r="2036" spans="1:18" x14ac:dyDescent="0.35">
      <c r="A2036" t="s">
        <v>332</v>
      </c>
      <c r="B2036" t="s">
        <v>2067</v>
      </c>
      <c r="C2036" t="str">
        <f>VLOOKUP($A2036,'Customer Names'!$A:$E,4,FALSE)</f>
        <v>Ildiko M.</v>
      </c>
      <c r="D2036" t="str">
        <f>VLOOKUP($A2036,'Medical Examinations'!$A:$J,2,FALSE)</f>
        <v>Obesity</v>
      </c>
      <c r="E2036">
        <f>VLOOKUP($A2036,'Medical Examinations'!$A:$J,4,FALSE)</f>
        <v>4.29</v>
      </c>
      <c r="F2036" t="str">
        <f>VLOOKUP($A2036,'Medical Examinations'!$A:$J,6,FALSE)</f>
        <v>No</v>
      </c>
      <c r="G2036" t="str">
        <f>VLOOKUP($A2036,'Medical Examinations'!$A:$J,7,FALSE)</f>
        <v>No</v>
      </c>
      <c r="H2036" t="str">
        <f>VLOOKUP($A2036,'Medical Examinations'!$A:$J,8,FALSE)</f>
        <v>No</v>
      </c>
      <c r="I2036">
        <f>VLOOKUP($A2036,'Medical Examinations'!$A:$J,9,FALSE)</f>
        <v>1</v>
      </c>
      <c r="J2036" t="str">
        <f>VLOOKUP($A2036,'Medical Examinations'!$A:$J,10,FALSE)</f>
        <v>No</v>
      </c>
      <c r="K2036" t="str">
        <f>VLOOKUP($A2036,'Medical Examinations'!$A:$J,5,FALSE)</f>
        <v>Normal</v>
      </c>
      <c r="L2036">
        <f>VLOOKUP($A2037,'Medical Examinations'!$A:$J,3,FALSE)</f>
        <v>29.925000000000001</v>
      </c>
      <c r="N2036" s="11">
        <f>VLOOKUP($B2036,'Hospitalisation Details'!A2035:J4379,10,0)</f>
        <v>22533</v>
      </c>
      <c r="O2036" t="str">
        <f>VLOOKUP($B2036,'Hospitalisation Details'!A2035:J4379,8,0)</f>
        <v>tier - 2</v>
      </c>
      <c r="P2036" t="str">
        <f>VLOOKUP($B2036,'Hospitalisation Details'!A2035:J4379,7,0)</f>
        <v>tier - 2</v>
      </c>
      <c r="Q2036" t="str">
        <f>VLOOKUP($B2036,'Hospitalisation Details'!A2035:J4379,9,0)</f>
        <v>R1013</v>
      </c>
      <c r="R2036">
        <f>VLOOKUP($B2036,'Hospitalisation Details'!A2035:K4379,11,0)</f>
        <v>61</v>
      </c>
    </row>
    <row r="2037" spans="1:18" x14ac:dyDescent="0.35">
      <c r="A2037" t="s">
        <v>331</v>
      </c>
      <c r="B2037" t="s">
        <v>2068</v>
      </c>
      <c r="C2037" t="str">
        <f>VLOOKUP($A2037,'Customer Names'!$A:$E,4,FALSE)</f>
        <v>Melinda E.</v>
      </c>
      <c r="D2037" t="str">
        <f>VLOOKUP($A2037,'Medical Examinations'!$A:$J,2,FALSE)</f>
        <v>Overweight</v>
      </c>
      <c r="E2037">
        <f>VLOOKUP($A2037,'Medical Examinations'!$A:$J,4,FALSE)</f>
        <v>5.3</v>
      </c>
      <c r="F2037" t="str">
        <f>VLOOKUP($A2037,'Medical Examinations'!$A:$J,6,FALSE)</f>
        <v>No</v>
      </c>
      <c r="G2037" t="str">
        <f>VLOOKUP($A2037,'Medical Examinations'!$A:$J,7,FALSE)</f>
        <v>No</v>
      </c>
      <c r="H2037" t="str">
        <f>VLOOKUP($A2037,'Medical Examinations'!$A:$J,8,FALSE)</f>
        <v>No</v>
      </c>
      <c r="I2037">
        <f>VLOOKUP($A2037,'Medical Examinations'!$A:$J,9,FALSE)</f>
        <v>1</v>
      </c>
      <c r="J2037" t="str">
        <f>VLOOKUP($A2037,'Medical Examinations'!$A:$J,10,FALSE)</f>
        <v>No</v>
      </c>
      <c r="K2037" t="str">
        <f>VLOOKUP($A2037,'Medical Examinations'!$A:$J,5,FALSE)</f>
        <v>Normal</v>
      </c>
      <c r="L2037">
        <f>VLOOKUP($A2038,'Medical Examinations'!$A:$J,3,FALSE)</f>
        <v>24.225000000000001</v>
      </c>
      <c r="N2037" s="11">
        <f>VLOOKUP($B2037,'Hospitalisation Details'!A2036:J4380,10,0)</f>
        <v>38300</v>
      </c>
      <c r="O2037" t="str">
        <f>VLOOKUP($B2037,'Hospitalisation Details'!A2036:J4380,8,0)</f>
        <v>tier - 1</v>
      </c>
      <c r="P2037" t="str">
        <f>VLOOKUP($B2037,'Hospitalisation Details'!A2036:J4380,7,0)</f>
        <v>tier - 2</v>
      </c>
      <c r="Q2037" t="str">
        <f>VLOOKUP($B2037,'Hospitalisation Details'!A2036:J4380,9,0)</f>
        <v>R1011</v>
      </c>
      <c r="R2037">
        <f>VLOOKUP($B2037,'Hospitalisation Details'!A2036:K4380,11,0)</f>
        <v>18</v>
      </c>
    </row>
    <row r="2038" spans="1:18" x14ac:dyDescent="0.35">
      <c r="A2038" t="s">
        <v>330</v>
      </c>
      <c r="B2038" t="s">
        <v>2069</v>
      </c>
      <c r="C2038" t="str">
        <f>VLOOKUP($A2038,'Customer Names'!$A:$E,4,FALSE)</f>
        <v>Ashley M</v>
      </c>
      <c r="D2038" t="str">
        <f>VLOOKUP($A2038,'Medical Examinations'!$A:$J,2,FALSE)</f>
        <v>Normal Weight</v>
      </c>
      <c r="E2038">
        <f>VLOOKUP($A2038,'Medical Examinations'!$A:$J,4,FALSE)</f>
        <v>4.42</v>
      </c>
      <c r="F2038" t="str">
        <f>VLOOKUP($A2038,'Medical Examinations'!$A:$J,6,FALSE)</f>
        <v>No</v>
      </c>
      <c r="G2038" t="str">
        <f>VLOOKUP($A2038,'Medical Examinations'!$A:$J,7,FALSE)</f>
        <v>No</v>
      </c>
      <c r="H2038" t="str">
        <f>VLOOKUP($A2038,'Medical Examinations'!$A:$J,8,FALSE)</f>
        <v>No</v>
      </c>
      <c r="I2038">
        <f>VLOOKUP($A2038,'Medical Examinations'!$A:$J,9,FALSE)</f>
        <v>1</v>
      </c>
      <c r="J2038" t="str">
        <f>VLOOKUP($A2038,'Medical Examinations'!$A:$J,10,FALSE)</f>
        <v>No</v>
      </c>
      <c r="K2038" t="str">
        <f>VLOOKUP($A2038,'Medical Examinations'!$A:$J,5,FALSE)</f>
        <v>Normal</v>
      </c>
      <c r="L2038">
        <f>VLOOKUP($A2039,'Medical Examinations'!$A:$J,3,FALSE)</f>
        <v>29.68</v>
      </c>
      <c r="N2038" s="11">
        <f>VLOOKUP($B2038,'Hospitalisation Details'!A2037:J4381,10,0)</f>
        <v>36729</v>
      </c>
      <c r="O2038" t="str">
        <f>VLOOKUP($B2038,'Hospitalisation Details'!A2037:J4381,8,0)</f>
        <v>tier - 1</v>
      </c>
      <c r="P2038" t="str">
        <f>VLOOKUP($B2038,'Hospitalisation Details'!A2037:J4381,7,0)</f>
        <v>tier - 1</v>
      </c>
      <c r="Q2038" t="str">
        <f>VLOOKUP($B2038,'Hospitalisation Details'!A2037:J4381,9,0)</f>
        <v>R1011</v>
      </c>
      <c r="R2038">
        <f>VLOOKUP($B2038,'Hospitalisation Details'!A2037:K4381,11,0)</f>
        <v>22</v>
      </c>
    </row>
    <row r="2039" spans="1:18" x14ac:dyDescent="0.35">
      <c r="A2039" t="s">
        <v>329</v>
      </c>
      <c r="B2039" t="s">
        <v>2070</v>
      </c>
      <c r="C2039" t="str">
        <f>VLOOKUP($A2039,'Customer Names'!$A:$E,4,FALSE)</f>
        <v>Stephanie</v>
      </c>
      <c r="D2039" t="str">
        <f>VLOOKUP($A2039,'Medical Examinations'!$A:$J,2,FALSE)</f>
        <v>Overweight</v>
      </c>
      <c r="E2039">
        <f>VLOOKUP($A2039,'Medical Examinations'!$A:$J,4,FALSE)</f>
        <v>5.68</v>
      </c>
      <c r="F2039" t="str">
        <f>VLOOKUP($A2039,'Medical Examinations'!$A:$J,6,FALSE)</f>
        <v>No</v>
      </c>
      <c r="G2039" t="str">
        <f>VLOOKUP($A2039,'Medical Examinations'!$A:$J,7,FALSE)</f>
        <v>yes</v>
      </c>
      <c r="H2039" t="str">
        <f>VLOOKUP($A2039,'Medical Examinations'!$A:$J,8,FALSE)</f>
        <v>No</v>
      </c>
      <c r="I2039">
        <f>VLOOKUP($A2039,'Medical Examinations'!$A:$J,9,FALSE)</f>
        <v>1</v>
      </c>
      <c r="J2039" t="str">
        <f>VLOOKUP($A2039,'Medical Examinations'!$A:$J,10,FALSE)</f>
        <v>No</v>
      </c>
      <c r="K2039" t="str">
        <f>VLOOKUP($A2039,'Medical Examinations'!$A:$J,5,FALSE)</f>
        <v>Normal</v>
      </c>
      <c r="L2039">
        <f>VLOOKUP($A2040,'Medical Examinations'!$A:$J,3,FALSE)</f>
        <v>20.614999999999998</v>
      </c>
      <c r="N2039" s="11">
        <f>VLOOKUP($B2039,'Hospitalisation Details'!A2038:J4382,10,0)</f>
        <v>25028</v>
      </c>
      <c r="O2039" t="str">
        <f>VLOOKUP($B2039,'Hospitalisation Details'!A2038:J4382,8,0)</f>
        <v>tier - 1</v>
      </c>
      <c r="P2039" t="str">
        <f>VLOOKUP($B2039,'Hospitalisation Details'!A2038:J4382,7,0)</f>
        <v>tier - 2</v>
      </c>
      <c r="Q2039" t="str">
        <f>VLOOKUP($B2039,'Hospitalisation Details'!A2038:J4382,9,0)</f>
        <v>R1011</v>
      </c>
      <c r="R2039">
        <f>VLOOKUP($B2039,'Hospitalisation Details'!A2038:K4382,11,0)</f>
        <v>54</v>
      </c>
    </row>
    <row r="2040" spans="1:18" x14ac:dyDescent="0.35">
      <c r="A2040" t="s">
        <v>328</v>
      </c>
      <c r="B2040" t="s">
        <v>2071</v>
      </c>
      <c r="C2040" t="str">
        <f>VLOOKUP($A2040,'Customer Names'!$A:$E,4,FALSE)</f>
        <v>Sean P.</v>
      </c>
      <c r="D2040" t="str">
        <f>VLOOKUP($A2040,'Medical Examinations'!$A:$J,2,FALSE)</f>
        <v>Normal Weight</v>
      </c>
      <c r="E2040">
        <f>VLOOKUP($A2040,'Medical Examinations'!$A:$J,4,FALSE)</f>
        <v>6.05</v>
      </c>
      <c r="F2040" t="str">
        <f>VLOOKUP($A2040,'Medical Examinations'!$A:$J,6,FALSE)</f>
        <v>No</v>
      </c>
      <c r="G2040" t="str">
        <f>VLOOKUP($A2040,'Medical Examinations'!$A:$J,7,FALSE)</f>
        <v>No</v>
      </c>
      <c r="H2040" t="str">
        <f>VLOOKUP($A2040,'Medical Examinations'!$A:$J,8,FALSE)</f>
        <v>Yes</v>
      </c>
      <c r="I2040">
        <f>VLOOKUP($A2040,'Medical Examinations'!$A:$J,9,FALSE)</f>
        <v>1</v>
      </c>
      <c r="J2040" t="str">
        <f>VLOOKUP($A2040,'Medical Examinations'!$A:$J,10,FALSE)</f>
        <v>No</v>
      </c>
      <c r="K2040" t="str">
        <f>VLOOKUP($A2040,'Medical Examinations'!$A:$J,5,FALSE)</f>
        <v>Prediabetes</v>
      </c>
      <c r="L2040">
        <f>VLOOKUP($A2041,'Medical Examinations'!$A:$J,3,FALSE)</f>
        <v>32.119999999999997</v>
      </c>
      <c r="N2040" s="11">
        <f>VLOOKUP($B2040,'Hospitalisation Details'!A2039:J4383,10,0)</f>
        <v>34969</v>
      </c>
      <c r="O2040" t="str">
        <f>VLOOKUP($B2040,'Hospitalisation Details'!A2039:J4383,8,0)</f>
        <v>tier - 2</v>
      </c>
      <c r="P2040" t="str">
        <f>VLOOKUP($B2040,'Hospitalisation Details'!A2039:J4383,7,0)</f>
        <v>tier - 2</v>
      </c>
      <c r="Q2040" t="str">
        <f>VLOOKUP($B2040,'Hospitalisation Details'!A2039:J4383,9,0)</f>
        <v>R1011</v>
      </c>
      <c r="R2040">
        <f>VLOOKUP($B2040,'Hospitalisation Details'!A2039:K4383,11,0)</f>
        <v>27</v>
      </c>
    </row>
    <row r="2041" spans="1:18" x14ac:dyDescent="0.35">
      <c r="A2041" t="s">
        <v>327</v>
      </c>
      <c r="B2041" t="s">
        <v>2072</v>
      </c>
      <c r="C2041" t="str">
        <f>VLOOKUP($A2041,'Customer Names'!$A:$E,4,FALSE)</f>
        <v>Emily G</v>
      </c>
      <c r="D2041" t="str">
        <f>VLOOKUP($A2041,'Medical Examinations'!$A:$J,2,FALSE)</f>
        <v>Obesity</v>
      </c>
      <c r="E2041">
        <f>VLOOKUP($A2041,'Medical Examinations'!$A:$J,4,FALSE)</f>
        <v>5.33</v>
      </c>
      <c r="F2041" t="str">
        <f>VLOOKUP($A2041,'Medical Examinations'!$A:$J,6,FALSE)</f>
        <v>No</v>
      </c>
      <c r="G2041" t="str">
        <f>VLOOKUP($A2041,'Medical Examinations'!$A:$J,7,FALSE)</f>
        <v>yes</v>
      </c>
      <c r="H2041" t="str">
        <f>VLOOKUP($A2041,'Medical Examinations'!$A:$J,8,FALSE)</f>
        <v>No</v>
      </c>
      <c r="I2041">
        <f>VLOOKUP($A2041,'Medical Examinations'!$A:$J,9,FALSE)</f>
        <v>1</v>
      </c>
      <c r="J2041" t="str">
        <f>VLOOKUP($A2041,'Medical Examinations'!$A:$J,10,FALSE)</f>
        <v>No</v>
      </c>
      <c r="K2041" t="str">
        <f>VLOOKUP($A2041,'Medical Examinations'!$A:$J,5,FALSE)</f>
        <v>Normal</v>
      </c>
      <c r="L2041">
        <f>VLOOKUP($A2042,'Medical Examinations'!$A:$J,3,FALSE)</f>
        <v>27.36</v>
      </c>
      <c r="N2041" s="11">
        <f>VLOOKUP($B2041,'Hospitalisation Details'!A2040:J4384,10,0)</f>
        <v>27310</v>
      </c>
      <c r="O2041" t="str">
        <f>VLOOKUP($B2041,'Hospitalisation Details'!A2040:J4384,8,0)</f>
        <v>tier - 3</v>
      </c>
      <c r="P2041" t="str">
        <f>VLOOKUP($B2041,'Hospitalisation Details'!A2040:J4384,7,0)</f>
        <v>tier - 2</v>
      </c>
      <c r="Q2041" t="str">
        <f>VLOOKUP($B2041,'Hospitalisation Details'!A2040:J4384,9,0)</f>
        <v>R1011</v>
      </c>
      <c r="R2041">
        <f>VLOOKUP($B2041,'Hospitalisation Details'!A2040:K4384,11,0)</f>
        <v>48</v>
      </c>
    </row>
    <row r="2042" spans="1:18" x14ac:dyDescent="0.35">
      <c r="A2042" t="s">
        <v>326</v>
      </c>
      <c r="B2042" t="s">
        <v>2073</v>
      </c>
      <c r="C2042" t="str">
        <f>VLOOKUP($A2042,'Customer Names'!$A:$E,4,FALSE)</f>
        <v>Malcolm</v>
      </c>
      <c r="D2042" t="str">
        <f>VLOOKUP($A2042,'Medical Examinations'!$A:$J,2,FALSE)</f>
        <v>Overweight</v>
      </c>
      <c r="E2042">
        <f>VLOOKUP($A2042,'Medical Examinations'!$A:$J,4,FALSE)</f>
        <v>6.22</v>
      </c>
      <c r="F2042" t="str">
        <f>VLOOKUP($A2042,'Medical Examinations'!$A:$J,6,FALSE)</f>
        <v>No</v>
      </c>
      <c r="G2042" t="str">
        <f>VLOOKUP($A2042,'Medical Examinations'!$A:$J,7,FALSE)</f>
        <v>No</v>
      </c>
      <c r="H2042" t="str">
        <f>VLOOKUP($A2042,'Medical Examinations'!$A:$J,8,FALSE)</f>
        <v>No</v>
      </c>
      <c r="I2042">
        <f>VLOOKUP($A2042,'Medical Examinations'!$A:$J,9,FALSE)</f>
        <v>0</v>
      </c>
      <c r="J2042" t="str">
        <f>VLOOKUP($A2042,'Medical Examinations'!$A:$J,10,FALSE)</f>
        <v>No</v>
      </c>
      <c r="K2042" t="str">
        <f>VLOOKUP($A2042,'Medical Examinations'!$A:$J,5,FALSE)</f>
        <v>Prediabetes</v>
      </c>
      <c r="L2042">
        <f>VLOOKUP($A2043,'Medical Examinations'!$A:$J,3,FALSE)</f>
        <v>17.385000000000002</v>
      </c>
      <c r="N2042" s="11">
        <f>VLOOKUP($B2042,'Hospitalisation Details'!A2041:J4385,10,0)</f>
        <v>27696</v>
      </c>
      <c r="O2042" t="str">
        <f>VLOOKUP($B2042,'Hospitalisation Details'!A2041:J4385,8,0)</f>
        <v>tier - 1</v>
      </c>
      <c r="P2042" t="str">
        <f>VLOOKUP($B2042,'Hospitalisation Details'!A2041:J4385,7,0)</f>
        <v>tier - 2</v>
      </c>
      <c r="Q2042" t="str">
        <f>VLOOKUP($B2042,'Hospitalisation Details'!A2041:J4385,9,0)</f>
        <v>R1011</v>
      </c>
      <c r="R2042">
        <f>VLOOKUP($B2042,'Hospitalisation Details'!A2041:K4385,11,0)</f>
        <v>47</v>
      </c>
    </row>
    <row r="2043" spans="1:18" x14ac:dyDescent="0.35">
      <c r="A2043" t="s">
        <v>325</v>
      </c>
      <c r="B2043" t="s">
        <v>2074</v>
      </c>
      <c r="C2043" t="str">
        <f>VLOOKUP($A2043,'Customer Names'!$A:$E,4,FALSE)</f>
        <v>Danilo</v>
      </c>
      <c r="D2043" t="str">
        <f>VLOOKUP($A2043,'Medical Examinations'!$A:$J,2,FALSE)</f>
        <v>Underweight</v>
      </c>
      <c r="E2043">
        <f>VLOOKUP($A2043,'Medical Examinations'!$A:$J,4,FALSE)</f>
        <v>5.84</v>
      </c>
      <c r="F2043" t="str">
        <f>VLOOKUP($A2043,'Medical Examinations'!$A:$J,6,FALSE)</f>
        <v>No</v>
      </c>
      <c r="G2043" t="str">
        <f>VLOOKUP($A2043,'Medical Examinations'!$A:$J,7,FALSE)</f>
        <v>No</v>
      </c>
      <c r="H2043" t="str">
        <f>VLOOKUP($A2043,'Medical Examinations'!$A:$J,8,FALSE)</f>
        <v>No</v>
      </c>
      <c r="I2043">
        <f>VLOOKUP($A2043,'Medical Examinations'!$A:$J,9,FALSE)</f>
        <v>0</v>
      </c>
      <c r="J2043" t="str">
        <f>VLOOKUP($A2043,'Medical Examinations'!$A:$J,10,FALSE)</f>
        <v>No</v>
      </c>
      <c r="K2043" t="str">
        <f>VLOOKUP($A2043,'Medical Examinations'!$A:$J,5,FALSE)</f>
        <v>Prediabetes</v>
      </c>
      <c r="L2043">
        <f>VLOOKUP($A2044,'Medical Examinations'!$A:$J,3,FALSE)</f>
        <v>30.13</v>
      </c>
      <c r="N2043" s="11">
        <f>VLOOKUP($B2043,'Hospitalisation Details'!A2042:J4386,10,0)</f>
        <v>22263</v>
      </c>
      <c r="O2043" t="str">
        <f>VLOOKUP($B2043,'Hospitalisation Details'!A2042:J4386,8,0)</f>
        <v>tier - 1</v>
      </c>
      <c r="P2043" t="str">
        <f>VLOOKUP($B2043,'Hospitalisation Details'!A2042:J4386,7,0)</f>
        <v>tier - 2</v>
      </c>
      <c r="Q2043" t="str">
        <f>VLOOKUP($B2043,'Hospitalisation Details'!A2042:J4386,9,0)</f>
        <v>R1024</v>
      </c>
      <c r="R2043">
        <f>VLOOKUP($B2043,'Hospitalisation Details'!A2042:K4386,11,0)</f>
        <v>62</v>
      </c>
    </row>
    <row r="2044" spans="1:18" x14ac:dyDescent="0.35">
      <c r="A2044" t="s">
        <v>324</v>
      </c>
      <c r="B2044" t="s">
        <v>2075</v>
      </c>
      <c r="C2044" t="str">
        <f>VLOOKUP($A2044,'Customer Names'!$A:$E,4,FALSE)</f>
        <v>Mikko</v>
      </c>
      <c r="D2044" t="str">
        <f>VLOOKUP($A2044,'Medical Examinations'!$A:$J,2,FALSE)</f>
        <v>Obesity</v>
      </c>
      <c r="E2044">
        <f>VLOOKUP($A2044,'Medical Examinations'!$A:$J,4,FALSE)</f>
        <v>5.71</v>
      </c>
      <c r="F2044" t="str">
        <f>VLOOKUP($A2044,'Medical Examinations'!$A:$J,6,FALSE)</f>
        <v>No</v>
      </c>
      <c r="G2044" t="str">
        <f>VLOOKUP($A2044,'Medical Examinations'!$A:$J,7,FALSE)</f>
        <v>yes</v>
      </c>
      <c r="H2044" t="str">
        <f>VLOOKUP($A2044,'Medical Examinations'!$A:$J,8,FALSE)</f>
        <v>No</v>
      </c>
      <c r="I2044">
        <f>VLOOKUP($A2044,'Medical Examinations'!$A:$J,9,FALSE)</f>
        <v>1</v>
      </c>
      <c r="J2044" t="str">
        <f>VLOOKUP($A2044,'Medical Examinations'!$A:$J,10,FALSE)</f>
        <v>No</v>
      </c>
      <c r="K2044" t="str">
        <f>VLOOKUP($A2044,'Medical Examinations'!$A:$J,5,FALSE)</f>
        <v>Prediabetes</v>
      </c>
      <c r="L2044">
        <f>VLOOKUP($A2045,'Medical Examinations'!$A:$J,3,FALSE)</f>
        <v>25.44</v>
      </c>
      <c r="N2044" s="11">
        <f>VLOOKUP($B2044,'Hospitalisation Details'!A2043:J4387,10,0)</f>
        <v>28412</v>
      </c>
      <c r="O2044" t="str">
        <f>VLOOKUP($B2044,'Hospitalisation Details'!A2043:J4387,8,0)</f>
        <v>tier - 2</v>
      </c>
      <c r="P2044" t="str">
        <f>VLOOKUP($B2044,'Hospitalisation Details'!A2043:J4387,7,0)</f>
        <v>tier - 2</v>
      </c>
      <c r="Q2044" t="str">
        <f>VLOOKUP($B2044,'Hospitalisation Details'!A2043:J4387,9,0)</f>
        <v>R1012</v>
      </c>
      <c r="R2044">
        <f>VLOOKUP($B2044,'Hospitalisation Details'!A2043:K4387,11,0)</f>
        <v>45</v>
      </c>
    </row>
    <row r="2045" spans="1:18" x14ac:dyDescent="0.35">
      <c r="A2045" t="s">
        <v>323</v>
      </c>
      <c r="B2045" t="s">
        <v>2076</v>
      </c>
      <c r="C2045" t="str">
        <f>VLOOKUP($A2045,'Customer Names'!$A:$E,4,FALSE)</f>
        <v>Paula C.</v>
      </c>
      <c r="D2045" t="str">
        <f>VLOOKUP($A2045,'Medical Examinations'!$A:$J,2,FALSE)</f>
        <v>Overweight</v>
      </c>
      <c r="E2045">
        <f>VLOOKUP($A2045,'Medical Examinations'!$A:$J,4,FALSE)</f>
        <v>6.04</v>
      </c>
      <c r="F2045" t="str">
        <f>VLOOKUP($A2045,'Medical Examinations'!$A:$J,6,FALSE)</f>
        <v>yes</v>
      </c>
      <c r="G2045" t="str">
        <f>VLOOKUP($A2045,'Medical Examinations'!$A:$J,7,FALSE)</f>
        <v>No</v>
      </c>
      <c r="H2045" t="str">
        <f>VLOOKUP($A2045,'Medical Examinations'!$A:$J,8,FALSE)</f>
        <v>Yes</v>
      </c>
      <c r="I2045">
        <f>VLOOKUP($A2045,'Medical Examinations'!$A:$J,9,FALSE)</f>
        <v>1</v>
      </c>
      <c r="J2045" t="str">
        <f>VLOOKUP($A2045,'Medical Examinations'!$A:$J,10,FALSE)</f>
        <v>No</v>
      </c>
      <c r="K2045" t="str">
        <f>VLOOKUP($A2045,'Medical Examinations'!$A:$J,5,FALSE)</f>
        <v>Prediabetes</v>
      </c>
      <c r="L2045">
        <f>VLOOKUP($A2046,'Medical Examinations'!$A:$J,3,FALSE)</f>
        <v>39.805</v>
      </c>
      <c r="N2045" s="11">
        <f>VLOOKUP($B2045,'Hospitalisation Details'!A2044:J4388,10,0)</f>
        <v>30935</v>
      </c>
      <c r="O2045" t="str">
        <f>VLOOKUP($B2045,'Hospitalisation Details'!A2044:J4388,8,0)</f>
        <v>tier - 1</v>
      </c>
      <c r="P2045" t="str">
        <f>VLOOKUP($B2045,'Hospitalisation Details'!A2044:J4388,7,0)</f>
        <v>tier - 2</v>
      </c>
      <c r="Q2045" t="str">
        <f>VLOOKUP($B2045,'Hospitalisation Details'!A2044:J4388,9,0)</f>
        <v>R1011</v>
      </c>
      <c r="R2045">
        <f>VLOOKUP($B2045,'Hospitalisation Details'!A2044:K4388,11,0)</f>
        <v>38</v>
      </c>
    </row>
    <row r="2046" spans="1:18" x14ac:dyDescent="0.35">
      <c r="A2046" t="s">
        <v>322</v>
      </c>
      <c r="B2046" t="s">
        <v>2077</v>
      </c>
      <c r="C2046" t="str">
        <f>VLOOKUP($A2046,'Customer Names'!$A:$E,4,FALSE)</f>
        <v>Kirsten N.</v>
      </c>
      <c r="D2046" t="str">
        <f>VLOOKUP($A2046,'Medical Examinations'!$A:$J,2,FALSE)</f>
        <v>Obesity</v>
      </c>
      <c r="E2046">
        <f>VLOOKUP($A2046,'Medical Examinations'!$A:$J,4,FALSE)</f>
        <v>4.38</v>
      </c>
      <c r="F2046" t="str">
        <f>VLOOKUP($A2046,'Medical Examinations'!$A:$J,6,FALSE)</f>
        <v>No</v>
      </c>
      <c r="G2046" t="str">
        <f>VLOOKUP($A2046,'Medical Examinations'!$A:$J,7,FALSE)</f>
        <v>yes</v>
      </c>
      <c r="H2046" t="str">
        <f>VLOOKUP($A2046,'Medical Examinations'!$A:$J,8,FALSE)</f>
        <v>No</v>
      </c>
      <c r="I2046">
        <f>VLOOKUP($A2046,'Medical Examinations'!$A:$J,9,FALSE)</f>
        <v>1</v>
      </c>
      <c r="J2046" t="str">
        <f>VLOOKUP($A2046,'Medical Examinations'!$A:$J,10,FALSE)</f>
        <v>No</v>
      </c>
      <c r="K2046" t="str">
        <f>VLOOKUP($A2046,'Medical Examinations'!$A:$J,5,FALSE)</f>
        <v>Normal</v>
      </c>
      <c r="L2046">
        <f>VLOOKUP($A2047,'Medical Examinations'!$A:$J,3,FALSE)</f>
        <v>30.4</v>
      </c>
      <c r="N2046" s="11">
        <f>VLOOKUP($B2046,'Hospitalisation Details'!A2045:J4389,10,0)</f>
        <v>27662</v>
      </c>
      <c r="O2046" t="str">
        <f>VLOOKUP($B2046,'Hospitalisation Details'!A2045:J4389,8,0)</f>
        <v>tier - 3</v>
      </c>
      <c r="P2046" t="str">
        <f>VLOOKUP($B2046,'Hospitalisation Details'!A2045:J4389,7,0)</f>
        <v>tier - 2</v>
      </c>
      <c r="Q2046" t="str">
        <f>VLOOKUP($B2046,'Hospitalisation Details'!A2045:J4389,9,0)</f>
        <v>R1011</v>
      </c>
      <c r="R2046">
        <f>VLOOKUP($B2046,'Hospitalisation Details'!A2045:K4389,11,0)</f>
        <v>47</v>
      </c>
    </row>
    <row r="2047" spans="1:18" x14ac:dyDescent="0.35">
      <c r="A2047" t="s">
        <v>321</v>
      </c>
      <c r="B2047" t="s">
        <v>2078</v>
      </c>
      <c r="C2047" t="str">
        <f>VLOOKUP($A2047,'Customer Names'!$A:$E,4,FALSE)</f>
        <v>Christy</v>
      </c>
      <c r="D2047" t="str">
        <f>VLOOKUP($A2047,'Medical Examinations'!$A:$J,2,FALSE)</f>
        <v>Obesity</v>
      </c>
      <c r="E2047">
        <f>VLOOKUP($A2047,'Medical Examinations'!$A:$J,4,FALSE)</f>
        <v>5.56</v>
      </c>
      <c r="F2047" t="str">
        <f>VLOOKUP($A2047,'Medical Examinations'!$A:$J,6,FALSE)</f>
        <v>yes</v>
      </c>
      <c r="G2047" t="str">
        <f>VLOOKUP($A2047,'Medical Examinations'!$A:$J,7,FALSE)</f>
        <v>yes</v>
      </c>
      <c r="H2047" t="str">
        <f>VLOOKUP($A2047,'Medical Examinations'!$A:$J,8,FALSE)</f>
        <v>No</v>
      </c>
      <c r="I2047">
        <f>VLOOKUP($A2047,'Medical Examinations'!$A:$J,9,FALSE)</f>
        <v>1</v>
      </c>
      <c r="J2047" t="str">
        <f>VLOOKUP($A2047,'Medical Examinations'!$A:$J,10,FALSE)</f>
        <v>No</v>
      </c>
      <c r="K2047" t="str">
        <f>VLOOKUP($A2047,'Medical Examinations'!$A:$J,5,FALSE)</f>
        <v>Normal</v>
      </c>
      <c r="L2047">
        <f>VLOOKUP($A2048,'Medical Examinations'!$A:$J,3,FALSE)</f>
        <v>23.18</v>
      </c>
      <c r="N2047" s="11">
        <f>VLOOKUP($B2047,'Hospitalisation Details'!A2046:J4390,10,0)</f>
        <v>26563</v>
      </c>
      <c r="O2047" t="str">
        <f>VLOOKUP($B2047,'Hospitalisation Details'!A2046:J4390,8,0)</f>
        <v>tier - 1</v>
      </c>
      <c r="P2047" t="str">
        <f>VLOOKUP($B2047,'Hospitalisation Details'!A2046:J4390,7,0)</f>
        <v>tier - 2</v>
      </c>
      <c r="Q2047" t="str">
        <f>VLOOKUP($B2047,'Hospitalisation Details'!A2046:J4390,9,0)</f>
        <v>R1011</v>
      </c>
      <c r="R2047">
        <f>VLOOKUP($B2047,'Hospitalisation Details'!A2046:K4390,11,0)</f>
        <v>50</v>
      </c>
    </row>
    <row r="2048" spans="1:18" x14ac:dyDescent="0.35">
      <c r="A2048" t="s">
        <v>320</v>
      </c>
      <c r="B2048" t="s">
        <v>2079</v>
      </c>
      <c r="C2048" t="str">
        <f>VLOOKUP($A2048,'Customer Names'!$A:$E,4,FALSE)</f>
        <v>Jennifer</v>
      </c>
      <c r="D2048" t="str">
        <f>VLOOKUP($A2048,'Medical Examinations'!$A:$J,2,FALSE)</f>
        <v>Normal Weight</v>
      </c>
      <c r="E2048">
        <f>VLOOKUP($A2048,'Medical Examinations'!$A:$J,4,FALSE)</f>
        <v>4.24</v>
      </c>
      <c r="F2048" t="str">
        <f>VLOOKUP($A2048,'Medical Examinations'!$A:$J,6,FALSE)</f>
        <v>No</v>
      </c>
      <c r="G2048" t="str">
        <f>VLOOKUP($A2048,'Medical Examinations'!$A:$J,7,FALSE)</f>
        <v>yes</v>
      </c>
      <c r="H2048" t="str">
        <f>VLOOKUP($A2048,'Medical Examinations'!$A:$J,8,FALSE)</f>
        <v>No</v>
      </c>
      <c r="I2048">
        <f>VLOOKUP($A2048,'Medical Examinations'!$A:$J,9,FALSE)</f>
        <v>1</v>
      </c>
      <c r="J2048" t="str">
        <f>VLOOKUP($A2048,'Medical Examinations'!$A:$J,10,FALSE)</f>
        <v>No</v>
      </c>
      <c r="K2048" t="str">
        <f>VLOOKUP($A2048,'Medical Examinations'!$A:$J,5,FALSE)</f>
        <v>Normal</v>
      </c>
      <c r="L2048">
        <f>VLOOKUP($A2049,'Medical Examinations'!$A:$J,3,FALSE)</f>
        <v>39.615000000000002</v>
      </c>
      <c r="N2048" s="11">
        <f>VLOOKUP($B2048,'Hospitalisation Details'!A2047:J4391,10,0)</f>
        <v>34225</v>
      </c>
      <c r="O2048" t="str">
        <f>VLOOKUP($B2048,'Hospitalisation Details'!A2047:J4391,8,0)</f>
        <v>tier - 3</v>
      </c>
      <c r="P2048" t="str">
        <f>VLOOKUP($B2048,'Hospitalisation Details'!A2047:J4391,7,0)</f>
        <v>tier - 1</v>
      </c>
      <c r="Q2048" t="str">
        <f>VLOOKUP($B2048,'Hospitalisation Details'!A2047:J4391,9,0)</f>
        <v>R1011</v>
      </c>
      <c r="R2048">
        <f>VLOOKUP($B2048,'Hospitalisation Details'!A2047:K4391,11,0)</f>
        <v>29</v>
      </c>
    </row>
    <row r="2049" spans="1:18" x14ac:dyDescent="0.35">
      <c r="A2049" t="s">
        <v>319</v>
      </c>
      <c r="B2049" t="s">
        <v>2080</v>
      </c>
      <c r="C2049" t="str">
        <f>VLOOKUP($A2049,'Customer Names'!$A:$E,4,FALSE)</f>
        <v>Jingjing</v>
      </c>
      <c r="D2049" t="str">
        <f>VLOOKUP($A2049,'Medical Examinations'!$A:$J,2,FALSE)</f>
        <v>Obesity</v>
      </c>
      <c r="E2049">
        <f>VLOOKUP($A2049,'Medical Examinations'!$A:$J,4,FALSE)</f>
        <v>6.32</v>
      </c>
      <c r="F2049" t="str">
        <f>VLOOKUP($A2049,'Medical Examinations'!$A:$J,6,FALSE)</f>
        <v>No</v>
      </c>
      <c r="G2049" t="str">
        <f>VLOOKUP($A2049,'Medical Examinations'!$A:$J,7,FALSE)</f>
        <v>No</v>
      </c>
      <c r="H2049" t="str">
        <f>VLOOKUP($A2049,'Medical Examinations'!$A:$J,8,FALSE)</f>
        <v>Yes</v>
      </c>
      <c r="I2049">
        <f>VLOOKUP($A2049,'Medical Examinations'!$A:$J,9,FALSE)</f>
        <v>1</v>
      </c>
      <c r="J2049" t="str">
        <f>VLOOKUP($A2049,'Medical Examinations'!$A:$J,10,FALSE)</f>
        <v>No</v>
      </c>
      <c r="K2049" t="str">
        <f>VLOOKUP($A2049,'Medical Examinations'!$A:$J,5,FALSE)</f>
        <v>Prediabetes</v>
      </c>
      <c r="L2049">
        <f>VLOOKUP($A2050,'Medical Examinations'!$A:$J,3,FALSE)</f>
        <v>30.59</v>
      </c>
      <c r="N2049" s="11">
        <f>VLOOKUP($B2049,'Hospitalisation Details'!A2048:J4392,10,0)</f>
        <v>28804</v>
      </c>
      <c r="O2049" t="str">
        <f>VLOOKUP($B2049,'Hospitalisation Details'!A2048:J4392,8,0)</f>
        <v>tier - 3</v>
      </c>
      <c r="P2049" t="str">
        <f>VLOOKUP($B2049,'Hospitalisation Details'!A2048:J4392,7,0)</f>
        <v>tier - 1</v>
      </c>
      <c r="Q2049" t="str">
        <f>VLOOKUP($B2049,'Hospitalisation Details'!A2048:J4392,9,0)</f>
        <v>R1017</v>
      </c>
      <c r="R2049">
        <f>VLOOKUP($B2049,'Hospitalisation Details'!A2048:K4392,11,0)</f>
        <v>44</v>
      </c>
    </row>
    <row r="2050" spans="1:18" x14ac:dyDescent="0.35">
      <c r="A2050" t="s">
        <v>318</v>
      </c>
      <c r="B2050" t="s">
        <v>2081</v>
      </c>
      <c r="C2050" t="str">
        <f>VLOOKUP($A2050,'Customer Names'!$A:$E,4,FALSE)</f>
        <v>Morgan</v>
      </c>
      <c r="D2050" t="str">
        <f>VLOOKUP($A2050,'Medical Examinations'!$A:$J,2,FALSE)</f>
        <v>Obesity</v>
      </c>
      <c r="E2050">
        <f>VLOOKUP($A2050,'Medical Examinations'!$A:$J,4,FALSE)</f>
        <v>6.3</v>
      </c>
      <c r="F2050" t="str">
        <f>VLOOKUP($A2050,'Medical Examinations'!$A:$J,6,FALSE)</f>
        <v>yes</v>
      </c>
      <c r="G2050" t="str">
        <f>VLOOKUP($A2050,'Medical Examinations'!$A:$J,7,FALSE)</f>
        <v>No</v>
      </c>
      <c r="H2050" t="str">
        <f>VLOOKUP($A2050,'Medical Examinations'!$A:$J,8,FALSE)</f>
        <v>Yes</v>
      </c>
      <c r="I2050">
        <f>VLOOKUP($A2050,'Medical Examinations'!$A:$J,9,FALSE)</f>
        <v>1</v>
      </c>
      <c r="J2050" t="str">
        <f>VLOOKUP($A2050,'Medical Examinations'!$A:$J,10,FALSE)</f>
        <v>No</v>
      </c>
      <c r="K2050" t="str">
        <f>VLOOKUP($A2050,'Medical Examinations'!$A:$J,5,FALSE)</f>
        <v>Prediabetes</v>
      </c>
      <c r="L2050">
        <f>VLOOKUP($A2051,'Medical Examinations'!$A:$J,3,FALSE)</f>
        <v>16.72</v>
      </c>
      <c r="N2050" s="11">
        <f>VLOOKUP($B2050,'Hospitalisation Details'!A2049:J4393,10,0)</f>
        <v>25457</v>
      </c>
      <c r="O2050" t="str">
        <f>VLOOKUP($B2050,'Hospitalisation Details'!A2049:J4393,8,0)</f>
        <v>tier - 2</v>
      </c>
      <c r="P2050" t="str">
        <f>VLOOKUP($B2050,'Hospitalisation Details'!A2049:J4393,7,0)</f>
        <v>tier - 1</v>
      </c>
      <c r="Q2050" t="str">
        <f>VLOOKUP($B2050,'Hospitalisation Details'!A2049:J4393,9,0)</f>
        <v>R1011</v>
      </c>
      <c r="R2050">
        <f>VLOOKUP($B2050,'Hospitalisation Details'!A2049:K4393,11,0)</f>
        <v>53</v>
      </c>
    </row>
    <row r="2051" spans="1:18" x14ac:dyDescent="0.35">
      <c r="A2051" t="s">
        <v>317</v>
      </c>
      <c r="B2051" t="s">
        <v>2082</v>
      </c>
      <c r="C2051" t="str">
        <f>VLOOKUP($A2051,'Customer Names'!$A:$E,4,FALSE)</f>
        <v>Patrick J.</v>
      </c>
      <c r="D2051" t="str">
        <f>VLOOKUP($A2051,'Medical Examinations'!$A:$J,2,FALSE)</f>
        <v>Underweight</v>
      </c>
      <c r="E2051">
        <f>VLOOKUP($A2051,'Medical Examinations'!$A:$J,4,FALSE)</f>
        <v>4.38</v>
      </c>
      <c r="F2051" t="str">
        <f>VLOOKUP($A2051,'Medical Examinations'!$A:$J,6,FALSE)</f>
        <v>yes</v>
      </c>
      <c r="G2051" t="str">
        <f>VLOOKUP($A2051,'Medical Examinations'!$A:$J,7,FALSE)</f>
        <v>No</v>
      </c>
      <c r="H2051" t="str">
        <f>VLOOKUP($A2051,'Medical Examinations'!$A:$J,8,FALSE)</f>
        <v>No</v>
      </c>
      <c r="I2051">
        <f>VLOOKUP($A2051,'Medical Examinations'!$A:$J,9,FALSE)</f>
        <v>1</v>
      </c>
      <c r="J2051" t="str">
        <f>VLOOKUP($A2051,'Medical Examinations'!$A:$J,10,FALSE)</f>
        <v>No</v>
      </c>
      <c r="K2051" t="str">
        <f>VLOOKUP($A2051,'Medical Examinations'!$A:$J,5,FALSE)</f>
        <v>Normal</v>
      </c>
      <c r="L2051">
        <f>VLOOKUP($A2052,'Medical Examinations'!$A:$J,3,FALSE)</f>
        <v>26.22</v>
      </c>
      <c r="N2051" s="11">
        <f>VLOOKUP($B2051,'Hospitalisation Details'!A2050:J4394,10,0)</f>
        <v>34585</v>
      </c>
      <c r="O2051" t="str">
        <f>VLOOKUP($B2051,'Hospitalisation Details'!A2050:J4394,8,0)</f>
        <v>tier - 1</v>
      </c>
      <c r="P2051" t="str">
        <f>VLOOKUP($B2051,'Hospitalisation Details'!A2050:J4394,7,0)</f>
        <v>tier - 2</v>
      </c>
      <c r="Q2051" t="str">
        <f>VLOOKUP($B2051,'Hospitalisation Details'!A2050:J4394,9,0)</f>
        <v>R1011</v>
      </c>
      <c r="R2051">
        <f>VLOOKUP($B2051,'Hospitalisation Details'!A2050:K4394,11,0)</f>
        <v>28</v>
      </c>
    </row>
    <row r="2052" spans="1:18" x14ac:dyDescent="0.35">
      <c r="A2052" t="s">
        <v>316</v>
      </c>
      <c r="B2052" t="s">
        <v>2083</v>
      </c>
      <c r="C2052" t="str">
        <f>VLOOKUP($A2052,'Customer Names'!$A:$E,4,FALSE)</f>
        <v>Frankline</v>
      </c>
      <c r="D2052" t="str">
        <f>VLOOKUP($A2052,'Medical Examinations'!$A:$J,2,FALSE)</f>
        <v>Overweight</v>
      </c>
      <c r="E2052">
        <f>VLOOKUP($A2052,'Medical Examinations'!$A:$J,4,FALSE)</f>
        <v>4.6500000000000004</v>
      </c>
      <c r="F2052" t="str">
        <f>VLOOKUP($A2052,'Medical Examinations'!$A:$J,6,FALSE)</f>
        <v>yes</v>
      </c>
      <c r="G2052" t="str">
        <f>VLOOKUP($A2052,'Medical Examinations'!$A:$J,7,FALSE)</f>
        <v>No</v>
      </c>
      <c r="H2052" t="str">
        <f>VLOOKUP($A2052,'Medical Examinations'!$A:$J,8,FALSE)</f>
        <v>Yes</v>
      </c>
      <c r="I2052">
        <f>VLOOKUP($A2052,'Medical Examinations'!$A:$J,9,FALSE)</f>
        <v>1</v>
      </c>
      <c r="J2052" t="str">
        <f>VLOOKUP($A2052,'Medical Examinations'!$A:$J,10,FALSE)</f>
        <v>No</v>
      </c>
      <c r="K2052" t="str">
        <f>VLOOKUP($A2052,'Medical Examinations'!$A:$J,5,FALSE)</f>
        <v>Normal</v>
      </c>
      <c r="L2052">
        <f>VLOOKUP($A2053,'Medical Examinations'!$A:$J,3,FALSE)</f>
        <v>31.824999999999999</v>
      </c>
      <c r="N2052" s="11">
        <f>VLOOKUP($B2052,'Hospitalisation Details'!A2051:J4395,10,0)</f>
        <v>27745</v>
      </c>
      <c r="O2052" t="str">
        <f>VLOOKUP($B2052,'Hospitalisation Details'!A2051:J4395,8,0)</f>
        <v>tier - 3</v>
      </c>
      <c r="P2052" t="str">
        <f>VLOOKUP($B2052,'Hospitalisation Details'!A2051:J4395,7,0)</f>
        <v>tier - 2</v>
      </c>
      <c r="Q2052" t="str">
        <f>VLOOKUP($B2052,'Hospitalisation Details'!A2051:J4395,9,0)</f>
        <v>R1012</v>
      </c>
      <c r="R2052">
        <f>VLOOKUP($B2052,'Hospitalisation Details'!A2051:K4395,11,0)</f>
        <v>47</v>
      </c>
    </row>
    <row r="2053" spans="1:18" x14ac:dyDescent="0.35">
      <c r="A2053" t="s">
        <v>315</v>
      </c>
      <c r="B2053" t="s">
        <v>2084</v>
      </c>
      <c r="C2053" t="str">
        <f>VLOOKUP($A2053,'Customer Names'!$A:$E,4,FALSE)</f>
        <v>Laura T.</v>
      </c>
      <c r="D2053" t="str">
        <f>VLOOKUP($A2053,'Medical Examinations'!$A:$J,2,FALSE)</f>
        <v>Obesity</v>
      </c>
      <c r="E2053">
        <f>VLOOKUP($A2053,'Medical Examinations'!$A:$J,4,FALSE)</f>
        <v>4.7</v>
      </c>
      <c r="F2053" t="str">
        <f>VLOOKUP($A2053,'Medical Examinations'!$A:$J,6,FALSE)</f>
        <v>No</v>
      </c>
      <c r="G2053" t="str">
        <f>VLOOKUP($A2053,'Medical Examinations'!$A:$J,7,FALSE)</f>
        <v>No</v>
      </c>
      <c r="H2053" t="str">
        <f>VLOOKUP($A2053,'Medical Examinations'!$A:$J,8,FALSE)</f>
        <v>Yes</v>
      </c>
      <c r="I2053">
        <f>VLOOKUP($A2053,'Medical Examinations'!$A:$J,9,FALSE)</f>
        <v>1</v>
      </c>
      <c r="J2053" t="str">
        <f>VLOOKUP($A2053,'Medical Examinations'!$A:$J,10,FALSE)</f>
        <v>No</v>
      </c>
      <c r="K2053" t="str">
        <f>VLOOKUP($A2053,'Medical Examinations'!$A:$J,5,FALSE)</f>
        <v>Normal</v>
      </c>
      <c r="L2053">
        <f>VLOOKUP($A2054,'Medical Examinations'!$A:$J,3,FALSE)</f>
        <v>25.745000000000001</v>
      </c>
      <c r="N2053" s="11">
        <f>VLOOKUP($B2053,'Hospitalisation Details'!A2052:J4396,10,0)</f>
        <v>31748</v>
      </c>
      <c r="O2053" t="str">
        <f>VLOOKUP($B2053,'Hospitalisation Details'!A2052:J4396,8,0)</f>
        <v>tier - 2</v>
      </c>
      <c r="P2053" t="str">
        <f>VLOOKUP($B2053,'Hospitalisation Details'!A2052:J4396,7,0)</f>
        <v>tier - 2</v>
      </c>
      <c r="Q2053" t="str">
        <f>VLOOKUP($B2053,'Hospitalisation Details'!A2052:J4396,9,0)</f>
        <v>R1011</v>
      </c>
      <c r="R2053">
        <f>VLOOKUP($B2053,'Hospitalisation Details'!A2052:K4396,11,0)</f>
        <v>36</v>
      </c>
    </row>
    <row r="2054" spans="1:18" x14ac:dyDescent="0.35">
      <c r="A2054" t="s">
        <v>314</v>
      </c>
      <c r="B2054" t="s">
        <v>2085</v>
      </c>
      <c r="C2054" t="str">
        <f>VLOOKUP($A2054,'Customer Names'!$A:$E,4,FALSE)</f>
        <v>Natalia</v>
      </c>
      <c r="D2054" t="str">
        <f>VLOOKUP($A2054,'Medical Examinations'!$A:$J,2,FALSE)</f>
        <v>Overweight</v>
      </c>
      <c r="E2054">
        <f>VLOOKUP($A2054,'Medical Examinations'!$A:$J,4,FALSE)</f>
        <v>4.34</v>
      </c>
      <c r="F2054" t="str">
        <f>VLOOKUP($A2054,'Medical Examinations'!$A:$J,6,FALSE)</f>
        <v>No</v>
      </c>
      <c r="G2054" t="str">
        <f>VLOOKUP($A2054,'Medical Examinations'!$A:$J,7,FALSE)</f>
        <v>No</v>
      </c>
      <c r="H2054" t="str">
        <f>VLOOKUP($A2054,'Medical Examinations'!$A:$J,8,FALSE)</f>
        <v>Yes</v>
      </c>
      <c r="I2054">
        <f>VLOOKUP($A2054,'Medical Examinations'!$A:$J,9,FALSE)</f>
        <v>1</v>
      </c>
      <c r="J2054" t="str">
        <f>VLOOKUP($A2054,'Medical Examinations'!$A:$J,10,FALSE)</f>
        <v>No</v>
      </c>
      <c r="K2054" t="str">
        <f>VLOOKUP($A2054,'Medical Examinations'!$A:$J,5,FALSE)</f>
        <v>Normal</v>
      </c>
      <c r="L2054">
        <f>VLOOKUP($A2055,'Medical Examinations'!$A:$J,3,FALSE)</f>
        <v>24.605</v>
      </c>
      <c r="N2054" s="11">
        <f>VLOOKUP($B2054,'Hospitalisation Details'!A2053:J4397,10,0)</f>
        <v>26591</v>
      </c>
      <c r="O2054" t="str">
        <f>VLOOKUP($B2054,'Hospitalisation Details'!A2053:J4397,8,0)</f>
        <v>tier - 2</v>
      </c>
      <c r="P2054" t="str">
        <f>VLOOKUP($B2054,'Hospitalisation Details'!A2053:J4397,7,0)</f>
        <v>tier - 2</v>
      </c>
      <c r="Q2054" t="str">
        <f>VLOOKUP($B2054,'Hospitalisation Details'!A2053:J4397,9,0)</f>
        <v>R1011</v>
      </c>
      <c r="R2054">
        <f>VLOOKUP($B2054,'Hospitalisation Details'!A2053:K4397,11,0)</f>
        <v>50</v>
      </c>
    </row>
    <row r="2055" spans="1:18" x14ac:dyDescent="0.35">
      <c r="A2055" t="s">
        <v>313</v>
      </c>
      <c r="B2055" t="s">
        <v>2086</v>
      </c>
      <c r="C2055" t="str">
        <f>VLOOKUP($A2055,'Customer Names'!$A:$E,4,FALSE)</f>
        <v>Jennifer L.</v>
      </c>
      <c r="D2055" t="str">
        <f>VLOOKUP($A2055,'Medical Examinations'!$A:$J,2,FALSE)</f>
        <v>Normal Weight</v>
      </c>
      <c r="E2055">
        <f>VLOOKUP($A2055,'Medical Examinations'!$A:$J,4,FALSE)</f>
        <v>5.62</v>
      </c>
      <c r="F2055" t="str">
        <f>VLOOKUP($A2055,'Medical Examinations'!$A:$J,6,FALSE)</f>
        <v>No</v>
      </c>
      <c r="G2055" t="str">
        <f>VLOOKUP($A2055,'Medical Examinations'!$A:$J,7,FALSE)</f>
        <v>No</v>
      </c>
      <c r="H2055" t="str">
        <f>VLOOKUP($A2055,'Medical Examinations'!$A:$J,8,FALSE)</f>
        <v>Yes</v>
      </c>
      <c r="I2055">
        <f>VLOOKUP($A2055,'Medical Examinations'!$A:$J,9,FALSE)</f>
        <v>1</v>
      </c>
      <c r="J2055" t="str">
        <f>VLOOKUP($A2055,'Medical Examinations'!$A:$J,10,FALSE)</f>
        <v>No</v>
      </c>
      <c r="K2055" t="str">
        <f>VLOOKUP($A2055,'Medical Examinations'!$A:$J,5,FALSE)</f>
        <v>Normal</v>
      </c>
      <c r="L2055">
        <f>VLOOKUP($A2056,'Medical Examinations'!$A:$J,3,FALSE)</f>
        <v>24.51</v>
      </c>
      <c r="N2055" s="11">
        <f>VLOOKUP($B2055,'Hospitalisation Details'!A2054:J4398,10,0)</f>
        <v>27981</v>
      </c>
      <c r="O2055" t="str">
        <f>VLOOKUP($B2055,'Hospitalisation Details'!A2054:J4398,8,0)</f>
        <v>tier - 3</v>
      </c>
      <c r="P2055" t="str">
        <f>VLOOKUP($B2055,'Hospitalisation Details'!A2054:J4398,7,0)</f>
        <v>tier - 2</v>
      </c>
      <c r="Q2055" t="str">
        <f>VLOOKUP($B2055,'Hospitalisation Details'!A2054:J4398,9,0)</f>
        <v>R1011</v>
      </c>
      <c r="R2055">
        <f>VLOOKUP($B2055,'Hospitalisation Details'!A2054:K4398,11,0)</f>
        <v>46</v>
      </c>
    </row>
    <row r="2056" spans="1:18" x14ac:dyDescent="0.35">
      <c r="A2056" t="s">
        <v>312</v>
      </c>
      <c r="B2056" t="s">
        <v>2087</v>
      </c>
      <c r="C2056" t="str">
        <f>VLOOKUP($A2056,'Customer Names'!$A:$E,4,FALSE)</f>
        <v>Brooke</v>
      </c>
      <c r="D2056" t="str">
        <f>VLOOKUP($A2056,'Medical Examinations'!$A:$J,2,FALSE)</f>
        <v>Normal Weight</v>
      </c>
      <c r="E2056">
        <f>VLOOKUP($A2056,'Medical Examinations'!$A:$J,4,FALSE)</f>
        <v>4.24</v>
      </c>
      <c r="F2056" t="str">
        <f>VLOOKUP($A2056,'Medical Examinations'!$A:$J,6,FALSE)</f>
        <v>No</v>
      </c>
      <c r="G2056" t="str">
        <f>VLOOKUP($A2056,'Medical Examinations'!$A:$J,7,FALSE)</f>
        <v>No</v>
      </c>
      <c r="H2056" t="str">
        <f>VLOOKUP($A2056,'Medical Examinations'!$A:$J,8,FALSE)</f>
        <v>Yes</v>
      </c>
      <c r="I2056">
        <f>VLOOKUP($A2056,'Medical Examinations'!$A:$J,9,FALSE)</f>
        <v>1</v>
      </c>
      <c r="J2056" t="str">
        <f>VLOOKUP($A2056,'Medical Examinations'!$A:$J,10,FALSE)</f>
        <v>No</v>
      </c>
      <c r="K2056" t="str">
        <f>VLOOKUP($A2056,'Medical Examinations'!$A:$J,5,FALSE)</f>
        <v>Normal</v>
      </c>
      <c r="L2056">
        <f>VLOOKUP($A2057,'Medical Examinations'!$A:$J,3,FALSE)</f>
        <v>31.065000000000001</v>
      </c>
      <c r="N2056" s="11">
        <f>VLOOKUP($B2056,'Hospitalisation Details'!A2055:J4399,10,0)</f>
        <v>29856</v>
      </c>
      <c r="O2056" t="str">
        <f>VLOOKUP($B2056,'Hospitalisation Details'!A2055:J4399,8,0)</f>
        <v>tier - 2</v>
      </c>
      <c r="P2056" t="str">
        <f>VLOOKUP($B2056,'Hospitalisation Details'!A2055:J4399,7,0)</f>
        <v>tier - 2</v>
      </c>
      <c r="Q2056" t="str">
        <f>VLOOKUP($B2056,'Hospitalisation Details'!A2055:J4399,9,0)</f>
        <v>R1011</v>
      </c>
      <c r="R2056">
        <f>VLOOKUP($B2056,'Hospitalisation Details'!A2055:K4399,11,0)</f>
        <v>41</v>
      </c>
    </row>
    <row r="2057" spans="1:18" x14ac:dyDescent="0.35">
      <c r="A2057" t="s">
        <v>311</v>
      </c>
      <c r="B2057" t="s">
        <v>2088</v>
      </c>
      <c r="C2057" t="str">
        <f>VLOOKUP($A2057,'Customer Names'!$A:$E,4,FALSE)</f>
        <v>Jeremy M</v>
      </c>
      <c r="D2057" t="str">
        <f>VLOOKUP($A2057,'Medical Examinations'!$A:$J,2,FALSE)</f>
        <v>Obesity</v>
      </c>
      <c r="E2057">
        <f>VLOOKUP($A2057,'Medical Examinations'!$A:$J,4,FALSE)</f>
        <v>4.57</v>
      </c>
      <c r="F2057" t="str">
        <f>VLOOKUP($A2057,'Medical Examinations'!$A:$J,6,FALSE)</f>
        <v>yes</v>
      </c>
      <c r="G2057" t="str">
        <f>VLOOKUP($A2057,'Medical Examinations'!$A:$J,7,FALSE)</f>
        <v>No</v>
      </c>
      <c r="H2057" t="str">
        <f>VLOOKUP($A2057,'Medical Examinations'!$A:$J,8,FALSE)</f>
        <v>No</v>
      </c>
      <c r="I2057">
        <f>VLOOKUP($A2057,'Medical Examinations'!$A:$J,9,FALSE)</f>
        <v>0</v>
      </c>
      <c r="J2057" t="str">
        <f>VLOOKUP($A2057,'Medical Examinations'!$A:$J,10,FALSE)</f>
        <v>No</v>
      </c>
      <c r="K2057" t="str">
        <f>VLOOKUP($A2057,'Medical Examinations'!$A:$J,5,FALSE)</f>
        <v>Normal</v>
      </c>
      <c r="L2057">
        <f>VLOOKUP($A2058,'Medical Examinations'!$A:$J,3,FALSE)</f>
        <v>28.12</v>
      </c>
      <c r="N2057" s="11">
        <f>VLOOKUP($B2057,'Hospitalisation Details'!A2056:J4400,10,0)</f>
        <v>28022</v>
      </c>
      <c r="O2057" t="str">
        <f>VLOOKUP($B2057,'Hospitalisation Details'!A2056:J4400,8,0)</f>
        <v>tier - 1</v>
      </c>
      <c r="P2057" t="str">
        <f>VLOOKUP($B2057,'Hospitalisation Details'!A2056:J4400,7,0)</f>
        <v>tier - 2</v>
      </c>
      <c r="Q2057" t="str">
        <f>VLOOKUP($B2057,'Hospitalisation Details'!A2056:J4400,9,0)</f>
        <v>R1011</v>
      </c>
      <c r="R2057">
        <f>VLOOKUP($B2057,'Hospitalisation Details'!A2056:K4400,11,0)</f>
        <v>46</v>
      </c>
    </row>
    <row r="2058" spans="1:18" x14ac:dyDescent="0.35">
      <c r="A2058" t="s">
        <v>310</v>
      </c>
      <c r="B2058" t="s">
        <v>2089</v>
      </c>
      <c r="C2058" t="str">
        <f>VLOOKUP($A2058,'Customer Names'!$A:$E,4,FALSE)</f>
        <v>Megan L.</v>
      </c>
      <c r="D2058" t="str">
        <f>VLOOKUP($A2058,'Medical Examinations'!$A:$J,2,FALSE)</f>
        <v>Overweight</v>
      </c>
      <c r="E2058">
        <f>VLOOKUP($A2058,'Medical Examinations'!$A:$J,4,FALSE)</f>
        <v>5.05</v>
      </c>
      <c r="F2058" t="str">
        <f>VLOOKUP($A2058,'Medical Examinations'!$A:$J,6,FALSE)</f>
        <v>No</v>
      </c>
      <c r="G2058" t="str">
        <f>VLOOKUP($A2058,'Medical Examinations'!$A:$J,7,FALSE)</f>
        <v>No</v>
      </c>
      <c r="H2058" t="str">
        <f>VLOOKUP($A2058,'Medical Examinations'!$A:$J,8,FALSE)</f>
        <v>No</v>
      </c>
      <c r="I2058">
        <f>VLOOKUP($A2058,'Medical Examinations'!$A:$J,9,FALSE)</f>
        <v>0</v>
      </c>
      <c r="J2058" t="str">
        <f>VLOOKUP($A2058,'Medical Examinations'!$A:$J,10,FALSE)</f>
        <v>No</v>
      </c>
      <c r="K2058" t="str">
        <f>VLOOKUP($A2058,'Medical Examinations'!$A:$J,5,FALSE)</f>
        <v>Normal</v>
      </c>
      <c r="L2058">
        <f>VLOOKUP($A2059,'Medical Examinations'!$A:$J,3,FALSE)</f>
        <v>38.06</v>
      </c>
      <c r="N2058" s="11">
        <f>VLOOKUP($B2058,'Hospitalisation Details'!A2057:J4401,10,0)</f>
        <v>37902</v>
      </c>
      <c r="O2058" t="str">
        <f>VLOOKUP($B2058,'Hospitalisation Details'!A2057:J4401,8,0)</f>
        <v>tier - 2</v>
      </c>
      <c r="P2058" t="str">
        <f>VLOOKUP($B2058,'Hospitalisation Details'!A2057:J4401,7,0)</f>
        <v>tier - 1</v>
      </c>
      <c r="Q2058" t="str">
        <f>VLOOKUP($B2058,'Hospitalisation Details'!A2057:J4401,9,0)</f>
        <v>R1013</v>
      </c>
      <c r="R2058">
        <f>VLOOKUP($B2058,'Hospitalisation Details'!A2057:K4401,11,0)</f>
        <v>19</v>
      </c>
    </row>
    <row r="2059" spans="1:18" x14ac:dyDescent="0.35">
      <c r="A2059" t="s">
        <v>309</v>
      </c>
      <c r="B2059" t="s">
        <v>2090</v>
      </c>
      <c r="C2059" t="str">
        <f>VLOOKUP($A2059,'Customer Names'!$A:$E,4,FALSE)</f>
        <v>Bryan</v>
      </c>
      <c r="D2059" t="str">
        <f>VLOOKUP($A2059,'Medical Examinations'!$A:$J,2,FALSE)</f>
        <v>Obesity</v>
      </c>
      <c r="E2059">
        <f>VLOOKUP($A2059,'Medical Examinations'!$A:$J,4,FALSE)</f>
        <v>6.16</v>
      </c>
      <c r="F2059" t="str">
        <f>VLOOKUP($A2059,'Medical Examinations'!$A:$J,6,FALSE)</f>
        <v>No</v>
      </c>
      <c r="G2059" t="str">
        <f>VLOOKUP($A2059,'Medical Examinations'!$A:$J,7,FALSE)</f>
        <v>No</v>
      </c>
      <c r="H2059" t="str">
        <f>VLOOKUP($A2059,'Medical Examinations'!$A:$J,8,FALSE)</f>
        <v>No</v>
      </c>
      <c r="I2059">
        <f>VLOOKUP($A2059,'Medical Examinations'!$A:$J,9,FALSE)</f>
        <v>0</v>
      </c>
      <c r="J2059" t="str">
        <f>VLOOKUP($A2059,'Medical Examinations'!$A:$J,10,FALSE)</f>
        <v>No</v>
      </c>
      <c r="K2059" t="str">
        <f>VLOOKUP($A2059,'Medical Examinations'!$A:$J,5,FALSE)</f>
        <v>Prediabetes</v>
      </c>
      <c r="L2059">
        <f>VLOOKUP($A2060,'Medical Examinations'!$A:$J,3,FALSE)</f>
        <v>24.96</v>
      </c>
      <c r="N2059" s="11">
        <f>VLOOKUP($B2059,'Hospitalisation Details'!A2058:J4402,10,0)</f>
        <v>33067</v>
      </c>
      <c r="O2059" t="str">
        <f>VLOOKUP($B2059,'Hospitalisation Details'!A2058:J4402,8,0)</f>
        <v>tier - 1</v>
      </c>
      <c r="P2059" t="str">
        <f>VLOOKUP($B2059,'Hospitalisation Details'!A2058:J4402,7,0)</f>
        <v>tier - 1</v>
      </c>
      <c r="Q2059" t="str">
        <f>VLOOKUP($B2059,'Hospitalisation Details'!A2058:J4402,9,0)</f>
        <v>R1011</v>
      </c>
      <c r="R2059">
        <f>VLOOKUP($B2059,'Hospitalisation Details'!A2058:K4402,11,0)</f>
        <v>32</v>
      </c>
    </row>
    <row r="2060" spans="1:18" x14ac:dyDescent="0.35">
      <c r="A2060" t="s">
        <v>308</v>
      </c>
      <c r="B2060" t="s">
        <v>2091</v>
      </c>
      <c r="C2060" t="str">
        <f>VLOOKUP($A2060,'Customer Names'!$A:$E,4,FALSE)</f>
        <v>Marny</v>
      </c>
      <c r="D2060" t="str">
        <f>VLOOKUP($A2060,'Medical Examinations'!$A:$J,2,FALSE)</f>
        <v>Normal Weight</v>
      </c>
      <c r="E2060">
        <f>VLOOKUP($A2060,'Medical Examinations'!$A:$J,4,FALSE)</f>
        <v>4.57</v>
      </c>
      <c r="F2060" t="str">
        <f>VLOOKUP($A2060,'Medical Examinations'!$A:$J,6,FALSE)</f>
        <v>No</v>
      </c>
      <c r="G2060" t="str">
        <f>VLOOKUP($A2060,'Medical Examinations'!$A:$J,7,FALSE)</f>
        <v>No</v>
      </c>
      <c r="H2060" t="str">
        <f>VLOOKUP($A2060,'Medical Examinations'!$A:$J,8,FALSE)</f>
        <v>No</v>
      </c>
      <c r="I2060">
        <f>VLOOKUP($A2060,'Medical Examinations'!$A:$J,9,FALSE)</f>
        <v>0</v>
      </c>
      <c r="J2060" t="str">
        <f>VLOOKUP($A2060,'Medical Examinations'!$A:$J,10,FALSE)</f>
        <v>No</v>
      </c>
      <c r="K2060" t="str">
        <f>VLOOKUP($A2060,'Medical Examinations'!$A:$J,5,FALSE)</f>
        <v>Normal</v>
      </c>
      <c r="L2060">
        <f>VLOOKUP($A2061,'Medical Examinations'!$A:$J,3,FALSE)</f>
        <v>17.670000000000002</v>
      </c>
      <c r="N2060" s="11">
        <f>VLOOKUP($B2060,'Hospitalisation Details'!A2059:J4403,10,0)</f>
        <v>25143</v>
      </c>
      <c r="O2060" t="str">
        <f>VLOOKUP($B2060,'Hospitalisation Details'!A2059:J4403,8,0)</f>
        <v>tier - 3</v>
      </c>
      <c r="P2060" t="str">
        <f>VLOOKUP($B2060,'Hospitalisation Details'!A2059:J4403,7,0)</f>
        <v>tier - 2</v>
      </c>
      <c r="Q2060" t="str">
        <f>VLOOKUP($B2060,'Hospitalisation Details'!A2059:J4403,9,0)</f>
        <v>R1011</v>
      </c>
      <c r="R2060">
        <f>VLOOKUP($B2060,'Hospitalisation Details'!A2059:K4403,11,0)</f>
        <v>54</v>
      </c>
    </row>
    <row r="2061" spans="1:18" x14ac:dyDescent="0.35">
      <c r="A2061" t="s">
        <v>307</v>
      </c>
      <c r="B2061" t="s">
        <v>2092</v>
      </c>
      <c r="C2061" t="str">
        <f>VLOOKUP($A2061,'Customer Names'!$A:$E,4,FALSE)</f>
        <v>Marc</v>
      </c>
      <c r="D2061" t="str">
        <f>VLOOKUP($A2061,'Medical Examinations'!$A:$J,2,FALSE)</f>
        <v>Underweight</v>
      </c>
      <c r="E2061">
        <f>VLOOKUP($A2061,'Medical Examinations'!$A:$J,4,FALSE)</f>
        <v>5.53</v>
      </c>
      <c r="F2061" t="str">
        <f>VLOOKUP($A2061,'Medical Examinations'!$A:$J,6,FALSE)</f>
        <v>yes</v>
      </c>
      <c r="G2061" t="str">
        <f>VLOOKUP($A2061,'Medical Examinations'!$A:$J,7,FALSE)</f>
        <v>No</v>
      </c>
      <c r="H2061" t="str">
        <f>VLOOKUP($A2061,'Medical Examinations'!$A:$J,8,FALSE)</f>
        <v>No</v>
      </c>
      <c r="I2061">
        <f>VLOOKUP($A2061,'Medical Examinations'!$A:$J,9,FALSE)</f>
        <v>0</v>
      </c>
      <c r="J2061" t="str">
        <f>VLOOKUP($A2061,'Medical Examinations'!$A:$J,10,FALSE)</f>
        <v>No</v>
      </c>
      <c r="K2061" t="str">
        <f>VLOOKUP($A2061,'Medical Examinations'!$A:$J,5,FALSE)</f>
        <v>Normal</v>
      </c>
      <c r="L2061">
        <f>VLOOKUP($A2062,'Medical Examinations'!$A:$J,3,FALSE)</f>
        <v>31.35</v>
      </c>
      <c r="N2061" s="11">
        <f>VLOOKUP($B2061,'Hospitalisation Details'!A2060:J4404,10,0)</f>
        <v>33146</v>
      </c>
      <c r="O2061" t="str">
        <f>VLOOKUP($B2061,'Hospitalisation Details'!A2060:J4404,8,0)</f>
        <v>tier - 2</v>
      </c>
      <c r="P2061" t="str">
        <f>VLOOKUP($B2061,'Hospitalisation Details'!A2060:J4404,7,0)</f>
        <v>tier - 1</v>
      </c>
      <c r="Q2061" t="str">
        <f>VLOOKUP($B2061,'Hospitalisation Details'!A2060:J4404,9,0)</f>
        <v>R1011</v>
      </c>
      <c r="R2061">
        <f>VLOOKUP($B2061,'Hospitalisation Details'!A2060:K4404,11,0)</f>
        <v>32</v>
      </c>
    </row>
    <row r="2062" spans="1:18" x14ac:dyDescent="0.35">
      <c r="A2062" t="s">
        <v>306</v>
      </c>
      <c r="B2062" t="s">
        <v>2093</v>
      </c>
      <c r="C2062" t="str">
        <f>VLOOKUP($A2062,'Customer Names'!$A:$E,4,FALSE)</f>
        <v>Benjamin L</v>
      </c>
      <c r="D2062" t="str">
        <f>VLOOKUP($A2062,'Medical Examinations'!$A:$J,2,FALSE)</f>
        <v>Obesity</v>
      </c>
      <c r="E2062">
        <f>VLOOKUP($A2062,'Medical Examinations'!$A:$J,4,FALSE)</f>
        <v>5.84</v>
      </c>
      <c r="F2062" t="str">
        <f>VLOOKUP($A2062,'Medical Examinations'!$A:$J,6,FALSE)</f>
        <v>No</v>
      </c>
      <c r="G2062" t="str">
        <f>VLOOKUP($A2062,'Medical Examinations'!$A:$J,7,FALSE)</f>
        <v>yes</v>
      </c>
      <c r="H2062" t="str">
        <f>VLOOKUP($A2062,'Medical Examinations'!$A:$J,8,FALSE)</f>
        <v>No</v>
      </c>
      <c r="I2062">
        <f>VLOOKUP($A2062,'Medical Examinations'!$A:$J,9,FALSE)</f>
        <v>1</v>
      </c>
      <c r="J2062" t="str">
        <f>VLOOKUP($A2062,'Medical Examinations'!$A:$J,10,FALSE)</f>
        <v>No</v>
      </c>
      <c r="K2062" t="str">
        <f>VLOOKUP($A2062,'Medical Examinations'!$A:$J,5,FALSE)</f>
        <v>Prediabetes</v>
      </c>
      <c r="L2062">
        <f>VLOOKUP($A2063,'Medical Examinations'!$A:$J,3,FALSE)</f>
        <v>28.31</v>
      </c>
      <c r="N2062" s="11">
        <f>VLOOKUP($B2062,'Hospitalisation Details'!A2061:J4405,10,0)</f>
        <v>33063</v>
      </c>
      <c r="O2062" t="str">
        <f>VLOOKUP($B2062,'Hospitalisation Details'!A2061:J4405,8,0)</f>
        <v>tier - 1</v>
      </c>
      <c r="P2062" t="str">
        <f>VLOOKUP($B2062,'Hospitalisation Details'!A2061:J4405,7,0)</f>
        <v>tier - 2</v>
      </c>
      <c r="Q2062" t="str">
        <f>VLOOKUP($B2062,'Hospitalisation Details'!A2061:J4405,9,0)</f>
        <v>R1012</v>
      </c>
      <c r="R2062">
        <f>VLOOKUP($B2062,'Hospitalisation Details'!A2061:K4405,11,0)</f>
        <v>32</v>
      </c>
    </row>
    <row r="2063" spans="1:18" x14ac:dyDescent="0.35">
      <c r="A2063" t="s">
        <v>305</v>
      </c>
      <c r="B2063" t="s">
        <v>2094</v>
      </c>
      <c r="C2063" t="str">
        <f>VLOOKUP($A2063,'Customer Names'!$A:$E,4,FALSE)</f>
        <v>Rob G</v>
      </c>
      <c r="D2063" t="str">
        <f>VLOOKUP($A2063,'Medical Examinations'!$A:$J,2,FALSE)</f>
        <v>Overweight</v>
      </c>
      <c r="E2063">
        <f>VLOOKUP($A2063,'Medical Examinations'!$A:$J,4,FALSE)</f>
        <v>6.41</v>
      </c>
      <c r="F2063" t="str">
        <f>VLOOKUP($A2063,'Medical Examinations'!$A:$J,6,FALSE)</f>
        <v>No</v>
      </c>
      <c r="G2063" t="str">
        <f>VLOOKUP($A2063,'Medical Examinations'!$A:$J,7,FALSE)</f>
        <v>yes</v>
      </c>
      <c r="H2063" t="str">
        <f>VLOOKUP($A2063,'Medical Examinations'!$A:$J,8,FALSE)</f>
        <v>No</v>
      </c>
      <c r="I2063">
        <f>VLOOKUP($A2063,'Medical Examinations'!$A:$J,9,FALSE)</f>
        <v>1</v>
      </c>
      <c r="J2063" t="str">
        <f>VLOOKUP($A2063,'Medical Examinations'!$A:$J,10,FALSE)</f>
        <v>No</v>
      </c>
      <c r="K2063" t="str">
        <f>VLOOKUP($A2063,'Medical Examinations'!$A:$J,5,FALSE)</f>
        <v>Prediabetes</v>
      </c>
      <c r="L2063">
        <f>VLOOKUP($A2064,'Medical Examinations'!$A:$J,3,FALSE)</f>
        <v>30.3</v>
      </c>
      <c r="N2063" s="11">
        <f>VLOOKUP($B2063,'Hospitalisation Details'!A2062:J4406,10,0)</f>
        <v>27369</v>
      </c>
      <c r="O2063" t="str">
        <f>VLOOKUP($B2063,'Hospitalisation Details'!A2062:J4406,8,0)</f>
        <v>tier - 1</v>
      </c>
      <c r="P2063" t="str">
        <f>VLOOKUP($B2063,'Hospitalisation Details'!A2062:J4406,7,0)</f>
        <v>tier - 1</v>
      </c>
      <c r="Q2063" t="str">
        <f>VLOOKUP($B2063,'Hospitalisation Details'!A2062:J4406,9,0)</f>
        <v>R1011</v>
      </c>
      <c r="R2063">
        <f>VLOOKUP($B2063,'Hospitalisation Details'!A2062:K4406,11,0)</f>
        <v>48</v>
      </c>
    </row>
    <row r="2064" spans="1:18" x14ac:dyDescent="0.35">
      <c r="A2064" t="s">
        <v>304</v>
      </c>
      <c r="B2064" t="s">
        <v>2095</v>
      </c>
      <c r="C2064" t="str">
        <f>VLOOKUP($A2064,'Customer Names'!$A:$E,4,FALSE)</f>
        <v>Stefanie A</v>
      </c>
      <c r="D2064" t="str">
        <f>VLOOKUP($A2064,'Medical Examinations'!$A:$J,2,FALSE)</f>
        <v>Obesity</v>
      </c>
      <c r="E2064">
        <f>VLOOKUP($A2064,'Medical Examinations'!$A:$J,4,FALSE)</f>
        <v>4.7300000000000004</v>
      </c>
      <c r="F2064" t="str">
        <f>VLOOKUP($A2064,'Medical Examinations'!$A:$J,6,FALSE)</f>
        <v>yes</v>
      </c>
      <c r="G2064" t="str">
        <f>VLOOKUP($A2064,'Medical Examinations'!$A:$J,7,FALSE)</f>
        <v>No</v>
      </c>
      <c r="H2064" t="str">
        <f>VLOOKUP($A2064,'Medical Examinations'!$A:$J,8,FALSE)</f>
        <v>Yes</v>
      </c>
      <c r="I2064">
        <f>VLOOKUP($A2064,'Medical Examinations'!$A:$J,9,FALSE)</f>
        <v>1</v>
      </c>
      <c r="J2064" t="str">
        <f>VLOOKUP($A2064,'Medical Examinations'!$A:$J,10,FALSE)</f>
        <v>No</v>
      </c>
      <c r="K2064" t="str">
        <f>VLOOKUP($A2064,'Medical Examinations'!$A:$J,5,FALSE)</f>
        <v>Normal</v>
      </c>
      <c r="L2064">
        <f>VLOOKUP($A2065,'Medical Examinations'!$A:$J,3,FALSE)</f>
        <v>26.4</v>
      </c>
      <c r="N2064" s="11">
        <f>VLOOKUP($B2064,'Hospitalisation Details'!A2063:J4407,10,0)</f>
        <v>26610</v>
      </c>
      <c r="O2064" t="str">
        <f>VLOOKUP($B2064,'Hospitalisation Details'!A2063:J4407,8,0)</f>
        <v>tier - 2</v>
      </c>
      <c r="P2064" t="str">
        <f>VLOOKUP($B2064,'Hospitalisation Details'!A2063:J4407,7,0)</f>
        <v>tier - 2</v>
      </c>
      <c r="Q2064" t="str">
        <f>VLOOKUP($B2064,'Hospitalisation Details'!A2063:J4407,9,0)</f>
        <v>R1012</v>
      </c>
      <c r="R2064">
        <f>VLOOKUP($B2064,'Hospitalisation Details'!A2063:K4407,11,0)</f>
        <v>50</v>
      </c>
    </row>
    <row r="2065" spans="1:18" x14ac:dyDescent="0.35">
      <c r="A2065" t="s">
        <v>303</v>
      </c>
      <c r="B2065" t="s">
        <v>2096</v>
      </c>
      <c r="C2065" t="str">
        <f>VLOOKUP($A2065,'Customer Names'!$A:$E,4,FALSE)</f>
        <v>Stephanie</v>
      </c>
      <c r="D2065" t="str">
        <f>VLOOKUP($A2065,'Medical Examinations'!$A:$J,2,FALSE)</f>
        <v>Overweight</v>
      </c>
      <c r="E2065">
        <f>VLOOKUP($A2065,'Medical Examinations'!$A:$J,4,FALSE)</f>
        <v>6.22</v>
      </c>
      <c r="F2065" t="str">
        <f>VLOOKUP($A2065,'Medical Examinations'!$A:$J,6,FALSE)</f>
        <v>yes</v>
      </c>
      <c r="G2065" t="str">
        <f>VLOOKUP($A2065,'Medical Examinations'!$A:$J,7,FALSE)</f>
        <v>No</v>
      </c>
      <c r="H2065" t="str">
        <f>VLOOKUP($A2065,'Medical Examinations'!$A:$J,8,FALSE)</f>
        <v>No</v>
      </c>
      <c r="I2065">
        <f>VLOOKUP($A2065,'Medical Examinations'!$A:$J,9,FALSE)</f>
        <v>0</v>
      </c>
      <c r="J2065" t="str">
        <f>VLOOKUP($A2065,'Medical Examinations'!$A:$J,10,FALSE)</f>
        <v>No</v>
      </c>
      <c r="K2065" t="str">
        <f>VLOOKUP($A2065,'Medical Examinations'!$A:$J,5,FALSE)</f>
        <v>Prediabetes</v>
      </c>
      <c r="L2065">
        <f>VLOOKUP($A2066,'Medical Examinations'!$A:$J,3,FALSE)</f>
        <v>22.135000000000002</v>
      </c>
      <c r="N2065" s="11">
        <f>VLOOKUP($B2065,'Hospitalisation Details'!A2064:J4408,10,0)</f>
        <v>29567</v>
      </c>
      <c r="O2065" t="str">
        <f>VLOOKUP($B2065,'Hospitalisation Details'!A2064:J4408,8,0)</f>
        <v>tier - 3</v>
      </c>
      <c r="P2065" t="str">
        <f>VLOOKUP($B2065,'Hospitalisation Details'!A2064:J4408,7,0)</f>
        <v>tier - 1</v>
      </c>
      <c r="Q2065" t="str">
        <f>VLOOKUP($B2065,'Hospitalisation Details'!A2064:J4408,9,0)</f>
        <v>R1012</v>
      </c>
      <c r="R2065">
        <f>VLOOKUP($B2065,'Hospitalisation Details'!A2064:K4408,11,0)</f>
        <v>42</v>
      </c>
    </row>
    <row r="2066" spans="1:18" x14ac:dyDescent="0.35">
      <c r="A2066" t="s">
        <v>302</v>
      </c>
      <c r="B2066" t="s">
        <v>2097</v>
      </c>
      <c r="C2066" t="str">
        <f>VLOOKUP($A2066,'Customer Names'!$A:$E,4,FALSE)</f>
        <v>Caroline F.</v>
      </c>
      <c r="D2066" t="str">
        <f>VLOOKUP($A2066,'Medical Examinations'!$A:$J,2,FALSE)</f>
        <v>Normal Weight</v>
      </c>
      <c r="E2066">
        <f>VLOOKUP($A2066,'Medical Examinations'!$A:$J,4,FALSE)</f>
        <v>4.46</v>
      </c>
      <c r="F2066" t="str">
        <f>VLOOKUP($A2066,'Medical Examinations'!$A:$J,6,FALSE)</f>
        <v>yes</v>
      </c>
      <c r="G2066" t="str">
        <f>VLOOKUP($A2066,'Medical Examinations'!$A:$J,7,FALSE)</f>
        <v>No</v>
      </c>
      <c r="H2066" t="str">
        <f>VLOOKUP($A2066,'Medical Examinations'!$A:$J,8,FALSE)</f>
        <v>No</v>
      </c>
      <c r="I2066">
        <f>VLOOKUP($A2066,'Medical Examinations'!$A:$J,9,FALSE)</f>
        <v>0</v>
      </c>
      <c r="J2066" t="str">
        <f>VLOOKUP($A2066,'Medical Examinations'!$A:$J,10,FALSE)</f>
        <v>No</v>
      </c>
      <c r="K2066" t="str">
        <f>VLOOKUP($A2066,'Medical Examinations'!$A:$J,5,FALSE)</f>
        <v>Normal</v>
      </c>
      <c r="L2066">
        <f>VLOOKUP($A2067,'Medical Examinations'!$A:$J,3,FALSE)</f>
        <v>17.399999999999999</v>
      </c>
      <c r="N2066" s="11">
        <f>VLOOKUP($B2066,'Hospitalisation Details'!A2065:J4409,10,0)</f>
        <v>35037</v>
      </c>
      <c r="O2066" t="str">
        <f>VLOOKUP($B2066,'Hospitalisation Details'!A2065:J4409,8,0)</f>
        <v>tier - 2</v>
      </c>
      <c r="P2066" t="str">
        <f>VLOOKUP($B2066,'Hospitalisation Details'!A2065:J4409,7,0)</f>
        <v>tier - 1</v>
      </c>
      <c r="Q2066" t="str">
        <f>VLOOKUP($B2066,'Hospitalisation Details'!A2065:J4409,9,0)</f>
        <v>R1011</v>
      </c>
      <c r="R2066">
        <f>VLOOKUP($B2066,'Hospitalisation Details'!A2065:K4409,11,0)</f>
        <v>27</v>
      </c>
    </row>
    <row r="2067" spans="1:18" x14ac:dyDescent="0.35">
      <c r="A2067" t="s">
        <v>301</v>
      </c>
      <c r="B2067" t="s">
        <v>2098</v>
      </c>
      <c r="C2067" t="str">
        <f>VLOOKUP($A2067,'Customer Names'!$A:$E,4,FALSE)</f>
        <v>Julia J.</v>
      </c>
      <c r="D2067" t="str">
        <f>VLOOKUP($A2067,'Medical Examinations'!$A:$J,2,FALSE)</f>
        <v>Underweight</v>
      </c>
      <c r="E2067">
        <f>VLOOKUP($A2067,'Medical Examinations'!$A:$J,4,FALSE)</f>
        <v>4.5</v>
      </c>
      <c r="F2067" t="str">
        <f>VLOOKUP($A2067,'Medical Examinations'!$A:$J,6,FALSE)</f>
        <v>yes</v>
      </c>
      <c r="G2067" t="str">
        <f>VLOOKUP($A2067,'Medical Examinations'!$A:$J,7,FALSE)</f>
        <v>No</v>
      </c>
      <c r="H2067" t="str">
        <f>VLOOKUP($A2067,'Medical Examinations'!$A:$J,8,FALSE)</f>
        <v>No</v>
      </c>
      <c r="I2067">
        <f>VLOOKUP($A2067,'Medical Examinations'!$A:$J,9,FALSE)</f>
        <v>0</v>
      </c>
      <c r="J2067" t="str">
        <f>VLOOKUP($A2067,'Medical Examinations'!$A:$J,10,FALSE)</f>
        <v>No</v>
      </c>
      <c r="K2067" t="str">
        <f>VLOOKUP($A2067,'Medical Examinations'!$A:$J,5,FALSE)</f>
        <v>Normal</v>
      </c>
      <c r="L2067">
        <f>VLOOKUP($A2068,'Medical Examinations'!$A:$J,3,FALSE)</f>
        <v>28.06</v>
      </c>
      <c r="N2067" s="11">
        <f>VLOOKUP($B2067,'Hospitalisation Details'!A2066:J4410,10,0)</f>
        <v>29907</v>
      </c>
      <c r="O2067" t="str">
        <f>VLOOKUP($B2067,'Hospitalisation Details'!A2066:J4410,8,0)</f>
        <v>tier - 3</v>
      </c>
      <c r="P2067" t="str">
        <f>VLOOKUP($B2067,'Hospitalisation Details'!A2066:J4410,7,0)</f>
        <v>tier - 2</v>
      </c>
      <c r="Q2067" t="str">
        <f>VLOOKUP($B2067,'Hospitalisation Details'!A2066:J4410,9,0)</f>
        <v>R1011</v>
      </c>
      <c r="R2067">
        <f>VLOOKUP($B2067,'Hospitalisation Details'!A2066:K4410,11,0)</f>
        <v>41</v>
      </c>
    </row>
    <row r="2068" spans="1:18" x14ac:dyDescent="0.35">
      <c r="A2068" t="s">
        <v>299</v>
      </c>
      <c r="B2068" t="s">
        <v>2099</v>
      </c>
      <c r="C2068" t="str">
        <f>VLOOKUP($A2068,'Customer Names'!$A:$E,4,FALSE)</f>
        <v>Jack</v>
      </c>
      <c r="D2068" t="str">
        <f>VLOOKUP($A2068,'Medical Examinations'!$A:$J,2,FALSE)</f>
        <v>Overweight</v>
      </c>
      <c r="E2068">
        <f>VLOOKUP($A2068,'Medical Examinations'!$A:$J,4,FALSE)</f>
        <v>8.93</v>
      </c>
      <c r="F2068" t="str">
        <f>VLOOKUP($A2068,'Medical Examinations'!$A:$J,6,FALSE)</f>
        <v>No</v>
      </c>
      <c r="G2068" t="str">
        <f>VLOOKUP($A2068,'Medical Examinations'!$A:$J,7,FALSE)</f>
        <v>No</v>
      </c>
      <c r="H2068" t="str">
        <f>VLOOKUP($A2068,'Medical Examinations'!$A:$J,8,FALSE)</f>
        <v>No</v>
      </c>
      <c r="I2068">
        <f>VLOOKUP($A2068,'Medical Examinations'!$A:$J,9,FALSE)</f>
        <v>0</v>
      </c>
      <c r="J2068" t="str">
        <f>VLOOKUP($A2068,'Medical Examinations'!$A:$J,10,FALSE)</f>
        <v>No</v>
      </c>
      <c r="K2068" t="str">
        <f>VLOOKUP($A2068,'Medical Examinations'!$A:$J,5,FALSE)</f>
        <v>Diabetes</v>
      </c>
      <c r="L2068">
        <f>VLOOKUP($A2069,'Medical Examinations'!$A:$J,3,FALSE)</f>
        <v>31.13</v>
      </c>
      <c r="N2068" s="11">
        <f>VLOOKUP($B2068,'Hospitalisation Details'!A2067:J4411,10,0)</f>
        <v>26169</v>
      </c>
      <c r="O2068" t="str">
        <f>VLOOKUP($B2068,'Hospitalisation Details'!A2067:J4411,8,0)</f>
        <v>tier - 1</v>
      </c>
      <c r="P2068" t="str">
        <f>VLOOKUP($B2068,'Hospitalisation Details'!A2067:J4411,7,0)</f>
        <v>tier - 2</v>
      </c>
      <c r="Q2068" t="str">
        <f>VLOOKUP($B2068,'Hospitalisation Details'!A2067:J4411,9,0)</f>
        <v>R1011</v>
      </c>
      <c r="R2068">
        <f>VLOOKUP($B2068,'Hospitalisation Details'!A2067:K4411,11,0)</f>
        <v>51</v>
      </c>
    </row>
    <row r="2069" spans="1:18" x14ac:dyDescent="0.35">
      <c r="A2069" t="s">
        <v>298</v>
      </c>
      <c r="B2069" t="s">
        <v>2100</v>
      </c>
      <c r="C2069" t="str">
        <f>VLOOKUP($A2069,'Customer Names'!$A:$E,4,FALSE)</f>
        <v>Bernat</v>
      </c>
      <c r="D2069" t="str">
        <f>VLOOKUP($A2069,'Medical Examinations'!$A:$J,2,FALSE)</f>
        <v>Obesity</v>
      </c>
      <c r="E2069">
        <f>VLOOKUP($A2069,'Medical Examinations'!$A:$J,4,FALSE)</f>
        <v>11.02</v>
      </c>
      <c r="F2069" t="str">
        <f>VLOOKUP($A2069,'Medical Examinations'!$A:$J,6,FALSE)</f>
        <v>No</v>
      </c>
      <c r="G2069" t="str">
        <f>VLOOKUP($A2069,'Medical Examinations'!$A:$J,7,FALSE)</f>
        <v>No</v>
      </c>
      <c r="H2069" t="str">
        <f>VLOOKUP($A2069,'Medical Examinations'!$A:$J,8,FALSE)</f>
        <v>No</v>
      </c>
      <c r="I2069">
        <f>VLOOKUP($A2069,'Medical Examinations'!$A:$J,9,FALSE)</f>
        <v>0</v>
      </c>
      <c r="J2069" t="str">
        <f>VLOOKUP($A2069,'Medical Examinations'!$A:$J,10,FALSE)</f>
        <v>No</v>
      </c>
      <c r="K2069" t="str">
        <f>VLOOKUP($A2069,'Medical Examinations'!$A:$J,5,FALSE)</f>
        <v>Diabetes</v>
      </c>
      <c r="L2069">
        <f>VLOOKUP($A2070,'Medical Examinations'!$A:$J,3,FALSE)</f>
        <v>18.46</v>
      </c>
      <c r="N2069" s="11">
        <f>VLOOKUP($B2069,'Hospitalisation Details'!A2068:J4412,10,0)</f>
        <v>34888</v>
      </c>
      <c r="O2069" t="str">
        <f>VLOOKUP($B2069,'Hospitalisation Details'!A2068:J4412,8,0)</f>
        <v>tier - 1</v>
      </c>
      <c r="P2069" t="str">
        <f>VLOOKUP($B2069,'Hospitalisation Details'!A2068:J4412,7,0)</f>
        <v>tier - 1</v>
      </c>
      <c r="Q2069" t="str">
        <f>VLOOKUP($B2069,'Hospitalisation Details'!A2068:J4412,9,0)</f>
        <v>R1011</v>
      </c>
      <c r="R2069">
        <f>VLOOKUP($B2069,'Hospitalisation Details'!A2068:K4412,11,0)</f>
        <v>27</v>
      </c>
    </row>
    <row r="2070" spans="1:18" x14ac:dyDescent="0.35">
      <c r="A2070" t="s">
        <v>297</v>
      </c>
      <c r="B2070" t="s">
        <v>2101</v>
      </c>
      <c r="C2070" t="str">
        <f>VLOOKUP($A2070,'Customer Names'!$A:$E,4,FALSE)</f>
        <v>Hicham</v>
      </c>
      <c r="D2070" t="str">
        <f>VLOOKUP($A2070,'Medical Examinations'!$A:$J,2,FALSE)</f>
        <v>Underweight</v>
      </c>
      <c r="E2070">
        <f>VLOOKUP($A2070,'Medical Examinations'!$A:$J,4,FALSE)</f>
        <v>5.25</v>
      </c>
      <c r="F2070" t="str">
        <f>VLOOKUP($A2070,'Medical Examinations'!$A:$J,6,FALSE)</f>
        <v>No</v>
      </c>
      <c r="G2070" t="str">
        <f>VLOOKUP($A2070,'Medical Examinations'!$A:$J,7,FALSE)</f>
        <v>No</v>
      </c>
      <c r="H2070" t="str">
        <f>VLOOKUP($A2070,'Medical Examinations'!$A:$J,8,FALSE)</f>
        <v>No</v>
      </c>
      <c r="I2070">
        <f>VLOOKUP($A2070,'Medical Examinations'!$A:$J,9,FALSE)</f>
        <v>0</v>
      </c>
      <c r="J2070" t="str">
        <f>VLOOKUP($A2070,'Medical Examinations'!$A:$J,10,FALSE)</f>
        <v>No</v>
      </c>
      <c r="K2070" t="str">
        <f>VLOOKUP($A2070,'Medical Examinations'!$A:$J,5,FALSE)</f>
        <v>Normal</v>
      </c>
      <c r="L2070">
        <f>VLOOKUP($A2071,'Medical Examinations'!$A:$J,3,FALSE)</f>
        <v>17.3</v>
      </c>
      <c r="N2070" s="11">
        <f>VLOOKUP($B2070,'Hospitalisation Details'!A2069:J4413,10,0)</f>
        <v>24663</v>
      </c>
      <c r="O2070" t="str">
        <f>VLOOKUP($B2070,'Hospitalisation Details'!A2069:J4413,8,0)</f>
        <v>tier - 3</v>
      </c>
      <c r="P2070" t="str">
        <f>VLOOKUP($B2070,'Hospitalisation Details'!A2069:J4413,7,0)</f>
        <v>tier - 2</v>
      </c>
      <c r="Q2070" t="str">
        <f>VLOOKUP($B2070,'Hospitalisation Details'!A2069:J4413,9,0)</f>
        <v>R1011</v>
      </c>
      <c r="R2070">
        <f>VLOOKUP($B2070,'Hospitalisation Details'!A2069:K4413,11,0)</f>
        <v>55</v>
      </c>
    </row>
    <row r="2071" spans="1:18" x14ac:dyDescent="0.35">
      <c r="A2071" t="s">
        <v>296</v>
      </c>
      <c r="B2071" t="s">
        <v>2102</v>
      </c>
      <c r="C2071" t="str">
        <f>VLOOKUP($A2071,'Customer Names'!$A:$E,4,FALSE)</f>
        <v>Sarah</v>
      </c>
      <c r="D2071" t="str">
        <f>VLOOKUP($A2071,'Medical Examinations'!$A:$J,2,FALSE)</f>
        <v>Underweight</v>
      </c>
      <c r="E2071">
        <f>VLOOKUP($A2071,'Medical Examinations'!$A:$J,4,FALSE)</f>
        <v>4.75</v>
      </c>
      <c r="F2071" t="str">
        <f>VLOOKUP($A2071,'Medical Examinations'!$A:$J,6,FALSE)</f>
        <v>No</v>
      </c>
      <c r="G2071" t="str">
        <f>VLOOKUP($A2071,'Medical Examinations'!$A:$J,7,FALSE)</f>
        <v>No</v>
      </c>
      <c r="H2071" t="str">
        <f>VLOOKUP($A2071,'Medical Examinations'!$A:$J,8,FALSE)</f>
        <v>No</v>
      </c>
      <c r="I2071">
        <f>VLOOKUP($A2071,'Medical Examinations'!$A:$J,9,FALSE)</f>
        <v>0</v>
      </c>
      <c r="J2071" t="str">
        <f>VLOOKUP($A2071,'Medical Examinations'!$A:$J,10,FALSE)</f>
        <v>No</v>
      </c>
      <c r="K2071" t="str">
        <f>VLOOKUP($A2071,'Medical Examinations'!$A:$J,5,FALSE)</f>
        <v>Normal</v>
      </c>
      <c r="L2071">
        <f>VLOOKUP($A2072,'Medical Examinations'!$A:$J,3,FALSE)</f>
        <v>35.625</v>
      </c>
      <c r="N2071" s="11">
        <f>VLOOKUP($B2071,'Hospitalisation Details'!A2070:J4414,10,0)</f>
        <v>34543</v>
      </c>
      <c r="O2071" t="str">
        <f>VLOOKUP($B2071,'Hospitalisation Details'!A2070:J4414,8,0)</f>
        <v>tier - 2</v>
      </c>
      <c r="P2071" t="str">
        <f>VLOOKUP($B2071,'Hospitalisation Details'!A2070:J4414,7,0)</f>
        <v>tier - 1</v>
      </c>
      <c r="Q2071" t="str">
        <f>VLOOKUP($B2071,'Hospitalisation Details'!A2070:J4414,9,0)</f>
        <v>R1011</v>
      </c>
      <c r="R2071">
        <f>VLOOKUP($B2071,'Hospitalisation Details'!A2070:K4414,11,0)</f>
        <v>28</v>
      </c>
    </row>
    <row r="2072" spans="1:18" x14ac:dyDescent="0.35">
      <c r="A2072" t="s">
        <v>295</v>
      </c>
      <c r="B2072" t="s">
        <v>2103</v>
      </c>
      <c r="C2072" t="str">
        <f>VLOOKUP($A2072,'Customer Names'!$A:$E,4,FALSE)</f>
        <v>Anthony S</v>
      </c>
      <c r="D2072" t="str">
        <f>VLOOKUP($A2072,'Medical Examinations'!$A:$J,2,FALSE)</f>
        <v>Obesity</v>
      </c>
      <c r="E2072">
        <f>VLOOKUP($A2072,'Medical Examinations'!$A:$J,4,FALSE)</f>
        <v>4.68</v>
      </c>
      <c r="F2072" t="str">
        <f>VLOOKUP($A2072,'Medical Examinations'!$A:$J,6,FALSE)</f>
        <v>yes</v>
      </c>
      <c r="G2072" t="str">
        <f>VLOOKUP($A2072,'Medical Examinations'!$A:$J,7,FALSE)</f>
        <v>No</v>
      </c>
      <c r="H2072" t="str">
        <f>VLOOKUP($A2072,'Medical Examinations'!$A:$J,8,FALSE)</f>
        <v>Yes</v>
      </c>
      <c r="I2072">
        <f>VLOOKUP($A2072,'Medical Examinations'!$A:$J,9,FALSE)</f>
        <v>1</v>
      </c>
      <c r="J2072" t="str">
        <f>VLOOKUP($A2072,'Medical Examinations'!$A:$J,10,FALSE)</f>
        <v>No</v>
      </c>
      <c r="K2072" t="str">
        <f>VLOOKUP($A2072,'Medical Examinations'!$A:$J,5,FALSE)</f>
        <v>Normal</v>
      </c>
      <c r="L2072">
        <f>VLOOKUP($A2073,'Medical Examinations'!$A:$J,3,FALSE)</f>
        <v>20.234999999999999</v>
      </c>
      <c r="N2072" s="11">
        <f>VLOOKUP($B2072,'Hospitalisation Details'!A2071:J4415,10,0)</f>
        <v>22828</v>
      </c>
      <c r="O2072" t="str">
        <f>VLOOKUP($B2072,'Hospitalisation Details'!A2071:J4415,8,0)</f>
        <v>tier - 2</v>
      </c>
      <c r="P2072" t="str">
        <f>VLOOKUP($B2072,'Hospitalisation Details'!A2071:J4415,7,0)</f>
        <v>tier - 1</v>
      </c>
      <c r="Q2072" t="str">
        <f>VLOOKUP($B2072,'Hospitalisation Details'!A2071:J4415,9,0)</f>
        <v>R1011</v>
      </c>
      <c r="R2072">
        <f>VLOOKUP($B2072,'Hospitalisation Details'!A2071:K4415,11,0)</f>
        <v>60</v>
      </c>
    </row>
    <row r="2073" spans="1:18" x14ac:dyDescent="0.35">
      <c r="A2073" t="s">
        <v>294</v>
      </c>
      <c r="B2073" t="s">
        <v>2104</v>
      </c>
      <c r="C2073" t="str">
        <f>VLOOKUP($A2073,'Customer Names'!$A:$E,4,FALSE)</f>
        <v>Elisabetta</v>
      </c>
      <c r="D2073" t="str">
        <f>VLOOKUP($A2073,'Medical Examinations'!$A:$J,2,FALSE)</f>
        <v>Normal Weight</v>
      </c>
      <c r="E2073">
        <f>VLOOKUP($A2073,'Medical Examinations'!$A:$J,4,FALSE)</f>
        <v>6.17</v>
      </c>
      <c r="F2073" t="str">
        <f>VLOOKUP($A2073,'Medical Examinations'!$A:$J,6,FALSE)</f>
        <v>yes</v>
      </c>
      <c r="G2073" t="str">
        <f>VLOOKUP($A2073,'Medical Examinations'!$A:$J,7,FALSE)</f>
        <v>yes</v>
      </c>
      <c r="H2073" t="str">
        <f>VLOOKUP($A2073,'Medical Examinations'!$A:$J,8,FALSE)</f>
        <v>No</v>
      </c>
      <c r="I2073">
        <f>VLOOKUP($A2073,'Medical Examinations'!$A:$J,9,FALSE)</f>
        <v>2</v>
      </c>
      <c r="J2073" t="str">
        <f>VLOOKUP($A2073,'Medical Examinations'!$A:$J,10,FALSE)</f>
        <v>No</v>
      </c>
      <c r="K2073" t="str">
        <f>VLOOKUP($A2073,'Medical Examinations'!$A:$J,5,FALSE)</f>
        <v>Prediabetes</v>
      </c>
      <c r="L2073">
        <f>VLOOKUP($A2074,'Medical Examinations'!$A:$J,3,FALSE)</f>
        <v>27.55</v>
      </c>
      <c r="N2073" s="11">
        <f>VLOOKUP($B2073,'Hospitalisation Details'!A2072:J4416,10,0)</f>
        <v>25506</v>
      </c>
      <c r="O2073" t="str">
        <f>VLOOKUP($B2073,'Hospitalisation Details'!A2072:J4416,8,0)</f>
        <v>tier - 2</v>
      </c>
      <c r="P2073" t="str">
        <f>VLOOKUP($B2073,'Hospitalisation Details'!A2072:J4416,7,0)</f>
        <v>tier - 2</v>
      </c>
      <c r="Q2073" t="str">
        <f>VLOOKUP($B2073,'Hospitalisation Details'!A2072:J4416,9,0)</f>
        <v>R1011</v>
      </c>
      <c r="R2073">
        <f>VLOOKUP($B2073,'Hospitalisation Details'!A2072:K4416,11,0)</f>
        <v>53</v>
      </c>
    </row>
    <row r="2074" spans="1:18" x14ac:dyDescent="0.35">
      <c r="A2074" t="s">
        <v>293</v>
      </c>
      <c r="B2074" t="s">
        <v>2105</v>
      </c>
      <c r="C2074" t="str">
        <f>VLOOKUP($A2074,'Customer Names'!$A:$E,4,FALSE)</f>
        <v>Trevor N.</v>
      </c>
      <c r="D2074" t="str">
        <f>VLOOKUP($A2074,'Medical Examinations'!$A:$J,2,FALSE)</f>
        <v>Overweight</v>
      </c>
      <c r="E2074">
        <f>VLOOKUP($A2074,'Medical Examinations'!$A:$J,4,FALSE)</f>
        <v>4.5599999999999996</v>
      </c>
      <c r="F2074" t="str">
        <f>VLOOKUP($A2074,'Medical Examinations'!$A:$J,6,FALSE)</f>
        <v>yes</v>
      </c>
      <c r="G2074" t="str">
        <f>VLOOKUP($A2074,'Medical Examinations'!$A:$J,7,FALSE)</f>
        <v>No</v>
      </c>
      <c r="H2074" t="str">
        <f>VLOOKUP($A2074,'Medical Examinations'!$A:$J,8,FALSE)</f>
        <v>Yes</v>
      </c>
      <c r="I2074">
        <f>VLOOKUP($A2074,'Medical Examinations'!$A:$J,9,FALSE)</f>
        <v>1</v>
      </c>
      <c r="J2074" t="str">
        <f>VLOOKUP($A2074,'Medical Examinations'!$A:$J,10,FALSE)</f>
        <v>No</v>
      </c>
      <c r="K2074" t="str">
        <f>VLOOKUP($A2074,'Medical Examinations'!$A:$J,5,FALSE)</f>
        <v>Normal</v>
      </c>
      <c r="L2074">
        <f>VLOOKUP($A2075,'Medical Examinations'!$A:$J,3,FALSE)</f>
        <v>17.97</v>
      </c>
      <c r="N2074" s="11">
        <f>VLOOKUP($B2074,'Hospitalisation Details'!A2073:J4417,10,0)</f>
        <v>31243</v>
      </c>
      <c r="O2074" t="str">
        <f>VLOOKUP($B2074,'Hospitalisation Details'!A2073:J4417,8,0)</f>
        <v>tier - 1</v>
      </c>
      <c r="P2074" t="str">
        <f>VLOOKUP($B2074,'Hospitalisation Details'!A2073:J4417,7,0)</f>
        <v>tier - 2</v>
      </c>
      <c r="Q2074" t="str">
        <f>VLOOKUP($B2074,'Hospitalisation Details'!A2073:J4417,9,0)</f>
        <v>R1011</v>
      </c>
      <c r="R2074">
        <f>VLOOKUP($B2074,'Hospitalisation Details'!A2073:K4417,11,0)</f>
        <v>37</v>
      </c>
    </row>
    <row r="2075" spans="1:18" x14ac:dyDescent="0.35">
      <c r="A2075" t="s">
        <v>292</v>
      </c>
      <c r="B2075" t="s">
        <v>2106</v>
      </c>
      <c r="C2075" t="str">
        <f>VLOOKUP($A2075,'Customer Names'!$A:$E,4,FALSE)</f>
        <v>Nancy</v>
      </c>
      <c r="D2075" t="str">
        <f>VLOOKUP($A2075,'Medical Examinations'!$A:$J,2,FALSE)</f>
        <v>Underweight</v>
      </c>
      <c r="E2075">
        <f>VLOOKUP($A2075,'Medical Examinations'!$A:$J,4,FALSE)</f>
        <v>6.3</v>
      </c>
      <c r="F2075" t="str">
        <f>VLOOKUP($A2075,'Medical Examinations'!$A:$J,6,FALSE)</f>
        <v>No</v>
      </c>
      <c r="G2075" t="str">
        <f>VLOOKUP($A2075,'Medical Examinations'!$A:$J,7,FALSE)</f>
        <v>No</v>
      </c>
      <c r="H2075" t="str">
        <f>VLOOKUP($A2075,'Medical Examinations'!$A:$J,8,FALSE)</f>
        <v>No</v>
      </c>
      <c r="I2075">
        <f>VLOOKUP($A2075,'Medical Examinations'!$A:$J,9,FALSE)</f>
        <v>0</v>
      </c>
      <c r="J2075" t="str">
        <f>VLOOKUP($A2075,'Medical Examinations'!$A:$J,10,FALSE)</f>
        <v>No</v>
      </c>
      <c r="K2075" t="str">
        <f>VLOOKUP($A2075,'Medical Examinations'!$A:$J,5,FALSE)</f>
        <v>Prediabetes</v>
      </c>
      <c r="L2075">
        <f>VLOOKUP($A2076,'Medical Examinations'!$A:$J,3,FALSE)</f>
        <v>29.98</v>
      </c>
      <c r="N2075" s="11">
        <f>VLOOKUP($B2075,'Hospitalisation Details'!A2074:J4418,10,0)</f>
        <v>33158</v>
      </c>
      <c r="O2075" t="str">
        <f>VLOOKUP($B2075,'Hospitalisation Details'!A2074:J4418,8,0)</f>
        <v>tier - 1</v>
      </c>
      <c r="P2075" t="str">
        <f>VLOOKUP($B2075,'Hospitalisation Details'!A2074:J4418,7,0)</f>
        <v>tier - 2</v>
      </c>
      <c r="Q2075" t="str">
        <f>VLOOKUP($B2075,'Hospitalisation Details'!A2074:J4418,9,0)</f>
        <v>R1011</v>
      </c>
      <c r="R2075">
        <f>VLOOKUP($B2075,'Hospitalisation Details'!A2074:K4418,11,0)</f>
        <v>32</v>
      </c>
    </row>
    <row r="2076" spans="1:18" x14ac:dyDescent="0.35">
      <c r="A2076" t="s">
        <v>291</v>
      </c>
      <c r="B2076" t="s">
        <v>2107</v>
      </c>
      <c r="C2076" t="str">
        <f>VLOOKUP($A2076,'Customer Names'!$A:$E,4,FALSE)</f>
        <v>Allison R.</v>
      </c>
      <c r="D2076" t="str">
        <f>VLOOKUP($A2076,'Medical Examinations'!$A:$J,2,FALSE)</f>
        <v>Overweight</v>
      </c>
      <c r="E2076">
        <f>VLOOKUP($A2076,'Medical Examinations'!$A:$J,4,FALSE)</f>
        <v>6.03</v>
      </c>
      <c r="F2076" t="str">
        <f>VLOOKUP($A2076,'Medical Examinations'!$A:$J,6,FALSE)</f>
        <v>No</v>
      </c>
      <c r="G2076" t="str">
        <f>VLOOKUP($A2076,'Medical Examinations'!$A:$J,7,FALSE)</f>
        <v>yes</v>
      </c>
      <c r="H2076" t="str">
        <f>VLOOKUP($A2076,'Medical Examinations'!$A:$J,8,FALSE)</f>
        <v>No</v>
      </c>
      <c r="I2076">
        <f>VLOOKUP($A2076,'Medical Examinations'!$A:$J,9,FALSE)</f>
        <v>1</v>
      </c>
      <c r="J2076" t="str">
        <f>VLOOKUP($A2076,'Medical Examinations'!$A:$J,10,FALSE)</f>
        <v>No</v>
      </c>
      <c r="K2076" t="str">
        <f>VLOOKUP($A2076,'Medical Examinations'!$A:$J,5,FALSE)</f>
        <v>Prediabetes</v>
      </c>
      <c r="L2076">
        <f>VLOOKUP($A2077,'Medical Examinations'!$A:$J,3,FALSE)</f>
        <v>33.659999999999997</v>
      </c>
      <c r="N2076" s="11">
        <f>VLOOKUP($B2076,'Hospitalisation Details'!A2075:J4419,10,0)</f>
        <v>37953</v>
      </c>
      <c r="O2076" t="str">
        <f>VLOOKUP($B2076,'Hospitalisation Details'!A2075:J4419,8,0)</f>
        <v>tier - 3</v>
      </c>
      <c r="P2076" t="str">
        <f>VLOOKUP($B2076,'Hospitalisation Details'!A2075:J4419,7,0)</f>
        <v>tier - 2</v>
      </c>
      <c r="Q2076" t="str">
        <f>VLOOKUP($B2076,'Hospitalisation Details'!A2075:J4419,9,0)</f>
        <v>R1012</v>
      </c>
      <c r="R2076">
        <f>VLOOKUP($B2076,'Hospitalisation Details'!A2075:K4419,11,0)</f>
        <v>19</v>
      </c>
    </row>
    <row r="2077" spans="1:18" x14ac:dyDescent="0.35">
      <c r="A2077" t="s">
        <v>290</v>
      </c>
      <c r="B2077" t="s">
        <v>2108</v>
      </c>
      <c r="C2077" t="str">
        <f>VLOOKUP($A2077,'Customer Names'!$A:$E,4,FALSE)</f>
        <v>Robert J.</v>
      </c>
      <c r="D2077" t="str">
        <f>VLOOKUP($A2077,'Medical Examinations'!$A:$J,2,FALSE)</f>
        <v>Obesity</v>
      </c>
      <c r="E2077">
        <f>VLOOKUP($A2077,'Medical Examinations'!$A:$J,4,FALSE)</f>
        <v>4.2</v>
      </c>
      <c r="F2077" t="str">
        <f>VLOOKUP($A2077,'Medical Examinations'!$A:$J,6,FALSE)</f>
        <v>yes</v>
      </c>
      <c r="G2077" t="str">
        <f>VLOOKUP($A2077,'Medical Examinations'!$A:$J,7,FALSE)</f>
        <v>No</v>
      </c>
      <c r="H2077" t="str">
        <f>VLOOKUP($A2077,'Medical Examinations'!$A:$J,8,FALSE)</f>
        <v>No</v>
      </c>
      <c r="I2077">
        <f>VLOOKUP($A2077,'Medical Examinations'!$A:$J,9,FALSE)</f>
        <v>1</v>
      </c>
      <c r="J2077" t="str">
        <f>VLOOKUP($A2077,'Medical Examinations'!$A:$J,10,FALSE)</f>
        <v>No</v>
      </c>
      <c r="K2077" t="str">
        <f>VLOOKUP($A2077,'Medical Examinations'!$A:$J,5,FALSE)</f>
        <v>Normal</v>
      </c>
      <c r="L2077">
        <f>VLOOKUP($A2078,'Medical Examinations'!$A:$J,3,FALSE)</f>
        <v>32.67</v>
      </c>
      <c r="N2077" s="11">
        <f>VLOOKUP($B2077,'Hospitalisation Details'!A2076:J4420,10,0)</f>
        <v>26547</v>
      </c>
      <c r="O2077" t="str">
        <f>VLOOKUP($B2077,'Hospitalisation Details'!A2076:J4420,8,0)</f>
        <v>tier - 3</v>
      </c>
      <c r="P2077" t="str">
        <f>VLOOKUP($B2077,'Hospitalisation Details'!A2076:J4420,7,0)</f>
        <v>tier - 2</v>
      </c>
      <c r="Q2077" t="str">
        <f>VLOOKUP($B2077,'Hospitalisation Details'!A2076:J4420,9,0)</f>
        <v>R1011</v>
      </c>
      <c r="R2077">
        <f>VLOOKUP($B2077,'Hospitalisation Details'!A2076:K4420,11,0)</f>
        <v>50</v>
      </c>
    </row>
    <row r="2078" spans="1:18" x14ac:dyDescent="0.35">
      <c r="A2078" t="s">
        <v>289</v>
      </c>
      <c r="B2078" t="s">
        <v>2109</v>
      </c>
      <c r="C2078" t="str">
        <f>VLOOKUP($A2078,'Customer Names'!$A:$E,4,FALSE)</f>
        <v>Nicholas</v>
      </c>
      <c r="D2078" t="str">
        <f>VLOOKUP($A2078,'Medical Examinations'!$A:$J,2,FALSE)</f>
        <v>Obesity</v>
      </c>
      <c r="E2078">
        <f>VLOOKUP($A2078,'Medical Examinations'!$A:$J,4,FALSE)</f>
        <v>5.61</v>
      </c>
      <c r="F2078" t="str">
        <f>VLOOKUP($A2078,'Medical Examinations'!$A:$J,6,FALSE)</f>
        <v>yes</v>
      </c>
      <c r="G2078" t="str">
        <f>VLOOKUP($A2078,'Medical Examinations'!$A:$J,7,FALSE)</f>
        <v>No</v>
      </c>
      <c r="H2078" t="str">
        <f>VLOOKUP($A2078,'Medical Examinations'!$A:$J,8,FALSE)</f>
        <v>No</v>
      </c>
      <c r="I2078">
        <f>VLOOKUP($A2078,'Medical Examinations'!$A:$J,9,FALSE)</f>
        <v>1</v>
      </c>
      <c r="J2078" t="str">
        <f>VLOOKUP($A2078,'Medical Examinations'!$A:$J,10,FALSE)</f>
        <v>No</v>
      </c>
      <c r="K2078" t="str">
        <f>VLOOKUP($A2078,'Medical Examinations'!$A:$J,5,FALSE)</f>
        <v>Normal</v>
      </c>
      <c r="L2078">
        <f>VLOOKUP($A2079,'Medical Examinations'!$A:$J,3,FALSE)</f>
        <v>30.5</v>
      </c>
      <c r="N2078" s="11">
        <f>VLOOKUP($B2078,'Hospitalisation Details'!A2077:J4421,10,0)</f>
        <v>31388</v>
      </c>
      <c r="O2078" t="str">
        <f>VLOOKUP($B2078,'Hospitalisation Details'!A2077:J4421,8,0)</f>
        <v>tier - 2</v>
      </c>
      <c r="P2078" t="str">
        <f>VLOOKUP($B2078,'Hospitalisation Details'!A2077:J4421,7,0)</f>
        <v>tier - 2</v>
      </c>
      <c r="Q2078" t="str">
        <f>VLOOKUP($B2078,'Hospitalisation Details'!A2077:J4421,9,0)</f>
        <v>R1011</v>
      </c>
      <c r="R2078">
        <f>VLOOKUP($B2078,'Hospitalisation Details'!A2077:K4421,11,0)</f>
        <v>37</v>
      </c>
    </row>
    <row r="2079" spans="1:18" x14ac:dyDescent="0.35">
      <c r="A2079" t="s">
        <v>288</v>
      </c>
      <c r="B2079" t="s">
        <v>2110</v>
      </c>
      <c r="C2079" t="str">
        <f>VLOOKUP($A2079,'Customer Names'!$A:$E,4,FALSE)</f>
        <v>Kevin L</v>
      </c>
      <c r="D2079" t="str">
        <f>VLOOKUP($A2079,'Medical Examinations'!$A:$J,2,FALSE)</f>
        <v>Obesity</v>
      </c>
      <c r="E2079">
        <f>VLOOKUP($A2079,'Medical Examinations'!$A:$J,4,FALSE)</f>
        <v>5.88</v>
      </c>
      <c r="F2079" t="str">
        <f>VLOOKUP($A2079,'Medical Examinations'!$A:$J,6,FALSE)</f>
        <v>yes</v>
      </c>
      <c r="G2079" t="str">
        <f>VLOOKUP($A2079,'Medical Examinations'!$A:$J,7,FALSE)</f>
        <v>No</v>
      </c>
      <c r="H2079" t="str">
        <f>VLOOKUP($A2079,'Medical Examinations'!$A:$J,8,FALSE)</f>
        <v>No</v>
      </c>
      <c r="I2079">
        <f>VLOOKUP($A2079,'Medical Examinations'!$A:$J,9,FALSE)</f>
        <v>1</v>
      </c>
      <c r="J2079" t="str">
        <f>VLOOKUP($A2079,'Medical Examinations'!$A:$J,10,FALSE)</f>
        <v>No</v>
      </c>
      <c r="K2079" t="str">
        <f>VLOOKUP($A2079,'Medical Examinations'!$A:$J,5,FALSE)</f>
        <v>Prediabetes</v>
      </c>
      <c r="L2079">
        <f>VLOOKUP($A2080,'Medical Examinations'!$A:$J,3,FALSE)</f>
        <v>23.1</v>
      </c>
      <c r="N2079" s="11">
        <f>VLOOKUP($B2079,'Hospitalisation Details'!A2078:J4422,10,0)</f>
        <v>25737</v>
      </c>
      <c r="O2079" t="str">
        <f>VLOOKUP($B2079,'Hospitalisation Details'!A2078:J4422,8,0)</f>
        <v>tier - 2</v>
      </c>
      <c r="P2079" t="str">
        <f>VLOOKUP($B2079,'Hospitalisation Details'!A2078:J4422,7,0)</f>
        <v>tier - 2</v>
      </c>
      <c r="Q2079" t="str">
        <f>VLOOKUP($B2079,'Hospitalisation Details'!A2078:J4422,9,0)</f>
        <v>R1012</v>
      </c>
      <c r="R2079">
        <f>VLOOKUP($B2079,'Hospitalisation Details'!A2078:K4422,11,0)</f>
        <v>52</v>
      </c>
    </row>
    <row r="2080" spans="1:18" x14ac:dyDescent="0.35">
      <c r="A2080" t="s">
        <v>287</v>
      </c>
      <c r="B2080" t="s">
        <v>2111</v>
      </c>
      <c r="C2080" t="str">
        <f>VLOOKUP($A2080,'Customer Names'!$A:$E,4,FALSE)</f>
        <v>Bryan</v>
      </c>
      <c r="D2080" t="str">
        <f>VLOOKUP($A2080,'Medical Examinations'!$A:$J,2,FALSE)</f>
        <v>Normal Weight</v>
      </c>
      <c r="E2080">
        <f>VLOOKUP($A2080,'Medical Examinations'!$A:$J,4,FALSE)</f>
        <v>5.92</v>
      </c>
      <c r="F2080" t="str">
        <f>VLOOKUP($A2080,'Medical Examinations'!$A:$J,6,FALSE)</f>
        <v>yes</v>
      </c>
      <c r="G2080" t="str">
        <f>VLOOKUP($A2080,'Medical Examinations'!$A:$J,7,FALSE)</f>
        <v>No</v>
      </c>
      <c r="H2080" t="str">
        <f>VLOOKUP($A2080,'Medical Examinations'!$A:$J,8,FALSE)</f>
        <v>No</v>
      </c>
      <c r="I2080">
        <f>VLOOKUP($A2080,'Medical Examinations'!$A:$J,9,FALSE)</f>
        <v>1</v>
      </c>
      <c r="J2080" t="str">
        <f>VLOOKUP($A2080,'Medical Examinations'!$A:$J,10,FALSE)</f>
        <v>No</v>
      </c>
      <c r="K2080" t="str">
        <f>VLOOKUP($A2080,'Medical Examinations'!$A:$J,5,FALSE)</f>
        <v>Prediabetes</v>
      </c>
      <c r="L2080">
        <f>VLOOKUP($A2081,'Medical Examinations'!$A:$J,3,FALSE)</f>
        <v>39.49</v>
      </c>
      <c r="N2080" s="11">
        <f>VLOOKUP($B2080,'Hospitalisation Details'!A2079:J4423,10,0)</f>
        <v>37493</v>
      </c>
      <c r="O2080" t="str">
        <f>VLOOKUP($B2080,'Hospitalisation Details'!A2079:J4423,8,0)</f>
        <v>tier - 1</v>
      </c>
      <c r="P2080" t="str">
        <f>VLOOKUP($B2080,'Hospitalisation Details'!A2079:J4423,7,0)</f>
        <v>tier - 1</v>
      </c>
      <c r="Q2080" t="str">
        <f>VLOOKUP($B2080,'Hospitalisation Details'!A2079:J4423,9,0)</f>
        <v>R1018</v>
      </c>
      <c r="R2080">
        <f>VLOOKUP($B2080,'Hospitalisation Details'!A2079:K4423,11,0)</f>
        <v>20</v>
      </c>
    </row>
    <row r="2081" spans="1:18" x14ac:dyDescent="0.35">
      <c r="A2081" t="s">
        <v>286</v>
      </c>
      <c r="B2081" t="s">
        <v>2112</v>
      </c>
      <c r="C2081" t="str">
        <f>VLOOKUP($A2081,'Customer Names'!$A:$E,4,FALSE)</f>
        <v>Janae N.</v>
      </c>
      <c r="D2081" t="str">
        <f>VLOOKUP($A2081,'Medical Examinations'!$A:$J,2,FALSE)</f>
        <v>Obesity</v>
      </c>
      <c r="E2081">
        <f>VLOOKUP($A2081,'Medical Examinations'!$A:$J,4,FALSE)</f>
        <v>4.8099999999999996</v>
      </c>
      <c r="F2081" t="str">
        <f>VLOOKUP($A2081,'Medical Examinations'!$A:$J,6,FALSE)</f>
        <v>No</v>
      </c>
      <c r="G2081" t="str">
        <f>VLOOKUP($A2081,'Medical Examinations'!$A:$J,7,FALSE)</f>
        <v>No</v>
      </c>
      <c r="H2081" t="str">
        <f>VLOOKUP($A2081,'Medical Examinations'!$A:$J,8,FALSE)</f>
        <v>No</v>
      </c>
      <c r="I2081">
        <f>VLOOKUP($A2081,'Medical Examinations'!$A:$J,9,FALSE)</f>
        <v>1</v>
      </c>
      <c r="J2081" t="str">
        <f>VLOOKUP($A2081,'Medical Examinations'!$A:$J,10,FALSE)</f>
        <v>No</v>
      </c>
      <c r="K2081" t="str">
        <f>VLOOKUP($A2081,'Medical Examinations'!$A:$J,5,FALSE)</f>
        <v>Normal</v>
      </c>
      <c r="L2081">
        <f>VLOOKUP($A2082,'Medical Examinations'!$A:$J,3,FALSE)</f>
        <v>33.99</v>
      </c>
      <c r="N2081" s="11">
        <f>VLOOKUP($B2081,'Hospitalisation Details'!A2080:J4424,10,0)</f>
        <v>30885</v>
      </c>
      <c r="O2081" t="str">
        <f>VLOOKUP($B2081,'Hospitalisation Details'!A2080:J4424,8,0)</f>
        <v>tier - 3</v>
      </c>
      <c r="P2081" t="str">
        <f>VLOOKUP($B2081,'Hospitalisation Details'!A2080:J4424,7,0)</f>
        <v>tier - 2</v>
      </c>
      <c r="Q2081" t="str">
        <f>VLOOKUP($B2081,'Hospitalisation Details'!A2080:J4424,9,0)</f>
        <v>R1011</v>
      </c>
      <c r="R2081">
        <f>VLOOKUP($B2081,'Hospitalisation Details'!A2080:K4424,11,0)</f>
        <v>38</v>
      </c>
    </row>
    <row r="2082" spans="1:18" x14ac:dyDescent="0.35">
      <c r="A2082" t="s">
        <v>285</v>
      </c>
      <c r="B2082" t="s">
        <v>2113</v>
      </c>
      <c r="C2082" t="str">
        <f>VLOOKUP($A2082,'Customer Names'!$A:$E,4,FALSE)</f>
        <v>Audrey</v>
      </c>
      <c r="D2082" t="str">
        <f>VLOOKUP($A2082,'Medical Examinations'!$A:$J,2,FALSE)</f>
        <v>Obesity</v>
      </c>
      <c r="E2082">
        <f>VLOOKUP($A2082,'Medical Examinations'!$A:$J,4,FALSE)</f>
        <v>4.55</v>
      </c>
      <c r="F2082" t="str">
        <f>VLOOKUP($A2082,'Medical Examinations'!$A:$J,6,FALSE)</f>
        <v>No</v>
      </c>
      <c r="G2082" t="str">
        <f>VLOOKUP($A2082,'Medical Examinations'!$A:$J,7,FALSE)</f>
        <v>No</v>
      </c>
      <c r="H2082" t="str">
        <f>VLOOKUP($A2082,'Medical Examinations'!$A:$J,8,FALSE)</f>
        <v>No</v>
      </c>
      <c r="I2082">
        <f>VLOOKUP($A2082,'Medical Examinations'!$A:$J,9,FALSE)</f>
        <v>1</v>
      </c>
      <c r="J2082" t="str">
        <f>VLOOKUP($A2082,'Medical Examinations'!$A:$J,10,FALSE)</f>
        <v>No</v>
      </c>
      <c r="K2082" t="str">
        <f>VLOOKUP($A2082,'Medical Examinations'!$A:$J,5,FALSE)</f>
        <v>Normal</v>
      </c>
      <c r="L2082">
        <f>VLOOKUP($A2083,'Medical Examinations'!$A:$J,3,FALSE)</f>
        <v>27.72</v>
      </c>
      <c r="N2082" s="11">
        <f>VLOOKUP($B2082,'Hospitalisation Details'!A2081:J4425,10,0)</f>
        <v>37873</v>
      </c>
      <c r="O2082" t="str">
        <f>VLOOKUP($B2082,'Hospitalisation Details'!A2081:J4425,8,0)</f>
        <v>tier - 2</v>
      </c>
      <c r="P2082" t="str">
        <f>VLOOKUP($B2082,'Hospitalisation Details'!A2081:J4425,7,0)</f>
        <v>tier - 1</v>
      </c>
      <c r="Q2082" t="str">
        <f>VLOOKUP($B2082,'Hospitalisation Details'!A2081:J4425,9,0)</f>
        <v>R1011</v>
      </c>
      <c r="R2082">
        <f>VLOOKUP($B2082,'Hospitalisation Details'!A2081:K4425,11,0)</f>
        <v>19</v>
      </c>
    </row>
    <row r="2083" spans="1:18" x14ac:dyDescent="0.35">
      <c r="A2083" t="s">
        <v>284</v>
      </c>
      <c r="B2083" t="s">
        <v>2114</v>
      </c>
      <c r="C2083" t="str">
        <f>VLOOKUP($A2083,'Customer Names'!$A:$E,4,FALSE)</f>
        <v>Laura</v>
      </c>
      <c r="D2083" t="str">
        <f>VLOOKUP($A2083,'Medical Examinations'!$A:$J,2,FALSE)</f>
        <v>Overweight</v>
      </c>
      <c r="E2083">
        <f>VLOOKUP($A2083,'Medical Examinations'!$A:$J,4,FALSE)</f>
        <v>6.43</v>
      </c>
      <c r="F2083" t="str">
        <f>VLOOKUP($A2083,'Medical Examinations'!$A:$J,6,FALSE)</f>
        <v>No</v>
      </c>
      <c r="G2083" t="str">
        <f>VLOOKUP($A2083,'Medical Examinations'!$A:$J,7,FALSE)</f>
        <v>No</v>
      </c>
      <c r="H2083" t="str">
        <f>VLOOKUP($A2083,'Medical Examinations'!$A:$J,8,FALSE)</f>
        <v>No</v>
      </c>
      <c r="I2083">
        <f>VLOOKUP($A2083,'Medical Examinations'!$A:$J,9,FALSE)</f>
        <v>1</v>
      </c>
      <c r="J2083" t="str">
        <f>VLOOKUP($A2083,'Medical Examinations'!$A:$J,10,FALSE)</f>
        <v>No</v>
      </c>
      <c r="K2083" t="str">
        <f>VLOOKUP($A2083,'Medical Examinations'!$A:$J,5,FALSE)</f>
        <v>Prediabetes</v>
      </c>
      <c r="L2083">
        <f>VLOOKUP($A2084,'Medical Examinations'!$A:$J,3,FALSE)</f>
        <v>30.59</v>
      </c>
      <c r="N2083" s="11">
        <f>VLOOKUP($B2083,'Hospitalisation Details'!A2082:J4426,10,0)</f>
        <v>34301</v>
      </c>
      <c r="O2083" t="str">
        <f>VLOOKUP($B2083,'Hospitalisation Details'!A2082:J4426,8,0)</f>
        <v>tier - 2</v>
      </c>
      <c r="P2083" t="str">
        <f>VLOOKUP($B2083,'Hospitalisation Details'!A2082:J4426,7,0)</f>
        <v>tier - 2</v>
      </c>
      <c r="Q2083" t="str">
        <f>VLOOKUP($B2083,'Hospitalisation Details'!A2082:J4426,9,0)</f>
        <v>R1011</v>
      </c>
      <c r="R2083">
        <f>VLOOKUP($B2083,'Hospitalisation Details'!A2082:K4426,11,0)</f>
        <v>29</v>
      </c>
    </row>
    <row r="2084" spans="1:18" x14ac:dyDescent="0.35">
      <c r="A2084" t="s">
        <v>283</v>
      </c>
      <c r="B2084" t="s">
        <v>2115</v>
      </c>
      <c r="C2084" t="str">
        <f>VLOOKUP($A2084,'Customer Names'!$A:$E,4,FALSE)</f>
        <v>Nicole F</v>
      </c>
      <c r="D2084" t="str">
        <f>VLOOKUP($A2084,'Medical Examinations'!$A:$J,2,FALSE)</f>
        <v>Obesity</v>
      </c>
      <c r="E2084">
        <f>VLOOKUP($A2084,'Medical Examinations'!$A:$J,4,FALSE)</f>
        <v>11.62</v>
      </c>
      <c r="F2084" t="str">
        <f>VLOOKUP($A2084,'Medical Examinations'!$A:$J,6,FALSE)</f>
        <v>No</v>
      </c>
      <c r="G2084" t="str">
        <f>VLOOKUP($A2084,'Medical Examinations'!$A:$J,7,FALSE)</f>
        <v>No</v>
      </c>
      <c r="H2084" t="str">
        <f>VLOOKUP($A2084,'Medical Examinations'!$A:$J,8,FALSE)</f>
        <v>No</v>
      </c>
      <c r="I2084">
        <f>VLOOKUP($A2084,'Medical Examinations'!$A:$J,9,FALSE)</f>
        <v>0</v>
      </c>
      <c r="J2084" t="str">
        <f>VLOOKUP($A2084,'Medical Examinations'!$A:$J,10,FALSE)</f>
        <v>No</v>
      </c>
      <c r="K2084" t="str">
        <f>VLOOKUP($A2084,'Medical Examinations'!$A:$J,5,FALSE)</f>
        <v>Diabetes</v>
      </c>
      <c r="L2084">
        <f>VLOOKUP($A2085,'Medical Examinations'!$A:$J,3,FALSE)</f>
        <v>22.6</v>
      </c>
      <c r="N2084" s="11">
        <f>VLOOKUP($B2084,'Hospitalisation Details'!A2083:J4427,10,0)</f>
        <v>38292</v>
      </c>
      <c r="O2084" t="str">
        <f>VLOOKUP($B2084,'Hospitalisation Details'!A2083:J4427,8,0)</f>
        <v>tier - 1</v>
      </c>
      <c r="P2084" t="str">
        <f>VLOOKUP($B2084,'Hospitalisation Details'!A2083:J4427,7,0)</f>
        <v>tier - 1</v>
      </c>
      <c r="Q2084" t="str">
        <f>VLOOKUP($B2084,'Hospitalisation Details'!A2083:J4427,9,0)</f>
        <v>R1017</v>
      </c>
      <c r="R2084">
        <f>VLOOKUP($B2084,'Hospitalisation Details'!A2083:K4427,11,0)</f>
        <v>18</v>
      </c>
    </row>
    <row r="2085" spans="1:18" x14ac:dyDescent="0.35">
      <c r="A2085" t="s">
        <v>282</v>
      </c>
      <c r="B2085" t="s">
        <v>2116</v>
      </c>
      <c r="C2085" t="str">
        <f>VLOOKUP($A2085,'Customer Names'!$A:$E,4,FALSE)</f>
        <v>Krista L</v>
      </c>
      <c r="D2085" t="str">
        <f>VLOOKUP($A2085,'Medical Examinations'!$A:$J,2,FALSE)</f>
        <v>Normal Weight</v>
      </c>
      <c r="E2085">
        <f>VLOOKUP($A2085,'Medical Examinations'!$A:$J,4,FALSE)</f>
        <v>6.04</v>
      </c>
      <c r="F2085" t="str">
        <f>VLOOKUP($A2085,'Medical Examinations'!$A:$J,6,FALSE)</f>
        <v>No</v>
      </c>
      <c r="G2085" t="str">
        <f>VLOOKUP($A2085,'Medical Examinations'!$A:$J,7,FALSE)</f>
        <v>No</v>
      </c>
      <c r="H2085" t="str">
        <f>VLOOKUP($A2085,'Medical Examinations'!$A:$J,8,FALSE)</f>
        <v>No</v>
      </c>
      <c r="I2085">
        <f>VLOOKUP($A2085,'Medical Examinations'!$A:$J,9,FALSE)</f>
        <v>1</v>
      </c>
      <c r="J2085" t="str">
        <f>VLOOKUP($A2085,'Medical Examinations'!$A:$J,10,FALSE)</f>
        <v>No</v>
      </c>
      <c r="K2085" t="str">
        <f>VLOOKUP($A2085,'Medical Examinations'!$A:$J,5,FALSE)</f>
        <v>Prediabetes</v>
      </c>
      <c r="L2085">
        <f>VLOOKUP($A2086,'Medical Examinations'!$A:$J,3,FALSE)</f>
        <v>28.785</v>
      </c>
      <c r="N2085" s="11">
        <f>VLOOKUP($B2085,'Hospitalisation Details'!A2084:J4428,10,0)</f>
        <v>37876</v>
      </c>
      <c r="O2085" t="str">
        <f>VLOOKUP($B2085,'Hospitalisation Details'!A2084:J4428,8,0)</f>
        <v>tier - 3</v>
      </c>
      <c r="P2085" t="str">
        <f>VLOOKUP($B2085,'Hospitalisation Details'!A2084:J4428,7,0)</f>
        <v>tier - 1</v>
      </c>
      <c r="Q2085" t="str">
        <f>VLOOKUP($B2085,'Hospitalisation Details'!A2084:J4428,9,0)</f>
        <v>R1012</v>
      </c>
      <c r="R2085">
        <f>VLOOKUP($B2085,'Hospitalisation Details'!A2084:K4428,11,0)</f>
        <v>19</v>
      </c>
    </row>
    <row r="2086" spans="1:18" x14ac:dyDescent="0.35">
      <c r="A2086" t="s">
        <v>281</v>
      </c>
      <c r="B2086" t="s">
        <v>2117</v>
      </c>
      <c r="C2086" t="str">
        <f>VLOOKUP($A2086,'Customer Names'!$A:$E,4,FALSE)</f>
        <v>Denise</v>
      </c>
      <c r="D2086" t="str">
        <f>VLOOKUP($A2086,'Medical Examinations'!$A:$J,2,FALSE)</f>
        <v>Overweight</v>
      </c>
      <c r="E2086">
        <f>VLOOKUP($A2086,'Medical Examinations'!$A:$J,4,FALSE)</f>
        <v>8.82</v>
      </c>
      <c r="F2086" t="str">
        <f>VLOOKUP($A2086,'Medical Examinations'!$A:$J,6,FALSE)</f>
        <v>No</v>
      </c>
      <c r="G2086" t="str">
        <f>VLOOKUP($A2086,'Medical Examinations'!$A:$J,7,FALSE)</f>
        <v>No</v>
      </c>
      <c r="H2086" t="str">
        <f>VLOOKUP($A2086,'Medical Examinations'!$A:$J,8,FALSE)</f>
        <v>No</v>
      </c>
      <c r="I2086">
        <f>VLOOKUP($A2086,'Medical Examinations'!$A:$J,9,FALSE)</f>
        <v>0</v>
      </c>
      <c r="J2086" t="str">
        <f>VLOOKUP($A2086,'Medical Examinations'!$A:$J,10,FALSE)</f>
        <v>No</v>
      </c>
      <c r="K2086" t="str">
        <f>VLOOKUP($A2086,'Medical Examinations'!$A:$J,5,FALSE)</f>
        <v>Diabetes</v>
      </c>
      <c r="L2086">
        <f>VLOOKUP($A2087,'Medical Examinations'!$A:$J,3,FALSE)</f>
        <v>50.38</v>
      </c>
      <c r="N2086" s="11">
        <f>VLOOKUP($B2086,'Hospitalisation Details'!A2085:J4429,10,0)</f>
        <v>22991</v>
      </c>
      <c r="O2086" t="str">
        <f>VLOOKUP($B2086,'Hospitalisation Details'!A2085:J4429,8,0)</f>
        <v>tier - 3</v>
      </c>
      <c r="P2086" t="str">
        <f>VLOOKUP($B2086,'Hospitalisation Details'!A2085:J4429,7,0)</f>
        <v>tier - 1</v>
      </c>
      <c r="Q2086" t="str">
        <f>VLOOKUP($B2086,'Hospitalisation Details'!A2085:J4429,9,0)</f>
        <v>R1011</v>
      </c>
      <c r="R2086">
        <f>VLOOKUP($B2086,'Hospitalisation Details'!A2085:K4429,11,0)</f>
        <v>60</v>
      </c>
    </row>
    <row r="2087" spans="1:18" x14ac:dyDescent="0.35">
      <c r="A2087" t="s">
        <v>280</v>
      </c>
      <c r="B2087" t="s">
        <v>2118</v>
      </c>
      <c r="C2087" t="str">
        <f>VLOOKUP($A2087,'Customer Names'!$A:$E,4,FALSE)</f>
        <v>Ariel</v>
      </c>
      <c r="D2087" t="str">
        <f>VLOOKUP($A2087,'Medical Examinations'!$A:$J,2,FALSE)</f>
        <v>Obesity</v>
      </c>
      <c r="E2087">
        <f>VLOOKUP($A2087,'Medical Examinations'!$A:$J,4,FALSE)</f>
        <v>5.8</v>
      </c>
      <c r="F2087" t="str">
        <f>VLOOKUP($A2087,'Medical Examinations'!$A:$J,6,FALSE)</f>
        <v>No</v>
      </c>
      <c r="G2087" t="str">
        <f>VLOOKUP($A2087,'Medical Examinations'!$A:$J,7,FALSE)</f>
        <v>No</v>
      </c>
      <c r="H2087" t="str">
        <f>VLOOKUP($A2087,'Medical Examinations'!$A:$J,8,FALSE)</f>
        <v>No</v>
      </c>
      <c r="I2087">
        <f>VLOOKUP($A2087,'Medical Examinations'!$A:$J,9,FALSE)</f>
        <v>0</v>
      </c>
      <c r="J2087" t="str">
        <f>VLOOKUP($A2087,'Medical Examinations'!$A:$J,10,FALSE)</f>
        <v>No</v>
      </c>
      <c r="K2087" t="str">
        <f>VLOOKUP($A2087,'Medical Examinations'!$A:$J,5,FALSE)</f>
        <v>Prediabetes</v>
      </c>
      <c r="L2087">
        <f>VLOOKUP($A2088,'Medical Examinations'!$A:$J,3,FALSE)</f>
        <v>35.200000000000003</v>
      </c>
      <c r="N2087" s="11">
        <f>VLOOKUP($B2087,'Hospitalisation Details'!A2086:J4430,10,0)</f>
        <v>36825</v>
      </c>
      <c r="O2087" t="str">
        <f>VLOOKUP($B2087,'Hospitalisation Details'!A2086:J4430,8,0)</f>
        <v>tier - 3</v>
      </c>
      <c r="P2087" t="str">
        <f>VLOOKUP($B2087,'Hospitalisation Details'!A2086:J4430,7,0)</f>
        <v>tier - 2</v>
      </c>
      <c r="Q2087" t="str">
        <f>VLOOKUP($B2087,'Hospitalisation Details'!A2086:J4430,9,0)</f>
        <v>R1011</v>
      </c>
      <c r="R2087">
        <f>VLOOKUP($B2087,'Hospitalisation Details'!A2086:K4430,11,0)</f>
        <v>22</v>
      </c>
    </row>
    <row r="2088" spans="1:18" x14ac:dyDescent="0.35">
      <c r="A2088" t="s">
        <v>279</v>
      </c>
      <c r="B2088" t="s">
        <v>2119</v>
      </c>
      <c r="C2088" t="str">
        <f>VLOOKUP($A2088,'Customer Names'!$A:$E,4,FALSE)</f>
        <v>Jeremy</v>
      </c>
      <c r="D2088" t="str">
        <f>VLOOKUP($A2088,'Medical Examinations'!$A:$J,2,FALSE)</f>
        <v>Obesity</v>
      </c>
      <c r="E2088">
        <f>VLOOKUP($A2088,'Medical Examinations'!$A:$J,4,FALSE)</f>
        <v>4.28</v>
      </c>
      <c r="F2088" t="str">
        <f>VLOOKUP($A2088,'Medical Examinations'!$A:$J,6,FALSE)</f>
        <v>No</v>
      </c>
      <c r="G2088" t="str">
        <f>VLOOKUP($A2088,'Medical Examinations'!$A:$J,7,FALSE)</f>
        <v>No</v>
      </c>
      <c r="H2088" t="str">
        <f>VLOOKUP($A2088,'Medical Examinations'!$A:$J,8,FALSE)</f>
        <v>No</v>
      </c>
      <c r="I2088">
        <f>VLOOKUP($A2088,'Medical Examinations'!$A:$J,9,FALSE)</f>
        <v>0</v>
      </c>
      <c r="J2088" t="str">
        <f>VLOOKUP($A2088,'Medical Examinations'!$A:$J,10,FALSE)</f>
        <v>No</v>
      </c>
      <c r="K2088" t="str">
        <f>VLOOKUP($A2088,'Medical Examinations'!$A:$J,5,FALSE)</f>
        <v>Normal</v>
      </c>
      <c r="L2088">
        <f>VLOOKUP($A2089,'Medical Examinations'!$A:$J,3,FALSE)</f>
        <v>35.72</v>
      </c>
      <c r="N2088" s="11">
        <f>VLOOKUP($B2088,'Hospitalisation Details'!A2087:J4431,10,0)</f>
        <v>35651</v>
      </c>
      <c r="O2088" t="str">
        <f>VLOOKUP($B2088,'Hospitalisation Details'!A2087:J4431,8,0)</f>
        <v>tier - 3</v>
      </c>
      <c r="P2088" t="str">
        <f>VLOOKUP($B2088,'Hospitalisation Details'!A2087:J4431,7,0)</f>
        <v>tier - 2</v>
      </c>
      <c r="Q2088" t="str">
        <f>VLOOKUP($B2088,'Hospitalisation Details'!A2087:J4431,9,0)</f>
        <v>R1011</v>
      </c>
      <c r="R2088">
        <f>VLOOKUP($B2088,'Hospitalisation Details'!A2087:K4431,11,0)</f>
        <v>25</v>
      </c>
    </row>
    <row r="2089" spans="1:18" x14ac:dyDescent="0.35">
      <c r="A2089" t="s">
        <v>278</v>
      </c>
      <c r="B2089" t="s">
        <v>2120</v>
      </c>
      <c r="C2089" t="str">
        <f>VLOOKUP($A2089,'Customer Names'!$A:$E,4,FALSE)</f>
        <v>Rosalie</v>
      </c>
      <c r="D2089" t="str">
        <f>VLOOKUP($A2089,'Medical Examinations'!$A:$J,2,FALSE)</f>
        <v>Obesity</v>
      </c>
      <c r="E2089">
        <f>VLOOKUP($A2089,'Medical Examinations'!$A:$J,4,FALSE)</f>
        <v>5.5</v>
      </c>
      <c r="F2089" t="str">
        <f>VLOOKUP($A2089,'Medical Examinations'!$A:$J,6,FALSE)</f>
        <v>yes</v>
      </c>
      <c r="G2089" t="str">
        <f>VLOOKUP($A2089,'Medical Examinations'!$A:$J,7,FALSE)</f>
        <v>No</v>
      </c>
      <c r="H2089" t="str">
        <f>VLOOKUP($A2089,'Medical Examinations'!$A:$J,8,FALSE)</f>
        <v>No</v>
      </c>
      <c r="I2089">
        <f>VLOOKUP($A2089,'Medical Examinations'!$A:$J,9,FALSE)</f>
        <v>0</v>
      </c>
      <c r="J2089" t="str">
        <f>VLOOKUP($A2089,'Medical Examinations'!$A:$J,10,FALSE)</f>
        <v>No</v>
      </c>
      <c r="K2089" t="str">
        <f>VLOOKUP($A2089,'Medical Examinations'!$A:$J,5,FALSE)</f>
        <v>Normal</v>
      </c>
      <c r="L2089">
        <f>VLOOKUP($A2090,'Medical Examinations'!$A:$J,3,FALSE)</f>
        <v>24.51</v>
      </c>
      <c r="N2089" s="11">
        <f>VLOOKUP($B2089,'Hospitalisation Details'!A2088:J4432,10,0)</f>
        <v>36887</v>
      </c>
      <c r="O2089" t="str">
        <f>VLOOKUP($B2089,'Hospitalisation Details'!A2088:J4432,8,0)</f>
        <v>tier - 2</v>
      </c>
      <c r="P2089" t="str">
        <f>VLOOKUP($B2089,'Hospitalisation Details'!A2088:J4432,7,0)</f>
        <v>tier - 2</v>
      </c>
      <c r="Q2089" t="str">
        <f>VLOOKUP($B2089,'Hospitalisation Details'!A2088:J4432,9,0)</f>
        <v>R1012</v>
      </c>
      <c r="R2089">
        <f>VLOOKUP($B2089,'Hospitalisation Details'!A2088:K4432,11,0)</f>
        <v>22</v>
      </c>
    </row>
    <row r="2090" spans="1:18" x14ac:dyDescent="0.35">
      <c r="A2090" t="s">
        <v>277</v>
      </c>
      <c r="B2090" t="s">
        <v>2121</v>
      </c>
      <c r="C2090" t="str">
        <f>VLOOKUP($A2090,'Customer Names'!$A:$E,4,FALSE)</f>
        <v>Jay</v>
      </c>
      <c r="D2090" t="str">
        <f>VLOOKUP($A2090,'Medical Examinations'!$A:$J,2,FALSE)</f>
        <v>Normal Weight</v>
      </c>
      <c r="E2090">
        <f>VLOOKUP($A2090,'Medical Examinations'!$A:$J,4,FALSE)</f>
        <v>4.6900000000000004</v>
      </c>
      <c r="F2090" t="str">
        <f>VLOOKUP($A2090,'Medical Examinations'!$A:$J,6,FALSE)</f>
        <v>No</v>
      </c>
      <c r="G2090" t="str">
        <f>VLOOKUP($A2090,'Medical Examinations'!$A:$J,7,FALSE)</f>
        <v>No</v>
      </c>
      <c r="H2090" t="str">
        <f>VLOOKUP($A2090,'Medical Examinations'!$A:$J,8,FALSE)</f>
        <v>No</v>
      </c>
      <c r="I2090">
        <f>VLOOKUP($A2090,'Medical Examinations'!$A:$J,9,FALSE)</f>
        <v>0</v>
      </c>
      <c r="J2090" t="str">
        <f>VLOOKUP($A2090,'Medical Examinations'!$A:$J,10,FALSE)</f>
        <v>No</v>
      </c>
      <c r="K2090" t="str">
        <f>VLOOKUP($A2090,'Medical Examinations'!$A:$J,5,FALSE)</f>
        <v>Normal</v>
      </c>
      <c r="L2090">
        <f>VLOOKUP($A2091,'Medical Examinations'!$A:$J,3,FALSE)</f>
        <v>23.844999999999999</v>
      </c>
      <c r="N2090" s="11">
        <f>VLOOKUP($B2090,'Hospitalisation Details'!A2089:J4433,10,0)</f>
        <v>34602</v>
      </c>
      <c r="O2090" t="str">
        <f>VLOOKUP($B2090,'Hospitalisation Details'!A2089:J4433,8,0)</f>
        <v>tier - 2</v>
      </c>
      <c r="P2090" t="str">
        <f>VLOOKUP($B2090,'Hospitalisation Details'!A2089:J4433,7,0)</f>
        <v>tier - 2</v>
      </c>
      <c r="Q2090" t="str">
        <f>VLOOKUP($B2090,'Hospitalisation Details'!A2089:J4433,9,0)</f>
        <v>R1011</v>
      </c>
      <c r="R2090">
        <f>VLOOKUP($B2090,'Hospitalisation Details'!A2089:K4433,11,0)</f>
        <v>28</v>
      </c>
    </row>
    <row r="2091" spans="1:18" x14ac:dyDescent="0.35">
      <c r="A2091" t="s">
        <v>275</v>
      </c>
      <c r="B2091" t="s">
        <v>2122</v>
      </c>
      <c r="C2091" t="str">
        <f>VLOOKUP($A2091,'Customer Names'!$A:$E,4,FALSE)</f>
        <v>Vitaliy</v>
      </c>
      <c r="D2091" t="str">
        <f>VLOOKUP($A2091,'Medical Examinations'!$A:$J,2,FALSE)</f>
        <v>Normal Weight</v>
      </c>
      <c r="E2091">
        <f>VLOOKUP($A2091,'Medical Examinations'!$A:$J,4,FALSE)</f>
        <v>4.43</v>
      </c>
      <c r="F2091" t="str">
        <f>VLOOKUP($A2091,'Medical Examinations'!$A:$J,6,FALSE)</f>
        <v>No</v>
      </c>
      <c r="G2091" t="str">
        <f>VLOOKUP($A2091,'Medical Examinations'!$A:$J,7,FALSE)</f>
        <v>No</v>
      </c>
      <c r="H2091" t="str">
        <f>VLOOKUP($A2091,'Medical Examinations'!$A:$J,8,FALSE)</f>
        <v>No</v>
      </c>
      <c r="I2091">
        <f>VLOOKUP($A2091,'Medical Examinations'!$A:$J,9,FALSE)</f>
        <v>0</v>
      </c>
      <c r="J2091" t="str">
        <f>VLOOKUP($A2091,'Medical Examinations'!$A:$J,10,FALSE)</f>
        <v>No</v>
      </c>
      <c r="K2091" t="str">
        <f>VLOOKUP($A2091,'Medical Examinations'!$A:$J,5,FALSE)</f>
        <v>Normal</v>
      </c>
      <c r="L2091">
        <f>VLOOKUP($A2092,'Medical Examinations'!$A:$J,3,FALSE)</f>
        <v>15.68</v>
      </c>
      <c r="N2091" s="11">
        <f>VLOOKUP($B2091,'Hospitalisation Details'!A2090:J4434,10,0)</f>
        <v>26506</v>
      </c>
      <c r="O2091" t="str">
        <f>VLOOKUP($B2091,'Hospitalisation Details'!A2090:J4434,8,0)</f>
        <v>tier - 2</v>
      </c>
      <c r="P2091" t="str">
        <f>VLOOKUP($B2091,'Hospitalisation Details'!A2090:J4434,7,0)</f>
        <v>tier - 2</v>
      </c>
      <c r="Q2091" t="str">
        <f>VLOOKUP($B2091,'Hospitalisation Details'!A2090:J4434,9,0)</f>
        <v>R1011</v>
      </c>
      <c r="R2091">
        <f>VLOOKUP($B2091,'Hospitalisation Details'!A2090:K4434,11,0)</f>
        <v>50</v>
      </c>
    </row>
    <row r="2092" spans="1:18" x14ac:dyDescent="0.35">
      <c r="A2092" t="s">
        <v>274</v>
      </c>
      <c r="B2092" t="s">
        <v>2123</v>
      </c>
      <c r="C2092" t="str">
        <f>VLOOKUP($A2092,'Customer Names'!$A:$E,4,FALSE)</f>
        <v>Benjamin W.</v>
      </c>
      <c r="D2092" t="str">
        <f>VLOOKUP($A2092,'Medical Examinations'!$A:$J,2,FALSE)</f>
        <v>Underweight</v>
      </c>
      <c r="E2092">
        <f>VLOOKUP($A2092,'Medical Examinations'!$A:$J,4,FALSE)</f>
        <v>6.16</v>
      </c>
      <c r="F2092" t="str">
        <f>VLOOKUP($A2092,'Medical Examinations'!$A:$J,6,FALSE)</f>
        <v>yes</v>
      </c>
      <c r="G2092" t="str">
        <f>VLOOKUP($A2092,'Medical Examinations'!$A:$J,7,FALSE)</f>
        <v>No</v>
      </c>
      <c r="H2092" t="str">
        <f>VLOOKUP($A2092,'Medical Examinations'!$A:$J,8,FALSE)</f>
        <v>No</v>
      </c>
      <c r="I2092">
        <f>VLOOKUP($A2092,'Medical Examinations'!$A:$J,9,FALSE)</f>
        <v>1</v>
      </c>
      <c r="J2092" t="str">
        <f>VLOOKUP($A2092,'Medical Examinations'!$A:$J,10,FALSE)</f>
        <v>No</v>
      </c>
      <c r="K2092" t="str">
        <f>VLOOKUP($A2092,'Medical Examinations'!$A:$J,5,FALSE)</f>
        <v>Prediabetes</v>
      </c>
      <c r="L2092">
        <f>VLOOKUP($A2093,'Medical Examinations'!$A:$J,3,FALSE)</f>
        <v>32.395000000000003</v>
      </c>
      <c r="N2092" s="11">
        <f>VLOOKUP($B2092,'Hospitalisation Details'!A2091:J4435,10,0)</f>
        <v>37616</v>
      </c>
      <c r="O2092" t="str">
        <f>VLOOKUP($B2092,'Hospitalisation Details'!A2091:J4435,8,0)</f>
        <v>tier - 3</v>
      </c>
      <c r="P2092" t="str">
        <f>VLOOKUP($B2092,'Hospitalisation Details'!A2091:J4435,7,0)</f>
        <v>tier - 2</v>
      </c>
      <c r="Q2092" t="str">
        <f>VLOOKUP($B2092,'Hospitalisation Details'!A2091:J4435,9,0)</f>
        <v>R1011</v>
      </c>
      <c r="R2092">
        <f>VLOOKUP($B2092,'Hospitalisation Details'!A2091:K4435,11,0)</f>
        <v>20</v>
      </c>
    </row>
    <row r="2093" spans="1:18" x14ac:dyDescent="0.35">
      <c r="A2093" t="s">
        <v>273</v>
      </c>
      <c r="B2093" t="s">
        <v>2124</v>
      </c>
      <c r="C2093" t="str">
        <f>VLOOKUP($A2093,'Customer Names'!$A:$E,4,FALSE)</f>
        <v>Jesse</v>
      </c>
      <c r="D2093" t="str">
        <f>VLOOKUP($A2093,'Medical Examinations'!$A:$J,2,FALSE)</f>
        <v>Obesity</v>
      </c>
      <c r="E2093">
        <f>VLOOKUP($A2093,'Medical Examinations'!$A:$J,4,FALSE)</f>
        <v>6.66</v>
      </c>
      <c r="F2093" t="str">
        <f>VLOOKUP($A2093,'Medical Examinations'!$A:$J,6,FALSE)</f>
        <v>No</v>
      </c>
      <c r="G2093" t="str">
        <f>VLOOKUP($A2093,'Medical Examinations'!$A:$J,7,FALSE)</f>
        <v>No</v>
      </c>
      <c r="H2093" t="str">
        <f>VLOOKUP($A2093,'Medical Examinations'!$A:$J,8,FALSE)</f>
        <v>No</v>
      </c>
      <c r="I2093">
        <f>VLOOKUP($A2093,'Medical Examinations'!$A:$J,9,FALSE)</f>
        <v>0</v>
      </c>
      <c r="J2093" t="str">
        <f>VLOOKUP($A2093,'Medical Examinations'!$A:$J,10,FALSE)</f>
        <v>No</v>
      </c>
      <c r="K2093" t="str">
        <f>VLOOKUP($A2093,'Medical Examinations'!$A:$J,5,FALSE)</f>
        <v>Diabetes</v>
      </c>
      <c r="L2093">
        <f>VLOOKUP($A2094,'Medical Examinations'!$A:$J,3,FALSE)</f>
        <v>23.655000000000001</v>
      </c>
      <c r="N2093" s="11">
        <f>VLOOKUP($B2093,'Hospitalisation Details'!A2092:J4436,10,0)</f>
        <v>36470</v>
      </c>
      <c r="O2093" t="str">
        <f>VLOOKUP($B2093,'Hospitalisation Details'!A2092:J4436,8,0)</f>
        <v>tier - 3</v>
      </c>
      <c r="P2093" t="str">
        <f>VLOOKUP($B2093,'Hospitalisation Details'!A2092:J4436,7,0)</f>
        <v>tier - 2</v>
      </c>
      <c r="Q2093" t="str">
        <f>VLOOKUP($B2093,'Hospitalisation Details'!A2092:J4436,9,0)</f>
        <v>R1011</v>
      </c>
      <c r="R2093">
        <f>VLOOKUP($B2093,'Hospitalisation Details'!A2092:K4436,11,0)</f>
        <v>23</v>
      </c>
    </row>
    <row r="2094" spans="1:18" x14ac:dyDescent="0.35">
      <c r="A2094" t="s">
        <v>272</v>
      </c>
      <c r="B2094" t="s">
        <v>2125</v>
      </c>
      <c r="C2094" t="str">
        <f>VLOOKUP($A2094,'Customer Names'!$A:$E,4,FALSE)</f>
        <v>Mark</v>
      </c>
      <c r="D2094" t="str">
        <f>VLOOKUP($A2094,'Medical Examinations'!$A:$J,2,FALSE)</f>
        <v>Normal Weight</v>
      </c>
      <c r="E2094">
        <f>VLOOKUP($A2094,'Medical Examinations'!$A:$J,4,FALSE)</f>
        <v>5.92</v>
      </c>
      <c r="F2094" t="str">
        <f>VLOOKUP($A2094,'Medical Examinations'!$A:$J,6,FALSE)</f>
        <v>No</v>
      </c>
      <c r="G2094" t="str">
        <f>VLOOKUP($A2094,'Medical Examinations'!$A:$J,7,FALSE)</f>
        <v>No</v>
      </c>
      <c r="H2094" t="str">
        <f>VLOOKUP($A2094,'Medical Examinations'!$A:$J,8,FALSE)</f>
        <v>No</v>
      </c>
      <c r="I2094">
        <f>VLOOKUP($A2094,'Medical Examinations'!$A:$J,9,FALSE)</f>
        <v>1</v>
      </c>
      <c r="J2094" t="str">
        <f>VLOOKUP($A2094,'Medical Examinations'!$A:$J,10,FALSE)</f>
        <v>No</v>
      </c>
      <c r="K2094" t="str">
        <f>VLOOKUP($A2094,'Medical Examinations'!$A:$J,5,FALSE)</f>
        <v>Prediabetes</v>
      </c>
      <c r="L2094">
        <f>VLOOKUP($A2095,'Medical Examinations'!$A:$J,3,FALSE)</f>
        <v>28.4</v>
      </c>
      <c r="N2094" s="11">
        <f>VLOOKUP($B2094,'Hospitalisation Details'!A2093:J4437,10,0)</f>
        <v>26170</v>
      </c>
      <c r="O2094" t="str">
        <f>VLOOKUP($B2094,'Hospitalisation Details'!A2093:J4437,8,0)</f>
        <v>tier - 2</v>
      </c>
      <c r="P2094" t="str">
        <f>VLOOKUP($B2094,'Hospitalisation Details'!A2093:J4437,7,0)</f>
        <v>tier - 2</v>
      </c>
      <c r="Q2094" t="str">
        <f>VLOOKUP($B2094,'Hospitalisation Details'!A2093:J4437,9,0)</f>
        <v>R1011</v>
      </c>
      <c r="R2094">
        <f>VLOOKUP($B2094,'Hospitalisation Details'!A2093:K4437,11,0)</f>
        <v>51</v>
      </c>
    </row>
    <row r="2095" spans="1:18" x14ac:dyDescent="0.35">
      <c r="A2095" t="s">
        <v>271</v>
      </c>
      <c r="B2095" t="s">
        <v>2126</v>
      </c>
      <c r="C2095" t="str">
        <f>VLOOKUP($A2095,'Customer Names'!$A:$E,4,FALSE)</f>
        <v>Lauren</v>
      </c>
      <c r="D2095" t="str">
        <f>VLOOKUP($A2095,'Medical Examinations'!$A:$J,2,FALSE)</f>
        <v>Overweight</v>
      </c>
      <c r="E2095">
        <f>VLOOKUP($A2095,'Medical Examinations'!$A:$J,4,FALSE)</f>
        <v>5.97</v>
      </c>
      <c r="F2095" t="str">
        <f>VLOOKUP($A2095,'Medical Examinations'!$A:$J,6,FALSE)</f>
        <v>No</v>
      </c>
      <c r="G2095" t="str">
        <f>VLOOKUP($A2095,'Medical Examinations'!$A:$J,7,FALSE)</f>
        <v>No</v>
      </c>
      <c r="H2095" t="str">
        <f>VLOOKUP($A2095,'Medical Examinations'!$A:$J,8,FALSE)</f>
        <v>Yes</v>
      </c>
      <c r="I2095">
        <f>VLOOKUP($A2095,'Medical Examinations'!$A:$J,9,FALSE)</f>
        <v>1</v>
      </c>
      <c r="J2095" t="str">
        <f>VLOOKUP($A2095,'Medical Examinations'!$A:$J,10,FALSE)</f>
        <v>No</v>
      </c>
      <c r="K2095" t="str">
        <f>VLOOKUP($A2095,'Medical Examinations'!$A:$J,5,FALSE)</f>
        <v>Prediabetes</v>
      </c>
      <c r="L2095">
        <f>VLOOKUP($A2096,'Medical Examinations'!$A:$J,3,FALSE)</f>
        <v>35.42</v>
      </c>
      <c r="N2095" s="11">
        <f>VLOOKUP($B2095,'Hospitalisation Details'!A2094:J4438,10,0)</f>
        <v>27596</v>
      </c>
      <c r="O2095" t="str">
        <f>VLOOKUP($B2095,'Hospitalisation Details'!A2094:J4438,8,0)</f>
        <v>tier - 1</v>
      </c>
      <c r="P2095" t="str">
        <f>VLOOKUP($B2095,'Hospitalisation Details'!A2094:J4438,7,0)</f>
        <v>tier - 2</v>
      </c>
      <c r="Q2095" t="str">
        <f>VLOOKUP($B2095,'Hospitalisation Details'!A2094:J4438,9,0)</f>
        <v>R1012</v>
      </c>
      <c r="R2095">
        <f>VLOOKUP($B2095,'Hospitalisation Details'!A2094:K4438,11,0)</f>
        <v>47</v>
      </c>
    </row>
    <row r="2096" spans="1:18" x14ac:dyDescent="0.35">
      <c r="A2096" t="s">
        <v>270</v>
      </c>
      <c r="B2096" t="s">
        <v>2127</v>
      </c>
      <c r="C2096" t="str">
        <f>VLOOKUP($A2096,'Customer Names'!$A:$E,4,FALSE)</f>
        <v>Massimiliano</v>
      </c>
      <c r="D2096" t="str">
        <f>VLOOKUP($A2096,'Medical Examinations'!$A:$J,2,FALSE)</f>
        <v>Obesity</v>
      </c>
      <c r="E2096">
        <f>VLOOKUP($A2096,'Medical Examinations'!$A:$J,4,FALSE)</f>
        <v>4.6399999999999997</v>
      </c>
      <c r="F2096" t="str">
        <f>VLOOKUP($A2096,'Medical Examinations'!$A:$J,6,FALSE)</f>
        <v>yes</v>
      </c>
      <c r="G2096" t="str">
        <f>VLOOKUP($A2096,'Medical Examinations'!$A:$J,7,FALSE)</f>
        <v>No</v>
      </c>
      <c r="H2096" t="str">
        <f>VLOOKUP($A2096,'Medical Examinations'!$A:$J,8,FALSE)</f>
        <v>No</v>
      </c>
      <c r="I2096">
        <f>VLOOKUP($A2096,'Medical Examinations'!$A:$J,9,FALSE)</f>
        <v>0</v>
      </c>
      <c r="J2096" t="str">
        <f>VLOOKUP($A2096,'Medical Examinations'!$A:$J,10,FALSE)</f>
        <v>No</v>
      </c>
      <c r="K2096" t="str">
        <f>VLOOKUP($A2096,'Medical Examinations'!$A:$J,5,FALSE)</f>
        <v>Normal</v>
      </c>
      <c r="L2096">
        <f>VLOOKUP($A2097,'Medical Examinations'!$A:$J,3,FALSE)</f>
        <v>26.18</v>
      </c>
      <c r="N2096" s="11">
        <f>VLOOKUP($B2096,'Hospitalisation Details'!A2095:J4439,10,0)</f>
        <v>22832</v>
      </c>
      <c r="O2096" t="str">
        <f>VLOOKUP($B2096,'Hospitalisation Details'!A2095:J4439,8,0)</f>
        <v>tier - 1</v>
      </c>
      <c r="P2096" t="str">
        <f>VLOOKUP($B2096,'Hospitalisation Details'!A2095:J4439,7,0)</f>
        <v>tier - 1</v>
      </c>
      <c r="Q2096" t="str">
        <f>VLOOKUP($B2096,'Hospitalisation Details'!A2095:J4439,9,0)</f>
        <v>R1011</v>
      </c>
      <c r="R2096">
        <f>VLOOKUP($B2096,'Hospitalisation Details'!A2095:K4439,11,0)</f>
        <v>60</v>
      </c>
    </row>
    <row r="2097" spans="1:18" x14ac:dyDescent="0.35">
      <c r="A2097" t="s">
        <v>269</v>
      </c>
      <c r="B2097" t="s">
        <v>2128</v>
      </c>
      <c r="C2097" t="str">
        <f>VLOOKUP($A2097,'Customer Names'!$A:$E,4,FALSE)</f>
        <v>Josh</v>
      </c>
      <c r="D2097" t="str">
        <f>VLOOKUP($A2097,'Medical Examinations'!$A:$J,2,FALSE)</f>
        <v>Overweight</v>
      </c>
      <c r="E2097">
        <f>VLOOKUP($A2097,'Medical Examinations'!$A:$J,4,FALSE)</f>
        <v>6.12</v>
      </c>
      <c r="F2097" t="str">
        <f>VLOOKUP($A2097,'Medical Examinations'!$A:$J,6,FALSE)</f>
        <v>No</v>
      </c>
      <c r="G2097" t="str">
        <f>VLOOKUP($A2097,'Medical Examinations'!$A:$J,7,FALSE)</f>
        <v>yes</v>
      </c>
      <c r="H2097" t="str">
        <f>VLOOKUP($A2097,'Medical Examinations'!$A:$J,8,FALSE)</f>
        <v>No</v>
      </c>
      <c r="I2097">
        <f>VLOOKUP($A2097,'Medical Examinations'!$A:$J,9,FALSE)</f>
        <v>1</v>
      </c>
      <c r="J2097" t="str">
        <f>VLOOKUP($A2097,'Medical Examinations'!$A:$J,10,FALSE)</f>
        <v>No</v>
      </c>
      <c r="K2097" t="str">
        <f>VLOOKUP($A2097,'Medical Examinations'!$A:$J,5,FALSE)</f>
        <v>Prediabetes</v>
      </c>
      <c r="L2097">
        <f>VLOOKUP($A2098,'Medical Examinations'!$A:$J,3,FALSE)</f>
        <v>20.8</v>
      </c>
      <c r="N2097" s="11">
        <f>VLOOKUP($B2097,'Hospitalisation Details'!A2096:J4440,10,0)</f>
        <v>35957</v>
      </c>
      <c r="O2097" t="str">
        <f>VLOOKUP($B2097,'Hospitalisation Details'!A2096:J4440,8,0)</f>
        <v>tier - 3</v>
      </c>
      <c r="P2097" t="str">
        <f>VLOOKUP($B2097,'Hospitalisation Details'!A2096:J4440,7,0)</f>
        <v>tier - 1</v>
      </c>
      <c r="Q2097" t="str">
        <f>VLOOKUP($B2097,'Hospitalisation Details'!A2096:J4440,9,0)</f>
        <v>R1019</v>
      </c>
      <c r="R2097">
        <f>VLOOKUP($B2097,'Hospitalisation Details'!A2096:K4440,11,0)</f>
        <v>24</v>
      </c>
    </row>
    <row r="2098" spans="1:18" x14ac:dyDescent="0.35">
      <c r="A2098" t="s">
        <v>268</v>
      </c>
      <c r="B2098" t="s">
        <v>2129</v>
      </c>
      <c r="C2098" t="str">
        <f>VLOOKUP($A2098,'Customer Names'!$A:$E,4,FALSE)</f>
        <v>Kiyokatsu</v>
      </c>
      <c r="D2098" t="str">
        <f>VLOOKUP($A2098,'Medical Examinations'!$A:$J,2,FALSE)</f>
        <v>Normal Weight</v>
      </c>
      <c r="E2098">
        <f>VLOOKUP($A2098,'Medical Examinations'!$A:$J,4,FALSE)</f>
        <v>4.87</v>
      </c>
      <c r="F2098" t="str">
        <f>VLOOKUP($A2098,'Medical Examinations'!$A:$J,6,FALSE)</f>
        <v>yes</v>
      </c>
      <c r="G2098" t="str">
        <f>VLOOKUP($A2098,'Medical Examinations'!$A:$J,7,FALSE)</f>
        <v>No</v>
      </c>
      <c r="H2098" t="str">
        <f>VLOOKUP($A2098,'Medical Examinations'!$A:$J,8,FALSE)</f>
        <v>No</v>
      </c>
      <c r="I2098">
        <f>VLOOKUP($A2098,'Medical Examinations'!$A:$J,9,FALSE)</f>
        <v>0</v>
      </c>
      <c r="J2098" t="str">
        <f>VLOOKUP($A2098,'Medical Examinations'!$A:$J,10,FALSE)</f>
        <v>No</v>
      </c>
      <c r="K2098" t="str">
        <f>VLOOKUP($A2098,'Medical Examinations'!$A:$J,5,FALSE)</f>
        <v>Normal</v>
      </c>
      <c r="L2098">
        <f>VLOOKUP($A2099,'Medical Examinations'!$A:$J,3,FALSE)</f>
        <v>15.82</v>
      </c>
      <c r="N2098" s="11">
        <f>VLOOKUP($B2098,'Hospitalisation Details'!A2097:J4441,10,0)</f>
        <v>35002</v>
      </c>
      <c r="O2098" t="str">
        <f>VLOOKUP($B2098,'Hospitalisation Details'!A2097:J4441,8,0)</f>
        <v>tier - 1</v>
      </c>
      <c r="P2098" t="str">
        <f>VLOOKUP($B2098,'Hospitalisation Details'!A2097:J4441,7,0)</f>
        <v>tier - 1</v>
      </c>
      <c r="Q2098" t="str">
        <f>VLOOKUP($B2098,'Hospitalisation Details'!A2097:J4441,9,0)</f>
        <v>R1011</v>
      </c>
      <c r="R2098">
        <f>VLOOKUP($B2098,'Hospitalisation Details'!A2097:K4441,11,0)</f>
        <v>27</v>
      </c>
    </row>
    <row r="2099" spans="1:18" x14ac:dyDescent="0.35">
      <c r="A2099" t="s">
        <v>267</v>
      </c>
      <c r="B2099" t="s">
        <v>2130</v>
      </c>
      <c r="C2099" t="str">
        <f>VLOOKUP($A2099,'Customer Names'!$A:$E,4,FALSE)</f>
        <v>Amanda L</v>
      </c>
      <c r="D2099" t="str">
        <f>VLOOKUP($A2099,'Medical Examinations'!$A:$J,2,FALSE)</f>
        <v>Underweight</v>
      </c>
      <c r="E2099">
        <f>VLOOKUP($A2099,'Medical Examinations'!$A:$J,4,FALSE)</f>
        <v>4.5999999999999996</v>
      </c>
      <c r="F2099" t="str">
        <f>VLOOKUP($A2099,'Medical Examinations'!$A:$J,6,FALSE)</f>
        <v>No</v>
      </c>
      <c r="G2099" t="str">
        <f>VLOOKUP($A2099,'Medical Examinations'!$A:$J,7,FALSE)</f>
        <v>No</v>
      </c>
      <c r="H2099" t="str">
        <f>VLOOKUP($A2099,'Medical Examinations'!$A:$J,8,FALSE)</f>
        <v>No</v>
      </c>
      <c r="I2099">
        <f>VLOOKUP($A2099,'Medical Examinations'!$A:$J,9,FALSE)</f>
        <v>0</v>
      </c>
      <c r="J2099" t="str">
        <f>VLOOKUP($A2099,'Medical Examinations'!$A:$J,10,FALSE)</f>
        <v>No</v>
      </c>
      <c r="K2099" t="str">
        <f>VLOOKUP($A2099,'Medical Examinations'!$A:$J,5,FALSE)</f>
        <v>Normal</v>
      </c>
      <c r="L2099">
        <f>VLOOKUP($A2100,'Medical Examinations'!$A:$J,3,FALSE)</f>
        <v>17.670000000000002</v>
      </c>
      <c r="N2099" s="11">
        <f>VLOOKUP($B2099,'Hospitalisation Details'!A2098:J4442,10,0)</f>
        <v>31696</v>
      </c>
      <c r="O2099" t="str">
        <f>VLOOKUP($B2099,'Hospitalisation Details'!A2098:J4442,8,0)</f>
        <v>tier - 2</v>
      </c>
      <c r="P2099" t="str">
        <f>VLOOKUP($B2099,'Hospitalisation Details'!A2098:J4442,7,0)</f>
        <v>tier - 1</v>
      </c>
      <c r="Q2099" t="str">
        <f>VLOOKUP($B2099,'Hospitalisation Details'!A2098:J4442,9,0)</f>
        <v>R1011</v>
      </c>
      <c r="R2099">
        <f>VLOOKUP($B2099,'Hospitalisation Details'!A2098:K4442,11,0)</f>
        <v>36</v>
      </c>
    </row>
    <row r="2100" spans="1:18" x14ac:dyDescent="0.35">
      <c r="A2100" t="s">
        <v>266</v>
      </c>
      <c r="B2100" t="s">
        <v>2131</v>
      </c>
      <c r="C2100" t="str">
        <f>VLOOKUP($A2100,'Customer Names'!$A:$E,4,FALSE)</f>
        <v>Matthew</v>
      </c>
      <c r="D2100" t="str">
        <f>VLOOKUP($A2100,'Medical Examinations'!$A:$J,2,FALSE)</f>
        <v>Underweight</v>
      </c>
      <c r="E2100">
        <f>VLOOKUP($A2100,'Medical Examinations'!$A:$J,4,FALSE)</f>
        <v>4.78</v>
      </c>
      <c r="F2100" t="str">
        <f>VLOOKUP($A2100,'Medical Examinations'!$A:$J,6,FALSE)</f>
        <v>No</v>
      </c>
      <c r="G2100" t="str">
        <f>VLOOKUP($A2100,'Medical Examinations'!$A:$J,7,FALSE)</f>
        <v>No</v>
      </c>
      <c r="H2100" t="str">
        <f>VLOOKUP($A2100,'Medical Examinations'!$A:$J,8,FALSE)</f>
        <v>No</v>
      </c>
      <c r="I2100">
        <f>VLOOKUP($A2100,'Medical Examinations'!$A:$J,9,FALSE)</f>
        <v>0</v>
      </c>
      <c r="J2100" t="str">
        <f>VLOOKUP($A2100,'Medical Examinations'!$A:$J,10,FALSE)</f>
        <v>No</v>
      </c>
      <c r="K2100" t="str">
        <f>VLOOKUP($A2100,'Medical Examinations'!$A:$J,5,FALSE)</f>
        <v>Normal</v>
      </c>
      <c r="L2100">
        <f>VLOOKUP($A2101,'Medical Examinations'!$A:$J,3,FALSE)</f>
        <v>31.92</v>
      </c>
      <c r="N2100" s="11">
        <f>VLOOKUP($B2100,'Hospitalisation Details'!A2099:J4443,10,0)</f>
        <v>38292</v>
      </c>
      <c r="O2100" t="str">
        <f>VLOOKUP($B2100,'Hospitalisation Details'!A2099:J4443,8,0)</f>
        <v>tier - 3</v>
      </c>
      <c r="P2100" t="str">
        <f>VLOOKUP($B2100,'Hospitalisation Details'!A2099:J4443,7,0)</f>
        <v>tier - 1</v>
      </c>
      <c r="Q2100" t="str">
        <f>VLOOKUP($B2100,'Hospitalisation Details'!A2099:J4443,9,0)</f>
        <v>R1013</v>
      </c>
      <c r="R2100">
        <f>VLOOKUP($B2100,'Hospitalisation Details'!A2099:K4443,11,0)</f>
        <v>18</v>
      </c>
    </row>
    <row r="2101" spans="1:18" x14ac:dyDescent="0.35">
      <c r="A2101" t="s">
        <v>265</v>
      </c>
      <c r="B2101" t="s">
        <v>2132</v>
      </c>
      <c r="C2101" t="str">
        <f>VLOOKUP($A2101,'Customer Names'!$A:$E,4,FALSE)</f>
        <v>Julia M</v>
      </c>
      <c r="D2101" t="str">
        <f>VLOOKUP($A2101,'Medical Examinations'!$A:$J,2,FALSE)</f>
        <v>Obesity</v>
      </c>
      <c r="E2101">
        <f>VLOOKUP($A2101,'Medical Examinations'!$A:$J,4,FALSE)</f>
        <v>11.05</v>
      </c>
      <c r="F2101" t="str">
        <f>VLOOKUP($A2101,'Medical Examinations'!$A:$J,6,FALSE)</f>
        <v>No</v>
      </c>
      <c r="G2101" t="str">
        <f>VLOOKUP($A2101,'Medical Examinations'!$A:$J,7,FALSE)</f>
        <v>No</v>
      </c>
      <c r="H2101" t="str">
        <f>VLOOKUP($A2101,'Medical Examinations'!$A:$J,8,FALSE)</f>
        <v>No</v>
      </c>
      <c r="I2101">
        <f>VLOOKUP($A2101,'Medical Examinations'!$A:$J,9,FALSE)</f>
        <v>0</v>
      </c>
      <c r="J2101" t="str">
        <f>VLOOKUP($A2101,'Medical Examinations'!$A:$J,10,FALSE)</f>
        <v>No</v>
      </c>
      <c r="K2101" t="str">
        <f>VLOOKUP($A2101,'Medical Examinations'!$A:$J,5,FALSE)</f>
        <v>Diabetes</v>
      </c>
      <c r="L2101">
        <f>VLOOKUP($A2102,'Medical Examinations'!$A:$J,3,FALSE)</f>
        <v>28.975000000000001</v>
      </c>
      <c r="N2101" s="11">
        <f>VLOOKUP($B2101,'Hospitalisation Details'!A2100:J4444,10,0)</f>
        <v>30591</v>
      </c>
      <c r="O2101" t="str">
        <f>VLOOKUP($B2101,'Hospitalisation Details'!A2100:J4444,8,0)</f>
        <v>tier - 2</v>
      </c>
      <c r="P2101" t="str">
        <f>VLOOKUP($B2101,'Hospitalisation Details'!A2100:J4444,7,0)</f>
        <v>tier - 2</v>
      </c>
      <c r="Q2101" t="str">
        <f>VLOOKUP($B2101,'Hospitalisation Details'!A2100:J4444,9,0)</f>
        <v>R1012</v>
      </c>
      <c r="R2101">
        <f>VLOOKUP($B2101,'Hospitalisation Details'!A2100:K4444,11,0)</f>
        <v>39</v>
      </c>
    </row>
    <row r="2102" spans="1:18" x14ac:dyDescent="0.35">
      <c r="A2102" t="s">
        <v>264</v>
      </c>
      <c r="B2102" t="s">
        <v>2133</v>
      </c>
      <c r="C2102" t="str">
        <f>VLOOKUP($A2102,'Customer Names'!$A:$E,4,FALSE)</f>
        <v>Rhea</v>
      </c>
      <c r="D2102" t="str">
        <f>VLOOKUP($A2102,'Medical Examinations'!$A:$J,2,FALSE)</f>
        <v>Overweight</v>
      </c>
      <c r="E2102">
        <f>VLOOKUP($A2102,'Medical Examinations'!$A:$J,4,FALSE)</f>
        <v>7.62</v>
      </c>
      <c r="F2102" t="str">
        <f>VLOOKUP($A2102,'Medical Examinations'!$A:$J,6,FALSE)</f>
        <v>No</v>
      </c>
      <c r="G2102" t="str">
        <f>VLOOKUP($A2102,'Medical Examinations'!$A:$J,7,FALSE)</f>
        <v>No</v>
      </c>
      <c r="H2102" t="str">
        <f>VLOOKUP($A2102,'Medical Examinations'!$A:$J,8,FALSE)</f>
        <v>No</v>
      </c>
      <c r="I2102">
        <f>VLOOKUP($A2102,'Medical Examinations'!$A:$J,9,FALSE)</f>
        <v>0</v>
      </c>
      <c r="J2102" t="str">
        <f>VLOOKUP($A2102,'Medical Examinations'!$A:$J,10,FALSE)</f>
        <v>No</v>
      </c>
      <c r="K2102" t="str">
        <f>VLOOKUP($A2102,'Medical Examinations'!$A:$J,5,FALSE)</f>
        <v>Diabetes</v>
      </c>
      <c r="L2102">
        <f>VLOOKUP($A2103,'Medical Examinations'!$A:$J,3,FALSE)</f>
        <v>31.73</v>
      </c>
      <c r="N2102" s="11">
        <f>VLOOKUP($B2102,'Hospitalisation Details'!A2101:J4445,10,0)</f>
        <v>30956</v>
      </c>
      <c r="O2102" t="str">
        <f>VLOOKUP($B2102,'Hospitalisation Details'!A2101:J4445,8,0)</f>
        <v>tier - 3</v>
      </c>
      <c r="P2102" t="str">
        <f>VLOOKUP($B2102,'Hospitalisation Details'!A2101:J4445,7,0)</f>
        <v>tier - 2</v>
      </c>
      <c r="Q2102" t="str">
        <f>VLOOKUP($B2102,'Hospitalisation Details'!A2101:J4445,9,0)</f>
        <v>R1011</v>
      </c>
      <c r="R2102">
        <f>VLOOKUP($B2102,'Hospitalisation Details'!A2101:K4445,11,0)</f>
        <v>38</v>
      </c>
    </row>
    <row r="2103" spans="1:18" x14ac:dyDescent="0.35">
      <c r="A2103" t="s">
        <v>263</v>
      </c>
      <c r="B2103" t="s">
        <v>2134</v>
      </c>
      <c r="C2103" t="str">
        <f>VLOOKUP($A2103,'Customer Names'!$A:$E,4,FALSE)</f>
        <v>Justin</v>
      </c>
      <c r="D2103" t="str">
        <f>VLOOKUP($A2103,'Medical Examinations'!$A:$J,2,FALSE)</f>
        <v>Obesity</v>
      </c>
      <c r="E2103">
        <f>VLOOKUP($A2103,'Medical Examinations'!$A:$J,4,FALSE)</f>
        <v>4.78</v>
      </c>
      <c r="F2103" t="str">
        <f>VLOOKUP($A2103,'Medical Examinations'!$A:$J,6,FALSE)</f>
        <v>yes</v>
      </c>
      <c r="G2103" t="str">
        <f>VLOOKUP($A2103,'Medical Examinations'!$A:$J,7,FALSE)</f>
        <v>yes</v>
      </c>
      <c r="H2103" t="str">
        <f>VLOOKUP($A2103,'Medical Examinations'!$A:$J,8,FALSE)</f>
        <v>No</v>
      </c>
      <c r="I2103">
        <f>VLOOKUP($A2103,'Medical Examinations'!$A:$J,9,FALSE)</f>
        <v>2</v>
      </c>
      <c r="J2103" t="str">
        <f>VLOOKUP($A2103,'Medical Examinations'!$A:$J,10,FALSE)</f>
        <v>No</v>
      </c>
      <c r="K2103" t="str">
        <f>VLOOKUP($A2103,'Medical Examinations'!$A:$J,5,FALSE)</f>
        <v>Normal</v>
      </c>
      <c r="L2103">
        <f>VLOOKUP($A2104,'Medical Examinations'!$A:$J,3,FALSE)</f>
        <v>28.88</v>
      </c>
      <c r="N2103" s="11">
        <f>VLOOKUP($B2103,'Hospitalisation Details'!A2102:J4446,10,0)</f>
        <v>37899</v>
      </c>
      <c r="O2103" t="str">
        <f>VLOOKUP($B2103,'Hospitalisation Details'!A2102:J4446,8,0)</f>
        <v>tier - 1</v>
      </c>
      <c r="P2103" t="str">
        <f>VLOOKUP($B2103,'Hospitalisation Details'!A2102:J4446,7,0)</f>
        <v>tier - 2</v>
      </c>
      <c r="Q2103" t="str">
        <f>VLOOKUP($B2103,'Hospitalisation Details'!A2102:J4446,9,0)</f>
        <v>R1013</v>
      </c>
      <c r="R2103">
        <f>VLOOKUP($B2103,'Hospitalisation Details'!A2102:K4446,11,0)</f>
        <v>19</v>
      </c>
    </row>
    <row r="2104" spans="1:18" x14ac:dyDescent="0.35">
      <c r="A2104" t="s">
        <v>262</v>
      </c>
      <c r="B2104" t="s">
        <v>2135</v>
      </c>
      <c r="C2104" t="str">
        <f>VLOOKUP($A2104,'Customer Names'!$A:$E,4,FALSE)</f>
        <v>Shamus M.</v>
      </c>
      <c r="D2104" t="str">
        <f>VLOOKUP($A2104,'Medical Examinations'!$A:$J,2,FALSE)</f>
        <v>Overweight</v>
      </c>
      <c r="E2104">
        <f>VLOOKUP($A2104,'Medical Examinations'!$A:$J,4,FALSE)</f>
        <v>6.09</v>
      </c>
      <c r="F2104" t="str">
        <f>VLOOKUP($A2104,'Medical Examinations'!$A:$J,6,FALSE)</f>
        <v>yes</v>
      </c>
      <c r="G2104" t="str">
        <f>VLOOKUP($A2104,'Medical Examinations'!$A:$J,7,FALSE)</f>
        <v>yes</v>
      </c>
      <c r="H2104" t="str">
        <f>VLOOKUP($A2104,'Medical Examinations'!$A:$J,8,FALSE)</f>
        <v>No</v>
      </c>
      <c r="I2104">
        <f>VLOOKUP($A2104,'Medical Examinations'!$A:$J,9,FALSE)</f>
        <v>2</v>
      </c>
      <c r="J2104" t="str">
        <f>VLOOKUP($A2104,'Medical Examinations'!$A:$J,10,FALSE)</f>
        <v>No</v>
      </c>
      <c r="K2104" t="str">
        <f>VLOOKUP($A2104,'Medical Examinations'!$A:$J,5,FALSE)</f>
        <v>Prediabetes</v>
      </c>
      <c r="L2104">
        <f>VLOOKUP($A2105,'Medical Examinations'!$A:$J,3,FALSE)</f>
        <v>25.555</v>
      </c>
      <c r="N2104" s="11">
        <f>VLOOKUP($B2104,'Hospitalisation Details'!A2103:J4447,10,0)</f>
        <v>33140</v>
      </c>
      <c r="O2104" t="str">
        <f>VLOOKUP($B2104,'Hospitalisation Details'!A2103:J4447,8,0)</f>
        <v>tier - 2</v>
      </c>
      <c r="P2104" t="str">
        <f>VLOOKUP($B2104,'Hospitalisation Details'!A2103:J4447,7,0)</f>
        <v>tier - 1</v>
      </c>
      <c r="Q2104" t="str">
        <f>VLOOKUP($B2104,'Hospitalisation Details'!A2103:J4447,9,0)</f>
        <v>R1011</v>
      </c>
      <c r="R2104">
        <f>VLOOKUP($B2104,'Hospitalisation Details'!A2103:K4447,11,0)</f>
        <v>32</v>
      </c>
    </row>
    <row r="2105" spans="1:18" x14ac:dyDescent="0.35">
      <c r="A2105" t="s">
        <v>261</v>
      </c>
      <c r="B2105" t="s">
        <v>2136</v>
      </c>
      <c r="C2105" t="str">
        <f>VLOOKUP($A2105,'Customer Names'!$A:$E,4,FALSE)</f>
        <v>Mike</v>
      </c>
      <c r="D2105" t="str">
        <f>VLOOKUP($A2105,'Medical Examinations'!$A:$J,2,FALSE)</f>
        <v>Overweight</v>
      </c>
      <c r="E2105">
        <f>VLOOKUP($A2105,'Medical Examinations'!$A:$J,4,FALSE)</f>
        <v>5.1100000000000003</v>
      </c>
      <c r="F2105" t="str">
        <f>VLOOKUP($A2105,'Medical Examinations'!$A:$J,6,FALSE)</f>
        <v>No</v>
      </c>
      <c r="G2105" t="str">
        <f>VLOOKUP($A2105,'Medical Examinations'!$A:$J,7,FALSE)</f>
        <v>No</v>
      </c>
      <c r="H2105" t="str">
        <f>VLOOKUP($A2105,'Medical Examinations'!$A:$J,8,FALSE)</f>
        <v>Yes</v>
      </c>
      <c r="I2105">
        <f>VLOOKUP($A2105,'Medical Examinations'!$A:$J,9,FALSE)</f>
        <v>1</v>
      </c>
      <c r="J2105" t="str">
        <f>VLOOKUP($A2105,'Medical Examinations'!$A:$J,10,FALSE)</f>
        <v>No</v>
      </c>
      <c r="K2105" t="str">
        <f>VLOOKUP($A2105,'Medical Examinations'!$A:$J,5,FALSE)</f>
        <v>Normal</v>
      </c>
      <c r="L2105">
        <f>VLOOKUP($A2106,'Medical Examinations'!$A:$J,3,FALSE)</f>
        <v>37.29</v>
      </c>
      <c r="N2105" s="11">
        <f>VLOOKUP($B2105,'Hospitalisation Details'!A2104:J4448,10,0)</f>
        <v>35970</v>
      </c>
      <c r="O2105" t="str">
        <f>VLOOKUP($B2105,'Hospitalisation Details'!A2104:J4448,8,0)</f>
        <v>tier - 3</v>
      </c>
      <c r="P2105" t="str">
        <f>VLOOKUP($B2105,'Hospitalisation Details'!A2104:J4448,7,0)</f>
        <v>tier - 1</v>
      </c>
      <c r="Q2105" t="str">
        <f>VLOOKUP($B2105,'Hospitalisation Details'!A2104:J4448,9,0)</f>
        <v>R1011</v>
      </c>
      <c r="R2105">
        <f>VLOOKUP($B2105,'Hospitalisation Details'!A2104:K4448,11,0)</f>
        <v>24</v>
      </c>
    </row>
    <row r="2106" spans="1:18" x14ac:dyDescent="0.35">
      <c r="A2106" t="s">
        <v>260</v>
      </c>
      <c r="B2106" t="s">
        <v>2137</v>
      </c>
      <c r="C2106" t="str">
        <f>VLOOKUP($A2106,'Customer Names'!$A:$E,4,FALSE)</f>
        <v>Mary Beth</v>
      </c>
      <c r="D2106" t="str">
        <f>VLOOKUP($A2106,'Medical Examinations'!$A:$J,2,FALSE)</f>
        <v>Obesity</v>
      </c>
      <c r="E2106">
        <f>VLOOKUP($A2106,'Medical Examinations'!$A:$J,4,FALSE)</f>
        <v>4.46</v>
      </c>
      <c r="F2106" t="str">
        <f>VLOOKUP($A2106,'Medical Examinations'!$A:$J,6,FALSE)</f>
        <v>No</v>
      </c>
      <c r="G2106" t="str">
        <f>VLOOKUP($A2106,'Medical Examinations'!$A:$J,7,FALSE)</f>
        <v>yes</v>
      </c>
      <c r="H2106" t="str">
        <f>VLOOKUP($A2106,'Medical Examinations'!$A:$J,8,FALSE)</f>
        <v>No</v>
      </c>
      <c r="I2106">
        <f>VLOOKUP($A2106,'Medical Examinations'!$A:$J,9,FALSE)</f>
        <v>1</v>
      </c>
      <c r="J2106" t="str">
        <f>VLOOKUP($A2106,'Medical Examinations'!$A:$J,10,FALSE)</f>
        <v>No</v>
      </c>
      <c r="K2106" t="str">
        <f>VLOOKUP($A2106,'Medical Examinations'!$A:$J,5,FALSE)</f>
        <v>Normal</v>
      </c>
      <c r="L2106">
        <f>VLOOKUP($A2107,'Medical Examinations'!$A:$J,3,FALSE)</f>
        <v>40.28</v>
      </c>
      <c r="N2106" s="11">
        <f>VLOOKUP($B2106,'Hospitalisation Details'!A2105:J4449,10,0)</f>
        <v>28089</v>
      </c>
      <c r="O2106" t="str">
        <f>VLOOKUP($B2106,'Hospitalisation Details'!A2105:J4449,8,0)</f>
        <v>tier - 3</v>
      </c>
      <c r="P2106" t="str">
        <f>VLOOKUP($B2106,'Hospitalisation Details'!A2105:J4449,7,0)</f>
        <v>tier - 2</v>
      </c>
      <c r="Q2106" t="str">
        <f>VLOOKUP($B2106,'Hospitalisation Details'!A2105:J4449,9,0)</f>
        <v>R1011</v>
      </c>
      <c r="R2106">
        <f>VLOOKUP($B2106,'Hospitalisation Details'!A2105:K4449,11,0)</f>
        <v>46</v>
      </c>
    </row>
    <row r="2107" spans="1:18" x14ac:dyDescent="0.35">
      <c r="A2107" t="s">
        <v>259</v>
      </c>
      <c r="B2107" t="s">
        <v>2138</v>
      </c>
      <c r="C2107" t="str">
        <f>VLOOKUP($A2107,'Customer Names'!$A:$E,4,FALSE)</f>
        <v>Erin</v>
      </c>
      <c r="D2107" t="str">
        <f>VLOOKUP($A2107,'Medical Examinations'!$A:$J,2,FALSE)</f>
        <v>Obesity</v>
      </c>
      <c r="E2107">
        <f>VLOOKUP($A2107,'Medical Examinations'!$A:$J,4,FALSE)</f>
        <v>6.11</v>
      </c>
      <c r="F2107" t="str">
        <f>VLOOKUP($A2107,'Medical Examinations'!$A:$J,6,FALSE)</f>
        <v>No</v>
      </c>
      <c r="G2107" t="str">
        <f>VLOOKUP($A2107,'Medical Examinations'!$A:$J,7,FALSE)</f>
        <v>yes</v>
      </c>
      <c r="H2107" t="str">
        <f>VLOOKUP($A2107,'Medical Examinations'!$A:$J,8,FALSE)</f>
        <v>No</v>
      </c>
      <c r="I2107">
        <f>VLOOKUP($A2107,'Medical Examinations'!$A:$J,9,FALSE)</f>
        <v>1</v>
      </c>
      <c r="J2107" t="str">
        <f>VLOOKUP($A2107,'Medical Examinations'!$A:$J,10,FALSE)</f>
        <v>No</v>
      </c>
      <c r="K2107" t="str">
        <f>VLOOKUP($A2107,'Medical Examinations'!$A:$J,5,FALSE)</f>
        <v>Prediabetes</v>
      </c>
      <c r="L2107">
        <f>VLOOKUP($A2108,'Medical Examinations'!$A:$J,3,FALSE)</f>
        <v>40.185000000000002</v>
      </c>
      <c r="N2107" s="11">
        <f>VLOOKUP($B2107,'Hospitalisation Details'!A2106:J4450,10,0)</f>
        <v>38269</v>
      </c>
      <c r="O2107" t="str">
        <f>VLOOKUP($B2107,'Hospitalisation Details'!A2106:J4450,8,0)</f>
        <v>tier - 3</v>
      </c>
      <c r="P2107" t="str">
        <f>VLOOKUP($B2107,'Hospitalisation Details'!A2106:J4450,7,0)</f>
        <v>tier - 1</v>
      </c>
      <c r="Q2107" t="str">
        <f>VLOOKUP($B2107,'Hospitalisation Details'!A2106:J4450,9,0)</f>
        <v>R1016</v>
      </c>
      <c r="R2107">
        <f>VLOOKUP($B2107,'Hospitalisation Details'!A2106:K4450,11,0)</f>
        <v>18</v>
      </c>
    </row>
    <row r="2108" spans="1:18" x14ac:dyDescent="0.35">
      <c r="A2108" t="s">
        <v>258</v>
      </c>
      <c r="B2108" t="s">
        <v>2139</v>
      </c>
      <c r="C2108" t="str">
        <f>VLOOKUP($A2108,'Customer Names'!$A:$E,4,FALSE)</f>
        <v>Hallie</v>
      </c>
      <c r="D2108" t="str">
        <f>VLOOKUP($A2108,'Medical Examinations'!$A:$J,2,FALSE)</f>
        <v>Obesity</v>
      </c>
      <c r="E2108">
        <f>VLOOKUP($A2108,'Medical Examinations'!$A:$J,4,FALSE)</f>
        <v>4.66</v>
      </c>
      <c r="F2108" t="str">
        <f>VLOOKUP($A2108,'Medical Examinations'!$A:$J,6,FALSE)</f>
        <v>No</v>
      </c>
      <c r="G2108" t="str">
        <f>VLOOKUP($A2108,'Medical Examinations'!$A:$J,7,FALSE)</f>
        <v>yes</v>
      </c>
      <c r="H2108" t="str">
        <f>VLOOKUP($A2108,'Medical Examinations'!$A:$J,8,FALSE)</f>
        <v>No</v>
      </c>
      <c r="I2108">
        <f>VLOOKUP($A2108,'Medical Examinations'!$A:$J,9,FALSE)</f>
        <v>1</v>
      </c>
      <c r="J2108" t="str">
        <f>VLOOKUP($A2108,'Medical Examinations'!$A:$J,10,FALSE)</f>
        <v>No</v>
      </c>
      <c r="K2108" t="str">
        <f>VLOOKUP($A2108,'Medical Examinations'!$A:$J,5,FALSE)</f>
        <v>Normal</v>
      </c>
      <c r="L2108">
        <f>VLOOKUP($A2109,'Medical Examinations'!$A:$J,3,FALSE)</f>
        <v>23.57</v>
      </c>
      <c r="N2108" s="11">
        <f>VLOOKUP($B2108,'Hospitalisation Details'!A2107:J4451,10,0)</f>
        <v>34522</v>
      </c>
      <c r="O2108" t="str">
        <f>VLOOKUP($B2108,'Hospitalisation Details'!A2107:J4451,8,0)</f>
        <v>tier - 3</v>
      </c>
      <c r="P2108" t="str">
        <f>VLOOKUP($B2108,'Hospitalisation Details'!A2107:J4451,7,0)</f>
        <v>tier - 1</v>
      </c>
      <c r="Q2108" t="str">
        <f>VLOOKUP($B2108,'Hospitalisation Details'!A2107:J4451,9,0)</f>
        <v>R1013</v>
      </c>
      <c r="R2108">
        <f>VLOOKUP($B2108,'Hospitalisation Details'!A2107:K4451,11,0)</f>
        <v>28</v>
      </c>
    </row>
    <row r="2109" spans="1:18" x14ac:dyDescent="0.35">
      <c r="A2109" t="s">
        <v>257</v>
      </c>
      <c r="B2109" t="s">
        <v>2140</v>
      </c>
      <c r="C2109" t="str">
        <f>VLOOKUP($A2109,'Customer Names'!$A:$E,4,FALSE)</f>
        <v>Paige P</v>
      </c>
      <c r="D2109" t="str">
        <f>VLOOKUP($A2109,'Medical Examinations'!$A:$J,2,FALSE)</f>
        <v>Normal Weight</v>
      </c>
      <c r="E2109">
        <f>VLOOKUP($A2109,'Medical Examinations'!$A:$J,4,FALSE)</f>
        <v>6.14</v>
      </c>
      <c r="F2109" t="str">
        <f>VLOOKUP($A2109,'Medical Examinations'!$A:$J,6,FALSE)</f>
        <v>No</v>
      </c>
      <c r="G2109" t="str">
        <f>VLOOKUP($A2109,'Medical Examinations'!$A:$J,7,FALSE)</f>
        <v>No</v>
      </c>
      <c r="H2109" t="str">
        <f>VLOOKUP($A2109,'Medical Examinations'!$A:$J,8,FALSE)</f>
        <v>No</v>
      </c>
      <c r="I2109">
        <f>VLOOKUP($A2109,'Medical Examinations'!$A:$J,9,FALSE)</f>
        <v>0</v>
      </c>
      <c r="J2109" t="str">
        <f>VLOOKUP($A2109,'Medical Examinations'!$A:$J,10,FALSE)</f>
        <v>No</v>
      </c>
      <c r="K2109" t="str">
        <f>VLOOKUP($A2109,'Medical Examinations'!$A:$J,5,FALSE)</f>
        <v>Prediabetes</v>
      </c>
      <c r="L2109">
        <f>VLOOKUP($A2110,'Medical Examinations'!$A:$J,3,FALSE)</f>
        <v>35.625</v>
      </c>
      <c r="N2109" s="11">
        <f>VLOOKUP($B2109,'Hospitalisation Details'!A2108:J4452,10,0)</f>
        <v>37805</v>
      </c>
      <c r="O2109" t="str">
        <f>VLOOKUP($B2109,'Hospitalisation Details'!A2108:J4452,8,0)</f>
        <v>tier - 2</v>
      </c>
      <c r="P2109" t="str">
        <f>VLOOKUP($B2109,'Hospitalisation Details'!A2108:J4452,7,0)</f>
        <v>tier - 1</v>
      </c>
      <c r="Q2109" t="str">
        <f>VLOOKUP($B2109,'Hospitalisation Details'!A2108:J4452,9,0)</f>
        <v>R1011</v>
      </c>
      <c r="R2109">
        <f>VLOOKUP($B2109,'Hospitalisation Details'!A2108:K4452,11,0)</f>
        <v>19</v>
      </c>
    </row>
    <row r="2110" spans="1:18" x14ac:dyDescent="0.35">
      <c r="A2110" t="s">
        <v>256</v>
      </c>
      <c r="B2110" t="s">
        <v>2141</v>
      </c>
      <c r="C2110" t="str">
        <f>VLOOKUP($A2110,'Customer Names'!$A:$E,4,FALSE)</f>
        <v>Ji</v>
      </c>
      <c r="D2110" t="str">
        <f>VLOOKUP($A2110,'Medical Examinations'!$A:$J,2,FALSE)</f>
        <v>Obesity</v>
      </c>
      <c r="E2110">
        <f>VLOOKUP($A2110,'Medical Examinations'!$A:$J,4,FALSE)</f>
        <v>6.21</v>
      </c>
      <c r="F2110" t="str">
        <f>VLOOKUP($A2110,'Medical Examinations'!$A:$J,6,FALSE)</f>
        <v>No</v>
      </c>
      <c r="G2110" t="str">
        <f>VLOOKUP($A2110,'Medical Examinations'!$A:$J,7,FALSE)</f>
        <v>yes</v>
      </c>
      <c r="H2110" t="str">
        <f>VLOOKUP($A2110,'Medical Examinations'!$A:$J,8,FALSE)</f>
        <v>No</v>
      </c>
      <c r="I2110">
        <f>VLOOKUP($A2110,'Medical Examinations'!$A:$J,9,FALSE)</f>
        <v>1</v>
      </c>
      <c r="J2110" t="str">
        <f>VLOOKUP($A2110,'Medical Examinations'!$A:$J,10,FALSE)</f>
        <v>No</v>
      </c>
      <c r="K2110" t="str">
        <f>VLOOKUP($A2110,'Medical Examinations'!$A:$J,5,FALSE)</f>
        <v>Prediabetes</v>
      </c>
      <c r="L2110">
        <f>VLOOKUP($A2111,'Medical Examinations'!$A:$J,3,FALSE)</f>
        <v>33.155000000000001</v>
      </c>
      <c r="N2110" s="11">
        <f>VLOOKUP($B2110,'Hospitalisation Details'!A2109:J4453,10,0)</f>
        <v>35060</v>
      </c>
      <c r="O2110" t="str">
        <f>VLOOKUP($B2110,'Hospitalisation Details'!A2109:J4453,8,0)</f>
        <v>tier - 2</v>
      </c>
      <c r="P2110" t="str">
        <f>VLOOKUP($B2110,'Hospitalisation Details'!A2109:J4453,7,0)</f>
        <v>tier - 1</v>
      </c>
      <c r="Q2110" t="str">
        <f>VLOOKUP($B2110,'Hospitalisation Details'!A2109:J4453,9,0)</f>
        <v>R1013</v>
      </c>
      <c r="R2110">
        <f>VLOOKUP($B2110,'Hospitalisation Details'!A2109:K4453,11,0)</f>
        <v>27</v>
      </c>
    </row>
    <row r="2111" spans="1:18" x14ac:dyDescent="0.35">
      <c r="A2111" t="s">
        <v>255</v>
      </c>
      <c r="B2111" t="s">
        <v>2142</v>
      </c>
      <c r="C2111" t="str">
        <f>VLOOKUP($A2111,'Customer Names'!$A:$E,4,FALSE)</f>
        <v>Carissa A</v>
      </c>
      <c r="D2111" t="str">
        <f>VLOOKUP($A2111,'Medical Examinations'!$A:$J,2,FALSE)</f>
        <v>Obesity</v>
      </c>
      <c r="E2111">
        <f>VLOOKUP($A2111,'Medical Examinations'!$A:$J,4,FALSE)</f>
        <v>4.5999999999999996</v>
      </c>
      <c r="F2111" t="str">
        <f>VLOOKUP($A2111,'Medical Examinations'!$A:$J,6,FALSE)</f>
        <v>No</v>
      </c>
      <c r="G2111" t="str">
        <f>VLOOKUP($A2111,'Medical Examinations'!$A:$J,7,FALSE)</f>
        <v>yes</v>
      </c>
      <c r="H2111" t="str">
        <f>VLOOKUP($A2111,'Medical Examinations'!$A:$J,8,FALSE)</f>
        <v>No</v>
      </c>
      <c r="I2111">
        <f>VLOOKUP($A2111,'Medical Examinations'!$A:$J,9,FALSE)</f>
        <v>1</v>
      </c>
      <c r="J2111" t="str">
        <f>VLOOKUP($A2111,'Medical Examinations'!$A:$J,10,FALSE)</f>
        <v>No</v>
      </c>
      <c r="K2111" t="str">
        <f>VLOOKUP($A2111,'Medical Examinations'!$A:$J,5,FALSE)</f>
        <v>Normal</v>
      </c>
      <c r="L2111">
        <f>VLOOKUP($A2112,'Medical Examinations'!$A:$J,3,FALSE)</f>
        <v>31.92</v>
      </c>
      <c r="N2111" s="11">
        <f>VLOOKUP($B2111,'Hospitalisation Details'!A2110:J4454,10,0)</f>
        <v>37881</v>
      </c>
      <c r="O2111" t="str">
        <f>VLOOKUP($B2111,'Hospitalisation Details'!A2110:J4454,8,0)</f>
        <v>tier - 3</v>
      </c>
      <c r="P2111" t="str">
        <f>VLOOKUP($B2111,'Hospitalisation Details'!A2110:J4454,7,0)</f>
        <v>tier - 1</v>
      </c>
      <c r="Q2111" t="str">
        <f>VLOOKUP($B2111,'Hospitalisation Details'!A2110:J4454,9,0)</f>
        <v>R1011</v>
      </c>
      <c r="R2111">
        <f>VLOOKUP($B2111,'Hospitalisation Details'!A2110:K4454,11,0)</f>
        <v>19</v>
      </c>
    </row>
    <row r="2112" spans="1:18" x14ac:dyDescent="0.35">
      <c r="A2112" t="s">
        <v>254</v>
      </c>
      <c r="B2112" t="s">
        <v>2143</v>
      </c>
      <c r="C2112" t="str">
        <f>VLOOKUP($A2112,'Customer Names'!$A:$E,4,FALSE)</f>
        <v>Mona</v>
      </c>
      <c r="D2112" t="str">
        <f>VLOOKUP($A2112,'Medical Examinations'!$A:$J,2,FALSE)</f>
        <v>Obesity</v>
      </c>
      <c r="E2112">
        <f>VLOOKUP($A2112,'Medical Examinations'!$A:$J,4,FALSE)</f>
        <v>5.04</v>
      </c>
      <c r="F2112" t="str">
        <f>VLOOKUP($A2112,'Medical Examinations'!$A:$J,6,FALSE)</f>
        <v>No</v>
      </c>
      <c r="G2112" t="str">
        <f>VLOOKUP($A2112,'Medical Examinations'!$A:$J,7,FALSE)</f>
        <v>yes</v>
      </c>
      <c r="H2112" t="str">
        <f>VLOOKUP($A2112,'Medical Examinations'!$A:$J,8,FALSE)</f>
        <v>No</v>
      </c>
      <c r="I2112">
        <f>VLOOKUP($A2112,'Medical Examinations'!$A:$J,9,FALSE)</f>
        <v>1</v>
      </c>
      <c r="J2112" t="str">
        <f>VLOOKUP($A2112,'Medical Examinations'!$A:$J,10,FALSE)</f>
        <v>No</v>
      </c>
      <c r="K2112" t="str">
        <f>VLOOKUP($A2112,'Medical Examinations'!$A:$J,5,FALSE)</f>
        <v>Normal</v>
      </c>
      <c r="L2112">
        <f>VLOOKUP($A2113,'Medical Examinations'!$A:$J,3,FALSE)</f>
        <v>30.305</v>
      </c>
      <c r="N2112" s="11">
        <f>VLOOKUP($B2112,'Hospitalisation Details'!A2111:J4455,10,0)</f>
        <v>34989</v>
      </c>
      <c r="O2112" t="str">
        <f>VLOOKUP($B2112,'Hospitalisation Details'!A2111:J4455,8,0)</f>
        <v>tier - 3</v>
      </c>
      <c r="P2112" t="str">
        <f>VLOOKUP($B2112,'Hospitalisation Details'!A2111:J4455,7,0)</f>
        <v>tier - 2</v>
      </c>
      <c r="Q2112" t="str">
        <f>VLOOKUP($B2112,'Hospitalisation Details'!A2111:J4455,9,0)</f>
        <v>R1011</v>
      </c>
      <c r="R2112">
        <f>VLOOKUP($B2112,'Hospitalisation Details'!A2111:K4455,11,0)</f>
        <v>27</v>
      </c>
    </row>
    <row r="2113" spans="1:18" x14ac:dyDescent="0.35">
      <c r="A2113" t="s">
        <v>253</v>
      </c>
      <c r="B2113" t="s">
        <v>2144</v>
      </c>
      <c r="C2113" t="str">
        <f>VLOOKUP($A2113,'Customer Names'!$A:$E,4,FALSE)</f>
        <v>Kristin R.</v>
      </c>
      <c r="D2113" t="str">
        <f>VLOOKUP($A2113,'Medical Examinations'!$A:$J,2,FALSE)</f>
        <v>Obesity</v>
      </c>
      <c r="E2113">
        <f>VLOOKUP($A2113,'Medical Examinations'!$A:$J,4,FALSE)</f>
        <v>5.08</v>
      </c>
      <c r="F2113" t="str">
        <f>VLOOKUP($A2113,'Medical Examinations'!$A:$J,6,FALSE)</f>
        <v>No</v>
      </c>
      <c r="G2113" t="str">
        <f>VLOOKUP($A2113,'Medical Examinations'!$A:$J,7,FALSE)</f>
        <v>yes</v>
      </c>
      <c r="H2113" t="str">
        <f>VLOOKUP($A2113,'Medical Examinations'!$A:$J,8,FALSE)</f>
        <v>No</v>
      </c>
      <c r="I2113">
        <f>VLOOKUP($A2113,'Medical Examinations'!$A:$J,9,FALSE)</f>
        <v>1</v>
      </c>
      <c r="J2113" t="str">
        <f>VLOOKUP($A2113,'Medical Examinations'!$A:$J,10,FALSE)</f>
        <v>No</v>
      </c>
      <c r="K2113" t="str">
        <f>VLOOKUP($A2113,'Medical Examinations'!$A:$J,5,FALSE)</f>
        <v>Normal</v>
      </c>
      <c r="L2113">
        <f>VLOOKUP($A2114,'Medical Examinations'!$A:$J,3,FALSE)</f>
        <v>30.114999999999998</v>
      </c>
      <c r="N2113" s="11">
        <f>VLOOKUP($B2113,'Hospitalisation Details'!A2112:J4456,10,0)</f>
        <v>30526</v>
      </c>
      <c r="O2113" t="str">
        <f>VLOOKUP($B2113,'Hospitalisation Details'!A2112:J4456,8,0)</f>
        <v>tier - 3</v>
      </c>
      <c r="P2113" t="str">
        <f>VLOOKUP($B2113,'Hospitalisation Details'!A2112:J4456,7,0)</f>
        <v>tier - 2</v>
      </c>
      <c r="Q2113" t="str">
        <f>VLOOKUP($B2113,'Hospitalisation Details'!A2112:J4456,9,0)</f>
        <v>R1011</v>
      </c>
      <c r="R2113">
        <f>VLOOKUP($B2113,'Hospitalisation Details'!A2112:K4456,11,0)</f>
        <v>39</v>
      </c>
    </row>
    <row r="2114" spans="1:18" x14ac:dyDescent="0.35">
      <c r="A2114" t="s">
        <v>252</v>
      </c>
      <c r="B2114" t="s">
        <v>2145</v>
      </c>
      <c r="C2114" t="str">
        <f>VLOOKUP($A2114,'Customer Names'!$A:$E,4,FALSE)</f>
        <v>Beth</v>
      </c>
      <c r="D2114" t="str">
        <f>VLOOKUP($A2114,'Medical Examinations'!$A:$J,2,FALSE)</f>
        <v>Obesity</v>
      </c>
      <c r="E2114">
        <f>VLOOKUP($A2114,'Medical Examinations'!$A:$J,4,FALSE)</f>
        <v>4.38</v>
      </c>
      <c r="F2114" t="str">
        <f>VLOOKUP($A2114,'Medical Examinations'!$A:$J,6,FALSE)</f>
        <v>No</v>
      </c>
      <c r="G2114" t="str">
        <f>VLOOKUP($A2114,'Medical Examinations'!$A:$J,7,FALSE)</f>
        <v>yes</v>
      </c>
      <c r="H2114" t="str">
        <f>VLOOKUP($A2114,'Medical Examinations'!$A:$J,8,FALSE)</f>
        <v>No</v>
      </c>
      <c r="I2114">
        <f>VLOOKUP($A2114,'Medical Examinations'!$A:$J,9,FALSE)</f>
        <v>1</v>
      </c>
      <c r="J2114" t="str">
        <f>VLOOKUP($A2114,'Medical Examinations'!$A:$J,10,FALSE)</f>
        <v>No</v>
      </c>
      <c r="K2114" t="str">
        <f>VLOOKUP($A2114,'Medical Examinations'!$A:$J,5,FALSE)</f>
        <v>Normal</v>
      </c>
      <c r="L2114">
        <f>VLOOKUP($A2115,'Medical Examinations'!$A:$J,3,FALSE)</f>
        <v>24.09</v>
      </c>
      <c r="N2114" s="11">
        <f>VLOOKUP($B2114,'Hospitalisation Details'!A2113:J4457,10,0)</f>
        <v>24752</v>
      </c>
      <c r="O2114" t="str">
        <f>VLOOKUP($B2114,'Hospitalisation Details'!A2113:J4457,8,0)</f>
        <v>tier - 2</v>
      </c>
      <c r="P2114" t="str">
        <f>VLOOKUP($B2114,'Hospitalisation Details'!A2113:J4457,7,0)</f>
        <v>tier - 2</v>
      </c>
      <c r="Q2114" t="str">
        <f>VLOOKUP($B2114,'Hospitalisation Details'!A2113:J4457,9,0)</f>
        <v>R1011</v>
      </c>
      <c r="R2114">
        <f>VLOOKUP($B2114,'Hospitalisation Details'!A2113:K4457,11,0)</f>
        <v>55</v>
      </c>
    </row>
    <row r="2115" spans="1:18" x14ac:dyDescent="0.35">
      <c r="A2115" t="s">
        <v>251</v>
      </c>
      <c r="B2115" t="s">
        <v>2146</v>
      </c>
      <c r="C2115" t="str">
        <f>VLOOKUP($A2115,'Customer Names'!$A:$E,4,FALSE)</f>
        <v>Allison</v>
      </c>
      <c r="D2115" t="str">
        <f>VLOOKUP($A2115,'Medical Examinations'!$A:$J,2,FALSE)</f>
        <v>Normal Weight</v>
      </c>
      <c r="E2115">
        <f>VLOOKUP($A2115,'Medical Examinations'!$A:$J,4,FALSE)</f>
        <v>4.79</v>
      </c>
      <c r="F2115" t="str">
        <f>VLOOKUP($A2115,'Medical Examinations'!$A:$J,6,FALSE)</f>
        <v>No</v>
      </c>
      <c r="G2115" t="str">
        <f>VLOOKUP($A2115,'Medical Examinations'!$A:$J,7,FALSE)</f>
        <v>yes</v>
      </c>
      <c r="H2115" t="str">
        <f>VLOOKUP($A2115,'Medical Examinations'!$A:$J,8,FALSE)</f>
        <v>No</v>
      </c>
      <c r="I2115">
        <f>VLOOKUP($A2115,'Medical Examinations'!$A:$J,9,FALSE)</f>
        <v>1</v>
      </c>
      <c r="J2115" t="str">
        <f>VLOOKUP($A2115,'Medical Examinations'!$A:$J,10,FALSE)</f>
        <v>No</v>
      </c>
      <c r="K2115" t="str">
        <f>VLOOKUP($A2115,'Medical Examinations'!$A:$J,5,FALSE)</f>
        <v>Normal</v>
      </c>
      <c r="L2115">
        <f>VLOOKUP($A2116,'Medical Examinations'!$A:$J,3,FALSE)</f>
        <v>28.215</v>
      </c>
      <c r="N2115" s="11">
        <f>VLOOKUP($B2115,'Hospitalisation Details'!A2114:J4458,10,0)</f>
        <v>36029</v>
      </c>
      <c r="O2115" t="str">
        <f>VLOOKUP($B2115,'Hospitalisation Details'!A2114:J4458,8,0)</f>
        <v>tier - 1</v>
      </c>
      <c r="P2115" t="str">
        <f>VLOOKUP($B2115,'Hospitalisation Details'!A2114:J4458,7,0)</f>
        <v>tier - 2</v>
      </c>
      <c r="Q2115" t="str">
        <f>VLOOKUP($B2115,'Hospitalisation Details'!A2114:J4458,9,0)</f>
        <v>R1011</v>
      </c>
      <c r="R2115">
        <f>VLOOKUP($B2115,'Hospitalisation Details'!A2114:K4458,11,0)</f>
        <v>24</v>
      </c>
    </row>
    <row r="2116" spans="1:18" x14ac:dyDescent="0.35">
      <c r="A2116" t="s">
        <v>250</v>
      </c>
      <c r="B2116" t="s">
        <v>2147</v>
      </c>
      <c r="C2116" t="str">
        <f>VLOOKUP($A2116,'Customer Names'!$A:$E,4,FALSE)</f>
        <v>Ashley E</v>
      </c>
      <c r="D2116" t="str">
        <f>VLOOKUP($A2116,'Medical Examinations'!$A:$J,2,FALSE)</f>
        <v>Overweight</v>
      </c>
      <c r="E2116">
        <f>VLOOKUP($A2116,'Medical Examinations'!$A:$J,4,FALSE)</f>
        <v>4.21</v>
      </c>
      <c r="F2116" t="str">
        <f>VLOOKUP($A2116,'Medical Examinations'!$A:$J,6,FALSE)</f>
        <v>No</v>
      </c>
      <c r="G2116" t="str">
        <f>VLOOKUP($A2116,'Medical Examinations'!$A:$J,7,FALSE)</f>
        <v>yes</v>
      </c>
      <c r="H2116" t="str">
        <f>VLOOKUP($A2116,'Medical Examinations'!$A:$J,8,FALSE)</f>
        <v>No</v>
      </c>
      <c r="I2116">
        <f>VLOOKUP($A2116,'Medical Examinations'!$A:$J,9,FALSE)</f>
        <v>1</v>
      </c>
      <c r="J2116" t="str">
        <f>VLOOKUP($A2116,'Medical Examinations'!$A:$J,10,FALSE)</f>
        <v>No</v>
      </c>
      <c r="K2116" t="str">
        <f>VLOOKUP($A2116,'Medical Examinations'!$A:$J,5,FALSE)</f>
        <v>Normal</v>
      </c>
      <c r="L2116">
        <f>VLOOKUP($A2117,'Medical Examinations'!$A:$J,3,FALSE)</f>
        <v>26.315000000000001</v>
      </c>
      <c r="N2116" s="11">
        <f>VLOOKUP($B2116,'Hospitalisation Details'!A2115:J4459,10,0)</f>
        <v>35664</v>
      </c>
      <c r="O2116" t="str">
        <f>VLOOKUP($B2116,'Hospitalisation Details'!A2115:J4459,8,0)</f>
        <v>tier - 2</v>
      </c>
      <c r="P2116" t="str">
        <f>VLOOKUP($B2116,'Hospitalisation Details'!A2115:J4459,7,0)</f>
        <v>tier - 2</v>
      </c>
      <c r="Q2116" t="str">
        <f>VLOOKUP($B2116,'Hospitalisation Details'!A2115:J4459,9,0)</f>
        <v>R1011</v>
      </c>
      <c r="R2116">
        <f>VLOOKUP($B2116,'Hospitalisation Details'!A2115:K4459,11,0)</f>
        <v>25</v>
      </c>
    </row>
    <row r="2117" spans="1:18" x14ac:dyDescent="0.35">
      <c r="A2117" t="s">
        <v>248</v>
      </c>
      <c r="B2117" t="s">
        <v>2148</v>
      </c>
      <c r="C2117" t="str">
        <f>VLOOKUP($A2117,'Customer Names'!$A:$E,4,FALSE)</f>
        <v>Hilary K.</v>
      </c>
      <c r="D2117" t="str">
        <f>VLOOKUP($A2117,'Medical Examinations'!$A:$J,2,FALSE)</f>
        <v>Overweight</v>
      </c>
      <c r="E2117">
        <f>VLOOKUP($A2117,'Medical Examinations'!$A:$J,4,FALSE)</f>
        <v>5.47</v>
      </c>
      <c r="F2117" t="str">
        <f>VLOOKUP($A2117,'Medical Examinations'!$A:$J,6,FALSE)</f>
        <v>No</v>
      </c>
      <c r="G2117" t="str">
        <f>VLOOKUP($A2117,'Medical Examinations'!$A:$J,7,FALSE)</f>
        <v>yes</v>
      </c>
      <c r="H2117" t="str">
        <f>VLOOKUP($A2117,'Medical Examinations'!$A:$J,8,FALSE)</f>
        <v>No</v>
      </c>
      <c r="I2117">
        <f>VLOOKUP($A2117,'Medical Examinations'!$A:$J,9,FALSE)</f>
        <v>1</v>
      </c>
      <c r="J2117" t="str">
        <f>VLOOKUP($A2117,'Medical Examinations'!$A:$J,10,FALSE)</f>
        <v>No</v>
      </c>
      <c r="K2117" t="str">
        <f>VLOOKUP($A2117,'Medical Examinations'!$A:$J,5,FALSE)</f>
        <v>Normal</v>
      </c>
      <c r="L2117">
        <f>VLOOKUP($A2118,'Medical Examinations'!$A:$J,3,FALSE)</f>
        <v>25.08</v>
      </c>
      <c r="N2117" s="11">
        <f>VLOOKUP($B2117,'Hospitalisation Details'!A2116:J4460,10,0)</f>
        <v>30137</v>
      </c>
      <c r="O2117" t="str">
        <f>VLOOKUP($B2117,'Hospitalisation Details'!A2116:J4460,8,0)</f>
        <v>tier - 3</v>
      </c>
      <c r="P2117" t="str">
        <f>VLOOKUP($B2117,'Hospitalisation Details'!A2116:J4460,7,0)</f>
        <v>tier - 2</v>
      </c>
      <c r="Q2117" t="str">
        <f>VLOOKUP($B2117,'Hospitalisation Details'!A2116:J4460,9,0)</f>
        <v>R1011</v>
      </c>
      <c r="R2117">
        <f>VLOOKUP($B2117,'Hospitalisation Details'!A2116:K4460,11,0)</f>
        <v>40</v>
      </c>
    </row>
    <row r="2118" spans="1:18" x14ac:dyDescent="0.35">
      <c r="A2118" t="s">
        <v>246</v>
      </c>
      <c r="B2118" t="s">
        <v>2149</v>
      </c>
      <c r="C2118" t="str">
        <f>VLOOKUP($A2118,'Customer Names'!$A:$E,4,FALSE)</f>
        <v>Dominique</v>
      </c>
      <c r="D2118" t="str">
        <f>VLOOKUP($A2118,'Medical Examinations'!$A:$J,2,FALSE)</f>
        <v>Overweight</v>
      </c>
      <c r="E2118">
        <f>VLOOKUP($A2118,'Medical Examinations'!$A:$J,4,FALSE)</f>
        <v>5.09</v>
      </c>
      <c r="F2118" t="str">
        <f>VLOOKUP($A2118,'Medical Examinations'!$A:$J,6,FALSE)</f>
        <v>No</v>
      </c>
      <c r="G2118" t="str">
        <f>VLOOKUP($A2118,'Medical Examinations'!$A:$J,7,FALSE)</f>
        <v>yes</v>
      </c>
      <c r="H2118" t="str">
        <f>VLOOKUP($A2118,'Medical Examinations'!$A:$J,8,FALSE)</f>
        <v>No</v>
      </c>
      <c r="I2118">
        <f>VLOOKUP($A2118,'Medical Examinations'!$A:$J,9,FALSE)</f>
        <v>1</v>
      </c>
      <c r="J2118" t="str">
        <f>VLOOKUP($A2118,'Medical Examinations'!$A:$J,10,FALSE)</f>
        <v>No</v>
      </c>
      <c r="K2118" t="str">
        <f>VLOOKUP($A2118,'Medical Examinations'!$A:$J,5,FALSE)</f>
        <v>Normal</v>
      </c>
      <c r="L2118">
        <f>VLOOKUP($A2119,'Medical Examinations'!$A:$J,3,FALSE)</f>
        <v>15.41</v>
      </c>
      <c r="N2118" s="11">
        <f>VLOOKUP($B2118,'Hospitalisation Details'!A2117:J4461,10,0)</f>
        <v>27635</v>
      </c>
      <c r="O2118" t="str">
        <f>VLOOKUP($B2118,'Hospitalisation Details'!A2117:J4461,8,0)</f>
        <v>tier - 1</v>
      </c>
      <c r="P2118" t="str">
        <f>VLOOKUP($B2118,'Hospitalisation Details'!A2117:J4461,7,0)</f>
        <v>tier - 2</v>
      </c>
      <c r="Q2118" t="str">
        <f>VLOOKUP($B2118,'Hospitalisation Details'!A2117:J4461,9,0)</f>
        <v>R1011</v>
      </c>
      <c r="R2118">
        <f>VLOOKUP($B2118,'Hospitalisation Details'!A2117:K4461,11,0)</f>
        <v>47</v>
      </c>
    </row>
    <row r="2119" spans="1:18" x14ac:dyDescent="0.35">
      <c r="A2119" t="s">
        <v>245</v>
      </c>
      <c r="B2119" t="s">
        <v>2150</v>
      </c>
      <c r="C2119" t="str">
        <f>VLOOKUP($A2119,'Customer Names'!$A:$E,4,FALSE)</f>
        <v>Carlos I</v>
      </c>
      <c r="D2119" t="str">
        <f>VLOOKUP($A2119,'Medical Examinations'!$A:$J,2,FALSE)</f>
        <v>Underweight</v>
      </c>
      <c r="E2119">
        <f>VLOOKUP($A2119,'Medical Examinations'!$A:$J,4,FALSE)</f>
        <v>5.08</v>
      </c>
      <c r="F2119" t="str">
        <f>VLOOKUP($A2119,'Medical Examinations'!$A:$J,6,FALSE)</f>
        <v>No</v>
      </c>
      <c r="G2119" t="str">
        <f>VLOOKUP($A2119,'Medical Examinations'!$A:$J,7,FALSE)</f>
        <v>No</v>
      </c>
      <c r="H2119" t="str">
        <f>VLOOKUP($A2119,'Medical Examinations'!$A:$J,8,FALSE)</f>
        <v>No</v>
      </c>
      <c r="I2119">
        <f>VLOOKUP($A2119,'Medical Examinations'!$A:$J,9,FALSE)</f>
        <v>0</v>
      </c>
      <c r="J2119" t="str">
        <f>VLOOKUP($A2119,'Medical Examinations'!$A:$J,10,FALSE)</f>
        <v>No</v>
      </c>
      <c r="K2119" t="str">
        <f>VLOOKUP($A2119,'Medical Examinations'!$A:$J,5,FALSE)</f>
        <v>Normal</v>
      </c>
      <c r="L2119">
        <f>VLOOKUP($A2120,'Medical Examinations'!$A:$J,3,FALSE)</f>
        <v>23.83</v>
      </c>
      <c r="N2119" s="11">
        <f>VLOOKUP($B2119,'Hospitalisation Details'!A2118:J4462,10,0)</f>
        <v>28305</v>
      </c>
      <c r="O2119" t="str">
        <f>VLOOKUP($B2119,'Hospitalisation Details'!A2118:J4462,8,0)</f>
        <v>tier - 1</v>
      </c>
      <c r="P2119" t="str">
        <f>VLOOKUP($B2119,'Hospitalisation Details'!A2118:J4462,7,0)</f>
        <v>tier - 1</v>
      </c>
      <c r="Q2119" t="str">
        <f>VLOOKUP($B2119,'Hospitalisation Details'!A2118:J4462,9,0)</f>
        <v>R1017</v>
      </c>
      <c r="R2119">
        <f>VLOOKUP($B2119,'Hospitalisation Details'!A2118:K4462,11,0)</f>
        <v>45</v>
      </c>
    </row>
    <row r="2120" spans="1:18" x14ac:dyDescent="0.35">
      <c r="A2120" t="s">
        <v>244</v>
      </c>
      <c r="B2120" t="s">
        <v>2151</v>
      </c>
      <c r="C2120" t="str">
        <f>VLOOKUP($A2120,'Customer Names'!$A:$E,4,FALSE)</f>
        <v>Matthew</v>
      </c>
      <c r="D2120" t="str">
        <f>VLOOKUP($A2120,'Medical Examinations'!$A:$J,2,FALSE)</f>
        <v>Normal Weight</v>
      </c>
      <c r="E2120">
        <f>VLOOKUP($A2120,'Medical Examinations'!$A:$J,4,FALSE)</f>
        <v>5.68</v>
      </c>
      <c r="F2120" t="str">
        <f>VLOOKUP($A2120,'Medical Examinations'!$A:$J,6,FALSE)</f>
        <v>No</v>
      </c>
      <c r="G2120" t="str">
        <f>VLOOKUP($A2120,'Medical Examinations'!$A:$J,7,FALSE)</f>
        <v>No</v>
      </c>
      <c r="H2120" t="str">
        <f>VLOOKUP($A2120,'Medical Examinations'!$A:$J,8,FALSE)</f>
        <v>No</v>
      </c>
      <c r="I2120">
        <f>VLOOKUP($A2120,'Medical Examinations'!$A:$J,9,FALSE)</f>
        <v>0</v>
      </c>
      <c r="J2120" t="str">
        <f>VLOOKUP($A2120,'Medical Examinations'!$A:$J,10,FALSE)</f>
        <v>No</v>
      </c>
      <c r="K2120" t="str">
        <f>VLOOKUP($A2120,'Medical Examinations'!$A:$J,5,FALSE)</f>
        <v>Normal</v>
      </c>
      <c r="L2120">
        <f>VLOOKUP($A2121,'Medical Examinations'!$A:$J,3,FALSE)</f>
        <v>36</v>
      </c>
      <c r="N2120" s="11">
        <f>VLOOKUP($B2120,'Hospitalisation Details'!A2119:J4463,10,0)</f>
        <v>36151</v>
      </c>
      <c r="O2120" t="str">
        <f>VLOOKUP($B2120,'Hospitalisation Details'!A2119:J4463,8,0)</f>
        <v>tier - 1</v>
      </c>
      <c r="P2120" t="str">
        <f>VLOOKUP($B2120,'Hospitalisation Details'!A2119:J4463,7,0)</f>
        <v>tier - 1</v>
      </c>
      <c r="Q2120" t="str">
        <f>VLOOKUP($B2120,'Hospitalisation Details'!A2119:J4463,9,0)</f>
        <v>R1016</v>
      </c>
      <c r="R2120">
        <f>VLOOKUP($B2120,'Hospitalisation Details'!A2119:K4463,11,0)</f>
        <v>24</v>
      </c>
    </row>
    <row r="2121" spans="1:18" x14ac:dyDescent="0.35">
      <c r="A2121" t="s">
        <v>243</v>
      </c>
      <c r="B2121" t="s">
        <v>2152</v>
      </c>
      <c r="C2121" t="str">
        <f>VLOOKUP($A2121,'Customer Names'!$A:$E,4,FALSE)</f>
        <v>Kara</v>
      </c>
      <c r="D2121" t="str">
        <f>VLOOKUP($A2121,'Medical Examinations'!$A:$J,2,FALSE)</f>
        <v>Obesity</v>
      </c>
      <c r="E2121">
        <f>VLOOKUP($A2121,'Medical Examinations'!$A:$J,4,FALSE)</f>
        <v>4.66</v>
      </c>
      <c r="F2121" t="str">
        <f>VLOOKUP($A2121,'Medical Examinations'!$A:$J,6,FALSE)</f>
        <v>No</v>
      </c>
      <c r="G2121" t="str">
        <f>VLOOKUP($A2121,'Medical Examinations'!$A:$J,7,FALSE)</f>
        <v>yes</v>
      </c>
      <c r="H2121" t="str">
        <f>VLOOKUP($A2121,'Medical Examinations'!$A:$J,8,FALSE)</f>
        <v>No</v>
      </c>
      <c r="I2121">
        <f>VLOOKUP($A2121,'Medical Examinations'!$A:$J,9,FALSE)</f>
        <v>1</v>
      </c>
      <c r="J2121" t="str">
        <f>VLOOKUP($A2121,'Medical Examinations'!$A:$J,10,FALSE)</f>
        <v>No</v>
      </c>
      <c r="K2121" t="str">
        <f>VLOOKUP($A2121,'Medical Examinations'!$A:$J,5,FALSE)</f>
        <v>Normal</v>
      </c>
      <c r="L2121">
        <f>VLOOKUP($A2122,'Medical Examinations'!$A:$J,3,FALSE)</f>
        <v>28.82</v>
      </c>
      <c r="N2121" s="11">
        <f>VLOOKUP($B2121,'Hospitalisation Details'!A2120:J4464,10,0)</f>
        <v>24836</v>
      </c>
      <c r="O2121" t="str">
        <f>VLOOKUP($B2121,'Hospitalisation Details'!A2120:J4464,8,0)</f>
        <v>tier - 2</v>
      </c>
      <c r="P2121" t="str">
        <f>VLOOKUP($B2121,'Hospitalisation Details'!A2120:J4464,7,0)</f>
        <v>tier - 2</v>
      </c>
      <c r="Q2121" t="str">
        <f>VLOOKUP($B2121,'Hospitalisation Details'!A2120:J4464,9,0)</f>
        <v>R1011</v>
      </c>
      <c r="R2121">
        <f>VLOOKUP($B2121,'Hospitalisation Details'!A2120:K4464,11,0)</f>
        <v>55</v>
      </c>
    </row>
    <row r="2122" spans="1:18" x14ac:dyDescent="0.35">
      <c r="A2122" t="s">
        <v>242</v>
      </c>
      <c r="B2122" t="s">
        <v>2153</v>
      </c>
      <c r="C2122" t="str">
        <f>VLOOKUP($A2122,'Customer Names'!$A:$E,4,FALSE)</f>
        <v>Sarah S</v>
      </c>
      <c r="D2122" t="str">
        <f>VLOOKUP($A2122,'Medical Examinations'!$A:$J,2,FALSE)</f>
        <v>Overweight</v>
      </c>
      <c r="E2122">
        <f>VLOOKUP($A2122,'Medical Examinations'!$A:$J,4,FALSE)</f>
        <v>5.59</v>
      </c>
      <c r="F2122" t="str">
        <f>VLOOKUP($A2122,'Medical Examinations'!$A:$J,6,FALSE)</f>
        <v>No</v>
      </c>
      <c r="G2122" t="str">
        <f>VLOOKUP($A2122,'Medical Examinations'!$A:$J,7,FALSE)</f>
        <v>yes</v>
      </c>
      <c r="H2122" t="str">
        <f>VLOOKUP($A2122,'Medical Examinations'!$A:$J,8,FALSE)</f>
        <v>No</v>
      </c>
      <c r="I2122">
        <f>VLOOKUP($A2122,'Medical Examinations'!$A:$J,9,FALSE)</f>
        <v>1</v>
      </c>
      <c r="J2122" t="str">
        <f>VLOOKUP($A2122,'Medical Examinations'!$A:$J,10,FALSE)</f>
        <v>No</v>
      </c>
      <c r="K2122" t="str">
        <f>VLOOKUP($A2122,'Medical Examinations'!$A:$J,5,FALSE)</f>
        <v>Normal</v>
      </c>
      <c r="L2122">
        <f>VLOOKUP($A2123,'Medical Examinations'!$A:$J,3,FALSE)</f>
        <v>28.05</v>
      </c>
      <c r="N2122" s="11">
        <f>VLOOKUP($B2122,'Hospitalisation Details'!A2121:J4465,10,0)</f>
        <v>35620</v>
      </c>
      <c r="O2122" t="str">
        <f>VLOOKUP($B2122,'Hospitalisation Details'!A2121:J4465,8,0)</f>
        <v>tier - 2</v>
      </c>
      <c r="P2122" t="str">
        <f>VLOOKUP($B2122,'Hospitalisation Details'!A2121:J4465,7,0)</f>
        <v>tier - 1</v>
      </c>
      <c r="Q2122" t="str">
        <f>VLOOKUP($B2122,'Hospitalisation Details'!A2121:J4465,9,0)</f>
        <v>R1011</v>
      </c>
      <c r="R2122">
        <f>VLOOKUP($B2122,'Hospitalisation Details'!A2121:K4465,11,0)</f>
        <v>25</v>
      </c>
    </row>
    <row r="2123" spans="1:18" x14ac:dyDescent="0.35">
      <c r="A2123" t="s">
        <v>241</v>
      </c>
      <c r="B2123" t="s">
        <v>2154</v>
      </c>
      <c r="C2123" t="str">
        <f>VLOOKUP($A2123,'Customer Names'!$A:$E,4,FALSE)</f>
        <v>Shauna R.</v>
      </c>
      <c r="D2123" t="str">
        <f>VLOOKUP($A2123,'Medical Examinations'!$A:$J,2,FALSE)</f>
        <v>Overweight</v>
      </c>
      <c r="E2123">
        <f>VLOOKUP($A2123,'Medical Examinations'!$A:$J,4,FALSE)</f>
        <v>6.2</v>
      </c>
      <c r="F2123" t="str">
        <f>VLOOKUP($A2123,'Medical Examinations'!$A:$J,6,FALSE)</f>
        <v>No</v>
      </c>
      <c r="G2123" t="str">
        <f>VLOOKUP($A2123,'Medical Examinations'!$A:$J,7,FALSE)</f>
        <v>yes</v>
      </c>
      <c r="H2123" t="str">
        <f>VLOOKUP($A2123,'Medical Examinations'!$A:$J,8,FALSE)</f>
        <v>No</v>
      </c>
      <c r="I2123">
        <f>VLOOKUP($A2123,'Medical Examinations'!$A:$J,9,FALSE)</f>
        <v>1</v>
      </c>
      <c r="J2123" t="str">
        <f>VLOOKUP($A2123,'Medical Examinations'!$A:$J,10,FALSE)</f>
        <v>No</v>
      </c>
      <c r="K2123" t="str">
        <f>VLOOKUP($A2123,'Medical Examinations'!$A:$J,5,FALSE)</f>
        <v>Prediabetes</v>
      </c>
      <c r="L2123">
        <f>VLOOKUP($A2124,'Medical Examinations'!$A:$J,3,FALSE)</f>
        <v>27.1</v>
      </c>
      <c r="N2123" s="11">
        <f>VLOOKUP($B2123,'Hospitalisation Details'!A2122:J4466,10,0)</f>
        <v>32405</v>
      </c>
      <c r="O2123" t="str">
        <f>VLOOKUP($B2123,'Hospitalisation Details'!A2122:J4466,8,0)</f>
        <v>tier - 1</v>
      </c>
      <c r="P2123" t="str">
        <f>VLOOKUP($B2123,'Hospitalisation Details'!A2122:J4466,7,0)</f>
        <v>tier - 2</v>
      </c>
      <c r="Q2123" t="str">
        <f>VLOOKUP($B2123,'Hospitalisation Details'!A2122:J4466,9,0)</f>
        <v>R1011</v>
      </c>
      <c r="R2123">
        <f>VLOOKUP($B2123,'Hospitalisation Details'!A2122:K4466,11,0)</f>
        <v>34</v>
      </c>
    </row>
    <row r="2124" spans="1:18" x14ac:dyDescent="0.35">
      <c r="A2124" t="s">
        <v>240</v>
      </c>
      <c r="B2124" t="s">
        <v>2155</v>
      </c>
      <c r="C2124" t="str">
        <f>VLOOKUP($A2124,'Customer Names'!$A:$E,4,FALSE)</f>
        <v>Lindsay J.</v>
      </c>
      <c r="D2124" t="str">
        <f>VLOOKUP($A2124,'Medical Examinations'!$A:$J,2,FALSE)</f>
        <v>Overweight</v>
      </c>
      <c r="E2124">
        <f>VLOOKUP($A2124,'Medical Examinations'!$A:$J,4,FALSE)</f>
        <v>4.45</v>
      </c>
      <c r="F2124" t="str">
        <f>VLOOKUP($A2124,'Medical Examinations'!$A:$J,6,FALSE)</f>
        <v>No</v>
      </c>
      <c r="G2124" t="str">
        <f>VLOOKUP($A2124,'Medical Examinations'!$A:$J,7,FALSE)</f>
        <v>yes</v>
      </c>
      <c r="H2124" t="str">
        <f>VLOOKUP($A2124,'Medical Examinations'!$A:$J,8,FALSE)</f>
        <v>No</v>
      </c>
      <c r="I2124">
        <f>VLOOKUP($A2124,'Medical Examinations'!$A:$J,9,FALSE)</f>
        <v>1</v>
      </c>
      <c r="J2124" t="str">
        <f>VLOOKUP($A2124,'Medical Examinations'!$A:$J,10,FALSE)</f>
        <v>No</v>
      </c>
      <c r="K2124" t="str">
        <f>VLOOKUP($A2124,'Medical Examinations'!$A:$J,5,FALSE)</f>
        <v>Normal</v>
      </c>
      <c r="L2124">
        <f>VLOOKUP($A2125,'Medical Examinations'!$A:$J,3,FALSE)</f>
        <v>24.3</v>
      </c>
      <c r="N2124" s="11">
        <f>VLOOKUP($B2124,'Hospitalisation Details'!A2123:J4467,10,0)</f>
        <v>26198</v>
      </c>
      <c r="O2124" t="str">
        <f>VLOOKUP($B2124,'Hospitalisation Details'!A2123:J4467,8,0)</f>
        <v>tier - 3</v>
      </c>
      <c r="P2124" t="str">
        <f>VLOOKUP($B2124,'Hospitalisation Details'!A2123:J4467,7,0)</f>
        <v>tier - 2</v>
      </c>
      <c r="Q2124" t="str">
        <f>VLOOKUP($B2124,'Hospitalisation Details'!A2123:J4467,9,0)</f>
        <v>R1011</v>
      </c>
      <c r="R2124">
        <f>VLOOKUP($B2124,'Hospitalisation Details'!A2123:K4467,11,0)</f>
        <v>51</v>
      </c>
    </row>
    <row r="2125" spans="1:18" x14ac:dyDescent="0.35">
      <c r="A2125" t="s">
        <v>239</v>
      </c>
      <c r="B2125" t="s">
        <v>2156</v>
      </c>
      <c r="C2125" t="str">
        <f>VLOOKUP($A2125,'Customer Names'!$A:$E,4,FALSE)</f>
        <v>Danya A.</v>
      </c>
      <c r="D2125" t="str">
        <f>VLOOKUP($A2125,'Medical Examinations'!$A:$J,2,FALSE)</f>
        <v>Normal Weight</v>
      </c>
      <c r="E2125">
        <f>VLOOKUP($A2125,'Medical Examinations'!$A:$J,4,FALSE)</f>
        <v>6.1</v>
      </c>
      <c r="F2125" t="str">
        <f>VLOOKUP($A2125,'Medical Examinations'!$A:$J,6,FALSE)</f>
        <v>yes</v>
      </c>
      <c r="G2125" t="str">
        <f>VLOOKUP($A2125,'Medical Examinations'!$A:$J,7,FALSE)</f>
        <v>yes</v>
      </c>
      <c r="H2125" t="str">
        <f>VLOOKUP($A2125,'Medical Examinations'!$A:$J,8,FALSE)</f>
        <v>No</v>
      </c>
      <c r="I2125">
        <f>VLOOKUP($A2125,'Medical Examinations'!$A:$J,9,FALSE)</f>
        <v>1</v>
      </c>
      <c r="J2125" t="str">
        <f>VLOOKUP($A2125,'Medical Examinations'!$A:$J,10,FALSE)</f>
        <v>No</v>
      </c>
      <c r="K2125" t="str">
        <f>VLOOKUP($A2125,'Medical Examinations'!$A:$J,5,FALSE)</f>
        <v>Prediabetes</v>
      </c>
      <c r="L2125">
        <f>VLOOKUP($A2126,'Medical Examinations'!$A:$J,3,FALSE)</f>
        <v>30.72</v>
      </c>
      <c r="N2125" s="11">
        <f>VLOOKUP($B2125,'Hospitalisation Details'!A2124:J4468,10,0)</f>
        <v>32467</v>
      </c>
      <c r="O2125" t="str">
        <f>VLOOKUP($B2125,'Hospitalisation Details'!A2124:J4468,8,0)</f>
        <v>tier - 2</v>
      </c>
      <c r="P2125" t="str">
        <f>VLOOKUP($B2125,'Hospitalisation Details'!A2124:J4468,7,0)</f>
        <v>tier - 1</v>
      </c>
      <c r="Q2125" t="str">
        <f>VLOOKUP($B2125,'Hospitalisation Details'!A2124:J4468,9,0)</f>
        <v>R1011</v>
      </c>
      <c r="R2125">
        <f>VLOOKUP($B2125,'Hospitalisation Details'!A2124:K4468,11,0)</f>
        <v>34</v>
      </c>
    </row>
    <row r="2126" spans="1:18" x14ac:dyDescent="0.35">
      <c r="A2126" t="s">
        <v>238</v>
      </c>
      <c r="B2126" t="s">
        <v>2157</v>
      </c>
      <c r="C2126" t="str">
        <f>VLOOKUP($A2126,'Customer Names'!$A:$E,4,FALSE)</f>
        <v>Lorraine</v>
      </c>
      <c r="D2126" t="str">
        <f>VLOOKUP($A2126,'Medical Examinations'!$A:$J,2,FALSE)</f>
        <v>Obesity</v>
      </c>
      <c r="E2126">
        <f>VLOOKUP($A2126,'Medical Examinations'!$A:$J,4,FALSE)</f>
        <v>6.06</v>
      </c>
      <c r="F2126" t="str">
        <f>VLOOKUP($A2126,'Medical Examinations'!$A:$J,6,FALSE)</f>
        <v>No</v>
      </c>
      <c r="G2126" t="str">
        <f>VLOOKUP($A2126,'Medical Examinations'!$A:$J,7,FALSE)</f>
        <v>yes</v>
      </c>
      <c r="H2126" t="str">
        <f>VLOOKUP($A2126,'Medical Examinations'!$A:$J,8,FALSE)</f>
        <v>No</v>
      </c>
      <c r="I2126">
        <f>VLOOKUP($A2126,'Medical Examinations'!$A:$J,9,FALSE)</f>
        <v>1</v>
      </c>
      <c r="J2126" t="str">
        <f>VLOOKUP($A2126,'Medical Examinations'!$A:$J,10,FALSE)</f>
        <v>No</v>
      </c>
      <c r="K2126" t="str">
        <f>VLOOKUP($A2126,'Medical Examinations'!$A:$J,5,FALSE)</f>
        <v>Prediabetes</v>
      </c>
      <c r="L2126">
        <f>VLOOKUP($A2127,'Medical Examinations'!$A:$J,3,FALSE)</f>
        <v>37.43</v>
      </c>
      <c r="N2126" s="11">
        <f>VLOOKUP($B2126,'Hospitalisation Details'!A2125:J4469,10,0)</f>
        <v>27014</v>
      </c>
      <c r="O2126" t="str">
        <f>VLOOKUP($B2126,'Hospitalisation Details'!A2125:J4469,8,0)</f>
        <v>tier - 2</v>
      </c>
      <c r="P2126" t="str">
        <f>VLOOKUP($B2126,'Hospitalisation Details'!A2125:J4469,7,0)</f>
        <v>tier - 2</v>
      </c>
      <c r="Q2126" t="str">
        <f>VLOOKUP($B2126,'Hospitalisation Details'!A2125:J4469,9,0)</f>
        <v>R1011</v>
      </c>
      <c r="R2126">
        <f>VLOOKUP($B2126,'Hospitalisation Details'!A2125:K4469,11,0)</f>
        <v>49</v>
      </c>
    </row>
    <row r="2127" spans="1:18" x14ac:dyDescent="0.35">
      <c r="A2127" t="s">
        <v>237</v>
      </c>
      <c r="B2127" t="s">
        <v>2158</v>
      </c>
      <c r="C2127" t="str">
        <f>VLOOKUP($A2127,'Customer Names'!$A:$E,4,FALSE)</f>
        <v>Jennifer L.</v>
      </c>
      <c r="D2127" t="str">
        <f>VLOOKUP($A2127,'Medical Examinations'!$A:$J,2,FALSE)</f>
        <v>Obesity</v>
      </c>
      <c r="E2127">
        <f>VLOOKUP($A2127,'Medical Examinations'!$A:$J,4,FALSE)</f>
        <v>4.5599999999999996</v>
      </c>
      <c r="F2127" t="str">
        <f>VLOOKUP($A2127,'Medical Examinations'!$A:$J,6,FALSE)</f>
        <v>No</v>
      </c>
      <c r="G2127" t="str">
        <f>VLOOKUP($A2127,'Medical Examinations'!$A:$J,7,FALSE)</f>
        <v>No</v>
      </c>
      <c r="H2127" t="str">
        <f>VLOOKUP($A2127,'Medical Examinations'!$A:$J,8,FALSE)</f>
        <v>Yes</v>
      </c>
      <c r="I2127">
        <f>VLOOKUP($A2127,'Medical Examinations'!$A:$J,9,FALSE)</f>
        <v>1</v>
      </c>
      <c r="J2127" t="str">
        <f>VLOOKUP($A2127,'Medical Examinations'!$A:$J,10,FALSE)</f>
        <v>No</v>
      </c>
      <c r="K2127" t="str">
        <f>VLOOKUP($A2127,'Medical Examinations'!$A:$J,5,FALSE)</f>
        <v>Normal</v>
      </c>
      <c r="L2127">
        <f>VLOOKUP($A2128,'Medical Examinations'!$A:$J,3,FALSE)</f>
        <v>25.74</v>
      </c>
      <c r="N2127" s="11">
        <f>VLOOKUP($B2127,'Hospitalisation Details'!A2126:J4470,10,0)</f>
        <v>33860</v>
      </c>
      <c r="O2127" t="str">
        <f>VLOOKUP($B2127,'Hospitalisation Details'!A2126:J4470,8,0)</f>
        <v>tier - 3</v>
      </c>
      <c r="P2127" t="str">
        <f>VLOOKUP($B2127,'Hospitalisation Details'!A2126:J4470,7,0)</f>
        <v>tier - 2</v>
      </c>
      <c r="Q2127" t="str">
        <f>VLOOKUP($B2127,'Hospitalisation Details'!A2126:J4470,9,0)</f>
        <v>R1011</v>
      </c>
      <c r="R2127">
        <f>VLOOKUP($B2127,'Hospitalisation Details'!A2126:K4470,11,0)</f>
        <v>30</v>
      </c>
    </row>
    <row r="2128" spans="1:18" x14ac:dyDescent="0.35">
      <c r="A2128" t="s">
        <v>236</v>
      </c>
      <c r="B2128" t="s">
        <v>2159</v>
      </c>
      <c r="C2128" t="str">
        <f>VLOOKUP($A2128,'Customer Names'!$A:$E,4,FALSE)</f>
        <v>Jesus Sr.</v>
      </c>
      <c r="D2128" t="str">
        <f>VLOOKUP($A2128,'Medical Examinations'!$A:$J,2,FALSE)</f>
        <v>Overweight</v>
      </c>
      <c r="E2128">
        <f>VLOOKUP($A2128,'Medical Examinations'!$A:$J,4,FALSE)</f>
        <v>6.41</v>
      </c>
      <c r="F2128" t="str">
        <f>VLOOKUP($A2128,'Medical Examinations'!$A:$J,6,FALSE)</f>
        <v>yes</v>
      </c>
      <c r="G2128" t="str">
        <f>VLOOKUP($A2128,'Medical Examinations'!$A:$J,7,FALSE)</f>
        <v>No</v>
      </c>
      <c r="H2128" t="str">
        <f>VLOOKUP($A2128,'Medical Examinations'!$A:$J,8,FALSE)</f>
        <v>Yes</v>
      </c>
      <c r="I2128">
        <f>VLOOKUP($A2128,'Medical Examinations'!$A:$J,9,FALSE)</f>
        <v>1</v>
      </c>
      <c r="J2128" t="str">
        <f>VLOOKUP($A2128,'Medical Examinations'!$A:$J,10,FALSE)</f>
        <v>No</v>
      </c>
      <c r="K2128" t="str">
        <f>VLOOKUP($A2128,'Medical Examinations'!$A:$J,5,FALSE)</f>
        <v>Prediabetes</v>
      </c>
      <c r="L2128">
        <f>VLOOKUP($A2129,'Medical Examinations'!$A:$J,3,FALSE)</f>
        <v>36.575000000000003</v>
      </c>
      <c r="N2128" s="11">
        <f>VLOOKUP($B2128,'Hospitalisation Details'!A2127:J4471,10,0)</f>
        <v>26964</v>
      </c>
      <c r="O2128" t="str">
        <f>VLOOKUP($B2128,'Hospitalisation Details'!A2127:J4471,8,0)</f>
        <v>tier - 1</v>
      </c>
      <c r="P2128" t="str">
        <f>VLOOKUP($B2128,'Hospitalisation Details'!A2127:J4471,7,0)</f>
        <v>tier - 1</v>
      </c>
      <c r="Q2128" t="str">
        <f>VLOOKUP($B2128,'Hospitalisation Details'!A2127:J4471,9,0)</f>
        <v>R1011</v>
      </c>
      <c r="R2128">
        <f>VLOOKUP($B2128,'Hospitalisation Details'!A2127:K4471,11,0)</f>
        <v>49</v>
      </c>
    </row>
    <row r="2129" spans="1:18" x14ac:dyDescent="0.35">
      <c r="A2129" t="s">
        <v>235</v>
      </c>
      <c r="B2129" t="s">
        <v>2160</v>
      </c>
      <c r="C2129" t="str">
        <f>VLOOKUP($A2129,'Customer Names'!$A:$E,4,FALSE)</f>
        <v>Kristen</v>
      </c>
      <c r="D2129" t="str">
        <f>VLOOKUP($A2129,'Medical Examinations'!$A:$J,2,FALSE)</f>
        <v>Obesity</v>
      </c>
      <c r="E2129">
        <f>VLOOKUP($A2129,'Medical Examinations'!$A:$J,4,FALSE)</f>
        <v>5.57</v>
      </c>
      <c r="F2129" t="str">
        <f>VLOOKUP($A2129,'Medical Examinations'!$A:$J,6,FALSE)</f>
        <v>No</v>
      </c>
      <c r="G2129" t="str">
        <f>VLOOKUP($A2129,'Medical Examinations'!$A:$J,7,FALSE)</f>
        <v>No</v>
      </c>
      <c r="H2129" t="str">
        <f>VLOOKUP($A2129,'Medical Examinations'!$A:$J,8,FALSE)</f>
        <v>Yes</v>
      </c>
      <c r="I2129">
        <f>VLOOKUP($A2129,'Medical Examinations'!$A:$J,9,FALSE)</f>
        <v>1</v>
      </c>
      <c r="J2129" t="str">
        <f>VLOOKUP($A2129,'Medical Examinations'!$A:$J,10,FALSE)</f>
        <v>No</v>
      </c>
      <c r="K2129" t="str">
        <f>VLOOKUP($A2129,'Medical Examinations'!$A:$J,5,FALSE)</f>
        <v>Normal</v>
      </c>
      <c r="L2129">
        <f>VLOOKUP($A2130,'Medical Examinations'!$A:$J,3,FALSE)</f>
        <v>35.15</v>
      </c>
      <c r="N2129" s="11">
        <f>VLOOKUP($B2129,'Hospitalisation Details'!A2128:J4472,10,0)</f>
        <v>23618</v>
      </c>
      <c r="O2129" t="str">
        <f>VLOOKUP($B2129,'Hospitalisation Details'!A2128:J4472,8,0)</f>
        <v>tier - 1</v>
      </c>
      <c r="P2129" t="str">
        <f>VLOOKUP($B2129,'Hospitalisation Details'!A2128:J4472,7,0)</f>
        <v>tier - 2</v>
      </c>
      <c r="Q2129" t="str">
        <f>VLOOKUP($B2129,'Hospitalisation Details'!A2128:J4472,9,0)</f>
        <v>R1011</v>
      </c>
      <c r="R2129">
        <f>VLOOKUP($B2129,'Hospitalisation Details'!A2128:K4472,11,0)</f>
        <v>58</v>
      </c>
    </row>
    <row r="2130" spans="1:18" x14ac:dyDescent="0.35">
      <c r="A2130" t="s">
        <v>234</v>
      </c>
      <c r="B2130" t="s">
        <v>2161</v>
      </c>
      <c r="C2130" t="str">
        <f>VLOOKUP($A2130,'Customer Names'!$A:$E,4,FALSE)</f>
        <v>Catherine C.</v>
      </c>
      <c r="D2130" t="str">
        <f>VLOOKUP($A2130,'Medical Examinations'!$A:$J,2,FALSE)</f>
        <v>Obesity</v>
      </c>
      <c r="E2130">
        <f>VLOOKUP($A2130,'Medical Examinations'!$A:$J,4,FALSE)</f>
        <v>5.47</v>
      </c>
      <c r="F2130" t="str">
        <f>VLOOKUP($A2130,'Medical Examinations'!$A:$J,6,FALSE)</f>
        <v>No</v>
      </c>
      <c r="G2130" t="str">
        <f>VLOOKUP($A2130,'Medical Examinations'!$A:$J,7,FALSE)</f>
        <v>No</v>
      </c>
      <c r="H2130" t="str">
        <f>VLOOKUP($A2130,'Medical Examinations'!$A:$J,8,FALSE)</f>
        <v>Yes</v>
      </c>
      <c r="I2130">
        <f>VLOOKUP($A2130,'Medical Examinations'!$A:$J,9,FALSE)</f>
        <v>1</v>
      </c>
      <c r="J2130" t="str">
        <f>VLOOKUP($A2130,'Medical Examinations'!$A:$J,10,FALSE)</f>
        <v>No</v>
      </c>
      <c r="K2130" t="str">
        <f>VLOOKUP($A2130,'Medical Examinations'!$A:$J,5,FALSE)</f>
        <v>Normal</v>
      </c>
      <c r="L2130">
        <f>VLOOKUP($A2131,'Medical Examinations'!$A:$J,3,FALSE)</f>
        <v>32.11</v>
      </c>
      <c r="N2130" s="11">
        <f>VLOOKUP($B2130,'Hospitalisation Details'!A2129:J4473,10,0)</f>
        <v>26155</v>
      </c>
      <c r="O2130" t="str">
        <f>VLOOKUP($B2130,'Hospitalisation Details'!A2129:J4473,8,0)</f>
        <v>tier - 3</v>
      </c>
      <c r="P2130" t="str">
        <f>VLOOKUP($B2130,'Hospitalisation Details'!A2129:J4473,7,0)</f>
        <v>tier - 1</v>
      </c>
      <c r="Q2130" t="str">
        <f>VLOOKUP($B2130,'Hospitalisation Details'!A2129:J4473,9,0)</f>
        <v>R1011</v>
      </c>
      <c r="R2130">
        <f>VLOOKUP($B2130,'Hospitalisation Details'!A2129:K4473,11,0)</f>
        <v>51</v>
      </c>
    </row>
    <row r="2131" spans="1:18" x14ac:dyDescent="0.35">
      <c r="A2131" t="s">
        <v>233</v>
      </c>
      <c r="B2131" t="s">
        <v>31</v>
      </c>
      <c r="C2131" t="str">
        <f>VLOOKUP($A2131,'Customer Names'!$A:$E,4,FALSE)</f>
        <v>Paula</v>
      </c>
      <c r="D2131" t="str">
        <f>VLOOKUP($A2131,'Medical Examinations'!$A:$J,2,FALSE)</f>
        <v>Obesity</v>
      </c>
      <c r="E2131">
        <f>VLOOKUP($A2131,'Medical Examinations'!$A:$J,4,FALSE)</f>
        <v>4.43</v>
      </c>
      <c r="F2131" t="str">
        <f>VLOOKUP($A2131,'Medical Examinations'!$A:$J,6,FALSE)</f>
        <v>No</v>
      </c>
      <c r="G2131" t="str">
        <f>VLOOKUP($A2131,'Medical Examinations'!$A:$J,7,FALSE)</f>
        <v>No</v>
      </c>
      <c r="H2131" t="str">
        <f>VLOOKUP($A2131,'Medical Examinations'!$A:$J,8,FALSE)</f>
        <v>Yes</v>
      </c>
      <c r="I2131">
        <f>VLOOKUP($A2131,'Medical Examinations'!$A:$J,9,FALSE)</f>
        <v>1</v>
      </c>
      <c r="J2131" t="str">
        <f>VLOOKUP($A2131,'Medical Examinations'!$A:$J,10,FALSE)</f>
        <v>No</v>
      </c>
      <c r="K2131" t="str">
        <f>VLOOKUP($A2131,'Medical Examinations'!$A:$J,5,FALSE)</f>
        <v>Normal</v>
      </c>
      <c r="L2131">
        <f>VLOOKUP($A2132,'Medical Examinations'!$A:$J,3,FALSE)</f>
        <v>30.495000000000001</v>
      </c>
      <c r="N2131" s="11">
        <f>VLOOKUP($B2131,'Hospitalisation Details'!A2130:J4474,10,0)</f>
        <v>36812</v>
      </c>
      <c r="O2131" t="str">
        <f>VLOOKUP($B2131,'Hospitalisation Details'!A2130:J4474,8,0)</f>
        <v>tier - 2</v>
      </c>
      <c r="P2131" t="str">
        <f>VLOOKUP($B2131,'Hospitalisation Details'!A2130:J4474,7,0)</f>
        <v>tier - 1</v>
      </c>
      <c r="Q2131" t="str">
        <f>VLOOKUP($B2131,'Hospitalisation Details'!A2130:J4474,9,0)</f>
        <v>R1011</v>
      </c>
      <c r="R2131">
        <f>VLOOKUP($B2131,'Hospitalisation Details'!A2130:K4474,11,0)</f>
        <v>22</v>
      </c>
    </row>
    <row r="2132" spans="1:18" x14ac:dyDescent="0.35">
      <c r="A2132" t="s">
        <v>232</v>
      </c>
      <c r="B2132" t="s">
        <v>2162</v>
      </c>
      <c r="C2132" t="str">
        <f>VLOOKUP($A2132,'Customer Names'!$A:$E,4,FALSE)</f>
        <v>Evan</v>
      </c>
      <c r="D2132" t="str">
        <f>VLOOKUP($A2132,'Medical Examinations'!$A:$J,2,FALSE)</f>
        <v>Obesity</v>
      </c>
      <c r="E2132">
        <f>VLOOKUP($A2132,'Medical Examinations'!$A:$J,4,FALSE)</f>
        <v>4.95</v>
      </c>
      <c r="F2132" t="str">
        <f>VLOOKUP($A2132,'Medical Examinations'!$A:$J,6,FALSE)</f>
        <v>No</v>
      </c>
      <c r="G2132" t="str">
        <f>VLOOKUP($A2132,'Medical Examinations'!$A:$J,7,FALSE)</f>
        <v>No</v>
      </c>
      <c r="H2132" t="str">
        <f>VLOOKUP($A2132,'Medical Examinations'!$A:$J,8,FALSE)</f>
        <v>Yes</v>
      </c>
      <c r="I2132">
        <f>VLOOKUP($A2132,'Medical Examinations'!$A:$J,9,FALSE)</f>
        <v>1</v>
      </c>
      <c r="J2132" t="str">
        <f>VLOOKUP($A2132,'Medical Examinations'!$A:$J,10,FALSE)</f>
        <v>No</v>
      </c>
      <c r="K2132" t="str">
        <f>VLOOKUP($A2132,'Medical Examinations'!$A:$J,5,FALSE)</f>
        <v>Normal</v>
      </c>
      <c r="L2132">
        <f>VLOOKUP($A2133,'Medical Examinations'!$A:$J,3,FALSE)</f>
        <v>29.24</v>
      </c>
      <c r="N2132" s="11">
        <f>VLOOKUP($B2132,'Hospitalisation Details'!A2131:J4475,10,0)</f>
        <v>36849</v>
      </c>
      <c r="O2132" t="str">
        <f>VLOOKUP($B2132,'Hospitalisation Details'!A2131:J4475,8,0)</f>
        <v>tier - 3</v>
      </c>
      <c r="P2132" t="str">
        <f>VLOOKUP($B2132,'Hospitalisation Details'!A2131:J4475,7,0)</f>
        <v>tier - 2</v>
      </c>
      <c r="Q2132" t="str">
        <f>VLOOKUP($B2132,'Hospitalisation Details'!A2131:J4475,9,0)</f>
        <v>R1011</v>
      </c>
      <c r="R2132">
        <f>VLOOKUP($B2132,'Hospitalisation Details'!A2131:K4475,11,0)</f>
        <v>22</v>
      </c>
    </row>
    <row r="2133" spans="1:18" x14ac:dyDescent="0.35">
      <c r="A2133" t="s">
        <v>231</v>
      </c>
      <c r="B2133" t="s">
        <v>2163</v>
      </c>
      <c r="C2133" t="str">
        <f>VLOOKUP($A2133,'Customer Names'!$A:$E,4,FALSE)</f>
        <v>Nathan J</v>
      </c>
      <c r="D2133" t="str">
        <f>VLOOKUP($A2133,'Medical Examinations'!$A:$J,2,FALSE)</f>
        <v>Overweight</v>
      </c>
      <c r="E2133">
        <f>VLOOKUP($A2133,'Medical Examinations'!$A:$J,4,FALSE)</f>
        <v>4.04</v>
      </c>
      <c r="F2133" t="str">
        <f>VLOOKUP($A2133,'Medical Examinations'!$A:$J,6,FALSE)</f>
        <v>No</v>
      </c>
      <c r="G2133" t="str">
        <f>VLOOKUP($A2133,'Medical Examinations'!$A:$J,7,FALSE)</f>
        <v>yes</v>
      </c>
      <c r="H2133" t="str">
        <f>VLOOKUP($A2133,'Medical Examinations'!$A:$J,8,FALSE)</f>
        <v>No</v>
      </c>
      <c r="I2133">
        <f>VLOOKUP($A2133,'Medical Examinations'!$A:$J,9,FALSE)</f>
        <v>1</v>
      </c>
      <c r="J2133" t="str">
        <f>VLOOKUP($A2133,'Medical Examinations'!$A:$J,10,FALSE)</f>
        <v>No</v>
      </c>
      <c r="K2133" t="str">
        <f>VLOOKUP($A2133,'Medical Examinations'!$A:$J,5,FALSE)</f>
        <v>Normal</v>
      </c>
      <c r="L2133">
        <f>VLOOKUP($A2134,'Medical Examinations'!$A:$J,3,FALSE)</f>
        <v>22.515000000000001</v>
      </c>
      <c r="N2133" s="11">
        <f>VLOOKUP($B2133,'Hospitalisation Details'!A2132:J4476,10,0)</f>
        <v>36877</v>
      </c>
      <c r="O2133" t="str">
        <f>VLOOKUP($B2133,'Hospitalisation Details'!A2132:J4476,8,0)</f>
        <v>tier - 3</v>
      </c>
      <c r="P2133" t="str">
        <f>VLOOKUP($B2133,'Hospitalisation Details'!A2132:J4476,7,0)</f>
        <v>tier - 2</v>
      </c>
      <c r="Q2133" t="str">
        <f>VLOOKUP($B2133,'Hospitalisation Details'!A2132:J4476,9,0)</f>
        <v>R1013</v>
      </c>
      <c r="R2133">
        <f>VLOOKUP($B2133,'Hospitalisation Details'!A2132:K4476,11,0)</f>
        <v>22</v>
      </c>
    </row>
    <row r="2134" spans="1:18" x14ac:dyDescent="0.35">
      <c r="A2134" t="s">
        <v>230</v>
      </c>
      <c r="B2134" t="s">
        <v>2164</v>
      </c>
      <c r="C2134" t="str">
        <f>VLOOKUP($A2134,'Customer Names'!$A:$E,4,FALSE)</f>
        <v>Ashley M</v>
      </c>
      <c r="D2134" t="str">
        <f>VLOOKUP($A2134,'Medical Examinations'!$A:$J,2,FALSE)</f>
        <v>Normal Weight</v>
      </c>
      <c r="E2134">
        <f>VLOOKUP($A2134,'Medical Examinations'!$A:$J,4,FALSE)</f>
        <v>5.93</v>
      </c>
      <c r="F2134" t="str">
        <f>VLOOKUP($A2134,'Medical Examinations'!$A:$J,6,FALSE)</f>
        <v>No</v>
      </c>
      <c r="G2134" t="str">
        <f>VLOOKUP($A2134,'Medical Examinations'!$A:$J,7,FALSE)</f>
        <v>No</v>
      </c>
      <c r="H2134" t="str">
        <f>VLOOKUP($A2134,'Medical Examinations'!$A:$J,8,FALSE)</f>
        <v>Yes</v>
      </c>
      <c r="I2134">
        <f>VLOOKUP($A2134,'Medical Examinations'!$A:$J,9,FALSE)</f>
        <v>1</v>
      </c>
      <c r="J2134" t="str">
        <f>VLOOKUP($A2134,'Medical Examinations'!$A:$J,10,FALSE)</f>
        <v>No</v>
      </c>
      <c r="K2134" t="str">
        <f>VLOOKUP($A2134,'Medical Examinations'!$A:$J,5,FALSE)</f>
        <v>Prediabetes</v>
      </c>
      <c r="L2134">
        <f>VLOOKUP($A2135,'Medical Examinations'!$A:$J,3,FALSE)</f>
        <v>15.65</v>
      </c>
      <c r="N2134" s="11">
        <f>VLOOKUP($B2134,'Hospitalisation Details'!A2133:J4477,10,0)</f>
        <v>28843</v>
      </c>
      <c r="O2134" t="str">
        <f>VLOOKUP($B2134,'Hospitalisation Details'!A2133:J4477,8,0)</f>
        <v>tier - 1</v>
      </c>
      <c r="P2134" t="str">
        <f>VLOOKUP($B2134,'Hospitalisation Details'!A2133:J4477,7,0)</f>
        <v>tier - 2</v>
      </c>
      <c r="Q2134" t="str">
        <f>VLOOKUP($B2134,'Hospitalisation Details'!A2133:J4477,9,0)</f>
        <v>R1011</v>
      </c>
      <c r="R2134">
        <f>VLOOKUP($B2134,'Hospitalisation Details'!A2133:K4477,11,0)</f>
        <v>44</v>
      </c>
    </row>
    <row r="2135" spans="1:18" x14ac:dyDescent="0.35">
      <c r="A2135" t="s">
        <v>229</v>
      </c>
      <c r="B2135" t="s">
        <v>2165</v>
      </c>
      <c r="C2135" t="str">
        <f>VLOOKUP($A2135,'Customer Names'!$A:$E,4,FALSE)</f>
        <v>Jason</v>
      </c>
      <c r="D2135" t="str">
        <f>VLOOKUP($A2135,'Medical Examinations'!$A:$J,2,FALSE)</f>
        <v>Underweight</v>
      </c>
      <c r="E2135">
        <f>VLOOKUP($A2135,'Medical Examinations'!$A:$J,4,FALSE)</f>
        <v>4.2300000000000004</v>
      </c>
      <c r="F2135" t="str">
        <f>VLOOKUP($A2135,'Medical Examinations'!$A:$J,6,FALSE)</f>
        <v>No</v>
      </c>
      <c r="G2135" t="str">
        <f>VLOOKUP($A2135,'Medical Examinations'!$A:$J,7,FALSE)</f>
        <v>No</v>
      </c>
      <c r="H2135" t="str">
        <f>VLOOKUP($A2135,'Medical Examinations'!$A:$J,8,FALSE)</f>
        <v>No</v>
      </c>
      <c r="I2135">
        <f>VLOOKUP($A2135,'Medical Examinations'!$A:$J,9,FALSE)</f>
        <v>0</v>
      </c>
      <c r="J2135" t="str">
        <f>VLOOKUP($A2135,'Medical Examinations'!$A:$J,10,FALSE)</f>
        <v>No</v>
      </c>
      <c r="K2135" t="str">
        <f>VLOOKUP($A2135,'Medical Examinations'!$A:$J,5,FALSE)</f>
        <v>Normal</v>
      </c>
      <c r="L2135">
        <f>VLOOKUP($A2136,'Medical Examinations'!$A:$J,3,FALSE)</f>
        <v>27.36</v>
      </c>
      <c r="N2135" s="11">
        <f>VLOOKUP($B2135,'Hospitalisation Details'!A2134:J4478,10,0)</f>
        <v>27225</v>
      </c>
      <c r="O2135" t="str">
        <f>VLOOKUP($B2135,'Hospitalisation Details'!A2134:J4478,8,0)</f>
        <v>tier - 3</v>
      </c>
      <c r="P2135" t="str">
        <f>VLOOKUP($B2135,'Hospitalisation Details'!A2134:J4478,7,0)</f>
        <v>tier - 2</v>
      </c>
      <c r="Q2135" t="str">
        <f>VLOOKUP($B2135,'Hospitalisation Details'!A2134:J4478,9,0)</f>
        <v>R1012</v>
      </c>
      <c r="R2135">
        <f>VLOOKUP($B2135,'Hospitalisation Details'!A2134:K4478,11,0)</f>
        <v>48</v>
      </c>
    </row>
    <row r="2136" spans="1:18" x14ac:dyDescent="0.35">
      <c r="A2136" t="s">
        <v>228</v>
      </c>
      <c r="B2136" t="s">
        <v>2166</v>
      </c>
      <c r="C2136" t="str">
        <f>VLOOKUP($A2136,'Customer Names'!$A:$E,4,FALSE)</f>
        <v>Marshall</v>
      </c>
      <c r="D2136" t="str">
        <f>VLOOKUP($A2136,'Medical Examinations'!$A:$J,2,FALSE)</f>
        <v>Overweight</v>
      </c>
      <c r="E2136">
        <f>VLOOKUP($A2136,'Medical Examinations'!$A:$J,4,FALSE)</f>
        <v>5.59</v>
      </c>
      <c r="F2136" t="str">
        <f>VLOOKUP($A2136,'Medical Examinations'!$A:$J,6,FALSE)</f>
        <v>yes</v>
      </c>
      <c r="G2136" t="str">
        <f>VLOOKUP($A2136,'Medical Examinations'!$A:$J,7,FALSE)</f>
        <v>No</v>
      </c>
      <c r="H2136" t="str">
        <f>VLOOKUP($A2136,'Medical Examinations'!$A:$J,8,FALSE)</f>
        <v>No</v>
      </c>
      <c r="I2136">
        <f>VLOOKUP($A2136,'Medical Examinations'!$A:$J,9,FALSE)</f>
        <v>0</v>
      </c>
      <c r="J2136" t="str">
        <f>VLOOKUP($A2136,'Medical Examinations'!$A:$J,10,FALSE)</f>
        <v>No</v>
      </c>
      <c r="K2136" t="str">
        <f>VLOOKUP($A2136,'Medical Examinations'!$A:$J,5,FALSE)</f>
        <v>Normal</v>
      </c>
      <c r="L2136">
        <f>VLOOKUP($A2137,'Medical Examinations'!$A:$J,3,FALSE)</f>
        <v>22.3</v>
      </c>
      <c r="N2136" s="11">
        <f>VLOOKUP($B2136,'Hospitalisation Details'!A2135:J4479,10,0)</f>
        <v>28037</v>
      </c>
      <c r="O2136" t="str">
        <f>VLOOKUP($B2136,'Hospitalisation Details'!A2135:J4479,8,0)</f>
        <v>tier - 2</v>
      </c>
      <c r="P2136" t="str">
        <f>VLOOKUP($B2136,'Hospitalisation Details'!A2135:J4479,7,0)</f>
        <v>tier - 2</v>
      </c>
      <c r="Q2136" t="str">
        <f>VLOOKUP($B2136,'Hospitalisation Details'!A2135:J4479,9,0)</f>
        <v>R1011</v>
      </c>
      <c r="R2136">
        <f>VLOOKUP($B2136,'Hospitalisation Details'!A2135:K4479,11,0)</f>
        <v>46</v>
      </c>
    </row>
    <row r="2137" spans="1:18" x14ac:dyDescent="0.35">
      <c r="A2137" t="s">
        <v>227</v>
      </c>
      <c r="B2137" t="s">
        <v>2167</v>
      </c>
      <c r="C2137" t="str">
        <f>VLOOKUP($A2137,'Customer Names'!$A:$E,4,FALSE)</f>
        <v>Lavar</v>
      </c>
      <c r="D2137" t="str">
        <f>VLOOKUP($A2137,'Medical Examinations'!$A:$J,2,FALSE)</f>
        <v>Normal Weight</v>
      </c>
      <c r="E2137">
        <f>VLOOKUP($A2137,'Medical Examinations'!$A:$J,4,FALSE)</f>
        <v>4.8899999999999997</v>
      </c>
      <c r="F2137" t="str">
        <f>VLOOKUP($A2137,'Medical Examinations'!$A:$J,6,FALSE)</f>
        <v>yes</v>
      </c>
      <c r="G2137" t="str">
        <f>VLOOKUP($A2137,'Medical Examinations'!$A:$J,7,FALSE)</f>
        <v>No</v>
      </c>
      <c r="H2137" t="str">
        <f>VLOOKUP($A2137,'Medical Examinations'!$A:$J,8,FALSE)</f>
        <v>No</v>
      </c>
      <c r="I2137">
        <f>VLOOKUP($A2137,'Medical Examinations'!$A:$J,9,FALSE)</f>
        <v>0</v>
      </c>
      <c r="J2137" t="str">
        <f>VLOOKUP($A2137,'Medical Examinations'!$A:$J,10,FALSE)</f>
        <v>No</v>
      </c>
      <c r="K2137" t="str">
        <f>VLOOKUP($A2137,'Medical Examinations'!$A:$J,5,FALSE)</f>
        <v>Normal</v>
      </c>
      <c r="L2137">
        <f>VLOOKUP($A2138,'Medical Examinations'!$A:$J,3,FALSE)</f>
        <v>26.03</v>
      </c>
      <c r="N2137" s="11">
        <f>VLOOKUP($B2137,'Hospitalisation Details'!A2136:J4480,10,0)</f>
        <v>33773</v>
      </c>
      <c r="O2137" t="str">
        <f>VLOOKUP($B2137,'Hospitalisation Details'!A2136:J4480,8,0)</f>
        <v>tier - 1</v>
      </c>
      <c r="P2137" t="str">
        <f>VLOOKUP($B2137,'Hospitalisation Details'!A2136:J4480,7,0)</f>
        <v>tier - 2</v>
      </c>
      <c r="Q2137" t="str">
        <f>VLOOKUP($B2137,'Hospitalisation Details'!A2136:J4480,9,0)</f>
        <v>R1011</v>
      </c>
      <c r="R2137">
        <f>VLOOKUP($B2137,'Hospitalisation Details'!A2136:K4480,11,0)</f>
        <v>30</v>
      </c>
    </row>
    <row r="2138" spans="1:18" x14ac:dyDescent="0.35">
      <c r="A2138" t="s">
        <v>226</v>
      </c>
      <c r="B2138" t="s">
        <v>2168</v>
      </c>
      <c r="C2138" t="str">
        <f>VLOOKUP($A2138,'Customer Names'!$A:$E,4,FALSE)</f>
        <v>Charlie T.</v>
      </c>
      <c r="D2138" t="str">
        <f>VLOOKUP($A2138,'Medical Examinations'!$A:$J,2,FALSE)</f>
        <v>Overweight</v>
      </c>
      <c r="E2138">
        <f>VLOOKUP($A2138,'Medical Examinations'!$A:$J,4,FALSE)</f>
        <v>5.81</v>
      </c>
      <c r="F2138" t="str">
        <f>VLOOKUP($A2138,'Medical Examinations'!$A:$J,6,FALSE)</f>
        <v>yes</v>
      </c>
      <c r="G2138" t="str">
        <f>VLOOKUP($A2138,'Medical Examinations'!$A:$J,7,FALSE)</f>
        <v>No</v>
      </c>
      <c r="H2138" t="str">
        <f>VLOOKUP($A2138,'Medical Examinations'!$A:$J,8,FALSE)</f>
        <v>No</v>
      </c>
      <c r="I2138">
        <f>VLOOKUP($A2138,'Medical Examinations'!$A:$J,9,FALSE)</f>
        <v>0</v>
      </c>
      <c r="J2138" t="str">
        <f>VLOOKUP($A2138,'Medical Examinations'!$A:$J,10,FALSE)</f>
        <v>No</v>
      </c>
      <c r="K2138" t="str">
        <f>VLOOKUP($A2138,'Medical Examinations'!$A:$J,5,FALSE)</f>
        <v>Prediabetes</v>
      </c>
      <c r="L2138">
        <f>VLOOKUP($A2139,'Medical Examinations'!$A:$J,3,FALSE)</f>
        <v>27.74</v>
      </c>
      <c r="N2138" s="11">
        <f>VLOOKUP($B2138,'Hospitalisation Details'!A2137:J4481,10,0)</f>
        <v>29912</v>
      </c>
      <c r="O2138" t="str">
        <f>VLOOKUP($B2138,'Hospitalisation Details'!A2137:J4481,8,0)</f>
        <v>tier - 3</v>
      </c>
      <c r="P2138" t="str">
        <f>VLOOKUP($B2138,'Hospitalisation Details'!A2137:J4481,7,0)</f>
        <v>tier - 1</v>
      </c>
      <c r="Q2138" t="str">
        <f>VLOOKUP($B2138,'Hospitalisation Details'!A2137:J4481,9,0)</f>
        <v>R1011</v>
      </c>
      <c r="R2138">
        <f>VLOOKUP($B2138,'Hospitalisation Details'!A2137:K4481,11,0)</f>
        <v>41</v>
      </c>
    </row>
    <row r="2139" spans="1:18" x14ac:dyDescent="0.35">
      <c r="A2139" t="s">
        <v>225</v>
      </c>
      <c r="B2139" t="s">
        <v>2169</v>
      </c>
      <c r="C2139" t="str">
        <f>VLOOKUP($A2139,'Customer Names'!$A:$E,4,FALSE)</f>
        <v>Lauren</v>
      </c>
      <c r="D2139" t="str">
        <f>VLOOKUP($A2139,'Medical Examinations'!$A:$J,2,FALSE)</f>
        <v>Overweight</v>
      </c>
      <c r="E2139">
        <f>VLOOKUP($A2139,'Medical Examinations'!$A:$J,4,FALSE)</f>
        <v>4.29</v>
      </c>
      <c r="F2139" t="str">
        <f>VLOOKUP($A2139,'Medical Examinations'!$A:$J,6,FALSE)</f>
        <v>No</v>
      </c>
      <c r="G2139" t="str">
        <f>VLOOKUP($A2139,'Medical Examinations'!$A:$J,7,FALSE)</f>
        <v>yes</v>
      </c>
      <c r="H2139" t="str">
        <f>VLOOKUP($A2139,'Medical Examinations'!$A:$J,8,FALSE)</f>
        <v>No</v>
      </c>
      <c r="I2139">
        <f>VLOOKUP($A2139,'Medical Examinations'!$A:$J,9,FALSE)</f>
        <v>1</v>
      </c>
      <c r="J2139" t="str">
        <f>VLOOKUP($A2139,'Medical Examinations'!$A:$J,10,FALSE)</f>
        <v>No</v>
      </c>
      <c r="K2139" t="str">
        <f>VLOOKUP($A2139,'Medical Examinations'!$A:$J,5,FALSE)</f>
        <v>Normal</v>
      </c>
      <c r="L2139">
        <f>VLOOKUP($A2140,'Medical Examinations'!$A:$J,3,FALSE)</f>
        <v>32.11</v>
      </c>
      <c r="N2139" s="11">
        <f>VLOOKUP($B2139,'Hospitalisation Details'!A2138:J4482,10,0)</f>
        <v>36407</v>
      </c>
      <c r="O2139" t="str">
        <f>VLOOKUP($B2139,'Hospitalisation Details'!A2138:J4482,8,0)</f>
        <v>tier - 3</v>
      </c>
      <c r="P2139" t="str">
        <f>VLOOKUP($B2139,'Hospitalisation Details'!A2138:J4482,7,0)</f>
        <v>tier - 2</v>
      </c>
      <c r="Q2139" t="str">
        <f>VLOOKUP($B2139,'Hospitalisation Details'!A2138:J4482,9,0)</f>
        <v>R1013</v>
      </c>
      <c r="R2139">
        <f>VLOOKUP($B2139,'Hospitalisation Details'!A2138:K4482,11,0)</f>
        <v>23</v>
      </c>
    </row>
    <row r="2140" spans="1:18" x14ac:dyDescent="0.35">
      <c r="A2140" t="s">
        <v>224</v>
      </c>
      <c r="B2140" t="s">
        <v>2170</v>
      </c>
      <c r="C2140" t="str">
        <f>VLOOKUP($A2140,'Customer Names'!$A:$E,4,FALSE)</f>
        <v>Arthur</v>
      </c>
      <c r="D2140" t="str">
        <f>VLOOKUP($A2140,'Medical Examinations'!$A:$J,2,FALSE)</f>
        <v>Obesity</v>
      </c>
      <c r="E2140">
        <f>VLOOKUP($A2140,'Medical Examinations'!$A:$J,4,FALSE)</f>
        <v>4.03</v>
      </c>
      <c r="F2140" t="str">
        <f>VLOOKUP($A2140,'Medical Examinations'!$A:$J,6,FALSE)</f>
        <v>yes</v>
      </c>
      <c r="G2140" t="str">
        <f>VLOOKUP($A2140,'Medical Examinations'!$A:$J,7,FALSE)</f>
        <v>yes</v>
      </c>
      <c r="H2140" t="str">
        <f>VLOOKUP($A2140,'Medical Examinations'!$A:$J,8,FALSE)</f>
        <v>No</v>
      </c>
      <c r="I2140">
        <f>VLOOKUP($A2140,'Medical Examinations'!$A:$J,9,FALSE)</f>
        <v>2</v>
      </c>
      <c r="J2140" t="str">
        <f>VLOOKUP($A2140,'Medical Examinations'!$A:$J,10,FALSE)</f>
        <v>No</v>
      </c>
      <c r="K2140" t="str">
        <f>VLOOKUP($A2140,'Medical Examinations'!$A:$J,5,FALSE)</f>
        <v>Normal</v>
      </c>
      <c r="L2140">
        <f>VLOOKUP($A2141,'Medical Examinations'!$A:$J,3,FALSE)</f>
        <v>25.175000000000001</v>
      </c>
      <c r="N2140" s="11">
        <f>VLOOKUP($B2140,'Hospitalisation Details'!A2139:J4483,10,0)</f>
        <v>23214</v>
      </c>
      <c r="O2140" t="str">
        <f>VLOOKUP($B2140,'Hospitalisation Details'!A2139:J4483,8,0)</f>
        <v>tier - 1</v>
      </c>
      <c r="P2140" t="str">
        <f>VLOOKUP($B2140,'Hospitalisation Details'!A2139:J4483,7,0)</f>
        <v>tier - 2</v>
      </c>
      <c r="Q2140" t="str">
        <f>VLOOKUP($B2140,'Hospitalisation Details'!A2139:J4483,9,0)</f>
        <v>R1011</v>
      </c>
      <c r="R2140">
        <f>VLOOKUP($B2140,'Hospitalisation Details'!A2139:K4483,11,0)</f>
        <v>59</v>
      </c>
    </row>
    <row r="2141" spans="1:18" x14ac:dyDescent="0.35">
      <c r="A2141" t="s">
        <v>223</v>
      </c>
      <c r="B2141" t="s">
        <v>2171</v>
      </c>
      <c r="C2141" t="str">
        <f>VLOOKUP($A2141,'Customer Names'!$A:$E,4,FALSE)</f>
        <v>Thomas</v>
      </c>
      <c r="D2141" t="str">
        <f>VLOOKUP($A2141,'Medical Examinations'!$A:$J,2,FALSE)</f>
        <v>Overweight</v>
      </c>
      <c r="E2141">
        <f>VLOOKUP($A2141,'Medical Examinations'!$A:$J,4,FALSE)</f>
        <v>6.29</v>
      </c>
      <c r="F2141" t="str">
        <f>VLOOKUP($A2141,'Medical Examinations'!$A:$J,6,FALSE)</f>
        <v>yes</v>
      </c>
      <c r="G2141" t="str">
        <f>VLOOKUP($A2141,'Medical Examinations'!$A:$J,7,FALSE)</f>
        <v>yes</v>
      </c>
      <c r="H2141" t="str">
        <f>VLOOKUP($A2141,'Medical Examinations'!$A:$J,8,FALSE)</f>
        <v>No</v>
      </c>
      <c r="I2141">
        <f>VLOOKUP($A2141,'Medical Examinations'!$A:$J,9,FALSE)</f>
        <v>2</v>
      </c>
      <c r="J2141" t="str">
        <f>VLOOKUP($A2141,'Medical Examinations'!$A:$J,10,FALSE)</f>
        <v>No</v>
      </c>
      <c r="K2141" t="str">
        <f>VLOOKUP($A2141,'Medical Examinations'!$A:$J,5,FALSE)</f>
        <v>Prediabetes</v>
      </c>
      <c r="L2141">
        <f>VLOOKUP($A2142,'Medical Examinations'!$A:$J,3,FALSE)</f>
        <v>39.49</v>
      </c>
      <c r="N2141" s="11">
        <f>VLOOKUP($B2141,'Hospitalisation Details'!A2140:J4484,10,0)</f>
        <v>35297</v>
      </c>
      <c r="O2141" t="str">
        <f>VLOOKUP($B2141,'Hospitalisation Details'!A2140:J4484,8,0)</f>
        <v>tier - 1</v>
      </c>
      <c r="P2141" t="str">
        <f>VLOOKUP($B2141,'Hospitalisation Details'!A2140:J4484,7,0)</f>
        <v>tier - 1</v>
      </c>
      <c r="Q2141" t="str">
        <f>VLOOKUP($B2141,'Hospitalisation Details'!A2140:J4484,9,0)</f>
        <v>R1011</v>
      </c>
      <c r="R2141">
        <f>VLOOKUP($B2141,'Hospitalisation Details'!A2140:K4484,11,0)</f>
        <v>26</v>
      </c>
    </row>
    <row r="2142" spans="1:18" x14ac:dyDescent="0.35">
      <c r="A2142" t="s">
        <v>222</v>
      </c>
      <c r="B2142" t="s">
        <v>2172</v>
      </c>
      <c r="C2142" t="str">
        <f>VLOOKUP($A2142,'Customer Names'!$A:$E,4,FALSE)</f>
        <v>Jennifer</v>
      </c>
      <c r="D2142" t="str">
        <f>VLOOKUP($A2142,'Medical Examinations'!$A:$J,2,FALSE)</f>
        <v>Obesity</v>
      </c>
      <c r="E2142">
        <f>VLOOKUP($A2142,'Medical Examinations'!$A:$J,4,FALSE)</f>
        <v>4.4800000000000004</v>
      </c>
      <c r="F2142" t="str">
        <f>VLOOKUP($A2142,'Medical Examinations'!$A:$J,6,FALSE)</f>
        <v>yes</v>
      </c>
      <c r="G2142" t="str">
        <f>VLOOKUP($A2142,'Medical Examinations'!$A:$J,7,FALSE)</f>
        <v>No</v>
      </c>
      <c r="H2142" t="str">
        <f>VLOOKUP($A2142,'Medical Examinations'!$A:$J,8,FALSE)</f>
        <v>No</v>
      </c>
      <c r="I2142">
        <f>VLOOKUP($A2142,'Medical Examinations'!$A:$J,9,FALSE)</f>
        <v>0</v>
      </c>
      <c r="J2142" t="str">
        <f>VLOOKUP($A2142,'Medical Examinations'!$A:$J,10,FALSE)</f>
        <v>No</v>
      </c>
      <c r="K2142" t="str">
        <f>VLOOKUP($A2142,'Medical Examinations'!$A:$J,5,FALSE)</f>
        <v>Normal</v>
      </c>
      <c r="L2142">
        <f>VLOOKUP($A2143,'Medical Examinations'!$A:$J,3,FALSE)</f>
        <v>34.869999999999997</v>
      </c>
      <c r="N2142" s="11">
        <f>VLOOKUP($B2142,'Hospitalisation Details'!A2141:J4485,10,0)</f>
        <v>29163</v>
      </c>
      <c r="O2142" t="str">
        <f>VLOOKUP($B2142,'Hospitalisation Details'!A2141:J4485,8,0)</f>
        <v>tier - 2</v>
      </c>
      <c r="P2142" t="str">
        <f>VLOOKUP($B2142,'Hospitalisation Details'!A2141:J4485,7,0)</f>
        <v>tier - 2</v>
      </c>
      <c r="Q2142" t="str">
        <f>VLOOKUP($B2142,'Hospitalisation Details'!A2141:J4485,9,0)</f>
        <v>R1011</v>
      </c>
      <c r="R2142">
        <f>VLOOKUP($B2142,'Hospitalisation Details'!A2141:K4485,11,0)</f>
        <v>43</v>
      </c>
    </row>
    <row r="2143" spans="1:18" x14ac:dyDescent="0.35">
      <c r="A2143" t="s">
        <v>221</v>
      </c>
      <c r="B2143" t="s">
        <v>2173</v>
      </c>
      <c r="C2143" t="str">
        <f>VLOOKUP($A2143,'Customer Names'!$A:$E,4,FALSE)</f>
        <v>Tammy</v>
      </c>
      <c r="D2143" t="str">
        <f>VLOOKUP($A2143,'Medical Examinations'!$A:$J,2,FALSE)</f>
        <v>Obesity</v>
      </c>
      <c r="E2143">
        <f>VLOOKUP($A2143,'Medical Examinations'!$A:$J,4,FALSE)</f>
        <v>5.51</v>
      </c>
      <c r="F2143" t="str">
        <f>VLOOKUP($A2143,'Medical Examinations'!$A:$J,6,FALSE)</f>
        <v>yes</v>
      </c>
      <c r="G2143" t="str">
        <f>VLOOKUP($A2143,'Medical Examinations'!$A:$J,7,FALSE)</f>
        <v>No</v>
      </c>
      <c r="H2143" t="str">
        <f>VLOOKUP($A2143,'Medical Examinations'!$A:$J,8,FALSE)</f>
        <v>No</v>
      </c>
      <c r="I2143">
        <f>VLOOKUP($A2143,'Medical Examinations'!$A:$J,9,FALSE)</f>
        <v>0</v>
      </c>
      <c r="J2143" t="str">
        <f>VLOOKUP($A2143,'Medical Examinations'!$A:$J,10,FALSE)</f>
        <v>No</v>
      </c>
      <c r="K2143" t="str">
        <f>VLOOKUP($A2143,'Medical Examinations'!$A:$J,5,FALSE)</f>
        <v>Normal</v>
      </c>
      <c r="L2143">
        <f>VLOOKUP($A2144,'Medical Examinations'!$A:$J,3,FALSE)</f>
        <v>34.6</v>
      </c>
      <c r="N2143" s="11">
        <f>VLOOKUP($B2143,'Hospitalisation Details'!A2142:J4486,10,0)</f>
        <v>35593</v>
      </c>
      <c r="O2143" t="str">
        <f>VLOOKUP($B2143,'Hospitalisation Details'!A2142:J4486,8,0)</f>
        <v>tier - 3</v>
      </c>
      <c r="P2143" t="str">
        <f>VLOOKUP($B2143,'Hospitalisation Details'!A2142:J4486,7,0)</f>
        <v>tier - 1</v>
      </c>
      <c r="Q2143" t="str">
        <f>VLOOKUP($B2143,'Hospitalisation Details'!A2142:J4486,9,0)</f>
        <v>R1013</v>
      </c>
      <c r="R2143">
        <f>VLOOKUP($B2143,'Hospitalisation Details'!A2142:K4486,11,0)</f>
        <v>25</v>
      </c>
    </row>
    <row r="2144" spans="1:18" x14ac:dyDescent="0.35">
      <c r="A2144" t="s">
        <v>220</v>
      </c>
      <c r="B2144" t="s">
        <v>2174</v>
      </c>
      <c r="C2144" t="str">
        <f>VLOOKUP($A2144,'Customer Names'!$A:$E,4,FALSE)</f>
        <v>Lena</v>
      </c>
      <c r="D2144" t="str">
        <f>VLOOKUP($A2144,'Medical Examinations'!$A:$J,2,FALSE)</f>
        <v>Obesity</v>
      </c>
      <c r="E2144">
        <f>VLOOKUP($A2144,'Medical Examinations'!$A:$J,4,FALSE)</f>
        <v>4.5</v>
      </c>
      <c r="F2144" t="str">
        <f>VLOOKUP($A2144,'Medical Examinations'!$A:$J,6,FALSE)</f>
        <v>yes</v>
      </c>
      <c r="G2144" t="str">
        <f>VLOOKUP($A2144,'Medical Examinations'!$A:$J,7,FALSE)</f>
        <v>No</v>
      </c>
      <c r="H2144" t="str">
        <f>VLOOKUP($A2144,'Medical Examinations'!$A:$J,8,FALSE)</f>
        <v>No</v>
      </c>
      <c r="I2144">
        <f>VLOOKUP($A2144,'Medical Examinations'!$A:$J,9,FALSE)</f>
        <v>0</v>
      </c>
      <c r="J2144" t="str">
        <f>VLOOKUP($A2144,'Medical Examinations'!$A:$J,10,FALSE)</f>
        <v>No</v>
      </c>
      <c r="K2144" t="str">
        <f>VLOOKUP($A2144,'Medical Examinations'!$A:$J,5,FALSE)</f>
        <v>Normal</v>
      </c>
      <c r="L2144">
        <f>VLOOKUP($A2145,'Medical Examinations'!$A:$J,3,FALSE)</f>
        <v>25.8</v>
      </c>
      <c r="N2144" s="11">
        <f>VLOOKUP($B2144,'Hospitalisation Details'!A2143:J4487,10,0)</f>
        <v>38229</v>
      </c>
      <c r="O2144" t="str">
        <f>VLOOKUP($B2144,'Hospitalisation Details'!A2143:J4487,8,0)</f>
        <v>tier - 2</v>
      </c>
      <c r="P2144" t="str">
        <f>VLOOKUP($B2144,'Hospitalisation Details'!A2143:J4487,7,0)</f>
        <v>tier - 2</v>
      </c>
      <c r="Q2144" t="str">
        <f>VLOOKUP($B2144,'Hospitalisation Details'!A2143:J4487,9,0)</f>
        <v>R1013</v>
      </c>
      <c r="R2144">
        <f>VLOOKUP($B2144,'Hospitalisation Details'!A2143:K4487,11,0)</f>
        <v>18</v>
      </c>
    </row>
    <row r="2145" spans="1:18" x14ac:dyDescent="0.35">
      <c r="A2145" t="s">
        <v>219</v>
      </c>
      <c r="B2145" t="s">
        <v>2175</v>
      </c>
      <c r="C2145" t="str">
        <f>VLOOKUP($A2145,'Customer Names'!$A:$E,4,FALSE)</f>
        <v>Valentina</v>
      </c>
      <c r="D2145" t="str">
        <f>VLOOKUP($A2145,'Medical Examinations'!$A:$J,2,FALSE)</f>
        <v>Overweight</v>
      </c>
      <c r="E2145">
        <f>VLOOKUP($A2145,'Medical Examinations'!$A:$J,4,FALSE)</f>
        <v>6.29</v>
      </c>
      <c r="F2145" t="str">
        <f>VLOOKUP($A2145,'Medical Examinations'!$A:$J,6,FALSE)</f>
        <v>yes</v>
      </c>
      <c r="G2145" t="str">
        <f>VLOOKUP($A2145,'Medical Examinations'!$A:$J,7,FALSE)</f>
        <v>No</v>
      </c>
      <c r="H2145" t="str">
        <f>VLOOKUP($A2145,'Medical Examinations'!$A:$J,8,FALSE)</f>
        <v>No</v>
      </c>
      <c r="I2145">
        <f>VLOOKUP($A2145,'Medical Examinations'!$A:$J,9,FALSE)</f>
        <v>0</v>
      </c>
      <c r="J2145" t="str">
        <f>VLOOKUP($A2145,'Medical Examinations'!$A:$J,10,FALSE)</f>
        <v>No</v>
      </c>
      <c r="K2145" t="str">
        <f>VLOOKUP($A2145,'Medical Examinations'!$A:$J,5,FALSE)</f>
        <v>Prediabetes</v>
      </c>
      <c r="L2145">
        <f>VLOOKUP($A2146,'Medical Examinations'!$A:$J,3,FALSE)</f>
        <v>35.86</v>
      </c>
      <c r="N2145" s="11">
        <f>VLOOKUP($B2145,'Hospitalisation Details'!A2144:J4488,10,0)</f>
        <v>27369</v>
      </c>
      <c r="O2145" t="str">
        <f>VLOOKUP($B2145,'Hospitalisation Details'!A2144:J4488,8,0)</f>
        <v>tier - 3</v>
      </c>
      <c r="P2145" t="str">
        <f>VLOOKUP($B2145,'Hospitalisation Details'!A2144:J4488,7,0)</f>
        <v>tier - 2</v>
      </c>
      <c r="Q2145" t="str">
        <f>VLOOKUP($B2145,'Hospitalisation Details'!A2144:J4488,9,0)</f>
        <v>R1012</v>
      </c>
      <c r="R2145">
        <f>VLOOKUP($B2145,'Hospitalisation Details'!A2144:K4488,11,0)</f>
        <v>48</v>
      </c>
    </row>
    <row r="2146" spans="1:18" x14ac:dyDescent="0.35">
      <c r="A2146" t="s">
        <v>218</v>
      </c>
      <c r="B2146" t="s">
        <v>2176</v>
      </c>
      <c r="C2146" t="str">
        <f>VLOOKUP($A2146,'Customer Names'!$A:$E,4,FALSE)</f>
        <v>Russell N.</v>
      </c>
      <c r="D2146" t="str">
        <f>VLOOKUP($A2146,'Medical Examinations'!$A:$J,2,FALSE)</f>
        <v>Obesity</v>
      </c>
      <c r="E2146">
        <f>VLOOKUP($A2146,'Medical Examinations'!$A:$J,4,FALSE)</f>
        <v>4.33</v>
      </c>
      <c r="F2146" t="str">
        <f>VLOOKUP($A2146,'Medical Examinations'!$A:$J,6,FALSE)</f>
        <v>No</v>
      </c>
      <c r="G2146" t="str">
        <f>VLOOKUP($A2146,'Medical Examinations'!$A:$J,7,FALSE)</f>
        <v>No</v>
      </c>
      <c r="H2146" t="str">
        <f>VLOOKUP($A2146,'Medical Examinations'!$A:$J,8,FALSE)</f>
        <v>No</v>
      </c>
      <c r="I2146">
        <f>VLOOKUP($A2146,'Medical Examinations'!$A:$J,9,FALSE)</f>
        <v>1</v>
      </c>
      <c r="J2146" t="str">
        <f>VLOOKUP($A2146,'Medical Examinations'!$A:$J,10,FALSE)</f>
        <v>No</v>
      </c>
      <c r="K2146" t="str">
        <f>VLOOKUP($A2146,'Medical Examinations'!$A:$J,5,FALSE)</f>
        <v>Normal</v>
      </c>
      <c r="L2146">
        <f>VLOOKUP($A2147,'Medical Examinations'!$A:$J,3,FALSE)</f>
        <v>40.47</v>
      </c>
      <c r="N2146" s="11">
        <f>VLOOKUP($B2146,'Hospitalisation Details'!A2145:J4489,10,0)</f>
        <v>36434</v>
      </c>
      <c r="O2146" t="str">
        <f>VLOOKUP($B2146,'Hospitalisation Details'!A2145:J4489,8,0)</f>
        <v>tier - 3</v>
      </c>
      <c r="P2146" t="str">
        <f>VLOOKUP($B2146,'Hospitalisation Details'!A2145:J4489,7,0)</f>
        <v>tier - 1</v>
      </c>
      <c r="Q2146" t="str">
        <f>VLOOKUP($B2146,'Hospitalisation Details'!A2145:J4489,9,0)</f>
        <v>R1016</v>
      </c>
      <c r="R2146">
        <f>VLOOKUP($B2146,'Hospitalisation Details'!A2145:K4489,11,0)</f>
        <v>23</v>
      </c>
    </row>
    <row r="2147" spans="1:18" x14ac:dyDescent="0.35">
      <c r="A2147" t="s">
        <v>217</v>
      </c>
      <c r="B2147" t="s">
        <v>2177</v>
      </c>
      <c r="C2147" t="str">
        <f>VLOOKUP($A2147,'Customer Names'!$A:$E,4,FALSE)</f>
        <v>Scott R.</v>
      </c>
      <c r="D2147" t="str">
        <f>VLOOKUP($A2147,'Medical Examinations'!$A:$J,2,FALSE)</f>
        <v>Obesity</v>
      </c>
      <c r="E2147">
        <f>VLOOKUP($A2147,'Medical Examinations'!$A:$J,4,FALSE)</f>
        <v>11.15</v>
      </c>
      <c r="F2147" t="str">
        <f>VLOOKUP($A2147,'Medical Examinations'!$A:$J,6,FALSE)</f>
        <v>No</v>
      </c>
      <c r="G2147" t="str">
        <f>VLOOKUP($A2147,'Medical Examinations'!$A:$J,7,FALSE)</f>
        <v>No</v>
      </c>
      <c r="H2147" t="str">
        <f>VLOOKUP($A2147,'Medical Examinations'!$A:$J,8,FALSE)</f>
        <v>No</v>
      </c>
      <c r="I2147">
        <f>VLOOKUP($A2147,'Medical Examinations'!$A:$J,9,FALSE)</f>
        <v>0</v>
      </c>
      <c r="J2147" t="str">
        <f>VLOOKUP($A2147,'Medical Examinations'!$A:$J,10,FALSE)</f>
        <v>No</v>
      </c>
      <c r="K2147" t="str">
        <f>VLOOKUP($A2147,'Medical Examinations'!$A:$J,5,FALSE)</f>
        <v>Diabetes</v>
      </c>
      <c r="L2147">
        <f>VLOOKUP($A2148,'Medical Examinations'!$A:$J,3,FALSE)</f>
        <v>32.01</v>
      </c>
      <c r="N2147" s="11">
        <f>VLOOKUP($B2147,'Hospitalisation Details'!A2146:J4490,10,0)</f>
        <v>34331</v>
      </c>
      <c r="O2147" t="str">
        <f>VLOOKUP($B2147,'Hospitalisation Details'!A2146:J4490,8,0)</f>
        <v>tier - 3</v>
      </c>
      <c r="P2147" t="str">
        <f>VLOOKUP($B2147,'Hospitalisation Details'!A2146:J4490,7,0)</f>
        <v>tier - 1</v>
      </c>
      <c r="Q2147" t="str">
        <f>VLOOKUP($B2147,'Hospitalisation Details'!A2146:J4490,9,0)</f>
        <v>R1011</v>
      </c>
      <c r="R2147">
        <f>VLOOKUP($B2147,'Hospitalisation Details'!A2146:K4490,11,0)</f>
        <v>29</v>
      </c>
    </row>
    <row r="2148" spans="1:18" x14ac:dyDescent="0.35">
      <c r="A2148" t="s">
        <v>216</v>
      </c>
      <c r="B2148" t="s">
        <v>2178</v>
      </c>
      <c r="C2148" t="str">
        <f>VLOOKUP($A2148,'Customer Names'!$A:$E,4,FALSE)</f>
        <v>Jose Francisco Sr.</v>
      </c>
      <c r="D2148" t="str">
        <f>VLOOKUP($A2148,'Medical Examinations'!$A:$J,2,FALSE)</f>
        <v>Obesity</v>
      </c>
      <c r="E2148">
        <f>VLOOKUP($A2148,'Medical Examinations'!$A:$J,4,FALSE)</f>
        <v>6.45</v>
      </c>
      <c r="F2148" t="str">
        <f>VLOOKUP($A2148,'Medical Examinations'!$A:$J,6,FALSE)</f>
        <v>No</v>
      </c>
      <c r="G2148" t="str">
        <f>VLOOKUP($A2148,'Medical Examinations'!$A:$J,7,FALSE)</f>
        <v>No</v>
      </c>
      <c r="H2148" t="str">
        <f>VLOOKUP($A2148,'Medical Examinations'!$A:$J,8,FALSE)</f>
        <v>No</v>
      </c>
      <c r="I2148">
        <f>VLOOKUP($A2148,'Medical Examinations'!$A:$J,9,FALSE)</f>
        <v>1</v>
      </c>
      <c r="J2148" t="str">
        <f>VLOOKUP($A2148,'Medical Examinations'!$A:$J,10,FALSE)</f>
        <v>No</v>
      </c>
      <c r="K2148" t="str">
        <f>VLOOKUP($A2148,'Medical Examinations'!$A:$J,5,FALSE)</f>
        <v>Prediabetes</v>
      </c>
      <c r="L2148">
        <f>VLOOKUP($A2149,'Medical Examinations'!$A:$J,3,FALSE)</f>
        <v>33</v>
      </c>
      <c r="N2148" s="11">
        <f>VLOOKUP($B2148,'Hospitalisation Details'!A2147:J4491,10,0)</f>
        <v>37869</v>
      </c>
      <c r="O2148" t="str">
        <f>VLOOKUP($B2148,'Hospitalisation Details'!A2147:J4491,8,0)</f>
        <v>tier - 1</v>
      </c>
      <c r="P2148" t="str">
        <f>VLOOKUP($B2148,'Hospitalisation Details'!A2147:J4491,7,0)</f>
        <v>tier - 1</v>
      </c>
      <c r="Q2148" t="str">
        <f>VLOOKUP($B2148,'Hospitalisation Details'!A2147:J4491,9,0)</f>
        <v>R1012</v>
      </c>
      <c r="R2148">
        <f>VLOOKUP($B2148,'Hospitalisation Details'!A2147:K4491,11,0)</f>
        <v>19</v>
      </c>
    </row>
    <row r="2149" spans="1:18" x14ac:dyDescent="0.35">
      <c r="A2149" t="s">
        <v>215</v>
      </c>
      <c r="B2149" t="s">
        <v>2179</v>
      </c>
      <c r="C2149" t="str">
        <f>VLOOKUP($A2149,'Customer Names'!$A:$E,4,FALSE)</f>
        <v>Paul J</v>
      </c>
      <c r="D2149" t="str">
        <f>VLOOKUP($A2149,'Medical Examinations'!$A:$J,2,FALSE)</f>
        <v>Obesity</v>
      </c>
      <c r="E2149">
        <f>VLOOKUP($A2149,'Medical Examinations'!$A:$J,4,FALSE)</f>
        <v>9.27</v>
      </c>
      <c r="F2149" t="str">
        <f>VLOOKUP($A2149,'Medical Examinations'!$A:$J,6,FALSE)</f>
        <v>No</v>
      </c>
      <c r="G2149" t="str">
        <f>VLOOKUP($A2149,'Medical Examinations'!$A:$J,7,FALSE)</f>
        <v>No</v>
      </c>
      <c r="H2149" t="str">
        <f>VLOOKUP($A2149,'Medical Examinations'!$A:$J,8,FALSE)</f>
        <v>No</v>
      </c>
      <c r="I2149">
        <f>VLOOKUP($A2149,'Medical Examinations'!$A:$J,9,FALSE)</f>
        <v>0</v>
      </c>
      <c r="J2149" t="str">
        <f>VLOOKUP($A2149,'Medical Examinations'!$A:$J,10,FALSE)</f>
        <v>No</v>
      </c>
      <c r="K2149" t="str">
        <f>VLOOKUP($A2149,'Medical Examinations'!$A:$J,5,FALSE)</f>
        <v>Diabetes</v>
      </c>
      <c r="L2149">
        <f>VLOOKUP($A2150,'Medical Examinations'!$A:$J,3,FALSE)</f>
        <v>29.3</v>
      </c>
      <c r="N2149" s="11">
        <f>VLOOKUP($B2149,'Hospitalisation Details'!A2148:J4492,10,0)</f>
        <v>38346</v>
      </c>
      <c r="O2149" t="str">
        <f>VLOOKUP($B2149,'Hospitalisation Details'!A2148:J4492,8,0)</f>
        <v>tier - 2</v>
      </c>
      <c r="P2149" t="str">
        <f>VLOOKUP($B2149,'Hospitalisation Details'!A2148:J4492,7,0)</f>
        <v>tier - 1</v>
      </c>
      <c r="Q2149" t="str">
        <f>VLOOKUP($B2149,'Hospitalisation Details'!A2148:J4492,9,0)</f>
        <v>R1013</v>
      </c>
      <c r="R2149">
        <f>VLOOKUP($B2149,'Hospitalisation Details'!A2148:K4492,11,0)</f>
        <v>18</v>
      </c>
    </row>
    <row r="2150" spans="1:18" x14ac:dyDescent="0.35">
      <c r="A2150" t="s">
        <v>214</v>
      </c>
      <c r="B2150" t="s">
        <v>2180</v>
      </c>
      <c r="C2150" t="str">
        <f>VLOOKUP($A2150,'Customer Names'!$A:$E,4,FALSE)</f>
        <v>Adam</v>
      </c>
      <c r="D2150" t="str">
        <f>VLOOKUP($A2150,'Medical Examinations'!$A:$J,2,FALSE)</f>
        <v>Overweight</v>
      </c>
      <c r="E2150">
        <f>VLOOKUP($A2150,'Medical Examinations'!$A:$J,4,FALSE)</f>
        <v>6.15</v>
      </c>
      <c r="F2150" t="str">
        <f>VLOOKUP($A2150,'Medical Examinations'!$A:$J,6,FALSE)</f>
        <v>No</v>
      </c>
      <c r="G2150" t="str">
        <f>VLOOKUP($A2150,'Medical Examinations'!$A:$J,7,FALSE)</f>
        <v>No</v>
      </c>
      <c r="H2150" t="str">
        <f>VLOOKUP($A2150,'Medical Examinations'!$A:$J,8,FALSE)</f>
        <v>No</v>
      </c>
      <c r="I2150">
        <f>VLOOKUP($A2150,'Medical Examinations'!$A:$J,9,FALSE)</f>
        <v>1</v>
      </c>
      <c r="J2150" t="str">
        <f>VLOOKUP($A2150,'Medical Examinations'!$A:$J,10,FALSE)</f>
        <v>No</v>
      </c>
      <c r="K2150" t="str">
        <f>VLOOKUP($A2150,'Medical Examinations'!$A:$J,5,FALSE)</f>
        <v>Prediabetes</v>
      </c>
      <c r="L2150">
        <f>VLOOKUP($A2151,'Medical Examinations'!$A:$J,3,FALSE)</f>
        <v>25.8</v>
      </c>
      <c r="N2150" s="11">
        <f>VLOOKUP($B2150,'Hospitalisation Details'!A2149:J4493,10,0)</f>
        <v>33771</v>
      </c>
      <c r="O2150" t="str">
        <f>VLOOKUP($B2150,'Hospitalisation Details'!A2149:J4493,8,0)</f>
        <v>tier - 2</v>
      </c>
      <c r="P2150" t="str">
        <f>VLOOKUP($B2150,'Hospitalisation Details'!A2149:J4493,7,0)</f>
        <v>tier - 2</v>
      </c>
      <c r="Q2150" t="str">
        <f>VLOOKUP($B2150,'Hospitalisation Details'!A2149:J4493,9,0)</f>
        <v>R1011</v>
      </c>
      <c r="R2150">
        <f>VLOOKUP($B2150,'Hospitalisation Details'!A2149:K4493,11,0)</f>
        <v>30</v>
      </c>
    </row>
    <row r="2151" spans="1:18" x14ac:dyDescent="0.35">
      <c r="A2151" t="s">
        <v>213</v>
      </c>
      <c r="B2151" t="s">
        <v>2181</v>
      </c>
      <c r="C2151" t="str">
        <f>VLOOKUP($A2151,'Customer Names'!$A:$E,4,FALSE)</f>
        <v>Edward J.</v>
      </c>
      <c r="D2151" t="str">
        <f>VLOOKUP($A2151,'Medical Examinations'!$A:$J,2,FALSE)</f>
        <v>Overweight</v>
      </c>
      <c r="E2151">
        <f>VLOOKUP($A2151,'Medical Examinations'!$A:$J,4,FALSE)</f>
        <v>4.13</v>
      </c>
      <c r="F2151" t="str">
        <f>VLOOKUP($A2151,'Medical Examinations'!$A:$J,6,FALSE)</f>
        <v>No</v>
      </c>
      <c r="G2151" t="str">
        <f>VLOOKUP($A2151,'Medical Examinations'!$A:$J,7,FALSE)</f>
        <v>No</v>
      </c>
      <c r="H2151" t="str">
        <f>VLOOKUP($A2151,'Medical Examinations'!$A:$J,8,FALSE)</f>
        <v>No</v>
      </c>
      <c r="I2151">
        <f>VLOOKUP($A2151,'Medical Examinations'!$A:$J,9,FALSE)</f>
        <v>1</v>
      </c>
      <c r="J2151" t="str">
        <f>VLOOKUP($A2151,'Medical Examinations'!$A:$J,10,FALSE)</f>
        <v>No</v>
      </c>
      <c r="K2151" t="str">
        <f>VLOOKUP($A2151,'Medical Examinations'!$A:$J,5,FALSE)</f>
        <v>Normal</v>
      </c>
      <c r="L2151">
        <f>VLOOKUP($A2152,'Medical Examinations'!$A:$J,3,FALSE)</f>
        <v>23.4</v>
      </c>
      <c r="N2151" s="11">
        <f>VLOOKUP($B2151,'Hospitalisation Details'!A2150:J4494,10,0)</f>
        <v>24763</v>
      </c>
      <c r="O2151" t="str">
        <f>VLOOKUP($B2151,'Hospitalisation Details'!A2150:J4494,8,0)</f>
        <v>tier - 3</v>
      </c>
      <c r="P2151" t="str">
        <f>VLOOKUP($B2151,'Hospitalisation Details'!A2150:J4494,7,0)</f>
        <v>tier - 1</v>
      </c>
      <c r="Q2151" t="str">
        <f>VLOOKUP($B2151,'Hospitalisation Details'!A2150:J4494,9,0)</f>
        <v>R1011</v>
      </c>
      <c r="R2151">
        <f>VLOOKUP($B2151,'Hospitalisation Details'!A2150:K4494,11,0)</f>
        <v>55</v>
      </c>
    </row>
    <row r="2152" spans="1:18" x14ac:dyDescent="0.35">
      <c r="A2152" t="s">
        <v>212</v>
      </c>
      <c r="B2152" t="s">
        <v>2182</v>
      </c>
      <c r="C2152" t="str">
        <f>VLOOKUP($A2152,'Customer Names'!$A:$E,4,FALSE)</f>
        <v>Patrick A.</v>
      </c>
      <c r="D2152" t="str">
        <f>VLOOKUP($A2152,'Medical Examinations'!$A:$J,2,FALSE)</f>
        <v>Normal Weight</v>
      </c>
      <c r="E2152">
        <f>VLOOKUP($A2152,'Medical Examinations'!$A:$J,4,FALSE)</f>
        <v>4.24</v>
      </c>
      <c r="F2152" t="str">
        <f>VLOOKUP($A2152,'Medical Examinations'!$A:$J,6,FALSE)</f>
        <v>No</v>
      </c>
      <c r="G2152" t="str">
        <f>VLOOKUP($A2152,'Medical Examinations'!$A:$J,7,FALSE)</f>
        <v>No</v>
      </c>
      <c r="H2152" t="str">
        <f>VLOOKUP($A2152,'Medical Examinations'!$A:$J,8,FALSE)</f>
        <v>No</v>
      </c>
      <c r="I2152">
        <f>VLOOKUP($A2152,'Medical Examinations'!$A:$J,9,FALSE)</f>
        <v>1</v>
      </c>
      <c r="J2152" t="str">
        <f>VLOOKUP($A2152,'Medical Examinations'!$A:$J,10,FALSE)</f>
        <v>No</v>
      </c>
      <c r="K2152" t="str">
        <f>VLOOKUP($A2152,'Medical Examinations'!$A:$J,5,FALSE)</f>
        <v>Normal</v>
      </c>
      <c r="L2152">
        <f>VLOOKUP($A2153,'Medical Examinations'!$A:$J,3,FALSE)</f>
        <v>27.93</v>
      </c>
      <c r="N2152" s="11">
        <f>VLOOKUP($B2152,'Hospitalisation Details'!A2151:J4495,10,0)</f>
        <v>27550</v>
      </c>
      <c r="O2152" t="str">
        <f>VLOOKUP($B2152,'Hospitalisation Details'!A2151:J4495,8,0)</f>
        <v>tier - 2</v>
      </c>
      <c r="P2152" t="str">
        <f>VLOOKUP($B2152,'Hospitalisation Details'!A2151:J4495,7,0)</f>
        <v>tier - 1</v>
      </c>
      <c r="Q2152" t="str">
        <f>VLOOKUP($B2152,'Hospitalisation Details'!A2151:J4495,9,0)</f>
        <v>R1011</v>
      </c>
      <c r="R2152">
        <f>VLOOKUP($B2152,'Hospitalisation Details'!A2151:K4495,11,0)</f>
        <v>48</v>
      </c>
    </row>
    <row r="2153" spans="1:18" x14ac:dyDescent="0.35">
      <c r="A2153" t="s">
        <v>211</v>
      </c>
      <c r="B2153" t="s">
        <v>2183</v>
      </c>
      <c r="C2153" t="str">
        <f>VLOOKUP($A2153,'Customer Names'!$A:$E,4,FALSE)</f>
        <v>Geraint H</v>
      </c>
      <c r="D2153" t="str">
        <f>VLOOKUP($A2153,'Medical Examinations'!$A:$J,2,FALSE)</f>
        <v>Overweight</v>
      </c>
      <c r="E2153">
        <f>VLOOKUP($A2153,'Medical Examinations'!$A:$J,4,FALSE)</f>
        <v>9.8800000000000008</v>
      </c>
      <c r="F2153" t="str">
        <f>VLOOKUP($A2153,'Medical Examinations'!$A:$J,6,FALSE)</f>
        <v>No</v>
      </c>
      <c r="G2153" t="str">
        <f>VLOOKUP($A2153,'Medical Examinations'!$A:$J,7,FALSE)</f>
        <v>No</v>
      </c>
      <c r="H2153" t="str">
        <f>VLOOKUP($A2153,'Medical Examinations'!$A:$J,8,FALSE)</f>
        <v>No</v>
      </c>
      <c r="I2153">
        <f>VLOOKUP($A2153,'Medical Examinations'!$A:$J,9,FALSE)</f>
        <v>0</v>
      </c>
      <c r="J2153" t="str">
        <f>VLOOKUP($A2153,'Medical Examinations'!$A:$J,10,FALSE)</f>
        <v>No</v>
      </c>
      <c r="K2153" t="str">
        <f>VLOOKUP($A2153,'Medical Examinations'!$A:$J,5,FALSE)</f>
        <v>Diabetes</v>
      </c>
      <c r="L2153">
        <f>VLOOKUP($A2154,'Medical Examinations'!$A:$J,3,FALSE)</f>
        <v>22</v>
      </c>
      <c r="N2153" s="11">
        <f>VLOOKUP($B2153,'Hospitalisation Details'!A2152:J4496,10,0)</f>
        <v>37964</v>
      </c>
      <c r="O2153" t="str">
        <f>VLOOKUP($B2153,'Hospitalisation Details'!A2152:J4496,8,0)</f>
        <v>tier - 3</v>
      </c>
      <c r="P2153" t="str">
        <f>VLOOKUP($B2153,'Hospitalisation Details'!A2152:J4496,7,0)</f>
        <v>tier - 2</v>
      </c>
      <c r="Q2153" t="str">
        <f>VLOOKUP($B2153,'Hospitalisation Details'!A2152:J4496,9,0)</f>
        <v>R1011</v>
      </c>
      <c r="R2153">
        <f>VLOOKUP($B2153,'Hospitalisation Details'!A2152:K4496,11,0)</f>
        <v>19</v>
      </c>
    </row>
    <row r="2154" spans="1:18" x14ac:dyDescent="0.35">
      <c r="A2154" t="s">
        <v>210</v>
      </c>
      <c r="B2154" t="s">
        <v>2184</v>
      </c>
      <c r="C2154" t="str">
        <f>VLOOKUP($A2154,'Customer Names'!$A:$E,4,FALSE)</f>
        <v>Dj</v>
      </c>
      <c r="D2154" t="str">
        <f>VLOOKUP($A2154,'Medical Examinations'!$A:$J,2,FALSE)</f>
        <v>Normal Weight</v>
      </c>
      <c r="E2154">
        <f>VLOOKUP($A2154,'Medical Examinations'!$A:$J,4,FALSE)</f>
        <v>9.5</v>
      </c>
      <c r="F2154" t="str">
        <f>VLOOKUP($A2154,'Medical Examinations'!$A:$J,6,FALSE)</f>
        <v>No</v>
      </c>
      <c r="G2154" t="str">
        <f>VLOOKUP($A2154,'Medical Examinations'!$A:$J,7,FALSE)</f>
        <v>No</v>
      </c>
      <c r="H2154" t="str">
        <f>VLOOKUP($A2154,'Medical Examinations'!$A:$J,8,FALSE)</f>
        <v>No</v>
      </c>
      <c r="I2154">
        <f>VLOOKUP($A2154,'Medical Examinations'!$A:$J,9,FALSE)</f>
        <v>0</v>
      </c>
      <c r="J2154" t="str">
        <f>VLOOKUP($A2154,'Medical Examinations'!$A:$J,10,FALSE)</f>
        <v>No</v>
      </c>
      <c r="K2154" t="str">
        <f>VLOOKUP($A2154,'Medical Examinations'!$A:$J,5,FALSE)</f>
        <v>Diabetes</v>
      </c>
      <c r="L2154">
        <f>VLOOKUP($A2155,'Medical Examinations'!$A:$J,3,FALSE)</f>
        <v>36.86</v>
      </c>
      <c r="N2154" s="11">
        <f>VLOOKUP($B2154,'Hospitalisation Details'!A2153:J4497,10,0)</f>
        <v>22969</v>
      </c>
      <c r="O2154" t="str">
        <f>VLOOKUP($B2154,'Hospitalisation Details'!A2153:J4497,8,0)</f>
        <v>tier - 2</v>
      </c>
      <c r="P2154" t="str">
        <f>VLOOKUP($B2154,'Hospitalisation Details'!A2153:J4497,7,0)</f>
        <v>tier - 2</v>
      </c>
      <c r="Q2154" t="str">
        <f>VLOOKUP($B2154,'Hospitalisation Details'!A2153:J4497,9,0)</f>
        <v>R1011</v>
      </c>
      <c r="R2154">
        <f>VLOOKUP($B2154,'Hospitalisation Details'!A2153:K4497,11,0)</f>
        <v>60</v>
      </c>
    </row>
    <row r="2155" spans="1:18" x14ac:dyDescent="0.35">
      <c r="A2155" t="s">
        <v>209</v>
      </c>
      <c r="B2155" t="s">
        <v>2185</v>
      </c>
      <c r="C2155" t="str">
        <f>VLOOKUP($A2155,'Customer Names'!$A:$E,4,FALSE)</f>
        <v>Zachary A</v>
      </c>
      <c r="D2155" t="str">
        <f>VLOOKUP($A2155,'Medical Examinations'!$A:$J,2,FALSE)</f>
        <v>Obesity</v>
      </c>
      <c r="E2155">
        <f>VLOOKUP($A2155,'Medical Examinations'!$A:$J,4,FALSE)</f>
        <v>4.97</v>
      </c>
      <c r="F2155" t="str">
        <f>VLOOKUP($A2155,'Medical Examinations'!$A:$J,6,FALSE)</f>
        <v>yes</v>
      </c>
      <c r="G2155" t="str">
        <f>VLOOKUP($A2155,'Medical Examinations'!$A:$J,7,FALSE)</f>
        <v>No</v>
      </c>
      <c r="H2155" t="str">
        <f>VLOOKUP($A2155,'Medical Examinations'!$A:$J,8,FALSE)</f>
        <v>No</v>
      </c>
      <c r="I2155">
        <f>VLOOKUP($A2155,'Medical Examinations'!$A:$J,9,FALSE)</f>
        <v>0</v>
      </c>
      <c r="J2155" t="str">
        <f>VLOOKUP($A2155,'Medical Examinations'!$A:$J,10,FALSE)</f>
        <v>No</v>
      </c>
      <c r="K2155" t="str">
        <f>VLOOKUP($A2155,'Medical Examinations'!$A:$J,5,FALSE)</f>
        <v>Normal</v>
      </c>
      <c r="L2155">
        <f>VLOOKUP($A2156,'Medical Examinations'!$A:$J,3,FALSE)</f>
        <v>31.254999999999999</v>
      </c>
      <c r="N2155" s="11">
        <f>VLOOKUP($B2155,'Hospitalisation Details'!A2154:J4498,10,0)</f>
        <v>26885</v>
      </c>
      <c r="O2155" t="str">
        <f>VLOOKUP($B2155,'Hospitalisation Details'!A2154:J4498,8,0)</f>
        <v>tier - 3</v>
      </c>
      <c r="P2155" t="str">
        <f>VLOOKUP($B2155,'Hospitalisation Details'!A2154:J4498,7,0)</f>
        <v>tier - 2</v>
      </c>
      <c r="Q2155" t="str">
        <f>VLOOKUP($B2155,'Hospitalisation Details'!A2154:J4498,9,0)</f>
        <v>R1011</v>
      </c>
      <c r="R2155">
        <f>VLOOKUP($B2155,'Hospitalisation Details'!A2154:K4498,11,0)</f>
        <v>49</v>
      </c>
    </row>
    <row r="2156" spans="1:18" x14ac:dyDescent="0.35">
      <c r="A2156" t="s">
        <v>208</v>
      </c>
      <c r="B2156" t="s">
        <v>2186</v>
      </c>
      <c r="C2156" t="str">
        <f>VLOOKUP($A2156,'Customer Names'!$A:$E,4,FALSE)</f>
        <v>Brian W.</v>
      </c>
      <c r="D2156" t="str">
        <f>VLOOKUP($A2156,'Medical Examinations'!$A:$J,2,FALSE)</f>
        <v>Obesity</v>
      </c>
      <c r="E2156">
        <f>VLOOKUP($A2156,'Medical Examinations'!$A:$J,4,FALSE)</f>
        <v>5.49</v>
      </c>
      <c r="F2156" t="str">
        <f>VLOOKUP($A2156,'Medical Examinations'!$A:$J,6,FALSE)</f>
        <v>yes</v>
      </c>
      <c r="G2156" t="str">
        <f>VLOOKUP($A2156,'Medical Examinations'!$A:$J,7,FALSE)</f>
        <v>No</v>
      </c>
      <c r="H2156" t="str">
        <f>VLOOKUP($A2156,'Medical Examinations'!$A:$J,8,FALSE)</f>
        <v>No</v>
      </c>
      <c r="I2156">
        <f>VLOOKUP($A2156,'Medical Examinations'!$A:$J,9,FALSE)</f>
        <v>0</v>
      </c>
      <c r="J2156" t="str">
        <f>VLOOKUP($A2156,'Medical Examinations'!$A:$J,10,FALSE)</f>
        <v>No</v>
      </c>
      <c r="K2156" t="str">
        <f>VLOOKUP($A2156,'Medical Examinations'!$A:$J,5,FALSE)</f>
        <v>Normal</v>
      </c>
      <c r="L2156">
        <f>VLOOKUP($A2157,'Medical Examinations'!$A:$J,3,FALSE)</f>
        <v>23.06</v>
      </c>
      <c r="N2156" s="11">
        <f>VLOOKUP($B2156,'Hospitalisation Details'!A2155:J4499,10,0)</f>
        <v>33886</v>
      </c>
      <c r="O2156" t="str">
        <f>VLOOKUP($B2156,'Hospitalisation Details'!A2155:J4499,8,0)</f>
        <v>tier - 2</v>
      </c>
      <c r="P2156" t="str">
        <f>VLOOKUP($B2156,'Hospitalisation Details'!A2155:J4499,7,0)</f>
        <v>tier - 1</v>
      </c>
      <c r="Q2156" t="str">
        <f>VLOOKUP($B2156,'Hospitalisation Details'!A2155:J4499,9,0)</f>
        <v>R1011</v>
      </c>
      <c r="R2156">
        <f>VLOOKUP($B2156,'Hospitalisation Details'!A2155:K4499,11,0)</f>
        <v>30</v>
      </c>
    </row>
    <row r="2157" spans="1:18" x14ac:dyDescent="0.35">
      <c r="A2157" t="s">
        <v>207</v>
      </c>
      <c r="B2157" t="s">
        <v>2187</v>
      </c>
      <c r="C2157" t="str">
        <f>VLOOKUP($A2157,'Customer Names'!$A:$E,4,FALSE)</f>
        <v>Joe</v>
      </c>
      <c r="D2157" t="str">
        <f>VLOOKUP($A2157,'Medical Examinations'!$A:$J,2,FALSE)</f>
        <v>Normal Weight</v>
      </c>
      <c r="E2157">
        <f>VLOOKUP($A2157,'Medical Examinations'!$A:$J,4,FALSE)</f>
        <v>4.47</v>
      </c>
      <c r="F2157" t="str">
        <f>VLOOKUP($A2157,'Medical Examinations'!$A:$J,6,FALSE)</f>
        <v>No</v>
      </c>
      <c r="G2157" t="str">
        <f>VLOOKUP($A2157,'Medical Examinations'!$A:$J,7,FALSE)</f>
        <v>No</v>
      </c>
      <c r="H2157" t="str">
        <f>VLOOKUP($A2157,'Medical Examinations'!$A:$J,8,FALSE)</f>
        <v>No</v>
      </c>
      <c r="I2157">
        <f>VLOOKUP($A2157,'Medical Examinations'!$A:$J,9,FALSE)</f>
        <v>0</v>
      </c>
      <c r="J2157" t="str">
        <f>VLOOKUP($A2157,'Medical Examinations'!$A:$J,10,FALSE)</f>
        <v>No</v>
      </c>
      <c r="K2157" t="str">
        <f>VLOOKUP($A2157,'Medical Examinations'!$A:$J,5,FALSE)</f>
        <v>Normal</v>
      </c>
      <c r="L2157">
        <f>VLOOKUP($A2158,'Medical Examinations'!$A:$J,3,FALSE)</f>
        <v>28.975000000000001</v>
      </c>
      <c r="N2157" s="11">
        <f>VLOOKUP($B2157,'Hospitalisation Details'!A2156:J4500,10,0)</f>
        <v>22491</v>
      </c>
      <c r="O2157" t="str">
        <f>VLOOKUP($B2157,'Hospitalisation Details'!A2156:J4500,8,0)</f>
        <v>tier - 2</v>
      </c>
      <c r="P2157" t="str">
        <f>VLOOKUP($B2157,'Hospitalisation Details'!A2156:J4500,7,0)</f>
        <v>tier - 2</v>
      </c>
      <c r="Q2157" t="str">
        <f>VLOOKUP($B2157,'Hospitalisation Details'!A2156:J4500,9,0)</f>
        <v>R1013</v>
      </c>
      <c r="R2157">
        <f>VLOOKUP($B2157,'Hospitalisation Details'!A2156:K4500,11,0)</f>
        <v>61</v>
      </c>
    </row>
    <row r="2158" spans="1:18" x14ac:dyDescent="0.35">
      <c r="A2158" t="s">
        <v>206</v>
      </c>
      <c r="B2158" t="s">
        <v>2188</v>
      </c>
      <c r="C2158" t="str">
        <f>VLOOKUP($A2158,'Customer Names'!$A:$E,4,FALSE)</f>
        <v>Stephen</v>
      </c>
      <c r="D2158" t="str">
        <f>VLOOKUP($A2158,'Medical Examinations'!$A:$J,2,FALSE)</f>
        <v>Overweight</v>
      </c>
      <c r="E2158">
        <f>VLOOKUP($A2158,'Medical Examinations'!$A:$J,4,FALSE)</f>
        <v>4.34</v>
      </c>
      <c r="F2158" t="str">
        <f>VLOOKUP($A2158,'Medical Examinations'!$A:$J,6,FALSE)</f>
        <v>yes</v>
      </c>
      <c r="G2158" t="str">
        <f>VLOOKUP($A2158,'Medical Examinations'!$A:$J,7,FALSE)</f>
        <v>No</v>
      </c>
      <c r="H2158" t="str">
        <f>VLOOKUP($A2158,'Medical Examinations'!$A:$J,8,FALSE)</f>
        <v>No</v>
      </c>
      <c r="I2158">
        <f>VLOOKUP($A2158,'Medical Examinations'!$A:$J,9,FALSE)</f>
        <v>0</v>
      </c>
      <c r="J2158" t="str">
        <f>VLOOKUP($A2158,'Medical Examinations'!$A:$J,10,FALSE)</f>
        <v>No</v>
      </c>
      <c r="K2158" t="str">
        <f>VLOOKUP($A2158,'Medical Examinations'!$A:$J,5,FALSE)</f>
        <v>Normal</v>
      </c>
      <c r="L2158">
        <f>VLOOKUP($A2159,'Medical Examinations'!$A:$J,3,FALSE)</f>
        <v>33.299999999999997</v>
      </c>
      <c r="N2158" s="11">
        <f>VLOOKUP($B2158,'Hospitalisation Details'!A2157:J4501,10,0)</f>
        <v>25763</v>
      </c>
      <c r="O2158" t="str">
        <f>VLOOKUP($B2158,'Hospitalisation Details'!A2157:J4501,8,0)</f>
        <v>tier - 1</v>
      </c>
      <c r="P2158" t="str">
        <f>VLOOKUP($B2158,'Hospitalisation Details'!A2157:J4501,7,0)</f>
        <v>tier - 1</v>
      </c>
      <c r="Q2158" t="str">
        <f>VLOOKUP($B2158,'Hospitalisation Details'!A2157:J4501,9,0)</f>
        <v>R1011</v>
      </c>
      <c r="R2158">
        <f>VLOOKUP($B2158,'Hospitalisation Details'!A2157:K4501,11,0)</f>
        <v>52</v>
      </c>
    </row>
    <row r="2159" spans="1:18" x14ac:dyDescent="0.35">
      <c r="A2159" t="s">
        <v>205</v>
      </c>
      <c r="B2159" t="s">
        <v>2189</v>
      </c>
      <c r="C2159" t="str">
        <f>VLOOKUP($A2159,'Customer Names'!$A:$E,4,FALSE)</f>
        <v>Ellen L.</v>
      </c>
      <c r="D2159" t="str">
        <f>VLOOKUP($A2159,'Medical Examinations'!$A:$J,2,FALSE)</f>
        <v>Obesity</v>
      </c>
      <c r="E2159">
        <f>VLOOKUP($A2159,'Medical Examinations'!$A:$J,4,FALSE)</f>
        <v>9.49</v>
      </c>
      <c r="F2159" t="str">
        <f>VLOOKUP($A2159,'Medical Examinations'!$A:$J,6,FALSE)</f>
        <v>No</v>
      </c>
      <c r="G2159" t="str">
        <f>VLOOKUP($A2159,'Medical Examinations'!$A:$J,7,FALSE)</f>
        <v>No</v>
      </c>
      <c r="H2159" t="str">
        <f>VLOOKUP($A2159,'Medical Examinations'!$A:$J,8,FALSE)</f>
        <v>No</v>
      </c>
      <c r="I2159">
        <f>VLOOKUP($A2159,'Medical Examinations'!$A:$J,9,FALSE)</f>
        <v>0</v>
      </c>
      <c r="J2159" t="str">
        <f>VLOOKUP($A2159,'Medical Examinations'!$A:$J,10,FALSE)</f>
        <v>No</v>
      </c>
      <c r="K2159" t="str">
        <f>VLOOKUP($A2159,'Medical Examinations'!$A:$J,5,FALSE)</f>
        <v>Diabetes</v>
      </c>
      <c r="L2159">
        <f>VLOOKUP($A2160,'Medical Examinations'!$A:$J,3,FALSE)</f>
        <v>33</v>
      </c>
      <c r="N2159" s="11">
        <f>VLOOKUP($B2159,'Hospitalisation Details'!A2158:J4502,10,0)</f>
        <v>24104</v>
      </c>
      <c r="O2159" t="str">
        <f>VLOOKUP($B2159,'Hospitalisation Details'!A2158:J4502,8,0)</f>
        <v>tier - 1</v>
      </c>
      <c r="P2159" t="str">
        <f>VLOOKUP($B2159,'Hospitalisation Details'!A2158:J4502,7,0)</f>
        <v>tier - 2</v>
      </c>
      <c r="Q2159" t="str">
        <f>VLOOKUP($B2159,'Hospitalisation Details'!A2158:J4502,9,0)</f>
        <v>R1011</v>
      </c>
      <c r="R2159">
        <f>VLOOKUP($B2159,'Hospitalisation Details'!A2158:K4502,11,0)</f>
        <v>57</v>
      </c>
    </row>
    <row r="2160" spans="1:18" x14ac:dyDescent="0.35">
      <c r="A2160" t="s">
        <v>204</v>
      </c>
      <c r="B2160" t="s">
        <v>31</v>
      </c>
      <c r="C2160" t="str">
        <f>VLOOKUP($A2160,'Customer Names'!$A:$E,4,FALSE)</f>
        <v>Cindy</v>
      </c>
      <c r="D2160" t="str">
        <f>VLOOKUP($A2160,'Medical Examinations'!$A:$J,2,FALSE)</f>
        <v>Obesity</v>
      </c>
      <c r="E2160">
        <f>VLOOKUP($A2160,'Medical Examinations'!$A:$J,4,FALSE)</f>
        <v>10.16</v>
      </c>
      <c r="F2160" t="str">
        <f>VLOOKUP($A2160,'Medical Examinations'!$A:$J,6,FALSE)</f>
        <v>No</v>
      </c>
      <c r="G2160" t="str">
        <f>VLOOKUP($A2160,'Medical Examinations'!$A:$J,7,FALSE)</f>
        <v>No</v>
      </c>
      <c r="H2160" t="str">
        <f>VLOOKUP($A2160,'Medical Examinations'!$A:$J,8,FALSE)</f>
        <v>No</v>
      </c>
      <c r="I2160">
        <f>VLOOKUP($A2160,'Medical Examinations'!$A:$J,9,FALSE)</f>
        <v>0</v>
      </c>
      <c r="J2160" t="str">
        <f>VLOOKUP($A2160,'Medical Examinations'!$A:$J,10,FALSE)</f>
        <v>No</v>
      </c>
      <c r="K2160" t="str">
        <f>VLOOKUP($A2160,'Medical Examinations'!$A:$J,5,FALSE)</f>
        <v>Diabetes</v>
      </c>
      <c r="L2160">
        <f>VLOOKUP($A2161,'Medical Examinations'!$A:$J,3,FALSE)</f>
        <v>31.46</v>
      </c>
      <c r="N2160" s="11">
        <f>VLOOKUP($B2160,'Hospitalisation Details'!A2159:J4503,10,0)</f>
        <v>33883</v>
      </c>
      <c r="O2160" t="str">
        <f>VLOOKUP($B2160,'Hospitalisation Details'!A2159:J4503,8,0)</f>
        <v>tier - 2</v>
      </c>
      <c r="P2160" t="str">
        <f>VLOOKUP($B2160,'Hospitalisation Details'!A2159:J4503,7,0)</f>
        <v>tier - 1</v>
      </c>
      <c r="Q2160" t="str">
        <f>VLOOKUP($B2160,'Hospitalisation Details'!A2159:J4503,9,0)</f>
        <v>R1011</v>
      </c>
      <c r="R2160">
        <f>VLOOKUP($B2160,'Hospitalisation Details'!A2159:K4503,11,0)</f>
        <v>30</v>
      </c>
    </row>
    <row r="2161" spans="1:18" x14ac:dyDescent="0.35">
      <c r="A2161" t="s">
        <v>203</v>
      </c>
      <c r="B2161" t="s">
        <v>2190</v>
      </c>
      <c r="C2161" t="str">
        <f>VLOOKUP($A2161,'Customer Names'!$A:$E,4,FALSE)</f>
        <v>Abigail R.</v>
      </c>
      <c r="D2161" t="str">
        <f>VLOOKUP($A2161,'Medical Examinations'!$A:$J,2,FALSE)</f>
        <v>Obesity</v>
      </c>
      <c r="E2161">
        <f>VLOOKUP($A2161,'Medical Examinations'!$A:$J,4,FALSE)</f>
        <v>11.19</v>
      </c>
      <c r="F2161" t="str">
        <f>VLOOKUP($A2161,'Medical Examinations'!$A:$J,6,FALSE)</f>
        <v>No</v>
      </c>
      <c r="G2161" t="str">
        <f>VLOOKUP($A2161,'Medical Examinations'!$A:$J,7,FALSE)</f>
        <v>No</v>
      </c>
      <c r="H2161" t="str">
        <f>VLOOKUP($A2161,'Medical Examinations'!$A:$J,8,FALSE)</f>
        <v>No</v>
      </c>
      <c r="I2161">
        <f>VLOOKUP($A2161,'Medical Examinations'!$A:$J,9,FALSE)</f>
        <v>0</v>
      </c>
      <c r="J2161" t="str">
        <f>VLOOKUP($A2161,'Medical Examinations'!$A:$J,10,FALSE)</f>
        <v>No</v>
      </c>
      <c r="K2161" t="str">
        <f>VLOOKUP($A2161,'Medical Examinations'!$A:$J,5,FALSE)</f>
        <v>Diabetes</v>
      </c>
      <c r="L2161">
        <f>VLOOKUP($A2162,'Medical Examinations'!$A:$J,3,FALSE)</f>
        <v>29.6</v>
      </c>
      <c r="N2161" s="11">
        <f>VLOOKUP($B2161,'Hospitalisation Details'!A2160:J4504,10,0)</f>
        <v>33789</v>
      </c>
      <c r="O2161" t="str">
        <f>VLOOKUP($B2161,'Hospitalisation Details'!A2160:J4504,8,0)</f>
        <v>tier - 3</v>
      </c>
      <c r="P2161" t="str">
        <f>VLOOKUP($B2161,'Hospitalisation Details'!A2160:J4504,7,0)</f>
        <v>tier - 2</v>
      </c>
      <c r="Q2161" t="str">
        <f>VLOOKUP($B2161,'Hospitalisation Details'!A2160:J4504,9,0)</f>
        <v>R1011</v>
      </c>
      <c r="R2161">
        <f>VLOOKUP($B2161,'Hospitalisation Details'!A2160:K4504,11,0)</f>
        <v>30</v>
      </c>
    </row>
    <row r="2162" spans="1:18" x14ac:dyDescent="0.35">
      <c r="A2162" t="s">
        <v>202</v>
      </c>
      <c r="B2162" t="s">
        <v>2191</v>
      </c>
      <c r="C2162" t="str">
        <f>VLOOKUP($A2162,'Customer Names'!$A:$E,4,FALSE)</f>
        <v>Amy L.</v>
      </c>
      <c r="D2162" t="str">
        <f>VLOOKUP($A2162,'Medical Examinations'!$A:$J,2,FALSE)</f>
        <v>Overweight</v>
      </c>
      <c r="E2162">
        <f>VLOOKUP($A2162,'Medical Examinations'!$A:$J,4,FALSE)</f>
        <v>11.03</v>
      </c>
      <c r="F2162" t="str">
        <f>VLOOKUP($A2162,'Medical Examinations'!$A:$J,6,FALSE)</f>
        <v>No</v>
      </c>
      <c r="G2162" t="str">
        <f>VLOOKUP($A2162,'Medical Examinations'!$A:$J,7,FALSE)</f>
        <v>No</v>
      </c>
      <c r="H2162" t="str">
        <f>VLOOKUP($A2162,'Medical Examinations'!$A:$J,8,FALSE)</f>
        <v>No</v>
      </c>
      <c r="I2162">
        <f>VLOOKUP($A2162,'Medical Examinations'!$A:$J,9,FALSE)</f>
        <v>0</v>
      </c>
      <c r="J2162" t="str">
        <f>VLOOKUP($A2162,'Medical Examinations'!$A:$J,10,FALSE)</f>
        <v>No</v>
      </c>
      <c r="K2162" t="str">
        <f>VLOOKUP($A2162,'Medical Examinations'!$A:$J,5,FALSE)</f>
        <v>Diabetes</v>
      </c>
      <c r="L2162">
        <f>VLOOKUP($A2163,'Medical Examinations'!$A:$J,3,FALSE)</f>
        <v>22.05</v>
      </c>
      <c r="N2162" s="11">
        <f>VLOOKUP($B2162,'Hospitalisation Details'!A2161:J4505,10,0)</f>
        <v>26638</v>
      </c>
      <c r="O2162" t="str">
        <f>VLOOKUP($B2162,'Hospitalisation Details'!A2161:J4505,8,0)</f>
        <v>tier - 3</v>
      </c>
      <c r="P2162" t="str">
        <f>VLOOKUP($B2162,'Hospitalisation Details'!A2161:J4505,7,0)</f>
        <v>tier - 1</v>
      </c>
      <c r="Q2162" t="str">
        <f>VLOOKUP($B2162,'Hospitalisation Details'!A2161:J4505,9,0)</f>
        <v>R1011</v>
      </c>
      <c r="R2162">
        <f>VLOOKUP($B2162,'Hospitalisation Details'!A2161:K4505,11,0)</f>
        <v>50</v>
      </c>
    </row>
    <row r="2163" spans="1:18" x14ac:dyDescent="0.35">
      <c r="A2163" t="s">
        <v>201</v>
      </c>
      <c r="B2163" t="s">
        <v>2192</v>
      </c>
      <c r="C2163" t="str">
        <f>VLOOKUP($A2163,'Customer Names'!$A:$E,4,FALSE)</f>
        <v>Amy</v>
      </c>
      <c r="D2163" t="str">
        <f>VLOOKUP($A2163,'Medical Examinations'!$A:$J,2,FALSE)</f>
        <v>Normal Weight</v>
      </c>
      <c r="E2163">
        <f>VLOOKUP($A2163,'Medical Examinations'!$A:$J,4,FALSE)</f>
        <v>4.43</v>
      </c>
      <c r="F2163" t="str">
        <f>VLOOKUP($A2163,'Medical Examinations'!$A:$J,6,FALSE)</f>
        <v>yes</v>
      </c>
      <c r="G2163" t="str">
        <f>VLOOKUP($A2163,'Medical Examinations'!$A:$J,7,FALSE)</f>
        <v>No</v>
      </c>
      <c r="H2163" t="str">
        <f>VLOOKUP($A2163,'Medical Examinations'!$A:$J,8,FALSE)</f>
        <v>No</v>
      </c>
      <c r="I2163">
        <f>VLOOKUP($A2163,'Medical Examinations'!$A:$J,9,FALSE)</f>
        <v>0</v>
      </c>
      <c r="J2163" t="str">
        <f>VLOOKUP($A2163,'Medical Examinations'!$A:$J,10,FALSE)</f>
        <v>No</v>
      </c>
      <c r="K2163" t="str">
        <f>VLOOKUP($A2163,'Medical Examinations'!$A:$J,5,FALSE)</f>
        <v>Normal</v>
      </c>
      <c r="L2163">
        <f>VLOOKUP($A2164,'Medical Examinations'!$A:$J,3,FALSE)</f>
        <v>27.06</v>
      </c>
      <c r="N2163" s="11">
        <f>VLOOKUP($B2163,'Hospitalisation Details'!A2162:J4506,10,0)</f>
        <v>37793</v>
      </c>
      <c r="O2163" t="str">
        <f>VLOOKUP($B2163,'Hospitalisation Details'!A2162:J4506,8,0)</f>
        <v>tier - 1</v>
      </c>
      <c r="P2163" t="str">
        <f>VLOOKUP($B2163,'Hospitalisation Details'!A2162:J4506,7,0)</f>
        <v>tier - 2</v>
      </c>
      <c r="Q2163" t="str">
        <f>VLOOKUP($B2163,'Hospitalisation Details'!A2162:J4506,9,0)</f>
        <v>R1012</v>
      </c>
      <c r="R2163">
        <f>VLOOKUP($B2163,'Hospitalisation Details'!A2162:K4506,11,0)</f>
        <v>19</v>
      </c>
    </row>
    <row r="2164" spans="1:18" x14ac:dyDescent="0.35">
      <c r="A2164" t="s">
        <v>199</v>
      </c>
      <c r="B2164" t="s">
        <v>2193</v>
      </c>
      <c r="C2164" t="str">
        <f>VLOOKUP($A2164,'Customer Names'!$A:$E,4,FALSE)</f>
        <v>Grace H</v>
      </c>
      <c r="D2164" t="str">
        <f>VLOOKUP($A2164,'Medical Examinations'!$A:$J,2,FALSE)</f>
        <v>Overweight</v>
      </c>
      <c r="E2164">
        <f>VLOOKUP($A2164,'Medical Examinations'!$A:$J,4,FALSE)</f>
        <v>6.14</v>
      </c>
      <c r="F2164" t="str">
        <f>VLOOKUP($A2164,'Medical Examinations'!$A:$J,6,FALSE)</f>
        <v>No</v>
      </c>
      <c r="G2164" t="str">
        <f>VLOOKUP($A2164,'Medical Examinations'!$A:$J,7,FALSE)</f>
        <v>yes</v>
      </c>
      <c r="H2164" t="str">
        <f>VLOOKUP($A2164,'Medical Examinations'!$A:$J,8,FALSE)</f>
        <v>No</v>
      </c>
      <c r="I2164">
        <f>VLOOKUP($A2164,'Medical Examinations'!$A:$J,9,FALSE)</f>
        <v>1</v>
      </c>
      <c r="J2164" t="str">
        <f>VLOOKUP($A2164,'Medical Examinations'!$A:$J,10,FALSE)</f>
        <v>No</v>
      </c>
      <c r="K2164" t="str">
        <f>VLOOKUP($A2164,'Medical Examinations'!$A:$J,5,FALSE)</f>
        <v>Prediabetes</v>
      </c>
      <c r="L2164">
        <f>VLOOKUP($A2165,'Medical Examinations'!$A:$J,3,FALSE)</f>
        <v>20.49</v>
      </c>
      <c r="N2164" s="11">
        <f>VLOOKUP($B2164,'Hospitalisation Details'!A2163:J4507,10,0)</f>
        <v>23216</v>
      </c>
      <c r="O2164" t="str">
        <f>VLOOKUP($B2164,'Hospitalisation Details'!A2163:J4507,8,0)</f>
        <v>tier - 2</v>
      </c>
      <c r="P2164" t="str">
        <f>VLOOKUP($B2164,'Hospitalisation Details'!A2163:J4507,7,0)</f>
        <v>tier - 2</v>
      </c>
      <c r="Q2164" t="str">
        <f>VLOOKUP($B2164,'Hospitalisation Details'!A2163:J4507,9,0)</f>
        <v>R1011</v>
      </c>
      <c r="R2164">
        <f>VLOOKUP($B2164,'Hospitalisation Details'!A2163:K4507,11,0)</f>
        <v>59</v>
      </c>
    </row>
    <row r="2165" spans="1:18" x14ac:dyDescent="0.35">
      <c r="A2165" t="s">
        <v>198</v>
      </c>
      <c r="B2165" t="s">
        <v>2194</v>
      </c>
      <c r="C2165" t="str">
        <f>VLOOKUP($A2165,'Customer Names'!$A:$E,4,FALSE)</f>
        <v>Caitie J.</v>
      </c>
      <c r="D2165" t="str">
        <f>VLOOKUP($A2165,'Medical Examinations'!$A:$J,2,FALSE)</f>
        <v>Normal Weight</v>
      </c>
      <c r="E2165">
        <f>VLOOKUP($A2165,'Medical Examinations'!$A:$J,4,FALSE)</f>
        <v>4.87</v>
      </c>
      <c r="F2165" t="str">
        <f>VLOOKUP($A2165,'Medical Examinations'!$A:$J,6,FALSE)</f>
        <v>No</v>
      </c>
      <c r="G2165" t="str">
        <f>VLOOKUP($A2165,'Medical Examinations'!$A:$J,7,FALSE)</f>
        <v>No</v>
      </c>
      <c r="H2165" t="str">
        <f>VLOOKUP($A2165,'Medical Examinations'!$A:$J,8,FALSE)</f>
        <v>No</v>
      </c>
      <c r="I2165">
        <f>VLOOKUP($A2165,'Medical Examinations'!$A:$J,9,FALSE)</f>
        <v>0</v>
      </c>
      <c r="J2165" t="str">
        <f>VLOOKUP($A2165,'Medical Examinations'!$A:$J,10,FALSE)</f>
        <v>No</v>
      </c>
      <c r="K2165" t="str">
        <f>VLOOKUP($A2165,'Medical Examinations'!$A:$J,5,FALSE)</f>
        <v>Normal</v>
      </c>
      <c r="L2165">
        <f>VLOOKUP($A2166,'Medical Examinations'!$A:$J,3,FALSE)</f>
        <v>28.4</v>
      </c>
      <c r="N2165" s="11">
        <f>VLOOKUP($B2165,'Hospitalisation Details'!A2164:J4508,10,0)</f>
        <v>33399</v>
      </c>
      <c r="O2165" t="str">
        <f>VLOOKUP($B2165,'Hospitalisation Details'!A2164:J4508,8,0)</f>
        <v>tier - 2</v>
      </c>
      <c r="P2165" t="str">
        <f>VLOOKUP($B2165,'Hospitalisation Details'!A2164:J4508,7,0)</f>
        <v>tier - 2</v>
      </c>
      <c r="Q2165" t="str">
        <f>VLOOKUP($B2165,'Hospitalisation Details'!A2164:J4508,9,0)</f>
        <v>R1011</v>
      </c>
      <c r="R2165">
        <f>VLOOKUP($B2165,'Hospitalisation Details'!A2164:K4508,11,0)</f>
        <v>31</v>
      </c>
    </row>
    <row r="2166" spans="1:18" x14ac:dyDescent="0.35">
      <c r="A2166" t="s">
        <v>197</v>
      </c>
      <c r="B2166" t="s">
        <v>2195</v>
      </c>
      <c r="C2166" t="str">
        <f>VLOOKUP($A2166,'Customer Names'!$A:$E,4,FALSE)</f>
        <v>Benjamin</v>
      </c>
      <c r="D2166" t="str">
        <f>VLOOKUP($A2166,'Medical Examinations'!$A:$J,2,FALSE)</f>
        <v>Overweight</v>
      </c>
      <c r="E2166">
        <f>VLOOKUP($A2166,'Medical Examinations'!$A:$J,4,FALSE)</f>
        <v>4.3</v>
      </c>
      <c r="F2166" t="str">
        <f>VLOOKUP($A2166,'Medical Examinations'!$A:$J,6,FALSE)</f>
        <v>No</v>
      </c>
      <c r="G2166" t="str">
        <f>VLOOKUP($A2166,'Medical Examinations'!$A:$J,7,FALSE)</f>
        <v>No</v>
      </c>
      <c r="H2166" t="str">
        <f>VLOOKUP($A2166,'Medical Examinations'!$A:$J,8,FALSE)</f>
        <v>Yes</v>
      </c>
      <c r="I2166">
        <f>VLOOKUP($A2166,'Medical Examinations'!$A:$J,9,FALSE)</f>
        <v>1</v>
      </c>
      <c r="J2166" t="str">
        <f>VLOOKUP($A2166,'Medical Examinations'!$A:$J,10,FALSE)</f>
        <v>No</v>
      </c>
      <c r="K2166" t="str">
        <f>VLOOKUP($A2166,'Medical Examinations'!$A:$J,5,FALSE)</f>
        <v>Normal</v>
      </c>
      <c r="L2166">
        <f>VLOOKUP($A2167,'Medical Examinations'!$A:$J,3,FALSE)</f>
        <v>41.91</v>
      </c>
      <c r="N2166" s="11">
        <f>VLOOKUP($B2166,'Hospitalisation Details'!A2165:J4509,10,0)</f>
        <v>25133</v>
      </c>
      <c r="O2166" t="str">
        <f>VLOOKUP($B2166,'Hospitalisation Details'!A2165:J4509,8,0)</f>
        <v>tier - 1</v>
      </c>
      <c r="P2166" t="str">
        <f>VLOOKUP($B2166,'Hospitalisation Details'!A2165:J4509,7,0)</f>
        <v>tier - 2</v>
      </c>
      <c r="Q2166" t="str">
        <f>VLOOKUP($B2166,'Hospitalisation Details'!A2165:J4509,9,0)</f>
        <v>R1011</v>
      </c>
      <c r="R2166">
        <f>VLOOKUP($B2166,'Hospitalisation Details'!A2165:K4509,11,0)</f>
        <v>54</v>
      </c>
    </row>
    <row r="2167" spans="1:18" x14ac:dyDescent="0.35">
      <c r="A2167" t="s">
        <v>196</v>
      </c>
      <c r="B2167" t="s">
        <v>2196</v>
      </c>
      <c r="C2167" t="str">
        <f>VLOOKUP($A2167,'Customer Names'!$A:$E,4,FALSE)</f>
        <v>Ian T</v>
      </c>
      <c r="D2167" t="str">
        <f>VLOOKUP($A2167,'Medical Examinations'!$A:$J,2,FALSE)</f>
        <v>Obesity</v>
      </c>
      <c r="E2167">
        <f>VLOOKUP($A2167,'Medical Examinations'!$A:$J,4,FALSE)</f>
        <v>6.19</v>
      </c>
      <c r="F2167" t="str">
        <f>VLOOKUP($A2167,'Medical Examinations'!$A:$J,6,FALSE)</f>
        <v>No</v>
      </c>
      <c r="G2167" t="str">
        <f>VLOOKUP($A2167,'Medical Examinations'!$A:$J,7,FALSE)</f>
        <v>No</v>
      </c>
      <c r="H2167" t="str">
        <f>VLOOKUP($A2167,'Medical Examinations'!$A:$J,8,FALSE)</f>
        <v>No</v>
      </c>
      <c r="I2167">
        <f>VLOOKUP($A2167,'Medical Examinations'!$A:$J,9,FALSE)</f>
        <v>0</v>
      </c>
      <c r="J2167" t="str">
        <f>VLOOKUP($A2167,'Medical Examinations'!$A:$J,10,FALSE)</f>
        <v>No</v>
      </c>
      <c r="K2167" t="str">
        <f>VLOOKUP($A2167,'Medical Examinations'!$A:$J,5,FALSE)</f>
        <v>Prediabetes</v>
      </c>
      <c r="L2167">
        <f>VLOOKUP($A2168,'Medical Examinations'!$A:$J,3,FALSE)</f>
        <v>24.6</v>
      </c>
      <c r="N2167" s="11">
        <f>VLOOKUP($B2167,'Hospitalisation Details'!A2166:J4510,10,0)</f>
        <v>28350</v>
      </c>
      <c r="O2167" t="str">
        <f>VLOOKUP($B2167,'Hospitalisation Details'!A2166:J4510,8,0)</f>
        <v>tier - 1</v>
      </c>
      <c r="P2167" t="str">
        <f>VLOOKUP($B2167,'Hospitalisation Details'!A2166:J4510,7,0)</f>
        <v>tier - 2</v>
      </c>
      <c r="Q2167" t="str">
        <f>VLOOKUP($B2167,'Hospitalisation Details'!A2166:J4510,9,0)</f>
        <v>R1011</v>
      </c>
      <c r="R2167">
        <f>VLOOKUP($B2167,'Hospitalisation Details'!A2166:K4510,11,0)</f>
        <v>45</v>
      </c>
    </row>
    <row r="2168" spans="1:18" x14ac:dyDescent="0.35">
      <c r="A2168" t="s">
        <v>195</v>
      </c>
      <c r="B2168" t="s">
        <v>2197</v>
      </c>
      <c r="C2168" t="str">
        <f>VLOOKUP($A2168,'Customer Names'!$A:$E,4,FALSE)</f>
        <v>Tadese</v>
      </c>
      <c r="D2168" t="str">
        <f>VLOOKUP($A2168,'Medical Examinations'!$A:$J,2,FALSE)</f>
        <v>Normal Weight</v>
      </c>
      <c r="E2168">
        <f>VLOOKUP($A2168,'Medical Examinations'!$A:$J,4,FALSE)</f>
        <v>6.19</v>
      </c>
      <c r="F2168" t="str">
        <f>VLOOKUP($A2168,'Medical Examinations'!$A:$J,6,FALSE)</f>
        <v>No</v>
      </c>
      <c r="G2168" t="str">
        <f>VLOOKUP($A2168,'Medical Examinations'!$A:$J,7,FALSE)</f>
        <v>No</v>
      </c>
      <c r="H2168" t="str">
        <f>VLOOKUP($A2168,'Medical Examinations'!$A:$J,8,FALSE)</f>
        <v>Yes</v>
      </c>
      <c r="I2168">
        <f>VLOOKUP($A2168,'Medical Examinations'!$A:$J,9,FALSE)</f>
        <v>1</v>
      </c>
      <c r="J2168" t="str">
        <f>VLOOKUP($A2168,'Medical Examinations'!$A:$J,10,FALSE)</f>
        <v>No</v>
      </c>
      <c r="K2168" t="str">
        <f>VLOOKUP($A2168,'Medical Examinations'!$A:$J,5,FALSE)</f>
        <v>Prediabetes</v>
      </c>
      <c r="L2168">
        <f>VLOOKUP($A2169,'Medical Examinations'!$A:$J,3,FALSE)</f>
        <v>20.9</v>
      </c>
      <c r="N2168" s="11">
        <f>VLOOKUP($B2168,'Hospitalisation Details'!A2167:J4511,10,0)</f>
        <v>33841</v>
      </c>
      <c r="O2168" t="str">
        <f>VLOOKUP($B2168,'Hospitalisation Details'!A2167:J4511,8,0)</f>
        <v>tier - 1</v>
      </c>
      <c r="P2168" t="str">
        <f>VLOOKUP($B2168,'Hospitalisation Details'!A2167:J4511,7,0)</f>
        <v>tier - 1</v>
      </c>
      <c r="Q2168" t="str">
        <f>VLOOKUP($B2168,'Hospitalisation Details'!A2167:J4511,9,0)</f>
        <v>R1013</v>
      </c>
      <c r="R2168">
        <f>VLOOKUP($B2168,'Hospitalisation Details'!A2167:K4511,11,0)</f>
        <v>30</v>
      </c>
    </row>
    <row r="2169" spans="1:18" x14ac:dyDescent="0.35">
      <c r="A2169" t="s">
        <v>194</v>
      </c>
      <c r="B2169" t="s">
        <v>2198</v>
      </c>
      <c r="C2169" t="str">
        <f>VLOOKUP($A2169,'Customer Names'!$A:$E,4,FALSE)</f>
        <v>Jonathan</v>
      </c>
      <c r="D2169" t="str">
        <f>VLOOKUP($A2169,'Medical Examinations'!$A:$J,2,FALSE)</f>
        <v>Normal Weight</v>
      </c>
      <c r="E2169">
        <f>VLOOKUP($A2169,'Medical Examinations'!$A:$J,4,FALSE)</f>
        <v>5.12</v>
      </c>
      <c r="F2169" t="str">
        <f>VLOOKUP($A2169,'Medical Examinations'!$A:$J,6,FALSE)</f>
        <v>No</v>
      </c>
      <c r="G2169" t="str">
        <f>VLOOKUP($A2169,'Medical Examinations'!$A:$J,7,FALSE)</f>
        <v>No</v>
      </c>
      <c r="H2169" t="str">
        <f>VLOOKUP($A2169,'Medical Examinations'!$A:$J,8,FALSE)</f>
        <v>Yes</v>
      </c>
      <c r="I2169">
        <f>VLOOKUP($A2169,'Medical Examinations'!$A:$J,9,FALSE)</f>
        <v>1</v>
      </c>
      <c r="J2169" t="str">
        <f>VLOOKUP($A2169,'Medical Examinations'!$A:$J,10,FALSE)</f>
        <v>No</v>
      </c>
      <c r="K2169" t="str">
        <f>VLOOKUP($A2169,'Medical Examinations'!$A:$J,5,FALSE)</f>
        <v>Normal</v>
      </c>
      <c r="L2169">
        <f>VLOOKUP($A2170,'Medical Examinations'!$A:$J,3,FALSE)</f>
        <v>34.4</v>
      </c>
      <c r="N2169" s="11">
        <f>VLOOKUP($B2169,'Hospitalisation Details'!A2168:J4512,10,0)</f>
        <v>33860</v>
      </c>
      <c r="O2169" t="str">
        <f>VLOOKUP($B2169,'Hospitalisation Details'!A2168:J4512,8,0)</f>
        <v>tier - 3</v>
      </c>
      <c r="P2169" t="str">
        <f>VLOOKUP($B2169,'Hospitalisation Details'!A2168:J4512,7,0)</f>
        <v>tier - 2</v>
      </c>
      <c r="Q2169" t="str">
        <f>VLOOKUP($B2169,'Hospitalisation Details'!A2168:J4512,9,0)</f>
        <v>R1011</v>
      </c>
      <c r="R2169">
        <f>VLOOKUP($B2169,'Hospitalisation Details'!A2168:K4512,11,0)</f>
        <v>30</v>
      </c>
    </row>
    <row r="2170" spans="1:18" x14ac:dyDescent="0.35">
      <c r="A2170" t="s">
        <v>193</v>
      </c>
      <c r="B2170" t="s">
        <v>2199</v>
      </c>
      <c r="C2170" t="str">
        <f>VLOOKUP($A2170,'Customer Names'!$A:$E,4,FALSE)</f>
        <v>Dathan</v>
      </c>
      <c r="D2170" t="str">
        <f>VLOOKUP($A2170,'Medical Examinations'!$A:$J,2,FALSE)</f>
        <v>Obesity</v>
      </c>
      <c r="E2170">
        <f>VLOOKUP($A2170,'Medical Examinations'!$A:$J,4,FALSE)</f>
        <v>4.04</v>
      </c>
      <c r="F2170" t="str">
        <f>VLOOKUP($A2170,'Medical Examinations'!$A:$J,6,FALSE)</f>
        <v>No</v>
      </c>
      <c r="G2170" t="str">
        <f>VLOOKUP($A2170,'Medical Examinations'!$A:$J,7,FALSE)</f>
        <v>No</v>
      </c>
      <c r="H2170" t="str">
        <f>VLOOKUP($A2170,'Medical Examinations'!$A:$J,8,FALSE)</f>
        <v>No</v>
      </c>
      <c r="I2170">
        <f>VLOOKUP($A2170,'Medical Examinations'!$A:$J,9,FALSE)</f>
        <v>0</v>
      </c>
      <c r="J2170" t="str">
        <f>VLOOKUP($A2170,'Medical Examinations'!$A:$J,10,FALSE)</f>
        <v>No</v>
      </c>
      <c r="K2170" t="str">
        <f>VLOOKUP($A2170,'Medical Examinations'!$A:$J,5,FALSE)</f>
        <v>Normal</v>
      </c>
      <c r="L2170">
        <f>VLOOKUP($A2171,'Medical Examinations'!$A:$J,3,FALSE)</f>
        <v>32.56</v>
      </c>
      <c r="N2170" s="11">
        <f>VLOOKUP($B2170,'Hospitalisation Details'!A2169:J4513,10,0)</f>
        <v>33543</v>
      </c>
      <c r="O2170" t="str">
        <f>VLOOKUP($B2170,'Hospitalisation Details'!A2169:J4513,8,0)</f>
        <v>tier - 2</v>
      </c>
      <c r="P2170" t="str">
        <f>VLOOKUP($B2170,'Hospitalisation Details'!A2169:J4513,7,0)</f>
        <v>tier - 2</v>
      </c>
      <c r="Q2170" t="str">
        <f>VLOOKUP($B2170,'Hospitalisation Details'!A2169:J4513,9,0)</f>
        <v>R1011</v>
      </c>
      <c r="R2170">
        <f>VLOOKUP($B2170,'Hospitalisation Details'!A2169:K4513,11,0)</f>
        <v>31</v>
      </c>
    </row>
    <row r="2171" spans="1:18" x14ac:dyDescent="0.35">
      <c r="A2171" t="s">
        <v>192</v>
      </c>
      <c r="B2171" t="s">
        <v>2200</v>
      </c>
      <c r="C2171" t="str">
        <f>VLOOKUP($A2171,'Customer Names'!$A:$E,4,FALSE)</f>
        <v>Eric</v>
      </c>
      <c r="D2171" t="str">
        <f>VLOOKUP($A2171,'Medical Examinations'!$A:$J,2,FALSE)</f>
        <v>Obesity</v>
      </c>
      <c r="E2171">
        <f>VLOOKUP($A2171,'Medical Examinations'!$A:$J,4,FALSE)</f>
        <v>5.36</v>
      </c>
      <c r="F2171" t="str">
        <f>VLOOKUP($A2171,'Medical Examinations'!$A:$J,6,FALSE)</f>
        <v>No</v>
      </c>
      <c r="G2171" t="str">
        <f>VLOOKUP($A2171,'Medical Examinations'!$A:$J,7,FALSE)</f>
        <v>No</v>
      </c>
      <c r="H2171" t="str">
        <f>VLOOKUP($A2171,'Medical Examinations'!$A:$J,8,FALSE)</f>
        <v>No</v>
      </c>
      <c r="I2171">
        <f>VLOOKUP($A2171,'Medical Examinations'!$A:$J,9,FALSE)</f>
        <v>0</v>
      </c>
      <c r="J2171" t="str">
        <f>VLOOKUP($A2171,'Medical Examinations'!$A:$J,10,FALSE)</f>
        <v>No</v>
      </c>
      <c r="K2171" t="str">
        <f>VLOOKUP($A2171,'Medical Examinations'!$A:$J,5,FALSE)</f>
        <v>Normal</v>
      </c>
      <c r="L2171">
        <f>VLOOKUP($A2172,'Medical Examinations'!$A:$J,3,FALSE)</f>
        <v>27.98</v>
      </c>
      <c r="N2171" s="11">
        <f>VLOOKUP($B2171,'Hospitalisation Details'!A2170:J4514,10,0)</f>
        <v>32494</v>
      </c>
      <c r="O2171" t="str">
        <f>VLOOKUP($B2171,'Hospitalisation Details'!A2170:J4514,8,0)</f>
        <v>tier - 1</v>
      </c>
      <c r="P2171" t="str">
        <f>VLOOKUP($B2171,'Hospitalisation Details'!A2170:J4514,7,0)</f>
        <v>tier - 2</v>
      </c>
      <c r="Q2171" t="str">
        <f>VLOOKUP($B2171,'Hospitalisation Details'!A2170:J4514,9,0)</f>
        <v>R1011</v>
      </c>
      <c r="R2171">
        <f>VLOOKUP($B2171,'Hospitalisation Details'!A2170:K4514,11,0)</f>
        <v>34</v>
      </c>
    </row>
    <row r="2172" spans="1:18" x14ac:dyDescent="0.35">
      <c r="A2172" t="s">
        <v>191</v>
      </c>
      <c r="B2172" t="s">
        <v>2201</v>
      </c>
      <c r="C2172" t="str">
        <f>VLOOKUP($A2172,'Customer Names'!$A:$E,4,FALSE)</f>
        <v>Allison M</v>
      </c>
      <c r="D2172" t="str">
        <f>VLOOKUP($A2172,'Medical Examinations'!$A:$J,2,FALSE)</f>
        <v>Overweight</v>
      </c>
      <c r="E2172">
        <f>VLOOKUP($A2172,'Medical Examinations'!$A:$J,4,FALSE)</f>
        <v>4.38</v>
      </c>
      <c r="F2172" t="str">
        <f>VLOOKUP($A2172,'Medical Examinations'!$A:$J,6,FALSE)</f>
        <v>No</v>
      </c>
      <c r="G2172" t="str">
        <f>VLOOKUP($A2172,'Medical Examinations'!$A:$J,7,FALSE)</f>
        <v>yes</v>
      </c>
      <c r="H2172" t="str">
        <f>VLOOKUP($A2172,'Medical Examinations'!$A:$J,8,FALSE)</f>
        <v>No</v>
      </c>
      <c r="I2172">
        <f>VLOOKUP($A2172,'Medical Examinations'!$A:$J,9,FALSE)</f>
        <v>1</v>
      </c>
      <c r="J2172" t="str">
        <f>VLOOKUP($A2172,'Medical Examinations'!$A:$J,10,FALSE)</f>
        <v>No</v>
      </c>
      <c r="K2172" t="str">
        <f>VLOOKUP($A2172,'Medical Examinations'!$A:$J,5,FALSE)</f>
        <v>Normal</v>
      </c>
      <c r="L2172">
        <f>VLOOKUP($A2173,'Medical Examinations'!$A:$J,3,FALSE)</f>
        <v>26.51</v>
      </c>
      <c r="N2172" s="11">
        <f>VLOOKUP($B2172,'Hospitalisation Details'!A2171:J4515,10,0)</f>
        <v>32669</v>
      </c>
      <c r="O2172" t="str">
        <f>VLOOKUP($B2172,'Hospitalisation Details'!A2171:J4515,8,0)</f>
        <v>tier - 3</v>
      </c>
      <c r="P2172" t="str">
        <f>VLOOKUP($B2172,'Hospitalisation Details'!A2171:J4515,7,0)</f>
        <v>tier - 2</v>
      </c>
      <c r="Q2172" t="str">
        <f>VLOOKUP($B2172,'Hospitalisation Details'!A2171:J4515,9,0)</f>
        <v>R1011</v>
      </c>
      <c r="R2172">
        <f>VLOOKUP($B2172,'Hospitalisation Details'!A2171:K4515,11,0)</f>
        <v>33</v>
      </c>
    </row>
    <row r="2173" spans="1:18" x14ac:dyDescent="0.35">
      <c r="A2173" t="s">
        <v>190</v>
      </c>
      <c r="B2173" t="s">
        <v>2202</v>
      </c>
      <c r="C2173" t="str">
        <f>VLOOKUP($A2173,'Customer Names'!$A:$E,4,FALSE)</f>
        <v>Paul</v>
      </c>
      <c r="D2173" t="str">
        <f>VLOOKUP($A2173,'Medical Examinations'!$A:$J,2,FALSE)</f>
        <v>Overweight</v>
      </c>
      <c r="E2173">
        <f>VLOOKUP($A2173,'Medical Examinations'!$A:$J,4,FALSE)</f>
        <v>4.58</v>
      </c>
      <c r="F2173" t="str">
        <f>VLOOKUP($A2173,'Medical Examinations'!$A:$J,6,FALSE)</f>
        <v>No</v>
      </c>
      <c r="G2173" t="str">
        <f>VLOOKUP($A2173,'Medical Examinations'!$A:$J,7,FALSE)</f>
        <v>No</v>
      </c>
      <c r="H2173" t="str">
        <f>VLOOKUP($A2173,'Medical Examinations'!$A:$J,8,FALSE)</f>
        <v>No</v>
      </c>
      <c r="I2173">
        <f>VLOOKUP($A2173,'Medical Examinations'!$A:$J,9,FALSE)</f>
        <v>0</v>
      </c>
      <c r="J2173" t="str">
        <f>VLOOKUP($A2173,'Medical Examinations'!$A:$J,10,FALSE)</f>
        <v>No</v>
      </c>
      <c r="K2173" t="str">
        <f>VLOOKUP($A2173,'Medical Examinations'!$A:$J,5,FALSE)</f>
        <v>Normal</v>
      </c>
      <c r="L2173">
        <f>VLOOKUP($A2174,'Medical Examinations'!$A:$J,3,FALSE)</f>
        <v>29.734999999999999</v>
      </c>
      <c r="N2173" s="11">
        <f>VLOOKUP($B2173,'Hospitalisation Details'!A2172:J4516,10,0)</f>
        <v>35002</v>
      </c>
      <c r="O2173" t="str">
        <f>VLOOKUP($B2173,'Hospitalisation Details'!A2172:J4516,8,0)</f>
        <v>tier - 2</v>
      </c>
      <c r="P2173" t="str">
        <f>VLOOKUP($B2173,'Hospitalisation Details'!A2172:J4516,7,0)</f>
        <v>tier - 2</v>
      </c>
      <c r="Q2173" t="str">
        <f>VLOOKUP($B2173,'Hospitalisation Details'!A2172:J4516,9,0)</f>
        <v>R1013</v>
      </c>
      <c r="R2173">
        <f>VLOOKUP($B2173,'Hospitalisation Details'!A2172:K4516,11,0)</f>
        <v>27</v>
      </c>
    </row>
    <row r="2174" spans="1:18" x14ac:dyDescent="0.35">
      <c r="A2174" t="s">
        <v>189</v>
      </c>
      <c r="B2174" t="s">
        <v>2203</v>
      </c>
      <c r="C2174" t="str">
        <f>VLOOKUP($A2174,'Customer Names'!$A:$E,4,FALSE)</f>
        <v>Aaron R</v>
      </c>
      <c r="D2174" t="str">
        <f>VLOOKUP($A2174,'Medical Examinations'!$A:$J,2,FALSE)</f>
        <v>Overweight</v>
      </c>
      <c r="E2174">
        <f>VLOOKUP($A2174,'Medical Examinations'!$A:$J,4,FALSE)</f>
        <v>11.92</v>
      </c>
      <c r="F2174" t="str">
        <f>VLOOKUP($A2174,'Medical Examinations'!$A:$J,6,FALSE)</f>
        <v>No</v>
      </c>
      <c r="G2174" t="str">
        <f>VLOOKUP($A2174,'Medical Examinations'!$A:$J,7,FALSE)</f>
        <v>No</v>
      </c>
      <c r="H2174" t="str">
        <f>VLOOKUP($A2174,'Medical Examinations'!$A:$J,8,FALSE)</f>
        <v>No</v>
      </c>
      <c r="I2174">
        <f>VLOOKUP($A2174,'Medical Examinations'!$A:$J,9,FALSE)</f>
        <v>0</v>
      </c>
      <c r="J2174" t="str">
        <f>VLOOKUP($A2174,'Medical Examinations'!$A:$J,10,FALSE)</f>
        <v>No</v>
      </c>
      <c r="K2174" t="str">
        <f>VLOOKUP($A2174,'Medical Examinations'!$A:$J,5,FALSE)</f>
        <v>Diabetes</v>
      </c>
      <c r="L2174">
        <f>VLOOKUP($A2175,'Medical Examinations'!$A:$J,3,FALSE)</f>
        <v>40.5</v>
      </c>
      <c r="N2174" s="11">
        <f>VLOOKUP($B2174,'Hospitalisation Details'!A2173:J4517,10,0)</f>
        <v>36774</v>
      </c>
      <c r="O2174" t="str">
        <f>VLOOKUP($B2174,'Hospitalisation Details'!A2173:J4517,8,0)</f>
        <v>tier - 3</v>
      </c>
      <c r="P2174" t="str">
        <f>VLOOKUP($B2174,'Hospitalisation Details'!A2173:J4517,7,0)</f>
        <v>tier - 1</v>
      </c>
      <c r="Q2174" t="str">
        <f>VLOOKUP($B2174,'Hospitalisation Details'!A2173:J4517,9,0)</f>
        <v>unknown</v>
      </c>
      <c r="R2174">
        <f>VLOOKUP($B2174,'Hospitalisation Details'!A2173:K4517,11,0)</f>
        <v>22</v>
      </c>
    </row>
    <row r="2175" spans="1:18" x14ac:dyDescent="0.35">
      <c r="A2175" t="s">
        <v>188</v>
      </c>
      <c r="B2175" t="s">
        <v>2204</v>
      </c>
      <c r="C2175" t="str">
        <f>VLOOKUP($A2175,'Customer Names'!$A:$E,4,FALSE)</f>
        <v>Caitlin H.</v>
      </c>
      <c r="D2175" t="str">
        <f>VLOOKUP($A2175,'Medical Examinations'!$A:$J,2,FALSE)</f>
        <v>Obesity</v>
      </c>
      <c r="E2175">
        <f>VLOOKUP($A2175,'Medical Examinations'!$A:$J,4,FALSE)</f>
        <v>5.4</v>
      </c>
      <c r="F2175" t="str">
        <f>VLOOKUP($A2175,'Medical Examinations'!$A:$J,6,FALSE)</f>
        <v>No</v>
      </c>
      <c r="G2175" t="str">
        <f>VLOOKUP($A2175,'Medical Examinations'!$A:$J,7,FALSE)</f>
        <v>No</v>
      </c>
      <c r="H2175" t="str">
        <f>VLOOKUP($A2175,'Medical Examinations'!$A:$J,8,FALSE)</f>
        <v>Yes</v>
      </c>
      <c r="I2175">
        <f>VLOOKUP($A2175,'Medical Examinations'!$A:$J,9,FALSE)</f>
        <v>1</v>
      </c>
      <c r="J2175" t="str">
        <f>VLOOKUP($A2175,'Medical Examinations'!$A:$J,10,FALSE)</f>
        <v>No</v>
      </c>
      <c r="K2175" t="str">
        <f>VLOOKUP($A2175,'Medical Examinations'!$A:$J,5,FALSE)</f>
        <v>Normal</v>
      </c>
      <c r="L2175">
        <f>VLOOKUP($A2176,'Medical Examinations'!$A:$J,3,FALSE)</f>
        <v>25.64</v>
      </c>
      <c r="N2175" s="11">
        <f>VLOOKUP($B2175,'Hospitalisation Details'!A2174:J4518,10,0)</f>
        <v>33163</v>
      </c>
      <c r="O2175" t="str">
        <f>VLOOKUP($B2175,'Hospitalisation Details'!A2174:J4518,8,0)</f>
        <v>tier - 2</v>
      </c>
      <c r="P2175" t="str">
        <f>VLOOKUP($B2175,'Hospitalisation Details'!A2174:J4518,7,0)</f>
        <v>tier - 2</v>
      </c>
      <c r="Q2175" t="str">
        <f>VLOOKUP($B2175,'Hospitalisation Details'!A2174:J4518,9,0)</f>
        <v>R1011</v>
      </c>
      <c r="R2175">
        <f>VLOOKUP($B2175,'Hospitalisation Details'!A2174:K4518,11,0)</f>
        <v>32</v>
      </c>
    </row>
    <row r="2176" spans="1:18" x14ac:dyDescent="0.35">
      <c r="A2176" t="s">
        <v>187</v>
      </c>
      <c r="B2176" t="s">
        <v>2205</v>
      </c>
      <c r="C2176" t="str">
        <f>VLOOKUP($A2176,'Customer Names'!$A:$E,4,FALSE)</f>
        <v>Harald E.</v>
      </c>
      <c r="D2176" t="str">
        <f>VLOOKUP($A2176,'Medical Examinations'!$A:$J,2,FALSE)</f>
        <v>Overweight</v>
      </c>
      <c r="E2176">
        <f>VLOOKUP($A2176,'Medical Examinations'!$A:$J,4,FALSE)</f>
        <v>4.76</v>
      </c>
      <c r="F2176" t="str">
        <f>VLOOKUP($A2176,'Medical Examinations'!$A:$J,6,FALSE)</f>
        <v>No</v>
      </c>
      <c r="G2176" t="str">
        <f>VLOOKUP($A2176,'Medical Examinations'!$A:$J,7,FALSE)</f>
        <v>No</v>
      </c>
      <c r="H2176" t="str">
        <f>VLOOKUP($A2176,'Medical Examinations'!$A:$J,8,FALSE)</f>
        <v>No</v>
      </c>
      <c r="I2176">
        <f>VLOOKUP($A2176,'Medical Examinations'!$A:$J,9,FALSE)</f>
        <v>1</v>
      </c>
      <c r="J2176" t="str">
        <f>VLOOKUP($A2176,'Medical Examinations'!$A:$J,10,FALSE)</f>
        <v>No</v>
      </c>
      <c r="K2176" t="str">
        <f>VLOOKUP($A2176,'Medical Examinations'!$A:$J,5,FALSE)</f>
        <v>Normal</v>
      </c>
      <c r="L2176">
        <f>VLOOKUP($A2177,'Medical Examinations'!$A:$J,3,FALSE)</f>
        <v>32.9</v>
      </c>
      <c r="N2176" s="11">
        <f>VLOOKUP($B2176,'Hospitalisation Details'!A2175:J4519,10,0)</f>
        <v>31368</v>
      </c>
      <c r="O2176" t="str">
        <f>VLOOKUP($B2176,'Hospitalisation Details'!A2175:J4519,8,0)</f>
        <v>tier - 1</v>
      </c>
      <c r="P2176" t="str">
        <f>VLOOKUP($B2176,'Hospitalisation Details'!A2175:J4519,7,0)</f>
        <v>tier - 2</v>
      </c>
      <c r="Q2176" t="str">
        <f>VLOOKUP($B2176,'Hospitalisation Details'!A2175:J4519,9,0)</f>
        <v>R1024</v>
      </c>
      <c r="R2176">
        <f>VLOOKUP($B2176,'Hospitalisation Details'!A2175:K4519,11,0)</f>
        <v>37</v>
      </c>
    </row>
    <row r="2177" spans="1:18" x14ac:dyDescent="0.35">
      <c r="A2177" t="s">
        <v>186</v>
      </c>
      <c r="B2177" t="s">
        <v>2206</v>
      </c>
      <c r="C2177" t="str">
        <f>VLOOKUP($A2177,'Customer Names'!$A:$E,4,FALSE)</f>
        <v>Siobhan A.</v>
      </c>
      <c r="D2177" t="str">
        <f>VLOOKUP($A2177,'Medical Examinations'!$A:$J,2,FALSE)</f>
        <v>Obesity</v>
      </c>
      <c r="E2177">
        <f>VLOOKUP($A2177,'Medical Examinations'!$A:$J,4,FALSE)</f>
        <v>4.78</v>
      </c>
      <c r="F2177" t="str">
        <f>VLOOKUP($A2177,'Medical Examinations'!$A:$J,6,FALSE)</f>
        <v>No</v>
      </c>
      <c r="G2177" t="str">
        <f>VLOOKUP($A2177,'Medical Examinations'!$A:$J,7,FALSE)</f>
        <v>No</v>
      </c>
      <c r="H2177" t="str">
        <f>VLOOKUP($A2177,'Medical Examinations'!$A:$J,8,FALSE)</f>
        <v>Yes</v>
      </c>
      <c r="I2177">
        <f>VLOOKUP($A2177,'Medical Examinations'!$A:$J,9,FALSE)</f>
        <v>1</v>
      </c>
      <c r="J2177" t="str">
        <f>VLOOKUP($A2177,'Medical Examinations'!$A:$J,10,FALSE)</f>
        <v>No</v>
      </c>
      <c r="K2177" t="str">
        <f>VLOOKUP($A2177,'Medical Examinations'!$A:$J,5,FALSE)</f>
        <v>Normal</v>
      </c>
      <c r="L2177">
        <f>VLOOKUP($A2178,'Medical Examinations'!$A:$J,3,FALSE)</f>
        <v>29.8</v>
      </c>
      <c r="N2177" s="11">
        <f>VLOOKUP($B2177,'Hospitalisation Details'!A2176:J4520,10,0)</f>
        <v>27707</v>
      </c>
      <c r="O2177" t="str">
        <f>VLOOKUP($B2177,'Hospitalisation Details'!A2176:J4520,8,0)</f>
        <v>tier - 3</v>
      </c>
      <c r="P2177" t="str">
        <f>VLOOKUP($B2177,'Hospitalisation Details'!A2176:J4520,7,0)</f>
        <v>tier - 2</v>
      </c>
      <c r="Q2177" t="str">
        <f>VLOOKUP($B2177,'Hospitalisation Details'!A2176:J4520,9,0)</f>
        <v>R1011</v>
      </c>
      <c r="R2177">
        <f>VLOOKUP($B2177,'Hospitalisation Details'!A2176:K4520,11,0)</f>
        <v>47</v>
      </c>
    </row>
    <row r="2178" spans="1:18" x14ac:dyDescent="0.35">
      <c r="A2178" t="s">
        <v>185</v>
      </c>
      <c r="B2178" t="s">
        <v>2207</v>
      </c>
      <c r="C2178" t="str">
        <f>VLOOKUP($A2178,'Customer Names'!$A:$E,4,FALSE)</f>
        <v>Andrea J.</v>
      </c>
      <c r="D2178" t="str">
        <f>VLOOKUP($A2178,'Medical Examinations'!$A:$J,2,FALSE)</f>
        <v>Overweight</v>
      </c>
      <c r="E2178">
        <f>VLOOKUP($A2178,'Medical Examinations'!$A:$J,4,FALSE)</f>
        <v>4.26</v>
      </c>
      <c r="F2178" t="str">
        <f>VLOOKUP($A2178,'Medical Examinations'!$A:$J,6,FALSE)</f>
        <v>No</v>
      </c>
      <c r="G2178" t="str">
        <f>VLOOKUP($A2178,'Medical Examinations'!$A:$J,7,FALSE)</f>
        <v>No</v>
      </c>
      <c r="H2178" t="str">
        <f>VLOOKUP($A2178,'Medical Examinations'!$A:$J,8,FALSE)</f>
        <v>Yes</v>
      </c>
      <c r="I2178">
        <f>VLOOKUP($A2178,'Medical Examinations'!$A:$J,9,FALSE)</f>
        <v>1</v>
      </c>
      <c r="J2178" t="str">
        <f>VLOOKUP($A2178,'Medical Examinations'!$A:$J,10,FALSE)</f>
        <v>No</v>
      </c>
      <c r="K2178" t="str">
        <f>VLOOKUP($A2178,'Medical Examinations'!$A:$J,5,FALSE)</f>
        <v>Normal</v>
      </c>
      <c r="L2178">
        <f>VLOOKUP($A2179,'Medical Examinations'!$A:$J,3,FALSE)</f>
        <v>28.9</v>
      </c>
      <c r="N2178" s="11">
        <f>VLOOKUP($B2178,'Hospitalisation Details'!A2177:J4521,10,0)</f>
        <v>25506</v>
      </c>
      <c r="O2178" t="str">
        <f>VLOOKUP($B2178,'Hospitalisation Details'!A2177:J4521,8,0)</f>
        <v>tier - 3</v>
      </c>
      <c r="P2178" t="str">
        <f>VLOOKUP($B2178,'Hospitalisation Details'!A2177:J4521,7,0)</f>
        <v>tier - 1</v>
      </c>
      <c r="Q2178" t="str">
        <f>VLOOKUP($B2178,'Hospitalisation Details'!A2177:J4521,9,0)</f>
        <v>R1011</v>
      </c>
      <c r="R2178">
        <f>VLOOKUP($B2178,'Hospitalisation Details'!A2177:K4521,11,0)</f>
        <v>53</v>
      </c>
    </row>
    <row r="2179" spans="1:18" x14ac:dyDescent="0.35">
      <c r="A2179" t="s">
        <v>184</v>
      </c>
      <c r="B2179" t="s">
        <v>2208</v>
      </c>
      <c r="C2179" t="str">
        <f>VLOOKUP($A2179,'Customer Names'!$A:$E,4,FALSE)</f>
        <v>Marie</v>
      </c>
      <c r="D2179" t="str">
        <f>VLOOKUP($A2179,'Medical Examinations'!$A:$J,2,FALSE)</f>
        <v>Overweight</v>
      </c>
      <c r="E2179">
        <f>VLOOKUP($A2179,'Medical Examinations'!$A:$J,4,FALSE)</f>
        <v>5.85</v>
      </c>
      <c r="F2179" t="str">
        <f>VLOOKUP($A2179,'Medical Examinations'!$A:$J,6,FALSE)</f>
        <v>No</v>
      </c>
      <c r="G2179" t="str">
        <f>VLOOKUP($A2179,'Medical Examinations'!$A:$J,7,FALSE)</f>
        <v>No</v>
      </c>
      <c r="H2179" t="str">
        <f>VLOOKUP($A2179,'Medical Examinations'!$A:$J,8,FALSE)</f>
        <v>Yes</v>
      </c>
      <c r="I2179">
        <f>VLOOKUP($A2179,'Medical Examinations'!$A:$J,9,FALSE)</f>
        <v>1</v>
      </c>
      <c r="J2179" t="str">
        <f>VLOOKUP($A2179,'Medical Examinations'!$A:$J,10,FALSE)</f>
        <v>No</v>
      </c>
      <c r="K2179" t="str">
        <f>VLOOKUP($A2179,'Medical Examinations'!$A:$J,5,FALSE)</f>
        <v>Prediabetes</v>
      </c>
      <c r="L2179">
        <f>VLOOKUP($A2180,'Medical Examinations'!$A:$J,3,FALSE)</f>
        <v>24.7</v>
      </c>
      <c r="N2179" s="11">
        <f>VLOOKUP($B2179,'Hospitalisation Details'!A2178:J4522,10,0)</f>
        <v>29070</v>
      </c>
      <c r="O2179" t="str">
        <f>VLOOKUP($B2179,'Hospitalisation Details'!A2178:J4522,8,0)</f>
        <v>tier - 1</v>
      </c>
      <c r="P2179" t="str">
        <f>VLOOKUP($B2179,'Hospitalisation Details'!A2178:J4522,7,0)</f>
        <v>tier - 2</v>
      </c>
      <c r="Q2179" t="str">
        <f>VLOOKUP($B2179,'Hospitalisation Details'!A2178:J4522,9,0)</f>
        <v>R1011</v>
      </c>
      <c r="R2179">
        <f>VLOOKUP($B2179,'Hospitalisation Details'!A2178:K4522,11,0)</f>
        <v>43</v>
      </c>
    </row>
    <row r="2180" spans="1:18" x14ac:dyDescent="0.35">
      <c r="A2180" t="s">
        <v>183</v>
      </c>
      <c r="B2180" t="s">
        <v>2209</v>
      </c>
      <c r="C2180" t="str">
        <f>VLOOKUP($A2180,'Customer Names'!$A:$E,4,FALSE)</f>
        <v>Rachel A.</v>
      </c>
      <c r="D2180" t="str">
        <f>VLOOKUP($A2180,'Medical Examinations'!$A:$J,2,FALSE)</f>
        <v>Normal Weight</v>
      </c>
      <c r="E2180">
        <f>VLOOKUP($A2180,'Medical Examinations'!$A:$J,4,FALSE)</f>
        <v>5.32</v>
      </c>
      <c r="F2180" t="str">
        <f>VLOOKUP($A2180,'Medical Examinations'!$A:$J,6,FALSE)</f>
        <v>No</v>
      </c>
      <c r="G2180" t="str">
        <f>VLOOKUP($A2180,'Medical Examinations'!$A:$J,7,FALSE)</f>
        <v>No</v>
      </c>
      <c r="H2180" t="str">
        <f>VLOOKUP($A2180,'Medical Examinations'!$A:$J,8,FALSE)</f>
        <v>Yes</v>
      </c>
      <c r="I2180">
        <f>VLOOKUP($A2180,'Medical Examinations'!$A:$J,9,FALSE)</f>
        <v>1</v>
      </c>
      <c r="J2180" t="str">
        <f>VLOOKUP($A2180,'Medical Examinations'!$A:$J,10,FALSE)</f>
        <v>No</v>
      </c>
      <c r="K2180" t="str">
        <f>VLOOKUP($A2180,'Medical Examinations'!$A:$J,5,FALSE)</f>
        <v>Normal</v>
      </c>
      <c r="L2180">
        <f>VLOOKUP($A2181,'Medical Examinations'!$A:$J,3,FALSE)</f>
        <v>20.6</v>
      </c>
      <c r="N2180" s="11">
        <f>VLOOKUP($B2180,'Hospitalisation Details'!A2179:J4523,10,0)</f>
        <v>37526</v>
      </c>
      <c r="O2180" t="str">
        <f>VLOOKUP($B2180,'Hospitalisation Details'!A2179:J4523,8,0)</f>
        <v>tier - 2</v>
      </c>
      <c r="P2180" t="str">
        <f>VLOOKUP($B2180,'Hospitalisation Details'!A2179:J4523,7,0)</f>
        <v>tier - 1</v>
      </c>
      <c r="Q2180" t="str">
        <f>VLOOKUP($B2180,'Hospitalisation Details'!A2179:J4523,9,0)</f>
        <v>R1012</v>
      </c>
      <c r="R2180">
        <f>VLOOKUP($B2180,'Hospitalisation Details'!A2179:K4523,11,0)</f>
        <v>20</v>
      </c>
    </row>
    <row r="2181" spans="1:18" x14ac:dyDescent="0.35">
      <c r="A2181" t="s">
        <v>182</v>
      </c>
      <c r="B2181" t="s">
        <v>2210</v>
      </c>
      <c r="C2181" t="str">
        <f>VLOOKUP($A2181,'Customer Names'!$A:$E,4,FALSE)</f>
        <v>Emma</v>
      </c>
      <c r="D2181" t="str">
        <f>VLOOKUP($A2181,'Medical Examinations'!$A:$J,2,FALSE)</f>
        <v>Normal Weight</v>
      </c>
      <c r="E2181">
        <f>VLOOKUP($A2181,'Medical Examinations'!$A:$J,4,FALSE)</f>
        <v>5.14</v>
      </c>
      <c r="F2181" t="str">
        <f>VLOOKUP($A2181,'Medical Examinations'!$A:$J,6,FALSE)</f>
        <v>No</v>
      </c>
      <c r="G2181" t="str">
        <f>VLOOKUP($A2181,'Medical Examinations'!$A:$J,7,FALSE)</f>
        <v>No</v>
      </c>
      <c r="H2181" t="str">
        <f>VLOOKUP($A2181,'Medical Examinations'!$A:$J,8,FALSE)</f>
        <v>Yes</v>
      </c>
      <c r="I2181">
        <f>VLOOKUP($A2181,'Medical Examinations'!$A:$J,9,FALSE)</f>
        <v>1</v>
      </c>
      <c r="J2181" t="str">
        <f>VLOOKUP($A2181,'Medical Examinations'!$A:$J,10,FALSE)</f>
        <v>No</v>
      </c>
      <c r="K2181" t="str">
        <f>VLOOKUP($A2181,'Medical Examinations'!$A:$J,5,FALSE)</f>
        <v>Normal</v>
      </c>
      <c r="L2181">
        <f>VLOOKUP($A2182,'Medical Examinations'!$A:$J,3,FALSE)</f>
        <v>18.600000000000001</v>
      </c>
      <c r="N2181" s="11">
        <f>VLOOKUP($B2181,'Hospitalisation Details'!A2180:J4524,10,0)</f>
        <v>36811</v>
      </c>
      <c r="O2181" t="str">
        <f>VLOOKUP($B2181,'Hospitalisation Details'!A2180:J4524,8,0)</f>
        <v>tier - 1</v>
      </c>
      <c r="P2181" t="str">
        <f>VLOOKUP($B2181,'Hospitalisation Details'!A2180:J4524,7,0)</f>
        <v>tier - 1</v>
      </c>
      <c r="Q2181" t="str">
        <f>VLOOKUP($B2181,'Hospitalisation Details'!A2180:J4524,9,0)</f>
        <v>R1013</v>
      </c>
      <c r="R2181">
        <f>VLOOKUP($B2181,'Hospitalisation Details'!A2180:K4524,11,0)</f>
        <v>22</v>
      </c>
    </row>
    <row r="2182" spans="1:18" x14ac:dyDescent="0.35">
      <c r="A2182" t="s">
        <v>181</v>
      </c>
      <c r="B2182" t="s">
        <v>2211</v>
      </c>
      <c r="C2182" t="str">
        <f>VLOOKUP($A2182,'Customer Names'!$A:$E,4,FALSE)</f>
        <v>Kiersten</v>
      </c>
      <c r="D2182" t="str">
        <f>VLOOKUP($A2182,'Medical Examinations'!$A:$J,2,FALSE)</f>
        <v>Normal Weight</v>
      </c>
      <c r="E2182">
        <f>VLOOKUP($A2182,'Medical Examinations'!$A:$J,4,FALSE)</f>
        <v>5</v>
      </c>
      <c r="F2182" t="str">
        <f>VLOOKUP($A2182,'Medical Examinations'!$A:$J,6,FALSE)</f>
        <v>No</v>
      </c>
      <c r="G2182" t="str">
        <f>VLOOKUP($A2182,'Medical Examinations'!$A:$J,7,FALSE)</f>
        <v>No</v>
      </c>
      <c r="H2182" t="str">
        <f>VLOOKUP($A2182,'Medical Examinations'!$A:$J,8,FALSE)</f>
        <v>Yes</v>
      </c>
      <c r="I2182">
        <f>VLOOKUP($A2182,'Medical Examinations'!$A:$J,9,FALSE)</f>
        <v>1</v>
      </c>
      <c r="J2182" t="str">
        <f>VLOOKUP($A2182,'Medical Examinations'!$A:$J,10,FALSE)</f>
        <v>No</v>
      </c>
      <c r="K2182" t="str">
        <f>VLOOKUP($A2182,'Medical Examinations'!$A:$J,5,FALSE)</f>
        <v>Normal</v>
      </c>
      <c r="L2182">
        <f>VLOOKUP($A2183,'Medical Examinations'!$A:$J,3,FALSE)</f>
        <v>17.8</v>
      </c>
      <c r="N2182" s="11">
        <f>VLOOKUP($B2182,'Hospitalisation Details'!A2181:J4525,10,0)</f>
        <v>33193</v>
      </c>
      <c r="O2182" t="str">
        <f>VLOOKUP($B2182,'Hospitalisation Details'!A2181:J4525,8,0)</f>
        <v>tier - 2</v>
      </c>
      <c r="P2182" t="str">
        <f>VLOOKUP($B2182,'Hospitalisation Details'!A2181:J4525,7,0)</f>
        <v>tier - 1</v>
      </c>
      <c r="Q2182" t="str">
        <f>VLOOKUP($B2182,'Hospitalisation Details'!A2181:J4525,9,0)</f>
        <v>R1019</v>
      </c>
      <c r="R2182">
        <f>VLOOKUP($B2182,'Hospitalisation Details'!A2181:K4525,11,0)</f>
        <v>32</v>
      </c>
    </row>
    <row r="2183" spans="1:18" x14ac:dyDescent="0.35">
      <c r="A2183" t="s">
        <v>180</v>
      </c>
      <c r="B2183" t="s">
        <v>2212</v>
      </c>
      <c r="C2183" t="str">
        <f>VLOOKUP($A2183,'Customer Names'!$A:$E,4,FALSE)</f>
        <v>Rachael</v>
      </c>
      <c r="D2183" t="str">
        <f>VLOOKUP($A2183,'Medical Examinations'!$A:$J,2,FALSE)</f>
        <v>Underweight</v>
      </c>
      <c r="E2183">
        <f>VLOOKUP($A2183,'Medical Examinations'!$A:$J,4,FALSE)</f>
        <v>4.55</v>
      </c>
      <c r="F2183" t="str">
        <f>VLOOKUP($A2183,'Medical Examinations'!$A:$J,6,FALSE)</f>
        <v>No</v>
      </c>
      <c r="G2183" t="str">
        <f>VLOOKUP($A2183,'Medical Examinations'!$A:$J,7,FALSE)</f>
        <v>No</v>
      </c>
      <c r="H2183" t="str">
        <f>VLOOKUP($A2183,'Medical Examinations'!$A:$J,8,FALSE)</f>
        <v>Yes</v>
      </c>
      <c r="I2183">
        <f>VLOOKUP($A2183,'Medical Examinations'!$A:$J,9,FALSE)</f>
        <v>1</v>
      </c>
      <c r="J2183" t="str">
        <f>VLOOKUP($A2183,'Medical Examinations'!$A:$J,10,FALSE)</f>
        <v>No</v>
      </c>
      <c r="K2183" t="str">
        <f>VLOOKUP($A2183,'Medical Examinations'!$A:$J,5,FALSE)</f>
        <v>Normal</v>
      </c>
      <c r="L2183">
        <f>VLOOKUP($A2184,'Medical Examinations'!$A:$J,3,FALSE)</f>
        <v>35.200000000000003</v>
      </c>
      <c r="N2183" s="11">
        <f>VLOOKUP($B2183,'Hospitalisation Details'!A2182:J4526,10,0)</f>
        <v>30122</v>
      </c>
      <c r="O2183" t="str">
        <f>VLOOKUP($B2183,'Hospitalisation Details'!A2182:J4526,8,0)</f>
        <v>tier - 2</v>
      </c>
      <c r="P2183" t="str">
        <f>VLOOKUP($B2183,'Hospitalisation Details'!A2182:J4526,7,0)</f>
        <v>tier - 2</v>
      </c>
      <c r="Q2183" t="str">
        <f>VLOOKUP($B2183,'Hospitalisation Details'!A2182:J4526,9,0)</f>
        <v>R1012</v>
      </c>
      <c r="R2183">
        <f>VLOOKUP($B2183,'Hospitalisation Details'!A2182:K4526,11,0)</f>
        <v>40</v>
      </c>
    </row>
    <row r="2184" spans="1:18" x14ac:dyDescent="0.35">
      <c r="A2184" t="s">
        <v>179</v>
      </c>
      <c r="B2184" t="s">
        <v>2213</v>
      </c>
      <c r="C2184" t="str">
        <f>VLOOKUP($A2184,'Customer Names'!$A:$E,4,FALSE)</f>
        <v>Timothy P.</v>
      </c>
      <c r="D2184" t="str">
        <f>VLOOKUP($A2184,'Medical Examinations'!$A:$J,2,FALSE)</f>
        <v>Obesity</v>
      </c>
      <c r="E2184">
        <f>VLOOKUP($A2184,'Medical Examinations'!$A:$J,4,FALSE)</f>
        <v>5.97</v>
      </c>
      <c r="F2184" t="str">
        <f>VLOOKUP($A2184,'Medical Examinations'!$A:$J,6,FALSE)</f>
        <v>No</v>
      </c>
      <c r="G2184" t="str">
        <f>VLOOKUP($A2184,'Medical Examinations'!$A:$J,7,FALSE)</f>
        <v>yes</v>
      </c>
      <c r="H2184" t="str">
        <f>VLOOKUP($A2184,'Medical Examinations'!$A:$J,8,FALSE)</f>
        <v>No</v>
      </c>
      <c r="I2184">
        <f>VLOOKUP($A2184,'Medical Examinations'!$A:$J,9,FALSE)</f>
        <v>1</v>
      </c>
      <c r="J2184" t="str">
        <f>VLOOKUP($A2184,'Medical Examinations'!$A:$J,10,FALSE)</f>
        <v>No</v>
      </c>
      <c r="K2184" t="str">
        <f>VLOOKUP($A2184,'Medical Examinations'!$A:$J,5,FALSE)</f>
        <v>Prediabetes</v>
      </c>
      <c r="L2184">
        <f>VLOOKUP($A2185,'Medical Examinations'!$A:$J,3,FALSE)</f>
        <v>33.770000000000003</v>
      </c>
      <c r="N2184" s="11">
        <f>VLOOKUP($B2184,'Hospitalisation Details'!A2183:J4527,10,0)</f>
        <v>25869</v>
      </c>
      <c r="O2184" t="str">
        <f>VLOOKUP($B2184,'Hospitalisation Details'!A2183:J4527,8,0)</f>
        <v>tier - 3</v>
      </c>
      <c r="P2184" t="str">
        <f>VLOOKUP($B2184,'Hospitalisation Details'!A2183:J4527,7,0)</f>
        <v>tier - 2</v>
      </c>
      <c r="Q2184" t="str">
        <f>VLOOKUP($B2184,'Hospitalisation Details'!A2183:J4527,9,0)</f>
        <v>R1011</v>
      </c>
      <c r="R2184">
        <f>VLOOKUP($B2184,'Hospitalisation Details'!A2183:K4527,11,0)</f>
        <v>52</v>
      </c>
    </row>
    <row r="2185" spans="1:18" x14ac:dyDescent="0.35">
      <c r="A2185" t="s">
        <v>178</v>
      </c>
      <c r="B2185" t="s">
        <v>2214</v>
      </c>
      <c r="C2185" t="str">
        <f>VLOOKUP($A2185,'Customer Names'!$A:$E,4,FALSE)</f>
        <v>Lelisa</v>
      </c>
      <c r="D2185" t="str">
        <f>VLOOKUP($A2185,'Medical Examinations'!$A:$J,2,FALSE)</f>
        <v>Obesity</v>
      </c>
      <c r="E2185">
        <f>VLOOKUP($A2185,'Medical Examinations'!$A:$J,4,FALSE)</f>
        <v>4.0199999999999996</v>
      </c>
      <c r="F2185" t="str">
        <f>VLOOKUP($A2185,'Medical Examinations'!$A:$J,6,FALSE)</f>
        <v>No</v>
      </c>
      <c r="G2185" t="str">
        <f>VLOOKUP($A2185,'Medical Examinations'!$A:$J,7,FALSE)</f>
        <v>yes</v>
      </c>
      <c r="H2185" t="str">
        <f>VLOOKUP($A2185,'Medical Examinations'!$A:$J,8,FALSE)</f>
        <v>No</v>
      </c>
      <c r="I2185">
        <f>VLOOKUP($A2185,'Medical Examinations'!$A:$J,9,FALSE)</f>
        <v>1</v>
      </c>
      <c r="J2185" t="str">
        <f>VLOOKUP($A2185,'Medical Examinations'!$A:$J,10,FALSE)</f>
        <v>No</v>
      </c>
      <c r="K2185" t="str">
        <f>VLOOKUP($A2185,'Medical Examinations'!$A:$J,5,FALSE)</f>
        <v>Normal</v>
      </c>
      <c r="L2185">
        <f>VLOOKUP($A2186,'Medical Examinations'!$A:$J,3,FALSE)</f>
        <v>30.03</v>
      </c>
      <c r="N2185" s="11">
        <f>VLOOKUP($B2185,'Hospitalisation Details'!A2184:J4528,10,0)</f>
        <v>32426</v>
      </c>
      <c r="O2185" t="str">
        <f>VLOOKUP($B2185,'Hospitalisation Details'!A2184:J4528,8,0)</f>
        <v>tier - 3</v>
      </c>
      <c r="P2185" t="str">
        <f>VLOOKUP($B2185,'Hospitalisation Details'!A2184:J4528,7,0)</f>
        <v>tier - 2</v>
      </c>
      <c r="Q2185" t="str">
        <f>VLOOKUP($B2185,'Hospitalisation Details'!A2184:J4528,9,0)</f>
        <v>R1023</v>
      </c>
      <c r="R2185">
        <f>VLOOKUP($B2185,'Hospitalisation Details'!A2184:K4528,11,0)</f>
        <v>34</v>
      </c>
    </row>
    <row r="2186" spans="1:18" x14ac:dyDescent="0.35">
      <c r="A2186" t="s">
        <v>177</v>
      </c>
      <c r="B2186" t="s">
        <v>2215</v>
      </c>
      <c r="C2186" t="str">
        <f>VLOOKUP($A2186,'Customer Names'!$A:$E,4,FALSE)</f>
        <v>Nate</v>
      </c>
      <c r="D2186" t="str">
        <f>VLOOKUP($A2186,'Medical Examinations'!$A:$J,2,FALSE)</f>
        <v>Obesity</v>
      </c>
      <c r="E2186">
        <f>VLOOKUP($A2186,'Medical Examinations'!$A:$J,4,FALSE)</f>
        <v>4.04</v>
      </c>
      <c r="F2186" t="str">
        <f>VLOOKUP($A2186,'Medical Examinations'!$A:$J,6,FALSE)</f>
        <v>No</v>
      </c>
      <c r="G2186" t="str">
        <f>VLOOKUP($A2186,'Medical Examinations'!$A:$J,7,FALSE)</f>
        <v>yes</v>
      </c>
      <c r="H2186" t="str">
        <f>VLOOKUP($A2186,'Medical Examinations'!$A:$J,8,FALSE)</f>
        <v>No</v>
      </c>
      <c r="I2186">
        <f>VLOOKUP($A2186,'Medical Examinations'!$A:$J,9,FALSE)</f>
        <v>1</v>
      </c>
      <c r="J2186" t="str">
        <f>VLOOKUP($A2186,'Medical Examinations'!$A:$J,10,FALSE)</f>
        <v>No</v>
      </c>
      <c r="K2186" t="str">
        <f>VLOOKUP($A2186,'Medical Examinations'!$A:$J,5,FALSE)</f>
        <v>Normal</v>
      </c>
      <c r="L2186">
        <f>VLOOKUP($A2187,'Medical Examinations'!$A:$J,3,FALSE)</f>
        <v>29.37</v>
      </c>
      <c r="N2186" s="11">
        <f>VLOOKUP($B2186,'Hospitalisation Details'!A2185:J4529,10,0)</f>
        <v>28021</v>
      </c>
      <c r="O2186" t="str">
        <f>VLOOKUP($B2186,'Hospitalisation Details'!A2185:J4529,8,0)</f>
        <v>tier - 2</v>
      </c>
      <c r="P2186" t="str">
        <f>VLOOKUP($B2186,'Hospitalisation Details'!A2185:J4529,7,0)</f>
        <v>tier - 2</v>
      </c>
      <c r="Q2186" t="str">
        <f>VLOOKUP($B2186,'Hospitalisation Details'!A2185:J4529,9,0)</f>
        <v>R1011</v>
      </c>
      <c r="R2186">
        <f>VLOOKUP($B2186,'Hospitalisation Details'!A2185:K4529,11,0)</f>
        <v>46</v>
      </c>
    </row>
    <row r="2187" spans="1:18" x14ac:dyDescent="0.35">
      <c r="A2187" t="s">
        <v>176</v>
      </c>
      <c r="B2187" t="s">
        <v>2216</v>
      </c>
      <c r="C2187" t="str">
        <f>VLOOKUP($A2187,'Customer Names'!$A:$E,4,FALSE)</f>
        <v>Chris C.</v>
      </c>
      <c r="D2187" t="str">
        <f>VLOOKUP($A2187,'Medical Examinations'!$A:$J,2,FALSE)</f>
        <v>Overweight</v>
      </c>
      <c r="E2187">
        <f>VLOOKUP($A2187,'Medical Examinations'!$A:$J,4,FALSE)</f>
        <v>5.54</v>
      </c>
      <c r="F2187" t="str">
        <f>VLOOKUP($A2187,'Medical Examinations'!$A:$J,6,FALSE)</f>
        <v>No</v>
      </c>
      <c r="G2187" t="str">
        <f>VLOOKUP($A2187,'Medical Examinations'!$A:$J,7,FALSE)</f>
        <v>yes</v>
      </c>
      <c r="H2187" t="str">
        <f>VLOOKUP($A2187,'Medical Examinations'!$A:$J,8,FALSE)</f>
        <v>No</v>
      </c>
      <c r="I2187">
        <f>VLOOKUP($A2187,'Medical Examinations'!$A:$J,9,FALSE)</f>
        <v>1</v>
      </c>
      <c r="J2187" t="str">
        <f>VLOOKUP($A2187,'Medical Examinations'!$A:$J,10,FALSE)</f>
        <v>No</v>
      </c>
      <c r="K2187" t="str">
        <f>VLOOKUP($A2187,'Medical Examinations'!$A:$J,5,FALSE)</f>
        <v>Normal</v>
      </c>
      <c r="L2187">
        <f>VLOOKUP($A2188,'Medical Examinations'!$A:$J,3,FALSE)</f>
        <v>28.5</v>
      </c>
      <c r="N2187" s="11">
        <f>VLOOKUP($B2187,'Hospitalisation Details'!A2186:J4530,10,0)</f>
        <v>31639</v>
      </c>
      <c r="O2187" t="str">
        <f>VLOOKUP($B2187,'Hospitalisation Details'!A2186:J4530,8,0)</f>
        <v>tier - 1</v>
      </c>
      <c r="P2187" t="str">
        <f>VLOOKUP($B2187,'Hospitalisation Details'!A2186:J4530,7,0)</f>
        <v>tier - 1</v>
      </c>
      <c r="Q2187" t="str">
        <f>VLOOKUP($B2187,'Hospitalisation Details'!A2186:J4530,9,0)</f>
        <v>R1013</v>
      </c>
      <c r="R2187">
        <f>VLOOKUP($B2187,'Hospitalisation Details'!A2186:K4530,11,0)</f>
        <v>36</v>
      </c>
    </row>
    <row r="2188" spans="1:18" x14ac:dyDescent="0.35">
      <c r="A2188" t="s">
        <v>175</v>
      </c>
      <c r="B2188" t="s">
        <v>2217</v>
      </c>
      <c r="C2188" t="str">
        <f>VLOOKUP($A2188,'Customer Names'!$A:$E,4,FALSE)</f>
        <v>Scott</v>
      </c>
      <c r="D2188" t="str">
        <f>VLOOKUP($A2188,'Medical Examinations'!$A:$J,2,FALSE)</f>
        <v>Overweight</v>
      </c>
      <c r="E2188">
        <f>VLOOKUP($A2188,'Medical Examinations'!$A:$J,4,FALSE)</f>
        <v>4.03</v>
      </c>
      <c r="F2188" t="str">
        <f>VLOOKUP($A2188,'Medical Examinations'!$A:$J,6,FALSE)</f>
        <v>No</v>
      </c>
      <c r="G2188" t="str">
        <f>VLOOKUP($A2188,'Medical Examinations'!$A:$J,7,FALSE)</f>
        <v>yes</v>
      </c>
      <c r="H2188" t="str">
        <f>VLOOKUP($A2188,'Medical Examinations'!$A:$J,8,FALSE)</f>
        <v>No</v>
      </c>
      <c r="I2188">
        <f>VLOOKUP($A2188,'Medical Examinations'!$A:$J,9,FALSE)</f>
        <v>1</v>
      </c>
      <c r="J2188" t="str">
        <f>VLOOKUP($A2188,'Medical Examinations'!$A:$J,10,FALSE)</f>
        <v>No</v>
      </c>
      <c r="K2188" t="str">
        <f>VLOOKUP($A2188,'Medical Examinations'!$A:$J,5,FALSE)</f>
        <v>Normal</v>
      </c>
      <c r="L2188">
        <f>VLOOKUP($A2189,'Medical Examinations'!$A:$J,3,FALSE)</f>
        <v>23.32</v>
      </c>
      <c r="N2188" s="11">
        <f>VLOOKUP($B2188,'Hospitalisation Details'!A2187:J4531,10,0)</f>
        <v>30523</v>
      </c>
      <c r="O2188" t="str">
        <f>VLOOKUP($B2188,'Hospitalisation Details'!A2187:J4531,8,0)</f>
        <v>tier - 2</v>
      </c>
      <c r="P2188" t="str">
        <f>VLOOKUP($B2188,'Hospitalisation Details'!A2187:J4531,7,0)</f>
        <v>tier - 2</v>
      </c>
      <c r="Q2188" t="str">
        <f>VLOOKUP($B2188,'Hospitalisation Details'!A2187:J4531,9,0)</f>
        <v>R1011</v>
      </c>
      <c r="R2188">
        <f>VLOOKUP($B2188,'Hospitalisation Details'!A2187:K4531,11,0)</f>
        <v>39</v>
      </c>
    </row>
    <row r="2189" spans="1:18" x14ac:dyDescent="0.35">
      <c r="A2189" t="s">
        <v>174</v>
      </c>
      <c r="B2189" t="s">
        <v>2218</v>
      </c>
      <c r="C2189" t="str">
        <f>VLOOKUP($A2189,'Customer Names'!$A:$E,4,FALSE)</f>
        <v>Kevin</v>
      </c>
      <c r="D2189" t="str">
        <f>VLOOKUP($A2189,'Medical Examinations'!$A:$J,2,FALSE)</f>
        <v>Normal Weight</v>
      </c>
      <c r="E2189">
        <f>VLOOKUP($A2189,'Medical Examinations'!$A:$J,4,FALSE)</f>
        <v>5.62</v>
      </c>
      <c r="F2189" t="str">
        <f>VLOOKUP($A2189,'Medical Examinations'!$A:$J,6,FALSE)</f>
        <v>No</v>
      </c>
      <c r="G2189" t="str">
        <f>VLOOKUP($A2189,'Medical Examinations'!$A:$J,7,FALSE)</f>
        <v>yes</v>
      </c>
      <c r="H2189" t="str">
        <f>VLOOKUP($A2189,'Medical Examinations'!$A:$J,8,FALSE)</f>
        <v>No</v>
      </c>
      <c r="I2189">
        <f>VLOOKUP($A2189,'Medical Examinations'!$A:$J,9,FALSE)</f>
        <v>1</v>
      </c>
      <c r="J2189" t="str">
        <f>VLOOKUP($A2189,'Medical Examinations'!$A:$J,10,FALSE)</f>
        <v>No</v>
      </c>
      <c r="K2189" t="str">
        <f>VLOOKUP($A2189,'Medical Examinations'!$A:$J,5,FALSE)</f>
        <v>Normal</v>
      </c>
      <c r="L2189">
        <f>VLOOKUP($A2190,'Medical Examinations'!$A:$J,3,FALSE)</f>
        <v>26.125</v>
      </c>
      <c r="N2189" s="11">
        <f>VLOOKUP($B2189,'Hospitalisation Details'!A2188:J4532,10,0)</f>
        <v>29107</v>
      </c>
      <c r="O2189" t="str">
        <f>VLOOKUP($B2189,'Hospitalisation Details'!A2188:J4532,8,0)</f>
        <v>tier - 2</v>
      </c>
      <c r="P2189" t="str">
        <f>VLOOKUP($B2189,'Hospitalisation Details'!A2188:J4532,7,0)</f>
        <v>tier - 1</v>
      </c>
      <c r="Q2189" t="str">
        <f>VLOOKUP($B2189,'Hospitalisation Details'!A2188:J4532,9,0)</f>
        <v>R1011</v>
      </c>
      <c r="R2189">
        <f>VLOOKUP($B2189,'Hospitalisation Details'!A2188:K4532,11,0)</f>
        <v>43</v>
      </c>
    </row>
    <row r="2190" spans="1:18" x14ac:dyDescent="0.35">
      <c r="A2190" t="s">
        <v>173</v>
      </c>
      <c r="B2190" t="s">
        <v>2219</v>
      </c>
      <c r="C2190" t="str">
        <f>VLOOKUP($A2190,'Customer Names'!$A:$E,4,FALSE)</f>
        <v>Erik C.</v>
      </c>
      <c r="D2190" t="str">
        <f>VLOOKUP($A2190,'Medical Examinations'!$A:$J,2,FALSE)</f>
        <v>Overweight</v>
      </c>
      <c r="E2190">
        <f>VLOOKUP($A2190,'Medical Examinations'!$A:$J,4,FALSE)</f>
        <v>5.27</v>
      </c>
      <c r="F2190" t="str">
        <f>VLOOKUP($A2190,'Medical Examinations'!$A:$J,6,FALSE)</f>
        <v>No</v>
      </c>
      <c r="G2190" t="str">
        <f>VLOOKUP($A2190,'Medical Examinations'!$A:$J,7,FALSE)</f>
        <v>yes</v>
      </c>
      <c r="H2190" t="str">
        <f>VLOOKUP($A2190,'Medical Examinations'!$A:$J,8,FALSE)</f>
        <v>No</v>
      </c>
      <c r="I2190">
        <f>VLOOKUP($A2190,'Medical Examinations'!$A:$J,9,FALSE)</f>
        <v>1</v>
      </c>
      <c r="J2190" t="str">
        <f>VLOOKUP($A2190,'Medical Examinations'!$A:$J,10,FALSE)</f>
        <v>No</v>
      </c>
      <c r="K2190" t="str">
        <f>VLOOKUP($A2190,'Medical Examinations'!$A:$J,5,FALSE)</f>
        <v>Normal</v>
      </c>
      <c r="L2190">
        <f>VLOOKUP($A2191,'Medical Examinations'!$A:$J,3,FALSE)</f>
        <v>25.46</v>
      </c>
      <c r="N2190" s="11">
        <f>VLOOKUP($B2190,'Hospitalisation Details'!A2189:J4533,10,0)</f>
        <v>36005</v>
      </c>
      <c r="O2190" t="str">
        <f>VLOOKUP($B2190,'Hospitalisation Details'!A2189:J4533,8,0)</f>
        <v>tier - 3</v>
      </c>
      <c r="P2190" t="str">
        <f>VLOOKUP($B2190,'Hospitalisation Details'!A2189:J4533,7,0)</f>
        <v>tier - 1</v>
      </c>
      <c r="Q2190" t="str">
        <f>VLOOKUP($B2190,'Hospitalisation Details'!A2189:J4533,9,0)</f>
        <v>R1013</v>
      </c>
      <c r="R2190">
        <f>VLOOKUP($B2190,'Hospitalisation Details'!A2189:K4533,11,0)</f>
        <v>24</v>
      </c>
    </row>
    <row r="2191" spans="1:18" x14ac:dyDescent="0.35">
      <c r="A2191" t="s">
        <v>172</v>
      </c>
      <c r="B2191" t="s">
        <v>2220</v>
      </c>
      <c r="C2191" t="str">
        <f>VLOOKUP($A2191,'Customer Names'!$A:$E,4,FALSE)</f>
        <v>Shawn C</v>
      </c>
      <c r="D2191" t="str">
        <f>VLOOKUP($A2191,'Medical Examinations'!$A:$J,2,FALSE)</f>
        <v>Overweight</v>
      </c>
      <c r="E2191">
        <f>VLOOKUP($A2191,'Medical Examinations'!$A:$J,4,FALSE)</f>
        <v>5.18</v>
      </c>
      <c r="F2191" t="str">
        <f>VLOOKUP($A2191,'Medical Examinations'!$A:$J,6,FALSE)</f>
        <v>No</v>
      </c>
      <c r="G2191" t="str">
        <f>VLOOKUP($A2191,'Medical Examinations'!$A:$J,7,FALSE)</f>
        <v>yes</v>
      </c>
      <c r="H2191" t="str">
        <f>VLOOKUP($A2191,'Medical Examinations'!$A:$J,8,FALSE)</f>
        <v>No</v>
      </c>
      <c r="I2191">
        <f>VLOOKUP($A2191,'Medical Examinations'!$A:$J,9,FALSE)</f>
        <v>1</v>
      </c>
      <c r="J2191" t="str">
        <f>VLOOKUP($A2191,'Medical Examinations'!$A:$J,10,FALSE)</f>
        <v>No</v>
      </c>
      <c r="K2191" t="str">
        <f>VLOOKUP($A2191,'Medical Examinations'!$A:$J,5,FALSE)</f>
        <v>Normal</v>
      </c>
      <c r="L2191">
        <f>VLOOKUP($A2192,'Medical Examinations'!$A:$J,3,FALSE)</f>
        <v>23.75</v>
      </c>
      <c r="N2191" s="11">
        <f>VLOOKUP($B2191,'Hospitalisation Details'!A2190:J4534,10,0)</f>
        <v>26622</v>
      </c>
      <c r="O2191" t="str">
        <f>VLOOKUP($B2191,'Hospitalisation Details'!A2190:J4534,8,0)</f>
        <v>tier - 2</v>
      </c>
      <c r="P2191" t="str">
        <f>VLOOKUP($B2191,'Hospitalisation Details'!A2190:J4534,7,0)</f>
        <v>tier - 2</v>
      </c>
      <c r="Q2191" t="str">
        <f>VLOOKUP($B2191,'Hospitalisation Details'!A2190:J4534,9,0)</f>
        <v>R1011</v>
      </c>
      <c r="R2191">
        <f>VLOOKUP($B2191,'Hospitalisation Details'!A2190:K4534,11,0)</f>
        <v>50</v>
      </c>
    </row>
    <row r="2192" spans="1:18" x14ac:dyDescent="0.35">
      <c r="A2192" t="s">
        <v>171</v>
      </c>
      <c r="B2192" t="s">
        <v>2221</v>
      </c>
      <c r="C2192" t="str">
        <f>VLOOKUP($A2192,'Customer Names'!$A:$E,4,FALSE)</f>
        <v>Vajin L.</v>
      </c>
      <c r="D2192" t="str">
        <f>VLOOKUP($A2192,'Medical Examinations'!$A:$J,2,FALSE)</f>
        <v>Normal Weight</v>
      </c>
      <c r="E2192">
        <f>VLOOKUP($A2192,'Medical Examinations'!$A:$J,4,FALSE)</f>
        <v>5.27</v>
      </c>
      <c r="F2192" t="str">
        <f>VLOOKUP($A2192,'Medical Examinations'!$A:$J,6,FALSE)</f>
        <v>No</v>
      </c>
      <c r="G2192" t="str">
        <f>VLOOKUP($A2192,'Medical Examinations'!$A:$J,7,FALSE)</f>
        <v>yes</v>
      </c>
      <c r="H2192" t="str">
        <f>VLOOKUP($A2192,'Medical Examinations'!$A:$J,8,FALSE)</f>
        <v>No</v>
      </c>
      <c r="I2192">
        <f>VLOOKUP($A2192,'Medical Examinations'!$A:$J,9,FALSE)</f>
        <v>1</v>
      </c>
      <c r="J2192" t="str">
        <f>VLOOKUP($A2192,'Medical Examinations'!$A:$J,10,FALSE)</f>
        <v>No</v>
      </c>
      <c r="K2192" t="str">
        <f>VLOOKUP($A2192,'Medical Examinations'!$A:$J,5,FALSE)</f>
        <v>Normal</v>
      </c>
      <c r="L2192">
        <f>VLOOKUP($A2193,'Medical Examinations'!$A:$J,3,FALSE)</f>
        <v>23.085000000000001</v>
      </c>
      <c r="N2192" s="11">
        <f>VLOOKUP($B2192,'Hospitalisation Details'!A2191:J4535,10,0)</f>
        <v>32759</v>
      </c>
      <c r="O2192" t="str">
        <f>VLOOKUP($B2192,'Hospitalisation Details'!A2191:J4535,8,0)</f>
        <v>tier - 3</v>
      </c>
      <c r="P2192" t="str">
        <f>VLOOKUP($B2192,'Hospitalisation Details'!A2191:J4535,7,0)</f>
        <v>tier - 2</v>
      </c>
      <c r="Q2192" t="str">
        <f>VLOOKUP($B2192,'Hospitalisation Details'!A2191:J4535,9,0)</f>
        <v>R1011</v>
      </c>
      <c r="R2192">
        <f>VLOOKUP($B2192,'Hospitalisation Details'!A2191:K4535,11,0)</f>
        <v>33</v>
      </c>
    </row>
    <row r="2193" spans="1:18" x14ac:dyDescent="0.35">
      <c r="A2193" t="s">
        <v>169</v>
      </c>
      <c r="B2193" t="s">
        <v>2222</v>
      </c>
      <c r="C2193" t="str">
        <f>VLOOKUP($A2193,'Customer Names'!$A:$E,4,FALSE)</f>
        <v>John K. Jr.</v>
      </c>
      <c r="D2193" t="str">
        <f>VLOOKUP($A2193,'Medical Examinations'!$A:$J,2,FALSE)</f>
        <v>Normal Weight</v>
      </c>
      <c r="E2193">
        <f>VLOOKUP($A2193,'Medical Examinations'!$A:$J,4,FALSE)</f>
        <v>5.62</v>
      </c>
      <c r="F2193" t="str">
        <f>VLOOKUP($A2193,'Medical Examinations'!$A:$J,6,FALSE)</f>
        <v>No</v>
      </c>
      <c r="G2193" t="str">
        <f>VLOOKUP($A2193,'Medical Examinations'!$A:$J,7,FALSE)</f>
        <v>yes</v>
      </c>
      <c r="H2193" t="str">
        <f>VLOOKUP($A2193,'Medical Examinations'!$A:$J,8,FALSE)</f>
        <v>No</v>
      </c>
      <c r="I2193">
        <f>VLOOKUP($A2193,'Medical Examinations'!$A:$J,9,FALSE)</f>
        <v>1</v>
      </c>
      <c r="J2193" t="str">
        <f>VLOOKUP($A2193,'Medical Examinations'!$A:$J,10,FALSE)</f>
        <v>No</v>
      </c>
      <c r="K2193" t="str">
        <f>VLOOKUP($A2193,'Medical Examinations'!$A:$J,5,FALSE)</f>
        <v>Normal</v>
      </c>
      <c r="L2193">
        <f>VLOOKUP($A2194,'Medical Examinations'!$A:$J,3,FALSE)</f>
        <v>22.99</v>
      </c>
      <c r="N2193" s="11">
        <f>VLOOKUP($B2193,'Hospitalisation Details'!A2192:J4536,10,0)</f>
        <v>23544</v>
      </c>
      <c r="O2193" t="str">
        <f>VLOOKUP($B2193,'Hospitalisation Details'!A2192:J4536,8,0)</f>
        <v>tier - 3</v>
      </c>
      <c r="P2193" t="str">
        <f>VLOOKUP($B2193,'Hospitalisation Details'!A2192:J4536,7,0)</f>
        <v>tier - 2</v>
      </c>
      <c r="Q2193" t="str">
        <f>VLOOKUP($B2193,'Hospitalisation Details'!A2192:J4536,9,0)</f>
        <v>R1011</v>
      </c>
      <c r="R2193">
        <f>VLOOKUP($B2193,'Hospitalisation Details'!A2192:K4536,11,0)</f>
        <v>58</v>
      </c>
    </row>
    <row r="2194" spans="1:18" x14ac:dyDescent="0.35">
      <c r="A2194" t="s">
        <v>167</v>
      </c>
      <c r="B2194" t="s">
        <v>2223</v>
      </c>
      <c r="C2194" t="str">
        <f>VLOOKUP($A2194,'Customer Names'!$A:$E,4,FALSE)</f>
        <v>Kevin J.</v>
      </c>
      <c r="D2194" t="str">
        <f>VLOOKUP($A2194,'Medical Examinations'!$A:$J,2,FALSE)</f>
        <v>Normal Weight</v>
      </c>
      <c r="E2194">
        <f>VLOOKUP($A2194,'Medical Examinations'!$A:$J,4,FALSE)</f>
        <v>5.0599999999999996</v>
      </c>
      <c r="F2194" t="str">
        <f>VLOOKUP($A2194,'Medical Examinations'!$A:$J,6,FALSE)</f>
        <v>No</v>
      </c>
      <c r="G2194" t="str">
        <f>VLOOKUP($A2194,'Medical Examinations'!$A:$J,7,FALSE)</f>
        <v>yes</v>
      </c>
      <c r="H2194" t="str">
        <f>VLOOKUP($A2194,'Medical Examinations'!$A:$J,8,FALSE)</f>
        <v>No</v>
      </c>
      <c r="I2194">
        <f>VLOOKUP($A2194,'Medical Examinations'!$A:$J,9,FALSE)</f>
        <v>1</v>
      </c>
      <c r="J2194" t="str">
        <f>VLOOKUP($A2194,'Medical Examinations'!$A:$J,10,FALSE)</f>
        <v>No</v>
      </c>
      <c r="K2194" t="str">
        <f>VLOOKUP($A2194,'Medical Examinations'!$A:$J,5,FALSE)</f>
        <v>Normal</v>
      </c>
      <c r="L2194">
        <f>VLOOKUP($A2195,'Medical Examinations'!$A:$J,3,FALSE)</f>
        <v>21.47</v>
      </c>
      <c r="N2194" s="11">
        <f>VLOOKUP($B2194,'Hospitalisation Details'!A2193:J4537,10,0)</f>
        <v>29449</v>
      </c>
      <c r="O2194" t="str">
        <f>VLOOKUP($B2194,'Hospitalisation Details'!A2193:J4537,8,0)</f>
        <v>tier - 2</v>
      </c>
      <c r="P2194" t="str">
        <f>VLOOKUP($B2194,'Hospitalisation Details'!A2193:J4537,7,0)</f>
        <v>tier - 1</v>
      </c>
      <c r="Q2194" t="str">
        <f>VLOOKUP($B2194,'Hospitalisation Details'!A2193:J4537,9,0)</f>
        <v>R1013</v>
      </c>
      <c r="R2194">
        <f>VLOOKUP($B2194,'Hospitalisation Details'!A2193:K4537,11,0)</f>
        <v>42</v>
      </c>
    </row>
    <row r="2195" spans="1:18" x14ac:dyDescent="0.35">
      <c r="A2195" t="s">
        <v>165</v>
      </c>
      <c r="B2195" t="s">
        <v>2224</v>
      </c>
      <c r="C2195" t="str">
        <f>VLOOKUP($A2195,'Customer Names'!$A:$E,4,FALSE)</f>
        <v>Kirby W.</v>
      </c>
      <c r="D2195" t="str">
        <f>VLOOKUP($A2195,'Medical Examinations'!$A:$J,2,FALSE)</f>
        <v>Normal Weight</v>
      </c>
      <c r="E2195">
        <f>VLOOKUP($A2195,'Medical Examinations'!$A:$J,4,FALSE)</f>
        <v>4.6900000000000004</v>
      </c>
      <c r="F2195" t="str">
        <f>VLOOKUP($A2195,'Medical Examinations'!$A:$J,6,FALSE)</f>
        <v>No</v>
      </c>
      <c r="G2195" t="str">
        <f>VLOOKUP($A2195,'Medical Examinations'!$A:$J,7,FALSE)</f>
        <v>yes</v>
      </c>
      <c r="H2195" t="str">
        <f>VLOOKUP($A2195,'Medical Examinations'!$A:$J,8,FALSE)</f>
        <v>No</v>
      </c>
      <c r="I2195">
        <f>VLOOKUP($A2195,'Medical Examinations'!$A:$J,9,FALSE)</f>
        <v>1</v>
      </c>
      <c r="J2195" t="str">
        <f>VLOOKUP($A2195,'Medical Examinations'!$A:$J,10,FALSE)</f>
        <v>No</v>
      </c>
      <c r="K2195" t="str">
        <f>VLOOKUP($A2195,'Medical Examinations'!$A:$J,5,FALSE)</f>
        <v>Normal</v>
      </c>
      <c r="L2195">
        <f>VLOOKUP($A2196,'Medical Examinations'!$A:$J,3,FALSE)</f>
        <v>15.96</v>
      </c>
      <c r="N2195" s="11">
        <f>VLOOKUP($B2195,'Hospitalisation Details'!A2194:J4538,10,0)</f>
        <v>32811</v>
      </c>
      <c r="O2195" t="str">
        <f>VLOOKUP($B2195,'Hospitalisation Details'!A2194:J4538,8,0)</f>
        <v>tier - 2</v>
      </c>
      <c r="P2195" t="str">
        <f>VLOOKUP($B2195,'Hospitalisation Details'!A2194:J4538,7,0)</f>
        <v>tier - 1</v>
      </c>
      <c r="Q2195" t="str">
        <f>VLOOKUP($B2195,'Hospitalisation Details'!A2194:J4538,9,0)</f>
        <v>R1013</v>
      </c>
      <c r="R2195">
        <f>VLOOKUP($B2195,'Hospitalisation Details'!A2194:K4538,11,0)</f>
        <v>33</v>
      </c>
    </row>
    <row r="2196" spans="1:18" x14ac:dyDescent="0.35">
      <c r="A2196" t="s">
        <v>163</v>
      </c>
      <c r="B2196" t="s">
        <v>2225</v>
      </c>
      <c r="C2196" t="str">
        <f>VLOOKUP($A2196,'Customer Names'!$A:$E,4,FALSE)</f>
        <v>J A</v>
      </c>
      <c r="D2196" t="str">
        <f>VLOOKUP($A2196,'Medical Examinations'!$A:$J,2,FALSE)</f>
        <v>Underweight</v>
      </c>
      <c r="E2196">
        <f>VLOOKUP($A2196,'Medical Examinations'!$A:$J,4,FALSE)</f>
        <v>5.44</v>
      </c>
      <c r="F2196" t="str">
        <f>VLOOKUP($A2196,'Medical Examinations'!$A:$J,6,FALSE)</f>
        <v>No</v>
      </c>
      <c r="G2196" t="str">
        <f>VLOOKUP($A2196,'Medical Examinations'!$A:$J,7,FALSE)</f>
        <v>yes</v>
      </c>
      <c r="H2196" t="str">
        <f>VLOOKUP($A2196,'Medical Examinations'!$A:$J,8,FALSE)</f>
        <v>No</v>
      </c>
      <c r="I2196">
        <f>VLOOKUP($A2196,'Medical Examinations'!$A:$J,9,FALSE)</f>
        <v>1</v>
      </c>
      <c r="J2196" t="str">
        <f>VLOOKUP($A2196,'Medical Examinations'!$A:$J,10,FALSE)</f>
        <v>No</v>
      </c>
      <c r="K2196" t="str">
        <f>VLOOKUP($A2196,'Medical Examinations'!$A:$J,5,FALSE)</f>
        <v>Normal</v>
      </c>
      <c r="L2196">
        <f>VLOOKUP($A2197,'Medical Examinations'!$A:$J,3,FALSE)</f>
        <v>39.5</v>
      </c>
      <c r="N2196" s="11">
        <f>VLOOKUP($B2196,'Hospitalisation Details'!A2195:J4539,10,0)</f>
        <v>29384</v>
      </c>
      <c r="O2196" t="str">
        <f>VLOOKUP($B2196,'Hospitalisation Details'!A2195:J4539,8,0)</f>
        <v>tier - 3</v>
      </c>
      <c r="P2196" t="str">
        <f>VLOOKUP($B2196,'Hospitalisation Details'!A2195:J4539,7,0)</f>
        <v>tier - 1</v>
      </c>
      <c r="Q2196" t="str">
        <f>VLOOKUP($B2196,'Hospitalisation Details'!A2195:J4539,9,0)</f>
        <v>R1011</v>
      </c>
      <c r="R2196">
        <f>VLOOKUP($B2196,'Hospitalisation Details'!A2195:K4539,11,0)</f>
        <v>42</v>
      </c>
    </row>
    <row r="2197" spans="1:18" x14ac:dyDescent="0.35">
      <c r="A2197" t="s">
        <v>162</v>
      </c>
      <c r="B2197" t="s">
        <v>2226</v>
      </c>
      <c r="C2197" t="str">
        <f>VLOOKUP($A2197,'Customer Names'!$A:$E,4,FALSE)</f>
        <v>Dustin G.</v>
      </c>
      <c r="D2197" t="str">
        <f>VLOOKUP($A2197,'Medical Examinations'!$A:$J,2,FALSE)</f>
        <v>Obesity</v>
      </c>
      <c r="E2197">
        <f>VLOOKUP($A2197,'Medical Examinations'!$A:$J,4,FALSE)</f>
        <v>5.05</v>
      </c>
      <c r="F2197" t="str">
        <f>VLOOKUP($A2197,'Medical Examinations'!$A:$J,6,FALSE)</f>
        <v>No</v>
      </c>
      <c r="G2197" t="str">
        <f>VLOOKUP($A2197,'Medical Examinations'!$A:$J,7,FALSE)</f>
        <v>yes</v>
      </c>
      <c r="H2197" t="str">
        <f>VLOOKUP($A2197,'Medical Examinations'!$A:$J,8,FALSE)</f>
        <v>No</v>
      </c>
      <c r="I2197">
        <f>VLOOKUP($A2197,'Medical Examinations'!$A:$J,9,FALSE)</f>
        <v>1</v>
      </c>
      <c r="J2197" t="str">
        <f>VLOOKUP($A2197,'Medical Examinations'!$A:$J,10,FALSE)</f>
        <v>No</v>
      </c>
      <c r="K2197" t="str">
        <f>VLOOKUP($A2197,'Medical Examinations'!$A:$J,5,FALSE)</f>
        <v>Normal</v>
      </c>
      <c r="L2197">
        <f>VLOOKUP($A2198,'Medical Examinations'!$A:$J,3,FALSE)</f>
        <v>33.770000000000003</v>
      </c>
      <c r="N2197" s="11">
        <f>VLOOKUP($B2197,'Hospitalisation Details'!A2196:J4540,10,0)</f>
        <v>37516</v>
      </c>
      <c r="O2197" t="str">
        <f>VLOOKUP($B2197,'Hospitalisation Details'!A2196:J4540,8,0)</f>
        <v>tier - 3</v>
      </c>
      <c r="P2197" t="str">
        <f>VLOOKUP($B2197,'Hospitalisation Details'!A2196:J4540,7,0)</f>
        <v>tier - 1</v>
      </c>
      <c r="Q2197" t="str">
        <f>VLOOKUP($B2197,'Hospitalisation Details'!A2196:J4540,9,0)</f>
        <v>R1011</v>
      </c>
      <c r="R2197">
        <f>VLOOKUP($B2197,'Hospitalisation Details'!A2196:K4540,11,0)</f>
        <v>20</v>
      </c>
    </row>
    <row r="2198" spans="1:18" x14ac:dyDescent="0.35">
      <c r="A2198" t="s">
        <v>161</v>
      </c>
      <c r="B2198" t="s">
        <v>2227</v>
      </c>
      <c r="C2198" t="str">
        <f>VLOOKUP($A2198,'Customer Names'!$A:$E,4,FALSE)</f>
        <v>Anthony G</v>
      </c>
      <c r="D2198" t="str">
        <f>VLOOKUP($A2198,'Medical Examinations'!$A:$J,2,FALSE)</f>
        <v>Obesity</v>
      </c>
      <c r="E2198">
        <f>VLOOKUP($A2198,'Medical Examinations'!$A:$J,4,FALSE)</f>
        <v>6</v>
      </c>
      <c r="F2198" t="str">
        <f>VLOOKUP($A2198,'Medical Examinations'!$A:$J,6,FALSE)</f>
        <v>No</v>
      </c>
      <c r="G2198" t="str">
        <f>VLOOKUP($A2198,'Medical Examinations'!$A:$J,7,FALSE)</f>
        <v>yes</v>
      </c>
      <c r="H2198" t="str">
        <f>VLOOKUP($A2198,'Medical Examinations'!$A:$J,8,FALSE)</f>
        <v>No</v>
      </c>
      <c r="I2198">
        <f>VLOOKUP($A2198,'Medical Examinations'!$A:$J,9,FALSE)</f>
        <v>1</v>
      </c>
      <c r="J2198" t="str">
        <f>VLOOKUP($A2198,'Medical Examinations'!$A:$J,10,FALSE)</f>
        <v>No</v>
      </c>
      <c r="K2198" t="str">
        <f>VLOOKUP($A2198,'Medical Examinations'!$A:$J,5,FALSE)</f>
        <v>Prediabetes</v>
      </c>
      <c r="L2198">
        <f>VLOOKUP($A2199,'Medical Examinations'!$A:$J,3,FALSE)</f>
        <v>26.84</v>
      </c>
      <c r="N2198" s="11">
        <f>VLOOKUP($B2198,'Hospitalisation Details'!A2197:J4541,10,0)</f>
        <v>25802</v>
      </c>
      <c r="O2198" t="str">
        <f>VLOOKUP($B2198,'Hospitalisation Details'!A2197:J4541,8,0)</f>
        <v>tier - 3</v>
      </c>
      <c r="P2198" t="str">
        <f>VLOOKUP($B2198,'Hospitalisation Details'!A2197:J4541,7,0)</f>
        <v>tier - 2</v>
      </c>
      <c r="Q2198" t="str">
        <f>VLOOKUP($B2198,'Hospitalisation Details'!A2197:J4541,9,0)</f>
        <v>R1011</v>
      </c>
      <c r="R2198">
        <f>VLOOKUP($B2198,'Hospitalisation Details'!A2197:K4541,11,0)</f>
        <v>52</v>
      </c>
    </row>
    <row r="2199" spans="1:18" x14ac:dyDescent="0.35">
      <c r="A2199" t="s">
        <v>160</v>
      </c>
      <c r="B2199" t="s">
        <v>2228</v>
      </c>
      <c r="C2199" t="str">
        <f>VLOOKUP($A2199,'Customer Names'!$A:$E,4,FALSE)</f>
        <v>Ryan</v>
      </c>
      <c r="D2199" t="str">
        <f>VLOOKUP($A2199,'Medical Examinations'!$A:$J,2,FALSE)</f>
        <v>Overweight</v>
      </c>
      <c r="E2199">
        <f>VLOOKUP($A2199,'Medical Examinations'!$A:$J,4,FALSE)</f>
        <v>5.99</v>
      </c>
      <c r="F2199" t="str">
        <f>VLOOKUP($A2199,'Medical Examinations'!$A:$J,6,FALSE)</f>
        <v>yes</v>
      </c>
      <c r="G2199" t="str">
        <f>VLOOKUP($A2199,'Medical Examinations'!$A:$J,7,FALSE)</f>
        <v>yes</v>
      </c>
      <c r="H2199" t="str">
        <f>VLOOKUP($A2199,'Medical Examinations'!$A:$J,8,FALSE)</f>
        <v>No</v>
      </c>
      <c r="I2199">
        <f>VLOOKUP($A2199,'Medical Examinations'!$A:$J,9,FALSE)</f>
        <v>1</v>
      </c>
      <c r="J2199" t="str">
        <f>VLOOKUP($A2199,'Medical Examinations'!$A:$J,10,FALSE)</f>
        <v>No</v>
      </c>
      <c r="K2199" t="str">
        <f>VLOOKUP($A2199,'Medical Examinations'!$A:$J,5,FALSE)</f>
        <v>Prediabetes</v>
      </c>
      <c r="L2199">
        <f>VLOOKUP($A2200,'Medical Examinations'!$A:$J,3,FALSE)</f>
        <v>35.53</v>
      </c>
      <c r="N2199" s="11">
        <f>VLOOKUP($B2199,'Hospitalisation Details'!A2198:J4542,10,0)</f>
        <v>26290</v>
      </c>
      <c r="O2199" t="str">
        <f>VLOOKUP($B2199,'Hospitalisation Details'!A2198:J4542,8,0)</f>
        <v>tier - 1</v>
      </c>
      <c r="P2199" t="str">
        <f>VLOOKUP($B2199,'Hospitalisation Details'!A2198:J4542,7,0)</f>
        <v>tier - 2</v>
      </c>
      <c r="Q2199" t="str">
        <f>VLOOKUP($B2199,'Hospitalisation Details'!A2198:J4542,9,0)</f>
        <v>R1011</v>
      </c>
      <c r="R2199">
        <f>VLOOKUP($B2199,'Hospitalisation Details'!A2198:K4542,11,0)</f>
        <v>51</v>
      </c>
    </row>
    <row r="2200" spans="1:18" x14ac:dyDescent="0.35">
      <c r="A2200" t="s">
        <v>159</v>
      </c>
      <c r="B2200" t="s">
        <v>2229</v>
      </c>
      <c r="C2200" t="str">
        <f>VLOOKUP($A2200,'Customer Names'!$A:$E,4,FALSE)</f>
        <v>Eric N</v>
      </c>
      <c r="D2200" t="str">
        <f>VLOOKUP($A2200,'Medical Examinations'!$A:$J,2,FALSE)</f>
        <v>Obesity</v>
      </c>
      <c r="E2200">
        <f>VLOOKUP($A2200,'Medical Examinations'!$A:$J,4,FALSE)</f>
        <v>4.3600000000000003</v>
      </c>
      <c r="F2200" t="str">
        <f>VLOOKUP($A2200,'Medical Examinations'!$A:$J,6,FALSE)</f>
        <v>No</v>
      </c>
      <c r="G2200" t="str">
        <f>VLOOKUP($A2200,'Medical Examinations'!$A:$J,7,FALSE)</f>
        <v>No</v>
      </c>
      <c r="H2200" t="str">
        <f>VLOOKUP($A2200,'Medical Examinations'!$A:$J,8,FALSE)</f>
        <v>Yes</v>
      </c>
      <c r="I2200">
        <f>VLOOKUP($A2200,'Medical Examinations'!$A:$J,9,FALSE)</f>
        <v>1</v>
      </c>
      <c r="J2200" t="str">
        <f>VLOOKUP($A2200,'Medical Examinations'!$A:$J,10,FALSE)</f>
        <v>No</v>
      </c>
      <c r="K2200" t="str">
        <f>VLOOKUP($A2200,'Medical Examinations'!$A:$J,5,FALSE)</f>
        <v>Normal</v>
      </c>
      <c r="L2200">
        <f>VLOOKUP($A2201,'Medical Examinations'!$A:$J,3,FALSE)</f>
        <v>30.59</v>
      </c>
      <c r="N2200" s="11">
        <f>VLOOKUP($B2200,'Hospitalisation Details'!A2199:J4543,10,0)</f>
        <v>31584</v>
      </c>
      <c r="O2200" t="str">
        <f>VLOOKUP($B2200,'Hospitalisation Details'!A2199:J4543,8,0)</f>
        <v>tier - 2</v>
      </c>
      <c r="P2200" t="str">
        <f>VLOOKUP($B2200,'Hospitalisation Details'!A2199:J4543,7,0)</f>
        <v>tier - 1</v>
      </c>
      <c r="Q2200" t="str">
        <f>VLOOKUP($B2200,'Hospitalisation Details'!A2199:J4543,9,0)</f>
        <v>R1011</v>
      </c>
      <c r="R2200">
        <f>VLOOKUP($B2200,'Hospitalisation Details'!A2199:K4543,11,0)</f>
        <v>36</v>
      </c>
    </row>
    <row r="2201" spans="1:18" x14ac:dyDescent="0.35">
      <c r="A2201" t="s">
        <v>158</v>
      </c>
      <c r="B2201" t="s">
        <v>2230</v>
      </c>
      <c r="C2201" t="str">
        <f>VLOOKUP($A2201,'Customer Names'!$A:$E,4,FALSE)</f>
        <v>Connor</v>
      </c>
      <c r="D2201" t="str">
        <f>VLOOKUP($A2201,'Medical Examinations'!$A:$J,2,FALSE)</f>
        <v>Obesity</v>
      </c>
      <c r="E2201">
        <f>VLOOKUP($A2201,'Medical Examinations'!$A:$J,4,FALSE)</f>
        <v>4.41</v>
      </c>
      <c r="F2201" t="str">
        <f>VLOOKUP($A2201,'Medical Examinations'!$A:$J,6,FALSE)</f>
        <v>No</v>
      </c>
      <c r="G2201" t="str">
        <f>VLOOKUP($A2201,'Medical Examinations'!$A:$J,7,FALSE)</f>
        <v>No</v>
      </c>
      <c r="H2201" t="str">
        <f>VLOOKUP($A2201,'Medical Examinations'!$A:$J,8,FALSE)</f>
        <v>Yes</v>
      </c>
      <c r="I2201">
        <f>VLOOKUP($A2201,'Medical Examinations'!$A:$J,9,FALSE)</f>
        <v>1</v>
      </c>
      <c r="J2201" t="str">
        <f>VLOOKUP($A2201,'Medical Examinations'!$A:$J,10,FALSE)</f>
        <v>No</v>
      </c>
      <c r="K2201" t="str">
        <f>VLOOKUP($A2201,'Medical Examinations'!$A:$J,5,FALSE)</f>
        <v>Normal</v>
      </c>
      <c r="L2201">
        <f>VLOOKUP($A2202,'Medical Examinations'!$A:$J,3,FALSE)</f>
        <v>30.59</v>
      </c>
      <c r="N2201" s="11">
        <f>VLOOKUP($B2201,'Hospitalisation Details'!A2200:J4544,10,0)</f>
        <v>36476</v>
      </c>
      <c r="O2201" t="str">
        <f>VLOOKUP($B2201,'Hospitalisation Details'!A2200:J4544,8,0)</f>
        <v>tier - 2</v>
      </c>
      <c r="P2201" t="str">
        <f>VLOOKUP($B2201,'Hospitalisation Details'!A2200:J4544,7,0)</f>
        <v>tier - 2</v>
      </c>
      <c r="Q2201" t="str">
        <f>VLOOKUP($B2201,'Hospitalisation Details'!A2200:J4544,9,0)</f>
        <v>R1024</v>
      </c>
      <c r="R2201">
        <f>VLOOKUP($B2201,'Hospitalisation Details'!A2200:K4544,11,0)</f>
        <v>23</v>
      </c>
    </row>
    <row r="2202" spans="1:18" x14ac:dyDescent="0.35">
      <c r="A2202" t="s">
        <v>157</v>
      </c>
      <c r="B2202" t="s">
        <v>2231</v>
      </c>
      <c r="C2202" t="str">
        <f>VLOOKUP($A2202,'Customer Names'!$A:$E,4,FALSE)</f>
        <v>Patrick H.</v>
      </c>
      <c r="D2202" t="str">
        <f>VLOOKUP($A2202,'Medical Examinations'!$A:$J,2,FALSE)</f>
        <v>Obesity</v>
      </c>
      <c r="E2202">
        <f>VLOOKUP($A2202,'Medical Examinations'!$A:$J,4,FALSE)</f>
        <v>4.17</v>
      </c>
      <c r="F2202" t="str">
        <f>VLOOKUP($A2202,'Medical Examinations'!$A:$J,6,FALSE)</f>
        <v>No</v>
      </c>
      <c r="G2202" t="str">
        <f>VLOOKUP($A2202,'Medical Examinations'!$A:$J,7,FALSE)</f>
        <v>No</v>
      </c>
      <c r="H2202" t="str">
        <f>VLOOKUP($A2202,'Medical Examinations'!$A:$J,8,FALSE)</f>
        <v>Yes</v>
      </c>
      <c r="I2202">
        <f>VLOOKUP($A2202,'Medical Examinations'!$A:$J,9,FALSE)</f>
        <v>1</v>
      </c>
      <c r="J2202" t="str">
        <f>VLOOKUP($A2202,'Medical Examinations'!$A:$J,10,FALSE)</f>
        <v>No</v>
      </c>
      <c r="K2202" t="str">
        <f>VLOOKUP($A2202,'Medical Examinations'!$A:$J,5,FALSE)</f>
        <v>Normal</v>
      </c>
      <c r="L2202">
        <f>VLOOKUP($A2203,'Medical Examinations'!$A:$J,3,FALSE)</f>
        <v>27.835000000000001</v>
      </c>
      <c r="N2202" s="11">
        <f>VLOOKUP($B2202,'Hospitalisation Details'!A2201:J4545,10,0)</f>
        <v>33067</v>
      </c>
      <c r="O2202" t="str">
        <f>VLOOKUP($B2202,'Hospitalisation Details'!A2201:J4545,8,0)</f>
        <v>tier - 2</v>
      </c>
      <c r="P2202" t="str">
        <f>VLOOKUP($B2202,'Hospitalisation Details'!A2201:J4545,7,0)</f>
        <v>tier - 2</v>
      </c>
      <c r="Q2202" t="str">
        <f>VLOOKUP($B2202,'Hospitalisation Details'!A2201:J4545,9,0)</f>
        <v>R1011</v>
      </c>
      <c r="R2202">
        <f>VLOOKUP($B2202,'Hospitalisation Details'!A2201:K4545,11,0)</f>
        <v>32</v>
      </c>
    </row>
    <row r="2203" spans="1:18" x14ac:dyDescent="0.35">
      <c r="A2203" t="s">
        <v>156</v>
      </c>
      <c r="B2203" t="s">
        <v>2232</v>
      </c>
      <c r="C2203" t="str">
        <f>VLOOKUP($A2203,'Customer Names'!$A:$E,4,FALSE)</f>
        <v>Tyler</v>
      </c>
      <c r="D2203" t="str">
        <f>VLOOKUP($A2203,'Medical Examinations'!$A:$J,2,FALSE)</f>
        <v>Overweight</v>
      </c>
      <c r="E2203">
        <f>VLOOKUP($A2203,'Medical Examinations'!$A:$J,4,FALSE)</f>
        <v>4.4400000000000004</v>
      </c>
      <c r="F2203" t="str">
        <f>VLOOKUP($A2203,'Medical Examinations'!$A:$J,6,FALSE)</f>
        <v>No</v>
      </c>
      <c r="G2203" t="str">
        <f>VLOOKUP($A2203,'Medical Examinations'!$A:$J,7,FALSE)</f>
        <v>No</v>
      </c>
      <c r="H2203" t="str">
        <f>VLOOKUP($A2203,'Medical Examinations'!$A:$J,8,FALSE)</f>
        <v>Yes</v>
      </c>
      <c r="I2203">
        <f>VLOOKUP($A2203,'Medical Examinations'!$A:$J,9,FALSE)</f>
        <v>1</v>
      </c>
      <c r="J2203" t="str">
        <f>VLOOKUP($A2203,'Medical Examinations'!$A:$J,10,FALSE)</f>
        <v>No</v>
      </c>
      <c r="K2203" t="str">
        <f>VLOOKUP($A2203,'Medical Examinations'!$A:$J,5,FALSE)</f>
        <v>Normal</v>
      </c>
      <c r="L2203">
        <f>VLOOKUP($A2204,'Medical Examinations'!$A:$J,3,FALSE)</f>
        <v>40.26</v>
      </c>
      <c r="N2203" s="11">
        <f>VLOOKUP($B2203,'Hospitalisation Details'!A2202:J4546,10,0)</f>
        <v>31613</v>
      </c>
      <c r="O2203" t="str">
        <f>VLOOKUP($B2203,'Hospitalisation Details'!A2202:J4546,8,0)</f>
        <v>tier - 3</v>
      </c>
      <c r="P2203" t="str">
        <f>VLOOKUP($B2203,'Hospitalisation Details'!A2202:J4546,7,0)</f>
        <v>tier - 1</v>
      </c>
      <c r="Q2203" t="str">
        <f>VLOOKUP($B2203,'Hospitalisation Details'!A2202:J4546,9,0)</f>
        <v>R1013</v>
      </c>
      <c r="R2203">
        <f>VLOOKUP($B2203,'Hospitalisation Details'!A2202:K4546,11,0)</f>
        <v>36</v>
      </c>
    </row>
    <row r="2204" spans="1:18" x14ac:dyDescent="0.35">
      <c r="A2204" t="s">
        <v>155</v>
      </c>
      <c r="B2204" t="s">
        <v>31</v>
      </c>
      <c r="C2204" t="str">
        <f>VLOOKUP($A2204,'Customer Names'!$A:$E,4,FALSE)</f>
        <v>Deborah L.</v>
      </c>
      <c r="D2204" t="str">
        <f>VLOOKUP($A2204,'Medical Examinations'!$A:$J,2,FALSE)</f>
        <v>Obesity</v>
      </c>
      <c r="E2204">
        <f>VLOOKUP($A2204,'Medical Examinations'!$A:$J,4,FALSE)</f>
        <v>5.52</v>
      </c>
      <c r="F2204" t="str">
        <f>VLOOKUP($A2204,'Medical Examinations'!$A:$J,6,FALSE)</f>
        <v>No</v>
      </c>
      <c r="G2204" t="str">
        <f>VLOOKUP($A2204,'Medical Examinations'!$A:$J,7,FALSE)</f>
        <v>yes</v>
      </c>
      <c r="H2204" t="str">
        <f>VLOOKUP($A2204,'Medical Examinations'!$A:$J,8,FALSE)</f>
        <v>No</v>
      </c>
      <c r="I2204">
        <f>VLOOKUP($A2204,'Medical Examinations'!$A:$J,9,FALSE)</f>
        <v>1</v>
      </c>
      <c r="J2204" t="str">
        <f>VLOOKUP($A2204,'Medical Examinations'!$A:$J,10,FALSE)</f>
        <v>No</v>
      </c>
      <c r="K2204" t="str">
        <f>VLOOKUP($A2204,'Medical Examinations'!$A:$J,5,FALSE)</f>
        <v>Normal</v>
      </c>
      <c r="L2204">
        <f>VLOOKUP($A2205,'Medical Examinations'!$A:$J,3,FALSE)</f>
        <v>39.82</v>
      </c>
      <c r="N2204" s="11">
        <f>VLOOKUP($B2204,'Hospitalisation Details'!A2203:J4547,10,0)</f>
        <v>33564</v>
      </c>
      <c r="O2204" t="str">
        <f>VLOOKUP($B2204,'Hospitalisation Details'!A2203:J4547,8,0)</f>
        <v>tier - 3</v>
      </c>
      <c r="P2204" t="str">
        <f>VLOOKUP($B2204,'Hospitalisation Details'!A2203:J4547,7,0)</f>
        <v>tier - 1</v>
      </c>
      <c r="Q2204" t="str">
        <f>VLOOKUP($B2204,'Hospitalisation Details'!A2203:J4547,9,0)</f>
        <v>R1011</v>
      </c>
      <c r="R2204">
        <f>VLOOKUP($B2204,'Hospitalisation Details'!A2203:K4547,11,0)</f>
        <v>31</v>
      </c>
    </row>
    <row r="2205" spans="1:18" x14ac:dyDescent="0.35">
      <c r="A2205" t="s">
        <v>154</v>
      </c>
      <c r="B2205" t="s">
        <v>2233</v>
      </c>
      <c r="C2205" t="str">
        <f>VLOOKUP($A2205,'Customer Names'!$A:$E,4,FALSE)</f>
        <v>Andrea K</v>
      </c>
      <c r="D2205" t="str">
        <f>VLOOKUP($A2205,'Medical Examinations'!$A:$J,2,FALSE)</f>
        <v>Obesity</v>
      </c>
      <c r="E2205">
        <f>VLOOKUP($A2205,'Medical Examinations'!$A:$J,4,FALSE)</f>
        <v>6.01</v>
      </c>
      <c r="F2205" t="str">
        <f>VLOOKUP($A2205,'Medical Examinations'!$A:$J,6,FALSE)</f>
        <v>No</v>
      </c>
      <c r="G2205" t="str">
        <f>VLOOKUP($A2205,'Medical Examinations'!$A:$J,7,FALSE)</f>
        <v>yes</v>
      </c>
      <c r="H2205" t="str">
        <f>VLOOKUP($A2205,'Medical Examinations'!$A:$J,8,FALSE)</f>
        <v>No</v>
      </c>
      <c r="I2205">
        <f>VLOOKUP($A2205,'Medical Examinations'!$A:$J,9,FALSE)</f>
        <v>1</v>
      </c>
      <c r="J2205" t="str">
        <f>VLOOKUP($A2205,'Medical Examinations'!$A:$J,10,FALSE)</f>
        <v>No</v>
      </c>
      <c r="K2205" t="str">
        <f>VLOOKUP($A2205,'Medical Examinations'!$A:$J,5,FALSE)</f>
        <v>Prediabetes</v>
      </c>
      <c r="L2205">
        <f>VLOOKUP($A2206,'Medical Examinations'!$A:$J,3,FALSE)</f>
        <v>39.159999999999997</v>
      </c>
      <c r="N2205" s="11">
        <f>VLOOKUP($B2205,'Hospitalisation Details'!A2204:J4548,10,0)</f>
        <v>33544</v>
      </c>
      <c r="O2205" t="str">
        <f>VLOOKUP($B2205,'Hospitalisation Details'!A2204:J4548,8,0)</f>
        <v>tier - 2</v>
      </c>
      <c r="P2205" t="str">
        <f>VLOOKUP($B2205,'Hospitalisation Details'!A2204:J4548,7,0)</f>
        <v>tier - 2</v>
      </c>
      <c r="Q2205" t="str">
        <f>VLOOKUP($B2205,'Hospitalisation Details'!A2204:J4548,9,0)</f>
        <v>R1011</v>
      </c>
      <c r="R2205">
        <f>VLOOKUP($B2205,'Hospitalisation Details'!A2204:K4548,11,0)</f>
        <v>31</v>
      </c>
    </row>
    <row r="2206" spans="1:18" x14ac:dyDescent="0.35">
      <c r="A2206" t="s">
        <v>153</v>
      </c>
      <c r="B2206" t="s">
        <v>2234</v>
      </c>
      <c r="C2206" t="str">
        <f>VLOOKUP($A2206,'Customer Names'!$A:$E,4,FALSE)</f>
        <v>Elleree</v>
      </c>
      <c r="D2206" t="str">
        <f>VLOOKUP($A2206,'Medical Examinations'!$A:$J,2,FALSE)</f>
        <v>Obesity</v>
      </c>
      <c r="E2206">
        <f>VLOOKUP($A2206,'Medical Examinations'!$A:$J,4,FALSE)</f>
        <v>5.81</v>
      </c>
      <c r="F2206" t="str">
        <f>VLOOKUP($A2206,'Medical Examinations'!$A:$J,6,FALSE)</f>
        <v>No</v>
      </c>
      <c r="G2206" t="str">
        <f>VLOOKUP($A2206,'Medical Examinations'!$A:$J,7,FALSE)</f>
        <v>yes</v>
      </c>
      <c r="H2206" t="str">
        <f>VLOOKUP($A2206,'Medical Examinations'!$A:$J,8,FALSE)</f>
        <v>No</v>
      </c>
      <c r="I2206">
        <f>VLOOKUP($A2206,'Medical Examinations'!$A:$J,9,FALSE)</f>
        <v>1</v>
      </c>
      <c r="J2206" t="str">
        <f>VLOOKUP($A2206,'Medical Examinations'!$A:$J,10,FALSE)</f>
        <v>No</v>
      </c>
      <c r="K2206" t="str">
        <f>VLOOKUP($A2206,'Medical Examinations'!$A:$J,5,FALSE)</f>
        <v>Prediabetes</v>
      </c>
      <c r="L2206">
        <f>VLOOKUP($A2207,'Medical Examinations'!$A:$J,3,FALSE)</f>
        <v>25.555</v>
      </c>
      <c r="N2206" s="11">
        <f>VLOOKUP($B2206,'Hospitalisation Details'!A2205:J4549,10,0)</f>
        <v>27926</v>
      </c>
      <c r="O2206" t="str">
        <f>VLOOKUP($B2206,'Hospitalisation Details'!A2205:J4549,8,0)</f>
        <v>tier - 2</v>
      </c>
      <c r="P2206" t="str">
        <f>VLOOKUP($B2206,'Hospitalisation Details'!A2205:J4549,7,0)</f>
        <v>tier - 2</v>
      </c>
      <c r="Q2206" t="str">
        <f>VLOOKUP($B2206,'Hospitalisation Details'!A2205:J4549,9,0)</f>
        <v>R1012</v>
      </c>
      <c r="R2206">
        <f>VLOOKUP($B2206,'Hospitalisation Details'!A2205:K4549,11,0)</f>
        <v>46</v>
      </c>
    </row>
    <row r="2207" spans="1:18" x14ac:dyDescent="0.35">
      <c r="A2207" t="s">
        <v>152</v>
      </c>
      <c r="B2207" t="s">
        <v>2235</v>
      </c>
      <c r="C2207" t="str">
        <f>VLOOKUP($A2207,'Customer Names'!$A:$E,4,FALSE)</f>
        <v>Brandon J</v>
      </c>
      <c r="D2207" t="str">
        <f>VLOOKUP($A2207,'Medical Examinations'!$A:$J,2,FALSE)</f>
        <v>Overweight</v>
      </c>
      <c r="E2207">
        <f>VLOOKUP($A2207,'Medical Examinations'!$A:$J,4,FALSE)</f>
        <v>4.37</v>
      </c>
      <c r="F2207" t="str">
        <f>VLOOKUP($A2207,'Medical Examinations'!$A:$J,6,FALSE)</f>
        <v>No</v>
      </c>
      <c r="G2207" t="str">
        <f>VLOOKUP($A2207,'Medical Examinations'!$A:$J,7,FALSE)</f>
        <v>No</v>
      </c>
      <c r="H2207" t="str">
        <f>VLOOKUP($A2207,'Medical Examinations'!$A:$J,8,FALSE)</f>
        <v>Yes</v>
      </c>
      <c r="I2207">
        <f>VLOOKUP($A2207,'Medical Examinations'!$A:$J,9,FALSE)</f>
        <v>1</v>
      </c>
      <c r="J2207" t="str">
        <f>VLOOKUP($A2207,'Medical Examinations'!$A:$J,10,FALSE)</f>
        <v>No</v>
      </c>
      <c r="K2207" t="str">
        <f>VLOOKUP($A2207,'Medical Examinations'!$A:$J,5,FALSE)</f>
        <v>Normal</v>
      </c>
      <c r="L2207">
        <f>VLOOKUP($A2208,'Medical Examinations'!$A:$J,3,FALSE)</f>
        <v>25.175000000000001</v>
      </c>
      <c r="N2207" s="11">
        <f>VLOOKUP($B2207,'Hospitalisation Details'!A2206:J4550,10,0)</f>
        <v>33550</v>
      </c>
      <c r="O2207" t="str">
        <f>VLOOKUP($B2207,'Hospitalisation Details'!A2206:J4550,8,0)</f>
        <v>tier - 2</v>
      </c>
      <c r="P2207" t="str">
        <f>VLOOKUP($B2207,'Hospitalisation Details'!A2206:J4550,7,0)</f>
        <v>tier - 1</v>
      </c>
      <c r="Q2207" t="str">
        <f>VLOOKUP($B2207,'Hospitalisation Details'!A2206:J4550,9,0)</f>
        <v>R1012</v>
      </c>
      <c r="R2207">
        <f>VLOOKUP($B2207,'Hospitalisation Details'!A2206:K4550,11,0)</f>
        <v>31</v>
      </c>
    </row>
    <row r="2208" spans="1:18" x14ac:dyDescent="0.35">
      <c r="A2208" t="s">
        <v>151</v>
      </c>
      <c r="B2208" t="s">
        <v>2236</v>
      </c>
      <c r="C2208" t="str">
        <f>VLOOKUP($A2208,'Customer Names'!$A:$E,4,FALSE)</f>
        <v>Steve</v>
      </c>
      <c r="D2208" t="str">
        <f>VLOOKUP($A2208,'Medical Examinations'!$A:$J,2,FALSE)</f>
        <v>Overweight</v>
      </c>
      <c r="E2208">
        <f>VLOOKUP($A2208,'Medical Examinations'!$A:$J,4,FALSE)</f>
        <v>5.74</v>
      </c>
      <c r="F2208" t="str">
        <f>VLOOKUP($A2208,'Medical Examinations'!$A:$J,6,FALSE)</f>
        <v>No</v>
      </c>
      <c r="G2208" t="str">
        <f>VLOOKUP($A2208,'Medical Examinations'!$A:$J,7,FALSE)</f>
        <v>No</v>
      </c>
      <c r="H2208" t="str">
        <f>VLOOKUP($A2208,'Medical Examinations'!$A:$J,8,FALSE)</f>
        <v>Yes</v>
      </c>
      <c r="I2208">
        <f>VLOOKUP($A2208,'Medical Examinations'!$A:$J,9,FALSE)</f>
        <v>1</v>
      </c>
      <c r="J2208" t="str">
        <f>VLOOKUP($A2208,'Medical Examinations'!$A:$J,10,FALSE)</f>
        <v>No</v>
      </c>
      <c r="K2208" t="str">
        <f>VLOOKUP($A2208,'Medical Examinations'!$A:$J,5,FALSE)</f>
        <v>Prediabetes</v>
      </c>
      <c r="L2208">
        <f>VLOOKUP($A2209,'Medical Examinations'!$A:$J,3,FALSE)</f>
        <v>38.28</v>
      </c>
      <c r="N2208" s="11">
        <f>VLOOKUP($B2208,'Hospitalisation Details'!A2207:J4551,10,0)</f>
        <v>38326</v>
      </c>
      <c r="O2208" t="str">
        <f>VLOOKUP($B2208,'Hospitalisation Details'!A2207:J4551,8,0)</f>
        <v>tier - 2</v>
      </c>
      <c r="P2208" t="str">
        <f>VLOOKUP($B2208,'Hospitalisation Details'!A2207:J4551,7,0)</f>
        <v>tier - 2</v>
      </c>
      <c r="Q2208" t="str">
        <f>VLOOKUP($B2208,'Hospitalisation Details'!A2207:J4551,9,0)</f>
        <v>R1013</v>
      </c>
      <c r="R2208">
        <f>VLOOKUP($B2208,'Hospitalisation Details'!A2207:K4551,11,0)</f>
        <v>18</v>
      </c>
    </row>
    <row r="2209" spans="1:18" x14ac:dyDescent="0.35">
      <c r="A2209" t="s">
        <v>150</v>
      </c>
      <c r="B2209" t="s">
        <v>2237</v>
      </c>
      <c r="C2209" t="str">
        <f>VLOOKUP($A2209,'Customer Names'!$A:$E,4,FALSE)</f>
        <v>Nina Wavik Sr.</v>
      </c>
      <c r="D2209" t="str">
        <f>VLOOKUP($A2209,'Medical Examinations'!$A:$J,2,FALSE)</f>
        <v>Obesity</v>
      </c>
      <c r="E2209">
        <f>VLOOKUP($A2209,'Medical Examinations'!$A:$J,4,FALSE)</f>
        <v>5.39</v>
      </c>
      <c r="F2209" t="str">
        <f>VLOOKUP($A2209,'Medical Examinations'!$A:$J,6,FALSE)</f>
        <v>No</v>
      </c>
      <c r="G2209" t="str">
        <f>VLOOKUP($A2209,'Medical Examinations'!$A:$J,7,FALSE)</f>
        <v>yes</v>
      </c>
      <c r="H2209" t="str">
        <f>VLOOKUP($A2209,'Medical Examinations'!$A:$J,8,FALSE)</f>
        <v>No</v>
      </c>
      <c r="I2209">
        <f>VLOOKUP($A2209,'Medical Examinations'!$A:$J,9,FALSE)</f>
        <v>1</v>
      </c>
      <c r="J2209" t="str">
        <f>VLOOKUP($A2209,'Medical Examinations'!$A:$J,10,FALSE)</f>
        <v>No</v>
      </c>
      <c r="K2209" t="str">
        <f>VLOOKUP($A2209,'Medical Examinations'!$A:$J,5,FALSE)</f>
        <v>Normal</v>
      </c>
      <c r="L2209">
        <f>VLOOKUP($A2210,'Medical Examinations'!$A:$J,3,FALSE)</f>
        <v>38.17</v>
      </c>
      <c r="N2209" s="11">
        <f>VLOOKUP($B2209,'Hospitalisation Details'!A2208:J4552,10,0)</f>
        <v>29192</v>
      </c>
      <c r="O2209" t="str">
        <f>VLOOKUP($B2209,'Hospitalisation Details'!A2208:J4552,8,0)</f>
        <v>tier - 1</v>
      </c>
      <c r="P2209" t="str">
        <f>VLOOKUP($B2209,'Hospitalisation Details'!A2208:J4552,7,0)</f>
        <v>tier - 2</v>
      </c>
      <c r="Q2209" t="str">
        <f>VLOOKUP($B2209,'Hospitalisation Details'!A2208:J4552,9,0)</f>
        <v>R1011</v>
      </c>
      <c r="R2209">
        <f>VLOOKUP($B2209,'Hospitalisation Details'!A2208:K4552,11,0)</f>
        <v>43</v>
      </c>
    </row>
    <row r="2210" spans="1:18" x14ac:dyDescent="0.35">
      <c r="A2210" t="s">
        <v>149</v>
      </c>
      <c r="B2210" t="s">
        <v>2238</v>
      </c>
      <c r="C2210" t="str">
        <f>VLOOKUP($A2210,'Customer Names'!$A:$E,4,FALSE)</f>
        <v>Dani</v>
      </c>
      <c r="D2210" t="str">
        <f>VLOOKUP($A2210,'Medical Examinations'!$A:$J,2,FALSE)</f>
        <v>Obesity</v>
      </c>
      <c r="E2210">
        <f>VLOOKUP($A2210,'Medical Examinations'!$A:$J,4,FALSE)</f>
        <v>4.07</v>
      </c>
      <c r="F2210" t="str">
        <f>VLOOKUP($A2210,'Medical Examinations'!$A:$J,6,FALSE)</f>
        <v>No</v>
      </c>
      <c r="G2210" t="str">
        <f>VLOOKUP($A2210,'Medical Examinations'!$A:$J,7,FALSE)</f>
        <v>yes</v>
      </c>
      <c r="H2210" t="str">
        <f>VLOOKUP($A2210,'Medical Examinations'!$A:$J,8,FALSE)</f>
        <v>No</v>
      </c>
      <c r="I2210">
        <f>VLOOKUP($A2210,'Medical Examinations'!$A:$J,9,FALSE)</f>
        <v>1</v>
      </c>
      <c r="J2210" t="str">
        <f>VLOOKUP($A2210,'Medical Examinations'!$A:$J,10,FALSE)</f>
        <v>No</v>
      </c>
      <c r="K2210" t="str">
        <f>VLOOKUP($A2210,'Medical Examinations'!$A:$J,5,FALSE)</f>
        <v>Normal</v>
      </c>
      <c r="L2210">
        <f>VLOOKUP($A2211,'Medical Examinations'!$A:$J,3,FALSE)</f>
        <v>36.85</v>
      </c>
      <c r="N2210" s="11">
        <f>VLOOKUP($B2210,'Hospitalisation Details'!A2209:J4553,10,0)</f>
        <v>23534</v>
      </c>
      <c r="O2210" t="str">
        <f>VLOOKUP($B2210,'Hospitalisation Details'!A2209:J4553,8,0)</f>
        <v>tier - 2</v>
      </c>
      <c r="P2210" t="str">
        <f>VLOOKUP($B2210,'Hospitalisation Details'!A2209:J4553,7,0)</f>
        <v>tier - 2</v>
      </c>
      <c r="Q2210" t="str">
        <f>VLOOKUP($B2210,'Hospitalisation Details'!A2209:J4553,9,0)</f>
        <v>R1011</v>
      </c>
      <c r="R2210">
        <f>VLOOKUP($B2210,'Hospitalisation Details'!A2209:K4553,11,0)</f>
        <v>59</v>
      </c>
    </row>
    <row r="2211" spans="1:18" x14ac:dyDescent="0.35">
      <c r="A2211" t="s">
        <v>148</v>
      </c>
      <c r="B2211" t="s">
        <v>2239</v>
      </c>
      <c r="C2211" t="str">
        <f>VLOOKUP($A2211,'Customer Names'!$A:$E,4,FALSE)</f>
        <v>Jennifer A.</v>
      </c>
      <c r="D2211" t="str">
        <f>VLOOKUP($A2211,'Medical Examinations'!$A:$J,2,FALSE)</f>
        <v>Obesity</v>
      </c>
      <c r="E2211">
        <f>VLOOKUP($A2211,'Medical Examinations'!$A:$J,4,FALSE)</f>
        <v>5.49</v>
      </c>
      <c r="F2211" t="str">
        <f>VLOOKUP($A2211,'Medical Examinations'!$A:$J,6,FALSE)</f>
        <v>No</v>
      </c>
      <c r="G2211" t="str">
        <f>VLOOKUP($A2211,'Medical Examinations'!$A:$J,7,FALSE)</f>
        <v>yes</v>
      </c>
      <c r="H2211" t="str">
        <f>VLOOKUP($A2211,'Medical Examinations'!$A:$J,8,FALSE)</f>
        <v>No</v>
      </c>
      <c r="I2211">
        <f>VLOOKUP($A2211,'Medical Examinations'!$A:$J,9,FALSE)</f>
        <v>1</v>
      </c>
      <c r="J2211" t="str">
        <f>VLOOKUP($A2211,'Medical Examinations'!$A:$J,10,FALSE)</f>
        <v>No</v>
      </c>
      <c r="K2211" t="str">
        <f>VLOOKUP($A2211,'Medical Examinations'!$A:$J,5,FALSE)</f>
        <v>Normal</v>
      </c>
      <c r="L2211">
        <f>VLOOKUP($A2212,'Medical Examinations'!$A:$J,3,FALSE)</f>
        <v>22.61</v>
      </c>
      <c r="N2211" s="11">
        <f>VLOOKUP($B2211,'Hospitalisation Details'!A2210:J4554,10,0)</f>
        <v>24683</v>
      </c>
      <c r="O2211" t="str">
        <f>VLOOKUP($B2211,'Hospitalisation Details'!A2210:J4554,8,0)</f>
        <v>tier - 2</v>
      </c>
      <c r="P2211" t="str">
        <f>VLOOKUP($B2211,'Hospitalisation Details'!A2210:J4554,7,0)</f>
        <v>tier - 1</v>
      </c>
      <c r="Q2211" t="str">
        <f>VLOOKUP($B2211,'Hospitalisation Details'!A2210:J4554,9,0)</f>
        <v>R1011</v>
      </c>
      <c r="R2211">
        <f>VLOOKUP($B2211,'Hospitalisation Details'!A2210:K4554,11,0)</f>
        <v>55</v>
      </c>
    </row>
    <row r="2212" spans="1:18" x14ac:dyDescent="0.35">
      <c r="A2212" t="s">
        <v>147</v>
      </c>
      <c r="B2212" t="s">
        <v>2240</v>
      </c>
      <c r="C2212" t="str">
        <f>VLOOKUP($A2212,'Customer Names'!$A:$E,4,FALSE)</f>
        <v>Martin</v>
      </c>
      <c r="D2212" t="str">
        <f>VLOOKUP($A2212,'Medical Examinations'!$A:$J,2,FALSE)</f>
        <v>Normal Weight</v>
      </c>
      <c r="E2212">
        <f>VLOOKUP($A2212,'Medical Examinations'!$A:$J,4,FALSE)</f>
        <v>5.68</v>
      </c>
      <c r="F2212" t="str">
        <f>VLOOKUP($A2212,'Medical Examinations'!$A:$J,6,FALSE)</f>
        <v>No</v>
      </c>
      <c r="G2212" t="str">
        <f>VLOOKUP($A2212,'Medical Examinations'!$A:$J,7,FALSE)</f>
        <v>No</v>
      </c>
      <c r="H2212" t="str">
        <f>VLOOKUP($A2212,'Medical Examinations'!$A:$J,8,FALSE)</f>
        <v>Yes</v>
      </c>
      <c r="I2212">
        <f>VLOOKUP($A2212,'Medical Examinations'!$A:$J,9,FALSE)</f>
        <v>1</v>
      </c>
      <c r="J2212" t="str">
        <f>VLOOKUP($A2212,'Medical Examinations'!$A:$J,10,FALSE)</f>
        <v>No</v>
      </c>
      <c r="K2212" t="str">
        <f>VLOOKUP($A2212,'Medical Examinations'!$A:$J,5,FALSE)</f>
        <v>Normal</v>
      </c>
      <c r="L2212">
        <f>VLOOKUP($A2213,'Medical Examinations'!$A:$J,3,FALSE)</f>
        <v>21.754999999999999</v>
      </c>
      <c r="N2212" s="11">
        <f>VLOOKUP($B2212,'Hospitalisation Details'!A2211:J4555,10,0)</f>
        <v>31944</v>
      </c>
      <c r="O2212" t="str">
        <f>VLOOKUP($B2212,'Hospitalisation Details'!A2211:J4555,8,0)</f>
        <v>tier - 2</v>
      </c>
      <c r="P2212" t="str">
        <f>VLOOKUP($B2212,'Hospitalisation Details'!A2211:J4555,7,0)</f>
        <v>tier - 2</v>
      </c>
      <c r="Q2212" t="str">
        <f>VLOOKUP($B2212,'Hospitalisation Details'!A2211:J4555,9,0)</f>
        <v>R1011</v>
      </c>
      <c r="R2212">
        <f>VLOOKUP($B2212,'Hospitalisation Details'!A2211:K4555,11,0)</f>
        <v>35</v>
      </c>
    </row>
    <row r="2213" spans="1:18" x14ac:dyDescent="0.35">
      <c r="A2213" t="s">
        <v>146</v>
      </c>
      <c r="B2213" t="s">
        <v>2241</v>
      </c>
      <c r="C2213" t="str">
        <f>VLOOKUP($A2213,'Customer Names'!$A:$E,4,FALSE)</f>
        <v>Steve</v>
      </c>
      <c r="D2213" t="str">
        <f>VLOOKUP($A2213,'Medical Examinations'!$A:$J,2,FALSE)</f>
        <v>Normal Weight</v>
      </c>
      <c r="E2213">
        <f>VLOOKUP($A2213,'Medical Examinations'!$A:$J,4,FALSE)</f>
        <v>6.09</v>
      </c>
      <c r="F2213" t="str">
        <f>VLOOKUP($A2213,'Medical Examinations'!$A:$J,6,FALSE)</f>
        <v>No</v>
      </c>
      <c r="G2213" t="str">
        <f>VLOOKUP($A2213,'Medical Examinations'!$A:$J,7,FALSE)</f>
        <v>No</v>
      </c>
      <c r="H2213" t="str">
        <f>VLOOKUP($A2213,'Medical Examinations'!$A:$J,8,FALSE)</f>
        <v>Yes</v>
      </c>
      <c r="I2213">
        <f>VLOOKUP($A2213,'Medical Examinations'!$A:$J,9,FALSE)</f>
        <v>1</v>
      </c>
      <c r="J2213" t="str">
        <f>VLOOKUP($A2213,'Medical Examinations'!$A:$J,10,FALSE)</f>
        <v>No</v>
      </c>
      <c r="K2213" t="str">
        <f>VLOOKUP($A2213,'Medical Examinations'!$A:$J,5,FALSE)</f>
        <v>Prediabetes</v>
      </c>
      <c r="L2213">
        <f>VLOOKUP($A2214,'Medical Examinations'!$A:$J,3,FALSE)</f>
        <v>20.425000000000001</v>
      </c>
      <c r="N2213" s="11">
        <f>VLOOKUP($B2213,'Hospitalisation Details'!A2212:J4556,10,0)</f>
        <v>28109</v>
      </c>
      <c r="O2213" t="str">
        <f>VLOOKUP($B2213,'Hospitalisation Details'!A2212:J4556,8,0)</f>
        <v>tier - 3</v>
      </c>
      <c r="P2213" t="str">
        <f>VLOOKUP($B2213,'Hospitalisation Details'!A2212:J4556,7,0)</f>
        <v>tier - 2</v>
      </c>
      <c r="Q2213" t="str">
        <f>VLOOKUP($B2213,'Hospitalisation Details'!A2212:J4556,9,0)</f>
        <v>R1011</v>
      </c>
      <c r="R2213">
        <f>VLOOKUP($B2213,'Hospitalisation Details'!A2212:K4556,11,0)</f>
        <v>46</v>
      </c>
    </row>
    <row r="2214" spans="1:18" x14ac:dyDescent="0.35">
      <c r="A2214" t="s">
        <v>145</v>
      </c>
      <c r="B2214" t="s">
        <v>2242</v>
      </c>
      <c r="C2214" t="str">
        <f>VLOOKUP($A2214,'Customer Names'!$A:$E,4,FALSE)</f>
        <v>Christopher</v>
      </c>
      <c r="D2214" t="str">
        <f>VLOOKUP($A2214,'Medical Examinations'!$A:$J,2,FALSE)</f>
        <v>Normal Weight</v>
      </c>
      <c r="E2214">
        <f>VLOOKUP($A2214,'Medical Examinations'!$A:$J,4,FALSE)</f>
        <v>5.53</v>
      </c>
      <c r="F2214" t="str">
        <f>VLOOKUP($A2214,'Medical Examinations'!$A:$J,6,FALSE)</f>
        <v>No</v>
      </c>
      <c r="G2214" t="str">
        <f>VLOOKUP($A2214,'Medical Examinations'!$A:$J,7,FALSE)</f>
        <v>No</v>
      </c>
      <c r="H2214" t="str">
        <f>VLOOKUP($A2214,'Medical Examinations'!$A:$J,8,FALSE)</f>
        <v>Yes</v>
      </c>
      <c r="I2214">
        <f>VLOOKUP($A2214,'Medical Examinations'!$A:$J,9,FALSE)</f>
        <v>1</v>
      </c>
      <c r="J2214" t="str">
        <f>VLOOKUP($A2214,'Medical Examinations'!$A:$J,10,FALSE)</f>
        <v>No</v>
      </c>
      <c r="K2214" t="str">
        <f>VLOOKUP($A2214,'Medical Examinations'!$A:$J,5,FALSE)</f>
        <v>Normal</v>
      </c>
      <c r="L2214">
        <f>VLOOKUP($A2215,'Medical Examinations'!$A:$J,3,FALSE)</f>
        <v>31.35</v>
      </c>
      <c r="N2214" s="11">
        <f>VLOOKUP($B2214,'Hospitalisation Details'!A2213:J4557,10,0)</f>
        <v>29488</v>
      </c>
      <c r="O2214" t="str">
        <f>VLOOKUP($B2214,'Hospitalisation Details'!A2213:J4557,8,0)</f>
        <v>tier - 3</v>
      </c>
      <c r="P2214" t="str">
        <f>VLOOKUP($B2214,'Hospitalisation Details'!A2213:J4557,7,0)</f>
        <v>tier - 2</v>
      </c>
      <c r="Q2214" t="str">
        <f>VLOOKUP($B2214,'Hospitalisation Details'!A2213:J4557,9,0)</f>
        <v>R1011</v>
      </c>
      <c r="R2214">
        <f>VLOOKUP($B2214,'Hospitalisation Details'!A2213:K4557,11,0)</f>
        <v>42</v>
      </c>
    </row>
    <row r="2215" spans="1:18" x14ac:dyDescent="0.35">
      <c r="A2215" t="s">
        <v>144</v>
      </c>
      <c r="B2215" t="s">
        <v>2243</v>
      </c>
      <c r="C2215" t="str">
        <f>VLOOKUP($A2215,'Customer Names'!$A:$E,4,FALSE)</f>
        <v>Kathryn M.</v>
      </c>
      <c r="D2215" t="str">
        <f>VLOOKUP($A2215,'Medical Examinations'!$A:$J,2,FALSE)</f>
        <v>Obesity</v>
      </c>
      <c r="E2215">
        <f>VLOOKUP($A2215,'Medical Examinations'!$A:$J,4,FALSE)</f>
        <v>4.28</v>
      </c>
      <c r="F2215" t="str">
        <f>VLOOKUP($A2215,'Medical Examinations'!$A:$J,6,FALSE)</f>
        <v>No</v>
      </c>
      <c r="G2215" t="str">
        <f>VLOOKUP($A2215,'Medical Examinations'!$A:$J,7,FALSE)</f>
        <v>yes</v>
      </c>
      <c r="H2215" t="str">
        <f>VLOOKUP($A2215,'Medical Examinations'!$A:$J,8,FALSE)</f>
        <v>No</v>
      </c>
      <c r="I2215">
        <f>VLOOKUP($A2215,'Medical Examinations'!$A:$J,9,FALSE)</f>
        <v>1</v>
      </c>
      <c r="J2215" t="str">
        <f>VLOOKUP($A2215,'Medical Examinations'!$A:$J,10,FALSE)</f>
        <v>No</v>
      </c>
      <c r="K2215" t="str">
        <f>VLOOKUP($A2215,'Medical Examinations'!$A:$J,5,FALSE)</f>
        <v>Normal</v>
      </c>
      <c r="L2215">
        <f>VLOOKUP($A2216,'Medical Examinations'!$A:$J,3,FALSE)</f>
        <v>31.13</v>
      </c>
      <c r="N2215" s="11">
        <f>VLOOKUP($B2215,'Hospitalisation Details'!A2214:J4558,10,0)</f>
        <v>28775</v>
      </c>
      <c r="O2215" t="str">
        <f>VLOOKUP($B2215,'Hospitalisation Details'!A2214:J4558,8,0)</f>
        <v>tier - 1</v>
      </c>
      <c r="P2215" t="str">
        <f>VLOOKUP($B2215,'Hospitalisation Details'!A2214:J4558,7,0)</f>
        <v>tier - 1</v>
      </c>
      <c r="Q2215" t="str">
        <f>VLOOKUP($B2215,'Hospitalisation Details'!A2214:J4558,9,0)</f>
        <v>R1011</v>
      </c>
      <c r="R2215">
        <f>VLOOKUP($B2215,'Hospitalisation Details'!A2214:K4558,11,0)</f>
        <v>44</v>
      </c>
    </row>
    <row r="2216" spans="1:18" x14ac:dyDescent="0.35">
      <c r="A2216" t="s">
        <v>143</v>
      </c>
      <c r="B2216" t="s">
        <v>2244</v>
      </c>
      <c r="C2216" t="str">
        <f>VLOOKUP($A2216,'Customer Names'!$A:$E,4,FALSE)</f>
        <v>Emily</v>
      </c>
      <c r="D2216" t="str">
        <f>VLOOKUP($A2216,'Medical Examinations'!$A:$J,2,FALSE)</f>
        <v>Obesity</v>
      </c>
      <c r="E2216">
        <f>VLOOKUP($A2216,'Medical Examinations'!$A:$J,4,FALSE)</f>
        <v>6.01</v>
      </c>
      <c r="F2216" t="str">
        <f>VLOOKUP($A2216,'Medical Examinations'!$A:$J,6,FALSE)</f>
        <v>No</v>
      </c>
      <c r="G2216" t="str">
        <f>VLOOKUP($A2216,'Medical Examinations'!$A:$J,7,FALSE)</f>
        <v>yes</v>
      </c>
      <c r="H2216" t="str">
        <f>VLOOKUP($A2216,'Medical Examinations'!$A:$J,8,FALSE)</f>
        <v>No</v>
      </c>
      <c r="I2216">
        <f>VLOOKUP($A2216,'Medical Examinations'!$A:$J,9,FALSE)</f>
        <v>1</v>
      </c>
      <c r="J2216" t="str">
        <f>VLOOKUP($A2216,'Medical Examinations'!$A:$J,10,FALSE)</f>
        <v>No</v>
      </c>
      <c r="K2216" t="str">
        <f>VLOOKUP($A2216,'Medical Examinations'!$A:$J,5,FALSE)</f>
        <v>Prediabetes</v>
      </c>
      <c r="L2216">
        <f>VLOOKUP($A2217,'Medical Examinations'!$A:$J,3,FALSE)</f>
        <v>17.48</v>
      </c>
      <c r="N2216" s="11">
        <f>VLOOKUP($B2216,'Hospitalisation Details'!A2215:J4559,10,0)</f>
        <v>31310</v>
      </c>
      <c r="O2216" t="str">
        <f>VLOOKUP($B2216,'Hospitalisation Details'!A2215:J4559,8,0)</f>
        <v>tier - 3</v>
      </c>
      <c r="P2216" t="str">
        <f>VLOOKUP($B2216,'Hospitalisation Details'!A2215:J4559,7,0)</f>
        <v>tier - 1</v>
      </c>
      <c r="Q2216" t="str">
        <f>VLOOKUP($B2216,'Hospitalisation Details'!A2215:J4559,9,0)</f>
        <v>R1017</v>
      </c>
      <c r="R2216">
        <f>VLOOKUP($B2216,'Hospitalisation Details'!A2215:K4559,11,0)</f>
        <v>37</v>
      </c>
    </row>
    <row r="2217" spans="1:18" x14ac:dyDescent="0.35">
      <c r="A2217" t="s">
        <v>142</v>
      </c>
      <c r="B2217" t="s">
        <v>2245</v>
      </c>
      <c r="C2217" t="str">
        <f>VLOOKUP($A2217,'Customer Names'!$A:$E,4,FALSE)</f>
        <v>Trent A</v>
      </c>
      <c r="D2217" t="str">
        <f>VLOOKUP($A2217,'Medical Examinations'!$A:$J,2,FALSE)</f>
        <v>Underweight</v>
      </c>
      <c r="E2217">
        <f>VLOOKUP($A2217,'Medical Examinations'!$A:$J,4,FALSE)</f>
        <v>4.59</v>
      </c>
      <c r="F2217" t="str">
        <f>VLOOKUP($A2217,'Medical Examinations'!$A:$J,6,FALSE)</f>
        <v>No</v>
      </c>
      <c r="G2217" t="str">
        <f>VLOOKUP($A2217,'Medical Examinations'!$A:$J,7,FALSE)</f>
        <v>No</v>
      </c>
      <c r="H2217" t="str">
        <f>VLOOKUP($A2217,'Medical Examinations'!$A:$J,8,FALSE)</f>
        <v>Yes</v>
      </c>
      <c r="I2217">
        <f>VLOOKUP($A2217,'Medical Examinations'!$A:$J,9,FALSE)</f>
        <v>1</v>
      </c>
      <c r="J2217" t="str">
        <f>VLOOKUP($A2217,'Medical Examinations'!$A:$J,10,FALSE)</f>
        <v>No</v>
      </c>
      <c r="K2217" t="str">
        <f>VLOOKUP($A2217,'Medical Examinations'!$A:$J,5,FALSE)</f>
        <v>Normal</v>
      </c>
      <c r="L2217">
        <f>VLOOKUP($A2218,'Medical Examinations'!$A:$J,3,FALSE)</f>
        <v>22.57</v>
      </c>
      <c r="N2217" s="11">
        <f>VLOOKUP($B2217,'Hospitalisation Details'!A2216:J4560,10,0)</f>
        <v>30167</v>
      </c>
      <c r="O2217" t="str">
        <f>VLOOKUP($B2217,'Hospitalisation Details'!A2216:J4560,8,0)</f>
        <v>tier - 1</v>
      </c>
      <c r="P2217" t="str">
        <f>VLOOKUP($B2217,'Hospitalisation Details'!A2216:J4560,7,0)</f>
        <v>tier - 1</v>
      </c>
      <c r="Q2217" t="str">
        <f>VLOOKUP($B2217,'Hospitalisation Details'!A2216:J4560,9,0)</f>
        <v>R1016</v>
      </c>
      <c r="R2217">
        <f>VLOOKUP($B2217,'Hospitalisation Details'!A2216:K4560,11,0)</f>
        <v>40</v>
      </c>
    </row>
    <row r="2218" spans="1:18" x14ac:dyDescent="0.35">
      <c r="A2218" t="s">
        <v>141</v>
      </c>
      <c r="B2218" t="s">
        <v>2246</v>
      </c>
      <c r="C2218" t="str">
        <f>VLOOKUP($A2218,'Customer Names'!$A:$E,4,FALSE)</f>
        <v>Jennifer E</v>
      </c>
      <c r="D2218" t="str">
        <f>VLOOKUP($A2218,'Medical Examinations'!$A:$J,2,FALSE)</f>
        <v>Normal Weight</v>
      </c>
      <c r="E2218">
        <f>VLOOKUP($A2218,'Medical Examinations'!$A:$J,4,FALSE)</f>
        <v>5.8</v>
      </c>
      <c r="F2218" t="str">
        <f>VLOOKUP($A2218,'Medical Examinations'!$A:$J,6,FALSE)</f>
        <v>yes</v>
      </c>
      <c r="G2218" t="str">
        <f>VLOOKUP($A2218,'Medical Examinations'!$A:$J,7,FALSE)</f>
        <v>No</v>
      </c>
      <c r="H2218" t="str">
        <f>VLOOKUP($A2218,'Medical Examinations'!$A:$J,8,FALSE)</f>
        <v>No</v>
      </c>
      <c r="I2218">
        <f>VLOOKUP($A2218,'Medical Examinations'!$A:$J,9,FALSE)</f>
        <v>1</v>
      </c>
      <c r="J2218" t="str">
        <f>VLOOKUP($A2218,'Medical Examinations'!$A:$J,10,FALSE)</f>
        <v>No</v>
      </c>
      <c r="K2218" t="str">
        <f>VLOOKUP($A2218,'Medical Examinations'!$A:$J,5,FALSE)</f>
        <v>Prediabetes</v>
      </c>
      <c r="L2218">
        <f>VLOOKUP($A2219,'Medical Examinations'!$A:$J,3,FALSE)</f>
        <v>26.73</v>
      </c>
      <c r="N2218" s="11">
        <f>VLOOKUP($B2218,'Hospitalisation Details'!A2217:J4561,10,0)</f>
        <v>22834</v>
      </c>
      <c r="O2218" t="str">
        <f>VLOOKUP($B2218,'Hospitalisation Details'!A2217:J4561,8,0)</f>
        <v>tier - 1</v>
      </c>
      <c r="P2218" t="str">
        <f>VLOOKUP($B2218,'Hospitalisation Details'!A2217:J4561,7,0)</f>
        <v>tier - 2</v>
      </c>
      <c r="Q2218" t="str">
        <f>VLOOKUP($B2218,'Hospitalisation Details'!A2217:J4561,9,0)</f>
        <v>R1011</v>
      </c>
      <c r="R2218">
        <f>VLOOKUP($B2218,'Hospitalisation Details'!A2217:K4561,11,0)</f>
        <v>60</v>
      </c>
    </row>
    <row r="2219" spans="1:18" x14ac:dyDescent="0.35">
      <c r="A2219" t="s">
        <v>140</v>
      </c>
      <c r="B2219" t="s">
        <v>2247</v>
      </c>
      <c r="C2219" t="str">
        <f>VLOOKUP($A2219,'Customer Names'!$A:$E,4,FALSE)</f>
        <v>Polly</v>
      </c>
      <c r="D2219" t="str">
        <f>VLOOKUP($A2219,'Medical Examinations'!$A:$J,2,FALSE)</f>
        <v>Overweight</v>
      </c>
      <c r="E2219">
        <f>VLOOKUP($A2219,'Medical Examinations'!$A:$J,4,FALSE)</f>
        <v>5.08</v>
      </c>
      <c r="F2219" t="str">
        <f>VLOOKUP($A2219,'Medical Examinations'!$A:$J,6,FALSE)</f>
        <v>No</v>
      </c>
      <c r="G2219" t="str">
        <f>VLOOKUP($A2219,'Medical Examinations'!$A:$J,7,FALSE)</f>
        <v>yes</v>
      </c>
      <c r="H2219" t="str">
        <f>VLOOKUP($A2219,'Medical Examinations'!$A:$J,8,FALSE)</f>
        <v>No</v>
      </c>
      <c r="I2219">
        <f>VLOOKUP($A2219,'Medical Examinations'!$A:$J,9,FALSE)</f>
        <v>1</v>
      </c>
      <c r="J2219" t="str">
        <f>VLOOKUP($A2219,'Medical Examinations'!$A:$J,10,FALSE)</f>
        <v>No</v>
      </c>
      <c r="K2219" t="str">
        <f>VLOOKUP($A2219,'Medical Examinations'!$A:$J,5,FALSE)</f>
        <v>Normal</v>
      </c>
      <c r="L2219">
        <f>VLOOKUP($A2220,'Medical Examinations'!$A:$J,3,FALSE)</f>
        <v>20.79</v>
      </c>
      <c r="N2219" s="11">
        <f>VLOOKUP($B2219,'Hospitalisation Details'!A2218:J4562,10,0)</f>
        <v>33938</v>
      </c>
      <c r="O2219" t="str">
        <f>VLOOKUP($B2219,'Hospitalisation Details'!A2218:J4562,8,0)</f>
        <v>tier - 3</v>
      </c>
      <c r="P2219" t="str">
        <f>VLOOKUP($B2219,'Hospitalisation Details'!A2218:J4562,7,0)</f>
        <v>tier - 1</v>
      </c>
      <c r="Q2219" t="str">
        <f>VLOOKUP($B2219,'Hospitalisation Details'!A2218:J4562,9,0)</f>
        <v>R1011</v>
      </c>
      <c r="R2219">
        <f>VLOOKUP($B2219,'Hospitalisation Details'!A2218:K4562,11,0)</f>
        <v>30</v>
      </c>
    </row>
    <row r="2220" spans="1:18" x14ac:dyDescent="0.35">
      <c r="A2220" t="s">
        <v>139</v>
      </c>
      <c r="B2220" t="s">
        <v>2248</v>
      </c>
      <c r="C2220" t="str">
        <f>VLOOKUP($A2220,'Customer Names'!$A:$E,4,FALSE)</f>
        <v>Elizabeth</v>
      </c>
      <c r="D2220" t="str">
        <f>VLOOKUP($A2220,'Medical Examinations'!$A:$J,2,FALSE)</f>
        <v>Normal Weight</v>
      </c>
      <c r="E2220">
        <f>VLOOKUP($A2220,'Medical Examinations'!$A:$J,4,FALSE)</f>
        <v>5.84</v>
      </c>
      <c r="F2220" t="str">
        <f>VLOOKUP($A2220,'Medical Examinations'!$A:$J,6,FALSE)</f>
        <v>No</v>
      </c>
      <c r="G2220" t="str">
        <f>VLOOKUP($A2220,'Medical Examinations'!$A:$J,7,FALSE)</f>
        <v>yes</v>
      </c>
      <c r="H2220" t="str">
        <f>VLOOKUP($A2220,'Medical Examinations'!$A:$J,8,FALSE)</f>
        <v>No</v>
      </c>
      <c r="I2220">
        <f>VLOOKUP($A2220,'Medical Examinations'!$A:$J,9,FALSE)</f>
        <v>1</v>
      </c>
      <c r="J2220" t="str">
        <f>VLOOKUP($A2220,'Medical Examinations'!$A:$J,10,FALSE)</f>
        <v>No</v>
      </c>
      <c r="K2220" t="str">
        <f>VLOOKUP($A2220,'Medical Examinations'!$A:$J,5,FALSE)</f>
        <v>Prediabetes</v>
      </c>
      <c r="L2220">
        <f>VLOOKUP($A2221,'Medical Examinations'!$A:$J,3,FALSE)</f>
        <v>20.149999999999999</v>
      </c>
      <c r="N2220" s="11">
        <f>VLOOKUP($B2220,'Hospitalisation Details'!A2219:J4563,10,0)</f>
        <v>30179</v>
      </c>
      <c r="O2220" t="str">
        <f>VLOOKUP($B2220,'Hospitalisation Details'!A2219:J4563,8,0)</f>
        <v>tier - 3</v>
      </c>
      <c r="P2220" t="str">
        <f>VLOOKUP($B2220,'Hospitalisation Details'!A2219:J4563,7,0)</f>
        <v>tier - 2</v>
      </c>
      <c r="Q2220" t="str">
        <f>VLOOKUP($B2220,'Hospitalisation Details'!A2219:J4563,9,0)</f>
        <v>R1011</v>
      </c>
      <c r="R2220">
        <f>VLOOKUP($B2220,'Hospitalisation Details'!A2219:K4563,11,0)</f>
        <v>40</v>
      </c>
    </row>
    <row r="2221" spans="1:18" x14ac:dyDescent="0.35">
      <c r="A2221" t="s">
        <v>138</v>
      </c>
      <c r="B2221" t="s">
        <v>2249</v>
      </c>
      <c r="C2221" t="str">
        <f>VLOOKUP($A2221,'Customer Names'!$A:$E,4,FALSE)</f>
        <v>Tiffany A.</v>
      </c>
      <c r="D2221" t="str">
        <f>VLOOKUP($A2221,'Medical Examinations'!$A:$J,2,FALSE)</f>
        <v>Normal Weight</v>
      </c>
      <c r="E2221">
        <f>VLOOKUP($A2221,'Medical Examinations'!$A:$J,4,FALSE)</f>
        <v>4.1500000000000004</v>
      </c>
      <c r="F2221" t="str">
        <f>VLOOKUP($A2221,'Medical Examinations'!$A:$J,6,FALSE)</f>
        <v>No</v>
      </c>
      <c r="G2221" t="str">
        <f>VLOOKUP($A2221,'Medical Examinations'!$A:$J,7,FALSE)</f>
        <v>No</v>
      </c>
      <c r="H2221" t="str">
        <f>VLOOKUP($A2221,'Medical Examinations'!$A:$J,8,FALSE)</f>
        <v>No</v>
      </c>
      <c r="I2221">
        <f>VLOOKUP($A2221,'Medical Examinations'!$A:$J,9,FALSE)</f>
        <v>1</v>
      </c>
      <c r="J2221" t="str">
        <f>VLOOKUP($A2221,'Medical Examinations'!$A:$J,10,FALSE)</f>
        <v>No</v>
      </c>
      <c r="K2221" t="str">
        <f>VLOOKUP($A2221,'Medical Examinations'!$A:$J,5,FALSE)</f>
        <v>Normal</v>
      </c>
      <c r="L2221">
        <f>VLOOKUP($A2222,'Medical Examinations'!$A:$J,3,FALSE)</f>
        <v>36.85</v>
      </c>
      <c r="N2221" s="11">
        <f>VLOOKUP($B2221,'Hospitalisation Details'!A2220:J4564,10,0)</f>
        <v>28707</v>
      </c>
      <c r="O2221" t="str">
        <f>VLOOKUP($B2221,'Hospitalisation Details'!A2220:J4564,8,0)</f>
        <v>tier - 3</v>
      </c>
      <c r="P2221" t="str">
        <f>VLOOKUP($B2221,'Hospitalisation Details'!A2220:J4564,7,0)</f>
        <v>tier - 2</v>
      </c>
      <c r="Q2221" t="str">
        <f>VLOOKUP($B2221,'Hospitalisation Details'!A2220:J4564,9,0)</f>
        <v>R1011</v>
      </c>
      <c r="R2221">
        <f>VLOOKUP($B2221,'Hospitalisation Details'!A2220:K4564,11,0)</f>
        <v>44</v>
      </c>
    </row>
    <row r="2222" spans="1:18" x14ac:dyDescent="0.35">
      <c r="A2222" t="s">
        <v>137</v>
      </c>
      <c r="B2222" t="s">
        <v>2250</v>
      </c>
      <c r="C2222" t="str">
        <f>VLOOKUP($A2222,'Customer Names'!$A:$E,4,FALSE)</f>
        <v>Cole</v>
      </c>
      <c r="D2222" t="str">
        <f>VLOOKUP($A2222,'Medical Examinations'!$A:$J,2,FALSE)</f>
        <v>Obesity</v>
      </c>
      <c r="E2222">
        <f>VLOOKUP($A2222,'Medical Examinations'!$A:$J,4,FALSE)</f>
        <v>4.3600000000000003</v>
      </c>
      <c r="F2222" t="str">
        <f>VLOOKUP($A2222,'Medical Examinations'!$A:$J,6,FALSE)</f>
        <v>yes</v>
      </c>
      <c r="G2222" t="str">
        <f>VLOOKUP($A2222,'Medical Examinations'!$A:$J,7,FALSE)</f>
        <v>No</v>
      </c>
      <c r="H2222" t="str">
        <f>VLOOKUP($A2222,'Medical Examinations'!$A:$J,8,FALSE)</f>
        <v>No</v>
      </c>
      <c r="I2222">
        <f>VLOOKUP($A2222,'Medical Examinations'!$A:$J,9,FALSE)</f>
        <v>0</v>
      </c>
      <c r="J2222" t="str">
        <f>VLOOKUP($A2222,'Medical Examinations'!$A:$J,10,FALSE)</f>
        <v>No</v>
      </c>
      <c r="K2222" t="str">
        <f>VLOOKUP($A2222,'Medical Examinations'!$A:$J,5,FALSE)</f>
        <v>Normal</v>
      </c>
      <c r="L2222">
        <f>VLOOKUP($A2223,'Medical Examinations'!$A:$J,3,FALSE)</f>
        <v>35.53</v>
      </c>
      <c r="N2222" s="11">
        <f>VLOOKUP($B2222,'Hospitalisation Details'!A2221:J4565,10,0)</f>
        <v>24282</v>
      </c>
      <c r="O2222" t="str">
        <f>VLOOKUP($B2222,'Hospitalisation Details'!A2221:J4565,8,0)</f>
        <v>tier - 2</v>
      </c>
      <c r="P2222" t="str">
        <f>VLOOKUP($B2222,'Hospitalisation Details'!A2221:J4565,7,0)</f>
        <v>tier - 2</v>
      </c>
      <c r="Q2222" t="str">
        <f>VLOOKUP($B2222,'Hospitalisation Details'!A2221:J4565,9,0)</f>
        <v>R1011</v>
      </c>
      <c r="R2222">
        <f>VLOOKUP($B2222,'Hospitalisation Details'!A2221:K4565,11,0)</f>
        <v>56</v>
      </c>
    </row>
    <row r="2223" spans="1:18" x14ac:dyDescent="0.35">
      <c r="A2223" t="s">
        <v>136</v>
      </c>
      <c r="B2223" t="s">
        <v>2251</v>
      </c>
      <c r="C2223" t="str">
        <f>VLOOKUP($A2223,'Customer Names'!$A:$E,4,FALSE)</f>
        <v>Matthew T.</v>
      </c>
      <c r="D2223" t="str">
        <f>VLOOKUP($A2223,'Medical Examinations'!$A:$J,2,FALSE)</f>
        <v>Obesity</v>
      </c>
      <c r="E2223">
        <f>VLOOKUP($A2223,'Medical Examinations'!$A:$J,4,FALSE)</f>
        <v>4.55</v>
      </c>
      <c r="F2223" t="str">
        <f>VLOOKUP($A2223,'Medical Examinations'!$A:$J,6,FALSE)</f>
        <v>yes</v>
      </c>
      <c r="G2223" t="str">
        <f>VLOOKUP($A2223,'Medical Examinations'!$A:$J,7,FALSE)</f>
        <v>No</v>
      </c>
      <c r="H2223" t="str">
        <f>VLOOKUP($A2223,'Medical Examinations'!$A:$J,8,FALSE)</f>
        <v>No</v>
      </c>
      <c r="I2223">
        <f>VLOOKUP($A2223,'Medical Examinations'!$A:$J,9,FALSE)</f>
        <v>0</v>
      </c>
      <c r="J2223" t="str">
        <f>VLOOKUP($A2223,'Medical Examinations'!$A:$J,10,FALSE)</f>
        <v>No</v>
      </c>
      <c r="K2223" t="str">
        <f>VLOOKUP($A2223,'Medical Examinations'!$A:$J,5,FALSE)</f>
        <v>Normal</v>
      </c>
      <c r="L2223">
        <f>VLOOKUP($A2224,'Medical Examinations'!$A:$J,3,FALSE)</f>
        <v>31.1</v>
      </c>
      <c r="N2223" s="11">
        <f>VLOOKUP($B2223,'Hospitalisation Details'!A2222:J4566,10,0)</f>
        <v>28683</v>
      </c>
      <c r="O2223" t="str">
        <f>VLOOKUP($B2223,'Hospitalisation Details'!A2222:J4566,8,0)</f>
        <v>tier - 2</v>
      </c>
      <c r="P2223" t="str">
        <f>VLOOKUP($B2223,'Hospitalisation Details'!A2222:J4566,7,0)</f>
        <v>tier - 1</v>
      </c>
      <c r="Q2223" t="str">
        <f>VLOOKUP($B2223,'Hospitalisation Details'!A2222:J4566,9,0)</f>
        <v>R1015</v>
      </c>
      <c r="R2223">
        <f>VLOOKUP($B2223,'Hospitalisation Details'!A2222:K4566,11,0)</f>
        <v>44</v>
      </c>
    </row>
    <row r="2224" spans="1:18" x14ac:dyDescent="0.35">
      <c r="A2224" t="s">
        <v>135</v>
      </c>
      <c r="B2224" t="s">
        <v>2252</v>
      </c>
      <c r="C2224" t="str">
        <f>VLOOKUP($A2224,'Customer Names'!$A:$E,4,FALSE)</f>
        <v>Zachary</v>
      </c>
      <c r="D2224" t="str">
        <f>VLOOKUP($A2224,'Medical Examinations'!$A:$J,2,FALSE)</f>
        <v>Obesity</v>
      </c>
      <c r="E2224">
        <f>VLOOKUP($A2224,'Medical Examinations'!$A:$J,4,FALSE)</f>
        <v>4.37</v>
      </c>
      <c r="F2224" t="str">
        <f>VLOOKUP($A2224,'Medical Examinations'!$A:$J,6,FALSE)</f>
        <v>yes</v>
      </c>
      <c r="G2224" t="str">
        <f>VLOOKUP($A2224,'Medical Examinations'!$A:$J,7,FALSE)</f>
        <v>No</v>
      </c>
      <c r="H2224" t="str">
        <f>VLOOKUP($A2224,'Medical Examinations'!$A:$J,8,FALSE)</f>
        <v>No</v>
      </c>
      <c r="I2224">
        <f>VLOOKUP($A2224,'Medical Examinations'!$A:$J,9,FALSE)</f>
        <v>0</v>
      </c>
      <c r="J2224" t="str">
        <f>VLOOKUP($A2224,'Medical Examinations'!$A:$J,10,FALSE)</f>
        <v>No</v>
      </c>
      <c r="K2224" t="str">
        <f>VLOOKUP($A2224,'Medical Examinations'!$A:$J,5,FALSE)</f>
        <v>Normal</v>
      </c>
      <c r="L2224">
        <f>VLOOKUP($A2225,'Medical Examinations'!$A:$J,3,FALSE)</f>
        <v>23.21</v>
      </c>
      <c r="N2224" s="11">
        <f>VLOOKUP($B2224,'Hospitalisation Details'!A2223:J4567,10,0)</f>
        <v>29772</v>
      </c>
      <c r="O2224" t="str">
        <f>VLOOKUP($B2224,'Hospitalisation Details'!A2223:J4567,8,0)</f>
        <v>tier - 2</v>
      </c>
      <c r="P2224" t="str">
        <f>VLOOKUP($B2224,'Hospitalisation Details'!A2223:J4567,7,0)</f>
        <v>tier - 1</v>
      </c>
      <c r="Q2224" t="str">
        <f>VLOOKUP($B2224,'Hospitalisation Details'!A2223:J4567,9,0)</f>
        <v>R1017</v>
      </c>
      <c r="R2224">
        <f>VLOOKUP($B2224,'Hospitalisation Details'!A2223:K4567,11,0)</f>
        <v>41</v>
      </c>
    </row>
    <row r="2225" spans="1:18" x14ac:dyDescent="0.35">
      <c r="A2225" t="s">
        <v>134</v>
      </c>
      <c r="B2225" t="s">
        <v>2253</v>
      </c>
      <c r="C2225" t="str">
        <f>VLOOKUP($A2225,'Customer Names'!$A:$E,4,FALSE)</f>
        <v>Matthew T.</v>
      </c>
      <c r="D2225" t="str">
        <f>VLOOKUP($A2225,'Medical Examinations'!$A:$J,2,FALSE)</f>
        <v>Normal Weight</v>
      </c>
      <c r="E2225">
        <f>VLOOKUP($A2225,'Medical Examinations'!$A:$J,4,FALSE)</f>
        <v>5.24</v>
      </c>
      <c r="F2225" t="str">
        <f>VLOOKUP($A2225,'Medical Examinations'!$A:$J,6,FALSE)</f>
        <v>yes</v>
      </c>
      <c r="G2225" t="str">
        <f>VLOOKUP($A2225,'Medical Examinations'!$A:$J,7,FALSE)</f>
        <v>No</v>
      </c>
      <c r="H2225" t="str">
        <f>VLOOKUP($A2225,'Medical Examinations'!$A:$J,8,FALSE)</f>
        <v>No</v>
      </c>
      <c r="I2225">
        <f>VLOOKUP($A2225,'Medical Examinations'!$A:$J,9,FALSE)</f>
        <v>0</v>
      </c>
      <c r="J2225" t="str">
        <f>VLOOKUP($A2225,'Medical Examinations'!$A:$J,10,FALSE)</f>
        <v>No</v>
      </c>
      <c r="K2225" t="str">
        <f>VLOOKUP($A2225,'Medical Examinations'!$A:$J,5,FALSE)</f>
        <v>Normal</v>
      </c>
      <c r="L2225">
        <f>VLOOKUP($A2226,'Medical Examinations'!$A:$J,3,FALSE)</f>
        <v>18.36</v>
      </c>
      <c r="N2225" s="11">
        <f>VLOOKUP($B2225,'Hospitalisation Details'!A2224:J4568,10,0)</f>
        <v>34918</v>
      </c>
      <c r="O2225" t="str">
        <f>VLOOKUP($B2225,'Hospitalisation Details'!A2224:J4568,8,0)</f>
        <v>tier - 3</v>
      </c>
      <c r="P2225" t="str">
        <f>VLOOKUP($B2225,'Hospitalisation Details'!A2224:J4568,7,0)</f>
        <v>tier - 1</v>
      </c>
      <c r="Q2225" t="str">
        <f>VLOOKUP($B2225,'Hospitalisation Details'!A2224:J4568,9,0)</f>
        <v>R1013</v>
      </c>
      <c r="R2225">
        <f>VLOOKUP($B2225,'Hospitalisation Details'!A2224:K4568,11,0)</f>
        <v>27</v>
      </c>
    </row>
    <row r="2226" spans="1:18" x14ac:dyDescent="0.35">
      <c r="A2226" t="s">
        <v>133</v>
      </c>
      <c r="B2226" t="s">
        <v>2254</v>
      </c>
      <c r="C2226" t="str">
        <f>VLOOKUP($A2226,'Customer Names'!$A:$E,4,FALSE)</f>
        <v>Pat</v>
      </c>
      <c r="D2226" t="str">
        <f>VLOOKUP($A2226,'Medical Examinations'!$A:$J,2,FALSE)</f>
        <v>Underweight</v>
      </c>
      <c r="E2226">
        <f>VLOOKUP($A2226,'Medical Examinations'!$A:$J,4,FALSE)</f>
        <v>5.96</v>
      </c>
      <c r="F2226" t="str">
        <f>VLOOKUP($A2226,'Medical Examinations'!$A:$J,6,FALSE)</f>
        <v>No</v>
      </c>
      <c r="G2226" t="str">
        <f>VLOOKUP($A2226,'Medical Examinations'!$A:$J,7,FALSE)</f>
        <v>No</v>
      </c>
      <c r="H2226" t="str">
        <f>VLOOKUP($A2226,'Medical Examinations'!$A:$J,8,FALSE)</f>
        <v>No</v>
      </c>
      <c r="I2226">
        <f>VLOOKUP($A2226,'Medical Examinations'!$A:$J,9,FALSE)</f>
        <v>1</v>
      </c>
      <c r="J2226" t="str">
        <f>VLOOKUP($A2226,'Medical Examinations'!$A:$J,10,FALSE)</f>
        <v>No</v>
      </c>
      <c r="K2226" t="str">
        <f>VLOOKUP($A2226,'Medical Examinations'!$A:$J,5,FALSE)</f>
        <v>Prediabetes</v>
      </c>
      <c r="L2226">
        <f>VLOOKUP($A2227,'Medical Examinations'!$A:$J,3,FALSE)</f>
        <v>15.92</v>
      </c>
      <c r="N2226" s="11">
        <f>VLOOKUP($B2226,'Hospitalisation Details'!A2225:J4569,10,0)</f>
        <v>28476</v>
      </c>
      <c r="O2226" t="str">
        <f>VLOOKUP($B2226,'Hospitalisation Details'!A2225:J4569,8,0)</f>
        <v>tier - 1</v>
      </c>
      <c r="P2226" t="str">
        <f>VLOOKUP($B2226,'Hospitalisation Details'!A2225:J4569,7,0)</f>
        <v>tier - 2</v>
      </c>
      <c r="Q2226" t="str">
        <f>VLOOKUP($B2226,'Hospitalisation Details'!A2225:J4569,9,0)</f>
        <v>R1012</v>
      </c>
      <c r="R2226">
        <f>VLOOKUP($B2226,'Hospitalisation Details'!A2225:K4569,11,0)</f>
        <v>45</v>
      </c>
    </row>
    <row r="2227" spans="1:18" x14ac:dyDescent="0.35">
      <c r="A2227" t="s">
        <v>132</v>
      </c>
      <c r="B2227" t="s">
        <v>2255</v>
      </c>
      <c r="C2227" t="str">
        <f>VLOOKUP($A2227,'Customer Names'!$A:$E,4,FALSE)</f>
        <v>Ashley</v>
      </c>
      <c r="D2227" t="str">
        <f>VLOOKUP($A2227,'Medical Examinations'!$A:$J,2,FALSE)</f>
        <v>Underweight</v>
      </c>
      <c r="E2227">
        <f>VLOOKUP($A2227,'Medical Examinations'!$A:$J,4,FALSE)</f>
        <v>4.76</v>
      </c>
      <c r="F2227" t="str">
        <f>VLOOKUP($A2227,'Medical Examinations'!$A:$J,6,FALSE)</f>
        <v>yes</v>
      </c>
      <c r="G2227" t="str">
        <f>VLOOKUP($A2227,'Medical Examinations'!$A:$J,7,FALSE)</f>
        <v>No</v>
      </c>
      <c r="H2227" t="str">
        <f>VLOOKUP($A2227,'Medical Examinations'!$A:$J,8,FALSE)</f>
        <v>No</v>
      </c>
      <c r="I2227">
        <f>VLOOKUP($A2227,'Medical Examinations'!$A:$J,9,FALSE)</f>
        <v>1</v>
      </c>
      <c r="J2227" t="str">
        <f>VLOOKUP($A2227,'Medical Examinations'!$A:$J,10,FALSE)</f>
        <v>No</v>
      </c>
      <c r="K2227" t="str">
        <f>VLOOKUP($A2227,'Medical Examinations'!$A:$J,5,FALSE)</f>
        <v>Normal</v>
      </c>
      <c r="L2227">
        <f>VLOOKUP($A2228,'Medical Examinations'!$A:$J,3,FALSE)</f>
        <v>15.17</v>
      </c>
      <c r="N2227" s="11">
        <f>VLOOKUP($B2227,'Hospitalisation Details'!A2226:J4570,10,0)</f>
        <v>25110</v>
      </c>
      <c r="O2227" t="str">
        <f>VLOOKUP($B2227,'Hospitalisation Details'!A2226:J4570,8,0)</f>
        <v>tier - 2</v>
      </c>
      <c r="P2227" t="str">
        <f>VLOOKUP($B2227,'Hospitalisation Details'!A2226:J4570,7,0)</f>
        <v>tier - 2</v>
      </c>
      <c r="Q2227" t="str">
        <f>VLOOKUP($B2227,'Hospitalisation Details'!A2226:J4570,9,0)</f>
        <v>R1011</v>
      </c>
      <c r="R2227">
        <f>VLOOKUP($B2227,'Hospitalisation Details'!A2226:K4570,11,0)</f>
        <v>54</v>
      </c>
    </row>
    <row r="2228" spans="1:18" x14ac:dyDescent="0.35">
      <c r="A2228" t="s">
        <v>131</v>
      </c>
      <c r="B2228" t="s">
        <v>2256</v>
      </c>
      <c r="C2228" t="str">
        <f>VLOOKUP($A2228,'Customer Names'!$A:$E,4,FALSE)</f>
        <v>Elizabeth A.</v>
      </c>
      <c r="D2228" t="str">
        <f>VLOOKUP($A2228,'Medical Examinations'!$A:$J,2,FALSE)</f>
        <v>Underweight</v>
      </c>
      <c r="E2228">
        <f>VLOOKUP($A2228,'Medical Examinations'!$A:$J,4,FALSE)</f>
        <v>4.3</v>
      </c>
      <c r="F2228" t="str">
        <f>VLOOKUP($A2228,'Medical Examinations'!$A:$J,6,FALSE)</f>
        <v>yes</v>
      </c>
      <c r="G2228" t="str">
        <f>VLOOKUP($A2228,'Medical Examinations'!$A:$J,7,FALSE)</f>
        <v>No</v>
      </c>
      <c r="H2228" t="str">
        <f>VLOOKUP($A2228,'Medical Examinations'!$A:$J,8,FALSE)</f>
        <v>Yes</v>
      </c>
      <c r="I2228">
        <f>VLOOKUP($A2228,'Medical Examinations'!$A:$J,9,FALSE)</f>
        <v>1</v>
      </c>
      <c r="J2228" t="str">
        <f>VLOOKUP($A2228,'Medical Examinations'!$A:$J,10,FALSE)</f>
        <v>No</v>
      </c>
      <c r="K2228" t="str">
        <f>VLOOKUP($A2228,'Medical Examinations'!$A:$J,5,FALSE)</f>
        <v>Normal</v>
      </c>
      <c r="L2228">
        <f>VLOOKUP($A2229,'Medical Examinations'!$A:$J,3,FALSE)</f>
        <v>16.63</v>
      </c>
      <c r="N2228" s="11">
        <f>VLOOKUP($B2228,'Hospitalisation Details'!A2227:J4571,10,0)</f>
        <v>37818</v>
      </c>
      <c r="O2228" t="str">
        <f>VLOOKUP($B2228,'Hospitalisation Details'!A2227:J4571,8,0)</f>
        <v>tier - 1</v>
      </c>
      <c r="P2228" t="str">
        <f>VLOOKUP($B2228,'Hospitalisation Details'!A2227:J4571,7,0)</f>
        <v>tier - 1</v>
      </c>
      <c r="Q2228" t="str">
        <f>VLOOKUP($B2228,'Hospitalisation Details'!A2227:J4571,9,0)</f>
        <v>R1013</v>
      </c>
      <c r="R2228">
        <f>VLOOKUP($B2228,'Hospitalisation Details'!A2227:K4571,11,0)</f>
        <v>19</v>
      </c>
    </row>
    <row r="2229" spans="1:18" x14ac:dyDescent="0.35">
      <c r="A2229" t="s">
        <v>130</v>
      </c>
      <c r="B2229" t="s">
        <v>2257</v>
      </c>
      <c r="C2229" t="str">
        <f>VLOOKUP($A2229,'Customer Names'!$A:$E,4,FALSE)</f>
        <v>Rebecca M.</v>
      </c>
      <c r="D2229" t="str">
        <f>VLOOKUP($A2229,'Medical Examinations'!$A:$J,2,FALSE)</f>
        <v>Underweight</v>
      </c>
      <c r="E2229">
        <f>VLOOKUP($A2229,'Medical Examinations'!$A:$J,4,FALSE)</f>
        <v>4.5</v>
      </c>
      <c r="F2229" t="str">
        <f>VLOOKUP($A2229,'Medical Examinations'!$A:$J,6,FALSE)</f>
        <v>No</v>
      </c>
      <c r="G2229" t="str">
        <f>VLOOKUP($A2229,'Medical Examinations'!$A:$J,7,FALSE)</f>
        <v>No</v>
      </c>
      <c r="H2229" t="str">
        <f>VLOOKUP($A2229,'Medical Examinations'!$A:$J,8,FALSE)</f>
        <v>No</v>
      </c>
      <c r="I2229">
        <f>VLOOKUP($A2229,'Medical Examinations'!$A:$J,9,FALSE)</f>
        <v>1</v>
      </c>
      <c r="J2229" t="str">
        <f>VLOOKUP($A2229,'Medical Examinations'!$A:$J,10,FALSE)</f>
        <v>No</v>
      </c>
      <c r="K2229" t="str">
        <f>VLOOKUP($A2229,'Medical Examinations'!$A:$J,5,FALSE)</f>
        <v>Normal</v>
      </c>
      <c r="L2229">
        <f>VLOOKUP($A2230,'Medical Examinations'!$A:$J,3,FALSE)</f>
        <v>19.39</v>
      </c>
      <c r="N2229" s="11">
        <f>VLOOKUP($B2229,'Hospitalisation Details'!A2228:J4572,10,0)</f>
        <v>28349</v>
      </c>
      <c r="O2229" t="str">
        <f>VLOOKUP($B2229,'Hospitalisation Details'!A2228:J4572,8,0)</f>
        <v>tier - 1</v>
      </c>
      <c r="P2229" t="str">
        <f>VLOOKUP($B2229,'Hospitalisation Details'!A2228:J4572,7,0)</f>
        <v>tier - 2</v>
      </c>
      <c r="Q2229" t="str">
        <f>VLOOKUP($B2229,'Hospitalisation Details'!A2228:J4572,9,0)</f>
        <v>R1012</v>
      </c>
      <c r="R2229">
        <f>VLOOKUP($B2229,'Hospitalisation Details'!A2228:K4572,11,0)</f>
        <v>45</v>
      </c>
    </row>
    <row r="2230" spans="1:18" x14ac:dyDescent="0.35">
      <c r="A2230" t="s">
        <v>129</v>
      </c>
      <c r="B2230" t="s">
        <v>2258</v>
      </c>
      <c r="C2230" t="str">
        <f>VLOOKUP($A2230,'Customer Names'!$A:$E,4,FALSE)</f>
        <v>Ruth</v>
      </c>
      <c r="D2230" t="str">
        <f>VLOOKUP($A2230,'Medical Examinations'!$A:$J,2,FALSE)</f>
        <v>Normal Weight</v>
      </c>
      <c r="E2230">
        <f>VLOOKUP($A2230,'Medical Examinations'!$A:$J,4,FALSE)</f>
        <v>5.59</v>
      </c>
      <c r="F2230" t="str">
        <f>VLOOKUP($A2230,'Medical Examinations'!$A:$J,6,FALSE)</f>
        <v>No</v>
      </c>
      <c r="G2230" t="str">
        <f>VLOOKUP($A2230,'Medical Examinations'!$A:$J,7,FALSE)</f>
        <v>No</v>
      </c>
      <c r="H2230" t="str">
        <f>VLOOKUP($A2230,'Medical Examinations'!$A:$J,8,FALSE)</f>
        <v>Yes</v>
      </c>
      <c r="I2230">
        <f>VLOOKUP($A2230,'Medical Examinations'!$A:$J,9,FALSE)</f>
        <v>1</v>
      </c>
      <c r="J2230" t="str">
        <f>VLOOKUP($A2230,'Medical Examinations'!$A:$J,10,FALSE)</f>
        <v>No</v>
      </c>
      <c r="K2230" t="str">
        <f>VLOOKUP($A2230,'Medical Examinations'!$A:$J,5,FALSE)</f>
        <v>Normal</v>
      </c>
      <c r="L2230">
        <f>VLOOKUP($A2231,'Medical Examinations'!$A:$J,3,FALSE)</f>
        <v>17.34</v>
      </c>
      <c r="N2230" s="11">
        <f>VLOOKUP($B2230,'Hospitalisation Details'!A2229:J4573,10,0)</f>
        <v>27015</v>
      </c>
      <c r="O2230" t="str">
        <f>VLOOKUP($B2230,'Hospitalisation Details'!A2229:J4573,8,0)</f>
        <v>tier - 2</v>
      </c>
      <c r="P2230" t="str">
        <f>VLOOKUP($B2230,'Hospitalisation Details'!A2229:J4573,7,0)</f>
        <v>tier - 1</v>
      </c>
      <c r="Q2230" t="str">
        <f>VLOOKUP($B2230,'Hospitalisation Details'!A2229:J4573,9,0)</f>
        <v>R1011</v>
      </c>
      <c r="R2230">
        <f>VLOOKUP($B2230,'Hospitalisation Details'!A2229:K4573,11,0)</f>
        <v>49</v>
      </c>
    </row>
    <row r="2231" spans="1:18" x14ac:dyDescent="0.35">
      <c r="A2231" t="s">
        <v>128</v>
      </c>
      <c r="B2231" t="s">
        <v>2259</v>
      </c>
      <c r="C2231" t="str">
        <f>VLOOKUP($A2231,'Customer Names'!$A:$E,4,FALSE)</f>
        <v>Gregory S</v>
      </c>
      <c r="D2231" t="str">
        <f>VLOOKUP($A2231,'Medical Examinations'!$A:$J,2,FALSE)</f>
        <v>Underweight</v>
      </c>
      <c r="E2231">
        <f>VLOOKUP($A2231,'Medical Examinations'!$A:$J,4,FALSE)</f>
        <v>6.29</v>
      </c>
      <c r="F2231" t="str">
        <f>VLOOKUP($A2231,'Medical Examinations'!$A:$J,6,FALSE)</f>
        <v>yes</v>
      </c>
      <c r="G2231" t="str">
        <f>VLOOKUP($A2231,'Medical Examinations'!$A:$J,7,FALSE)</f>
        <v>No</v>
      </c>
      <c r="H2231" t="str">
        <f>VLOOKUP($A2231,'Medical Examinations'!$A:$J,8,FALSE)</f>
        <v>Yes</v>
      </c>
      <c r="I2231">
        <f>VLOOKUP($A2231,'Medical Examinations'!$A:$J,9,FALSE)</f>
        <v>1</v>
      </c>
      <c r="J2231" t="str">
        <f>VLOOKUP($A2231,'Medical Examinations'!$A:$J,10,FALSE)</f>
        <v>No</v>
      </c>
      <c r="K2231" t="str">
        <f>VLOOKUP($A2231,'Medical Examinations'!$A:$J,5,FALSE)</f>
        <v>Prediabetes</v>
      </c>
      <c r="L2231">
        <f>VLOOKUP($A2232,'Medical Examinations'!$A:$J,3,FALSE)</f>
        <v>17.940000000000001</v>
      </c>
      <c r="N2231" s="11">
        <f>VLOOKUP($B2231,'Hospitalisation Details'!A2230:J4574,10,0)</f>
        <v>31982</v>
      </c>
      <c r="O2231" t="str">
        <f>VLOOKUP($B2231,'Hospitalisation Details'!A2230:J4574,8,0)</f>
        <v>tier - 1</v>
      </c>
      <c r="P2231" t="str">
        <f>VLOOKUP($B2231,'Hospitalisation Details'!A2230:J4574,7,0)</f>
        <v>tier - 1</v>
      </c>
      <c r="Q2231" t="str">
        <f>VLOOKUP($B2231,'Hospitalisation Details'!A2230:J4574,9,0)</f>
        <v>R1014</v>
      </c>
      <c r="R2231">
        <f>VLOOKUP($B2231,'Hospitalisation Details'!A2230:K4574,11,0)</f>
        <v>35</v>
      </c>
    </row>
    <row r="2232" spans="1:18" x14ac:dyDescent="0.35">
      <c r="A2232" t="s">
        <v>127</v>
      </c>
      <c r="B2232" t="s">
        <v>2260</v>
      </c>
      <c r="C2232" t="str">
        <f>VLOOKUP($A2232,'Customer Names'!$A:$E,4,FALSE)</f>
        <v>Alexandra S</v>
      </c>
      <c r="D2232" t="str">
        <f>VLOOKUP($A2232,'Medical Examinations'!$A:$J,2,FALSE)</f>
        <v>Underweight</v>
      </c>
      <c r="E2232">
        <f>VLOOKUP($A2232,'Medical Examinations'!$A:$J,4,FALSE)</f>
        <v>4.1900000000000004</v>
      </c>
      <c r="F2232" t="str">
        <f>VLOOKUP($A2232,'Medical Examinations'!$A:$J,6,FALSE)</f>
        <v>No</v>
      </c>
      <c r="G2232" t="str">
        <f>VLOOKUP($A2232,'Medical Examinations'!$A:$J,7,FALSE)</f>
        <v>yes</v>
      </c>
      <c r="H2232" t="str">
        <f>VLOOKUP($A2232,'Medical Examinations'!$A:$J,8,FALSE)</f>
        <v>No</v>
      </c>
      <c r="I2232">
        <f>VLOOKUP($A2232,'Medical Examinations'!$A:$J,9,FALSE)</f>
        <v>1</v>
      </c>
      <c r="J2232" t="str">
        <f>VLOOKUP($A2232,'Medical Examinations'!$A:$J,10,FALSE)</f>
        <v>No</v>
      </c>
      <c r="K2232" t="str">
        <f>VLOOKUP($A2232,'Medical Examinations'!$A:$J,5,FALSE)</f>
        <v>Normal</v>
      </c>
      <c r="L2232">
        <f>VLOOKUP($A2233,'Medical Examinations'!$A:$J,3,FALSE)</f>
        <v>16.670000000000002</v>
      </c>
      <c r="N2232" s="11">
        <f>VLOOKUP($B2232,'Hospitalisation Details'!A2231:J4575,10,0)</f>
        <v>31245</v>
      </c>
      <c r="O2232" t="str">
        <f>VLOOKUP($B2232,'Hospitalisation Details'!A2231:J4575,8,0)</f>
        <v>tier - 1</v>
      </c>
      <c r="P2232" t="str">
        <f>VLOOKUP($B2232,'Hospitalisation Details'!A2231:J4575,7,0)</f>
        <v>tier - 2</v>
      </c>
      <c r="Q2232" t="str">
        <f>VLOOKUP($B2232,'Hospitalisation Details'!A2231:J4575,9,0)</f>
        <v>R1011</v>
      </c>
      <c r="R2232">
        <f>VLOOKUP($B2232,'Hospitalisation Details'!A2231:K4575,11,0)</f>
        <v>37</v>
      </c>
    </row>
    <row r="2233" spans="1:18" x14ac:dyDescent="0.35">
      <c r="A2233" t="s">
        <v>126</v>
      </c>
      <c r="B2233" t="s">
        <v>2261</v>
      </c>
      <c r="C2233" t="str">
        <f>VLOOKUP($A2233,'Customer Names'!$A:$E,4,FALSE)</f>
        <v>Hillary</v>
      </c>
      <c r="D2233" t="str">
        <f>VLOOKUP($A2233,'Medical Examinations'!$A:$J,2,FALSE)</f>
        <v>Underweight</v>
      </c>
      <c r="E2233">
        <f>VLOOKUP($A2233,'Medical Examinations'!$A:$J,4,FALSE)</f>
        <v>4.7</v>
      </c>
      <c r="F2233" t="str">
        <f>VLOOKUP($A2233,'Medical Examinations'!$A:$J,6,FALSE)</f>
        <v>yes</v>
      </c>
      <c r="G2233" t="str">
        <f>VLOOKUP($A2233,'Medical Examinations'!$A:$J,7,FALSE)</f>
        <v>No</v>
      </c>
      <c r="H2233" t="str">
        <f>VLOOKUP($A2233,'Medical Examinations'!$A:$J,8,FALSE)</f>
        <v>Yes</v>
      </c>
      <c r="I2233">
        <f>VLOOKUP($A2233,'Medical Examinations'!$A:$J,9,FALSE)</f>
        <v>1</v>
      </c>
      <c r="J2233" t="str">
        <f>VLOOKUP($A2233,'Medical Examinations'!$A:$J,10,FALSE)</f>
        <v>No</v>
      </c>
      <c r="K2233" t="str">
        <f>VLOOKUP($A2233,'Medical Examinations'!$A:$J,5,FALSE)</f>
        <v>Normal</v>
      </c>
      <c r="L2233">
        <f>VLOOKUP($A2234,'Medical Examinations'!$A:$J,3,FALSE)</f>
        <v>20.58</v>
      </c>
      <c r="N2233" s="11">
        <f>VLOOKUP($B2233,'Hospitalisation Details'!A2232:J4576,10,0)</f>
        <v>30468</v>
      </c>
      <c r="O2233" t="str">
        <f>VLOOKUP($B2233,'Hospitalisation Details'!A2232:J4576,8,0)</f>
        <v>tier - 2</v>
      </c>
      <c r="P2233" t="str">
        <f>VLOOKUP($B2233,'Hospitalisation Details'!A2232:J4576,7,0)</f>
        <v>tier - 2</v>
      </c>
      <c r="Q2233" t="str">
        <f>VLOOKUP($B2233,'Hospitalisation Details'!A2232:J4576,9,0)</f>
        <v>R1011</v>
      </c>
      <c r="R2233">
        <f>VLOOKUP($B2233,'Hospitalisation Details'!A2232:K4576,11,0)</f>
        <v>40</v>
      </c>
    </row>
    <row r="2234" spans="1:18" x14ac:dyDescent="0.35">
      <c r="A2234" t="s">
        <v>125</v>
      </c>
      <c r="B2234" t="s">
        <v>2262</v>
      </c>
      <c r="C2234" t="str">
        <f>VLOOKUP($A2234,'Customer Names'!$A:$E,4,FALSE)</f>
        <v>Amy K.</v>
      </c>
      <c r="D2234" t="str">
        <f>VLOOKUP($A2234,'Medical Examinations'!$A:$J,2,FALSE)</f>
        <v>Normal Weight</v>
      </c>
      <c r="E2234">
        <f>VLOOKUP($A2234,'Medical Examinations'!$A:$J,4,FALSE)</f>
        <v>5.64</v>
      </c>
      <c r="F2234" t="str">
        <f>VLOOKUP($A2234,'Medical Examinations'!$A:$J,6,FALSE)</f>
        <v>yes</v>
      </c>
      <c r="G2234" t="str">
        <f>VLOOKUP($A2234,'Medical Examinations'!$A:$J,7,FALSE)</f>
        <v>No</v>
      </c>
      <c r="H2234" t="str">
        <f>VLOOKUP($A2234,'Medical Examinations'!$A:$J,8,FALSE)</f>
        <v>No</v>
      </c>
      <c r="I2234">
        <f>VLOOKUP($A2234,'Medical Examinations'!$A:$J,9,FALSE)</f>
        <v>0</v>
      </c>
      <c r="J2234" t="str">
        <f>VLOOKUP($A2234,'Medical Examinations'!$A:$J,10,FALSE)</f>
        <v>No</v>
      </c>
      <c r="K2234" t="str">
        <f>VLOOKUP($A2234,'Medical Examinations'!$A:$J,5,FALSE)</f>
        <v>Normal</v>
      </c>
      <c r="L2234">
        <f>VLOOKUP($A2235,'Medical Examinations'!$A:$J,3,FALSE)</f>
        <v>16.5</v>
      </c>
      <c r="N2234" s="11">
        <f>VLOOKUP($B2234,'Hospitalisation Details'!A2233:J4577,10,0)</f>
        <v>31281</v>
      </c>
      <c r="O2234" t="str">
        <f>VLOOKUP($B2234,'Hospitalisation Details'!A2233:J4577,8,0)</f>
        <v>tier - 2</v>
      </c>
      <c r="P2234" t="str">
        <f>VLOOKUP($B2234,'Hospitalisation Details'!A2233:J4577,7,0)</f>
        <v>tier - 1</v>
      </c>
      <c r="Q2234" t="str">
        <f>VLOOKUP($B2234,'Hospitalisation Details'!A2233:J4577,9,0)</f>
        <v>R1013</v>
      </c>
      <c r="R2234">
        <f>VLOOKUP($B2234,'Hospitalisation Details'!A2233:K4577,11,0)</f>
        <v>37</v>
      </c>
    </row>
    <row r="2235" spans="1:18" x14ac:dyDescent="0.35">
      <c r="A2235" t="s">
        <v>124</v>
      </c>
      <c r="B2235" t="s">
        <v>2263</v>
      </c>
      <c r="C2235" t="str">
        <f>VLOOKUP($A2235,'Customer Names'!$A:$E,4,FALSE)</f>
        <v>Scott</v>
      </c>
      <c r="D2235" t="str">
        <f>VLOOKUP($A2235,'Medical Examinations'!$A:$J,2,FALSE)</f>
        <v>Underweight</v>
      </c>
      <c r="E2235">
        <f>VLOOKUP($A2235,'Medical Examinations'!$A:$J,4,FALSE)</f>
        <v>4.1100000000000003</v>
      </c>
      <c r="F2235" t="str">
        <f>VLOOKUP($A2235,'Medical Examinations'!$A:$J,6,FALSE)</f>
        <v>yes</v>
      </c>
      <c r="G2235" t="str">
        <f>VLOOKUP($A2235,'Medical Examinations'!$A:$J,7,FALSE)</f>
        <v>No</v>
      </c>
      <c r="H2235" t="str">
        <f>VLOOKUP($A2235,'Medical Examinations'!$A:$J,8,FALSE)</f>
        <v>No</v>
      </c>
      <c r="I2235">
        <f>VLOOKUP($A2235,'Medical Examinations'!$A:$J,9,FALSE)</f>
        <v>0</v>
      </c>
      <c r="J2235" t="str">
        <f>VLOOKUP($A2235,'Medical Examinations'!$A:$J,10,FALSE)</f>
        <v>No</v>
      </c>
      <c r="K2235" t="str">
        <f>VLOOKUP($A2235,'Medical Examinations'!$A:$J,5,FALSE)</f>
        <v>Normal</v>
      </c>
      <c r="L2235">
        <f>VLOOKUP($A2236,'Medical Examinations'!$A:$J,3,FALSE)</f>
        <v>15.41</v>
      </c>
      <c r="N2235" s="11">
        <f>VLOOKUP($B2235,'Hospitalisation Details'!A2234:J4578,10,0)</f>
        <v>27730</v>
      </c>
      <c r="O2235" t="str">
        <f>VLOOKUP($B2235,'Hospitalisation Details'!A2234:J4578,8,0)</f>
        <v>tier - 2</v>
      </c>
      <c r="P2235" t="str">
        <f>VLOOKUP($B2235,'Hospitalisation Details'!A2234:J4578,7,0)</f>
        <v>tier - 2</v>
      </c>
      <c r="Q2235" t="str">
        <f>VLOOKUP($B2235,'Hospitalisation Details'!A2234:J4578,9,0)</f>
        <v>R1011</v>
      </c>
      <c r="R2235">
        <f>VLOOKUP($B2235,'Hospitalisation Details'!A2234:K4578,11,0)</f>
        <v>47</v>
      </c>
    </row>
    <row r="2236" spans="1:18" x14ac:dyDescent="0.35">
      <c r="A2236" t="s">
        <v>123</v>
      </c>
      <c r="B2236" t="s">
        <v>2264</v>
      </c>
      <c r="C2236" t="str">
        <f>VLOOKUP($A2236,'Customer Names'!$A:$E,4,FALSE)</f>
        <v>John</v>
      </c>
      <c r="D2236" t="str">
        <f>VLOOKUP($A2236,'Medical Examinations'!$A:$J,2,FALSE)</f>
        <v>Underweight</v>
      </c>
      <c r="E2236">
        <f>VLOOKUP($A2236,'Medical Examinations'!$A:$J,4,FALSE)</f>
        <v>5.43</v>
      </c>
      <c r="F2236" t="str">
        <f>VLOOKUP($A2236,'Medical Examinations'!$A:$J,6,FALSE)</f>
        <v>yes</v>
      </c>
      <c r="G2236" t="str">
        <f>VLOOKUP($A2236,'Medical Examinations'!$A:$J,7,FALSE)</f>
        <v>No</v>
      </c>
      <c r="H2236" t="str">
        <f>VLOOKUP($A2236,'Medical Examinations'!$A:$J,8,FALSE)</f>
        <v>Yes</v>
      </c>
      <c r="I2236">
        <f>VLOOKUP($A2236,'Medical Examinations'!$A:$J,9,FALSE)</f>
        <v>1</v>
      </c>
      <c r="J2236" t="str">
        <f>VLOOKUP($A2236,'Medical Examinations'!$A:$J,10,FALSE)</f>
        <v>No</v>
      </c>
      <c r="K2236" t="str">
        <f>VLOOKUP($A2236,'Medical Examinations'!$A:$J,5,FALSE)</f>
        <v>Normal</v>
      </c>
      <c r="L2236">
        <f>VLOOKUP($A2237,'Medical Examinations'!$A:$J,3,FALSE)</f>
        <v>24.59</v>
      </c>
      <c r="N2236" s="11">
        <f>VLOOKUP($B2236,'Hospitalisation Details'!A2235:J4579,10,0)</f>
        <v>31997</v>
      </c>
      <c r="O2236" t="str">
        <f>VLOOKUP($B2236,'Hospitalisation Details'!A2235:J4579,8,0)</f>
        <v>tier - 3</v>
      </c>
      <c r="P2236" t="str">
        <f>VLOOKUP($B2236,'Hospitalisation Details'!A2235:J4579,7,0)</f>
        <v>tier - 2</v>
      </c>
      <c r="Q2236" t="str">
        <f>VLOOKUP($B2236,'Hospitalisation Details'!A2235:J4579,9,0)</f>
        <v>R1012</v>
      </c>
      <c r="R2236">
        <f>VLOOKUP($B2236,'Hospitalisation Details'!A2235:K4579,11,0)</f>
        <v>35</v>
      </c>
    </row>
    <row r="2237" spans="1:18" x14ac:dyDescent="0.35">
      <c r="A2237" t="s">
        <v>122</v>
      </c>
      <c r="B2237" t="s">
        <v>2265</v>
      </c>
      <c r="C2237" t="str">
        <f>VLOOKUP($A2237,'Customer Names'!$A:$E,4,FALSE)</f>
        <v>Maaikel</v>
      </c>
      <c r="D2237" t="str">
        <f>VLOOKUP($A2237,'Medical Examinations'!$A:$J,2,FALSE)</f>
        <v>Normal Weight</v>
      </c>
      <c r="E2237">
        <f>VLOOKUP($A2237,'Medical Examinations'!$A:$J,4,FALSE)</f>
        <v>4.38</v>
      </c>
      <c r="F2237" t="str">
        <f>VLOOKUP($A2237,'Medical Examinations'!$A:$J,6,FALSE)</f>
        <v>No</v>
      </c>
      <c r="G2237" t="str">
        <f>VLOOKUP($A2237,'Medical Examinations'!$A:$J,7,FALSE)</f>
        <v>No</v>
      </c>
      <c r="H2237" t="str">
        <f>VLOOKUP($A2237,'Medical Examinations'!$A:$J,8,FALSE)</f>
        <v>No</v>
      </c>
      <c r="I2237">
        <f>VLOOKUP($A2237,'Medical Examinations'!$A:$J,9,FALSE)</f>
        <v>1</v>
      </c>
      <c r="J2237" t="str">
        <f>VLOOKUP($A2237,'Medical Examinations'!$A:$J,10,FALSE)</f>
        <v>No</v>
      </c>
      <c r="K2237" t="str">
        <f>VLOOKUP($A2237,'Medical Examinations'!$A:$J,5,FALSE)</f>
        <v>Normal</v>
      </c>
      <c r="L2237">
        <f>VLOOKUP($A2238,'Medical Examinations'!$A:$J,3,FALSE)</f>
        <v>33.33</v>
      </c>
      <c r="N2237" s="11">
        <f>VLOOKUP($B2237,'Hospitalisation Details'!A2236:J4580,10,0)</f>
        <v>30310</v>
      </c>
      <c r="O2237" t="str">
        <f>VLOOKUP($B2237,'Hospitalisation Details'!A2236:J4580,8,0)</f>
        <v>tier - 1</v>
      </c>
      <c r="P2237" t="str">
        <f>VLOOKUP($B2237,'Hospitalisation Details'!A2236:J4580,7,0)</f>
        <v>tier - 1</v>
      </c>
      <c r="Q2237" t="str">
        <f>VLOOKUP($B2237,'Hospitalisation Details'!A2236:J4580,9,0)</f>
        <v>R1012</v>
      </c>
      <c r="R2237">
        <f>VLOOKUP($B2237,'Hospitalisation Details'!A2236:K4580,11,0)</f>
        <v>40</v>
      </c>
    </row>
    <row r="2238" spans="1:18" x14ac:dyDescent="0.35">
      <c r="A2238" t="s">
        <v>121</v>
      </c>
      <c r="B2238" t="s">
        <v>2266</v>
      </c>
      <c r="C2238" t="str">
        <f>VLOOKUP($A2238,'Customer Names'!$A:$E,4,FALSE)</f>
        <v>Daniel C</v>
      </c>
      <c r="D2238" t="str">
        <f>VLOOKUP($A2238,'Medical Examinations'!$A:$J,2,FALSE)</f>
        <v>Obesity</v>
      </c>
      <c r="E2238">
        <f>VLOOKUP($A2238,'Medical Examinations'!$A:$J,4,FALSE)</f>
        <v>9.7899999999999991</v>
      </c>
      <c r="F2238" t="str">
        <f>VLOOKUP($A2238,'Medical Examinations'!$A:$J,6,FALSE)</f>
        <v>No</v>
      </c>
      <c r="G2238" t="str">
        <f>VLOOKUP($A2238,'Medical Examinations'!$A:$J,7,FALSE)</f>
        <v>No</v>
      </c>
      <c r="H2238" t="str">
        <f>VLOOKUP($A2238,'Medical Examinations'!$A:$J,8,FALSE)</f>
        <v>No</v>
      </c>
      <c r="I2238">
        <f>VLOOKUP($A2238,'Medical Examinations'!$A:$J,9,FALSE)</f>
        <v>0</v>
      </c>
      <c r="J2238" t="str">
        <f>VLOOKUP($A2238,'Medical Examinations'!$A:$J,10,FALSE)</f>
        <v>No</v>
      </c>
      <c r="K2238" t="str">
        <f>VLOOKUP($A2238,'Medical Examinations'!$A:$J,5,FALSE)</f>
        <v>Diabetes</v>
      </c>
      <c r="L2238">
        <f>VLOOKUP($A2239,'Medical Examinations'!$A:$J,3,FALSE)</f>
        <v>18.5</v>
      </c>
      <c r="N2238" s="11">
        <f>VLOOKUP($B2238,'Hospitalisation Details'!A2237:J4581,10,0)</f>
        <v>28844</v>
      </c>
      <c r="O2238" t="str">
        <f>VLOOKUP($B2238,'Hospitalisation Details'!A2237:J4581,8,0)</f>
        <v>tier - 3</v>
      </c>
      <c r="P2238" t="str">
        <f>VLOOKUP($B2238,'Hospitalisation Details'!A2237:J4581,7,0)</f>
        <v>tier - 1</v>
      </c>
      <c r="Q2238" t="str">
        <f>VLOOKUP($B2238,'Hospitalisation Details'!A2237:J4581,9,0)</f>
        <v>R1011</v>
      </c>
      <c r="R2238">
        <f>VLOOKUP($B2238,'Hospitalisation Details'!A2237:K4581,11,0)</f>
        <v>44</v>
      </c>
    </row>
    <row r="2239" spans="1:18" x14ac:dyDescent="0.35">
      <c r="A2239" t="s">
        <v>120</v>
      </c>
      <c r="B2239" t="s">
        <v>2267</v>
      </c>
      <c r="C2239" t="str">
        <f>VLOOKUP($A2239,'Customer Names'!$A:$E,4,FALSE)</f>
        <v>Christopher S.</v>
      </c>
      <c r="D2239" t="str">
        <f>VLOOKUP($A2239,'Medical Examinations'!$A:$J,2,FALSE)</f>
        <v>Normal Weight</v>
      </c>
      <c r="E2239">
        <f>VLOOKUP($A2239,'Medical Examinations'!$A:$J,4,FALSE)</f>
        <v>11.84</v>
      </c>
      <c r="F2239" t="str">
        <f>VLOOKUP($A2239,'Medical Examinations'!$A:$J,6,FALSE)</f>
        <v>No</v>
      </c>
      <c r="G2239" t="str">
        <f>VLOOKUP($A2239,'Medical Examinations'!$A:$J,7,FALSE)</f>
        <v>No</v>
      </c>
      <c r="H2239" t="str">
        <f>VLOOKUP($A2239,'Medical Examinations'!$A:$J,8,FALSE)</f>
        <v>No</v>
      </c>
      <c r="I2239">
        <f>VLOOKUP($A2239,'Medical Examinations'!$A:$J,9,FALSE)</f>
        <v>0</v>
      </c>
      <c r="J2239" t="str">
        <f>VLOOKUP($A2239,'Medical Examinations'!$A:$J,10,FALSE)</f>
        <v>No</v>
      </c>
      <c r="K2239" t="str">
        <f>VLOOKUP($A2239,'Medical Examinations'!$A:$J,5,FALSE)</f>
        <v>Diabetes</v>
      </c>
      <c r="L2239">
        <f>VLOOKUP($A2240,'Medical Examinations'!$A:$J,3,FALSE)</f>
        <v>18.579999999999998</v>
      </c>
      <c r="N2239" s="11">
        <f>VLOOKUP($B2239,'Hospitalisation Details'!A2238:J4582,10,0)</f>
        <v>24331</v>
      </c>
      <c r="O2239" t="str">
        <f>VLOOKUP($B2239,'Hospitalisation Details'!A2238:J4582,8,0)</f>
        <v>tier - 3</v>
      </c>
      <c r="P2239" t="str">
        <f>VLOOKUP($B2239,'Hospitalisation Details'!A2238:J4582,7,0)</f>
        <v>tier - 1</v>
      </c>
      <c r="Q2239" t="str">
        <f>VLOOKUP($B2239,'Hospitalisation Details'!A2238:J4582,9,0)</f>
        <v>R1011</v>
      </c>
      <c r="R2239">
        <f>VLOOKUP($B2239,'Hospitalisation Details'!A2238:K4582,11,0)</f>
        <v>56</v>
      </c>
    </row>
    <row r="2240" spans="1:18" x14ac:dyDescent="0.35">
      <c r="A2240" t="s">
        <v>119</v>
      </c>
      <c r="B2240" t="s">
        <v>2268</v>
      </c>
      <c r="C2240" t="str">
        <f>VLOOKUP($A2240,'Customer Names'!$A:$E,4,FALSE)</f>
        <v>William R</v>
      </c>
      <c r="D2240" t="str">
        <f>VLOOKUP($A2240,'Medical Examinations'!$A:$J,2,FALSE)</f>
        <v>Normal Weight</v>
      </c>
      <c r="E2240">
        <f>VLOOKUP($A2240,'Medical Examinations'!$A:$J,4,FALSE)</f>
        <v>6.22</v>
      </c>
      <c r="F2240" t="str">
        <f>VLOOKUP($A2240,'Medical Examinations'!$A:$J,6,FALSE)</f>
        <v>No</v>
      </c>
      <c r="G2240" t="str">
        <f>VLOOKUP($A2240,'Medical Examinations'!$A:$J,7,FALSE)</f>
        <v>No</v>
      </c>
      <c r="H2240" t="str">
        <f>VLOOKUP($A2240,'Medical Examinations'!$A:$J,8,FALSE)</f>
        <v>No</v>
      </c>
      <c r="I2240">
        <f>VLOOKUP($A2240,'Medical Examinations'!$A:$J,9,FALSE)</f>
        <v>0</v>
      </c>
      <c r="J2240" t="str">
        <f>VLOOKUP($A2240,'Medical Examinations'!$A:$J,10,FALSE)</f>
        <v>No</v>
      </c>
      <c r="K2240" t="str">
        <f>VLOOKUP($A2240,'Medical Examinations'!$A:$J,5,FALSE)</f>
        <v>Prediabetes</v>
      </c>
      <c r="L2240">
        <f>VLOOKUP($A2241,'Medical Examinations'!$A:$J,3,FALSE)</f>
        <v>16.64</v>
      </c>
      <c r="N2240" s="11">
        <f>VLOOKUP($B2240,'Hospitalisation Details'!A2239:J4583,10,0)</f>
        <v>30603</v>
      </c>
      <c r="O2240" t="str">
        <f>VLOOKUP($B2240,'Hospitalisation Details'!A2239:J4583,8,0)</f>
        <v>tier - 2</v>
      </c>
      <c r="P2240" t="str">
        <f>VLOOKUP($B2240,'Hospitalisation Details'!A2239:J4583,7,0)</f>
        <v>tier - 1</v>
      </c>
      <c r="Q2240" t="str">
        <f>VLOOKUP($B2240,'Hospitalisation Details'!A2239:J4583,9,0)</f>
        <v>R1011</v>
      </c>
      <c r="R2240">
        <f>VLOOKUP($B2240,'Hospitalisation Details'!A2239:K4583,11,0)</f>
        <v>39</v>
      </c>
    </row>
    <row r="2241" spans="1:18" x14ac:dyDescent="0.35">
      <c r="A2241" t="s">
        <v>118</v>
      </c>
      <c r="B2241" t="s">
        <v>2269</v>
      </c>
      <c r="C2241" t="str">
        <f>VLOOKUP($A2241,'Customer Names'!$A:$E,4,FALSE)</f>
        <v>Lyndsy</v>
      </c>
      <c r="D2241" t="str">
        <f>VLOOKUP($A2241,'Medical Examinations'!$A:$J,2,FALSE)</f>
        <v>Underweight</v>
      </c>
      <c r="E2241">
        <f>VLOOKUP($A2241,'Medical Examinations'!$A:$J,4,FALSE)</f>
        <v>10.01</v>
      </c>
      <c r="F2241" t="str">
        <f>VLOOKUP($A2241,'Medical Examinations'!$A:$J,6,FALSE)</f>
        <v>No</v>
      </c>
      <c r="G2241" t="str">
        <f>VLOOKUP($A2241,'Medical Examinations'!$A:$J,7,FALSE)</f>
        <v>No</v>
      </c>
      <c r="H2241" t="str">
        <f>VLOOKUP($A2241,'Medical Examinations'!$A:$J,8,FALSE)</f>
        <v>No</v>
      </c>
      <c r="I2241">
        <f>VLOOKUP($A2241,'Medical Examinations'!$A:$J,9,FALSE)</f>
        <v>0</v>
      </c>
      <c r="J2241" t="str">
        <f>VLOOKUP($A2241,'Medical Examinations'!$A:$J,10,FALSE)</f>
        <v>No</v>
      </c>
      <c r="K2241" t="str">
        <f>VLOOKUP($A2241,'Medical Examinations'!$A:$J,5,FALSE)</f>
        <v>Diabetes</v>
      </c>
      <c r="L2241">
        <f>VLOOKUP($A2242,'Medical Examinations'!$A:$J,3,FALSE)</f>
        <v>19.329999999999998</v>
      </c>
      <c r="N2241" s="11">
        <f>VLOOKUP($B2241,'Hospitalisation Details'!A2240:J4584,10,0)</f>
        <v>31341</v>
      </c>
      <c r="O2241" t="str">
        <f>VLOOKUP($B2241,'Hospitalisation Details'!A2240:J4584,8,0)</f>
        <v>tier - 2</v>
      </c>
      <c r="P2241" t="str">
        <f>VLOOKUP($B2241,'Hospitalisation Details'!A2240:J4584,7,0)</f>
        <v>tier - 1</v>
      </c>
      <c r="Q2241" t="str">
        <f>VLOOKUP($B2241,'Hospitalisation Details'!A2240:J4584,9,0)</f>
        <v>R1011</v>
      </c>
      <c r="R2241">
        <f>VLOOKUP($B2241,'Hospitalisation Details'!A2240:K4584,11,0)</f>
        <v>37</v>
      </c>
    </row>
    <row r="2242" spans="1:18" x14ac:dyDescent="0.35">
      <c r="A2242" t="s">
        <v>117</v>
      </c>
      <c r="B2242" t="s">
        <v>2270</v>
      </c>
      <c r="C2242" t="str">
        <f>VLOOKUP($A2242,'Customer Names'!$A:$E,4,FALSE)</f>
        <v>Jessica</v>
      </c>
      <c r="D2242" t="str">
        <f>VLOOKUP($A2242,'Medical Examinations'!$A:$J,2,FALSE)</f>
        <v>Normal Weight</v>
      </c>
      <c r="E2242">
        <f>VLOOKUP($A2242,'Medical Examinations'!$A:$J,4,FALSE)</f>
        <v>4.32</v>
      </c>
      <c r="F2242" t="str">
        <f>VLOOKUP($A2242,'Medical Examinations'!$A:$J,6,FALSE)</f>
        <v>No</v>
      </c>
      <c r="G2242" t="str">
        <f>VLOOKUP($A2242,'Medical Examinations'!$A:$J,7,FALSE)</f>
        <v>No</v>
      </c>
      <c r="H2242" t="str">
        <f>VLOOKUP($A2242,'Medical Examinations'!$A:$J,8,FALSE)</f>
        <v>No</v>
      </c>
      <c r="I2242">
        <f>VLOOKUP($A2242,'Medical Examinations'!$A:$J,9,FALSE)</f>
        <v>1</v>
      </c>
      <c r="J2242" t="str">
        <f>VLOOKUP($A2242,'Medical Examinations'!$A:$J,10,FALSE)</f>
        <v>No</v>
      </c>
      <c r="K2242" t="str">
        <f>VLOOKUP($A2242,'Medical Examinations'!$A:$J,5,FALSE)</f>
        <v>Normal</v>
      </c>
      <c r="L2242">
        <f>VLOOKUP($A2243,'Medical Examinations'!$A:$J,3,FALSE)</f>
        <v>21.26</v>
      </c>
      <c r="N2242" s="11">
        <f>VLOOKUP($B2242,'Hospitalisation Details'!A2241:J4585,10,0)</f>
        <v>29085</v>
      </c>
      <c r="O2242" t="str">
        <f>VLOOKUP($B2242,'Hospitalisation Details'!A2241:J4585,8,0)</f>
        <v>tier - 3</v>
      </c>
      <c r="P2242" t="str">
        <f>VLOOKUP($B2242,'Hospitalisation Details'!A2241:J4585,7,0)</f>
        <v>tier - 1</v>
      </c>
      <c r="Q2242" t="str">
        <f>VLOOKUP($B2242,'Hospitalisation Details'!A2241:J4585,9,0)</f>
        <v>R1012</v>
      </c>
      <c r="R2242">
        <f>VLOOKUP($B2242,'Hospitalisation Details'!A2241:K4585,11,0)</f>
        <v>43</v>
      </c>
    </row>
    <row r="2243" spans="1:18" x14ac:dyDescent="0.35">
      <c r="A2243" t="s">
        <v>116</v>
      </c>
      <c r="B2243" t="s">
        <v>2271</v>
      </c>
      <c r="C2243" t="str">
        <f>VLOOKUP($A2243,'Customer Names'!$A:$E,4,FALSE)</f>
        <v>Anna</v>
      </c>
      <c r="D2243" t="str">
        <f>VLOOKUP($A2243,'Medical Examinations'!$A:$J,2,FALSE)</f>
        <v>Normal Weight</v>
      </c>
      <c r="E2243">
        <f>VLOOKUP($A2243,'Medical Examinations'!$A:$J,4,FALSE)</f>
        <v>5.65</v>
      </c>
      <c r="F2243" t="str">
        <f>VLOOKUP($A2243,'Medical Examinations'!$A:$J,6,FALSE)</f>
        <v>yes</v>
      </c>
      <c r="G2243" t="str">
        <f>VLOOKUP($A2243,'Medical Examinations'!$A:$J,7,FALSE)</f>
        <v>No</v>
      </c>
      <c r="H2243" t="str">
        <f>VLOOKUP($A2243,'Medical Examinations'!$A:$J,8,FALSE)</f>
        <v>Yes</v>
      </c>
      <c r="I2243">
        <f>VLOOKUP($A2243,'Medical Examinations'!$A:$J,9,FALSE)</f>
        <v>1</v>
      </c>
      <c r="J2243" t="str">
        <f>VLOOKUP($A2243,'Medical Examinations'!$A:$J,10,FALSE)</f>
        <v>No</v>
      </c>
      <c r="K2243" t="str">
        <f>VLOOKUP($A2243,'Medical Examinations'!$A:$J,5,FALSE)</f>
        <v>Normal</v>
      </c>
      <c r="L2243">
        <f>VLOOKUP($A2244,'Medical Examinations'!$A:$J,3,FALSE)</f>
        <v>15.6</v>
      </c>
      <c r="N2243" s="11">
        <f>VLOOKUP($B2243,'Hospitalisation Details'!A2242:J4586,10,0)</f>
        <v>29795</v>
      </c>
      <c r="O2243" t="str">
        <f>VLOOKUP($B2243,'Hospitalisation Details'!A2242:J4586,8,0)</f>
        <v>tier - 2</v>
      </c>
      <c r="P2243" t="str">
        <f>VLOOKUP($B2243,'Hospitalisation Details'!A2242:J4586,7,0)</f>
        <v>tier - 1</v>
      </c>
      <c r="Q2243" t="str">
        <f>VLOOKUP($B2243,'Hospitalisation Details'!A2242:J4586,9,0)</f>
        <v>R1011</v>
      </c>
      <c r="R2243">
        <f>VLOOKUP($B2243,'Hospitalisation Details'!A2242:K4586,11,0)</f>
        <v>41</v>
      </c>
    </row>
    <row r="2244" spans="1:18" x14ac:dyDescent="0.35">
      <c r="A2244" t="s">
        <v>115</v>
      </c>
      <c r="B2244" t="s">
        <v>2272</v>
      </c>
      <c r="C2244" t="str">
        <f>VLOOKUP($A2244,'Customer Names'!$A:$E,4,FALSE)</f>
        <v>Jordan</v>
      </c>
      <c r="D2244" t="str">
        <f>VLOOKUP($A2244,'Medical Examinations'!$A:$J,2,FALSE)</f>
        <v>Underweight</v>
      </c>
      <c r="E2244">
        <f>VLOOKUP($A2244,'Medical Examinations'!$A:$J,4,FALSE)</f>
        <v>4.12</v>
      </c>
      <c r="F2244" t="str">
        <f>VLOOKUP($A2244,'Medical Examinations'!$A:$J,6,FALSE)</f>
        <v>yes</v>
      </c>
      <c r="G2244" t="str">
        <f>VLOOKUP($A2244,'Medical Examinations'!$A:$J,7,FALSE)</f>
        <v>No</v>
      </c>
      <c r="H2244" t="str">
        <f>VLOOKUP($A2244,'Medical Examinations'!$A:$J,8,FALSE)</f>
        <v>No</v>
      </c>
      <c r="I2244">
        <f>VLOOKUP($A2244,'Medical Examinations'!$A:$J,9,FALSE)</f>
        <v>1</v>
      </c>
      <c r="J2244" t="str">
        <f>VLOOKUP($A2244,'Medical Examinations'!$A:$J,10,FALSE)</f>
        <v>No</v>
      </c>
      <c r="K2244" t="str">
        <f>VLOOKUP($A2244,'Medical Examinations'!$A:$J,5,FALSE)</f>
        <v>Normal</v>
      </c>
      <c r="L2244">
        <f>VLOOKUP($A2245,'Medical Examinations'!$A:$J,3,FALSE)</f>
        <v>24.39</v>
      </c>
      <c r="N2244" s="11">
        <f>VLOOKUP($B2244,'Hospitalisation Details'!A2243:J4587,10,0)</f>
        <v>29863</v>
      </c>
      <c r="O2244" t="str">
        <f>VLOOKUP($B2244,'Hospitalisation Details'!A2243:J4587,8,0)</f>
        <v>tier - 3</v>
      </c>
      <c r="P2244" t="str">
        <f>VLOOKUP($B2244,'Hospitalisation Details'!A2243:J4587,7,0)</f>
        <v>tier - 1</v>
      </c>
      <c r="Q2244" t="str">
        <f>VLOOKUP($B2244,'Hospitalisation Details'!A2243:J4587,9,0)</f>
        <v>R1013</v>
      </c>
      <c r="R2244">
        <f>VLOOKUP($B2244,'Hospitalisation Details'!A2243:K4587,11,0)</f>
        <v>41</v>
      </c>
    </row>
    <row r="2245" spans="1:18" x14ac:dyDescent="0.35">
      <c r="A2245" t="s">
        <v>114</v>
      </c>
      <c r="B2245" t="s">
        <v>2273</v>
      </c>
      <c r="C2245" t="str">
        <f>VLOOKUP($A2245,'Customer Names'!$A:$E,4,FALSE)</f>
        <v>Brian</v>
      </c>
      <c r="D2245" t="str">
        <f>VLOOKUP($A2245,'Medical Examinations'!$A:$J,2,FALSE)</f>
        <v>Normal Weight</v>
      </c>
      <c r="E2245">
        <f>VLOOKUP($A2245,'Medical Examinations'!$A:$J,4,FALSE)</f>
        <v>6.24</v>
      </c>
      <c r="F2245" t="str">
        <f>VLOOKUP($A2245,'Medical Examinations'!$A:$J,6,FALSE)</f>
        <v>No</v>
      </c>
      <c r="G2245" t="str">
        <f>VLOOKUP($A2245,'Medical Examinations'!$A:$J,7,FALSE)</f>
        <v>No</v>
      </c>
      <c r="H2245" t="str">
        <f>VLOOKUP($A2245,'Medical Examinations'!$A:$J,8,FALSE)</f>
        <v>No</v>
      </c>
      <c r="I2245">
        <f>VLOOKUP($A2245,'Medical Examinations'!$A:$J,9,FALSE)</f>
        <v>1</v>
      </c>
      <c r="J2245" t="str">
        <f>VLOOKUP($A2245,'Medical Examinations'!$A:$J,10,FALSE)</f>
        <v>No</v>
      </c>
      <c r="K2245" t="str">
        <f>VLOOKUP($A2245,'Medical Examinations'!$A:$J,5,FALSE)</f>
        <v>Prediabetes</v>
      </c>
      <c r="L2245">
        <f>VLOOKUP($A2246,'Medical Examinations'!$A:$J,3,FALSE)</f>
        <v>24.75</v>
      </c>
      <c r="N2245" s="11">
        <f>VLOOKUP($B2245,'Hospitalisation Details'!A2244:J4588,10,0)</f>
        <v>28303</v>
      </c>
      <c r="O2245" t="str">
        <f>VLOOKUP($B2245,'Hospitalisation Details'!A2244:J4588,8,0)</f>
        <v>tier - 3</v>
      </c>
      <c r="P2245" t="str">
        <f>VLOOKUP($B2245,'Hospitalisation Details'!A2244:J4588,7,0)</f>
        <v>tier - 1</v>
      </c>
      <c r="Q2245" t="str">
        <f>VLOOKUP($B2245,'Hospitalisation Details'!A2244:J4588,9,0)</f>
        <v>R1012</v>
      </c>
      <c r="R2245">
        <f>VLOOKUP($B2245,'Hospitalisation Details'!A2244:K4588,11,0)</f>
        <v>45</v>
      </c>
    </row>
    <row r="2246" spans="1:18" x14ac:dyDescent="0.35">
      <c r="A2246" t="s">
        <v>113</v>
      </c>
      <c r="B2246" t="s">
        <v>2274</v>
      </c>
      <c r="C2246" t="str">
        <f>VLOOKUP($A2246,'Customer Names'!$A:$E,4,FALSE)</f>
        <v>Katherine A</v>
      </c>
      <c r="D2246" t="str">
        <f>VLOOKUP($A2246,'Medical Examinations'!$A:$J,2,FALSE)</f>
        <v>Normal Weight</v>
      </c>
      <c r="E2246">
        <f>VLOOKUP($A2246,'Medical Examinations'!$A:$J,4,FALSE)</f>
        <v>4.83</v>
      </c>
      <c r="F2246" t="str">
        <f>VLOOKUP($A2246,'Medical Examinations'!$A:$J,6,FALSE)</f>
        <v>No</v>
      </c>
      <c r="G2246" t="str">
        <f>VLOOKUP($A2246,'Medical Examinations'!$A:$J,7,FALSE)</f>
        <v>No</v>
      </c>
      <c r="H2246" t="str">
        <f>VLOOKUP($A2246,'Medical Examinations'!$A:$J,8,FALSE)</f>
        <v>No</v>
      </c>
      <c r="I2246">
        <f>VLOOKUP($A2246,'Medical Examinations'!$A:$J,9,FALSE)</f>
        <v>0</v>
      </c>
      <c r="J2246" t="str">
        <f>VLOOKUP($A2246,'Medical Examinations'!$A:$J,10,FALSE)</f>
        <v>No</v>
      </c>
      <c r="K2246" t="str">
        <f>VLOOKUP($A2246,'Medical Examinations'!$A:$J,5,FALSE)</f>
        <v>Normal</v>
      </c>
      <c r="L2246">
        <f>VLOOKUP($A2247,'Medical Examinations'!$A:$J,3,FALSE)</f>
        <v>20.88</v>
      </c>
      <c r="N2246" s="11">
        <f>VLOOKUP($B2246,'Hospitalisation Details'!A2245:J4589,10,0)</f>
        <v>22893</v>
      </c>
      <c r="O2246" t="str">
        <f>VLOOKUP($B2246,'Hospitalisation Details'!A2245:J4589,8,0)</f>
        <v>tier - 3</v>
      </c>
      <c r="P2246" t="str">
        <f>VLOOKUP($B2246,'Hospitalisation Details'!A2245:J4589,7,0)</f>
        <v>tier - 1</v>
      </c>
      <c r="Q2246" t="str">
        <f>VLOOKUP($B2246,'Hospitalisation Details'!A2245:J4589,9,0)</f>
        <v>R1011</v>
      </c>
      <c r="R2246">
        <f>VLOOKUP($B2246,'Hospitalisation Details'!A2245:K4589,11,0)</f>
        <v>60</v>
      </c>
    </row>
    <row r="2247" spans="1:18" x14ac:dyDescent="0.35">
      <c r="A2247" t="s">
        <v>112</v>
      </c>
      <c r="B2247" t="s">
        <v>2275</v>
      </c>
      <c r="C2247" t="str">
        <f>VLOOKUP($A2247,'Customer Names'!$A:$E,4,FALSE)</f>
        <v>Melanie</v>
      </c>
      <c r="D2247" t="str">
        <f>VLOOKUP($A2247,'Medical Examinations'!$A:$J,2,FALSE)</f>
        <v>Normal Weight</v>
      </c>
      <c r="E2247">
        <f>VLOOKUP($A2247,'Medical Examinations'!$A:$J,4,FALSE)</f>
        <v>7.4</v>
      </c>
      <c r="F2247" t="str">
        <f>VLOOKUP($A2247,'Medical Examinations'!$A:$J,6,FALSE)</f>
        <v>No</v>
      </c>
      <c r="G2247" t="str">
        <f>VLOOKUP($A2247,'Medical Examinations'!$A:$J,7,FALSE)</f>
        <v>No</v>
      </c>
      <c r="H2247" t="str">
        <f>VLOOKUP($A2247,'Medical Examinations'!$A:$J,8,FALSE)</f>
        <v>No</v>
      </c>
      <c r="I2247">
        <f>VLOOKUP($A2247,'Medical Examinations'!$A:$J,9,FALSE)</f>
        <v>0</v>
      </c>
      <c r="J2247" t="str">
        <f>VLOOKUP($A2247,'Medical Examinations'!$A:$J,10,FALSE)</f>
        <v>No</v>
      </c>
      <c r="K2247" t="str">
        <f>VLOOKUP($A2247,'Medical Examinations'!$A:$J,5,FALSE)</f>
        <v>Diabetes</v>
      </c>
      <c r="L2247">
        <f>VLOOKUP($A2248,'Medical Examinations'!$A:$J,3,FALSE)</f>
        <v>20.43</v>
      </c>
      <c r="N2247" s="11">
        <f>VLOOKUP($B2247,'Hospitalisation Details'!A2246:J4590,10,0)</f>
        <v>24331</v>
      </c>
      <c r="O2247" t="str">
        <f>VLOOKUP($B2247,'Hospitalisation Details'!A2246:J4590,8,0)</f>
        <v>tier - 3</v>
      </c>
      <c r="P2247" t="str">
        <f>VLOOKUP($B2247,'Hospitalisation Details'!A2246:J4590,7,0)</f>
        <v>tier - 1</v>
      </c>
      <c r="Q2247" t="str">
        <f>VLOOKUP($B2247,'Hospitalisation Details'!A2246:J4590,9,0)</f>
        <v>R1011</v>
      </c>
      <c r="R2247">
        <f>VLOOKUP($B2247,'Hospitalisation Details'!A2246:K4590,11,0)</f>
        <v>56</v>
      </c>
    </row>
    <row r="2248" spans="1:18" x14ac:dyDescent="0.35">
      <c r="A2248" t="s">
        <v>111</v>
      </c>
      <c r="B2248" t="s">
        <v>2276</v>
      </c>
      <c r="C2248" t="str">
        <f>VLOOKUP($A2248,'Customer Names'!$A:$E,4,FALSE)</f>
        <v>Jessica</v>
      </c>
      <c r="D2248" t="str">
        <f>VLOOKUP($A2248,'Medical Examinations'!$A:$J,2,FALSE)</f>
        <v>Normal Weight</v>
      </c>
      <c r="E2248">
        <f>VLOOKUP($A2248,'Medical Examinations'!$A:$J,4,FALSE)</f>
        <v>4.54</v>
      </c>
      <c r="F2248" t="str">
        <f>VLOOKUP($A2248,'Medical Examinations'!$A:$J,6,FALSE)</f>
        <v>No</v>
      </c>
      <c r="G2248" t="str">
        <f>VLOOKUP($A2248,'Medical Examinations'!$A:$J,7,FALSE)</f>
        <v>No</v>
      </c>
      <c r="H2248" t="str">
        <f>VLOOKUP($A2248,'Medical Examinations'!$A:$J,8,FALSE)</f>
        <v>No</v>
      </c>
      <c r="I2248">
        <f>VLOOKUP($A2248,'Medical Examinations'!$A:$J,9,FALSE)</f>
        <v>0</v>
      </c>
      <c r="J2248" t="str">
        <f>VLOOKUP($A2248,'Medical Examinations'!$A:$J,10,FALSE)</f>
        <v>No</v>
      </c>
      <c r="K2248" t="str">
        <f>VLOOKUP($A2248,'Medical Examinations'!$A:$J,5,FALSE)</f>
        <v>Normal</v>
      </c>
      <c r="L2248">
        <f>VLOOKUP($A2249,'Medical Examinations'!$A:$J,3,FALSE)</f>
        <v>15.18</v>
      </c>
      <c r="N2248" s="11">
        <f>VLOOKUP($B2248,'Hospitalisation Details'!A2247:J4591,10,0)</f>
        <v>31354</v>
      </c>
      <c r="O2248" t="str">
        <f>VLOOKUP($B2248,'Hospitalisation Details'!A2247:J4591,8,0)</f>
        <v>tier - 2</v>
      </c>
      <c r="P2248" t="str">
        <f>VLOOKUP($B2248,'Hospitalisation Details'!A2247:J4591,7,0)</f>
        <v>tier - 1</v>
      </c>
      <c r="Q2248" t="str">
        <f>VLOOKUP($B2248,'Hospitalisation Details'!A2247:J4591,9,0)</f>
        <v>R1013</v>
      </c>
      <c r="R2248">
        <f>VLOOKUP($B2248,'Hospitalisation Details'!A2247:K4591,11,0)</f>
        <v>37</v>
      </c>
    </row>
    <row r="2249" spans="1:18" x14ac:dyDescent="0.35">
      <c r="A2249" t="s">
        <v>110</v>
      </c>
      <c r="B2249" t="s">
        <v>2277</v>
      </c>
      <c r="C2249" t="str">
        <f>VLOOKUP($A2249,'Customer Names'!$A:$E,4,FALSE)</f>
        <v>Eric S</v>
      </c>
      <c r="D2249" t="str">
        <f>VLOOKUP($A2249,'Medical Examinations'!$A:$J,2,FALSE)</f>
        <v>Underweight</v>
      </c>
      <c r="E2249">
        <f>VLOOKUP($A2249,'Medical Examinations'!$A:$J,4,FALSE)</f>
        <v>11.11</v>
      </c>
      <c r="F2249" t="str">
        <f>VLOOKUP($A2249,'Medical Examinations'!$A:$J,6,FALSE)</f>
        <v>No</v>
      </c>
      <c r="G2249" t="str">
        <f>VLOOKUP($A2249,'Medical Examinations'!$A:$J,7,FALSE)</f>
        <v>No</v>
      </c>
      <c r="H2249" t="str">
        <f>VLOOKUP($A2249,'Medical Examinations'!$A:$J,8,FALSE)</f>
        <v>No</v>
      </c>
      <c r="I2249">
        <f>VLOOKUP($A2249,'Medical Examinations'!$A:$J,9,FALSE)</f>
        <v>0</v>
      </c>
      <c r="J2249" t="str">
        <f>VLOOKUP($A2249,'Medical Examinations'!$A:$J,10,FALSE)</f>
        <v>No</v>
      </c>
      <c r="K2249" t="str">
        <f>VLOOKUP($A2249,'Medical Examinations'!$A:$J,5,FALSE)</f>
        <v>Diabetes</v>
      </c>
      <c r="L2249">
        <f>VLOOKUP($A2250,'Medical Examinations'!$A:$J,3,FALSE)</f>
        <v>15.12</v>
      </c>
      <c r="N2249" s="11">
        <f>VLOOKUP($B2249,'Hospitalisation Details'!A2248:J4592,10,0)</f>
        <v>27585</v>
      </c>
      <c r="O2249" t="str">
        <f>VLOOKUP($B2249,'Hospitalisation Details'!A2248:J4592,8,0)</f>
        <v>tier - 3</v>
      </c>
      <c r="P2249" t="str">
        <f>VLOOKUP($B2249,'Hospitalisation Details'!A2248:J4592,7,0)</f>
        <v>tier - 1</v>
      </c>
      <c r="Q2249" t="str">
        <f>VLOOKUP($B2249,'Hospitalisation Details'!A2248:J4592,9,0)</f>
        <v>R1012</v>
      </c>
      <c r="R2249">
        <f>VLOOKUP($B2249,'Hospitalisation Details'!A2248:K4592,11,0)</f>
        <v>47</v>
      </c>
    </row>
    <row r="2250" spans="1:18" x14ac:dyDescent="0.35">
      <c r="A2250" t="s">
        <v>109</v>
      </c>
      <c r="B2250" t="s">
        <v>2278</v>
      </c>
      <c r="C2250" t="str">
        <f>VLOOKUP($A2250,'Customer Names'!$A:$E,4,FALSE)</f>
        <v>Joseph</v>
      </c>
      <c r="D2250" t="str">
        <f>VLOOKUP($A2250,'Medical Examinations'!$A:$J,2,FALSE)</f>
        <v>Underweight</v>
      </c>
      <c r="E2250">
        <f>VLOOKUP($A2250,'Medical Examinations'!$A:$J,4,FALSE)</f>
        <v>4.03</v>
      </c>
      <c r="F2250" t="str">
        <f>VLOOKUP($A2250,'Medical Examinations'!$A:$J,6,FALSE)</f>
        <v>yes</v>
      </c>
      <c r="G2250" t="str">
        <f>VLOOKUP($A2250,'Medical Examinations'!$A:$J,7,FALSE)</f>
        <v>No</v>
      </c>
      <c r="H2250" t="str">
        <f>VLOOKUP($A2250,'Medical Examinations'!$A:$J,8,FALSE)</f>
        <v>No</v>
      </c>
      <c r="I2250">
        <f>VLOOKUP($A2250,'Medical Examinations'!$A:$J,9,FALSE)</f>
        <v>0</v>
      </c>
      <c r="J2250" t="str">
        <f>VLOOKUP($A2250,'Medical Examinations'!$A:$J,10,FALSE)</f>
        <v>No</v>
      </c>
      <c r="K2250" t="str">
        <f>VLOOKUP($A2250,'Medical Examinations'!$A:$J,5,FALSE)</f>
        <v>Normal</v>
      </c>
      <c r="L2250">
        <f>VLOOKUP($A2251,'Medical Examinations'!$A:$J,3,FALSE)</f>
        <v>23.88</v>
      </c>
      <c r="N2250" s="11">
        <f>VLOOKUP($B2250,'Hospitalisation Details'!A2249:J4593,10,0)</f>
        <v>25836</v>
      </c>
      <c r="O2250" t="str">
        <f>VLOOKUP($B2250,'Hospitalisation Details'!A2249:J4593,8,0)</f>
        <v>tier - 1</v>
      </c>
      <c r="P2250" t="str">
        <f>VLOOKUP($B2250,'Hospitalisation Details'!A2249:J4593,7,0)</f>
        <v>tier - 1</v>
      </c>
      <c r="Q2250" t="str">
        <f>VLOOKUP($B2250,'Hospitalisation Details'!A2249:J4593,9,0)</f>
        <v>R1011</v>
      </c>
      <c r="R2250">
        <f>VLOOKUP($B2250,'Hospitalisation Details'!A2249:K4593,11,0)</f>
        <v>52</v>
      </c>
    </row>
    <row r="2251" spans="1:18" x14ac:dyDescent="0.35">
      <c r="A2251" t="s">
        <v>108</v>
      </c>
      <c r="B2251" t="s">
        <v>2279</v>
      </c>
      <c r="C2251" t="str">
        <f>VLOOKUP($A2251,'Customer Names'!$A:$E,4,FALSE)</f>
        <v>Mary</v>
      </c>
      <c r="D2251" t="str">
        <f>VLOOKUP($A2251,'Medical Examinations'!$A:$J,2,FALSE)</f>
        <v>Normal Weight</v>
      </c>
      <c r="E2251">
        <f>VLOOKUP($A2251,'Medical Examinations'!$A:$J,4,FALSE)</f>
        <v>4.51</v>
      </c>
      <c r="F2251" t="str">
        <f>VLOOKUP($A2251,'Medical Examinations'!$A:$J,6,FALSE)</f>
        <v>No</v>
      </c>
      <c r="G2251" t="str">
        <f>VLOOKUP($A2251,'Medical Examinations'!$A:$J,7,FALSE)</f>
        <v>No</v>
      </c>
      <c r="H2251" t="str">
        <f>VLOOKUP($A2251,'Medical Examinations'!$A:$J,8,FALSE)</f>
        <v>No</v>
      </c>
      <c r="I2251">
        <f>VLOOKUP($A2251,'Medical Examinations'!$A:$J,9,FALSE)</f>
        <v>1</v>
      </c>
      <c r="J2251" t="str">
        <f>VLOOKUP($A2251,'Medical Examinations'!$A:$J,10,FALSE)</f>
        <v>No</v>
      </c>
      <c r="K2251" t="str">
        <f>VLOOKUP($A2251,'Medical Examinations'!$A:$J,5,FALSE)</f>
        <v>Normal</v>
      </c>
      <c r="L2251">
        <f>VLOOKUP($A2252,'Medical Examinations'!$A:$J,3,FALSE)</f>
        <v>16.13</v>
      </c>
      <c r="N2251" s="11">
        <f>VLOOKUP($B2251,'Hospitalisation Details'!A2250:J4594,10,0)</f>
        <v>28120</v>
      </c>
      <c r="O2251" t="str">
        <f>VLOOKUP($B2251,'Hospitalisation Details'!A2250:J4594,8,0)</f>
        <v>tier - 3</v>
      </c>
      <c r="P2251" t="str">
        <f>VLOOKUP($B2251,'Hospitalisation Details'!A2250:J4594,7,0)</f>
        <v>tier - 1</v>
      </c>
      <c r="Q2251" t="str">
        <f>VLOOKUP($B2251,'Hospitalisation Details'!A2250:J4594,9,0)</f>
        <v>R1012</v>
      </c>
      <c r="R2251">
        <f>VLOOKUP($B2251,'Hospitalisation Details'!A2250:K4594,11,0)</f>
        <v>46</v>
      </c>
    </row>
    <row r="2252" spans="1:18" x14ac:dyDescent="0.35">
      <c r="A2252" t="s">
        <v>107</v>
      </c>
      <c r="B2252" t="s">
        <v>2280</v>
      </c>
      <c r="C2252" t="str">
        <f>VLOOKUP($A2252,'Customer Names'!$A:$E,4,FALSE)</f>
        <v>Natalie</v>
      </c>
      <c r="D2252" t="str">
        <f>VLOOKUP($A2252,'Medical Examinations'!$A:$J,2,FALSE)</f>
        <v>Underweight</v>
      </c>
      <c r="E2252">
        <f>VLOOKUP($A2252,'Medical Examinations'!$A:$J,4,FALSE)</f>
        <v>5.56</v>
      </c>
      <c r="F2252" t="str">
        <f>VLOOKUP($A2252,'Medical Examinations'!$A:$J,6,FALSE)</f>
        <v>No</v>
      </c>
      <c r="G2252" t="str">
        <f>VLOOKUP($A2252,'Medical Examinations'!$A:$J,7,FALSE)</f>
        <v>yes</v>
      </c>
      <c r="H2252" t="str">
        <f>VLOOKUP($A2252,'Medical Examinations'!$A:$J,8,FALSE)</f>
        <v>No</v>
      </c>
      <c r="I2252">
        <f>VLOOKUP($A2252,'Medical Examinations'!$A:$J,9,FALSE)</f>
        <v>1</v>
      </c>
      <c r="J2252" t="str">
        <f>VLOOKUP($A2252,'Medical Examinations'!$A:$J,10,FALSE)</f>
        <v>No</v>
      </c>
      <c r="K2252" t="str">
        <f>VLOOKUP($A2252,'Medical Examinations'!$A:$J,5,FALSE)</f>
        <v>Normal</v>
      </c>
      <c r="L2252">
        <f>VLOOKUP($A2253,'Medical Examinations'!$A:$J,3,FALSE)</f>
        <v>24.09</v>
      </c>
      <c r="N2252" s="11">
        <f>VLOOKUP($B2252,'Hospitalisation Details'!A2251:J4595,10,0)</f>
        <v>26460</v>
      </c>
      <c r="O2252" t="str">
        <f>VLOOKUP($B2252,'Hospitalisation Details'!A2251:J4595,8,0)</f>
        <v>tier - 3</v>
      </c>
      <c r="P2252" t="str">
        <f>VLOOKUP($B2252,'Hospitalisation Details'!A2251:J4595,7,0)</f>
        <v>tier - 1</v>
      </c>
      <c r="Q2252" t="str">
        <f>VLOOKUP($B2252,'Hospitalisation Details'!A2251:J4595,9,0)</f>
        <v>R1011</v>
      </c>
      <c r="R2252">
        <f>VLOOKUP($B2252,'Hospitalisation Details'!A2251:K4595,11,0)</f>
        <v>50</v>
      </c>
    </row>
    <row r="2253" spans="1:18" x14ac:dyDescent="0.35">
      <c r="A2253" t="s">
        <v>106</v>
      </c>
      <c r="B2253" t="s">
        <v>2281</v>
      </c>
      <c r="C2253" t="str">
        <f>VLOOKUP($A2253,'Customer Names'!$A:$E,4,FALSE)</f>
        <v>Christopher</v>
      </c>
      <c r="D2253" t="str">
        <f>VLOOKUP($A2253,'Medical Examinations'!$A:$J,2,FALSE)</f>
        <v>Normal Weight</v>
      </c>
      <c r="E2253">
        <f>VLOOKUP($A2253,'Medical Examinations'!$A:$J,4,FALSE)</f>
        <v>4.0999999999999996</v>
      </c>
      <c r="F2253" t="str">
        <f>VLOOKUP($A2253,'Medical Examinations'!$A:$J,6,FALSE)</f>
        <v>No</v>
      </c>
      <c r="G2253" t="str">
        <f>VLOOKUP($A2253,'Medical Examinations'!$A:$J,7,FALSE)</f>
        <v>yes</v>
      </c>
      <c r="H2253" t="str">
        <f>VLOOKUP($A2253,'Medical Examinations'!$A:$J,8,FALSE)</f>
        <v>No</v>
      </c>
      <c r="I2253">
        <f>VLOOKUP($A2253,'Medical Examinations'!$A:$J,9,FALSE)</f>
        <v>1</v>
      </c>
      <c r="J2253" t="str">
        <f>VLOOKUP($A2253,'Medical Examinations'!$A:$J,10,FALSE)</f>
        <v>No</v>
      </c>
      <c r="K2253" t="str">
        <f>VLOOKUP($A2253,'Medical Examinations'!$A:$J,5,FALSE)</f>
        <v>Normal</v>
      </c>
      <c r="L2253">
        <f>VLOOKUP($A2254,'Medical Examinations'!$A:$J,3,FALSE)</f>
        <v>19.43</v>
      </c>
      <c r="N2253" s="11">
        <f>VLOOKUP($B2253,'Hospitalisation Details'!A2252:J4596,10,0)</f>
        <v>36343</v>
      </c>
      <c r="O2253" t="str">
        <f>VLOOKUP($B2253,'Hospitalisation Details'!A2252:J4596,8,0)</f>
        <v>tier - 1</v>
      </c>
      <c r="P2253" t="str">
        <f>VLOOKUP($B2253,'Hospitalisation Details'!A2252:J4596,7,0)</f>
        <v>tier - 1</v>
      </c>
      <c r="Q2253" t="str">
        <f>VLOOKUP($B2253,'Hospitalisation Details'!A2252:J4596,9,0)</f>
        <v>R1024</v>
      </c>
      <c r="R2253">
        <f>VLOOKUP($B2253,'Hospitalisation Details'!A2252:K4596,11,0)</f>
        <v>23</v>
      </c>
    </row>
    <row r="2254" spans="1:18" x14ac:dyDescent="0.35">
      <c r="A2254" t="s">
        <v>105</v>
      </c>
      <c r="B2254" t="s">
        <v>2282</v>
      </c>
      <c r="C2254" t="str">
        <f>VLOOKUP($A2254,'Customer Names'!$A:$E,4,FALSE)</f>
        <v>Sonja</v>
      </c>
      <c r="D2254" t="str">
        <f>VLOOKUP($A2254,'Medical Examinations'!$A:$J,2,FALSE)</f>
        <v>Normal Weight</v>
      </c>
      <c r="E2254">
        <f>VLOOKUP($A2254,'Medical Examinations'!$A:$J,4,FALSE)</f>
        <v>5.85</v>
      </c>
      <c r="F2254" t="str">
        <f>VLOOKUP($A2254,'Medical Examinations'!$A:$J,6,FALSE)</f>
        <v>No</v>
      </c>
      <c r="G2254" t="str">
        <f>VLOOKUP($A2254,'Medical Examinations'!$A:$J,7,FALSE)</f>
        <v>yes</v>
      </c>
      <c r="H2254" t="str">
        <f>VLOOKUP($A2254,'Medical Examinations'!$A:$J,8,FALSE)</f>
        <v>No</v>
      </c>
      <c r="I2254">
        <f>VLOOKUP($A2254,'Medical Examinations'!$A:$J,9,FALSE)</f>
        <v>1</v>
      </c>
      <c r="J2254" t="str">
        <f>VLOOKUP($A2254,'Medical Examinations'!$A:$J,10,FALSE)</f>
        <v>No</v>
      </c>
      <c r="K2254" t="str">
        <f>VLOOKUP($A2254,'Medical Examinations'!$A:$J,5,FALSE)</f>
        <v>Prediabetes</v>
      </c>
      <c r="L2254">
        <f>VLOOKUP($A2255,'Medical Examinations'!$A:$J,3,FALSE)</f>
        <v>15.22</v>
      </c>
      <c r="N2254" s="11">
        <f>VLOOKUP($B2254,'Hospitalisation Details'!A2253:J4597,10,0)</f>
        <v>33820</v>
      </c>
      <c r="O2254" t="str">
        <f>VLOOKUP($B2254,'Hospitalisation Details'!A2253:J4597,8,0)</f>
        <v>tier - 2</v>
      </c>
      <c r="P2254" t="str">
        <f>VLOOKUP($B2254,'Hospitalisation Details'!A2253:J4597,7,0)</f>
        <v>tier - 1</v>
      </c>
      <c r="Q2254" t="str">
        <f>VLOOKUP($B2254,'Hospitalisation Details'!A2253:J4597,9,0)</f>
        <v>R1013</v>
      </c>
      <c r="R2254">
        <f>VLOOKUP($B2254,'Hospitalisation Details'!A2253:K4597,11,0)</f>
        <v>30</v>
      </c>
    </row>
    <row r="2255" spans="1:18" x14ac:dyDescent="0.35">
      <c r="A2255" t="s">
        <v>104</v>
      </c>
      <c r="B2255" t="s">
        <v>2283</v>
      </c>
      <c r="C2255" t="str">
        <f>VLOOKUP($A2255,'Customer Names'!$A:$E,4,FALSE)</f>
        <v>Alexandra</v>
      </c>
      <c r="D2255" t="str">
        <f>VLOOKUP($A2255,'Medical Examinations'!$A:$J,2,FALSE)</f>
        <v>Underweight</v>
      </c>
      <c r="E2255">
        <f>VLOOKUP($A2255,'Medical Examinations'!$A:$J,4,FALSE)</f>
        <v>4.92</v>
      </c>
      <c r="F2255" t="str">
        <f>VLOOKUP($A2255,'Medical Examinations'!$A:$J,6,FALSE)</f>
        <v>yes</v>
      </c>
      <c r="G2255" t="str">
        <f>VLOOKUP($A2255,'Medical Examinations'!$A:$J,7,FALSE)</f>
        <v>No</v>
      </c>
      <c r="H2255" t="str">
        <f>VLOOKUP($A2255,'Medical Examinations'!$A:$J,8,FALSE)</f>
        <v>Yes</v>
      </c>
      <c r="I2255">
        <f>VLOOKUP($A2255,'Medical Examinations'!$A:$J,9,FALSE)</f>
        <v>1</v>
      </c>
      <c r="J2255" t="str">
        <f>VLOOKUP($A2255,'Medical Examinations'!$A:$J,10,FALSE)</f>
        <v>No</v>
      </c>
      <c r="K2255" t="str">
        <f>VLOOKUP($A2255,'Medical Examinations'!$A:$J,5,FALSE)</f>
        <v>Normal</v>
      </c>
      <c r="L2255">
        <f>VLOOKUP($A2256,'Medical Examinations'!$A:$J,3,FALSE)</f>
        <v>20.72</v>
      </c>
      <c r="N2255" s="11">
        <f>VLOOKUP($B2255,'Hospitalisation Details'!A2254:J4598,10,0)</f>
        <v>29114</v>
      </c>
      <c r="O2255" t="str">
        <f>VLOOKUP($B2255,'Hospitalisation Details'!A2254:J4598,8,0)</f>
        <v>tier - 2</v>
      </c>
      <c r="P2255" t="str">
        <f>VLOOKUP($B2255,'Hospitalisation Details'!A2254:J4598,7,0)</f>
        <v>tier - 1</v>
      </c>
      <c r="Q2255" t="str">
        <f>VLOOKUP($B2255,'Hospitalisation Details'!A2254:J4598,9,0)</f>
        <v>R1013</v>
      </c>
      <c r="R2255">
        <f>VLOOKUP($B2255,'Hospitalisation Details'!A2254:K4598,11,0)</f>
        <v>43</v>
      </c>
    </row>
    <row r="2256" spans="1:18" x14ac:dyDescent="0.35">
      <c r="A2256" t="s">
        <v>103</v>
      </c>
      <c r="B2256" t="s">
        <v>2284</v>
      </c>
      <c r="C2256" t="str">
        <f>VLOOKUP($A2256,'Customer Names'!$A:$E,4,FALSE)</f>
        <v>Martha L.</v>
      </c>
      <c r="D2256" t="str">
        <f>VLOOKUP($A2256,'Medical Examinations'!$A:$J,2,FALSE)</f>
        <v>Normal Weight</v>
      </c>
      <c r="E2256">
        <f>VLOOKUP($A2256,'Medical Examinations'!$A:$J,4,FALSE)</f>
        <v>9.4600000000000009</v>
      </c>
      <c r="F2256" t="str">
        <f>VLOOKUP($A2256,'Medical Examinations'!$A:$J,6,FALSE)</f>
        <v>No</v>
      </c>
      <c r="G2256" t="str">
        <f>VLOOKUP($A2256,'Medical Examinations'!$A:$J,7,FALSE)</f>
        <v>No</v>
      </c>
      <c r="H2256" t="str">
        <f>VLOOKUP($A2256,'Medical Examinations'!$A:$J,8,FALSE)</f>
        <v>No</v>
      </c>
      <c r="I2256">
        <f>VLOOKUP($A2256,'Medical Examinations'!$A:$J,9,FALSE)</f>
        <v>0</v>
      </c>
      <c r="J2256" t="str">
        <f>VLOOKUP($A2256,'Medical Examinations'!$A:$J,10,FALSE)</f>
        <v>No</v>
      </c>
      <c r="K2256" t="str">
        <f>VLOOKUP($A2256,'Medical Examinations'!$A:$J,5,FALSE)</f>
        <v>Diabetes</v>
      </c>
      <c r="L2256">
        <f>VLOOKUP($A2257,'Medical Examinations'!$A:$J,3,FALSE)</f>
        <v>35.4</v>
      </c>
      <c r="N2256" s="11">
        <f>VLOOKUP($B2256,'Hospitalisation Details'!A2255:J4599,10,0)</f>
        <v>30567</v>
      </c>
      <c r="O2256" t="str">
        <f>VLOOKUP($B2256,'Hospitalisation Details'!A2255:J4599,8,0)</f>
        <v>tier - 2</v>
      </c>
      <c r="P2256" t="str">
        <f>VLOOKUP($B2256,'Hospitalisation Details'!A2255:J4599,7,0)</f>
        <v>tier - 1</v>
      </c>
      <c r="Q2256" t="str">
        <f>VLOOKUP($B2256,'Hospitalisation Details'!A2255:J4599,9,0)</f>
        <v>R1011</v>
      </c>
      <c r="R2256">
        <f>VLOOKUP($B2256,'Hospitalisation Details'!A2255:K4599,11,0)</f>
        <v>39</v>
      </c>
    </row>
    <row r="2257" spans="1:18" x14ac:dyDescent="0.35">
      <c r="A2257" t="s">
        <v>102</v>
      </c>
      <c r="B2257" t="s">
        <v>2285</v>
      </c>
      <c r="C2257" t="str">
        <f>VLOOKUP($A2257,'Customer Names'!$A:$E,4,FALSE)</f>
        <v>Ryan C.</v>
      </c>
      <c r="D2257" t="str">
        <f>VLOOKUP($A2257,'Medical Examinations'!$A:$J,2,FALSE)</f>
        <v>Obesity</v>
      </c>
      <c r="E2257">
        <f>VLOOKUP($A2257,'Medical Examinations'!$A:$J,4,FALSE)</f>
        <v>5.94</v>
      </c>
      <c r="F2257" t="str">
        <f>VLOOKUP($A2257,'Medical Examinations'!$A:$J,6,FALSE)</f>
        <v>No</v>
      </c>
      <c r="G2257" t="str">
        <f>VLOOKUP($A2257,'Medical Examinations'!$A:$J,7,FALSE)</f>
        <v>No</v>
      </c>
      <c r="H2257" t="str">
        <f>VLOOKUP($A2257,'Medical Examinations'!$A:$J,8,FALSE)</f>
        <v>Yes</v>
      </c>
      <c r="I2257">
        <f>VLOOKUP($A2257,'Medical Examinations'!$A:$J,9,FALSE)</f>
        <v>1</v>
      </c>
      <c r="J2257" t="str">
        <f>VLOOKUP($A2257,'Medical Examinations'!$A:$J,10,FALSE)</f>
        <v>No</v>
      </c>
      <c r="K2257" t="str">
        <f>VLOOKUP($A2257,'Medical Examinations'!$A:$J,5,FALSE)</f>
        <v>Prediabetes</v>
      </c>
      <c r="L2257">
        <f>VLOOKUP($A2258,'Medical Examinations'!$A:$J,3,FALSE)</f>
        <v>34.4</v>
      </c>
      <c r="N2257" s="11">
        <f>VLOOKUP($B2257,'Hospitalisation Details'!A2256:J4600,10,0)</f>
        <v>27185</v>
      </c>
      <c r="O2257" t="str">
        <f>VLOOKUP($B2257,'Hospitalisation Details'!A2256:J4600,8,0)</f>
        <v>tier - 2</v>
      </c>
      <c r="P2257" t="str">
        <f>VLOOKUP($B2257,'Hospitalisation Details'!A2256:J4600,7,0)</f>
        <v>tier - 1</v>
      </c>
      <c r="Q2257" t="str">
        <f>VLOOKUP($B2257,'Hospitalisation Details'!A2256:J4600,9,0)</f>
        <v>R1013</v>
      </c>
      <c r="R2257">
        <f>VLOOKUP($B2257,'Hospitalisation Details'!A2256:K4600,11,0)</f>
        <v>49</v>
      </c>
    </row>
    <row r="2258" spans="1:18" x14ac:dyDescent="0.35">
      <c r="A2258" t="s">
        <v>101</v>
      </c>
      <c r="B2258" t="s">
        <v>2286</v>
      </c>
      <c r="C2258" t="str">
        <f>VLOOKUP($A2258,'Customer Names'!$A:$E,4,FALSE)</f>
        <v>Cliff</v>
      </c>
      <c r="D2258" t="str">
        <f>VLOOKUP($A2258,'Medical Examinations'!$A:$J,2,FALSE)</f>
        <v>Obesity</v>
      </c>
      <c r="E2258">
        <f>VLOOKUP($A2258,'Medical Examinations'!$A:$J,4,FALSE)</f>
        <v>5.7</v>
      </c>
      <c r="F2258" t="str">
        <f>VLOOKUP($A2258,'Medical Examinations'!$A:$J,6,FALSE)</f>
        <v>No</v>
      </c>
      <c r="G2258" t="str">
        <f>VLOOKUP($A2258,'Medical Examinations'!$A:$J,7,FALSE)</f>
        <v>No</v>
      </c>
      <c r="H2258" t="str">
        <f>VLOOKUP($A2258,'Medical Examinations'!$A:$J,8,FALSE)</f>
        <v>Yes</v>
      </c>
      <c r="I2258">
        <f>VLOOKUP($A2258,'Medical Examinations'!$A:$J,9,FALSE)</f>
        <v>1</v>
      </c>
      <c r="J2258" t="str">
        <f>VLOOKUP($A2258,'Medical Examinations'!$A:$J,10,FALSE)</f>
        <v>No</v>
      </c>
      <c r="K2258" t="str">
        <f>VLOOKUP($A2258,'Medical Examinations'!$A:$J,5,FALSE)</f>
        <v>Prediabetes</v>
      </c>
      <c r="L2258">
        <f>VLOOKUP($A2259,'Medical Examinations'!$A:$J,3,FALSE)</f>
        <v>34.1</v>
      </c>
      <c r="N2258" s="11">
        <f>VLOOKUP($B2258,'Hospitalisation Details'!A2257:J4601,10,0)</f>
        <v>29139</v>
      </c>
      <c r="O2258" t="str">
        <f>VLOOKUP($B2258,'Hospitalisation Details'!A2257:J4601,8,0)</f>
        <v>tier - 3</v>
      </c>
      <c r="P2258" t="str">
        <f>VLOOKUP($B2258,'Hospitalisation Details'!A2257:J4601,7,0)</f>
        <v>tier - 1</v>
      </c>
      <c r="Q2258" t="str">
        <f>VLOOKUP($B2258,'Hospitalisation Details'!A2257:J4601,9,0)</f>
        <v>R1017</v>
      </c>
      <c r="R2258">
        <f>VLOOKUP($B2258,'Hospitalisation Details'!A2257:K4601,11,0)</f>
        <v>43</v>
      </c>
    </row>
    <row r="2259" spans="1:18" x14ac:dyDescent="0.35">
      <c r="A2259" t="s">
        <v>100</v>
      </c>
      <c r="B2259" t="s">
        <v>2287</v>
      </c>
      <c r="C2259" t="str">
        <f>VLOOKUP($A2259,'Customer Names'!$A:$E,4,FALSE)</f>
        <v>Blue</v>
      </c>
      <c r="D2259" t="str">
        <f>VLOOKUP($A2259,'Medical Examinations'!$A:$J,2,FALSE)</f>
        <v>Obesity</v>
      </c>
      <c r="E2259">
        <f>VLOOKUP($A2259,'Medical Examinations'!$A:$J,4,FALSE)</f>
        <v>4.13</v>
      </c>
      <c r="F2259" t="str">
        <f>VLOOKUP($A2259,'Medical Examinations'!$A:$J,6,FALSE)</f>
        <v>No</v>
      </c>
      <c r="G2259" t="str">
        <f>VLOOKUP($A2259,'Medical Examinations'!$A:$J,7,FALSE)</f>
        <v>No</v>
      </c>
      <c r="H2259" t="str">
        <f>VLOOKUP($A2259,'Medical Examinations'!$A:$J,8,FALSE)</f>
        <v>Yes</v>
      </c>
      <c r="I2259">
        <f>VLOOKUP($A2259,'Medical Examinations'!$A:$J,9,FALSE)</f>
        <v>1</v>
      </c>
      <c r="J2259" t="str">
        <f>VLOOKUP($A2259,'Medical Examinations'!$A:$J,10,FALSE)</f>
        <v>No</v>
      </c>
      <c r="K2259" t="str">
        <f>VLOOKUP($A2259,'Medical Examinations'!$A:$J,5,FALSE)</f>
        <v>Normal</v>
      </c>
      <c r="L2259">
        <f>VLOOKUP($A2260,'Medical Examinations'!$A:$J,3,FALSE)</f>
        <v>30.4</v>
      </c>
      <c r="N2259" s="11">
        <f>VLOOKUP($B2259,'Hospitalisation Details'!A2258:J4602,10,0)</f>
        <v>26523</v>
      </c>
      <c r="O2259" t="str">
        <f>VLOOKUP($B2259,'Hospitalisation Details'!A2258:J4602,8,0)</f>
        <v>tier - 2</v>
      </c>
      <c r="P2259" t="str">
        <f>VLOOKUP($B2259,'Hospitalisation Details'!A2258:J4602,7,0)</f>
        <v>tier - 1</v>
      </c>
      <c r="Q2259" t="str">
        <f>VLOOKUP($B2259,'Hospitalisation Details'!A2258:J4602,9,0)</f>
        <v>R1011</v>
      </c>
      <c r="R2259">
        <f>VLOOKUP($B2259,'Hospitalisation Details'!A2258:K4602,11,0)</f>
        <v>50</v>
      </c>
    </row>
    <row r="2260" spans="1:18" x14ac:dyDescent="0.35">
      <c r="A2260" t="s">
        <v>99</v>
      </c>
      <c r="B2260" t="s">
        <v>2288</v>
      </c>
      <c r="C2260" t="str">
        <f>VLOOKUP($A2260,'Customer Names'!$A:$E,4,FALSE)</f>
        <v>Jeffrey M</v>
      </c>
      <c r="D2260" t="str">
        <f>VLOOKUP($A2260,'Medical Examinations'!$A:$J,2,FALSE)</f>
        <v>Obesity</v>
      </c>
      <c r="E2260">
        <f>VLOOKUP($A2260,'Medical Examinations'!$A:$J,4,FALSE)</f>
        <v>4.7699999999999996</v>
      </c>
      <c r="F2260" t="str">
        <f>VLOOKUP($A2260,'Medical Examinations'!$A:$J,6,FALSE)</f>
        <v>No</v>
      </c>
      <c r="G2260" t="str">
        <f>VLOOKUP($A2260,'Medical Examinations'!$A:$J,7,FALSE)</f>
        <v>No</v>
      </c>
      <c r="H2260" t="str">
        <f>VLOOKUP($A2260,'Medical Examinations'!$A:$J,8,FALSE)</f>
        <v>Yes</v>
      </c>
      <c r="I2260">
        <f>VLOOKUP($A2260,'Medical Examinations'!$A:$J,9,FALSE)</f>
        <v>1</v>
      </c>
      <c r="J2260" t="str">
        <f>VLOOKUP($A2260,'Medical Examinations'!$A:$J,10,FALSE)</f>
        <v>No</v>
      </c>
      <c r="K2260" t="str">
        <f>VLOOKUP($A2260,'Medical Examinations'!$A:$J,5,FALSE)</f>
        <v>Normal</v>
      </c>
      <c r="L2260">
        <f>VLOOKUP($A2261,'Medical Examinations'!$A:$J,3,FALSE)</f>
        <v>28.7</v>
      </c>
      <c r="N2260" s="11">
        <f>VLOOKUP($B2260,'Hospitalisation Details'!A2259:J4603,10,0)</f>
        <v>26548</v>
      </c>
      <c r="O2260" t="str">
        <f>VLOOKUP($B2260,'Hospitalisation Details'!A2259:J4603,8,0)</f>
        <v>tier - 3</v>
      </c>
      <c r="P2260" t="str">
        <f>VLOOKUP($B2260,'Hospitalisation Details'!A2259:J4603,7,0)</f>
        <v>tier - 1</v>
      </c>
      <c r="Q2260" t="str">
        <f>VLOOKUP($B2260,'Hospitalisation Details'!A2259:J4603,9,0)</f>
        <v>R1016</v>
      </c>
      <c r="R2260">
        <f>VLOOKUP($B2260,'Hospitalisation Details'!A2259:K4603,11,0)</f>
        <v>50</v>
      </c>
    </row>
    <row r="2261" spans="1:18" x14ac:dyDescent="0.35">
      <c r="A2261" t="s">
        <v>98</v>
      </c>
      <c r="B2261" t="s">
        <v>2289</v>
      </c>
      <c r="C2261" t="str">
        <f>VLOOKUP($A2261,'Customer Names'!$A:$E,4,FALSE)</f>
        <v>Andrew</v>
      </c>
      <c r="D2261" t="str">
        <f>VLOOKUP($A2261,'Medical Examinations'!$A:$J,2,FALSE)</f>
        <v>Overweight</v>
      </c>
      <c r="E2261">
        <f>VLOOKUP($A2261,'Medical Examinations'!$A:$J,4,FALSE)</f>
        <v>4.99</v>
      </c>
      <c r="F2261" t="str">
        <f>VLOOKUP($A2261,'Medical Examinations'!$A:$J,6,FALSE)</f>
        <v>No</v>
      </c>
      <c r="G2261" t="str">
        <f>VLOOKUP($A2261,'Medical Examinations'!$A:$J,7,FALSE)</f>
        <v>No</v>
      </c>
      <c r="H2261" t="str">
        <f>VLOOKUP($A2261,'Medical Examinations'!$A:$J,8,FALSE)</f>
        <v>Yes</v>
      </c>
      <c r="I2261">
        <f>VLOOKUP($A2261,'Medical Examinations'!$A:$J,9,FALSE)</f>
        <v>1</v>
      </c>
      <c r="J2261" t="str">
        <f>VLOOKUP($A2261,'Medical Examinations'!$A:$J,10,FALSE)</f>
        <v>No</v>
      </c>
      <c r="K2261" t="str">
        <f>VLOOKUP($A2261,'Medical Examinations'!$A:$J,5,FALSE)</f>
        <v>Normal</v>
      </c>
      <c r="L2261">
        <f>VLOOKUP($A2262,'Medical Examinations'!$A:$J,3,FALSE)</f>
        <v>17.440000000000001</v>
      </c>
      <c r="N2261" s="11">
        <f>VLOOKUP($B2261,'Hospitalisation Details'!A2260:J4604,10,0)</f>
        <v>25423</v>
      </c>
      <c r="O2261" t="str">
        <f>VLOOKUP($B2261,'Hospitalisation Details'!A2260:J4604,8,0)</f>
        <v>tier - 2</v>
      </c>
      <c r="P2261" t="str">
        <f>VLOOKUP($B2261,'Hospitalisation Details'!A2260:J4604,7,0)</f>
        <v>tier - 1</v>
      </c>
      <c r="Q2261" t="str">
        <f>VLOOKUP($B2261,'Hospitalisation Details'!A2260:J4604,9,0)</f>
        <v>R1011</v>
      </c>
      <c r="R2261">
        <f>VLOOKUP($B2261,'Hospitalisation Details'!A2260:K4604,11,0)</f>
        <v>53</v>
      </c>
    </row>
    <row r="2262" spans="1:18" x14ac:dyDescent="0.35">
      <c r="A2262" t="s">
        <v>97</v>
      </c>
      <c r="B2262" t="s">
        <v>2290</v>
      </c>
      <c r="C2262" t="str">
        <f>VLOOKUP($A2262,'Customer Names'!$A:$E,4,FALSE)</f>
        <v>Julia</v>
      </c>
      <c r="D2262" t="str">
        <f>VLOOKUP($A2262,'Medical Examinations'!$A:$J,2,FALSE)</f>
        <v>Underweight</v>
      </c>
      <c r="E2262">
        <f>VLOOKUP($A2262,'Medical Examinations'!$A:$J,4,FALSE)</f>
        <v>4.42</v>
      </c>
      <c r="F2262" t="str">
        <f>VLOOKUP($A2262,'Medical Examinations'!$A:$J,6,FALSE)</f>
        <v>yes</v>
      </c>
      <c r="G2262" t="str">
        <f>VLOOKUP($A2262,'Medical Examinations'!$A:$J,7,FALSE)</f>
        <v>No</v>
      </c>
      <c r="H2262" t="str">
        <f>VLOOKUP($A2262,'Medical Examinations'!$A:$J,8,FALSE)</f>
        <v>Yes</v>
      </c>
      <c r="I2262">
        <f>VLOOKUP($A2262,'Medical Examinations'!$A:$J,9,FALSE)</f>
        <v>1</v>
      </c>
      <c r="J2262" t="str">
        <f>VLOOKUP($A2262,'Medical Examinations'!$A:$J,10,FALSE)</f>
        <v>No</v>
      </c>
      <c r="K2262" t="str">
        <f>VLOOKUP($A2262,'Medical Examinations'!$A:$J,5,FALSE)</f>
        <v>Normal</v>
      </c>
      <c r="L2262">
        <f>VLOOKUP($A2263,'Medical Examinations'!$A:$J,3,FALSE)</f>
        <v>27.6</v>
      </c>
      <c r="N2262" s="11">
        <f>VLOOKUP($B2262,'Hospitalisation Details'!A2261:J4605,10,0)</f>
        <v>23534</v>
      </c>
      <c r="O2262" t="str">
        <f>VLOOKUP($B2262,'Hospitalisation Details'!A2261:J4605,8,0)</f>
        <v>tier - 3</v>
      </c>
      <c r="P2262" t="str">
        <f>VLOOKUP($B2262,'Hospitalisation Details'!A2261:J4605,7,0)</f>
        <v>tier - 1</v>
      </c>
      <c r="Q2262" t="str">
        <f>VLOOKUP($B2262,'Hospitalisation Details'!A2261:J4605,9,0)</f>
        <v>R1011</v>
      </c>
      <c r="R2262">
        <f>VLOOKUP($B2262,'Hospitalisation Details'!A2261:K4605,11,0)</f>
        <v>59</v>
      </c>
    </row>
    <row r="2263" spans="1:18" x14ac:dyDescent="0.35">
      <c r="A2263" t="s">
        <v>96</v>
      </c>
      <c r="B2263" t="s">
        <v>2291</v>
      </c>
      <c r="C2263" t="str">
        <f>VLOOKUP($A2263,'Customer Names'!$A:$E,4,FALSE)</f>
        <v>Daniel</v>
      </c>
      <c r="D2263" t="str">
        <f>VLOOKUP($A2263,'Medical Examinations'!$A:$J,2,FALSE)</f>
        <v>Overweight</v>
      </c>
      <c r="E2263">
        <f>VLOOKUP($A2263,'Medical Examinations'!$A:$J,4,FALSE)</f>
        <v>4.01</v>
      </c>
      <c r="F2263" t="str">
        <f>VLOOKUP($A2263,'Medical Examinations'!$A:$J,6,FALSE)</f>
        <v>No</v>
      </c>
      <c r="G2263" t="str">
        <f>VLOOKUP($A2263,'Medical Examinations'!$A:$J,7,FALSE)</f>
        <v>No</v>
      </c>
      <c r="H2263" t="str">
        <f>VLOOKUP($A2263,'Medical Examinations'!$A:$J,8,FALSE)</f>
        <v>Yes</v>
      </c>
      <c r="I2263">
        <f>VLOOKUP($A2263,'Medical Examinations'!$A:$J,9,FALSE)</f>
        <v>1</v>
      </c>
      <c r="J2263" t="str">
        <f>VLOOKUP($A2263,'Medical Examinations'!$A:$J,10,FALSE)</f>
        <v>No</v>
      </c>
      <c r="K2263" t="str">
        <f>VLOOKUP($A2263,'Medical Examinations'!$A:$J,5,FALSE)</f>
        <v>Normal</v>
      </c>
      <c r="L2263">
        <f>VLOOKUP($A2264,'Medical Examinations'!$A:$J,3,FALSE)</f>
        <v>20.7</v>
      </c>
      <c r="N2263" s="11">
        <f>VLOOKUP($B2263,'Hospitalisation Details'!A2262:J4606,10,0)</f>
        <v>28364</v>
      </c>
      <c r="O2263" t="str">
        <f>VLOOKUP($B2263,'Hospitalisation Details'!A2262:J4606,8,0)</f>
        <v>tier - 2</v>
      </c>
      <c r="P2263" t="str">
        <f>VLOOKUP($B2263,'Hospitalisation Details'!A2262:J4606,7,0)</f>
        <v>tier - 1</v>
      </c>
      <c r="Q2263" t="str">
        <f>VLOOKUP($B2263,'Hospitalisation Details'!A2262:J4606,9,0)</f>
        <v>R1011</v>
      </c>
      <c r="R2263">
        <f>VLOOKUP($B2263,'Hospitalisation Details'!A2262:K4606,11,0)</f>
        <v>45</v>
      </c>
    </row>
    <row r="2264" spans="1:18" x14ac:dyDescent="0.35">
      <c r="A2264" t="s">
        <v>95</v>
      </c>
      <c r="B2264" t="s">
        <v>2292</v>
      </c>
      <c r="C2264" t="str">
        <f>VLOOKUP($A2264,'Customer Names'!$A:$E,4,FALSE)</f>
        <v>Jaime</v>
      </c>
      <c r="D2264" t="str">
        <f>VLOOKUP($A2264,'Medical Examinations'!$A:$J,2,FALSE)</f>
        <v>Normal Weight</v>
      </c>
      <c r="E2264">
        <f>VLOOKUP($A2264,'Medical Examinations'!$A:$J,4,FALSE)</f>
        <v>4.49</v>
      </c>
      <c r="F2264" t="str">
        <f>VLOOKUP($A2264,'Medical Examinations'!$A:$J,6,FALSE)</f>
        <v>No</v>
      </c>
      <c r="G2264" t="str">
        <f>VLOOKUP($A2264,'Medical Examinations'!$A:$J,7,FALSE)</f>
        <v>No</v>
      </c>
      <c r="H2264" t="str">
        <f>VLOOKUP($A2264,'Medical Examinations'!$A:$J,8,FALSE)</f>
        <v>Yes</v>
      </c>
      <c r="I2264">
        <f>VLOOKUP($A2264,'Medical Examinations'!$A:$J,9,FALSE)</f>
        <v>1</v>
      </c>
      <c r="J2264" t="str">
        <f>VLOOKUP($A2264,'Medical Examinations'!$A:$J,10,FALSE)</f>
        <v>No</v>
      </c>
      <c r="K2264" t="str">
        <f>VLOOKUP($A2264,'Medical Examinations'!$A:$J,5,FALSE)</f>
        <v>Normal</v>
      </c>
      <c r="L2264">
        <f>VLOOKUP($A2265,'Medical Examinations'!$A:$J,3,FALSE)</f>
        <v>20.3</v>
      </c>
      <c r="N2264" s="11">
        <f>VLOOKUP($B2264,'Hospitalisation Details'!A2263:J4607,10,0)</f>
        <v>23657</v>
      </c>
      <c r="O2264" t="str">
        <f>VLOOKUP($B2264,'Hospitalisation Details'!A2263:J4607,8,0)</f>
        <v>tier - 2</v>
      </c>
      <c r="P2264" t="str">
        <f>VLOOKUP($B2264,'Hospitalisation Details'!A2263:J4607,7,0)</f>
        <v>tier - 1</v>
      </c>
      <c r="Q2264" t="str">
        <f>VLOOKUP($B2264,'Hospitalisation Details'!A2263:J4607,9,0)</f>
        <v>R1011</v>
      </c>
      <c r="R2264">
        <f>VLOOKUP($B2264,'Hospitalisation Details'!A2263:K4607,11,0)</f>
        <v>58</v>
      </c>
    </row>
    <row r="2265" spans="1:18" x14ac:dyDescent="0.35">
      <c r="A2265" t="s">
        <v>94</v>
      </c>
      <c r="B2265" t="s">
        <v>2293</v>
      </c>
      <c r="C2265" t="str">
        <f>VLOOKUP($A2265,'Customer Names'!$A:$E,4,FALSE)</f>
        <v>Mohd Syahidan</v>
      </c>
      <c r="D2265" t="str">
        <f>VLOOKUP($A2265,'Medical Examinations'!$A:$J,2,FALSE)</f>
        <v>Normal Weight</v>
      </c>
      <c r="E2265">
        <f>VLOOKUP($A2265,'Medical Examinations'!$A:$J,4,FALSE)</f>
        <v>6.37</v>
      </c>
      <c r="F2265" t="str">
        <f>VLOOKUP($A2265,'Medical Examinations'!$A:$J,6,FALSE)</f>
        <v>No</v>
      </c>
      <c r="G2265" t="str">
        <f>VLOOKUP($A2265,'Medical Examinations'!$A:$J,7,FALSE)</f>
        <v>No</v>
      </c>
      <c r="H2265" t="str">
        <f>VLOOKUP($A2265,'Medical Examinations'!$A:$J,8,FALSE)</f>
        <v>Yes</v>
      </c>
      <c r="I2265">
        <f>VLOOKUP($A2265,'Medical Examinations'!$A:$J,9,FALSE)</f>
        <v>1</v>
      </c>
      <c r="J2265" t="str">
        <f>VLOOKUP($A2265,'Medical Examinations'!$A:$J,10,FALSE)</f>
        <v>No</v>
      </c>
      <c r="K2265" t="str">
        <f>VLOOKUP($A2265,'Medical Examinations'!$A:$J,5,FALSE)</f>
        <v>Prediabetes</v>
      </c>
      <c r="L2265">
        <f>VLOOKUP($A2266,'Medical Examinations'!$A:$J,3,FALSE)</f>
        <v>19.8</v>
      </c>
      <c r="N2265" s="11">
        <f>VLOOKUP($B2265,'Hospitalisation Details'!A2264:J4608,10,0)</f>
        <v>26222</v>
      </c>
      <c r="O2265" t="str">
        <f>VLOOKUP($B2265,'Hospitalisation Details'!A2264:J4608,8,0)</f>
        <v>tier - 2</v>
      </c>
      <c r="P2265" t="str">
        <f>VLOOKUP($B2265,'Hospitalisation Details'!A2264:J4608,7,0)</f>
        <v>tier - 1</v>
      </c>
      <c r="Q2265" t="str">
        <f>VLOOKUP($B2265,'Hospitalisation Details'!A2264:J4608,9,0)</f>
        <v>R1011</v>
      </c>
      <c r="R2265">
        <f>VLOOKUP($B2265,'Hospitalisation Details'!A2264:K4608,11,0)</f>
        <v>51</v>
      </c>
    </row>
    <row r="2266" spans="1:18" x14ac:dyDescent="0.35">
      <c r="A2266" t="s">
        <v>93</v>
      </c>
      <c r="B2266" t="s">
        <v>2294</v>
      </c>
      <c r="C2266" t="str">
        <f>VLOOKUP($A2266,'Customer Names'!$A:$E,4,FALSE)</f>
        <v>Matthew</v>
      </c>
      <c r="D2266" t="str">
        <f>VLOOKUP($A2266,'Medical Examinations'!$A:$J,2,FALSE)</f>
        <v>Normal Weight</v>
      </c>
      <c r="E2266">
        <f>VLOOKUP($A2266,'Medical Examinations'!$A:$J,4,FALSE)</f>
        <v>5.12</v>
      </c>
      <c r="F2266" t="str">
        <f>VLOOKUP($A2266,'Medical Examinations'!$A:$J,6,FALSE)</f>
        <v>No</v>
      </c>
      <c r="G2266" t="str">
        <f>VLOOKUP($A2266,'Medical Examinations'!$A:$J,7,FALSE)</f>
        <v>No</v>
      </c>
      <c r="H2266" t="str">
        <f>VLOOKUP($A2266,'Medical Examinations'!$A:$J,8,FALSE)</f>
        <v>Yes</v>
      </c>
      <c r="I2266">
        <f>VLOOKUP($A2266,'Medical Examinations'!$A:$J,9,FALSE)</f>
        <v>1</v>
      </c>
      <c r="J2266" t="str">
        <f>VLOOKUP($A2266,'Medical Examinations'!$A:$J,10,FALSE)</f>
        <v>No</v>
      </c>
      <c r="K2266" t="str">
        <f>VLOOKUP($A2266,'Medical Examinations'!$A:$J,5,FALSE)</f>
        <v>Normal</v>
      </c>
      <c r="L2266">
        <f>VLOOKUP($A2267,'Medical Examinations'!$A:$J,3,FALSE)</f>
        <v>21.87</v>
      </c>
      <c r="N2266" s="11">
        <f>VLOOKUP($B2266,'Hospitalisation Details'!A2265:J4609,10,0)</f>
        <v>24828</v>
      </c>
      <c r="O2266" t="str">
        <f>VLOOKUP($B2266,'Hospitalisation Details'!A2265:J4609,8,0)</f>
        <v>tier - 2</v>
      </c>
      <c r="P2266" t="str">
        <f>VLOOKUP($B2266,'Hospitalisation Details'!A2265:J4609,7,0)</f>
        <v>tier - 1</v>
      </c>
      <c r="Q2266" t="str">
        <f>VLOOKUP($B2266,'Hospitalisation Details'!A2265:J4609,9,0)</f>
        <v>R1011</v>
      </c>
      <c r="R2266">
        <f>VLOOKUP($B2266,'Hospitalisation Details'!A2265:K4609,11,0)</f>
        <v>55</v>
      </c>
    </row>
    <row r="2267" spans="1:18" x14ac:dyDescent="0.35">
      <c r="A2267" t="s">
        <v>92</v>
      </c>
      <c r="B2267" t="s">
        <v>2295</v>
      </c>
      <c r="C2267" t="str">
        <f>VLOOKUP($A2267,'Customer Names'!$A:$E,4,FALSE)</f>
        <v>Elizabeth S.</v>
      </c>
      <c r="D2267" t="str">
        <f>VLOOKUP($A2267,'Medical Examinations'!$A:$J,2,FALSE)</f>
        <v>Normal Weight</v>
      </c>
      <c r="E2267">
        <f>VLOOKUP($A2267,'Medical Examinations'!$A:$J,4,FALSE)</f>
        <v>8.59</v>
      </c>
      <c r="F2267" t="str">
        <f>VLOOKUP($A2267,'Medical Examinations'!$A:$J,6,FALSE)</f>
        <v>No</v>
      </c>
      <c r="G2267" t="str">
        <f>VLOOKUP($A2267,'Medical Examinations'!$A:$J,7,FALSE)</f>
        <v>No</v>
      </c>
      <c r="H2267" t="str">
        <f>VLOOKUP($A2267,'Medical Examinations'!$A:$J,8,FALSE)</f>
        <v>No</v>
      </c>
      <c r="I2267">
        <f>VLOOKUP($A2267,'Medical Examinations'!$A:$J,9,FALSE)</f>
        <v>0</v>
      </c>
      <c r="J2267" t="str">
        <f>VLOOKUP($A2267,'Medical Examinations'!$A:$J,10,FALSE)</f>
        <v>No</v>
      </c>
      <c r="K2267" t="str">
        <f>VLOOKUP($A2267,'Medical Examinations'!$A:$J,5,FALSE)</f>
        <v>Diabetes</v>
      </c>
      <c r="L2267">
        <f>VLOOKUP($A2268,'Medical Examinations'!$A:$J,3,FALSE)</f>
        <v>16.600000000000001</v>
      </c>
      <c r="N2267" s="11">
        <f>VLOOKUP($B2267,'Hospitalisation Details'!A2266:J4610,10,0)</f>
        <v>27357</v>
      </c>
      <c r="O2267" t="str">
        <f>VLOOKUP($B2267,'Hospitalisation Details'!A2266:J4610,8,0)</f>
        <v>tier - 1</v>
      </c>
      <c r="P2267" t="str">
        <f>VLOOKUP($B2267,'Hospitalisation Details'!A2266:J4610,7,0)</f>
        <v>tier - 1</v>
      </c>
      <c r="Q2267" t="str">
        <f>VLOOKUP($B2267,'Hospitalisation Details'!A2266:J4610,9,0)</f>
        <v>R1011</v>
      </c>
      <c r="R2267">
        <f>VLOOKUP($B2267,'Hospitalisation Details'!A2266:K4610,11,0)</f>
        <v>48</v>
      </c>
    </row>
    <row r="2268" spans="1:18" x14ac:dyDescent="0.35">
      <c r="A2268" t="s">
        <v>91</v>
      </c>
      <c r="B2268" t="s">
        <v>2296</v>
      </c>
      <c r="C2268" t="str">
        <f>VLOOKUP($A2268,'Customer Names'!$A:$E,4,FALSE)</f>
        <v>Katie</v>
      </c>
      <c r="D2268" t="str">
        <f>VLOOKUP($A2268,'Medical Examinations'!$A:$J,2,FALSE)</f>
        <v>Underweight</v>
      </c>
      <c r="E2268">
        <f>VLOOKUP($A2268,'Medical Examinations'!$A:$J,4,FALSE)</f>
        <v>5.87</v>
      </c>
      <c r="F2268" t="str">
        <f>VLOOKUP($A2268,'Medical Examinations'!$A:$J,6,FALSE)</f>
        <v>No</v>
      </c>
      <c r="G2268" t="str">
        <f>VLOOKUP($A2268,'Medical Examinations'!$A:$J,7,FALSE)</f>
        <v>No</v>
      </c>
      <c r="H2268" t="str">
        <f>VLOOKUP($A2268,'Medical Examinations'!$A:$J,8,FALSE)</f>
        <v>No</v>
      </c>
      <c r="I2268">
        <f>VLOOKUP($A2268,'Medical Examinations'!$A:$J,9,FALSE)</f>
        <v>1</v>
      </c>
      <c r="J2268" t="str">
        <f>VLOOKUP($A2268,'Medical Examinations'!$A:$J,10,FALSE)</f>
        <v>No</v>
      </c>
      <c r="K2268" t="str">
        <f>VLOOKUP($A2268,'Medical Examinations'!$A:$J,5,FALSE)</f>
        <v>Prediabetes</v>
      </c>
      <c r="L2268">
        <f>VLOOKUP($A2269,'Medical Examinations'!$A:$J,3,FALSE)</f>
        <v>21.98</v>
      </c>
      <c r="N2268" s="11">
        <f>VLOOKUP($B2268,'Hospitalisation Details'!A2267:J4611,10,0)</f>
        <v>28062</v>
      </c>
      <c r="O2268" t="str">
        <f>VLOOKUP($B2268,'Hospitalisation Details'!A2267:J4611,8,0)</f>
        <v>tier - 3</v>
      </c>
      <c r="P2268" t="str">
        <f>VLOOKUP($B2268,'Hospitalisation Details'!A2267:J4611,7,0)</f>
        <v>tier - 1</v>
      </c>
      <c r="Q2268" t="str">
        <f>VLOOKUP($B2268,'Hospitalisation Details'!A2267:J4611,9,0)</f>
        <v>R1011</v>
      </c>
      <c r="R2268">
        <f>VLOOKUP($B2268,'Hospitalisation Details'!A2267:K4611,11,0)</f>
        <v>46</v>
      </c>
    </row>
    <row r="2269" spans="1:18" x14ac:dyDescent="0.35">
      <c r="A2269" t="s">
        <v>90</v>
      </c>
      <c r="B2269" t="s">
        <v>2297</v>
      </c>
      <c r="C2269" t="str">
        <f>VLOOKUP($A2269,'Customer Names'!$A:$E,4,FALSE)</f>
        <v>Christi A.</v>
      </c>
      <c r="D2269" t="str">
        <f>VLOOKUP($A2269,'Medical Examinations'!$A:$J,2,FALSE)</f>
        <v>Normal Weight</v>
      </c>
      <c r="E2269">
        <f>VLOOKUP($A2269,'Medical Examinations'!$A:$J,4,FALSE)</f>
        <v>7.03</v>
      </c>
      <c r="F2269" t="str">
        <f>VLOOKUP($A2269,'Medical Examinations'!$A:$J,6,FALSE)</f>
        <v>No</v>
      </c>
      <c r="G2269" t="str">
        <f>VLOOKUP($A2269,'Medical Examinations'!$A:$J,7,FALSE)</f>
        <v>No</v>
      </c>
      <c r="H2269" t="str">
        <f>VLOOKUP($A2269,'Medical Examinations'!$A:$J,8,FALSE)</f>
        <v>No</v>
      </c>
      <c r="I2269">
        <f>VLOOKUP($A2269,'Medical Examinations'!$A:$J,9,FALSE)</f>
        <v>0</v>
      </c>
      <c r="J2269" t="str">
        <f>VLOOKUP($A2269,'Medical Examinations'!$A:$J,10,FALSE)</f>
        <v>No</v>
      </c>
      <c r="K2269" t="str">
        <f>VLOOKUP($A2269,'Medical Examinations'!$A:$J,5,FALSE)</f>
        <v>Diabetes</v>
      </c>
      <c r="L2269">
        <f>VLOOKUP($A2270,'Medical Examinations'!$A:$J,3,FALSE)</f>
        <v>19.7</v>
      </c>
      <c r="N2269" s="11">
        <f>VLOOKUP($B2269,'Hospitalisation Details'!A2268:J4612,10,0)</f>
        <v>27712</v>
      </c>
      <c r="O2269" t="str">
        <f>VLOOKUP($B2269,'Hospitalisation Details'!A2268:J4612,8,0)</f>
        <v>tier - 2</v>
      </c>
      <c r="P2269" t="str">
        <f>VLOOKUP($B2269,'Hospitalisation Details'!A2268:J4612,7,0)</f>
        <v>tier - 1</v>
      </c>
      <c r="Q2269" t="str">
        <f>VLOOKUP($B2269,'Hospitalisation Details'!A2268:J4612,9,0)</f>
        <v>R1013</v>
      </c>
      <c r="R2269">
        <f>VLOOKUP($B2269,'Hospitalisation Details'!A2268:K4612,11,0)</f>
        <v>47</v>
      </c>
    </row>
    <row r="2270" spans="1:18" x14ac:dyDescent="0.35">
      <c r="A2270" t="s">
        <v>89</v>
      </c>
      <c r="B2270" t="s">
        <v>2298</v>
      </c>
      <c r="C2270" t="str">
        <f>VLOOKUP($A2270,'Customer Names'!$A:$E,4,FALSE)</f>
        <v>Sandra K.</v>
      </c>
      <c r="D2270" t="str">
        <f>VLOOKUP($A2270,'Medical Examinations'!$A:$J,2,FALSE)</f>
        <v>Normal Weight</v>
      </c>
      <c r="E2270">
        <f>VLOOKUP($A2270,'Medical Examinations'!$A:$J,4,FALSE)</f>
        <v>5.51</v>
      </c>
      <c r="F2270" t="str">
        <f>VLOOKUP($A2270,'Medical Examinations'!$A:$J,6,FALSE)</f>
        <v>No</v>
      </c>
      <c r="G2270" t="str">
        <f>VLOOKUP($A2270,'Medical Examinations'!$A:$J,7,FALSE)</f>
        <v>No</v>
      </c>
      <c r="H2270" t="str">
        <f>VLOOKUP($A2270,'Medical Examinations'!$A:$J,8,FALSE)</f>
        <v>No</v>
      </c>
      <c r="I2270">
        <f>VLOOKUP($A2270,'Medical Examinations'!$A:$J,9,FALSE)</f>
        <v>1</v>
      </c>
      <c r="J2270" t="str">
        <f>VLOOKUP($A2270,'Medical Examinations'!$A:$J,10,FALSE)</f>
        <v>No</v>
      </c>
      <c r="K2270" t="str">
        <f>VLOOKUP($A2270,'Medical Examinations'!$A:$J,5,FALSE)</f>
        <v>Normal</v>
      </c>
      <c r="L2270">
        <f>VLOOKUP($A2271,'Medical Examinations'!$A:$J,3,FALSE)</f>
        <v>19.21</v>
      </c>
      <c r="N2270" s="11">
        <f>VLOOKUP($B2270,'Hospitalisation Details'!A2269:J4613,10,0)</f>
        <v>27666</v>
      </c>
      <c r="O2270" t="str">
        <f>VLOOKUP($B2270,'Hospitalisation Details'!A2269:J4613,8,0)</f>
        <v>tier - 1</v>
      </c>
      <c r="P2270" t="str">
        <f>VLOOKUP($B2270,'Hospitalisation Details'!A2269:J4613,7,0)</f>
        <v>tier - 1</v>
      </c>
      <c r="Q2270" t="str">
        <f>VLOOKUP($B2270,'Hospitalisation Details'!A2269:J4613,9,0)</f>
        <v>R1011</v>
      </c>
      <c r="R2270">
        <f>VLOOKUP($B2270,'Hospitalisation Details'!A2269:K4613,11,0)</f>
        <v>47</v>
      </c>
    </row>
    <row r="2271" spans="1:18" x14ac:dyDescent="0.35">
      <c r="A2271" t="s">
        <v>88</v>
      </c>
      <c r="B2271" t="s">
        <v>2299</v>
      </c>
      <c r="C2271" t="str">
        <f>VLOOKUP($A2271,'Customer Names'!$A:$E,4,FALSE)</f>
        <v>Katharine</v>
      </c>
      <c r="D2271" t="str">
        <f>VLOOKUP($A2271,'Medical Examinations'!$A:$J,2,FALSE)</f>
        <v>Normal Weight</v>
      </c>
      <c r="E2271">
        <f>VLOOKUP($A2271,'Medical Examinations'!$A:$J,4,FALSE)</f>
        <v>4.76</v>
      </c>
      <c r="F2271" t="str">
        <f>VLOOKUP($A2271,'Medical Examinations'!$A:$J,6,FALSE)</f>
        <v>No</v>
      </c>
      <c r="G2271" t="str">
        <f>VLOOKUP($A2271,'Medical Examinations'!$A:$J,7,FALSE)</f>
        <v>yes</v>
      </c>
      <c r="H2271" t="str">
        <f>VLOOKUP($A2271,'Medical Examinations'!$A:$J,8,FALSE)</f>
        <v>No</v>
      </c>
      <c r="I2271">
        <f>VLOOKUP($A2271,'Medical Examinations'!$A:$J,9,FALSE)</f>
        <v>1</v>
      </c>
      <c r="J2271" t="str">
        <f>VLOOKUP($A2271,'Medical Examinations'!$A:$J,10,FALSE)</f>
        <v>No</v>
      </c>
      <c r="K2271" t="str">
        <f>VLOOKUP($A2271,'Medical Examinations'!$A:$J,5,FALSE)</f>
        <v>Normal</v>
      </c>
      <c r="L2271">
        <f>VLOOKUP($A2272,'Medical Examinations'!$A:$J,3,FALSE)</f>
        <v>19.3</v>
      </c>
      <c r="N2271" s="11">
        <f>VLOOKUP($B2271,'Hospitalisation Details'!A2270:J4614,10,0)</f>
        <v>22911</v>
      </c>
      <c r="O2271" t="str">
        <f>VLOOKUP($B2271,'Hospitalisation Details'!A2270:J4614,8,0)</f>
        <v>tier - 3</v>
      </c>
      <c r="P2271" t="str">
        <f>VLOOKUP($B2271,'Hospitalisation Details'!A2270:J4614,7,0)</f>
        <v>tier - 1</v>
      </c>
      <c r="Q2271" t="str">
        <f>VLOOKUP($B2271,'Hospitalisation Details'!A2270:J4614,9,0)</f>
        <v>R1011</v>
      </c>
      <c r="R2271">
        <f>VLOOKUP($B2271,'Hospitalisation Details'!A2270:K4614,11,0)</f>
        <v>60</v>
      </c>
    </row>
    <row r="2272" spans="1:18" x14ac:dyDescent="0.35">
      <c r="A2272" t="s">
        <v>87</v>
      </c>
      <c r="B2272" t="s">
        <v>2300</v>
      </c>
      <c r="C2272" t="str">
        <f>VLOOKUP($A2272,'Customer Names'!$A:$E,4,FALSE)</f>
        <v>Jerome</v>
      </c>
      <c r="D2272" t="str">
        <f>VLOOKUP($A2272,'Medical Examinations'!$A:$J,2,FALSE)</f>
        <v>Normal Weight</v>
      </c>
      <c r="E2272">
        <f>VLOOKUP($A2272,'Medical Examinations'!$A:$J,4,FALSE)</f>
        <v>4.7</v>
      </c>
      <c r="F2272" t="str">
        <f>VLOOKUP($A2272,'Medical Examinations'!$A:$J,6,FALSE)</f>
        <v>No</v>
      </c>
      <c r="G2272" t="str">
        <f>VLOOKUP($A2272,'Medical Examinations'!$A:$J,7,FALSE)</f>
        <v>yes</v>
      </c>
      <c r="H2272" t="str">
        <f>VLOOKUP($A2272,'Medical Examinations'!$A:$J,8,FALSE)</f>
        <v>No</v>
      </c>
      <c r="I2272">
        <f>VLOOKUP($A2272,'Medical Examinations'!$A:$J,9,FALSE)</f>
        <v>1</v>
      </c>
      <c r="J2272" t="str">
        <f>VLOOKUP($A2272,'Medical Examinations'!$A:$J,10,FALSE)</f>
        <v>No</v>
      </c>
      <c r="K2272" t="str">
        <f>VLOOKUP($A2272,'Medical Examinations'!$A:$J,5,FALSE)</f>
        <v>Normal</v>
      </c>
      <c r="L2272">
        <f>VLOOKUP($A2273,'Medical Examinations'!$A:$J,3,FALSE)</f>
        <v>16.22</v>
      </c>
      <c r="N2272" s="11">
        <f>VLOOKUP($B2272,'Hospitalisation Details'!A2271:J4615,10,0)</f>
        <v>24371</v>
      </c>
      <c r="O2272" t="str">
        <f>VLOOKUP($B2272,'Hospitalisation Details'!A2271:J4615,8,0)</f>
        <v>tier - 3</v>
      </c>
      <c r="P2272" t="str">
        <f>VLOOKUP($B2272,'Hospitalisation Details'!A2271:J4615,7,0)</f>
        <v>tier - 1</v>
      </c>
      <c r="Q2272" t="str">
        <f>VLOOKUP($B2272,'Hospitalisation Details'!A2271:J4615,9,0)</f>
        <v>R1011</v>
      </c>
      <c r="R2272">
        <f>VLOOKUP($B2272,'Hospitalisation Details'!A2271:K4615,11,0)</f>
        <v>56</v>
      </c>
    </row>
    <row r="2273" spans="1:18" x14ac:dyDescent="0.35">
      <c r="A2273" t="s">
        <v>86</v>
      </c>
      <c r="B2273" t="s">
        <v>2301</v>
      </c>
      <c r="C2273" t="str">
        <f>VLOOKUP($A2273,'Customer Names'!$A:$E,4,FALSE)</f>
        <v>Julia R</v>
      </c>
      <c r="D2273" t="str">
        <f>VLOOKUP($A2273,'Medical Examinations'!$A:$J,2,FALSE)</f>
        <v>Underweight</v>
      </c>
      <c r="E2273">
        <f>VLOOKUP($A2273,'Medical Examinations'!$A:$J,4,FALSE)</f>
        <v>6.21</v>
      </c>
      <c r="F2273" t="str">
        <f>VLOOKUP($A2273,'Medical Examinations'!$A:$J,6,FALSE)</f>
        <v>yes</v>
      </c>
      <c r="G2273" t="str">
        <f>VLOOKUP($A2273,'Medical Examinations'!$A:$J,7,FALSE)</f>
        <v>No</v>
      </c>
      <c r="H2273" t="str">
        <f>VLOOKUP($A2273,'Medical Examinations'!$A:$J,8,FALSE)</f>
        <v>No</v>
      </c>
      <c r="I2273">
        <f>VLOOKUP($A2273,'Medical Examinations'!$A:$J,9,FALSE)</f>
        <v>0</v>
      </c>
      <c r="J2273" t="str">
        <f>VLOOKUP($A2273,'Medical Examinations'!$A:$J,10,FALSE)</f>
        <v>No</v>
      </c>
      <c r="K2273" t="str">
        <f>VLOOKUP($A2273,'Medical Examinations'!$A:$J,5,FALSE)</f>
        <v>Prediabetes</v>
      </c>
      <c r="L2273">
        <f>VLOOKUP($A2274,'Medical Examinations'!$A:$J,3,FALSE)</f>
        <v>17.12</v>
      </c>
      <c r="N2273" s="11">
        <f>VLOOKUP($B2273,'Hospitalisation Details'!A2272:J4616,10,0)</f>
        <v>26458</v>
      </c>
      <c r="O2273" t="str">
        <f>VLOOKUP($B2273,'Hospitalisation Details'!A2272:J4616,8,0)</f>
        <v>tier - 1</v>
      </c>
      <c r="P2273" t="str">
        <f>VLOOKUP($B2273,'Hospitalisation Details'!A2272:J4616,7,0)</f>
        <v>tier - 1</v>
      </c>
      <c r="Q2273" t="str">
        <f>VLOOKUP($B2273,'Hospitalisation Details'!A2272:J4616,9,0)</f>
        <v>R1016</v>
      </c>
      <c r="R2273">
        <f>VLOOKUP($B2273,'Hospitalisation Details'!A2272:K4616,11,0)</f>
        <v>51</v>
      </c>
    </row>
    <row r="2274" spans="1:18" x14ac:dyDescent="0.35">
      <c r="A2274" t="s">
        <v>85</v>
      </c>
      <c r="B2274" t="s">
        <v>2302</v>
      </c>
      <c r="C2274" t="str">
        <f>VLOOKUP($A2274,'Customer Names'!$A:$E,4,FALSE)</f>
        <v>Sean Henry</v>
      </c>
      <c r="D2274" t="str">
        <f>VLOOKUP($A2274,'Medical Examinations'!$A:$J,2,FALSE)</f>
        <v>Underweight</v>
      </c>
      <c r="E2274">
        <f>VLOOKUP($A2274,'Medical Examinations'!$A:$J,4,FALSE)</f>
        <v>4.5199999999999996</v>
      </c>
      <c r="F2274" t="str">
        <f>VLOOKUP($A2274,'Medical Examinations'!$A:$J,6,FALSE)</f>
        <v>No</v>
      </c>
      <c r="G2274" t="str">
        <f>VLOOKUP($A2274,'Medical Examinations'!$A:$J,7,FALSE)</f>
        <v>yes</v>
      </c>
      <c r="H2274" t="str">
        <f>VLOOKUP($A2274,'Medical Examinations'!$A:$J,8,FALSE)</f>
        <v>No</v>
      </c>
      <c r="I2274">
        <f>VLOOKUP($A2274,'Medical Examinations'!$A:$J,9,FALSE)</f>
        <v>1</v>
      </c>
      <c r="J2274" t="str">
        <f>VLOOKUP($A2274,'Medical Examinations'!$A:$J,10,FALSE)</f>
        <v>No</v>
      </c>
      <c r="K2274" t="str">
        <f>VLOOKUP($A2274,'Medical Examinations'!$A:$J,5,FALSE)</f>
        <v>Normal</v>
      </c>
      <c r="L2274">
        <f>VLOOKUP($A2275,'Medical Examinations'!$A:$J,3,FALSE)</f>
        <v>19.07</v>
      </c>
      <c r="N2274" s="11">
        <f>VLOOKUP($B2274,'Hospitalisation Details'!A2273:J4617,10,0)</f>
        <v>30996</v>
      </c>
      <c r="O2274" t="str">
        <f>VLOOKUP($B2274,'Hospitalisation Details'!A2273:J4617,8,0)</f>
        <v>tier - 1</v>
      </c>
      <c r="P2274" t="str">
        <f>VLOOKUP($B2274,'Hospitalisation Details'!A2273:J4617,7,0)</f>
        <v>tier - 1</v>
      </c>
      <c r="Q2274" t="str">
        <f>VLOOKUP($B2274,'Hospitalisation Details'!A2273:J4617,9,0)</f>
        <v>R1013</v>
      </c>
      <c r="R2274">
        <f>VLOOKUP($B2274,'Hospitalisation Details'!A2273:K4617,11,0)</f>
        <v>38</v>
      </c>
    </row>
    <row r="2275" spans="1:18" x14ac:dyDescent="0.35">
      <c r="A2275" t="s">
        <v>84</v>
      </c>
      <c r="B2275" t="s">
        <v>2303</v>
      </c>
      <c r="C2275" t="str">
        <f>VLOOKUP($A2275,'Customer Names'!$A:$E,4,FALSE)</f>
        <v>Rachel A.</v>
      </c>
      <c r="D2275" t="str">
        <f>VLOOKUP($A2275,'Medical Examinations'!$A:$J,2,FALSE)</f>
        <v>Normal Weight</v>
      </c>
      <c r="E2275">
        <f>VLOOKUP($A2275,'Medical Examinations'!$A:$J,4,FALSE)</f>
        <v>5.45</v>
      </c>
      <c r="F2275" t="str">
        <f>VLOOKUP($A2275,'Medical Examinations'!$A:$J,6,FALSE)</f>
        <v>No</v>
      </c>
      <c r="G2275" t="str">
        <f>VLOOKUP($A2275,'Medical Examinations'!$A:$J,7,FALSE)</f>
        <v>No</v>
      </c>
      <c r="H2275" t="str">
        <f>VLOOKUP($A2275,'Medical Examinations'!$A:$J,8,FALSE)</f>
        <v>No</v>
      </c>
      <c r="I2275">
        <f>VLOOKUP($A2275,'Medical Examinations'!$A:$J,9,FALSE)</f>
        <v>1</v>
      </c>
      <c r="J2275" t="str">
        <f>VLOOKUP($A2275,'Medical Examinations'!$A:$J,10,FALSE)</f>
        <v>No</v>
      </c>
      <c r="K2275" t="str">
        <f>VLOOKUP($A2275,'Medical Examinations'!$A:$J,5,FALSE)</f>
        <v>Normal</v>
      </c>
      <c r="L2275">
        <f>VLOOKUP($A2276,'Medical Examinations'!$A:$J,3,FALSE)</f>
        <v>15.56</v>
      </c>
      <c r="N2275" s="11">
        <f>VLOOKUP($B2275,'Hospitalisation Details'!A2274:J4618,10,0)</f>
        <v>25191</v>
      </c>
      <c r="O2275" t="str">
        <f>VLOOKUP($B2275,'Hospitalisation Details'!A2274:J4618,8,0)</f>
        <v>tier - 3</v>
      </c>
      <c r="P2275" t="str">
        <f>VLOOKUP($B2275,'Hospitalisation Details'!A2274:J4618,7,0)</f>
        <v>tier - 1</v>
      </c>
      <c r="Q2275" t="str">
        <f>VLOOKUP($B2275,'Hospitalisation Details'!A2274:J4618,9,0)</f>
        <v>R1013</v>
      </c>
      <c r="R2275">
        <f>VLOOKUP($B2275,'Hospitalisation Details'!A2274:K4618,11,0)</f>
        <v>54</v>
      </c>
    </row>
    <row r="2276" spans="1:18" x14ac:dyDescent="0.35">
      <c r="A2276" t="s">
        <v>83</v>
      </c>
      <c r="B2276" t="s">
        <v>2304</v>
      </c>
      <c r="C2276" t="str">
        <f>VLOOKUP($A2276,'Customer Names'!$A:$E,4,FALSE)</f>
        <v>Jim</v>
      </c>
      <c r="D2276" t="str">
        <f>VLOOKUP($A2276,'Medical Examinations'!$A:$J,2,FALSE)</f>
        <v>Underweight</v>
      </c>
      <c r="E2276">
        <f>VLOOKUP($A2276,'Medical Examinations'!$A:$J,4,FALSE)</f>
        <v>4.42</v>
      </c>
      <c r="F2276" t="str">
        <f>VLOOKUP($A2276,'Medical Examinations'!$A:$J,6,FALSE)</f>
        <v>No</v>
      </c>
      <c r="G2276" t="str">
        <f>VLOOKUP($A2276,'Medical Examinations'!$A:$J,7,FALSE)</f>
        <v>No</v>
      </c>
      <c r="H2276" t="str">
        <f>VLOOKUP($A2276,'Medical Examinations'!$A:$J,8,FALSE)</f>
        <v>No</v>
      </c>
      <c r="I2276">
        <f>VLOOKUP($A2276,'Medical Examinations'!$A:$J,9,FALSE)</f>
        <v>0</v>
      </c>
      <c r="J2276" t="str">
        <f>VLOOKUP($A2276,'Medical Examinations'!$A:$J,10,FALSE)</f>
        <v>No</v>
      </c>
      <c r="K2276" t="str">
        <f>VLOOKUP($A2276,'Medical Examinations'!$A:$J,5,FALSE)</f>
        <v>Normal</v>
      </c>
      <c r="L2276">
        <f>VLOOKUP($A2277,'Medical Examinations'!$A:$J,3,FALSE)</f>
        <v>22.76</v>
      </c>
      <c r="N2276" s="11">
        <f>VLOOKUP($B2276,'Hospitalisation Details'!A2275:J4619,10,0)</f>
        <v>28092</v>
      </c>
      <c r="O2276" t="str">
        <f>VLOOKUP($B2276,'Hospitalisation Details'!A2275:J4619,8,0)</f>
        <v>tier - 1</v>
      </c>
      <c r="P2276" t="str">
        <f>VLOOKUP($B2276,'Hospitalisation Details'!A2275:J4619,7,0)</f>
        <v>tier - 1</v>
      </c>
      <c r="Q2276" t="str">
        <f>VLOOKUP($B2276,'Hospitalisation Details'!A2275:J4619,9,0)</f>
        <v>R1024</v>
      </c>
      <c r="R2276">
        <f>VLOOKUP($B2276,'Hospitalisation Details'!A2275:K4619,11,0)</f>
        <v>46</v>
      </c>
    </row>
    <row r="2277" spans="1:18" x14ac:dyDescent="0.35">
      <c r="A2277" t="s">
        <v>82</v>
      </c>
      <c r="B2277" t="s">
        <v>2305</v>
      </c>
      <c r="C2277" t="str">
        <f>VLOOKUP($A2277,'Customer Names'!$A:$E,4,FALSE)</f>
        <v>Tim</v>
      </c>
      <c r="D2277" t="str">
        <f>VLOOKUP($A2277,'Medical Examinations'!$A:$J,2,FALSE)</f>
        <v>Normal Weight</v>
      </c>
      <c r="E2277">
        <f>VLOOKUP($A2277,'Medical Examinations'!$A:$J,4,FALSE)</f>
        <v>9.44</v>
      </c>
      <c r="F2277" t="str">
        <f>VLOOKUP($A2277,'Medical Examinations'!$A:$J,6,FALSE)</f>
        <v>No</v>
      </c>
      <c r="G2277" t="str">
        <f>VLOOKUP($A2277,'Medical Examinations'!$A:$J,7,FALSE)</f>
        <v>No</v>
      </c>
      <c r="H2277" t="str">
        <f>VLOOKUP($A2277,'Medical Examinations'!$A:$J,8,FALSE)</f>
        <v>No</v>
      </c>
      <c r="I2277">
        <f>VLOOKUP($A2277,'Medical Examinations'!$A:$J,9,FALSE)</f>
        <v>0</v>
      </c>
      <c r="J2277" t="str">
        <f>VLOOKUP($A2277,'Medical Examinations'!$A:$J,10,FALSE)</f>
        <v>No</v>
      </c>
      <c r="K2277" t="str">
        <f>VLOOKUP($A2277,'Medical Examinations'!$A:$J,5,FALSE)</f>
        <v>Diabetes</v>
      </c>
      <c r="L2277">
        <f>VLOOKUP($A2278,'Medical Examinations'!$A:$J,3,FALSE)</f>
        <v>22.79</v>
      </c>
      <c r="N2277" s="11">
        <f>VLOOKUP($B2277,'Hospitalisation Details'!A2276:J4620,10,0)</f>
        <v>35773</v>
      </c>
      <c r="O2277" t="str">
        <f>VLOOKUP($B2277,'Hospitalisation Details'!A2276:J4620,8,0)</f>
        <v>tier - 3</v>
      </c>
      <c r="P2277" t="str">
        <f>VLOOKUP($B2277,'Hospitalisation Details'!A2276:J4620,7,0)</f>
        <v>tier - 1</v>
      </c>
      <c r="Q2277" t="str">
        <f>VLOOKUP($B2277,'Hospitalisation Details'!A2276:J4620,9,0)</f>
        <v>R1013</v>
      </c>
      <c r="R2277">
        <f>VLOOKUP($B2277,'Hospitalisation Details'!A2276:K4620,11,0)</f>
        <v>25</v>
      </c>
    </row>
    <row r="2278" spans="1:18" x14ac:dyDescent="0.35">
      <c r="A2278" t="s">
        <v>81</v>
      </c>
      <c r="B2278" t="s">
        <v>2306</v>
      </c>
      <c r="C2278" t="str">
        <f>VLOOKUP($A2278,'Customer Names'!$A:$E,4,FALSE)</f>
        <v>Abby L.</v>
      </c>
      <c r="D2278" t="str">
        <f>VLOOKUP($A2278,'Medical Examinations'!$A:$J,2,FALSE)</f>
        <v>Normal Weight</v>
      </c>
      <c r="E2278">
        <f>VLOOKUP($A2278,'Medical Examinations'!$A:$J,4,FALSE)</f>
        <v>6.15</v>
      </c>
      <c r="F2278" t="str">
        <f>VLOOKUP($A2278,'Medical Examinations'!$A:$J,6,FALSE)</f>
        <v>yes</v>
      </c>
      <c r="G2278" t="str">
        <f>VLOOKUP($A2278,'Medical Examinations'!$A:$J,7,FALSE)</f>
        <v>No</v>
      </c>
      <c r="H2278" t="str">
        <f>VLOOKUP($A2278,'Medical Examinations'!$A:$J,8,FALSE)</f>
        <v>Yes</v>
      </c>
      <c r="I2278">
        <f>VLOOKUP($A2278,'Medical Examinations'!$A:$J,9,FALSE)</f>
        <v>1</v>
      </c>
      <c r="J2278" t="str">
        <f>VLOOKUP($A2278,'Medical Examinations'!$A:$J,10,FALSE)</f>
        <v>No</v>
      </c>
      <c r="K2278" t="str">
        <f>VLOOKUP($A2278,'Medical Examinations'!$A:$J,5,FALSE)</f>
        <v>Prediabetes</v>
      </c>
      <c r="L2278">
        <f>VLOOKUP($A2279,'Medical Examinations'!$A:$J,3,FALSE)</f>
        <v>17.41</v>
      </c>
      <c r="N2278" s="11">
        <f>VLOOKUP($B2278,'Hospitalisation Details'!A2277:J4621,10,0)</f>
        <v>29039</v>
      </c>
      <c r="O2278" t="str">
        <f>VLOOKUP($B2278,'Hospitalisation Details'!A2277:J4621,8,0)</f>
        <v>tier - 1</v>
      </c>
      <c r="P2278" t="str">
        <f>VLOOKUP($B2278,'Hospitalisation Details'!A2277:J4621,7,0)</f>
        <v>tier - 1</v>
      </c>
      <c r="Q2278" t="str">
        <f>VLOOKUP($B2278,'Hospitalisation Details'!A2277:J4621,9,0)</f>
        <v>R1013</v>
      </c>
      <c r="R2278">
        <f>VLOOKUP($B2278,'Hospitalisation Details'!A2277:K4621,11,0)</f>
        <v>43</v>
      </c>
    </row>
    <row r="2279" spans="1:18" x14ac:dyDescent="0.35">
      <c r="A2279" t="s">
        <v>80</v>
      </c>
      <c r="B2279" t="s">
        <v>2307</v>
      </c>
      <c r="C2279" t="str">
        <f>VLOOKUP($A2279,'Customer Names'!$A:$E,4,FALSE)</f>
        <v>Mark</v>
      </c>
      <c r="D2279" t="str">
        <f>VLOOKUP($A2279,'Medical Examinations'!$A:$J,2,FALSE)</f>
        <v>Underweight</v>
      </c>
      <c r="E2279">
        <f>VLOOKUP($A2279,'Medical Examinations'!$A:$J,4,FALSE)</f>
        <v>5.13</v>
      </c>
      <c r="F2279" t="str">
        <f>VLOOKUP($A2279,'Medical Examinations'!$A:$J,6,FALSE)</f>
        <v>yes</v>
      </c>
      <c r="G2279" t="str">
        <f>VLOOKUP($A2279,'Medical Examinations'!$A:$J,7,FALSE)</f>
        <v>No</v>
      </c>
      <c r="H2279" t="str">
        <f>VLOOKUP($A2279,'Medical Examinations'!$A:$J,8,FALSE)</f>
        <v>No</v>
      </c>
      <c r="I2279">
        <f>VLOOKUP($A2279,'Medical Examinations'!$A:$J,9,FALSE)</f>
        <v>0</v>
      </c>
      <c r="J2279" t="str">
        <f>VLOOKUP($A2279,'Medical Examinations'!$A:$J,10,FALSE)</f>
        <v>No</v>
      </c>
      <c r="K2279" t="str">
        <f>VLOOKUP($A2279,'Medical Examinations'!$A:$J,5,FALSE)</f>
        <v>Normal</v>
      </c>
      <c r="L2279">
        <f>VLOOKUP($A2280,'Medical Examinations'!$A:$J,3,FALSE)</f>
        <v>19.32</v>
      </c>
      <c r="N2279" s="11">
        <f>VLOOKUP($B2279,'Hospitalisation Details'!A2278:J4622,10,0)</f>
        <v>26925</v>
      </c>
      <c r="O2279" t="str">
        <f>VLOOKUP($B2279,'Hospitalisation Details'!A2278:J4622,8,0)</f>
        <v>tier - 1</v>
      </c>
      <c r="P2279" t="str">
        <f>VLOOKUP($B2279,'Hospitalisation Details'!A2278:J4622,7,0)</f>
        <v>tier - 1</v>
      </c>
      <c r="Q2279" t="str">
        <f>VLOOKUP($B2279,'Hospitalisation Details'!A2278:J4622,9,0)</f>
        <v>R1011</v>
      </c>
      <c r="R2279">
        <f>VLOOKUP($B2279,'Hospitalisation Details'!A2278:K4622,11,0)</f>
        <v>49</v>
      </c>
    </row>
    <row r="2280" spans="1:18" x14ac:dyDescent="0.35">
      <c r="A2280" t="s">
        <v>79</v>
      </c>
      <c r="B2280" t="s">
        <v>2308</v>
      </c>
      <c r="C2280" t="str">
        <f>VLOOKUP($A2280,'Customer Names'!$A:$E,4,FALSE)</f>
        <v>Ali</v>
      </c>
      <c r="D2280" t="str">
        <f>VLOOKUP($A2280,'Medical Examinations'!$A:$J,2,FALSE)</f>
        <v>Normal Weight</v>
      </c>
      <c r="E2280">
        <f>VLOOKUP($A2280,'Medical Examinations'!$A:$J,4,FALSE)</f>
        <v>4.96</v>
      </c>
      <c r="F2280" t="str">
        <f>VLOOKUP($A2280,'Medical Examinations'!$A:$J,6,FALSE)</f>
        <v>yes</v>
      </c>
      <c r="G2280" t="str">
        <f>VLOOKUP($A2280,'Medical Examinations'!$A:$J,7,FALSE)</f>
        <v>No</v>
      </c>
      <c r="H2280" t="str">
        <f>VLOOKUP($A2280,'Medical Examinations'!$A:$J,8,FALSE)</f>
        <v>No</v>
      </c>
      <c r="I2280">
        <f>VLOOKUP($A2280,'Medical Examinations'!$A:$J,9,FALSE)</f>
        <v>0</v>
      </c>
      <c r="J2280" t="str">
        <f>VLOOKUP($A2280,'Medical Examinations'!$A:$J,10,FALSE)</f>
        <v>No</v>
      </c>
      <c r="K2280" t="str">
        <f>VLOOKUP($A2280,'Medical Examinations'!$A:$J,5,FALSE)</f>
        <v>Normal</v>
      </c>
      <c r="L2280">
        <f>VLOOKUP($A2281,'Medical Examinations'!$A:$J,3,FALSE)</f>
        <v>18.25</v>
      </c>
      <c r="N2280" s="11">
        <f>VLOOKUP($B2280,'Hospitalisation Details'!A2279:J4623,10,0)</f>
        <v>27621</v>
      </c>
      <c r="O2280" t="str">
        <f>VLOOKUP($B2280,'Hospitalisation Details'!A2279:J4623,8,0)</f>
        <v>tier - 3</v>
      </c>
      <c r="P2280" t="str">
        <f>VLOOKUP($B2280,'Hospitalisation Details'!A2279:J4623,7,0)</f>
        <v>tier - 1</v>
      </c>
      <c r="Q2280" t="str">
        <f>VLOOKUP($B2280,'Hospitalisation Details'!A2279:J4623,9,0)</f>
        <v>R1013</v>
      </c>
      <c r="R2280">
        <f>VLOOKUP($B2280,'Hospitalisation Details'!A2279:K4623,11,0)</f>
        <v>47</v>
      </c>
    </row>
    <row r="2281" spans="1:18" x14ac:dyDescent="0.35">
      <c r="A2281" t="s">
        <v>78</v>
      </c>
      <c r="B2281" t="s">
        <v>2309</v>
      </c>
      <c r="C2281" t="str">
        <f>VLOOKUP($A2281,'Customer Names'!$A:$E,4,FALSE)</f>
        <v>Joshua</v>
      </c>
      <c r="D2281" t="str">
        <f>VLOOKUP($A2281,'Medical Examinations'!$A:$J,2,FALSE)</f>
        <v>Underweight</v>
      </c>
      <c r="E2281">
        <f>VLOOKUP($A2281,'Medical Examinations'!$A:$J,4,FALSE)</f>
        <v>10.95</v>
      </c>
      <c r="F2281" t="str">
        <f>VLOOKUP($A2281,'Medical Examinations'!$A:$J,6,FALSE)</f>
        <v>No</v>
      </c>
      <c r="G2281" t="str">
        <f>VLOOKUP($A2281,'Medical Examinations'!$A:$J,7,FALSE)</f>
        <v>No</v>
      </c>
      <c r="H2281" t="str">
        <f>VLOOKUP($A2281,'Medical Examinations'!$A:$J,8,FALSE)</f>
        <v>No</v>
      </c>
      <c r="I2281">
        <f>VLOOKUP($A2281,'Medical Examinations'!$A:$J,9,FALSE)</f>
        <v>0</v>
      </c>
      <c r="J2281" t="str">
        <f>VLOOKUP($A2281,'Medical Examinations'!$A:$J,10,FALSE)</f>
        <v>No</v>
      </c>
      <c r="K2281" t="str">
        <f>VLOOKUP($A2281,'Medical Examinations'!$A:$J,5,FALSE)</f>
        <v>Diabetes</v>
      </c>
      <c r="L2281">
        <f>VLOOKUP($A2282,'Medical Examinations'!$A:$J,3,FALSE)</f>
        <v>53.13</v>
      </c>
      <c r="N2281" s="11">
        <f>VLOOKUP($B2281,'Hospitalisation Details'!A2280:J4624,10,0)</f>
        <v>24651</v>
      </c>
      <c r="O2281" t="str">
        <f>VLOOKUP($B2281,'Hospitalisation Details'!A2280:J4624,8,0)</f>
        <v>tier - 2</v>
      </c>
      <c r="P2281" t="str">
        <f>VLOOKUP($B2281,'Hospitalisation Details'!A2280:J4624,7,0)</f>
        <v>tier - 1</v>
      </c>
      <c r="Q2281" t="str">
        <f>VLOOKUP($B2281,'Hospitalisation Details'!A2280:J4624,9,0)</f>
        <v>R1016</v>
      </c>
      <c r="R2281">
        <f>VLOOKUP($B2281,'Hospitalisation Details'!A2280:K4624,11,0)</f>
        <v>55</v>
      </c>
    </row>
    <row r="2282" spans="1:18" x14ac:dyDescent="0.35">
      <c r="A2282" t="s">
        <v>77</v>
      </c>
      <c r="B2282" t="s">
        <v>2310</v>
      </c>
      <c r="C2282" t="str">
        <f>VLOOKUP($A2282,'Customer Names'!$A:$E,4,FALSE)</f>
        <v>Pierre</v>
      </c>
      <c r="D2282" t="str">
        <f>VLOOKUP($A2282,'Medical Examinations'!$A:$J,2,FALSE)</f>
        <v>Obesity</v>
      </c>
      <c r="E2282">
        <f>VLOOKUP($A2282,'Medical Examinations'!$A:$J,4,FALSE)</f>
        <v>4.4400000000000004</v>
      </c>
      <c r="F2282" t="str">
        <f>VLOOKUP($A2282,'Medical Examinations'!$A:$J,6,FALSE)</f>
        <v>No</v>
      </c>
      <c r="G2282" t="str">
        <f>VLOOKUP($A2282,'Medical Examinations'!$A:$J,7,FALSE)</f>
        <v>yes</v>
      </c>
      <c r="H2282" t="str">
        <f>VLOOKUP($A2282,'Medical Examinations'!$A:$J,8,FALSE)</f>
        <v>No</v>
      </c>
      <c r="I2282">
        <f>VLOOKUP($A2282,'Medical Examinations'!$A:$J,9,FALSE)</f>
        <v>1</v>
      </c>
      <c r="J2282" t="str">
        <f>VLOOKUP($A2282,'Medical Examinations'!$A:$J,10,FALSE)</f>
        <v>No</v>
      </c>
      <c r="K2282" t="str">
        <f>VLOOKUP($A2282,'Medical Examinations'!$A:$J,5,FALSE)</f>
        <v>Normal</v>
      </c>
      <c r="L2282">
        <f>VLOOKUP($A2283,'Medical Examinations'!$A:$J,3,FALSE)</f>
        <v>20.46</v>
      </c>
      <c r="N2282" s="11">
        <f>VLOOKUP($B2282,'Hospitalisation Details'!A2281:J4625,10,0)</f>
        <v>25053</v>
      </c>
      <c r="O2282" t="str">
        <f>VLOOKUP($B2282,'Hospitalisation Details'!A2281:J4625,8,0)</f>
        <v>tier - 2</v>
      </c>
      <c r="P2282" t="str">
        <f>VLOOKUP($B2282,'Hospitalisation Details'!A2281:J4625,7,0)</f>
        <v>tier - 1</v>
      </c>
      <c r="Q2282" t="str">
        <f>VLOOKUP($B2282,'Hospitalisation Details'!A2281:J4625,9,0)</f>
        <v>R1011</v>
      </c>
      <c r="R2282">
        <f>VLOOKUP($B2282,'Hospitalisation Details'!A2281:K4625,11,0)</f>
        <v>54</v>
      </c>
    </row>
    <row r="2283" spans="1:18" x14ac:dyDescent="0.35">
      <c r="A2283" t="s">
        <v>76</v>
      </c>
      <c r="B2283" t="s">
        <v>2311</v>
      </c>
      <c r="C2283" t="str">
        <f>VLOOKUP($A2283,'Customer Names'!$A:$E,4,FALSE)</f>
        <v>Kate</v>
      </c>
      <c r="D2283" t="str">
        <f>VLOOKUP($A2283,'Medical Examinations'!$A:$J,2,FALSE)</f>
        <v>Normal Weight</v>
      </c>
      <c r="E2283">
        <f>VLOOKUP($A2283,'Medical Examinations'!$A:$J,4,FALSE)</f>
        <v>4.0199999999999996</v>
      </c>
      <c r="F2283" t="str">
        <f>VLOOKUP($A2283,'Medical Examinations'!$A:$J,6,FALSE)</f>
        <v>No</v>
      </c>
      <c r="G2283" t="str">
        <f>VLOOKUP($A2283,'Medical Examinations'!$A:$J,7,FALSE)</f>
        <v>No</v>
      </c>
      <c r="H2283" t="str">
        <f>VLOOKUP($A2283,'Medical Examinations'!$A:$J,8,FALSE)</f>
        <v>No</v>
      </c>
      <c r="I2283">
        <f>VLOOKUP($A2283,'Medical Examinations'!$A:$J,9,FALSE)</f>
        <v>0</v>
      </c>
      <c r="J2283" t="str">
        <f>VLOOKUP($A2283,'Medical Examinations'!$A:$J,10,FALSE)</f>
        <v>No</v>
      </c>
      <c r="K2283" t="str">
        <f>VLOOKUP($A2283,'Medical Examinations'!$A:$J,5,FALSE)</f>
        <v>Normal</v>
      </c>
      <c r="L2283">
        <f>VLOOKUP($A2284,'Medical Examinations'!$A:$J,3,FALSE)</f>
        <v>43.01</v>
      </c>
      <c r="N2283" s="11">
        <f>VLOOKUP($B2283,'Hospitalisation Details'!A2282:J4626,10,0)</f>
        <v>24650</v>
      </c>
      <c r="O2283" t="str">
        <f>VLOOKUP($B2283,'Hospitalisation Details'!A2282:J4626,8,0)</f>
        <v>tier - 3</v>
      </c>
      <c r="P2283" t="str">
        <f>VLOOKUP($B2283,'Hospitalisation Details'!A2282:J4626,7,0)</f>
        <v>tier - 1</v>
      </c>
      <c r="Q2283" t="str">
        <f>VLOOKUP($B2283,'Hospitalisation Details'!A2282:J4626,9,0)</f>
        <v>R1011</v>
      </c>
      <c r="R2283">
        <f>VLOOKUP($B2283,'Hospitalisation Details'!A2282:K4626,11,0)</f>
        <v>55</v>
      </c>
    </row>
    <row r="2284" spans="1:18" x14ac:dyDescent="0.35">
      <c r="A2284" t="s">
        <v>75</v>
      </c>
      <c r="B2284" t="s">
        <v>2312</v>
      </c>
      <c r="C2284" t="str">
        <f>VLOOKUP($A2284,'Customer Names'!$A:$E,4,FALSE)</f>
        <v>David</v>
      </c>
      <c r="D2284" t="str">
        <f>VLOOKUP($A2284,'Medical Examinations'!$A:$J,2,FALSE)</f>
        <v>Obesity</v>
      </c>
      <c r="E2284">
        <f>VLOOKUP($A2284,'Medical Examinations'!$A:$J,4,FALSE)</f>
        <v>5.44</v>
      </c>
      <c r="F2284" t="str">
        <f>VLOOKUP($A2284,'Medical Examinations'!$A:$J,6,FALSE)</f>
        <v>No</v>
      </c>
      <c r="G2284" t="str">
        <f>VLOOKUP($A2284,'Medical Examinations'!$A:$J,7,FALSE)</f>
        <v>yes</v>
      </c>
      <c r="H2284" t="str">
        <f>VLOOKUP($A2284,'Medical Examinations'!$A:$J,8,FALSE)</f>
        <v>No</v>
      </c>
      <c r="I2284">
        <f>VLOOKUP($A2284,'Medical Examinations'!$A:$J,9,FALSE)</f>
        <v>1</v>
      </c>
      <c r="J2284" t="str">
        <f>VLOOKUP($A2284,'Medical Examinations'!$A:$J,10,FALSE)</f>
        <v>No</v>
      </c>
      <c r="K2284" t="str">
        <f>VLOOKUP($A2284,'Medical Examinations'!$A:$J,5,FALSE)</f>
        <v>Normal</v>
      </c>
      <c r="L2284">
        <f>VLOOKUP($A2285,'Medical Examinations'!$A:$J,3,FALSE)</f>
        <v>15.01</v>
      </c>
      <c r="N2284" s="11">
        <f>VLOOKUP($B2284,'Hospitalisation Details'!A2283:J4627,10,0)</f>
        <v>29216</v>
      </c>
      <c r="O2284" t="str">
        <f>VLOOKUP($B2284,'Hospitalisation Details'!A2283:J4627,8,0)</f>
        <v>tier - 3</v>
      </c>
      <c r="P2284" t="str">
        <f>VLOOKUP($B2284,'Hospitalisation Details'!A2283:J4627,7,0)</f>
        <v>tier - 1</v>
      </c>
      <c r="Q2284" t="str">
        <f>VLOOKUP($B2284,'Hospitalisation Details'!A2283:J4627,9,0)</f>
        <v>R1013</v>
      </c>
      <c r="R2284">
        <f>VLOOKUP($B2284,'Hospitalisation Details'!A2283:K4627,11,0)</f>
        <v>43</v>
      </c>
    </row>
    <row r="2285" spans="1:18" x14ac:dyDescent="0.35">
      <c r="A2285" t="s">
        <v>74</v>
      </c>
      <c r="B2285" t="s">
        <v>2313</v>
      </c>
      <c r="C2285" t="str">
        <f>VLOOKUP($A2285,'Customer Names'!$A:$E,4,FALSE)</f>
        <v>Carla</v>
      </c>
      <c r="D2285" t="str">
        <f>VLOOKUP($A2285,'Medical Examinations'!$A:$J,2,FALSE)</f>
        <v>Underweight</v>
      </c>
      <c r="E2285">
        <f>VLOOKUP($A2285,'Medical Examinations'!$A:$J,4,FALSE)</f>
        <v>4.1500000000000004</v>
      </c>
      <c r="F2285" t="str">
        <f>VLOOKUP($A2285,'Medical Examinations'!$A:$J,6,FALSE)</f>
        <v>No</v>
      </c>
      <c r="G2285" t="str">
        <f>VLOOKUP($A2285,'Medical Examinations'!$A:$J,7,FALSE)</f>
        <v>No</v>
      </c>
      <c r="H2285" t="str">
        <f>VLOOKUP($A2285,'Medical Examinations'!$A:$J,8,FALSE)</f>
        <v>Yes</v>
      </c>
      <c r="I2285">
        <f>VLOOKUP($A2285,'Medical Examinations'!$A:$J,9,FALSE)</f>
        <v>1</v>
      </c>
      <c r="J2285" t="str">
        <f>VLOOKUP($A2285,'Medical Examinations'!$A:$J,10,FALSE)</f>
        <v>No</v>
      </c>
      <c r="K2285" t="str">
        <f>VLOOKUP($A2285,'Medical Examinations'!$A:$J,5,FALSE)</f>
        <v>Normal</v>
      </c>
      <c r="L2285">
        <f>VLOOKUP($A2286,'Medical Examinations'!$A:$J,3,FALSE)</f>
        <v>41.14</v>
      </c>
      <c r="N2285" s="11">
        <f>VLOOKUP($B2285,'Hospitalisation Details'!A2284:J4628,10,0)</f>
        <v>26240</v>
      </c>
      <c r="O2285" t="str">
        <f>VLOOKUP($B2285,'Hospitalisation Details'!A2284:J4628,8,0)</f>
        <v>tier - 3</v>
      </c>
      <c r="P2285" t="str">
        <f>VLOOKUP($B2285,'Hospitalisation Details'!A2284:J4628,7,0)</f>
        <v>tier - 1</v>
      </c>
      <c r="Q2285" t="str">
        <f>VLOOKUP($B2285,'Hospitalisation Details'!A2284:J4628,9,0)</f>
        <v>R1011</v>
      </c>
      <c r="R2285">
        <f>VLOOKUP($B2285,'Hospitalisation Details'!A2284:K4628,11,0)</f>
        <v>51</v>
      </c>
    </row>
    <row r="2286" spans="1:18" x14ac:dyDescent="0.35">
      <c r="A2286" t="s">
        <v>73</v>
      </c>
      <c r="B2286" t="s">
        <v>2314</v>
      </c>
      <c r="C2286" t="str">
        <f>VLOOKUP($A2286,'Customer Names'!$A:$E,4,FALSE)</f>
        <v>Alvaro Sr.</v>
      </c>
      <c r="D2286" t="str">
        <f>VLOOKUP($A2286,'Medical Examinations'!$A:$J,2,FALSE)</f>
        <v>Obesity</v>
      </c>
      <c r="E2286">
        <f>VLOOKUP($A2286,'Medical Examinations'!$A:$J,4,FALSE)</f>
        <v>6.02</v>
      </c>
      <c r="F2286" t="str">
        <f>VLOOKUP($A2286,'Medical Examinations'!$A:$J,6,FALSE)</f>
        <v>No</v>
      </c>
      <c r="G2286" t="str">
        <f>VLOOKUP($A2286,'Medical Examinations'!$A:$J,7,FALSE)</f>
        <v>yes</v>
      </c>
      <c r="H2286" t="str">
        <f>VLOOKUP($A2286,'Medical Examinations'!$A:$J,8,FALSE)</f>
        <v>No</v>
      </c>
      <c r="I2286">
        <f>VLOOKUP($A2286,'Medical Examinations'!$A:$J,9,FALSE)</f>
        <v>1</v>
      </c>
      <c r="J2286" t="str">
        <f>VLOOKUP($A2286,'Medical Examinations'!$A:$J,10,FALSE)</f>
        <v>No</v>
      </c>
      <c r="K2286" t="str">
        <f>VLOOKUP($A2286,'Medical Examinations'!$A:$J,5,FALSE)</f>
        <v>Prediabetes</v>
      </c>
      <c r="L2286">
        <f>VLOOKUP($A2287,'Medical Examinations'!$A:$J,3,FALSE)</f>
        <v>16.55</v>
      </c>
      <c r="N2286" s="11">
        <f>VLOOKUP($B2286,'Hospitalisation Details'!A2285:J4629,10,0)</f>
        <v>28419</v>
      </c>
      <c r="O2286" t="str">
        <f>VLOOKUP($B2286,'Hospitalisation Details'!A2285:J4629,8,0)</f>
        <v>tier - 2</v>
      </c>
      <c r="P2286" t="str">
        <f>VLOOKUP($B2286,'Hospitalisation Details'!A2285:J4629,7,0)</f>
        <v>tier - 1</v>
      </c>
      <c r="Q2286" t="str">
        <f>VLOOKUP($B2286,'Hospitalisation Details'!A2285:J4629,9,0)</f>
        <v>R1012</v>
      </c>
      <c r="R2286">
        <f>VLOOKUP($B2286,'Hospitalisation Details'!A2285:K4629,11,0)</f>
        <v>45</v>
      </c>
    </row>
    <row r="2287" spans="1:18" x14ac:dyDescent="0.35">
      <c r="A2287" t="s">
        <v>72</v>
      </c>
      <c r="B2287" t="s">
        <v>2315</v>
      </c>
      <c r="C2287" t="str">
        <f>VLOOKUP($A2287,'Customer Names'!$A:$E,4,FALSE)</f>
        <v>Hope</v>
      </c>
      <c r="D2287" t="str">
        <f>VLOOKUP($A2287,'Medical Examinations'!$A:$J,2,FALSE)</f>
        <v>Underweight</v>
      </c>
      <c r="E2287">
        <f>VLOOKUP($A2287,'Medical Examinations'!$A:$J,4,FALSE)</f>
        <v>7.73</v>
      </c>
      <c r="F2287" t="str">
        <f>VLOOKUP($A2287,'Medical Examinations'!$A:$J,6,FALSE)</f>
        <v>No</v>
      </c>
      <c r="G2287" t="str">
        <f>VLOOKUP($A2287,'Medical Examinations'!$A:$J,7,FALSE)</f>
        <v>No</v>
      </c>
      <c r="H2287" t="str">
        <f>VLOOKUP($A2287,'Medical Examinations'!$A:$J,8,FALSE)</f>
        <v>No</v>
      </c>
      <c r="I2287">
        <f>VLOOKUP($A2287,'Medical Examinations'!$A:$J,9,FALSE)</f>
        <v>0</v>
      </c>
      <c r="J2287" t="str">
        <f>VLOOKUP($A2287,'Medical Examinations'!$A:$J,10,FALSE)</f>
        <v>No</v>
      </c>
      <c r="K2287" t="str">
        <f>VLOOKUP($A2287,'Medical Examinations'!$A:$J,5,FALSE)</f>
        <v>Diabetes</v>
      </c>
      <c r="L2287">
        <f>VLOOKUP($A2288,'Medical Examinations'!$A:$J,3,FALSE)</f>
        <v>37.29</v>
      </c>
      <c r="N2287" s="11">
        <f>VLOOKUP($B2287,'Hospitalisation Details'!A2286:J4630,10,0)</f>
        <v>24044</v>
      </c>
      <c r="O2287" t="str">
        <f>VLOOKUP($B2287,'Hospitalisation Details'!A2286:J4630,8,0)</f>
        <v>tier - 2</v>
      </c>
      <c r="P2287" t="str">
        <f>VLOOKUP($B2287,'Hospitalisation Details'!A2286:J4630,7,0)</f>
        <v>tier - 1</v>
      </c>
      <c r="Q2287" t="str">
        <f>VLOOKUP($B2287,'Hospitalisation Details'!A2286:J4630,9,0)</f>
        <v>R1011</v>
      </c>
      <c r="R2287">
        <f>VLOOKUP($B2287,'Hospitalisation Details'!A2286:K4630,11,0)</f>
        <v>57</v>
      </c>
    </row>
    <row r="2288" spans="1:18" x14ac:dyDescent="0.35">
      <c r="A2288" t="s">
        <v>71</v>
      </c>
      <c r="B2288" t="s">
        <v>2316</v>
      </c>
      <c r="C2288" t="str">
        <f>VLOOKUP($A2288,'Customer Names'!$A:$E,4,FALSE)</f>
        <v>Mark P.</v>
      </c>
      <c r="D2288" t="str">
        <f>VLOOKUP($A2288,'Medical Examinations'!$A:$J,2,FALSE)</f>
        <v>Obesity</v>
      </c>
      <c r="E2288">
        <f>VLOOKUP($A2288,'Medical Examinations'!$A:$J,4,FALSE)</f>
        <v>5.03</v>
      </c>
      <c r="F2288" t="str">
        <f>VLOOKUP($A2288,'Medical Examinations'!$A:$J,6,FALSE)</f>
        <v>No</v>
      </c>
      <c r="G2288" t="str">
        <f>VLOOKUP($A2288,'Medical Examinations'!$A:$J,7,FALSE)</f>
        <v>yes</v>
      </c>
      <c r="H2288" t="str">
        <f>VLOOKUP($A2288,'Medical Examinations'!$A:$J,8,FALSE)</f>
        <v>No</v>
      </c>
      <c r="I2288">
        <f>VLOOKUP($A2288,'Medical Examinations'!$A:$J,9,FALSE)</f>
        <v>1</v>
      </c>
      <c r="J2288" t="str">
        <f>VLOOKUP($A2288,'Medical Examinations'!$A:$J,10,FALSE)</f>
        <v>No</v>
      </c>
      <c r="K2288" t="str">
        <f>VLOOKUP($A2288,'Medical Examinations'!$A:$J,5,FALSE)</f>
        <v>Normal</v>
      </c>
      <c r="L2288">
        <f>VLOOKUP($A2289,'Medical Examinations'!$A:$J,3,FALSE)</f>
        <v>16.739999999999998</v>
      </c>
      <c r="N2288" s="11">
        <f>VLOOKUP($B2288,'Hospitalisation Details'!A2287:J4631,10,0)</f>
        <v>26552</v>
      </c>
      <c r="O2288" t="str">
        <f>VLOOKUP($B2288,'Hospitalisation Details'!A2287:J4631,8,0)</f>
        <v>tier - 1</v>
      </c>
      <c r="P2288" t="str">
        <f>VLOOKUP($B2288,'Hospitalisation Details'!A2287:J4631,7,0)</f>
        <v>tier - 1</v>
      </c>
      <c r="Q2288" t="str">
        <f>VLOOKUP($B2288,'Hospitalisation Details'!A2287:J4631,9,0)</f>
        <v>R1011</v>
      </c>
      <c r="R2288">
        <f>VLOOKUP($B2288,'Hospitalisation Details'!A2287:K4631,11,0)</f>
        <v>50</v>
      </c>
    </row>
    <row r="2289" spans="1:18" x14ac:dyDescent="0.35">
      <c r="A2289" t="s">
        <v>70</v>
      </c>
      <c r="B2289" t="s">
        <v>2317</v>
      </c>
      <c r="C2289" t="str">
        <f>VLOOKUP($A2289,'Customer Names'!$A:$E,4,FALSE)</f>
        <v>Desiree</v>
      </c>
      <c r="D2289" t="str">
        <f>VLOOKUP($A2289,'Medical Examinations'!$A:$J,2,FALSE)</f>
        <v>Underweight</v>
      </c>
      <c r="E2289">
        <f>VLOOKUP($A2289,'Medical Examinations'!$A:$J,4,FALSE)</f>
        <v>4.08</v>
      </c>
      <c r="F2289" t="str">
        <f>VLOOKUP($A2289,'Medical Examinations'!$A:$J,6,FALSE)</f>
        <v>yes</v>
      </c>
      <c r="G2289" t="str">
        <f>VLOOKUP($A2289,'Medical Examinations'!$A:$J,7,FALSE)</f>
        <v>No</v>
      </c>
      <c r="H2289" t="str">
        <f>VLOOKUP($A2289,'Medical Examinations'!$A:$J,8,FALSE)</f>
        <v>No</v>
      </c>
      <c r="I2289">
        <f>VLOOKUP($A2289,'Medical Examinations'!$A:$J,9,FALSE)</f>
        <v>0</v>
      </c>
      <c r="J2289" t="str">
        <f>VLOOKUP($A2289,'Medical Examinations'!$A:$J,10,FALSE)</f>
        <v>No</v>
      </c>
      <c r="K2289" t="str">
        <f>VLOOKUP($A2289,'Medical Examinations'!$A:$J,5,FALSE)</f>
        <v>Normal</v>
      </c>
      <c r="L2289">
        <f>VLOOKUP($A2290,'Medical Examinations'!$A:$J,3,FALSE)</f>
        <v>34.43</v>
      </c>
      <c r="N2289" s="11">
        <f>VLOOKUP($B2289,'Hospitalisation Details'!A2288:J4632,10,0)</f>
        <v>27690</v>
      </c>
      <c r="O2289" t="str">
        <f>VLOOKUP($B2289,'Hospitalisation Details'!A2288:J4632,8,0)</f>
        <v>tier - 3</v>
      </c>
      <c r="P2289" t="str">
        <f>VLOOKUP($B2289,'Hospitalisation Details'!A2288:J4632,7,0)</f>
        <v>tier - 1</v>
      </c>
      <c r="Q2289" t="str">
        <f>VLOOKUP($B2289,'Hospitalisation Details'!A2288:J4632,9,0)</f>
        <v>R1013</v>
      </c>
      <c r="R2289">
        <f>VLOOKUP($B2289,'Hospitalisation Details'!A2288:K4632,11,0)</f>
        <v>47</v>
      </c>
    </row>
    <row r="2290" spans="1:18" x14ac:dyDescent="0.35">
      <c r="A2290" t="s">
        <v>69</v>
      </c>
      <c r="B2290" t="s">
        <v>2318</v>
      </c>
      <c r="C2290" t="str">
        <f>VLOOKUP($A2290,'Customer Names'!$A:$E,4,FALSE)</f>
        <v>Mario Jr.</v>
      </c>
      <c r="D2290" t="str">
        <f>VLOOKUP($A2290,'Medical Examinations'!$A:$J,2,FALSE)</f>
        <v>Obesity</v>
      </c>
      <c r="E2290">
        <f>VLOOKUP($A2290,'Medical Examinations'!$A:$J,4,FALSE)</f>
        <v>4.2699999999999996</v>
      </c>
      <c r="F2290" t="str">
        <f>VLOOKUP($A2290,'Medical Examinations'!$A:$J,6,FALSE)</f>
        <v>No</v>
      </c>
      <c r="G2290" t="str">
        <f>VLOOKUP($A2290,'Medical Examinations'!$A:$J,7,FALSE)</f>
        <v>yes</v>
      </c>
      <c r="H2290" t="str">
        <f>VLOOKUP($A2290,'Medical Examinations'!$A:$J,8,FALSE)</f>
        <v>No</v>
      </c>
      <c r="I2290">
        <f>VLOOKUP($A2290,'Medical Examinations'!$A:$J,9,FALSE)</f>
        <v>1</v>
      </c>
      <c r="J2290" t="str">
        <f>VLOOKUP($A2290,'Medical Examinations'!$A:$J,10,FALSE)</f>
        <v>No</v>
      </c>
      <c r="K2290" t="str">
        <f>VLOOKUP($A2290,'Medical Examinations'!$A:$J,5,FALSE)</f>
        <v>Normal</v>
      </c>
      <c r="L2290">
        <f>VLOOKUP($A2291,'Medical Examinations'!$A:$J,3,FALSE)</f>
        <v>34.1</v>
      </c>
      <c r="N2290" s="11">
        <f>VLOOKUP($B2290,'Hospitalisation Details'!A2289:J4633,10,0)</f>
        <v>28798</v>
      </c>
      <c r="O2290" t="str">
        <f>VLOOKUP($B2290,'Hospitalisation Details'!A2289:J4633,8,0)</f>
        <v>tier - 2</v>
      </c>
      <c r="P2290" t="str">
        <f>VLOOKUP($B2290,'Hospitalisation Details'!A2289:J4633,7,0)</f>
        <v>tier - 1</v>
      </c>
      <c r="Q2290" t="str">
        <f>VLOOKUP($B2290,'Hospitalisation Details'!A2289:J4633,9,0)</f>
        <v>R1012</v>
      </c>
      <c r="R2290">
        <f>VLOOKUP($B2290,'Hospitalisation Details'!A2289:K4633,11,0)</f>
        <v>44</v>
      </c>
    </row>
    <row r="2291" spans="1:18" x14ac:dyDescent="0.35">
      <c r="A2291" t="s">
        <v>68</v>
      </c>
      <c r="B2291" t="s">
        <v>2319</v>
      </c>
      <c r="C2291" t="str">
        <f>VLOOKUP($A2291,'Customer Names'!$A:$E,4,FALSE)</f>
        <v>Lusapho</v>
      </c>
      <c r="D2291" t="str">
        <f>VLOOKUP($A2291,'Medical Examinations'!$A:$J,2,FALSE)</f>
        <v>Obesity</v>
      </c>
      <c r="E2291">
        <f>VLOOKUP($A2291,'Medical Examinations'!$A:$J,4,FALSE)</f>
        <v>4.07</v>
      </c>
      <c r="F2291" t="str">
        <f>VLOOKUP($A2291,'Medical Examinations'!$A:$J,6,FALSE)</f>
        <v>No</v>
      </c>
      <c r="G2291" t="str">
        <f>VLOOKUP($A2291,'Medical Examinations'!$A:$J,7,FALSE)</f>
        <v>yes</v>
      </c>
      <c r="H2291" t="str">
        <f>VLOOKUP($A2291,'Medical Examinations'!$A:$J,8,FALSE)</f>
        <v>No</v>
      </c>
      <c r="I2291">
        <f>VLOOKUP($A2291,'Medical Examinations'!$A:$J,9,FALSE)</f>
        <v>1</v>
      </c>
      <c r="J2291" t="str">
        <f>VLOOKUP($A2291,'Medical Examinations'!$A:$J,10,FALSE)</f>
        <v>No</v>
      </c>
      <c r="K2291" t="str">
        <f>VLOOKUP($A2291,'Medical Examinations'!$A:$J,5,FALSE)</f>
        <v>Normal</v>
      </c>
      <c r="L2291">
        <f>VLOOKUP($A2292,'Medical Examinations'!$A:$J,3,FALSE)</f>
        <v>19.3</v>
      </c>
      <c r="N2291" s="11">
        <f>VLOOKUP($B2291,'Hospitalisation Details'!A2290:J4634,10,0)</f>
        <v>24075</v>
      </c>
      <c r="O2291" t="str">
        <f>VLOOKUP($B2291,'Hospitalisation Details'!A2290:J4634,8,0)</f>
        <v>tier - 2</v>
      </c>
      <c r="P2291" t="str">
        <f>VLOOKUP($B2291,'Hospitalisation Details'!A2290:J4634,7,0)</f>
        <v>tier - 2</v>
      </c>
      <c r="Q2291" t="str">
        <f>VLOOKUP($B2291,'Hospitalisation Details'!A2290:J4634,9,0)</f>
        <v>R1011</v>
      </c>
      <c r="R2291">
        <f>VLOOKUP($B2291,'Hospitalisation Details'!A2290:K4634,11,0)</f>
        <v>57</v>
      </c>
    </row>
    <row r="2292" spans="1:18" x14ac:dyDescent="0.35">
      <c r="A2292" t="s">
        <v>67</v>
      </c>
      <c r="B2292" t="s">
        <v>2320</v>
      </c>
      <c r="C2292" t="str">
        <f>VLOOKUP($A2292,'Customer Names'!$A:$E,4,FALSE)</f>
        <v>Erin C.</v>
      </c>
      <c r="D2292" t="str">
        <f>VLOOKUP($A2292,'Medical Examinations'!$A:$J,2,FALSE)</f>
        <v>Normal Weight</v>
      </c>
      <c r="E2292">
        <f>VLOOKUP($A2292,'Medical Examinations'!$A:$J,4,FALSE)</f>
        <v>10.36</v>
      </c>
      <c r="F2292" t="str">
        <f>VLOOKUP($A2292,'Medical Examinations'!$A:$J,6,FALSE)</f>
        <v>No</v>
      </c>
      <c r="G2292" t="str">
        <f>VLOOKUP($A2292,'Medical Examinations'!$A:$J,7,FALSE)</f>
        <v>No</v>
      </c>
      <c r="H2292" t="str">
        <f>VLOOKUP($A2292,'Medical Examinations'!$A:$J,8,FALSE)</f>
        <v>No</v>
      </c>
      <c r="I2292">
        <f>VLOOKUP($A2292,'Medical Examinations'!$A:$J,9,FALSE)</f>
        <v>0</v>
      </c>
      <c r="J2292" t="str">
        <f>VLOOKUP($A2292,'Medical Examinations'!$A:$J,10,FALSE)</f>
        <v>No</v>
      </c>
      <c r="K2292" t="str">
        <f>VLOOKUP($A2292,'Medical Examinations'!$A:$J,5,FALSE)</f>
        <v>Diabetes</v>
      </c>
      <c r="L2292">
        <f>VLOOKUP($A2293,'Medical Examinations'!$A:$J,3,FALSE)</f>
        <v>33.659999999999997</v>
      </c>
      <c r="N2292" s="11">
        <f>VLOOKUP($B2292,'Hospitalisation Details'!A2291:J4635,10,0)</f>
        <v>25540</v>
      </c>
      <c r="O2292" t="str">
        <f>VLOOKUP($B2292,'Hospitalisation Details'!A2291:J4635,8,0)</f>
        <v>tier - 2</v>
      </c>
      <c r="P2292" t="str">
        <f>VLOOKUP($B2292,'Hospitalisation Details'!A2291:J4635,7,0)</f>
        <v>tier - 2</v>
      </c>
      <c r="Q2292" t="str">
        <f>VLOOKUP($B2292,'Hospitalisation Details'!A2291:J4635,9,0)</f>
        <v>R1016</v>
      </c>
      <c r="R2292">
        <f>VLOOKUP($B2292,'Hospitalisation Details'!A2291:K4635,11,0)</f>
        <v>53</v>
      </c>
    </row>
    <row r="2293" spans="1:18" x14ac:dyDescent="0.35">
      <c r="A2293" t="s">
        <v>66</v>
      </c>
      <c r="B2293" t="s">
        <v>2321</v>
      </c>
      <c r="C2293" t="str">
        <f>VLOOKUP($A2293,'Customer Names'!$A:$E,4,FALSE)</f>
        <v>Alan F</v>
      </c>
      <c r="D2293" t="str">
        <f>VLOOKUP($A2293,'Medical Examinations'!$A:$J,2,FALSE)</f>
        <v>Obesity</v>
      </c>
      <c r="E2293">
        <f>VLOOKUP($A2293,'Medical Examinations'!$A:$J,4,FALSE)</f>
        <v>5.71</v>
      </c>
      <c r="F2293" t="str">
        <f>VLOOKUP($A2293,'Medical Examinations'!$A:$J,6,FALSE)</f>
        <v>No</v>
      </c>
      <c r="G2293" t="str">
        <f>VLOOKUP($A2293,'Medical Examinations'!$A:$J,7,FALSE)</f>
        <v>yes</v>
      </c>
      <c r="H2293" t="str">
        <f>VLOOKUP($A2293,'Medical Examinations'!$A:$J,8,FALSE)</f>
        <v>No</v>
      </c>
      <c r="I2293">
        <f>VLOOKUP($A2293,'Medical Examinations'!$A:$J,9,FALSE)</f>
        <v>1</v>
      </c>
      <c r="J2293" t="str">
        <f>VLOOKUP($A2293,'Medical Examinations'!$A:$J,10,FALSE)</f>
        <v>No</v>
      </c>
      <c r="K2293" t="str">
        <f>VLOOKUP($A2293,'Medical Examinations'!$A:$J,5,FALSE)</f>
        <v>Prediabetes</v>
      </c>
      <c r="L2293">
        <f>VLOOKUP($A2294,'Medical Examinations'!$A:$J,3,FALSE)</f>
        <v>33.33</v>
      </c>
      <c r="N2293" s="11">
        <f>VLOOKUP($B2293,'Hospitalisation Details'!A2292:J4636,10,0)</f>
        <v>23976</v>
      </c>
      <c r="O2293" t="str">
        <f>VLOOKUP($B2293,'Hospitalisation Details'!A2292:J4636,8,0)</f>
        <v>tier - 2</v>
      </c>
      <c r="P2293" t="str">
        <f>VLOOKUP($B2293,'Hospitalisation Details'!A2292:J4636,7,0)</f>
        <v>tier - 2</v>
      </c>
      <c r="Q2293" t="str">
        <f>VLOOKUP($B2293,'Hospitalisation Details'!A2292:J4636,9,0)</f>
        <v>R1012</v>
      </c>
      <c r="R2293">
        <f>VLOOKUP($B2293,'Hospitalisation Details'!A2292:K4636,11,0)</f>
        <v>57</v>
      </c>
    </row>
    <row r="2294" spans="1:18" x14ac:dyDescent="0.35">
      <c r="A2294" t="s">
        <v>65</v>
      </c>
      <c r="B2294" t="s">
        <v>2322</v>
      </c>
      <c r="C2294" t="str">
        <f>VLOOKUP($A2294,'Customer Names'!$A:$E,4,FALSE)</f>
        <v>Ryan</v>
      </c>
      <c r="D2294" t="str">
        <f>VLOOKUP($A2294,'Medical Examinations'!$A:$J,2,FALSE)</f>
        <v>Obesity</v>
      </c>
      <c r="E2294">
        <f>VLOOKUP($A2294,'Medical Examinations'!$A:$J,4,FALSE)</f>
        <v>6.08</v>
      </c>
      <c r="F2294" t="str">
        <f>VLOOKUP($A2294,'Medical Examinations'!$A:$J,6,FALSE)</f>
        <v>No</v>
      </c>
      <c r="G2294" t="str">
        <f>VLOOKUP($A2294,'Medical Examinations'!$A:$J,7,FALSE)</f>
        <v>yes</v>
      </c>
      <c r="H2294" t="str">
        <f>VLOOKUP($A2294,'Medical Examinations'!$A:$J,8,FALSE)</f>
        <v>No</v>
      </c>
      <c r="I2294">
        <f>VLOOKUP($A2294,'Medical Examinations'!$A:$J,9,FALSE)</f>
        <v>1</v>
      </c>
      <c r="J2294" t="str">
        <f>VLOOKUP($A2294,'Medical Examinations'!$A:$J,10,FALSE)</f>
        <v>No</v>
      </c>
      <c r="K2294" t="str">
        <f>VLOOKUP($A2294,'Medical Examinations'!$A:$J,5,FALSE)</f>
        <v>Prediabetes</v>
      </c>
      <c r="L2294">
        <f>VLOOKUP($A2295,'Medical Examinations'!$A:$J,3,FALSE)</f>
        <v>21.84</v>
      </c>
      <c r="N2294" s="11">
        <f>VLOOKUP($B2294,'Hospitalisation Details'!A2293:J4637,10,0)</f>
        <v>31775</v>
      </c>
      <c r="O2294" t="str">
        <f>VLOOKUP($B2294,'Hospitalisation Details'!A2293:J4637,8,0)</f>
        <v>tier - 1</v>
      </c>
      <c r="P2294" t="str">
        <f>VLOOKUP($B2294,'Hospitalisation Details'!A2293:J4637,7,0)</f>
        <v>tier - 2</v>
      </c>
      <c r="Q2294" t="str">
        <f>VLOOKUP($B2294,'Hospitalisation Details'!A2293:J4637,9,0)</f>
        <v>R1015</v>
      </c>
      <c r="R2294">
        <f>VLOOKUP($B2294,'Hospitalisation Details'!A2293:K4637,11,0)</f>
        <v>36</v>
      </c>
    </row>
    <row r="2295" spans="1:18" x14ac:dyDescent="0.35">
      <c r="A2295" t="s">
        <v>64</v>
      </c>
      <c r="B2295" t="s">
        <v>2323</v>
      </c>
      <c r="C2295" t="str">
        <f>VLOOKUP($A2295,'Customer Names'!$A:$E,4,FALSE)</f>
        <v>Hope</v>
      </c>
      <c r="D2295" t="str">
        <f>VLOOKUP($A2295,'Medical Examinations'!$A:$J,2,FALSE)</f>
        <v>Normal Weight</v>
      </c>
      <c r="E2295">
        <f>VLOOKUP($A2295,'Medical Examinations'!$A:$J,4,FALSE)</f>
        <v>5.71</v>
      </c>
      <c r="F2295" t="str">
        <f>VLOOKUP($A2295,'Medical Examinations'!$A:$J,6,FALSE)</f>
        <v>No</v>
      </c>
      <c r="G2295" t="str">
        <f>VLOOKUP($A2295,'Medical Examinations'!$A:$J,7,FALSE)</f>
        <v>yes</v>
      </c>
      <c r="H2295" t="str">
        <f>VLOOKUP($A2295,'Medical Examinations'!$A:$J,8,FALSE)</f>
        <v>No</v>
      </c>
      <c r="I2295">
        <f>VLOOKUP($A2295,'Medical Examinations'!$A:$J,9,FALSE)</f>
        <v>1</v>
      </c>
      <c r="J2295" t="str">
        <f>VLOOKUP($A2295,'Medical Examinations'!$A:$J,10,FALSE)</f>
        <v>No</v>
      </c>
      <c r="K2295" t="str">
        <f>VLOOKUP($A2295,'Medical Examinations'!$A:$J,5,FALSE)</f>
        <v>Prediabetes</v>
      </c>
      <c r="L2295">
        <f>VLOOKUP($A2296,'Medical Examinations'!$A:$J,3,FALSE)</f>
        <v>16.87</v>
      </c>
      <c r="N2295" s="11">
        <f>VLOOKUP($B2295,'Hospitalisation Details'!A2294:J4638,10,0)</f>
        <v>24405</v>
      </c>
      <c r="O2295" t="str">
        <f>VLOOKUP($B2295,'Hospitalisation Details'!A2294:J4638,8,0)</f>
        <v>tier - 2</v>
      </c>
      <c r="P2295" t="str">
        <f>VLOOKUP($B2295,'Hospitalisation Details'!A2294:J4638,7,0)</f>
        <v>tier - 2</v>
      </c>
      <c r="Q2295" t="str">
        <f>VLOOKUP($B2295,'Hospitalisation Details'!A2294:J4638,9,0)</f>
        <v>R1013</v>
      </c>
      <c r="R2295">
        <f>VLOOKUP($B2295,'Hospitalisation Details'!A2294:K4638,11,0)</f>
        <v>56</v>
      </c>
    </row>
    <row r="2296" spans="1:18" x14ac:dyDescent="0.35">
      <c r="A2296" t="s">
        <v>63</v>
      </c>
      <c r="B2296" t="s">
        <v>2324</v>
      </c>
      <c r="C2296" t="str">
        <f>VLOOKUP($A2296,'Customer Names'!$A:$E,4,FALSE)</f>
        <v>Josh</v>
      </c>
      <c r="D2296" t="str">
        <f>VLOOKUP($A2296,'Medical Examinations'!$A:$J,2,FALSE)</f>
        <v>Underweight</v>
      </c>
      <c r="E2296">
        <f>VLOOKUP($A2296,'Medical Examinations'!$A:$J,4,FALSE)</f>
        <v>9.1300000000000008</v>
      </c>
      <c r="F2296" t="str">
        <f>VLOOKUP($A2296,'Medical Examinations'!$A:$J,6,FALSE)</f>
        <v>No</v>
      </c>
      <c r="G2296" t="str">
        <f>VLOOKUP($A2296,'Medical Examinations'!$A:$J,7,FALSE)</f>
        <v>No</v>
      </c>
      <c r="H2296" t="str">
        <f>VLOOKUP($A2296,'Medical Examinations'!$A:$J,8,FALSE)</f>
        <v>No</v>
      </c>
      <c r="I2296">
        <f>VLOOKUP($A2296,'Medical Examinations'!$A:$J,9,FALSE)</f>
        <v>0</v>
      </c>
      <c r="J2296" t="str">
        <f>VLOOKUP($A2296,'Medical Examinations'!$A:$J,10,FALSE)</f>
        <v>No</v>
      </c>
      <c r="K2296" t="str">
        <f>VLOOKUP($A2296,'Medical Examinations'!$A:$J,5,FALSE)</f>
        <v>Diabetes</v>
      </c>
      <c r="L2296">
        <f>VLOOKUP($A2297,'Medical Examinations'!$A:$J,3,FALSE)</f>
        <v>30.14</v>
      </c>
      <c r="N2296" s="11">
        <f>VLOOKUP($B2296,'Hospitalisation Details'!A2295:J4639,10,0)</f>
        <v>24290</v>
      </c>
      <c r="O2296" t="str">
        <f>VLOOKUP($B2296,'Hospitalisation Details'!A2295:J4639,8,0)</f>
        <v>tier - 3</v>
      </c>
      <c r="P2296" t="str">
        <f>VLOOKUP($B2296,'Hospitalisation Details'!A2295:J4639,7,0)</f>
        <v>tier - 2</v>
      </c>
      <c r="Q2296" t="str">
        <f>VLOOKUP($B2296,'Hospitalisation Details'!A2295:J4639,9,0)</f>
        <v>R1012</v>
      </c>
      <c r="R2296">
        <f>VLOOKUP($B2296,'Hospitalisation Details'!A2295:K4639,11,0)</f>
        <v>56</v>
      </c>
    </row>
    <row r="2297" spans="1:18" x14ac:dyDescent="0.35">
      <c r="A2297" t="s">
        <v>62</v>
      </c>
      <c r="B2297" t="s">
        <v>2325</v>
      </c>
      <c r="C2297" t="str">
        <f>VLOOKUP($A2297,'Customer Names'!$A:$E,4,FALSE)</f>
        <v>Jacob J</v>
      </c>
      <c r="D2297" t="str">
        <f>VLOOKUP($A2297,'Medical Examinations'!$A:$J,2,FALSE)</f>
        <v>Obesity</v>
      </c>
      <c r="E2297">
        <f>VLOOKUP($A2297,'Medical Examinations'!$A:$J,4,FALSE)</f>
        <v>5.49</v>
      </c>
      <c r="F2297" t="str">
        <f>VLOOKUP($A2297,'Medical Examinations'!$A:$J,6,FALSE)</f>
        <v>No</v>
      </c>
      <c r="G2297" t="str">
        <f>VLOOKUP($A2297,'Medical Examinations'!$A:$J,7,FALSE)</f>
        <v>yes</v>
      </c>
      <c r="H2297" t="str">
        <f>VLOOKUP($A2297,'Medical Examinations'!$A:$J,8,FALSE)</f>
        <v>No</v>
      </c>
      <c r="I2297">
        <f>VLOOKUP($A2297,'Medical Examinations'!$A:$J,9,FALSE)</f>
        <v>1</v>
      </c>
      <c r="J2297" t="str">
        <f>VLOOKUP($A2297,'Medical Examinations'!$A:$J,10,FALSE)</f>
        <v>No</v>
      </c>
      <c r="K2297" t="str">
        <f>VLOOKUP($A2297,'Medical Examinations'!$A:$J,5,FALSE)</f>
        <v>Normal</v>
      </c>
      <c r="L2297">
        <f>VLOOKUP($A2298,'Medical Examinations'!$A:$J,3,FALSE)</f>
        <v>23.21</v>
      </c>
      <c r="N2297" s="11">
        <f>VLOOKUP($B2297,'Hospitalisation Details'!A2296:J4640,10,0)</f>
        <v>29535</v>
      </c>
      <c r="O2297" t="str">
        <f>VLOOKUP($B2297,'Hospitalisation Details'!A2296:J4640,8,0)</f>
        <v>tier - 1</v>
      </c>
      <c r="P2297" t="str">
        <f>VLOOKUP($B2297,'Hospitalisation Details'!A2296:J4640,7,0)</f>
        <v>tier - 2</v>
      </c>
      <c r="Q2297" t="str">
        <f>VLOOKUP($B2297,'Hospitalisation Details'!A2296:J4640,9,0)</f>
        <v>R1013</v>
      </c>
      <c r="R2297">
        <f>VLOOKUP($B2297,'Hospitalisation Details'!A2296:K4640,11,0)</f>
        <v>42</v>
      </c>
    </row>
    <row r="2298" spans="1:18" x14ac:dyDescent="0.35">
      <c r="A2298" t="s">
        <v>61</v>
      </c>
      <c r="B2298" t="s">
        <v>2326</v>
      </c>
      <c r="C2298" t="str">
        <f>VLOOKUP($A2298,'Customer Names'!$A:$E,4,FALSE)</f>
        <v>Jose Tomas</v>
      </c>
      <c r="D2298" t="str">
        <f>VLOOKUP($A2298,'Medical Examinations'!$A:$J,2,FALSE)</f>
        <v>Normal Weight</v>
      </c>
      <c r="E2298">
        <f>VLOOKUP($A2298,'Medical Examinations'!$A:$J,4,FALSE)</f>
        <v>4.37</v>
      </c>
      <c r="F2298" t="str">
        <f>VLOOKUP($A2298,'Medical Examinations'!$A:$J,6,FALSE)</f>
        <v>No</v>
      </c>
      <c r="G2298" t="str">
        <f>VLOOKUP($A2298,'Medical Examinations'!$A:$J,7,FALSE)</f>
        <v>yes</v>
      </c>
      <c r="H2298" t="str">
        <f>VLOOKUP($A2298,'Medical Examinations'!$A:$J,8,FALSE)</f>
        <v>No</v>
      </c>
      <c r="I2298">
        <f>VLOOKUP($A2298,'Medical Examinations'!$A:$J,9,FALSE)</f>
        <v>1</v>
      </c>
      <c r="J2298" t="str">
        <f>VLOOKUP($A2298,'Medical Examinations'!$A:$J,10,FALSE)</f>
        <v>No</v>
      </c>
      <c r="K2298" t="str">
        <f>VLOOKUP($A2298,'Medical Examinations'!$A:$J,5,FALSE)</f>
        <v>Normal</v>
      </c>
      <c r="L2298">
        <f>VLOOKUP($A2299,'Medical Examinations'!$A:$J,3,FALSE)</f>
        <v>17.170000000000002</v>
      </c>
      <c r="N2298" s="11">
        <f>VLOOKUP($B2298,'Hospitalisation Details'!A2297:J4641,10,0)</f>
        <v>24385</v>
      </c>
      <c r="O2298" t="str">
        <f>VLOOKUP($B2298,'Hospitalisation Details'!A2297:J4641,8,0)</f>
        <v>tier - 2</v>
      </c>
      <c r="P2298" t="str">
        <f>VLOOKUP($B2298,'Hospitalisation Details'!A2297:J4641,7,0)</f>
        <v>tier - 2</v>
      </c>
      <c r="Q2298" t="str">
        <f>VLOOKUP($B2298,'Hospitalisation Details'!A2297:J4641,9,0)</f>
        <v>R1012</v>
      </c>
      <c r="R2298">
        <f>VLOOKUP($B2298,'Hospitalisation Details'!A2297:K4641,11,0)</f>
        <v>56</v>
      </c>
    </row>
    <row r="2299" spans="1:18" x14ac:dyDescent="0.35">
      <c r="A2299" t="s">
        <v>60</v>
      </c>
      <c r="B2299" t="s">
        <v>2327</v>
      </c>
      <c r="C2299" t="str">
        <f>VLOOKUP($A2299,'Customer Names'!$A:$E,4,FALSE)</f>
        <v>Mary Evan</v>
      </c>
      <c r="D2299" t="str">
        <f>VLOOKUP($A2299,'Medical Examinations'!$A:$J,2,FALSE)</f>
        <v>Underweight</v>
      </c>
      <c r="E2299">
        <f>VLOOKUP($A2299,'Medical Examinations'!$A:$J,4,FALSE)</f>
        <v>8.4600000000000009</v>
      </c>
      <c r="F2299" t="str">
        <f>VLOOKUP($A2299,'Medical Examinations'!$A:$J,6,FALSE)</f>
        <v>No</v>
      </c>
      <c r="G2299" t="str">
        <f>VLOOKUP($A2299,'Medical Examinations'!$A:$J,7,FALSE)</f>
        <v>No</v>
      </c>
      <c r="H2299" t="str">
        <f>VLOOKUP($A2299,'Medical Examinations'!$A:$J,8,FALSE)</f>
        <v>No</v>
      </c>
      <c r="I2299">
        <f>VLOOKUP($A2299,'Medical Examinations'!$A:$J,9,FALSE)</f>
        <v>0</v>
      </c>
      <c r="J2299" t="str">
        <f>VLOOKUP($A2299,'Medical Examinations'!$A:$J,10,FALSE)</f>
        <v>No</v>
      </c>
      <c r="K2299" t="str">
        <f>VLOOKUP($A2299,'Medical Examinations'!$A:$J,5,FALSE)</f>
        <v>Diabetes</v>
      </c>
      <c r="L2299">
        <f>VLOOKUP($A2300,'Medical Examinations'!$A:$J,3,FALSE)</f>
        <v>15.61</v>
      </c>
      <c r="N2299" s="11">
        <f>VLOOKUP($B2299,'Hospitalisation Details'!A2298:J4642,10,0)</f>
        <v>32340</v>
      </c>
      <c r="O2299" t="str">
        <f>VLOOKUP($B2299,'Hospitalisation Details'!A2298:J4642,8,0)</f>
        <v>tier - 1</v>
      </c>
      <c r="P2299" t="str">
        <f>VLOOKUP($B2299,'Hospitalisation Details'!A2298:J4642,7,0)</f>
        <v>tier - 2</v>
      </c>
      <c r="Q2299" t="str">
        <f>VLOOKUP($B2299,'Hospitalisation Details'!A2298:J4642,9,0)</f>
        <v>R1012</v>
      </c>
      <c r="R2299">
        <f>VLOOKUP($B2299,'Hospitalisation Details'!A2298:K4642,11,0)</f>
        <v>34</v>
      </c>
    </row>
    <row r="2300" spans="1:18" x14ac:dyDescent="0.35">
      <c r="A2300" t="s">
        <v>59</v>
      </c>
      <c r="B2300" t="s">
        <v>2328</v>
      </c>
      <c r="C2300" t="str">
        <f>VLOOKUP($A2300,'Customer Names'!$A:$E,4,FALSE)</f>
        <v>Justin K.</v>
      </c>
      <c r="D2300" t="str">
        <f>VLOOKUP($A2300,'Medical Examinations'!$A:$J,2,FALSE)</f>
        <v>Underweight</v>
      </c>
      <c r="E2300">
        <f>VLOOKUP($A2300,'Medical Examinations'!$A:$J,4,FALSE)</f>
        <v>5.28</v>
      </c>
      <c r="F2300" t="str">
        <f>VLOOKUP($A2300,'Medical Examinations'!$A:$J,6,FALSE)</f>
        <v>No</v>
      </c>
      <c r="G2300" t="str">
        <f>VLOOKUP($A2300,'Medical Examinations'!$A:$J,7,FALSE)</f>
        <v>No</v>
      </c>
      <c r="H2300" t="str">
        <f>VLOOKUP($A2300,'Medical Examinations'!$A:$J,8,FALSE)</f>
        <v>No</v>
      </c>
      <c r="I2300">
        <f>VLOOKUP($A2300,'Medical Examinations'!$A:$J,9,FALSE)</f>
        <v>1</v>
      </c>
      <c r="J2300" t="str">
        <f>VLOOKUP($A2300,'Medical Examinations'!$A:$J,10,FALSE)</f>
        <v>No</v>
      </c>
      <c r="K2300" t="str">
        <f>VLOOKUP($A2300,'Medical Examinations'!$A:$J,5,FALSE)</f>
        <v>Normal</v>
      </c>
      <c r="L2300">
        <f>VLOOKUP($A2301,'Medical Examinations'!$A:$J,3,FALSE)</f>
        <v>17.98</v>
      </c>
      <c r="N2300" s="11">
        <f>VLOOKUP($B2300,'Hospitalisation Details'!A2299:J4643,10,0)</f>
        <v>27546</v>
      </c>
      <c r="O2300" t="str">
        <f>VLOOKUP($B2300,'Hospitalisation Details'!A2299:J4643,8,0)</f>
        <v>tier - 2</v>
      </c>
      <c r="P2300" t="str">
        <f>VLOOKUP($B2300,'Hospitalisation Details'!A2299:J4643,7,0)</f>
        <v>tier - 2</v>
      </c>
      <c r="Q2300" t="str">
        <f>VLOOKUP($B2300,'Hospitalisation Details'!A2299:J4643,9,0)</f>
        <v>R1013</v>
      </c>
      <c r="R2300">
        <f>VLOOKUP($B2300,'Hospitalisation Details'!A2299:K4643,11,0)</f>
        <v>48</v>
      </c>
    </row>
    <row r="2301" spans="1:18" x14ac:dyDescent="0.35">
      <c r="A2301" t="s">
        <v>58</v>
      </c>
      <c r="B2301" t="s">
        <v>2329</v>
      </c>
      <c r="C2301" t="str">
        <f>VLOOKUP($A2301,'Customer Names'!$A:$E,4,FALSE)</f>
        <v>Patrick</v>
      </c>
      <c r="D2301" t="str">
        <f>VLOOKUP($A2301,'Medical Examinations'!$A:$J,2,FALSE)</f>
        <v>Underweight</v>
      </c>
      <c r="E2301">
        <f>VLOOKUP($A2301,'Medical Examinations'!$A:$J,4,FALSE)</f>
        <v>5.33</v>
      </c>
      <c r="F2301" t="str">
        <f>VLOOKUP($A2301,'Medical Examinations'!$A:$J,6,FALSE)</f>
        <v>yes</v>
      </c>
      <c r="G2301" t="str">
        <f>VLOOKUP($A2301,'Medical Examinations'!$A:$J,7,FALSE)</f>
        <v>No</v>
      </c>
      <c r="H2301" t="str">
        <f>VLOOKUP($A2301,'Medical Examinations'!$A:$J,8,FALSE)</f>
        <v>Yes</v>
      </c>
      <c r="I2301">
        <f>VLOOKUP($A2301,'Medical Examinations'!$A:$J,9,FALSE)</f>
        <v>1</v>
      </c>
      <c r="J2301" t="str">
        <f>VLOOKUP($A2301,'Medical Examinations'!$A:$J,10,FALSE)</f>
        <v>No</v>
      </c>
      <c r="K2301" t="str">
        <f>VLOOKUP($A2301,'Medical Examinations'!$A:$J,5,FALSE)</f>
        <v>Normal</v>
      </c>
      <c r="L2301">
        <f>VLOOKUP($A2302,'Medical Examinations'!$A:$J,3,FALSE)</f>
        <v>21.64</v>
      </c>
      <c r="N2301" s="11">
        <f>VLOOKUP($B2301,'Hospitalisation Details'!A2300:J4644,10,0)</f>
        <v>25166</v>
      </c>
      <c r="O2301" t="str">
        <f>VLOOKUP($B2301,'Hospitalisation Details'!A2300:J4644,8,0)</f>
        <v>tier - 1</v>
      </c>
      <c r="P2301" t="str">
        <f>VLOOKUP($B2301,'Hospitalisation Details'!A2300:J4644,7,0)</f>
        <v>tier - 2</v>
      </c>
      <c r="Q2301" t="str">
        <f>VLOOKUP($B2301,'Hospitalisation Details'!A2300:J4644,9,0)</f>
        <v>R1013</v>
      </c>
      <c r="R2301">
        <f>VLOOKUP($B2301,'Hospitalisation Details'!A2300:K4644,11,0)</f>
        <v>54</v>
      </c>
    </row>
    <row r="2302" spans="1:18" x14ac:dyDescent="0.35">
      <c r="A2302" t="s">
        <v>57</v>
      </c>
      <c r="B2302" t="s">
        <v>2330</v>
      </c>
      <c r="C2302" t="str">
        <f>VLOOKUP($A2302,'Customer Names'!$A:$E,4,FALSE)</f>
        <v>Roman</v>
      </c>
      <c r="D2302" t="str">
        <f>VLOOKUP($A2302,'Medical Examinations'!$A:$J,2,FALSE)</f>
        <v>Normal Weight</v>
      </c>
      <c r="E2302">
        <f>VLOOKUP($A2302,'Medical Examinations'!$A:$J,4,FALSE)</f>
        <v>5.5</v>
      </c>
      <c r="F2302" t="str">
        <f>VLOOKUP($A2302,'Medical Examinations'!$A:$J,6,FALSE)</f>
        <v>No</v>
      </c>
      <c r="G2302" t="str">
        <f>VLOOKUP($A2302,'Medical Examinations'!$A:$J,7,FALSE)</f>
        <v>yes</v>
      </c>
      <c r="H2302" t="str">
        <f>VLOOKUP($A2302,'Medical Examinations'!$A:$J,8,FALSE)</f>
        <v>No</v>
      </c>
      <c r="I2302">
        <f>VLOOKUP($A2302,'Medical Examinations'!$A:$J,9,FALSE)</f>
        <v>1</v>
      </c>
      <c r="J2302" t="str">
        <f>VLOOKUP($A2302,'Medical Examinations'!$A:$J,10,FALSE)</f>
        <v>No</v>
      </c>
      <c r="K2302" t="str">
        <f>VLOOKUP($A2302,'Medical Examinations'!$A:$J,5,FALSE)</f>
        <v>Normal</v>
      </c>
      <c r="L2302">
        <f>VLOOKUP($A2303,'Medical Examinations'!$A:$J,3,FALSE)</f>
        <v>16.399999999999999</v>
      </c>
      <c r="N2302" s="11">
        <f>VLOOKUP($B2302,'Hospitalisation Details'!A2301:J4645,10,0)</f>
        <v>26235</v>
      </c>
      <c r="O2302" t="str">
        <f>VLOOKUP($B2302,'Hospitalisation Details'!A2301:J4645,8,0)</f>
        <v>tier - 2</v>
      </c>
      <c r="P2302" t="str">
        <f>VLOOKUP($B2302,'Hospitalisation Details'!A2301:J4645,7,0)</f>
        <v>tier - 2</v>
      </c>
      <c r="Q2302" t="str">
        <f>VLOOKUP($B2302,'Hospitalisation Details'!A2301:J4645,9,0)</f>
        <v>R1013</v>
      </c>
      <c r="R2302">
        <f>VLOOKUP($B2302,'Hospitalisation Details'!A2301:K4645,11,0)</f>
        <v>51</v>
      </c>
    </row>
    <row r="2303" spans="1:18" x14ac:dyDescent="0.35">
      <c r="A2303" t="s">
        <v>56</v>
      </c>
      <c r="B2303" t="s">
        <v>2331</v>
      </c>
      <c r="C2303" t="str">
        <f>VLOOKUP($A2303,'Customer Names'!$A:$E,4,FALSE)</f>
        <v>David</v>
      </c>
      <c r="D2303" t="str">
        <f>VLOOKUP($A2303,'Medical Examinations'!$A:$J,2,FALSE)</f>
        <v>Underweight</v>
      </c>
      <c r="E2303">
        <f>VLOOKUP($A2303,'Medical Examinations'!$A:$J,4,FALSE)</f>
        <v>5.4</v>
      </c>
      <c r="F2303" t="str">
        <f>VLOOKUP($A2303,'Medical Examinations'!$A:$J,6,FALSE)</f>
        <v>No</v>
      </c>
      <c r="G2303" t="str">
        <f>VLOOKUP($A2303,'Medical Examinations'!$A:$J,7,FALSE)</f>
        <v>No</v>
      </c>
      <c r="H2303" t="str">
        <f>VLOOKUP($A2303,'Medical Examinations'!$A:$J,8,FALSE)</f>
        <v>Yes</v>
      </c>
      <c r="I2303">
        <f>VLOOKUP($A2303,'Medical Examinations'!$A:$J,9,FALSE)</f>
        <v>1</v>
      </c>
      <c r="J2303" t="str">
        <f>VLOOKUP($A2303,'Medical Examinations'!$A:$J,10,FALSE)</f>
        <v>No</v>
      </c>
      <c r="K2303" t="str">
        <f>VLOOKUP($A2303,'Medical Examinations'!$A:$J,5,FALSE)</f>
        <v>Normal</v>
      </c>
      <c r="L2303">
        <f>VLOOKUP($A2304,'Medical Examinations'!$A:$J,3,FALSE)</f>
        <v>15.77</v>
      </c>
      <c r="N2303" s="11">
        <f>VLOOKUP($B2303,'Hospitalisation Details'!A2302:J4646,10,0)</f>
        <v>24729</v>
      </c>
      <c r="O2303" t="str">
        <f>VLOOKUP($B2303,'Hospitalisation Details'!A2302:J4646,8,0)</f>
        <v>tier - 3</v>
      </c>
      <c r="P2303" t="str">
        <f>VLOOKUP($B2303,'Hospitalisation Details'!A2302:J4646,7,0)</f>
        <v>tier - 2</v>
      </c>
      <c r="Q2303" t="str">
        <f>VLOOKUP($B2303,'Hospitalisation Details'!A2302:J4646,9,0)</f>
        <v>R1013</v>
      </c>
      <c r="R2303">
        <f>VLOOKUP($B2303,'Hospitalisation Details'!A2302:K4646,11,0)</f>
        <v>55</v>
      </c>
    </row>
    <row r="2304" spans="1:18" x14ac:dyDescent="0.35">
      <c r="A2304" t="s">
        <v>55</v>
      </c>
      <c r="B2304" t="s">
        <v>2332</v>
      </c>
      <c r="C2304" t="str">
        <f>VLOOKUP($A2304,'Customer Names'!$A:$E,4,FALSE)</f>
        <v>Evelyn L</v>
      </c>
      <c r="D2304" t="str">
        <f>VLOOKUP($A2304,'Medical Examinations'!$A:$J,2,FALSE)</f>
        <v>Underweight</v>
      </c>
      <c r="E2304">
        <f>VLOOKUP($A2304,'Medical Examinations'!$A:$J,4,FALSE)</f>
        <v>6.05</v>
      </c>
      <c r="F2304" t="str">
        <f>VLOOKUP($A2304,'Medical Examinations'!$A:$J,6,FALSE)</f>
        <v>yes</v>
      </c>
      <c r="G2304" t="str">
        <f>VLOOKUP($A2304,'Medical Examinations'!$A:$J,7,FALSE)</f>
        <v>No</v>
      </c>
      <c r="H2304" t="str">
        <f>VLOOKUP($A2304,'Medical Examinations'!$A:$J,8,FALSE)</f>
        <v>No</v>
      </c>
      <c r="I2304">
        <f>VLOOKUP($A2304,'Medical Examinations'!$A:$J,9,FALSE)</f>
        <v>1</v>
      </c>
      <c r="J2304" t="str">
        <f>VLOOKUP($A2304,'Medical Examinations'!$A:$J,10,FALSE)</f>
        <v>No</v>
      </c>
      <c r="K2304" t="str">
        <f>VLOOKUP($A2304,'Medical Examinations'!$A:$J,5,FALSE)</f>
        <v>Prediabetes</v>
      </c>
      <c r="L2304">
        <f>VLOOKUP($A2305,'Medical Examinations'!$A:$J,3,FALSE)</f>
        <v>18.27</v>
      </c>
      <c r="N2304" s="11">
        <f>VLOOKUP($B2304,'Hospitalisation Details'!A2303:J4647,10,0)</f>
        <v>36740</v>
      </c>
      <c r="O2304" t="str">
        <f>VLOOKUP($B2304,'Hospitalisation Details'!A2303:J4647,8,0)</f>
        <v>tier - 3</v>
      </c>
      <c r="P2304" t="str">
        <f>VLOOKUP($B2304,'Hospitalisation Details'!A2303:J4647,7,0)</f>
        <v>tier - 2</v>
      </c>
      <c r="Q2304" t="str">
        <f>VLOOKUP($B2304,'Hospitalisation Details'!A2303:J4647,9,0)</f>
        <v>R1013</v>
      </c>
      <c r="R2304">
        <f>VLOOKUP($B2304,'Hospitalisation Details'!A2303:K4647,11,0)</f>
        <v>22</v>
      </c>
    </row>
    <row r="2305" spans="1:18" x14ac:dyDescent="0.35">
      <c r="A2305" t="s">
        <v>54</v>
      </c>
      <c r="B2305" t="s">
        <v>2333</v>
      </c>
      <c r="C2305" t="str">
        <f>VLOOKUP($A2305,'Customer Names'!$A:$E,4,FALSE)</f>
        <v>Jim</v>
      </c>
      <c r="D2305" t="str">
        <f>VLOOKUP($A2305,'Medical Examinations'!$A:$J,2,FALSE)</f>
        <v>Underweight</v>
      </c>
      <c r="E2305">
        <f>VLOOKUP($A2305,'Medical Examinations'!$A:$J,4,FALSE)</f>
        <v>11.46</v>
      </c>
      <c r="F2305" t="str">
        <f>VLOOKUP($A2305,'Medical Examinations'!$A:$J,6,FALSE)</f>
        <v>No</v>
      </c>
      <c r="G2305" t="str">
        <f>VLOOKUP($A2305,'Medical Examinations'!$A:$J,7,FALSE)</f>
        <v>No</v>
      </c>
      <c r="H2305" t="str">
        <f>VLOOKUP($A2305,'Medical Examinations'!$A:$J,8,FALSE)</f>
        <v>No</v>
      </c>
      <c r="I2305">
        <f>VLOOKUP($A2305,'Medical Examinations'!$A:$J,9,FALSE)</f>
        <v>0</v>
      </c>
      <c r="J2305" t="str">
        <f>VLOOKUP($A2305,'Medical Examinations'!$A:$J,10,FALSE)</f>
        <v>No</v>
      </c>
      <c r="K2305" t="str">
        <f>VLOOKUP($A2305,'Medical Examinations'!$A:$J,5,FALSE)</f>
        <v>Diabetes</v>
      </c>
      <c r="L2305">
        <f>VLOOKUP($A2306,'Medical Examinations'!$A:$J,3,FALSE)</f>
        <v>16.489999999999998</v>
      </c>
      <c r="N2305" s="11">
        <f>VLOOKUP($B2305,'Hospitalisation Details'!A2304:J4648,10,0)</f>
        <v>34253</v>
      </c>
      <c r="O2305" t="str">
        <f>VLOOKUP($B2305,'Hospitalisation Details'!A2304:J4648,8,0)</f>
        <v>tier - 2</v>
      </c>
      <c r="P2305" t="str">
        <f>VLOOKUP($B2305,'Hospitalisation Details'!A2304:J4648,7,0)</f>
        <v>tier - 2</v>
      </c>
      <c r="Q2305" t="str">
        <f>VLOOKUP($B2305,'Hospitalisation Details'!A2304:J4648,9,0)</f>
        <v>R1011</v>
      </c>
      <c r="R2305">
        <f>VLOOKUP($B2305,'Hospitalisation Details'!A2304:K4648,11,0)</f>
        <v>29</v>
      </c>
    </row>
    <row r="2306" spans="1:18" x14ac:dyDescent="0.35">
      <c r="A2306" t="s">
        <v>53</v>
      </c>
      <c r="B2306" t="s">
        <v>2334</v>
      </c>
      <c r="C2306" t="str">
        <f>VLOOKUP($A2306,'Customer Names'!$A:$E,4,FALSE)</f>
        <v>Matthew S</v>
      </c>
      <c r="D2306" t="str">
        <f>VLOOKUP($A2306,'Medical Examinations'!$A:$J,2,FALSE)</f>
        <v>Underweight</v>
      </c>
      <c r="E2306">
        <f>VLOOKUP($A2306,'Medical Examinations'!$A:$J,4,FALSE)</f>
        <v>8.48</v>
      </c>
      <c r="F2306" t="str">
        <f>VLOOKUP($A2306,'Medical Examinations'!$A:$J,6,FALSE)</f>
        <v>No</v>
      </c>
      <c r="G2306" t="str">
        <f>VLOOKUP($A2306,'Medical Examinations'!$A:$J,7,FALSE)</f>
        <v>No</v>
      </c>
      <c r="H2306" t="str">
        <f>VLOOKUP($A2306,'Medical Examinations'!$A:$J,8,FALSE)</f>
        <v>No</v>
      </c>
      <c r="I2306">
        <f>VLOOKUP($A2306,'Medical Examinations'!$A:$J,9,FALSE)</f>
        <v>0</v>
      </c>
      <c r="J2306" t="str">
        <f>VLOOKUP($A2306,'Medical Examinations'!$A:$J,10,FALSE)</f>
        <v>No</v>
      </c>
      <c r="K2306" t="str">
        <f>VLOOKUP($A2306,'Medical Examinations'!$A:$J,5,FALSE)</f>
        <v>Diabetes</v>
      </c>
      <c r="L2306">
        <f>VLOOKUP($A2307,'Medical Examinations'!$A:$J,3,FALSE)</f>
        <v>16.14</v>
      </c>
      <c r="N2306" s="11">
        <f>VLOOKUP($B2306,'Hospitalisation Details'!A2305:J4649,10,0)</f>
        <v>26158</v>
      </c>
      <c r="O2306" t="str">
        <f>VLOOKUP($B2306,'Hospitalisation Details'!A2305:J4649,8,0)</f>
        <v>tier - 3</v>
      </c>
      <c r="P2306" t="str">
        <f>VLOOKUP($B2306,'Hospitalisation Details'!A2305:J4649,7,0)</f>
        <v>tier - 2</v>
      </c>
      <c r="Q2306" t="str">
        <f>VLOOKUP($B2306,'Hospitalisation Details'!A2305:J4649,9,0)</f>
        <v>R1024</v>
      </c>
      <c r="R2306">
        <f>VLOOKUP($B2306,'Hospitalisation Details'!A2305:K4649,11,0)</f>
        <v>51</v>
      </c>
    </row>
    <row r="2307" spans="1:18" x14ac:dyDescent="0.35">
      <c r="A2307" t="s">
        <v>52</v>
      </c>
      <c r="B2307" t="s">
        <v>2335</v>
      </c>
      <c r="C2307" t="str">
        <f>VLOOKUP($A2307,'Customer Names'!$A:$E,4,FALSE)</f>
        <v>Kenneth</v>
      </c>
      <c r="D2307" t="str">
        <f>VLOOKUP($A2307,'Medical Examinations'!$A:$J,2,FALSE)</f>
        <v>Underweight</v>
      </c>
      <c r="E2307">
        <f>VLOOKUP($A2307,'Medical Examinations'!$A:$J,4,FALSE)</f>
        <v>4.8600000000000003</v>
      </c>
      <c r="F2307" t="str">
        <f>VLOOKUP($A2307,'Medical Examinations'!$A:$J,6,FALSE)</f>
        <v>No</v>
      </c>
      <c r="G2307" t="str">
        <f>VLOOKUP($A2307,'Medical Examinations'!$A:$J,7,FALSE)</f>
        <v>No</v>
      </c>
      <c r="H2307" t="str">
        <f>VLOOKUP($A2307,'Medical Examinations'!$A:$J,8,FALSE)</f>
        <v>No</v>
      </c>
      <c r="I2307">
        <f>VLOOKUP($A2307,'Medical Examinations'!$A:$J,9,FALSE)</f>
        <v>0</v>
      </c>
      <c r="J2307" t="str">
        <f>VLOOKUP($A2307,'Medical Examinations'!$A:$J,10,FALSE)</f>
        <v>No</v>
      </c>
      <c r="K2307" t="str">
        <f>VLOOKUP($A2307,'Medical Examinations'!$A:$J,5,FALSE)</f>
        <v>Normal</v>
      </c>
      <c r="L2307">
        <f>VLOOKUP($A2308,'Medical Examinations'!$A:$J,3,FALSE)</f>
        <v>20.85</v>
      </c>
      <c r="N2307" s="11">
        <f>VLOOKUP($B2307,'Hospitalisation Details'!A2306:J4650,10,0)</f>
        <v>22997</v>
      </c>
      <c r="O2307" t="str">
        <f>VLOOKUP($B2307,'Hospitalisation Details'!A2306:J4650,8,0)</f>
        <v>tier - 2</v>
      </c>
      <c r="P2307" t="str">
        <f>VLOOKUP($B2307,'Hospitalisation Details'!A2306:J4650,7,0)</f>
        <v>tier - 2</v>
      </c>
      <c r="Q2307" t="str">
        <f>VLOOKUP($B2307,'Hospitalisation Details'!A2306:J4650,9,0)</f>
        <v>R1013</v>
      </c>
      <c r="R2307">
        <f>VLOOKUP($B2307,'Hospitalisation Details'!A2306:K4650,11,0)</f>
        <v>60</v>
      </c>
    </row>
    <row r="2308" spans="1:18" x14ac:dyDescent="0.35">
      <c r="A2308" t="s">
        <v>51</v>
      </c>
      <c r="B2308" t="s">
        <v>2336</v>
      </c>
      <c r="C2308" t="str">
        <f>VLOOKUP($A2308,'Customer Names'!$A:$E,4,FALSE)</f>
        <v>Andrea</v>
      </c>
      <c r="D2308" t="str">
        <f>VLOOKUP($A2308,'Medical Examinations'!$A:$J,2,FALSE)</f>
        <v>Normal Weight</v>
      </c>
      <c r="E2308">
        <f>VLOOKUP($A2308,'Medical Examinations'!$A:$J,4,FALSE)</f>
        <v>4.45</v>
      </c>
      <c r="F2308" t="str">
        <f>VLOOKUP($A2308,'Medical Examinations'!$A:$J,6,FALSE)</f>
        <v>yes</v>
      </c>
      <c r="G2308" t="str">
        <f>VLOOKUP($A2308,'Medical Examinations'!$A:$J,7,FALSE)</f>
        <v>No</v>
      </c>
      <c r="H2308" t="str">
        <f>VLOOKUP($A2308,'Medical Examinations'!$A:$J,8,FALSE)</f>
        <v>No</v>
      </c>
      <c r="I2308">
        <f>VLOOKUP($A2308,'Medical Examinations'!$A:$J,9,FALSE)</f>
        <v>1</v>
      </c>
      <c r="J2308" t="str">
        <f>VLOOKUP($A2308,'Medical Examinations'!$A:$J,10,FALSE)</f>
        <v>No</v>
      </c>
      <c r="K2308" t="str">
        <f>VLOOKUP($A2308,'Medical Examinations'!$A:$J,5,FALSE)</f>
        <v>Normal</v>
      </c>
      <c r="L2308">
        <f>VLOOKUP($A2309,'Medical Examinations'!$A:$J,3,FALSE)</f>
        <v>15.88</v>
      </c>
      <c r="N2308" s="11">
        <f>VLOOKUP($B2308,'Hospitalisation Details'!A2307:J4651,10,0)</f>
        <v>27250</v>
      </c>
      <c r="O2308" t="str">
        <f>VLOOKUP($B2308,'Hospitalisation Details'!A2307:J4651,8,0)</f>
        <v>tier - 2</v>
      </c>
      <c r="P2308" t="str">
        <f>VLOOKUP($B2308,'Hospitalisation Details'!A2307:J4651,7,0)</f>
        <v>tier - 2</v>
      </c>
      <c r="Q2308" t="str">
        <f>VLOOKUP($B2308,'Hospitalisation Details'!A2307:J4651,9,0)</f>
        <v>R1012</v>
      </c>
      <c r="R2308">
        <f>VLOOKUP($B2308,'Hospitalisation Details'!A2307:K4651,11,0)</f>
        <v>48</v>
      </c>
    </row>
    <row r="2309" spans="1:18" x14ac:dyDescent="0.35">
      <c r="A2309" t="s">
        <v>50</v>
      </c>
      <c r="B2309" t="s">
        <v>2337</v>
      </c>
      <c r="C2309" t="str">
        <f>VLOOKUP($A2309,'Customer Names'!$A:$E,4,FALSE)</f>
        <v>Kristina</v>
      </c>
      <c r="D2309" t="str">
        <f>VLOOKUP($A2309,'Medical Examinations'!$A:$J,2,FALSE)</f>
        <v>Underweight</v>
      </c>
      <c r="E2309">
        <f>VLOOKUP($A2309,'Medical Examinations'!$A:$J,4,FALSE)</f>
        <v>4.3600000000000003</v>
      </c>
      <c r="F2309" t="str">
        <f>VLOOKUP($A2309,'Medical Examinations'!$A:$J,6,FALSE)</f>
        <v>No</v>
      </c>
      <c r="G2309" t="str">
        <f>VLOOKUP($A2309,'Medical Examinations'!$A:$J,7,FALSE)</f>
        <v>No</v>
      </c>
      <c r="H2309" t="str">
        <f>VLOOKUP($A2309,'Medical Examinations'!$A:$J,8,FALSE)</f>
        <v>No</v>
      </c>
      <c r="I2309">
        <f>VLOOKUP($A2309,'Medical Examinations'!$A:$J,9,FALSE)</f>
        <v>0</v>
      </c>
      <c r="J2309" t="str">
        <f>VLOOKUP($A2309,'Medical Examinations'!$A:$J,10,FALSE)</f>
        <v>No</v>
      </c>
      <c r="K2309" t="str">
        <f>VLOOKUP($A2309,'Medical Examinations'!$A:$J,5,FALSE)</f>
        <v>Normal</v>
      </c>
      <c r="L2309">
        <f>VLOOKUP($A2310,'Medical Examinations'!$A:$J,3,FALSE)</f>
        <v>20.66</v>
      </c>
      <c r="N2309" s="11">
        <f>VLOOKUP($B2309,'Hospitalisation Details'!A2308:J4652,10,0)</f>
        <v>22271</v>
      </c>
      <c r="O2309" t="str">
        <f>VLOOKUP($B2309,'Hospitalisation Details'!A2308:J4652,8,0)</f>
        <v>tier - 2</v>
      </c>
      <c r="P2309" t="str">
        <f>VLOOKUP($B2309,'Hospitalisation Details'!A2308:J4652,7,0)</f>
        <v>tier - 2</v>
      </c>
      <c r="Q2309" t="str">
        <f>VLOOKUP($B2309,'Hospitalisation Details'!A2308:J4652,9,0)</f>
        <v>R1016</v>
      </c>
      <c r="R2309">
        <f>VLOOKUP($B2309,'Hospitalisation Details'!A2308:K4652,11,0)</f>
        <v>62</v>
      </c>
    </row>
    <row r="2310" spans="1:18" x14ac:dyDescent="0.35">
      <c r="A2310" t="s">
        <v>49</v>
      </c>
      <c r="B2310" t="s">
        <v>2338</v>
      </c>
      <c r="C2310" t="str">
        <f>VLOOKUP($A2310,'Customer Names'!$A:$E,4,FALSE)</f>
        <v>Kristen</v>
      </c>
      <c r="D2310" t="str">
        <f>VLOOKUP($A2310,'Medical Examinations'!$A:$J,2,FALSE)</f>
        <v>Normal Weight</v>
      </c>
      <c r="E2310">
        <f>VLOOKUP($A2310,'Medical Examinations'!$A:$J,4,FALSE)</f>
        <v>5.8</v>
      </c>
      <c r="F2310" t="str">
        <f>VLOOKUP($A2310,'Medical Examinations'!$A:$J,6,FALSE)</f>
        <v>No</v>
      </c>
      <c r="G2310" t="str">
        <f>VLOOKUP($A2310,'Medical Examinations'!$A:$J,7,FALSE)</f>
        <v>yes</v>
      </c>
      <c r="H2310" t="str">
        <f>VLOOKUP($A2310,'Medical Examinations'!$A:$J,8,FALSE)</f>
        <v>No</v>
      </c>
      <c r="I2310">
        <f>VLOOKUP($A2310,'Medical Examinations'!$A:$J,9,FALSE)</f>
        <v>1</v>
      </c>
      <c r="J2310" t="str">
        <f>VLOOKUP($A2310,'Medical Examinations'!$A:$J,10,FALSE)</f>
        <v>No</v>
      </c>
      <c r="K2310" t="str">
        <f>VLOOKUP($A2310,'Medical Examinations'!$A:$J,5,FALSE)</f>
        <v>Prediabetes</v>
      </c>
      <c r="L2310">
        <f>VLOOKUP($A2311,'Medical Examinations'!$A:$J,3,FALSE)</f>
        <v>20.399999999999999</v>
      </c>
      <c r="N2310" s="11">
        <f>VLOOKUP($B2310,'Hospitalisation Details'!A2309:J4653,10,0)</f>
        <v>29079</v>
      </c>
      <c r="O2310" t="str">
        <f>VLOOKUP($B2310,'Hospitalisation Details'!A2309:J4653,8,0)</f>
        <v>tier - 1</v>
      </c>
      <c r="P2310" t="str">
        <f>VLOOKUP($B2310,'Hospitalisation Details'!A2309:J4653,7,0)</f>
        <v>tier - 2</v>
      </c>
      <c r="Q2310" t="str">
        <f>VLOOKUP($B2310,'Hospitalisation Details'!A2309:J4653,9,0)</f>
        <v>R1013</v>
      </c>
      <c r="R2310">
        <f>VLOOKUP($B2310,'Hospitalisation Details'!A2309:K4653,11,0)</f>
        <v>43</v>
      </c>
    </row>
    <row r="2311" spans="1:18" x14ac:dyDescent="0.35">
      <c r="A2311" t="s">
        <v>48</v>
      </c>
      <c r="B2311" t="s">
        <v>2339</v>
      </c>
      <c r="C2311" t="str">
        <f>VLOOKUP($A2311,'Customer Names'!$A:$E,4,FALSE)</f>
        <v>Matthew</v>
      </c>
      <c r="D2311" t="str">
        <f>VLOOKUP($A2311,'Medical Examinations'!$A:$J,2,FALSE)</f>
        <v>Normal Weight</v>
      </c>
      <c r="E2311">
        <f>VLOOKUP($A2311,'Medical Examinations'!$A:$J,4,FALSE)</f>
        <v>5.27</v>
      </c>
      <c r="F2311" t="str">
        <f>VLOOKUP($A2311,'Medical Examinations'!$A:$J,6,FALSE)</f>
        <v>No</v>
      </c>
      <c r="G2311" t="str">
        <f>VLOOKUP($A2311,'Medical Examinations'!$A:$J,7,FALSE)</f>
        <v>No</v>
      </c>
      <c r="H2311" t="str">
        <f>VLOOKUP($A2311,'Medical Examinations'!$A:$J,8,FALSE)</f>
        <v>No</v>
      </c>
      <c r="I2311">
        <f>VLOOKUP($A2311,'Medical Examinations'!$A:$J,9,FALSE)</f>
        <v>0</v>
      </c>
      <c r="J2311" t="str">
        <f>VLOOKUP($A2311,'Medical Examinations'!$A:$J,10,FALSE)</f>
        <v>No</v>
      </c>
      <c r="K2311" t="str">
        <f>VLOOKUP($A2311,'Medical Examinations'!$A:$J,5,FALSE)</f>
        <v>Normal</v>
      </c>
      <c r="L2311">
        <f>VLOOKUP($A2312,'Medical Examinations'!$A:$J,3,FALSE)</f>
        <v>25.19</v>
      </c>
      <c r="N2311" s="11">
        <f>VLOOKUP($B2311,'Hospitalisation Details'!A2310:J4654,10,0)</f>
        <v>31320</v>
      </c>
      <c r="O2311" t="str">
        <f>VLOOKUP($B2311,'Hospitalisation Details'!A2310:J4654,8,0)</f>
        <v>tier - 3</v>
      </c>
      <c r="P2311" t="str">
        <f>VLOOKUP($B2311,'Hospitalisation Details'!A2310:J4654,7,0)</f>
        <v>tier - 2</v>
      </c>
      <c r="Q2311" t="str">
        <f>VLOOKUP($B2311,'Hospitalisation Details'!A2310:J4654,9,0)</f>
        <v>R1011</v>
      </c>
      <c r="R2311">
        <f>VLOOKUP($B2311,'Hospitalisation Details'!A2310:K4654,11,0)</f>
        <v>37</v>
      </c>
    </row>
    <row r="2312" spans="1:18" x14ac:dyDescent="0.35">
      <c r="A2312" t="s">
        <v>47</v>
      </c>
      <c r="B2312" t="s">
        <v>2340</v>
      </c>
      <c r="C2312" t="str">
        <f>VLOOKUP($A2312,'Customer Names'!$A:$E,4,FALSE)</f>
        <v>Kathleen</v>
      </c>
      <c r="D2312" t="str">
        <f>VLOOKUP($A2312,'Medical Examinations'!$A:$J,2,FALSE)</f>
        <v>Overweight</v>
      </c>
      <c r="E2312">
        <f>VLOOKUP($A2312,'Medical Examinations'!$A:$J,4,FALSE)</f>
        <v>5.64</v>
      </c>
      <c r="F2312" t="str">
        <f>VLOOKUP($A2312,'Medical Examinations'!$A:$J,6,FALSE)</f>
        <v>yes</v>
      </c>
      <c r="G2312" t="str">
        <f>VLOOKUP($A2312,'Medical Examinations'!$A:$J,7,FALSE)</f>
        <v>No</v>
      </c>
      <c r="H2312" t="str">
        <f>VLOOKUP($A2312,'Medical Examinations'!$A:$J,8,FALSE)</f>
        <v>No</v>
      </c>
      <c r="I2312">
        <f>VLOOKUP($A2312,'Medical Examinations'!$A:$J,9,FALSE)</f>
        <v>0</v>
      </c>
      <c r="J2312" t="str">
        <f>VLOOKUP($A2312,'Medical Examinations'!$A:$J,10,FALSE)</f>
        <v>No</v>
      </c>
      <c r="K2312" t="str">
        <f>VLOOKUP($A2312,'Medical Examinations'!$A:$J,5,FALSE)</f>
        <v>Normal</v>
      </c>
      <c r="L2312">
        <f>VLOOKUP($A2313,'Medical Examinations'!$A:$J,3,FALSE)</f>
        <v>20.54</v>
      </c>
      <c r="N2312" s="11">
        <f>VLOOKUP($B2312,'Hospitalisation Details'!A2311:J4655,10,0)</f>
        <v>22984</v>
      </c>
      <c r="O2312" t="str">
        <f>VLOOKUP($B2312,'Hospitalisation Details'!A2311:J4655,8,0)</f>
        <v>tier - 1</v>
      </c>
      <c r="P2312" t="str">
        <f>VLOOKUP($B2312,'Hospitalisation Details'!A2311:J4655,7,0)</f>
        <v>tier - 1</v>
      </c>
      <c r="Q2312" t="str">
        <f>VLOOKUP($B2312,'Hospitalisation Details'!A2311:J4655,9,0)</f>
        <v>R1012</v>
      </c>
      <c r="R2312">
        <f>VLOOKUP($B2312,'Hospitalisation Details'!A2311:K4655,11,0)</f>
        <v>60</v>
      </c>
    </row>
    <row r="2313" spans="1:18" x14ac:dyDescent="0.35">
      <c r="A2313" t="s">
        <v>46</v>
      </c>
      <c r="B2313" t="s">
        <v>2341</v>
      </c>
      <c r="C2313" t="str">
        <f>VLOOKUP($A2313,'Customer Names'!$A:$E,4,FALSE)</f>
        <v>Lindsey</v>
      </c>
      <c r="D2313" t="str">
        <f>VLOOKUP($A2313,'Medical Examinations'!$A:$J,2,FALSE)</f>
        <v>Normal Weight</v>
      </c>
      <c r="E2313">
        <f>VLOOKUP($A2313,'Medical Examinations'!$A:$J,4,FALSE)</f>
        <v>4.2</v>
      </c>
      <c r="F2313" t="str">
        <f>VLOOKUP($A2313,'Medical Examinations'!$A:$J,6,FALSE)</f>
        <v>yes</v>
      </c>
      <c r="G2313" t="str">
        <f>VLOOKUP($A2313,'Medical Examinations'!$A:$J,7,FALSE)</f>
        <v>No</v>
      </c>
      <c r="H2313" t="str">
        <f>VLOOKUP($A2313,'Medical Examinations'!$A:$J,8,FALSE)</f>
        <v>No</v>
      </c>
      <c r="I2313">
        <f>VLOOKUP($A2313,'Medical Examinations'!$A:$J,9,FALSE)</f>
        <v>1</v>
      </c>
      <c r="J2313" t="str">
        <f>VLOOKUP($A2313,'Medical Examinations'!$A:$J,10,FALSE)</f>
        <v>No</v>
      </c>
      <c r="K2313" t="str">
        <f>VLOOKUP($A2313,'Medical Examinations'!$A:$J,5,FALSE)</f>
        <v>Normal</v>
      </c>
      <c r="L2313">
        <f>VLOOKUP($A2314,'Medical Examinations'!$A:$J,3,FALSE)</f>
        <v>20.13</v>
      </c>
      <c r="N2313" s="11">
        <f>VLOOKUP($B2313,'Hospitalisation Details'!A2312:J4656,10,0)</f>
        <v>28096</v>
      </c>
      <c r="O2313" t="str">
        <f>VLOOKUP($B2313,'Hospitalisation Details'!A2312:J4656,8,0)</f>
        <v>tier - 3</v>
      </c>
      <c r="P2313" t="str">
        <f>VLOOKUP($B2313,'Hospitalisation Details'!A2312:J4656,7,0)</f>
        <v>tier - 1</v>
      </c>
      <c r="Q2313" t="str">
        <f>VLOOKUP($B2313,'Hospitalisation Details'!A2312:J4656,9,0)</f>
        <v>R1013</v>
      </c>
      <c r="R2313">
        <f>VLOOKUP($B2313,'Hospitalisation Details'!A2312:K4656,11,0)</f>
        <v>46</v>
      </c>
    </row>
    <row r="2314" spans="1:18" x14ac:dyDescent="0.35">
      <c r="A2314" t="s">
        <v>45</v>
      </c>
      <c r="B2314" t="s">
        <v>2342</v>
      </c>
      <c r="C2314" t="str">
        <f>VLOOKUP($A2314,'Customer Names'!$A:$E,4,FALSE)</f>
        <v>Robert</v>
      </c>
      <c r="D2314" t="str">
        <f>VLOOKUP($A2314,'Medical Examinations'!$A:$J,2,FALSE)</f>
        <v>Normal Weight</v>
      </c>
      <c r="E2314">
        <f>VLOOKUP($A2314,'Medical Examinations'!$A:$J,4,FALSE)</f>
        <v>5.42</v>
      </c>
      <c r="F2314" t="str">
        <f>VLOOKUP($A2314,'Medical Examinations'!$A:$J,6,FALSE)</f>
        <v>No</v>
      </c>
      <c r="G2314" t="str">
        <f>VLOOKUP($A2314,'Medical Examinations'!$A:$J,7,FALSE)</f>
        <v>No</v>
      </c>
      <c r="H2314" t="str">
        <f>VLOOKUP($A2314,'Medical Examinations'!$A:$J,8,FALSE)</f>
        <v>No</v>
      </c>
      <c r="I2314">
        <f>VLOOKUP($A2314,'Medical Examinations'!$A:$J,9,FALSE)</f>
        <v>0</v>
      </c>
      <c r="J2314" t="str">
        <f>VLOOKUP($A2314,'Medical Examinations'!$A:$J,10,FALSE)</f>
        <v>No</v>
      </c>
      <c r="K2314" t="str">
        <f>VLOOKUP($A2314,'Medical Examinations'!$A:$J,5,FALSE)</f>
        <v>Normal</v>
      </c>
      <c r="L2314">
        <f>VLOOKUP($A2315,'Medical Examinations'!$A:$J,3,FALSE)</f>
        <v>18.93</v>
      </c>
      <c r="N2314" s="11">
        <f>VLOOKUP($B2314,'Hospitalisation Details'!A2313:J4657,10,0)</f>
        <v>28719</v>
      </c>
      <c r="O2314" t="str">
        <f>VLOOKUP($B2314,'Hospitalisation Details'!A2313:J4657,8,0)</f>
        <v>tier - 1</v>
      </c>
      <c r="P2314" t="str">
        <f>VLOOKUP($B2314,'Hospitalisation Details'!A2313:J4657,7,0)</f>
        <v>tier - 1</v>
      </c>
      <c r="Q2314" t="str">
        <f>VLOOKUP($B2314,'Hospitalisation Details'!A2313:J4657,9,0)</f>
        <v>R1013</v>
      </c>
      <c r="R2314">
        <f>VLOOKUP($B2314,'Hospitalisation Details'!A2313:K4657,11,0)</f>
        <v>44</v>
      </c>
    </row>
    <row r="2315" spans="1:18" x14ac:dyDescent="0.35">
      <c r="A2315" t="s">
        <v>44</v>
      </c>
      <c r="B2315" t="s">
        <v>2343</v>
      </c>
      <c r="C2315" t="str">
        <f>VLOOKUP($A2315,'Customer Names'!$A:$E,4,FALSE)</f>
        <v>Sarah E.</v>
      </c>
      <c r="D2315" t="str">
        <f>VLOOKUP($A2315,'Medical Examinations'!$A:$J,2,FALSE)</f>
        <v>Normal Weight</v>
      </c>
      <c r="E2315">
        <f>VLOOKUP($A2315,'Medical Examinations'!$A:$J,4,FALSE)</f>
        <v>6.11</v>
      </c>
      <c r="F2315" t="str">
        <f>VLOOKUP($A2315,'Medical Examinations'!$A:$J,6,FALSE)</f>
        <v>No</v>
      </c>
      <c r="G2315" t="str">
        <f>VLOOKUP($A2315,'Medical Examinations'!$A:$J,7,FALSE)</f>
        <v>No</v>
      </c>
      <c r="H2315" t="str">
        <f>VLOOKUP($A2315,'Medical Examinations'!$A:$J,8,FALSE)</f>
        <v>Yes</v>
      </c>
      <c r="I2315">
        <f>VLOOKUP($A2315,'Medical Examinations'!$A:$J,9,FALSE)</f>
        <v>1</v>
      </c>
      <c r="J2315" t="str">
        <f>VLOOKUP($A2315,'Medical Examinations'!$A:$J,10,FALSE)</f>
        <v>No</v>
      </c>
      <c r="K2315" t="str">
        <f>VLOOKUP($A2315,'Medical Examinations'!$A:$J,5,FALSE)</f>
        <v>Prediabetes</v>
      </c>
      <c r="L2315">
        <f>VLOOKUP($A2316,'Medical Examinations'!$A:$J,3,FALSE)</f>
        <v>24.14</v>
      </c>
      <c r="N2315" s="11">
        <f>VLOOKUP($B2315,'Hospitalisation Details'!A2314:J4658,10,0)</f>
        <v>26273</v>
      </c>
      <c r="O2315" t="str">
        <f>VLOOKUP($B2315,'Hospitalisation Details'!A2314:J4658,8,0)</f>
        <v>tier - 3</v>
      </c>
      <c r="P2315" t="str">
        <f>VLOOKUP($B2315,'Hospitalisation Details'!A2314:J4658,7,0)</f>
        <v>tier - 1</v>
      </c>
      <c r="Q2315" t="str">
        <f>VLOOKUP($B2315,'Hospitalisation Details'!A2314:J4658,9,0)</f>
        <v>R1024</v>
      </c>
      <c r="R2315">
        <f>VLOOKUP($B2315,'Hospitalisation Details'!A2314:K4658,11,0)</f>
        <v>51</v>
      </c>
    </row>
    <row r="2316" spans="1:18" x14ac:dyDescent="0.35">
      <c r="A2316" t="s">
        <v>43</v>
      </c>
      <c r="B2316" t="s">
        <v>2344</v>
      </c>
      <c r="C2316" t="str">
        <f>VLOOKUP($A2316,'Customer Names'!$A:$E,4,FALSE)</f>
        <v>Flannery</v>
      </c>
      <c r="D2316" t="str">
        <f>VLOOKUP($A2316,'Medical Examinations'!$A:$J,2,FALSE)</f>
        <v>Normal Weight</v>
      </c>
      <c r="E2316">
        <f>VLOOKUP($A2316,'Medical Examinations'!$A:$J,4,FALSE)</f>
        <v>5.29</v>
      </c>
      <c r="F2316" t="str">
        <f>VLOOKUP($A2316,'Medical Examinations'!$A:$J,6,FALSE)</f>
        <v>No</v>
      </c>
      <c r="G2316" t="str">
        <f>VLOOKUP($A2316,'Medical Examinations'!$A:$J,7,FALSE)</f>
        <v>yes</v>
      </c>
      <c r="H2316" t="str">
        <f>VLOOKUP($A2316,'Medical Examinations'!$A:$J,8,FALSE)</f>
        <v>No</v>
      </c>
      <c r="I2316">
        <f>VLOOKUP($A2316,'Medical Examinations'!$A:$J,9,FALSE)</f>
        <v>1</v>
      </c>
      <c r="J2316" t="str">
        <f>VLOOKUP($A2316,'Medical Examinations'!$A:$J,10,FALSE)</f>
        <v>No</v>
      </c>
      <c r="K2316" t="str">
        <f>VLOOKUP($A2316,'Medical Examinations'!$A:$J,5,FALSE)</f>
        <v>Normal</v>
      </c>
      <c r="L2316">
        <f>VLOOKUP($A2317,'Medical Examinations'!$A:$J,3,FALSE)</f>
        <v>25.03</v>
      </c>
      <c r="N2316" s="11">
        <f>VLOOKUP($B2316,'Hospitalisation Details'!A2315:J4659,10,0)</f>
        <v>22501</v>
      </c>
      <c r="O2316" t="str">
        <f>VLOOKUP($B2316,'Hospitalisation Details'!A2315:J4659,8,0)</f>
        <v>tier - 1</v>
      </c>
      <c r="P2316" t="str">
        <f>VLOOKUP($B2316,'Hospitalisation Details'!A2315:J4659,7,0)</f>
        <v>tier - 1</v>
      </c>
      <c r="Q2316" t="str">
        <f>VLOOKUP($B2316,'Hospitalisation Details'!A2315:J4659,9,0)</f>
        <v>R1013</v>
      </c>
      <c r="R2316">
        <f>VLOOKUP($B2316,'Hospitalisation Details'!A2315:K4659,11,0)</f>
        <v>61</v>
      </c>
    </row>
    <row r="2317" spans="1:18" x14ac:dyDescent="0.35">
      <c r="A2317" t="s">
        <v>41</v>
      </c>
      <c r="B2317" t="s">
        <v>2345</v>
      </c>
      <c r="C2317" t="str">
        <f>VLOOKUP($A2317,'Customer Names'!$A:$E,4,FALSE)</f>
        <v>John T</v>
      </c>
      <c r="D2317" t="str">
        <f>VLOOKUP($A2317,'Medical Examinations'!$A:$J,2,FALSE)</f>
        <v>Overweight</v>
      </c>
      <c r="E2317">
        <f>VLOOKUP($A2317,'Medical Examinations'!$A:$J,4,FALSE)</f>
        <v>5.91</v>
      </c>
      <c r="F2317" t="str">
        <f>VLOOKUP($A2317,'Medical Examinations'!$A:$J,6,FALSE)</f>
        <v>No</v>
      </c>
      <c r="G2317" t="str">
        <f>VLOOKUP($A2317,'Medical Examinations'!$A:$J,7,FALSE)</f>
        <v>yes</v>
      </c>
      <c r="H2317" t="str">
        <f>VLOOKUP($A2317,'Medical Examinations'!$A:$J,8,FALSE)</f>
        <v>No</v>
      </c>
      <c r="I2317">
        <f>VLOOKUP($A2317,'Medical Examinations'!$A:$J,9,FALSE)</f>
        <v>1</v>
      </c>
      <c r="J2317" t="str">
        <f>VLOOKUP($A2317,'Medical Examinations'!$A:$J,10,FALSE)</f>
        <v>No</v>
      </c>
      <c r="K2317" t="str">
        <f>VLOOKUP($A2317,'Medical Examinations'!$A:$J,5,FALSE)</f>
        <v>Prediabetes</v>
      </c>
      <c r="L2317">
        <f>VLOOKUP($A2318,'Medical Examinations'!$A:$J,3,FALSE)</f>
        <v>20.47</v>
      </c>
      <c r="N2317" s="11">
        <f>VLOOKUP($B2317,'Hospitalisation Details'!A2316:J4660,10,0)</f>
        <v>25377</v>
      </c>
      <c r="O2317" t="str">
        <f>VLOOKUP($B2317,'Hospitalisation Details'!A2316:J4660,8,0)</f>
        <v>tier - 3</v>
      </c>
      <c r="P2317" t="str">
        <f>VLOOKUP($B2317,'Hospitalisation Details'!A2316:J4660,7,0)</f>
        <v>tier - 1</v>
      </c>
      <c r="Q2317" t="str">
        <f>VLOOKUP($B2317,'Hospitalisation Details'!A2316:J4660,9,0)</f>
        <v>R1012</v>
      </c>
      <c r="R2317">
        <f>VLOOKUP($B2317,'Hospitalisation Details'!A2316:K4660,11,0)</f>
        <v>53</v>
      </c>
    </row>
    <row r="2318" spans="1:18" x14ac:dyDescent="0.35">
      <c r="A2318" t="s">
        <v>40</v>
      </c>
      <c r="B2318" t="s">
        <v>2346</v>
      </c>
      <c r="C2318" t="str">
        <f>VLOOKUP($A2318,'Customer Names'!$A:$E,4,FALSE)</f>
        <v>Koji</v>
      </c>
      <c r="D2318" t="str">
        <f>VLOOKUP($A2318,'Medical Examinations'!$A:$J,2,FALSE)</f>
        <v>Normal Weight</v>
      </c>
      <c r="E2318">
        <f>VLOOKUP($A2318,'Medical Examinations'!$A:$J,4,FALSE)</f>
        <v>5.81</v>
      </c>
      <c r="F2318" t="str">
        <f>VLOOKUP($A2318,'Medical Examinations'!$A:$J,6,FALSE)</f>
        <v>yes</v>
      </c>
      <c r="G2318" t="str">
        <f>VLOOKUP($A2318,'Medical Examinations'!$A:$J,7,FALSE)</f>
        <v>No</v>
      </c>
      <c r="H2318" t="str">
        <f>VLOOKUP($A2318,'Medical Examinations'!$A:$J,8,FALSE)</f>
        <v>No</v>
      </c>
      <c r="I2318">
        <f>VLOOKUP($A2318,'Medical Examinations'!$A:$J,9,FALSE)</f>
        <v>1</v>
      </c>
      <c r="J2318" t="str">
        <f>VLOOKUP($A2318,'Medical Examinations'!$A:$J,10,FALSE)</f>
        <v>No</v>
      </c>
      <c r="K2318" t="str">
        <f>VLOOKUP($A2318,'Medical Examinations'!$A:$J,5,FALSE)</f>
        <v>Prediabetes</v>
      </c>
      <c r="L2318">
        <f>VLOOKUP($A2319,'Medical Examinations'!$A:$J,3,FALSE)</f>
        <v>18.82</v>
      </c>
      <c r="N2318" s="11">
        <f>VLOOKUP($B2318,'Hospitalisation Details'!A2317:J4661,10,0)</f>
        <v>22237</v>
      </c>
      <c r="O2318" t="str">
        <f>VLOOKUP($B2318,'Hospitalisation Details'!A2317:J4661,8,0)</f>
        <v>tier - 1</v>
      </c>
      <c r="P2318" t="str">
        <f>VLOOKUP($B2318,'Hospitalisation Details'!A2317:J4661,7,0)</f>
        <v>tier - 1</v>
      </c>
      <c r="Q2318" t="str">
        <f>VLOOKUP($B2318,'Hospitalisation Details'!A2317:J4661,9,0)</f>
        <v>R1012</v>
      </c>
      <c r="R2318">
        <f>VLOOKUP($B2318,'Hospitalisation Details'!A2317:K4661,11,0)</f>
        <v>62</v>
      </c>
    </row>
    <row r="2319" spans="1:18" x14ac:dyDescent="0.35">
      <c r="A2319" t="s">
        <v>39</v>
      </c>
      <c r="B2319" t="s">
        <v>2347</v>
      </c>
      <c r="C2319" t="str">
        <f>VLOOKUP($A2319,'Customer Names'!$A:$E,4,FALSE)</f>
        <v>Candice M</v>
      </c>
      <c r="D2319" t="str">
        <f>VLOOKUP($A2319,'Medical Examinations'!$A:$J,2,FALSE)</f>
        <v>Normal Weight</v>
      </c>
      <c r="E2319">
        <f>VLOOKUP($A2319,'Medical Examinations'!$A:$J,4,FALSE)</f>
        <v>5.51</v>
      </c>
      <c r="F2319" t="str">
        <f>VLOOKUP($A2319,'Medical Examinations'!$A:$J,6,FALSE)</f>
        <v>yes</v>
      </c>
      <c r="G2319" t="str">
        <f>VLOOKUP($A2319,'Medical Examinations'!$A:$J,7,FALSE)</f>
        <v>No</v>
      </c>
      <c r="H2319" t="str">
        <f>VLOOKUP($A2319,'Medical Examinations'!$A:$J,8,FALSE)</f>
        <v>No</v>
      </c>
      <c r="I2319">
        <f>VLOOKUP($A2319,'Medical Examinations'!$A:$J,9,FALSE)</f>
        <v>0</v>
      </c>
      <c r="J2319" t="str">
        <f>VLOOKUP($A2319,'Medical Examinations'!$A:$J,10,FALSE)</f>
        <v>No</v>
      </c>
      <c r="K2319" t="str">
        <f>VLOOKUP($A2319,'Medical Examinations'!$A:$J,5,FALSE)</f>
        <v>Normal</v>
      </c>
      <c r="L2319">
        <f>VLOOKUP($A2320,'Medical Examinations'!$A:$J,3,FALSE)</f>
        <v>17.079999999999998</v>
      </c>
      <c r="N2319" s="11">
        <f>VLOOKUP($B2319,'Hospitalisation Details'!A2318:J4662,10,0)</f>
        <v>21443</v>
      </c>
      <c r="O2319" t="str">
        <f>VLOOKUP($B2319,'Hospitalisation Details'!A2318:J4662,8,0)</f>
        <v>tier - 3</v>
      </c>
      <c r="P2319" t="str">
        <f>VLOOKUP($B2319,'Hospitalisation Details'!A2318:J4662,7,0)</f>
        <v>tier - 2</v>
      </c>
      <c r="Q2319" t="str">
        <f>VLOOKUP($B2319,'Hospitalisation Details'!A2318:J4662,9,0)</f>
        <v>R1013</v>
      </c>
      <c r="R2319">
        <f>VLOOKUP($B2319,'Hospitalisation Details'!A2318:K4662,11,0)</f>
        <v>64</v>
      </c>
    </row>
    <row r="2320" spans="1:18" x14ac:dyDescent="0.35">
      <c r="A2320" t="s">
        <v>38</v>
      </c>
      <c r="B2320" t="s">
        <v>2348</v>
      </c>
      <c r="C2320" t="str">
        <f>VLOOKUP($A2320,'Customer Names'!$A:$E,4,FALSE)</f>
        <v>Theodore A.</v>
      </c>
      <c r="D2320" t="str">
        <f>VLOOKUP($A2320,'Medical Examinations'!$A:$J,2,FALSE)</f>
        <v>Underweight</v>
      </c>
      <c r="E2320">
        <f>VLOOKUP($A2320,'Medical Examinations'!$A:$J,4,FALSE)</f>
        <v>5.73</v>
      </c>
      <c r="F2320" t="str">
        <f>VLOOKUP($A2320,'Medical Examinations'!$A:$J,6,FALSE)</f>
        <v>No</v>
      </c>
      <c r="G2320" t="str">
        <f>VLOOKUP($A2320,'Medical Examinations'!$A:$J,7,FALSE)</f>
        <v>No</v>
      </c>
      <c r="H2320" t="str">
        <f>VLOOKUP($A2320,'Medical Examinations'!$A:$J,8,FALSE)</f>
        <v>Yes</v>
      </c>
      <c r="I2320">
        <f>VLOOKUP($A2320,'Medical Examinations'!$A:$J,9,FALSE)</f>
        <v>1</v>
      </c>
      <c r="J2320" t="str">
        <f>VLOOKUP($A2320,'Medical Examinations'!$A:$J,10,FALSE)</f>
        <v>No</v>
      </c>
      <c r="K2320" t="str">
        <f>VLOOKUP($A2320,'Medical Examinations'!$A:$J,5,FALSE)</f>
        <v>Prediabetes</v>
      </c>
      <c r="L2320">
        <f>VLOOKUP($A2321,'Medical Examinations'!$A:$J,3,FALSE)</f>
        <v>19.21</v>
      </c>
      <c r="N2320" s="11">
        <f>VLOOKUP($B2320,'Hospitalisation Details'!A2319:J4663,10,0)</f>
        <v>21745</v>
      </c>
      <c r="O2320" t="str">
        <f>VLOOKUP($B2320,'Hospitalisation Details'!A2319:J4663,8,0)</f>
        <v>tier - 1</v>
      </c>
      <c r="P2320" t="str">
        <f>VLOOKUP($B2320,'Hospitalisation Details'!A2319:J4663,7,0)</f>
        <v>tier - 2</v>
      </c>
      <c r="Q2320" t="str">
        <f>VLOOKUP($B2320,'Hospitalisation Details'!A2319:J4663,9,0)</f>
        <v>R1013</v>
      </c>
      <c r="R2320">
        <f>VLOOKUP($B2320,'Hospitalisation Details'!A2319:K4663,11,0)</f>
        <v>63</v>
      </c>
    </row>
    <row r="2321" spans="1:18" x14ac:dyDescent="0.35">
      <c r="A2321" t="s">
        <v>36</v>
      </c>
      <c r="B2321" t="s">
        <v>2349</v>
      </c>
      <c r="C2321" t="str">
        <f>VLOOKUP($A2321,'Customer Names'!$A:$E,4,FALSE)</f>
        <v>Lindy</v>
      </c>
      <c r="D2321" t="str">
        <f>VLOOKUP($A2321,'Medical Examinations'!$A:$J,2,FALSE)</f>
        <v>Normal Weight</v>
      </c>
      <c r="E2321">
        <f>VLOOKUP($A2321,'Medical Examinations'!$A:$J,4,FALSE)</f>
        <v>5.53</v>
      </c>
      <c r="F2321" t="str">
        <f>VLOOKUP($A2321,'Medical Examinations'!$A:$J,6,FALSE)</f>
        <v>yes</v>
      </c>
      <c r="G2321" t="str">
        <f>VLOOKUP($A2321,'Medical Examinations'!$A:$J,7,FALSE)</f>
        <v>No</v>
      </c>
      <c r="H2321" t="str">
        <f>VLOOKUP($A2321,'Medical Examinations'!$A:$J,8,FALSE)</f>
        <v>No</v>
      </c>
      <c r="I2321">
        <f>VLOOKUP($A2321,'Medical Examinations'!$A:$J,9,FALSE)</f>
        <v>0</v>
      </c>
      <c r="J2321" t="str">
        <f>VLOOKUP($A2321,'Medical Examinations'!$A:$J,10,FALSE)</f>
        <v>No</v>
      </c>
      <c r="K2321" t="str">
        <f>VLOOKUP($A2321,'Medical Examinations'!$A:$J,5,FALSE)</f>
        <v>Normal</v>
      </c>
      <c r="L2321">
        <f>VLOOKUP($A2322,'Medical Examinations'!$A:$J,3,FALSE)</f>
        <v>17.86</v>
      </c>
      <c r="N2321" s="11">
        <f>VLOOKUP($B2321,'Hospitalisation Details'!A2320:J4664,10,0)</f>
        <v>25930</v>
      </c>
      <c r="O2321" t="str">
        <f>VLOOKUP($B2321,'Hospitalisation Details'!A2320:J4664,8,0)</f>
        <v>tier - 2</v>
      </c>
      <c r="P2321" t="str">
        <f>VLOOKUP($B2321,'Hospitalisation Details'!A2320:J4664,7,0)</f>
        <v>tier - 1</v>
      </c>
      <c r="Q2321" t="str">
        <f>VLOOKUP($B2321,'Hospitalisation Details'!A2320:J4664,9,0)</f>
        <v>R1013</v>
      </c>
      <c r="R2321">
        <f>VLOOKUP($B2321,'Hospitalisation Details'!A2320:K4664,11,0)</f>
        <v>52</v>
      </c>
    </row>
    <row r="2322" spans="1:18" x14ac:dyDescent="0.35">
      <c r="A2322" t="s">
        <v>34</v>
      </c>
      <c r="B2322" t="s">
        <v>2350</v>
      </c>
      <c r="C2322" t="str">
        <f>VLOOKUP($A2322,'Customer Names'!$A:$E,4,FALSE)</f>
        <v>Thomas</v>
      </c>
      <c r="D2322" t="str">
        <f>VLOOKUP($A2322,'Medical Examinations'!$A:$J,2,FALSE)</f>
        <v>Underweight</v>
      </c>
      <c r="E2322">
        <f>VLOOKUP($A2322,'Medical Examinations'!$A:$J,4,FALSE)</f>
        <v>5.43</v>
      </c>
      <c r="F2322" t="str">
        <f>VLOOKUP($A2322,'Medical Examinations'!$A:$J,6,FALSE)</f>
        <v>No</v>
      </c>
      <c r="G2322" t="str">
        <f>VLOOKUP($A2322,'Medical Examinations'!$A:$J,7,FALSE)</f>
        <v>No</v>
      </c>
      <c r="H2322" t="str">
        <f>VLOOKUP($A2322,'Medical Examinations'!$A:$J,8,FALSE)</f>
        <v>Yes</v>
      </c>
      <c r="I2322">
        <f>VLOOKUP($A2322,'Medical Examinations'!$A:$J,9,FALSE)</f>
        <v>1</v>
      </c>
      <c r="J2322" t="str">
        <f>VLOOKUP($A2322,'Medical Examinations'!$A:$J,10,FALSE)</f>
        <v>No</v>
      </c>
      <c r="K2322" t="str">
        <f>VLOOKUP($A2322,'Medical Examinations'!$A:$J,5,FALSE)</f>
        <v>Normal</v>
      </c>
      <c r="L2322">
        <f>VLOOKUP($A2323,'Medical Examinations'!$A:$J,3,FALSE)</f>
        <v>21.38</v>
      </c>
      <c r="N2322" s="11">
        <f>VLOOKUP($B2322,'Hospitalisation Details'!A2321:J4665,10,0)</f>
        <v>21431</v>
      </c>
      <c r="O2322" t="str">
        <f>VLOOKUP($B2322,'Hospitalisation Details'!A2321:J4665,8,0)</f>
        <v>tier - 1</v>
      </c>
      <c r="P2322" t="str">
        <f>VLOOKUP($B2322,'Hospitalisation Details'!A2321:J4665,7,0)</f>
        <v>tier - 2</v>
      </c>
      <c r="Q2322" t="str">
        <f>VLOOKUP($B2322,'Hospitalisation Details'!A2321:J4665,9,0)</f>
        <v>R1011</v>
      </c>
      <c r="R2322">
        <f>VLOOKUP($B2322,'Hospitalisation Details'!A2321:K4665,11,0)</f>
        <v>64</v>
      </c>
    </row>
    <row r="2323" spans="1:18" x14ac:dyDescent="0.35">
      <c r="A2323" t="s">
        <v>33</v>
      </c>
      <c r="B2323" t="s">
        <v>2351</v>
      </c>
      <c r="C2323" t="str">
        <f>VLOOKUP($A2323,'Customer Names'!$A:$E,4,FALSE)</f>
        <v>Holly</v>
      </c>
      <c r="D2323" t="str">
        <f>VLOOKUP($A2323,'Medical Examinations'!$A:$J,2,FALSE)</f>
        <v>Normal Weight</v>
      </c>
      <c r="E2323">
        <f>VLOOKUP($A2323,'Medical Examinations'!$A:$J,4,FALSE)</f>
        <v>8.01</v>
      </c>
      <c r="F2323" t="str">
        <f>VLOOKUP($A2323,'Medical Examinations'!$A:$J,6,FALSE)</f>
        <v>No</v>
      </c>
      <c r="G2323" t="str">
        <f>VLOOKUP($A2323,'Medical Examinations'!$A:$J,7,FALSE)</f>
        <v>No</v>
      </c>
      <c r="H2323" t="str">
        <f>VLOOKUP($A2323,'Medical Examinations'!$A:$J,8,FALSE)</f>
        <v>No</v>
      </c>
      <c r="I2323">
        <f>VLOOKUP($A2323,'Medical Examinations'!$A:$J,9,FALSE)</f>
        <v>0</v>
      </c>
      <c r="J2323" t="str">
        <f>VLOOKUP($A2323,'Medical Examinations'!$A:$J,10,FALSE)</f>
        <v>No</v>
      </c>
      <c r="K2323" t="str">
        <f>VLOOKUP($A2323,'Medical Examinations'!$A:$J,5,FALSE)</f>
        <v>Diabetes</v>
      </c>
      <c r="L2323">
        <f>VLOOKUP($A2324,'Medical Examinations'!$A:$J,3,FALSE)</f>
        <v>23.35</v>
      </c>
      <c r="N2323" s="11">
        <f>VLOOKUP($B2323,'Hospitalisation Details'!A2322:J4666,10,0)</f>
        <v>21827</v>
      </c>
      <c r="O2323" t="str">
        <f>VLOOKUP($B2323,'Hospitalisation Details'!A2322:J4666,8,0)</f>
        <v>tier - 1</v>
      </c>
      <c r="P2323" t="str">
        <f>VLOOKUP($B2323,'Hospitalisation Details'!A2322:J4666,7,0)</f>
        <v>tier - 2</v>
      </c>
      <c r="Q2323" t="str">
        <f>VLOOKUP($B2323,'Hospitalisation Details'!A2322:J4666,9,0)</f>
        <v>R1011</v>
      </c>
      <c r="R2323">
        <f>VLOOKUP($B2323,'Hospitalisation Details'!A2322:K4666,11,0)</f>
        <v>63</v>
      </c>
    </row>
    <row r="2324" spans="1:18" x14ac:dyDescent="0.35">
      <c r="A2324" t="s">
        <v>32</v>
      </c>
      <c r="B2324" t="s">
        <v>2352</v>
      </c>
      <c r="C2324" t="str">
        <f>VLOOKUP($A2324,'Customer Names'!$A:$E,4,FALSE)</f>
        <v>Matthew</v>
      </c>
      <c r="D2324" t="str">
        <f>VLOOKUP($A2324,'Medical Examinations'!$A:$J,2,FALSE)</f>
        <v>Normal Weight</v>
      </c>
      <c r="E2324">
        <f>VLOOKUP($A2324,'Medical Examinations'!$A:$J,4,FALSE)</f>
        <v>5.94</v>
      </c>
      <c r="F2324" t="str">
        <f>VLOOKUP($A2324,'Medical Examinations'!$A:$J,6,FALSE)</f>
        <v>No</v>
      </c>
      <c r="G2324" t="str">
        <f>VLOOKUP($A2324,'Medical Examinations'!$A:$J,7,FALSE)</f>
        <v>No</v>
      </c>
      <c r="H2324" t="str">
        <f>VLOOKUP($A2324,'Medical Examinations'!$A:$J,8,FALSE)</f>
        <v>No</v>
      </c>
      <c r="I2324">
        <f>VLOOKUP($A2324,'Medical Examinations'!$A:$J,9,FALSE)</f>
        <v>0</v>
      </c>
      <c r="J2324" t="str">
        <f>VLOOKUP($A2324,'Medical Examinations'!$A:$J,10,FALSE)</f>
        <v>No</v>
      </c>
      <c r="K2324" t="str">
        <f>VLOOKUP($A2324,'Medical Examinations'!$A:$J,5,FALSE)</f>
        <v>Prediabetes</v>
      </c>
      <c r="L2324">
        <f>VLOOKUP($A2325,'Medical Examinations'!$A:$J,3,FALSE)</f>
        <v>22.24</v>
      </c>
      <c r="N2324" s="11">
        <f>VLOOKUP($B2324,'Hospitalisation Details'!A2323:J4667,10,0)</f>
        <v>22445</v>
      </c>
      <c r="O2324" t="str">
        <f>VLOOKUP($B2324,'Hospitalisation Details'!A2323:J4667,8,0)</f>
        <v>tier - 3</v>
      </c>
      <c r="P2324" t="str">
        <f>VLOOKUP($B2324,'Hospitalisation Details'!A2323:J4667,7,0)</f>
        <v>tier - 1</v>
      </c>
      <c r="Q2324" t="str">
        <f>VLOOKUP($B2324,'Hospitalisation Details'!A2323:J4667,9,0)</f>
        <v>R1011</v>
      </c>
      <c r="R2324">
        <f>VLOOKUP($B2324,'Hospitalisation Details'!A2323:K4667,11,0)</f>
        <v>61</v>
      </c>
    </row>
    <row r="2325" spans="1:18" x14ac:dyDescent="0.35">
      <c r="A2325" t="s">
        <v>29</v>
      </c>
      <c r="B2325" t="s">
        <v>2353</v>
      </c>
      <c r="C2325" t="str">
        <f>VLOOKUP($A2325,'Customer Names'!$A:$E,4,FALSE)</f>
        <v>Meghan K</v>
      </c>
      <c r="D2325" t="str">
        <f>VLOOKUP($A2325,'Medical Examinations'!$A:$J,2,FALSE)</f>
        <v>Normal Weight</v>
      </c>
      <c r="E2325">
        <f>VLOOKUP($A2325,'Medical Examinations'!$A:$J,4,FALSE)</f>
        <v>5.04</v>
      </c>
      <c r="F2325" t="str">
        <f>VLOOKUP($A2325,'Medical Examinations'!$A:$J,6,FALSE)</f>
        <v>No</v>
      </c>
      <c r="G2325" t="str">
        <f>VLOOKUP($A2325,'Medical Examinations'!$A:$J,7,FALSE)</f>
        <v>No</v>
      </c>
      <c r="H2325" t="str">
        <f>VLOOKUP($A2325,'Medical Examinations'!$A:$J,8,FALSE)</f>
        <v>No</v>
      </c>
      <c r="I2325">
        <f>VLOOKUP($A2325,'Medical Examinations'!$A:$J,9,FALSE)</f>
        <v>0</v>
      </c>
      <c r="J2325" t="str">
        <f>VLOOKUP($A2325,'Medical Examinations'!$A:$J,10,FALSE)</f>
        <v>No</v>
      </c>
      <c r="K2325" t="str">
        <f>VLOOKUP($A2325,'Medical Examinations'!$A:$J,5,FALSE)</f>
        <v>Normal</v>
      </c>
      <c r="L2325">
        <f>VLOOKUP($A2326,'Medical Examinations'!$A:$J,3,FALSE)</f>
        <v>24.76</v>
      </c>
      <c r="N2325" s="11">
        <f>VLOOKUP($B2325,'Hospitalisation Details'!A2324:J4668,10,0)</f>
        <v>26203</v>
      </c>
      <c r="O2325" t="str">
        <f>VLOOKUP($B2325,'Hospitalisation Details'!A2324:J4668,8,0)</f>
        <v>tier - 2</v>
      </c>
      <c r="P2325" t="str">
        <f>VLOOKUP($B2325,'Hospitalisation Details'!A2324:J4668,7,0)</f>
        <v>tier - 1</v>
      </c>
      <c r="Q2325" t="str">
        <f>VLOOKUP($B2325,'Hospitalisation Details'!A2324:J4668,9,0)</f>
        <v>R1013</v>
      </c>
      <c r="R2325">
        <f>VLOOKUP($B2325,'Hospitalisation Details'!A2324:K4668,11,0)</f>
        <v>51</v>
      </c>
    </row>
    <row r="2326" spans="1:18" x14ac:dyDescent="0.35">
      <c r="A2326" t="s">
        <v>28</v>
      </c>
      <c r="B2326" t="s">
        <v>2354</v>
      </c>
      <c r="C2326" t="str">
        <f>VLOOKUP($A2326,'Customer Names'!$A:$E,4,FALSE)</f>
        <v>Fred</v>
      </c>
      <c r="D2326" t="str">
        <f>VLOOKUP($A2326,'Medical Examinations'!$A:$J,2,FALSE)</f>
        <v>Normal Weight</v>
      </c>
      <c r="E2326">
        <f>VLOOKUP($A2326,'Medical Examinations'!$A:$J,4,FALSE)</f>
        <v>4.54</v>
      </c>
      <c r="F2326" t="str">
        <f>VLOOKUP($A2326,'Medical Examinations'!$A:$J,6,FALSE)</f>
        <v>yes</v>
      </c>
      <c r="G2326" t="str">
        <f>VLOOKUP($A2326,'Medical Examinations'!$A:$J,7,FALSE)</f>
        <v>No</v>
      </c>
      <c r="H2326" t="str">
        <f>VLOOKUP($A2326,'Medical Examinations'!$A:$J,8,FALSE)</f>
        <v>No</v>
      </c>
      <c r="I2326">
        <f>VLOOKUP($A2326,'Medical Examinations'!$A:$J,9,FALSE)</f>
        <v>0</v>
      </c>
      <c r="J2326" t="str">
        <f>VLOOKUP($A2326,'Medical Examinations'!$A:$J,10,FALSE)</f>
        <v>No</v>
      </c>
      <c r="K2326" t="str">
        <f>VLOOKUP($A2326,'Medical Examinations'!$A:$J,5,FALSE)</f>
        <v>Normal</v>
      </c>
      <c r="L2326">
        <f>VLOOKUP($A2327,'Medical Examinations'!$A:$J,3,FALSE)</f>
        <v>20.100000000000001</v>
      </c>
      <c r="N2326" s="11">
        <f>VLOOKUP($B2326,'Hospitalisation Details'!A2325:J4669,10,0)</f>
        <v>23688</v>
      </c>
      <c r="O2326" t="str">
        <f>VLOOKUP($B2326,'Hospitalisation Details'!A2325:J4669,8,0)</f>
        <v>tier - 3</v>
      </c>
      <c r="P2326" t="str">
        <f>VLOOKUP($B2326,'Hospitalisation Details'!A2325:J4669,7,0)</f>
        <v>tier - 1</v>
      </c>
      <c r="Q2326" t="str">
        <f>VLOOKUP($B2326,'Hospitalisation Details'!A2325:J4669,9,0)</f>
        <v>R1012</v>
      </c>
      <c r="R2326">
        <f>VLOOKUP($B2326,'Hospitalisation Details'!A2325:K4669,11,0)</f>
        <v>58</v>
      </c>
    </row>
    <row r="2327" spans="1:18" x14ac:dyDescent="0.35">
      <c r="A2327" t="s">
        <v>27</v>
      </c>
      <c r="B2327" t="s">
        <v>2355</v>
      </c>
      <c r="C2327" t="str">
        <f>VLOOKUP($A2327,'Customer Names'!$A:$E,4,FALSE)</f>
        <v>Sebastian</v>
      </c>
      <c r="D2327" t="str">
        <f>VLOOKUP($A2327,'Medical Examinations'!$A:$J,2,FALSE)</f>
        <v>Normal Weight</v>
      </c>
      <c r="E2327">
        <f>VLOOKUP($A2327,'Medical Examinations'!$A:$J,4,FALSE)</f>
        <v>5.6</v>
      </c>
      <c r="F2327" t="str">
        <f>VLOOKUP($A2327,'Medical Examinations'!$A:$J,6,FALSE)</f>
        <v>yes</v>
      </c>
      <c r="G2327" t="str">
        <f>VLOOKUP($A2327,'Medical Examinations'!$A:$J,7,FALSE)</f>
        <v>No</v>
      </c>
      <c r="H2327" t="str">
        <f>VLOOKUP($A2327,'Medical Examinations'!$A:$J,8,FALSE)</f>
        <v>Yes</v>
      </c>
      <c r="I2327">
        <f>VLOOKUP($A2327,'Medical Examinations'!$A:$J,9,FALSE)</f>
        <v>1</v>
      </c>
      <c r="J2327" t="str">
        <f>VLOOKUP($A2327,'Medical Examinations'!$A:$J,10,FALSE)</f>
        <v>No</v>
      </c>
      <c r="K2327" t="str">
        <f>VLOOKUP($A2327,'Medical Examinations'!$A:$J,5,FALSE)</f>
        <v>Normal</v>
      </c>
      <c r="L2327">
        <f>VLOOKUP($A2328,'Medical Examinations'!$A:$J,3,FALSE)</f>
        <v>21.77</v>
      </c>
      <c r="N2327" s="11">
        <f>VLOOKUP($B2327,'Hospitalisation Details'!A2326:J4670,10,0)</f>
        <v>23228</v>
      </c>
      <c r="O2327" t="str">
        <f>VLOOKUP($B2327,'Hospitalisation Details'!A2326:J4670,8,0)</f>
        <v>tier - 3</v>
      </c>
      <c r="P2327" t="str">
        <f>VLOOKUP($B2327,'Hospitalisation Details'!A2326:J4670,7,0)</f>
        <v>tier - 1</v>
      </c>
      <c r="Q2327" t="str">
        <f>VLOOKUP($B2327,'Hospitalisation Details'!A2326:J4670,9,0)</f>
        <v>R1024</v>
      </c>
      <c r="R2327">
        <f>VLOOKUP($B2327,'Hospitalisation Details'!A2326:K4670,11,0)</f>
        <v>59</v>
      </c>
    </row>
    <row r="2328" spans="1:18" x14ac:dyDescent="0.35">
      <c r="A2328" t="s">
        <v>26</v>
      </c>
      <c r="B2328" t="s">
        <v>2356</v>
      </c>
      <c r="C2328" t="str">
        <f>VLOOKUP($A2328,'Customer Names'!$A:$E,4,FALSE)</f>
        <v>Laura</v>
      </c>
      <c r="D2328" t="str">
        <f>VLOOKUP($A2328,'Medical Examinations'!$A:$J,2,FALSE)</f>
        <v>Normal Weight</v>
      </c>
      <c r="E2328">
        <f>VLOOKUP($A2328,'Medical Examinations'!$A:$J,4,FALSE)</f>
        <v>10.67</v>
      </c>
      <c r="F2328" t="str">
        <f>VLOOKUP($A2328,'Medical Examinations'!$A:$J,6,FALSE)</f>
        <v>No</v>
      </c>
      <c r="G2328" t="str">
        <f>VLOOKUP($A2328,'Medical Examinations'!$A:$J,7,FALSE)</f>
        <v>No</v>
      </c>
      <c r="H2328" t="str">
        <f>VLOOKUP($A2328,'Medical Examinations'!$A:$J,8,FALSE)</f>
        <v>No</v>
      </c>
      <c r="I2328">
        <f>VLOOKUP($A2328,'Medical Examinations'!$A:$J,9,FALSE)</f>
        <v>0</v>
      </c>
      <c r="J2328" t="str">
        <f>VLOOKUP($A2328,'Medical Examinations'!$A:$J,10,FALSE)</f>
        <v>No</v>
      </c>
      <c r="K2328" t="str">
        <f>VLOOKUP($A2328,'Medical Examinations'!$A:$J,5,FALSE)</f>
        <v>Diabetes</v>
      </c>
      <c r="L2328">
        <f>VLOOKUP($A2329,'Medical Examinations'!$A:$J,3,FALSE)</f>
        <v>17.82</v>
      </c>
      <c r="N2328" s="11">
        <f>VLOOKUP($B2328,'Hospitalisation Details'!A2327:J4671,10,0)</f>
        <v>21505</v>
      </c>
      <c r="O2328" t="str">
        <f>VLOOKUP($B2328,'Hospitalisation Details'!A2327:J4671,8,0)</f>
        <v>tier - 3</v>
      </c>
      <c r="P2328" t="str">
        <f>VLOOKUP($B2328,'Hospitalisation Details'!A2327:J4671,7,0)</f>
        <v>tier - 2</v>
      </c>
      <c r="Q2328" t="str">
        <f>VLOOKUP($B2328,'Hospitalisation Details'!A2327:J4671,9,0)</f>
        <v>R1011</v>
      </c>
      <c r="R2328">
        <f>VLOOKUP($B2328,'Hospitalisation Details'!A2327:K4671,11,0)</f>
        <v>64</v>
      </c>
    </row>
    <row r="2329" spans="1:18" x14ac:dyDescent="0.35">
      <c r="A2329" t="s">
        <v>25</v>
      </c>
      <c r="B2329" t="s">
        <v>2357</v>
      </c>
      <c r="C2329" t="str">
        <f>VLOOKUP($A2329,'Customer Names'!$A:$E,4,FALSE)</f>
        <v>Nicole</v>
      </c>
      <c r="D2329" t="str">
        <f>VLOOKUP($A2329,'Medical Examinations'!$A:$J,2,FALSE)</f>
        <v>Underweight</v>
      </c>
      <c r="E2329">
        <f>VLOOKUP($A2329,'Medical Examinations'!$A:$J,4,FALSE)</f>
        <v>5.26</v>
      </c>
      <c r="F2329" t="str">
        <f>VLOOKUP($A2329,'Medical Examinations'!$A:$J,6,FALSE)</f>
        <v>yes</v>
      </c>
      <c r="G2329" t="str">
        <f>VLOOKUP($A2329,'Medical Examinations'!$A:$J,7,FALSE)</f>
        <v>No</v>
      </c>
      <c r="H2329" t="str">
        <f>VLOOKUP($A2329,'Medical Examinations'!$A:$J,8,FALSE)</f>
        <v>No</v>
      </c>
      <c r="I2329">
        <f>VLOOKUP($A2329,'Medical Examinations'!$A:$J,9,FALSE)</f>
        <v>1</v>
      </c>
      <c r="J2329" t="str">
        <f>VLOOKUP($A2329,'Medical Examinations'!$A:$J,10,FALSE)</f>
        <v>No</v>
      </c>
      <c r="K2329" t="str">
        <f>VLOOKUP($A2329,'Medical Examinations'!$A:$J,5,FALSE)</f>
        <v>Normal</v>
      </c>
      <c r="L2329">
        <f>VLOOKUP($A2330,'Medical Examinations'!$A:$J,3,FALSE)</f>
        <v>17.07</v>
      </c>
      <c r="N2329" s="11">
        <f>VLOOKUP($B2329,'Hospitalisation Details'!A2328:J4672,10,0)</f>
        <v>22885</v>
      </c>
      <c r="O2329" t="str">
        <f>VLOOKUP($B2329,'Hospitalisation Details'!A2328:J4672,8,0)</f>
        <v>tier - 3</v>
      </c>
      <c r="P2329" t="str">
        <f>VLOOKUP($B2329,'Hospitalisation Details'!A2328:J4672,7,0)</f>
        <v>tier - 1</v>
      </c>
      <c r="Q2329" t="str">
        <f>VLOOKUP($B2329,'Hospitalisation Details'!A2328:J4672,9,0)</f>
        <v>R1011</v>
      </c>
      <c r="R2329">
        <f>VLOOKUP($B2329,'Hospitalisation Details'!A2328:K4672,11,0)</f>
        <v>60</v>
      </c>
    </row>
    <row r="2330" spans="1:18" x14ac:dyDescent="0.35">
      <c r="A2330" t="s">
        <v>24</v>
      </c>
      <c r="B2330" t="s">
        <v>2358</v>
      </c>
      <c r="C2330" t="str">
        <f>VLOOKUP($A2330,'Customer Names'!$A:$E,4,FALSE)</f>
        <v>Susan E</v>
      </c>
      <c r="D2330" t="str">
        <f>VLOOKUP($A2330,'Medical Examinations'!$A:$J,2,FALSE)</f>
        <v>Underweight</v>
      </c>
      <c r="E2330">
        <f>VLOOKUP($A2330,'Medical Examinations'!$A:$J,4,FALSE)</f>
        <v>5.22</v>
      </c>
      <c r="F2330" t="str">
        <f>VLOOKUP($A2330,'Medical Examinations'!$A:$J,6,FALSE)</f>
        <v>No</v>
      </c>
      <c r="G2330" t="str">
        <f>VLOOKUP($A2330,'Medical Examinations'!$A:$J,7,FALSE)</f>
        <v>No</v>
      </c>
      <c r="H2330" t="str">
        <f>VLOOKUP($A2330,'Medical Examinations'!$A:$J,8,FALSE)</f>
        <v>Yes</v>
      </c>
      <c r="I2330">
        <f>VLOOKUP($A2330,'Medical Examinations'!$A:$J,9,FALSE)</f>
        <v>1</v>
      </c>
      <c r="J2330" t="str">
        <f>VLOOKUP($A2330,'Medical Examinations'!$A:$J,10,FALSE)</f>
        <v>No</v>
      </c>
      <c r="K2330" t="str">
        <f>VLOOKUP($A2330,'Medical Examinations'!$A:$J,5,FALSE)</f>
        <v>Normal</v>
      </c>
      <c r="L2330">
        <f>VLOOKUP($A2331,'Medical Examinations'!$A:$J,3,FALSE)</f>
        <v>22.24</v>
      </c>
      <c r="N2330" s="11">
        <f>VLOOKUP($B2330,'Hospitalisation Details'!A2329:J4673,10,0)</f>
        <v>22636</v>
      </c>
      <c r="O2330" t="str">
        <f>VLOOKUP($B2330,'Hospitalisation Details'!A2329:J4673,8,0)</f>
        <v>tier - 3</v>
      </c>
      <c r="P2330" t="str">
        <f>VLOOKUP($B2330,'Hospitalisation Details'!A2329:J4673,7,0)</f>
        <v>tier - 1</v>
      </c>
      <c r="Q2330" t="str">
        <f>VLOOKUP($B2330,'Hospitalisation Details'!A2329:J4673,9,0)</f>
        <v>R1024</v>
      </c>
      <c r="R2330">
        <f>VLOOKUP($B2330,'Hospitalisation Details'!A2329:K4673,11,0)</f>
        <v>61</v>
      </c>
    </row>
    <row r="2331" spans="1:18" x14ac:dyDescent="0.35">
      <c r="A2331" t="s">
        <v>22</v>
      </c>
      <c r="B2331" t="s">
        <v>2359</v>
      </c>
      <c r="C2331" t="str">
        <f>VLOOKUP($A2331,'Customer Names'!$A:$E,4,FALSE)</f>
        <v>Katy</v>
      </c>
      <c r="D2331" t="str">
        <f>VLOOKUP($A2331,'Medical Examinations'!$A:$J,2,FALSE)</f>
        <v>Normal Weight</v>
      </c>
      <c r="E2331">
        <f>VLOOKUP($A2331,'Medical Examinations'!$A:$J,4,FALSE)</f>
        <v>4.29</v>
      </c>
      <c r="F2331" t="str">
        <f>VLOOKUP($A2331,'Medical Examinations'!$A:$J,6,FALSE)</f>
        <v>yes</v>
      </c>
      <c r="G2331" t="str">
        <f>VLOOKUP($A2331,'Medical Examinations'!$A:$J,7,FALSE)</f>
        <v>No</v>
      </c>
      <c r="H2331" t="str">
        <f>VLOOKUP($A2331,'Medical Examinations'!$A:$J,8,FALSE)</f>
        <v>No</v>
      </c>
      <c r="I2331">
        <f>VLOOKUP($A2331,'Medical Examinations'!$A:$J,9,FALSE)</f>
        <v>0</v>
      </c>
      <c r="J2331" t="str">
        <f>VLOOKUP($A2331,'Medical Examinations'!$A:$J,10,FALSE)</f>
        <v>No</v>
      </c>
      <c r="K2331" t="str">
        <f>VLOOKUP($A2331,'Medical Examinations'!$A:$J,5,FALSE)</f>
        <v>Normal</v>
      </c>
      <c r="L2331">
        <f>VLOOKUP($A2332,'Medical Examinations'!$A:$J,3,FALSE)</f>
        <v>22.34</v>
      </c>
      <c r="N2331" s="11">
        <f>VLOOKUP($B2331,'Hospitalisation Details'!A2330:J4674,10,0)</f>
        <v>25173</v>
      </c>
      <c r="O2331" t="str">
        <f>VLOOKUP($B2331,'Hospitalisation Details'!A2330:J4674,8,0)</f>
        <v>tier - 3</v>
      </c>
      <c r="P2331" t="str">
        <f>VLOOKUP($B2331,'Hospitalisation Details'!A2330:J4674,7,0)</f>
        <v>tier - 1</v>
      </c>
      <c r="Q2331" t="str">
        <f>VLOOKUP($B2331,'Hospitalisation Details'!A2330:J4674,9,0)</f>
        <v>R1016</v>
      </c>
      <c r="R2331">
        <f>VLOOKUP($B2331,'Hospitalisation Details'!A2330:K4674,11,0)</f>
        <v>54</v>
      </c>
    </row>
    <row r="2332" spans="1:18" x14ac:dyDescent="0.35">
      <c r="A2332" t="s">
        <v>21</v>
      </c>
      <c r="B2332" t="s">
        <v>2360</v>
      </c>
      <c r="C2332" t="str">
        <f>VLOOKUP($A2332,'Customer Names'!$A:$E,4,FALSE)</f>
        <v>Jordan</v>
      </c>
      <c r="D2332" t="str">
        <f>VLOOKUP($A2332,'Medical Examinations'!$A:$J,2,FALSE)</f>
        <v>Normal Weight</v>
      </c>
      <c r="E2332">
        <f>VLOOKUP($A2332,'Medical Examinations'!$A:$J,4,FALSE)</f>
        <v>5.57</v>
      </c>
      <c r="F2332" t="str">
        <f>VLOOKUP($A2332,'Medical Examinations'!$A:$J,6,FALSE)</f>
        <v>No</v>
      </c>
      <c r="G2332" t="str">
        <f>VLOOKUP($A2332,'Medical Examinations'!$A:$J,7,FALSE)</f>
        <v>No</v>
      </c>
      <c r="H2332" t="str">
        <f>VLOOKUP($A2332,'Medical Examinations'!$A:$J,8,FALSE)</f>
        <v>No</v>
      </c>
      <c r="I2332">
        <f>VLOOKUP($A2332,'Medical Examinations'!$A:$J,9,FALSE)</f>
        <v>1</v>
      </c>
      <c r="J2332" t="str">
        <f>VLOOKUP($A2332,'Medical Examinations'!$A:$J,10,FALSE)</f>
        <v>No</v>
      </c>
      <c r="K2332" t="str">
        <f>VLOOKUP($A2332,'Medical Examinations'!$A:$J,5,FALSE)</f>
        <v>Normal</v>
      </c>
      <c r="L2332">
        <f>VLOOKUP($A2333,'Medical Examinations'!$A:$J,3,FALSE)</f>
        <v>17.7</v>
      </c>
      <c r="N2332" s="11">
        <f>VLOOKUP($B2332,'Hospitalisation Details'!A2331:J4675,10,0)</f>
        <v>22930</v>
      </c>
      <c r="O2332" t="str">
        <f>VLOOKUP($B2332,'Hospitalisation Details'!A2331:J4675,8,0)</f>
        <v>tier - 2</v>
      </c>
      <c r="P2332" t="str">
        <f>VLOOKUP($B2332,'Hospitalisation Details'!A2331:J4675,7,0)</f>
        <v>tier - 1</v>
      </c>
      <c r="Q2332" t="str">
        <f>VLOOKUP($B2332,'Hospitalisation Details'!A2331:J4675,9,0)</f>
        <v>R1013</v>
      </c>
      <c r="R2332">
        <f>VLOOKUP($B2332,'Hospitalisation Details'!A2331:K4675,11,0)</f>
        <v>60</v>
      </c>
    </row>
    <row r="2333" spans="1:18" x14ac:dyDescent="0.35">
      <c r="A2333" t="s">
        <v>19</v>
      </c>
      <c r="B2333" t="s">
        <v>2361</v>
      </c>
      <c r="C2333" t="str">
        <f>VLOOKUP($A2333,'Customer Names'!$A:$E,4,FALSE)</f>
        <v>Juan D. Sr.</v>
      </c>
      <c r="D2333" t="str">
        <f>VLOOKUP($A2333,'Medical Examinations'!$A:$J,2,FALSE)</f>
        <v>Underweight</v>
      </c>
      <c r="E2333">
        <f>VLOOKUP($A2333,'Medical Examinations'!$A:$J,4,FALSE)</f>
        <v>6.28</v>
      </c>
      <c r="F2333" t="str">
        <f>VLOOKUP($A2333,'Medical Examinations'!$A:$J,6,FALSE)</f>
        <v>No</v>
      </c>
      <c r="G2333" t="str">
        <f>VLOOKUP($A2333,'Medical Examinations'!$A:$J,7,FALSE)</f>
        <v>No</v>
      </c>
      <c r="H2333" t="str">
        <f>VLOOKUP($A2333,'Medical Examinations'!$A:$J,8,FALSE)</f>
        <v>No</v>
      </c>
      <c r="I2333">
        <f>VLOOKUP($A2333,'Medical Examinations'!$A:$J,9,FALSE)</f>
        <v>1</v>
      </c>
      <c r="J2333" t="str">
        <f>VLOOKUP($A2333,'Medical Examinations'!$A:$J,10,FALSE)</f>
        <v>No</v>
      </c>
      <c r="K2333" t="str">
        <f>VLOOKUP($A2333,'Medical Examinations'!$A:$J,5,FALSE)</f>
        <v>Prediabetes</v>
      </c>
      <c r="L2333">
        <f>VLOOKUP($A2334,'Medical Examinations'!$A:$J,3,FALSE)</f>
        <v>16.47</v>
      </c>
      <c r="N2333" s="11">
        <f>VLOOKUP($B2333,'Hospitalisation Details'!A2332:J4676,10,0)</f>
        <v>24042</v>
      </c>
      <c r="O2333" t="str">
        <f>VLOOKUP($B2333,'Hospitalisation Details'!A2332:J4676,8,0)</f>
        <v>tier - 2</v>
      </c>
      <c r="P2333" t="str">
        <f>VLOOKUP($B2333,'Hospitalisation Details'!A2332:J4676,7,0)</f>
        <v>tier - 1</v>
      </c>
      <c r="Q2333" t="str">
        <f>VLOOKUP($B2333,'Hospitalisation Details'!A2332:J4676,9,0)</f>
        <v>R1013</v>
      </c>
      <c r="R2333">
        <f>VLOOKUP($B2333,'Hospitalisation Details'!A2332:K4676,11,0)</f>
        <v>57</v>
      </c>
    </row>
    <row r="2334" spans="1:18" x14ac:dyDescent="0.35">
      <c r="A2334" t="s">
        <v>17</v>
      </c>
      <c r="B2334" t="s">
        <v>2362</v>
      </c>
      <c r="C2334" t="str">
        <f>VLOOKUP($A2334,'Customer Names'!$A:$E,4,FALSE)</f>
        <v>Julie</v>
      </c>
      <c r="D2334" t="str">
        <f>VLOOKUP($A2334,'Medical Examinations'!$A:$J,2,FALSE)</f>
        <v>Underweight</v>
      </c>
      <c r="E2334">
        <f>VLOOKUP($A2334,'Medical Examinations'!$A:$J,4,FALSE)</f>
        <v>6.35</v>
      </c>
      <c r="F2334" t="str">
        <f>VLOOKUP($A2334,'Medical Examinations'!$A:$J,6,FALSE)</f>
        <v>No</v>
      </c>
      <c r="G2334" t="str">
        <f>VLOOKUP($A2334,'Medical Examinations'!$A:$J,7,FALSE)</f>
        <v>No</v>
      </c>
      <c r="H2334" t="str">
        <f>VLOOKUP($A2334,'Medical Examinations'!$A:$J,8,FALSE)</f>
        <v>Yes</v>
      </c>
      <c r="I2334">
        <f>VLOOKUP($A2334,'Medical Examinations'!$A:$J,9,FALSE)</f>
        <v>1</v>
      </c>
      <c r="J2334" t="str">
        <f>VLOOKUP($A2334,'Medical Examinations'!$A:$J,10,FALSE)</f>
        <v>No</v>
      </c>
      <c r="K2334" t="str">
        <f>VLOOKUP($A2334,'Medical Examinations'!$A:$J,5,FALSE)</f>
        <v>Prediabetes</v>
      </c>
      <c r="L2334">
        <f>VLOOKUP($A2335,'Medical Examinations'!$A:$J,3,FALSE)</f>
        <v>17.600000000000001</v>
      </c>
      <c r="N2334" s="11">
        <f>VLOOKUP($B2334,'Hospitalisation Details'!A2333:J4677,10,0)</f>
        <v>21753</v>
      </c>
      <c r="O2334" t="str">
        <f>VLOOKUP($B2334,'Hospitalisation Details'!A2333:J4677,8,0)</f>
        <v>tier - 1</v>
      </c>
      <c r="P2334" t="str">
        <f>VLOOKUP($B2334,'Hospitalisation Details'!A2333:J4677,7,0)</f>
        <v>tier - 2</v>
      </c>
      <c r="Q2334" t="str">
        <f>VLOOKUP($B2334,'Hospitalisation Details'!A2333:J4677,9,0)</f>
        <v>R1011</v>
      </c>
      <c r="R2334">
        <f>VLOOKUP($B2334,'Hospitalisation Details'!A2333:K4677,11,0)</f>
        <v>63</v>
      </c>
    </row>
    <row r="2335" spans="1:18" x14ac:dyDescent="0.35">
      <c r="A2335" t="s">
        <v>14</v>
      </c>
      <c r="B2335" t="s">
        <v>2363</v>
      </c>
      <c r="C2335" t="str">
        <f>VLOOKUP($A2335,'Customer Names'!$A:$E,4,FALSE)</f>
        <v>Evan P</v>
      </c>
      <c r="D2335" t="str">
        <f>VLOOKUP($A2335,'Medical Examinations'!$A:$J,2,FALSE)</f>
        <v>Underweight</v>
      </c>
      <c r="E2335">
        <f>VLOOKUP($A2335,'Medical Examinations'!$A:$J,4,FALSE)</f>
        <v>4.3899999999999997</v>
      </c>
      <c r="F2335" t="str">
        <f>VLOOKUP($A2335,'Medical Examinations'!$A:$J,6,FALSE)</f>
        <v>No</v>
      </c>
      <c r="G2335" t="str">
        <f>VLOOKUP($A2335,'Medical Examinations'!$A:$J,7,FALSE)</f>
        <v>No</v>
      </c>
      <c r="H2335" t="str">
        <f>VLOOKUP($A2335,'Medical Examinations'!$A:$J,8,FALSE)</f>
        <v>No</v>
      </c>
      <c r="I2335">
        <f>VLOOKUP($A2335,'Medical Examinations'!$A:$J,9,FALSE)</f>
        <v>1</v>
      </c>
      <c r="J2335" t="str">
        <f>VLOOKUP($A2335,'Medical Examinations'!$A:$J,10,FALSE)</f>
        <v>No</v>
      </c>
      <c r="K2335" t="str">
        <f>VLOOKUP($A2335,'Medical Examinations'!$A:$J,5,FALSE)</f>
        <v>Normal</v>
      </c>
      <c r="L2335">
        <f>VLOOKUP($A2336,'Medical Examinations'!$A:$J,3,FALSE)</f>
        <v>17.579999999999998</v>
      </c>
      <c r="N2335" s="11">
        <f>VLOOKUP($B2335,'Hospitalisation Details'!A2334:J4678,10,0)</f>
        <v>28853</v>
      </c>
      <c r="O2335" t="str">
        <f>VLOOKUP($B2335,'Hospitalisation Details'!A2334:J4678,8,0)</f>
        <v>tier - 2</v>
      </c>
      <c r="P2335" t="str">
        <f>VLOOKUP($B2335,'Hospitalisation Details'!A2334:J4678,7,0)</f>
        <v>tier - 1</v>
      </c>
      <c r="Q2335" t="str">
        <f>VLOOKUP($B2335,'Hospitalisation Details'!A2334:J4678,9,0)</f>
        <v>R1013</v>
      </c>
      <c r="R2335">
        <f>VLOOKUP($B2335,'Hospitalisation Details'!A2334:K4678,11,0)</f>
        <v>44</v>
      </c>
    </row>
    <row r="2336" spans="1:18" x14ac:dyDescent="0.35">
      <c r="A2336" t="s">
        <v>9</v>
      </c>
      <c r="B2336" t="s">
        <v>2364</v>
      </c>
      <c r="C2336" t="str">
        <f>VLOOKUP($A2336,'Customer Names'!$A:$E,4,FALSE)</f>
        <v>Aaron K</v>
      </c>
      <c r="D2336" t="str">
        <f>VLOOKUP($A2336,'Medical Examinations'!$A:$J,2,FALSE)</f>
        <v>Underweight</v>
      </c>
      <c r="E2336">
        <f>VLOOKUP($A2336,'Medical Examinations'!$A:$J,4,FALSE)</f>
        <v>4.51</v>
      </c>
      <c r="F2336" t="str">
        <f>VLOOKUP($A2336,'Medical Examinations'!$A:$J,6,FALSE)</f>
        <v>No</v>
      </c>
      <c r="G2336" t="str">
        <f>VLOOKUP($A2336,'Medical Examinations'!$A:$J,7,FALSE)</f>
        <v>No</v>
      </c>
      <c r="H2336" t="str">
        <f>VLOOKUP($A2336,'Medical Examinations'!$A:$J,8,FALSE)</f>
        <v>No</v>
      </c>
      <c r="I2336">
        <f>VLOOKUP($A2336,'Medical Examinations'!$A:$J,9,FALSE)</f>
        <v>1</v>
      </c>
      <c r="J2336" t="str">
        <f>VLOOKUP($A2336,'Medical Examinations'!$A:$J,10,FALSE)</f>
        <v>No</v>
      </c>
      <c r="K2336" t="str">
        <f>VLOOKUP($A2336,'Medical Examinations'!$A:$J,5,FALSE)</f>
        <v>Normal</v>
      </c>
      <c r="L2336">
        <f>VLOOKUP($A2337,'Medical Examinations'!$A:$J,3,FALSE)</f>
        <v>0</v>
      </c>
      <c r="N2336" s="11">
        <f>VLOOKUP($B2336,'Hospitalisation Details'!A2335:J4679,10,0)</f>
        <v>23258</v>
      </c>
      <c r="O2336" t="str">
        <f>VLOOKUP($B2336,'Hospitalisation Details'!A2335:J4679,8,0)</f>
        <v>tier - 2</v>
      </c>
      <c r="P2336" t="str">
        <f>VLOOKUP($B2336,'Hospitalisation Details'!A2335:J4679,7,0)</f>
        <v>tier - 1</v>
      </c>
      <c r="Q2336" t="str">
        <f>VLOOKUP($B2336,'Hospitalisation Details'!A2335:J4679,9,0)</f>
        <v>R1013</v>
      </c>
      <c r="R2336">
        <f>VLOOKUP($B2336,'Hospitalisation Details'!A2335:K4679,11,0)</f>
        <v>59</v>
      </c>
    </row>
    <row r="2337" spans="1:2" x14ac:dyDescent="0.35">
      <c r="A2337" s="7">
        <f>COUNTIF(A2:A2336,"?")</f>
        <v>0</v>
      </c>
      <c r="B2337" t="s">
        <v>2365</v>
      </c>
    </row>
    <row r="2338" spans="1:2" x14ac:dyDescent="0.35">
      <c r="B2338" t="s">
        <v>2366</v>
      </c>
    </row>
    <row r="2339" spans="1:2" x14ac:dyDescent="0.35">
      <c r="B2339" t="s">
        <v>2367</v>
      </c>
    </row>
    <row r="2340" spans="1:2" x14ac:dyDescent="0.35">
      <c r="B2340" t="s">
        <v>2368</v>
      </c>
    </row>
    <row r="2341" spans="1:2" x14ac:dyDescent="0.35">
      <c r="B2341" t="s">
        <v>2369</v>
      </c>
    </row>
    <row r="2342" spans="1:2" x14ac:dyDescent="0.35">
      <c r="B2342" t="s">
        <v>2370</v>
      </c>
    </row>
    <row r="2343" spans="1:2" x14ac:dyDescent="0.35">
      <c r="B2343" t="s">
        <v>2371</v>
      </c>
    </row>
    <row r="2344" spans="1:2" x14ac:dyDescent="0.35">
      <c r="B2344" t="s">
        <v>2372</v>
      </c>
    </row>
    <row r="2345" spans="1:2" x14ac:dyDescent="0.35">
      <c r="B2345" s="7">
        <f>COUNTIF(B2:B2344,"?")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Names</vt:lpstr>
      <vt:lpstr>Medical Examinations</vt:lpstr>
      <vt:lpstr>Hospitalisation Details</vt:lpstr>
      <vt:lpstr>Healthcare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2026-10-16T00:02:59Z</dcterms:modified>
</cp:coreProperties>
</file>